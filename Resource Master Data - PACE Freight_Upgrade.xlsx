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43" firstSheet="1" activeTab="2" autoFilterDateGrouping="1"/>
  </bookViews>
  <sheets>
    <sheet name="Read me" sheetId="1" state="visible" r:id="rId1"/>
    <sheet name="$ Dashboard" sheetId="2" state="visible" r:id="rId2"/>
    <sheet name="Business Manpower LE" sheetId="3" state="visible" r:id="rId3"/>
    <sheet name="IT Manpower LE" sheetId="4" state="visible" r:id="rId4"/>
    <sheet name="Other LE" sheetId="5" state="visible" r:id="rId5"/>
    <sheet name="Tables" sheetId="6" state="visible" r:id="rId6"/>
  </sheets>
  <definedNames>
    <definedName name="Slicer_Cost_type">#N/A</definedName>
    <definedName name="Slicer_Resource_Provider">#N/A</definedName>
    <definedName name="Slicer_Resource_Provider1">#N/A</definedName>
    <definedName name="Slicer_Resource_provider21">#N/A</definedName>
    <definedName name="Slicer_Status">#N/A</definedName>
    <definedName name="Slicer_Status2">#N/A</definedName>
    <definedName name="Slicer_Workstream">#N/A</definedName>
    <definedName name="Slicer_Workstream2">#N/A</definedName>
    <definedName name="Slicer_Workstream3">#N/A</definedName>
    <definedName name="_xlnm.Print_Titles" localSheetId="2">'Business Manpower LE'!$1:$9</definedName>
    <definedName name="_xlnm.Print_Titles" localSheetId="3">'IT Manpower LE'!$1:$9</definedName>
    <definedName name="_xlnm.Print_Titles" localSheetId="4">'Other LE'!$1:$11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_(&quot;$&quot;* #,##0.00_);_(&quot;$&quot;* \(#,##0.00\);_(&quot;$&quot;* &quot;-&quot;??_);_(@_)"/>
    <numFmt numFmtId="165" formatCode="dd\-mmm\-yy"/>
    <numFmt numFmtId="166" formatCode="_(&quot;$&quot;* #,##0_);_(&quot;$&quot;* \(#,##0\);_(&quot;$&quot;* &quot;-&quot;??_);_(@_)"/>
    <numFmt numFmtId="167" formatCode="_(&quot;$&quot;* #,##0.0_);_(&quot;$&quot;* \(#,##0.0\);_(&quot;$&quot;* &quot;-&quot;?_);_(@_)"/>
    <numFmt numFmtId="168" formatCode="_-* #,##0.00_-;\-* #,##0.00_-;_-* &quot;-&quot;??_-;_-@_-"/>
    <numFmt numFmtId="169" formatCode="_-[$$-409]* #,##0.00_ ;_-[$$-409]* \-#,##0.00\ ;_-[$$-409]* &quot;-&quot;??_ ;_-@_ "/>
  </numFmts>
  <fonts count="3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rial"/>
      <family val="2"/>
      <color rgb="FF000000"/>
      <sz val="10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rgb="FFC00000"/>
      <sz val="16"/>
      <scheme val="minor"/>
    </font>
    <font>
      <name val="Aptos Narrow"/>
      <family val="2"/>
      <color rgb="FFC00000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0"/>
      <sz val="14"/>
      <scheme val="minor"/>
    </font>
    <font>
      <name val="ShellLight"/>
      <b val="1"/>
      <color theme="0"/>
      <sz val="10"/>
    </font>
    <font>
      <name val="ShellLight"/>
      <b val="1"/>
      <color theme="1"/>
      <sz val="10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rgb="FFC00000"/>
      <sz val="12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0" tint="-0.1499984740745262"/>
      <sz val="11"/>
      <scheme val="minor"/>
    </font>
    <font>
      <name val="Aptos Narrow"/>
      <family val="2"/>
      <color rgb="FFFFC000"/>
      <sz val="11"/>
      <scheme val="minor"/>
    </font>
    <font>
      <name val="Aptos Narrow"/>
      <family val="2"/>
      <b val="1"/>
      <color rgb="FFFFC000"/>
      <sz val="11"/>
      <scheme val="minor"/>
    </font>
    <font>
      <name val="Aptos Narrow"/>
      <family val="2"/>
      <color rgb="FFFFC000"/>
      <sz val="9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9" tint="0.3999755851924192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4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8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404040"/>
      <sz val="10"/>
    </font>
    <font>
      <name val="Calibri"/>
      <b val="1"/>
      <color rgb="FFCC0000"/>
      <sz val="10"/>
    </font>
    <font>
      <name val="Calibri"/>
      <b val="1"/>
      <color rgb="FFFFFFFF"/>
      <sz val="10"/>
    </font>
  </fonts>
  <fills count="29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"/>
        <bgColor theme="6" tint="0.5999938962981048"/>
      </patternFill>
    </fill>
    <fill>
      <patternFill patternType="solid">
        <fgColor rgb="FFC1F0C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"/>
      </patternFill>
    </fill>
    <fill>
      <patternFill patternType="solid">
        <fgColor rgb="FF003C71"/>
      </patternFill>
    </fill>
    <fill>
      <patternFill patternType="solid">
        <fgColor rgb="FF0067B1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0"/>
      </right>
      <top style="thin">
        <color auto="1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rgb="FFFFC000"/>
      </top>
      <bottom style="thin">
        <color rgb="FFFFC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 style="thin">
        <color theme="4" tint="0.3999755851924192"/>
      </right>
      <top style="medium">
        <color theme="1"/>
      </top>
      <bottom style="medium">
        <color theme="1"/>
      </bottom>
      <diagonal/>
    </border>
    <border>
      <left style="thin">
        <color theme="6" tint="0.3999755851924192"/>
      </left>
      <right/>
      <top style="thin">
        <color theme="6" tint="0.3999755851924192"/>
      </top>
      <bottom style="thin">
        <color theme="6" tint="0.3999755851924192"/>
      </bottom>
      <diagonal/>
    </border>
    <border>
      <left/>
      <right/>
      <top style="thin">
        <color theme="6" tint="0.3999755851924192"/>
      </top>
      <bottom style="thin">
        <color theme="6" tint="0.3999755851924192"/>
      </bottom>
      <diagonal/>
    </border>
    <border>
      <left/>
      <right style="thin">
        <color theme="6" tint="0.3999755851924192"/>
      </right>
      <top style="thin">
        <color theme="6" tint="0.3999755851924192"/>
      </top>
      <bottom style="thin">
        <color theme="6" tint="0.3999755851924192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theme="4" tint="0.3999755851924192"/>
      </left>
      <right/>
      <top style="thin">
        <color auto="1"/>
      </top>
      <bottom/>
      <diagonal/>
    </border>
    <border>
      <left/>
      <right style="thin">
        <color theme="4" tint="0.3999755851924192"/>
      </right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"/>
      </top>
      <bottom/>
      <diagonal/>
    </border>
    <border>
      <left style="thin">
        <color auto="1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 tint="0.3999755851924192"/>
      </left>
      <right style="thin">
        <color theme="6" tint="0.3999755851924192"/>
      </right>
      <top style="thin">
        <color theme="6" tint="0.3999755851924192"/>
      </top>
      <bottom style="thin">
        <color theme="6" tint="0.3999755851924192"/>
      </bottom>
      <diagonal/>
    </border>
    <border>
      <left/>
      <right/>
      <top style="thin">
        <color theme="6" tint="0.3999755851924192"/>
      </top>
      <bottom/>
      <diagonal/>
    </border>
    <border>
      <left/>
      <right style="thin">
        <color theme="6" tint="0.3999755851924192"/>
      </right>
      <top style="thin">
        <color theme="6" tint="0.3999755851924192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4">
    <xf numFmtId="0" fontId="1" fillId="0" borderId="0"/>
    <xf numFmtId="44" fontId="1" fillId="0" borderId="0"/>
    <xf numFmtId="0" fontId="4" fillId="0" borderId="0"/>
    <xf numFmtId="9" fontId="1" fillId="0" borderId="0"/>
  </cellStyleXfs>
  <cellXfs count="43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164" fontId="5" fillId="4" borderId="1" applyAlignment="1" pivotButton="0" quotePrefix="0" xfId="1">
      <alignment horizontal="center" vertical="center"/>
    </xf>
    <xf numFmtId="0" fontId="13" fillId="0" borderId="8" applyAlignment="1" pivotButton="0" quotePrefix="0" xfId="0">
      <alignment vertical="center"/>
    </xf>
    <xf numFmtId="0" fontId="2" fillId="7" borderId="14" pivotButton="0" quotePrefix="0" xfId="0"/>
    <xf numFmtId="0" fontId="14" fillId="6" borderId="15" applyAlignment="1" pivotButton="0" quotePrefix="0" xfId="0">
      <alignment horizontal="center" vertical="center"/>
    </xf>
    <xf numFmtId="17" fontId="0" fillId="7" borderId="14" pivotButton="0" quotePrefix="0" xfId="0"/>
    <xf numFmtId="17" fontId="0" fillId="0" borderId="14" pivotButton="0" quotePrefix="0" xfId="0"/>
    <xf numFmtId="17" fontId="0" fillId="7" borderId="16" pivotButton="0" quotePrefix="0" xfId="0"/>
    <xf numFmtId="0" fontId="5" fillId="0" borderId="0" pivotButton="0" quotePrefix="0" xfId="0"/>
    <xf numFmtId="0" fontId="12" fillId="2" borderId="9" applyAlignment="1" pivotButton="0" quotePrefix="0" xfId="0">
      <alignment horizontal="left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applyAlignment="1" applyProtection="1" pivotButton="0" quotePrefix="0" xfId="0">
      <alignment horizontal="center" vertical="center"/>
      <protection locked="0" hidden="0"/>
    </xf>
    <xf numFmtId="2" fontId="10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/>
    </xf>
    <xf numFmtId="164" fontId="13" fillId="0" borderId="11" applyAlignment="1" pivotButton="0" quotePrefix="0" xfId="1">
      <alignment vertical="center"/>
    </xf>
    <xf numFmtId="164" fontId="13" fillId="0" borderId="4" applyAlignment="1" pivotButton="0" quotePrefix="0" xfId="1">
      <alignment vertical="center"/>
    </xf>
    <xf numFmtId="0" fontId="12" fillId="2" borderId="9" applyAlignment="1" pivotButton="0" quotePrefix="0" xfId="0">
      <alignment vertical="center"/>
    </xf>
    <xf numFmtId="164" fontId="12" fillId="2" borderId="9" applyAlignment="1" pivotButton="0" quotePrefix="0" xfId="1">
      <alignment vertical="center"/>
    </xf>
    <xf numFmtId="164" fontId="12" fillId="2" borderId="1" applyAlignment="1" pivotButton="0" quotePrefix="0" xfId="1">
      <alignment vertical="center"/>
    </xf>
    <xf numFmtId="0" fontId="13" fillId="0" borderId="0" applyAlignment="1" pivotButton="0" quotePrefix="0" xfId="0">
      <alignment vertical="center"/>
    </xf>
    <xf numFmtId="0" fontId="13" fillId="8" borderId="7" applyAlignment="1" pivotButton="0" quotePrefix="0" xfId="0">
      <alignment vertical="center"/>
    </xf>
    <xf numFmtId="164" fontId="13" fillId="8" borderId="7" applyAlignment="1" pivotButton="0" quotePrefix="0" xfId="1">
      <alignment vertical="center"/>
    </xf>
    <xf numFmtId="164" fontId="13" fillId="8" borderId="4" applyAlignment="1" pivotButton="0" quotePrefix="0" xfId="1">
      <alignment vertical="center"/>
    </xf>
    <xf numFmtId="164" fontId="12" fillId="2" borderId="9" applyAlignment="1" pivotButton="0" quotePrefix="0" xfId="1">
      <alignment horizontal="left" vertical="center"/>
    </xf>
    <xf numFmtId="164" fontId="12" fillId="2" borderId="1" applyAlignment="1" pivotButton="0" quotePrefix="0" xfId="1">
      <alignment horizontal="left" vertical="center"/>
    </xf>
    <xf numFmtId="17" fontId="12" fillId="2" borderId="19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9" fontId="2" fillId="0" borderId="1" applyAlignment="1" pivotButton="0" quotePrefix="0" xfId="3">
      <alignment horizontal="center" vertical="center"/>
    </xf>
    <xf numFmtId="164" fontId="13" fillId="9" borderId="11" applyAlignment="1" pivotButton="0" quotePrefix="0" xfId="1">
      <alignment vertical="center"/>
    </xf>
    <xf numFmtId="164" fontId="13" fillId="9" borderId="7" applyAlignment="1" pivotButton="0" quotePrefix="0" xfId="1">
      <alignment vertical="center"/>
    </xf>
    <xf numFmtId="0" fontId="9" fillId="0" borderId="22" applyAlignment="1" pivotButton="0" quotePrefix="0" xfId="0">
      <alignment horizontal="center" vertical="center"/>
    </xf>
    <xf numFmtId="164" fontId="13" fillId="0" borderId="1" applyAlignment="1" pivotButton="0" quotePrefix="0" xfId="1">
      <alignment vertical="center"/>
    </xf>
    <xf numFmtId="164" fontId="12" fillId="2" borderId="4" applyAlignment="1" pivotButton="0" quotePrefix="0" xfId="1">
      <alignment vertical="center"/>
    </xf>
    <xf numFmtId="164" fontId="13" fillId="8" borderId="1" applyAlignment="1" pivotButton="0" quotePrefix="0" xfId="1">
      <alignment vertical="center"/>
    </xf>
    <xf numFmtId="1" fontId="17" fillId="0" borderId="0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 vertical="top" wrapText="1"/>
      <protection locked="0" hidden="0"/>
    </xf>
    <xf numFmtId="17" fontId="0" fillId="0" borderId="0" applyAlignment="1" applyProtection="1" pivotButton="0" quotePrefix="0" xfId="0">
      <alignment horizontal="center" vertical="top" textRotation="90" wrapText="1"/>
      <protection locked="0" hidden="0"/>
    </xf>
    <xf numFmtId="17" fontId="0" fillId="0" borderId="0" applyAlignment="1" pivotButton="0" quotePrefix="0" xfId="0">
      <alignment horizontal="center" vertical="top" textRotation="90" wrapText="1"/>
    </xf>
    <xf numFmtId="0" fontId="0" fillId="0" borderId="0" applyAlignment="1" pivotButton="0" quotePrefix="0" xfId="0">
      <alignment horizontal="center" vertical="top" textRotation="90" wrapText="1"/>
    </xf>
    <xf numFmtId="0" fontId="0" fillId="0" borderId="0" applyAlignment="1" pivotButton="0" quotePrefix="0" xfId="0">
      <alignment vertical="top"/>
    </xf>
    <xf numFmtId="1" fontId="5" fillId="4" borderId="4" applyAlignment="1" applyProtection="1" pivotButton="0" quotePrefix="0" xfId="1">
      <alignment horizontal="center" vertical="center"/>
      <protection locked="0" hidden="0"/>
    </xf>
    <xf numFmtId="0" fontId="0" fillId="2" borderId="23" applyProtection="1" pivotButton="0" quotePrefix="0" xfId="0">
      <protection locked="0" hidden="0"/>
    </xf>
    <xf numFmtId="0" fontId="0" fillId="2" borderId="24" applyProtection="1" pivotButton="0" quotePrefix="0" xfId="0">
      <protection locked="0" hidden="0"/>
    </xf>
    <xf numFmtId="0" fontId="0" fillId="2" borderId="23" applyAlignment="1" applyProtection="1" pivotButton="0" quotePrefix="0" xfId="0">
      <alignment horizontal="center" vertical="top" textRotation="90" wrapText="1"/>
      <protection locked="0" hidden="0"/>
    </xf>
    <xf numFmtId="2" fontId="18" fillId="2" borderId="23" applyAlignment="1" applyProtection="1" pivotButton="0" quotePrefix="0" xfId="0">
      <alignment horizontal="center" vertical="center"/>
      <protection locked="0" hidden="0"/>
    </xf>
    <xf numFmtId="0" fontId="0" fillId="2" borderId="24" pivotButton="0" quotePrefix="0" xfId="0"/>
    <xf numFmtId="0" fontId="0" fillId="2" borderId="23" pivotButton="0" quotePrefix="0" xfId="0"/>
    <xf numFmtId="0" fontId="0" fillId="2" borderId="25" pivotButton="0" quotePrefix="0" xfId="0"/>
    <xf numFmtId="0" fontId="0" fillId="2" borderId="23" applyAlignment="1" pivotButton="0" quotePrefix="0" xfId="0">
      <alignment horizontal="center" vertical="top" textRotation="90" wrapText="1"/>
    </xf>
    <xf numFmtId="166" fontId="19" fillId="2" borderId="26" applyAlignment="1" pivotButton="0" quotePrefix="0" xfId="1">
      <alignment vertical="center"/>
    </xf>
    <xf numFmtId="166" fontId="18" fillId="2" borderId="26" applyAlignment="1" pivotButton="0" quotePrefix="0" xfId="1">
      <alignment vertical="center"/>
    </xf>
    <xf numFmtId="166" fontId="18" fillId="2" borderId="23" pivotButton="0" quotePrefix="0" xfId="1"/>
    <xf numFmtId="165" fontId="0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applyProtection="1" pivotButton="0" quotePrefix="0" xfId="0">
      <alignment horizontal="center" vertical="top" wrapText="1"/>
      <protection locked="0" hidden="0"/>
    </xf>
    <xf numFmtId="164" fontId="0" fillId="0" borderId="0" applyAlignment="1" applyProtection="1" pivotButton="0" quotePrefix="0" xfId="1">
      <alignment horizontal="center" vertical="center"/>
      <protection locked="0" hidden="0"/>
    </xf>
    <xf numFmtId="17" fontId="0" fillId="10" borderId="0" applyAlignment="1" pivotButton="0" quotePrefix="0" xfId="0">
      <alignment horizontal="center" vertical="top" textRotation="90" wrapText="1"/>
    </xf>
    <xf numFmtId="164" fontId="5" fillId="4" borderId="27" applyAlignment="1" pivotButton="0" quotePrefix="0" xfId="1">
      <alignment horizontal="center" vertical="center"/>
    </xf>
    <xf numFmtId="0" fontId="0" fillId="7" borderId="14" pivotButton="0" quotePrefix="0" xfId="0"/>
    <xf numFmtId="0" fontId="0" fillId="0" borderId="14" pivotButton="0" quotePrefix="0" xfId="0"/>
    <xf numFmtId="0" fontId="0" fillId="7" borderId="16" pivotButton="0" quotePrefix="0" xfId="0"/>
    <xf numFmtId="0" fontId="8" fillId="0" borderId="0" applyAlignment="1" pivotButton="0" quotePrefix="0" xfId="0">
      <alignment horizontal="center" vertical="center"/>
    </xf>
    <xf numFmtId="164" fontId="0" fillId="0" borderId="0" pivotButton="0" quotePrefix="0" xfId="0"/>
    <xf numFmtId="167" fontId="0" fillId="0" borderId="0" pivotButton="0" quotePrefix="0" xfId="0"/>
    <xf numFmtId="0" fontId="0" fillId="10" borderId="0" pivotButton="0" quotePrefix="0" xfId="0"/>
    <xf numFmtId="0" fontId="22" fillId="0" borderId="0" applyAlignment="1" applyProtection="1" pivotButton="0" quotePrefix="0" xfId="0">
      <alignment horizontal="center" vertical="top" wrapText="1"/>
      <protection locked="0" hidden="0"/>
    </xf>
    <xf numFmtId="164" fontId="23" fillId="0" borderId="0" applyProtection="1" pivotButton="0" quotePrefix="0" xfId="0">
      <protection locked="0" hidden="0"/>
    </xf>
    <xf numFmtId="17" fontId="0" fillId="12" borderId="0" applyAlignment="1" pivotButton="0" quotePrefix="0" xfId="0">
      <alignment horizontal="center" vertical="top" textRotation="90" wrapText="1"/>
    </xf>
    <xf numFmtId="0" fontId="0" fillId="12" borderId="0" applyAlignment="1" pivotButton="0" quotePrefix="0" xfId="0">
      <alignment horizontal="center" vertical="top" textRotation="90" wrapText="1"/>
    </xf>
    <xf numFmtId="0" fontId="0" fillId="0" borderId="23" pivotButton="0" quotePrefix="0" xfId="0"/>
    <xf numFmtId="0" fontId="0" fillId="0" borderId="0" applyAlignment="1" applyProtection="1" pivotButton="0" quotePrefix="0" xfId="0">
      <alignment wrapText="1"/>
      <protection locked="0" hidden="0"/>
    </xf>
    <xf numFmtId="0" fontId="0" fillId="0" borderId="23" applyProtection="1" pivotButton="0" quotePrefix="0" xfId="0">
      <protection locked="0" hidden="0"/>
    </xf>
    <xf numFmtId="166" fontId="18" fillId="2" borderId="23" applyAlignment="1" applyProtection="1" pivotButton="0" quotePrefix="0" xfId="1">
      <alignment horizontal="center" vertical="center"/>
      <protection locked="0" hidden="0"/>
    </xf>
    <xf numFmtId="17" fontId="0" fillId="0" borderId="0" applyAlignment="1" applyProtection="1" pivotButton="0" quotePrefix="0" xfId="0">
      <alignment horizontal="center" vertical="top" textRotation="90"/>
      <protection locked="0" hidden="0"/>
    </xf>
    <xf numFmtId="1" fontId="5" fillId="11" borderId="4" applyAlignment="1" applyProtection="1" pivotButton="0" quotePrefix="0" xfId="1">
      <alignment horizontal="center" vertical="center"/>
      <protection locked="0" hidden="0"/>
    </xf>
    <xf numFmtId="1" fontId="5" fillId="13" borderId="4" applyAlignment="1" applyProtection="1" pivotButton="0" quotePrefix="0" xfId="1">
      <alignment horizontal="center" vertical="center"/>
      <protection locked="0" hidden="0"/>
    </xf>
    <xf numFmtId="1" fontId="10" fillId="0" borderId="0" applyAlignment="1" applyProtection="1" pivotButton="0" quotePrefix="0" xfId="0">
      <alignment horizontal="center" vertical="center"/>
      <protection locked="0" hidden="0"/>
    </xf>
    <xf numFmtId="0" fontId="0" fillId="2" borderId="36" pivotButton="0" quotePrefix="0" xfId="0"/>
    <xf numFmtId="0" fontId="0" fillId="2" borderId="25" applyAlignment="1" pivotButton="0" quotePrefix="0" xfId="0">
      <alignment horizontal="center" vertical="top" textRotation="90" wrapText="1"/>
    </xf>
    <xf numFmtId="0" fontId="0" fillId="2" borderId="25" applyAlignment="1" applyProtection="1" pivotButton="0" quotePrefix="0" xfId="0">
      <alignment horizontal="center" vertical="center"/>
      <protection locked="0" hidden="0"/>
    </xf>
    <xf numFmtId="164" fontId="5" fillId="4" borderId="4" applyAlignment="1" pivotButton="0" quotePrefix="0" xfId="1">
      <alignment horizontal="center" vertical="center"/>
    </xf>
    <xf numFmtId="166" fontId="19" fillId="2" borderId="37" applyAlignment="1" pivotButton="0" quotePrefix="0" xfId="1">
      <alignment vertical="center"/>
    </xf>
    <xf numFmtId="166" fontId="18" fillId="2" borderId="37" applyAlignment="1" pivotButton="0" quotePrefix="0" xfId="1">
      <alignment vertical="center"/>
    </xf>
    <xf numFmtId="0" fontId="24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top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166" fontId="0" fillId="0" borderId="0" applyAlignment="1" applyProtection="1" pivotButton="0" quotePrefix="0" xfId="1">
      <alignment horizontal="left" vertical="center"/>
      <protection locked="0" hidden="0"/>
    </xf>
    <xf numFmtId="0" fontId="0" fillId="14" borderId="0" applyAlignment="1" applyProtection="1" pivotButton="0" quotePrefix="0" xfId="0">
      <alignment horizontal="center" vertical="top" wrapText="1"/>
      <protection locked="0" hidden="0"/>
    </xf>
    <xf numFmtId="0" fontId="16" fillId="14" borderId="0" applyAlignment="1" applyProtection="1" pivotButton="0" quotePrefix="0" xfId="0">
      <alignment horizontal="center" vertical="top" wrapText="1"/>
      <protection locked="0" hidden="0"/>
    </xf>
    <xf numFmtId="0" fontId="0" fillId="15" borderId="0" applyAlignment="1" applyProtection="1" pivotButton="0" quotePrefix="0" xfId="0">
      <alignment horizontal="center" vertical="top" wrapText="1"/>
      <protection locked="0" hidden="0"/>
    </xf>
    <xf numFmtId="0" fontId="16" fillId="15" borderId="0" applyAlignment="1" applyProtection="1" pivotButton="0" quotePrefix="0" xfId="0">
      <alignment horizontal="center" vertical="top" wrapText="1"/>
      <protection locked="0" hidden="0"/>
    </xf>
    <xf numFmtId="0" fontId="0" fillId="16" borderId="0" pivotButton="0" quotePrefix="0" xfId="0"/>
    <xf numFmtId="17" fontId="2" fillId="3" borderId="6" applyAlignment="1" pivotButton="0" quotePrefix="0" xfId="0">
      <alignment horizontal="center"/>
    </xf>
    <xf numFmtId="164" fontId="5" fillId="4" borderId="0" applyAlignment="1" pivotButton="0" quotePrefix="0" xfId="1">
      <alignment horizontal="center" vertical="center"/>
    </xf>
    <xf numFmtId="17" fontId="2" fillId="3" borderId="0" applyAlignment="1" pivotButton="0" quotePrefix="0" xfId="0">
      <alignment horizontal="center"/>
    </xf>
    <xf numFmtId="9" fontId="0" fillId="0" borderId="0" pivotButton="0" quotePrefix="0" xfId="3"/>
    <xf numFmtId="17" fontId="0" fillId="17" borderId="0" applyAlignment="1" pivotButton="0" quotePrefix="0" xfId="0">
      <alignment horizontal="center" vertical="top" textRotation="90" wrapText="1"/>
    </xf>
    <xf numFmtId="0" fontId="0" fillId="17" borderId="0" applyAlignment="1" pivotButton="0" quotePrefix="0" xfId="0">
      <alignment horizontal="center" vertical="top" textRotation="90" wrapText="1"/>
    </xf>
    <xf numFmtId="164" fontId="13" fillId="0" borderId="4" applyAlignment="1" pivotButton="0" quotePrefix="0" xfId="1">
      <alignment vertical="center"/>
    </xf>
    <xf numFmtId="49" fontId="0" fillId="0" borderId="0" pivotButton="0" quotePrefix="0" xfId="3"/>
    <xf numFmtId="0" fontId="0" fillId="18" borderId="40" pivotButton="0" quotePrefix="0" xfId="0"/>
    <xf numFmtId="0" fontId="0" fillId="0" borderId="40" pivotButton="0" quotePrefix="0" xfId="0"/>
    <xf numFmtId="0" fontId="2" fillId="18" borderId="40" pivotButton="0" quotePrefix="0" xfId="0"/>
    <xf numFmtId="0" fontId="2" fillId="0" borderId="40" pivotButton="0" quotePrefix="0" xfId="0"/>
    <xf numFmtId="0" fontId="14" fillId="19" borderId="0" pivotButton="0" quotePrefix="0" xfId="0"/>
    <xf numFmtId="0" fontId="14" fillId="6" borderId="41" applyAlignment="1" pivotButton="0" quotePrefix="0" xfId="0">
      <alignment horizontal="center" vertical="center"/>
    </xf>
    <xf numFmtId="49" fontId="0" fillId="0" borderId="0" pivotButton="0" quotePrefix="0" xfId="1"/>
    <xf numFmtId="9" fontId="2" fillId="0" borderId="4" applyAlignment="1" pivotButton="0" quotePrefix="0" xfId="3">
      <alignment horizontal="center"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21" fillId="5" borderId="28" applyAlignment="1" pivotButton="0" quotePrefix="0" xfId="0">
      <alignment horizontal="left" vertical="center" wrapText="1"/>
    </xf>
    <xf numFmtId="0" fontId="6" fillId="5" borderId="29" applyAlignment="1" pivotButton="0" quotePrefix="0" xfId="0">
      <alignment horizontal="left" vertical="center"/>
    </xf>
    <xf numFmtId="0" fontId="6" fillId="5" borderId="3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21" borderId="0" pivotButton="0" quotePrefix="0" xfId="0"/>
    <xf numFmtId="0" fontId="0" fillId="21" borderId="0" applyAlignment="1" pivotButton="0" quotePrefix="0" xfId="0">
      <alignment vertical="center"/>
    </xf>
    <xf numFmtId="2" fontId="20" fillId="2" borderId="23" applyAlignment="1" applyProtection="1" pivotButton="0" quotePrefix="0" xfId="0">
      <alignment horizontal="center" vertical="top" textRotation="90" wrapText="1"/>
      <protection locked="0" hidden="0"/>
    </xf>
    <xf numFmtId="1" fontId="10" fillId="0" borderId="23" applyAlignment="1" applyProtection="1" pivotButton="0" quotePrefix="0" xfId="0">
      <alignment horizontal="center" vertical="center"/>
      <protection locked="0" hidden="0"/>
    </xf>
    <xf numFmtId="2" fontId="10" fillId="0" borderId="23" applyAlignment="1" applyProtection="1" pivotButton="0" quotePrefix="0" xfId="0">
      <alignment horizontal="center" vertical="center"/>
      <protection locked="0" hidden="0"/>
    </xf>
    <xf numFmtId="164" fontId="0" fillId="0" borderId="23" pivotButton="0" quotePrefix="0" xfId="1"/>
    <xf numFmtId="9" fontId="0" fillId="0" borderId="0" pivotButton="0" quotePrefix="0" xfId="0"/>
    <xf numFmtId="9" fontId="0" fillId="16" borderId="0" pivotButton="0" quotePrefix="0" xfId="0"/>
    <xf numFmtId="9" fontId="27" fillId="0" borderId="0" pivotButton="0" quotePrefix="0" xfId="0"/>
    <xf numFmtId="2" fontId="0" fillId="0" borderId="0" pivotButton="0" quotePrefix="0" xfId="0"/>
    <xf numFmtId="2" fontId="27" fillId="0" borderId="0" pivotButton="0" quotePrefix="0" xfId="0"/>
    <xf numFmtId="0" fontId="0" fillId="9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8" fillId="18" borderId="20" applyAlignment="1" pivotButton="0" quotePrefix="0" xfId="0">
      <alignment horizontal="center" vertical="center"/>
    </xf>
    <xf numFmtId="0" fontId="8" fillId="18" borderId="38" applyAlignment="1" pivotButton="0" quotePrefix="0" xfId="0">
      <alignment horizontal="center" vertical="center"/>
    </xf>
    <xf numFmtId="164" fontId="8" fillId="18" borderId="38" applyAlignment="1" pivotButton="0" quotePrefix="0" xfId="1">
      <alignment horizontal="center" vertical="center"/>
    </xf>
    <xf numFmtId="164" fontId="8" fillId="18" borderId="51" applyAlignment="1" pivotButton="0" quotePrefix="0" xfId="1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4" fontId="8" fillId="0" borderId="38" applyAlignment="1" pivotButton="0" quotePrefix="0" xfId="1">
      <alignment horizontal="center" vertical="center"/>
    </xf>
    <xf numFmtId="164" fontId="8" fillId="0" borderId="51" applyAlignment="1" pivotButton="0" quotePrefix="0" xfId="1">
      <alignment horizontal="center" vertical="center"/>
    </xf>
    <xf numFmtId="0" fontId="8" fillId="18" borderId="52" applyAlignment="1" pivotButton="0" quotePrefix="0" xfId="0">
      <alignment horizontal="center" vertical="center"/>
    </xf>
    <xf numFmtId="164" fontId="8" fillId="18" borderId="52" applyAlignment="1" pivotButton="0" quotePrefix="0" xfId="1">
      <alignment horizontal="center" vertical="center"/>
    </xf>
    <xf numFmtId="164" fontId="8" fillId="18" borderId="53" applyAlignment="1" pivotButton="0" quotePrefix="0" xfId="1">
      <alignment horizontal="center" vertical="center"/>
    </xf>
    <xf numFmtId="164" fontId="8" fillId="0" borderId="2" applyAlignment="1" pivotButton="0" quotePrefix="0" xfId="1">
      <alignment horizontal="center" vertical="center"/>
    </xf>
    <xf numFmtId="164" fontId="8" fillId="18" borderId="2" applyAlignment="1" pivotButton="0" quotePrefix="0" xfId="1">
      <alignment horizontal="center" vertical="center"/>
    </xf>
    <xf numFmtId="0" fontId="8" fillId="18" borderId="54" applyAlignment="1" pivotButton="0" quotePrefix="0" xfId="0">
      <alignment horizontal="center" vertical="center"/>
    </xf>
    <xf numFmtId="0" fontId="8" fillId="18" borderId="34" applyAlignment="1" pivotButton="0" quotePrefix="0" xfId="0">
      <alignment horizontal="center" vertical="center"/>
    </xf>
    <xf numFmtId="164" fontId="8" fillId="18" borderId="34" applyAlignment="1" pivotButton="0" quotePrefix="0" xfId="1">
      <alignment horizontal="center" vertical="center"/>
    </xf>
    <xf numFmtId="164" fontId="8" fillId="18" borderId="55" applyAlignment="1" pivotButton="0" quotePrefix="0" xfId="1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164" fontId="8" fillId="0" borderId="40" applyAlignment="1" pivotButton="0" quotePrefix="0" xfId="1">
      <alignment horizontal="center" vertical="center"/>
    </xf>
    <xf numFmtId="164" fontId="8" fillId="0" borderId="50" applyAlignment="1" pivotButton="0" quotePrefix="0" xfId="1">
      <alignment horizontal="center" vertical="center"/>
    </xf>
    <xf numFmtId="0" fontId="8" fillId="18" borderId="48" applyAlignment="1" pivotButton="0" quotePrefix="0" xfId="0">
      <alignment horizontal="center" vertical="center"/>
    </xf>
    <xf numFmtId="0" fontId="8" fillId="18" borderId="40" applyAlignment="1" pivotButton="0" quotePrefix="0" xfId="0">
      <alignment horizontal="center" vertical="center"/>
    </xf>
    <xf numFmtId="164" fontId="8" fillId="18" borderId="40" applyAlignment="1" pivotButton="0" quotePrefix="0" xfId="1">
      <alignment horizontal="center" vertical="center"/>
    </xf>
    <xf numFmtId="164" fontId="8" fillId="18" borderId="50" applyAlignment="1" pivotButton="0" quotePrefix="0" xfId="1">
      <alignment horizontal="center" vertical="center"/>
    </xf>
    <xf numFmtId="0" fontId="8" fillId="18" borderId="50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/>
    </xf>
    <xf numFmtId="0" fontId="8" fillId="0" borderId="56" applyAlignment="1" pivotButton="0" quotePrefix="0" xfId="0">
      <alignment horizontal="center" vertical="center"/>
    </xf>
    <xf numFmtId="0" fontId="8" fillId="18" borderId="56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/>
    </xf>
    <xf numFmtId="0" fontId="8" fillId="0" borderId="47" applyAlignment="1" pivotButton="0" quotePrefix="0" xfId="0">
      <alignment horizontal="center" vertical="center"/>
    </xf>
    <xf numFmtId="164" fontId="8" fillId="0" borderId="47" applyAlignment="1" pivotButton="0" quotePrefix="0" xfId="1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7" fillId="5" borderId="46" applyAlignment="1" pivotButton="0" quotePrefix="0" xfId="0">
      <alignment horizontal="center" vertical="center"/>
    </xf>
    <xf numFmtId="0" fontId="7" fillId="5" borderId="39" applyAlignment="1" pivotButton="0" quotePrefix="0" xfId="0">
      <alignment horizontal="center" vertical="center"/>
    </xf>
    <xf numFmtId="0" fontId="15" fillId="5" borderId="39" applyAlignment="1" pivotButton="0" quotePrefix="0" xfId="0">
      <alignment horizontal="center" vertical="center" wrapText="1"/>
    </xf>
    <xf numFmtId="0" fontId="15" fillId="5" borderId="58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/>
    </xf>
    <xf numFmtId="0" fontId="15" fillId="5" borderId="0" applyAlignment="1" pivotButton="0" quotePrefix="0" xfId="0">
      <alignment horizontal="center" vertical="center" wrapText="1"/>
    </xf>
    <xf numFmtId="164" fontId="8" fillId="18" borderId="0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0" fontId="8" fillId="18" borderId="0" applyAlignment="1" pivotButton="0" quotePrefix="0" xfId="0">
      <alignment horizontal="center" vertical="center"/>
    </xf>
    <xf numFmtId="2" fontId="18" fillId="2" borderId="0" applyAlignment="1" applyProtection="1" pivotButton="0" quotePrefix="0" xfId="0">
      <alignment horizontal="center" vertical="center"/>
      <protection locked="0" hidden="0"/>
    </xf>
    <xf numFmtId="164" fontId="8" fillId="18" borderId="59" applyAlignment="1" pivotButton="0" quotePrefix="0" xfId="1">
      <alignment horizontal="center" vertical="center"/>
    </xf>
    <xf numFmtId="164" fontId="8" fillId="0" borderId="59" applyAlignment="1" pivotButton="0" quotePrefix="0" xfId="1">
      <alignment horizontal="center" vertical="center"/>
    </xf>
    <xf numFmtId="168" fontId="0" fillId="0" borderId="0" pivotButton="0" quotePrefix="0" xfId="0"/>
    <xf numFmtId="9" fontId="2" fillId="0" borderId="0" applyAlignment="1" pivotButton="0" quotePrefix="0" xfId="3">
      <alignment horizontal="center" vertical="center"/>
    </xf>
    <xf numFmtId="17" fontId="11" fillId="2" borderId="0" applyAlignment="1" pivotButton="0" quotePrefix="0" xfId="0">
      <alignment horizontal="center" vertical="center"/>
    </xf>
    <xf numFmtId="0" fontId="0" fillId="0" borderId="60" pivotButton="0" quotePrefix="0" xfId="0"/>
    <xf numFmtId="17" fontId="12" fillId="2" borderId="60" applyAlignment="1" pivotButton="0" quotePrefix="0" xfId="0">
      <alignment horizontal="center" vertical="center"/>
    </xf>
    <xf numFmtId="164" fontId="0" fillId="0" borderId="60" pivotButton="0" quotePrefix="0" xfId="0"/>
    <xf numFmtId="0" fontId="2" fillId="22" borderId="60" pivotButton="0" quotePrefix="0" xfId="0"/>
    <xf numFmtId="164" fontId="2" fillId="22" borderId="60" pivotButton="0" quotePrefix="0" xfId="0"/>
    <xf numFmtId="169" fontId="0" fillId="0" borderId="60" pivotButton="0" quotePrefix="0" xfId="0"/>
    <xf numFmtId="169" fontId="2" fillId="22" borderId="60" pivotButton="0" quotePrefix="0" xfId="0"/>
    <xf numFmtId="169" fontId="0" fillId="22" borderId="60" pivotButton="0" quotePrefix="0" xfId="0"/>
    <xf numFmtId="0" fontId="0" fillId="23" borderId="0" pivotButton="0" quotePrefix="0" xfId="0"/>
    <xf numFmtId="165" fontId="0" fillId="9" borderId="1" applyAlignment="1" pivotButton="0" quotePrefix="0" xfId="0">
      <alignment horizontal="center" vertical="center"/>
    </xf>
    <xf numFmtId="2" fontId="0" fillId="9" borderId="1" pivotButton="0" quotePrefix="0" xfId="0"/>
    <xf numFmtId="14" fontId="0" fillId="0" borderId="0" applyAlignment="1" applyProtection="1" pivotButton="0" quotePrefix="0" xfId="0">
      <alignment horizontal="center" vertical="center"/>
      <protection locked="0" hidden="0"/>
    </xf>
    <xf numFmtId="164" fontId="8" fillId="24" borderId="38" applyAlignment="1" pivotButton="0" quotePrefix="0" xfId="1">
      <alignment horizontal="center" vertical="center"/>
    </xf>
    <xf numFmtId="164" fontId="8" fillId="16" borderId="38" applyAlignment="1" pivotButton="0" quotePrefix="0" xfId="1">
      <alignment horizontal="center" vertical="center"/>
    </xf>
    <xf numFmtId="0" fontId="14" fillId="2" borderId="60" applyAlignment="1" pivotButton="0" quotePrefix="0" xfId="0">
      <alignment horizontal="center" vertical="center"/>
    </xf>
    <xf numFmtId="17" fontId="12" fillId="2" borderId="2" applyAlignment="1" pivotButton="0" quotePrefix="0" xfId="0">
      <alignment horizontal="center" vertical="center"/>
    </xf>
    <xf numFmtId="0" fontId="12" fillId="2" borderId="60" applyAlignment="1" pivotButton="0" quotePrefix="0" xfId="0">
      <alignment horizontal="center" vertical="center"/>
    </xf>
    <xf numFmtId="17" fontId="12" fillId="2" borderId="60" applyAlignment="1" pivotButton="0" quotePrefix="0" xfId="0">
      <alignment horizontal="center" vertical="center"/>
    </xf>
    <xf numFmtId="17" fontId="12" fillId="2" borderId="20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17" fontId="11" fillId="2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17" fontId="11" fillId="2" borderId="18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/>
    </xf>
    <xf numFmtId="17" fontId="12" fillId="2" borderId="3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2" fillId="20" borderId="42" applyAlignment="1" pivotButton="0" quotePrefix="0" xfId="0">
      <alignment horizontal="center"/>
    </xf>
    <xf numFmtId="0" fontId="2" fillId="20" borderId="43" applyAlignment="1" pivotButton="0" quotePrefix="0" xfId="0">
      <alignment horizontal="center"/>
    </xf>
    <xf numFmtId="0" fontId="2" fillId="20" borderId="4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16" borderId="45" applyAlignment="1" pivotButton="0" quotePrefix="0" xfId="0">
      <alignment horizontal="center" wrapText="1"/>
    </xf>
    <xf numFmtId="0" fontId="0" fillId="16" borderId="0" applyAlignment="1" pivotButton="0" quotePrefix="0" xfId="0">
      <alignment horizontal="center" wrapText="1"/>
    </xf>
    <xf numFmtId="0" fontId="2" fillId="16" borderId="45" applyAlignment="1" pivotButton="0" quotePrefix="0" xfId="0">
      <alignment horizontal="center"/>
    </xf>
    <xf numFmtId="0" fontId="2" fillId="16" borderId="0" applyAlignment="1" pivotButton="0" quotePrefix="0" xfId="0">
      <alignment horizontal="center"/>
    </xf>
    <xf numFmtId="0" fontId="28" fillId="21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 vertical="center"/>
    </xf>
    <xf numFmtId="17" fontId="2" fillId="3" borderId="32" applyAlignment="1" pivotButton="0" quotePrefix="0" xfId="0">
      <alignment horizontal="center"/>
    </xf>
    <xf numFmtId="17" fontId="2" fillId="3" borderId="6" applyAlignment="1" pivotButton="0" quotePrefix="0" xfId="0">
      <alignment horizontal="center"/>
    </xf>
    <xf numFmtId="17" fontId="2" fillId="3" borderId="4" applyAlignment="1" pivotButton="0" quotePrefix="0" xfId="0">
      <alignment horizontal="center"/>
    </xf>
    <xf numFmtId="0" fontId="2" fillId="3" borderId="32" applyAlignment="1" applyProtection="1" pivotButton="0" quotePrefix="0" xfId="0">
      <alignment horizontal="center" vertical="center"/>
      <protection locked="0" hidden="0"/>
    </xf>
    <xf numFmtId="0" fontId="2" fillId="3" borderId="6" applyAlignment="1" applyProtection="1" pivotButton="0" quotePrefix="0" xfId="0">
      <alignment horizontal="center" vertical="center"/>
      <protection locked="0" hidden="0"/>
    </xf>
    <xf numFmtId="0" fontId="2" fillId="3" borderId="31" applyAlignment="1" applyProtection="1" pivotButton="0" quotePrefix="0" xfId="0">
      <alignment horizontal="center" vertical="center"/>
      <protection locked="0" hidden="0"/>
    </xf>
    <xf numFmtId="0" fontId="2" fillId="3" borderId="32" applyAlignment="1" applyProtection="1" pivotButton="0" quotePrefix="0" xfId="0">
      <alignment horizontal="center"/>
      <protection locked="0" hidden="0"/>
    </xf>
    <xf numFmtId="0" fontId="2" fillId="3" borderId="6" applyAlignment="1" applyProtection="1" pivotButton="0" quotePrefix="0" xfId="0">
      <alignment horizontal="center"/>
      <protection locked="0" hidden="0"/>
    </xf>
    <xf numFmtId="0" fontId="2" fillId="3" borderId="31" applyAlignment="1" applyProtection="1" pivotButton="0" quotePrefix="0" xfId="0">
      <alignment horizontal="center"/>
      <protection locked="0" hidden="0"/>
    </xf>
    <xf numFmtId="0" fontId="2" fillId="3" borderId="33" applyAlignment="1" applyProtection="1" pivotButton="0" quotePrefix="0" xfId="0">
      <alignment horizontal="center"/>
      <protection locked="0" hidden="0"/>
    </xf>
    <xf numFmtId="0" fontId="2" fillId="3" borderId="34" applyAlignment="1" applyProtection="1" pivotButton="0" quotePrefix="0" xfId="0">
      <alignment horizontal="center"/>
      <protection locked="0" hidden="0"/>
    </xf>
    <xf numFmtId="0" fontId="2" fillId="3" borderId="35" applyAlignment="1" applyProtection="1" pivotButton="0" quotePrefix="0" xfId="0">
      <alignment horizontal="center"/>
      <protection locked="0" hidden="0"/>
    </xf>
    <xf numFmtId="17" fontId="2" fillId="3" borderId="27" applyAlignment="1" pivotButton="0" quotePrefix="0" xfId="0">
      <alignment horizontal="center"/>
    </xf>
    <xf numFmtId="0" fontId="6" fillId="5" borderId="12" applyAlignment="1" pivotButton="0" quotePrefix="0" xfId="0">
      <alignment horizontal="center"/>
    </xf>
    <xf numFmtId="0" fontId="6" fillId="5" borderId="13" applyAlignment="1" pivotButton="0" quotePrefix="0" xfId="0">
      <alignment horizontal="center"/>
    </xf>
    <xf numFmtId="0" fontId="6" fillId="5" borderId="17" applyAlignment="1" pivotButton="0" quotePrefix="0" xfId="0">
      <alignment horizontal="center"/>
    </xf>
    <xf numFmtId="0" fontId="29" fillId="25" borderId="61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0" fontId="30" fillId="26" borderId="0" applyAlignment="1" pivotButton="0" quotePrefix="0" xfId="0">
      <alignment horizontal="center" vertical="center" wrapText="1"/>
    </xf>
    <xf numFmtId="0" fontId="32" fillId="26" borderId="0" applyAlignment="1" pivotButton="0" quotePrefix="0" xfId="0">
      <alignment horizontal="left" vertical="center" wrapText="1"/>
    </xf>
    <xf numFmtId="0" fontId="31" fillId="27" borderId="82" applyAlignment="1" pivotButton="0" quotePrefix="0" xfId="0">
      <alignment horizontal="left" vertical="center" wrapText="1"/>
    </xf>
    <xf numFmtId="0" fontId="31" fillId="27" borderId="0" applyAlignment="1" pivotButton="0" quotePrefix="0" xfId="0">
      <alignment horizontal="left" vertical="center" wrapText="1"/>
    </xf>
    <xf numFmtId="0" fontId="31" fillId="28" borderId="82" applyAlignment="1" pivotButton="0" quotePrefix="0" xfId="0">
      <alignment horizontal="left" vertical="center" wrapText="1"/>
    </xf>
    <xf numFmtId="0" fontId="31" fillId="28" borderId="0" applyAlignment="1" pivotButton="0" quotePrefix="0" xfId="0">
      <alignment horizontal="left" vertical="center" wrapText="1"/>
    </xf>
    <xf numFmtId="0" fontId="2" fillId="16" borderId="82" applyAlignment="1" pivotButton="0" quotePrefix="0" xfId="0">
      <alignment horizontal="center"/>
    </xf>
    <xf numFmtId="0" fontId="0" fillId="16" borderId="82" applyAlignment="1" pivotButton="0" quotePrefix="0" xfId="0">
      <alignment horizontal="center" wrapText="1"/>
    </xf>
    <xf numFmtId="0" fontId="30" fillId="25" borderId="60" applyAlignment="1" pivotButton="0" quotePrefix="0" xfId="0">
      <alignment horizontal="center" vertical="center" wrapText="1"/>
    </xf>
    <xf numFmtId="17" fontId="30" fillId="25" borderId="60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70" pivotButton="0" quotePrefix="0" xfId="0"/>
    <xf numFmtId="17" fontId="33" fillId="26" borderId="60" applyAlignment="1" pivotButton="0" quotePrefix="0" xfId="0">
      <alignment horizontal="center" vertical="center"/>
    </xf>
    <xf numFmtId="0" fontId="31" fillId="27" borderId="60" applyAlignment="1" pivotButton="0" quotePrefix="0" xfId="0">
      <alignment horizontal="center" vertical="center"/>
    </xf>
    <xf numFmtId="169" fontId="31" fillId="27" borderId="60" applyAlignment="1" pivotButton="0" quotePrefix="0" xfId="0">
      <alignment horizontal="center" vertical="center"/>
    </xf>
    <xf numFmtId="164" fontId="31" fillId="27" borderId="60" applyAlignment="1" pivotButton="0" quotePrefix="0" xfId="0">
      <alignment horizontal="center" vertical="center"/>
    </xf>
    <xf numFmtId="0" fontId="31" fillId="28" borderId="60" applyAlignment="1" pivotButton="0" quotePrefix="0" xfId="0">
      <alignment horizontal="center" vertical="center"/>
    </xf>
    <xf numFmtId="169" fontId="31" fillId="28" borderId="60" applyAlignment="1" pivotButton="0" quotePrefix="0" xfId="0">
      <alignment horizontal="center" vertical="center"/>
    </xf>
    <xf numFmtId="164" fontId="31" fillId="28" borderId="60" applyAlignment="1" pivotButton="0" quotePrefix="0" xfId="0">
      <alignment horizontal="center" vertical="center"/>
    </xf>
    <xf numFmtId="0" fontId="2" fillId="27" borderId="60" applyAlignment="1" pivotButton="0" quotePrefix="0" xfId="0">
      <alignment horizontal="center" vertical="center"/>
    </xf>
    <xf numFmtId="164" fontId="2" fillId="27" borderId="60" applyAlignment="1" pivotButton="0" quotePrefix="0" xfId="0">
      <alignment horizontal="center" vertical="center"/>
    </xf>
    <xf numFmtId="0" fontId="31" fillId="27" borderId="0" applyAlignment="1" pivotButton="0" quotePrefix="0" xfId="0">
      <alignment horizontal="center" vertical="center"/>
    </xf>
    <xf numFmtId="0" fontId="0" fillId="0" borderId="64" pivotButton="0" quotePrefix="0" xfId="0"/>
    <xf numFmtId="169" fontId="2" fillId="27" borderId="60" applyAlignment="1" pivotButton="0" quotePrefix="0" xfId="0">
      <alignment horizontal="center" vertical="center"/>
    </xf>
    <xf numFmtId="0" fontId="9" fillId="28" borderId="0" applyAlignment="1" pivotButton="0" quotePrefix="0" xfId="0">
      <alignment horizontal="center" vertical="center"/>
    </xf>
    <xf numFmtId="0" fontId="9" fillId="28" borderId="21" applyAlignment="1" pivotButton="0" quotePrefix="0" xfId="0">
      <alignment horizontal="center" vertical="center"/>
    </xf>
    <xf numFmtId="0" fontId="0" fillId="0" borderId="21" pivotButton="0" quotePrefix="0" xfId="0"/>
    <xf numFmtId="0" fontId="12" fillId="27" borderId="10" applyAlignment="1" pivotButton="0" quotePrefix="0" xfId="0">
      <alignment horizontal="center" vertical="center"/>
    </xf>
    <xf numFmtId="17" fontId="12" fillId="27" borderId="20" applyAlignment="1" pivotButton="0" quotePrefix="0" xfId="0">
      <alignment horizontal="center" vertical="center"/>
    </xf>
    <xf numFmtId="0" fontId="0" fillId="0" borderId="34" pivotButton="0" quotePrefix="0" xfId="0"/>
    <xf numFmtId="17" fontId="12" fillId="27" borderId="2" applyAlignment="1" pivotButton="0" quotePrefix="0" xfId="0">
      <alignment horizontal="center" vertical="center"/>
    </xf>
    <xf numFmtId="17" fontId="12" fillId="28" borderId="19" applyAlignment="1" pivotButton="0" quotePrefix="0" xfId="0">
      <alignment horizontal="center" vertical="center"/>
    </xf>
    <xf numFmtId="0" fontId="0" fillId="0" borderId="66" pivotButton="0" quotePrefix="0" xfId="0"/>
    <xf numFmtId="0" fontId="13" fillId="27" borderId="11" applyAlignment="1" pivotButton="0" quotePrefix="0" xfId="0">
      <alignment horizontal="center" vertical="center"/>
    </xf>
    <xf numFmtId="164" fontId="13" fillId="27" borderId="11" applyAlignment="1" pivotButton="0" quotePrefix="0" xfId="1">
      <alignment horizontal="center" vertical="center"/>
    </xf>
    <xf numFmtId="164" fontId="13" fillId="27" borderId="4" applyAlignment="1" pivotButton="0" quotePrefix="0" xfId="1">
      <alignment horizontal="center" vertical="center"/>
    </xf>
    <xf numFmtId="164" fontId="13" fillId="0" borderId="4" applyAlignment="1" pivotButton="0" quotePrefix="0" xfId="1">
      <alignment vertical="center"/>
    </xf>
    <xf numFmtId="164" fontId="0" fillId="0" borderId="0" pivotButton="0" quotePrefix="0" xfId="1"/>
    <xf numFmtId="164" fontId="13" fillId="0" borderId="1" applyAlignment="1" pivotButton="0" quotePrefix="0" xfId="1">
      <alignment vertical="center"/>
    </xf>
    <xf numFmtId="0" fontId="13" fillId="28" borderId="8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164" fontId="13" fillId="28" borderId="11" applyAlignment="1" pivotButton="0" quotePrefix="0" xfId="1">
      <alignment horizontal="center" vertical="center"/>
    </xf>
    <xf numFmtId="164" fontId="13" fillId="28" borderId="4" applyAlignment="1" pivotButton="0" quotePrefix="0" xfId="1">
      <alignment horizontal="center" vertical="center"/>
    </xf>
    <xf numFmtId="0" fontId="13" fillId="27" borderId="8" applyAlignment="1" pivotButton="0" quotePrefix="0" xfId="0">
      <alignment horizontal="center" vertical="center"/>
    </xf>
    <xf numFmtId="164" fontId="13" fillId="0" borderId="11" applyAlignment="1" pivotButton="0" quotePrefix="0" xfId="1">
      <alignment vertical="center"/>
    </xf>
    <xf numFmtId="0" fontId="12" fillId="28" borderId="9" applyAlignment="1" pivotButton="0" quotePrefix="0" xfId="0">
      <alignment horizontal="center" vertical="center"/>
    </xf>
    <xf numFmtId="164" fontId="12" fillId="28" borderId="9" applyAlignment="1" pivotButton="0" quotePrefix="0" xfId="1">
      <alignment horizontal="center" vertical="center"/>
    </xf>
    <xf numFmtId="164" fontId="12" fillId="28" borderId="1" applyAlignment="1" pivotButton="0" quotePrefix="0" xfId="1">
      <alignment horizontal="center" vertical="center"/>
    </xf>
    <xf numFmtId="164" fontId="12" fillId="28" borderId="4" applyAlignment="1" pivotButton="0" quotePrefix="0" xfId="1">
      <alignment horizontal="center" vertical="center"/>
    </xf>
    <xf numFmtId="9" fontId="2" fillId="27" borderId="1" applyAlignment="1" pivotButton="0" quotePrefix="0" xfId="3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9" fillId="27" borderId="21" applyAlignment="1" pivotButton="0" quotePrefix="0" xfId="0">
      <alignment horizontal="center" vertical="center"/>
    </xf>
    <xf numFmtId="0" fontId="12" fillId="28" borderId="10" applyAlignment="1" pivotButton="0" quotePrefix="0" xfId="0">
      <alignment horizontal="center" vertical="center"/>
    </xf>
    <xf numFmtId="17" fontId="12" fillId="28" borderId="20" applyAlignment="1" pivotButton="0" quotePrefix="0" xfId="0">
      <alignment horizontal="center" vertical="center"/>
    </xf>
    <xf numFmtId="17" fontId="12" fillId="28" borderId="2" applyAlignment="1" pivotButton="0" quotePrefix="0" xfId="0">
      <alignment horizontal="center" vertical="center"/>
    </xf>
    <xf numFmtId="17" fontId="12" fillId="27" borderId="19" applyAlignment="1" pivotButton="0" quotePrefix="0" xfId="0">
      <alignment horizontal="center" vertical="center"/>
    </xf>
    <xf numFmtId="0" fontId="13" fillId="28" borderId="7" applyAlignment="1" pivotButton="0" quotePrefix="0" xfId="0">
      <alignment horizontal="center" vertical="center"/>
    </xf>
    <xf numFmtId="164" fontId="13" fillId="28" borderId="7" applyAlignment="1" pivotButton="0" quotePrefix="0" xfId="1">
      <alignment horizontal="center" vertical="center"/>
    </xf>
    <xf numFmtId="164" fontId="13" fillId="8" borderId="4" applyAlignment="1" pivotButton="0" quotePrefix="0" xfId="1">
      <alignment vertical="center"/>
    </xf>
    <xf numFmtId="164" fontId="13" fillId="8" borderId="1" applyAlignment="1" pivotButton="0" quotePrefix="0" xfId="1">
      <alignment vertical="center"/>
    </xf>
    <xf numFmtId="0" fontId="12" fillId="27" borderId="9" applyAlignment="1" pivotButton="0" quotePrefix="0" xfId="0">
      <alignment horizontal="center" vertical="center"/>
    </xf>
    <xf numFmtId="164" fontId="12" fillId="27" borderId="9" applyAlignment="1" pivotButton="0" quotePrefix="0" xfId="1">
      <alignment horizontal="center" vertical="center"/>
    </xf>
    <xf numFmtId="164" fontId="12" fillId="27" borderId="1" applyAlignment="1" pivotButton="0" quotePrefix="0" xfId="1">
      <alignment horizontal="center" vertical="center"/>
    </xf>
    <xf numFmtId="168" fontId="0" fillId="0" borderId="0" pivotButton="0" quotePrefix="0" xfId="0"/>
    <xf numFmtId="17" fontId="11" fillId="2" borderId="22" applyAlignment="1" pivotButton="0" quotePrefix="0" xfId="0">
      <alignment horizontal="center" vertical="center"/>
    </xf>
    <xf numFmtId="0" fontId="0" fillId="0" borderId="18" pivotButton="0" quotePrefix="0" xfId="0"/>
    <xf numFmtId="0" fontId="12" fillId="28" borderId="7" applyAlignment="1" pivotButton="0" quotePrefix="0" xfId="0">
      <alignment horizontal="center" vertical="center"/>
    </xf>
    <xf numFmtId="17" fontId="12" fillId="28" borderId="68" applyAlignment="1" pivotButton="0" quotePrefix="0" xfId="0">
      <alignment horizontal="center" vertical="center"/>
    </xf>
    <xf numFmtId="0" fontId="0" fillId="0" borderId="3" pivotButton="0" quotePrefix="0" xfId="0"/>
    <xf numFmtId="17" fontId="12" fillId="28" borderId="6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7" pivotButton="0" quotePrefix="0" xfId="0"/>
    <xf numFmtId="0" fontId="13" fillId="28" borderId="11" applyAlignment="1" pivotButton="0" quotePrefix="0" xfId="0">
      <alignment horizontal="center" vertical="center"/>
    </xf>
    <xf numFmtId="164" fontId="12" fillId="27" borderId="4" applyAlignment="1" pivotButton="0" quotePrefix="0" xfId="1">
      <alignment horizontal="center" vertical="center"/>
    </xf>
    <xf numFmtId="9" fontId="2" fillId="28" borderId="1" applyAlignment="1" pivotButton="0" quotePrefix="0" xfId="3">
      <alignment horizontal="center" vertical="center"/>
    </xf>
    <xf numFmtId="164" fontId="13" fillId="27" borderId="7" applyAlignment="1" pivotButton="0" quotePrefix="0" xfId="1">
      <alignment horizontal="center" vertical="center"/>
    </xf>
    <xf numFmtId="0" fontId="33" fillId="26" borderId="0" applyAlignment="1" applyProtection="1" pivotButton="0" quotePrefix="0" xfId="0">
      <alignment horizontal="center" vertical="center" wrapText="1"/>
      <protection locked="0" hidden="0"/>
    </xf>
    <xf numFmtId="164" fontId="23" fillId="0" borderId="0" applyProtection="1" pivotButton="0" quotePrefix="0" xfId="0">
      <protection locked="0" hidden="0"/>
    </xf>
    <xf numFmtId="1" fontId="33" fillId="26" borderId="4" applyAlignment="1" applyProtection="1" pivotButton="0" quotePrefix="0" xfId="1">
      <alignment horizontal="center" vertical="center" wrapText="1"/>
      <protection locked="0" hidden="0"/>
    </xf>
    <xf numFmtId="164" fontId="33" fillId="26" borderId="1" applyAlignment="1" pivotButton="0" quotePrefix="0" xfId="1">
      <alignment horizontal="center" vertical="center" wrapText="1"/>
    </xf>
    <xf numFmtId="164" fontId="5" fillId="4" borderId="1" applyAlignment="1" pivotButton="0" quotePrefix="0" xfId="1">
      <alignment horizontal="center" vertical="center"/>
    </xf>
    <xf numFmtId="164" fontId="5" fillId="4" borderId="0" applyAlignment="1" pivotButton="0" quotePrefix="0" xfId="1">
      <alignment horizontal="center" vertical="center"/>
    </xf>
    <xf numFmtId="166" fontId="19" fillId="2" borderId="26" applyAlignment="1" pivotButton="0" quotePrefix="0" xfId="1">
      <alignment vertical="center"/>
    </xf>
    <xf numFmtId="166" fontId="18" fillId="2" borderId="26" applyAlignment="1" pivotButton="0" quotePrefix="0" xfId="1">
      <alignment vertical="center"/>
    </xf>
    <xf numFmtId="0" fontId="33" fillId="26" borderId="78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33" fillId="26" borderId="79" applyAlignment="1" applyProtection="1" pivotButton="0" quotePrefix="0" xfId="0">
      <alignment horizontal="center" vertical="center" wrapText="1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17" fontId="33" fillId="26" borderId="7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6" pivotButton="0" quotePrefix="0" xfId="0"/>
    <xf numFmtId="17" fontId="33" fillId="26" borderId="74" applyAlignment="1" pivotButton="0" quotePrefix="0" xfId="0">
      <alignment horizontal="center" vertical="center" wrapText="1"/>
    </xf>
    <xf numFmtId="0" fontId="30" fillId="25" borderId="0" applyAlignment="1" applyProtection="1" pivotButton="0" quotePrefix="0" xfId="0">
      <alignment horizontal="center" vertical="center" wrapText="1"/>
      <protection locked="0" hidden="0"/>
    </xf>
    <xf numFmtId="0" fontId="30" fillId="25" borderId="23" applyAlignment="1" applyProtection="1" pivotButton="0" quotePrefix="0" xfId="0">
      <alignment horizontal="center" vertical="center" wrapText="1"/>
      <protection locked="0" hidden="0"/>
    </xf>
    <xf numFmtId="17" fontId="30" fillId="25" borderId="0" applyAlignment="1" applyProtection="1" pivotButton="0" quotePrefix="0" xfId="0">
      <alignment horizontal="center" vertical="center" wrapText="1"/>
      <protection locked="0" hidden="0"/>
    </xf>
    <xf numFmtId="17" fontId="30" fillId="25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 wrapText="1"/>
    </xf>
    <xf numFmtId="0" fontId="30" fillId="25" borderId="23" applyAlignment="1" pivotButton="0" quotePrefix="0" xfId="0">
      <alignment horizontal="center" vertical="center" wrapText="1"/>
    </xf>
    <xf numFmtId="0" fontId="31" fillId="28" borderId="0" applyAlignment="1" applyProtection="1" pivotButton="0" quotePrefix="0" xfId="0">
      <alignment horizontal="left" vertical="center"/>
      <protection locked="0" hidden="0"/>
    </xf>
    <xf numFmtId="14" fontId="31" fillId="28" borderId="0" applyAlignment="1" applyProtection="1" pivotButton="0" quotePrefix="0" xfId="0">
      <alignment horizontal="left" vertical="center"/>
      <protection locked="0" hidden="0"/>
    </xf>
    <xf numFmtId="2" fontId="31" fillId="28" borderId="0" applyAlignment="1" pivotButton="0" quotePrefix="0" xfId="0">
      <alignment horizontal="left" vertical="center"/>
    </xf>
    <xf numFmtId="2" fontId="31" fillId="2" borderId="0" applyAlignment="1" applyProtection="1" pivotButton="0" quotePrefix="0" xfId="0">
      <alignment horizontal="left" vertical="center"/>
      <protection locked="0" hidden="0"/>
    </xf>
    <xf numFmtId="0" fontId="31" fillId="27" borderId="0" applyAlignment="1" applyProtection="1" pivotButton="0" quotePrefix="0" xfId="0">
      <alignment horizontal="left" vertical="center"/>
      <protection locked="0" hidden="0"/>
    </xf>
    <xf numFmtId="14" fontId="31" fillId="27" borderId="0" applyAlignment="1" applyProtection="1" pivotButton="0" quotePrefix="0" xfId="0">
      <alignment horizontal="left" vertical="center"/>
      <protection locked="0" hidden="0"/>
    </xf>
    <xf numFmtId="2" fontId="31" fillId="27" borderId="0" applyAlignment="1" pivotButton="0" quotePrefix="0" xfId="0">
      <alignment horizontal="left" vertical="center"/>
    </xf>
    <xf numFmtId="164" fontId="31" fillId="28" borderId="0" applyAlignment="1" pivotButton="0" quotePrefix="0" xfId="1">
      <alignment horizontal="left" vertical="center"/>
    </xf>
    <xf numFmtId="166" fontId="18" fillId="2" borderId="23" pivotButton="0" quotePrefix="0" xfId="1"/>
    <xf numFmtId="164" fontId="31" fillId="27" borderId="0" applyAlignment="1" pivotButton="0" quotePrefix="0" xfId="1">
      <alignment horizontal="left" vertical="center"/>
    </xf>
    <xf numFmtId="164" fontId="31" fillId="27" borderId="23" applyAlignment="1" pivotButton="0" quotePrefix="0" xfId="1">
      <alignment horizontal="left" vertical="center"/>
    </xf>
    <xf numFmtId="164" fontId="31" fillId="28" borderId="23" applyAlignment="1" pivotButton="0" quotePrefix="0" xfId="1">
      <alignment horizontal="left" vertical="center"/>
    </xf>
    <xf numFmtId="0" fontId="31" fillId="9" borderId="1" applyAlignment="1" pivotButton="0" quotePrefix="0" xfId="0">
      <alignment horizontal="left" vertical="center"/>
    </xf>
    <xf numFmtId="165" fontId="31" fillId="9" borderId="1" applyAlignment="1" pivotButton="0" quotePrefix="0" xfId="0">
      <alignment horizontal="left" vertical="center"/>
    </xf>
    <xf numFmtId="2" fontId="31" fillId="9" borderId="1" applyAlignment="1" pivotButton="0" quotePrefix="0" xfId="0">
      <alignment horizontal="left" vertical="center"/>
    </xf>
    <xf numFmtId="2" fontId="31" fillId="2" borderId="23" applyAlignment="1" applyProtection="1" pivotButton="0" quotePrefix="0" xfId="0">
      <alignment horizontal="left" vertical="center"/>
      <protection locked="0" hidden="0"/>
    </xf>
    <xf numFmtId="165" fontId="0" fillId="9" borderId="1" applyAlignment="1" pivotButton="0" quotePrefix="0" xfId="0">
      <alignment horizontal="center" vertical="center"/>
    </xf>
    <xf numFmtId="49" fontId="31" fillId="28" borderId="0" applyAlignment="1" pivotButton="0" quotePrefix="0" xfId="3">
      <alignment horizontal="left" vertical="center"/>
    </xf>
    <xf numFmtId="166" fontId="33" fillId="26" borderId="37" applyAlignment="1" pivotButton="0" quotePrefix="0" xfId="1">
      <alignment horizontal="center" vertical="center" wrapText="1"/>
    </xf>
    <xf numFmtId="164" fontId="33" fillId="26" borderId="4" applyAlignment="1" pivotButton="0" quotePrefix="0" xfId="1">
      <alignment horizontal="center" vertical="center" wrapText="1"/>
    </xf>
    <xf numFmtId="164" fontId="33" fillId="26" borderId="27" applyAlignment="1" pivotButton="0" quotePrefix="0" xfId="1">
      <alignment horizontal="center" vertical="center" wrapText="1"/>
    </xf>
    <xf numFmtId="0" fontId="30" fillId="25" borderId="25" applyAlignment="1" pivotButton="0" quotePrefix="0" xfId="0">
      <alignment horizontal="center" vertical="center" wrapText="1"/>
    </xf>
    <xf numFmtId="166" fontId="31" fillId="28" borderId="0" applyAlignment="1" applyProtection="1" pivotButton="0" quotePrefix="0" xfId="1">
      <alignment horizontal="left" vertical="center"/>
      <protection locked="0" hidden="0"/>
    </xf>
    <xf numFmtId="166" fontId="0" fillId="0" borderId="0" applyAlignment="1" applyProtection="1" pivotButton="0" quotePrefix="0" xfId="1">
      <alignment horizontal="left" vertical="center"/>
      <protection locked="0" hidden="0"/>
    </xf>
    <xf numFmtId="164" fontId="31" fillId="28" borderId="0" applyAlignment="1" applyProtection="1" pivotButton="0" quotePrefix="0" xfId="1">
      <alignment horizontal="left" vertical="center"/>
      <protection locked="0" hidden="0"/>
    </xf>
    <xf numFmtId="164" fontId="0" fillId="0" borderId="0" applyAlignment="1" applyProtection="1" pivotButton="0" quotePrefix="0" xfId="1">
      <alignment horizontal="center" vertical="center"/>
      <protection locked="0" hidden="0"/>
    </xf>
    <xf numFmtId="165" fontId="0" fillId="0" borderId="0" applyAlignment="1" applyProtection="1" pivotButton="0" quotePrefix="0" xfId="0">
      <alignment horizontal="center" vertical="center"/>
      <protection locked="0" hidden="0"/>
    </xf>
    <xf numFmtId="166" fontId="31" fillId="27" borderId="0" applyAlignment="1" applyProtection="1" pivotButton="0" quotePrefix="0" xfId="1">
      <alignment horizontal="left" vertical="center"/>
      <protection locked="0" hidden="0"/>
    </xf>
    <xf numFmtId="164" fontId="31" fillId="27" borderId="0" applyAlignment="1" applyProtection="1" pivotButton="0" quotePrefix="0" xfId="1">
      <alignment horizontal="left" vertical="center"/>
      <protection locked="0" hidden="0"/>
    </xf>
    <xf numFmtId="165" fontId="0" fillId="0" borderId="0" applyAlignment="1" applyProtection="1" pivotButton="0" quotePrefix="0" xfId="0">
      <alignment horizontal="left" vertical="center"/>
      <protection locked="0" hidden="0"/>
    </xf>
    <xf numFmtId="166" fontId="18" fillId="2" borderId="23" applyAlignment="1" applyProtection="1" pivotButton="0" quotePrefix="0" xfId="1">
      <alignment horizontal="center" vertical="center"/>
      <protection locked="0" hidden="0"/>
    </xf>
    <xf numFmtId="0" fontId="30" fillId="25" borderId="8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7" pivotButton="0" quotePrefix="0" xfId="0"/>
    <xf numFmtId="0" fontId="33" fillId="26" borderId="0" applyAlignment="1" pivotButton="0" quotePrefix="0" xfId="0">
      <alignment horizontal="center" vertical="center" wrapText="1"/>
    </xf>
    <xf numFmtId="0" fontId="33" fillId="26" borderId="28" applyAlignment="1" pivotButton="0" quotePrefix="0" xfId="0">
      <alignment horizontal="center" vertical="center" wrapText="1"/>
    </xf>
    <xf numFmtId="0" fontId="33" fillId="26" borderId="15" applyAlignment="1" pivotButton="0" quotePrefix="0" xfId="0">
      <alignment horizontal="center" vertical="center" wrapText="1"/>
    </xf>
    <xf numFmtId="0" fontId="33" fillId="26" borderId="41" applyAlignment="1" pivotButton="0" quotePrefix="0" xfId="0">
      <alignment horizontal="center" vertical="center" wrapText="1"/>
    </xf>
    <xf numFmtId="0" fontId="2" fillId="27" borderId="0" applyAlignment="1" pivotButton="0" quotePrefix="0" xfId="0">
      <alignment horizontal="left" vertical="center"/>
    </xf>
    <xf numFmtId="0" fontId="7" fillId="27" borderId="46" applyAlignment="1" pivotButton="0" quotePrefix="0" xfId="0">
      <alignment horizontal="left" vertical="center"/>
    </xf>
    <xf numFmtId="0" fontId="7" fillId="27" borderId="39" applyAlignment="1" pivotButton="0" quotePrefix="0" xfId="0">
      <alignment horizontal="left" vertical="center"/>
    </xf>
    <xf numFmtId="0" fontId="15" fillId="27" borderId="39" applyAlignment="1" pivotButton="0" quotePrefix="0" xfId="0">
      <alignment horizontal="left" vertical="center"/>
    </xf>
    <xf numFmtId="0" fontId="15" fillId="27" borderId="58" applyAlignment="1" pivotButton="0" quotePrefix="0" xfId="0">
      <alignment horizontal="left" vertical="center"/>
    </xf>
    <xf numFmtId="0" fontId="15" fillId="27" borderId="0" applyAlignment="1" pivotButton="0" quotePrefix="0" xfId="0">
      <alignment horizontal="left" vertical="center"/>
    </xf>
    <xf numFmtId="0" fontId="31" fillId="27" borderId="14" applyAlignment="1" pivotButton="0" quotePrefix="0" xfId="0">
      <alignment horizontal="left" vertical="center"/>
    </xf>
    <xf numFmtId="0" fontId="31" fillId="27" borderId="0" applyAlignment="1" pivotButton="0" quotePrefix="0" xfId="0">
      <alignment horizontal="left" vertical="center"/>
    </xf>
    <xf numFmtId="0" fontId="2" fillId="28" borderId="0" applyAlignment="1" pivotButton="0" quotePrefix="0" xfId="0">
      <alignment horizontal="left" vertical="center"/>
    </xf>
    <xf numFmtId="0" fontId="31" fillId="28" borderId="0" applyAlignment="1" pivotButton="0" quotePrefix="0" xfId="0">
      <alignment horizontal="left" vertical="center"/>
    </xf>
    <xf numFmtId="0" fontId="31" fillId="28" borderId="20" applyAlignment="1" pivotButton="0" quotePrefix="0" xfId="0">
      <alignment horizontal="left" vertical="center"/>
    </xf>
    <xf numFmtId="0" fontId="31" fillId="28" borderId="38" applyAlignment="1" pivotButton="0" quotePrefix="0" xfId="0">
      <alignment horizontal="left" vertical="center"/>
    </xf>
    <xf numFmtId="164" fontId="31" fillId="28" borderId="38" applyAlignment="1" pivotButton="0" quotePrefix="0" xfId="1">
      <alignment horizontal="left" vertical="center"/>
    </xf>
    <xf numFmtId="164" fontId="8" fillId="18" borderId="51" applyAlignment="1" pivotButton="0" quotePrefix="0" xfId="1">
      <alignment horizontal="center" vertical="center"/>
    </xf>
    <xf numFmtId="164" fontId="8" fillId="18" borderId="0" applyAlignment="1" pivotButton="0" quotePrefix="0" xfId="1">
      <alignment horizontal="center" vertical="center"/>
    </xf>
    <xf numFmtId="17" fontId="31" fillId="28" borderId="14" applyAlignment="1" pivotButton="0" quotePrefix="0" xfId="0">
      <alignment horizontal="left" vertical="center"/>
    </xf>
    <xf numFmtId="0" fontId="31" fillId="28" borderId="14" applyAlignment="1" pivotButton="0" quotePrefix="0" xfId="0">
      <alignment horizontal="left" vertical="center"/>
    </xf>
    <xf numFmtId="0" fontId="31" fillId="27" borderId="20" applyAlignment="1" pivotButton="0" quotePrefix="0" xfId="0">
      <alignment horizontal="left" vertical="center"/>
    </xf>
    <xf numFmtId="0" fontId="31" fillId="27" borderId="38" applyAlignment="1" pivotButton="0" quotePrefix="0" xfId="0">
      <alignment horizontal="left" vertical="center"/>
    </xf>
    <xf numFmtId="164" fontId="31" fillId="27" borderId="38" applyAlignment="1" pivotButton="0" quotePrefix="0" xfId="1">
      <alignment horizontal="left" vertical="center"/>
    </xf>
    <xf numFmtId="164" fontId="8" fillId="0" borderId="51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17" fontId="31" fillId="27" borderId="14" applyAlignment="1" pivotButton="0" quotePrefix="0" xfId="0">
      <alignment horizontal="left" vertical="center"/>
    </xf>
    <xf numFmtId="17" fontId="31" fillId="27" borderId="16" applyAlignment="1" pivotButton="0" quotePrefix="0" xfId="0">
      <alignment horizontal="left" vertical="center"/>
    </xf>
    <xf numFmtId="0" fontId="14" fillId="27" borderId="0" applyAlignment="1" pivotButton="0" quotePrefix="0" xfId="0">
      <alignment horizontal="left" vertical="center"/>
    </xf>
    <xf numFmtId="0" fontId="2" fillId="28" borderId="40" applyAlignment="1" pivotButton="0" quotePrefix="0" xfId="0">
      <alignment horizontal="left" vertical="center"/>
    </xf>
    <xf numFmtId="0" fontId="31" fillId="28" borderId="40" applyAlignment="1" pivotButton="0" quotePrefix="0" xfId="0">
      <alignment horizontal="left" vertical="center"/>
    </xf>
    <xf numFmtId="0" fontId="2" fillId="27" borderId="40" applyAlignment="1" pivotButton="0" quotePrefix="0" xfId="0">
      <alignment horizontal="left" vertical="center"/>
    </xf>
    <xf numFmtId="0" fontId="31" fillId="27" borderId="40" applyAlignment="1" pivotButton="0" quotePrefix="0" xfId="0">
      <alignment horizontal="left" vertical="center"/>
    </xf>
    <xf numFmtId="164" fontId="8" fillId="18" borderId="38" applyAlignment="1" pivotButton="0" quotePrefix="0" xfId="1">
      <alignment horizontal="center" vertical="center"/>
    </xf>
    <xf numFmtId="164" fontId="8" fillId="0" borderId="38" applyAlignment="1" pivotButton="0" quotePrefix="0" xfId="1">
      <alignment horizontal="center" vertical="center"/>
    </xf>
    <xf numFmtId="164" fontId="0" fillId="0" borderId="0" pivotButton="0" quotePrefix="0" xfId="0"/>
    <xf numFmtId="164" fontId="31" fillId="28" borderId="59" applyAlignment="1" pivotButton="0" quotePrefix="0" xfId="1">
      <alignment horizontal="left" vertical="center"/>
    </xf>
    <xf numFmtId="164" fontId="31" fillId="27" borderId="59" applyAlignment="1" pivotButton="0" quotePrefix="0" xfId="1">
      <alignment horizontal="left" vertical="center"/>
    </xf>
    <xf numFmtId="0" fontId="31" fillId="28" borderId="52" applyAlignment="1" pivotButton="0" quotePrefix="0" xfId="0">
      <alignment horizontal="left" vertical="center"/>
    </xf>
    <xf numFmtId="164" fontId="31" fillId="28" borderId="52" applyAlignment="1" pivotButton="0" quotePrefix="0" xfId="1">
      <alignment horizontal="left" vertical="center"/>
    </xf>
    <xf numFmtId="164" fontId="8" fillId="18" borderId="53" applyAlignment="1" pivotButton="0" quotePrefix="0" xfId="1">
      <alignment horizontal="center" vertical="center"/>
    </xf>
    <xf numFmtId="164" fontId="8" fillId="0" borderId="2" applyAlignment="1" pivotButton="0" quotePrefix="0" xfId="1">
      <alignment horizontal="center" vertical="center"/>
    </xf>
    <xf numFmtId="164" fontId="8" fillId="18" borderId="2" applyAlignment="1" pivotButton="0" quotePrefix="0" xfId="1">
      <alignment horizontal="center" vertical="center"/>
    </xf>
    <xf numFmtId="0" fontId="31" fillId="28" borderId="54" applyAlignment="1" pivotButton="0" quotePrefix="0" xfId="0">
      <alignment horizontal="left" vertical="center"/>
    </xf>
    <xf numFmtId="0" fontId="31" fillId="28" borderId="34" applyAlignment="1" pivotButton="0" quotePrefix="0" xfId="0">
      <alignment horizontal="left" vertical="center"/>
    </xf>
    <xf numFmtId="164" fontId="31" fillId="28" borderId="34" applyAlignment="1" pivotButton="0" quotePrefix="0" xfId="1">
      <alignment horizontal="left" vertical="center"/>
    </xf>
    <xf numFmtId="164" fontId="8" fillId="18" borderId="55" applyAlignment="1" pivotButton="0" quotePrefix="0" xfId="1">
      <alignment horizontal="center" vertical="center"/>
    </xf>
    <xf numFmtId="0" fontId="31" fillId="27" borderId="48" applyAlignment="1" pivotButton="0" quotePrefix="0" xfId="0">
      <alignment horizontal="left" vertical="center"/>
    </xf>
    <xf numFmtId="164" fontId="31" fillId="27" borderId="40" applyAlignment="1" pivotButton="0" quotePrefix="0" xfId="1">
      <alignment horizontal="left" vertical="center"/>
    </xf>
    <xf numFmtId="164" fontId="8" fillId="0" borderId="50" applyAlignment="1" pivotButton="0" quotePrefix="0" xfId="1">
      <alignment horizontal="center" vertical="center"/>
    </xf>
    <xf numFmtId="0" fontId="31" fillId="28" borderId="48" applyAlignment="1" pivotButton="0" quotePrefix="0" xfId="0">
      <alignment horizontal="left" vertical="center"/>
    </xf>
    <xf numFmtId="164" fontId="31" fillId="28" borderId="40" applyAlignment="1" pivotButton="0" quotePrefix="0" xfId="1">
      <alignment horizontal="left" vertical="center"/>
    </xf>
    <xf numFmtId="164" fontId="8" fillId="18" borderId="50" applyAlignment="1" pivotButton="0" quotePrefix="0" xfId="1">
      <alignment horizontal="center" vertical="center"/>
    </xf>
    <xf numFmtId="0" fontId="31" fillId="27" borderId="56" applyAlignment="1" pivotButton="0" quotePrefix="0" xfId="0">
      <alignment horizontal="left" vertical="center"/>
    </xf>
    <xf numFmtId="0" fontId="31" fillId="28" borderId="56" applyAlignment="1" pivotButton="0" quotePrefix="0" xfId="0">
      <alignment horizontal="left" vertical="center"/>
    </xf>
    <xf numFmtId="164" fontId="8" fillId="0" borderId="40" applyAlignment="1" pivotButton="0" quotePrefix="0" xfId="1">
      <alignment horizontal="center" vertical="center"/>
    </xf>
    <xf numFmtId="164" fontId="8" fillId="18" borderId="40" applyAlignment="1" pivotButton="0" quotePrefix="0" xfId="1">
      <alignment horizontal="center" vertical="center"/>
    </xf>
    <xf numFmtId="164" fontId="8" fillId="0" borderId="47" applyAlignment="1" pivotButton="0" quotePrefix="0" xfId="1">
      <alignment horizontal="center" vertical="center"/>
    </xf>
  </cellXfs>
  <cellStyles count="4">
    <cellStyle name="Normal" xfId="0" builtinId="0"/>
    <cellStyle name="Currency" xfId="1" builtinId="4"/>
    <cellStyle name="Normal 3" xfId="2"/>
    <cellStyle name="Per cent" xfId="3" builtinId="5"/>
  </cellStyles>
  <dxfs count="496">
    <dxf>
      <font>
        <name val="Aptos Narrow"/>
        <family val="2"/>
        <strike val="0"/>
        <outline val="0"/>
        <shadow val="0"/>
        <condense val="0"/>
        <color rgb="FFC00000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C00000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C00000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C00000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C00000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C00000"/>
        <extend val="0"/>
        <sz val="11"/>
        <vertAlign val="baseline"/>
        <scheme val="minor"/>
      </font>
      <alignment horizontal="center" vertical="center"/>
    </dxf>
    <dxf>
      <border outline="0">
        <top style="medium">
          <color indexed="64"/>
        </top>
      </border>
    </dxf>
    <dxf>
      <font>
        <name val="Aptos Narrow"/>
        <family val="2"/>
        <strike val="0"/>
        <outline val="0"/>
        <shadow val="0"/>
        <condense val="0"/>
        <color rgb="FFC00000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rgb="FFC00000"/>
        <extend val="0"/>
        <sz val="16"/>
        <vertAlign val="baseline"/>
        <scheme val="minor"/>
      </font>
      <fill>
        <patternFill patternType="solid">
          <fgColor indexed="64"/>
          <bgColor rgb="FFFFD54F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0" tint="-0.1499984740745262"/>
          <bgColor theme="0" tint="-0.1499984740745262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medium">
          <color theme="1"/>
        </bottom>
      </border>
    </dxf>
    <dxf>
      <border outline="0">
        <left style="thin">
          <color theme="1"/>
        </left>
        <top style="medium">
          <color theme="1"/>
        </top>
        <bottom style="medium">
          <color theme="1"/>
        </bottom>
      </border>
    </dxf>
    <dxf>
      <fill>
        <patternFill patternType="solid">
          <fgColor theme="0" tint="-0.1499984740745262"/>
          <bgColor theme="0" tint="-0.1499984740745262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1"/>
          <bgColor theme="1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0" tint="-0.1499984740745262"/>
          <bgColor theme="0" tint="-0.1499984740745262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medium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0" tint="-0.1499984740745262"/>
          <bgColor theme="0" tint="-0.1499984740745262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1"/>
          <bgColor theme="1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 style="thin">
          <color theme="4" tint="0.3999755851924192"/>
        </right>
        <top style="thin">
          <color theme="4" tint="0.3999755851924192"/>
        </top>
        <bottom/>
        <vertical/>
        <horizontal/>
      </border>
    </dxf>
    <dxf>
      <alignment horizontal="center" vertical="center"/>
    </dxf>
    <dxf>
      <numFmt numFmtId="34" formatCode="_(&quot;$&quot;* #,##0.00_);_(&quot;$&quot;* \(#,##0.00\);_(&quot;$&quot;* &quot;-&quot;??_);_(@_)"/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color rgb="FFFFC000"/>
      </font>
      <numFmt numFmtId="165" formatCode="_(&quot;$&quot;* #,##0_);_(&quot;$&quot;* \(#,##0\);_(&quot;$&quot;* &quot;-&quot;??_);_(@_)"/>
      <fill>
        <patternFill patternType="solid">
          <fgColor indexed="64"/>
          <bgColor theme="1"/>
        </patternFill>
      </fill>
      <alignment horizontal="center" vertical="center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protection locked="0" hidden="0"/>
    </dxf>
    <dxf>
      <alignment horizontal="center" vertical="center"/>
      <protection locked="0" hidden="0"/>
    </dxf>
    <dxf>
      <font>
        <color rgb="FFFFC000"/>
      </font>
      <numFmt numFmtId="165" formatCode="_(&quot;$&quot;* #,##0_);_(&quot;$&quot;* \(#,##0\);_(&quot;$&quot;* &quot;-&quot;??_);_(@_)"/>
      <fill>
        <patternFill patternType="solid">
          <fgColor indexed="64"/>
          <bgColor theme="1"/>
        </patternFill>
      </fill>
      <alignment horizontal="center" vertical="center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protection locked="0" hidden="0"/>
    </dxf>
    <dxf>
      <numFmt numFmtId="166" formatCode="dd\-mmm\-yy"/>
      <alignment horizontal="left" vertical="center"/>
      <protection locked="0" hidden="0"/>
    </dxf>
    <dxf>
      <alignment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top" wrapText="1"/>
    </dxf>
    <dxf>
      <fill>
        <patternFill>
          <bgColor theme="0" tint="-0.249946592608417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CCFF"/>
        </patternFill>
      </fill>
    </dxf>
    <dxf>
      <fill>
        <patternFill>
          <bgColor rgb="FFFFCC66"/>
        </patternFill>
      </fill>
    </dxf>
    <dxf>
      <font>
        <strike val="1"/>
      </font>
    </dxf>
    <dxf>
      <fill>
        <patternFill>
          <bgColor theme="4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CCFF"/>
        </patternFill>
      </fill>
    </dxf>
    <dxf>
      <fill>
        <patternFill>
          <bgColor rgb="FFFFCC66"/>
        </patternFill>
      </fill>
    </dxf>
    <dxf>
      <font>
        <strike val="1"/>
      </font>
    </dxf>
    <dxf>
      <fill>
        <patternFill>
          <bgColor theme="4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0" tint="-0.249946592608417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11"/>
        <vertAlign val="baseline"/>
        <scheme val="minor"/>
      </font>
      <numFmt numFmtId="165" formatCode="_(&quot;$&quot;* #,##0_);_(&quot;$&quot;* \(#,##0\);_(&quot;$&quot;* &quot;-&quot;??_);_(@_)"/>
      <fill>
        <patternFill patternType="solid">
          <fgColor indexed="64"/>
          <bgColor theme="1"/>
        </patternFill>
      </fill>
      <border>
        <left style="medium">
          <color theme="0"/>
        </left>
        <right style="medium">
          <color theme="0"/>
        </right>
        <top/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11"/>
        <vertAlign val="baseline"/>
        <scheme val="minor"/>
      </font>
      <numFmt numFmtId="165" formatCode="_(&quot;$&quot;* #,##0_);_(&quot;$&quot;* \(#,##0\);_(&quot;$&quot;* &quot;-&quot;??_);_(@_)"/>
      <fill>
        <patternFill patternType="solid">
          <fgColor indexed="64"/>
          <bgColor theme="1"/>
        </patternFill>
      </fill>
      <border>
        <left style="medium">
          <color theme="0"/>
        </left>
        <right style="medium">
          <color theme="0"/>
        </right>
        <top/>
        <bottom/>
        <vertical/>
        <horizontal/>
      </border>
    </dxf>
    <dxf>
      <fill>
        <patternFill patternType="solid">
          <fgColor indexed="64"/>
          <bgColor theme="1"/>
        </patternFill>
      </fill>
      <border>
        <left style="medium">
          <color theme="0"/>
        </left>
        <right style="medium">
          <color theme="0"/>
        </right>
        <top/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font>
        <color rgb="FFFFC000"/>
        <sz val="9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border>
        <left/>
        <right style="medium">
          <color theme="0"/>
        </right>
        <top/>
        <bottom/>
      </border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sz val="9"/>
      </font>
      <numFmt numFmtId="2" formatCode="0.00"/>
      <alignment horizontal="center" vertical="center"/>
      <protection locked="0" hidden="0"/>
    </dxf>
    <dxf>
      <font>
        <color rgb="FFFFC000"/>
        <sz val="9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border outline="0">
        <left style="medium">
          <color theme="0"/>
        </left>
        <right/>
        <top/>
        <bottom/>
      </border>
      <protection locked="0" hidden="0"/>
    </dxf>
    <dxf>
      <numFmt numFmtId="168" formatCode="_-[$$-409]* #,##0.00_ ;_-[$$-409]* \-#,##0.00\ ;_-[$$-409]* &quot;-&quot;??_ ;_-@_ "/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auto="1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alignment horizontal="center" vertical="top" wrapText="1"/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CCFF"/>
        </patternFill>
      </fill>
    </dxf>
    <dxf>
      <fill>
        <patternFill>
          <bgColor rgb="FFFFCC66"/>
        </patternFill>
      </fill>
    </dxf>
    <dxf>
      <font>
        <strike val="1"/>
      </font>
    </dxf>
    <dxf>
      <fill>
        <patternFill>
          <bgColor theme="4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0" tint="-0.249946592608417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11"/>
        <vertAlign val="baseline"/>
        <scheme val="minor"/>
      </font>
      <numFmt numFmtId="165" formatCode="_(&quot;$&quot;* #,##0_);_(&quot;$&quot;* \(#,##0\);_(&quot;$&quot;* &quot;-&quot;??_);_(@_)"/>
      <fill>
        <patternFill patternType="solid">
          <fgColor indexed="64"/>
          <bgColor theme="1"/>
        </patternFill>
      </fill>
      <border>
        <left style="medium">
          <color theme="0"/>
        </left>
        <right style="medium">
          <color theme="0"/>
        </right>
        <top/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border outline="0">
        <left style="medium">
          <color theme="0"/>
        </left>
        <right style="medium">
          <color theme="0"/>
        </right>
        <top/>
        <bottom/>
      </border>
      <protection locked="0" hidden="0"/>
    </dxf>
    <dxf>
      <font>
        <color rgb="FFFFC000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border outline="0">
        <left style="medium">
          <color theme="0"/>
        </left>
        <right style="medium">
          <color theme="0"/>
        </right>
        <top/>
        <bottom/>
      </border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border outline="0">
        <left style="medium">
          <color theme="0"/>
        </left>
        <right style="medium">
          <color theme="0"/>
        </right>
        <top/>
        <bottom/>
      </border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lor theme="1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/>
      <protection locked="0" hidden="0"/>
    </dxf>
    <dxf>
      <font>
        <name val="Aptos Narrow"/>
        <family val="2"/>
        <strike val="0"/>
        <outline val="0"/>
        <shadow val="0"/>
        <condense val="0"/>
        <color rgb="FFFFC000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top" textRotation="255" wrapText="1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font>
        <color rgb="FFFFC000"/>
        <sz val="9"/>
      </font>
      <numFmt numFmtId="2" formatCode="0.00"/>
      <fill>
        <patternFill patternType="solid">
          <fgColor indexed="64"/>
          <bgColor theme="1"/>
        </patternFill>
      </fill>
      <alignment horizontal="center" vertical="top" textRotation="255" wrapText="1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sz val="9"/>
      </font>
      <numFmt numFmtId="1" formatCode="0"/>
      <alignment horizontal="center" vertical="center"/>
      <protection locked="0" hidden="0"/>
    </dxf>
    <dxf>
      <font>
        <color rgb="FFFFC000"/>
        <sz val="9"/>
      </font>
      <numFmt numFmtId="2" formatCode="0.00"/>
      <fill>
        <patternFill patternType="solid">
          <fgColor indexed="64"/>
          <bgColor theme="1"/>
        </patternFill>
      </fill>
      <alignment horizontal="center" vertical="top" textRotation="90" wrapText="1"/>
      <border>
        <left style="medium">
          <color theme="0"/>
        </left>
        <right style="medium">
          <color theme="0"/>
        </right>
        <top/>
        <bottom/>
        <vertical/>
        <horizontal/>
      </border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166" formatCode="dd\-mmm\-yy"/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Calibri"/>
        <family val="2"/>
        <color rgb="FF000000"/>
      </font>
      <fill>
        <patternFill patternType="solid">
          <fgColor rgb="FFD9E1F2"/>
          <bgColor rgb="FFD9E1F2"/>
        </patternFill>
      </fill>
      <alignment horizontal="center" vertical="center"/>
      <border outline="0">
        <left/>
        <right/>
        <top style="thin">
          <color rgb="FF8EA9DB"/>
        </top>
        <bottom style="thin">
          <color rgb="FF8EA9DB"/>
        </bottom>
      </border>
      <protection locked="0" hidden="0"/>
    </dxf>
    <dxf>
      <font>
        <name val="Calibri"/>
        <family val="2"/>
        <strike val="0"/>
        <outline val="0"/>
        <shadow val="0"/>
        <color rgb="FF000000"/>
        <sz val="11"/>
        <vertAlign val="baseline"/>
      </font>
      <numFmt numFmtId="0" formatCode="General"/>
      <fill>
        <patternFill patternType="solid">
          <fgColor rgb="FFD9E1F2"/>
          <bgColor rgb="FFD9E1F2"/>
        </patternFill>
      </fill>
      <alignment horizontal="center" vertical="center"/>
      <border outline="0">
        <left/>
        <right/>
        <top style="thin">
          <color rgb="FF8EA9DB"/>
        </top>
        <bottom style="thin">
          <color rgb="FF8EA9DB"/>
        </bottom>
      </border>
      <protection locked="0" hidden="0"/>
    </dxf>
    <dxf>
      <font>
        <name val="Calibri"/>
        <family val="2"/>
        <color rgb="FF000000"/>
      </font>
      <fill>
        <patternFill patternType="solid">
          <fgColor rgb="FFD9E1F2"/>
          <bgColor rgb="FFD9E1F2"/>
        </patternFill>
      </fill>
      <alignment horizontal="center" vertical="center"/>
      <border outline="0">
        <left/>
        <right/>
        <top style="thin">
          <color rgb="FF8EA9DB"/>
        </top>
        <bottom style="thin">
          <color rgb="FF8EA9DB"/>
        </bottom>
      </border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Calibri"/>
        <family val="2"/>
        <color rgb="FF000000"/>
      </font>
      <fill>
        <patternFill patternType="solid">
          <fgColor rgb="FF000000"/>
          <bgColor rgb="FF00B050"/>
        </patternFill>
      </fill>
      <alignment horizontal="center" vertical="center"/>
      <border outline="0">
        <left/>
        <right/>
        <top style="thin">
          <color rgb="FF8EA9DB"/>
        </top>
        <bottom style="thin">
          <color rgb="FF8EA9DB"/>
        </bottom>
      </border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alignment horizontal="center" vertical="top" wrapText="1"/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CCFF"/>
        </patternFill>
      </fill>
    </dxf>
    <dxf>
      <fill>
        <patternFill>
          <bgColor rgb="FFFFCC66"/>
        </patternFill>
      </fill>
    </dxf>
    <dxf>
      <font>
        <strike val="1"/>
      </font>
    </dxf>
    <dxf>
      <fill>
        <patternFill>
          <bgColor theme="4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b val="1"/>
        <color theme="0"/>
      </font>
      <fill>
        <patternFill>
          <bgColor theme="3" tint="0.249946592608417"/>
        </patternFill>
      </fill>
    </dxf>
    <dxf>
      <fill>
        <patternFill>
          <bgColor theme="3" tint="0.899960325937681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1"/>
        <color theme="0"/>
      </font>
      <fill>
        <patternFill>
          <bgColor theme="9" tint="-0.499984740745262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1"/>
        <color theme="0"/>
      </font>
      <fill>
        <patternFill>
          <bgColor theme="3" tint="0.249946592608417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bgColor theme="9" tint="-0.249946592608417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color theme="0" tint="-0.1499679555650502"/>
      </font>
      <fill>
        <patternFill>
          <bgColor theme="1"/>
        </patternFill>
      </fill>
    </dxf>
    <dxf>
      <fill>
        <patternFill>
          <bgColor theme="2"/>
        </patternFill>
      </fill>
    </dxf>
    <dxf>
      <font>
        <b val="1"/>
        <color theme="0"/>
      </font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6" defaultTableStyle="TableStyleMedium2" defaultPivotStyle="PivotStyleLight16">
    <tableStyle name="Input table" pivot="0" count="2">
      <tableStyleElement type="wholeTable" dxfId="495"/>
      <tableStyleElement type="headerRow" dxfId="494"/>
    </tableStyle>
    <tableStyle name="Slicer Style 1" pivot="0" table="0" count="3">
      <tableStyleElement type="wholeTable" dxfId="493"/>
      <tableStyleElement type="headerRow" dxfId="492"/>
    </tableStyle>
    <tableStyle name="Slicer Style 2" pivot="0" table="0" count="3">
      <tableStyleElement type="wholeTable" dxfId="491"/>
      <tableStyleElement type="headerRow" dxfId="490"/>
    </tableStyle>
    <tableStyle name="Slicer Style 3" pivot="0" table="0" count="3">
      <tableStyleElement type="wholeTable" dxfId="489"/>
      <tableStyleElement type="headerRow" dxfId="488"/>
    </tableStyle>
    <tableStyle name="Table Style 1" pivot="0" count="2">
      <tableStyleElement type="wholeTable" dxfId="487"/>
      <tableStyleElement type="headerRow" dxfId="486"/>
    </tableStyle>
    <tableStyle name="Table Style 2" pivot="0" count="2">
      <tableStyleElement type="wholeTable" dxfId="485"/>
      <tableStyleElement type="headerRow" dxfId="48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Hegde, Vinayak M SBOBNG-PTIY/TP/BP</author>
  </authors>
  <commentList>
    <comment ref="O9" authorId="0" shapeId="0">
      <text>
        <t>Hegde, Vinayak M SBOBNG-PTIY/TP/BP:
Need to formulate this column from AL to add the Opex/Capex based on FTE &gt;25%</t>
      </text>
    </comment>
  </commentList>
</comments>
</file>

<file path=xl/comments/comment2.xml><?xml version="1.0" encoding="utf-8"?>
<comments xmlns="http://schemas.openxmlformats.org/spreadsheetml/2006/main">
  <authors>
    <author>Hegde, Vinayak M SBOBNG-PTIY/TP/BP</author>
  </authors>
  <commentList>
    <comment ref="O9" authorId="0" shapeId="0">
      <text>
        <t/>
      </text>
    </comment>
  </commentList>
</comments>
</file>

<file path=xl/tables/table1.xml><?xml version="1.0" encoding="utf-8"?>
<table xmlns="http://schemas.openxmlformats.org/spreadsheetml/2006/main" id="1" name="Table8" displayName="Table8" ref="A2:C8" headerRowCount="1" totalsRowShown="0">
  <autoFilter ref="A2:C8">
    <filterColumn colId="0" hiddenButton="1" showButton="1"/>
    <filterColumn colId="1" hiddenButton="1" showButton="1"/>
    <filterColumn colId="2" hiddenButton="1" showButton="1"/>
  </autoFilter>
  <tableColumns count="3">
    <tableColumn id="1" name="Pages"/>
    <tableColumn id="2" name="Information"/>
    <tableColumn id="3" name="Connected to the Dashbo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410" displayName="Table410" ref="A9:EW133" headerRowCount="1" totalsRowShown="0" headerRowDxfId="440">
  <autoFilter ref="A9:EW133"/>
  <tableColumns count="153">
    <tableColumn id="1" name="Personal Number" dataDxfId="439"/>
    <tableColumn id="2" name="Workstream" dataDxfId="438"/>
    <tableColumn id="66" name="Staff Type" dataDxfId="437"/>
    <tableColumn id="53" name="Resource Name" dataDxfId="436"/>
    <tableColumn id="54" name="Resource Provider" dataDxfId="435"/>
    <tableColumn id="3" name="Resource Plan Number" dataDxfId="434"/>
    <tableColumn id="5" name="Country" dataDxfId="433"/>
    <tableColumn id="6" name="JG" dataDxfId="432"/>
    <tableColumn id="79" name="Resource Group / Team" dataDxfId="431"/>
    <tableColumn id="8" name="Project Role" dataDxfId="430"/>
    <tableColumn id="9" name="Status" dataDxfId="429"/>
    <tableColumn id="82" name="Cost Boolean" dataDxfId="428"/>
    <tableColumn id="7" name="Location" dataDxfId="427"/>
    <tableColumn id="44" name="Capability" dataDxfId="426"/>
    <tableColumn id="81" name="OPEX/CAPEX" dataDxfId="425"/>
    <tableColumn id="80" name="Tag" dataDxfId="424"/>
    <tableColumn id="256" name="WBSE" dataDxfId="423"/>
    <tableColumn id="67" name="Planned Start Date" dataDxfId="422"/>
    <tableColumn id="68" name="Planned End Date" dataDxfId="421"/>
    <tableColumn id="69" name="Revised Start Date" dataDxfId="420"/>
    <tableColumn id="70" name="Revised End Date" dataDxfId="419"/>
    <tableColumn id="40" name="Actual Start Date" dataDxfId="418"/>
    <tableColumn id="41" name="Actual End Date" dataDxfId="417"/>
    <tableColumn id="85" name="Comments" dataDxfId="416"/>
    <tableColumn id="191" name="RATE CONCAT" dataDxfId="415">
      <calculatedColumnFormula>CONCATENATE(Table410[[#This Row],[JG]],Table410[[#This Row],[Country]],Table410[[#This Row],[Resource Provider]])</calculatedColumnFormula>
    </tableColumn>
    <tableColumn id="23" name="Rate" dataDxfId="414">
      <calculatedColumnFormula>VLOOKUP(Table410[[#This Row],[RATE CONCAT]],Tables!I:N,5,0)</calculatedColumnFormula>
    </tableColumn>
    <tableColumn id="258" name="DAYS" dataDxfId="413"/>
    <tableColumn id="257" name="Jan_2026_Days_Forecast" dataDxfId="412"/>
    <tableColumn id="255" name="Feb_2026_Days_Forecast" dataDxfId="411"/>
    <tableColumn id="254" name="Mar_2026_Days_Forecast" dataDxfId="410"/>
    <tableColumn id="253" name="Apr_2026_Days_Forecast" dataDxfId="409"/>
    <tableColumn id="252" name="May_2026_Days_Forecast" dataDxfId="408"/>
    <tableColumn id="251" name="Jun_2026_Days_Forecast" dataDxfId="407"/>
    <tableColumn id="250" name="Jul_2026_Days_Forecast" dataDxfId="406"/>
    <tableColumn id="224" name="Aug_2026_Days_Forecast" dataDxfId="405"/>
    <tableColumn id="190" name="Sep_2026_Days_Forecast" dataDxfId="404"/>
    <tableColumn id="102" name="Oct_2026_Days_Forecast" dataDxfId="403"/>
    <tableColumn id="100" name="Nov_2026_Days_Forecast" dataDxfId="402"/>
    <tableColumn id="97" name="Dec_2026_Days_Forecast" dataDxfId="401"/>
    <tableColumn id="64" name="FTE" dataDxfId="400">
      <calculatedColumnFormula>IFERROR(AVERAGE(Table410[[#This Row],[Jan_2026_Days_Forecast]:[Dec_2026_Days_Forecast]]),0)/19</calculatedColumnFormula>
    </tableColumn>
    <tableColumn id="34" name="2026_FTE" dataDxfId="399">
      <calculatedColumnFormula>IFERROR(AVERAGE(Table410[[#This Row],[Jan_2026_Days_Actual]:[Dec_2026_Days_Actual]]),0)/19</calculatedColumnFormula>
    </tableColumn>
    <tableColumn id="120" name="Jan_2026_Days_Actual" dataDxfId="398"/>
    <tableColumn id="121" name="Feb_2026_Days_Actual" dataDxfId="397"/>
    <tableColumn id="122" name="Mar_2026_Days_Actual" dataDxfId="396"/>
    <tableColumn id="123" name="Apr_2026_Days_Actual" dataDxfId="395"/>
    <tableColumn id="124" name="May_2026_Days_Actual" dataDxfId="394"/>
    <tableColumn id="125" name="Jun_2026_Days_Actual" dataDxfId="393"/>
    <tableColumn id="126" name="Jul_2026_Days_Actual" dataDxfId="392"/>
    <tableColumn id="127" name="Aug_2026_Days_Actual" dataDxfId="391"/>
    <tableColumn id="128" name="Sep_2026_Days_Actual" dataDxfId="390"/>
    <tableColumn id="129" name="Oct_2026_Days_Actual" dataDxfId="389"/>
    <tableColumn id="130" name="Nov_2026_Days_Actual" dataDxfId="388"/>
    <tableColumn id="131" name="Dec_2026_Days_Actual" dataDxfId="387"/>
    <tableColumn id="35" name="2027_FTE" dataDxfId="386">
      <calculatedColumnFormula>IFERROR(AVERAGE(Table410[[#This Row],[Jan_2027_Days_Forecast]:[Dec_2027_Days_Forecast]]),0)</calculatedColumnFormula>
    </tableColumn>
    <tableColumn id="132" name="Jan_2027_Days_Forecast" dataDxfId="385"/>
    <tableColumn id="133" name="Feb_2027_Days_Forecast" dataDxfId="384"/>
    <tableColumn id="134" name="Mar_2027_Days_Forecast" dataDxfId="383"/>
    <tableColumn id="135" name="Apr_2027_Days_Forecast" dataDxfId="382"/>
    <tableColumn id="136" name="May_2027_Days_Forecast" dataDxfId="381"/>
    <tableColumn id="137" name="Jun_2027_Days_Forecast" dataDxfId="380"/>
    <tableColumn id="78" name="Jul_2027_Days_Forecast" dataDxfId="379"/>
    <tableColumn id="77" name="Aug_2027_Days_Forecast" dataDxfId="378"/>
    <tableColumn id="76" name="Sep_2027_Days_Forecast" dataDxfId="377"/>
    <tableColumn id="75" name="Oct_2027_Days_Forecast" dataDxfId="376"/>
    <tableColumn id="74" name="Nov_2027_Days_Forecast" dataDxfId="375"/>
    <tableColumn id="73" name="Dec_2027_Days_Forecast" dataDxfId="374"/>
    <tableColumn id="138" name="COSTS" dataDxfId="373"/>
    <tableColumn id="10" name="2026_C" dataDxfId="372" dataCellStyle="Currency"/>
    <tableColumn id="31" name="Jan_2026_F" dataDxfId="371" dataCellStyle="Currency">
      <calculatedColumnFormula>IFERROR(Table410[[#This Row],[Jan_2026_Days_Forecast]]*Table410[[#This Row],[Cost Boolean]]*(VLOOKUP(Table410[[#This Row],[RATE CONCAT]],Tables!I:N,5,0)),0)</calculatedColumnFormula>
    </tableColumn>
    <tableColumn id="32" name="Jan_2026_A" dataDxfId="370" dataCellStyle="Currency">
      <calculatedColumnFormula>IFERROR(Table410[[#This Row],[Jan_2026_Days_Actual]]*Table410[[#This Row],[Cost Boolean]]*(VLOOKUP(Table410[[#This Row],[RATE CONCAT]],Tables!I:N,5,0)),0)</calculatedColumnFormula>
    </tableColumn>
    <tableColumn id="33" name="Jan_2026_V" dataDxfId="369" dataCellStyle="Currency">
      <calculatedColumnFormula>Table410[[#This Row],[Jan_2026_F]]-Table410[[#This Row],[Jan_2026_A]]</calculatedColumnFormula>
    </tableColumn>
    <tableColumn id="4" name="Jan_2026_V_Reason" dataDxfId="368" dataCellStyle="Currency"/>
    <tableColumn id="139" name="Feb_2026_F" dataDxfId="367" dataCellStyle="Currency">
      <calculatedColumnFormula>IFERROR(Table410[[#This Row],[Feb_2026_Days_Forecast]]*Table410[[#This Row],[Cost Boolean]]*(VLOOKUP(Table410[[#This Row],[RATE CONCAT]],Tables!I:N,5,0)),0)</calculatedColumnFormula>
    </tableColumn>
    <tableColumn id="140" name="Feb_2026_A" dataDxfId="366" dataCellStyle="Currency">
      <calculatedColumnFormula>IFERROR(Table410[[#This Row],[Feb_2026_Days_Actual]]*Table410[[#This Row],[Cost Boolean]]*(VLOOKUP(Table410[[#This Row],[RATE CONCAT]],Tables!I:N,5,0)),0)</calculatedColumnFormula>
    </tableColumn>
    <tableColumn id="141" name="Feb_2026_D" dataDxfId="365" dataCellStyle="Currency">
      <calculatedColumnFormula>Table410[[#This Row],[Feb_2026_F]]-Table410[[#This Row],[Feb_2026_A]]</calculatedColumnFormula>
    </tableColumn>
    <tableColumn id="12" name="Feb_2026_V_Reason" dataDxfId="364" dataCellStyle="Currency"/>
    <tableColumn id="142" name="Mar_2026_F" dataDxfId="363" dataCellStyle="Currency">
      <calculatedColumnFormula>IFERROR(Table410[[#This Row],[Mar_2026_Days_Forecast]]*Table410[[#This Row],[Cost Boolean]]*(VLOOKUP(Table410[[#This Row],[RATE CONCAT]],Tables!I:N,5,0)),0)</calculatedColumnFormula>
    </tableColumn>
    <tableColumn id="143" name="Mar_2026_A" dataDxfId="362" dataCellStyle="Currency">
      <calculatedColumnFormula>IFERROR(Table410[[#This Row],[Mar_2026_Days_Actual]]*Table410[[#This Row],[Cost Boolean]]*(VLOOKUP(Table410[[#This Row],[RATE CONCAT]],Tables!I:N,5,0)),0)</calculatedColumnFormula>
    </tableColumn>
    <tableColumn id="144" name="Mar_2026_D" dataDxfId="361" dataCellStyle="Currency">
      <calculatedColumnFormula>Table410[[#This Row],[Mar_2026_F]]-Table410[[#This Row],[Mar_2026_A]]</calculatedColumnFormula>
    </tableColumn>
    <tableColumn id="13" name="Mar_2026_V_Reason" dataDxfId="360"/>
    <tableColumn id="145" name="Apr_2026_F" dataDxfId="359" dataCellStyle="Currency">
      <calculatedColumnFormula>IFERROR(Table410[[#This Row],[Apr_2026_Days_Forecast]]*Table410[[#This Row],[Cost Boolean]]*(VLOOKUP(Table410[[#This Row],[RATE CONCAT]],Tables!I:N,5,0)),0)</calculatedColumnFormula>
    </tableColumn>
    <tableColumn id="146" name="Apr_2026_A" dataDxfId="358" dataCellStyle="Currency">
      <calculatedColumnFormula>IFERROR(Table410[[#This Row],[Apr_2026_Days_Actual]]*Table410[[#This Row],[Cost Boolean]]*(VLOOKUP(Table410[[#This Row],[RATE CONCAT]],Tables!I:N,5,0)),0)</calculatedColumnFormula>
    </tableColumn>
    <tableColumn id="147" name="Apr_2026_D" dataDxfId="357" dataCellStyle="Currency">
      <calculatedColumnFormula>Table410[[#This Row],[Apr_2026_F]]-Table410[[#This Row],[Apr_2026_A]]</calculatedColumnFormula>
    </tableColumn>
    <tableColumn id="14" name="Apr_2026_V_Reason" dataDxfId="356"/>
    <tableColumn id="148" name="May_2026_F" dataDxfId="355" dataCellStyle="Currency">
      <calculatedColumnFormula>IFERROR(Table410[[#This Row],[May_2026_Days_Forecast]] *Table410[[#This Row],[Cost Boolean]]*(VLOOKUP(Table410[[#This Row],[RATE CONCAT]],Tables!I:N,5,0)),0)</calculatedColumnFormula>
    </tableColumn>
    <tableColumn id="149" name="May_2026_A" dataDxfId="354" dataCellStyle="Currency">
      <calculatedColumnFormula>IFERROR(Table410[[#This Row],[May_2026_Days_Actual]]*Table410[[#This Row],[Cost Boolean]]*(VLOOKUP(Table410[[#This Row],[RATE CONCAT]],Tables!I:N,5,0)),0)</calculatedColumnFormula>
    </tableColumn>
    <tableColumn id="150" name="May_2026_D" dataDxfId="353" dataCellStyle="Currency">
      <calculatedColumnFormula>Table410[[#This Row],[May_2026_F]]-Table410[[#This Row],[May_2026_A]]</calculatedColumnFormula>
    </tableColumn>
    <tableColumn id="15" name="May_2026_V_Reason" dataDxfId="352"/>
    <tableColumn id="151" name="Jun_2026_F" dataDxfId="351" dataCellStyle="Currency">
      <calculatedColumnFormula>IFERROR(Table410[[#This Row],[Jun_2026_Days_Forecast]]*Table410[[#This Row],[Cost Boolean]]*(VLOOKUP(Table410[[#This Row],[RATE CONCAT]],Tables!I:N,5,0)),0)</calculatedColumnFormula>
    </tableColumn>
    <tableColumn id="152" name="Jun_2026_A" dataDxfId="350" dataCellStyle="Currency">
      <calculatedColumnFormula>IFERROR(Table410[[#This Row],[Jun_2026_Days_Actual]]*Table410[[#This Row],[Cost Boolean]]*(VLOOKUP(Table410[[#This Row],[RATE CONCAT]],Tables!I:N,5,0)),0)</calculatedColumnFormula>
    </tableColumn>
    <tableColumn id="153" name="Jun_2026_D" dataDxfId="349" dataCellStyle="Currency">
      <calculatedColumnFormula>Table410[[#This Row],[Jun_2026_F]]-Table410[[#This Row],[Jun_2026_A]]</calculatedColumnFormula>
    </tableColumn>
    <tableColumn id="16" name="Jun_2026_V_Reason" dataDxfId="348"/>
    <tableColumn id="154" name="Jul_2026_F" dataDxfId="347" dataCellStyle="Currency">
      <calculatedColumnFormula>IFERROR(Table410[[#This Row],[Jul_2026_Days_Forecast]]*Table410[[#This Row],[Cost Boolean]]*(VLOOKUP(Table410[[#This Row],[RATE CONCAT]],Tables!I:N,5,0)),0)</calculatedColumnFormula>
    </tableColumn>
    <tableColumn id="155" name="Jul_2026_A" dataDxfId="346" dataCellStyle="Currency">
      <calculatedColumnFormula>IFERROR(Table410[[#This Row],[Jul_2026_Days_Actual]]*Table410[[#This Row],[Cost Boolean]]*(VLOOKUP(Table410[[#This Row],[RATE CONCAT]],Tables!I:N,5,0)),0)</calculatedColumnFormula>
    </tableColumn>
    <tableColumn id="156" name="Jul_2026_D" dataDxfId="345" dataCellStyle="Currency">
      <calculatedColumnFormula>Table410[[#This Row],[Jul_2026_F]]-Table410[[#This Row],[Jul_2026_A]]</calculatedColumnFormula>
    </tableColumn>
    <tableColumn id="17" name="Jul_2026_V_Reason" dataDxfId="344"/>
    <tableColumn id="157" name="Aug_2026_F" dataDxfId="343" dataCellStyle="Currency">
      <calculatedColumnFormula>IFERROR(Table410[[#This Row],[Aug_2026_Days_Forecast]]*Table410[[#This Row],[Cost Boolean]]*(VLOOKUP(Table410[[#This Row],[RATE CONCAT]],Tables!I:N,5,0)),0)</calculatedColumnFormula>
    </tableColumn>
    <tableColumn id="158" name="Aug_2026_A" dataDxfId="342" dataCellStyle="Currency">
      <calculatedColumnFormula>IFERROR(Table410[[#This Row],[Aug_2026_Days_Actual]]*Table410[[#This Row],[Cost Boolean]]*(VLOOKUP(Table410[[#This Row],[RATE CONCAT]],Tables!I:N,5,0)),0)</calculatedColumnFormula>
    </tableColumn>
    <tableColumn id="159" name="Aug_2026_D" dataDxfId="341" dataCellStyle="Currency">
      <calculatedColumnFormula>Table410[[#This Row],[Aug_2026_F]]-Table410[[#This Row],[Aug_2026_A]]</calculatedColumnFormula>
    </tableColumn>
    <tableColumn id="18" name="Aug_2026_V_Reason" dataDxfId="340"/>
    <tableColumn id="160" name="Sep_2026_F" dataDxfId="339" dataCellStyle="Currency">
      <calculatedColumnFormula>IFERROR(Table410[[#This Row],[Sep_2026_Days_Forecast]]*Table410[[#This Row],[Cost Boolean]]*(VLOOKUP(Table410[[#This Row],[RATE CONCAT]],Tables!I:N,5,0)),0)</calculatedColumnFormula>
    </tableColumn>
    <tableColumn id="161" name="Sep_2026_A" dataDxfId="338" dataCellStyle="Currency">
      <calculatedColumnFormula>IFERROR(Table410[[#This Row],[Sep_2026_Days_Actual]]*Table410[[#This Row],[Cost Boolean]]*(VLOOKUP(Table410[[#This Row],[RATE CONCAT]],Tables!I:N,5,0)),0)</calculatedColumnFormula>
    </tableColumn>
    <tableColumn id="162" name="Sep_2026_D" dataDxfId="337" dataCellStyle="Currency">
      <calculatedColumnFormula>Table410[[#This Row],[Sep_2026_F]]-Table410[[#This Row],[Sep_2026_A]]</calculatedColumnFormula>
    </tableColumn>
    <tableColumn id="19" name="Sep_2026_V_Reason" dataDxfId="336"/>
    <tableColumn id="163" name="Oct_2026_F" dataDxfId="335" dataCellStyle="Currency">
      <calculatedColumnFormula>IFERROR(Table410[[#This Row],[Oct_2026_Days_Forecast]]*Table410[[#This Row],[Cost Boolean]]*(VLOOKUP(Table410[[#This Row],[RATE CONCAT]],Tables!I:N,5,0)),0)</calculatedColumnFormula>
    </tableColumn>
    <tableColumn id="164" name="Oct_2026_A" dataDxfId="334" dataCellStyle="Currency">
      <calculatedColumnFormula>IFERROR(Table410[[#This Row],[Oct_2026_Days_Actual]]*Table410[[#This Row],[Cost Boolean]]*(VLOOKUP(Table410[[#This Row],[RATE CONCAT]],Tables!I:N,5,0)),0)</calculatedColumnFormula>
    </tableColumn>
    <tableColumn id="165" name="Oct_2026_D" dataDxfId="333" dataCellStyle="Currency">
      <calculatedColumnFormula>Table410[[#This Row],[Oct_2026_F]]-Table410[[#This Row],[Oct_2026_A]]</calculatedColumnFormula>
    </tableColumn>
    <tableColumn id="20" name="Oct_2026_V_Reason" dataDxfId="332"/>
    <tableColumn id="166" name="Nov_2026_F" dataDxfId="331" dataCellStyle="Currency">
      <calculatedColumnFormula>IFERROR(Table410[[#This Row],[Nov_2026_Days_Forecast]]*Table410[[#This Row],[Cost Boolean]]*(VLOOKUP(Table410[[#This Row],[RATE CONCAT]],Tables!I:N,5,0)),0)</calculatedColumnFormula>
    </tableColumn>
    <tableColumn id="167" name="Nov_2026_A" dataDxfId="330" dataCellStyle="Currency">
      <calculatedColumnFormula>IFERROR(Table410[[#This Row],[Nov_2026_Days_Actual]]*Table410[[#This Row],[Cost Boolean]]*(VLOOKUP(Table410[[#This Row],[RATE CONCAT]],Tables!I:N,5,0)),0)</calculatedColumnFormula>
    </tableColumn>
    <tableColumn id="168" name="Nov_2026_D" dataDxfId="329" dataCellStyle="Currency">
      <calculatedColumnFormula>Table410[[#This Row],[Nov_2026_F]]-Table410[[#This Row],[Nov_2026_A]]</calculatedColumnFormula>
    </tableColumn>
    <tableColumn id="21" name="Nov_2026_V_Reason" dataDxfId="328"/>
    <tableColumn id="169" name="Dec_2026_F" dataDxfId="327" dataCellStyle="Currency">
      <calculatedColumnFormula>IFERROR(Table410[[#This Row],[Dec_2026_Days_Forecast]]*Table410[[#This Row],[Cost Boolean]]*(VLOOKUP(Table410[[#This Row],[RATE CONCAT]],Tables!I:N,5,0)),0)</calculatedColumnFormula>
    </tableColumn>
    <tableColumn id="170" name="Dec_2026_A" dataDxfId="326" dataCellStyle="Currency">
      <calculatedColumnFormula>IFERROR(Table410[[#This Row],[Dec_2026_Days_Actual]]*Table410[[#This Row],[Cost Boolean]]*(VLOOKUP(Table410[[#This Row],[RATE CONCAT]],Tables!I:N,5,0)),0)</calculatedColumnFormula>
    </tableColumn>
    <tableColumn id="171" name="Dec_2026_D" dataDxfId="325" dataCellStyle="Currency">
      <calculatedColumnFormula>Table410[[#This Row],[Dec_2026_F]]-Table410[[#This Row],[Dec_2026_A]]</calculatedColumnFormula>
    </tableColumn>
    <tableColumn id="22" name="Dec_2026_V_Reason" dataDxfId="324"/>
    <tableColumn id="11" name="2027_C" dataDxfId="323" dataCellStyle="Currency"/>
    <tableColumn id="172" name="Jan_2027_F" dataDxfId="322" dataCellStyle="Currency">
      <calculatedColumnFormula>IFERROR(Table410[[#This Row],[Jan_2027_Days_Forecast]]*Table410[[#This Row],[Cost Boolean]]*(VLOOKUP(Table410[[#This Row],[RATE CONCAT]],Tables!I:N,6,0)),0)</calculatedColumnFormula>
    </tableColumn>
    <tableColumn id="173" name="Jan_2027_A" dataCellStyle="Currency"/>
    <tableColumn id="174" name="Jan_2027_D" dataDxfId="321" dataCellStyle="Currency">
      <calculatedColumnFormula>Table410[[#This Row],[Jan_2027_F]]-Table410[[#This Row],[Jan_2027_A]]</calculatedColumnFormula>
    </tableColumn>
    <tableColumn id="175" name="Feb_2027_F" dataDxfId="320" dataCellStyle="Currency">
      <calculatedColumnFormula>IFERROR(Table410[[#This Row],[Feb_2027_Days_Forecast]]*Table410[[#This Row],[Cost Boolean]]*(VLOOKUP(Table410[[#This Row],[RATE CONCAT]],Tables!I:N,6,0)),0)</calculatedColumnFormula>
    </tableColumn>
    <tableColumn id="176" name="Feb_2027_A" dataCellStyle="Currency"/>
    <tableColumn id="177" name="Feb_2027_D" dataDxfId="319" dataCellStyle="Currency">
      <calculatedColumnFormula>Table410[[#This Row],[Feb_2027_F]]-Table410[[#This Row],[Feb_2027_A]]</calculatedColumnFormula>
    </tableColumn>
    <tableColumn id="178" name="Mar_2027_F" dataDxfId="318" dataCellStyle="Currency">
      <calculatedColumnFormula>IFERROR(Table410[[#This Row],[Mar_2027_Days_Forecast]]*Table410[[#This Row],[Cost Boolean]]*(VLOOKUP(Table410[[#This Row],[RATE CONCAT]],Tables!I:N,6,0)),0)</calculatedColumnFormula>
    </tableColumn>
    <tableColumn id="179" name="Mar_2027_A" dataCellStyle="Currency"/>
    <tableColumn id="180" name="Mar_2027_D" dataDxfId="317" dataCellStyle="Currency">
      <calculatedColumnFormula>Table410[[#This Row],[Mar_2027_F]]-Table410[[#This Row],[Mar_2027_A]]</calculatedColumnFormula>
    </tableColumn>
    <tableColumn id="181" name="Apr_2027_F" dataDxfId="316" dataCellStyle="Currency">
      <calculatedColumnFormula>IFERROR(Table410[[#This Row],[Apr_2027_Days_Forecast]]*Table410[[#This Row],[Cost Boolean]]*(VLOOKUP(Table410[[#This Row],[RATE CONCAT]],Tables!I:N,6,0)),0)</calculatedColumnFormula>
    </tableColumn>
    <tableColumn id="182" name="Apr_2027_A" dataCellStyle="Currency"/>
    <tableColumn id="183" name="Apr_2027_D" dataDxfId="315" dataCellStyle="Currency">
      <calculatedColumnFormula>Table410[[#This Row],[Apr_2027_F]]-Table410[[#This Row],[Apr_2027_A]]</calculatedColumnFormula>
    </tableColumn>
    <tableColumn id="184" name="May_2027_F" dataDxfId="314" dataCellStyle="Currency">
      <calculatedColumnFormula>IFERROR(Table410[[#This Row],[May_2027_Days_Forecast]]*Table410[[#This Row],[Cost Boolean]]*(VLOOKUP(Table410[[#This Row],[RATE CONCAT]],Tables!I:N,6,0)),0)</calculatedColumnFormula>
    </tableColumn>
    <tableColumn id="185" name="May_2027_A" dataCellStyle="Currency"/>
    <tableColumn id="186" name="May_2027_D" dataDxfId="313" dataCellStyle="Currency">
      <calculatedColumnFormula>Table410[[#This Row],[May_2027_F]]-Table410[[#This Row],[May_2027_A]]</calculatedColumnFormula>
    </tableColumn>
    <tableColumn id="187" name="Jun_2027_F" dataDxfId="312" dataCellStyle="Currency">
      <calculatedColumnFormula>IFERROR(Table410[[#This Row],[Jun_2027_Days_Forecast]]*Table410[[#This Row],[Cost Boolean]]*(VLOOKUP(Table410[[#This Row],[RATE CONCAT]],Tables!I:N,6,0)),0)</calculatedColumnFormula>
    </tableColumn>
    <tableColumn id="188" name="Jun_2027_A" dataCellStyle="Currency"/>
    <tableColumn id="189" name="Jun_2027_D" dataDxfId="311" dataCellStyle="Currency">
      <calculatedColumnFormula>Table410[[#This Row],[Jun_2027_F]]-Table410[[#This Row],[Jun_2027_A]]</calculatedColumnFormula>
    </tableColumn>
    <tableColumn id="219" name="Jul_2027_F" dataDxfId="310" dataCellStyle="Currency">
      <calculatedColumnFormula>IFERROR(Table410[[#This Row],[Jul_2027_Days_Forecast]]*Table410[[#This Row],[Cost Boolean]]*(VLOOKUP(Table410[[#This Row],[RATE CONCAT]],Tables!I:N,6,0)),0)</calculatedColumnFormula>
    </tableColumn>
    <tableColumn id="220" name="Jul_2027_A" dataDxfId="309" dataCellStyle="Currency"/>
    <tableColumn id="223" name="Jul_2027_D" dataDxfId="308" dataCellStyle="Currency">
      <calculatedColumnFormula>Table410[[#This Row],[Jul_2027_F]]-Table410[[#This Row],[Jul_2027_A]]</calculatedColumnFormula>
    </tableColumn>
    <tableColumn id="225" name="Aug_2027_F" dataDxfId="307" dataCellStyle="Currency">
      <calculatedColumnFormula>IFERROR(Table410[[#This Row],[Aug_2027_Days_Forecast]]*Table410[[#This Row],[Cost Boolean]]*(VLOOKUP(Table410[[#This Row],[RATE CONCAT]],Tables!I:N,6,0)),0)</calculatedColumnFormula>
    </tableColumn>
    <tableColumn id="226" name="Aug_2027_A" dataDxfId="306" dataCellStyle="Currency"/>
    <tableColumn id="229" name="Aug_2027_D" dataDxfId="305" dataCellStyle="Currency">
      <calculatedColumnFormula>Table410[[#This Row],[Aug_2027_F]]-Table410[[#This Row],[Aug_2027_A]]</calculatedColumnFormula>
    </tableColumn>
    <tableColumn id="230" name="Sep_2027_F" dataDxfId="304" dataCellStyle="Currency">
      <calculatedColumnFormula>IFERROR(Table410[[#This Row],[Sep_2027_Days_Forecast]]*Table410[[#This Row],[Cost Boolean]]*(VLOOKUP(Table410[[#This Row],[RATE CONCAT]],Tables!I:N,6,0)),0)</calculatedColumnFormula>
    </tableColumn>
    <tableColumn id="231" name="Sep_2027_A" dataDxfId="303" dataCellStyle="Currency"/>
    <tableColumn id="234" name="Sep_2027_D" dataDxfId="302" dataCellStyle="Currency">
      <calculatedColumnFormula>Table410[[#This Row],[Sep_2027_F]]-Table410[[#This Row],[Sep_2027_A]]</calculatedColumnFormula>
    </tableColumn>
    <tableColumn id="235" name="Oct_2027_F" dataDxfId="301" dataCellStyle="Currency">
      <calculatedColumnFormula>IFERROR(Table410[[#This Row],[Oct_2027_Days_Forecast]]*Table410[[#This Row],[Cost Boolean]]*(VLOOKUP(Table410[[#This Row],[RATE CONCAT]],Tables!I:N,6,0)),0)</calculatedColumnFormula>
    </tableColumn>
    <tableColumn id="236" name="Oct_2027_A" dataDxfId="300" dataCellStyle="Currency"/>
    <tableColumn id="239" name="Oct_2027_D" dataDxfId="299" dataCellStyle="Currency">
      <calculatedColumnFormula>Table410[[#This Row],[Oct_2027_F]]-Table410[[#This Row],[Oct_2027_A]]</calculatedColumnFormula>
    </tableColumn>
    <tableColumn id="240" name="Nov_2027_F" dataDxfId="298" dataCellStyle="Currency">
      <calculatedColumnFormula>IFERROR(Table410[[#This Row],[Nov_2027_Days_Forecast]]*Table410[[#This Row],[Cost Boolean]]*(VLOOKUP(Table410[[#This Row],[RATE CONCAT]],Tables!I:N,6,0)),0)</calculatedColumnFormula>
    </tableColumn>
    <tableColumn id="241" name="Nov_2027_A" dataDxfId="297" dataCellStyle="Currency"/>
    <tableColumn id="244" name="Nov_2027_D" dataDxfId="296" dataCellStyle="Currency">
      <calculatedColumnFormula>Table410[[#This Row],[Nov_2027_F]]-Table410[[#This Row],[Nov_2027_A]]</calculatedColumnFormula>
    </tableColumn>
    <tableColumn id="245" name="Dec_2027_F" dataDxfId="295" dataCellStyle="Currency">
      <calculatedColumnFormula>IFERROR(Table410[[#This Row],[Dec_2027_Days_Forecast]]*Table410[[#This Row],[Cost Boolean]]*(VLOOKUP(Table410[[#This Row],[RATE CONCAT]],Tables!I:N,6,0)),0)</calculatedColumnFormula>
    </tableColumn>
    <tableColumn id="246" name="Dec_2027_A" dataDxfId="294" dataCellStyle="Currency"/>
    <tableColumn id="249" name="Dec_2027_D" dataDxfId="293" dataCellStyle="Currency">
      <calculatedColumnFormula>Table410[[#This Row],[Dec_2027_F]]-Table410[[#This Row],[Dec_2027_A]]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9:EW86" headerRowCount="1" totalsRowShown="0" headerRowDxfId="279">
  <autoFilter ref="A9:EW8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  <filterColumn colId="42" hiddenButton="1" showButton="1"/>
    <filterColumn colId="43" hiddenButton="1" showButton="1"/>
    <filterColumn colId="44" hiddenButton="1" showButton="1"/>
    <filterColumn colId="45" hiddenButton="1" showButton="1"/>
    <filterColumn colId="46" hiddenButton="1" showButton="1"/>
    <filterColumn colId="47" hiddenButton="1" showButton="1"/>
    <filterColumn colId="48" hiddenButton="1" showButton="1"/>
    <filterColumn colId="49" hiddenButton="1" showButton="1"/>
    <filterColumn colId="50" hiddenButton="1" showButton="1"/>
    <filterColumn colId="51" hiddenButton="1" showButton="1"/>
    <filterColumn colId="52" hiddenButton="1" showButton="1"/>
    <filterColumn colId="53" hiddenButton="1" showButton="1"/>
    <filterColumn colId="54" hiddenButton="1" showButton="1"/>
    <filterColumn colId="55" hiddenButton="1" showButton="1"/>
    <filterColumn colId="56" hiddenButton="1" showButton="1"/>
    <filterColumn colId="57" hiddenButton="1" showButton="1"/>
    <filterColumn colId="58" hiddenButton="1" showButton="1"/>
    <filterColumn colId="59" hiddenButton="1" showButton="1"/>
    <filterColumn colId="60" hiddenButton="1" showButton="1"/>
    <filterColumn colId="61" hiddenButton="1" showButton="1"/>
    <filterColumn colId="62" hiddenButton="1" showButton="1"/>
    <filterColumn colId="63" hiddenButton="1" showButton="1"/>
    <filterColumn colId="64" hiddenButton="1" showButton="1"/>
    <filterColumn colId="65" hiddenButton="1" showButton="1"/>
    <filterColumn colId="66" hiddenButton="1" showButton="1"/>
    <filterColumn colId="67" hiddenButton="1" showButton="1"/>
    <filterColumn colId="68" hiddenButton="1" showButton="1"/>
    <filterColumn colId="69" hiddenButton="1" showButton="1"/>
    <filterColumn colId="70" hiddenButton="1" showButton="1"/>
    <filterColumn colId="71" hiddenButton="1" showButton="1"/>
    <filterColumn colId="72" hiddenButton="1" showButton="1"/>
    <filterColumn colId="73" hiddenButton="1" showButton="1"/>
    <filterColumn colId="74" hiddenButton="1" showButton="1"/>
    <filterColumn colId="75" hiddenButton="1" showButton="1"/>
    <filterColumn colId="76" hiddenButton="1" showButton="1"/>
    <filterColumn colId="77" hiddenButton="1" showButton="1"/>
    <filterColumn colId="78" hiddenButton="1" showButton="1"/>
    <filterColumn colId="79" hiddenButton="1" showButton="1"/>
    <filterColumn colId="80" hiddenButton="1" showButton="1"/>
    <filterColumn colId="81" hiddenButton="1" showButton="1"/>
    <filterColumn colId="82" hiddenButton="1" showButton="1"/>
    <filterColumn colId="83" hiddenButton="1" showButton="1"/>
    <filterColumn colId="84" hiddenButton="1" showButton="1"/>
    <filterColumn colId="85" hiddenButton="1" showButton="1"/>
    <filterColumn colId="86" hiddenButton="1" showButton="1"/>
    <filterColumn colId="87" hiddenButton="1" showButton="1"/>
    <filterColumn colId="88" hiddenButton="1" showButton="1"/>
    <filterColumn colId="89" hiddenButton="1" showButton="1"/>
    <filterColumn colId="90" hiddenButton="1" showButton="1"/>
    <filterColumn colId="91" hiddenButton="1" showButton="1"/>
    <filterColumn colId="92" hiddenButton="1" showButton="1"/>
    <filterColumn colId="93" hiddenButton="1" showButton="1"/>
    <filterColumn colId="94" hiddenButton="1" showButton="1"/>
    <filterColumn colId="95" hiddenButton="1" showButton="1"/>
    <filterColumn colId="96" hiddenButton="1" showButton="1"/>
    <filterColumn colId="97" hiddenButton="1" showButton="1"/>
    <filterColumn colId="98" hiddenButton="1" showButton="1"/>
    <filterColumn colId="99" hiddenButton="1" showButton="1"/>
    <filterColumn colId="100" hiddenButton="1" showButton="1"/>
    <filterColumn colId="101" hiddenButton="1" showButton="1"/>
    <filterColumn colId="102" hiddenButton="1" showButton="1"/>
    <filterColumn colId="103" hiddenButton="1" showButton="1"/>
    <filterColumn colId="104" hiddenButton="1" showButton="1"/>
    <filterColumn colId="105" hiddenButton="1" showButton="1"/>
    <filterColumn colId="106" hiddenButton="1" showButton="1"/>
    <filterColumn colId="107" hiddenButton="1" showButton="1"/>
    <filterColumn colId="108" hiddenButton="1" showButton="1"/>
    <filterColumn colId="109" hiddenButton="1" showButton="1"/>
    <filterColumn colId="110" hiddenButton="1" showButton="1"/>
    <filterColumn colId="111" hiddenButton="1" showButton="1"/>
    <filterColumn colId="112" hiddenButton="1" showButton="1"/>
    <filterColumn colId="113" hiddenButton="1" showButton="1"/>
    <filterColumn colId="114" hiddenButton="1" showButton="1"/>
    <filterColumn colId="115" hiddenButton="1" showButton="1"/>
    <filterColumn colId="116" hiddenButton="1" showButton="1"/>
    <filterColumn colId="117" hiddenButton="1" showButton="1"/>
    <filterColumn colId="118" hiddenButton="1" showButton="1"/>
    <filterColumn colId="119" hiddenButton="1" showButton="1"/>
    <filterColumn colId="120" hiddenButton="1" showButton="1"/>
    <filterColumn colId="121" hiddenButton="1" showButton="1"/>
    <filterColumn colId="122" hiddenButton="1" showButton="1"/>
    <filterColumn colId="123" hiddenButton="1" showButton="1"/>
    <filterColumn colId="124" hiddenButton="1" showButton="1"/>
    <filterColumn colId="125" hiddenButton="1" showButton="1"/>
    <filterColumn colId="126" hiddenButton="1" showButton="1"/>
    <filterColumn colId="127" hiddenButton="1" showButton="1"/>
    <filterColumn colId="128" hiddenButton="1" showButton="1"/>
    <filterColumn colId="129" hiddenButton="1" showButton="1"/>
    <filterColumn colId="130" hiddenButton="1" showButton="1"/>
    <filterColumn colId="131" hiddenButton="1" showButton="1"/>
    <filterColumn colId="132" hiddenButton="1" showButton="1"/>
    <filterColumn colId="133" hiddenButton="1" showButton="1"/>
    <filterColumn colId="134" hiddenButton="1" showButton="1"/>
    <filterColumn colId="135" hiddenButton="1" showButton="1"/>
    <filterColumn colId="136" hiddenButton="1" showButton="1"/>
    <filterColumn colId="137" hiddenButton="1" showButton="1"/>
    <filterColumn colId="138" hiddenButton="1" showButton="1"/>
    <filterColumn colId="139" hiddenButton="1" showButton="1"/>
    <filterColumn colId="140" hiddenButton="1" showButton="1"/>
    <filterColumn colId="141" hiddenButton="1" showButton="1"/>
    <filterColumn colId="142" hiddenButton="1" showButton="1"/>
    <filterColumn colId="143" hiddenButton="1" showButton="1"/>
    <filterColumn colId="144" hiddenButton="1" showButton="1"/>
    <filterColumn colId="145" hiddenButton="1" showButton="1"/>
    <filterColumn colId="146" hiddenButton="1" showButton="1"/>
    <filterColumn colId="147" hiddenButton="1" showButton="1"/>
    <filterColumn colId="148" hiddenButton="1" showButton="1"/>
    <filterColumn colId="149" hiddenButton="1" showButton="1"/>
    <filterColumn colId="150" hiddenButton="1" showButton="1"/>
    <filterColumn colId="151" hiddenButton="1" showButton="1"/>
    <filterColumn colId="152" hiddenButton="1" showButton="1"/>
  </autoFilter>
  <tableColumns count="153">
    <tableColumn id="1" name="Personal Number" dataDxfId="278"/>
    <tableColumn id="2" name="Workstream" dataDxfId="277"/>
    <tableColumn id="66" name="Staff Type" dataDxfId="276"/>
    <tableColumn id="53" name="Resource Name" dataDxfId="275"/>
    <tableColumn id="54" name="Resource Provider" dataDxfId="274"/>
    <tableColumn id="3" name="Resource Plan Number" dataDxfId="273"/>
    <tableColumn id="5" name="Country" dataDxfId="272"/>
    <tableColumn id="6" name="JG" dataDxfId="271"/>
    <tableColumn id="79" name="Resource Group / Team" dataDxfId="270"/>
    <tableColumn id="8" name="Project Role" dataDxfId="269"/>
    <tableColumn id="9" name="Status" dataDxfId="268"/>
    <tableColumn id="82" name="Cost Boolean" dataDxfId="267"/>
    <tableColumn id="7" name="Location" dataDxfId="266"/>
    <tableColumn id="44" name="Capability" dataDxfId="265"/>
    <tableColumn id="81" name="OPEX/CAPEX" dataDxfId="264"/>
    <tableColumn id="80" name="Tag" dataDxfId="263"/>
    <tableColumn id="256" name="WBSE" dataDxfId="262"/>
    <tableColumn id="67" name="Planned Start Date" dataDxfId="261"/>
    <tableColumn id="68" name="Planned End Date" dataDxfId="260"/>
    <tableColumn id="69" name="Revised Start Date" dataDxfId="259"/>
    <tableColumn id="70" name="Revised End Date" dataDxfId="258"/>
    <tableColumn id="40" name="Actual Start Date" dataDxfId="257"/>
    <tableColumn id="41" name="Actual End Date" dataDxfId="256"/>
    <tableColumn id="85" name="Comments" dataDxfId="255"/>
    <tableColumn id="191" name="RATE CONCAT" dataDxfId="254">
      <calculatedColumnFormula>CONCATENATE(Table4[[#This Row],[JG]],Table4[[#This Row],[Country]],Table4[[#This Row],[Resource Provider]])</calculatedColumnFormula>
    </tableColumn>
    <tableColumn id="23" name="Rate" dataDxfId="253">
      <calculatedColumnFormula>VLOOKUP(Table4[[#This Row],[RATE CONCAT]],Tables!I:N,5,0)</calculatedColumnFormula>
    </tableColumn>
    <tableColumn id="258" name="DAYS" dataDxfId="252"/>
    <tableColumn id="257" name="Jan_2026_Days_Forecast" dataDxfId="251"/>
    <tableColumn id="255" name="Feb_2026_Days_Forecast" dataDxfId="250"/>
    <tableColumn id="254" name="Mar_2026_Days_Forecast" dataDxfId="249"/>
    <tableColumn id="253" name="Apr_2026_Days_Forecast" dataDxfId="248"/>
    <tableColumn id="252" name="May_2026_Days_Forecast" dataDxfId="247"/>
    <tableColumn id="251" name="Jun_2026_Days_Forecast" dataDxfId="246"/>
    <tableColumn id="250" name="Jul_2026_Days_Forecast" dataDxfId="245"/>
    <tableColumn id="224" name="Aug_2026_Days_Forecast" dataDxfId="244"/>
    <tableColumn id="190" name="Sep_2026_Days_Forecast" dataDxfId="243"/>
    <tableColumn id="102" name="Oct_2026_Days_Forecast" dataDxfId="242"/>
    <tableColumn id="100" name="Nov_2026_Days_Forecast" dataDxfId="241"/>
    <tableColumn id="97" name="Dec_2026_Days_Forecast" dataDxfId="240"/>
    <tableColumn id="64" name="FTE" dataDxfId="239">
      <calculatedColumnFormula>IFERROR(AVERAGE(Table4[[#This Row],[Jan_2026_Days_Forecast]:[Dec_2026_Days_Forecast]]),0)/19</calculatedColumnFormula>
    </tableColumn>
    <tableColumn id="34" name="2026_FTE" dataDxfId="238">
      <calculatedColumnFormula>IFERROR(AVERAGE(Table4[[#This Row],[Jan_2026_Days_Actual]:[Dec_2026_Days_Actual]]),0)/19</calculatedColumnFormula>
    </tableColumn>
    <tableColumn id="120" name="Jan_2026_Days_Actual" dataDxfId="237"/>
    <tableColumn id="121" name="Feb_2026_Days_Actual" dataDxfId="236"/>
    <tableColumn id="122" name="Mar_2026_Days_Actual" dataDxfId="235"/>
    <tableColumn id="123" name="Apr_2026_Days_Actual" dataDxfId="234"/>
    <tableColumn id="124" name="May_2026_Days_Actual" dataDxfId="233"/>
    <tableColumn id="125" name="Jun_2026_Days_Actual" dataDxfId="232"/>
    <tableColumn id="126" name="Jul_2026_Days_Actual" dataDxfId="231"/>
    <tableColumn id="127" name="Aug_2026_Days_Actual" dataDxfId="230"/>
    <tableColumn id="128" name="Sep_2026_Days_Actual" dataDxfId="229"/>
    <tableColumn id="129" name="Oct_2026_Days_Actual" dataDxfId="228"/>
    <tableColumn id="130" name="Nov_2026_Days_Actual" dataDxfId="227"/>
    <tableColumn id="131" name="Dec_2026_Days_Actual" dataDxfId="226"/>
    <tableColumn id="35" name="2027_FTE" dataDxfId="225">
      <calculatedColumnFormula>IFERROR(AVERAGE(Table4[[#This Row],[Jan_2027_Days_Forecast]:[Dec_2027_Days_Forecast]]),0)</calculatedColumnFormula>
    </tableColumn>
    <tableColumn id="132" name="Jan_2027_Days_Forecast" dataDxfId="224"/>
    <tableColumn id="133" name="Feb_2027_Days_Forecast" dataDxfId="223"/>
    <tableColumn id="134" name="Mar_2027_Days_Forecast" dataDxfId="222"/>
    <tableColumn id="135" name="Apr_2027_Days_Forecast" dataDxfId="221"/>
    <tableColumn id="136" name="May_2027_Days_Forecast" dataDxfId="220"/>
    <tableColumn id="137" name="Jun_2027_Days_Forecast" dataDxfId="219"/>
    <tableColumn id="78" name="Jul_2027_Days_Forecast" dataDxfId="218"/>
    <tableColumn id="77" name="Aug_2027_Days_Forecast" dataDxfId="217"/>
    <tableColumn id="76" name="Sep_2027_Days_Forecast" dataDxfId="216"/>
    <tableColumn id="75" name="Oct_2027_Days_Forecast" dataDxfId="215"/>
    <tableColumn id="74" name="Nov_2027_Days_Forecast" dataDxfId="214"/>
    <tableColumn id="73" name="Dec_2027_Days_Forecast" dataDxfId="213"/>
    <tableColumn id="138" name="COSTS" dataDxfId="212"/>
    <tableColumn id="10" name="2026_C" dataDxfId="211" dataCellStyle="Currency"/>
    <tableColumn id="31" name="Jan_2026_F" dataDxfId="210" dataCellStyle="Currency">
      <calculatedColumnFormula>Table4[[#This Row],[Jan_2026_Days_Forecast]]*Table4[[#This Row],[Cost Boolean]]*VLOOKUP(Table4[[#This Row],[RATE CONCAT]],Tables!I:N,5,0)</calculatedColumnFormula>
    </tableColumn>
    <tableColumn id="32" name="Jan_2026_A" dataDxfId="209" dataCellStyle="Currency">
      <calculatedColumnFormula>IFERROR(Table4[[#This Row],[Jan_2026_Days_Actual]]*Table4[[#This Row],[Cost Boolean]]*(VLOOKUP(Table4[[#This Row],[RATE CONCAT]],Tables!I:N,5,0)),0)</calculatedColumnFormula>
    </tableColumn>
    <tableColumn id="33" name="Jan_2026_V" dataDxfId="208" dataCellStyle="Currency">
      <calculatedColumnFormula>Table4[[#This Row],[Jan_2026_F]]-Table4[[#This Row],[Jan_2026_A]]</calculatedColumnFormula>
    </tableColumn>
    <tableColumn id="4" name="Jan_2026_V_Reason" dataDxfId="207" dataCellStyle="Currency"/>
    <tableColumn id="139" name="Feb_2026_F" dataDxfId="206" dataCellStyle="Currency">
      <calculatedColumnFormula>IFERROR(Table4[[#This Row],[Feb_2026_Days_Forecast]]*Table4[[#This Row],[Cost Boolean]]*(VLOOKUP(Table4[[#This Row],[RATE CONCAT]],Tables!I:N,5,0)),0)</calculatedColumnFormula>
    </tableColumn>
    <tableColumn id="140" name="Feb_2026_A" dataDxfId="205" dataCellStyle="Currency">
      <calculatedColumnFormula>IFERROR(Table4[[#This Row],[Feb_2026_Days_Actual]]*Table4[[#This Row],[Cost Boolean]]*(VLOOKUP(Table4[[#This Row],[RATE CONCAT]],Tables!I:N,5,0)),0)</calculatedColumnFormula>
    </tableColumn>
    <tableColumn id="141" name="Feb_2026_D" dataDxfId="204" dataCellStyle="Currency">
      <calculatedColumnFormula>Table4[[#This Row],[Feb_2026_F]]-Table4[[#This Row],[Feb_2026_A]]</calculatedColumnFormula>
    </tableColumn>
    <tableColumn id="12" name="Feb_2026_V_Reason" dataDxfId="203" dataCellStyle="Currency"/>
    <tableColumn id="142" name="Mar_2026_F" dataDxfId="202" dataCellStyle="Currency">
      <calculatedColumnFormula>IFERROR(Table4[[#This Row],[Mar_2026_Days_Forecast]]*Table4[[#This Row],[Cost Boolean]]*(VLOOKUP(Table4[[#This Row],[RATE CONCAT]],Tables!I:N,5,0)),0)</calculatedColumnFormula>
    </tableColumn>
    <tableColumn id="143" name="Mar_2026_A" dataDxfId="201" dataCellStyle="Currency">
      <calculatedColumnFormula>IFERROR(Table4[[#This Row],[Mar_2026_Days_Actual]]*Table4[[#This Row],[Cost Boolean]]*(VLOOKUP(Table4[[#This Row],[RATE CONCAT]],Tables!I:N,5,0)),0)</calculatedColumnFormula>
    </tableColumn>
    <tableColumn id="144" name="Mar_2026_D" dataDxfId="200" dataCellStyle="Currency">
      <calculatedColumnFormula>Table4[[#This Row],[Mar_2026_F]]-Table4[[#This Row],[Mar_2026_A]]</calculatedColumnFormula>
    </tableColumn>
    <tableColumn id="13" name="Mar_2026_V_Reason" dataDxfId="199"/>
    <tableColumn id="145" name="Apr_2026_F" dataDxfId="198" dataCellStyle="Currency">
      <calculatedColumnFormula>IFERROR(Table4[[#This Row],[Apr_2026_Days_Forecast]]*Table4[[#This Row],[Cost Boolean]]*(VLOOKUP(Table4[[#This Row],[RATE CONCAT]],Tables!I:N,5,0)),0)</calculatedColumnFormula>
    </tableColumn>
    <tableColumn id="146" name="Apr_2026_A" dataDxfId="197" dataCellStyle="Currency">
      <calculatedColumnFormula>IFERROR(Table4[[#This Row],[Apr_2026_Days_Actual]]*Table4[[#This Row],[Cost Boolean]]*(VLOOKUP(Table4[[#This Row],[RATE CONCAT]],Tables!I:N,5,0)),0)</calculatedColumnFormula>
    </tableColumn>
    <tableColumn id="147" name="Apr_2026_D" dataDxfId="196" dataCellStyle="Currency">
      <calculatedColumnFormula>Table4[[#This Row],[Apr_2026_F]]-Table4[[#This Row],[Apr_2026_A]]</calculatedColumnFormula>
    </tableColumn>
    <tableColumn id="14" name="Apr_2026_V_Reason" dataDxfId="195"/>
    <tableColumn id="148" name="May_2026_F" dataDxfId="194" dataCellStyle="Currency">
      <calculatedColumnFormula>IFERROR(Table4[[#This Row],[May_2026_Days_Forecast]] *Table4[[#This Row],[Cost Boolean]]*(VLOOKUP(Table4[[#This Row],[RATE CONCAT]],Tables!I:N,5,0)),0)</calculatedColumnFormula>
    </tableColumn>
    <tableColumn id="149" name="May_2026_A" dataDxfId="193" dataCellStyle="Currency">
      <calculatedColumnFormula>IFERROR(Table4[[#This Row],[May_2026_Days_Actual]]*Table4[[#This Row],[Cost Boolean]]*(VLOOKUP(Table4[[#This Row],[RATE CONCAT]],Tables!I:N,5,0)),0)</calculatedColumnFormula>
    </tableColumn>
    <tableColumn id="150" name="May_2026_D" dataDxfId="192" dataCellStyle="Currency">
      <calculatedColumnFormula>Table4[[#This Row],[May_2026_F]]-Table4[[#This Row],[May_2026_A]]</calculatedColumnFormula>
    </tableColumn>
    <tableColumn id="15" name="May_2026_V_Reason" dataDxfId="191"/>
    <tableColumn id="151" name="Jun_2026_F" dataDxfId="190" dataCellStyle="Currency">
      <calculatedColumnFormula>IFERROR(Table4[[#This Row],[Jun_2026_Days_Forecast]]*Table4[[#This Row],[Cost Boolean]]*(VLOOKUP(Table4[[#This Row],[RATE CONCAT]],Tables!I:N,5,0)),0)</calculatedColumnFormula>
    </tableColumn>
    <tableColumn id="152" name="Jun_2026_A" dataDxfId="189" dataCellStyle="Currency">
      <calculatedColumnFormula>IFERROR(Table4[[#This Row],[Jun_2026_Days_Actual]]*Table4[[#This Row],[Cost Boolean]]*(VLOOKUP(Table4[[#This Row],[RATE CONCAT]],Tables!I:N,5,0)),0)</calculatedColumnFormula>
    </tableColumn>
    <tableColumn id="153" name="Jun_2026_D" dataDxfId="188" dataCellStyle="Currency">
      <calculatedColumnFormula>Table4[[#This Row],[Jun_2026_F]]-Table4[[#This Row],[Jun_2026_A]]</calculatedColumnFormula>
    </tableColumn>
    <tableColumn id="16" name="Jun_2026_V_Reason" dataDxfId="187"/>
    <tableColumn id="154" name="Jul_2026_F" dataDxfId="186" dataCellStyle="Currency">
      <calculatedColumnFormula>IFERROR(Table4[[#This Row],[Jul_2026_Days_Forecast]]*Table4[[#This Row],[Cost Boolean]]*(VLOOKUP(Table4[[#This Row],[RATE CONCAT]],Tables!I:N,5,0)),0)</calculatedColumnFormula>
    </tableColumn>
    <tableColumn id="155" name="Jul_2026_A" dataDxfId="185" dataCellStyle="Currency">
      <calculatedColumnFormula>IFERROR(Table4[[#This Row],[Aug_2026_Days_Forecast]]*Table4[[#This Row],[Location]]*(VLOOKUP(Table4[[#This Row],[Rate]],Tables!J:O,5,0)),0)</calculatedColumnFormula>
    </tableColumn>
    <tableColumn id="156" name="Jul_2026_D" dataDxfId="184" dataCellStyle="Currency">
      <calculatedColumnFormula>Table4[[#This Row],[Jul_2026_F]]-Table4[[#This Row],[Jul_2026_A]]</calculatedColumnFormula>
    </tableColumn>
    <tableColumn id="17" name="Jul_2026_V_Reason" dataDxfId="183"/>
    <tableColumn id="157" name="Aug_2026_F" dataDxfId="182" dataCellStyle="Currency">
      <calculatedColumnFormula>IFERROR(Table4[[#This Row],[Aug_2026_Days_Forecast]]*Table4[[#This Row],[Cost Boolean]]*(VLOOKUP(Table4[[#This Row],[RATE CONCAT]],Tables!I:N,5,0)),0)</calculatedColumnFormula>
    </tableColumn>
    <tableColumn id="158" name="Aug_2026_A" dataDxfId="181" dataCellStyle="Currency">
      <calculatedColumnFormula>IFERROR(Table4[[#This Row],[Aug_2026_Days_Actual]]*Table4[[#This Row],[Cost Boolean]]*(VLOOKUP(Table4[[#This Row],[RATE CONCAT]],Tables!I:N,5,0)),0)</calculatedColumnFormula>
    </tableColumn>
    <tableColumn id="159" name="Aug_2026_D" dataDxfId="180" dataCellStyle="Currency">
      <calculatedColumnFormula>Table4[[#This Row],[Aug_2026_F]]-Table4[[#This Row],[Aug_2026_A]]</calculatedColumnFormula>
    </tableColumn>
    <tableColumn id="18" name="Aug_2026_V_Reason" dataDxfId="179"/>
    <tableColumn id="160" name="Sep_2026_F" dataDxfId="178" dataCellStyle="Currency">
      <calculatedColumnFormula>IFERROR(Table4[[#This Row],[Sep_2026_Days_Forecast]]*Table4[[#This Row],[Cost Boolean]]*(VLOOKUP(Table4[[#This Row],[RATE CONCAT]],Tables!I:N,5,0)),0)</calculatedColumnFormula>
    </tableColumn>
    <tableColumn id="161" name="Sep_2026_A" dataDxfId="177" dataCellStyle="Currency">
      <calculatedColumnFormula>IFERROR(Table4[[#This Row],[Sep_2026_Days_Actual]]*Table4[[#This Row],[Cost Boolean]]*(VLOOKUP(Table4[[#This Row],[RATE CONCAT]],Tables!I:N,5,0)),0)</calculatedColumnFormula>
    </tableColumn>
    <tableColumn id="162" name="Sep_2026_D" dataDxfId="176" dataCellStyle="Currency">
      <calculatedColumnFormula>Table4[[#This Row],[Sep_2026_F]]-Table4[[#This Row],[Sep_2026_A]]</calculatedColumnFormula>
    </tableColumn>
    <tableColumn id="19" name="Sep_2026_V_Reason" dataDxfId="175"/>
    <tableColumn id="163" name="Oct_2026_F" dataDxfId="174" dataCellStyle="Currency">
      <calculatedColumnFormula>IFERROR(Table4[[#This Row],[Oct_2026_Days_Forecast]]*Table4[[#This Row],[Cost Boolean]]*(VLOOKUP(Table4[[#This Row],[RATE CONCAT]],Tables!I:N,5,0)),0)</calculatedColumnFormula>
    </tableColumn>
    <tableColumn id="164" name="Oct_2026_A" dataDxfId="173" dataCellStyle="Currency">
      <calculatedColumnFormula>IFERROR(Table4[[#This Row],[Oct_2026_Days_Actual]]*Table4[[#This Row],[Cost Boolean]]*(VLOOKUP(Table4[[#This Row],[RATE CONCAT]],Tables!I:N,5,0)),0)</calculatedColumnFormula>
    </tableColumn>
    <tableColumn id="165" name="Oct_2026_D" dataDxfId="172" dataCellStyle="Currency">
      <calculatedColumnFormula>Table4[[#This Row],[Oct_2026_F]]-Table4[[#This Row],[Oct_2026_A]]</calculatedColumnFormula>
    </tableColumn>
    <tableColumn id="20" name="Oct_2026_V_Reason" dataDxfId="171"/>
    <tableColumn id="166" name="Nov_2026_F" dataDxfId="170" dataCellStyle="Currency">
      <calculatedColumnFormula>IFERROR(Table4[[#This Row],[Nov_2026_Days_Forecast]]*Table4[[#This Row],[Cost Boolean]]*(VLOOKUP(Table4[[#This Row],[RATE CONCAT]],Tables!I:N,5,0)),0)</calculatedColumnFormula>
    </tableColumn>
    <tableColumn id="167" name="Nov_2026_A" dataDxfId="169" dataCellStyle="Currency">
      <calculatedColumnFormula>IFERROR(Table4[[#This Row],[Nov_2026_Days_Actual]]*Table4[[#This Row],[Cost Boolean]]*(VLOOKUP(Table4[[#This Row],[RATE CONCAT]],Tables!I:N,5,0)),0)</calculatedColumnFormula>
    </tableColumn>
    <tableColumn id="168" name="Nov_2026_D" dataDxfId="168" dataCellStyle="Currency">
      <calculatedColumnFormula>Table4[[#This Row],[Nov_2026_F]]-Table4[[#This Row],[Nov_2026_A]]</calculatedColumnFormula>
    </tableColumn>
    <tableColumn id="21" name="Nov_2026_V_Reason" dataDxfId="167"/>
    <tableColumn id="169" name="Dec_2026_F" dataDxfId="166" dataCellStyle="Currency">
      <calculatedColumnFormula>IFERROR(Table4[[#This Row],[Dec_2026_Days_Forecast]]*Table4[[#This Row],[Cost Boolean]]*(VLOOKUP(Table4[[#This Row],[RATE CONCAT]],Tables!I:N,5,0)),0)</calculatedColumnFormula>
    </tableColumn>
    <tableColumn id="170" name="Dec_2026_A" dataDxfId="165" dataCellStyle="Currency">
      <calculatedColumnFormula>IFERROR(Table4[[#This Row],[Dec_2026_Days_Actual]]*Table4[[#This Row],[Cost Boolean]]*(VLOOKUP(Table4[[#This Row],[RATE CONCAT]],Tables!I:N,5,0)),0)</calculatedColumnFormula>
    </tableColumn>
    <tableColumn id="171" name="Dec_2026_D" dataDxfId="164" dataCellStyle="Currency">
      <calculatedColumnFormula>Table4[[#This Row],[Dec_2026_F]]-Table4[[#This Row],[Dec_2026_A]]</calculatedColumnFormula>
    </tableColumn>
    <tableColumn id="22" name="Dec_2026_V_Reason" dataDxfId="163"/>
    <tableColumn id="11" name="2027_C" dataDxfId="162" dataCellStyle="Currency"/>
    <tableColumn id="172" name="Jan_2027_F" dataDxfId="161" dataCellStyle="Currency">
      <calculatedColumnFormula>IFERROR(Table4[[#This Row],[Jan_2027_Days_Forecast]]*Table4[[#This Row],[Cost Boolean]]*(VLOOKUP(Table4[[#This Row],[RATE CONCAT]],Tables!I:N,6,0)),0)</calculatedColumnFormula>
    </tableColumn>
    <tableColumn id="173" name="Jan_2027_A" dataCellStyle="Currency"/>
    <tableColumn id="174" name="Jan_2027_D" dataDxfId="160" dataCellStyle="Currency">
      <calculatedColumnFormula>Table4[[#This Row],[Jan_2027_F]]-Table4[[#This Row],[Jan_2027_A]]</calculatedColumnFormula>
    </tableColumn>
    <tableColumn id="175" name="Feb_2027_F" dataDxfId="159" dataCellStyle="Currency">
      <calculatedColumnFormula>IFERROR(Table4[[#This Row],[Feb_2027_Days_Forecast]]*Table4[[#This Row],[Cost Boolean]]*(VLOOKUP(Table4[[#This Row],[RATE CONCAT]],Tables!I:N,6,0)),0)</calculatedColumnFormula>
    </tableColumn>
    <tableColumn id="176" name="Feb_2027_A" dataCellStyle="Currency"/>
    <tableColumn id="177" name="Feb_2027_D" dataDxfId="158" dataCellStyle="Currency">
      <calculatedColumnFormula>Table4[[#This Row],[Feb_2027_F]]-Table4[[#This Row],[Feb_2027_A]]</calculatedColumnFormula>
    </tableColumn>
    <tableColumn id="178" name="Mar_2027_F" dataDxfId="157" dataCellStyle="Currency">
      <calculatedColumnFormula>IFERROR(Table4[[#This Row],[Mar_2027_Days_Forecast]]*Table4[[#This Row],[Cost Boolean]]*(VLOOKUP(Table4[[#This Row],[RATE CONCAT]],Tables!I:N,6,0)),0)</calculatedColumnFormula>
    </tableColumn>
    <tableColumn id="179" name="Mar_2027_A" dataCellStyle="Currency"/>
    <tableColumn id="180" name="Mar_2027_D" dataDxfId="156" dataCellStyle="Currency">
      <calculatedColumnFormula>Table4[[#This Row],[Mar_2027_F]]-Table4[[#This Row],[Mar_2027_A]]</calculatedColumnFormula>
    </tableColumn>
    <tableColumn id="181" name="Apr_2027_F" dataDxfId="155" dataCellStyle="Currency">
      <calculatedColumnFormula>IFERROR(Table4[[#This Row],[Apr_2027_Days_Forecast]]*Table4[[#This Row],[Cost Boolean]]*(VLOOKUP(Table4[[#This Row],[RATE CONCAT]],Tables!I:N,6,0)),0)</calculatedColumnFormula>
    </tableColumn>
    <tableColumn id="182" name="Apr_2027_A" dataCellStyle="Currency"/>
    <tableColumn id="183" name="Apr_2027_D" dataDxfId="154" dataCellStyle="Currency">
      <calculatedColumnFormula>Table4[[#This Row],[Apr_2027_F]]-Table4[[#This Row],[Apr_2027_A]]</calculatedColumnFormula>
    </tableColumn>
    <tableColumn id="184" name="May_2027_F" dataDxfId="153" dataCellStyle="Currency">
      <calculatedColumnFormula>IFERROR(Table4[[#This Row],[May_2027_Days_Forecast]]*Table4[[#This Row],[Cost Boolean]]*(VLOOKUP(Table4[[#This Row],[RATE CONCAT]],Tables!I:N,6,0)),0)</calculatedColumnFormula>
    </tableColumn>
    <tableColumn id="185" name="May_2027_A" dataCellStyle="Currency"/>
    <tableColumn id="186" name="May_2027_D" dataDxfId="152" dataCellStyle="Currency">
      <calculatedColumnFormula>Table4[[#This Row],[May_2027_F]]-Table4[[#This Row],[May_2027_A]]</calculatedColumnFormula>
    </tableColumn>
    <tableColumn id="187" name="Jun_2027_F" dataDxfId="151" dataCellStyle="Currency">
      <calculatedColumnFormula>IFERROR(Table4[[#This Row],[Jun_2027_Days_Forecast]]*Table4[[#This Row],[Cost Boolean]]*(VLOOKUP(Table4[[#This Row],[RATE CONCAT]],Tables!I:N,6,0)),0)</calculatedColumnFormula>
    </tableColumn>
    <tableColumn id="188" name="Jun_2027_A" dataCellStyle="Currency"/>
    <tableColumn id="189" name="Jun_2027_D" dataDxfId="150" dataCellStyle="Currency">
      <calculatedColumnFormula>Table4[[#This Row],[Jun_2027_F]]-Table4[[#This Row],[Jun_2027_A]]</calculatedColumnFormula>
    </tableColumn>
    <tableColumn id="219" name="Jul_2027_F" dataDxfId="149" dataCellStyle="Currency">
      <calculatedColumnFormula>IFERROR(Table4[[#This Row],[Jul_2027_Days_Forecast]]*Table4[[#This Row],[Cost Boolean]]*(VLOOKUP(Table4[[#This Row],[RATE CONCAT]],Tables!I:N,6,0)),0)</calculatedColumnFormula>
    </tableColumn>
    <tableColumn id="220" name="Jul_2027_A" dataDxfId="148" dataCellStyle="Currency"/>
    <tableColumn id="223" name="Jul_2027_D" dataDxfId="147" dataCellStyle="Currency">
      <calculatedColumnFormula>Table4[[#This Row],[Jul_2027_F]]-Table4[[#This Row],[Jul_2027_A]]</calculatedColumnFormula>
    </tableColumn>
    <tableColumn id="225" name="Aug_2027_F" dataDxfId="146" dataCellStyle="Currency">
      <calculatedColumnFormula>IFERROR(Table4[[#This Row],[Aug_2027_Days_Forecast]]*Table4[[#This Row],[Cost Boolean]]*(VLOOKUP(Table4[[#This Row],[RATE CONCAT]],Tables!I:N,6,0)),0)</calculatedColumnFormula>
    </tableColumn>
    <tableColumn id="226" name="Aug_2027_A" dataDxfId="145" dataCellStyle="Currency"/>
    <tableColumn id="229" name="Aug_2027_D" dataDxfId="144" dataCellStyle="Currency">
      <calculatedColumnFormula>Table4[[#This Row],[Aug_2027_F]]-Table4[[#This Row],[Aug_2027_A]]</calculatedColumnFormula>
    </tableColumn>
    <tableColumn id="230" name="Sep_2027_F" dataDxfId="143" dataCellStyle="Currency">
      <calculatedColumnFormula>IFERROR(Table4[[#This Row],[Sep_2027_Days_Forecast]]*Table4[[#This Row],[Cost Boolean]]*(VLOOKUP(Table4[[#This Row],[RATE CONCAT]],Tables!I:N,6,0)),0)</calculatedColumnFormula>
    </tableColumn>
    <tableColumn id="231" name="Sep_2027_A" dataDxfId="142" dataCellStyle="Currency"/>
    <tableColumn id="234" name="Sep_2027_D" dataDxfId="141" dataCellStyle="Currency">
      <calculatedColumnFormula>Table4[[#This Row],[Sep_2027_F]]-Table4[[#This Row],[Sep_2027_A]]</calculatedColumnFormula>
    </tableColumn>
    <tableColumn id="235" name="Oct_2027_F" dataDxfId="140" dataCellStyle="Currency">
      <calculatedColumnFormula>IFERROR(Table4[[#This Row],[Oct_2027_Days_Forecast]]*Table4[[#This Row],[Cost Boolean]]*(VLOOKUP(Table4[[#This Row],[RATE CONCAT]],Tables!I:N,6,0)),0)</calculatedColumnFormula>
    </tableColumn>
    <tableColumn id="236" name="Oct_2027_A" dataDxfId="139" dataCellStyle="Currency"/>
    <tableColumn id="239" name="Oct_2027_D" dataDxfId="138" dataCellStyle="Currency">
      <calculatedColumnFormula>Table4[[#This Row],[Oct_2027_F]]-Table4[[#This Row],[Oct_2027_A]]</calculatedColumnFormula>
    </tableColumn>
    <tableColumn id="240" name="Nov_2027_F" dataDxfId="137" dataCellStyle="Currency">
      <calculatedColumnFormula>IFERROR(Table4[[#This Row],[Nov_2027_Days_Forecast]]*Table4[[#This Row],[Cost Boolean]]*(VLOOKUP(Table4[[#This Row],[RATE CONCAT]],Tables!I:N,6,0)),0)</calculatedColumnFormula>
    </tableColumn>
    <tableColumn id="241" name="Nov_2027_A" dataDxfId="136" dataCellStyle="Currency"/>
    <tableColumn id="244" name="Nov_2027_D" dataDxfId="135" dataCellStyle="Currency">
      <calculatedColumnFormula>Table4[[#This Row],[Nov_2027_F]]-Table4[[#This Row],[Nov_2027_A]]</calculatedColumnFormula>
    </tableColumn>
    <tableColumn id="245" name="Dec_2027_F" dataDxfId="134" dataCellStyle="Currency">
      <calculatedColumnFormula>IFERROR(Table4[[#This Row],[Dec_2027_Days_Forecast]]*Table4[[#This Row],[Cost Boolean]]*(VLOOKUP(Table4[[#This Row],[RATE CONCAT]],Tables!I:N,6,0)),0)</calculatedColumnFormula>
    </tableColumn>
    <tableColumn id="246" name="Dec_2027_A" dataDxfId="133" dataCellStyle="Currency"/>
    <tableColumn id="249" name="Dec_2027_D" dataDxfId="132" dataCellStyle="Currency">
      <calculatedColumnFormula>Table4[[#This Row],[Dec_2027_F]]-Table4[[#This Row],[Dec_2027_A]]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6" displayName="Table46" ref="A11:CG59" headerRowCount="1" totalsRowShown="0" headerRowDxfId="113">
  <autoFilter ref="A11:CG59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  <filterColumn colId="42" hiddenButton="1" showButton="1"/>
    <filterColumn colId="43" hiddenButton="1" showButton="1"/>
    <filterColumn colId="44" hiddenButton="1" showButton="1"/>
    <filterColumn colId="45" hiddenButton="1" showButton="1"/>
    <filterColumn colId="46" hiddenButton="1" showButton="1"/>
    <filterColumn colId="47" hiddenButton="1" showButton="1"/>
    <filterColumn colId="48" hiddenButton="1" showButton="1"/>
    <filterColumn colId="49" hiddenButton="1" showButton="1"/>
    <filterColumn colId="50" hiddenButton="1" showButton="1"/>
    <filterColumn colId="51" hiddenButton="1" showButton="1"/>
    <filterColumn colId="52" hiddenButton="1" showButton="1"/>
    <filterColumn colId="53" hiddenButton="1" showButton="1"/>
    <filterColumn colId="54" hiddenButton="1" showButton="1"/>
    <filterColumn colId="55" hiddenButton="1" showButton="1"/>
    <filterColumn colId="56" hiddenButton="1" showButton="1"/>
    <filterColumn colId="57" hiddenButton="1" showButton="1"/>
    <filterColumn colId="58" hiddenButton="1" showButton="1"/>
    <filterColumn colId="59" hiddenButton="1" showButton="1"/>
    <filterColumn colId="60" hiddenButton="1" showButton="1"/>
    <filterColumn colId="61" hiddenButton="1" showButton="1"/>
    <filterColumn colId="62" hiddenButton="1" showButton="1"/>
    <filterColumn colId="63" hiddenButton="1" showButton="1"/>
    <filterColumn colId="64" hiddenButton="1" showButton="1"/>
    <filterColumn colId="65" hiddenButton="1" showButton="1"/>
    <filterColumn colId="66" hiddenButton="1" showButton="1"/>
    <filterColumn colId="67" hiddenButton="1" showButton="1"/>
    <filterColumn colId="68" hiddenButton="1" showButton="1"/>
    <filterColumn colId="69" hiddenButton="1" showButton="1"/>
    <filterColumn colId="70" hiddenButton="1" showButton="1"/>
    <filterColumn colId="71" hiddenButton="1" showButton="1"/>
    <filterColumn colId="72" hiddenButton="1" showButton="1"/>
    <filterColumn colId="73" hiddenButton="1" showButton="1"/>
    <filterColumn colId="74" hiddenButton="1" showButton="1"/>
    <filterColumn colId="75" hiddenButton="1" showButton="1"/>
    <filterColumn colId="76" hiddenButton="1" showButton="1"/>
    <filterColumn colId="77" hiddenButton="1" showButton="1"/>
    <filterColumn colId="78" hiddenButton="1" showButton="1"/>
    <filterColumn colId="79" hiddenButton="1" showButton="1"/>
    <filterColumn colId="80" hiddenButton="1" showButton="1"/>
    <filterColumn colId="81" hiddenButton="1" showButton="1"/>
    <filterColumn colId="82" hiddenButton="1" showButton="1"/>
    <filterColumn colId="83" hiddenButton="1" showButton="1"/>
    <filterColumn colId="84" hiddenButton="1" showButton="1"/>
  </autoFilter>
  <tableColumns count="85">
    <tableColumn id="2" name="Workstream" dataDxfId="112"/>
    <tableColumn id="66" name="Cost type" dataDxfId="111"/>
    <tableColumn id="84" name="Item Description" dataDxfId="110"/>
    <tableColumn id="85" name="Comments" dataDxfId="109"/>
    <tableColumn id="54" name="Supplier" dataDxfId="108"/>
    <tableColumn id="5" name="Tags" dataDxfId="107"/>
    <tableColumn id="86" name="Focal" dataDxfId="106"/>
    <tableColumn id="7" name="Document reference #" dataDxfId="105"/>
    <tableColumn id="71" name="Foundational Cost" dataDxfId="104"/>
    <tableColumn id="1" name="Tag" dataDxfId="103"/>
    <tableColumn id="81" name="COSTS" dataDxfId="102"/>
    <tableColumn id="9" name="2026_LE" dataDxfId="101" dataCellStyle="Currency"/>
    <tableColumn id="10" name="Jan_26_F" dataDxfId="100" dataCellStyle="Currency"/>
    <tableColumn id="65" name="Jan_26_Act" dataDxfId="99" dataCellStyle="Currency"/>
    <tableColumn id="109" name="Jan_26_D" dataDxfId="98" dataCellStyle="Currency">
      <calculatedColumnFormula>Table46[[#This Row],[Jan_26_F]]-Table46[[#This Row],[Jan_26_Act]]</calculatedColumnFormula>
    </tableColumn>
    <tableColumn id="11" name="Feb_26_F" dataDxfId="97" dataCellStyle="Currency"/>
    <tableColumn id="64" name="Feb_26_A" dataDxfId="96" dataCellStyle="Currency"/>
    <tableColumn id="108" name="Feb_26_D" dataDxfId="95" dataCellStyle="Currency">
      <calculatedColumnFormula>Table46[[#This Row],[Feb_26_F]]-Table46[[#This Row],[Feb_26_A]]</calculatedColumnFormula>
    </tableColumn>
    <tableColumn id="12" name="Mar_26_F" dataDxfId="94" dataCellStyle="Currency"/>
    <tableColumn id="63" name="Mar_26_A" dataDxfId="93" dataCellStyle="Currency"/>
    <tableColumn id="107" name="Mar_26_D" dataDxfId="92" dataCellStyle="Currency">
      <calculatedColumnFormula>Table46[[#This Row],[Mar_26_F]]-Table46[[#This Row],[Mar_26_A]]</calculatedColumnFormula>
    </tableColumn>
    <tableColumn id="13" name="Apr_26_F" dataDxfId="91" dataCellStyle="Currency"/>
    <tableColumn id="62" name="Apr_26_A" dataDxfId="90" dataCellStyle="Currency"/>
    <tableColumn id="106" name="Apr_26_D" dataDxfId="89" dataCellStyle="Currency">
      <calculatedColumnFormula>Table46[[#This Row],[Apr_26_F]]-Table46[[#This Row],[Apr_26_A]]</calculatedColumnFormula>
    </tableColumn>
    <tableColumn id="14" name="May_26_F" dataDxfId="88" dataCellStyle="Currency"/>
    <tableColumn id="61" name="May_26_A" dataDxfId="87" dataCellStyle="Currency"/>
    <tableColumn id="105" name="May_26_D" dataDxfId="86" dataCellStyle="Currency">
      <calculatedColumnFormula>Table46[[#This Row],[May_26_F]]-Table46[[#This Row],[May_26_A]]</calculatedColumnFormula>
    </tableColumn>
    <tableColumn id="15" name="Jun_26_F" dataDxfId="85" dataCellStyle="Currency"/>
    <tableColumn id="60" name="Jun_26_A" dataDxfId="84" dataCellStyle="Currency"/>
    <tableColumn id="104" name="Jun_26_D" dataDxfId="83" dataCellStyle="Currency">
      <calculatedColumnFormula>Table46[[#This Row],[Jun_26_F]]-Table46[[#This Row],[Jun_26_A]]</calculatedColumnFormula>
    </tableColumn>
    <tableColumn id="16" name="Jul_26_F" dataDxfId="82" dataCellStyle="Currency"/>
    <tableColumn id="59" name="Jul_26_A" dataDxfId="81" dataCellStyle="Currency"/>
    <tableColumn id="103" name="Jul_26_D" dataDxfId="80" dataCellStyle="Currency">
      <calculatedColumnFormula>Table46[[#This Row],[Jul_26_F]]-Table46[[#This Row],[Jul_26_A]]</calculatedColumnFormula>
    </tableColumn>
    <tableColumn id="17" name="Aug_26_F" dataDxfId="79" dataCellStyle="Currency"/>
    <tableColumn id="58" name="Aug_26_A" dataDxfId="78" dataCellStyle="Currency"/>
    <tableColumn id="102" name="Aug_26_D" dataDxfId="77" dataCellStyle="Currency">
      <calculatedColumnFormula>Table46[[#This Row],[Aug_26_F]]-Table46[[#This Row],[Aug_26_A]]</calculatedColumnFormula>
    </tableColumn>
    <tableColumn id="18" name="Sep_26_F" dataDxfId="76" dataCellStyle="Currency"/>
    <tableColumn id="57" name="Sep_26_A" dataDxfId="75" dataCellStyle="Currency"/>
    <tableColumn id="101" name="Sep_26_D" dataDxfId="74" dataCellStyle="Currency">
      <calculatedColumnFormula>Table46[[#This Row],[Sep_26_F]]-Table46[[#This Row],[Sep_26_A]]</calculatedColumnFormula>
    </tableColumn>
    <tableColumn id="19" name="Oct_26_F" dataDxfId="73" dataCellStyle="Currency"/>
    <tableColumn id="56" name="Oct_26_A" dataDxfId="72" dataCellStyle="Currency"/>
    <tableColumn id="100" name="Oct_26_D" dataDxfId="71" dataCellStyle="Currency">
      <calculatedColumnFormula>Table46[[#This Row],[Oct_26_F]]-Table46[[#This Row],[Oct_26_A]]</calculatedColumnFormula>
    </tableColumn>
    <tableColumn id="20" name="Nov_26_F" dataDxfId="70" dataCellStyle="Currency"/>
    <tableColumn id="55" name="Nov_26_A" dataDxfId="69" dataCellStyle="Currency"/>
    <tableColumn id="99" name="Nov_26_D" dataDxfId="68" dataCellStyle="Currency">
      <calculatedColumnFormula>Table46[[#This Row],[Nov_26_F]]-Table46[[#This Row],[Nov_26_A]]</calculatedColumnFormula>
    </tableColumn>
    <tableColumn id="21" name="Dec_26_F" dataDxfId="67" dataCellStyle="Currency"/>
    <tableColumn id="53" name="Dec_26_A" dataDxfId="66" dataCellStyle="Currency"/>
    <tableColumn id="98" name="Dec_26_D" dataDxfId="65" dataCellStyle="Currency">
      <calculatedColumnFormula>Table46[[#This Row],[Dec_26_F]]-Table46[[#This Row],[Dec_26_A]]</calculatedColumnFormula>
    </tableColumn>
    <tableColumn id="22" name="2027_LE" dataDxfId="64" dataCellStyle="Currency"/>
    <tableColumn id="23" name="Jan_27_F" dataDxfId="63" dataCellStyle="Currency"/>
    <tableColumn id="52" name="Jan_27_Act" dataDxfId="62" dataCellStyle="Currency"/>
    <tableColumn id="97" name="Jan_27_D" dataDxfId="61" dataCellStyle="Currency">
      <calculatedColumnFormula>Table46[[#This Row],[Jan_27_F]]-Table46[[#This Row],[Jan_27_Act]]</calculatedColumnFormula>
    </tableColumn>
    <tableColumn id="24" name="Feb_27_F" dataDxfId="60" dataCellStyle="Currency"/>
    <tableColumn id="51" name="Feb_27_A" dataDxfId="59" dataCellStyle="Currency"/>
    <tableColumn id="96" name="Feb_27_D" dataDxfId="58" dataCellStyle="Currency">
      <calculatedColumnFormula>Table46[[#This Row],[Feb_27_F]]-Table46[[#This Row],[Feb_27_A]]</calculatedColumnFormula>
    </tableColumn>
    <tableColumn id="25" name="Mar_27_F" dataDxfId="57" dataCellStyle="Currency"/>
    <tableColumn id="50" name="Mar_27_A" dataDxfId="56" dataCellStyle="Currency"/>
    <tableColumn id="95" name="Mar_27_D" dataDxfId="55" dataCellStyle="Currency">
      <calculatedColumnFormula>Table46[[#This Row],[Mar_27_F]]-Table46[[#This Row],[Mar_27_A]]</calculatedColumnFormula>
    </tableColumn>
    <tableColumn id="26" name="Apr_27_F" dataDxfId="54" dataCellStyle="Currency"/>
    <tableColumn id="49" name="Apr_27_A" dataDxfId="53" dataCellStyle="Currency"/>
    <tableColumn id="83" name="Apr_27_D" dataDxfId="52" dataCellStyle="Currency">
      <calculatedColumnFormula>Table46[[#This Row],[Apr_27_F]]-Table46[[#This Row],[Apr_27_A]]</calculatedColumnFormula>
    </tableColumn>
    <tableColumn id="27" name="May_27_F" dataDxfId="51" dataCellStyle="Currency"/>
    <tableColumn id="48" name="May_27_A" dataDxfId="50" dataCellStyle="Currency"/>
    <tableColumn id="82" name="May_27_D" dataDxfId="49" dataCellStyle="Currency">
      <calculatedColumnFormula>Table46[[#This Row],[May_27_F]]-Table46[[#This Row],[May_27_A]]</calculatedColumnFormula>
    </tableColumn>
    <tableColumn id="28" name="Jun_27_F" dataDxfId="48" dataCellStyle="Currency"/>
    <tableColumn id="47" name="Jun_27_A" dataDxfId="47" dataCellStyle="Currency"/>
    <tableColumn id="80" name="Jun_27_D" dataDxfId="46" dataCellStyle="Currency">
      <calculatedColumnFormula>Table46[[#This Row],[Jun_27_F]]-Table46[[#This Row],[Jun_27_A]]</calculatedColumnFormula>
    </tableColumn>
    <tableColumn id="29" name="Jul_27_F" dataDxfId="45" dataCellStyle="Currency"/>
    <tableColumn id="46" name="Jul_27_A" dataDxfId="44" dataCellStyle="Currency"/>
    <tableColumn id="79" name="Jul_27_D" dataDxfId="43" dataCellStyle="Currency">
      <calculatedColumnFormula>Table46[[#This Row],[Jul_27_F]]-Table46[[#This Row],[Jul_27_A]]</calculatedColumnFormula>
    </tableColumn>
    <tableColumn id="30" name="Aug_27_F" dataDxfId="42" dataCellStyle="Currency"/>
    <tableColumn id="45" name="Aug_27_A" dataDxfId="41" dataCellStyle="Currency"/>
    <tableColumn id="78" name="Aug_27_D" dataDxfId="40" dataCellStyle="Currency">
      <calculatedColumnFormula>Table46[[#This Row],[Aug_27_F]]-Table46[[#This Row],[Aug_27_A]]</calculatedColumnFormula>
    </tableColumn>
    <tableColumn id="31" name="Sep_27_F" dataDxfId="39" dataCellStyle="Currency"/>
    <tableColumn id="44" name="Sep_27_A" dataDxfId="38" dataCellStyle="Currency"/>
    <tableColumn id="77" name="Sep_27_D" dataDxfId="37" dataCellStyle="Currency">
      <calculatedColumnFormula>Table46[[#This Row],[Sep_27_F]]-Table46[[#This Row],[Sep_27_A]]</calculatedColumnFormula>
    </tableColumn>
    <tableColumn id="32" name="Oct_27_F" dataDxfId="36" dataCellStyle="Currency"/>
    <tableColumn id="43" name="Oct_27_A" dataDxfId="35" dataCellStyle="Currency"/>
    <tableColumn id="76" name="Oct_27_D" dataDxfId="34" dataCellStyle="Currency">
      <calculatedColumnFormula>Table46[[#This Row],[Oct_27_F]]-Table46[[#This Row],[Oct_27_A]]</calculatedColumnFormula>
    </tableColumn>
    <tableColumn id="33" name="Nov_27_F" dataDxfId="33" dataCellStyle="Currency"/>
    <tableColumn id="42" name="Nov_27_A" dataDxfId="32" dataCellStyle="Currency"/>
    <tableColumn id="75" name="Nov_27_D" dataDxfId="31" dataCellStyle="Currency">
      <calculatedColumnFormula>Table46[[#This Row],[Nov_27_F]]-Table46[[#This Row],[Nov_27_A]]</calculatedColumnFormula>
    </tableColumn>
    <tableColumn id="34" name="Dec_27_F" dataDxfId="30" dataCellStyle="Currency"/>
    <tableColumn id="41" name="Dec_27_A" dataDxfId="29" dataCellStyle="Currency"/>
    <tableColumn id="74" name="Dec_27_D" dataDxfId="28" dataCellStyle="Currency">
      <calculatedColumnFormula>Table46[[#This Row],[Dec_27_F]]-Table46[[#This Row],[Dec_27_A]]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" displayName="Table1" ref="B2:G28" headerRowCount="1" totalsRowShown="0" headerRowDxfId="27">
  <autoFilter ref="B2:G2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Variance Reason (Standardized)" dataDxfId="26"/>
    <tableColumn id="2" name="WS Name [ServiceNow project]"/>
    <tableColumn id="3" name="Staff type"/>
    <tableColumn id="4" name="WS Project Manager"/>
    <tableColumn id="5" name="WS PMO"/>
    <tableColumn id="6" name="WB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Q2:Q27" headerRowCount="1" totalsRowShown="0" headerRowDxfId="25" dataDxfId="24" headerRowBorderDxfId="22" tableBorderDxfId="23" totalsRowBorderDxfId="21">
  <autoFilter ref="Q2:Q27">
    <filterColumn colId="0" hiddenButton="1" showButton="1"/>
  </autoFilter>
  <tableColumns count="1">
    <tableColumn id="1" name="Period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6" displayName="Table6" ref="R2:R46" headerRowCount="1" totalsRowShown="0" headerRowDxfId="19" dataDxfId="18" headerRowBorderDxfId="16" tableBorderDxfId="17" totalsRowBorderDxfId="15">
  <autoFilter ref="R2:R46"/>
  <tableColumns count="1">
    <tableColumn id="1" name="Provider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7" displayName="Table7" ref="V33:X59" headerRowCount="1" totalsRowShown="0" headerRowDxfId="13" tableBorderDxfId="12">
  <autoFilter ref="V33:X59"/>
  <tableColumns count="3">
    <tableColumn id="1" name="Level 1 Category" dataDxfId="11"/>
    <tableColumn id="2" name="Level 2 Sub-Category" dataDxfId="10"/>
    <tableColumn id="3" name="Variance Reason (Standardized)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1" displayName="Table11" ref="I3:N327" headerRowCount="1" totalsRowShown="0" headerRowDxfId="8" dataDxfId="7" tableBorderDxfId="6">
  <autoFilter ref="I3:N32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CONCAT" dataDxfId="5">
      <calculatedColumnFormula>CONCATENATE(J4,K4,L4)</calculatedColumnFormula>
    </tableColumn>
    <tableColumn id="2" name="JG" dataDxfId="4"/>
    <tableColumn id="3" name="Location" dataDxfId="3"/>
    <tableColumn id="4" name="Company" dataDxfId="2"/>
    <tableColumn id="5" name="2026_x000a_Daily rate" dataDxfId="1"/>
    <tableColumn id="6" name="2027_x000a_Daily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Relationship Type="http://schemas.openxmlformats.org/officeDocument/2006/relationships/table" Target="/xl/tables/table9.xml" Id="rId5" /></Relationships>
</file>

<file path=xl/worksheets/sheet1.xml><?xml version="1.0" encoding="utf-8"?>
<worksheet xmlns="http://schemas.openxmlformats.org/spreadsheetml/2006/main">
  <sheetPr>
    <tabColor rgb="FF0067B1"/>
    <outlinePr summaryBelow="1" summaryRight="1"/>
    <pageSetUpPr fitToPage="1"/>
  </sheetPr>
  <dimension ref="A1:F13"/>
  <sheetViews>
    <sheetView showGridLines="0" topLeftCell="A8" workbookViewId="0">
      <pane ySplit="2" topLeftCell="A3" activePane="bottomLeft" state="frozen"/>
      <selection pane="bottomLeft" activeCell="D2" sqref="D2:D8"/>
    </sheetView>
  </sheetViews>
  <sheetFormatPr baseColWidth="8" defaultRowHeight="14.45"/>
  <cols>
    <col width="47.42578125" customWidth="1" min="1" max="1"/>
    <col width="48.5703125" customWidth="1" min="2" max="2"/>
    <col width="29.28515625" bestFit="1" customWidth="1" min="3" max="3"/>
    <col width="67.28515625" customWidth="1" min="4" max="4"/>
    <col width="52.42578125" customWidth="1" min="5" max="5"/>
  </cols>
  <sheetData>
    <row r="1">
      <c r="A1" s="235" t="inlineStr">
        <is>
          <t>Page Level Info</t>
        </is>
      </c>
      <c r="B1" s="236" t="n"/>
      <c r="C1" s="237" t="n"/>
      <c r="D1" s="122" t="n"/>
    </row>
    <row r="2">
      <c r="A2" s="238" t="inlineStr">
        <is>
          <t>Pages</t>
        </is>
      </c>
      <c r="B2" s="238" t="inlineStr">
        <is>
          <t>Information</t>
        </is>
      </c>
      <c r="C2" s="238" t="inlineStr">
        <is>
          <t>Connected to the Dashboard</t>
        </is>
      </c>
      <c r="D2" s="239" t="inlineStr">
        <is>
          <t>DO NOT EDIT,DELETE ANY FORMULAS.
 IF IT IS NEEDED PLEASE INFORM THE DEVELOPER</t>
        </is>
      </c>
    </row>
    <row r="3">
      <c r="A3" s="240" t="inlineStr">
        <is>
          <t>Resource Static</t>
        </is>
      </c>
      <c r="B3" s="240" t="inlineStr">
        <is>
          <t>Static Page to Capture Manpower LE details</t>
        </is>
      </c>
      <c r="C3" s="240" t="inlineStr">
        <is>
          <t>No</t>
        </is>
      </c>
      <c r="E3" s="241" t="n"/>
      <c r="F3" s="241" t="n"/>
    </row>
    <row r="4" ht="43.5" customHeight="1">
      <c r="A4" s="242" t="inlineStr">
        <is>
          <t>$Dashboard</t>
        </is>
      </c>
      <c r="B4" s="242" t="inlineStr">
        <is>
          <t>Overview of Planned vs Actual monthly and Total views
Data is fetched from IT Manpower LE and Other LE tabs - Update these tabs to view the correct information</t>
        </is>
      </c>
      <c r="C4" s="242" t="inlineStr">
        <is>
          <t>No</t>
        </is>
      </c>
      <c r="E4" s="243" t="n"/>
      <c r="F4" s="243" t="n"/>
    </row>
    <row r="5">
      <c r="A5" s="240" t="inlineStr">
        <is>
          <t>Business Manpower LE</t>
        </is>
      </c>
      <c r="B5" s="240" t="inlineStr">
        <is>
          <t>Manpower LE details captured and maintained by business</t>
        </is>
      </c>
      <c r="C5" s="240" t="inlineStr">
        <is>
          <t>No</t>
        </is>
      </c>
      <c r="E5" s="241" t="n"/>
      <c r="F5" s="241" t="n"/>
    </row>
    <row r="6">
      <c r="A6" s="242" t="inlineStr">
        <is>
          <t>IT Manpower LE</t>
        </is>
      </c>
      <c r="B6" s="242" t="inlineStr">
        <is>
          <t>Manpower LE details connected to the Power BI dashboard</t>
        </is>
      </c>
      <c r="C6" s="242" t="inlineStr">
        <is>
          <t>Yes</t>
        </is>
      </c>
      <c r="E6" s="243" t="n"/>
      <c r="F6" s="243" t="n"/>
    </row>
    <row r="7">
      <c r="A7" s="240" t="inlineStr">
        <is>
          <t>Other LE</t>
        </is>
      </c>
      <c r="B7" s="240" t="inlineStr">
        <is>
          <t>Non-Resource details connected to the Power BI dashboard</t>
        </is>
      </c>
      <c r="C7" s="240" t="inlineStr">
        <is>
          <t>Yes</t>
        </is>
      </c>
      <c r="E7" s="241" t="n"/>
      <c r="F7" s="241" t="n"/>
    </row>
    <row r="8" ht="116.1" customHeight="1">
      <c r="A8" s="242" t="inlineStr">
        <is>
          <t>Tables</t>
        </is>
      </c>
      <c r="B8" s="242" t="inlineStr">
        <is>
          <t>Contains the columns connected to the dropdowns used in the following columns:
1. Workstream - All pages 
2. Cost Type - Other LE
3. Rate Concat - Resource Static, Business &amp; IT Manpower LE
4. Variance Reasons - Resource Static, Business &amp; IT Manpower LE</t>
        </is>
      </c>
      <c r="C8" s="242" t="inlineStr">
        <is>
          <t>Yes</t>
        </is>
      </c>
      <c r="E8" s="243" t="n"/>
      <c r="F8" s="243" t="n"/>
    </row>
    <row r="9">
      <c r="A9" s="241" t="n"/>
      <c r="B9" s="241" t="n"/>
      <c r="C9" s="241" t="n"/>
      <c r="D9" s="241" t="n"/>
      <c r="E9" s="241" t="n"/>
      <c r="F9" s="241" t="n"/>
    </row>
    <row r="10">
      <c r="A10" s="243" t="n"/>
      <c r="B10" s="243" t="n"/>
      <c r="C10" s="243" t="n"/>
      <c r="D10" s="243" t="n"/>
      <c r="E10" s="243" t="n"/>
      <c r="F10" s="243" t="n"/>
    </row>
    <row r="11">
      <c r="A11" s="241" t="n"/>
      <c r="B11" s="241" t="n"/>
      <c r="C11" s="241" t="n"/>
      <c r="D11" s="241" t="n"/>
      <c r="E11" s="241" t="n"/>
      <c r="F11" s="241" t="n"/>
    </row>
    <row r="12">
      <c r="A12" s="244" t="inlineStr">
        <is>
          <t>Updating dropdowns example</t>
        </is>
      </c>
      <c r="D12" s="212" t="n"/>
    </row>
    <row r="13" ht="72.75" customHeight="1">
      <c r="A13" s="245" t="inlineStr">
        <is>
          <t>As shown in the image below:
To find out the source of the dropdowns - Click on the cell &gt; Click on Data &gt; Click on Data Validation, this will navigate to the source column where any editing, addition, deletion needed in the dropdown should be done in the destinaion as shown in image 2 only then it will reflect in the column dropdown</t>
        </is>
      </c>
      <c r="D13" s="241" t="n"/>
      <c r="E13" s="241" t="n"/>
      <c r="F13" s="241" t="n"/>
    </row>
  </sheetData>
  <mergeCells count="5">
    <mergeCell ref="A13:C13"/>
    <mergeCell ref="A1:C1"/>
    <mergeCell ref="D12:F12"/>
    <mergeCell ref="D2:D8"/>
    <mergeCell ref="A12:C12"/>
  </mergeCells>
  <pageMargins left="0.5" right="0.5" top="0.75" bottom="0.75" header="0.3" footer="0.3"/>
  <pageSetup orientation="portrait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3C71"/>
    <outlinePr summaryBelow="1" summaryRight="1"/>
    <pageSetUpPr fitToPage="1"/>
  </sheetPr>
  <dimension ref="A1:DC80"/>
  <sheetViews>
    <sheetView showGridLines="0" topLeftCell="K1" zoomScale="55" zoomScaleNormal="55" workbookViewId="0">
      <pane xSplit="6" ySplit="2" topLeftCell="G3" activePane="bottomRight" state="frozen"/>
      <selection activeCell="F9" sqref="F9"/>
    </sheetView>
  </sheetViews>
  <sheetFormatPr baseColWidth="8" defaultRowHeight="14.45"/>
  <cols>
    <col width="1.140625" customWidth="1" min="1" max="1"/>
    <col width="41.42578125" customWidth="1" min="2" max="2"/>
    <col width="24.42578125" customWidth="1" min="3" max="3"/>
    <col width="22.140625" customWidth="1" min="4" max="4"/>
    <col width="25.5703125" customWidth="1" min="5" max="5"/>
    <col collapsed="1" width="3.140625" customWidth="1" min="6" max="6"/>
    <col width="19.42578125" customWidth="1" min="7" max="8"/>
    <col outlineLevel="1" width="19.42578125" customWidth="1" min="9" max="32"/>
    <col width="3.140625" customWidth="1" min="33" max="33"/>
    <col width="19.42578125" customWidth="1" min="34" max="35"/>
    <col hidden="1" outlineLevel="1" width="19.42578125" customWidth="1" min="36" max="59"/>
    <col collapsed="1" width="3.140625" customWidth="1" min="60" max="60"/>
    <col width="9.28515625" customWidth="1" min="61" max="81"/>
    <col width="19.42578125" customWidth="1" min="82" max="82"/>
    <col hidden="1" outlineLevel="1" width="19.42578125" customWidth="1" min="83" max="106"/>
    <col collapsed="1" width="8.7109375" customWidth="1" min="107" max="107"/>
  </cols>
  <sheetData>
    <row r="1" ht="18.6" customHeight="1">
      <c r="C1" s="246" t="inlineStr">
        <is>
          <t>Category</t>
        </is>
      </c>
      <c r="D1" s="246" t="inlineStr">
        <is>
          <t>Program LE 2026</t>
        </is>
      </c>
      <c r="E1" s="246" t="inlineStr">
        <is>
          <t>Program YTD Actual 2026</t>
        </is>
      </c>
      <c r="F1" s="182" t="n"/>
      <c r="G1" s="247" t="n">
        <v>46023</v>
      </c>
      <c r="H1" s="248" t="n"/>
      <c r="I1" s="247" t="n">
        <v>46054</v>
      </c>
      <c r="J1" s="248" t="n"/>
      <c r="K1" s="247" t="n">
        <v>46082</v>
      </c>
      <c r="L1" s="248" t="n"/>
      <c r="M1" s="247" t="n">
        <v>46113</v>
      </c>
      <c r="N1" s="248" t="n"/>
      <c r="O1" s="247" t="n">
        <v>46143</v>
      </c>
      <c r="P1" s="248" t="n"/>
      <c r="Q1" s="247" t="n">
        <v>46174</v>
      </c>
      <c r="R1" s="248" t="n"/>
      <c r="S1" s="247" t="n">
        <v>46204</v>
      </c>
      <c r="T1" s="248" t="n"/>
      <c r="U1" s="247" t="n">
        <v>46235</v>
      </c>
      <c r="V1" s="248" t="n"/>
      <c r="W1" s="247" t="n">
        <v>46266</v>
      </c>
      <c r="X1" s="248" t="n"/>
      <c r="Y1" s="247" t="n">
        <v>46296</v>
      </c>
      <c r="Z1" s="248" t="n"/>
      <c r="AA1" s="247" t="n">
        <v>46327</v>
      </c>
      <c r="AB1" s="248" t="n"/>
      <c r="AC1" s="247" t="n">
        <v>46357</v>
      </c>
      <c r="AD1" s="248" t="n"/>
    </row>
    <row r="2" ht="18.6" customHeight="1">
      <c r="C2" s="249" t="n"/>
      <c r="D2" s="249" t="n"/>
      <c r="E2" s="249" t="n"/>
      <c r="F2" s="182" t="n"/>
      <c r="G2" s="250" t="inlineStr">
        <is>
          <t>Plan</t>
        </is>
      </c>
      <c r="H2" s="250" t="inlineStr">
        <is>
          <t>Actual</t>
        </is>
      </c>
      <c r="I2" s="250" t="inlineStr">
        <is>
          <t>Plan</t>
        </is>
      </c>
      <c r="J2" s="250" t="inlineStr">
        <is>
          <t>Actual</t>
        </is>
      </c>
      <c r="K2" s="250" t="inlineStr">
        <is>
          <t>Plan</t>
        </is>
      </c>
      <c r="L2" s="250" t="inlineStr">
        <is>
          <t>Actual</t>
        </is>
      </c>
      <c r="M2" s="250" t="inlineStr">
        <is>
          <t>Plan</t>
        </is>
      </c>
      <c r="N2" s="250" t="inlineStr">
        <is>
          <t>Actual</t>
        </is>
      </c>
      <c r="O2" s="250" t="inlineStr">
        <is>
          <t>Plan</t>
        </is>
      </c>
      <c r="P2" s="250" t="inlineStr">
        <is>
          <t>Actual</t>
        </is>
      </c>
      <c r="Q2" s="250" t="inlineStr">
        <is>
          <t>Plan</t>
        </is>
      </c>
      <c r="R2" s="250" t="inlineStr">
        <is>
          <t>Actual</t>
        </is>
      </c>
      <c r="S2" s="250" t="inlineStr">
        <is>
          <t>Plan</t>
        </is>
      </c>
      <c r="T2" s="250" t="inlineStr">
        <is>
          <t>Actual</t>
        </is>
      </c>
      <c r="U2" s="250" t="inlineStr">
        <is>
          <t>Plan</t>
        </is>
      </c>
      <c r="V2" s="250" t="inlineStr">
        <is>
          <t>Actual</t>
        </is>
      </c>
      <c r="W2" s="250" t="inlineStr">
        <is>
          <t>Plan</t>
        </is>
      </c>
      <c r="X2" s="250" t="inlineStr">
        <is>
          <t>Actual</t>
        </is>
      </c>
      <c r="Y2" s="250" t="inlineStr">
        <is>
          <t>Plan</t>
        </is>
      </c>
      <c r="Z2" s="250" t="inlineStr">
        <is>
          <t>Actual</t>
        </is>
      </c>
      <c r="AA2" s="250" t="inlineStr">
        <is>
          <t>Plan</t>
        </is>
      </c>
      <c r="AB2" s="250" t="inlineStr">
        <is>
          <t>Actual</t>
        </is>
      </c>
      <c r="AC2" s="250" t="inlineStr">
        <is>
          <t>Plan</t>
        </is>
      </c>
      <c r="AD2" s="250" t="inlineStr">
        <is>
          <t>Actual</t>
        </is>
      </c>
    </row>
    <row r="3">
      <c r="C3" s="251" t="inlineStr">
        <is>
          <t>Business Resource</t>
        </is>
      </c>
      <c r="D3" s="252">
        <f>SUMIF($G$2:$AF$2,"Plan",G3:AF3)</f>
        <v/>
      </c>
      <c r="E3" s="252">
        <f>SUMIF($G$2:$AF$2,"Actual",G3:AF3)</f>
        <v/>
      </c>
      <c r="F3" s="182" t="n"/>
      <c r="G3" s="253">
        <f>I48</f>
        <v/>
      </c>
      <c r="H3" s="253">
        <f>J48</f>
        <v/>
      </c>
      <c r="I3" s="253">
        <f>K48</f>
        <v/>
      </c>
      <c r="J3" s="253">
        <f>L48</f>
        <v/>
      </c>
      <c r="K3" s="253">
        <f>M48</f>
        <v/>
      </c>
      <c r="L3" s="253">
        <f>N48</f>
        <v/>
      </c>
      <c r="M3" s="253">
        <f>O48</f>
        <v/>
      </c>
      <c r="N3" s="253">
        <f>P48</f>
        <v/>
      </c>
      <c r="O3" s="253">
        <f>Q48</f>
        <v/>
      </c>
      <c r="P3" s="253">
        <f>R48</f>
        <v/>
      </c>
      <c r="Q3" s="253">
        <f>S48</f>
        <v/>
      </c>
      <c r="R3" s="253">
        <f>T48</f>
        <v/>
      </c>
      <c r="S3" s="253">
        <f>U48</f>
        <v/>
      </c>
      <c r="T3" s="253">
        <f>V48</f>
        <v/>
      </c>
      <c r="U3" s="253">
        <f>W48</f>
        <v/>
      </c>
      <c r="V3" s="253">
        <f>X48</f>
        <v/>
      </c>
      <c r="W3" s="253">
        <f>Y48</f>
        <v/>
      </c>
      <c r="X3" s="253">
        <f>Z48</f>
        <v/>
      </c>
      <c r="Y3" s="253">
        <f>AA48</f>
        <v/>
      </c>
      <c r="Z3" s="253">
        <f>AB48</f>
        <v/>
      </c>
      <c r="AA3" s="253">
        <f>AC48</f>
        <v/>
      </c>
      <c r="AB3" s="253">
        <f>AD48</f>
        <v/>
      </c>
      <c r="AC3" s="253">
        <f>AE48</f>
        <v/>
      </c>
      <c r="AD3" s="253">
        <f>AF48</f>
        <v/>
      </c>
    </row>
    <row r="4" ht="15" customHeight="1" thickBot="1">
      <c r="B4" s="11" t="n"/>
      <c r="C4" s="254" t="inlineStr">
        <is>
          <t>IT Resource</t>
        </is>
      </c>
      <c r="D4" s="255">
        <f>SUMIF($G$2:$AF$2,"Plan",G4:AF4)</f>
        <v/>
      </c>
      <c r="E4" s="255">
        <f>SUMIF($G$2:$AF$2,"Actual",G4:AF4)</f>
        <v/>
      </c>
      <c r="F4" s="182" t="n"/>
      <c r="G4" s="256">
        <f>I30</f>
        <v/>
      </c>
      <c r="H4" s="256">
        <f>J30</f>
        <v/>
      </c>
      <c r="I4" s="256">
        <f>K30</f>
        <v/>
      </c>
      <c r="J4" s="256">
        <f>L30</f>
        <v/>
      </c>
      <c r="K4" s="256">
        <f>M30</f>
        <v/>
      </c>
      <c r="L4" s="256">
        <f>N30</f>
        <v/>
      </c>
      <c r="M4" s="256">
        <f>O30</f>
        <v/>
      </c>
      <c r="N4" s="256">
        <f>P30</f>
        <v/>
      </c>
      <c r="O4" s="256">
        <f>Q30</f>
        <v/>
      </c>
      <c r="P4" s="256">
        <f>R30</f>
        <v/>
      </c>
      <c r="Q4" s="256">
        <f>S30</f>
        <v/>
      </c>
      <c r="R4" s="256">
        <f>T30</f>
        <v/>
      </c>
      <c r="S4" s="256">
        <f>U30</f>
        <v/>
      </c>
      <c r="T4" s="256">
        <f>V30</f>
        <v/>
      </c>
      <c r="U4" s="256">
        <f>W30</f>
        <v/>
      </c>
      <c r="V4" s="256">
        <f>X30</f>
        <v/>
      </c>
      <c r="W4" s="256">
        <f>Y30</f>
        <v/>
      </c>
      <c r="X4" s="256">
        <f>Z30</f>
        <v/>
      </c>
      <c r="Y4" s="256">
        <f>AA30</f>
        <v/>
      </c>
      <c r="Z4" s="256">
        <f>AB30</f>
        <v/>
      </c>
      <c r="AA4" s="256">
        <f>AC30</f>
        <v/>
      </c>
      <c r="AB4" s="256">
        <f>AD30</f>
        <v/>
      </c>
      <c r="AC4" s="256">
        <f>AE30</f>
        <v/>
      </c>
      <c r="AD4" s="256">
        <f>AF30</f>
        <v/>
      </c>
    </row>
    <row r="5" ht="15" customHeight="1" thickBot="1">
      <c r="B5" s="202" t="n"/>
      <c r="C5" s="257" t="inlineStr">
        <is>
          <t>Resource Total</t>
        </is>
      </c>
      <c r="D5" s="252">
        <f>SUMIF($G$2:$AF$2,"Plan",G5:AF5)</f>
        <v/>
      </c>
      <c r="E5" s="252">
        <f>SUMIF($G$2:$AF$2,"Actual",G5:AF5)</f>
        <v/>
      </c>
      <c r="F5" s="185" t="n"/>
      <c r="G5" s="258">
        <f>SUM(G3:G4)</f>
        <v/>
      </c>
      <c r="H5" s="258">
        <f>SUM(H3:H4)</f>
        <v/>
      </c>
      <c r="I5" s="258">
        <f>SUM(I3:I4)</f>
        <v/>
      </c>
      <c r="J5" s="258">
        <f>SUM(J3:J4)</f>
        <v/>
      </c>
      <c r="K5" s="258">
        <f>SUM(K3:K4)</f>
        <v/>
      </c>
      <c r="L5" s="258">
        <f>SUM(L3:L4)</f>
        <v/>
      </c>
      <c r="M5" s="258">
        <f>SUM(M3:M4)</f>
        <v/>
      </c>
      <c r="N5" s="258">
        <f>SUM(N3:N4)</f>
        <v/>
      </c>
      <c r="O5" s="258">
        <f>SUM(O3:O4)</f>
        <v/>
      </c>
      <c r="P5" s="258">
        <f>SUM(P3:P4)</f>
        <v/>
      </c>
      <c r="Q5" s="258">
        <f>SUM(Q3:Q4)</f>
        <v/>
      </c>
      <c r="R5" s="258">
        <f>SUM(R3:R4)</f>
        <v/>
      </c>
      <c r="S5" s="258">
        <f>SUM(S3:S4)</f>
        <v/>
      </c>
      <c r="T5" s="258">
        <f>SUM(T3:T4)</f>
        <v/>
      </c>
      <c r="U5" s="258">
        <f>SUM(U3:U4)</f>
        <v/>
      </c>
      <c r="V5" s="258">
        <f>SUM(V3:V4)</f>
        <v/>
      </c>
      <c r="W5" s="258">
        <f>SUM(W3:W4)</f>
        <v/>
      </c>
      <c r="X5" s="258">
        <f>SUM(X3:X4)</f>
        <v/>
      </c>
      <c r="Y5" s="258">
        <f>SUM(Y3:Y4)</f>
        <v/>
      </c>
      <c r="Z5" s="258">
        <f>SUM(Z3:Z4)</f>
        <v/>
      </c>
      <c r="AA5" s="258">
        <f>SUM(AA3:AA4)</f>
        <v/>
      </c>
      <c r="AB5" s="258">
        <f>SUM(AB3:AB4)</f>
        <v/>
      </c>
      <c r="AC5" s="258">
        <f>SUM(AC3:AC4)</f>
        <v/>
      </c>
      <c r="AD5" s="258">
        <f>SUM(AD3:AD4)</f>
        <v/>
      </c>
      <c r="BO5" s="259" t="inlineStr">
        <is>
          <t>10,95 - it</t>
        </is>
      </c>
      <c r="BP5" s="259" t="inlineStr">
        <is>
          <t>5,87-business</t>
        </is>
      </c>
      <c r="BQ5" s="259">
        <f>10.95+5.87</f>
        <v/>
      </c>
    </row>
    <row r="6">
      <c r="B6" s="260" t="n"/>
      <c r="C6" s="254" t="inlineStr">
        <is>
          <t>Non-Resource</t>
        </is>
      </c>
      <c r="D6" s="255">
        <f>SUMIF($G$2:$AF$2,"Plan",G6:AF6)</f>
        <v/>
      </c>
      <c r="E6" s="255">
        <f>SUMIF($G$2:$AF$2,"Actual",G6:AF6)/1000000</f>
        <v/>
      </c>
      <c r="F6" s="182" t="n"/>
      <c r="G6" s="256">
        <f>I77</f>
        <v/>
      </c>
      <c r="H6" s="256">
        <f>J77</f>
        <v/>
      </c>
      <c r="I6" s="256">
        <f>M77</f>
        <v/>
      </c>
      <c r="J6" s="256">
        <f>L77</f>
        <v/>
      </c>
      <c r="K6" s="256">
        <f>M77</f>
        <v/>
      </c>
      <c r="L6" s="256">
        <f>N77</f>
        <v/>
      </c>
      <c r="M6" s="256">
        <f>Q77</f>
        <v/>
      </c>
      <c r="N6" s="256">
        <f>P77</f>
        <v/>
      </c>
      <c r="O6" s="256">
        <f>Q77</f>
        <v/>
      </c>
      <c r="P6" s="256">
        <f>R77</f>
        <v/>
      </c>
      <c r="Q6" s="256">
        <f>U77</f>
        <v/>
      </c>
      <c r="R6" s="256">
        <f>T77</f>
        <v/>
      </c>
      <c r="S6" s="256">
        <f>U77</f>
        <v/>
      </c>
      <c r="T6" s="256">
        <f>V77</f>
        <v/>
      </c>
      <c r="U6" s="256">
        <f>Y77</f>
        <v/>
      </c>
      <c r="V6" s="256">
        <f>X77</f>
        <v/>
      </c>
      <c r="W6" s="256">
        <f>Y77</f>
        <v/>
      </c>
      <c r="X6" s="256">
        <f>Z77</f>
        <v/>
      </c>
      <c r="Y6" s="256">
        <f>AC77</f>
        <v/>
      </c>
      <c r="Z6" s="256">
        <f>AB77</f>
        <v/>
      </c>
      <c r="AA6" s="256">
        <f>AC77</f>
        <v/>
      </c>
      <c r="AB6" s="256">
        <f>AD77</f>
        <v/>
      </c>
      <c r="AC6" s="256">
        <f>AG77</f>
        <v/>
      </c>
      <c r="AD6" s="256">
        <f>AF77</f>
        <v/>
      </c>
    </row>
    <row r="7" ht="18.6" customHeight="1">
      <c r="B7" s="181" t="n"/>
      <c r="C7" s="257" t="inlineStr">
        <is>
          <t>Total</t>
        </is>
      </c>
      <c r="D7" s="261">
        <f>D6+D5</f>
        <v/>
      </c>
      <c r="E7" s="261">
        <f>E6+E5</f>
        <v/>
      </c>
      <c r="F7" s="185" t="n"/>
      <c r="G7" s="258">
        <f>SUM(G3:G6)</f>
        <v/>
      </c>
      <c r="H7" s="258">
        <f>SUM(H3:H6)</f>
        <v/>
      </c>
      <c r="I7" s="258">
        <f>SUM(I3:I6)</f>
        <v/>
      </c>
      <c r="J7" s="258">
        <f>SUM(J3:J6)</f>
        <v/>
      </c>
      <c r="K7" s="258">
        <f>SUM(K3:K6)</f>
        <v/>
      </c>
      <c r="L7" s="258">
        <f>SUM(L3:L6)</f>
        <v/>
      </c>
      <c r="M7" s="258">
        <f>SUM(M3:M6)</f>
        <v/>
      </c>
      <c r="N7" s="258">
        <f>SUM(N3:N6)</f>
        <v/>
      </c>
      <c r="O7" s="258">
        <f>SUM(O3:O6)</f>
        <v/>
      </c>
      <c r="P7" s="258">
        <f>SUM(P3:P6)</f>
        <v/>
      </c>
      <c r="Q7" s="258">
        <f>SUM(Q3:Q6)</f>
        <v/>
      </c>
      <c r="R7" s="258">
        <f>SUM(R3:R6)</f>
        <v/>
      </c>
      <c r="S7" s="258">
        <f>SUM(S3:S6)</f>
        <v/>
      </c>
      <c r="T7" s="258">
        <f>SUM(T3:T6)</f>
        <v/>
      </c>
      <c r="U7" s="258">
        <f>SUM(U3:U6)</f>
        <v/>
      </c>
      <c r="V7" s="258">
        <f>SUM(V3:V6)</f>
        <v/>
      </c>
      <c r="W7" s="258">
        <f>SUM(W3:W6)</f>
        <v/>
      </c>
      <c r="X7" s="258">
        <f>SUM(X3:X6)</f>
        <v/>
      </c>
      <c r="Y7" s="258">
        <f>SUM(Y3:Y6)</f>
        <v/>
      </c>
      <c r="Z7" s="258">
        <f>SUM(Z3:Z6)</f>
        <v/>
      </c>
      <c r="AA7" s="258">
        <f>SUM(AA3:AA6)</f>
        <v/>
      </c>
      <c r="AB7" s="258">
        <f>SUM(AB3:AB6)</f>
        <v/>
      </c>
      <c r="AC7" s="258">
        <f>SUM(AC3:AC6)</f>
        <v/>
      </c>
      <c r="AD7" s="258">
        <f>SUM(AD3:AD6)</f>
        <v/>
      </c>
    </row>
    <row r="8" ht="18.6" customHeight="1">
      <c r="B8" s="181" t="n"/>
    </row>
    <row r="9" ht="18.95" customHeight="1" thickBot="1">
      <c r="B9" s="181" t="n"/>
    </row>
    <row r="10" ht="15" customFormat="1" customHeight="1" s="11" thickBot="1">
      <c r="D10" s="262" t="inlineStr">
        <is>
          <t>[2026 - 2027]</t>
        </is>
      </c>
      <c r="G10" s="262" t="inlineStr">
        <is>
          <t>[2026]</t>
        </is>
      </c>
      <c r="I10" s="203" t="n"/>
      <c r="J10" s="203" t="n"/>
      <c r="K10" s="203" t="n"/>
      <c r="L10" s="203" t="n"/>
      <c r="M10" s="203" t="n"/>
      <c r="N10" s="203" t="n"/>
      <c r="O10" s="203" t="n"/>
      <c r="P10" s="203" t="n"/>
      <c r="Q10" s="203" t="n"/>
      <c r="R10" s="203" t="n"/>
      <c r="S10" s="203" t="n"/>
      <c r="T10" s="203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H10" s="263" t="inlineStr">
        <is>
          <t>[2027]</t>
        </is>
      </c>
      <c r="AI10" s="264" t="n"/>
      <c r="AJ10" s="203" t="n"/>
      <c r="AK10" s="203" t="n"/>
      <c r="AL10" s="203" t="n"/>
      <c r="AM10" s="203" t="n"/>
      <c r="AN10" s="203" t="n"/>
      <c r="AO10" s="203" t="n"/>
      <c r="AP10" s="203" t="n"/>
      <c r="AQ10" s="203" t="n"/>
      <c r="AR10" s="203" t="n"/>
      <c r="AS10" s="203" t="n"/>
      <c r="AT10" s="203" t="n"/>
      <c r="AU10" s="203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CD10" s="37" t="n"/>
    </row>
    <row r="11" ht="15" customHeight="1">
      <c r="B11" s="265" t="inlineStr">
        <is>
          <t>IT Resource cost by WS/PH</t>
        </is>
      </c>
      <c r="C11" s="265" t="inlineStr">
        <is>
          <t>Business/IT</t>
        </is>
      </c>
      <c r="D11" s="265" t="inlineStr">
        <is>
          <t>Program LE</t>
        </is>
      </c>
      <c r="E11" s="265" t="inlineStr">
        <is>
          <t>Program YTD Actual</t>
        </is>
      </c>
      <c r="F11" s="1" t="n"/>
      <c r="G11" s="265" t="inlineStr">
        <is>
          <t>LE</t>
        </is>
      </c>
      <c r="H11" s="265" t="inlineStr">
        <is>
          <t>Actual</t>
        </is>
      </c>
      <c r="I11" s="266" t="n">
        <v>46023</v>
      </c>
      <c r="J11" s="267" t="n"/>
      <c r="K11" s="266" t="n">
        <v>46054</v>
      </c>
      <c r="L11" s="267" t="n"/>
      <c r="M11" s="266" t="n">
        <v>46082</v>
      </c>
      <c r="N11" s="267" t="n"/>
      <c r="O11" s="266" t="n">
        <v>46113</v>
      </c>
      <c r="P11" s="267" t="n"/>
      <c r="Q11" s="266" t="n">
        <v>46143</v>
      </c>
      <c r="R11" s="267" t="n"/>
      <c r="S11" s="266" t="n">
        <v>46174</v>
      </c>
      <c r="T11" s="267" t="n"/>
      <c r="U11" s="266" t="n">
        <v>46204</v>
      </c>
      <c r="V11" s="267" t="n"/>
      <c r="W11" s="266" t="n">
        <v>46235</v>
      </c>
      <c r="X11" s="267" t="n"/>
      <c r="Y11" s="266" t="n">
        <v>46266</v>
      </c>
      <c r="Z11" s="267" t="n"/>
      <c r="AA11" s="266" t="n">
        <v>46296</v>
      </c>
      <c r="AB11" s="267" t="n"/>
      <c r="AC11" s="266" t="n">
        <v>46327</v>
      </c>
      <c r="AD11" s="267" t="n"/>
      <c r="AE11" s="266" t="n">
        <v>46357</v>
      </c>
      <c r="AF11" s="267" t="n"/>
      <c r="AG11" s="1" t="n"/>
      <c r="AH11" s="265" t="inlineStr">
        <is>
          <t>LE</t>
        </is>
      </c>
      <c r="AI11" s="265" t="inlineStr">
        <is>
          <t>Actual</t>
        </is>
      </c>
      <c r="AJ11" s="266" t="n">
        <v>46388</v>
      </c>
      <c r="AK11" s="267" t="n"/>
      <c r="AL11" s="266" t="n">
        <v>46419</v>
      </c>
      <c r="AM11" s="267" t="n"/>
      <c r="AN11" s="266" t="n">
        <v>46447</v>
      </c>
      <c r="AO11" s="267" t="n"/>
      <c r="AP11" s="266" t="n">
        <v>46478</v>
      </c>
      <c r="AQ11" s="267" t="n"/>
      <c r="AR11" s="266" t="n">
        <v>46508</v>
      </c>
      <c r="AS11" s="267" t="n"/>
      <c r="AT11" s="266" t="n">
        <v>46539</v>
      </c>
      <c r="AU11" s="267" t="n"/>
      <c r="AV11" s="266" t="n">
        <v>46569</v>
      </c>
      <c r="AW11" s="267" t="n"/>
      <c r="AX11" s="266" t="n">
        <v>46600</v>
      </c>
      <c r="AY11" s="267" t="n"/>
      <c r="AZ11" s="266" t="n">
        <v>46631</v>
      </c>
      <c r="BA11" s="267" t="n"/>
      <c r="BB11" s="266" t="n">
        <v>46661</v>
      </c>
      <c r="BC11" s="267" t="n"/>
      <c r="BD11" s="266" t="n">
        <v>46692</v>
      </c>
      <c r="BE11" s="267" t="n"/>
      <c r="BF11" s="266" t="n">
        <v>46722</v>
      </c>
      <c r="BG11" s="267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265" t="inlineStr">
        <is>
          <t>GIP</t>
        </is>
      </c>
      <c r="CE11" s="268" t="n">
        <v>46023</v>
      </c>
      <c r="CF11" s="268" t="n">
        <v>46054</v>
      </c>
      <c r="CG11" s="268" t="n">
        <v>46082</v>
      </c>
      <c r="CH11" s="268" t="n">
        <v>46113</v>
      </c>
      <c r="CI11" s="268" t="n">
        <v>46143</v>
      </c>
      <c r="CJ11" s="268" t="n">
        <v>46174</v>
      </c>
      <c r="CK11" s="268" t="n">
        <v>46204</v>
      </c>
      <c r="CL11" s="268" t="n">
        <v>46235</v>
      </c>
      <c r="CM11" s="268" t="n">
        <v>46266</v>
      </c>
      <c r="CN11" s="268" t="n">
        <v>46296</v>
      </c>
      <c r="CO11" s="268" t="n">
        <v>46327</v>
      </c>
      <c r="CP11" s="268" t="n">
        <v>46357</v>
      </c>
      <c r="CQ11" s="268" t="n">
        <v>46388</v>
      </c>
      <c r="CR11" s="268" t="n">
        <v>46419</v>
      </c>
      <c r="CS11" s="268" t="n">
        <v>46447</v>
      </c>
      <c r="CT11" s="268" t="n">
        <v>46478</v>
      </c>
      <c r="CU11" s="268" t="n">
        <v>46508</v>
      </c>
      <c r="CV11" s="268" t="n">
        <v>46539</v>
      </c>
      <c r="CW11" s="268" t="n">
        <v>46569</v>
      </c>
      <c r="CX11" s="268" t="n">
        <v>46600</v>
      </c>
      <c r="CY11" s="268" t="n">
        <v>46631</v>
      </c>
      <c r="CZ11" s="268" t="n">
        <v>46661</v>
      </c>
      <c r="DA11" s="268" t="n">
        <v>46692</v>
      </c>
      <c r="DB11" s="268" t="n">
        <v>46722</v>
      </c>
    </row>
    <row r="12" ht="15" customFormat="1" customHeight="1" s="2">
      <c r="B12" s="260" t="n"/>
      <c r="C12" s="260" t="n"/>
      <c r="D12" s="260" t="n"/>
      <c r="E12" s="260" t="n"/>
      <c r="F12" s="19" t="n"/>
      <c r="G12" s="260" t="n"/>
      <c r="H12" s="260" t="n"/>
      <c r="I12" s="269" t="inlineStr">
        <is>
          <t>Plan</t>
        </is>
      </c>
      <c r="J12" s="269" t="inlineStr">
        <is>
          <t>Actual</t>
        </is>
      </c>
      <c r="K12" s="269" t="inlineStr">
        <is>
          <t>Plan</t>
        </is>
      </c>
      <c r="L12" s="269" t="inlineStr">
        <is>
          <t>Actual</t>
        </is>
      </c>
      <c r="M12" s="269" t="inlineStr">
        <is>
          <t>Plan</t>
        </is>
      </c>
      <c r="N12" s="269" t="inlineStr">
        <is>
          <t>Actual</t>
        </is>
      </c>
      <c r="O12" s="269" t="inlineStr">
        <is>
          <t>Plan</t>
        </is>
      </c>
      <c r="P12" s="269" t="inlineStr">
        <is>
          <t>Actual</t>
        </is>
      </c>
      <c r="Q12" s="269" t="inlineStr">
        <is>
          <t>Plan</t>
        </is>
      </c>
      <c r="R12" s="269" t="inlineStr">
        <is>
          <t>Actual</t>
        </is>
      </c>
      <c r="S12" s="269" t="inlineStr">
        <is>
          <t>Plan</t>
        </is>
      </c>
      <c r="T12" s="269" t="inlineStr">
        <is>
          <t>Actual</t>
        </is>
      </c>
      <c r="U12" s="269" t="inlineStr">
        <is>
          <t>Plan</t>
        </is>
      </c>
      <c r="V12" s="269" t="inlineStr">
        <is>
          <t>Actual</t>
        </is>
      </c>
      <c r="W12" s="269" t="inlineStr">
        <is>
          <t>Plan</t>
        </is>
      </c>
      <c r="X12" s="269" t="inlineStr">
        <is>
          <t>Actual</t>
        </is>
      </c>
      <c r="Y12" s="269" t="inlineStr">
        <is>
          <t>Plan</t>
        </is>
      </c>
      <c r="Z12" s="269" t="inlineStr">
        <is>
          <t>Actual</t>
        </is>
      </c>
      <c r="AA12" s="269" t="inlineStr">
        <is>
          <t>Plan</t>
        </is>
      </c>
      <c r="AB12" s="269" t="inlineStr">
        <is>
          <t>Actual</t>
        </is>
      </c>
      <c r="AC12" s="269" t="inlineStr">
        <is>
          <t>Plan</t>
        </is>
      </c>
      <c r="AD12" s="269" t="inlineStr">
        <is>
          <t>Actual</t>
        </is>
      </c>
      <c r="AE12" s="269" t="inlineStr">
        <is>
          <t>Plan</t>
        </is>
      </c>
      <c r="AF12" s="269" t="inlineStr">
        <is>
          <t>Actual</t>
        </is>
      </c>
      <c r="AG12" s="19" t="n"/>
      <c r="AH12" s="260" t="n"/>
      <c r="AI12" s="260" t="n"/>
      <c r="AJ12" s="269" t="inlineStr">
        <is>
          <t>Plan</t>
        </is>
      </c>
      <c r="AK12" s="269">
        <f>IF(AJ11&lt;=$B$5,"Actual","")</f>
        <v/>
      </c>
      <c r="AL12" s="269" t="inlineStr">
        <is>
          <t>Plan</t>
        </is>
      </c>
      <c r="AM12" s="269">
        <f>IF(AL11&lt;=$B$5,"Actual","")</f>
        <v/>
      </c>
      <c r="AN12" s="269" t="inlineStr">
        <is>
          <t>Plan</t>
        </is>
      </c>
      <c r="AO12" s="269">
        <f>IF(AN11&lt;=$B$5,"Actual","")</f>
        <v/>
      </c>
      <c r="AP12" s="269" t="inlineStr">
        <is>
          <t>Plan</t>
        </is>
      </c>
      <c r="AQ12" s="269">
        <f>IF(AP11&lt;=$B$5,"Actual","")</f>
        <v/>
      </c>
      <c r="AR12" s="269" t="inlineStr">
        <is>
          <t>Plan</t>
        </is>
      </c>
      <c r="AS12" s="269">
        <f>IF(AR11&lt;=$B$5,"Actual","")</f>
        <v/>
      </c>
      <c r="AT12" s="269" t="inlineStr">
        <is>
          <t>Plan</t>
        </is>
      </c>
      <c r="AU12" s="269">
        <f>IF(AT11&lt;=$B$5,"Actual","")</f>
        <v/>
      </c>
      <c r="AV12" s="269" t="inlineStr">
        <is>
          <t>Plan</t>
        </is>
      </c>
      <c r="AW12" s="269">
        <f>IF(AV11&lt;=$B$5,"Actual","")</f>
        <v/>
      </c>
      <c r="AX12" s="269" t="inlineStr">
        <is>
          <t>Plan</t>
        </is>
      </c>
      <c r="AY12" s="269">
        <f>IF(AX11&lt;=$B$5,"Actual","")</f>
        <v/>
      </c>
      <c r="AZ12" s="269" t="inlineStr">
        <is>
          <t>Plan</t>
        </is>
      </c>
      <c r="BA12" s="269">
        <f>IF(AZ11&lt;=$B$5,"Actual","")</f>
        <v/>
      </c>
      <c r="BB12" s="269" t="inlineStr">
        <is>
          <t>Plan</t>
        </is>
      </c>
      <c r="BC12" s="269">
        <f>IF(BB11&lt;=$B$5,"Actual","")</f>
        <v/>
      </c>
      <c r="BD12" s="269" t="inlineStr">
        <is>
          <t>Plan</t>
        </is>
      </c>
      <c r="BE12" s="269">
        <f>IF(BD11&lt;=$B$5,"Actual","")</f>
        <v/>
      </c>
      <c r="BF12" s="269" t="inlineStr">
        <is>
          <t>Plan</t>
        </is>
      </c>
      <c r="BG12" s="269">
        <f>IF(BF11&lt;=$B$5,"Actual","")</f>
        <v/>
      </c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260" t="n"/>
      <c r="CE12" s="270" t="n"/>
      <c r="CF12" s="270" t="n"/>
      <c r="CG12" s="270" t="n"/>
      <c r="CH12" s="270" t="n"/>
      <c r="CI12" s="270" t="n"/>
      <c r="CJ12" s="270" t="n"/>
      <c r="CK12" s="270" t="n"/>
      <c r="CL12" s="270" t="n"/>
      <c r="CM12" s="270" t="n"/>
      <c r="CN12" s="270" t="n"/>
      <c r="CO12" s="270" t="n"/>
      <c r="CP12" s="270" t="n"/>
      <c r="CQ12" s="270" t="n"/>
      <c r="CR12" s="270" t="n"/>
      <c r="CS12" s="270" t="n"/>
      <c r="CT12" s="270" t="n"/>
      <c r="CU12" s="270" t="n"/>
      <c r="CV12" s="270" t="n"/>
      <c r="CW12" s="270" t="n"/>
      <c r="CX12" s="270" t="n"/>
      <c r="CY12" s="270" t="n"/>
      <c r="CZ12" s="270" t="n"/>
      <c r="DA12" s="270" t="n"/>
      <c r="DB12" s="270" t="n"/>
    </row>
    <row r="13" ht="18.6" customHeight="1">
      <c r="B13" s="271" t="inlineStr">
        <is>
          <t>Program Management</t>
        </is>
      </c>
      <c r="C13" s="259" t="inlineStr">
        <is>
          <t>IT</t>
        </is>
      </c>
      <c r="D13" s="272">
        <f>SUM(G13,AH13)</f>
        <v/>
      </c>
      <c r="E13" s="272">
        <f>SUM(H13,AI13)</f>
        <v/>
      </c>
      <c r="G13" s="272">
        <f>SUMIF($I$12:$AF$12,"Plan",I13:AF13)/1000000</f>
        <v/>
      </c>
      <c r="H13" s="272">
        <f>SUMIF($I$12:$AF$12,"Actual",I13:AF13)/1000000</f>
        <v/>
      </c>
      <c r="I13" s="273">
        <f>SUMIF(Table4[Workstream],'$ Dashboard'!B13,Table4[Jan_2026_F])</f>
        <v/>
      </c>
      <c r="J13" s="273">
        <f>SUMIF(Table4[Workstream],'$ Dashboard'!B13,Table4[Jan_2026_A])</f>
        <v/>
      </c>
      <c r="K13" s="273">
        <f>SUMIF(Table4[Workstream],'$ Dashboard'!B13,Table4[Feb_2026_F])</f>
        <v/>
      </c>
      <c r="L13" s="273">
        <f>SUMIF(Table4[Workstream],'$ Dashboard'!B13,Table4[Feb_2026_A])</f>
        <v/>
      </c>
      <c r="M13" s="273">
        <f>SUMIF(Table4[Workstream],'$ Dashboard'!B13,Table4[Mar_2026_F])</f>
        <v/>
      </c>
      <c r="N13" s="273">
        <f>SUMIF(Table4[Workstream],'$ Dashboard'!B13,Table4[Mar_2026_A])</f>
        <v/>
      </c>
      <c r="O13" s="273">
        <f>SUMIF(Table4[Workstream],'$ Dashboard'!B13,Table4[Apr_2026_F])</f>
        <v/>
      </c>
      <c r="P13" s="273">
        <f>SUMIF(Table4[Workstream],'$ Dashboard'!B13,Table4[Apr_2026_A])</f>
        <v/>
      </c>
      <c r="Q13" s="273">
        <f>SUMIF(Table4[Workstream],'$ Dashboard'!B13,Table4[May_2026_F])</f>
        <v/>
      </c>
      <c r="R13" s="273">
        <f>SUMIF(Table4[Workstream],'$ Dashboard'!B13,Table4[May_2026_A])</f>
        <v/>
      </c>
      <c r="S13" s="273">
        <f>SUMIF(Table4[Workstream],'$ Dashboard'!B13,Table4[Jun_2026_F])</f>
        <v/>
      </c>
      <c r="T13" s="273">
        <f>SUMIF(Table4[Workstream],'$ Dashboard'!B13,Table4[Jun_2026_A])</f>
        <v/>
      </c>
      <c r="U13" s="273">
        <f>SUMIF(Table4[Workstream],'$ Dashboard'!B13,Table4[Jul_2026_F])</f>
        <v/>
      </c>
      <c r="V13" s="273">
        <f>SUMIF(Table4[Workstream],'$ Dashboard'!B13,Table4[Jul_2026_A])</f>
        <v/>
      </c>
      <c r="W13" s="273">
        <f>SUMIF(Table4[Workstream],'$ Dashboard'!B13,Table4[Aug_2026_F])</f>
        <v/>
      </c>
      <c r="X13" s="273">
        <f>SUMIF(Table4[Workstream],'$ Dashboard'!B13,Table4[Aug_2026_A])</f>
        <v/>
      </c>
      <c r="Y13" s="273">
        <f>SUMIF(Table4[Workstream],'$ Dashboard'!B13,Table4[Sep_2026_F])</f>
        <v/>
      </c>
      <c r="Z13" s="273">
        <f>SUMIF(Table4[Workstream],'$ Dashboard'!B13,Table4[Sep_2026_A])</f>
        <v/>
      </c>
      <c r="AA13" s="273">
        <f>SUMIF(Table4[Workstream],'$ Dashboard'!B13,Table4[Oct_2026_F])</f>
        <v/>
      </c>
      <c r="AB13" s="273">
        <f>SUMIF(Table4[Workstream],'$ Dashboard'!B13,Table4[Oct_2026_A])</f>
        <v/>
      </c>
      <c r="AC13" s="273">
        <f>SUMIF(Table4[Workstream],'$ Dashboard'!B13,Table4[Nov_2026_F])</f>
        <v/>
      </c>
      <c r="AD13" s="273">
        <f>SUMIF(Table4[Workstream],'$ Dashboard'!B13,Table4[Nov_2026_A])</f>
        <v/>
      </c>
      <c r="AE13" s="273">
        <f>SUMIF(Table4[Workstream],'$ Dashboard'!B13,Table4[Dec_2026_F])</f>
        <v/>
      </c>
      <c r="AF13" s="273">
        <f>SUMIF(Table4[Workstream],'$ Dashboard'!B13,Table4[Dec_2026_A])+SUMIF(Table46[Workstream],'$ Dashboard'!B13,Table46[Dec_26_A])</f>
        <v/>
      </c>
      <c r="AH13" s="272">
        <f>SUM(AW13:BG13)/1000000</f>
        <v/>
      </c>
      <c r="AI13" s="272">
        <f>SUMIF($AJ$12:$BG$12,"Actual",AJ13:BG13)/1000000</f>
        <v/>
      </c>
      <c r="AJ13" s="274" t="n"/>
      <c r="AK13" s="274" t="n"/>
      <c r="AL13" s="274" t="n"/>
      <c r="AM13" s="274" t="n"/>
      <c r="AN13" s="274" t="n"/>
      <c r="AO13" s="274" t="n"/>
      <c r="AP13" s="274" t="n"/>
      <c r="AQ13" s="274" t="n"/>
      <c r="AR13" s="274" t="n"/>
      <c r="AS13" s="274" t="n"/>
      <c r="AT13" s="274" t="n"/>
      <c r="AU13" s="274" t="n"/>
      <c r="AV13" s="274" t="n"/>
      <c r="AW13" s="274" t="n"/>
      <c r="AX13" s="274" t="n"/>
      <c r="AY13" s="274" t="n"/>
      <c r="AZ13" s="274" t="n"/>
      <c r="BA13" s="274" t="n"/>
      <c r="BB13" s="274" t="n"/>
      <c r="BC13" s="274" t="n"/>
      <c r="BD13" s="274" t="n"/>
      <c r="BE13" s="274" t="n"/>
      <c r="BF13" s="274" t="n"/>
      <c r="BG13" s="274" t="n"/>
      <c r="BI13" s="275" t="n"/>
      <c r="BJ13" s="275" t="n"/>
      <c r="BK13" s="275" t="n"/>
      <c r="BL13" s="275" t="n"/>
      <c r="BM13" s="275" t="n"/>
      <c r="BN13" s="275" t="n"/>
      <c r="BO13" s="275" t="n"/>
      <c r="BP13" s="275" t="n"/>
      <c r="BQ13" s="275" t="n"/>
      <c r="BR13" s="275" t="n"/>
      <c r="BS13" s="275" t="n"/>
      <c r="BT13" s="275" t="n"/>
      <c r="BU13" s="275" t="n"/>
      <c r="BV13" s="275" t="n"/>
      <c r="BW13" s="275" t="n"/>
      <c r="BX13" s="275" t="n"/>
      <c r="BY13" s="275" t="n"/>
      <c r="BZ13" s="275" t="n"/>
      <c r="CA13" s="275" t="n"/>
      <c r="CB13" s="275" t="n"/>
      <c r="CC13" s="275" t="n"/>
      <c r="CD13" s="272">
        <f>SUM(CE13:DB13)/1000000</f>
        <v/>
      </c>
      <c r="CE13" s="276" t="n"/>
      <c r="CF13" s="276" t="n"/>
      <c r="CG13" s="276" t="n"/>
      <c r="CH13" s="276" t="n"/>
      <c r="CI13" s="276" t="n"/>
      <c r="CJ13" s="276" t="n"/>
      <c r="CK13" s="276" t="n"/>
      <c r="CL13" s="276" t="n"/>
      <c r="CM13" s="276" t="n"/>
      <c r="CN13" s="276" t="n"/>
      <c r="CO13" s="276" t="n"/>
      <c r="CP13" s="276" t="n"/>
      <c r="CQ13" s="276" t="n"/>
      <c r="CR13" s="276" t="n"/>
      <c r="CS13" s="276" t="n"/>
      <c r="CT13" s="276" t="n"/>
      <c r="CU13" s="276" t="n"/>
      <c r="CV13" s="276" t="n"/>
      <c r="CW13" s="276" t="n"/>
      <c r="CX13" s="276" t="n"/>
      <c r="CY13" s="276" t="n"/>
      <c r="CZ13" s="276" t="n"/>
      <c r="DA13" s="276" t="n"/>
      <c r="DB13" s="276" t="n"/>
    </row>
    <row r="14" ht="18.6" customHeight="1">
      <c r="B14" s="277" t="inlineStr">
        <is>
          <t>Prosmar Crude</t>
        </is>
      </c>
      <c r="C14" s="278" t="inlineStr">
        <is>
          <t>IT</t>
        </is>
      </c>
      <c r="D14" s="279">
        <f>SUM(G14,AH14)</f>
        <v/>
      </c>
      <c r="E14" s="279">
        <f>SUM(H14,AI14)</f>
        <v/>
      </c>
      <c r="G14" s="279">
        <f>SUMIF($I$12:$AF$12,"Plan",I14:AF14)/1000000</f>
        <v/>
      </c>
      <c r="H14" s="279">
        <f>SUMIF($I$12:$AF$12,"Actual",I14:AF14)/1000000</f>
        <v/>
      </c>
      <c r="I14" s="280">
        <f>SUMIF(Table4[Workstream],'$ Dashboard'!B14,Table4[Jan_2026_F])</f>
        <v/>
      </c>
      <c r="J14" s="280">
        <f>SUMIF(Table4[Workstream],'$ Dashboard'!B14,Table4[Jan_2026_A])</f>
        <v/>
      </c>
      <c r="K14" s="280">
        <f>SUMIF(Table4[Workstream],'$ Dashboard'!B14,Table4[Feb_2026_F])</f>
        <v/>
      </c>
      <c r="L14" s="280">
        <f>SUMIF(Table4[Workstream],'$ Dashboard'!B14,Table4[Feb_2026_A])</f>
        <v/>
      </c>
      <c r="M14" s="280">
        <f>SUMIF(Table4[Workstream],'$ Dashboard'!B14,Table4[Mar_2026_F])</f>
        <v/>
      </c>
      <c r="N14" s="280">
        <f>SUMIF(Table4[Workstream],'$ Dashboard'!B14,Table4[Mar_2026_A])</f>
        <v/>
      </c>
      <c r="O14" s="280">
        <f>SUMIF(Table4[Workstream],'$ Dashboard'!B14,Table4[Apr_2026_F])</f>
        <v/>
      </c>
      <c r="P14" s="280">
        <f>SUMIF(Table4[Workstream],'$ Dashboard'!B14,Table4[Apr_2026_A])</f>
        <v/>
      </c>
      <c r="Q14" s="280">
        <f>SUMIF(Table4[Workstream],'$ Dashboard'!B14,Table4[May_2026_F])</f>
        <v/>
      </c>
      <c r="R14" s="280">
        <f>SUMIF(Table4[Workstream],'$ Dashboard'!B14,Table4[May_2026_A])</f>
        <v/>
      </c>
      <c r="S14" s="280">
        <f>SUMIF(Table4[Workstream],'$ Dashboard'!B14,Table4[Jun_2026_F])</f>
        <v/>
      </c>
      <c r="T14" s="280">
        <f>SUMIF(Table4[Workstream],'$ Dashboard'!B14,Table4[Jun_2026_A])</f>
        <v/>
      </c>
      <c r="U14" s="280">
        <f>SUMIF(Table4[Workstream],'$ Dashboard'!B14,Table4[Jul_2026_F])</f>
        <v/>
      </c>
      <c r="V14" s="280">
        <f>SUMIF(Table4[Workstream],'$ Dashboard'!B14,Table4[Jul_2026_A])</f>
        <v/>
      </c>
      <c r="W14" s="280">
        <f>SUMIF(Table4[Workstream],'$ Dashboard'!B14,Table4[Aug_2026_F])</f>
        <v/>
      </c>
      <c r="X14" s="280">
        <f>SUMIF(Table4[Workstream],'$ Dashboard'!B14,Table4[Aug_2026_A])</f>
        <v/>
      </c>
      <c r="Y14" s="280">
        <f>SUMIF(Table4[Workstream],'$ Dashboard'!B14,Table4[Sep_2026_F])</f>
        <v/>
      </c>
      <c r="Z14" s="280">
        <f>SUMIF(Table4[Workstream],'$ Dashboard'!B14,Table4[Sep_2026_A])</f>
        <v/>
      </c>
      <c r="AA14" s="280">
        <f>SUMIF(Table4[Workstream],'$ Dashboard'!B14,Table4[Oct_2026_F])</f>
        <v/>
      </c>
      <c r="AB14" s="280">
        <f>SUMIF(Table4[Workstream],'$ Dashboard'!B14,Table4[Oct_2026_A])</f>
        <v/>
      </c>
      <c r="AC14" s="280">
        <f>SUMIF(Table4[Workstream],'$ Dashboard'!B14,Table4[Nov_2026_F])</f>
        <v/>
      </c>
      <c r="AD14" s="280">
        <f>SUMIF(Table4[Workstream],'$ Dashboard'!B14,Table4[Nov_2026_A])</f>
        <v/>
      </c>
      <c r="AE14" s="280">
        <f>SUMIF(Table4[Workstream],'$ Dashboard'!B14,Table4[Dec_2026_F])</f>
        <v/>
      </c>
      <c r="AF14" s="280">
        <f>SUMIF(Table4[Workstream],'$ Dashboard'!B14,Table4[Dec_2026_A])+SUMIF(Table46[Workstream],'$ Dashboard'!B14,Table46[Dec_26_A])</f>
        <v/>
      </c>
      <c r="AH14" s="279">
        <f>SUM(AW14:BG14)/1000000</f>
        <v/>
      </c>
      <c r="AI14" s="279">
        <f>SUMIF($AJ$12:$BG$12,"Actual",AJ14:BG14)/1000000</f>
        <v/>
      </c>
      <c r="AJ14" s="274" t="n"/>
      <c r="AK14" s="274" t="n"/>
      <c r="AL14" s="274" t="n"/>
      <c r="AM14" s="274" t="n"/>
      <c r="AN14" s="274" t="n"/>
      <c r="AO14" s="274" t="n"/>
      <c r="AP14" s="274" t="n"/>
      <c r="AQ14" s="274" t="n"/>
      <c r="AR14" s="274" t="n"/>
      <c r="AS14" s="274" t="n"/>
      <c r="AT14" s="274" t="n"/>
      <c r="AU14" s="274" t="n"/>
      <c r="AV14" s="274" t="n"/>
      <c r="AW14" s="274" t="n"/>
      <c r="AX14" s="274" t="n"/>
      <c r="AY14" s="274" t="n"/>
      <c r="AZ14" s="274" t="n"/>
      <c r="BA14" s="274" t="n"/>
      <c r="BB14" s="274" t="n"/>
      <c r="BC14" s="274" t="n"/>
      <c r="BD14" s="274" t="n"/>
      <c r="BE14" s="274" t="n"/>
      <c r="BF14" s="274" t="n"/>
      <c r="BG14" s="274" t="n"/>
      <c r="BI14" s="275" t="n"/>
      <c r="BJ14" s="275" t="n"/>
      <c r="BK14" s="275" t="n"/>
      <c r="BL14" s="275" t="n"/>
      <c r="BM14" s="275" t="n"/>
      <c r="BN14" s="275" t="n"/>
      <c r="BO14" s="275" t="n"/>
      <c r="BP14" s="275" t="n"/>
      <c r="BQ14" s="275" t="n"/>
      <c r="BR14" s="275" t="n"/>
      <c r="BS14" s="275" t="n"/>
      <c r="BT14" s="275" t="n"/>
      <c r="BU14" s="275" t="n"/>
      <c r="BV14" s="275" t="n"/>
      <c r="BW14" s="275" t="n"/>
      <c r="BX14" s="275" t="n"/>
      <c r="BY14" s="275" t="n"/>
      <c r="BZ14" s="275" t="n"/>
      <c r="CA14" s="275" t="n"/>
      <c r="CB14" s="275" t="n"/>
      <c r="CC14" s="275" t="n"/>
      <c r="CD14" s="279">
        <f>SUM(CE14:DB14)/1000000</f>
        <v/>
      </c>
      <c r="CE14" s="276" t="n"/>
      <c r="CF14" s="276" t="n"/>
      <c r="CG14" s="276" t="n"/>
      <c r="CH14" s="276" t="n"/>
      <c r="CI14" s="276" t="n"/>
      <c r="CJ14" s="276" t="n"/>
      <c r="CK14" s="276" t="n"/>
      <c r="CL14" s="276" t="n"/>
      <c r="CM14" s="276" t="n"/>
      <c r="CN14" s="276" t="n"/>
      <c r="CO14" s="276" t="n"/>
      <c r="CP14" s="276" t="n"/>
      <c r="CQ14" s="276" t="n"/>
      <c r="CR14" s="276" t="n"/>
      <c r="CS14" s="276" t="n"/>
      <c r="CT14" s="276" t="n"/>
      <c r="CU14" s="276" t="n"/>
      <c r="CV14" s="276" t="n"/>
      <c r="CW14" s="276" t="n"/>
      <c r="CX14" s="276" t="n"/>
      <c r="CY14" s="276" t="n"/>
      <c r="CZ14" s="276" t="n"/>
      <c r="DA14" s="276" t="n"/>
      <c r="DB14" s="276" t="n"/>
    </row>
    <row r="15" ht="18.6" customHeight="1">
      <c r="B15" s="281" t="inlineStr">
        <is>
          <t>Prosmar Products</t>
        </is>
      </c>
      <c r="C15" s="259" t="inlineStr">
        <is>
          <t>IT</t>
        </is>
      </c>
      <c r="D15" s="272">
        <f>SUM(G15,AH15)</f>
        <v/>
      </c>
      <c r="E15" s="272">
        <f>SUM(H15,AI15)</f>
        <v/>
      </c>
      <c r="G15" s="272">
        <f>SUMIF($I$12:$AF$12,"Plan",I15:AF15)/1000000</f>
        <v/>
      </c>
      <c r="H15" s="272">
        <f>SUMIF($I$12:$AF$12,"Actual",I15:AF15)/1000000</f>
        <v/>
      </c>
      <c r="I15" s="273">
        <f>SUMIF(Table4[Workstream],'$ Dashboard'!B15,Table4[Jan_2026_F])</f>
        <v/>
      </c>
      <c r="J15" s="273">
        <f>SUMIF(Table4[Workstream],'$ Dashboard'!B15,Table4[Jan_2026_A])</f>
        <v/>
      </c>
      <c r="K15" s="273">
        <f>SUMIF(Table4[Workstream],'$ Dashboard'!B15,Table4[Feb_2026_F])</f>
        <v/>
      </c>
      <c r="L15" s="273">
        <f>SUMIF(Table4[Workstream],'$ Dashboard'!B15,Table4[Feb_2026_A])</f>
        <v/>
      </c>
      <c r="M15" s="273">
        <f>SUMIF(Table4[Workstream],'$ Dashboard'!B15,Table4[Mar_2026_F])</f>
        <v/>
      </c>
      <c r="N15" s="273">
        <f>SUMIF(Table4[Workstream],'$ Dashboard'!B15,Table4[Mar_2026_A])</f>
        <v/>
      </c>
      <c r="O15" s="273">
        <f>SUMIF(Table4[Workstream],'$ Dashboard'!B15,Table4[Apr_2026_F])</f>
        <v/>
      </c>
      <c r="P15" s="273">
        <f>SUMIF(Table4[Workstream],'$ Dashboard'!B15,Table4[Apr_2026_A])</f>
        <v/>
      </c>
      <c r="Q15" s="273">
        <f>SUMIF(Table4[Workstream],'$ Dashboard'!B15,Table4[May_2026_F])</f>
        <v/>
      </c>
      <c r="R15" s="273">
        <f>SUMIF(Table4[Workstream],'$ Dashboard'!B15,Table4[May_2026_A])</f>
        <v/>
      </c>
      <c r="S15" s="273">
        <f>SUMIF(Table4[Workstream],'$ Dashboard'!B15,Table4[Jun_2026_F])</f>
        <v/>
      </c>
      <c r="T15" s="273">
        <f>SUMIF(Table4[Workstream],'$ Dashboard'!B15,Table4[Jun_2026_A])</f>
        <v/>
      </c>
      <c r="U15" s="273">
        <f>SUMIF(Table4[Workstream],'$ Dashboard'!B15,Table4[Jul_2026_F])</f>
        <v/>
      </c>
      <c r="V15" s="273">
        <f>SUMIF(Table4[Workstream],'$ Dashboard'!B15,Table4[Jul_2026_A])</f>
        <v/>
      </c>
      <c r="W15" s="273">
        <f>SUMIF(Table4[Workstream],'$ Dashboard'!B15,Table4[Aug_2026_F])</f>
        <v/>
      </c>
      <c r="X15" s="273">
        <f>SUMIF(Table4[Workstream],'$ Dashboard'!B15,Table4[Aug_2026_A])</f>
        <v/>
      </c>
      <c r="Y15" s="273">
        <f>SUMIF(Table4[Workstream],'$ Dashboard'!B15,Table4[Sep_2026_F])</f>
        <v/>
      </c>
      <c r="Z15" s="273">
        <f>SUMIF(Table4[Workstream],'$ Dashboard'!B15,Table4[Sep_2026_A])</f>
        <v/>
      </c>
      <c r="AA15" s="273">
        <f>SUMIF(Table4[Workstream],'$ Dashboard'!B15,Table4[Oct_2026_F])</f>
        <v/>
      </c>
      <c r="AB15" s="273">
        <f>SUMIF(Table4[Workstream],'$ Dashboard'!B15,Table4[Oct_2026_A])</f>
        <v/>
      </c>
      <c r="AC15" s="273">
        <f>SUMIF(Table4[Workstream],'$ Dashboard'!B15,Table4[Nov_2026_F])</f>
        <v/>
      </c>
      <c r="AD15" s="273">
        <f>SUMIF(Table4[Workstream],'$ Dashboard'!B15,Table4[Nov_2026_A])</f>
        <v/>
      </c>
      <c r="AE15" s="273">
        <f>SUMIF(Table4[Workstream],'$ Dashboard'!B15,Table4[Dec_2026_F])</f>
        <v/>
      </c>
      <c r="AF15" s="273">
        <f>SUMIF(Table4[Workstream],'$ Dashboard'!B15,Table4[Dec_2026_A])+SUMIF(Table46[Workstream],'$ Dashboard'!B15,Table46[Dec_26_A])</f>
        <v/>
      </c>
      <c r="AH15" s="272">
        <f>SUM(AW15:BG15)/1000000</f>
        <v/>
      </c>
      <c r="AI15" s="272">
        <f>SUMIF($AJ$12:$BG$12,"Actual",AJ15:BG15)/1000000</f>
        <v/>
      </c>
      <c r="AJ15" s="274" t="n"/>
      <c r="AK15" s="274" t="n"/>
      <c r="AL15" s="274" t="n"/>
      <c r="AM15" s="274" t="n"/>
      <c r="AN15" s="274" t="n"/>
      <c r="AO15" s="274" t="n"/>
      <c r="AP15" s="274" t="n"/>
      <c r="AQ15" s="274" t="n"/>
      <c r="AR15" s="274" t="n"/>
      <c r="AS15" s="274" t="n"/>
      <c r="AT15" s="274" t="n"/>
      <c r="AU15" s="274" t="n"/>
      <c r="AV15" s="274" t="n"/>
      <c r="AW15" s="274" t="n"/>
      <c r="AX15" s="274" t="n"/>
      <c r="AY15" s="274" t="n"/>
      <c r="AZ15" s="274" t="n"/>
      <c r="BA15" s="274" t="n"/>
      <c r="BB15" s="274" t="n"/>
      <c r="BC15" s="274" t="n"/>
      <c r="BD15" s="274" t="n"/>
      <c r="BE15" s="274" t="n"/>
      <c r="BF15" s="274" t="n"/>
      <c r="BG15" s="274" t="n"/>
      <c r="BI15" s="275" t="n"/>
      <c r="BJ15" s="275" t="n"/>
      <c r="BK15" s="275" t="n"/>
      <c r="BL15" s="275" t="n"/>
      <c r="BM15" s="275" t="n"/>
      <c r="BN15" s="275" t="n"/>
      <c r="BO15" s="275" t="n"/>
      <c r="BP15" s="275" t="n"/>
      <c r="BQ15" s="275" t="n"/>
      <c r="BR15" s="275" t="n"/>
      <c r="BS15" s="275" t="n"/>
      <c r="BT15" s="275" t="n"/>
      <c r="BU15" s="275" t="n"/>
      <c r="BV15" s="275" t="n"/>
      <c r="BW15" s="275" t="n"/>
      <c r="BX15" s="275" t="n"/>
      <c r="BY15" s="275" t="n"/>
      <c r="BZ15" s="275" t="n"/>
      <c r="CA15" s="275" t="n"/>
      <c r="CB15" s="275" t="n"/>
      <c r="CC15" s="275" t="n"/>
      <c r="CD15" s="272">
        <f>SUM(CE15:DB15)/1000000</f>
        <v/>
      </c>
      <c r="CE15" s="276" t="n"/>
      <c r="CF15" s="276" t="n"/>
      <c r="CG15" s="276" t="n"/>
      <c r="CH15" s="276" t="n"/>
      <c r="CI15" s="276" t="n"/>
      <c r="CJ15" s="276" t="n"/>
      <c r="CK15" s="276" t="n"/>
      <c r="CL15" s="276" t="n"/>
      <c r="CM15" s="276" t="n"/>
      <c r="CN15" s="276" t="n"/>
      <c r="CO15" s="276" t="n"/>
      <c r="CP15" s="276" t="n"/>
      <c r="CQ15" s="276" t="n"/>
      <c r="CR15" s="276" t="n"/>
      <c r="CS15" s="276" t="n"/>
      <c r="CT15" s="276" t="n"/>
      <c r="CU15" s="276" t="n"/>
      <c r="CV15" s="276" t="n"/>
      <c r="CW15" s="276" t="n"/>
      <c r="CX15" s="276" t="n"/>
      <c r="CY15" s="276" t="n"/>
      <c r="CZ15" s="276" t="n"/>
      <c r="DA15" s="276" t="n"/>
      <c r="DB15" s="276" t="n"/>
    </row>
    <row r="16" ht="18.6" customHeight="1">
      <c r="B16" s="277" t="inlineStr">
        <is>
          <t>VPD</t>
        </is>
      </c>
      <c r="C16" s="278" t="inlineStr">
        <is>
          <t>IT</t>
        </is>
      </c>
      <c r="D16" s="279">
        <f>SUM(G16,AH16)</f>
        <v/>
      </c>
      <c r="E16" s="279">
        <f>SUM(H16,AI16)</f>
        <v/>
      </c>
      <c r="G16" s="279">
        <f>SUMIF($I$12:$AF$12,"Plan",I16:AF16)/1000000</f>
        <v/>
      </c>
      <c r="H16" s="279">
        <f>SUMIF($I$12:$AF$12,"Actual",I16:AF16)/1000000</f>
        <v/>
      </c>
      <c r="I16" s="280">
        <f>SUMIF(Table4[Workstream],'$ Dashboard'!B16,Table4[Jan_2026_F])</f>
        <v/>
      </c>
      <c r="J16" s="280">
        <f>SUMIF(Table4[Workstream],'$ Dashboard'!B16,Table4[Jan_2026_A])</f>
        <v/>
      </c>
      <c r="K16" s="280">
        <f>SUMIF(Table4[Workstream],'$ Dashboard'!B16,Table4[Feb_2026_F])</f>
        <v/>
      </c>
      <c r="L16" s="280">
        <f>SUMIF(Table4[Workstream],'$ Dashboard'!B16,Table4[Feb_2026_A])</f>
        <v/>
      </c>
      <c r="M16" s="280">
        <f>SUMIF(Table4[Workstream],'$ Dashboard'!B16,Table4[Mar_2026_F])</f>
        <v/>
      </c>
      <c r="N16" s="280">
        <f>SUMIF(Table4[Workstream],'$ Dashboard'!B16,Table4[Mar_2026_A])</f>
        <v/>
      </c>
      <c r="O16" s="280">
        <f>SUMIF(Table4[Workstream],'$ Dashboard'!B16,Table4[Apr_2026_F])</f>
        <v/>
      </c>
      <c r="P16" s="280">
        <f>SUMIF(Table4[Workstream],'$ Dashboard'!B16,Table4[Apr_2026_A])</f>
        <v/>
      </c>
      <c r="Q16" s="280">
        <f>SUMIF(Table4[Workstream],'$ Dashboard'!B16,Table4[May_2026_F])</f>
        <v/>
      </c>
      <c r="R16" s="280">
        <f>SUMIF(Table4[Workstream],'$ Dashboard'!B16,Table4[May_2026_A])</f>
        <v/>
      </c>
      <c r="S16" s="280">
        <f>SUMIF(Table4[Workstream],'$ Dashboard'!B16,Table4[Jun_2026_F])</f>
        <v/>
      </c>
      <c r="T16" s="280">
        <f>SUMIF(Table4[Workstream],'$ Dashboard'!B16,Table4[Jun_2026_A])</f>
        <v/>
      </c>
      <c r="U16" s="280">
        <f>SUMIF(Table4[Workstream],'$ Dashboard'!B16,Table4[Jul_2026_F])</f>
        <v/>
      </c>
      <c r="V16" s="280">
        <f>SUMIF(Table4[Workstream],'$ Dashboard'!B16,Table4[Jul_2026_A])</f>
        <v/>
      </c>
      <c r="W16" s="280">
        <f>SUMIF(Table4[Workstream],'$ Dashboard'!B16,Table4[Aug_2026_F])</f>
        <v/>
      </c>
      <c r="X16" s="280">
        <f>SUMIF(Table4[Workstream],'$ Dashboard'!B16,Table4[Aug_2026_A])</f>
        <v/>
      </c>
      <c r="Y16" s="280">
        <f>SUMIF(Table4[Workstream],'$ Dashboard'!B16,Table4[Sep_2026_F])</f>
        <v/>
      </c>
      <c r="Z16" s="280">
        <f>SUMIF(Table4[Workstream],'$ Dashboard'!B16,Table4[Sep_2026_A])</f>
        <v/>
      </c>
      <c r="AA16" s="280">
        <f>SUMIF(Table4[Workstream],'$ Dashboard'!B16,Table4[Oct_2026_F])</f>
        <v/>
      </c>
      <c r="AB16" s="280">
        <f>SUMIF(Table4[Workstream],'$ Dashboard'!B16,Table4[Oct_2026_A])</f>
        <v/>
      </c>
      <c r="AC16" s="280">
        <f>SUMIF(Table4[Workstream],'$ Dashboard'!B16,Table4[Nov_2026_F])</f>
        <v/>
      </c>
      <c r="AD16" s="280">
        <f>SUMIF(Table4[Workstream],'$ Dashboard'!B16,Table4[Nov_2026_A])</f>
        <v/>
      </c>
      <c r="AE16" s="280">
        <f>SUMIF(Table4[Workstream],'$ Dashboard'!B16,Table4[Dec_2026_F])</f>
        <v/>
      </c>
      <c r="AF16" s="280">
        <f>SUMIF(Table4[Workstream],'$ Dashboard'!B16,Table4[Dec_2026_A])+SUMIF(Table46[Workstream],'$ Dashboard'!B16,Table46[Dec_26_A])</f>
        <v/>
      </c>
      <c r="AH16" s="279">
        <f>SUM(AW16:BG16)/1000000</f>
        <v/>
      </c>
      <c r="AI16" s="279">
        <f>SUMIF($AJ$12:$BG$12,"Actual",AJ16:BG16)/1000000</f>
        <v/>
      </c>
      <c r="AJ16" s="274" t="n"/>
      <c r="AK16" s="274" t="n"/>
      <c r="AL16" s="274" t="n"/>
      <c r="AM16" s="274" t="n"/>
      <c r="AN16" s="274" t="n"/>
      <c r="AO16" s="274" t="n"/>
      <c r="AP16" s="274" t="n"/>
      <c r="AQ16" s="274" t="n"/>
      <c r="AR16" s="274" t="n"/>
      <c r="AS16" s="274" t="n"/>
      <c r="AT16" s="274" t="n"/>
      <c r="AU16" s="274" t="n"/>
      <c r="AV16" s="274" t="n"/>
      <c r="AW16" s="274" t="n"/>
      <c r="AX16" s="274" t="n"/>
      <c r="AY16" s="274" t="n"/>
      <c r="AZ16" s="274" t="n"/>
      <c r="BA16" s="274" t="n"/>
      <c r="BB16" s="274" t="n"/>
      <c r="BC16" s="274" t="n"/>
      <c r="BD16" s="274" t="n"/>
      <c r="BE16" s="274" t="n"/>
      <c r="BF16" s="274" t="n"/>
      <c r="BG16" s="274" t="n"/>
      <c r="BI16" s="275" t="n"/>
      <c r="BJ16" s="275" t="n"/>
      <c r="BK16" s="275" t="n"/>
      <c r="BL16" s="275" t="n"/>
      <c r="BM16" s="275" t="n"/>
      <c r="BN16" s="275" t="n"/>
      <c r="BO16" s="275" t="n"/>
      <c r="BP16" s="275" t="n"/>
      <c r="BQ16" s="275" t="n"/>
      <c r="BR16" s="275" t="n"/>
      <c r="BS16" s="275" t="n"/>
      <c r="BT16" s="275" t="n"/>
      <c r="BU16" s="275" t="n"/>
      <c r="BV16" s="275" t="n"/>
      <c r="BW16" s="275" t="n"/>
      <c r="BX16" s="275" t="n"/>
      <c r="BY16" s="275" t="n"/>
      <c r="BZ16" s="275" t="n"/>
      <c r="CA16" s="275" t="n"/>
      <c r="CB16" s="275" t="n"/>
      <c r="CC16" s="275" t="n"/>
      <c r="CD16" s="279">
        <f>SUM(CE16:DB16)/1000000</f>
        <v/>
      </c>
      <c r="CE16" s="276" t="n"/>
      <c r="CF16" s="276" t="n"/>
      <c r="CG16" s="276" t="n"/>
      <c r="CH16" s="276" t="n"/>
      <c r="CI16" s="276" t="n"/>
      <c r="CJ16" s="276" t="n"/>
      <c r="CK16" s="276" t="n"/>
      <c r="CL16" s="276" t="n"/>
      <c r="CM16" s="276" t="n"/>
      <c r="CN16" s="276" t="n"/>
      <c r="CO16" s="276" t="n"/>
      <c r="CP16" s="276" t="n"/>
      <c r="CQ16" s="276" t="n"/>
      <c r="CR16" s="276" t="n"/>
      <c r="CS16" s="276" t="n"/>
      <c r="CT16" s="276" t="n"/>
      <c r="CU16" s="276" t="n"/>
      <c r="CV16" s="276" t="n"/>
      <c r="CW16" s="276" t="n"/>
      <c r="CX16" s="276" t="n"/>
      <c r="CY16" s="276" t="n"/>
      <c r="CZ16" s="276" t="n"/>
      <c r="DA16" s="276" t="n"/>
      <c r="DB16" s="276" t="n"/>
    </row>
    <row r="17" ht="18.6" customHeight="1">
      <c r="B17" s="281" t="inlineStr">
        <is>
          <t>GATOR</t>
        </is>
      </c>
      <c r="C17" s="259" t="inlineStr">
        <is>
          <t>IT</t>
        </is>
      </c>
      <c r="D17" s="272">
        <f>SUM(G17,AH17)</f>
        <v/>
      </c>
      <c r="E17" s="272">
        <f>SUM(H17,AI17)</f>
        <v/>
      </c>
      <c r="G17" s="272">
        <f>SUMIF($I$12:$AF$12,"Plan",I17:AF17)/1000000</f>
        <v/>
      </c>
      <c r="H17" s="272">
        <f>SUMIF($I$12:$AF$12,"Actual",I17:AF17)/1000000</f>
        <v/>
      </c>
      <c r="I17" s="273">
        <f>SUMIF(Table4[Workstream],'$ Dashboard'!B17,Table4[Jan_2026_F])</f>
        <v/>
      </c>
      <c r="J17" s="273">
        <f>SUMIF(Table4[Workstream],'$ Dashboard'!B17,Table4[Jan_2026_A])</f>
        <v/>
      </c>
      <c r="K17" s="273">
        <f>SUMIF(Table4[Workstream],'$ Dashboard'!B17,Table4[Feb_2026_F])</f>
        <v/>
      </c>
      <c r="L17" s="273">
        <f>SUMIF(Table4[Workstream],'$ Dashboard'!B17,Table4[Feb_2026_A])</f>
        <v/>
      </c>
      <c r="M17" s="273">
        <f>SUMIF(Table4[Workstream],'$ Dashboard'!B17,Table4[Mar_2026_F])</f>
        <v/>
      </c>
      <c r="N17" s="273">
        <f>SUMIF(Table4[Workstream],'$ Dashboard'!B17,Table4[Mar_2026_A])</f>
        <v/>
      </c>
      <c r="O17" s="273">
        <f>SUMIF(Table4[Workstream],'$ Dashboard'!B17,Table4[Apr_2026_F])</f>
        <v/>
      </c>
      <c r="P17" s="273">
        <f>SUMIF(Table4[Workstream],'$ Dashboard'!B17,Table4[Apr_2026_A])</f>
        <v/>
      </c>
      <c r="Q17" s="273">
        <f>SUMIF(Table4[Workstream],'$ Dashboard'!B17,Table4[May_2026_F])</f>
        <v/>
      </c>
      <c r="R17" s="273">
        <f>SUMIF(Table4[Workstream],'$ Dashboard'!B17,Table4[May_2026_A])</f>
        <v/>
      </c>
      <c r="S17" s="273">
        <f>SUMIF(Table4[Workstream],'$ Dashboard'!B17,Table4[Jun_2026_F])</f>
        <v/>
      </c>
      <c r="T17" s="273">
        <f>SUMIF(Table4[Workstream],'$ Dashboard'!B17,Table4[Jun_2026_A])</f>
        <v/>
      </c>
      <c r="U17" s="273">
        <f>SUMIF(Table4[Workstream],'$ Dashboard'!B17,Table4[Jul_2026_F])</f>
        <v/>
      </c>
      <c r="V17" s="273">
        <f>SUMIF(Table4[Workstream],'$ Dashboard'!B17,Table4[Jul_2026_A])</f>
        <v/>
      </c>
      <c r="W17" s="273">
        <f>SUMIF(Table4[Workstream],'$ Dashboard'!B17,Table4[Aug_2026_F])</f>
        <v/>
      </c>
      <c r="X17" s="273">
        <f>SUMIF(Table4[Workstream],'$ Dashboard'!B17,Table4[Aug_2026_A])</f>
        <v/>
      </c>
      <c r="Y17" s="273">
        <f>SUMIF(Table4[Workstream],'$ Dashboard'!B17,Table4[Sep_2026_F])</f>
        <v/>
      </c>
      <c r="Z17" s="273">
        <f>SUMIF(Table4[Workstream],'$ Dashboard'!B17,Table4[Sep_2026_A])</f>
        <v/>
      </c>
      <c r="AA17" s="273">
        <f>SUMIF(Table4[Workstream],'$ Dashboard'!B17,Table4[Oct_2026_F])</f>
        <v/>
      </c>
      <c r="AB17" s="273">
        <f>SUMIF(Table4[Workstream],'$ Dashboard'!B17,Table4[Oct_2026_A])</f>
        <v/>
      </c>
      <c r="AC17" s="273">
        <f>SUMIF(Table4[Workstream],'$ Dashboard'!B17,Table4[Nov_2026_F])</f>
        <v/>
      </c>
      <c r="AD17" s="273">
        <f>SUMIF(Table4[Workstream],'$ Dashboard'!B17,Table4[Nov_2026_A])</f>
        <v/>
      </c>
      <c r="AE17" s="273">
        <f>SUMIF(Table4[Workstream],'$ Dashboard'!B17,Table4[Dec_2026_F])</f>
        <v/>
      </c>
      <c r="AF17" s="273">
        <f>SUMIF(Table4[Workstream],'$ Dashboard'!B17,Table4[Dec_2026_A])+SUMIF(Table46[Workstream],'$ Dashboard'!B17,Table46[Dec_26_A])</f>
        <v/>
      </c>
      <c r="AH17" s="272">
        <f>SUM(AW17:BG17)/1000000</f>
        <v/>
      </c>
      <c r="AI17" s="272">
        <f>SUMIF($AJ$12:$BG$12,"Actual",AJ17:BG17)/1000000</f>
        <v/>
      </c>
      <c r="AJ17" s="274" t="n"/>
      <c r="AK17" s="274" t="n"/>
      <c r="AL17" s="274" t="n"/>
      <c r="AM17" s="274" t="n"/>
      <c r="AN17" s="274" t="n"/>
      <c r="AO17" s="274" t="n"/>
      <c r="AP17" s="274" t="n"/>
      <c r="AQ17" s="274" t="n"/>
      <c r="AR17" s="274" t="n"/>
      <c r="AS17" s="274" t="n"/>
      <c r="AT17" s="274" t="n"/>
      <c r="AU17" s="274" t="n"/>
      <c r="AV17" s="274" t="n"/>
      <c r="AW17" s="274" t="n"/>
      <c r="AX17" s="274" t="n"/>
      <c r="AY17" s="274" t="n"/>
      <c r="AZ17" s="274" t="n"/>
      <c r="BA17" s="274" t="n"/>
      <c r="BB17" s="274" t="n"/>
      <c r="BC17" s="274" t="n"/>
      <c r="BD17" s="274" t="n"/>
      <c r="BE17" s="274" t="n"/>
      <c r="BF17" s="274" t="n"/>
      <c r="BG17" s="274" t="n"/>
      <c r="BI17" s="275" t="n"/>
      <c r="BJ17" s="275" t="n"/>
      <c r="BK17" s="275" t="n"/>
      <c r="BL17" s="275" t="n"/>
      <c r="BM17" s="275" t="n"/>
      <c r="BN17" s="275" t="n"/>
      <c r="BO17" s="275" t="n"/>
      <c r="BP17" s="275" t="n"/>
      <c r="BQ17" s="275" t="n"/>
      <c r="BR17" s="275" t="n"/>
      <c r="BS17" s="275" t="n"/>
      <c r="BT17" s="275" t="n"/>
      <c r="BU17" s="275" t="n"/>
      <c r="BV17" s="275" t="n"/>
      <c r="BW17" s="275" t="n"/>
      <c r="BX17" s="275" t="n"/>
      <c r="BY17" s="275" t="n"/>
      <c r="BZ17" s="275" t="n"/>
      <c r="CA17" s="275" t="n"/>
      <c r="CB17" s="275" t="n"/>
      <c r="CC17" s="275" t="n"/>
      <c r="CD17" s="272">
        <f>SUM(CE17:DB17)/1000000</f>
        <v/>
      </c>
      <c r="CE17" s="276" t="n"/>
      <c r="CF17" s="276" t="n"/>
      <c r="CG17" s="276" t="n"/>
      <c r="CH17" s="276" t="n"/>
      <c r="CI17" s="276" t="n"/>
      <c r="CJ17" s="276" t="n"/>
      <c r="CK17" s="276" t="n"/>
      <c r="CL17" s="276" t="n"/>
      <c r="CM17" s="276" t="n"/>
      <c r="CN17" s="276" t="n"/>
      <c r="CO17" s="276" t="n"/>
      <c r="CP17" s="276" t="n"/>
      <c r="CQ17" s="276" t="n"/>
      <c r="CR17" s="276" t="n"/>
      <c r="CS17" s="276" t="n"/>
      <c r="CT17" s="276" t="n"/>
      <c r="CU17" s="276" t="n"/>
      <c r="CV17" s="276" t="n"/>
      <c r="CW17" s="276" t="n"/>
      <c r="CX17" s="276" t="n"/>
      <c r="CY17" s="276" t="n"/>
      <c r="CZ17" s="276" t="n"/>
      <c r="DA17" s="276" t="n"/>
      <c r="DB17" s="276" t="n"/>
    </row>
    <row r="18" ht="18.6" customHeight="1">
      <c r="B18" s="277" t="inlineStr">
        <is>
          <t>USDF</t>
        </is>
      </c>
      <c r="C18" s="278" t="inlineStr">
        <is>
          <t>IT</t>
        </is>
      </c>
      <c r="D18" s="279">
        <f>SUM(G18,AH18)</f>
        <v/>
      </c>
      <c r="E18" s="279">
        <f>SUM(H18,AI18)</f>
        <v/>
      </c>
      <c r="G18" s="279">
        <f>SUMIF($I$12:$AF$12,"Plan",I18:AF18)/1000000</f>
        <v/>
      </c>
      <c r="H18" s="279">
        <f>SUMIF($I$12:$AF$12,"Actual",I18:AF18)/1000000</f>
        <v/>
      </c>
      <c r="I18" s="280">
        <f>SUMIF(Table4[Workstream],'$ Dashboard'!B18,Table4[Jan_2026_F])</f>
        <v/>
      </c>
      <c r="J18" s="280">
        <f>SUMIF(Table4[Workstream],'$ Dashboard'!B18,Table4[Jan_2026_A])</f>
        <v/>
      </c>
      <c r="K18" s="280">
        <f>SUMIF(Table4[Workstream],'$ Dashboard'!B18,Table4[Feb_2026_F])</f>
        <v/>
      </c>
      <c r="L18" s="280">
        <f>SUMIF(Table4[Workstream],'$ Dashboard'!B18,Table4[Feb_2026_A])</f>
        <v/>
      </c>
      <c r="M18" s="280">
        <f>SUMIF(Table4[Workstream],'$ Dashboard'!B18,Table4[Mar_2026_F])</f>
        <v/>
      </c>
      <c r="N18" s="280">
        <f>SUMIF(Table4[Workstream],'$ Dashboard'!B18,Table4[Mar_2026_A])</f>
        <v/>
      </c>
      <c r="O18" s="280">
        <f>SUMIF(Table4[Workstream],'$ Dashboard'!B18,Table4[Apr_2026_F])</f>
        <v/>
      </c>
      <c r="P18" s="280">
        <f>SUMIF(Table4[Workstream],'$ Dashboard'!B18,Table4[Apr_2026_A])</f>
        <v/>
      </c>
      <c r="Q18" s="280">
        <f>SUMIF(Table4[Workstream],'$ Dashboard'!B18,Table4[May_2026_F])</f>
        <v/>
      </c>
      <c r="R18" s="280">
        <f>SUMIF(Table4[Workstream],'$ Dashboard'!B18,Table4[May_2026_A])</f>
        <v/>
      </c>
      <c r="S18" s="280">
        <f>SUMIF(Table4[Workstream],'$ Dashboard'!B18,Table4[Jun_2026_F])</f>
        <v/>
      </c>
      <c r="T18" s="280">
        <f>SUMIF(Table4[Workstream],'$ Dashboard'!B18,Table4[Jun_2026_A])</f>
        <v/>
      </c>
      <c r="U18" s="280">
        <f>SUMIF(Table4[Workstream],'$ Dashboard'!B18,Table4[Jul_2026_F])</f>
        <v/>
      </c>
      <c r="V18" s="280">
        <f>SUMIF(Table4[Workstream],'$ Dashboard'!B18,Table4[Jul_2026_A])</f>
        <v/>
      </c>
      <c r="W18" s="280">
        <f>SUMIF(Table4[Workstream],'$ Dashboard'!B18,Table4[Aug_2026_F])</f>
        <v/>
      </c>
      <c r="X18" s="280">
        <f>SUMIF(Table4[Workstream],'$ Dashboard'!B18,Table4[Aug_2026_A])</f>
        <v/>
      </c>
      <c r="Y18" s="280">
        <f>SUMIF(Table4[Workstream],'$ Dashboard'!B18,Table4[Sep_2026_F])</f>
        <v/>
      </c>
      <c r="Z18" s="280">
        <f>SUMIF(Table4[Workstream],'$ Dashboard'!B18,Table4[Sep_2026_A])</f>
        <v/>
      </c>
      <c r="AA18" s="280">
        <f>SUMIF(Table4[Workstream],'$ Dashboard'!B18,Table4[Oct_2026_F])</f>
        <v/>
      </c>
      <c r="AB18" s="280">
        <f>SUMIF(Table4[Workstream],'$ Dashboard'!B18,Table4[Oct_2026_A])</f>
        <v/>
      </c>
      <c r="AC18" s="280">
        <f>SUMIF(Table4[Workstream],'$ Dashboard'!B18,Table4[Nov_2026_F])</f>
        <v/>
      </c>
      <c r="AD18" s="280">
        <f>SUMIF(Table4[Workstream],'$ Dashboard'!B18,Table4[Nov_2026_A])</f>
        <v/>
      </c>
      <c r="AE18" s="280">
        <f>SUMIF(Table4[Workstream],'$ Dashboard'!B18,Table4[Dec_2026_F])</f>
        <v/>
      </c>
      <c r="AF18" s="280">
        <f>SUMIF(Table4[Workstream],'$ Dashboard'!B18,Table4[Dec_2026_A])+SUMIF(Table46[Workstream],'$ Dashboard'!B18,Table46[Dec_26_A])</f>
        <v/>
      </c>
      <c r="AH18" s="279">
        <f>SUM(AW18:BG18)/1000000</f>
        <v/>
      </c>
      <c r="AI18" s="279">
        <f>SUMIF($AJ$12:$BG$12,"Actual",AJ18:BG18)/1000000</f>
        <v/>
      </c>
      <c r="AJ18" s="274" t="n"/>
      <c r="AK18" s="274" t="n"/>
      <c r="AL18" s="274" t="n"/>
      <c r="AM18" s="274" t="n"/>
      <c r="AN18" s="274" t="n"/>
      <c r="AO18" s="274" t="n"/>
      <c r="AP18" s="274" t="n"/>
      <c r="AQ18" s="274" t="n"/>
      <c r="AR18" s="274" t="n"/>
      <c r="AS18" s="274" t="n"/>
      <c r="AT18" s="274" t="n"/>
      <c r="AU18" s="274" t="n"/>
      <c r="AV18" s="274" t="n"/>
      <c r="AW18" s="274" t="n"/>
      <c r="AX18" s="274" t="n"/>
      <c r="AY18" s="274" t="n"/>
      <c r="AZ18" s="274" t="n"/>
      <c r="BA18" s="274" t="n"/>
      <c r="BB18" s="274" t="n"/>
      <c r="BC18" s="274" t="n"/>
      <c r="BD18" s="274" t="n"/>
      <c r="BE18" s="274" t="n"/>
      <c r="BF18" s="274" t="n"/>
      <c r="BG18" s="274" t="n"/>
      <c r="BI18" s="275" t="n"/>
      <c r="BJ18" s="275" t="n"/>
      <c r="BK18" s="275" t="n"/>
      <c r="BL18" s="275" t="n"/>
      <c r="BM18" s="275" t="n"/>
      <c r="BN18" s="275" t="n"/>
      <c r="BO18" s="275" t="n"/>
      <c r="BP18" s="275" t="n"/>
      <c r="BQ18" s="275" t="n"/>
      <c r="BR18" s="275" t="n"/>
      <c r="BS18" s="275" t="n"/>
      <c r="BT18" s="275" t="n"/>
      <c r="BU18" s="275" t="n"/>
      <c r="BV18" s="275" t="n"/>
      <c r="BW18" s="275" t="n"/>
      <c r="BX18" s="275" t="n"/>
      <c r="BY18" s="275" t="n"/>
      <c r="BZ18" s="275" t="n"/>
      <c r="CA18" s="275" t="n"/>
      <c r="CB18" s="275" t="n"/>
      <c r="CC18" s="275" t="n"/>
      <c r="CD18" s="279">
        <f>SUM(CE18:DB18)/1000000</f>
        <v/>
      </c>
      <c r="CE18" s="276" t="n"/>
      <c r="CF18" s="276" t="n"/>
      <c r="CG18" s="276" t="n"/>
      <c r="CH18" s="276" t="n"/>
      <c r="CI18" s="276" t="n"/>
      <c r="CJ18" s="276" t="n"/>
      <c r="CK18" s="276" t="n"/>
      <c r="CL18" s="276" t="n"/>
      <c r="CM18" s="276" t="n"/>
      <c r="CN18" s="276" t="n"/>
      <c r="CO18" s="276" t="n"/>
      <c r="CP18" s="276" t="n"/>
      <c r="CQ18" s="276" t="n"/>
      <c r="CR18" s="276" t="n"/>
      <c r="CS18" s="276" t="n"/>
      <c r="CT18" s="276" t="n"/>
      <c r="CU18" s="276" t="n"/>
      <c r="CV18" s="276" t="n"/>
      <c r="CW18" s="276" t="n"/>
      <c r="CX18" s="276" t="n"/>
      <c r="CY18" s="276" t="n"/>
      <c r="CZ18" s="276" t="n"/>
      <c r="DA18" s="276" t="n"/>
      <c r="DB18" s="276" t="n"/>
    </row>
    <row r="19" ht="18.6" customHeight="1">
      <c r="B19" s="281" t="inlineStr">
        <is>
          <t>JIGSAW &amp; PDS Process work</t>
        </is>
      </c>
      <c r="C19" s="259" t="inlineStr">
        <is>
          <t>IT</t>
        </is>
      </c>
      <c r="D19" s="272">
        <f>SUM(G19,AH19)</f>
        <v/>
      </c>
      <c r="E19" s="272">
        <f>SUM(H19,AI19)</f>
        <v/>
      </c>
      <c r="G19" s="272">
        <f>SUMIF($I$12:$AF$12,"Plan",I19:AF19)/1000000</f>
        <v/>
      </c>
      <c r="H19" s="272">
        <f>SUMIF($I$12:$AF$12,"Actual",I19:AF19)/1000000</f>
        <v/>
      </c>
      <c r="I19" s="273">
        <f>SUMIF(Table4[Workstream],'$ Dashboard'!B19,Table4[Jan_2026_F])</f>
        <v/>
      </c>
      <c r="J19" s="273">
        <f>SUMIF(Table4[Workstream],'$ Dashboard'!B19,Table4[Jan_2026_A])</f>
        <v/>
      </c>
      <c r="K19" s="273">
        <f>SUMIF(Table4[Workstream],'$ Dashboard'!B19,Table4[Feb_2026_F])</f>
        <v/>
      </c>
      <c r="L19" s="273">
        <f>SUMIF(Table4[Workstream],'$ Dashboard'!B19,Table4[Feb_2026_A])</f>
        <v/>
      </c>
      <c r="M19" s="273">
        <f>SUMIF(Table4[Workstream],'$ Dashboard'!B19,Table4[Mar_2026_F])</f>
        <v/>
      </c>
      <c r="N19" s="273">
        <f>SUMIF(Table4[Workstream],'$ Dashboard'!B19,Table4[Mar_2026_A])</f>
        <v/>
      </c>
      <c r="O19" s="273">
        <f>SUMIF(Table4[Workstream],'$ Dashboard'!B19,Table4[Apr_2026_F])</f>
        <v/>
      </c>
      <c r="P19" s="273">
        <f>SUMIF(Table4[Workstream],'$ Dashboard'!B19,Table4[Apr_2026_A])</f>
        <v/>
      </c>
      <c r="Q19" s="273">
        <f>SUMIF(Table4[Workstream],'$ Dashboard'!B19,Table4[May_2026_F])</f>
        <v/>
      </c>
      <c r="R19" s="273">
        <f>SUMIF(Table4[Workstream],'$ Dashboard'!B19,Table4[May_2026_A])</f>
        <v/>
      </c>
      <c r="S19" s="273">
        <f>SUMIF(Table4[Workstream],'$ Dashboard'!B19,Table4[Jun_2026_F])</f>
        <v/>
      </c>
      <c r="T19" s="273">
        <f>SUMIF(Table4[Workstream],'$ Dashboard'!B19,Table4[Jun_2026_A])</f>
        <v/>
      </c>
      <c r="U19" s="273">
        <f>SUMIF(Table4[Workstream],'$ Dashboard'!B19,Table4[Jul_2026_F])</f>
        <v/>
      </c>
      <c r="V19" s="273">
        <f>SUMIF(Table4[Workstream],'$ Dashboard'!B19,Table4[Jul_2026_A])</f>
        <v/>
      </c>
      <c r="W19" s="273">
        <f>SUMIF(Table4[Workstream],'$ Dashboard'!B19,Table4[Aug_2026_F])</f>
        <v/>
      </c>
      <c r="X19" s="273">
        <f>SUMIF(Table4[Workstream],'$ Dashboard'!B19,Table4[Aug_2026_A])</f>
        <v/>
      </c>
      <c r="Y19" s="273">
        <f>SUMIF(Table4[Workstream],'$ Dashboard'!B19,Table4[Sep_2026_F])</f>
        <v/>
      </c>
      <c r="Z19" s="273">
        <f>SUMIF(Table4[Workstream],'$ Dashboard'!B19,Table4[Sep_2026_A])</f>
        <v/>
      </c>
      <c r="AA19" s="273">
        <f>SUMIF(Table4[Workstream],'$ Dashboard'!B19,Table4[Oct_2026_F])</f>
        <v/>
      </c>
      <c r="AB19" s="273">
        <f>SUMIF(Table4[Workstream],'$ Dashboard'!B19,Table4[Oct_2026_A])</f>
        <v/>
      </c>
      <c r="AC19" s="273">
        <f>SUMIF(Table4[Workstream],'$ Dashboard'!B19,Table4[Nov_2026_F])</f>
        <v/>
      </c>
      <c r="AD19" s="273">
        <f>SUMIF(Table4[Workstream],'$ Dashboard'!B19,Table4[Nov_2026_A])</f>
        <v/>
      </c>
      <c r="AE19" s="273">
        <f>SUMIF(Table4[Workstream],'$ Dashboard'!B19,Table4[Dec_2026_F])</f>
        <v/>
      </c>
      <c r="AF19" s="273">
        <f>SUMIF(Table4[Workstream],'$ Dashboard'!B19,Table4[Dec_2026_A])+SUMIF(Table46[Workstream],'$ Dashboard'!B19,Table46[Dec_26_A])</f>
        <v/>
      </c>
      <c r="AH19" s="272">
        <f>SUM(AW19:BG19)/1000000</f>
        <v/>
      </c>
      <c r="AI19" s="272">
        <f>SUMIF($AJ$12:$BG$12,"Actual",AJ19:BG19)/1000000</f>
        <v/>
      </c>
      <c r="AJ19" s="274" t="n"/>
      <c r="AK19" s="274" t="n"/>
      <c r="AL19" s="274" t="n"/>
      <c r="AM19" s="274" t="n"/>
      <c r="AN19" s="274" t="n"/>
      <c r="AO19" s="274" t="n"/>
      <c r="AP19" s="274" t="n"/>
      <c r="AQ19" s="274" t="n"/>
      <c r="AR19" s="274" t="n"/>
      <c r="AS19" s="274" t="n"/>
      <c r="AT19" s="274" t="n"/>
      <c r="AU19" s="274" t="n"/>
      <c r="AV19" s="274" t="n"/>
      <c r="AW19" s="274" t="n"/>
      <c r="AX19" s="274" t="n"/>
      <c r="AY19" s="274" t="n"/>
      <c r="AZ19" s="274" t="n"/>
      <c r="BA19" s="274" t="n"/>
      <c r="BB19" s="274" t="n"/>
      <c r="BC19" s="274" t="n"/>
      <c r="BD19" s="274" t="n"/>
      <c r="BE19" s="274" t="n"/>
      <c r="BF19" s="274" t="n"/>
      <c r="BG19" s="274" t="n"/>
      <c r="BI19" s="275" t="n"/>
      <c r="BJ19" s="275" t="n"/>
      <c r="BK19" s="275" t="n"/>
      <c r="BL19" s="275" t="n"/>
      <c r="BM19" s="275" t="n"/>
      <c r="BN19" s="275" t="n"/>
      <c r="BO19" s="275" t="n"/>
      <c r="BP19" s="275" t="n"/>
      <c r="BQ19" s="275" t="n"/>
      <c r="BR19" s="275" t="n"/>
      <c r="BS19" s="275" t="n"/>
      <c r="BT19" s="275" t="n"/>
      <c r="BU19" s="275" t="n"/>
      <c r="BV19" s="275" t="n"/>
      <c r="BW19" s="275" t="n"/>
      <c r="BX19" s="275" t="n"/>
      <c r="BY19" s="275" t="n"/>
      <c r="BZ19" s="275" t="n"/>
      <c r="CA19" s="275" t="n"/>
      <c r="CB19" s="275" t="n"/>
      <c r="CC19" s="275" t="n"/>
      <c r="CD19" s="272">
        <f>SUM(CE19:DB19)/1000000</f>
        <v/>
      </c>
      <c r="CE19" s="276" t="n"/>
      <c r="CF19" s="276" t="n"/>
      <c r="CG19" s="276" t="n"/>
      <c r="CH19" s="276" t="n"/>
      <c r="CI19" s="276" t="n"/>
      <c r="CJ19" s="276" t="n"/>
      <c r="CK19" s="276" t="n"/>
      <c r="CL19" s="276" t="n"/>
      <c r="CM19" s="276" t="n"/>
      <c r="CN19" s="276" t="n"/>
      <c r="CO19" s="276" t="n"/>
      <c r="CP19" s="276" t="n"/>
      <c r="CQ19" s="276" t="n"/>
      <c r="CR19" s="276" t="n"/>
      <c r="CS19" s="276" t="n"/>
      <c r="CT19" s="276" t="n"/>
      <c r="CU19" s="276" t="n"/>
      <c r="CV19" s="276" t="n"/>
      <c r="CW19" s="276" t="n"/>
      <c r="CX19" s="276" t="n"/>
      <c r="CY19" s="276" t="n"/>
      <c r="CZ19" s="276" t="n"/>
      <c r="DA19" s="276" t="n"/>
      <c r="DB19" s="276" t="n"/>
    </row>
    <row r="20" ht="18.6" customHeight="1">
      <c r="B20" s="277" t="inlineStr">
        <is>
          <t>DA Desk</t>
        </is>
      </c>
      <c r="C20" s="278" t="inlineStr">
        <is>
          <t>IT</t>
        </is>
      </c>
      <c r="D20" s="279">
        <f>SUM(G20,AH20)</f>
        <v/>
      </c>
      <c r="E20" s="279">
        <f>SUM(H20,AI20)</f>
        <v/>
      </c>
      <c r="G20" s="279">
        <f>SUMIF($I$12:$AF$12,"Plan",I20:AF20)/1000000</f>
        <v/>
      </c>
      <c r="H20" s="279">
        <f>SUMIF($I$12:$AF$12,"Actual",I20:AF20)/1000000</f>
        <v/>
      </c>
      <c r="I20" s="280">
        <f>SUMIF(Table4[Workstream],'$ Dashboard'!B20,Table4[Jan_2026_F])</f>
        <v/>
      </c>
      <c r="J20" s="280">
        <f>SUMIF(Table4[Workstream],'$ Dashboard'!B20,Table4[Jan_2026_A])</f>
        <v/>
      </c>
      <c r="K20" s="280">
        <f>SUMIF(Table4[Workstream],'$ Dashboard'!B20,Table4[Feb_2026_F])</f>
        <v/>
      </c>
      <c r="L20" s="280">
        <f>SUMIF(Table4[Workstream],'$ Dashboard'!B20,Table4[Feb_2026_A])</f>
        <v/>
      </c>
      <c r="M20" s="280">
        <f>SUMIF(Table4[Workstream],'$ Dashboard'!B20,Table4[Mar_2026_F])</f>
        <v/>
      </c>
      <c r="N20" s="280">
        <f>SUMIF(Table4[Workstream],'$ Dashboard'!B20,Table4[Mar_2026_A])</f>
        <v/>
      </c>
      <c r="O20" s="280">
        <f>SUMIF(Table4[Workstream],'$ Dashboard'!B20,Table4[Apr_2026_F])</f>
        <v/>
      </c>
      <c r="P20" s="280">
        <f>SUMIF(Table4[Workstream],'$ Dashboard'!B20,Table4[Apr_2026_A])</f>
        <v/>
      </c>
      <c r="Q20" s="280">
        <f>SUMIF(Table4[Workstream],'$ Dashboard'!B20,Table4[May_2026_F])</f>
        <v/>
      </c>
      <c r="R20" s="280">
        <f>SUMIF(Table4[Workstream],'$ Dashboard'!B20,Table4[May_2026_A])</f>
        <v/>
      </c>
      <c r="S20" s="280">
        <f>SUMIF(Table4[Workstream],'$ Dashboard'!B20,Table4[Jun_2026_F])</f>
        <v/>
      </c>
      <c r="T20" s="280">
        <f>SUMIF(Table4[Workstream],'$ Dashboard'!B20,Table4[Jun_2026_A])</f>
        <v/>
      </c>
      <c r="U20" s="280">
        <f>SUMIF(Table4[Workstream],'$ Dashboard'!B20,Table4[Jul_2026_F])</f>
        <v/>
      </c>
      <c r="V20" s="280">
        <f>SUMIF(Table4[Workstream],'$ Dashboard'!B20,Table4[Jul_2026_A])</f>
        <v/>
      </c>
      <c r="W20" s="280">
        <f>SUMIF(Table4[Workstream],'$ Dashboard'!B20,Table4[Aug_2026_F])</f>
        <v/>
      </c>
      <c r="X20" s="280">
        <f>SUMIF(Table4[Workstream],'$ Dashboard'!B20,Table4[Aug_2026_A])</f>
        <v/>
      </c>
      <c r="Y20" s="280">
        <f>SUMIF(Table4[Workstream],'$ Dashboard'!B20,Table4[Sep_2026_F])</f>
        <v/>
      </c>
      <c r="Z20" s="280">
        <f>SUMIF(Table4[Workstream],'$ Dashboard'!B20,Table4[Sep_2026_A])</f>
        <v/>
      </c>
      <c r="AA20" s="280">
        <f>SUMIF(Table4[Workstream],'$ Dashboard'!B20,Table4[Oct_2026_F])</f>
        <v/>
      </c>
      <c r="AB20" s="280">
        <f>SUMIF(Table4[Workstream],'$ Dashboard'!B20,Table4[Oct_2026_A])</f>
        <v/>
      </c>
      <c r="AC20" s="280">
        <f>SUMIF(Table4[Workstream],'$ Dashboard'!B20,Table4[Nov_2026_F])</f>
        <v/>
      </c>
      <c r="AD20" s="280">
        <f>SUMIF(Table4[Workstream],'$ Dashboard'!B20,Table4[Nov_2026_A])</f>
        <v/>
      </c>
      <c r="AE20" s="280">
        <f>SUMIF(Table4[Workstream],'$ Dashboard'!B20,Table4[Dec_2026_F])</f>
        <v/>
      </c>
      <c r="AF20" s="280">
        <f>SUMIF(Table4[Workstream],'$ Dashboard'!B20,Table4[Dec_2026_A])+SUMIF(Table46[Workstream],'$ Dashboard'!B20,Table46[Dec_26_A])</f>
        <v/>
      </c>
      <c r="AH20" s="279">
        <f>SUM(AW20:BG20)/1000000</f>
        <v/>
      </c>
      <c r="AI20" s="279">
        <f>SUMIF($AJ$12:$BG$12,"Actual",AJ20:BG20)/1000000</f>
        <v/>
      </c>
      <c r="AJ20" s="274" t="n"/>
      <c r="AK20" s="274" t="n"/>
      <c r="AL20" s="274" t="n"/>
      <c r="AM20" s="274" t="n"/>
      <c r="AN20" s="274" t="n"/>
      <c r="AO20" s="274" t="n"/>
      <c r="AP20" s="274" t="n"/>
      <c r="AQ20" s="274" t="n"/>
      <c r="AR20" s="274" t="n"/>
      <c r="AS20" s="274" t="n"/>
      <c r="AT20" s="274" t="n"/>
      <c r="AU20" s="274" t="n"/>
      <c r="AV20" s="274" t="n"/>
      <c r="AW20" s="274" t="n"/>
      <c r="AX20" s="274" t="n"/>
      <c r="AY20" s="274" t="n"/>
      <c r="AZ20" s="274" t="n"/>
      <c r="BA20" s="274" t="n"/>
      <c r="BB20" s="274" t="n"/>
      <c r="BC20" s="274" t="n"/>
      <c r="BD20" s="274" t="n"/>
      <c r="BE20" s="274" t="n"/>
      <c r="BF20" s="274" t="n"/>
      <c r="BG20" s="274" t="n"/>
      <c r="BI20" s="275" t="n"/>
      <c r="BJ20" s="275" t="n"/>
      <c r="BK20" s="275" t="n"/>
      <c r="BL20" s="275" t="n"/>
      <c r="BM20" s="275" t="n"/>
      <c r="BN20" s="275" t="n"/>
      <c r="BO20" s="275" t="n"/>
      <c r="BP20" s="275" t="n"/>
      <c r="BQ20" s="275" t="n"/>
      <c r="BR20" s="275" t="n"/>
      <c r="BS20" s="275" t="n"/>
      <c r="BT20" s="275" t="n"/>
      <c r="BU20" s="275" t="n"/>
      <c r="BV20" s="275" t="n"/>
      <c r="BW20" s="275" t="n"/>
      <c r="BX20" s="275" t="n"/>
      <c r="BY20" s="275" t="n"/>
      <c r="BZ20" s="275" t="n"/>
      <c r="CA20" s="275" t="n"/>
      <c r="CB20" s="275" t="n"/>
      <c r="CC20" s="275" t="n"/>
      <c r="CD20" s="279">
        <f>SUM(CE20:DB20)/1000000</f>
        <v/>
      </c>
      <c r="CE20" s="276" t="n"/>
      <c r="CF20" s="276" t="n"/>
      <c r="CG20" s="276" t="n"/>
      <c r="CH20" s="276" t="n"/>
      <c r="CI20" s="276" t="n"/>
      <c r="CJ20" s="276" t="n"/>
      <c r="CK20" s="276" t="n"/>
      <c r="CL20" s="276" t="n"/>
      <c r="CM20" s="276" t="n"/>
      <c r="CN20" s="276" t="n"/>
      <c r="CO20" s="276" t="n"/>
      <c r="CP20" s="276" t="n"/>
      <c r="CQ20" s="276" t="n"/>
      <c r="CR20" s="276" t="n"/>
      <c r="CS20" s="276" t="n"/>
      <c r="CT20" s="276" t="n"/>
      <c r="CU20" s="276" t="n"/>
      <c r="CV20" s="276" t="n"/>
      <c r="CW20" s="276" t="n"/>
      <c r="CX20" s="276" t="n"/>
      <c r="CY20" s="276" t="n"/>
      <c r="CZ20" s="276" t="n"/>
      <c r="DA20" s="276" t="n"/>
      <c r="DB20" s="276" t="n"/>
    </row>
    <row r="21" ht="18.6" customHeight="1">
      <c r="B21" s="281" t="inlineStr">
        <is>
          <t>IDT</t>
        </is>
      </c>
      <c r="C21" s="259" t="inlineStr">
        <is>
          <t>IT</t>
        </is>
      </c>
      <c r="D21" s="272">
        <f>SUM(G21,AH21)</f>
        <v/>
      </c>
      <c r="E21" s="272">
        <f>SUM(H21,AI21)</f>
        <v/>
      </c>
      <c r="G21" s="272">
        <f>SUMIF($I$12:$AF$12,"Plan",I21:AF21)/1000000</f>
        <v/>
      </c>
      <c r="H21" s="272">
        <f>SUMIF($I$12:$AF$12,"Actual",I21:AF21)/1000000</f>
        <v/>
      </c>
      <c r="I21" s="273">
        <f>SUMIF(Table4[Workstream],'$ Dashboard'!B21,Table4[Jan_2026_F])</f>
        <v/>
      </c>
      <c r="J21" s="273">
        <f>SUMIF(Table4[Workstream],'$ Dashboard'!B21,Table4[Jan_2026_A])</f>
        <v/>
      </c>
      <c r="K21" s="273">
        <f>SUMIF(Table4[Workstream],'$ Dashboard'!B21,Table4[Feb_2026_F])</f>
        <v/>
      </c>
      <c r="L21" s="273">
        <f>SUMIF(Table4[Workstream],'$ Dashboard'!B21,Table4[Feb_2026_A])</f>
        <v/>
      </c>
      <c r="M21" s="273">
        <f>SUMIF(Table4[Workstream],'$ Dashboard'!B21,Table4[Mar_2026_F])</f>
        <v/>
      </c>
      <c r="N21" s="273">
        <f>SUMIF(Table4[Workstream],'$ Dashboard'!B21,Table4[Mar_2026_A])</f>
        <v/>
      </c>
      <c r="O21" s="273">
        <f>SUMIF(Table4[Workstream],'$ Dashboard'!B21,Table4[Apr_2026_F])</f>
        <v/>
      </c>
      <c r="P21" s="273">
        <f>SUMIF(Table4[Workstream],'$ Dashboard'!B21,Table4[Apr_2026_A])</f>
        <v/>
      </c>
      <c r="Q21" s="273">
        <f>SUMIF(Table4[Workstream],'$ Dashboard'!B21,Table4[May_2026_F])</f>
        <v/>
      </c>
      <c r="R21" s="273">
        <f>SUMIF(Table4[Workstream],'$ Dashboard'!B21,Table4[May_2026_A])</f>
        <v/>
      </c>
      <c r="S21" s="273">
        <f>SUMIF(Table4[Workstream],'$ Dashboard'!B21,Table4[Jun_2026_F])</f>
        <v/>
      </c>
      <c r="T21" s="273">
        <f>SUMIF(Table4[Workstream],'$ Dashboard'!B21,Table4[Jun_2026_A])</f>
        <v/>
      </c>
      <c r="U21" s="273">
        <f>SUMIF(Table4[Workstream],'$ Dashboard'!B21,Table4[Jul_2026_F])</f>
        <v/>
      </c>
      <c r="V21" s="273">
        <f>SUMIF(Table4[Workstream],'$ Dashboard'!B21,Table4[Jul_2026_A])</f>
        <v/>
      </c>
      <c r="W21" s="273">
        <f>SUMIF(Table4[Workstream],'$ Dashboard'!B21,Table4[Aug_2026_F])</f>
        <v/>
      </c>
      <c r="X21" s="273">
        <f>SUMIF(Table4[Workstream],'$ Dashboard'!B21,Table4[Aug_2026_A])</f>
        <v/>
      </c>
      <c r="Y21" s="273">
        <f>SUMIF(Table4[Workstream],'$ Dashboard'!B21,Table4[Sep_2026_F])</f>
        <v/>
      </c>
      <c r="Z21" s="273">
        <f>SUMIF(Table4[Workstream],'$ Dashboard'!B21,Table4[Sep_2026_A])</f>
        <v/>
      </c>
      <c r="AA21" s="273">
        <f>SUMIF(Table4[Workstream],'$ Dashboard'!B21,Table4[Oct_2026_F])</f>
        <v/>
      </c>
      <c r="AB21" s="273">
        <f>SUMIF(Table4[Workstream],'$ Dashboard'!B21,Table4[Oct_2026_A])</f>
        <v/>
      </c>
      <c r="AC21" s="273">
        <f>SUMIF(Table4[Workstream],'$ Dashboard'!B21,Table4[Nov_2026_F])</f>
        <v/>
      </c>
      <c r="AD21" s="273">
        <f>SUMIF(Table4[Workstream],'$ Dashboard'!B21,Table4[Nov_2026_A])</f>
        <v/>
      </c>
      <c r="AE21" s="273">
        <f>SUMIF(Table4[Workstream],'$ Dashboard'!B21,Table4[Dec_2026_F])</f>
        <v/>
      </c>
      <c r="AF21" s="273">
        <f>SUMIF(Table4[Workstream],'$ Dashboard'!B21,Table4[Dec_2026_A])+SUMIF(Table46[Workstream],'$ Dashboard'!B21,Table46[Dec_26_A])</f>
        <v/>
      </c>
      <c r="AH21" s="272">
        <f>SUM(AW21:BG21)/1000000</f>
        <v/>
      </c>
      <c r="AI21" s="272">
        <f>SUMIF($AJ$12:$BG$12,"Actual",AJ21:BG21)/1000000</f>
        <v/>
      </c>
      <c r="AJ21" s="274" t="n"/>
      <c r="AK21" s="274" t="n"/>
      <c r="AL21" s="274" t="n"/>
      <c r="AM21" s="274" t="n"/>
      <c r="AN21" s="274" t="n"/>
      <c r="AO21" s="274" t="n"/>
      <c r="AP21" s="274" t="n"/>
      <c r="AQ21" s="274" t="n"/>
      <c r="AR21" s="274" t="n"/>
      <c r="AS21" s="274" t="n"/>
      <c r="AT21" s="274" t="n"/>
      <c r="AU21" s="274" t="n"/>
      <c r="AV21" s="274" t="n"/>
      <c r="AW21" s="274" t="n"/>
      <c r="AX21" s="274" t="n"/>
      <c r="AY21" s="274" t="n"/>
      <c r="AZ21" s="274" t="n"/>
      <c r="BA21" s="274" t="n"/>
      <c r="BB21" s="274" t="n"/>
      <c r="BC21" s="274" t="n"/>
      <c r="BD21" s="274" t="n"/>
      <c r="BE21" s="274" t="n"/>
      <c r="BF21" s="274" t="n"/>
      <c r="BG21" s="274" t="n"/>
      <c r="BI21" s="275" t="n"/>
      <c r="BJ21" s="275" t="n"/>
      <c r="BK21" s="275" t="n"/>
      <c r="BL21" s="275" t="n"/>
      <c r="BM21" s="275" t="n"/>
      <c r="BN21" s="275" t="n"/>
      <c r="BO21" s="275" t="n"/>
      <c r="BP21" s="275" t="n"/>
      <c r="BQ21" s="275" t="n"/>
      <c r="BR21" s="275" t="n"/>
      <c r="BS21" s="275" t="n"/>
      <c r="BT21" s="275" t="n"/>
      <c r="BU21" s="275" t="n"/>
      <c r="BV21" s="275" t="n"/>
      <c r="BW21" s="275" t="n"/>
      <c r="BX21" s="275" t="n"/>
      <c r="BY21" s="275" t="n"/>
      <c r="BZ21" s="275" t="n"/>
      <c r="CA21" s="275" t="n"/>
      <c r="CB21" s="275" t="n"/>
      <c r="CC21" s="275" t="n"/>
      <c r="CD21" s="272">
        <f>SUM(CE21:DB21)/1000000</f>
        <v/>
      </c>
      <c r="CE21" s="276" t="n"/>
      <c r="CF21" s="276" t="n"/>
      <c r="CG21" s="276" t="n"/>
      <c r="CH21" s="276" t="n"/>
      <c r="CI21" s="276" t="n"/>
      <c r="CJ21" s="276" t="n"/>
      <c r="CK21" s="276" t="n"/>
      <c r="CL21" s="276" t="n"/>
      <c r="CM21" s="276" t="n"/>
      <c r="CN21" s="276" t="n"/>
      <c r="CO21" s="276" t="n"/>
      <c r="CP21" s="276" t="n"/>
      <c r="CQ21" s="276" t="n"/>
      <c r="CR21" s="276" t="n"/>
      <c r="CS21" s="276" t="n"/>
      <c r="CT21" s="276" t="n"/>
      <c r="CU21" s="276" t="n"/>
      <c r="CV21" s="276" t="n"/>
      <c r="CW21" s="276" t="n"/>
      <c r="CX21" s="276" t="n"/>
      <c r="CY21" s="276" t="n"/>
      <c r="CZ21" s="276" t="n"/>
      <c r="DA21" s="276" t="n"/>
      <c r="DB21" s="276" t="n"/>
    </row>
    <row r="22" ht="18.6" customHeight="1">
      <c r="B22" s="5" t="n"/>
      <c r="D22" s="279">
        <f>SUM(G22,AH22)</f>
        <v/>
      </c>
      <c r="E22" s="279">
        <f>SUM(H22,AI22)</f>
        <v/>
      </c>
      <c r="G22" s="279">
        <f>SUMIF($I$12:$AF$12,"Plan",I22:AF22)/1000000</f>
        <v/>
      </c>
      <c r="H22" s="279">
        <f>SUMIF($I$12:$AF$12,"Actual",I22:AF22)/1000000</f>
        <v/>
      </c>
      <c r="I22" s="280">
        <f>SUMIF(Table4[Workstream],'$ Dashboard'!B22,Table4[Jan_2026_F])</f>
        <v/>
      </c>
      <c r="J22" s="280">
        <f>SUMIF(Table4[Workstream],'$ Dashboard'!B22,Table4[Jan_2026_A])</f>
        <v/>
      </c>
      <c r="K22" s="280">
        <f>SUMIF(Table4[Workstream],'$ Dashboard'!B22,Table4[Feb_2026_F])</f>
        <v/>
      </c>
      <c r="L22" s="280">
        <f>SUMIF(Table4[Workstream],'$ Dashboard'!B22,Table4[Feb_2026_A])</f>
        <v/>
      </c>
      <c r="M22" s="280">
        <f>SUMIF(Table4[Workstream],'$ Dashboard'!B22,Table4[Mar_2026_F])</f>
        <v/>
      </c>
      <c r="N22" s="280">
        <f>SUMIF(Table4[Workstream],'$ Dashboard'!B22,Table4[Mar_2026_A])</f>
        <v/>
      </c>
      <c r="O22" s="280">
        <f>SUMIF(Table4[Workstream],'$ Dashboard'!B22,Table4[Apr_2026_F])</f>
        <v/>
      </c>
      <c r="P22" s="280">
        <f>SUMIF(Table4[Workstream],'$ Dashboard'!B22,Table4[Apr_2026_A])</f>
        <v/>
      </c>
      <c r="Q22" s="280">
        <f>SUMIF(Table4[Workstream],'$ Dashboard'!B22,Table4[May_2026_F])</f>
        <v/>
      </c>
      <c r="R22" s="280">
        <f>SUMIF(Table4[Workstream],'$ Dashboard'!B22,Table4[May_2026_A])</f>
        <v/>
      </c>
      <c r="S22" s="280">
        <f>SUMIF(Table4[Workstream],'$ Dashboard'!B22,Table4[Jun_2026_F])</f>
        <v/>
      </c>
      <c r="T22" s="280">
        <f>SUMIF(Table4[Workstream],'$ Dashboard'!B22,Table4[Jun_2026_A])</f>
        <v/>
      </c>
      <c r="U22" s="280">
        <f>SUMIF(Table4[Workstream],'$ Dashboard'!B22,Table4[Jul_2026_F])</f>
        <v/>
      </c>
      <c r="V22" s="280">
        <f>SUMIF(Table4[Workstream],'$ Dashboard'!B22,Table4[Jul_2026_A])</f>
        <v/>
      </c>
      <c r="W22" s="280">
        <f>SUMIF(Table4[Workstream],'$ Dashboard'!B22,Table4[Aug_2026_F])</f>
        <v/>
      </c>
      <c r="X22" s="280">
        <f>SUMIF(Table4[Workstream],'$ Dashboard'!B22,Table4[Aug_2026_A])</f>
        <v/>
      </c>
      <c r="Y22" s="280">
        <f>SUMIF(Table4[Workstream],'$ Dashboard'!B22,Table4[Sep_2026_F])</f>
        <v/>
      </c>
      <c r="Z22" s="280">
        <f>SUMIF(Table4[Workstream],'$ Dashboard'!B22,Table4[Sep_2026_A])</f>
        <v/>
      </c>
      <c r="AA22" s="280">
        <f>SUMIF(Table4[Workstream],'$ Dashboard'!B22,Table4[Oct_2026_F])</f>
        <v/>
      </c>
      <c r="AB22" s="280">
        <f>SUMIF(Table4[Workstream],'$ Dashboard'!B22,Table4[Oct_2026_A])</f>
        <v/>
      </c>
      <c r="AC22" s="280">
        <f>SUMIF(Table4[Workstream],'$ Dashboard'!B22,Table4[Nov_2026_F])</f>
        <v/>
      </c>
      <c r="AD22" s="280">
        <f>SUMIF(Table4[Workstream],'$ Dashboard'!B22,Table4[Nov_2026_A])</f>
        <v/>
      </c>
      <c r="AE22" s="280">
        <f>SUMIF(Table4[Workstream],'$ Dashboard'!B22,Table4[Dec_2026_F])</f>
        <v/>
      </c>
      <c r="AF22" s="280">
        <f>SUMIF(Table4[Workstream],'$ Dashboard'!B22,Table4[Dec_2026_A])+SUMIF(Table46[Workstream],'$ Dashboard'!B22,Table46[Dec_26_A])</f>
        <v/>
      </c>
      <c r="AH22" s="279">
        <f>SUM(AW22:BG22)/1000000</f>
        <v/>
      </c>
      <c r="AI22" s="279">
        <f>SUMIF($AJ$12:$BG$12,"Actual",AJ22:BG22)/1000000</f>
        <v/>
      </c>
      <c r="AJ22" s="274" t="n"/>
      <c r="AK22" s="274" t="n"/>
      <c r="AL22" s="274" t="n"/>
      <c r="AM22" s="274" t="n"/>
      <c r="AN22" s="274" t="n"/>
      <c r="AO22" s="274" t="n"/>
      <c r="AP22" s="274" t="n"/>
      <c r="AQ22" s="274" t="n"/>
      <c r="AR22" s="274" t="n"/>
      <c r="AS22" s="274" t="n"/>
      <c r="AT22" s="274" t="n"/>
      <c r="AU22" s="274" t="n"/>
      <c r="AV22" s="274" t="n"/>
      <c r="AW22" s="274" t="n"/>
      <c r="AX22" s="274" t="n"/>
      <c r="AY22" s="274" t="n"/>
      <c r="AZ22" s="274" t="n"/>
      <c r="BA22" s="274" t="n"/>
      <c r="BB22" s="274" t="n"/>
      <c r="BC22" s="274" t="n"/>
      <c r="BD22" s="274" t="n"/>
      <c r="BE22" s="274" t="n"/>
      <c r="BF22" s="274" t="n"/>
      <c r="BG22" s="274" t="n"/>
      <c r="BI22" s="275" t="n"/>
      <c r="BJ22" s="275" t="n"/>
      <c r="BK22" s="275" t="n"/>
      <c r="BL22" s="275" t="n"/>
      <c r="BM22" s="275" t="n"/>
      <c r="BN22" s="275" t="n"/>
      <c r="BO22" s="275" t="n"/>
      <c r="BP22" s="275" t="n"/>
      <c r="BQ22" s="275" t="n"/>
      <c r="BR22" s="275" t="n"/>
      <c r="BS22" s="275" t="n"/>
      <c r="BT22" s="275" t="n"/>
      <c r="BU22" s="275" t="n"/>
      <c r="BV22" s="275" t="n"/>
      <c r="BW22" s="275" t="n"/>
      <c r="BX22" s="275" t="n"/>
      <c r="BY22" s="275" t="n"/>
      <c r="BZ22" s="275" t="n"/>
      <c r="CA22" s="275" t="n"/>
      <c r="CB22" s="275" t="n"/>
      <c r="CC22" s="275" t="n"/>
      <c r="CD22" s="279">
        <f>SUM(CE22:DB22)/1000000</f>
        <v/>
      </c>
      <c r="CE22" s="276" t="n"/>
      <c r="CF22" s="276" t="n"/>
      <c r="CG22" s="276" t="n"/>
      <c r="CH22" s="276" t="n"/>
      <c r="CI22" s="276" t="n"/>
      <c r="CJ22" s="276" t="n"/>
      <c r="CK22" s="276" t="n"/>
      <c r="CL22" s="276" t="n"/>
      <c r="CM22" s="276" t="n"/>
      <c r="CN22" s="276" t="n"/>
      <c r="CO22" s="276" t="n"/>
      <c r="CP22" s="276" t="n"/>
      <c r="CQ22" s="276" t="n"/>
      <c r="CR22" s="276" t="n"/>
      <c r="CS22" s="276" t="n"/>
      <c r="CT22" s="276" t="n"/>
      <c r="CU22" s="276" t="n"/>
      <c r="CV22" s="276" t="n"/>
      <c r="CW22" s="276" t="n"/>
      <c r="CX22" s="276" t="n"/>
      <c r="CY22" s="276" t="n"/>
      <c r="CZ22" s="276" t="n"/>
      <c r="DA22" s="276" t="n"/>
      <c r="DB22" s="276" t="n"/>
    </row>
    <row r="23" ht="18.6" customHeight="1">
      <c r="B23" s="5" t="n"/>
      <c r="D23" s="272">
        <f>SUM(G23,AH23)</f>
        <v/>
      </c>
      <c r="E23" s="272">
        <f>SUM(H23,AI23)</f>
        <v/>
      </c>
      <c r="G23" s="272">
        <f>SUMIF($I$12:$AF$12,"Plan",I23:AF23)/1000000</f>
        <v/>
      </c>
      <c r="H23" s="272">
        <f>SUMIF($I$12:$AF$12,"Actual",I23:AF23)/1000000</f>
        <v/>
      </c>
      <c r="I23" s="273">
        <f>SUMIF(Table410[Workstream],'$ Dashboard'!B23,Table410[Jan_2026_F])</f>
        <v/>
      </c>
      <c r="J23" s="273">
        <f>SUMIF(Table410[Workstream],'$ Dashboard'!B23,Table410[Jan_2026_A])</f>
        <v/>
      </c>
      <c r="K23" s="273">
        <f>SUMIF(Table410[Workstream],'$ Dashboard'!B23,Table410[Feb_2026_F])</f>
        <v/>
      </c>
      <c r="L23" s="273">
        <f>SUMIF(Table410[Workstream],'$ Dashboard'!B23,Table410[Feb_2026_A])</f>
        <v/>
      </c>
      <c r="M23" s="273">
        <f>SUMIF(Table410[Workstream],'$ Dashboard'!B23,Table410[Mar_2026_F])</f>
        <v/>
      </c>
      <c r="N23" s="273">
        <f>SUMIF(Table410[Workstream],'$ Dashboard'!B23,Table410[Mar_2026_A])</f>
        <v/>
      </c>
      <c r="O23" s="273">
        <f>SUMIF(Table410[Workstream],'$ Dashboard'!B23,Table410[Apr_2026_F])</f>
        <v/>
      </c>
      <c r="P23" s="273">
        <f>SUMIF(Table410[Workstream],'$ Dashboard'!B23,Table410[Apr_2026_A])</f>
        <v/>
      </c>
      <c r="Q23" s="273">
        <f>SUMIF(Table410[Workstream],'$ Dashboard'!B23,Table410[May_2026_F])</f>
        <v/>
      </c>
      <c r="R23" s="273">
        <f>SUMIF(Table410[Workstream],'$ Dashboard'!B23,Table410[May_2026_A])</f>
        <v/>
      </c>
      <c r="S23" s="273">
        <f>SUMIF(Table410[Workstream],'$ Dashboard'!B23,Table410[Jun_2026_F])</f>
        <v/>
      </c>
      <c r="T23" s="273">
        <f>SUMIF(Table410[Workstream],'$ Dashboard'!B23,Table410[Jun_2026_A])</f>
        <v/>
      </c>
      <c r="U23" s="273">
        <f>SUMIF(Table410[Workstream],'$ Dashboard'!B23,Table410[Jul_2026_F])</f>
        <v/>
      </c>
      <c r="V23" s="273">
        <f>SUMIF(Table410[Workstream],'$ Dashboard'!B23,Table410[Jul_2026_A])</f>
        <v/>
      </c>
      <c r="W23" s="273">
        <f>SUMIF(Table410[Workstream],'$ Dashboard'!B23,Table410[Aug_2026_F])</f>
        <v/>
      </c>
      <c r="X23" s="273">
        <f>SUMIF(Table410[Workstream],'$ Dashboard'!B23,Table410[Aug_2026_A])</f>
        <v/>
      </c>
      <c r="Y23" s="273">
        <f>SUMIF(Table410[Workstream],'$ Dashboard'!B23,Table410[Sep_2026_F])</f>
        <v/>
      </c>
      <c r="Z23" s="273">
        <f>SUMIF(Table410[Workstream],'$ Dashboard'!B23,Table410[Sep_2026_A])</f>
        <v/>
      </c>
      <c r="AA23" s="273">
        <f>SUMIF(Table410[Workstream],'$ Dashboard'!B23,Table410[Oct_2026_F])</f>
        <v/>
      </c>
      <c r="AB23" s="273">
        <f>SUMIF(Table410[Workstream],'$ Dashboard'!B23,Table410[Oct_2026_A])</f>
        <v/>
      </c>
      <c r="AC23" s="273">
        <f>SUMIF(Table410[Workstream],'$ Dashboard'!B23,Table410[Nov_2026_F])</f>
        <v/>
      </c>
      <c r="AD23" s="273">
        <f>SUMIF(Table410[Workstream],'$ Dashboard'!B23,Table410[Nov_2026_A])</f>
        <v/>
      </c>
      <c r="AE23" s="273">
        <f>SUMIF(Table410[Workstream],'$ Dashboard'!B23,Table410[Dec_2026_F])</f>
        <v/>
      </c>
      <c r="AF23" s="273">
        <f>SUMIF(Table410[Workstream],'$ Dashboard'!B23,Table410[Dec_2026_A])+SUMIF(Table46[Workstream],'$ Dashboard'!B23,Table46[Dec_26_A])</f>
        <v/>
      </c>
      <c r="AH23" s="272">
        <f>SUM(AW23:BG23)/1000000</f>
        <v/>
      </c>
      <c r="AI23" s="272">
        <f>SUMIF($AJ$12:$BG$12,"Actual",AJ23:BG23)/1000000</f>
        <v/>
      </c>
      <c r="AJ23" s="274" t="n"/>
      <c r="AK23" s="274" t="n"/>
      <c r="AL23" s="274" t="n"/>
      <c r="AM23" s="274" t="n"/>
      <c r="AN23" s="274" t="n"/>
      <c r="AO23" s="274" t="n"/>
      <c r="AP23" s="274" t="n"/>
      <c r="AQ23" s="274" t="n"/>
      <c r="AR23" s="274" t="n"/>
      <c r="AS23" s="274" t="n"/>
      <c r="AT23" s="274" t="n"/>
      <c r="AU23" s="274" t="n"/>
      <c r="AV23" s="274" t="n"/>
      <c r="AW23" s="274" t="n"/>
      <c r="AX23" s="274" t="n"/>
      <c r="AY23" s="274" t="n"/>
      <c r="AZ23" s="274" t="n"/>
      <c r="BA23" s="274" t="n"/>
      <c r="BB23" s="274" t="n"/>
      <c r="BC23" s="274" t="n"/>
      <c r="BD23" s="274" t="n"/>
      <c r="BE23" s="274" t="n"/>
      <c r="BF23" s="274" t="n"/>
      <c r="BG23" s="274" t="n"/>
      <c r="BI23" s="275" t="n"/>
      <c r="BJ23" s="275" t="n"/>
      <c r="BK23" s="275" t="n"/>
      <c r="BL23" s="275" t="n"/>
      <c r="BM23" s="275" t="n"/>
      <c r="BN23" s="275" t="n"/>
      <c r="BO23" s="275" t="n"/>
      <c r="BP23" s="275" t="n"/>
      <c r="BQ23" s="275" t="n"/>
      <c r="BR23" s="275" t="n"/>
      <c r="BS23" s="275" t="n"/>
      <c r="BT23" s="275" t="n"/>
      <c r="BU23" s="275" t="n"/>
      <c r="BV23" s="275" t="n"/>
      <c r="BW23" s="275" t="n"/>
      <c r="BX23" s="275" t="n"/>
      <c r="BY23" s="275" t="n"/>
      <c r="BZ23" s="275" t="n"/>
      <c r="CA23" s="275" t="n"/>
      <c r="CB23" s="275" t="n"/>
      <c r="CC23" s="275" t="n"/>
      <c r="CD23" s="272">
        <f>SUM(CE23:DB23)/1000000</f>
        <v/>
      </c>
      <c r="CE23" s="276" t="n"/>
      <c r="CF23" s="276" t="n"/>
      <c r="CG23" s="276" t="n"/>
      <c r="CH23" s="276" t="n"/>
      <c r="CI23" s="276" t="n"/>
      <c r="CJ23" s="276" t="n"/>
      <c r="CK23" s="276" t="n"/>
      <c r="CL23" s="276" t="n"/>
      <c r="CM23" s="276" t="n"/>
      <c r="CN23" s="276" t="n"/>
      <c r="CO23" s="276" t="n"/>
      <c r="CP23" s="276" t="n"/>
      <c r="CQ23" s="276" t="n"/>
      <c r="CR23" s="276" t="n"/>
      <c r="CS23" s="276" t="n"/>
      <c r="CT23" s="276" t="n"/>
      <c r="CU23" s="276" t="n"/>
      <c r="CV23" s="276" t="n"/>
      <c r="CW23" s="276" t="n"/>
      <c r="CX23" s="276" t="n"/>
      <c r="CY23" s="276" t="n"/>
      <c r="CZ23" s="276" t="n"/>
      <c r="DA23" s="276" t="n"/>
      <c r="DB23" s="276" t="n"/>
    </row>
    <row r="24" ht="18.6" customHeight="1">
      <c r="B24" s="5" t="n"/>
      <c r="D24" s="279">
        <f>SUM(G24,AH24)</f>
        <v/>
      </c>
      <c r="E24" s="279">
        <f>SUM(H24,AI24)</f>
        <v/>
      </c>
      <c r="G24" s="279">
        <f>SUMIF($I$12:$AF$12,"Plan",I24:AF24)/1000000</f>
        <v/>
      </c>
      <c r="H24" s="279">
        <f>SUMIF($I$12:$AF$12,"Actual",I24:AF24)/1000000</f>
        <v/>
      </c>
      <c r="I24" s="280">
        <f>SUMIF(Table410[Workstream],'$ Dashboard'!B24,Table410[Jan_2026_F])</f>
        <v/>
      </c>
      <c r="J24" s="280">
        <f>SUMIF(Table410[Workstream],'$ Dashboard'!B24,Table410[Jan_2026_A])</f>
        <v/>
      </c>
      <c r="K24" s="280">
        <f>SUMIF(Table410[Workstream],'$ Dashboard'!B24,Table410[Feb_2026_F])</f>
        <v/>
      </c>
      <c r="L24" s="280">
        <f>SUMIF(Table410[Workstream],'$ Dashboard'!B24,Table410[Feb_2026_A])</f>
        <v/>
      </c>
      <c r="M24" s="280">
        <f>SUMIF(Table410[Workstream],'$ Dashboard'!B24,Table410[Mar_2026_F])</f>
        <v/>
      </c>
      <c r="N24" s="280">
        <f>SUMIF(Table410[Workstream],'$ Dashboard'!B24,Table410[Mar_2026_A])</f>
        <v/>
      </c>
      <c r="O24" s="280">
        <f>SUMIF(Table410[Workstream],'$ Dashboard'!B24,Table410[Apr_2026_F])</f>
        <v/>
      </c>
      <c r="P24" s="280">
        <f>SUMIF(Table410[Workstream],'$ Dashboard'!B24,Table410[Apr_2026_A])</f>
        <v/>
      </c>
      <c r="Q24" s="280">
        <f>SUMIF(Table410[Workstream],'$ Dashboard'!B24,Table410[May_2026_F])</f>
        <v/>
      </c>
      <c r="R24" s="280">
        <f>SUMIF(Table410[Workstream],'$ Dashboard'!B24,Table410[May_2026_A])</f>
        <v/>
      </c>
      <c r="S24" s="280">
        <f>SUMIF(Table410[Workstream],'$ Dashboard'!B24,Table410[Jun_2026_F])</f>
        <v/>
      </c>
      <c r="T24" s="280">
        <f>SUMIF(Table410[Workstream],'$ Dashboard'!B24,Table410[Jun_2026_A])</f>
        <v/>
      </c>
      <c r="U24" s="280">
        <f>SUMIF(Table410[Workstream],'$ Dashboard'!B24,Table410[Jul_2026_F])</f>
        <v/>
      </c>
      <c r="V24" s="280">
        <f>SUMIF(Table410[Workstream],'$ Dashboard'!B24,Table410[Jul_2026_A])</f>
        <v/>
      </c>
      <c r="W24" s="280">
        <f>SUMIF(Table410[Workstream],'$ Dashboard'!B24,Table410[Aug_2026_F])</f>
        <v/>
      </c>
      <c r="X24" s="280">
        <f>SUMIF(Table410[Workstream],'$ Dashboard'!B24,Table410[Aug_2026_A])</f>
        <v/>
      </c>
      <c r="Y24" s="280">
        <f>SUMIF(Table410[Workstream],'$ Dashboard'!B24,Table410[Sep_2026_F])</f>
        <v/>
      </c>
      <c r="Z24" s="280">
        <f>SUMIF(Table410[Workstream],'$ Dashboard'!B24,Table410[Sep_2026_A])</f>
        <v/>
      </c>
      <c r="AA24" s="280">
        <f>SUMIF(Table410[Workstream],'$ Dashboard'!B24,Table410[Oct_2026_F])</f>
        <v/>
      </c>
      <c r="AB24" s="280">
        <f>SUMIF(Table410[Workstream],'$ Dashboard'!B24,Table410[Oct_2026_A])</f>
        <v/>
      </c>
      <c r="AC24" s="280">
        <f>SUMIF(Table410[Workstream],'$ Dashboard'!B24,Table410[Nov_2026_F])</f>
        <v/>
      </c>
      <c r="AD24" s="280">
        <f>SUMIF(Table410[Workstream],'$ Dashboard'!B24,Table410[Nov_2026_A])</f>
        <v/>
      </c>
      <c r="AE24" s="280">
        <f>SUMIF(Table410[Workstream],'$ Dashboard'!B24,Table410[Dec_2026_F])</f>
        <v/>
      </c>
      <c r="AF24" s="280">
        <f>SUMIF(Table410[Workstream],'$ Dashboard'!B24,Table410[Dec_2026_A])+SUMIF(Table46[Workstream],'$ Dashboard'!B24,Table46[Dec_26_A])</f>
        <v/>
      </c>
      <c r="AH24" s="279">
        <f>SUM(AW24:BG24)/1000000</f>
        <v/>
      </c>
      <c r="AI24" s="279">
        <f>SUMIF($AJ$12:$BG$12,"Actual",AJ24:BG24)/1000000</f>
        <v/>
      </c>
      <c r="AJ24" s="274" t="n"/>
      <c r="AK24" s="274" t="n"/>
      <c r="AL24" s="274" t="n"/>
      <c r="AM24" s="274" t="n"/>
      <c r="AN24" s="274" t="n"/>
      <c r="AO24" s="274" t="n"/>
      <c r="AP24" s="274" t="n"/>
      <c r="AQ24" s="274" t="n"/>
      <c r="AR24" s="274" t="n"/>
      <c r="AS24" s="274" t="n"/>
      <c r="AT24" s="274" t="n"/>
      <c r="AU24" s="274" t="n"/>
      <c r="AV24" s="274" t="n"/>
      <c r="AW24" s="274" t="n"/>
      <c r="AX24" s="274" t="n"/>
      <c r="AY24" s="274" t="n"/>
      <c r="AZ24" s="274" t="n"/>
      <c r="BA24" s="274" t="n"/>
      <c r="BB24" s="274" t="n"/>
      <c r="BC24" s="274" t="n"/>
      <c r="BD24" s="274" t="n"/>
      <c r="BE24" s="274" t="n"/>
      <c r="BF24" s="274" t="n"/>
      <c r="BG24" s="274" t="n"/>
      <c r="BI24" s="275" t="n"/>
      <c r="BJ24" s="275" t="n"/>
      <c r="BK24" s="275" t="n"/>
      <c r="BL24" s="275" t="n"/>
      <c r="BM24" s="275" t="n"/>
      <c r="BN24" s="275" t="n"/>
      <c r="BO24" s="275" t="n"/>
      <c r="BP24" s="275" t="n"/>
      <c r="BQ24" s="275" t="n"/>
      <c r="BR24" s="275" t="n"/>
      <c r="BS24" s="275" t="n"/>
      <c r="BT24" s="275" t="n"/>
      <c r="BU24" s="275" t="n"/>
      <c r="BV24" s="275" t="n"/>
      <c r="BW24" s="275" t="n"/>
      <c r="BX24" s="275" t="n"/>
      <c r="BY24" s="275" t="n"/>
      <c r="BZ24" s="275" t="n"/>
      <c r="CA24" s="275" t="n"/>
      <c r="CB24" s="275" t="n"/>
      <c r="CC24" s="275" t="n"/>
      <c r="CD24" s="282" t="n"/>
      <c r="CE24" s="276" t="n"/>
      <c r="CF24" s="276" t="n"/>
      <c r="CG24" s="276" t="n"/>
      <c r="CH24" s="276" t="n"/>
      <c r="CI24" s="276" t="n"/>
      <c r="CJ24" s="276" t="n"/>
      <c r="CK24" s="276" t="n"/>
      <c r="CL24" s="276" t="n"/>
      <c r="CM24" s="276" t="n"/>
      <c r="CN24" s="276" t="n"/>
      <c r="CO24" s="276" t="n"/>
      <c r="CP24" s="276" t="n"/>
      <c r="CQ24" s="276" t="n"/>
      <c r="CR24" s="276" t="n"/>
      <c r="CS24" s="276" t="n"/>
      <c r="CT24" s="276" t="n"/>
      <c r="CU24" s="276" t="n"/>
      <c r="CV24" s="276" t="n"/>
      <c r="CW24" s="276" t="n"/>
      <c r="CX24" s="276" t="n"/>
      <c r="CY24" s="276" t="n"/>
      <c r="CZ24" s="276" t="n"/>
      <c r="DA24" s="276" t="n"/>
      <c r="DB24" s="276" t="n"/>
    </row>
    <row r="25" ht="18.6" customHeight="1">
      <c r="B25" s="5" t="n"/>
      <c r="D25" s="272">
        <f>SUM(G25,AH25)</f>
        <v/>
      </c>
      <c r="E25" s="272">
        <f>SUM(H25,AI25)</f>
        <v/>
      </c>
      <c r="G25" s="272">
        <f>SUMIF($I$12:$AF$12,"Plan",I25:AF25)/1000000</f>
        <v/>
      </c>
      <c r="H25" s="272">
        <f>SUMIF($I$12:$AF$12,"Actual",I25:AF25)/1000000</f>
        <v/>
      </c>
      <c r="I25" s="273">
        <f>SUMIF(Table410[Workstream],'$ Dashboard'!B25,Table410[Jan_2026_F])</f>
        <v/>
      </c>
      <c r="J25" s="273">
        <f>SUMIF(Table410[Workstream],'$ Dashboard'!B25,Table410[Jan_2026_A])</f>
        <v/>
      </c>
      <c r="K25" s="273">
        <f>SUMIF(Table410[Workstream],'$ Dashboard'!B25,Table410[Feb_2026_F])</f>
        <v/>
      </c>
      <c r="L25" s="273">
        <f>SUMIF(Table410[Workstream],'$ Dashboard'!B25,Table410[Feb_2026_A])</f>
        <v/>
      </c>
      <c r="M25" s="273">
        <f>SUMIF(Table410[Workstream],'$ Dashboard'!B25,Table410[Mar_2026_F])</f>
        <v/>
      </c>
      <c r="N25" s="273">
        <f>SUMIF(Table410[Workstream],'$ Dashboard'!B25,Table410[Mar_2026_A])</f>
        <v/>
      </c>
      <c r="O25" s="273">
        <f>SUMIF(Table410[Workstream],'$ Dashboard'!B25,Table410[Apr_2026_F])</f>
        <v/>
      </c>
      <c r="P25" s="273">
        <f>SUMIF(Table410[Workstream],'$ Dashboard'!B25,Table410[Apr_2026_A])</f>
        <v/>
      </c>
      <c r="Q25" s="273">
        <f>SUMIF(Table410[Workstream],'$ Dashboard'!B25,Table410[May_2026_F])</f>
        <v/>
      </c>
      <c r="R25" s="273">
        <f>SUMIF(Table410[Workstream],'$ Dashboard'!B25,Table410[May_2026_A])</f>
        <v/>
      </c>
      <c r="S25" s="273">
        <f>SUMIF(Table410[Workstream],'$ Dashboard'!B25,Table410[Jun_2026_F])</f>
        <v/>
      </c>
      <c r="T25" s="273">
        <f>SUMIF(Table410[Workstream],'$ Dashboard'!B25,Table410[Jun_2026_A])</f>
        <v/>
      </c>
      <c r="U25" s="273">
        <f>SUMIF(Table410[Workstream],'$ Dashboard'!B25,Table410[Jul_2026_F])</f>
        <v/>
      </c>
      <c r="V25" s="273">
        <f>SUMIF(Table410[Workstream],'$ Dashboard'!B25,Table410[Jul_2026_A])</f>
        <v/>
      </c>
      <c r="W25" s="273">
        <f>SUMIF(Table410[Workstream],'$ Dashboard'!B25,Table410[Aug_2026_F])</f>
        <v/>
      </c>
      <c r="X25" s="273">
        <f>SUMIF(Table410[Workstream],'$ Dashboard'!B25,Table410[Aug_2026_A])</f>
        <v/>
      </c>
      <c r="Y25" s="273">
        <f>SUMIF(Table410[Workstream],'$ Dashboard'!B25,Table410[Sep_2026_F])</f>
        <v/>
      </c>
      <c r="Z25" s="273">
        <f>SUMIF(Table410[Workstream],'$ Dashboard'!B25,Table410[Sep_2026_A])</f>
        <v/>
      </c>
      <c r="AA25" s="273">
        <f>SUMIF(Table410[Workstream],'$ Dashboard'!B25,Table410[Oct_2026_F])</f>
        <v/>
      </c>
      <c r="AB25" s="273">
        <f>SUMIF(Table410[Workstream],'$ Dashboard'!B25,Table410[Oct_2026_A])</f>
        <v/>
      </c>
      <c r="AC25" s="273">
        <f>SUMIF(Table410[Workstream],'$ Dashboard'!B25,Table410[Nov_2026_F])</f>
        <v/>
      </c>
      <c r="AD25" s="273">
        <f>SUMIF(Table410[Workstream],'$ Dashboard'!B25,Table410[Nov_2026_A])</f>
        <v/>
      </c>
      <c r="AE25" s="273">
        <f>SUMIF(Table410[Workstream],'$ Dashboard'!B25,Table410[Dec_2026_F])</f>
        <v/>
      </c>
      <c r="AF25" s="273">
        <f>SUMIF(Table410[Workstream],'$ Dashboard'!B25,Table410[Dec_2026_A])+SUMIF(Table46[Workstream],'$ Dashboard'!B25,Table46[Dec_26_A])</f>
        <v/>
      </c>
      <c r="AH25" s="272">
        <f>SUM(AW25:BG25)/1000000</f>
        <v/>
      </c>
      <c r="AI25" s="272">
        <f>SUMIF($AJ$12:$BG$12,"Actual",AJ25:BG25)/1000000</f>
        <v/>
      </c>
      <c r="AJ25" s="274" t="n"/>
      <c r="AK25" s="274" t="n"/>
      <c r="AL25" s="274" t="n"/>
      <c r="AM25" s="274" t="n"/>
      <c r="AN25" s="274" t="n"/>
      <c r="AO25" s="274" t="n"/>
      <c r="AP25" s="274" t="n"/>
      <c r="AQ25" s="274" t="n"/>
      <c r="AR25" s="274" t="n"/>
      <c r="AS25" s="274" t="n"/>
      <c r="AT25" s="274" t="n"/>
      <c r="AU25" s="274" t="n"/>
      <c r="AV25" s="274" t="n"/>
      <c r="AW25" s="274" t="n"/>
      <c r="AX25" s="274" t="n"/>
      <c r="AY25" s="274" t="n"/>
      <c r="AZ25" s="274" t="n"/>
      <c r="BA25" s="274" t="n"/>
      <c r="BB25" s="274" t="n"/>
      <c r="BC25" s="274" t="n"/>
      <c r="BD25" s="274" t="n"/>
      <c r="BE25" s="274" t="n"/>
      <c r="BF25" s="274" t="n"/>
      <c r="BG25" s="274" t="n"/>
      <c r="BI25" s="275" t="n"/>
      <c r="BJ25" s="275" t="n"/>
      <c r="BK25" s="275" t="n"/>
      <c r="BL25" s="275" t="n"/>
      <c r="BM25" s="275" t="n"/>
      <c r="BN25" s="275" t="n"/>
      <c r="BO25" s="275" t="n"/>
      <c r="BP25" s="275" t="n"/>
      <c r="BQ25" s="275" t="n"/>
      <c r="BR25" s="275" t="n"/>
      <c r="BS25" s="275" t="n"/>
      <c r="BT25" s="275" t="n"/>
      <c r="BU25" s="275" t="n"/>
      <c r="BV25" s="275" t="n"/>
      <c r="BW25" s="275" t="n"/>
      <c r="BX25" s="275" t="n"/>
      <c r="BY25" s="275" t="n"/>
      <c r="BZ25" s="275" t="n"/>
      <c r="CA25" s="275" t="n"/>
      <c r="CB25" s="275" t="n"/>
      <c r="CC25" s="275" t="n"/>
      <c r="CD25" s="282" t="n"/>
      <c r="CE25" s="276" t="n"/>
      <c r="CF25" s="276" t="n"/>
      <c r="CG25" s="276" t="n"/>
      <c r="CH25" s="276" t="n"/>
      <c r="CI25" s="276" t="n"/>
      <c r="CJ25" s="276" t="n"/>
      <c r="CK25" s="276" t="n"/>
      <c r="CL25" s="276" t="n"/>
      <c r="CM25" s="276" t="n"/>
      <c r="CN25" s="276" t="n"/>
      <c r="CO25" s="276" t="n"/>
      <c r="CP25" s="276" t="n"/>
      <c r="CQ25" s="276" t="n"/>
      <c r="CR25" s="276" t="n"/>
      <c r="CS25" s="276" t="n"/>
      <c r="CT25" s="276" t="n"/>
      <c r="CU25" s="276" t="n"/>
      <c r="CV25" s="276" t="n"/>
      <c r="CW25" s="276" t="n"/>
      <c r="CX25" s="276" t="n"/>
      <c r="CY25" s="276" t="n"/>
      <c r="CZ25" s="276" t="n"/>
      <c r="DA25" s="276" t="n"/>
      <c r="DB25" s="276" t="n"/>
    </row>
    <row r="26" ht="18.6" customHeight="1">
      <c r="B26" s="5" t="n"/>
      <c r="D26" s="279">
        <f>SUM(G26,AH26)</f>
        <v/>
      </c>
      <c r="E26" s="279">
        <f>SUM(H26,AI26)</f>
        <v/>
      </c>
      <c r="G26" s="279">
        <f>SUMIF($I$12:$AF$12,"Plan",I26:AF26)/1000000</f>
        <v/>
      </c>
      <c r="H26" s="279">
        <f>SUMIF($I$12:$AF$12,"Actual",I26:AF26)/1000000</f>
        <v/>
      </c>
      <c r="I26" s="280">
        <f>SUMIF(Table410[Workstream],'$ Dashboard'!B26,Table410[Jan_2026_F])</f>
        <v/>
      </c>
      <c r="J26" s="280">
        <f>SUMIF(Table410[Workstream],'$ Dashboard'!B26,Table410[Jan_2026_A])</f>
        <v/>
      </c>
      <c r="K26" s="280">
        <f>SUMIF(Table410[Workstream],'$ Dashboard'!B26,Table410[Feb_2026_F])</f>
        <v/>
      </c>
      <c r="L26" s="280">
        <f>SUMIF(Table410[Workstream],'$ Dashboard'!B26,Table410[Feb_2026_A])</f>
        <v/>
      </c>
      <c r="M26" s="280">
        <f>SUMIF(Table410[Workstream],'$ Dashboard'!B26,Table410[Mar_2026_F])</f>
        <v/>
      </c>
      <c r="N26" s="280">
        <f>SUMIF(Table410[Workstream],'$ Dashboard'!B26,Table410[Mar_2026_A])</f>
        <v/>
      </c>
      <c r="O26" s="280">
        <f>SUMIF(Table410[Workstream],'$ Dashboard'!B26,Table410[Apr_2026_F])</f>
        <v/>
      </c>
      <c r="P26" s="280">
        <f>SUMIF(Table410[Workstream],'$ Dashboard'!B26,Table410[Apr_2026_A])</f>
        <v/>
      </c>
      <c r="Q26" s="280">
        <f>SUMIF(Table410[Workstream],'$ Dashboard'!B26,Table410[May_2026_F])</f>
        <v/>
      </c>
      <c r="R26" s="280">
        <f>SUMIF(Table410[Workstream],'$ Dashboard'!B26,Table410[May_2026_A])</f>
        <v/>
      </c>
      <c r="S26" s="280">
        <f>SUMIF(Table410[Workstream],'$ Dashboard'!B26,Table410[Jun_2026_F])</f>
        <v/>
      </c>
      <c r="T26" s="280">
        <f>SUMIF(Table410[Workstream],'$ Dashboard'!B26,Table410[Jun_2026_A])</f>
        <v/>
      </c>
      <c r="U26" s="280">
        <f>SUMIF(Table410[Workstream],'$ Dashboard'!B26,Table410[Jul_2026_F])</f>
        <v/>
      </c>
      <c r="V26" s="280">
        <f>SUMIF(Table410[Workstream],'$ Dashboard'!B26,Table410[Jul_2026_A])</f>
        <v/>
      </c>
      <c r="W26" s="280">
        <f>SUMIF(Table410[Workstream],'$ Dashboard'!B26,Table410[Aug_2026_F])</f>
        <v/>
      </c>
      <c r="X26" s="280">
        <f>SUMIF(Table410[Workstream],'$ Dashboard'!B26,Table410[Aug_2026_A])</f>
        <v/>
      </c>
      <c r="Y26" s="280">
        <f>SUMIF(Table410[Workstream],'$ Dashboard'!B26,Table410[Sep_2026_F])</f>
        <v/>
      </c>
      <c r="Z26" s="280">
        <f>SUMIF(Table410[Workstream],'$ Dashboard'!B26,Table410[Sep_2026_A])</f>
        <v/>
      </c>
      <c r="AA26" s="280">
        <f>SUMIF(Table410[Workstream],'$ Dashboard'!B26,Table410[Oct_2026_F])</f>
        <v/>
      </c>
      <c r="AB26" s="280">
        <f>SUMIF(Table410[Workstream],'$ Dashboard'!B26,Table410[Oct_2026_A])</f>
        <v/>
      </c>
      <c r="AC26" s="280">
        <f>SUMIF(Table410[Workstream],'$ Dashboard'!B26,Table410[Nov_2026_F])</f>
        <v/>
      </c>
      <c r="AD26" s="280">
        <f>SUMIF(Table410[Workstream],'$ Dashboard'!B26,Table410[Nov_2026_A])</f>
        <v/>
      </c>
      <c r="AE26" s="280">
        <f>SUMIF(Table410[Workstream],'$ Dashboard'!B26,Table410[Dec_2026_F])</f>
        <v/>
      </c>
      <c r="AF26" s="280">
        <f>SUMIF(Table410[Workstream],'$ Dashboard'!B26,Table410[Dec_2026_A])+SUMIF(Table46[Workstream],'$ Dashboard'!B26,Table46[Dec_26_A])</f>
        <v/>
      </c>
      <c r="AH26" s="279">
        <f>SUM(AW26:BG26)/1000000</f>
        <v/>
      </c>
      <c r="AI26" s="279">
        <f>SUMIF($AJ$12:$BG$12,"Actual",AJ26:BG26)/1000000</f>
        <v/>
      </c>
      <c r="AJ26" s="274" t="n"/>
      <c r="AK26" s="274" t="n"/>
      <c r="AL26" s="274" t="n"/>
      <c r="AM26" s="274" t="n"/>
      <c r="AN26" s="274" t="n"/>
      <c r="AO26" s="274" t="n"/>
      <c r="AP26" s="274" t="n"/>
      <c r="AQ26" s="274" t="n"/>
      <c r="AR26" s="274" t="n"/>
      <c r="AS26" s="274" t="n"/>
      <c r="AT26" s="274" t="n"/>
      <c r="AU26" s="274" t="n"/>
      <c r="AV26" s="274" t="n"/>
      <c r="AW26" s="274" t="n"/>
      <c r="AX26" s="274" t="n"/>
      <c r="AY26" s="274" t="n"/>
      <c r="AZ26" s="274" t="n"/>
      <c r="BA26" s="274" t="n"/>
      <c r="BB26" s="274" t="n"/>
      <c r="BC26" s="274" t="n"/>
      <c r="BD26" s="274" t="n"/>
      <c r="BE26" s="274" t="n"/>
      <c r="BF26" s="274" t="n"/>
      <c r="BG26" s="274" t="n"/>
      <c r="BI26" s="275" t="n"/>
      <c r="BJ26" s="275" t="n"/>
      <c r="BK26" s="275" t="n"/>
      <c r="BL26" s="275" t="n"/>
      <c r="BM26" s="275" t="n"/>
      <c r="BN26" s="275" t="n"/>
      <c r="BO26" s="275" t="n"/>
      <c r="BP26" s="275" t="n"/>
      <c r="BQ26" s="275" t="n"/>
      <c r="BR26" s="275" t="n"/>
      <c r="BS26" s="275" t="n"/>
      <c r="BT26" s="275" t="n"/>
      <c r="BU26" s="275" t="n"/>
      <c r="BV26" s="275" t="n"/>
      <c r="BW26" s="275" t="n"/>
      <c r="BX26" s="275" t="n"/>
      <c r="BY26" s="275" t="n"/>
      <c r="BZ26" s="275" t="n"/>
      <c r="CA26" s="275" t="n"/>
      <c r="CB26" s="275" t="n"/>
      <c r="CC26" s="275" t="n"/>
      <c r="CD26" s="279">
        <f>SUM(CE26:DB26)/1000000</f>
        <v/>
      </c>
      <c r="CE26" s="276" t="n"/>
      <c r="CF26" s="276" t="n"/>
      <c r="CG26" s="276" t="n"/>
      <c r="CH26" s="276" t="n"/>
      <c r="CI26" s="276" t="n"/>
      <c r="CJ26" s="276" t="n"/>
      <c r="CK26" s="276" t="n"/>
      <c r="CL26" s="276" t="n"/>
      <c r="CM26" s="276" t="n"/>
      <c r="CN26" s="276" t="n"/>
      <c r="CO26" s="276" t="n"/>
      <c r="CP26" s="276" t="n"/>
      <c r="CQ26" s="276" t="n"/>
      <c r="CR26" s="276" t="n"/>
      <c r="CS26" s="276" t="n"/>
      <c r="CT26" s="276" t="n"/>
      <c r="CU26" s="276" t="n"/>
      <c r="CV26" s="276" t="n"/>
      <c r="CW26" s="276" t="n"/>
      <c r="CX26" s="276" t="n"/>
      <c r="CY26" s="276" t="n"/>
      <c r="CZ26" s="276" t="n"/>
      <c r="DA26" s="276" t="n"/>
      <c r="DB26" s="276" t="n"/>
    </row>
    <row r="27" ht="18.6" customHeight="1">
      <c r="B27" s="5" t="n"/>
      <c r="D27" s="272">
        <f>SUM(G27,AH27)</f>
        <v/>
      </c>
      <c r="E27" s="272">
        <f>SUM(H27,AI27)</f>
        <v/>
      </c>
      <c r="G27" s="272">
        <f>SUMIF($I$12:$AF$12,"Plan",I27:AF27)/1000000</f>
        <v/>
      </c>
      <c r="H27" s="272">
        <f>SUMIF($I$12:$AF$12,"Actual",I27:AF27)/1000000</f>
        <v/>
      </c>
      <c r="I27" s="273">
        <f>SUMIF(Table410[Workstream],'$ Dashboard'!B27,Table410[Jan_2026_F])</f>
        <v/>
      </c>
      <c r="J27" s="273">
        <f>SUMIF(Table410[Workstream],'$ Dashboard'!B27,Table410[Jan_2026_A])</f>
        <v/>
      </c>
      <c r="K27" s="273">
        <f>SUMIF(Table410[Workstream],'$ Dashboard'!B27,Table410[Feb_2026_F])</f>
        <v/>
      </c>
      <c r="L27" s="273">
        <f>SUMIF(Table410[Workstream],'$ Dashboard'!B27,Table410[Feb_2026_A])</f>
        <v/>
      </c>
      <c r="M27" s="273">
        <f>SUMIF(Table410[Workstream],'$ Dashboard'!B27,Table410[Mar_2026_F])</f>
        <v/>
      </c>
      <c r="N27" s="273">
        <f>SUMIF(Table410[Workstream],'$ Dashboard'!B27,Table410[Mar_2026_A])</f>
        <v/>
      </c>
      <c r="O27" s="273">
        <f>SUMIF(Table410[Workstream],'$ Dashboard'!B27,Table410[Apr_2026_F])</f>
        <v/>
      </c>
      <c r="P27" s="273">
        <f>SUMIF(Table410[Workstream],'$ Dashboard'!B27,Table410[Apr_2026_A])</f>
        <v/>
      </c>
      <c r="Q27" s="273">
        <f>SUMIF(Table410[Workstream],'$ Dashboard'!B27,Table410[May_2026_F])</f>
        <v/>
      </c>
      <c r="R27" s="273">
        <f>SUMIF(Table410[Workstream],'$ Dashboard'!B27,Table410[May_2026_A])</f>
        <v/>
      </c>
      <c r="S27" s="273">
        <f>SUMIF(Table410[Workstream],'$ Dashboard'!B27,Table410[Jun_2026_F])</f>
        <v/>
      </c>
      <c r="T27" s="273">
        <f>SUMIF(Table410[Workstream],'$ Dashboard'!B27,Table410[Jun_2026_A])</f>
        <v/>
      </c>
      <c r="U27" s="273">
        <f>SUMIF(Table410[Workstream],'$ Dashboard'!B27,Table410[Jul_2026_F])</f>
        <v/>
      </c>
      <c r="V27" s="273">
        <f>SUMIF(Table410[Workstream],'$ Dashboard'!B27,Table410[Jul_2026_A])</f>
        <v/>
      </c>
      <c r="W27" s="273">
        <f>SUMIF(Table410[Workstream],'$ Dashboard'!B27,Table410[Aug_2026_F])</f>
        <v/>
      </c>
      <c r="X27" s="273">
        <f>SUMIF(Table410[Workstream],'$ Dashboard'!B27,Table410[Aug_2026_A])</f>
        <v/>
      </c>
      <c r="Y27" s="273">
        <f>SUMIF(Table410[Workstream],'$ Dashboard'!B27,Table410[Sep_2026_F])</f>
        <v/>
      </c>
      <c r="Z27" s="273">
        <f>SUMIF(Table410[Workstream],'$ Dashboard'!B27,Table410[Sep_2026_A])</f>
        <v/>
      </c>
      <c r="AA27" s="273">
        <f>SUMIF(Table410[Workstream],'$ Dashboard'!B27,Table410[Oct_2026_F])</f>
        <v/>
      </c>
      <c r="AB27" s="273">
        <f>SUMIF(Table410[Workstream],'$ Dashboard'!B27,Table410[Oct_2026_A])</f>
        <v/>
      </c>
      <c r="AC27" s="273">
        <f>SUMIF(Table410[Workstream],'$ Dashboard'!B27,Table410[Nov_2026_F])</f>
        <v/>
      </c>
      <c r="AD27" s="273">
        <f>SUMIF(Table410[Workstream],'$ Dashboard'!B27,Table410[Nov_2026_A])</f>
        <v/>
      </c>
      <c r="AE27" s="273">
        <f>SUMIF(Table410[Workstream],'$ Dashboard'!B27,Table410[Dec_2026_F])</f>
        <v/>
      </c>
      <c r="AF27" s="273">
        <f>SUMIF(Table410[Workstream],'$ Dashboard'!B27,Table410[Dec_2026_A])+SUMIF(Table46[Workstream],'$ Dashboard'!B27,Table46[Dec_26_A])</f>
        <v/>
      </c>
      <c r="AH27" s="272">
        <f>SUM(AW27:BG27)/1000000</f>
        <v/>
      </c>
      <c r="AI27" s="272">
        <f>SUMIF($AJ$12:$BG$12,"Actual",AJ27:BG27)/1000000</f>
        <v/>
      </c>
      <c r="AJ27" s="274" t="n"/>
      <c r="AK27" s="274" t="n"/>
      <c r="AL27" s="274" t="n"/>
      <c r="AM27" s="274" t="n"/>
      <c r="AN27" s="274" t="n"/>
      <c r="AO27" s="274" t="n"/>
      <c r="AP27" s="274" t="n"/>
      <c r="AQ27" s="274" t="n"/>
      <c r="AR27" s="274" t="n"/>
      <c r="AS27" s="274" t="n"/>
      <c r="AT27" s="274" t="n"/>
      <c r="AU27" s="274" t="n"/>
      <c r="AV27" s="274" t="n"/>
      <c r="AW27" s="274" t="n"/>
      <c r="AX27" s="274" t="n"/>
      <c r="AY27" s="274" t="n"/>
      <c r="AZ27" s="274" t="n"/>
      <c r="BA27" s="274" t="n"/>
      <c r="BB27" s="274" t="n"/>
      <c r="BC27" s="274" t="n"/>
      <c r="BD27" s="274" t="n"/>
      <c r="BE27" s="274" t="n"/>
      <c r="BF27" s="274" t="n"/>
      <c r="BG27" s="274" t="n"/>
      <c r="BI27" s="275" t="n"/>
      <c r="BJ27" s="275" t="n"/>
      <c r="BK27" s="275" t="n"/>
      <c r="BL27" s="275" t="n"/>
      <c r="BM27" s="275" t="n"/>
      <c r="BN27" s="275" t="n"/>
      <c r="BO27" s="275" t="n"/>
      <c r="BP27" s="275" t="n"/>
      <c r="BQ27" s="275" t="n"/>
      <c r="BR27" s="275" t="n"/>
      <c r="BS27" s="275" t="n"/>
      <c r="BT27" s="275" t="n"/>
      <c r="BU27" s="275" t="n"/>
      <c r="BV27" s="275" t="n"/>
      <c r="BW27" s="275" t="n"/>
      <c r="BX27" s="275" t="n"/>
      <c r="BY27" s="275" t="n"/>
      <c r="BZ27" s="275" t="n"/>
      <c r="CA27" s="275" t="n"/>
      <c r="CB27" s="275" t="n"/>
      <c r="CC27" s="275" t="n"/>
      <c r="CD27" s="272">
        <f>SUM(CE27:DB27)/1000000</f>
        <v/>
      </c>
      <c r="CE27" s="276" t="n"/>
      <c r="CF27" s="276" t="n"/>
      <c r="CG27" s="276" t="n"/>
      <c r="CH27" s="276" t="n"/>
      <c r="CI27" s="276" t="n"/>
      <c r="CJ27" s="276" t="n"/>
      <c r="CK27" s="276" t="n"/>
      <c r="CL27" s="276" t="n"/>
      <c r="CM27" s="276" t="n"/>
      <c r="CN27" s="276" t="n"/>
      <c r="CO27" s="276" t="n"/>
      <c r="CP27" s="276" t="n"/>
      <c r="CQ27" s="276" t="n"/>
      <c r="CR27" s="276" t="n"/>
      <c r="CS27" s="276" t="n"/>
      <c r="CT27" s="276" t="n"/>
      <c r="CU27" s="276" t="n"/>
      <c r="CV27" s="276" t="n"/>
      <c r="CW27" s="276" t="n"/>
      <c r="CX27" s="276" t="n"/>
      <c r="CY27" s="276" t="n"/>
      <c r="CZ27" s="276" t="n"/>
      <c r="DA27" s="276" t="n"/>
      <c r="DB27" s="276" t="n"/>
    </row>
    <row r="28" ht="18.6" customHeight="1">
      <c r="B28" s="5" t="n"/>
      <c r="D28" s="279">
        <f>SUM(G28,AH28)</f>
        <v/>
      </c>
      <c r="E28" s="279">
        <f>SUM(H28,AI28)</f>
        <v/>
      </c>
      <c r="G28" s="279">
        <f>SUMIF($I$12:$AF$12,"Plan",I28:AF28)/1000000</f>
        <v/>
      </c>
      <c r="H28" s="279">
        <f>SUMIF($I$12:$AF$12,"Actual",I28:AF28)/1000000</f>
        <v/>
      </c>
      <c r="I28" s="280">
        <f>SUMIF(Table410[Workstream],'$ Dashboard'!B28,Table410[Jan_2026_F])</f>
        <v/>
      </c>
      <c r="J28" s="280">
        <f>SUMIF(Table410[Workstream],'$ Dashboard'!B28,Table410[Jan_2026_A])</f>
        <v/>
      </c>
      <c r="K28" s="280">
        <f>SUMIF(Table410[Workstream],'$ Dashboard'!B28,Table410[Feb_2026_F])</f>
        <v/>
      </c>
      <c r="L28" s="280">
        <f>SUMIF(Table410[Workstream],'$ Dashboard'!B28,Table410[Feb_2026_A])</f>
        <v/>
      </c>
      <c r="M28" s="280">
        <f>SUMIF(Table410[Workstream],'$ Dashboard'!B28,Table410[Mar_2026_F])</f>
        <v/>
      </c>
      <c r="N28" s="280">
        <f>SUMIF(Table410[Workstream],'$ Dashboard'!B28,Table410[Mar_2026_A])</f>
        <v/>
      </c>
      <c r="O28" s="280">
        <f>SUMIF(Table410[Workstream],'$ Dashboard'!B28,Table410[Apr_2026_F])</f>
        <v/>
      </c>
      <c r="P28" s="280">
        <f>SUMIF(Table410[Workstream],'$ Dashboard'!B28,Table410[Apr_2026_A])</f>
        <v/>
      </c>
      <c r="Q28" s="280">
        <f>SUMIF(Table410[Workstream],'$ Dashboard'!B28,Table410[May_2026_F])</f>
        <v/>
      </c>
      <c r="R28" s="280">
        <f>SUMIF(Table410[Workstream],'$ Dashboard'!B28,Table410[May_2026_A])</f>
        <v/>
      </c>
      <c r="S28" s="280">
        <f>SUMIF(Table410[Workstream],'$ Dashboard'!B28,Table410[Jun_2026_F])</f>
        <v/>
      </c>
      <c r="T28" s="280">
        <f>SUMIF(Table410[Workstream],'$ Dashboard'!B28,Table410[Jun_2026_A])</f>
        <v/>
      </c>
      <c r="U28" s="280">
        <f>SUMIF(Table410[Workstream],'$ Dashboard'!B28,Table410[Jul_2026_F])</f>
        <v/>
      </c>
      <c r="V28" s="280">
        <f>SUMIF(Table410[Workstream],'$ Dashboard'!B28,Table410[Jul_2026_A])</f>
        <v/>
      </c>
      <c r="W28" s="280">
        <f>SUMIF(Table410[Workstream],'$ Dashboard'!B28,Table410[Aug_2026_F])</f>
        <v/>
      </c>
      <c r="X28" s="280">
        <f>SUMIF(Table410[Workstream],'$ Dashboard'!B28,Table410[Aug_2026_A])</f>
        <v/>
      </c>
      <c r="Y28" s="280">
        <f>SUMIF(Table410[Workstream],'$ Dashboard'!B28,Table410[Sep_2026_F])</f>
        <v/>
      </c>
      <c r="Z28" s="280">
        <f>SUMIF(Table410[Workstream],'$ Dashboard'!B28,Table410[Sep_2026_A])</f>
        <v/>
      </c>
      <c r="AA28" s="280">
        <f>SUMIF(Table410[Workstream],'$ Dashboard'!B28,Table410[Oct_2026_F])</f>
        <v/>
      </c>
      <c r="AB28" s="280">
        <f>SUMIF(Table410[Workstream],'$ Dashboard'!B28,Table410[Oct_2026_A])</f>
        <v/>
      </c>
      <c r="AC28" s="280">
        <f>SUMIF(Table410[Workstream],'$ Dashboard'!B28,Table410[Nov_2026_F])</f>
        <v/>
      </c>
      <c r="AD28" s="280">
        <f>SUMIF(Table410[Workstream],'$ Dashboard'!B28,Table410[Nov_2026_A])</f>
        <v/>
      </c>
      <c r="AE28" s="280">
        <f>SUMIF(Table410[Workstream],'$ Dashboard'!B28,Table410[Dec_2026_F])</f>
        <v/>
      </c>
      <c r="AF28" s="280">
        <f>SUMIF(Table410[Workstream],'$ Dashboard'!B28,Table410[Dec_2026_A])+SUMIF(Table46[Workstream],'$ Dashboard'!B28,Table46[Dec_26_A])</f>
        <v/>
      </c>
      <c r="AH28" s="279">
        <f>SUM(AW28:BG28)/1000000</f>
        <v/>
      </c>
      <c r="AI28" s="279">
        <f>SUMIF($AJ$12:$BG$12,"Actual",AJ28:BG28)/1000000</f>
        <v/>
      </c>
      <c r="AJ28" s="274" t="n"/>
      <c r="AK28" s="274" t="n"/>
      <c r="AL28" s="274" t="n"/>
      <c r="AM28" s="274" t="n"/>
      <c r="AN28" s="274" t="n"/>
      <c r="AO28" s="274" t="n"/>
      <c r="AP28" s="274" t="n"/>
      <c r="AQ28" s="274" t="n"/>
      <c r="AR28" s="274" t="n"/>
      <c r="AS28" s="274" t="n"/>
      <c r="AT28" s="274" t="n"/>
      <c r="AU28" s="274" t="n"/>
      <c r="AV28" s="274" t="n"/>
      <c r="AW28" s="274" t="n"/>
      <c r="AX28" s="274" t="n"/>
      <c r="AY28" s="274" t="n"/>
      <c r="AZ28" s="274" t="n"/>
      <c r="BA28" s="274" t="n"/>
      <c r="BB28" s="274" t="n"/>
      <c r="BC28" s="274" t="n"/>
      <c r="BD28" s="274" t="n"/>
      <c r="BE28" s="274" t="n"/>
      <c r="BF28" s="274" t="n"/>
      <c r="BG28" s="274" t="n"/>
      <c r="BI28" s="275" t="n"/>
      <c r="BJ28" s="275" t="n"/>
      <c r="BK28" s="275" t="n"/>
      <c r="BL28" s="275" t="n"/>
      <c r="BM28" s="275" t="n"/>
      <c r="BN28" s="275" t="n"/>
      <c r="BO28" s="275" t="n"/>
      <c r="BP28" s="275" t="n"/>
      <c r="BQ28" s="275" t="n"/>
      <c r="BR28" s="275" t="n"/>
      <c r="BS28" s="275" t="n"/>
      <c r="BT28" s="275" t="n"/>
      <c r="BU28" s="275" t="n"/>
      <c r="BV28" s="275" t="n"/>
      <c r="BW28" s="275" t="n"/>
      <c r="BX28" s="275" t="n"/>
      <c r="BY28" s="275" t="n"/>
      <c r="BZ28" s="275" t="n"/>
      <c r="CA28" s="275" t="n"/>
      <c r="CB28" s="275" t="n"/>
      <c r="CC28" s="275" t="n"/>
      <c r="CD28" s="279">
        <f>SUM(CE28:DB28)/1000000</f>
        <v/>
      </c>
      <c r="CE28" s="276" t="n"/>
      <c r="CF28" s="276" t="n"/>
      <c r="CG28" s="276" t="n"/>
      <c r="CH28" s="276" t="n"/>
      <c r="CI28" s="276" t="n"/>
      <c r="CJ28" s="276" t="n"/>
      <c r="CK28" s="276" t="n"/>
      <c r="CL28" s="276" t="n"/>
      <c r="CM28" s="276" t="n"/>
      <c r="CN28" s="276" t="n"/>
      <c r="CO28" s="276" t="n"/>
      <c r="CP28" s="276" t="n"/>
      <c r="CQ28" s="276" t="n"/>
      <c r="CR28" s="276" t="n"/>
      <c r="CS28" s="276" t="n"/>
      <c r="CT28" s="276" t="n"/>
      <c r="CU28" s="276" t="n"/>
      <c r="CV28" s="276" t="n"/>
      <c r="CW28" s="276" t="n"/>
      <c r="CX28" s="276" t="n"/>
      <c r="CY28" s="276" t="n"/>
      <c r="CZ28" s="276" t="n"/>
      <c r="DA28" s="276" t="n"/>
      <c r="DB28" s="276" t="n"/>
    </row>
    <row r="29" ht="18.6" customHeight="1">
      <c r="B29" s="5" t="n"/>
      <c r="D29" s="272">
        <f>SUM(G29,AH29)</f>
        <v/>
      </c>
      <c r="E29" s="272">
        <f>SUM(H29,AI29)</f>
        <v/>
      </c>
      <c r="G29" s="272">
        <f>SUMIF($I$12:$AF$12,"Plan",I29:AF29)/1000000</f>
        <v/>
      </c>
      <c r="H29" s="272">
        <f>SUMIF($I$12:$AF$12,"Actual",I29:AF29)/1000000</f>
        <v/>
      </c>
      <c r="I29" s="273">
        <f>SUMIF(Table410[Workstream],'$ Dashboard'!B29,Table410[Jan_2026_F])</f>
        <v/>
      </c>
      <c r="J29" s="273">
        <f>SUMIF(Table410[Workstream],'$ Dashboard'!B29,Table410[Jan_2026_A])</f>
        <v/>
      </c>
      <c r="K29" s="273">
        <f>SUMIF(Table410[Workstream],'$ Dashboard'!B29,Table410[Feb_2026_F])</f>
        <v/>
      </c>
      <c r="L29" s="273">
        <f>SUMIF(Table410[Workstream],'$ Dashboard'!B29,Table410[Feb_2026_A])</f>
        <v/>
      </c>
      <c r="M29" s="273">
        <f>SUMIF(Table410[Workstream],'$ Dashboard'!B29,Table410[Mar_2026_F])</f>
        <v/>
      </c>
      <c r="N29" s="273">
        <f>SUMIF(Table410[Workstream],'$ Dashboard'!B29,Table410[Mar_2026_A])</f>
        <v/>
      </c>
      <c r="O29" s="273">
        <f>SUMIF(Table410[Workstream],'$ Dashboard'!B29,Table410[Apr_2026_F])</f>
        <v/>
      </c>
      <c r="P29" s="273">
        <f>SUMIF(Table410[Workstream],'$ Dashboard'!B29,Table410[Apr_2026_A])</f>
        <v/>
      </c>
      <c r="Q29" s="273">
        <f>SUMIF(Table410[Workstream],'$ Dashboard'!B29,Table410[May_2026_F])</f>
        <v/>
      </c>
      <c r="R29" s="273">
        <f>SUMIF(Table410[Workstream],'$ Dashboard'!B29,Table410[May_2026_A])</f>
        <v/>
      </c>
      <c r="S29" s="273">
        <f>SUMIF(Table410[Workstream],'$ Dashboard'!B29,Table410[Jun_2026_F])</f>
        <v/>
      </c>
      <c r="T29" s="273">
        <f>SUMIF(Table410[Workstream],'$ Dashboard'!B29,Table410[Jun_2026_A])</f>
        <v/>
      </c>
      <c r="U29" s="273">
        <f>SUMIF(Table410[Workstream],'$ Dashboard'!B29,Table410[Jul_2026_F])</f>
        <v/>
      </c>
      <c r="V29" s="273">
        <f>SUMIF(Table410[Workstream],'$ Dashboard'!B29,Table410[Jul_2026_A])</f>
        <v/>
      </c>
      <c r="W29" s="273">
        <f>SUMIF(Table410[Workstream],'$ Dashboard'!B29,Table410[Aug_2026_F])</f>
        <v/>
      </c>
      <c r="X29" s="273">
        <f>SUMIF(Table410[Workstream],'$ Dashboard'!B29,Table410[Aug_2026_A])</f>
        <v/>
      </c>
      <c r="Y29" s="273">
        <f>SUMIF(Table410[Workstream],'$ Dashboard'!B29,Table410[Sep_2026_F])</f>
        <v/>
      </c>
      <c r="Z29" s="273">
        <f>SUMIF(Table410[Workstream],'$ Dashboard'!B29,Table410[Sep_2026_A])</f>
        <v/>
      </c>
      <c r="AA29" s="273">
        <f>SUMIF(Table410[Workstream],'$ Dashboard'!B29,Table410[Oct_2026_F])</f>
        <v/>
      </c>
      <c r="AB29" s="273">
        <f>SUMIF(Table410[Workstream],'$ Dashboard'!B29,Table410[Oct_2026_A])</f>
        <v/>
      </c>
      <c r="AC29" s="273">
        <f>SUMIF(Table410[Workstream],'$ Dashboard'!B29,Table410[Nov_2026_F])</f>
        <v/>
      </c>
      <c r="AD29" s="273">
        <f>SUMIF(Table410[Workstream],'$ Dashboard'!B29,Table410[Nov_2026_A])</f>
        <v/>
      </c>
      <c r="AE29" s="273">
        <f>SUMIF(Table410[Workstream],'$ Dashboard'!B29,Table410[Dec_2026_F])</f>
        <v/>
      </c>
      <c r="AF29" s="273">
        <f>SUMIF(Table410[Workstream],'$ Dashboard'!B29,Table410[Dec_2026_A])+SUMIF(Table46[Workstream],'$ Dashboard'!B29,Table46[Dec_26_A])</f>
        <v/>
      </c>
      <c r="AH29" s="272">
        <f>SUM(AW29:BG29)/1000000</f>
        <v/>
      </c>
      <c r="AI29" s="272">
        <f>SUMIF($AJ$12:$BG$12,"Actual",AJ29:BG29)/1000000</f>
        <v/>
      </c>
      <c r="AJ29" s="274" t="n"/>
      <c r="AK29" s="274" t="n"/>
      <c r="AL29" s="274" t="n"/>
      <c r="AM29" s="274" t="n"/>
      <c r="AN29" s="274" t="n"/>
      <c r="AO29" s="274" t="n"/>
      <c r="AP29" s="274" t="n"/>
      <c r="AQ29" s="274" t="n"/>
      <c r="AR29" s="274" t="n"/>
      <c r="AS29" s="274" t="n"/>
      <c r="AT29" s="274" t="n"/>
      <c r="AU29" s="274" t="n"/>
      <c r="AV29" s="274" t="n"/>
      <c r="AW29" s="274" t="n"/>
      <c r="AX29" s="274" t="n"/>
      <c r="AY29" s="274" t="n"/>
      <c r="AZ29" s="274" t="n"/>
      <c r="BA29" s="274" t="n"/>
      <c r="BB29" s="274" t="n"/>
      <c r="BC29" s="274" t="n"/>
      <c r="BD29" s="274" t="n"/>
      <c r="BE29" s="274" t="n"/>
      <c r="BF29" s="274" t="n"/>
      <c r="BG29" s="274" t="n"/>
      <c r="BI29" s="275" t="n"/>
      <c r="BJ29" s="275" t="n"/>
      <c r="BK29" s="275" t="n"/>
      <c r="BL29" s="275" t="n"/>
      <c r="BM29" s="275" t="n"/>
      <c r="BN29" s="275" t="n"/>
      <c r="BO29" s="275" t="n"/>
      <c r="BP29" s="275" t="n"/>
      <c r="BQ29" s="275" t="n"/>
      <c r="BR29" s="275" t="n"/>
      <c r="BS29" s="275" t="n"/>
      <c r="BT29" s="275" t="n"/>
      <c r="BU29" s="275" t="n"/>
      <c r="BV29" s="275" t="n"/>
      <c r="BW29" s="275" t="n"/>
      <c r="BX29" s="275" t="n"/>
      <c r="BY29" s="275" t="n"/>
      <c r="BZ29" s="275" t="n"/>
      <c r="CA29" s="275" t="n"/>
      <c r="CB29" s="275" t="n"/>
      <c r="CC29" s="275" t="n"/>
      <c r="CD29" s="272">
        <f>SUM(CE29:DB29)/1000000</f>
        <v/>
      </c>
      <c r="CE29" s="276" t="n"/>
      <c r="CF29" s="276" t="n"/>
      <c r="CG29" s="276" t="n"/>
      <c r="CH29" s="276" t="n"/>
      <c r="CI29" s="276" t="n"/>
      <c r="CJ29" s="276" t="n"/>
      <c r="CK29" s="276" t="n"/>
      <c r="CL29" s="276" t="n"/>
      <c r="CM29" s="276" t="n"/>
      <c r="CN29" s="276" t="n"/>
      <c r="CO29" s="276" t="n"/>
      <c r="CP29" s="276" t="n"/>
      <c r="CQ29" s="276" t="n"/>
      <c r="CR29" s="276" t="n"/>
      <c r="CS29" s="276" t="n"/>
      <c r="CT29" s="276" t="n"/>
      <c r="CU29" s="276" t="n"/>
      <c r="CV29" s="276" t="n"/>
      <c r="CW29" s="276" t="n"/>
      <c r="CX29" s="276" t="n"/>
      <c r="CY29" s="276" t="n"/>
      <c r="CZ29" s="276" t="n"/>
      <c r="DA29" s="276" t="n"/>
      <c r="DB29" s="276" t="n"/>
    </row>
    <row r="30" ht="18.95" customHeight="1" thickBot="1">
      <c r="B30" s="283" t="inlineStr">
        <is>
          <t>Total</t>
        </is>
      </c>
      <c r="C30" s="23" t="n"/>
      <c r="D30" s="284">
        <f>SUM(D13:D29)</f>
        <v/>
      </c>
      <c r="E30" s="284">
        <f>SUM(E13:E29)</f>
        <v/>
      </c>
      <c r="G30" s="284">
        <f>SUM(G13:G29)</f>
        <v/>
      </c>
      <c r="H30" s="284">
        <f>SUM(H13:H29)</f>
        <v/>
      </c>
      <c r="I30" s="284">
        <f>SUM(I13:I29)</f>
        <v/>
      </c>
      <c r="J30" s="284">
        <f>SUM(J13:J29)</f>
        <v/>
      </c>
      <c r="K30" s="284">
        <f>SUM(K13:K29)</f>
        <v/>
      </c>
      <c r="L30" s="284">
        <f>SUM(L13:L29)</f>
        <v/>
      </c>
      <c r="M30" s="284">
        <f>SUM(M13:M29)</f>
        <v/>
      </c>
      <c r="N30" s="284">
        <f>SUM(N13:N29)</f>
        <v/>
      </c>
      <c r="O30" s="284">
        <f>SUM(O13:O29)</f>
        <v/>
      </c>
      <c r="P30" s="284">
        <f>SUM(P13:P29)</f>
        <v/>
      </c>
      <c r="Q30" s="284">
        <f>SUM(Q13:Q29)</f>
        <v/>
      </c>
      <c r="R30" s="284">
        <f>SUM(R13:R29)</f>
        <v/>
      </c>
      <c r="S30" s="284">
        <f>SUM(S13:S29)</f>
        <v/>
      </c>
      <c r="T30" s="284">
        <f>SUM(T13:T29)</f>
        <v/>
      </c>
      <c r="U30" s="284">
        <f>SUM(U13:U29)</f>
        <v/>
      </c>
      <c r="V30" s="284">
        <f>SUM(V13:V29)</f>
        <v/>
      </c>
      <c r="W30" s="284">
        <f>SUM(W13:W29)</f>
        <v/>
      </c>
      <c r="X30" s="284">
        <f>SUM(X13:X29)</f>
        <v/>
      </c>
      <c r="Y30" s="284">
        <f>SUM(Y13:Y29)</f>
        <v/>
      </c>
      <c r="Z30" s="284">
        <f>SUM(Z13:Z29)</f>
        <v/>
      </c>
      <c r="AA30" s="284">
        <f>SUM(AA13:AA29)</f>
        <v/>
      </c>
      <c r="AB30" s="284">
        <f>SUM(AB13:AB29)</f>
        <v/>
      </c>
      <c r="AC30" s="284">
        <f>SUM(AC13:AC29)</f>
        <v/>
      </c>
      <c r="AD30" s="284">
        <f>SUM(AD13:AD29)</f>
        <v/>
      </c>
      <c r="AE30" s="284">
        <f>SUM(AE13:AE29)</f>
        <v/>
      </c>
      <c r="AF30" s="284">
        <f>SUM(AF13:AF29)</f>
        <v/>
      </c>
      <c r="AH30" s="284">
        <f>SUM(AH13:AH29)</f>
        <v/>
      </c>
      <c r="AI30" s="284">
        <f>SUM(AI13:AI29)</f>
        <v/>
      </c>
      <c r="AJ30" s="285">
        <f>SUM(AJ13:AJ29)</f>
        <v/>
      </c>
      <c r="AK30" s="285">
        <f>SUM(AK13:AK29)</f>
        <v/>
      </c>
      <c r="AL30" s="285">
        <f>SUM(AL13:AL29)</f>
        <v/>
      </c>
      <c r="AM30" s="285">
        <f>SUM(AM13:AM29)</f>
        <v/>
      </c>
      <c r="AN30" s="285">
        <f>SUM(AN13:AN29)</f>
        <v/>
      </c>
      <c r="AO30" s="285">
        <f>SUM(AO13:AO29)</f>
        <v/>
      </c>
      <c r="AP30" s="285">
        <f>SUM(AP13:AP29)</f>
        <v/>
      </c>
      <c r="AQ30" s="285">
        <f>SUM(AQ13:AQ29)</f>
        <v/>
      </c>
      <c r="AR30" s="285">
        <f>SUM(AR13:AR29)</f>
        <v/>
      </c>
      <c r="AS30" s="285">
        <f>SUM(AS13:AS29)</f>
        <v/>
      </c>
      <c r="AT30" s="285">
        <f>SUM(AT13:AT29)</f>
        <v/>
      </c>
      <c r="AU30" s="285">
        <f>SUM(AU13:AU29)</f>
        <v/>
      </c>
      <c r="AV30" s="285">
        <f>SUM(AV13:AV29)</f>
        <v/>
      </c>
      <c r="AW30" s="285">
        <f>SUM(AW13:AW29)</f>
        <v/>
      </c>
      <c r="AX30" s="285">
        <f>SUM(AX13:AX29)</f>
        <v/>
      </c>
      <c r="AY30" s="285">
        <f>SUM(AY13:AY29)</f>
        <v/>
      </c>
      <c r="AZ30" s="285">
        <f>SUM(AZ13:AZ29)</f>
        <v/>
      </c>
      <c r="BA30" s="285">
        <f>SUM(BA13:BA29)</f>
        <v/>
      </c>
      <c r="BB30" s="285">
        <f>SUM(BB13:BB29)</f>
        <v/>
      </c>
      <c r="BC30" s="285">
        <f>SUM(BC13:BC29)</f>
        <v/>
      </c>
      <c r="BD30" s="285">
        <f>SUM(BD13:BD29)</f>
        <v/>
      </c>
      <c r="BE30" s="285">
        <f>SUM(BE13:BE29)</f>
        <v/>
      </c>
      <c r="BF30" s="285">
        <f>SUM(BF13:BF29)</f>
        <v/>
      </c>
      <c r="BG30" s="285">
        <f>SUM(BG13:BG29)</f>
        <v/>
      </c>
      <c r="BI30" s="275" t="n"/>
      <c r="BJ30" s="275" t="n"/>
      <c r="BK30" s="275" t="n"/>
      <c r="BL30" s="275" t="n"/>
      <c r="BM30" s="275" t="n"/>
      <c r="BN30" s="275" t="n"/>
      <c r="BO30" s="275" t="n"/>
      <c r="BP30" s="275" t="n"/>
      <c r="BQ30" s="275" t="n"/>
      <c r="BR30" s="275" t="n"/>
      <c r="BS30" s="275" t="n"/>
      <c r="BT30" s="275" t="n"/>
      <c r="BU30" s="275" t="n"/>
      <c r="BV30" s="275" t="n"/>
      <c r="BW30" s="275" t="n"/>
      <c r="BX30" s="275" t="n"/>
      <c r="BY30" s="275" t="n"/>
      <c r="BZ30" s="275" t="n"/>
      <c r="CA30" s="275" t="n"/>
      <c r="CB30" s="275" t="n"/>
      <c r="CC30" s="275" t="n"/>
      <c r="CD30" s="284">
        <f>SUM(CD13:CD29)</f>
        <v/>
      </c>
      <c r="CE30" s="286">
        <f>SUM(CE13:CE29)</f>
        <v/>
      </c>
      <c r="CF30" s="286">
        <f>SUM(CF13:CF29)</f>
        <v/>
      </c>
      <c r="CG30" s="286">
        <f>SUM(CG13:CG29)</f>
        <v/>
      </c>
      <c r="CH30" s="286">
        <f>SUM(CH13:CH29)</f>
        <v/>
      </c>
      <c r="CI30" s="286">
        <f>SUM(CI13:CI29)</f>
        <v/>
      </c>
      <c r="CJ30" s="286">
        <f>SUM(CJ13:CJ29)</f>
        <v/>
      </c>
      <c r="CK30" s="286">
        <f>SUM(CK13:CK29)</f>
        <v/>
      </c>
      <c r="CL30" s="286">
        <f>SUM(CL13:CL29)</f>
        <v/>
      </c>
      <c r="CM30" s="286">
        <f>SUM(CM13:CM29)</f>
        <v/>
      </c>
      <c r="CN30" s="286">
        <f>SUM(CN13:CN29)</f>
        <v/>
      </c>
      <c r="CO30" s="286">
        <f>SUM(CO13:CO29)</f>
        <v/>
      </c>
      <c r="CP30" s="286">
        <f>SUM(CP13:CP29)</f>
        <v/>
      </c>
      <c r="CQ30" s="286">
        <f>SUM(CQ13:CQ29)</f>
        <v/>
      </c>
      <c r="CR30" s="286">
        <f>SUM(CR13:CR29)</f>
        <v/>
      </c>
      <c r="CS30" s="286">
        <f>SUM(CS13:CS29)</f>
        <v/>
      </c>
      <c r="CT30" s="286">
        <f>SUM(CT13:CT29)</f>
        <v/>
      </c>
      <c r="CU30" s="286">
        <f>SUM(CU13:CU29)</f>
        <v/>
      </c>
      <c r="CV30" s="286">
        <f>SUM(CV13:CV29)</f>
        <v/>
      </c>
      <c r="CW30" s="286">
        <f>SUM(CW13:CW29)</f>
        <v/>
      </c>
      <c r="CX30" s="286">
        <f>SUM(CX13:CX29)</f>
        <v/>
      </c>
      <c r="CY30" s="286">
        <f>SUM(CY13:CY29)</f>
        <v/>
      </c>
      <c r="CZ30" s="286">
        <f>SUM(CZ13:CZ29)</f>
        <v/>
      </c>
      <c r="DA30" s="286">
        <f>SUM(DA13:DA29)</f>
        <v/>
      </c>
      <c r="DB30" s="286">
        <f>SUM(DB13:DB29)</f>
        <v/>
      </c>
    </row>
    <row r="31" ht="18.6" customFormat="1" customHeight="1" s="1">
      <c r="B31" s="26" t="n"/>
      <c r="G31" s="180" t="n"/>
      <c r="H31" s="180" t="n"/>
      <c r="J31" s="34" t="n"/>
      <c r="L31" s="34" t="n"/>
      <c r="N31" s="34" t="n"/>
      <c r="P31" s="34" t="n"/>
      <c r="R31" s="34" t="n"/>
      <c r="T31" s="34" t="n"/>
      <c r="V31" s="34" t="n"/>
      <c r="X31" s="34" t="n"/>
      <c r="Z31" s="34" t="n"/>
      <c r="AB31" s="34" t="n"/>
      <c r="AD31" s="34" t="n"/>
      <c r="AF31" s="34" t="n"/>
      <c r="AI31" s="180" t="n"/>
      <c r="AK31" s="287">
        <f>IFERROR(AK30/AJ30,0)</f>
        <v/>
      </c>
      <c r="AM31" s="287">
        <f>IFERROR(AM30/AL30,0)</f>
        <v/>
      </c>
      <c r="AO31" s="287">
        <f>IFERROR(AO30/AN30,0)</f>
        <v/>
      </c>
      <c r="AQ31" s="287">
        <f>IFERROR(AQ30/AP30,0)</f>
        <v/>
      </c>
      <c r="AS31" s="287">
        <f>IFERROR(AS30/AR30,0)</f>
        <v/>
      </c>
      <c r="AU31" s="287">
        <f>IFERROR(AU30/AT30,0)</f>
        <v/>
      </c>
      <c r="AW31" s="287">
        <f>IFERROR(AW30/AV30,0)</f>
        <v/>
      </c>
      <c r="AY31" s="287">
        <f>IFERROR(AY30/AX30,0)</f>
        <v/>
      </c>
      <c r="BA31" s="287">
        <f>IFERROR(BA30/AZ30,0)</f>
        <v/>
      </c>
      <c r="BC31" s="287">
        <f>IFERROR(BC30/BB30,0)</f>
        <v/>
      </c>
      <c r="BE31" s="287">
        <f>IFERROR(BE30/BD30,0)</f>
        <v/>
      </c>
      <c r="BG31" s="287">
        <f>IFERROR(BG30/BF30,0)</f>
        <v/>
      </c>
    </row>
    <row r="32" ht="18.95" customFormat="1" customHeight="1" s="1" thickBot="1">
      <c r="B32" s="26" t="n"/>
      <c r="G32" s="180" t="n"/>
      <c r="H32" s="180" t="n"/>
      <c r="J32" s="180" t="n"/>
      <c r="L32" s="180" t="n"/>
      <c r="N32" s="180" t="n"/>
      <c r="P32" s="180" t="n"/>
      <c r="R32" s="180" t="n"/>
      <c r="T32" s="180" t="n"/>
      <c r="V32" s="180" t="n"/>
      <c r="X32" s="180" t="n"/>
      <c r="Z32" s="180" t="n"/>
      <c r="AB32" s="180" t="n"/>
      <c r="AD32" s="180" t="n"/>
      <c r="AF32" s="180" t="n"/>
      <c r="AI32" s="180" t="n"/>
      <c r="AK32" s="115" t="n"/>
      <c r="AM32" s="115" t="n"/>
      <c r="AO32" s="115" t="n"/>
      <c r="AQ32" s="115" t="n"/>
      <c r="AS32" s="115" t="n"/>
      <c r="AU32" s="115" t="n"/>
      <c r="AW32" s="115" t="n"/>
      <c r="AY32" s="115" t="n"/>
      <c r="BA32" s="115" t="n"/>
      <c r="BC32" s="115" t="n"/>
      <c r="BE32" s="115" t="n"/>
      <c r="BG32" s="115" t="n"/>
    </row>
    <row r="33" customFormat="1" s="1">
      <c r="B33" s="202" t="n"/>
    </row>
    <row r="34" ht="15" customFormat="1" customHeight="1" s="1" thickBot="1">
      <c r="B34" s="260" t="n"/>
    </row>
    <row r="35" ht="15" customFormat="1" customHeight="1" s="1" thickBot="1">
      <c r="A35" s="11" t="n"/>
      <c r="B35" s="11" t="n"/>
      <c r="C35" s="11" t="n"/>
      <c r="D35" s="288" t="inlineStr">
        <is>
          <t>[2026 - 2027]</t>
        </is>
      </c>
      <c r="F35" s="11" t="n"/>
      <c r="G35" s="288" t="inlineStr">
        <is>
          <t>[2026]</t>
        </is>
      </c>
      <c r="I35" s="203" t="n"/>
      <c r="J35" s="203" t="n"/>
      <c r="K35" s="203" t="n"/>
      <c r="L35" s="203" t="n"/>
      <c r="M35" s="203" t="n"/>
      <c r="N35" s="203" t="n"/>
      <c r="O35" s="203" t="n"/>
      <c r="P35" s="203" t="n"/>
      <c r="Q35" s="203" t="n"/>
      <c r="R35" s="203" t="n"/>
      <c r="S35" s="203" t="n"/>
      <c r="T35" s="203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1" t="n"/>
      <c r="AH35" s="289" t="inlineStr">
        <is>
          <t>[2027]</t>
        </is>
      </c>
      <c r="AI35" s="264" t="n"/>
      <c r="AJ35" s="203" t="n"/>
      <c r="AK35" s="203" t="n"/>
      <c r="AL35" s="203" t="n"/>
      <c r="AM35" s="203" t="n"/>
      <c r="AN35" s="203" t="n"/>
      <c r="AO35" s="203" t="n"/>
      <c r="AP35" s="203" t="n"/>
      <c r="AQ35" s="203" t="n"/>
      <c r="AR35" s="203" t="n"/>
      <c r="AS35" s="203" t="n"/>
      <c r="AT35" s="203" t="n"/>
      <c r="AU35" s="203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n"/>
      <c r="CD35" s="37" t="n"/>
      <c r="CE35" s="11" t="n"/>
      <c r="CF35" s="11" t="n"/>
      <c r="CG35" s="11" t="n"/>
      <c r="CH35" s="11" t="n"/>
      <c r="CI35" s="11" t="n"/>
      <c r="CJ35" s="11" t="n"/>
      <c r="CK35" s="11" t="n"/>
      <c r="CL35" s="11" t="n"/>
      <c r="CM35" s="11" t="n"/>
      <c r="CN35" s="11" t="n"/>
      <c r="CO35" s="11" t="n"/>
      <c r="CP35" s="11" t="n"/>
      <c r="CQ35" s="11" t="n"/>
      <c r="CR35" s="11" t="n"/>
      <c r="CS35" s="11" t="n"/>
      <c r="CT35" s="11" t="n"/>
      <c r="CU35" s="11" t="n"/>
      <c r="CV35" s="11" t="n"/>
      <c r="CW35" s="11" t="n"/>
      <c r="CX35" s="11" t="n"/>
      <c r="CY35" s="11" t="n"/>
      <c r="CZ35" s="11" t="n"/>
      <c r="DA35" s="11" t="n"/>
      <c r="DB35" s="11" t="n"/>
      <c r="DC35" s="11" t="n"/>
    </row>
    <row r="36" ht="18.6" customFormat="1" customHeight="1" s="1">
      <c r="B36" s="290" t="inlineStr">
        <is>
          <t>Business Resource cost by WS/PH</t>
        </is>
      </c>
      <c r="C36" s="290" t="inlineStr">
        <is>
          <t>Business/IT</t>
        </is>
      </c>
      <c r="D36" s="290" t="inlineStr">
        <is>
          <t>Program LE</t>
        </is>
      </c>
      <c r="E36" s="290" t="inlineStr">
        <is>
          <t>Program YTD Actual</t>
        </is>
      </c>
      <c r="G36" s="290" t="inlineStr">
        <is>
          <t>LE</t>
        </is>
      </c>
      <c r="H36" s="290" t="inlineStr">
        <is>
          <t>Actual</t>
        </is>
      </c>
      <c r="I36" s="291" t="n">
        <v>46023</v>
      </c>
      <c r="J36" s="267" t="n"/>
      <c r="K36" s="291" t="n">
        <v>46054</v>
      </c>
      <c r="L36" s="267" t="n"/>
      <c r="M36" s="291" t="n">
        <v>46082</v>
      </c>
      <c r="N36" s="267" t="n"/>
      <c r="O36" s="291" t="n">
        <v>46113</v>
      </c>
      <c r="P36" s="267" t="n"/>
      <c r="Q36" s="291" t="n">
        <v>46143</v>
      </c>
      <c r="R36" s="267" t="n"/>
      <c r="S36" s="291" t="n">
        <v>46174</v>
      </c>
      <c r="T36" s="267" t="n"/>
      <c r="U36" s="291" t="n">
        <v>46204</v>
      </c>
      <c r="V36" s="267" t="n"/>
      <c r="W36" s="291" t="n">
        <v>46235</v>
      </c>
      <c r="X36" s="267" t="n"/>
      <c r="Y36" s="291" t="n">
        <v>46266</v>
      </c>
      <c r="Z36" s="267" t="n"/>
      <c r="AA36" s="291" t="n">
        <v>46296</v>
      </c>
      <c r="AB36" s="267" t="n"/>
      <c r="AC36" s="291" t="n">
        <v>46327</v>
      </c>
      <c r="AD36" s="267" t="n"/>
      <c r="AE36" s="291" t="n">
        <v>46357</v>
      </c>
      <c r="AF36" s="267" t="n"/>
      <c r="AH36" s="290" t="inlineStr">
        <is>
          <t>LE</t>
        </is>
      </c>
      <c r="AI36" s="290" t="inlineStr">
        <is>
          <t>Actual</t>
        </is>
      </c>
      <c r="AJ36" s="291" t="n">
        <v>46388</v>
      </c>
      <c r="AK36" s="267" t="n"/>
      <c r="AL36" s="291" t="n">
        <v>46419</v>
      </c>
      <c r="AM36" s="267" t="n"/>
      <c r="AN36" s="291" t="n">
        <v>46447</v>
      </c>
      <c r="AO36" s="267" t="n"/>
      <c r="AP36" s="291" t="n">
        <v>46478</v>
      </c>
      <c r="AQ36" s="267" t="n"/>
      <c r="AR36" s="291" t="n">
        <v>46508</v>
      </c>
      <c r="AS36" s="267" t="n"/>
      <c r="AT36" s="291" t="n">
        <v>46539</v>
      </c>
      <c r="AU36" s="267" t="n"/>
      <c r="AV36" s="291" t="n">
        <v>46569</v>
      </c>
      <c r="AW36" s="267" t="n"/>
      <c r="AX36" s="291" t="n">
        <v>46600</v>
      </c>
      <c r="AY36" s="267" t="n"/>
      <c r="AZ36" s="291" t="n">
        <v>46631</v>
      </c>
      <c r="BA36" s="267" t="n"/>
      <c r="BB36" s="291" t="n">
        <v>46661</v>
      </c>
      <c r="BC36" s="267" t="n"/>
      <c r="BD36" s="291" t="n">
        <v>46692</v>
      </c>
      <c r="BE36" s="267" t="n"/>
      <c r="BF36" s="291" t="n">
        <v>46722</v>
      </c>
      <c r="BG36" s="267" t="n"/>
      <c r="CD36" s="290" t="inlineStr">
        <is>
          <t>GIP</t>
        </is>
      </c>
      <c r="CE36" s="292" t="n">
        <v>46023</v>
      </c>
      <c r="CF36" s="292" t="n">
        <v>46054</v>
      </c>
      <c r="CG36" s="292" t="n">
        <v>46082</v>
      </c>
      <c r="CH36" s="292" t="n">
        <v>46113</v>
      </c>
      <c r="CI36" s="292" t="n">
        <v>46143</v>
      </c>
      <c r="CJ36" s="292" t="n">
        <v>46174</v>
      </c>
      <c r="CK36" s="292" t="n">
        <v>46204</v>
      </c>
      <c r="CL36" s="292" t="n">
        <v>46235</v>
      </c>
      <c r="CM36" s="292" t="n">
        <v>46266</v>
      </c>
      <c r="CN36" s="292" t="n">
        <v>46296</v>
      </c>
      <c r="CO36" s="292" t="n">
        <v>46327</v>
      </c>
      <c r="CP36" s="292" t="n">
        <v>46357</v>
      </c>
      <c r="CQ36" s="292" t="n">
        <v>46388</v>
      </c>
      <c r="CR36" s="292" t="n">
        <v>46419</v>
      </c>
      <c r="CS36" s="292" t="n">
        <v>46447</v>
      </c>
      <c r="CT36" s="292" t="n">
        <v>46478</v>
      </c>
      <c r="CU36" s="292" t="n">
        <v>46508</v>
      </c>
      <c r="CV36" s="292" t="n">
        <v>46539</v>
      </c>
      <c r="CW36" s="292" t="n">
        <v>46569</v>
      </c>
      <c r="CX36" s="292" t="n">
        <v>46600</v>
      </c>
      <c r="CY36" s="292" t="n">
        <v>46631</v>
      </c>
      <c r="CZ36" s="292" t="n">
        <v>46661</v>
      </c>
      <c r="DA36" s="292" t="n">
        <v>46692</v>
      </c>
      <c r="DB36" s="292" t="n">
        <v>46722</v>
      </c>
    </row>
    <row r="37" ht="18.6" customFormat="1" customHeight="1" s="1">
      <c r="A37" s="2" t="n"/>
      <c r="B37" s="260" t="n"/>
      <c r="C37" s="260" t="n"/>
      <c r="D37" s="260" t="n"/>
      <c r="E37" s="260" t="n"/>
      <c r="F37" s="19" t="n"/>
      <c r="G37" s="260" t="n"/>
      <c r="H37" s="260" t="n"/>
      <c r="I37" s="293" t="inlineStr">
        <is>
          <t>Plan</t>
        </is>
      </c>
      <c r="J37" s="293" t="inlineStr">
        <is>
          <t>Actual</t>
        </is>
      </c>
      <c r="K37" s="293" t="inlineStr">
        <is>
          <t>Plan</t>
        </is>
      </c>
      <c r="L37" s="293" t="inlineStr">
        <is>
          <t>Actual</t>
        </is>
      </c>
      <c r="M37" s="293" t="inlineStr">
        <is>
          <t>Plan</t>
        </is>
      </c>
      <c r="N37" s="293" t="inlineStr">
        <is>
          <t>Actual</t>
        </is>
      </c>
      <c r="O37" s="293" t="inlineStr">
        <is>
          <t>Plan</t>
        </is>
      </c>
      <c r="P37" s="293" t="inlineStr">
        <is>
          <t>Actual</t>
        </is>
      </c>
      <c r="Q37" s="293" t="inlineStr">
        <is>
          <t>Plan</t>
        </is>
      </c>
      <c r="R37" s="293" t="inlineStr">
        <is>
          <t>Actual</t>
        </is>
      </c>
      <c r="S37" s="293" t="inlineStr">
        <is>
          <t>Plan</t>
        </is>
      </c>
      <c r="T37" s="293" t="inlineStr">
        <is>
          <t>Actual</t>
        </is>
      </c>
      <c r="U37" s="293" t="inlineStr">
        <is>
          <t>Plan</t>
        </is>
      </c>
      <c r="V37" s="293" t="inlineStr">
        <is>
          <t>Actual</t>
        </is>
      </c>
      <c r="W37" s="293" t="inlineStr">
        <is>
          <t>Plan</t>
        </is>
      </c>
      <c r="X37" s="293" t="inlineStr">
        <is>
          <t>Actual</t>
        </is>
      </c>
      <c r="Y37" s="293" t="inlineStr">
        <is>
          <t>Plan</t>
        </is>
      </c>
      <c r="Z37" s="293" t="inlineStr">
        <is>
          <t>Actual</t>
        </is>
      </c>
      <c r="AA37" s="293" t="inlineStr">
        <is>
          <t>Plan</t>
        </is>
      </c>
      <c r="AB37" s="293" t="inlineStr">
        <is>
          <t>Actual</t>
        </is>
      </c>
      <c r="AC37" s="293" t="inlineStr">
        <is>
          <t>Plan</t>
        </is>
      </c>
      <c r="AD37" s="293" t="inlineStr">
        <is>
          <t>Actual</t>
        </is>
      </c>
      <c r="AE37" s="293" t="inlineStr">
        <is>
          <t>Plan</t>
        </is>
      </c>
      <c r="AF37" s="293" t="inlineStr">
        <is>
          <t>Actual</t>
        </is>
      </c>
      <c r="AG37" s="19" t="n"/>
      <c r="AH37" s="260" t="n"/>
      <c r="AI37" s="260" t="n"/>
      <c r="AJ37" s="293" t="inlineStr">
        <is>
          <t>Plan</t>
        </is>
      </c>
      <c r="AK37" s="293">
        <f>IF(AJ36&lt;=$B$5,"Actual","")</f>
        <v/>
      </c>
      <c r="AL37" s="293" t="inlineStr">
        <is>
          <t>Plan</t>
        </is>
      </c>
      <c r="AM37" s="293">
        <f>IF(AL36&lt;=$B$5,"Actual","")</f>
        <v/>
      </c>
      <c r="AN37" s="293" t="inlineStr">
        <is>
          <t>Plan</t>
        </is>
      </c>
      <c r="AO37" s="293">
        <f>IF(AN36&lt;=$B$5,"Actual","")</f>
        <v/>
      </c>
      <c r="AP37" s="293" t="inlineStr">
        <is>
          <t>Plan</t>
        </is>
      </c>
      <c r="AQ37" s="293">
        <f>IF(AP36&lt;=$B$5,"Actual","")</f>
        <v/>
      </c>
      <c r="AR37" s="293" t="inlineStr">
        <is>
          <t>Plan</t>
        </is>
      </c>
      <c r="AS37" s="293">
        <f>IF(AR36&lt;=$B$5,"Actual","")</f>
        <v/>
      </c>
      <c r="AT37" s="293" t="inlineStr">
        <is>
          <t>Plan</t>
        </is>
      </c>
      <c r="AU37" s="293">
        <f>IF(AT36&lt;=$B$5,"Actual","")</f>
        <v/>
      </c>
      <c r="AV37" s="293" t="inlineStr">
        <is>
          <t>Plan</t>
        </is>
      </c>
      <c r="AW37" s="293">
        <f>IF(AV36&lt;=$B$5,"Actual","")</f>
        <v/>
      </c>
      <c r="AX37" s="293" t="inlineStr">
        <is>
          <t>Plan</t>
        </is>
      </c>
      <c r="AY37" s="293">
        <f>IF(AX36&lt;=$B$5,"Actual","")</f>
        <v/>
      </c>
      <c r="AZ37" s="293" t="inlineStr">
        <is>
          <t>Plan</t>
        </is>
      </c>
      <c r="BA37" s="293">
        <f>IF(AZ36&lt;=$B$5,"Actual","")</f>
        <v/>
      </c>
      <c r="BB37" s="293" t="inlineStr">
        <is>
          <t>Plan</t>
        </is>
      </c>
      <c r="BC37" s="293">
        <f>IF(BB36&lt;=$B$5,"Actual","")</f>
        <v/>
      </c>
      <c r="BD37" s="293" t="inlineStr">
        <is>
          <t>Plan</t>
        </is>
      </c>
      <c r="BE37" s="293">
        <f>IF(BD36&lt;=$B$5,"Actual","")</f>
        <v/>
      </c>
      <c r="BF37" s="293" t="inlineStr">
        <is>
          <t>Plan</t>
        </is>
      </c>
      <c r="BG37" s="293">
        <f>IF(BF36&lt;=$B$5,"Actual","")</f>
        <v/>
      </c>
      <c r="BH37" s="19" t="n"/>
      <c r="BI37" s="19" t="n"/>
      <c r="BJ37" s="19" t="n"/>
      <c r="BK37" s="19" t="n"/>
      <c r="BL37" s="19" t="n"/>
      <c r="BM37" s="19" t="n"/>
      <c r="BN37" s="19" t="n"/>
      <c r="BO37" s="19" t="n"/>
      <c r="BP37" s="19" t="n"/>
      <c r="BQ37" s="19" t="n"/>
      <c r="BR37" s="19" t="n"/>
      <c r="BS37" s="19" t="n"/>
      <c r="BT37" s="19" t="n"/>
      <c r="BU37" s="19" t="n"/>
      <c r="BV37" s="19" t="n"/>
      <c r="BW37" s="19" t="n"/>
      <c r="BX37" s="19" t="n"/>
      <c r="BY37" s="19" t="n"/>
      <c r="BZ37" s="19" t="n"/>
      <c r="CA37" s="19" t="n"/>
      <c r="CB37" s="19" t="n"/>
      <c r="CC37" s="19" t="n"/>
      <c r="CD37" s="260" t="n"/>
      <c r="CE37" s="270" t="n"/>
      <c r="CF37" s="270" t="n"/>
      <c r="CG37" s="270" t="n"/>
      <c r="CH37" s="270" t="n"/>
      <c r="CI37" s="270" t="n"/>
      <c r="CJ37" s="270" t="n"/>
      <c r="CK37" s="270" t="n"/>
      <c r="CL37" s="270" t="n"/>
      <c r="CM37" s="270" t="n"/>
      <c r="CN37" s="270" t="n"/>
      <c r="CO37" s="270" t="n"/>
      <c r="CP37" s="270" t="n"/>
      <c r="CQ37" s="270" t="n"/>
      <c r="CR37" s="270" t="n"/>
      <c r="CS37" s="270" t="n"/>
      <c r="CT37" s="270" t="n"/>
      <c r="CU37" s="270" t="n"/>
      <c r="CV37" s="270" t="n"/>
      <c r="CW37" s="270" t="n"/>
      <c r="CX37" s="270" t="n"/>
      <c r="CY37" s="270" t="n"/>
      <c r="CZ37" s="270" t="n"/>
      <c r="DA37" s="270" t="n"/>
      <c r="DB37" s="270" t="n"/>
      <c r="DC37" s="2" t="n"/>
    </row>
    <row r="38" ht="18.6" customFormat="1" customHeight="1" s="1">
      <c r="B38" s="277" t="inlineStr">
        <is>
          <t>Program Management</t>
        </is>
      </c>
      <c r="C38" s="278" t="inlineStr">
        <is>
          <t>Business</t>
        </is>
      </c>
      <c r="D38" s="279">
        <f>SUM(G38,AH38)</f>
        <v/>
      </c>
      <c r="E38" s="279">
        <f>SUM(H38,AI38)</f>
        <v/>
      </c>
      <c r="G38" s="279">
        <f>SUMIF($I$12:$AF$12,"Plan",I38:AF38)/1000000</f>
        <v/>
      </c>
      <c r="H38" s="279">
        <f>SUMIF($I$12:$AF$12,"Actual",I38:AF38)/1000000</f>
        <v/>
      </c>
      <c r="I38" s="280">
        <f>SUMIF(Table410[Workstream],'$ Dashboard'!B38,Table410[Jan_2026_F])</f>
        <v/>
      </c>
      <c r="J38" s="280">
        <f>SUMIF(Table410[Workstream],'$ Dashboard'!B38,Table410[Jan_2026_A])</f>
        <v/>
      </c>
      <c r="K38" s="280">
        <f>SUMIF(Table410[Workstream],'$ Dashboard'!B38,Table410[Feb_2026_F])</f>
        <v/>
      </c>
      <c r="L38" s="280">
        <f>SUMIF(Table410[Workstream],'$ Dashboard'!B38,Table410[Feb_2026_A])</f>
        <v/>
      </c>
      <c r="M38" s="280">
        <f>SUMIF(Table410[Workstream],'$ Dashboard'!B38,Table410[Mar_2026_F])</f>
        <v/>
      </c>
      <c r="N38" s="280">
        <f>SUMIF(Table410[Workstream],'$ Dashboard'!B38,Table410[Mar_2026_A])</f>
        <v/>
      </c>
      <c r="O38" s="280">
        <f>SUMIF(Table410[Workstream],'$ Dashboard'!B38,Table410[Apr_2026_F])</f>
        <v/>
      </c>
      <c r="P38" s="280">
        <f>SUMIF(Table410[Workstream],'$ Dashboard'!B38,Table410[Apr_2026_A])</f>
        <v/>
      </c>
      <c r="Q38" s="280">
        <f>SUMIF(Table410[Workstream],'$ Dashboard'!B38,Table410[May_2026_F])</f>
        <v/>
      </c>
      <c r="R38" s="280">
        <f>SUMIF(Table410[Workstream],'$ Dashboard'!B38,Table410[May_2026_A])</f>
        <v/>
      </c>
      <c r="S38" s="280">
        <f>SUMIF(Table410[Workstream],'$ Dashboard'!B38,Table410[Jun_2026_F])</f>
        <v/>
      </c>
      <c r="T38" s="280">
        <f>SUMIF(Table410[Workstream],'$ Dashboard'!B38,Table410[Jun_2026_A])</f>
        <v/>
      </c>
      <c r="U38" s="280">
        <f>SUMIF(Table410[Workstream],'$ Dashboard'!B38,Table410[Jul_2026_F])</f>
        <v/>
      </c>
      <c r="V38" s="280">
        <f>SUMIF(Table410[Workstream],'$ Dashboard'!B38,Table410[Jul_2026_A])</f>
        <v/>
      </c>
      <c r="W38" s="280">
        <f>SUMIF(Table410[Workstream],'$ Dashboard'!B38,Table410[Aug_2026_F])</f>
        <v/>
      </c>
      <c r="X38" s="280">
        <f>SUMIF(Table410[Workstream],'$ Dashboard'!B38,Table410[Aug_2026_A])</f>
        <v/>
      </c>
      <c r="Y38" s="280">
        <f>SUMIF(Table410[Workstream],'$ Dashboard'!B38,Table410[Sep_2026_F])</f>
        <v/>
      </c>
      <c r="Z38" s="280">
        <f>SUMIF(Table410[Workstream],'$ Dashboard'!B38,Table410[Sep_2026_A])</f>
        <v/>
      </c>
      <c r="AA38" s="280">
        <f>SUMIF(Table410[Workstream],'$ Dashboard'!B38,Table410[Oct_2026_F])</f>
        <v/>
      </c>
      <c r="AB38" s="280">
        <f>SUMIF(Table410[Workstream],'$ Dashboard'!B38,Table410[Oct_2026_A])</f>
        <v/>
      </c>
      <c r="AC38" s="280">
        <f>SUMIF(Table410[Workstream],'$ Dashboard'!B38,Table410[Nov_2026_F])</f>
        <v/>
      </c>
      <c r="AD38" s="280">
        <f>SUMIF(Table410[Workstream],'$ Dashboard'!B38,Table410[Nov_2026_A])</f>
        <v/>
      </c>
      <c r="AE38" s="280">
        <f>SUMIF(Table410[Workstream],'$ Dashboard'!B38,Table410[Dec_2026_F])</f>
        <v/>
      </c>
      <c r="AF38" s="280">
        <f>SUMIF(Table410[Workstream],'$ Dashboard'!B38,Table410[Dec_2026_A])+SUMIF(Table46[Workstream],'$ Dashboard'!B38,Table46[Dec_26_A])</f>
        <v/>
      </c>
      <c r="AH38" s="279">
        <f>SUM(AW38:BG38)/1000000</f>
        <v/>
      </c>
      <c r="AI38" s="279">
        <f>SUMIF($AJ$12:$BG$12,"Actual",AJ38:BG38)/1000000</f>
        <v/>
      </c>
      <c r="AJ38" s="274" t="n"/>
      <c r="AK38" s="274" t="n"/>
      <c r="AL38" s="274" t="n"/>
      <c r="AM38" s="274" t="n"/>
      <c r="AN38" s="274" t="n"/>
      <c r="AO38" s="274" t="n"/>
      <c r="AP38" s="274" t="n"/>
      <c r="AQ38" s="274" t="n"/>
      <c r="AR38" s="274" t="n"/>
      <c r="AS38" s="274" t="n"/>
      <c r="AT38" s="274" t="n"/>
      <c r="AU38" s="274" t="n"/>
      <c r="AV38" s="274" t="n"/>
      <c r="AW38" s="274" t="n"/>
      <c r="AX38" s="274" t="n"/>
      <c r="AY38" s="274" t="n"/>
      <c r="AZ38" s="274" t="n"/>
      <c r="BA38" s="274" t="n"/>
      <c r="BB38" s="274" t="n"/>
      <c r="BC38" s="274" t="n"/>
      <c r="BD38" s="274" t="n"/>
      <c r="BE38" s="274" t="n"/>
      <c r="BF38" s="274" t="n"/>
      <c r="BG38" s="274" t="n"/>
      <c r="BI38" s="275" t="n"/>
      <c r="BJ38" s="275" t="n"/>
      <c r="BK38" s="275" t="n"/>
      <c r="BL38" s="275" t="n"/>
      <c r="BM38" s="275" t="n"/>
      <c r="BN38" s="275" t="n"/>
      <c r="BO38" s="275" t="n"/>
      <c r="BP38" s="275" t="n"/>
      <c r="BQ38" s="275" t="n"/>
      <c r="BR38" s="275" t="n"/>
      <c r="BS38" s="275" t="n"/>
      <c r="BT38" s="275" t="n"/>
      <c r="BU38" s="275" t="n"/>
      <c r="BV38" s="275" t="n"/>
      <c r="BW38" s="275" t="n"/>
      <c r="BX38" s="275" t="n"/>
      <c r="BY38" s="275" t="n"/>
      <c r="BZ38" s="275" t="n"/>
      <c r="CA38" s="275" t="n"/>
      <c r="CB38" s="275" t="n"/>
      <c r="CC38" s="275" t="n"/>
      <c r="CD38" s="279">
        <f>SUM(CE38:DB38)/1000000</f>
        <v/>
      </c>
      <c r="CE38" s="276" t="n"/>
      <c r="CF38" s="276" t="n"/>
      <c r="CG38" s="276" t="n"/>
      <c r="CH38" s="276" t="n"/>
      <c r="CI38" s="276" t="n"/>
      <c r="CJ38" s="276" t="n"/>
      <c r="CK38" s="276" t="n"/>
      <c r="CL38" s="276" t="n"/>
      <c r="CM38" s="276" t="n"/>
      <c r="CN38" s="276" t="n"/>
      <c r="CO38" s="276" t="n"/>
      <c r="CP38" s="276" t="n"/>
      <c r="CQ38" s="276" t="n"/>
      <c r="CR38" s="276" t="n"/>
      <c r="CS38" s="276" t="n"/>
      <c r="CT38" s="276" t="n"/>
      <c r="CU38" s="276" t="n"/>
      <c r="CV38" s="276" t="n"/>
      <c r="CW38" s="276" t="n"/>
      <c r="CX38" s="276" t="n"/>
      <c r="CY38" s="276" t="n"/>
      <c r="CZ38" s="276" t="n"/>
      <c r="DA38" s="276" t="n"/>
      <c r="DB38" s="276" t="n"/>
    </row>
    <row r="39" ht="18.6" customFormat="1" customHeight="1" s="1">
      <c r="B39" s="281" t="inlineStr">
        <is>
          <t>Prosmar Crude</t>
        </is>
      </c>
      <c r="C39" s="259" t="inlineStr">
        <is>
          <t>Business</t>
        </is>
      </c>
      <c r="D39" s="272">
        <f>SUM(G39,AH39)</f>
        <v/>
      </c>
      <c r="E39" s="272">
        <f>SUM(H39,AI39)</f>
        <v/>
      </c>
      <c r="G39" s="272">
        <f>SUMIF($I$12:$AF$12,"Plan",I39:AF39)/1000000</f>
        <v/>
      </c>
      <c r="H39" s="272">
        <f>SUMIF($I$12:$AF$12,"Actual",I39:AF39)/1000000</f>
        <v/>
      </c>
      <c r="I39" s="273">
        <f>SUMIF(Table410[Workstream],'$ Dashboard'!B39,Table410[Jan_2026_F])</f>
        <v/>
      </c>
      <c r="J39" s="273">
        <f>SUMIF(Table410[Workstream],'$ Dashboard'!B39,Table410[Jan_2026_A])</f>
        <v/>
      </c>
      <c r="K39" s="273">
        <f>SUMIF(Table410[Workstream],'$ Dashboard'!B39,Table410[Feb_2026_F])</f>
        <v/>
      </c>
      <c r="L39" s="273">
        <f>SUMIF(Table410[Workstream],'$ Dashboard'!B39,Table410[Feb_2026_A])</f>
        <v/>
      </c>
      <c r="M39" s="273">
        <f>SUMIF(Table410[Workstream],'$ Dashboard'!B39,Table410[Mar_2026_F])</f>
        <v/>
      </c>
      <c r="N39" s="273">
        <f>SUMIF(Table410[Workstream],'$ Dashboard'!B39,Table410[Mar_2026_A])</f>
        <v/>
      </c>
      <c r="O39" s="273">
        <f>SUMIF(Table410[Workstream],'$ Dashboard'!B39,Table410[Apr_2026_F])</f>
        <v/>
      </c>
      <c r="P39" s="273">
        <f>SUMIF(Table410[Workstream],'$ Dashboard'!B39,Table410[Apr_2026_A])</f>
        <v/>
      </c>
      <c r="Q39" s="273">
        <f>SUMIF(Table410[Workstream],'$ Dashboard'!B39,Table410[May_2026_F])</f>
        <v/>
      </c>
      <c r="R39" s="273">
        <f>SUMIF(Table410[Workstream],'$ Dashboard'!B39,Table410[May_2026_A])</f>
        <v/>
      </c>
      <c r="S39" s="273">
        <f>SUMIF(Table410[Workstream],'$ Dashboard'!B39,Table410[Jun_2026_F])</f>
        <v/>
      </c>
      <c r="T39" s="273">
        <f>SUMIF(Table410[Workstream],'$ Dashboard'!B39,Table410[Jun_2026_A])</f>
        <v/>
      </c>
      <c r="U39" s="273">
        <f>SUMIF(Table410[Workstream],'$ Dashboard'!B39,Table410[Jul_2026_F])</f>
        <v/>
      </c>
      <c r="V39" s="273">
        <f>SUMIF(Table410[Workstream],'$ Dashboard'!B39,Table410[Jul_2026_A])</f>
        <v/>
      </c>
      <c r="W39" s="273">
        <f>SUMIF(Table410[Workstream],'$ Dashboard'!B39,Table410[Aug_2026_F])</f>
        <v/>
      </c>
      <c r="X39" s="273">
        <f>SUMIF(Table410[Workstream],'$ Dashboard'!B39,Table410[Aug_2026_A])</f>
        <v/>
      </c>
      <c r="Y39" s="273">
        <f>SUMIF(Table410[Workstream],'$ Dashboard'!B39,Table410[Sep_2026_F])</f>
        <v/>
      </c>
      <c r="Z39" s="273">
        <f>SUMIF(Table410[Workstream],'$ Dashboard'!B39,Table410[Sep_2026_A])</f>
        <v/>
      </c>
      <c r="AA39" s="273">
        <f>SUMIF(Table410[Workstream],'$ Dashboard'!B39,Table410[Oct_2026_F])</f>
        <v/>
      </c>
      <c r="AB39" s="273">
        <f>SUMIF(Table410[Workstream],'$ Dashboard'!B39,Table410[Oct_2026_A])</f>
        <v/>
      </c>
      <c r="AC39" s="273">
        <f>SUMIF(Table410[Workstream],'$ Dashboard'!B39,Table410[Nov_2026_F])</f>
        <v/>
      </c>
      <c r="AD39" s="273">
        <f>SUMIF(Table410[Workstream],'$ Dashboard'!B39,Table410[Nov_2026_A])</f>
        <v/>
      </c>
      <c r="AE39" s="273">
        <f>SUMIF(Table410[Workstream],'$ Dashboard'!B39,Table410[Dec_2026_F])</f>
        <v/>
      </c>
      <c r="AF39" s="273">
        <f>SUMIF(Table410[Workstream],'$ Dashboard'!B39,Table410[Dec_2026_A])+SUMIF(Table46[Workstream],'$ Dashboard'!B39,Table46[Dec_26_A])</f>
        <v/>
      </c>
      <c r="AH39" s="272">
        <f>SUM(AW39:BG39)/1000000</f>
        <v/>
      </c>
      <c r="AI39" s="272">
        <f>SUMIF($AJ$12:$BG$12,"Actual",AJ39:BG39)/1000000</f>
        <v/>
      </c>
      <c r="AJ39" s="274" t="n"/>
      <c r="AK39" s="274" t="n"/>
      <c r="AL39" s="274" t="n"/>
      <c r="AM39" s="274" t="n"/>
      <c r="AN39" s="274" t="n"/>
      <c r="AO39" s="274" t="n"/>
      <c r="AP39" s="274" t="n"/>
      <c r="AQ39" s="274" t="n"/>
      <c r="AR39" s="274" t="n"/>
      <c r="AS39" s="274" t="n"/>
      <c r="AT39" s="274" t="n"/>
      <c r="AU39" s="274" t="n"/>
      <c r="AV39" s="274" t="n"/>
      <c r="AW39" s="274" t="n"/>
      <c r="AX39" s="274" t="n"/>
      <c r="AY39" s="274" t="n"/>
      <c r="AZ39" s="274" t="n"/>
      <c r="BA39" s="274" t="n"/>
      <c r="BB39" s="274" t="n"/>
      <c r="BC39" s="274" t="n"/>
      <c r="BD39" s="274" t="n"/>
      <c r="BE39" s="274" t="n"/>
      <c r="BF39" s="274" t="n"/>
      <c r="BG39" s="274" t="n"/>
      <c r="BI39" s="275" t="n"/>
      <c r="BJ39" s="275" t="n"/>
      <c r="BK39" s="275" t="n"/>
      <c r="BL39" s="275" t="n"/>
      <c r="BM39" s="275" t="n"/>
      <c r="BN39" s="275" t="n"/>
      <c r="BO39" s="275" t="n"/>
      <c r="BP39" s="275" t="n"/>
      <c r="BQ39" s="275" t="n"/>
      <c r="BR39" s="275" t="n"/>
      <c r="BS39" s="275" t="n"/>
      <c r="BT39" s="275" t="n"/>
      <c r="BU39" s="275" t="n"/>
      <c r="BV39" s="275" t="n"/>
      <c r="BW39" s="275" t="n"/>
      <c r="BX39" s="275" t="n"/>
      <c r="BY39" s="275" t="n"/>
      <c r="BZ39" s="275" t="n"/>
      <c r="CA39" s="275" t="n"/>
      <c r="CB39" s="275" t="n"/>
      <c r="CC39" s="275" t="n"/>
      <c r="CD39" s="282" t="n"/>
      <c r="CE39" s="276" t="n"/>
      <c r="CF39" s="276" t="n"/>
      <c r="CG39" s="276" t="n"/>
      <c r="CH39" s="276" t="n"/>
      <c r="CI39" s="276" t="n"/>
      <c r="CJ39" s="276" t="n"/>
      <c r="CK39" s="276" t="n"/>
      <c r="CL39" s="276" t="n"/>
      <c r="CM39" s="276" t="n"/>
      <c r="CN39" s="276" t="n"/>
      <c r="CO39" s="276" t="n"/>
      <c r="CP39" s="276" t="n"/>
      <c r="CQ39" s="276" t="n"/>
      <c r="CR39" s="276" t="n"/>
      <c r="CS39" s="276" t="n"/>
      <c r="CT39" s="276" t="n"/>
      <c r="CU39" s="276" t="n"/>
      <c r="CV39" s="276" t="n"/>
      <c r="CW39" s="276" t="n"/>
      <c r="CX39" s="276" t="n"/>
      <c r="CY39" s="276" t="n"/>
      <c r="CZ39" s="276" t="n"/>
      <c r="DA39" s="276" t="n"/>
      <c r="DB39" s="276" t="n"/>
    </row>
    <row r="40" ht="18.6" customFormat="1" customHeight="1" s="1">
      <c r="B40" s="277" t="inlineStr">
        <is>
          <t>Prosmar Products</t>
        </is>
      </c>
      <c r="C40" s="278" t="inlineStr">
        <is>
          <t>Business</t>
        </is>
      </c>
      <c r="D40" s="279">
        <f>SUM(G40,AH40)</f>
        <v/>
      </c>
      <c r="E40" s="279">
        <f>SUM(H40,AI40)</f>
        <v/>
      </c>
      <c r="G40" s="279">
        <f>SUMIF($I$12:$AF$12,"Plan",I40:AF40)/1000000</f>
        <v/>
      </c>
      <c r="H40" s="279">
        <f>SUMIF($I$12:$AF$12,"Actual",I40:AF40)/1000000</f>
        <v/>
      </c>
      <c r="I40" s="280">
        <f>SUMIF(Table410[Workstream],'$ Dashboard'!B40,Table410[Jan_2026_F])</f>
        <v/>
      </c>
      <c r="J40" s="280">
        <f>SUMIF(Table410[Workstream],'$ Dashboard'!B40,Table410[Jan_2026_A])</f>
        <v/>
      </c>
      <c r="K40" s="280">
        <f>SUMIF(Table410[Workstream],'$ Dashboard'!B40,Table410[Feb_2026_F])</f>
        <v/>
      </c>
      <c r="L40" s="280">
        <f>SUMIF(Table410[Workstream],'$ Dashboard'!B40,Table410[Feb_2026_A])</f>
        <v/>
      </c>
      <c r="M40" s="280">
        <f>SUMIF(Table410[Workstream],'$ Dashboard'!B40,Table410[Mar_2026_F])</f>
        <v/>
      </c>
      <c r="N40" s="280">
        <f>SUMIF(Table410[Workstream],'$ Dashboard'!B40,Table410[Mar_2026_A])</f>
        <v/>
      </c>
      <c r="O40" s="280">
        <f>SUMIF(Table410[Workstream],'$ Dashboard'!B40,Table410[Apr_2026_F])</f>
        <v/>
      </c>
      <c r="P40" s="280">
        <f>SUMIF(Table410[Workstream],'$ Dashboard'!B40,Table410[Apr_2026_A])</f>
        <v/>
      </c>
      <c r="Q40" s="280">
        <f>SUMIF(Table410[Workstream],'$ Dashboard'!B40,Table410[May_2026_F])</f>
        <v/>
      </c>
      <c r="R40" s="280">
        <f>SUMIF(Table410[Workstream],'$ Dashboard'!B40,Table410[May_2026_A])</f>
        <v/>
      </c>
      <c r="S40" s="280">
        <f>SUMIF(Table410[Workstream],'$ Dashboard'!B40,Table410[Jun_2026_F])</f>
        <v/>
      </c>
      <c r="T40" s="280">
        <f>SUMIF(Table410[Workstream],'$ Dashboard'!B40,Table410[Jun_2026_A])</f>
        <v/>
      </c>
      <c r="U40" s="280">
        <f>SUMIF(Table410[Workstream],'$ Dashboard'!B40,Table410[Jul_2026_F])</f>
        <v/>
      </c>
      <c r="V40" s="280">
        <f>SUMIF(Table410[Workstream],'$ Dashboard'!B40,Table410[Jul_2026_A])</f>
        <v/>
      </c>
      <c r="W40" s="280">
        <f>SUMIF(Table410[Workstream],'$ Dashboard'!B40,Table410[Aug_2026_F])</f>
        <v/>
      </c>
      <c r="X40" s="280">
        <f>SUMIF(Table410[Workstream],'$ Dashboard'!B40,Table410[Aug_2026_A])</f>
        <v/>
      </c>
      <c r="Y40" s="280">
        <f>SUMIF(Table410[Workstream],'$ Dashboard'!B40,Table410[Sep_2026_F])</f>
        <v/>
      </c>
      <c r="Z40" s="280">
        <f>SUMIF(Table410[Workstream],'$ Dashboard'!B40,Table410[Sep_2026_A])</f>
        <v/>
      </c>
      <c r="AA40" s="280">
        <f>SUMIF(Table410[Workstream],'$ Dashboard'!B40,Table410[Oct_2026_F])</f>
        <v/>
      </c>
      <c r="AB40" s="280">
        <f>SUMIF(Table410[Workstream],'$ Dashboard'!B40,Table410[Oct_2026_A])</f>
        <v/>
      </c>
      <c r="AC40" s="280">
        <f>SUMIF(Table410[Workstream],'$ Dashboard'!B40,Table410[Nov_2026_F])</f>
        <v/>
      </c>
      <c r="AD40" s="280">
        <f>SUMIF(Table410[Workstream],'$ Dashboard'!B40,Table410[Nov_2026_A])</f>
        <v/>
      </c>
      <c r="AE40" s="280">
        <f>SUMIF(Table410[Workstream],'$ Dashboard'!B40,Table410[Dec_2026_F])</f>
        <v/>
      </c>
      <c r="AF40" s="280">
        <f>SUMIF(Table410[Workstream],'$ Dashboard'!B40,Table410[Dec_2026_A])+SUMIF(Table46[Workstream],'$ Dashboard'!B40,Table46[Dec_26_A])</f>
        <v/>
      </c>
      <c r="AH40" s="279">
        <f>SUM(AW40:BG40)/1000000</f>
        <v/>
      </c>
      <c r="AI40" s="279">
        <f>SUMIF($AJ$12:$BG$12,"Actual",AJ40:BG40)/1000000</f>
        <v/>
      </c>
      <c r="AJ40" s="274" t="n"/>
      <c r="AK40" s="274" t="n"/>
      <c r="AL40" s="274" t="n"/>
      <c r="AM40" s="274" t="n"/>
      <c r="AN40" s="274" t="n"/>
      <c r="AO40" s="274" t="n"/>
      <c r="AP40" s="274" t="n"/>
      <c r="AQ40" s="274" t="n"/>
      <c r="AR40" s="274" t="n"/>
      <c r="AS40" s="274" t="n"/>
      <c r="AT40" s="274" t="n"/>
      <c r="AU40" s="274" t="n"/>
      <c r="AV40" s="274" t="n"/>
      <c r="AW40" s="274" t="n"/>
      <c r="AX40" s="274" t="n"/>
      <c r="AY40" s="274" t="n"/>
      <c r="AZ40" s="274" t="n"/>
      <c r="BA40" s="274" t="n"/>
      <c r="BB40" s="274" t="n"/>
      <c r="BC40" s="274" t="n"/>
      <c r="BD40" s="274" t="n"/>
      <c r="BE40" s="274" t="n"/>
      <c r="BF40" s="274" t="n"/>
      <c r="BG40" s="274" t="n"/>
      <c r="BI40" s="275" t="n"/>
      <c r="BJ40" s="275" t="n"/>
      <c r="BK40" s="275" t="n"/>
      <c r="BL40" s="275" t="n"/>
      <c r="BM40" s="275" t="n"/>
      <c r="BN40" s="275" t="n"/>
      <c r="BO40" s="275" t="n"/>
      <c r="BP40" s="275" t="n"/>
      <c r="BQ40" s="275" t="n"/>
      <c r="BR40" s="275" t="n"/>
      <c r="BS40" s="275" t="n"/>
      <c r="BT40" s="275" t="n"/>
      <c r="BU40" s="275" t="n"/>
      <c r="BV40" s="275" t="n"/>
      <c r="BW40" s="275" t="n"/>
      <c r="BX40" s="275" t="n"/>
      <c r="BY40" s="275" t="n"/>
      <c r="BZ40" s="275" t="n"/>
      <c r="CA40" s="275" t="n"/>
      <c r="CB40" s="275" t="n"/>
      <c r="CC40" s="275" t="n"/>
      <c r="CD40" s="282" t="n"/>
      <c r="CE40" s="276" t="n"/>
      <c r="CF40" s="276" t="n"/>
      <c r="CG40" s="276" t="n"/>
      <c r="CH40" s="276" t="n"/>
      <c r="CI40" s="276" t="n"/>
      <c r="CJ40" s="276" t="n"/>
      <c r="CK40" s="276" t="n"/>
      <c r="CL40" s="276" t="n"/>
      <c r="CM40" s="276" t="n"/>
      <c r="CN40" s="276" t="n"/>
      <c r="CO40" s="276" t="n"/>
      <c r="CP40" s="276" t="n"/>
      <c r="CQ40" s="276" t="n"/>
      <c r="CR40" s="276" t="n"/>
      <c r="CS40" s="276" t="n"/>
      <c r="CT40" s="276" t="n"/>
      <c r="CU40" s="276" t="n"/>
      <c r="CV40" s="276" t="n"/>
      <c r="CW40" s="276" t="n"/>
      <c r="CX40" s="276" t="n"/>
      <c r="CY40" s="276" t="n"/>
      <c r="CZ40" s="276" t="n"/>
      <c r="DA40" s="276" t="n"/>
      <c r="DB40" s="276" t="n"/>
    </row>
    <row r="41" ht="18.6" customFormat="1" customHeight="1" s="1">
      <c r="B41" s="281" t="inlineStr">
        <is>
          <t>VPD</t>
        </is>
      </c>
      <c r="C41" s="259" t="inlineStr">
        <is>
          <t>Business</t>
        </is>
      </c>
      <c r="D41" s="272">
        <f>SUM(G41,AH41)</f>
        <v/>
      </c>
      <c r="E41" s="272">
        <f>SUM(H41,AI41)</f>
        <v/>
      </c>
      <c r="G41" s="272">
        <f>SUMIF($I$12:$AF$12,"Plan",I41:AF41)/1000000</f>
        <v/>
      </c>
      <c r="H41" s="272">
        <f>SUMIF($I$12:$AF$12,"Actual",I41:AF41)/1000000</f>
        <v/>
      </c>
      <c r="I41" s="273">
        <f>SUMIF(Table410[Workstream],'$ Dashboard'!B41,Table410[Jan_2026_F])</f>
        <v/>
      </c>
      <c r="J41" s="273">
        <f>SUMIF(Table410[Workstream],'$ Dashboard'!B41,Table410[Jan_2026_A])</f>
        <v/>
      </c>
      <c r="K41" s="273">
        <f>SUMIF(Table410[Workstream],'$ Dashboard'!B41,Table410[Feb_2026_F])</f>
        <v/>
      </c>
      <c r="L41" s="273">
        <f>SUMIF(Table410[Workstream],'$ Dashboard'!B41,Table410[Feb_2026_A])</f>
        <v/>
      </c>
      <c r="M41" s="273">
        <f>SUMIF(Table410[Workstream],'$ Dashboard'!B41,Table410[Mar_2026_F])</f>
        <v/>
      </c>
      <c r="N41" s="273">
        <f>SUMIF(Table410[Workstream],'$ Dashboard'!B41,Table410[Mar_2026_A])</f>
        <v/>
      </c>
      <c r="O41" s="273">
        <f>SUMIF(Table410[Workstream],'$ Dashboard'!B41,Table410[Apr_2026_F])</f>
        <v/>
      </c>
      <c r="P41" s="273">
        <f>SUMIF(Table410[Workstream],'$ Dashboard'!B41,Table410[Apr_2026_A])</f>
        <v/>
      </c>
      <c r="Q41" s="273">
        <f>SUMIF(Table410[Workstream],'$ Dashboard'!B41,Table410[May_2026_F])</f>
        <v/>
      </c>
      <c r="R41" s="273">
        <f>SUMIF(Table410[Workstream],'$ Dashboard'!B41,Table410[May_2026_A])</f>
        <v/>
      </c>
      <c r="S41" s="273">
        <f>SUMIF(Table410[Workstream],'$ Dashboard'!B41,Table410[Jun_2026_F])</f>
        <v/>
      </c>
      <c r="T41" s="273">
        <f>SUMIF(Table410[Workstream],'$ Dashboard'!B41,Table410[Jun_2026_A])</f>
        <v/>
      </c>
      <c r="U41" s="273">
        <f>SUMIF(Table410[Workstream],'$ Dashboard'!B41,Table410[Jul_2026_F])</f>
        <v/>
      </c>
      <c r="V41" s="273">
        <f>SUMIF(Table410[Workstream],'$ Dashboard'!B41,Table410[Jul_2026_A])</f>
        <v/>
      </c>
      <c r="W41" s="273">
        <f>SUMIF(Table410[Workstream],'$ Dashboard'!B41,Table410[Aug_2026_F])</f>
        <v/>
      </c>
      <c r="X41" s="273">
        <f>SUMIF(Table410[Workstream],'$ Dashboard'!B41,Table410[Aug_2026_A])</f>
        <v/>
      </c>
      <c r="Y41" s="273">
        <f>SUMIF(Table410[Workstream],'$ Dashboard'!B41,Table410[Sep_2026_F])</f>
        <v/>
      </c>
      <c r="Z41" s="273">
        <f>SUMIF(Table410[Workstream],'$ Dashboard'!B41,Table410[Sep_2026_A])</f>
        <v/>
      </c>
      <c r="AA41" s="273">
        <f>SUMIF(Table410[Workstream],'$ Dashboard'!B41,Table410[Oct_2026_F])</f>
        <v/>
      </c>
      <c r="AB41" s="273">
        <f>SUMIF(Table410[Workstream],'$ Dashboard'!B41,Table410[Oct_2026_A])</f>
        <v/>
      </c>
      <c r="AC41" s="273">
        <f>SUMIF(Table410[Workstream],'$ Dashboard'!B41,Table410[Nov_2026_F])</f>
        <v/>
      </c>
      <c r="AD41" s="273">
        <f>SUMIF(Table410[Workstream],'$ Dashboard'!B41,Table410[Nov_2026_A])</f>
        <v/>
      </c>
      <c r="AE41" s="273">
        <f>SUMIF(Table410[Workstream],'$ Dashboard'!B41,Table410[Dec_2026_F])</f>
        <v/>
      </c>
      <c r="AF41" s="273">
        <f>SUMIF(Table410[Workstream],'$ Dashboard'!B41,Table410[Dec_2026_A])+SUMIF(Table46[Workstream],'$ Dashboard'!B41,Table46[Dec_26_A])</f>
        <v/>
      </c>
      <c r="AH41" s="272">
        <f>SUM(AW41:BG41)/1000000</f>
        <v/>
      </c>
      <c r="AI41" s="272">
        <f>SUMIF($AJ$12:$BG$12,"Actual",AJ41:BG41)/1000000</f>
        <v/>
      </c>
      <c r="AJ41" s="274" t="n"/>
      <c r="AK41" s="274" t="n"/>
      <c r="AL41" s="274" t="n"/>
      <c r="AM41" s="274" t="n"/>
      <c r="AN41" s="274" t="n"/>
      <c r="AO41" s="274" t="n"/>
      <c r="AP41" s="274" t="n"/>
      <c r="AQ41" s="274" t="n"/>
      <c r="AR41" s="274" t="n"/>
      <c r="AS41" s="274" t="n"/>
      <c r="AT41" s="274" t="n"/>
      <c r="AU41" s="274" t="n"/>
      <c r="AV41" s="274" t="n"/>
      <c r="AW41" s="274" t="n"/>
      <c r="AX41" s="274" t="n"/>
      <c r="AY41" s="274" t="n"/>
      <c r="AZ41" s="274" t="n"/>
      <c r="BA41" s="274" t="n"/>
      <c r="BB41" s="274" t="n"/>
      <c r="BC41" s="274" t="n"/>
      <c r="BD41" s="274" t="n"/>
      <c r="BE41" s="274" t="n"/>
      <c r="BF41" s="274" t="n"/>
      <c r="BG41" s="274" t="n"/>
      <c r="BI41" s="275" t="n"/>
      <c r="BJ41" s="275" t="n"/>
      <c r="BK41" s="275" t="n"/>
      <c r="BL41" s="275" t="n"/>
      <c r="BM41" s="275" t="n"/>
      <c r="BN41" s="275" t="n"/>
      <c r="BO41" s="275" t="n"/>
      <c r="BP41" s="275" t="n"/>
      <c r="BQ41" s="275" t="n"/>
      <c r="BR41" s="275" t="n"/>
      <c r="BS41" s="275" t="n"/>
      <c r="BT41" s="275" t="n"/>
      <c r="BU41" s="275" t="n"/>
      <c r="BV41" s="275" t="n"/>
      <c r="BW41" s="275" t="n"/>
      <c r="BX41" s="275" t="n"/>
      <c r="BY41" s="275" t="n"/>
      <c r="BZ41" s="275" t="n"/>
      <c r="CA41" s="275" t="n"/>
      <c r="CB41" s="275" t="n"/>
      <c r="CC41" s="275" t="n"/>
      <c r="CD41" s="272">
        <f>SUM(CE41:DB41)/1000000</f>
        <v/>
      </c>
      <c r="CE41" s="276" t="n"/>
      <c r="CF41" s="276" t="n"/>
      <c r="CG41" s="276" t="n"/>
      <c r="CH41" s="276" t="n"/>
      <c r="CI41" s="276" t="n"/>
      <c r="CJ41" s="276" t="n"/>
      <c r="CK41" s="276" t="n"/>
      <c r="CL41" s="276" t="n"/>
      <c r="CM41" s="276" t="n"/>
      <c r="CN41" s="276" t="n"/>
      <c r="CO41" s="276" t="n"/>
      <c r="CP41" s="276" t="n"/>
      <c r="CQ41" s="276" t="n"/>
      <c r="CR41" s="276" t="n"/>
      <c r="CS41" s="276" t="n"/>
      <c r="CT41" s="276" t="n"/>
      <c r="CU41" s="276" t="n"/>
      <c r="CV41" s="276" t="n"/>
      <c r="CW41" s="276" t="n"/>
      <c r="CX41" s="276" t="n"/>
      <c r="CY41" s="276" t="n"/>
      <c r="CZ41" s="276" t="n"/>
      <c r="DA41" s="276" t="n"/>
      <c r="DB41" s="276" t="n"/>
    </row>
    <row r="42" ht="18.6" customFormat="1" customHeight="1" s="1">
      <c r="B42" s="277" t="inlineStr">
        <is>
          <t>GATOR</t>
        </is>
      </c>
      <c r="C42" s="278" t="inlineStr">
        <is>
          <t>Business</t>
        </is>
      </c>
      <c r="D42" s="279">
        <f>SUM(G42,AH42)</f>
        <v/>
      </c>
      <c r="E42" s="279">
        <f>SUM(H42,AI42)</f>
        <v/>
      </c>
      <c r="G42" s="279">
        <f>SUMIF($I$12:$AF$12,"Plan",I42:AF42)/1000000</f>
        <v/>
      </c>
      <c r="H42" s="279">
        <f>SUMIF($I$12:$AF$12,"Actual",I42:AF42)/1000000</f>
        <v/>
      </c>
      <c r="I42" s="280">
        <f>SUMIF(Table410[Workstream],'$ Dashboard'!B42,Table410[Jan_2026_F])</f>
        <v/>
      </c>
      <c r="J42" s="280">
        <f>SUMIF(Table410[Workstream],'$ Dashboard'!B42,Table410[Jan_2026_A])</f>
        <v/>
      </c>
      <c r="K42" s="280">
        <f>SUMIF(Table410[Workstream],'$ Dashboard'!B42,Table410[Feb_2026_F])</f>
        <v/>
      </c>
      <c r="L42" s="280">
        <f>SUMIF(Table410[Workstream],'$ Dashboard'!B42,Table410[Feb_2026_A])</f>
        <v/>
      </c>
      <c r="M42" s="280">
        <f>SUMIF(Table410[Workstream],'$ Dashboard'!B42,Table410[Mar_2026_F])</f>
        <v/>
      </c>
      <c r="N42" s="280">
        <f>SUMIF(Table410[Workstream],'$ Dashboard'!B42,Table410[Mar_2026_A])</f>
        <v/>
      </c>
      <c r="O42" s="280">
        <f>SUMIF(Table410[Workstream],'$ Dashboard'!B42,Table410[Apr_2026_F])</f>
        <v/>
      </c>
      <c r="P42" s="280">
        <f>SUMIF(Table410[Workstream],'$ Dashboard'!B42,Table410[Apr_2026_A])</f>
        <v/>
      </c>
      <c r="Q42" s="280">
        <f>SUMIF(Table410[Workstream],'$ Dashboard'!B42,Table410[May_2026_F])</f>
        <v/>
      </c>
      <c r="R42" s="280">
        <f>SUMIF(Table410[Workstream],'$ Dashboard'!B42,Table410[May_2026_A])</f>
        <v/>
      </c>
      <c r="S42" s="280">
        <f>SUMIF(Table410[Workstream],'$ Dashboard'!B42,Table410[Jun_2026_F])</f>
        <v/>
      </c>
      <c r="T42" s="280">
        <f>SUMIF(Table410[Workstream],'$ Dashboard'!B42,Table410[Jun_2026_A])</f>
        <v/>
      </c>
      <c r="U42" s="280">
        <f>SUMIF(Table410[Workstream],'$ Dashboard'!B42,Table410[Jul_2026_F])</f>
        <v/>
      </c>
      <c r="V42" s="280">
        <f>SUMIF(Table410[Workstream],'$ Dashboard'!B42,Table410[Jul_2026_A])</f>
        <v/>
      </c>
      <c r="W42" s="280">
        <f>SUMIF(Table410[Workstream],'$ Dashboard'!B42,Table410[Aug_2026_F])</f>
        <v/>
      </c>
      <c r="X42" s="280">
        <f>SUMIF(Table410[Workstream],'$ Dashboard'!B42,Table410[Aug_2026_A])</f>
        <v/>
      </c>
      <c r="Y42" s="280">
        <f>SUMIF(Table410[Workstream],'$ Dashboard'!B42,Table410[Sep_2026_F])</f>
        <v/>
      </c>
      <c r="Z42" s="280">
        <f>SUMIF(Table410[Workstream],'$ Dashboard'!B42,Table410[Sep_2026_A])</f>
        <v/>
      </c>
      <c r="AA42" s="280">
        <f>SUMIF(Table410[Workstream],'$ Dashboard'!B42,Table410[Oct_2026_F])</f>
        <v/>
      </c>
      <c r="AB42" s="280">
        <f>SUMIF(Table410[Workstream],'$ Dashboard'!B42,Table410[Oct_2026_A])</f>
        <v/>
      </c>
      <c r="AC42" s="280">
        <f>SUMIF(Table410[Workstream],'$ Dashboard'!B42,Table410[Nov_2026_F])</f>
        <v/>
      </c>
      <c r="AD42" s="280">
        <f>SUMIF(Table410[Workstream],'$ Dashboard'!B42,Table410[Nov_2026_A])</f>
        <v/>
      </c>
      <c r="AE42" s="280">
        <f>SUMIF(Table410[Workstream],'$ Dashboard'!B42,Table410[Dec_2026_F])</f>
        <v/>
      </c>
      <c r="AF42" s="280">
        <f>SUMIF(Table410[Workstream],'$ Dashboard'!B42,Table410[Dec_2026_A])+SUMIF(Table46[Workstream],'$ Dashboard'!B42,Table46[Dec_26_A])</f>
        <v/>
      </c>
      <c r="AH42" s="279">
        <f>SUM(AW42:BG42)/1000000</f>
        <v/>
      </c>
      <c r="AI42" s="279">
        <f>SUMIF($AJ$12:$BG$12,"Actual",AJ42:BG42)/1000000</f>
        <v/>
      </c>
      <c r="AJ42" s="274" t="n"/>
      <c r="AK42" s="274" t="n"/>
      <c r="AL42" s="274" t="n"/>
      <c r="AM42" s="274" t="n"/>
      <c r="AN42" s="274" t="n"/>
      <c r="AO42" s="274" t="n"/>
      <c r="AP42" s="274" t="n"/>
      <c r="AQ42" s="274" t="n"/>
      <c r="AR42" s="274" t="n"/>
      <c r="AS42" s="274" t="n"/>
      <c r="AT42" s="274" t="n"/>
      <c r="AU42" s="274" t="n"/>
      <c r="AV42" s="274" t="n"/>
      <c r="AW42" s="274" t="n"/>
      <c r="AX42" s="274" t="n"/>
      <c r="AY42" s="274" t="n"/>
      <c r="AZ42" s="274" t="n"/>
      <c r="BA42" s="274" t="n"/>
      <c r="BB42" s="274" t="n"/>
      <c r="BC42" s="274" t="n"/>
      <c r="BD42" s="274" t="n"/>
      <c r="BE42" s="274" t="n"/>
      <c r="BF42" s="274" t="n"/>
      <c r="BG42" s="274" t="n"/>
      <c r="BI42" s="275" t="n"/>
      <c r="BJ42" s="275" t="n"/>
      <c r="BK42" s="275" t="n"/>
      <c r="BL42" s="275" t="n"/>
      <c r="BM42" s="275" t="n"/>
      <c r="BN42" s="275" t="n"/>
      <c r="BO42" s="275" t="n"/>
      <c r="BP42" s="275" t="n"/>
      <c r="BQ42" s="275" t="n"/>
      <c r="BR42" s="275" t="n"/>
      <c r="BS42" s="275" t="n"/>
      <c r="BT42" s="275" t="n"/>
      <c r="BU42" s="275" t="n"/>
      <c r="BV42" s="275" t="n"/>
      <c r="BW42" s="275" t="n"/>
      <c r="BX42" s="275" t="n"/>
      <c r="BY42" s="275" t="n"/>
      <c r="BZ42" s="275" t="n"/>
      <c r="CA42" s="275" t="n"/>
      <c r="CB42" s="275" t="n"/>
      <c r="CC42" s="275" t="n"/>
      <c r="CD42" s="279">
        <f>SUM(CE42:DB42)/1000000</f>
        <v/>
      </c>
      <c r="CE42" s="276" t="n"/>
      <c r="CF42" s="276" t="n"/>
      <c r="CG42" s="276" t="n"/>
      <c r="CH42" s="276" t="n"/>
      <c r="CI42" s="276" t="n"/>
      <c r="CJ42" s="276" t="n"/>
      <c r="CK42" s="276" t="n"/>
      <c r="CL42" s="276" t="n"/>
      <c r="CM42" s="276" t="n"/>
      <c r="CN42" s="276" t="n"/>
      <c r="CO42" s="276" t="n"/>
      <c r="CP42" s="276" t="n"/>
      <c r="CQ42" s="276" t="n"/>
      <c r="CR42" s="276" t="n"/>
      <c r="CS42" s="276" t="n"/>
      <c r="CT42" s="276" t="n"/>
      <c r="CU42" s="276" t="n"/>
      <c r="CV42" s="276" t="n"/>
      <c r="CW42" s="276" t="n"/>
      <c r="CX42" s="276" t="n"/>
      <c r="CY42" s="276" t="n"/>
      <c r="CZ42" s="276" t="n"/>
      <c r="DA42" s="276" t="n"/>
      <c r="DB42" s="276" t="n"/>
    </row>
    <row r="43" ht="18.6" customFormat="1" customHeight="1" s="1">
      <c r="B43" s="281" t="inlineStr">
        <is>
          <t>USDF</t>
        </is>
      </c>
      <c r="C43" s="259" t="inlineStr">
        <is>
          <t>Business</t>
        </is>
      </c>
      <c r="D43" s="272">
        <f>SUM(G43,AH43)</f>
        <v/>
      </c>
      <c r="E43" s="272">
        <f>SUM(H43,AI43)</f>
        <v/>
      </c>
      <c r="G43" s="272">
        <f>SUMIF($I$12:$AF$12,"Plan",I43:AF43)/1000000</f>
        <v/>
      </c>
      <c r="H43" s="272">
        <f>SUMIF($I$12:$AF$12,"Actual",I43:AF43)/1000000</f>
        <v/>
      </c>
      <c r="I43" s="273">
        <f>SUMIF(Table410[Workstream],'$ Dashboard'!B43,Table410[Jan_2026_F])</f>
        <v/>
      </c>
      <c r="J43" s="273">
        <f>SUMIF(Table410[Workstream],'$ Dashboard'!B43,Table410[Jan_2026_A])</f>
        <v/>
      </c>
      <c r="K43" s="273">
        <f>SUMIF(Table410[Workstream],'$ Dashboard'!B43,Table410[Feb_2026_F])</f>
        <v/>
      </c>
      <c r="L43" s="273">
        <f>SUMIF(Table410[Workstream],'$ Dashboard'!B43,Table410[Feb_2026_A])</f>
        <v/>
      </c>
      <c r="M43" s="273">
        <f>SUMIF(Table410[Workstream],'$ Dashboard'!B43,Table410[Mar_2026_F])</f>
        <v/>
      </c>
      <c r="N43" s="273">
        <f>SUMIF(Table410[Workstream],'$ Dashboard'!B43,Table410[Mar_2026_A])</f>
        <v/>
      </c>
      <c r="O43" s="273">
        <f>SUMIF(Table410[Workstream],'$ Dashboard'!B43,Table410[Apr_2026_F])</f>
        <v/>
      </c>
      <c r="P43" s="273">
        <f>SUMIF(Table410[Workstream],'$ Dashboard'!B43,Table410[Apr_2026_A])</f>
        <v/>
      </c>
      <c r="Q43" s="273">
        <f>SUMIF(Table410[Workstream],'$ Dashboard'!B43,Table410[May_2026_F])</f>
        <v/>
      </c>
      <c r="R43" s="273">
        <f>SUMIF(Table410[Workstream],'$ Dashboard'!B43,Table410[May_2026_A])</f>
        <v/>
      </c>
      <c r="S43" s="273">
        <f>SUMIF(Table410[Workstream],'$ Dashboard'!B43,Table410[Jun_2026_F])</f>
        <v/>
      </c>
      <c r="T43" s="273">
        <f>SUMIF(Table410[Workstream],'$ Dashboard'!B43,Table410[Jun_2026_A])</f>
        <v/>
      </c>
      <c r="U43" s="273">
        <f>SUMIF(Table410[Workstream],'$ Dashboard'!B43,Table410[Jul_2026_F])</f>
        <v/>
      </c>
      <c r="V43" s="273">
        <f>SUMIF(Table410[Workstream],'$ Dashboard'!B43,Table410[Jul_2026_A])</f>
        <v/>
      </c>
      <c r="W43" s="273">
        <f>SUMIF(Table410[Workstream],'$ Dashboard'!B43,Table410[Aug_2026_F])</f>
        <v/>
      </c>
      <c r="X43" s="273">
        <f>SUMIF(Table410[Workstream],'$ Dashboard'!B43,Table410[Aug_2026_A])</f>
        <v/>
      </c>
      <c r="Y43" s="273">
        <f>SUMIF(Table410[Workstream],'$ Dashboard'!B43,Table410[Sep_2026_F])</f>
        <v/>
      </c>
      <c r="Z43" s="273">
        <f>SUMIF(Table410[Workstream],'$ Dashboard'!B43,Table410[Sep_2026_A])</f>
        <v/>
      </c>
      <c r="AA43" s="273">
        <f>SUMIF(Table410[Workstream],'$ Dashboard'!B43,Table410[Oct_2026_F])</f>
        <v/>
      </c>
      <c r="AB43" s="273">
        <f>SUMIF(Table410[Workstream],'$ Dashboard'!B43,Table410[Oct_2026_A])</f>
        <v/>
      </c>
      <c r="AC43" s="273">
        <f>SUMIF(Table410[Workstream],'$ Dashboard'!B43,Table410[Nov_2026_F])</f>
        <v/>
      </c>
      <c r="AD43" s="273">
        <f>SUMIF(Table410[Workstream],'$ Dashboard'!B43,Table410[Nov_2026_A])</f>
        <v/>
      </c>
      <c r="AE43" s="273">
        <f>SUMIF(Table410[Workstream],'$ Dashboard'!B43,Table410[Dec_2026_F])</f>
        <v/>
      </c>
      <c r="AF43" s="273">
        <f>SUMIF(Table410[Workstream],'$ Dashboard'!B43,Table410[Dec_2026_A])+SUMIF(Table46[Workstream],'$ Dashboard'!B43,Table46[Dec_26_A])</f>
        <v/>
      </c>
      <c r="AH43" s="272">
        <f>SUM(AW43:BG43)/1000000</f>
        <v/>
      </c>
      <c r="AI43" s="272">
        <f>SUMIF($AJ$12:$BG$12,"Actual",AJ43:BG43)/1000000</f>
        <v/>
      </c>
      <c r="AJ43" s="274" t="n"/>
      <c r="AK43" s="274" t="n"/>
      <c r="AL43" s="274" t="n"/>
      <c r="AM43" s="274" t="n"/>
      <c r="AN43" s="274" t="n"/>
      <c r="AO43" s="274" t="n"/>
      <c r="AP43" s="274" t="n"/>
      <c r="AQ43" s="274" t="n"/>
      <c r="AR43" s="274" t="n"/>
      <c r="AS43" s="274" t="n"/>
      <c r="AT43" s="274" t="n"/>
      <c r="AU43" s="274" t="n"/>
      <c r="AV43" s="274" t="n"/>
      <c r="AW43" s="274" t="n"/>
      <c r="AX43" s="274" t="n"/>
      <c r="AY43" s="274" t="n"/>
      <c r="AZ43" s="274" t="n"/>
      <c r="BA43" s="274" t="n"/>
      <c r="BB43" s="274" t="n"/>
      <c r="BC43" s="274" t="n"/>
      <c r="BD43" s="274" t="n"/>
      <c r="BE43" s="274" t="n"/>
      <c r="BF43" s="274" t="n"/>
      <c r="BG43" s="274" t="n"/>
      <c r="BI43" s="275" t="n"/>
      <c r="BJ43" s="275" t="n"/>
      <c r="BK43" s="275" t="n"/>
      <c r="BL43" s="275" t="n"/>
      <c r="BM43" s="275" t="n"/>
      <c r="BN43" s="275" t="n"/>
      <c r="BO43" s="275" t="n"/>
      <c r="BP43" s="275" t="n"/>
      <c r="BQ43" s="275" t="n"/>
      <c r="BR43" s="275" t="n"/>
      <c r="BS43" s="275" t="n"/>
      <c r="BT43" s="275" t="n"/>
      <c r="BU43" s="275" t="n"/>
      <c r="BV43" s="275" t="n"/>
      <c r="BW43" s="275" t="n"/>
      <c r="BX43" s="275" t="n"/>
      <c r="BY43" s="275" t="n"/>
      <c r="BZ43" s="275" t="n"/>
      <c r="CA43" s="275" t="n"/>
      <c r="CB43" s="275" t="n"/>
      <c r="CC43" s="275" t="n"/>
      <c r="CD43" s="272">
        <f>SUM(CE43:DB43)/1000000</f>
        <v/>
      </c>
      <c r="CE43" s="276" t="n"/>
      <c r="CF43" s="276" t="n"/>
      <c r="CG43" s="276" t="n"/>
      <c r="CH43" s="276" t="n"/>
      <c r="CI43" s="276" t="n"/>
      <c r="CJ43" s="276" t="n"/>
      <c r="CK43" s="276" t="n"/>
      <c r="CL43" s="276" t="n"/>
      <c r="CM43" s="276" t="n"/>
      <c r="CN43" s="276" t="n"/>
      <c r="CO43" s="276" t="n"/>
      <c r="CP43" s="276" t="n"/>
      <c r="CQ43" s="276" t="n"/>
      <c r="CR43" s="276" t="n"/>
      <c r="CS43" s="276" t="n"/>
      <c r="CT43" s="276" t="n"/>
      <c r="CU43" s="276" t="n"/>
      <c r="CV43" s="276" t="n"/>
      <c r="CW43" s="276" t="n"/>
      <c r="CX43" s="276" t="n"/>
      <c r="CY43" s="276" t="n"/>
      <c r="CZ43" s="276" t="n"/>
      <c r="DA43" s="276" t="n"/>
      <c r="DB43" s="276" t="n"/>
    </row>
    <row r="44" ht="18.6" customFormat="1" customHeight="1" s="1">
      <c r="B44" s="277" t="inlineStr">
        <is>
          <t>JIGSAW &amp; PDS Process work</t>
        </is>
      </c>
      <c r="C44" s="278" t="inlineStr">
        <is>
          <t>Business</t>
        </is>
      </c>
      <c r="D44" s="279">
        <f>SUM(G44,AH44)</f>
        <v/>
      </c>
      <c r="E44" s="279">
        <f>SUM(H44,AI44)</f>
        <v/>
      </c>
      <c r="G44" s="279">
        <f>SUMIF($I$12:$AF$12,"Plan",I44:AF44)/1000000</f>
        <v/>
      </c>
      <c r="H44" s="279">
        <f>SUMIF($I$12:$AF$12,"Actual",I44:AF44)/1000000</f>
        <v/>
      </c>
      <c r="I44" s="280">
        <f>SUMIF(Table410[Workstream],'$ Dashboard'!B44,Table410[Jan_2026_F])</f>
        <v/>
      </c>
      <c r="J44" s="280">
        <f>SUMIF(Table410[Workstream],'$ Dashboard'!B44,Table410[Jan_2026_A])</f>
        <v/>
      </c>
      <c r="K44" s="280">
        <f>SUMIF(Table410[Workstream],'$ Dashboard'!B44,Table410[Feb_2026_F])</f>
        <v/>
      </c>
      <c r="L44" s="280">
        <f>SUMIF(Table410[Workstream],'$ Dashboard'!B44,Table410[Feb_2026_A])</f>
        <v/>
      </c>
      <c r="M44" s="280">
        <f>SUMIF(Table410[Workstream],'$ Dashboard'!B44,Table410[Mar_2026_F])</f>
        <v/>
      </c>
      <c r="N44" s="280">
        <f>SUMIF(Table410[Workstream],'$ Dashboard'!B44,Table410[Mar_2026_A])</f>
        <v/>
      </c>
      <c r="O44" s="280">
        <f>SUMIF(Table410[Workstream],'$ Dashboard'!B44,Table410[Apr_2026_F])</f>
        <v/>
      </c>
      <c r="P44" s="280">
        <f>SUMIF(Table410[Workstream],'$ Dashboard'!B44,Table410[Apr_2026_A])</f>
        <v/>
      </c>
      <c r="Q44" s="280">
        <f>SUMIF(Table410[Workstream],'$ Dashboard'!B44,Table410[May_2026_F])</f>
        <v/>
      </c>
      <c r="R44" s="280">
        <f>SUMIF(Table410[Workstream],'$ Dashboard'!B44,Table410[May_2026_A])</f>
        <v/>
      </c>
      <c r="S44" s="280">
        <f>SUMIF(Table410[Workstream],'$ Dashboard'!B44,Table410[Jun_2026_F])</f>
        <v/>
      </c>
      <c r="T44" s="280">
        <f>SUMIF(Table410[Workstream],'$ Dashboard'!B44,Table410[Jun_2026_A])</f>
        <v/>
      </c>
      <c r="U44" s="280">
        <f>SUMIF(Table410[Workstream],'$ Dashboard'!B44,Table410[Jul_2026_F])</f>
        <v/>
      </c>
      <c r="V44" s="280">
        <f>SUMIF(Table410[Workstream],'$ Dashboard'!B44,Table410[Jul_2026_A])</f>
        <v/>
      </c>
      <c r="W44" s="280">
        <f>SUMIF(Table410[Workstream],'$ Dashboard'!B44,Table410[Aug_2026_F])</f>
        <v/>
      </c>
      <c r="X44" s="280">
        <f>SUMIF(Table410[Workstream],'$ Dashboard'!B44,Table410[Aug_2026_A])</f>
        <v/>
      </c>
      <c r="Y44" s="280">
        <f>SUMIF(Table410[Workstream],'$ Dashboard'!B44,Table410[Sep_2026_F])</f>
        <v/>
      </c>
      <c r="Z44" s="280">
        <f>SUMIF(Table410[Workstream],'$ Dashboard'!B44,Table410[Sep_2026_A])</f>
        <v/>
      </c>
      <c r="AA44" s="280">
        <f>SUMIF(Table410[Workstream],'$ Dashboard'!B44,Table410[Oct_2026_F])</f>
        <v/>
      </c>
      <c r="AB44" s="280">
        <f>SUMIF(Table410[Workstream],'$ Dashboard'!B44,Table410[Oct_2026_A])</f>
        <v/>
      </c>
      <c r="AC44" s="280">
        <f>SUMIF(Table410[Workstream],'$ Dashboard'!B44,Table410[Nov_2026_F])</f>
        <v/>
      </c>
      <c r="AD44" s="280">
        <f>SUMIF(Table410[Workstream],'$ Dashboard'!B44,Table410[Nov_2026_A])</f>
        <v/>
      </c>
      <c r="AE44" s="280">
        <f>SUMIF(Table410[Workstream],'$ Dashboard'!B44,Table410[Dec_2026_F])</f>
        <v/>
      </c>
      <c r="AF44" s="280">
        <f>SUMIF(Table410[Workstream],'$ Dashboard'!B44,Table410[Dec_2026_A])+SUMIF(Table46[Workstream],'$ Dashboard'!B44,Table46[Dec_26_A])</f>
        <v/>
      </c>
      <c r="AH44" s="279">
        <f>SUM(AW44:BG44)/1000000</f>
        <v/>
      </c>
      <c r="AI44" s="279">
        <f>SUMIF($AJ$12:$BG$12,"Actual",AJ44:BG44)/1000000</f>
        <v/>
      </c>
      <c r="AJ44" s="274" t="n"/>
      <c r="AK44" s="274" t="n"/>
      <c r="AL44" s="274" t="n"/>
      <c r="AM44" s="274" t="n"/>
      <c r="AN44" s="274" t="n"/>
      <c r="AO44" s="274" t="n"/>
      <c r="AP44" s="274" t="n"/>
      <c r="AQ44" s="274" t="n"/>
      <c r="AR44" s="274" t="n"/>
      <c r="AS44" s="274" t="n"/>
      <c r="AT44" s="274" t="n"/>
      <c r="AU44" s="274" t="n"/>
      <c r="AV44" s="274" t="n"/>
      <c r="AW44" s="274" t="n"/>
      <c r="AX44" s="274" t="n"/>
      <c r="AY44" s="274" t="n"/>
      <c r="AZ44" s="274" t="n"/>
      <c r="BA44" s="274" t="n"/>
      <c r="BB44" s="274" t="n"/>
      <c r="BC44" s="274" t="n"/>
      <c r="BD44" s="274" t="n"/>
      <c r="BE44" s="274" t="n"/>
      <c r="BF44" s="274" t="n"/>
      <c r="BG44" s="274" t="n"/>
      <c r="BI44" s="275" t="n"/>
      <c r="BJ44" s="275" t="n"/>
      <c r="BK44" s="275" t="n"/>
      <c r="BL44" s="275" t="n"/>
      <c r="BM44" s="275" t="n"/>
      <c r="BN44" s="275" t="n"/>
      <c r="BO44" s="275" t="n"/>
      <c r="BP44" s="275" t="n"/>
      <c r="BQ44" s="275" t="n"/>
      <c r="BR44" s="275" t="n"/>
      <c r="BS44" s="275" t="n"/>
      <c r="BT44" s="275" t="n"/>
      <c r="BU44" s="275" t="n"/>
      <c r="BV44" s="275" t="n"/>
      <c r="BW44" s="275" t="n"/>
      <c r="BX44" s="275" t="n"/>
      <c r="BY44" s="275" t="n"/>
      <c r="BZ44" s="275" t="n"/>
      <c r="CA44" s="275" t="n"/>
      <c r="CB44" s="275" t="n"/>
      <c r="CC44" s="275" t="n"/>
      <c r="CD44" s="279">
        <f>SUM(CE44:DB44)/1000000</f>
        <v/>
      </c>
      <c r="CE44" s="276" t="n"/>
      <c r="CF44" s="276" t="n"/>
      <c r="CG44" s="276" t="n"/>
      <c r="CH44" s="276" t="n"/>
      <c r="CI44" s="276" t="n"/>
      <c r="CJ44" s="276" t="n"/>
      <c r="CK44" s="276" t="n"/>
      <c r="CL44" s="276" t="n"/>
      <c r="CM44" s="276" t="n"/>
      <c r="CN44" s="276" t="n"/>
      <c r="CO44" s="276" t="n"/>
      <c r="CP44" s="276" t="n"/>
      <c r="CQ44" s="276" t="n"/>
      <c r="CR44" s="276" t="n"/>
      <c r="CS44" s="276" t="n"/>
      <c r="CT44" s="276" t="n"/>
      <c r="CU44" s="276" t="n"/>
      <c r="CV44" s="276" t="n"/>
      <c r="CW44" s="276" t="n"/>
      <c r="CX44" s="276" t="n"/>
      <c r="CY44" s="276" t="n"/>
      <c r="CZ44" s="276" t="n"/>
      <c r="DA44" s="276" t="n"/>
      <c r="DB44" s="276" t="n"/>
    </row>
    <row r="45" ht="18.6" customFormat="1" customHeight="1" s="1">
      <c r="B45" s="5" t="n"/>
      <c r="D45" s="272">
        <f>SUM(G45,AH45)</f>
        <v/>
      </c>
      <c r="E45" s="272">
        <f>SUM(H45,AI45)</f>
        <v/>
      </c>
      <c r="G45" s="272">
        <f>SUMIF($I$12:$AF$12,"Plan",I45:AF45)/1000000</f>
        <v/>
      </c>
      <c r="H45" s="272">
        <f>SUMIF($I$12:$AF$12,"Actual",I45:AF45)/1000000</f>
        <v/>
      </c>
      <c r="I45" s="273">
        <f>SUMIF(Table410[Workstream],'$ Dashboard'!B45,Table410[Jan_2026_F])</f>
        <v/>
      </c>
      <c r="J45" s="273">
        <f>SUMIF(Table410[Workstream],'$ Dashboard'!B45,Table410[Jan_2026_A])</f>
        <v/>
      </c>
      <c r="K45" s="273">
        <f>SUMIF(Table410[Workstream],'$ Dashboard'!B45,Table410[Feb_2026_F])</f>
        <v/>
      </c>
      <c r="L45" s="273">
        <f>SUMIF(Table410[Workstream],'$ Dashboard'!B45,Table410[Feb_2026_A])</f>
        <v/>
      </c>
      <c r="M45" s="273">
        <f>SUMIF(Table410[Workstream],'$ Dashboard'!B45,Table410[Mar_2026_F])</f>
        <v/>
      </c>
      <c r="N45" s="273">
        <f>SUMIF(Table410[Workstream],'$ Dashboard'!B45,Table410[Mar_2026_A])</f>
        <v/>
      </c>
      <c r="O45" s="273">
        <f>SUMIF(Table410[Workstream],'$ Dashboard'!B45,Table410[Apr_2026_F])</f>
        <v/>
      </c>
      <c r="P45" s="273">
        <f>SUMIF(Table410[Workstream],'$ Dashboard'!B45,Table410[Apr_2026_A])</f>
        <v/>
      </c>
      <c r="Q45" s="273">
        <f>SUMIF(Table410[Workstream],'$ Dashboard'!B45,Table410[May_2026_F])</f>
        <v/>
      </c>
      <c r="R45" s="273">
        <f>SUMIF(Table410[Workstream],'$ Dashboard'!B45,Table410[May_2026_A])</f>
        <v/>
      </c>
      <c r="S45" s="273">
        <f>SUMIF(Table410[Workstream],'$ Dashboard'!B45,Table410[Jun_2026_F])</f>
        <v/>
      </c>
      <c r="T45" s="273">
        <f>SUMIF(Table410[Workstream],'$ Dashboard'!B45,Table410[Jun_2026_A])</f>
        <v/>
      </c>
      <c r="U45" s="273">
        <f>SUMIF(Table410[Workstream],'$ Dashboard'!B45,Table410[Jul_2026_F])</f>
        <v/>
      </c>
      <c r="V45" s="273">
        <f>SUMIF(Table410[Workstream],'$ Dashboard'!B45,Table410[Jul_2026_A])</f>
        <v/>
      </c>
      <c r="W45" s="273">
        <f>SUMIF(Table410[Workstream],'$ Dashboard'!B45,Table410[Aug_2026_F])</f>
        <v/>
      </c>
      <c r="X45" s="273">
        <f>SUMIF(Table410[Workstream],'$ Dashboard'!B45,Table410[Aug_2026_A])</f>
        <v/>
      </c>
      <c r="Y45" s="273">
        <f>SUMIF(Table410[Workstream],'$ Dashboard'!B45,Table410[Sep_2026_F])</f>
        <v/>
      </c>
      <c r="Z45" s="273">
        <f>SUMIF(Table410[Workstream],'$ Dashboard'!B45,Table410[Sep_2026_A])</f>
        <v/>
      </c>
      <c r="AA45" s="273">
        <f>SUMIF(Table410[Workstream],'$ Dashboard'!B45,Table410[Oct_2026_F])</f>
        <v/>
      </c>
      <c r="AB45" s="273">
        <f>SUMIF(Table410[Workstream],'$ Dashboard'!B45,Table410[Oct_2026_A])</f>
        <v/>
      </c>
      <c r="AC45" s="273">
        <f>SUMIF(Table410[Workstream],'$ Dashboard'!B45,Table410[Nov_2026_F])</f>
        <v/>
      </c>
      <c r="AD45" s="273">
        <f>SUMIF(Table410[Workstream],'$ Dashboard'!B45,Table410[Nov_2026_A])</f>
        <v/>
      </c>
      <c r="AE45" s="273">
        <f>SUMIF(Table410[Workstream],'$ Dashboard'!B45,Table410[Dec_2026_F])</f>
        <v/>
      </c>
      <c r="AF45" s="273">
        <f>SUMIF(Table410[Workstream],'$ Dashboard'!B45,Table410[Dec_2026_A])+SUMIF(Table46[Workstream],'$ Dashboard'!B45,Table46[Dec_26_A])</f>
        <v/>
      </c>
      <c r="AH45" s="272">
        <f>SUM(AW45:BG45)/1000000</f>
        <v/>
      </c>
      <c r="AI45" s="272">
        <f>SUMIF($AJ$12:$BG$12,"Actual",AJ45:BG45)/1000000</f>
        <v/>
      </c>
      <c r="AJ45" s="274" t="n"/>
      <c r="AK45" s="274" t="n"/>
      <c r="AL45" s="274" t="n"/>
      <c r="AM45" s="274" t="n"/>
      <c r="AN45" s="274" t="n"/>
      <c r="AO45" s="274" t="n"/>
      <c r="AP45" s="274" t="n"/>
      <c r="AQ45" s="274" t="n"/>
      <c r="AR45" s="274" t="n"/>
      <c r="AS45" s="274" t="n"/>
      <c r="AT45" s="274" t="n"/>
      <c r="AU45" s="274" t="n"/>
      <c r="AV45" s="274" t="n"/>
      <c r="AW45" s="274" t="n"/>
      <c r="AX45" s="274" t="n"/>
      <c r="AY45" s="274" t="n"/>
      <c r="AZ45" s="274" t="n"/>
      <c r="BA45" s="274" t="n"/>
      <c r="BB45" s="274" t="n"/>
      <c r="BC45" s="274" t="n"/>
      <c r="BD45" s="274" t="n"/>
      <c r="BE45" s="274" t="n"/>
      <c r="BF45" s="274" t="n"/>
      <c r="BG45" s="274" t="n"/>
      <c r="BI45" s="275" t="n"/>
      <c r="BJ45" s="275" t="n"/>
      <c r="BK45" s="275" t="n"/>
      <c r="BL45" s="275" t="n"/>
      <c r="BM45" s="275" t="n"/>
      <c r="BN45" s="275" t="n"/>
      <c r="BO45" s="275" t="n"/>
      <c r="BP45" s="275" t="n"/>
      <c r="BQ45" s="275" t="n"/>
      <c r="BR45" s="275" t="n"/>
      <c r="BS45" s="275" t="n"/>
      <c r="BT45" s="275" t="n"/>
      <c r="BU45" s="275" t="n"/>
      <c r="BV45" s="275" t="n"/>
      <c r="BW45" s="275" t="n"/>
      <c r="BX45" s="275" t="n"/>
      <c r="BY45" s="275" t="n"/>
      <c r="BZ45" s="275" t="n"/>
      <c r="CA45" s="275" t="n"/>
      <c r="CB45" s="275" t="n"/>
      <c r="CC45" s="275" t="n"/>
      <c r="CD45" s="272">
        <f>SUM(CE45:DB45)/1000000</f>
        <v/>
      </c>
      <c r="CE45" s="276" t="n"/>
      <c r="CF45" s="276" t="n"/>
      <c r="CG45" s="276" t="n"/>
      <c r="CH45" s="276" t="n"/>
      <c r="CI45" s="276" t="n"/>
      <c r="CJ45" s="276" t="n"/>
      <c r="CK45" s="276" t="n"/>
      <c r="CL45" s="276" t="n"/>
      <c r="CM45" s="276" t="n"/>
      <c r="CN45" s="276" t="n"/>
      <c r="CO45" s="276" t="n"/>
      <c r="CP45" s="276" t="n"/>
      <c r="CQ45" s="276" t="n"/>
      <c r="CR45" s="276" t="n"/>
      <c r="CS45" s="276" t="n"/>
      <c r="CT45" s="276" t="n"/>
      <c r="CU45" s="276" t="n"/>
      <c r="CV45" s="276" t="n"/>
      <c r="CW45" s="276" t="n"/>
      <c r="CX45" s="276" t="n"/>
      <c r="CY45" s="276" t="n"/>
      <c r="CZ45" s="276" t="n"/>
      <c r="DA45" s="276" t="n"/>
      <c r="DB45" s="276" t="n"/>
    </row>
    <row r="46" ht="18.6" customFormat="1" customHeight="1" s="1">
      <c r="B46" s="5" t="n"/>
      <c r="D46" s="279">
        <f>SUM(G46,AH46)</f>
        <v/>
      </c>
      <c r="E46" s="279">
        <f>SUM(H46,AI46)</f>
        <v/>
      </c>
      <c r="G46" s="279">
        <f>SUMIF($I$12:$AF$12,"Plan",I46:AF46)/1000000</f>
        <v/>
      </c>
      <c r="H46" s="279">
        <f>SUMIF($I$12:$AF$12,"Actual",I46:AF46)/1000000</f>
        <v/>
      </c>
      <c r="I46" s="280">
        <f>SUMIF(Table410[Workstream],'$ Dashboard'!B46,Table410[Jan_2026_F])</f>
        <v/>
      </c>
      <c r="J46" s="280">
        <f>SUMIF(Table410[Workstream],'$ Dashboard'!B46,Table410[Jan_2026_A])</f>
        <v/>
      </c>
      <c r="K46" s="280">
        <f>SUMIF(Table410[Workstream],'$ Dashboard'!B46,Table410[Feb_2026_F])</f>
        <v/>
      </c>
      <c r="L46" s="280">
        <f>SUMIF(Table410[Workstream],'$ Dashboard'!B46,Table410[Feb_2026_A])</f>
        <v/>
      </c>
      <c r="M46" s="280">
        <f>SUMIF(Table410[Workstream],'$ Dashboard'!B46,Table410[Mar_2026_F])</f>
        <v/>
      </c>
      <c r="N46" s="280">
        <f>SUMIF(Table410[Workstream],'$ Dashboard'!B46,Table410[Mar_2026_A])</f>
        <v/>
      </c>
      <c r="O46" s="280">
        <f>SUMIF(Table410[Workstream],'$ Dashboard'!B46,Table410[Apr_2026_F])</f>
        <v/>
      </c>
      <c r="P46" s="280">
        <f>SUMIF(Table410[Workstream],'$ Dashboard'!B46,Table410[Apr_2026_A])</f>
        <v/>
      </c>
      <c r="Q46" s="280">
        <f>SUMIF(Table410[Workstream],'$ Dashboard'!B46,Table410[May_2026_F])</f>
        <v/>
      </c>
      <c r="R46" s="280">
        <f>SUMIF(Table410[Workstream],'$ Dashboard'!B46,Table410[May_2026_A])</f>
        <v/>
      </c>
      <c r="S46" s="280">
        <f>SUMIF(Table410[Workstream],'$ Dashboard'!B46,Table410[Jun_2026_F])</f>
        <v/>
      </c>
      <c r="T46" s="280">
        <f>SUMIF(Table410[Workstream],'$ Dashboard'!B46,Table410[Jun_2026_A])</f>
        <v/>
      </c>
      <c r="U46" s="280">
        <f>SUMIF(Table410[Workstream],'$ Dashboard'!B46,Table410[Jul_2026_F])</f>
        <v/>
      </c>
      <c r="V46" s="280">
        <f>SUMIF(Table410[Workstream],'$ Dashboard'!B46,Table410[Jul_2026_A])</f>
        <v/>
      </c>
      <c r="W46" s="280">
        <f>SUMIF(Table410[Workstream],'$ Dashboard'!B46,Table410[Aug_2026_F])</f>
        <v/>
      </c>
      <c r="X46" s="280">
        <f>SUMIF(Table410[Workstream],'$ Dashboard'!B46,Table410[Aug_2026_A])</f>
        <v/>
      </c>
      <c r="Y46" s="280">
        <f>SUMIF(Table410[Workstream],'$ Dashboard'!B46,Table410[Sep_2026_F])</f>
        <v/>
      </c>
      <c r="Z46" s="280">
        <f>SUMIF(Table410[Workstream],'$ Dashboard'!B46,Table410[Sep_2026_A])</f>
        <v/>
      </c>
      <c r="AA46" s="280">
        <f>SUMIF(Table410[Workstream],'$ Dashboard'!B46,Table410[Oct_2026_F])</f>
        <v/>
      </c>
      <c r="AB46" s="280">
        <f>SUMIF(Table410[Workstream],'$ Dashboard'!B46,Table410[Oct_2026_A])</f>
        <v/>
      </c>
      <c r="AC46" s="280">
        <f>SUMIF(Table410[Workstream],'$ Dashboard'!B46,Table410[Nov_2026_F])</f>
        <v/>
      </c>
      <c r="AD46" s="280">
        <f>SUMIF(Table410[Workstream],'$ Dashboard'!B46,Table410[Nov_2026_A])</f>
        <v/>
      </c>
      <c r="AE46" s="280">
        <f>SUMIF(Table410[Workstream],'$ Dashboard'!B46,Table410[Dec_2026_F])</f>
        <v/>
      </c>
      <c r="AF46" s="280">
        <f>SUMIF(Table410[Workstream],'$ Dashboard'!B46,Table410[Dec_2026_A])+SUMIF(Table46[Workstream],'$ Dashboard'!B46,Table46[Dec_26_A])</f>
        <v/>
      </c>
      <c r="AH46" s="279">
        <f>SUM(AW46:BG46)/1000000</f>
        <v/>
      </c>
      <c r="AI46" s="279">
        <f>SUMIF($AJ$12:$BG$12,"Actual",AJ46:BG46)/1000000</f>
        <v/>
      </c>
      <c r="AJ46" s="274" t="n"/>
      <c r="AK46" s="274" t="n"/>
      <c r="AL46" s="274" t="n"/>
      <c r="AM46" s="274" t="n"/>
      <c r="AN46" s="274" t="n"/>
      <c r="AO46" s="274" t="n"/>
      <c r="AP46" s="274" t="n"/>
      <c r="AQ46" s="274" t="n"/>
      <c r="AR46" s="274" t="n"/>
      <c r="AS46" s="274" t="n"/>
      <c r="AT46" s="274" t="n"/>
      <c r="AU46" s="274" t="n"/>
      <c r="AV46" s="274" t="n"/>
      <c r="AW46" s="274" t="n"/>
      <c r="AX46" s="274" t="n"/>
      <c r="AY46" s="274" t="n"/>
      <c r="AZ46" s="274" t="n"/>
      <c r="BA46" s="274" t="n"/>
      <c r="BB46" s="274" t="n"/>
      <c r="BC46" s="274" t="n"/>
      <c r="BD46" s="274" t="n"/>
      <c r="BE46" s="274" t="n"/>
      <c r="BF46" s="274" t="n"/>
      <c r="BG46" s="274" t="n"/>
      <c r="BI46" s="275" t="n"/>
      <c r="BJ46" s="275" t="n"/>
      <c r="BK46" s="275" t="n"/>
      <c r="BL46" s="275" t="n"/>
      <c r="BM46" s="275" t="n"/>
      <c r="BN46" s="275" t="n"/>
      <c r="BO46" s="275" t="n"/>
      <c r="BP46" s="275" t="n"/>
      <c r="BQ46" s="275" t="n"/>
      <c r="BR46" s="275" t="n"/>
      <c r="BS46" s="275" t="n"/>
      <c r="BT46" s="275" t="n"/>
      <c r="BU46" s="275" t="n"/>
      <c r="BV46" s="275" t="n"/>
      <c r="BW46" s="275" t="n"/>
      <c r="BX46" s="275" t="n"/>
      <c r="BY46" s="275" t="n"/>
      <c r="BZ46" s="275" t="n"/>
      <c r="CA46" s="275" t="n"/>
      <c r="CB46" s="275" t="n"/>
      <c r="CC46" s="275" t="n"/>
      <c r="CD46" s="279">
        <f>SUM(CE46:DB46)/1000000</f>
        <v/>
      </c>
      <c r="CE46" s="276" t="n"/>
      <c r="CF46" s="276" t="n"/>
      <c r="CG46" s="276" t="n"/>
      <c r="CH46" s="276" t="n"/>
      <c r="CI46" s="276" t="n"/>
      <c r="CJ46" s="276" t="n"/>
      <c r="CK46" s="276" t="n"/>
      <c r="CL46" s="276" t="n"/>
      <c r="CM46" s="276" t="n"/>
      <c r="CN46" s="276" t="n"/>
      <c r="CO46" s="276" t="n"/>
      <c r="CP46" s="276" t="n"/>
      <c r="CQ46" s="276" t="n"/>
      <c r="CR46" s="276" t="n"/>
      <c r="CS46" s="276" t="n"/>
      <c r="CT46" s="276" t="n"/>
      <c r="CU46" s="276" t="n"/>
      <c r="CV46" s="276" t="n"/>
      <c r="CW46" s="276" t="n"/>
      <c r="CX46" s="276" t="n"/>
      <c r="CY46" s="276" t="n"/>
      <c r="CZ46" s="276" t="n"/>
      <c r="DA46" s="276" t="n"/>
      <c r="DB46" s="276" t="n"/>
    </row>
    <row r="47" ht="15" customFormat="1" customHeight="1" s="1">
      <c r="B47" s="5" t="n"/>
      <c r="D47" s="272">
        <f>SUM(G47,AH47)</f>
        <v/>
      </c>
      <c r="E47" s="272">
        <f>SUM(H47,AI47)</f>
        <v/>
      </c>
      <c r="G47" s="272">
        <f>SUMIF($I$12:$AF$12,"Plan",I47:AF47)/1000000</f>
        <v/>
      </c>
      <c r="H47" s="272">
        <f>SUMIF($I$12:$AF$12,"Actual",I47:AF47)/1000000</f>
        <v/>
      </c>
      <c r="I47" s="273">
        <f>SUMIF(Table410[Workstream],'$ Dashboard'!B47,Table410[Jan_2026_F])</f>
        <v/>
      </c>
      <c r="J47" s="273">
        <f>SUMIF(Table410[Workstream],'$ Dashboard'!B47,Table410[Jan_2026_A])</f>
        <v/>
      </c>
      <c r="K47" s="273">
        <f>SUMIF(Table410[Workstream],'$ Dashboard'!B47,Table410[Feb_2026_F])</f>
        <v/>
      </c>
      <c r="L47" s="273">
        <f>SUMIF(Table410[Workstream],'$ Dashboard'!B47,Table410[Feb_2026_A])</f>
        <v/>
      </c>
      <c r="M47" s="273">
        <f>SUMIF(Table410[Workstream],'$ Dashboard'!B47,Table410[Mar_2026_F])</f>
        <v/>
      </c>
      <c r="N47" s="273">
        <f>SUMIF(Table410[Workstream],'$ Dashboard'!B47,Table410[Mar_2026_A])</f>
        <v/>
      </c>
      <c r="O47" s="273">
        <f>SUMIF(Table410[Workstream],'$ Dashboard'!B47,Table410[Apr_2026_F])</f>
        <v/>
      </c>
      <c r="P47" s="273">
        <f>SUMIF(Table410[Workstream],'$ Dashboard'!B47,Table410[Apr_2026_A])</f>
        <v/>
      </c>
      <c r="Q47" s="273">
        <f>SUMIF(Table410[Workstream],'$ Dashboard'!B47,Table410[May_2026_F])</f>
        <v/>
      </c>
      <c r="R47" s="273">
        <f>SUMIF(Table410[Workstream],'$ Dashboard'!B47,Table410[May_2026_A])</f>
        <v/>
      </c>
      <c r="S47" s="273">
        <f>SUMIF(Table410[Workstream],'$ Dashboard'!B47,Table410[Jun_2026_F])</f>
        <v/>
      </c>
      <c r="T47" s="273">
        <f>SUMIF(Table410[Workstream],'$ Dashboard'!B47,Table410[Jun_2026_A])</f>
        <v/>
      </c>
      <c r="U47" s="273">
        <f>SUMIF(Table410[Workstream],'$ Dashboard'!B47,Table410[Jul_2026_F])</f>
        <v/>
      </c>
      <c r="V47" s="273">
        <f>SUMIF(Table410[Workstream],'$ Dashboard'!B47,Table410[Jul_2026_A])</f>
        <v/>
      </c>
      <c r="W47" s="273">
        <f>SUMIF(Table410[Workstream],'$ Dashboard'!B47,Table410[Aug_2026_F])</f>
        <v/>
      </c>
      <c r="X47" s="273">
        <f>SUMIF(Table410[Workstream],'$ Dashboard'!B47,Table410[Aug_2026_A])</f>
        <v/>
      </c>
      <c r="Y47" s="273">
        <f>SUMIF(Table410[Workstream],'$ Dashboard'!B47,Table410[Sep_2026_F])</f>
        <v/>
      </c>
      <c r="Z47" s="273">
        <f>SUMIF(Table410[Workstream],'$ Dashboard'!B47,Table410[Sep_2026_A])</f>
        <v/>
      </c>
      <c r="AA47" s="273">
        <f>SUMIF(Table410[Workstream],'$ Dashboard'!B47,Table410[Oct_2026_F])</f>
        <v/>
      </c>
      <c r="AB47" s="273">
        <f>SUMIF(Table410[Workstream],'$ Dashboard'!B47,Table410[Oct_2026_A])</f>
        <v/>
      </c>
      <c r="AC47" s="273">
        <f>SUMIF(Table410[Workstream],'$ Dashboard'!B47,Table410[Nov_2026_F])</f>
        <v/>
      </c>
      <c r="AD47" s="273">
        <f>SUMIF(Table410[Workstream],'$ Dashboard'!B47,Table410[Nov_2026_A])</f>
        <v/>
      </c>
      <c r="AE47" s="273">
        <f>SUMIF(Table410[Workstream],'$ Dashboard'!B47,Table410[Dec_2026_F])</f>
        <v/>
      </c>
      <c r="AF47" s="273">
        <f>SUMIF(Table410[Workstream],'$ Dashboard'!B47,Table410[Dec_2026_A])+SUMIF(Table46[Workstream],'$ Dashboard'!B47,Table46[Dec_26_A])</f>
        <v/>
      </c>
      <c r="AH47" s="272">
        <f>SUM(AW47:BG47)/1000000</f>
        <v/>
      </c>
      <c r="AI47" s="272">
        <f>SUMIF($AJ$12:$BG$12,"Actual",AJ47:BG47)/1000000</f>
        <v/>
      </c>
      <c r="AJ47" s="274" t="n"/>
      <c r="AK47" s="274" t="n"/>
      <c r="AL47" s="274" t="n"/>
      <c r="AM47" s="274" t="n"/>
      <c r="AN47" s="274" t="n"/>
      <c r="AO47" s="274" t="n"/>
      <c r="AP47" s="274" t="n"/>
      <c r="AQ47" s="274" t="n"/>
      <c r="AR47" s="274" t="n"/>
      <c r="AS47" s="274" t="n"/>
      <c r="AT47" s="274" t="n"/>
      <c r="AU47" s="274" t="n"/>
      <c r="AV47" s="274" t="n"/>
      <c r="AW47" s="274" t="n"/>
      <c r="AX47" s="274" t="n"/>
      <c r="AY47" s="274" t="n"/>
      <c r="AZ47" s="274" t="n"/>
      <c r="BA47" s="274" t="n"/>
      <c r="BB47" s="274" t="n"/>
      <c r="BC47" s="274" t="n"/>
      <c r="BD47" s="274" t="n"/>
      <c r="BE47" s="274" t="n"/>
      <c r="BF47" s="274" t="n"/>
      <c r="BG47" s="274" t="n"/>
      <c r="BI47" s="275" t="n"/>
      <c r="BJ47" s="275" t="n"/>
      <c r="BK47" s="275" t="n"/>
      <c r="BL47" s="275" t="n"/>
      <c r="BM47" s="275" t="n"/>
      <c r="BN47" s="275" t="n"/>
      <c r="BO47" s="275" t="n"/>
      <c r="BP47" s="275" t="n"/>
      <c r="BQ47" s="275" t="n"/>
      <c r="BR47" s="275" t="n"/>
      <c r="BS47" s="275" t="n"/>
      <c r="BT47" s="275" t="n"/>
      <c r="BU47" s="275" t="n"/>
      <c r="BV47" s="275" t="n"/>
      <c r="BW47" s="275" t="n"/>
      <c r="BX47" s="275" t="n"/>
      <c r="BY47" s="275" t="n"/>
      <c r="BZ47" s="275" t="n"/>
      <c r="CA47" s="275" t="n"/>
      <c r="CB47" s="275" t="n"/>
      <c r="CC47" s="275" t="n"/>
      <c r="CD47" s="272">
        <f>SUM(CE47:DB47)/1000000</f>
        <v/>
      </c>
      <c r="CE47" s="276" t="n"/>
      <c r="CF47" s="276" t="n"/>
      <c r="CG47" s="276" t="n"/>
      <c r="CH47" s="276" t="n"/>
      <c r="CI47" s="276" t="n"/>
      <c r="CJ47" s="276" t="n"/>
      <c r="CK47" s="276" t="n"/>
      <c r="CL47" s="276" t="n"/>
      <c r="CM47" s="276" t="n"/>
      <c r="CN47" s="276" t="n"/>
      <c r="CO47" s="276" t="n"/>
      <c r="CP47" s="276" t="n"/>
      <c r="CQ47" s="276" t="n"/>
      <c r="CR47" s="276" t="n"/>
      <c r="CS47" s="276" t="n"/>
      <c r="CT47" s="276" t="n"/>
      <c r="CU47" s="276" t="n"/>
      <c r="CV47" s="276" t="n"/>
      <c r="CW47" s="276" t="n"/>
      <c r="CX47" s="276" t="n"/>
      <c r="CY47" s="276" t="n"/>
      <c r="CZ47" s="276" t="n"/>
      <c r="DA47" s="276" t="n"/>
      <c r="DB47" s="276" t="n"/>
    </row>
    <row r="48" ht="15" customFormat="1" customHeight="1" s="1">
      <c r="B48" s="283" t="inlineStr">
        <is>
          <t>Total</t>
        </is>
      </c>
      <c r="C48" s="23" t="n"/>
      <c r="D48" s="284">
        <f>SUM(D38:D47)</f>
        <v/>
      </c>
      <c r="E48" s="284">
        <f>SUM(E38:E47)</f>
        <v/>
      </c>
      <c r="G48" s="284">
        <f>SUM(G38:G47)</f>
        <v/>
      </c>
      <c r="H48" s="284">
        <f>SUM(H38:H47)</f>
        <v/>
      </c>
      <c r="I48" s="284">
        <f>SUM(I38:I47)</f>
        <v/>
      </c>
      <c r="J48" s="284">
        <f>SUM(J38:J47)</f>
        <v/>
      </c>
      <c r="K48" s="284">
        <f>SUM(K38:K47)</f>
        <v/>
      </c>
      <c r="L48" s="284">
        <f>SUM(L38:L47)</f>
        <v/>
      </c>
      <c r="M48" s="284">
        <f>SUM(M38:M47)</f>
        <v/>
      </c>
      <c r="N48" s="284">
        <f>SUM(N38:N47)</f>
        <v/>
      </c>
      <c r="O48" s="284">
        <f>SUM(O38:O47)</f>
        <v/>
      </c>
      <c r="P48" s="284">
        <f>SUM(P38:P47)</f>
        <v/>
      </c>
      <c r="Q48" s="284">
        <f>SUM(Q38:Q47)</f>
        <v/>
      </c>
      <c r="R48" s="284">
        <f>SUM(R38:R47)</f>
        <v/>
      </c>
      <c r="S48" s="284">
        <f>SUM(S38:S47)</f>
        <v/>
      </c>
      <c r="T48" s="284">
        <f>SUM(T38:T47)</f>
        <v/>
      </c>
      <c r="U48" s="284">
        <f>SUM(U38:U47)</f>
        <v/>
      </c>
      <c r="V48" s="284">
        <f>SUM(V38:V47)</f>
        <v/>
      </c>
      <c r="W48" s="284">
        <f>SUM(W38:W47)</f>
        <v/>
      </c>
      <c r="X48" s="284">
        <f>SUM(X38:X47)</f>
        <v/>
      </c>
      <c r="Y48" s="284">
        <f>SUM(Y38:Y47)</f>
        <v/>
      </c>
      <c r="Z48" s="284">
        <f>SUM(Z38:Z47)</f>
        <v/>
      </c>
      <c r="AA48" s="284">
        <f>SUM(AA38:AA47)</f>
        <v/>
      </c>
      <c r="AB48" s="284">
        <f>SUM(AB38:AB47)</f>
        <v/>
      </c>
      <c r="AC48" s="284">
        <f>SUM(AC38:AC47)</f>
        <v/>
      </c>
      <c r="AD48" s="284">
        <f>SUM(AD38:AD47)</f>
        <v/>
      </c>
      <c r="AE48" s="284">
        <f>SUM(AE38:AE47)</f>
        <v/>
      </c>
      <c r="AF48" s="284">
        <f>SUM(AF38:AF47)</f>
        <v/>
      </c>
      <c r="AH48" s="284">
        <f>SUM(AH38:AH47)</f>
        <v/>
      </c>
      <c r="AI48" s="284">
        <f>SUM(AI38:AI47)</f>
        <v/>
      </c>
      <c r="AJ48" s="285">
        <f>SUM(AJ38:AJ47)</f>
        <v/>
      </c>
      <c r="AK48" s="285">
        <f>SUM(AK38:AK47)</f>
        <v/>
      </c>
      <c r="AL48" s="285">
        <f>SUM(AL38:AL47)</f>
        <v/>
      </c>
      <c r="AM48" s="285">
        <f>SUM(AM38:AM47)</f>
        <v/>
      </c>
      <c r="AN48" s="285">
        <f>SUM(AN38:AN47)</f>
        <v/>
      </c>
      <c r="AO48" s="285">
        <f>SUM(AO38:AO47)</f>
        <v/>
      </c>
      <c r="AP48" s="285">
        <f>SUM(AP38:AP47)</f>
        <v/>
      </c>
      <c r="AQ48" s="285">
        <f>SUM(AQ38:AQ47)</f>
        <v/>
      </c>
      <c r="AR48" s="285">
        <f>SUM(AR38:AR47)</f>
        <v/>
      </c>
      <c r="AS48" s="285">
        <f>SUM(AS38:AS47)</f>
        <v/>
      </c>
      <c r="AT48" s="285">
        <f>SUM(AT38:AT47)</f>
        <v/>
      </c>
      <c r="AU48" s="285">
        <f>SUM(AU38:AU47)</f>
        <v/>
      </c>
      <c r="AV48" s="285">
        <f>SUM(AV38:AV47)</f>
        <v/>
      </c>
      <c r="AW48" s="285">
        <f>SUM(AW38:AW47)</f>
        <v/>
      </c>
      <c r="AX48" s="285">
        <f>SUM(AX38:AX47)</f>
        <v/>
      </c>
      <c r="AY48" s="285">
        <f>SUM(AY38:AY47)</f>
        <v/>
      </c>
      <c r="AZ48" s="285">
        <f>SUM(AZ38:AZ47)</f>
        <v/>
      </c>
      <c r="BA48" s="285">
        <f>SUM(BA38:BA47)</f>
        <v/>
      </c>
      <c r="BB48" s="285">
        <f>SUM(BB38:BB47)</f>
        <v/>
      </c>
      <c r="BC48" s="285">
        <f>SUM(BC38:BC47)</f>
        <v/>
      </c>
      <c r="BD48" s="285">
        <f>SUM(BD38:BD47)</f>
        <v/>
      </c>
      <c r="BE48" s="285">
        <f>SUM(BE38:BE47)</f>
        <v/>
      </c>
      <c r="BF48" s="285">
        <f>SUM(BF38:BF47)</f>
        <v/>
      </c>
      <c r="BG48" s="285">
        <f>SUM(BG38:BG47)</f>
        <v/>
      </c>
      <c r="BI48" s="275" t="n"/>
      <c r="BJ48" s="275" t="n"/>
      <c r="BK48" s="275" t="n"/>
      <c r="BL48" s="275" t="n"/>
      <c r="BM48" s="275" t="n"/>
      <c r="BN48" s="275" t="n"/>
      <c r="BO48" s="275" t="n"/>
      <c r="BP48" s="275" t="n"/>
      <c r="BQ48" s="275" t="n"/>
      <c r="BR48" s="275" t="n"/>
      <c r="BS48" s="275" t="n"/>
      <c r="BT48" s="275" t="n"/>
      <c r="BU48" s="275" t="n"/>
      <c r="BV48" s="275" t="n"/>
      <c r="BW48" s="275" t="n"/>
      <c r="BX48" s="275" t="n"/>
      <c r="BY48" s="275" t="n"/>
      <c r="BZ48" s="275" t="n"/>
      <c r="CA48" s="275" t="n"/>
      <c r="CB48" s="275" t="n"/>
      <c r="CC48" s="275" t="n"/>
      <c r="CD48" s="284">
        <f>SUM(CD38:CD47)</f>
        <v/>
      </c>
      <c r="CE48" s="286">
        <f>SUM(CE38:CE47)</f>
        <v/>
      </c>
      <c r="CF48" s="286">
        <f>SUM(CF38:CF47)</f>
        <v/>
      </c>
      <c r="CG48" s="286">
        <f>SUM(CG38:CG47)</f>
        <v/>
      </c>
      <c r="CH48" s="286">
        <f>SUM(CH38:CH47)</f>
        <v/>
      </c>
      <c r="CI48" s="286">
        <f>SUM(CI38:CI47)</f>
        <v/>
      </c>
      <c r="CJ48" s="286">
        <f>SUM(CJ38:CJ47)</f>
        <v/>
      </c>
      <c r="CK48" s="286">
        <f>SUM(CK38:CK47)</f>
        <v/>
      </c>
      <c r="CL48" s="286">
        <f>SUM(CL38:CL47)</f>
        <v/>
      </c>
      <c r="CM48" s="286">
        <f>SUM(CM38:CM47)</f>
        <v/>
      </c>
      <c r="CN48" s="286">
        <f>SUM(CN38:CN47)</f>
        <v/>
      </c>
      <c r="CO48" s="286">
        <f>SUM(CO38:CO47)</f>
        <v/>
      </c>
      <c r="CP48" s="286">
        <f>SUM(CP38:CP47)</f>
        <v/>
      </c>
      <c r="CQ48" s="286">
        <f>SUM(CQ38:CQ47)</f>
        <v/>
      </c>
      <c r="CR48" s="286">
        <f>SUM(CR38:CR47)</f>
        <v/>
      </c>
      <c r="CS48" s="286">
        <f>SUM(CS38:CS47)</f>
        <v/>
      </c>
      <c r="CT48" s="286">
        <f>SUM(CT38:CT47)</f>
        <v/>
      </c>
      <c r="CU48" s="286">
        <f>SUM(CU38:CU47)</f>
        <v/>
      </c>
      <c r="CV48" s="286">
        <f>SUM(CV38:CV47)</f>
        <v/>
      </c>
      <c r="CW48" s="286">
        <f>SUM(CW38:CW47)</f>
        <v/>
      </c>
      <c r="CX48" s="286">
        <f>SUM(CX38:CX47)</f>
        <v/>
      </c>
      <c r="CY48" s="286">
        <f>SUM(CY38:CY47)</f>
        <v/>
      </c>
      <c r="CZ48" s="286">
        <f>SUM(CZ38:CZ47)</f>
        <v/>
      </c>
      <c r="DA48" s="286">
        <f>SUM(DA38:DA47)</f>
        <v/>
      </c>
      <c r="DB48" s="286">
        <f>SUM(DB38:DB47)</f>
        <v/>
      </c>
    </row>
    <row r="49" ht="15" customFormat="1" customHeight="1" s="1"/>
    <row r="50" customFormat="1" s="1"/>
    <row r="51" ht="18.95" customFormat="1" customHeight="1" s="1" thickBot="1">
      <c r="AK51" s="115" t="n"/>
      <c r="AM51" s="115" t="n"/>
      <c r="AO51" s="115" t="n"/>
      <c r="AQ51" s="115" t="n"/>
      <c r="AS51" s="115" t="n"/>
      <c r="AU51" s="115" t="n"/>
      <c r="AW51" s="115" t="n"/>
      <c r="AY51" s="115" t="n"/>
      <c r="BA51" s="115" t="n"/>
      <c r="BC51" s="115" t="n"/>
      <c r="BE51" s="115" t="n"/>
      <c r="BG51" s="115" t="n"/>
    </row>
    <row r="52" ht="18.6" customHeight="1">
      <c r="B52" s="294" t="inlineStr">
        <is>
          <t>Totals</t>
        </is>
      </c>
      <c r="D52" s="295">
        <f>SUM(G52,AH52)</f>
        <v/>
      </c>
      <c r="E52" s="295">
        <f>SUM(H52,AI52)</f>
        <v/>
      </c>
      <c r="G52" s="295">
        <f t="array" ref="G52">SUM(H52,SUMPRODUCT(($I$12:$AF$12="Plan")*($I$11:$AF$11&gt;$B$5)*(I52:AF52))/1000000)</f>
        <v/>
      </c>
      <c r="H52" s="295">
        <f>SUMIF($I$12:$AF$12,"Actual",I52:AF52)/1000000</f>
        <v/>
      </c>
      <c r="I52" s="280">
        <f>SUMIF(Table4[Workstream],'$ Dashboard'!B52,Table4[Jan_2026_F])+SUMIF(Table46[Workstream],'$ Dashboard'!B52,Table46[Jan_26_F])</f>
        <v/>
      </c>
      <c r="J52" s="274" t="n"/>
      <c r="K52" s="296" t="n"/>
      <c r="L52" s="274" t="n"/>
      <c r="M52" s="296" t="n"/>
      <c r="N52" s="274" t="n"/>
      <c r="O52" s="296" t="n"/>
      <c r="P52" s="274" t="n"/>
      <c r="Q52" s="296" t="n"/>
      <c r="R52" s="274" t="n"/>
      <c r="S52" s="296" t="n"/>
      <c r="T52" s="274" t="n"/>
      <c r="U52" s="296" t="n"/>
      <c r="V52" s="274" t="n"/>
      <c r="W52" s="296" t="n"/>
      <c r="X52" s="274" t="n"/>
      <c r="Y52" s="296" t="n"/>
      <c r="Z52" s="274" t="n"/>
      <c r="AA52" s="296" t="n"/>
      <c r="AB52" s="274" t="n"/>
      <c r="AC52" s="296" t="n"/>
      <c r="AD52" s="274" t="n"/>
      <c r="AE52" s="296" t="n"/>
      <c r="AF52" s="274" t="n"/>
      <c r="AH52" s="295">
        <f>SUM(AW52:BG52)/1000000</f>
        <v/>
      </c>
      <c r="AI52" s="295">
        <f>SUMIF($AJ$12:$BG$12,"Actual",AJ52:BG52)/1000000</f>
        <v/>
      </c>
      <c r="AJ52" s="296" t="n"/>
      <c r="AK52" s="296" t="n"/>
      <c r="AL52" s="296" t="n"/>
      <c r="AM52" s="296" t="n"/>
      <c r="AN52" s="296" t="n"/>
      <c r="AO52" s="296" t="n"/>
      <c r="AP52" s="296" t="n"/>
      <c r="AQ52" s="296" t="n"/>
      <c r="AR52" s="296" t="n"/>
      <c r="AS52" s="296" t="n"/>
      <c r="AT52" s="296" t="n"/>
      <c r="AU52" s="296" t="n"/>
      <c r="AV52" s="296" t="n"/>
      <c r="AW52" s="296" t="n"/>
      <c r="AX52" s="296" t="n"/>
      <c r="AY52" s="296" t="n"/>
      <c r="AZ52" s="296" t="n"/>
      <c r="BA52" s="296" t="n"/>
      <c r="BB52" s="296" t="n"/>
      <c r="BC52" s="296" t="n"/>
      <c r="BD52" s="296" t="n"/>
      <c r="BE52" s="296" t="n"/>
      <c r="BF52" s="296" t="n"/>
      <c r="BG52" s="296" t="n"/>
      <c r="BI52" s="275" t="n"/>
      <c r="BJ52" s="275" t="n"/>
      <c r="BK52" s="275" t="n"/>
      <c r="BL52" s="275" t="n"/>
      <c r="BM52" s="275" t="n"/>
      <c r="BN52" s="275" t="n"/>
      <c r="BO52" s="275" t="n"/>
      <c r="BP52" s="275" t="n"/>
      <c r="BQ52" s="275" t="n"/>
      <c r="BR52" s="275" t="n"/>
      <c r="BS52" s="275" t="n"/>
      <c r="BT52" s="275" t="n"/>
      <c r="BU52" s="275" t="n"/>
      <c r="BV52" s="275" t="n"/>
      <c r="BW52" s="275" t="n"/>
      <c r="BX52" s="275" t="n"/>
      <c r="BY52" s="275" t="n"/>
      <c r="BZ52" s="275" t="n"/>
      <c r="CA52" s="275" t="n"/>
      <c r="CB52" s="275" t="n"/>
      <c r="CC52" s="275" t="n"/>
      <c r="CD52" s="295">
        <f>SUM(CE52:DB52)/1000000</f>
        <v/>
      </c>
      <c r="CE52" s="297" t="n"/>
      <c r="CF52" s="297" t="n"/>
      <c r="CG52" s="297" t="n"/>
      <c r="CH52" s="297" t="n"/>
      <c r="CI52" s="297" t="n"/>
      <c r="CJ52" s="297" t="n"/>
      <c r="CK52" s="297" t="n"/>
      <c r="CL52" s="297" t="n"/>
      <c r="CM52" s="297" t="n"/>
      <c r="CN52" s="297" t="n"/>
      <c r="CO52" s="297" t="n"/>
      <c r="CP52" s="297" t="n"/>
      <c r="CQ52" s="297" t="n"/>
      <c r="CR52" s="297" t="n"/>
      <c r="CS52" s="297" t="n"/>
      <c r="CT52" s="297" t="n"/>
      <c r="CU52" s="297" t="n"/>
      <c r="CV52" s="297" t="n"/>
      <c r="CW52" s="297" t="n"/>
      <c r="CX52" s="297" t="n"/>
      <c r="CY52" s="297" t="n"/>
      <c r="CZ52" s="297" t="n"/>
      <c r="DA52" s="297" t="n"/>
      <c r="DB52" s="297" t="n"/>
    </row>
    <row r="53" ht="18.95" customHeight="1" thickBot="1">
      <c r="B53" s="298" t="inlineStr">
        <is>
          <t>Resource + Non-Resource</t>
        </is>
      </c>
      <c r="D53" s="299">
        <f>SUM(D30,D77)</f>
        <v/>
      </c>
      <c r="E53" s="299">
        <f>SUM(E30,E77,E48)</f>
        <v/>
      </c>
      <c r="G53" s="299">
        <f>SUM(G30,G77,G48)</f>
        <v/>
      </c>
      <c r="H53" s="299">
        <f>SUM(H30,H77,H48)</f>
        <v/>
      </c>
      <c r="I53" s="300">
        <f>SUM(I30,I77)</f>
        <v/>
      </c>
      <c r="J53" s="300">
        <f>SUM(J30,J77)</f>
        <v/>
      </c>
      <c r="K53" s="300">
        <f>SUM(K30,K77)</f>
        <v/>
      </c>
      <c r="L53" s="300">
        <f>SUM(L30,L77)</f>
        <v/>
      </c>
      <c r="M53" s="300">
        <f>SUM(M30,M77)</f>
        <v/>
      </c>
      <c r="N53" s="300">
        <f>SUM(N30,N77)</f>
        <v/>
      </c>
      <c r="O53" s="300">
        <f>SUM(O30,O77)</f>
        <v/>
      </c>
      <c r="P53" s="300">
        <f>SUM(P30,P77)</f>
        <v/>
      </c>
      <c r="Q53" s="300">
        <f>SUM(Q30,Q77)</f>
        <v/>
      </c>
      <c r="R53" s="300">
        <f>SUM(R30,R77)</f>
        <v/>
      </c>
      <c r="S53" s="300">
        <f>SUM(S30,S77)</f>
        <v/>
      </c>
      <c r="T53" s="300">
        <f>SUM(T30,T77)</f>
        <v/>
      </c>
      <c r="U53" s="300">
        <f>SUM(U30,U77)</f>
        <v/>
      </c>
      <c r="V53" s="300">
        <f>SUM(V30,V77)</f>
        <v/>
      </c>
      <c r="W53" s="300">
        <f>SUM(W30,W77)</f>
        <v/>
      </c>
      <c r="X53" s="300">
        <f>SUM(X30,X77)</f>
        <v/>
      </c>
      <c r="Y53" s="300">
        <f>SUM(Y30,Y77)</f>
        <v/>
      </c>
      <c r="Z53" s="300">
        <f>SUM(Z30,Z77)</f>
        <v/>
      </c>
      <c r="AA53" s="300">
        <f>SUM(AA30,AA77)</f>
        <v/>
      </c>
      <c r="AB53" s="300">
        <f>SUM(AB30,AB77)</f>
        <v/>
      </c>
      <c r="AC53" s="300">
        <f>SUM(AC30,AC77)</f>
        <v/>
      </c>
      <c r="AD53" s="300">
        <f>SUM(AD30,AD77)</f>
        <v/>
      </c>
      <c r="AE53" s="300">
        <f>SUM(AE30,AE77)</f>
        <v/>
      </c>
      <c r="AF53" s="300">
        <f>SUM(AF30,AF77)</f>
        <v/>
      </c>
      <c r="AH53" s="299">
        <f>SUM(AH30,AH52)</f>
        <v/>
      </c>
      <c r="AI53" s="299">
        <f>SUM(AI30,AI52)</f>
        <v/>
      </c>
      <c r="AJ53" s="300">
        <f>SUM(AJ30,AJ52)</f>
        <v/>
      </c>
      <c r="AK53" s="300">
        <f>SUM(AK30,AK52)</f>
        <v/>
      </c>
      <c r="AL53" s="300">
        <f>SUM(AL30,AL52)</f>
        <v/>
      </c>
      <c r="AM53" s="300">
        <f>SUM(AM30,AM52)</f>
        <v/>
      </c>
      <c r="AN53" s="300">
        <f>SUM(AN30,AN52)</f>
        <v/>
      </c>
      <c r="AO53" s="300">
        <f>SUM(AO30,AO52)</f>
        <v/>
      </c>
      <c r="AP53" s="300">
        <f>SUM(AP30,AP52)</f>
        <v/>
      </c>
      <c r="AQ53" s="300">
        <f>SUM(AQ30,AQ52)</f>
        <v/>
      </c>
      <c r="AR53" s="300">
        <f>SUM(AR30,AR52)</f>
        <v/>
      </c>
      <c r="AS53" s="300">
        <f>SUM(AS30,AS52)</f>
        <v/>
      </c>
      <c r="AT53" s="300">
        <f>SUM(AT30,AT52)</f>
        <v/>
      </c>
      <c r="AU53" s="300">
        <f>SUM(AU30,AU52)</f>
        <v/>
      </c>
      <c r="AV53" s="300">
        <f>SUM(AV30,AV52)</f>
        <v/>
      </c>
      <c r="AW53" s="300">
        <f>SUM(AW30,AW52)</f>
        <v/>
      </c>
      <c r="AX53" s="300">
        <f>SUM(AX30,AX52)</f>
        <v/>
      </c>
      <c r="AY53" s="300">
        <f>SUM(AY30,AY52)</f>
        <v/>
      </c>
      <c r="AZ53" s="300">
        <f>SUM(AZ30,AZ52)</f>
        <v/>
      </c>
      <c r="BA53" s="300">
        <f>SUM(BA30,BA52)</f>
        <v/>
      </c>
      <c r="BB53" s="300">
        <f>SUM(BB30,BB52)</f>
        <v/>
      </c>
      <c r="BC53" s="300">
        <f>SUM(BC30,BC52)</f>
        <v/>
      </c>
      <c r="BD53" s="300">
        <f>SUM(BD30,BD52)</f>
        <v/>
      </c>
      <c r="BE53" s="300">
        <f>SUM(BE30,BE52)</f>
        <v/>
      </c>
      <c r="BF53" s="300">
        <f>SUM(BF30,BF52)</f>
        <v/>
      </c>
      <c r="BG53" s="300">
        <f>SUM(BG30,BG52)</f>
        <v/>
      </c>
      <c r="BI53" s="275" t="n"/>
      <c r="BJ53" s="275" t="n"/>
      <c r="BK53" s="275" t="n"/>
      <c r="BL53" s="275" t="n"/>
      <c r="BM53" s="275" t="n"/>
      <c r="BN53" s="275" t="n"/>
      <c r="BO53" s="275" t="n"/>
      <c r="BP53" s="275" t="n"/>
      <c r="BQ53" s="275" t="n"/>
      <c r="BR53" s="275" t="n"/>
      <c r="BS53" s="275" t="n"/>
      <c r="BT53" s="275" t="n"/>
      <c r="BU53" s="275" t="n"/>
      <c r="BV53" s="275" t="n"/>
      <c r="BW53" s="275" t="n"/>
      <c r="BX53" s="275" t="n"/>
      <c r="BY53" s="275" t="n"/>
      <c r="BZ53" s="275" t="n"/>
      <c r="CA53" s="275" t="n"/>
      <c r="CB53" s="275" t="n"/>
      <c r="CC53" s="275" t="n"/>
      <c r="CD53" s="299">
        <f>SUM(CE53:DB53)/1000000</f>
        <v/>
      </c>
      <c r="CE53" s="300">
        <f>SUM(CE30,CE52)</f>
        <v/>
      </c>
      <c r="CF53" s="300">
        <f>SUM(CF30,CF52)</f>
        <v/>
      </c>
      <c r="CG53" s="300">
        <f>SUM(CG30,CG52)</f>
        <v/>
      </c>
      <c r="CH53" s="300">
        <f>SUM(CH30,CH52)</f>
        <v/>
      </c>
      <c r="CI53" s="300">
        <f>SUM(CI30,CI52)</f>
        <v/>
      </c>
      <c r="CJ53" s="300">
        <f>SUM(CJ30,CJ52)</f>
        <v/>
      </c>
      <c r="CK53" s="300">
        <f>SUM(CK30,CK52)</f>
        <v/>
      </c>
      <c r="CL53" s="300">
        <f>SUM(CL30,CL52)</f>
        <v/>
      </c>
      <c r="CM53" s="300">
        <f>SUM(CM30,CM52)</f>
        <v/>
      </c>
      <c r="CN53" s="300">
        <f>SUM(CN30,CN52)</f>
        <v/>
      </c>
      <c r="CO53" s="300">
        <f>SUM(CO30,CO52)</f>
        <v/>
      </c>
      <c r="CP53" s="300">
        <f>SUM(CP30,CP52)</f>
        <v/>
      </c>
      <c r="CQ53" s="300">
        <f>SUM(CQ30,CQ52)</f>
        <v/>
      </c>
      <c r="CR53" s="300">
        <f>SUM(CR30,CR52)</f>
        <v/>
      </c>
      <c r="CS53" s="300">
        <f>SUM(CS30,CS52)</f>
        <v/>
      </c>
      <c r="CT53" s="300">
        <f>SUM(CT30,CT52)</f>
        <v/>
      </c>
      <c r="CU53" s="300">
        <f>SUM(CU30,CU52)</f>
        <v/>
      </c>
      <c r="CV53" s="300">
        <f>SUM(CV30,CV52)</f>
        <v/>
      </c>
      <c r="CW53" s="300">
        <f>SUM(CW30,CW52)</f>
        <v/>
      </c>
      <c r="CX53" s="300">
        <f>SUM(CX30,CX52)</f>
        <v/>
      </c>
      <c r="CY53" s="300">
        <f>SUM(CY30,CY52)</f>
        <v/>
      </c>
      <c r="CZ53" s="300">
        <f>SUM(CZ30,CZ52)</f>
        <v/>
      </c>
      <c r="DA53" s="300">
        <f>SUM(DA30,DA52)</f>
        <v/>
      </c>
      <c r="DB53" s="300">
        <f>SUM(DB30,DB52)</f>
        <v/>
      </c>
    </row>
    <row r="54"/>
    <row r="55"/>
    <row r="56" ht="15" customHeight="1" thickBot="1">
      <c r="G56" s="301" t="n"/>
    </row>
    <row r="57">
      <c r="B57" s="302" t="n"/>
    </row>
    <row r="58" ht="15" customHeight="1" thickBot="1">
      <c r="B58" s="303" t="n"/>
    </row>
    <row r="59" ht="15" customHeight="1" thickBot="1">
      <c r="B59" s="11" t="n"/>
      <c r="C59" s="11" t="n"/>
      <c r="D59" s="288" t="inlineStr">
        <is>
          <t>[2026 - 2027]</t>
        </is>
      </c>
      <c r="F59" s="11" t="n"/>
      <c r="G59" s="288" t="inlineStr">
        <is>
          <t>[2026]</t>
        </is>
      </c>
      <c r="I59" s="203" t="n"/>
      <c r="J59" s="203" t="n"/>
      <c r="K59" s="203" t="n"/>
      <c r="L59" s="203" t="n"/>
      <c r="M59" s="203" t="n"/>
      <c r="N59" s="203" t="n"/>
      <c r="O59" s="203" t="n"/>
      <c r="P59" s="203" t="n"/>
      <c r="Q59" s="203" t="n"/>
      <c r="R59" s="203" t="n"/>
      <c r="S59" s="203" t="n"/>
      <c r="T59" s="203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1" t="n"/>
      <c r="AH59" s="289" t="inlineStr">
        <is>
          <t>[2027]</t>
        </is>
      </c>
      <c r="AI59" s="264" t="n"/>
      <c r="AJ59" s="203" t="n"/>
      <c r="AK59" s="203" t="n"/>
      <c r="AL59" s="203" t="n"/>
      <c r="AM59" s="203" t="n"/>
      <c r="AN59" s="203" t="n"/>
      <c r="AO59" s="203" t="n"/>
      <c r="AP59" s="203" t="n"/>
      <c r="AQ59" s="203" t="n"/>
      <c r="AR59" s="203" t="n"/>
      <c r="AS59" s="203" t="n"/>
      <c r="AT59" s="203" t="n"/>
      <c r="AU59" s="203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n"/>
      <c r="CD59" s="37" t="n"/>
      <c r="CE59" s="11" t="n"/>
      <c r="CF59" s="11" t="n"/>
      <c r="CG59" s="11" t="n"/>
      <c r="CH59" s="11" t="n"/>
      <c r="CI59" s="11" t="n"/>
      <c r="CJ59" s="11" t="n"/>
      <c r="CK59" s="11" t="n"/>
      <c r="CL59" s="11" t="n"/>
      <c r="CM59" s="11" t="n"/>
      <c r="CN59" s="11" t="n"/>
      <c r="CO59" s="11" t="n"/>
      <c r="CP59" s="11" t="n"/>
      <c r="CQ59" s="11" t="n"/>
      <c r="CR59" s="11" t="n"/>
      <c r="CS59" s="11" t="n"/>
      <c r="CT59" s="11" t="n"/>
      <c r="CU59" s="11" t="n"/>
      <c r="CV59" s="11" t="n"/>
      <c r="CW59" s="11" t="n"/>
      <c r="CX59" s="11" t="n"/>
      <c r="CY59" s="11" t="n"/>
      <c r="CZ59" s="11" t="n"/>
      <c r="DA59" s="11" t="n"/>
      <c r="DB59" s="11" t="n"/>
    </row>
    <row r="60" ht="18.6" customHeight="1">
      <c r="B60" s="304" t="inlineStr">
        <is>
          <t>Non-Resource Cost by cost type</t>
        </is>
      </c>
      <c r="C60" s="1" t="n"/>
      <c r="D60" s="304" t="inlineStr">
        <is>
          <t>Program LE</t>
        </is>
      </c>
      <c r="E60" s="304" t="inlineStr">
        <is>
          <t>Program YTD Actual</t>
        </is>
      </c>
      <c r="F60" s="1" t="n"/>
      <c r="G60" s="304" t="inlineStr">
        <is>
          <t>LE</t>
        </is>
      </c>
      <c r="H60" s="304" t="inlineStr">
        <is>
          <t>Actual</t>
        </is>
      </c>
      <c r="I60" s="305" t="n">
        <v>46023</v>
      </c>
      <c r="J60" s="306" t="n"/>
      <c r="K60" s="305" t="n">
        <v>46054</v>
      </c>
      <c r="L60" s="306" t="n"/>
      <c r="M60" s="305" t="n">
        <v>46082</v>
      </c>
      <c r="N60" s="306" t="n"/>
      <c r="O60" s="305" t="n">
        <v>46113</v>
      </c>
      <c r="P60" s="306" t="n"/>
      <c r="Q60" s="305" t="n">
        <v>46143</v>
      </c>
      <c r="R60" s="306" t="n"/>
      <c r="S60" s="305" t="n">
        <v>46174</v>
      </c>
      <c r="T60" s="306" t="n"/>
      <c r="U60" s="305" t="n">
        <v>46204</v>
      </c>
      <c r="V60" s="306" t="n"/>
      <c r="W60" s="305" t="n">
        <v>46235</v>
      </c>
      <c r="X60" s="306" t="n"/>
      <c r="Y60" s="305" t="n">
        <v>46266</v>
      </c>
      <c r="Z60" s="306" t="n"/>
      <c r="AA60" s="305" t="n">
        <v>46296</v>
      </c>
      <c r="AB60" s="306" t="n"/>
      <c r="AC60" s="305" t="n">
        <v>46327</v>
      </c>
      <c r="AD60" s="306" t="n"/>
      <c r="AE60" s="305" t="n">
        <v>46357</v>
      </c>
      <c r="AF60" s="306" t="n"/>
      <c r="AG60" s="1" t="n"/>
      <c r="AH60" s="304" t="inlineStr">
        <is>
          <t>LE</t>
        </is>
      </c>
      <c r="AI60" s="304" t="inlineStr">
        <is>
          <t>Actual</t>
        </is>
      </c>
      <c r="AJ60" s="305" t="n">
        <v>46388</v>
      </c>
      <c r="AK60" s="306" t="n"/>
      <c r="AL60" s="305" t="n">
        <v>46419</v>
      </c>
      <c r="AM60" s="306" t="n"/>
      <c r="AN60" s="305" t="n">
        <v>46447</v>
      </c>
      <c r="AO60" s="306" t="n"/>
      <c r="AP60" s="305" t="n">
        <v>46478</v>
      </c>
      <c r="AQ60" s="306" t="n"/>
      <c r="AR60" s="305" t="n">
        <v>46508</v>
      </c>
      <c r="AS60" s="306" t="n"/>
      <c r="AT60" s="305" t="n">
        <v>46539</v>
      </c>
      <c r="AU60" s="306" t="n"/>
      <c r="AV60" s="305" t="n">
        <v>46569</v>
      </c>
      <c r="AW60" s="306" t="n"/>
      <c r="AX60" s="305" t="n">
        <v>46600</v>
      </c>
      <c r="AY60" s="306" t="n"/>
      <c r="AZ60" s="305" t="n">
        <v>46631</v>
      </c>
      <c r="BA60" s="306" t="n"/>
      <c r="BB60" s="305" t="n">
        <v>46661</v>
      </c>
      <c r="BC60" s="306" t="n"/>
      <c r="BD60" s="305" t="n">
        <v>46692</v>
      </c>
      <c r="BE60" s="306" t="n"/>
      <c r="BF60" s="305" t="n">
        <v>46722</v>
      </c>
      <c r="BG60" s="306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304" t="inlineStr">
        <is>
          <t>GIP</t>
        </is>
      </c>
      <c r="CE60" s="307" t="n">
        <v>46023</v>
      </c>
      <c r="CF60" s="307" t="n">
        <v>46054</v>
      </c>
      <c r="CG60" s="307" t="n">
        <v>46082</v>
      </c>
      <c r="CH60" s="307" t="n">
        <v>46113</v>
      </c>
      <c r="CI60" s="307" t="n">
        <v>46143</v>
      </c>
      <c r="CJ60" s="307" t="n">
        <v>46174</v>
      </c>
      <c r="CK60" s="307" t="n">
        <v>46204</v>
      </c>
      <c r="CL60" s="307" t="n">
        <v>46235</v>
      </c>
      <c r="CM60" s="307" t="n">
        <v>46266</v>
      </c>
      <c r="CN60" s="307" t="n">
        <v>46296</v>
      </c>
      <c r="CO60" s="307" t="n">
        <v>46327</v>
      </c>
      <c r="CP60" s="307" t="n">
        <v>46357</v>
      </c>
      <c r="CQ60" s="307" t="n">
        <v>46388</v>
      </c>
      <c r="CR60" s="307" t="n">
        <v>46419</v>
      </c>
      <c r="CS60" s="307" t="n">
        <v>46447</v>
      </c>
      <c r="CT60" s="307" t="n">
        <v>46478</v>
      </c>
      <c r="CU60" s="307" t="n">
        <v>46508</v>
      </c>
      <c r="CV60" s="307" t="n">
        <v>46539</v>
      </c>
      <c r="CW60" s="307" t="n">
        <v>46569</v>
      </c>
      <c r="CX60" s="307" t="n">
        <v>46600</v>
      </c>
      <c r="CY60" s="307" t="n">
        <v>46631</v>
      </c>
      <c r="CZ60" s="307" t="n">
        <v>46661</v>
      </c>
      <c r="DA60" s="307" t="n">
        <v>46692</v>
      </c>
      <c r="DB60" s="307" t="n">
        <v>46722</v>
      </c>
    </row>
    <row r="61" ht="18.6" customHeight="1">
      <c r="B61" s="308" t="n"/>
      <c r="C61" s="19" t="n"/>
      <c r="D61" s="308" t="n"/>
      <c r="E61" s="308" t="n"/>
      <c r="F61" s="19" t="n"/>
      <c r="G61" s="308" t="n"/>
      <c r="H61" s="308" t="n"/>
      <c r="I61" s="293" t="inlineStr">
        <is>
          <t>Plan</t>
        </is>
      </c>
      <c r="J61" s="293" t="inlineStr">
        <is>
          <t>Actual</t>
        </is>
      </c>
      <c r="K61" s="293" t="inlineStr">
        <is>
          <t>Plan</t>
        </is>
      </c>
      <c r="L61" s="293" t="inlineStr">
        <is>
          <t>Actual</t>
        </is>
      </c>
      <c r="M61" s="293" t="inlineStr">
        <is>
          <t>Plan</t>
        </is>
      </c>
      <c r="N61" s="293" t="inlineStr">
        <is>
          <t>Actual</t>
        </is>
      </c>
      <c r="O61" s="293" t="inlineStr">
        <is>
          <t>Plan</t>
        </is>
      </c>
      <c r="P61" s="293" t="inlineStr">
        <is>
          <t>Actual</t>
        </is>
      </c>
      <c r="Q61" s="293" t="inlineStr">
        <is>
          <t>Plan</t>
        </is>
      </c>
      <c r="R61" s="293" t="inlineStr">
        <is>
          <t>Actual</t>
        </is>
      </c>
      <c r="S61" s="293" t="inlineStr">
        <is>
          <t>Plan</t>
        </is>
      </c>
      <c r="T61" s="293" t="inlineStr">
        <is>
          <t>Actual</t>
        </is>
      </c>
      <c r="U61" s="293" t="inlineStr">
        <is>
          <t>Plan</t>
        </is>
      </c>
      <c r="V61" s="293" t="inlineStr">
        <is>
          <t>Actual</t>
        </is>
      </c>
      <c r="W61" s="293" t="inlineStr">
        <is>
          <t>Plan</t>
        </is>
      </c>
      <c r="X61" s="293" t="inlineStr">
        <is>
          <t>Actual</t>
        </is>
      </c>
      <c r="Y61" s="293" t="inlineStr">
        <is>
          <t>Plan</t>
        </is>
      </c>
      <c r="Z61" s="293" t="inlineStr">
        <is>
          <t>Actual</t>
        </is>
      </c>
      <c r="AA61" s="293" t="inlineStr">
        <is>
          <t>Plan</t>
        </is>
      </c>
      <c r="AB61" s="293" t="inlineStr">
        <is>
          <t>Actual</t>
        </is>
      </c>
      <c r="AC61" s="293" t="inlineStr">
        <is>
          <t>Plan</t>
        </is>
      </c>
      <c r="AD61" s="293" t="inlineStr">
        <is>
          <t>Actual</t>
        </is>
      </c>
      <c r="AE61" s="293" t="inlineStr">
        <is>
          <t>Plan</t>
        </is>
      </c>
      <c r="AF61" s="293" t="inlineStr">
        <is>
          <t>Actual</t>
        </is>
      </c>
      <c r="AG61" s="19" t="n"/>
      <c r="AH61" s="308" t="n"/>
      <c r="AI61" s="308" t="n"/>
      <c r="AJ61" s="293" t="inlineStr">
        <is>
          <t>Plan</t>
        </is>
      </c>
      <c r="AK61" s="293">
        <f>IF(AJ60&lt;=$B$5,"Actual","")</f>
        <v/>
      </c>
      <c r="AL61" s="293" t="inlineStr">
        <is>
          <t>Plan</t>
        </is>
      </c>
      <c r="AM61" s="293">
        <f>IF(AL60&lt;=$B$5,"Actual","")</f>
        <v/>
      </c>
      <c r="AN61" s="293" t="inlineStr">
        <is>
          <t>Plan</t>
        </is>
      </c>
      <c r="AO61" s="293">
        <f>IF(AN60&lt;=$B$5,"Actual","")</f>
        <v/>
      </c>
      <c r="AP61" s="293" t="inlineStr">
        <is>
          <t>Plan</t>
        </is>
      </c>
      <c r="AQ61" s="293">
        <f>IF(AP60&lt;=$B$5,"Actual","")</f>
        <v/>
      </c>
      <c r="AR61" s="293" t="inlineStr">
        <is>
          <t>Plan</t>
        </is>
      </c>
      <c r="AS61" s="293">
        <f>IF(AR60&lt;=$B$5,"Actual","")</f>
        <v/>
      </c>
      <c r="AT61" s="293" t="inlineStr">
        <is>
          <t>Plan</t>
        </is>
      </c>
      <c r="AU61" s="293">
        <f>IF(AT60&lt;=$B$5,"Actual","")</f>
        <v/>
      </c>
      <c r="AV61" s="293" t="inlineStr">
        <is>
          <t>Plan</t>
        </is>
      </c>
      <c r="AW61" s="293">
        <f>IF(AV60&lt;=$B$5,"Actual","")</f>
        <v/>
      </c>
      <c r="AX61" s="293" t="inlineStr">
        <is>
          <t>Plan</t>
        </is>
      </c>
      <c r="AY61" s="293">
        <f>IF(AX60&lt;=$B$5,"Actual","")</f>
        <v/>
      </c>
      <c r="AZ61" s="293" t="inlineStr">
        <is>
          <t>Plan</t>
        </is>
      </c>
      <c r="BA61" s="293">
        <f>IF(AZ60&lt;=$B$5,"Actual","")</f>
        <v/>
      </c>
      <c r="BB61" s="293" t="inlineStr">
        <is>
          <t>Plan</t>
        </is>
      </c>
      <c r="BC61" s="293">
        <f>IF(BB60&lt;=$B$5,"Actual","")</f>
        <v/>
      </c>
      <c r="BD61" s="293" t="inlineStr">
        <is>
          <t>Plan</t>
        </is>
      </c>
      <c r="BE61" s="293">
        <f>IF(BD60&lt;=$B$5,"Actual","")</f>
        <v/>
      </c>
      <c r="BF61" s="293" t="inlineStr">
        <is>
          <t>Plan</t>
        </is>
      </c>
      <c r="BG61" s="293">
        <f>IF(BF60&lt;=$B$5,"Actual","")</f>
        <v/>
      </c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n"/>
      <c r="CD61" s="308" t="n"/>
      <c r="CE61" s="309" t="n"/>
      <c r="CF61" s="309" t="n"/>
      <c r="CG61" s="309" t="n"/>
      <c r="CH61" s="309" t="n"/>
      <c r="CI61" s="309" t="n"/>
      <c r="CJ61" s="309" t="n"/>
      <c r="CK61" s="309" t="n"/>
      <c r="CL61" s="309" t="n"/>
      <c r="CM61" s="309" t="n"/>
      <c r="CN61" s="309" t="n"/>
      <c r="CO61" s="309" t="n"/>
      <c r="CP61" s="309" t="n"/>
      <c r="CQ61" s="309" t="n"/>
      <c r="CR61" s="309" t="n"/>
      <c r="CS61" s="309" t="n"/>
      <c r="CT61" s="309" t="n"/>
      <c r="CU61" s="309" t="n"/>
      <c r="CV61" s="309" t="n"/>
      <c r="CW61" s="309" t="n"/>
      <c r="CX61" s="309" t="n"/>
      <c r="CY61" s="309" t="n"/>
      <c r="CZ61" s="309" t="n"/>
      <c r="DA61" s="309" t="n"/>
      <c r="DB61" s="309" t="n"/>
    </row>
    <row r="62" ht="18.6" customHeight="1">
      <c r="B62" s="310" t="inlineStr">
        <is>
          <t>Travel Costs</t>
        </is>
      </c>
      <c r="D62" s="279">
        <f>SUM(G62,AH62)</f>
        <v/>
      </c>
      <c r="E62" s="279">
        <f>SUM(H62,AI62)</f>
        <v/>
      </c>
      <c r="G62" s="279">
        <f>SUMIF($I$12:$AF$12,"Plan",I62:AF62)/1000000</f>
        <v/>
      </c>
      <c r="H62" s="279">
        <f>SUMIF($I$12:$AF$12,"Actual",I62:AF62)/1000000</f>
        <v/>
      </c>
      <c r="I62" s="280">
        <f>SUMIF(Table46[Cost type],'$ Dashboard'!B62,Table46[Jan_26_F])</f>
        <v/>
      </c>
      <c r="J62" s="280">
        <f>SUMIF(Table46[Cost type],'$ Dashboard'!B13,Table46[Jan_26_Act])</f>
        <v/>
      </c>
      <c r="K62" s="280">
        <f>SUMIF(Table46[Cost type],'$ Dashboard'!B62,Table46[Feb_26_F])</f>
        <v/>
      </c>
      <c r="L62" s="280">
        <f>SUMIF(Table46[Cost type],'$ Dashboard'!B13,Table46[Feb_26_A])</f>
        <v/>
      </c>
      <c r="M62" s="280">
        <f>SUMIF(Table46[Cost type],'$ Dashboard'!B62,Table46[Mar_26_F])</f>
        <v/>
      </c>
      <c r="N62" s="280">
        <f>SUMIF(Table46[Cost type],'$ Dashboard'!B13,Table46[Mar_26_A])</f>
        <v/>
      </c>
      <c r="O62" s="280">
        <f>SUMIF(Table46[Cost type],'$ Dashboard'!B62,Table46[Apr_26_F])</f>
        <v/>
      </c>
      <c r="P62" s="280">
        <f>SUMIF(Table46[Cost type],'$ Dashboard'!B13,Table46[Apr_26_A])</f>
        <v/>
      </c>
      <c r="Q62" s="280">
        <f>SUMIF(Table46[Cost type],'$ Dashboard'!B62,Table46[May_26_F])</f>
        <v/>
      </c>
      <c r="R62" s="280">
        <f>SUMIF(Table46[Cost type],'$ Dashboard'!B13,Table46[May_26_A])</f>
        <v/>
      </c>
      <c r="S62" s="280">
        <f>SUMIF(Table46[Cost type],'$ Dashboard'!B62,Table46[Jun_26_F])</f>
        <v/>
      </c>
      <c r="T62" s="280">
        <f>SUMIF(Table46[Cost type],'$ Dashboard'!B13,Table46[Jun_26_A])</f>
        <v/>
      </c>
      <c r="U62" s="280">
        <f>SUMIF(Table46[Cost type],'$ Dashboard'!B62,Table46[Jul_26_F])</f>
        <v/>
      </c>
      <c r="V62" s="280">
        <f>SUMIF(Table46[Cost type],'$ Dashboard'!B13,Table46[Jul_26_A])</f>
        <v/>
      </c>
      <c r="W62" s="280">
        <f>SUMIF(Table46[Cost type],'$ Dashboard'!B62,Table46[Aug_26_F])</f>
        <v/>
      </c>
      <c r="X62" s="280">
        <f>SUMIF(Table46[Cost type],'$ Dashboard'!B13,Table46[Aug_26_A])</f>
        <v/>
      </c>
      <c r="Y62" s="280">
        <f>SUMIF(Table46[Cost type],'$ Dashboard'!B62,Table46[Sep_26_F])</f>
        <v/>
      </c>
      <c r="Z62" s="280">
        <f>SUMIF(Table46[Cost type],'$ Dashboard'!B13,Table46[Sep_26_A])</f>
        <v/>
      </c>
      <c r="AA62" s="280">
        <f>SUMIF(Table46[Cost type],'$ Dashboard'!B62,Table46[Oct_26_F])</f>
        <v/>
      </c>
      <c r="AB62" s="280">
        <f>SUMIF(Table46[Cost type],'$ Dashboard'!B13,Table46[Oct_26_A])</f>
        <v/>
      </c>
      <c r="AC62" s="280">
        <f>SUMIF(Table46[Cost type],'$ Dashboard'!B62,Table46[Nov_26_F])</f>
        <v/>
      </c>
      <c r="AD62" s="280">
        <f>SUMIF(Table46[Cost type],'$ Dashboard'!B68,Table46[Nov_26_A])</f>
        <v/>
      </c>
      <c r="AE62" s="280">
        <f>SUMIF(Table46[Cost type],'$ Dashboard'!B62,Table46[Dec_26_F])</f>
        <v/>
      </c>
      <c r="AF62" s="280">
        <f>SUMIF(Table46[Cost type],'$ Dashboard'!B68,Table46[Dec_26_A])</f>
        <v/>
      </c>
      <c r="AH62" s="279">
        <f>SUM(AW62:BG62)/1000000</f>
        <v/>
      </c>
      <c r="AI62" s="279">
        <f>SUMIF($AJ$12:$BG$12,"Actual",AJ62:BG62)/1000000</f>
        <v/>
      </c>
      <c r="AJ62" s="274" t="n"/>
      <c r="AK62" s="274" t="n"/>
      <c r="AL62" s="274" t="n"/>
      <c r="AM62" s="274" t="n"/>
      <c r="AN62" s="274" t="n"/>
      <c r="AO62" s="274" t="n"/>
      <c r="AP62" s="274" t="n"/>
      <c r="AQ62" s="274" t="n"/>
      <c r="AR62" s="274" t="n"/>
      <c r="AS62" s="274" t="n"/>
      <c r="AT62" s="274" t="n"/>
      <c r="AU62" s="274" t="n"/>
      <c r="AV62" s="274" t="n"/>
      <c r="AW62" s="274" t="n"/>
      <c r="AX62" s="274" t="n"/>
      <c r="AY62" s="274" t="n"/>
      <c r="AZ62" s="274" t="n"/>
      <c r="BA62" s="274" t="n"/>
      <c r="BB62" s="274" t="n"/>
      <c r="BC62" s="274" t="n"/>
      <c r="BD62" s="274" t="n"/>
      <c r="BE62" s="274" t="n"/>
      <c r="BF62" s="274" t="n"/>
      <c r="BG62" s="274" t="n"/>
      <c r="BI62" s="275" t="n"/>
      <c r="BJ62" s="275" t="n"/>
      <c r="BK62" s="275" t="n"/>
      <c r="BL62" s="275" t="n"/>
      <c r="BM62" s="275" t="n"/>
      <c r="BN62" s="275" t="n"/>
      <c r="BO62" s="275" t="n"/>
      <c r="BP62" s="275" t="n"/>
      <c r="BQ62" s="275" t="n"/>
      <c r="BR62" s="275" t="n"/>
      <c r="BS62" s="275" t="n"/>
      <c r="BT62" s="275" t="n"/>
      <c r="BU62" s="275" t="n"/>
      <c r="BV62" s="275" t="n"/>
      <c r="BW62" s="275" t="n"/>
      <c r="BX62" s="275" t="n"/>
      <c r="BY62" s="275" t="n"/>
      <c r="BZ62" s="275" t="n"/>
      <c r="CA62" s="275" t="n"/>
      <c r="CB62" s="275" t="n"/>
      <c r="CC62" s="275" t="n"/>
      <c r="CD62" s="279">
        <f>SUM(CE62:DB62)/1000000</f>
        <v/>
      </c>
      <c r="CE62" s="276" t="n"/>
      <c r="CF62" s="276" t="n"/>
      <c r="CG62" s="276" t="n"/>
      <c r="CH62" s="276" t="n"/>
      <c r="CI62" s="276" t="n"/>
      <c r="CJ62" s="276" t="n"/>
      <c r="CK62" s="276" t="n"/>
      <c r="CL62" s="276" t="n"/>
      <c r="CM62" s="276" t="n"/>
      <c r="CN62" s="276" t="n"/>
      <c r="CO62" s="276" t="n"/>
      <c r="CP62" s="276" t="n"/>
      <c r="CQ62" s="276" t="n"/>
      <c r="CR62" s="276" t="n"/>
      <c r="CS62" s="276" t="n"/>
      <c r="CT62" s="276" t="n"/>
      <c r="CU62" s="276" t="n"/>
      <c r="CV62" s="276" t="n"/>
      <c r="CW62" s="276" t="n"/>
      <c r="CX62" s="276" t="n"/>
      <c r="CY62" s="276" t="n"/>
      <c r="CZ62" s="276" t="n"/>
      <c r="DA62" s="276" t="n"/>
      <c r="DB62" s="276" t="n"/>
    </row>
    <row r="63" ht="18.6" customHeight="1">
      <c r="B63" s="281" t="inlineStr">
        <is>
          <t>Staff Payroll Related Costs</t>
        </is>
      </c>
      <c r="D63" s="272">
        <f>SUM(G63,AH63)</f>
        <v/>
      </c>
      <c r="E63" s="272">
        <f>SUM(H63,AI63)</f>
        <v/>
      </c>
      <c r="G63" s="272">
        <f>SUMIF($I$12:$AF$12,"Plan",I63:AF63)/1000000</f>
        <v/>
      </c>
      <c r="H63" s="272">
        <f>SUMIF($I$12:$AF$12,"Actual",I63:AF63)/1000000</f>
        <v/>
      </c>
      <c r="I63" s="273">
        <f>SUMIF(Table46[Cost type],'$ Dashboard'!B63,Table46[Jan_26_F])</f>
        <v/>
      </c>
      <c r="J63" s="273">
        <f>SUMIF(Table46[Cost type],'$ Dashboard'!B14,Table46[Jan_26_Act])</f>
        <v/>
      </c>
      <c r="K63" s="273">
        <f>SUMIF(Table46[Cost type],'$ Dashboard'!B63,Table46[Feb_26_F])</f>
        <v/>
      </c>
      <c r="L63" s="273">
        <f>SUMIF(Table46[Cost type],'$ Dashboard'!B14,Table46[Feb_26_A])</f>
        <v/>
      </c>
      <c r="M63" s="273">
        <f>SUMIF(Table46[Cost type],'$ Dashboard'!B63,Table46[Mar_26_F])</f>
        <v/>
      </c>
      <c r="N63" s="273">
        <f>SUMIF(Table46[Cost type],'$ Dashboard'!B14,Table46[Mar_26_A])</f>
        <v/>
      </c>
      <c r="O63" s="273">
        <f>SUMIF(Table46[Cost type],'$ Dashboard'!B63,Table46[Apr_26_F])</f>
        <v/>
      </c>
      <c r="P63" s="273">
        <f>SUMIF(Table46[Cost type],'$ Dashboard'!B14,Table46[Apr_26_A])</f>
        <v/>
      </c>
      <c r="Q63" s="273">
        <f>SUMIF(Table46[Cost type],'$ Dashboard'!B63,Table46[May_26_F])</f>
        <v/>
      </c>
      <c r="R63" s="273">
        <f>SUMIF(Table46[Cost type],'$ Dashboard'!B14,Table46[May_26_A])</f>
        <v/>
      </c>
      <c r="S63" s="273">
        <f>SUMIF(Table46[Cost type],'$ Dashboard'!B63,Table46[Jun_26_F])</f>
        <v/>
      </c>
      <c r="T63" s="273">
        <f>SUMIF(Table46[Cost type],'$ Dashboard'!B14,Table46[Jun_26_A])</f>
        <v/>
      </c>
      <c r="U63" s="273">
        <f>SUMIF(Table46[Cost type],'$ Dashboard'!B63,Table46[Jul_26_F])</f>
        <v/>
      </c>
      <c r="V63" s="273">
        <f>SUMIF(Table46[Cost type],'$ Dashboard'!B14,Table46[Jul_26_A])</f>
        <v/>
      </c>
      <c r="W63" s="273">
        <f>SUMIF(Table46[Cost type],'$ Dashboard'!B63,Table46[Aug_26_F])</f>
        <v/>
      </c>
      <c r="X63" s="273">
        <f>SUMIF(Table46[Cost type],'$ Dashboard'!B14,Table46[Aug_26_A])</f>
        <v/>
      </c>
      <c r="Y63" s="273">
        <f>SUMIF(Table46[Cost type],'$ Dashboard'!B63,Table46[Sep_26_F])</f>
        <v/>
      </c>
      <c r="Z63" s="273">
        <f>SUMIF(Table46[Cost type],'$ Dashboard'!B14,Table46[Sep_26_A])</f>
        <v/>
      </c>
      <c r="AA63" s="273">
        <f>SUMIF(Table46[Cost type],'$ Dashboard'!B63,Table46[Oct_26_F])</f>
        <v/>
      </c>
      <c r="AB63" s="273">
        <f>SUMIF(Table46[Cost type],'$ Dashboard'!B14,Table46[Oct_26_A])</f>
        <v/>
      </c>
      <c r="AC63" s="273">
        <f>SUMIF(Table46[Cost type],'$ Dashboard'!B63,Table46[Nov_26_F])</f>
        <v/>
      </c>
      <c r="AD63" s="273">
        <f>SUMIF(Table46[Cost type],'$ Dashboard'!B69,Table46[Nov_26_A])</f>
        <v/>
      </c>
      <c r="AE63" s="273">
        <f>SUMIF(Table46[Cost type],'$ Dashboard'!B63,Table46[Dec_26_F])</f>
        <v/>
      </c>
      <c r="AF63" s="273">
        <f>SUMIF(Table46[Cost type],'$ Dashboard'!B69,Table46[Dec_26_A])</f>
        <v/>
      </c>
      <c r="AH63" s="272">
        <f>SUM(AW63:BG63)/1000000</f>
        <v/>
      </c>
      <c r="AI63" s="272">
        <f>SUMIF($AJ$12:$BG$12,"Actual",AJ63:BG63)/1000000</f>
        <v/>
      </c>
      <c r="AJ63" s="274" t="n"/>
      <c r="AK63" s="274" t="n"/>
      <c r="AL63" s="274" t="n"/>
      <c r="AM63" s="274" t="n"/>
      <c r="AN63" s="274" t="n"/>
      <c r="AO63" s="274" t="n"/>
      <c r="AP63" s="274" t="n"/>
      <c r="AQ63" s="274" t="n"/>
      <c r="AR63" s="274" t="n"/>
      <c r="AS63" s="274" t="n"/>
      <c r="AT63" s="274" t="n"/>
      <c r="AU63" s="274" t="n"/>
      <c r="AV63" s="274" t="n"/>
      <c r="AW63" s="274" t="n"/>
      <c r="AX63" s="274" t="n"/>
      <c r="AY63" s="274" t="n"/>
      <c r="AZ63" s="274" t="n"/>
      <c r="BA63" s="274" t="n"/>
      <c r="BB63" s="274" t="n"/>
      <c r="BC63" s="274" t="n"/>
      <c r="BD63" s="274" t="n"/>
      <c r="BE63" s="274" t="n"/>
      <c r="BF63" s="274" t="n"/>
      <c r="BG63" s="274" t="n"/>
      <c r="BI63" s="275" t="n"/>
      <c r="BJ63" s="275" t="n"/>
      <c r="BK63" s="275" t="n"/>
      <c r="BL63" s="275" t="n"/>
      <c r="BM63" s="275" t="n"/>
      <c r="BN63" s="275" t="n"/>
      <c r="BO63" s="275" t="n"/>
      <c r="BP63" s="275" t="n"/>
      <c r="BQ63" s="275" t="n"/>
      <c r="BR63" s="275" t="n"/>
      <c r="BS63" s="275" t="n"/>
      <c r="BT63" s="275" t="n"/>
      <c r="BU63" s="275" t="n"/>
      <c r="BV63" s="275" t="n"/>
      <c r="BW63" s="275" t="n"/>
      <c r="BX63" s="275" t="n"/>
      <c r="BY63" s="275" t="n"/>
      <c r="BZ63" s="275" t="n"/>
      <c r="CA63" s="275" t="n"/>
      <c r="CB63" s="275" t="n"/>
      <c r="CC63" s="275" t="n"/>
      <c r="CD63" s="272">
        <f>SUM(CE63:DB63)/1000000</f>
        <v/>
      </c>
      <c r="CE63" s="276" t="n"/>
      <c r="CF63" s="276" t="n"/>
      <c r="CG63" s="276" t="n"/>
      <c r="CH63" s="276" t="n"/>
      <c r="CI63" s="276" t="n"/>
      <c r="CJ63" s="276" t="n"/>
      <c r="CK63" s="276" t="n"/>
      <c r="CL63" s="276" t="n"/>
      <c r="CM63" s="276" t="n"/>
      <c r="CN63" s="276" t="n"/>
      <c r="CO63" s="276" t="n"/>
      <c r="CP63" s="276" t="n"/>
      <c r="CQ63" s="276" t="n"/>
      <c r="CR63" s="276" t="n"/>
      <c r="CS63" s="276" t="n"/>
      <c r="CT63" s="276" t="n"/>
      <c r="CU63" s="276" t="n"/>
      <c r="CV63" s="276" t="n"/>
      <c r="CW63" s="276" t="n"/>
      <c r="CX63" s="276" t="n"/>
      <c r="CY63" s="276" t="n"/>
      <c r="CZ63" s="276" t="n"/>
      <c r="DA63" s="276" t="n"/>
      <c r="DB63" s="276" t="n"/>
    </row>
    <row r="64" ht="18.6" customHeight="1">
      <c r="B64" s="277" t="inlineStr">
        <is>
          <t>Non-payroll related training costs</t>
        </is>
      </c>
      <c r="D64" s="279">
        <f>SUM(G64,AH64)</f>
        <v/>
      </c>
      <c r="E64" s="279">
        <f>SUM(H64,AI64)</f>
        <v/>
      </c>
      <c r="G64" s="279">
        <f>SUMIF($I$12:$AF$12,"Plan",I64:AF64)/1000000</f>
        <v/>
      </c>
      <c r="H64" s="279">
        <f>SUMIF($I$12:$AF$12,"Actual",I64:AF64)/1000000</f>
        <v/>
      </c>
      <c r="I64" s="280">
        <f>SUMIF(Table46[Cost type],'$ Dashboard'!B64,Table46[Jan_26_F])</f>
        <v/>
      </c>
      <c r="J64" s="280">
        <f>SUMIF(Table46[Cost type],'$ Dashboard'!B15,Table46[Jan_26_Act])</f>
        <v/>
      </c>
      <c r="K64" s="280">
        <f>SUMIF(Table46[Cost type],'$ Dashboard'!B64,Table46[Feb_26_F])</f>
        <v/>
      </c>
      <c r="L64" s="280">
        <f>SUMIF(Table46[Cost type],'$ Dashboard'!B15,Table46[Feb_26_A])</f>
        <v/>
      </c>
      <c r="M64" s="280">
        <f>SUMIF(Table46[Cost type],'$ Dashboard'!B64,Table46[Mar_26_F])</f>
        <v/>
      </c>
      <c r="N64" s="280">
        <f>SUMIF(Table46[Cost type],'$ Dashboard'!B15,Table46[Mar_26_A])</f>
        <v/>
      </c>
      <c r="O64" s="280">
        <f>SUMIF(Table46[Cost type],'$ Dashboard'!B64,Table46[Apr_26_F])</f>
        <v/>
      </c>
      <c r="P64" s="280">
        <f>SUMIF(Table46[Cost type],'$ Dashboard'!B15,Table46[Apr_26_A])</f>
        <v/>
      </c>
      <c r="Q64" s="280">
        <f>SUMIF(Table46[Cost type],'$ Dashboard'!B64,Table46[May_26_F])</f>
        <v/>
      </c>
      <c r="R64" s="280">
        <f>SUMIF(Table46[Cost type],'$ Dashboard'!B15,Table46[May_26_A])</f>
        <v/>
      </c>
      <c r="S64" s="280">
        <f>SUMIF(Table46[Cost type],'$ Dashboard'!B64,Table46[Jun_26_F])</f>
        <v/>
      </c>
      <c r="T64" s="280">
        <f>SUMIF(Table46[Cost type],'$ Dashboard'!B15,Table46[Jun_26_A])</f>
        <v/>
      </c>
      <c r="U64" s="280">
        <f>SUMIF(Table46[Cost type],'$ Dashboard'!B64,Table46[Jul_26_F])</f>
        <v/>
      </c>
      <c r="V64" s="280">
        <f>SUMIF(Table46[Cost type],'$ Dashboard'!B15,Table46[Jul_26_A])</f>
        <v/>
      </c>
      <c r="W64" s="280">
        <f>SUMIF(Table46[Cost type],'$ Dashboard'!B64,Table46[Aug_26_F])</f>
        <v/>
      </c>
      <c r="X64" s="280">
        <f>SUMIF(Table46[Cost type],'$ Dashboard'!B15,Table46[Aug_26_A])</f>
        <v/>
      </c>
      <c r="Y64" s="280">
        <f>SUMIF(Table46[Cost type],'$ Dashboard'!B64,Table46[Sep_26_F])</f>
        <v/>
      </c>
      <c r="Z64" s="280">
        <f>SUMIF(Table46[Cost type],'$ Dashboard'!B15,Table46[Sep_26_A])</f>
        <v/>
      </c>
      <c r="AA64" s="280">
        <f>SUMIF(Table46[Cost type],'$ Dashboard'!B64,Table46[Oct_26_F])</f>
        <v/>
      </c>
      <c r="AB64" s="280">
        <f>SUMIF(Table46[Cost type],'$ Dashboard'!B15,Table46[Oct_26_A])</f>
        <v/>
      </c>
      <c r="AC64" s="280">
        <f>SUMIF(Table46[Cost type],'$ Dashboard'!B64,Table46[Nov_26_F])</f>
        <v/>
      </c>
      <c r="AD64" s="280">
        <f>SUMIF(Table46[Cost type],'$ Dashboard'!B70,Table46[Nov_26_A])</f>
        <v/>
      </c>
      <c r="AE64" s="280">
        <f>SUMIF(Table46[Cost type],'$ Dashboard'!B64,Table46[Dec_26_F])</f>
        <v/>
      </c>
      <c r="AF64" s="280">
        <f>SUMIF(Table46[Cost type],'$ Dashboard'!B70,Table46[Dec_26_A])</f>
        <v/>
      </c>
      <c r="AH64" s="279">
        <f>SUM(AW64:BG64)/1000000</f>
        <v/>
      </c>
      <c r="AI64" s="279">
        <f>SUMIF($AJ$12:$BG$12,"Actual",AJ64:BG64)/1000000</f>
        <v/>
      </c>
      <c r="AJ64" s="274" t="n"/>
      <c r="AK64" s="274" t="n"/>
      <c r="AL64" s="274" t="n"/>
      <c r="AM64" s="274" t="n"/>
      <c r="AN64" s="274" t="n"/>
      <c r="AO64" s="274" t="n"/>
      <c r="AP64" s="274" t="n"/>
      <c r="AQ64" s="274" t="n"/>
      <c r="AR64" s="274" t="n"/>
      <c r="AS64" s="274" t="n"/>
      <c r="AT64" s="274" t="n"/>
      <c r="AU64" s="274" t="n"/>
      <c r="AV64" s="274" t="n"/>
      <c r="AW64" s="274" t="n"/>
      <c r="AX64" s="274" t="n"/>
      <c r="AY64" s="274" t="n"/>
      <c r="AZ64" s="274" t="n"/>
      <c r="BA64" s="274" t="n"/>
      <c r="BB64" s="274" t="n"/>
      <c r="BC64" s="274" t="n"/>
      <c r="BD64" s="274" t="n"/>
      <c r="BE64" s="274" t="n"/>
      <c r="BF64" s="274" t="n"/>
      <c r="BG64" s="274" t="n"/>
      <c r="BI64" s="275" t="n"/>
      <c r="BJ64" s="275" t="n"/>
      <c r="BK64" s="275" t="n"/>
      <c r="BL64" s="275" t="n"/>
      <c r="BM64" s="275" t="n"/>
      <c r="BN64" s="275" t="n"/>
      <c r="BO64" s="275" t="n"/>
      <c r="BP64" s="275" t="n"/>
      <c r="BQ64" s="275" t="n"/>
      <c r="BR64" s="275" t="n"/>
      <c r="BS64" s="275" t="n"/>
      <c r="BT64" s="275" t="n"/>
      <c r="BU64" s="275" t="n"/>
      <c r="BV64" s="275" t="n"/>
      <c r="BW64" s="275" t="n"/>
      <c r="BX64" s="275" t="n"/>
      <c r="BY64" s="275" t="n"/>
      <c r="BZ64" s="275" t="n"/>
      <c r="CA64" s="275" t="n"/>
      <c r="CB64" s="275" t="n"/>
      <c r="CC64" s="275" t="n"/>
      <c r="CD64" s="279">
        <f>SUM(CE64:DB64)/1000000</f>
        <v/>
      </c>
      <c r="CE64" s="276" t="n"/>
      <c r="CF64" s="276" t="n"/>
      <c r="CG64" s="276" t="n"/>
      <c r="CH64" s="276" t="n"/>
      <c r="CI64" s="276" t="n"/>
      <c r="CJ64" s="276" t="n"/>
      <c r="CK64" s="276" t="n"/>
      <c r="CL64" s="276" t="n"/>
      <c r="CM64" s="276" t="n"/>
      <c r="CN64" s="276" t="n"/>
      <c r="CO64" s="276" t="n"/>
      <c r="CP64" s="276" t="n"/>
      <c r="CQ64" s="276" t="n"/>
      <c r="CR64" s="276" t="n"/>
      <c r="CS64" s="276" t="n"/>
      <c r="CT64" s="276" t="n"/>
      <c r="CU64" s="276" t="n"/>
      <c r="CV64" s="276" t="n"/>
      <c r="CW64" s="276" t="n"/>
      <c r="CX64" s="276" t="n"/>
      <c r="CY64" s="276" t="n"/>
      <c r="CZ64" s="276" t="n"/>
      <c r="DA64" s="276" t="n"/>
      <c r="DB64" s="276" t="n"/>
    </row>
    <row r="65" ht="18.6" customHeight="1">
      <c r="B65" s="281" t="inlineStr">
        <is>
          <t>Admin costs/Audit/Assurance</t>
        </is>
      </c>
      <c r="D65" s="272">
        <f>SUM(G65,AH65)</f>
        <v/>
      </c>
      <c r="E65" s="272">
        <f>SUM(H65,AI65)</f>
        <v/>
      </c>
      <c r="G65" s="272">
        <f>SUMIF($I$12:$AF$12,"Plan",I65:AF65)/1000000</f>
        <v/>
      </c>
      <c r="H65" s="272">
        <f>SUMIF($I$12:$AF$12,"Actual",I65:AF65)/1000000</f>
        <v/>
      </c>
      <c r="I65" s="273">
        <f>SUMIF(Table46[Cost type],'$ Dashboard'!B65,Table46[Jan_26_F])</f>
        <v/>
      </c>
      <c r="J65" s="273">
        <f>SUMIF(Table46[Cost type],'$ Dashboard'!B16,Table46[Jan_26_Act])</f>
        <v/>
      </c>
      <c r="K65" s="273">
        <f>SUMIF(Table46[Cost type],'$ Dashboard'!B65,Table46[Feb_26_F])</f>
        <v/>
      </c>
      <c r="L65" s="273">
        <f>SUMIF(Table46[Cost type],'$ Dashboard'!B16,Table46[Feb_26_A])</f>
        <v/>
      </c>
      <c r="M65" s="273">
        <f>SUMIF(Table46[Cost type],'$ Dashboard'!B65,Table46[Mar_26_F])</f>
        <v/>
      </c>
      <c r="N65" s="273">
        <f>SUMIF(Table46[Cost type],'$ Dashboard'!B16,Table46[Mar_26_A])</f>
        <v/>
      </c>
      <c r="O65" s="273">
        <f>SUMIF(Table46[Cost type],'$ Dashboard'!B65,Table46[Apr_26_F])</f>
        <v/>
      </c>
      <c r="P65" s="273">
        <f>SUMIF(Table46[Cost type],'$ Dashboard'!B16,Table46[Apr_26_A])</f>
        <v/>
      </c>
      <c r="Q65" s="273">
        <f>SUMIF(Table46[Cost type],'$ Dashboard'!B65,Table46[May_26_F])</f>
        <v/>
      </c>
      <c r="R65" s="273">
        <f>SUMIF(Table46[Cost type],'$ Dashboard'!B16,Table46[May_26_A])</f>
        <v/>
      </c>
      <c r="S65" s="273">
        <f>SUMIF(Table46[Cost type],'$ Dashboard'!B65,Table46[Jun_26_F])</f>
        <v/>
      </c>
      <c r="T65" s="273">
        <f>SUMIF(Table46[Cost type],'$ Dashboard'!B16,Table46[Jun_26_A])</f>
        <v/>
      </c>
      <c r="U65" s="273">
        <f>SUMIF(Table46[Cost type],'$ Dashboard'!B65,Table46[Jul_26_F])</f>
        <v/>
      </c>
      <c r="V65" s="273">
        <f>SUMIF(Table46[Cost type],'$ Dashboard'!B16,Table46[Jul_26_A])</f>
        <v/>
      </c>
      <c r="W65" s="273">
        <f>SUMIF(Table46[Cost type],'$ Dashboard'!B65,Table46[Aug_26_F])</f>
        <v/>
      </c>
      <c r="X65" s="273">
        <f>SUMIF(Table46[Cost type],'$ Dashboard'!B16,Table46[Aug_26_A])</f>
        <v/>
      </c>
      <c r="Y65" s="273">
        <f>SUMIF(Table46[Cost type],'$ Dashboard'!B65,Table46[Sep_26_F])</f>
        <v/>
      </c>
      <c r="Z65" s="273">
        <f>SUMIF(Table46[Cost type],'$ Dashboard'!B16,Table46[Sep_26_A])</f>
        <v/>
      </c>
      <c r="AA65" s="273">
        <f>SUMIF(Table46[Cost type],'$ Dashboard'!B65,Table46[Oct_26_F])</f>
        <v/>
      </c>
      <c r="AB65" s="273">
        <f>SUMIF(Table46[Cost type],'$ Dashboard'!B16,Table46[Oct_26_A])</f>
        <v/>
      </c>
      <c r="AC65" s="273">
        <f>SUMIF(Table46[Cost type],'$ Dashboard'!B65,Table46[Nov_26_F])</f>
        <v/>
      </c>
      <c r="AD65" s="273">
        <f>SUMIF(Table46[Cost type],'$ Dashboard'!B71,Table46[Nov_26_A])</f>
        <v/>
      </c>
      <c r="AE65" s="273">
        <f>SUMIF(Table46[Cost type],'$ Dashboard'!B65,Table46[Dec_26_F])</f>
        <v/>
      </c>
      <c r="AF65" s="273">
        <f>SUMIF(Table46[Cost type],'$ Dashboard'!B71,Table46[Dec_26_A])</f>
        <v/>
      </c>
      <c r="AH65" s="272">
        <f>SUM(AW65:BG65)/1000000</f>
        <v/>
      </c>
      <c r="AI65" s="272">
        <f>SUMIF($AJ$12:$BG$12,"Actual",AJ65:BG65)/1000000</f>
        <v/>
      </c>
      <c r="AJ65" s="274" t="n"/>
      <c r="AK65" s="274" t="n"/>
      <c r="AL65" s="274" t="n"/>
      <c r="AM65" s="274" t="n"/>
      <c r="AN65" s="274" t="n"/>
      <c r="AO65" s="274" t="n"/>
      <c r="AP65" s="274" t="n"/>
      <c r="AQ65" s="274" t="n"/>
      <c r="AR65" s="274" t="n"/>
      <c r="AS65" s="274" t="n"/>
      <c r="AT65" s="274" t="n"/>
      <c r="AU65" s="274" t="n"/>
      <c r="AV65" s="274" t="n"/>
      <c r="AW65" s="274" t="n"/>
      <c r="AX65" s="274" t="n"/>
      <c r="AY65" s="274" t="n"/>
      <c r="AZ65" s="274" t="n"/>
      <c r="BA65" s="274" t="n"/>
      <c r="BB65" s="274" t="n"/>
      <c r="BC65" s="274" t="n"/>
      <c r="BD65" s="274" t="n"/>
      <c r="BE65" s="274" t="n"/>
      <c r="BF65" s="274" t="n"/>
      <c r="BG65" s="274" t="n"/>
      <c r="BI65" s="275" t="n"/>
      <c r="BJ65" s="275" t="n"/>
      <c r="BK65" s="275" t="n"/>
      <c r="BL65" s="275" t="n"/>
      <c r="BM65" s="275" t="n"/>
      <c r="BN65" s="275" t="n"/>
      <c r="BO65" s="275" t="n"/>
      <c r="BP65" s="275" t="n"/>
      <c r="BQ65" s="275" t="n"/>
      <c r="BR65" s="275" t="n"/>
      <c r="BS65" s="275" t="n"/>
      <c r="BT65" s="275" t="n"/>
      <c r="BU65" s="275" t="n"/>
      <c r="BV65" s="275" t="n"/>
      <c r="BW65" s="275" t="n"/>
      <c r="BX65" s="275" t="n"/>
      <c r="BY65" s="275" t="n"/>
      <c r="BZ65" s="275" t="n"/>
      <c r="CA65" s="275" t="n"/>
      <c r="CB65" s="275" t="n"/>
      <c r="CC65" s="275" t="n"/>
      <c r="CD65" s="272">
        <f>SUM(CE65:DB65)/1000000</f>
        <v/>
      </c>
      <c r="CE65" s="276" t="n"/>
      <c r="CF65" s="276" t="n"/>
      <c r="CG65" s="276" t="n"/>
      <c r="CH65" s="276" t="n"/>
      <c r="CI65" s="276" t="n"/>
      <c r="CJ65" s="276" t="n"/>
      <c r="CK65" s="276" t="n"/>
      <c r="CL65" s="276" t="n"/>
      <c r="CM65" s="276" t="n"/>
      <c r="CN65" s="276" t="n"/>
      <c r="CO65" s="276" t="n"/>
      <c r="CP65" s="276" t="n"/>
      <c r="CQ65" s="276" t="n"/>
      <c r="CR65" s="276" t="n"/>
      <c r="CS65" s="276" t="n"/>
      <c r="CT65" s="276" t="n"/>
      <c r="CU65" s="276" t="n"/>
      <c r="CV65" s="276" t="n"/>
      <c r="CW65" s="276" t="n"/>
      <c r="CX65" s="276" t="n"/>
      <c r="CY65" s="276" t="n"/>
      <c r="CZ65" s="276" t="n"/>
      <c r="DA65" s="276" t="n"/>
      <c r="DB65" s="276" t="n"/>
    </row>
    <row r="66" ht="18.6" customHeight="1">
      <c r="B66" s="277" t="inlineStr">
        <is>
          <t xml:space="preserve"> Software Licensing Purchsing including Azure</t>
        </is>
      </c>
      <c r="D66" s="279">
        <f>SUM(G66,AH66)</f>
        <v/>
      </c>
      <c r="E66" s="279">
        <f>SUM(H66,AI66)</f>
        <v/>
      </c>
      <c r="G66" s="279">
        <f>SUMIF($I$12:$AF$12,"Plan",I66:AF66)/1000000</f>
        <v/>
      </c>
      <c r="H66" s="279">
        <f>SUMIF($I$12:$AF$12,"Actual",I66:AF66)/1000000</f>
        <v/>
      </c>
      <c r="I66" s="280">
        <f>SUMIF(Table46[Cost type],'$ Dashboard'!B66,Table46[Jan_26_F])</f>
        <v/>
      </c>
      <c r="J66" s="280">
        <f>SUMIF(Table46[Cost type],'$ Dashboard'!B17,Table46[Jan_26_Act])</f>
        <v/>
      </c>
      <c r="K66" s="280">
        <f>SUMIF(Table46[Cost type],'$ Dashboard'!B66,Table46[Feb_26_F])</f>
        <v/>
      </c>
      <c r="L66" s="280">
        <f>SUMIF(Table46[Cost type],'$ Dashboard'!B17,Table46[Feb_26_A])</f>
        <v/>
      </c>
      <c r="M66" s="280">
        <f>SUMIF(Table46[Cost type],'$ Dashboard'!B66,Table46[Mar_26_F])</f>
        <v/>
      </c>
      <c r="N66" s="280">
        <f>SUMIF(Table46[Cost type],'$ Dashboard'!B17,Table46[Mar_26_A])</f>
        <v/>
      </c>
      <c r="O66" s="280">
        <f>SUMIF(Table46[Cost type],'$ Dashboard'!B66,Table46[Apr_26_F])</f>
        <v/>
      </c>
      <c r="P66" s="280">
        <f>SUMIF(Table46[Cost type],'$ Dashboard'!B17,Table46[Apr_26_A])</f>
        <v/>
      </c>
      <c r="Q66" s="280">
        <f>SUMIF(Table46[Cost type],'$ Dashboard'!B66,Table46[May_26_F])</f>
        <v/>
      </c>
      <c r="R66" s="280">
        <f>SUMIF(Table46[Cost type],'$ Dashboard'!B17,Table46[May_26_A])</f>
        <v/>
      </c>
      <c r="S66" s="280">
        <f>SUMIF(Table46[Cost type],'$ Dashboard'!B66,Table46[Jun_26_F])</f>
        <v/>
      </c>
      <c r="T66" s="280">
        <f>SUMIF(Table46[Cost type],'$ Dashboard'!B17,Table46[Jun_26_A])</f>
        <v/>
      </c>
      <c r="U66" s="280">
        <f>SUMIF(Table46[Cost type],'$ Dashboard'!B66,Table46[Jul_26_F])</f>
        <v/>
      </c>
      <c r="V66" s="280">
        <f>SUMIF(Table46[Cost type],'$ Dashboard'!B17,Table46[Jul_26_A])</f>
        <v/>
      </c>
      <c r="W66" s="280">
        <f>SUMIF(Table46[Cost type],'$ Dashboard'!B66,Table46[Aug_26_F])</f>
        <v/>
      </c>
      <c r="X66" s="280">
        <f>SUMIF(Table46[Cost type],'$ Dashboard'!B17,Table46[Aug_26_A])</f>
        <v/>
      </c>
      <c r="Y66" s="280">
        <f>SUMIF(Table46[Cost type],'$ Dashboard'!B66,Table46[Sep_26_F])</f>
        <v/>
      </c>
      <c r="Z66" s="280">
        <f>SUMIF(Table46[Cost type],'$ Dashboard'!B17,Table46[Sep_26_A])</f>
        <v/>
      </c>
      <c r="AA66" s="280">
        <f>SUMIF(Table46[Cost type],'$ Dashboard'!B66,Table46[Oct_26_F])</f>
        <v/>
      </c>
      <c r="AB66" s="280">
        <f>SUMIF(Table46[Cost type],'$ Dashboard'!B17,Table46[Oct_26_A])</f>
        <v/>
      </c>
      <c r="AC66" s="280">
        <f>SUMIF(Table46[Cost type],'$ Dashboard'!B66,Table46[Nov_26_F])</f>
        <v/>
      </c>
      <c r="AD66" s="280">
        <f>SUMIF(Table46[Cost type],'$ Dashboard'!B72,Table46[Nov_26_A])</f>
        <v/>
      </c>
      <c r="AE66" s="280">
        <f>SUMIF(Table46[Cost type],'$ Dashboard'!B66,Table46[Dec_26_F])</f>
        <v/>
      </c>
      <c r="AF66" s="280">
        <f>SUMIF(Table46[Cost type],'$ Dashboard'!B72,Table46[Dec_26_A])</f>
        <v/>
      </c>
      <c r="AH66" s="279">
        <f>SUM(AW66:BG66)/1000000</f>
        <v/>
      </c>
      <c r="AI66" s="279">
        <f>SUMIF($AJ$12:$BG$12,"Actual",AJ66:BG66)/1000000</f>
        <v/>
      </c>
      <c r="AJ66" s="274" t="n"/>
      <c r="AK66" s="274" t="n"/>
      <c r="AL66" s="274" t="n"/>
      <c r="AM66" s="274" t="n"/>
      <c r="AN66" s="274" t="n"/>
      <c r="AO66" s="274" t="n"/>
      <c r="AP66" s="274" t="n"/>
      <c r="AQ66" s="274" t="n"/>
      <c r="AR66" s="274" t="n"/>
      <c r="AS66" s="274" t="n"/>
      <c r="AT66" s="274" t="n"/>
      <c r="AU66" s="274" t="n"/>
      <c r="AV66" s="274" t="n"/>
      <c r="AW66" s="274" t="n"/>
      <c r="AX66" s="274" t="n"/>
      <c r="AY66" s="274" t="n"/>
      <c r="AZ66" s="274" t="n"/>
      <c r="BA66" s="274" t="n"/>
      <c r="BB66" s="274" t="n"/>
      <c r="BC66" s="274" t="n"/>
      <c r="BD66" s="274" t="n"/>
      <c r="BE66" s="274" t="n"/>
      <c r="BF66" s="274" t="n"/>
      <c r="BG66" s="274" t="n"/>
      <c r="BI66" s="275" t="n"/>
      <c r="BJ66" s="275" t="n"/>
      <c r="BK66" s="275" t="n"/>
      <c r="BL66" s="275" t="n"/>
      <c r="BM66" s="275" t="n"/>
      <c r="BN66" s="275" t="n"/>
      <c r="BO66" s="275" t="n"/>
      <c r="BP66" s="275" t="n"/>
      <c r="BQ66" s="275" t="n"/>
      <c r="BR66" s="275" t="n"/>
      <c r="BS66" s="275" t="n"/>
      <c r="BT66" s="275" t="n"/>
      <c r="BU66" s="275" t="n"/>
      <c r="BV66" s="275" t="n"/>
      <c r="BW66" s="275" t="n"/>
      <c r="BX66" s="275" t="n"/>
      <c r="BY66" s="275" t="n"/>
      <c r="BZ66" s="275" t="n"/>
      <c r="CA66" s="275" t="n"/>
      <c r="CB66" s="275" t="n"/>
      <c r="CC66" s="275" t="n"/>
      <c r="CD66" s="279">
        <f>SUM(CE66:DB66)/1000000</f>
        <v/>
      </c>
      <c r="CE66" s="276" t="n"/>
      <c r="CF66" s="276" t="n"/>
      <c r="CG66" s="276" t="n"/>
      <c r="CH66" s="276" t="n"/>
      <c r="CI66" s="276" t="n"/>
      <c r="CJ66" s="276" t="n"/>
      <c r="CK66" s="276" t="n"/>
      <c r="CL66" s="276" t="n"/>
      <c r="CM66" s="276" t="n"/>
      <c r="CN66" s="276" t="n"/>
      <c r="CO66" s="276" t="n"/>
      <c r="CP66" s="276" t="n"/>
      <c r="CQ66" s="276" t="n"/>
      <c r="CR66" s="276" t="n"/>
      <c r="CS66" s="276" t="n"/>
      <c r="CT66" s="276" t="n"/>
      <c r="CU66" s="276" t="n"/>
      <c r="CV66" s="276" t="n"/>
      <c r="CW66" s="276" t="n"/>
      <c r="CX66" s="276" t="n"/>
      <c r="CY66" s="276" t="n"/>
      <c r="CZ66" s="276" t="n"/>
      <c r="DA66" s="276" t="n"/>
      <c r="DB66" s="276" t="n"/>
    </row>
    <row r="67" ht="18.6" customHeight="1">
      <c r="B67" s="5" t="n"/>
      <c r="D67" s="272">
        <f>SUM(G67,AH67)</f>
        <v/>
      </c>
      <c r="E67" s="272">
        <f>SUM(H67,AI67)</f>
        <v/>
      </c>
      <c r="G67" s="272">
        <f>SUMIF($I$12:$AF$12,"Plan",I67:AF67)/1000000</f>
        <v/>
      </c>
      <c r="H67" s="272">
        <f>SUMIF($I$12:$AF$12,"Actual",I67:AF67)/1000000</f>
        <v/>
      </c>
      <c r="I67" s="273">
        <f>SUMIF(Table46[Cost type],'$ Dashboard'!B67,Table46[Jan_26_F])</f>
        <v/>
      </c>
      <c r="J67" s="273">
        <f>SUMIF(Table46[Cost type],'$ Dashboard'!B18,Table46[Jan_26_Act])</f>
        <v/>
      </c>
      <c r="K67" s="273">
        <f>SUMIF(Table46[Cost type],'$ Dashboard'!B67,Table46[Feb_26_F])</f>
        <v/>
      </c>
      <c r="L67" s="273">
        <f>SUMIF(Table46[Cost type],'$ Dashboard'!B18,Table46[Feb_26_A])</f>
        <v/>
      </c>
      <c r="M67" s="273">
        <f>SUMIF(Table46[Cost type],'$ Dashboard'!B67,Table46[Mar_26_F])</f>
        <v/>
      </c>
      <c r="N67" s="273">
        <f>SUMIF(Table46[Cost type],'$ Dashboard'!B18,Table46[Mar_26_A])</f>
        <v/>
      </c>
      <c r="O67" s="273">
        <f>SUMIF(Table46[Cost type],'$ Dashboard'!B67,Table46[Apr_26_F])</f>
        <v/>
      </c>
      <c r="P67" s="273">
        <f>SUMIF(Table46[Cost type],'$ Dashboard'!B18,Table46[Apr_26_A])</f>
        <v/>
      </c>
      <c r="Q67" s="273">
        <f>SUMIF(Table46[Cost type],'$ Dashboard'!B67,Table46[May_26_F])</f>
        <v/>
      </c>
      <c r="R67" s="273">
        <f>SUMIF(Table46[Cost type],'$ Dashboard'!B18,Table46[May_26_A])</f>
        <v/>
      </c>
      <c r="S67" s="273">
        <f>SUMIF(Table46[Cost type],'$ Dashboard'!B67,Table46[Jun_26_F])</f>
        <v/>
      </c>
      <c r="T67" s="273">
        <f>SUMIF(Table46[Cost type],'$ Dashboard'!B18,Table46[Jun_26_A])</f>
        <v/>
      </c>
      <c r="U67" s="273">
        <f>SUMIF(Table46[Cost type],'$ Dashboard'!B67,Table46[Jul_26_F])</f>
        <v/>
      </c>
      <c r="V67" s="273">
        <f>SUMIF(Table46[Cost type],'$ Dashboard'!B18,Table46[Jul_26_A])</f>
        <v/>
      </c>
      <c r="W67" s="273">
        <f>SUMIF(Table46[Cost type],'$ Dashboard'!B67,Table46[Aug_26_F])</f>
        <v/>
      </c>
      <c r="X67" s="273">
        <f>SUMIF(Table46[Cost type],'$ Dashboard'!B18,Table46[Aug_26_A])</f>
        <v/>
      </c>
      <c r="Y67" s="273">
        <f>SUMIF(Table46[Cost type],'$ Dashboard'!B67,Table46[Sep_26_F])</f>
        <v/>
      </c>
      <c r="Z67" s="273">
        <f>SUMIF(Table46[Cost type],'$ Dashboard'!B18,Table46[Sep_26_A])</f>
        <v/>
      </c>
      <c r="AA67" s="273">
        <f>SUMIF(Table46[Cost type],'$ Dashboard'!B67,Table46[Oct_26_F])</f>
        <v/>
      </c>
      <c r="AB67" s="273">
        <f>SUMIF(Table46[Cost type],'$ Dashboard'!B18,Table46[Oct_26_A])</f>
        <v/>
      </c>
      <c r="AC67" s="273">
        <f>SUMIF(Table46[Cost type],'$ Dashboard'!B67,Table46[Nov_26_F])</f>
        <v/>
      </c>
      <c r="AD67" s="273">
        <f>SUMIF(Table46[Cost type],'$ Dashboard'!B73,Table46[Nov_26_A])</f>
        <v/>
      </c>
      <c r="AE67" s="273">
        <f>SUMIF(Table46[Cost type],'$ Dashboard'!B67,Table46[Dec_26_F])</f>
        <v/>
      </c>
      <c r="AF67" s="273">
        <f>SUMIF(Table46[Cost type],'$ Dashboard'!B73,Table46[Dec_26_A])</f>
        <v/>
      </c>
      <c r="AH67" s="272">
        <f>SUM(AW67:BG67)/1000000</f>
        <v/>
      </c>
      <c r="AI67" s="272">
        <f>SUMIF($AJ$12:$BG$12,"Actual",AJ67:BG67)/1000000</f>
        <v/>
      </c>
      <c r="AJ67" s="274" t="n"/>
      <c r="AK67" s="274" t="n"/>
      <c r="AL67" s="274" t="n"/>
      <c r="AM67" s="274" t="n"/>
      <c r="AN67" s="274" t="n"/>
      <c r="AO67" s="274" t="n"/>
      <c r="AP67" s="274" t="n"/>
      <c r="AQ67" s="274" t="n"/>
      <c r="AR67" s="274" t="n"/>
      <c r="AS67" s="274" t="n"/>
      <c r="AT67" s="274" t="n"/>
      <c r="AU67" s="274" t="n"/>
      <c r="AV67" s="274" t="n"/>
      <c r="AW67" s="274" t="n"/>
      <c r="AX67" s="274" t="n"/>
      <c r="AY67" s="274" t="n"/>
      <c r="AZ67" s="274" t="n"/>
      <c r="BA67" s="274" t="n"/>
      <c r="BB67" s="274" t="n"/>
      <c r="BC67" s="274" t="n"/>
      <c r="BD67" s="274" t="n"/>
      <c r="BE67" s="274" t="n"/>
      <c r="BF67" s="274" t="n"/>
      <c r="BG67" s="274" t="n"/>
      <c r="BI67" s="275" t="n"/>
      <c r="BJ67" s="275" t="n"/>
      <c r="BK67" s="275" t="n"/>
      <c r="BL67" s="275" t="n"/>
      <c r="BM67" s="275" t="n"/>
      <c r="BN67" s="275" t="n"/>
      <c r="BO67" s="275" t="n"/>
      <c r="BP67" s="275" t="n"/>
      <c r="BQ67" s="275" t="n"/>
      <c r="BR67" s="275" t="n"/>
      <c r="BS67" s="275" t="n"/>
      <c r="BT67" s="275" t="n"/>
      <c r="BU67" s="275" t="n"/>
      <c r="BV67" s="275" t="n"/>
      <c r="BW67" s="275" t="n"/>
      <c r="BX67" s="275" t="n"/>
      <c r="BY67" s="275" t="n"/>
      <c r="BZ67" s="275" t="n"/>
      <c r="CA67" s="275" t="n"/>
      <c r="CB67" s="275" t="n"/>
      <c r="CC67" s="275" t="n"/>
      <c r="CD67" s="272">
        <f>SUM(CE67:DB67)/1000000</f>
        <v/>
      </c>
      <c r="CE67" s="276" t="n"/>
      <c r="CF67" s="276" t="n"/>
      <c r="CG67" s="276" t="n"/>
      <c r="CH67" s="276" t="n"/>
      <c r="CI67" s="276" t="n"/>
      <c r="CJ67" s="276" t="n"/>
      <c r="CK67" s="276" t="n"/>
      <c r="CL67" s="276" t="n"/>
      <c r="CM67" s="276" t="n"/>
      <c r="CN67" s="276" t="n"/>
      <c r="CO67" s="276" t="n"/>
      <c r="CP67" s="276" t="n"/>
      <c r="CQ67" s="276" t="n"/>
      <c r="CR67" s="276" t="n"/>
      <c r="CS67" s="276" t="n"/>
      <c r="CT67" s="276" t="n"/>
      <c r="CU67" s="276" t="n"/>
      <c r="CV67" s="276" t="n"/>
      <c r="CW67" s="276" t="n"/>
      <c r="CX67" s="276" t="n"/>
      <c r="CY67" s="276" t="n"/>
      <c r="CZ67" s="276" t="n"/>
      <c r="DA67" s="276" t="n"/>
      <c r="DB67" s="276" t="n"/>
    </row>
    <row r="68" ht="18.6" customHeight="1">
      <c r="B68" s="5" t="n"/>
      <c r="D68" s="279">
        <f>SUM(G68,AH68)</f>
        <v/>
      </c>
      <c r="E68" s="279">
        <f>SUM(H68,AI68)</f>
        <v/>
      </c>
      <c r="G68" s="279">
        <f>SUMIF($I$12:$AF$12,"Plan",I68:AF68)/1000000</f>
        <v/>
      </c>
      <c r="H68" s="279">
        <f>SUMIF($I$12:$AF$12,"Actual",I68:AF68)/1000000</f>
        <v/>
      </c>
      <c r="I68" s="280">
        <f>SUMIF(Table46[Cost type],'$ Dashboard'!B68,Table46[Jan_26_F])</f>
        <v/>
      </c>
      <c r="J68" s="280">
        <f>SUMIF(Table46[Cost type],'$ Dashboard'!B19,Table46[Jan_26_Act])</f>
        <v/>
      </c>
      <c r="K68" s="280">
        <f>SUMIF(Table46[Cost type],'$ Dashboard'!B68,Table46[Feb_26_F])</f>
        <v/>
      </c>
      <c r="L68" s="280">
        <f>SUMIF(Table46[Cost type],'$ Dashboard'!B19,Table46[Feb_26_A])</f>
        <v/>
      </c>
      <c r="M68" s="280">
        <f>SUMIF(Table46[Cost type],'$ Dashboard'!B68,Table46[Mar_26_F])</f>
        <v/>
      </c>
      <c r="N68" s="280">
        <f>SUMIF(Table46[Cost type],'$ Dashboard'!B19,Table46[Mar_26_A])</f>
        <v/>
      </c>
      <c r="O68" s="280">
        <f>SUMIF(Table46[Cost type],'$ Dashboard'!B68,Table46[Apr_26_F])</f>
        <v/>
      </c>
      <c r="P68" s="280">
        <f>SUMIF(Table46[Cost type],'$ Dashboard'!B19,Table46[Apr_26_A])</f>
        <v/>
      </c>
      <c r="Q68" s="280">
        <f>SUMIF(Table46[Cost type],'$ Dashboard'!B68,Table46[May_26_F])</f>
        <v/>
      </c>
      <c r="R68" s="280">
        <f>SUMIF(Table46[Cost type],'$ Dashboard'!B19,Table46[May_26_A])</f>
        <v/>
      </c>
      <c r="S68" s="280">
        <f>SUMIF(Table46[Cost type],'$ Dashboard'!B68,Table46[Jun_26_F])</f>
        <v/>
      </c>
      <c r="T68" s="280">
        <f>SUMIF(Table46[Cost type],'$ Dashboard'!B19,Table46[Jun_26_A])</f>
        <v/>
      </c>
      <c r="U68" s="280">
        <f>SUMIF(Table46[Cost type],'$ Dashboard'!B68,Table46[Jul_26_F])</f>
        <v/>
      </c>
      <c r="V68" s="280">
        <f>SUMIF(Table46[Cost type],'$ Dashboard'!B19,Table46[Jul_26_A])</f>
        <v/>
      </c>
      <c r="W68" s="280">
        <f>SUMIF(Table46[Cost type],'$ Dashboard'!B68,Table46[Aug_26_F])</f>
        <v/>
      </c>
      <c r="X68" s="280">
        <f>SUMIF(Table46[Cost type],'$ Dashboard'!B19,Table46[Aug_26_A])</f>
        <v/>
      </c>
      <c r="Y68" s="280">
        <f>SUMIF(Table46[Cost type],'$ Dashboard'!B68,Table46[Sep_26_F])</f>
        <v/>
      </c>
      <c r="Z68" s="280">
        <f>SUMIF(Table46[Cost type],'$ Dashboard'!B19,Table46[Sep_26_A])</f>
        <v/>
      </c>
      <c r="AA68" s="280">
        <f>SUMIF(Table46[Cost type],'$ Dashboard'!B68,Table46[Oct_26_F])</f>
        <v/>
      </c>
      <c r="AB68" s="280">
        <f>SUMIF(Table46[Cost type],'$ Dashboard'!B19,Table46[Oct_26_A])</f>
        <v/>
      </c>
      <c r="AC68" s="280">
        <f>SUMIF(Table46[Cost type],'$ Dashboard'!B68,Table46[Nov_26_F])</f>
        <v/>
      </c>
      <c r="AD68" s="280">
        <f>SUMIF(Table46[Cost type],'$ Dashboard'!B74,Table46[Nov_26_A])</f>
        <v/>
      </c>
      <c r="AE68" s="280">
        <f>SUMIF(Table46[Cost type],'$ Dashboard'!B68,Table46[Dec_26_F])</f>
        <v/>
      </c>
      <c r="AF68" s="280">
        <f>SUMIF(Table46[Cost type],'$ Dashboard'!B74,Table46[Dec_26_A])</f>
        <v/>
      </c>
      <c r="AH68" s="279">
        <f>SUM(AW68:BG68)/1000000</f>
        <v/>
      </c>
      <c r="AI68" s="279">
        <f>SUMIF($AJ$12:$BG$12,"Actual",AJ68:BG68)/1000000</f>
        <v/>
      </c>
      <c r="AJ68" s="274" t="n"/>
      <c r="AK68" s="274" t="n"/>
      <c r="AL68" s="274" t="n"/>
      <c r="AM68" s="274" t="n"/>
      <c r="AN68" s="274" t="n"/>
      <c r="AO68" s="274" t="n"/>
      <c r="AP68" s="274" t="n"/>
      <c r="AQ68" s="274" t="n"/>
      <c r="AR68" s="274" t="n"/>
      <c r="AS68" s="274" t="n"/>
      <c r="AT68" s="274" t="n"/>
      <c r="AU68" s="274" t="n"/>
      <c r="AV68" s="274" t="n"/>
      <c r="AW68" s="274" t="n"/>
      <c r="AX68" s="274" t="n"/>
      <c r="AY68" s="274" t="n"/>
      <c r="AZ68" s="274" t="n"/>
      <c r="BA68" s="274" t="n"/>
      <c r="BB68" s="274" t="n"/>
      <c r="BC68" s="274" t="n"/>
      <c r="BD68" s="274" t="n"/>
      <c r="BE68" s="274" t="n"/>
      <c r="BF68" s="274" t="n"/>
      <c r="BG68" s="274" t="n"/>
      <c r="BI68" s="275" t="n"/>
      <c r="BJ68" s="275" t="n"/>
      <c r="BK68" s="275" t="n"/>
      <c r="BL68" s="275" t="n"/>
      <c r="BM68" s="275" t="n"/>
      <c r="BN68" s="275" t="n"/>
      <c r="BO68" s="275" t="n"/>
      <c r="BP68" s="275" t="n"/>
      <c r="BQ68" s="275" t="n"/>
      <c r="BR68" s="275" t="n"/>
      <c r="BS68" s="275" t="n"/>
      <c r="BT68" s="275" t="n"/>
      <c r="BU68" s="275" t="n"/>
      <c r="BV68" s="275" t="n"/>
      <c r="BW68" s="275" t="n"/>
      <c r="BX68" s="275" t="n"/>
      <c r="BY68" s="275" t="n"/>
      <c r="BZ68" s="275" t="n"/>
      <c r="CA68" s="275" t="n"/>
      <c r="CB68" s="275" t="n"/>
      <c r="CC68" s="275" t="n"/>
      <c r="CD68" s="279">
        <f>SUM(CE68:DB68)/1000000</f>
        <v/>
      </c>
      <c r="CE68" s="276" t="n"/>
      <c r="CF68" s="276" t="n"/>
      <c r="CG68" s="276" t="n"/>
      <c r="CH68" s="276" t="n"/>
      <c r="CI68" s="276" t="n"/>
      <c r="CJ68" s="276" t="n"/>
      <c r="CK68" s="276" t="n"/>
      <c r="CL68" s="276" t="n"/>
      <c r="CM68" s="276" t="n"/>
      <c r="CN68" s="276" t="n"/>
      <c r="CO68" s="276" t="n"/>
      <c r="CP68" s="276" t="n"/>
      <c r="CQ68" s="276" t="n"/>
      <c r="CR68" s="276" t="n"/>
      <c r="CS68" s="276" t="n"/>
      <c r="CT68" s="276" t="n"/>
      <c r="CU68" s="276" t="n"/>
      <c r="CV68" s="276" t="n"/>
      <c r="CW68" s="276" t="n"/>
      <c r="CX68" s="276" t="n"/>
      <c r="CY68" s="276" t="n"/>
      <c r="CZ68" s="276" t="n"/>
      <c r="DA68" s="276" t="n"/>
      <c r="DB68" s="276" t="n"/>
    </row>
    <row r="69" ht="18.6" customHeight="1">
      <c r="B69" s="5" t="n"/>
      <c r="D69" s="272">
        <f>SUM(G69,AH69)</f>
        <v/>
      </c>
      <c r="E69" s="272">
        <f>SUM(H69,AI69)</f>
        <v/>
      </c>
      <c r="G69" s="272">
        <f>SUMIF($I$12:$AF$12,"Plan",I69:AF69)/1000000</f>
        <v/>
      </c>
      <c r="H69" s="272">
        <f>SUMIF($I$12:$AF$12,"Actual",I69:AF69)/1000000</f>
        <v/>
      </c>
      <c r="I69" s="273">
        <f>SUMIF(Table46[Cost type],'$ Dashboard'!B69,Table46[Jan_26_F])</f>
        <v/>
      </c>
      <c r="J69" s="273">
        <f>SUMIF(Table46[Cost type],'$ Dashboard'!B20,Table46[Jan_26_Act])</f>
        <v/>
      </c>
      <c r="K69" s="273">
        <f>SUMIF(Table46[Cost type],'$ Dashboard'!B69,Table46[Feb_26_F])</f>
        <v/>
      </c>
      <c r="L69" s="273">
        <f>SUMIF(Table46[Cost type],'$ Dashboard'!B20,Table46[Feb_26_A])</f>
        <v/>
      </c>
      <c r="M69" s="273">
        <f>SUMIF(Table46[Cost type],'$ Dashboard'!B69,Table46[Mar_26_F])</f>
        <v/>
      </c>
      <c r="N69" s="273">
        <f>SUMIF(Table46[Cost type],'$ Dashboard'!B20,Table46[Mar_26_A])</f>
        <v/>
      </c>
      <c r="O69" s="273">
        <f>SUMIF(Table46[Cost type],'$ Dashboard'!B69,Table46[Apr_26_F])</f>
        <v/>
      </c>
      <c r="P69" s="273">
        <f>SUMIF(Table46[Cost type],'$ Dashboard'!B20,Table46[Apr_26_A])</f>
        <v/>
      </c>
      <c r="Q69" s="273">
        <f>SUMIF(Table46[Cost type],'$ Dashboard'!B69,Table46[May_26_F])</f>
        <v/>
      </c>
      <c r="R69" s="273">
        <f>SUMIF(Table46[Cost type],'$ Dashboard'!B20,Table46[May_26_A])</f>
        <v/>
      </c>
      <c r="S69" s="273">
        <f>SUMIF(Table46[Cost type],'$ Dashboard'!B69,Table46[Jun_26_F])</f>
        <v/>
      </c>
      <c r="T69" s="273">
        <f>SUMIF(Table46[Cost type],'$ Dashboard'!B20,Table46[Jun_26_A])</f>
        <v/>
      </c>
      <c r="U69" s="273">
        <f>SUMIF(Table46[Cost type],'$ Dashboard'!B69,Table46[Jul_26_F])</f>
        <v/>
      </c>
      <c r="V69" s="273">
        <f>SUMIF(Table46[Cost type],'$ Dashboard'!B20,Table46[Jul_26_A])</f>
        <v/>
      </c>
      <c r="W69" s="273">
        <f>SUMIF(Table46[Cost type],'$ Dashboard'!B69,Table46[Aug_26_F])</f>
        <v/>
      </c>
      <c r="X69" s="273">
        <f>SUMIF(Table46[Cost type],'$ Dashboard'!B20,Table46[Aug_26_A])</f>
        <v/>
      </c>
      <c r="Y69" s="273">
        <f>SUMIF(Table46[Cost type],'$ Dashboard'!B69,Table46[Sep_26_F])</f>
        <v/>
      </c>
      <c r="Z69" s="273">
        <f>SUMIF(Table46[Cost type],'$ Dashboard'!B20,Table46[Sep_26_A])</f>
        <v/>
      </c>
      <c r="AA69" s="273">
        <f>SUMIF(Table46[Cost type],'$ Dashboard'!B69,Table46[Oct_26_F])</f>
        <v/>
      </c>
      <c r="AB69" s="273">
        <f>SUMIF(Table46[Cost type],'$ Dashboard'!B20,Table46[Oct_26_A])</f>
        <v/>
      </c>
      <c r="AC69" s="273">
        <f>SUMIF(Table46[Cost type],'$ Dashboard'!B69,Table46[Nov_26_F])</f>
        <v/>
      </c>
      <c r="AD69" s="273">
        <f>SUMIF(Table46[Cost type],'$ Dashboard'!B75,Table46[Nov_26_A])</f>
        <v/>
      </c>
      <c r="AE69" s="273">
        <f>SUMIF(Table46[Cost type],'$ Dashboard'!B69,Table46[Dec_26_F])</f>
        <v/>
      </c>
      <c r="AF69" s="273">
        <f>SUMIF(Table46[Cost type],'$ Dashboard'!B75,Table46[Dec_26_A])</f>
        <v/>
      </c>
      <c r="AH69" s="272">
        <f>SUM(AW69:BG69)/1000000</f>
        <v/>
      </c>
      <c r="AI69" s="272">
        <f>SUMIF($AJ$12:$BG$12,"Actual",AJ69:BG69)/1000000</f>
        <v/>
      </c>
      <c r="AJ69" s="274" t="n"/>
      <c r="AK69" s="274" t="n"/>
      <c r="AL69" s="274" t="n"/>
      <c r="AM69" s="274" t="n"/>
      <c r="AN69" s="274" t="n"/>
      <c r="AO69" s="274" t="n"/>
      <c r="AP69" s="274" t="n"/>
      <c r="AQ69" s="274" t="n"/>
      <c r="AR69" s="274" t="n"/>
      <c r="AS69" s="274" t="n"/>
      <c r="AT69" s="274" t="n"/>
      <c r="AU69" s="274" t="n"/>
      <c r="AV69" s="274" t="n"/>
      <c r="AW69" s="274" t="n"/>
      <c r="AX69" s="274" t="n"/>
      <c r="AY69" s="274" t="n"/>
      <c r="AZ69" s="274" t="n"/>
      <c r="BA69" s="274" t="n"/>
      <c r="BB69" s="274" t="n"/>
      <c r="BC69" s="274" t="n"/>
      <c r="BD69" s="274" t="n"/>
      <c r="BE69" s="274" t="n"/>
      <c r="BF69" s="274" t="n"/>
      <c r="BG69" s="274" t="n"/>
      <c r="BI69" s="275" t="n"/>
      <c r="BJ69" s="275" t="n"/>
      <c r="BK69" s="275" t="n"/>
      <c r="BL69" s="275" t="n"/>
      <c r="BM69" s="275" t="n"/>
      <c r="BN69" s="275" t="n"/>
      <c r="BO69" s="275" t="n"/>
      <c r="BP69" s="275" t="n"/>
      <c r="BQ69" s="275" t="n"/>
      <c r="BR69" s="275" t="n"/>
      <c r="BS69" s="275" t="n"/>
      <c r="BT69" s="275" t="n"/>
      <c r="BU69" s="275" t="n"/>
      <c r="BV69" s="275" t="n"/>
      <c r="BW69" s="275" t="n"/>
      <c r="BX69" s="275" t="n"/>
      <c r="BY69" s="275" t="n"/>
      <c r="BZ69" s="275" t="n"/>
      <c r="CA69" s="275" t="n"/>
      <c r="CB69" s="275" t="n"/>
      <c r="CC69" s="275" t="n"/>
      <c r="CD69" s="272">
        <f>SUM(CE69:DB69)/1000000</f>
        <v/>
      </c>
      <c r="CE69" s="276" t="n"/>
      <c r="CF69" s="276" t="n"/>
      <c r="CG69" s="276" t="n"/>
      <c r="CH69" s="276" t="n"/>
      <c r="CI69" s="276" t="n"/>
      <c r="CJ69" s="276" t="n"/>
      <c r="CK69" s="276" t="n"/>
      <c r="CL69" s="276" t="n"/>
      <c r="CM69" s="276" t="n"/>
      <c r="CN69" s="276" t="n"/>
      <c r="CO69" s="276" t="n"/>
      <c r="CP69" s="276" t="n"/>
      <c r="CQ69" s="276" t="n"/>
      <c r="CR69" s="276" t="n"/>
      <c r="CS69" s="276" t="n"/>
      <c r="CT69" s="276" t="n"/>
      <c r="CU69" s="276" t="n"/>
      <c r="CV69" s="276" t="n"/>
      <c r="CW69" s="276" t="n"/>
      <c r="CX69" s="276" t="n"/>
      <c r="CY69" s="276" t="n"/>
      <c r="CZ69" s="276" t="n"/>
      <c r="DA69" s="276" t="n"/>
      <c r="DB69" s="276" t="n"/>
    </row>
    <row r="70" ht="18.6" customHeight="1">
      <c r="B70" s="5" t="n"/>
      <c r="D70" s="279">
        <f>SUM(G70,AH70)</f>
        <v/>
      </c>
      <c r="E70" s="279">
        <f>SUM(H70,AI70)</f>
        <v/>
      </c>
      <c r="G70" s="279">
        <f>SUMIF($I$12:$AF$12,"Plan",I70:AF70)/1000000</f>
        <v/>
      </c>
      <c r="H70" s="279">
        <f>SUMIF($I$12:$AF$12,"Actual",I70:AF70)/1000000</f>
        <v/>
      </c>
      <c r="I70" s="280">
        <f>SUMIF(Table46[Cost type],'$ Dashboard'!B70,Table46[Jan_26_F])</f>
        <v/>
      </c>
      <c r="J70" s="280">
        <f>SUMIF(Table46[Cost type],'$ Dashboard'!B21,Table46[Jan_26_Act])</f>
        <v/>
      </c>
      <c r="K70" s="280">
        <f>SUMIF(Table46[Cost type],'$ Dashboard'!B70,Table46[Feb_26_F])</f>
        <v/>
      </c>
      <c r="L70" s="280">
        <f>SUMIF(Table46[Cost type],'$ Dashboard'!B21,Table46[Feb_26_A])</f>
        <v/>
      </c>
      <c r="M70" s="280">
        <f>SUMIF(Table46[Cost type],'$ Dashboard'!B70,Table46[Mar_26_F])</f>
        <v/>
      </c>
      <c r="N70" s="280">
        <f>SUMIF(Table46[Cost type],'$ Dashboard'!B21,Table46[Mar_26_A])</f>
        <v/>
      </c>
      <c r="O70" s="280">
        <f>SUMIF(Table46[Cost type],'$ Dashboard'!B70,Table46[Apr_26_F])</f>
        <v/>
      </c>
      <c r="P70" s="280">
        <f>SUMIF(Table46[Cost type],'$ Dashboard'!B21,Table46[Apr_26_A])</f>
        <v/>
      </c>
      <c r="Q70" s="280">
        <f>SUMIF(Table46[Cost type],'$ Dashboard'!B70,Table46[May_26_F])</f>
        <v/>
      </c>
      <c r="R70" s="280">
        <f>SUMIF(Table46[Cost type],'$ Dashboard'!B21,Table46[May_26_A])</f>
        <v/>
      </c>
      <c r="S70" s="280">
        <f>SUMIF(Table46[Cost type],'$ Dashboard'!B70,Table46[Jun_26_F])</f>
        <v/>
      </c>
      <c r="T70" s="280">
        <f>SUMIF(Table46[Cost type],'$ Dashboard'!B21,Table46[Jun_26_A])</f>
        <v/>
      </c>
      <c r="U70" s="280">
        <f>SUMIF(Table46[Cost type],'$ Dashboard'!B70,Table46[Jul_26_F])</f>
        <v/>
      </c>
      <c r="V70" s="280">
        <f>SUMIF(Table46[Cost type],'$ Dashboard'!B21,Table46[Jul_26_A])</f>
        <v/>
      </c>
      <c r="W70" s="280">
        <f>SUMIF(Table46[Cost type],'$ Dashboard'!B70,Table46[Aug_26_F])</f>
        <v/>
      </c>
      <c r="X70" s="280">
        <f>SUMIF(Table46[Cost type],'$ Dashboard'!B21,Table46[Aug_26_A])</f>
        <v/>
      </c>
      <c r="Y70" s="280">
        <f>SUMIF(Table46[Cost type],'$ Dashboard'!B70,Table46[Sep_26_F])</f>
        <v/>
      </c>
      <c r="Z70" s="280">
        <f>SUMIF(Table46[Cost type],'$ Dashboard'!B21,Table46[Sep_26_A])</f>
        <v/>
      </c>
      <c r="AA70" s="280">
        <f>SUMIF(Table46[Cost type],'$ Dashboard'!B70,Table46[Oct_26_F])</f>
        <v/>
      </c>
      <c r="AB70" s="280">
        <f>SUMIF(Table46[Cost type],'$ Dashboard'!B21,Table46[Oct_26_A])</f>
        <v/>
      </c>
      <c r="AC70" s="280">
        <f>SUMIF(Table46[Cost type],'$ Dashboard'!B70,Table46[Nov_26_F])</f>
        <v/>
      </c>
      <c r="AD70" s="280">
        <f>SUMIF(Table46[Cost type],'$ Dashboard'!B76,Table46[Nov_26_A])</f>
        <v/>
      </c>
      <c r="AE70" s="280">
        <f>SUMIF(Table46[Cost type],'$ Dashboard'!B70,Table46[Dec_26_F])</f>
        <v/>
      </c>
      <c r="AF70" s="280">
        <f>SUMIF(Table46[Cost type],'$ Dashboard'!B76,Table46[Dec_26_A])</f>
        <v/>
      </c>
      <c r="AH70" s="279">
        <f>SUM(AW70:BG70)/1000000</f>
        <v/>
      </c>
      <c r="AI70" s="279">
        <f>SUMIF($AJ$12:$BG$12,"Actual",AJ70:BG70)/1000000</f>
        <v/>
      </c>
      <c r="AJ70" s="274" t="n"/>
      <c r="AK70" s="274" t="n"/>
      <c r="AL70" s="274" t="n"/>
      <c r="AM70" s="274" t="n"/>
      <c r="AN70" s="274" t="n"/>
      <c r="AO70" s="274" t="n"/>
      <c r="AP70" s="274" t="n"/>
      <c r="AQ70" s="274" t="n"/>
      <c r="AR70" s="274" t="n"/>
      <c r="AS70" s="274" t="n"/>
      <c r="AT70" s="274" t="n"/>
      <c r="AU70" s="274" t="n"/>
      <c r="AV70" s="274" t="n"/>
      <c r="AW70" s="274" t="n"/>
      <c r="AX70" s="274" t="n"/>
      <c r="AY70" s="274" t="n"/>
      <c r="AZ70" s="274" t="n"/>
      <c r="BA70" s="274" t="n"/>
      <c r="BB70" s="274" t="n"/>
      <c r="BC70" s="274" t="n"/>
      <c r="BD70" s="274" t="n"/>
      <c r="BE70" s="274" t="n"/>
      <c r="BF70" s="274" t="n"/>
      <c r="BG70" s="274" t="n"/>
      <c r="BI70" s="275" t="n"/>
      <c r="BJ70" s="275" t="n"/>
      <c r="BK70" s="275" t="n"/>
      <c r="BL70" s="275" t="n"/>
      <c r="BM70" s="275" t="n"/>
      <c r="BN70" s="275" t="n"/>
      <c r="BO70" s="275" t="n"/>
      <c r="BP70" s="275" t="n"/>
      <c r="BQ70" s="275" t="n"/>
      <c r="BR70" s="275" t="n"/>
      <c r="BS70" s="275" t="n"/>
      <c r="BT70" s="275" t="n"/>
      <c r="BU70" s="275" t="n"/>
      <c r="BV70" s="275" t="n"/>
      <c r="BW70" s="275" t="n"/>
      <c r="BX70" s="275" t="n"/>
      <c r="BY70" s="275" t="n"/>
      <c r="BZ70" s="275" t="n"/>
      <c r="CA70" s="275" t="n"/>
      <c r="CB70" s="275" t="n"/>
      <c r="CC70" s="275" t="n"/>
      <c r="CD70" s="279">
        <f>SUM(CE70:DB70)/1000000</f>
        <v/>
      </c>
      <c r="CE70" s="276" t="n"/>
      <c r="CF70" s="276" t="n"/>
      <c r="CG70" s="276" t="n"/>
      <c r="CH70" s="276" t="n"/>
      <c r="CI70" s="276" t="n"/>
      <c r="CJ70" s="276" t="n"/>
      <c r="CK70" s="276" t="n"/>
      <c r="CL70" s="276" t="n"/>
      <c r="CM70" s="276" t="n"/>
      <c r="CN70" s="276" t="n"/>
      <c r="CO70" s="276" t="n"/>
      <c r="CP70" s="276" t="n"/>
      <c r="CQ70" s="276" t="n"/>
      <c r="CR70" s="276" t="n"/>
      <c r="CS70" s="276" t="n"/>
      <c r="CT70" s="276" t="n"/>
      <c r="CU70" s="276" t="n"/>
      <c r="CV70" s="276" t="n"/>
      <c r="CW70" s="276" t="n"/>
      <c r="CX70" s="276" t="n"/>
      <c r="CY70" s="276" t="n"/>
      <c r="CZ70" s="276" t="n"/>
      <c r="DA70" s="276" t="n"/>
      <c r="DB70" s="276" t="n"/>
    </row>
    <row r="71" ht="18.6" customHeight="1">
      <c r="B71" s="5" t="n"/>
      <c r="D71" s="272">
        <f>SUM(G71,AH71)</f>
        <v/>
      </c>
      <c r="E71" s="272">
        <f>SUM(H71,AI71)</f>
        <v/>
      </c>
      <c r="G71" s="272">
        <f>SUMIF($I$12:$AF$12,"Plan",I71:AF71)/1000000</f>
        <v/>
      </c>
      <c r="H71" s="272">
        <f>SUMIF($I$12:$AF$12,"Actual",I71:AF71)/1000000</f>
        <v/>
      </c>
      <c r="I71" s="273">
        <f>SUMIF(Table46[Cost type],'$ Dashboard'!B71,Table46[Jan_26_F])</f>
        <v/>
      </c>
      <c r="J71" s="273">
        <f>SUMIF(Table46[Cost type],'$ Dashboard'!B22,Table46[Jan_26_Act])</f>
        <v/>
      </c>
      <c r="K71" s="273">
        <f>SUMIF(Table46[Cost type],'$ Dashboard'!B71,Table46[Feb_26_F])</f>
        <v/>
      </c>
      <c r="L71" s="273">
        <f>SUMIF(Table46[Cost type],'$ Dashboard'!B22,Table46[Feb_26_A])</f>
        <v/>
      </c>
      <c r="M71" s="273">
        <f>SUMIF(Table46[Cost type],'$ Dashboard'!B71,Table46[Mar_26_F])</f>
        <v/>
      </c>
      <c r="N71" s="273">
        <f>SUMIF(Table46[Cost type],'$ Dashboard'!B22,Table46[Mar_26_A])</f>
        <v/>
      </c>
      <c r="O71" s="273">
        <f>SUMIF(Table46[Cost type],'$ Dashboard'!B71,Table46[Apr_26_F])</f>
        <v/>
      </c>
      <c r="P71" s="273">
        <f>SUMIF(Table46[Cost type],'$ Dashboard'!B22,Table46[Apr_26_A])</f>
        <v/>
      </c>
      <c r="Q71" s="273">
        <f>SUMIF(Table46[Cost type],'$ Dashboard'!B71,Table46[May_26_F])</f>
        <v/>
      </c>
      <c r="R71" s="273">
        <f>SUMIF(Table46[Cost type],'$ Dashboard'!B22,Table46[May_26_A])</f>
        <v/>
      </c>
      <c r="S71" s="273">
        <f>SUMIF(Table46[Cost type],'$ Dashboard'!B71,Table46[Jun_26_F])</f>
        <v/>
      </c>
      <c r="T71" s="273">
        <f>SUMIF(Table46[Cost type],'$ Dashboard'!B22,Table46[Jun_26_A])</f>
        <v/>
      </c>
      <c r="U71" s="273">
        <f>SUMIF(Table46[Cost type],'$ Dashboard'!B71,Table46[Jul_26_F])</f>
        <v/>
      </c>
      <c r="V71" s="273">
        <f>SUMIF(Table46[Cost type],'$ Dashboard'!B22,Table46[Jul_26_A])</f>
        <v/>
      </c>
      <c r="W71" s="273">
        <f>SUMIF(Table46[Cost type],'$ Dashboard'!B71,Table46[Aug_26_F])</f>
        <v/>
      </c>
      <c r="X71" s="273">
        <f>SUMIF(Table46[Cost type],'$ Dashboard'!B22,Table46[Aug_26_A])</f>
        <v/>
      </c>
      <c r="Y71" s="273">
        <f>SUMIF(Table46[Cost type],'$ Dashboard'!B71,Table46[Sep_26_F])</f>
        <v/>
      </c>
      <c r="Z71" s="273">
        <f>SUMIF(Table46[Cost type],'$ Dashboard'!B22,Table46[Sep_26_A])</f>
        <v/>
      </c>
      <c r="AA71" s="273">
        <f>SUMIF(Table46[Cost type],'$ Dashboard'!B71,Table46[Oct_26_F])</f>
        <v/>
      </c>
      <c r="AB71" s="273">
        <f>SUMIF(Table46[Cost type],'$ Dashboard'!B22,Table46[Oct_26_A])</f>
        <v/>
      </c>
      <c r="AC71" s="273">
        <f>SUMIF(Table46[Cost type],'$ Dashboard'!B71,Table46[Nov_26_F])</f>
        <v/>
      </c>
      <c r="AD71" s="273">
        <f>SUMIF(Table46[Cost type],'$ Dashboard'!B77,Table46[Nov_26_A])</f>
        <v/>
      </c>
      <c r="AE71" s="273">
        <f>SUMIF(Table46[Cost type],'$ Dashboard'!B71,Table46[Dec_26_F])</f>
        <v/>
      </c>
      <c r="AF71" s="273">
        <f>SUMIF(Table46[Cost type],'$ Dashboard'!B77,Table46[Dec_26_A])</f>
        <v/>
      </c>
      <c r="AH71" s="272">
        <f>SUM(AW71:BG71)/1000000</f>
        <v/>
      </c>
      <c r="AI71" s="272">
        <f>SUMIF($AJ$12:$BG$12,"Actual",AJ71:BG71)/1000000</f>
        <v/>
      </c>
      <c r="AJ71" s="274" t="n"/>
      <c r="AK71" s="274" t="n"/>
      <c r="AL71" s="274" t="n"/>
      <c r="AM71" s="274" t="n"/>
      <c r="AN71" s="274" t="n"/>
      <c r="AO71" s="274" t="n"/>
      <c r="AP71" s="274" t="n"/>
      <c r="AQ71" s="274" t="n"/>
      <c r="AR71" s="274" t="n"/>
      <c r="AS71" s="274" t="n"/>
      <c r="AT71" s="274" t="n"/>
      <c r="AU71" s="274" t="n"/>
      <c r="AV71" s="274" t="n"/>
      <c r="AW71" s="274" t="n"/>
      <c r="AX71" s="274" t="n"/>
      <c r="AY71" s="274" t="n"/>
      <c r="AZ71" s="274" t="n"/>
      <c r="BA71" s="274" t="n"/>
      <c r="BB71" s="274" t="n"/>
      <c r="BC71" s="274" t="n"/>
      <c r="BD71" s="274" t="n"/>
      <c r="BE71" s="274" t="n"/>
      <c r="BF71" s="274" t="n"/>
      <c r="BG71" s="274" t="n"/>
      <c r="BI71" s="275" t="n"/>
      <c r="BJ71" s="275" t="n"/>
      <c r="BK71" s="275" t="n"/>
      <c r="BL71" s="275" t="n"/>
      <c r="BM71" s="275" t="n"/>
      <c r="BN71" s="275" t="n"/>
      <c r="BO71" s="275" t="n"/>
      <c r="BP71" s="275" t="n"/>
      <c r="BQ71" s="275" t="n"/>
      <c r="BR71" s="275" t="n"/>
      <c r="BS71" s="275" t="n"/>
      <c r="BT71" s="275" t="n"/>
      <c r="BU71" s="275" t="n"/>
      <c r="BV71" s="275" t="n"/>
      <c r="BW71" s="275" t="n"/>
      <c r="BX71" s="275" t="n"/>
      <c r="BY71" s="275" t="n"/>
      <c r="BZ71" s="275" t="n"/>
      <c r="CA71" s="275" t="n"/>
      <c r="CB71" s="275" t="n"/>
      <c r="CC71" s="275" t="n"/>
      <c r="CD71" s="272">
        <f>SUM(CE71:DB71)/1000000</f>
        <v/>
      </c>
      <c r="CE71" s="276" t="n"/>
      <c r="CF71" s="276" t="n"/>
      <c r="CG71" s="276" t="n"/>
      <c r="CH71" s="276" t="n"/>
      <c r="CI71" s="276" t="n"/>
      <c r="CJ71" s="276" t="n"/>
      <c r="CK71" s="276" t="n"/>
      <c r="CL71" s="276" t="n"/>
      <c r="CM71" s="276" t="n"/>
      <c r="CN71" s="276" t="n"/>
      <c r="CO71" s="276" t="n"/>
      <c r="CP71" s="276" t="n"/>
      <c r="CQ71" s="276" t="n"/>
      <c r="CR71" s="276" t="n"/>
      <c r="CS71" s="276" t="n"/>
      <c r="CT71" s="276" t="n"/>
      <c r="CU71" s="276" t="n"/>
      <c r="CV71" s="276" t="n"/>
      <c r="CW71" s="276" t="n"/>
      <c r="CX71" s="276" t="n"/>
      <c r="CY71" s="276" t="n"/>
      <c r="CZ71" s="276" t="n"/>
      <c r="DA71" s="276" t="n"/>
      <c r="DB71" s="276" t="n"/>
    </row>
    <row r="72" ht="18.6" customHeight="1">
      <c r="B72" s="5" t="n"/>
      <c r="D72" s="279">
        <f>SUM(G72,AH72)</f>
        <v/>
      </c>
      <c r="E72" s="279">
        <f>SUM(H72,AI72)</f>
        <v/>
      </c>
      <c r="G72" s="279">
        <f>SUMIF($I$12:$AF$12,"Plan",I72:AF72)/1000000</f>
        <v/>
      </c>
      <c r="H72" s="279">
        <f>SUMIF($I$12:$AF$12,"Actual",I72:AF72)/1000000</f>
        <v/>
      </c>
      <c r="I72" s="280">
        <f>SUMIF(Table46[Cost type],'$ Dashboard'!B72,Table46[Jan_26_F])</f>
        <v/>
      </c>
      <c r="J72" s="280">
        <f>SUMIF(Table46[Cost type],'$ Dashboard'!B23,Table46[Jan_26_Act])</f>
        <v/>
      </c>
      <c r="K72" s="280">
        <f>SUMIF(Table46[Cost type],'$ Dashboard'!B72,Table46[Feb_26_F])</f>
        <v/>
      </c>
      <c r="L72" s="280">
        <f>SUMIF(Table46[Cost type],'$ Dashboard'!B23,Table46[Feb_26_A])</f>
        <v/>
      </c>
      <c r="M72" s="280">
        <f>SUMIF(Table46[Cost type],'$ Dashboard'!B72,Table46[Mar_26_F])</f>
        <v/>
      </c>
      <c r="N72" s="280">
        <f>SUMIF(Table46[Cost type],'$ Dashboard'!B23,Table46[Mar_26_A])</f>
        <v/>
      </c>
      <c r="O72" s="280">
        <f>SUMIF(Table46[Cost type],'$ Dashboard'!B72,Table46[Apr_26_F])</f>
        <v/>
      </c>
      <c r="P72" s="280">
        <f>SUMIF(Table46[Cost type],'$ Dashboard'!B23,Table46[Apr_26_A])</f>
        <v/>
      </c>
      <c r="Q72" s="280">
        <f>SUMIF(Table46[Cost type],'$ Dashboard'!B72,Table46[May_26_F])</f>
        <v/>
      </c>
      <c r="R72" s="280">
        <f>SUMIF(Table46[Cost type],'$ Dashboard'!B23,Table46[May_26_A])</f>
        <v/>
      </c>
      <c r="S72" s="280">
        <f>SUMIF(Table46[Cost type],'$ Dashboard'!B72,Table46[Jun_26_F])</f>
        <v/>
      </c>
      <c r="T72" s="280">
        <f>SUMIF(Table46[Cost type],'$ Dashboard'!B23,Table46[Jun_26_A])</f>
        <v/>
      </c>
      <c r="U72" s="280">
        <f>SUMIF(Table46[Cost type],'$ Dashboard'!B72,Table46[Jul_26_F])</f>
        <v/>
      </c>
      <c r="V72" s="280">
        <f>SUMIF(Table46[Cost type],'$ Dashboard'!B23,Table46[Jul_26_A])</f>
        <v/>
      </c>
      <c r="W72" s="280">
        <f>SUMIF(Table46[Cost type],'$ Dashboard'!B72,Table46[Aug_26_F])</f>
        <v/>
      </c>
      <c r="X72" s="280">
        <f>SUMIF(Table46[Cost type],'$ Dashboard'!B23,Table46[Aug_26_A])</f>
        <v/>
      </c>
      <c r="Y72" s="280">
        <f>SUMIF(Table46[Cost type],'$ Dashboard'!B72,Table46[Sep_26_F])</f>
        <v/>
      </c>
      <c r="Z72" s="280">
        <f>SUMIF(Table46[Cost type],'$ Dashboard'!B23,Table46[Sep_26_A])</f>
        <v/>
      </c>
      <c r="AA72" s="280">
        <f>SUMIF(Table46[Cost type],'$ Dashboard'!B72,Table46[Oct_26_F])</f>
        <v/>
      </c>
      <c r="AB72" s="280">
        <f>SUMIF(Table46[Cost type],'$ Dashboard'!B23,Table46[Oct_26_A])</f>
        <v/>
      </c>
      <c r="AC72" s="280">
        <f>SUMIF(Table46[Cost type],'$ Dashboard'!B72,Table46[Nov_26_F])</f>
        <v/>
      </c>
      <c r="AD72" s="280">
        <f>SUMIF(Table46[Cost type],'$ Dashboard'!B78,Table46[Nov_26_A])</f>
        <v/>
      </c>
      <c r="AE72" s="280">
        <f>SUMIF(Table46[Cost type],'$ Dashboard'!B72,Table46[Dec_26_F])</f>
        <v/>
      </c>
      <c r="AF72" s="280">
        <f>SUMIF(Table46[Cost type],'$ Dashboard'!B78,Table46[Dec_26_A])</f>
        <v/>
      </c>
      <c r="AH72" s="279">
        <f>SUM(AW72:BG72)/1000000</f>
        <v/>
      </c>
      <c r="AI72" s="279">
        <f>SUMIF($AJ$12:$BG$12,"Actual",AJ72:BG72)/1000000</f>
        <v/>
      </c>
      <c r="AJ72" s="274" t="n"/>
      <c r="AK72" s="274" t="n"/>
      <c r="AL72" s="274" t="n"/>
      <c r="AM72" s="274" t="n"/>
      <c r="AN72" s="274" t="n"/>
      <c r="AO72" s="274" t="n"/>
      <c r="AP72" s="274" t="n"/>
      <c r="AQ72" s="274" t="n"/>
      <c r="AR72" s="274" t="n"/>
      <c r="AS72" s="274" t="n"/>
      <c r="AT72" s="274" t="n"/>
      <c r="AU72" s="274" t="n"/>
      <c r="AV72" s="274" t="n"/>
      <c r="AW72" s="274" t="n"/>
      <c r="AX72" s="274" t="n"/>
      <c r="AY72" s="274" t="n"/>
      <c r="AZ72" s="274" t="n"/>
      <c r="BA72" s="274" t="n"/>
      <c r="BB72" s="274" t="n"/>
      <c r="BC72" s="274" t="n"/>
      <c r="BD72" s="274" t="n"/>
      <c r="BE72" s="274" t="n"/>
      <c r="BF72" s="274" t="n"/>
      <c r="BG72" s="274" t="n"/>
      <c r="BI72" s="275" t="n"/>
      <c r="BJ72" s="275" t="n"/>
      <c r="BK72" s="275" t="n"/>
      <c r="BL72" s="275" t="n"/>
      <c r="BM72" s="275" t="n"/>
      <c r="BN72" s="275" t="n"/>
      <c r="BO72" s="275" t="n"/>
      <c r="BP72" s="275" t="n"/>
      <c r="BQ72" s="275" t="n"/>
      <c r="BR72" s="275" t="n"/>
      <c r="BS72" s="275" t="n"/>
      <c r="BT72" s="275" t="n"/>
      <c r="BU72" s="275" t="n"/>
      <c r="BV72" s="275" t="n"/>
      <c r="BW72" s="275" t="n"/>
      <c r="BX72" s="275" t="n"/>
      <c r="BY72" s="275" t="n"/>
      <c r="BZ72" s="275" t="n"/>
      <c r="CA72" s="275" t="n"/>
      <c r="CB72" s="275" t="n"/>
      <c r="CC72" s="275" t="n"/>
      <c r="CD72" s="279">
        <f>SUM(CE72:DB72)/1000000</f>
        <v/>
      </c>
      <c r="CE72" s="276" t="n"/>
      <c r="CF72" s="276" t="n"/>
      <c r="CG72" s="276" t="n"/>
      <c r="CH72" s="276" t="n"/>
      <c r="CI72" s="276" t="n"/>
      <c r="CJ72" s="276" t="n"/>
      <c r="CK72" s="276" t="n"/>
      <c r="CL72" s="276" t="n"/>
      <c r="CM72" s="276" t="n"/>
      <c r="CN72" s="276" t="n"/>
      <c r="CO72" s="276" t="n"/>
      <c r="CP72" s="276" t="n"/>
      <c r="CQ72" s="276" t="n"/>
      <c r="CR72" s="276" t="n"/>
      <c r="CS72" s="276" t="n"/>
      <c r="CT72" s="276" t="n"/>
      <c r="CU72" s="276" t="n"/>
      <c r="CV72" s="276" t="n"/>
      <c r="CW72" s="276" t="n"/>
      <c r="CX72" s="276" t="n"/>
      <c r="CY72" s="276" t="n"/>
      <c r="CZ72" s="276" t="n"/>
      <c r="DA72" s="276" t="n"/>
      <c r="DB72" s="276" t="n"/>
    </row>
    <row r="73" ht="18.6" customHeight="1">
      <c r="B73" s="5" t="n"/>
      <c r="D73" s="272">
        <f>SUM(G73,AH73)</f>
        <v/>
      </c>
      <c r="E73" s="272">
        <f>SUM(H73,AI73)</f>
        <v/>
      </c>
      <c r="G73" s="272">
        <f>SUMIF($I$12:$AF$12,"Plan",I73:AF73)/1000000</f>
        <v/>
      </c>
      <c r="H73" s="272">
        <f>SUMIF($I$12:$AF$12,"Actual",I73:AF73)/1000000</f>
        <v/>
      </c>
      <c r="I73" s="273">
        <f>SUMIF(Table46[Cost type],'$ Dashboard'!B73,Table46[Jan_26_F])</f>
        <v/>
      </c>
      <c r="J73" s="273">
        <f>SUMIF(Table46[Cost type],'$ Dashboard'!B26,Table46[Jan_26_Act])</f>
        <v/>
      </c>
      <c r="K73" s="273">
        <f>SUMIF(Table46[Cost type],'$ Dashboard'!B73,Table46[Feb_26_F])</f>
        <v/>
      </c>
      <c r="L73" s="273">
        <f>SUMIF(Table46[Cost type],'$ Dashboard'!B26,Table46[Feb_26_A])</f>
        <v/>
      </c>
      <c r="M73" s="273">
        <f>SUMIF(Table46[Cost type],'$ Dashboard'!B73,Table46[Mar_26_F])</f>
        <v/>
      </c>
      <c r="N73" s="273">
        <f>SUMIF(Table46[Cost type],'$ Dashboard'!B26,Table46[Mar_26_A])</f>
        <v/>
      </c>
      <c r="O73" s="273">
        <f>SUMIF(Table46[Cost type],'$ Dashboard'!B73,Table46[Apr_26_F])</f>
        <v/>
      </c>
      <c r="P73" s="273">
        <f>SUMIF(Table46[Cost type],'$ Dashboard'!B26,Table46[Apr_26_A])</f>
        <v/>
      </c>
      <c r="Q73" s="273">
        <f>SUMIF(Table46[Cost type],'$ Dashboard'!B73,Table46[May_26_F])</f>
        <v/>
      </c>
      <c r="R73" s="273">
        <f>SUMIF(Table46[Cost type],'$ Dashboard'!B26,Table46[May_26_A])</f>
        <v/>
      </c>
      <c r="S73" s="273">
        <f>SUMIF(Table46[Cost type],'$ Dashboard'!B73,Table46[Jun_26_F])</f>
        <v/>
      </c>
      <c r="T73" s="273">
        <f>SUMIF(Table46[Cost type],'$ Dashboard'!B26,Table46[Jun_26_A])</f>
        <v/>
      </c>
      <c r="U73" s="273">
        <f>SUMIF(Table46[Cost type],'$ Dashboard'!B73,Table46[Jul_26_F])</f>
        <v/>
      </c>
      <c r="V73" s="273">
        <f>SUMIF(Table46[Cost type],'$ Dashboard'!B26,Table46[Jul_26_A])</f>
        <v/>
      </c>
      <c r="W73" s="273">
        <f>SUMIF(Table46[Cost type],'$ Dashboard'!B73,Table46[Aug_26_F])</f>
        <v/>
      </c>
      <c r="X73" s="273">
        <f>SUMIF(Table46[Cost type],'$ Dashboard'!B26,Table46[Aug_26_A])</f>
        <v/>
      </c>
      <c r="Y73" s="273">
        <f>SUMIF(Table46[Cost type],'$ Dashboard'!B73,Table46[Sep_26_F])</f>
        <v/>
      </c>
      <c r="Z73" s="273">
        <f>SUMIF(Table46[Cost type],'$ Dashboard'!B26,Table46[Sep_26_A])</f>
        <v/>
      </c>
      <c r="AA73" s="273">
        <f>SUMIF(Table46[Cost type],'$ Dashboard'!B73,Table46[Oct_26_F])</f>
        <v/>
      </c>
      <c r="AB73" s="273">
        <f>SUMIF(Table46[Cost type],'$ Dashboard'!B26,Table46[Oct_26_A])</f>
        <v/>
      </c>
      <c r="AC73" s="273">
        <f>SUMIF(Table46[Cost type],'$ Dashboard'!B73,Table46[Nov_26_F])</f>
        <v/>
      </c>
      <c r="AD73" s="273">
        <f>SUMIF(Table46[Cost type],'$ Dashboard'!B79,Table46[Nov_26_A])</f>
        <v/>
      </c>
      <c r="AE73" s="273">
        <f>SUMIF(Table46[Cost type],'$ Dashboard'!B73,Table46[Dec_26_F])</f>
        <v/>
      </c>
      <c r="AF73" s="273">
        <f>SUMIF(Table46[Cost type],'$ Dashboard'!B79,Table46[Dec_26_A])</f>
        <v/>
      </c>
      <c r="AH73" s="272">
        <f>SUM(AW73:BG73)/1000000</f>
        <v/>
      </c>
      <c r="AI73" s="272">
        <f>SUMIF($AJ$12:$BG$12,"Actual",AJ73:BG73)/1000000</f>
        <v/>
      </c>
      <c r="AJ73" s="274" t="n"/>
      <c r="AK73" s="274" t="n"/>
      <c r="AL73" s="274" t="n"/>
      <c r="AM73" s="274" t="n"/>
      <c r="AN73" s="274" t="n"/>
      <c r="AO73" s="274" t="n"/>
      <c r="AP73" s="274" t="n"/>
      <c r="AQ73" s="274" t="n"/>
      <c r="AR73" s="274" t="n"/>
      <c r="AS73" s="274" t="n"/>
      <c r="AT73" s="274" t="n"/>
      <c r="AU73" s="274" t="n"/>
      <c r="AV73" s="274" t="n"/>
      <c r="AW73" s="274" t="n"/>
      <c r="AX73" s="274" t="n"/>
      <c r="AY73" s="274" t="n"/>
      <c r="AZ73" s="274" t="n"/>
      <c r="BA73" s="274" t="n"/>
      <c r="BB73" s="274" t="n"/>
      <c r="BC73" s="274" t="n"/>
      <c r="BD73" s="274" t="n"/>
      <c r="BE73" s="274" t="n"/>
      <c r="BF73" s="274" t="n"/>
      <c r="BG73" s="274" t="n"/>
      <c r="BI73" s="275" t="n"/>
      <c r="BJ73" s="275" t="n"/>
      <c r="BK73" s="275" t="n"/>
      <c r="BL73" s="275" t="n"/>
      <c r="BM73" s="275" t="n"/>
      <c r="BN73" s="275" t="n"/>
      <c r="BO73" s="275" t="n"/>
      <c r="BP73" s="275" t="n"/>
      <c r="BQ73" s="275" t="n"/>
      <c r="BR73" s="275" t="n"/>
      <c r="BS73" s="275" t="n"/>
      <c r="BT73" s="275" t="n"/>
      <c r="BU73" s="275" t="n"/>
      <c r="BV73" s="275" t="n"/>
      <c r="BW73" s="275" t="n"/>
      <c r="BX73" s="275" t="n"/>
      <c r="BY73" s="275" t="n"/>
      <c r="BZ73" s="275" t="n"/>
      <c r="CA73" s="275" t="n"/>
      <c r="CB73" s="275" t="n"/>
      <c r="CC73" s="275" t="n"/>
      <c r="CD73" s="272">
        <f>SUM(CE73:DB73)/1000000</f>
        <v/>
      </c>
      <c r="CE73" s="276" t="n"/>
      <c r="CF73" s="276" t="n"/>
      <c r="CG73" s="276" t="n"/>
      <c r="CH73" s="276" t="n"/>
      <c r="CI73" s="276" t="n"/>
      <c r="CJ73" s="276" t="n"/>
      <c r="CK73" s="276" t="n"/>
      <c r="CL73" s="276" t="n"/>
      <c r="CM73" s="276" t="n"/>
      <c r="CN73" s="276" t="n"/>
      <c r="CO73" s="276" t="n"/>
      <c r="CP73" s="276" t="n"/>
      <c r="CQ73" s="276" t="n"/>
      <c r="CR73" s="276" t="n"/>
      <c r="CS73" s="276" t="n"/>
      <c r="CT73" s="276" t="n"/>
      <c r="CU73" s="276" t="n"/>
      <c r="CV73" s="276" t="n"/>
      <c r="CW73" s="276" t="n"/>
      <c r="CX73" s="276" t="n"/>
      <c r="CY73" s="276" t="n"/>
      <c r="CZ73" s="276" t="n"/>
      <c r="DA73" s="276" t="n"/>
      <c r="DB73" s="276" t="n"/>
    </row>
    <row r="74" ht="18.6" customHeight="1">
      <c r="B74" s="5" t="n"/>
      <c r="D74" s="279">
        <f>SUM(G74,AH74)</f>
        <v/>
      </c>
      <c r="E74" s="279">
        <f>SUM(H74,AI74)</f>
        <v/>
      </c>
      <c r="G74" s="279">
        <f>SUMIF($I$12:$AF$12,"Plan",I74:AF74)/1000000</f>
        <v/>
      </c>
      <c r="H74" s="279">
        <f>SUMIF($I$12:$AF$12,"Actual",I74:AF74)/1000000</f>
        <v/>
      </c>
      <c r="I74" s="280">
        <f>SUMIF(Table46[Cost type],'$ Dashboard'!B74,Table46[Jan_26_F])</f>
        <v/>
      </c>
      <c r="J74" s="280">
        <f>SUMIF(Table46[Cost type],'$ Dashboard'!B27,Table46[Jan_26_Act])</f>
        <v/>
      </c>
      <c r="K74" s="280">
        <f>SUMIF(Table46[Cost type],'$ Dashboard'!B74,Table46[Feb_26_F])</f>
        <v/>
      </c>
      <c r="L74" s="280">
        <f>SUMIF(Table46[Cost type],'$ Dashboard'!B27,Table46[Feb_26_A])</f>
        <v/>
      </c>
      <c r="M74" s="280">
        <f>SUMIF(Table46[Cost type],'$ Dashboard'!B74,Table46[Mar_26_F])</f>
        <v/>
      </c>
      <c r="N74" s="280">
        <f>SUMIF(Table46[Cost type],'$ Dashboard'!B27,Table46[Mar_26_A])</f>
        <v/>
      </c>
      <c r="O74" s="280">
        <f>SUMIF(Table46[Cost type],'$ Dashboard'!B74,Table46[Apr_26_F])</f>
        <v/>
      </c>
      <c r="P74" s="280">
        <f>SUMIF(Table46[Cost type],'$ Dashboard'!B27,Table46[Apr_26_A])</f>
        <v/>
      </c>
      <c r="Q74" s="280">
        <f>SUMIF(Table46[Cost type],'$ Dashboard'!B74,Table46[May_26_F])</f>
        <v/>
      </c>
      <c r="R74" s="280">
        <f>SUMIF(Table46[Cost type],'$ Dashboard'!B27,Table46[May_26_A])</f>
        <v/>
      </c>
      <c r="S74" s="280">
        <f>SUMIF(Table46[Cost type],'$ Dashboard'!B74,Table46[Jun_26_F])</f>
        <v/>
      </c>
      <c r="T74" s="280">
        <f>SUMIF(Table46[Cost type],'$ Dashboard'!B27,Table46[Jun_26_A])</f>
        <v/>
      </c>
      <c r="U74" s="280">
        <f>SUMIF(Table46[Cost type],'$ Dashboard'!B74,Table46[Jul_26_F])</f>
        <v/>
      </c>
      <c r="V74" s="280">
        <f>SUMIF(Table46[Cost type],'$ Dashboard'!B27,Table46[Jul_26_A])</f>
        <v/>
      </c>
      <c r="W74" s="280">
        <f>SUMIF(Table46[Cost type],'$ Dashboard'!B74,Table46[Aug_26_F])</f>
        <v/>
      </c>
      <c r="X74" s="280">
        <f>SUMIF(Table46[Cost type],'$ Dashboard'!B27,Table46[Aug_26_A])</f>
        <v/>
      </c>
      <c r="Y74" s="280">
        <f>SUMIF(Table46[Cost type],'$ Dashboard'!B74,Table46[Sep_26_F])</f>
        <v/>
      </c>
      <c r="Z74" s="280">
        <f>SUMIF(Table46[Cost type],'$ Dashboard'!B27,Table46[Sep_26_A])</f>
        <v/>
      </c>
      <c r="AA74" s="280">
        <f>SUMIF(Table46[Cost type],'$ Dashboard'!B74,Table46[Oct_26_F])</f>
        <v/>
      </c>
      <c r="AB74" s="280">
        <f>SUMIF(Table46[Cost type],'$ Dashboard'!B27,Table46[Oct_26_A])</f>
        <v/>
      </c>
      <c r="AC74" s="280">
        <f>SUMIF(Table46[Cost type],'$ Dashboard'!B74,Table46[Nov_26_F])</f>
        <v/>
      </c>
      <c r="AD74" s="280">
        <f>SUMIF(Table46[Cost type],'$ Dashboard'!B80,Table46[Nov_26_A])</f>
        <v/>
      </c>
      <c r="AE74" s="280">
        <f>SUMIF(Table46[Cost type],'$ Dashboard'!B74,Table46[Dec_26_F])</f>
        <v/>
      </c>
      <c r="AF74" s="280">
        <f>SUMIF(Table46[Cost type],'$ Dashboard'!B80,Table46[Dec_26_A])</f>
        <v/>
      </c>
      <c r="AH74" s="279">
        <f>SUM(AW74:BG74)/1000000</f>
        <v/>
      </c>
      <c r="AI74" s="279">
        <f>SUMIF($AJ$12:$BG$12,"Actual",AJ74:BG74)/1000000</f>
        <v/>
      </c>
      <c r="AJ74" s="274" t="n"/>
      <c r="AK74" s="274" t="n"/>
      <c r="AL74" s="274" t="n"/>
      <c r="AM74" s="274" t="n"/>
      <c r="AN74" s="274" t="n"/>
      <c r="AO74" s="274" t="n"/>
      <c r="AP74" s="274" t="n"/>
      <c r="AQ74" s="274" t="n"/>
      <c r="AR74" s="274" t="n"/>
      <c r="AS74" s="274" t="n"/>
      <c r="AT74" s="274" t="n"/>
      <c r="AU74" s="274" t="n"/>
      <c r="AV74" s="274" t="n"/>
      <c r="AW74" s="274" t="n"/>
      <c r="AX74" s="274" t="n"/>
      <c r="AY74" s="274" t="n"/>
      <c r="AZ74" s="274" t="n"/>
      <c r="BA74" s="274" t="n"/>
      <c r="BB74" s="274" t="n"/>
      <c r="BC74" s="274" t="n"/>
      <c r="BD74" s="274" t="n"/>
      <c r="BE74" s="274" t="n"/>
      <c r="BF74" s="274" t="n"/>
      <c r="BG74" s="274" t="n"/>
      <c r="BI74" s="275" t="n"/>
      <c r="BJ74" s="275" t="n"/>
      <c r="BK74" s="275" t="n"/>
      <c r="BL74" s="275" t="n"/>
      <c r="BM74" s="275" t="n"/>
      <c r="BN74" s="275" t="n"/>
      <c r="BO74" s="275" t="n"/>
      <c r="BP74" s="275" t="n"/>
      <c r="BQ74" s="275" t="n"/>
      <c r="BR74" s="275" t="n"/>
      <c r="BS74" s="275" t="n"/>
      <c r="BT74" s="275" t="n"/>
      <c r="BU74" s="275" t="n"/>
      <c r="BV74" s="275" t="n"/>
      <c r="BW74" s="275" t="n"/>
      <c r="BX74" s="275" t="n"/>
      <c r="BY74" s="275" t="n"/>
      <c r="BZ74" s="275" t="n"/>
      <c r="CA74" s="275" t="n"/>
      <c r="CB74" s="275" t="n"/>
      <c r="CC74" s="275" t="n"/>
      <c r="CD74" s="279">
        <f>SUM(CE74:DB74)/1000000</f>
        <v/>
      </c>
      <c r="CE74" s="276" t="n"/>
      <c r="CF74" s="276" t="n"/>
      <c r="CG74" s="276" t="n"/>
      <c r="CH74" s="276" t="n"/>
      <c r="CI74" s="276" t="n"/>
      <c r="CJ74" s="276" t="n"/>
      <c r="CK74" s="276" t="n"/>
      <c r="CL74" s="276" t="n"/>
      <c r="CM74" s="276" t="n"/>
      <c r="CN74" s="276" t="n"/>
      <c r="CO74" s="276" t="n"/>
      <c r="CP74" s="276" t="n"/>
      <c r="CQ74" s="276" t="n"/>
      <c r="CR74" s="276" t="n"/>
      <c r="CS74" s="276" t="n"/>
      <c r="CT74" s="276" t="n"/>
      <c r="CU74" s="276" t="n"/>
      <c r="CV74" s="276" t="n"/>
      <c r="CW74" s="276" t="n"/>
      <c r="CX74" s="276" t="n"/>
      <c r="CY74" s="276" t="n"/>
      <c r="CZ74" s="276" t="n"/>
      <c r="DA74" s="276" t="n"/>
      <c r="DB74" s="276" t="n"/>
    </row>
    <row r="75" ht="18.6" customHeight="1">
      <c r="B75" s="5" t="n"/>
      <c r="D75" s="272">
        <f>SUM(G75,AH75)</f>
        <v/>
      </c>
      <c r="E75" s="272">
        <f>SUM(H75,AI75)</f>
        <v/>
      </c>
      <c r="G75" s="272">
        <f>SUMIF($I$12:$AF$12,"Plan",I75:AF75)/1000000</f>
        <v/>
      </c>
      <c r="H75" s="272">
        <f>SUMIF($I$12:$AF$12,"Actual",I75:AF75)/1000000</f>
        <v/>
      </c>
      <c r="I75" s="273">
        <f>SUMIF(Table46[Cost type],'$ Dashboard'!B75,Table46[Jan_26_F])</f>
        <v/>
      </c>
      <c r="J75" s="273">
        <f>SUMIF(Table46[Cost type],'$ Dashboard'!B28,Table46[Jan_26_Act])</f>
        <v/>
      </c>
      <c r="K75" s="273">
        <f>SUMIF(Table46[Cost type],'$ Dashboard'!B75,Table46[Feb_26_F])</f>
        <v/>
      </c>
      <c r="L75" s="273">
        <f>SUMIF(Table46[Cost type],'$ Dashboard'!B28,Table46[Feb_26_A])</f>
        <v/>
      </c>
      <c r="M75" s="273">
        <f>SUMIF(Table46[Cost type],'$ Dashboard'!B75,Table46[Mar_26_F])</f>
        <v/>
      </c>
      <c r="N75" s="273">
        <f>SUMIF(Table46[Cost type],'$ Dashboard'!B28,Table46[Mar_26_A])</f>
        <v/>
      </c>
      <c r="O75" s="273">
        <f>SUMIF(Table46[Cost type],'$ Dashboard'!B75,Table46[Apr_26_F])</f>
        <v/>
      </c>
      <c r="P75" s="273">
        <f>SUMIF(Table46[Cost type],'$ Dashboard'!B28,Table46[Apr_26_A])</f>
        <v/>
      </c>
      <c r="Q75" s="273">
        <f>SUMIF(Table46[Cost type],'$ Dashboard'!B75,Table46[May_26_F])</f>
        <v/>
      </c>
      <c r="R75" s="273">
        <f>SUMIF(Table46[Cost type],'$ Dashboard'!B28,Table46[May_26_A])</f>
        <v/>
      </c>
      <c r="S75" s="273">
        <f>SUMIF(Table46[Cost type],'$ Dashboard'!B75,Table46[Jun_26_F])</f>
        <v/>
      </c>
      <c r="T75" s="273">
        <f>SUMIF(Table46[Cost type],'$ Dashboard'!B28,Table46[Jun_26_A])</f>
        <v/>
      </c>
      <c r="U75" s="273">
        <f>SUMIF(Table46[Cost type],'$ Dashboard'!B75,Table46[Jul_26_F])</f>
        <v/>
      </c>
      <c r="V75" s="273">
        <f>SUMIF(Table46[Cost type],'$ Dashboard'!B28,Table46[Jul_26_A])</f>
        <v/>
      </c>
      <c r="W75" s="273">
        <f>SUMIF(Table46[Cost type],'$ Dashboard'!B75,Table46[Aug_26_F])</f>
        <v/>
      </c>
      <c r="X75" s="273">
        <f>SUMIF(Table46[Cost type],'$ Dashboard'!B28,Table46[Aug_26_A])</f>
        <v/>
      </c>
      <c r="Y75" s="273">
        <f>SUMIF(Table46[Cost type],'$ Dashboard'!B75,Table46[Sep_26_F])</f>
        <v/>
      </c>
      <c r="Z75" s="273">
        <f>SUMIF(Table46[Cost type],'$ Dashboard'!B28,Table46[Sep_26_A])</f>
        <v/>
      </c>
      <c r="AA75" s="273">
        <f>SUMIF(Table46[Cost type],'$ Dashboard'!B75,Table46[Oct_26_F])</f>
        <v/>
      </c>
      <c r="AB75" s="273">
        <f>SUMIF(Table46[Cost type],'$ Dashboard'!B28,Table46[Oct_26_A])</f>
        <v/>
      </c>
      <c r="AC75" s="273">
        <f>SUMIF(Table46[Cost type],'$ Dashboard'!B75,Table46[Nov_26_F])</f>
        <v/>
      </c>
      <c r="AD75" s="273">
        <f>SUMIF(Table46[Cost type],'$ Dashboard'!B81,Table46[Nov_26_A])</f>
        <v/>
      </c>
      <c r="AE75" s="273">
        <f>SUMIF(Table46[Cost type],'$ Dashboard'!B75,Table46[Dec_26_F])</f>
        <v/>
      </c>
      <c r="AF75" s="273">
        <f>SUMIF(Table46[Cost type],'$ Dashboard'!B81,Table46[Dec_26_A])</f>
        <v/>
      </c>
      <c r="AH75" s="272">
        <f>SUM(AW75:BG75)/1000000</f>
        <v/>
      </c>
      <c r="AI75" s="272">
        <f>SUMIF($AJ$12:$BG$12,"Actual",AJ75:BG75)/1000000</f>
        <v/>
      </c>
      <c r="AJ75" s="274" t="n"/>
      <c r="AK75" s="274" t="n"/>
      <c r="AL75" s="274" t="n"/>
      <c r="AM75" s="274" t="n"/>
      <c r="AN75" s="274" t="n"/>
      <c r="AO75" s="274" t="n"/>
      <c r="AP75" s="274" t="n"/>
      <c r="AQ75" s="274" t="n"/>
      <c r="AR75" s="274" t="n"/>
      <c r="AS75" s="274" t="n"/>
      <c r="AT75" s="274" t="n"/>
      <c r="AU75" s="274" t="n"/>
      <c r="AV75" s="274" t="n"/>
      <c r="AW75" s="274" t="n"/>
      <c r="AX75" s="274" t="n"/>
      <c r="AY75" s="274" t="n"/>
      <c r="AZ75" s="274" t="n"/>
      <c r="BA75" s="274" t="n"/>
      <c r="BB75" s="274" t="n"/>
      <c r="BC75" s="274" t="n"/>
      <c r="BD75" s="274" t="n"/>
      <c r="BE75" s="274" t="n"/>
      <c r="BF75" s="274" t="n"/>
      <c r="BG75" s="274" t="n"/>
      <c r="BI75" s="275" t="n"/>
      <c r="BJ75" s="275" t="n"/>
      <c r="BK75" s="275" t="n"/>
      <c r="BL75" s="275" t="n"/>
      <c r="BM75" s="275" t="n"/>
      <c r="BN75" s="275" t="n"/>
      <c r="BO75" s="275" t="n"/>
      <c r="BP75" s="275" t="n"/>
      <c r="BQ75" s="275" t="n"/>
      <c r="BR75" s="275" t="n"/>
      <c r="BS75" s="275" t="n"/>
      <c r="BT75" s="275" t="n"/>
      <c r="BU75" s="275" t="n"/>
      <c r="BV75" s="275" t="n"/>
      <c r="BW75" s="275" t="n"/>
      <c r="BX75" s="275" t="n"/>
      <c r="BY75" s="275" t="n"/>
      <c r="BZ75" s="275" t="n"/>
      <c r="CA75" s="275" t="n"/>
      <c r="CB75" s="275" t="n"/>
      <c r="CC75" s="275" t="n"/>
      <c r="CD75" s="272">
        <f>SUM(CE75:DB75)/1000000</f>
        <v/>
      </c>
      <c r="CE75" s="276" t="n"/>
      <c r="CF75" s="276" t="n"/>
      <c r="CG75" s="276" t="n"/>
      <c r="CH75" s="276" t="n"/>
      <c r="CI75" s="276" t="n"/>
      <c r="CJ75" s="276" t="n"/>
      <c r="CK75" s="276" t="n"/>
      <c r="CL75" s="276" t="n"/>
      <c r="CM75" s="276" t="n"/>
      <c r="CN75" s="276" t="n"/>
      <c r="CO75" s="276" t="n"/>
      <c r="CP75" s="276" t="n"/>
      <c r="CQ75" s="276" t="n"/>
      <c r="CR75" s="276" t="n"/>
      <c r="CS75" s="276" t="n"/>
      <c r="CT75" s="276" t="n"/>
      <c r="CU75" s="276" t="n"/>
      <c r="CV75" s="276" t="n"/>
      <c r="CW75" s="276" t="n"/>
      <c r="CX75" s="276" t="n"/>
      <c r="CY75" s="276" t="n"/>
      <c r="CZ75" s="276" t="n"/>
      <c r="DA75" s="276" t="n"/>
      <c r="DB75" s="276" t="n"/>
    </row>
    <row r="76" ht="18.6" customHeight="1">
      <c r="B76" s="5" t="n"/>
      <c r="D76" s="279">
        <f>SUM(G76,AH76)</f>
        <v/>
      </c>
      <c r="E76" s="279">
        <f>SUM(H76,AI76)</f>
        <v/>
      </c>
      <c r="G76" s="279">
        <f>SUMIF($I$12:$AF$12,"Plan",I76:AF76)/1000000</f>
        <v/>
      </c>
      <c r="H76" s="279">
        <f>SUMIF($I$12:$AF$12,"Actual",I76:AF76)/1000000</f>
        <v/>
      </c>
      <c r="I76" s="280">
        <f>SUMIF(Table46[Cost type],'$ Dashboard'!B76,Table46[Jan_26_F])</f>
        <v/>
      </c>
      <c r="J76" s="280">
        <f>SUMIF(Table46[Cost type],'$ Dashboard'!B29,Table46[Jan_26_Act])</f>
        <v/>
      </c>
      <c r="K76" s="280">
        <f>SUMIF(Table46[Cost type],'$ Dashboard'!B76,Table46[Feb_26_F])</f>
        <v/>
      </c>
      <c r="L76" s="280">
        <f>SUMIF(Table46[Cost type],'$ Dashboard'!B29,Table46[Feb_26_A])</f>
        <v/>
      </c>
      <c r="M76" s="280">
        <f>SUMIF(Table46[Cost type],'$ Dashboard'!B76,Table46[Mar_26_F])</f>
        <v/>
      </c>
      <c r="N76" s="280">
        <f>SUMIF(Table46[Cost type],'$ Dashboard'!B29,Table46[Mar_26_A])</f>
        <v/>
      </c>
      <c r="O76" s="280">
        <f>SUMIF(Table46[Cost type],'$ Dashboard'!B76,Table46[Apr_26_F])</f>
        <v/>
      </c>
      <c r="P76" s="280">
        <f>SUMIF(Table46[Cost type],'$ Dashboard'!B29,Table46[Apr_26_A])</f>
        <v/>
      </c>
      <c r="Q76" s="280">
        <f>SUMIF(Table46[Cost type],'$ Dashboard'!B76,Table46[May_26_F])</f>
        <v/>
      </c>
      <c r="R76" s="280">
        <f>SUMIF(Table46[Cost type],'$ Dashboard'!B29,Table46[May_26_A])</f>
        <v/>
      </c>
      <c r="S76" s="280">
        <f>SUMIF(Table46[Cost type],'$ Dashboard'!B76,Table46[Jun_26_F])</f>
        <v/>
      </c>
      <c r="T76" s="280">
        <f>SUMIF(Table46[Cost type],'$ Dashboard'!B29,Table46[Jun_26_A])</f>
        <v/>
      </c>
      <c r="U76" s="280">
        <f>SUMIF(Table46[Cost type],'$ Dashboard'!B76,Table46[Jul_26_F])</f>
        <v/>
      </c>
      <c r="V76" s="280">
        <f>SUMIF(Table46[Cost type],'$ Dashboard'!B29,Table46[Jul_26_A])</f>
        <v/>
      </c>
      <c r="W76" s="280">
        <f>SUMIF(Table46[Cost type],'$ Dashboard'!B76,Table46[Aug_26_F])</f>
        <v/>
      </c>
      <c r="X76" s="280">
        <f>SUMIF(Table46[Cost type],'$ Dashboard'!B29,Table46[Aug_26_A])</f>
        <v/>
      </c>
      <c r="Y76" s="280">
        <f>SUMIF(Table46[Cost type],'$ Dashboard'!B76,Table46[Sep_26_F])</f>
        <v/>
      </c>
      <c r="Z76" s="280">
        <f>SUMIF(Table46[Cost type],'$ Dashboard'!B29,Table46[Sep_26_A])</f>
        <v/>
      </c>
      <c r="AA76" s="280">
        <f>SUMIF(Table46[Cost type],'$ Dashboard'!B76,Table46[Oct_26_F])</f>
        <v/>
      </c>
      <c r="AB76" s="280">
        <f>SUMIF(Table46[Cost type],'$ Dashboard'!B29,Table46[Oct_26_A])</f>
        <v/>
      </c>
      <c r="AC76" s="280">
        <f>SUMIF(Table46[Cost type],'$ Dashboard'!B76,Table46[Nov_26_F])</f>
        <v/>
      </c>
      <c r="AD76" s="280">
        <f>SUMIF(Table46[Cost type],'$ Dashboard'!B82,Table46[Nov_26_A])</f>
        <v/>
      </c>
      <c r="AE76" s="280">
        <f>SUMIF(Table46[Cost type],'$ Dashboard'!B76,Table46[Dec_26_F])</f>
        <v/>
      </c>
      <c r="AF76" s="280">
        <f>SUMIF(Table46[Cost type],'$ Dashboard'!B82,Table46[Dec_26_A])</f>
        <v/>
      </c>
      <c r="AH76" s="279">
        <f>SUM(AW76:BG76)/1000000</f>
        <v/>
      </c>
      <c r="AI76" s="279">
        <f>SUMIF($AJ$12:$BG$12,"Actual",AJ76:BG76)/1000000</f>
        <v/>
      </c>
      <c r="AJ76" s="274" t="n"/>
      <c r="AK76" s="274" t="n"/>
      <c r="AL76" s="274" t="n"/>
      <c r="AM76" s="274" t="n"/>
      <c r="AN76" s="274" t="n"/>
      <c r="AO76" s="274" t="n"/>
      <c r="AP76" s="274" t="n"/>
      <c r="AQ76" s="274" t="n"/>
      <c r="AR76" s="274" t="n"/>
      <c r="AS76" s="274" t="n"/>
      <c r="AT76" s="274" t="n"/>
      <c r="AU76" s="274" t="n"/>
      <c r="AV76" s="274" t="n"/>
      <c r="AW76" s="274" t="n"/>
      <c r="AX76" s="274" t="n"/>
      <c r="AY76" s="274" t="n"/>
      <c r="AZ76" s="274" t="n"/>
      <c r="BA76" s="274" t="n"/>
      <c r="BB76" s="274" t="n"/>
      <c r="BC76" s="274" t="n"/>
      <c r="BD76" s="274" t="n"/>
      <c r="BE76" s="274" t="n"/>
      <c r="BF76" s="274" t="n"/>
      <c r="BG76" s="274" t="n"/>
      <c r="BI76" s="275" t="n"/>
      <c r="BJ76" s="275" t="n"/>
      <c r="BK76" s="275" t="n"/>
      <c r="BL76" s="275" t="n"/>
      <c r="BM76" s="275" t="n"/>
      <c r="BN76" s="275" t="n"/>
      <c r="BO76" s="275" t="n"/>
      <c r="BP76" s="275" t="n"/>
      <c r="BQ76" s="275" t="n"/>
      <c r="BR76" s="275" t="n"/>
      <c r="BS76" s="275" t="n"/>
      <c r="BT76" s="275" t="n"/>
      <c r="BU76" s="275" t="n"/>
      <c r="BV76" s="275" t="n"/>
      <c r="BW76" s="275" t="n"/>
      <c r="BX76" s="275" t="n"/>
      <c r="BY76" s="275" t="n"/>
      <c r="BZ76" s="275" t="n"/>
      <c r="CA76" s="275" t="n"/>
      <c r="CB76" s="275" t="n"/>
      <c r="CC76" s="275" t="n"/>
      <c r="CD76" s="279">
        <f>SUM(CE76:DB76)/1000000</f>
        <v/>
      </c>
      <c r="CE76" s="276" t="n"/>
      <c r="CF76" s="276" t="n"/>
      <c r="CG76" s="276" t="n"/>
      <c r="CH76" s="276" t="n"/>
      <c r="CI76" s="276" t="n"/>
      <c r="CJ76" s="276" t="n"/>
      <c r="CK76" s="276" t="n"/>
      <c r="CL76" s="276" t="n"/>
      <c r="CM76" s="276" t="n"/>
      <c r="CN76" s="276" t="n"/>
      <c r="CO76" s="276" t="n"/>
      <c r="CP76" s="276" t="n"/>
      <c r="CQ76" s="276" t="n"/>
      <c r="CR76" s="276" t="n"/>
      <c r="CS76" s="276" t="n"/>
      <c r="CT76" s="276" t="n"/>
      <c r="CU76" s="276" t="n"/>
      <c r="CV76" s="276" t="n"/>
      <c r="CW76" s="276" t="n"/>
      <c r="CX76" s="276" t="n"/>
      <c r="CY76" s="276" t="n"/>
      <c r="CZ76" s="276" t="n"/>
      <c r="DA76" s="276" t="n"/>
      <c r="DB76" s="276" t="n"/>
    </row>
    <row r="77" ht="18.95" customHeight="1" thickBot="1">
      <c r="B77" s="298" t="inlineStr">
        <is>
          <t>Total</t>
        </is>
      </c>
      <c r="D77" s="299">
        <f>SUM(D62:D75)</f>
        <v/>
      </c>
      <c r="E77" s="299">
        <f>SUM(E62:E75)</f>
        <v/>
      </c>
      <c r="G77" s="299">
        <f>SUM(G62:G76)</f>
        <v/>
      </c>
      <c r="H77" s="299">
        <f>SUM(H62:H76)</f>
        <v/>
      </c>
      <c r="I77" s="299">
        <f>SUM(I62:I76)</f>
        <v/>
      </c>
      <c r="J77" s="299">
        <f>SUM(J62:J76)</f>
        <v/>
      </c>
      <c r="K77" s="299">
        <f>SUM(K62:K76)</f>
        <v/>
      </c>
      <c r="L77" s="299">
        <f>SUM(L62:L76)</f>
        <v/>
      </c>
      <c r="M77" s="299">
        <f>SUM(M62:M76)</f>
        <v/>
      </c>
      <c r="N77" s="299">
        <f>SUM(N62:N76)</f>
        <v/>
      </c>
      <c r="O77" s="299">
        <f>SUM(O62:O76)</f>
        <v/>
      </c>
      <c r="P77" s="299">
        <f>SUM(P62:P76)</f>
        <v/>
      </c>
      <c r="Q77" s="299">
        <f>SUM(Q62:Q76)</f>
        <v/>
      </c>
      <c r="R77" s="299">
        <f>SUM(R62:R76)</f>
        <v/>
      </c>
      <c r="S77" s="299">
        <f>SUM(S62:S76)</f>
        <v/>
      </c>
      <c r="T77" s="299">
        <f>SUM(T62:T76)</f>
        <v/>
      </c>
      <c r="U77" s="299">
        <f>SUM(U62:U76)</f>
        <v/>
      </c>
      <c r="V77" s="299">
        <f>SUM(V62:V76)</f>
        <v/>
      </c>
      <c r="W77" s="299">
        <f>SUM(W62:W76)</f>
        <v/>
      </c>
      <c r="X77" s="299">
        <f>SUM(X62:X76)</f>
        <v/>
      </c>
      <c r="Y77" s="299">
        <f>SUM(Y62:Y76)</f>
        <v/>
      </c>
      <c r="Z77" s="299">
        <f>SUM(Z62:Z76)</f>
        <v/>
      </c>
      <c r="AA77" s="299">
        <f>SUM(AA62:AA76)</f>
        <v/>
      </c>
      <c r="AB77" s="299">
        <f>SUM(AB62:AB76)</f>
        <v/>
      </c>
      <c r="AC77" s="299">
        <f>SUM(AC62:AC76)</f>
        <v/>
      </c>
      <c r="AD77" s="299">
        <f>SUM(AD62:AD76)</f>
        <v/>
      </c>
      <c r="AE77" s="299">
        <f>SUM(AE62:AE76)</f>
        <v/>
      </c>
      <c r="AF77" s="299">
        <f>SUM(AF62:AF76)</f>
        <v/>
      </c>
      <c r="AH77" s="299">
        <f>SUM(AH62:AH76)</f>
        <v/>
      </c>
      <c r="AI77" s="299">
        <f>SUM(AI62:AI76)</f>
        <v/>
      </c>
      <c r="AJ77" s="300">
        <f>SUM(AJ62:AJ76)</f>
        <v/>
      </c>
      <c r="AK77" s="300">
        <f>SUM(AK62:AK76)</f>
        <v/>
      </c>
      <c r="AL77" s="300">
        <f>SUM(AL62:AL76)</f>
        <v/>
      </c>
      <c r="AM77" s="300">
        <f>SUM(AM62:AM76)</f>
        <v/>
      </c>
      <c r="AN77" s="300">
        <f>SUM(AN62:AN76)</f>
        <v/>
      </c>
      <c r="AO77" s="300">
        <f>SUM(AO62:AO76)</f>
        <v/>
      </c>
      <c r="AP77" s="300">
        <f>SUM(AP62:AP76)</f>
        <v/>
      </c>
      <c r="AQ77" s="300">
        <f>SUM(AQ62:AQ76)</f>
        <v/>
      </c>
      <c r="AR77" s="300">
        <f>SUM(AR62:AR76)</f>
        <v/>
      </c>
      <c r="AS77" s="300">
        <f>SUM(AS62:AS76)</f>
        <v/>
      </c>
      <c r="AT77" s="300">
        <f>SUM(AT62:AT76)</f>
        <v/>
      </c>
      <c r="AU77" s="300">
        <f>SUM(AU62:AU76)</f>
        <v/>
      </c>
      <c r="AV77" s="300">
        <f>SUM(AV62:AV76)</f>
        <v/>
      </c>
      <c r="AW77" s="300">
        <f>SUM(AW62:AW76)</f>
        <v/>
      </c>
      <c r="AX77" s="300">
        <f>SUM(AX62:AX76)</f>
        <v/>
      </c>
      <c r="AY77" s="300">
        <f>SUM(AY62:AY76)</f>
        <v/>
      </c>
      <c r="AZ77" s="300">
        <f>SUM(AZ62:AZ76)</f>
        <v/>
      </c>
      <c r="BA77" s="300">
        <f>SUM(BA62:BA76)</f>
        <v/>
      </c>
      <c r="BB77" s="300">
        <f>SUM(BB62:BB76)</f>
        <v/>
      </c>
      <c r="BC77" s="300">
        <f>SUM(BC62:BC76)</f>
        <v/>
      </c>
      <c r="BD77" s="300">
        <f>SUM(BD62:BD76)</f>
        <v/>
      </c>
      <c r="BE77" s="300">
        <f>SUM(BE62:BE76)</f>
        <v/>
      </c>
      <c r="BF77" s="300">
        <f>SUM(BF62:BF76)</f>
        <v/>
      </c>
      <c r="BG77" s="300">
        <f>SUM(BG62:BG76)</f>
        <v/>
      </c>
      <c r="BI77" s="275" t="n"/>
      <c r="BJ77" s="275" t="n"/>
      <c r="BK77" s="275" t="n"/>
      <c r="BL77" s="275" t="n"/>
      <c r="BM77" s="275" t="n"/>
      <c r="BN77" s="275" t="n"/>
      <c r="BO77" s="275" t="n"/>
      <c r="BP77" s="275" t="n"/>
      <c r="BQ77" s="275" t="n"/>
      <c r="BR77" s="275" t="n"/>
      <c r="BS77" s="275" t="n"/>
      <c r="BT77" s="275" t="n"/>
      <c r="BU77" s="275" t="n"/>
      <c r="BV77" s="275" t="n"/>
      <c r="BW77" s="275" t="n"/>
      <c r="BX77" s="275" t="n"/>
      <c r="BY77" s="275" t="n"/>
      <c r="BZ77" s="275" t="n"/>
      <c r="CA77" s="275" t="n"/>
      <c r="CB77" s="275" t="n"/>
      <c r="CC77" s="275" t="n"/>
      <c r="CD77" s="299">
        <f>SUM(CD62:CD76)</f>
        <v/>
      </c>
      <c r="CE77" s="311">
        <f>SUM(CE62:CE76)</f>
        <v/>
      </c>
      <c r="CF77" s="311">
        <f>SUM(CF62:CF76)</f>
        <v/>
      </c>
      <c r="CG77" s="311">
        <f>SUM(CG62:CG76)</f>
        <v/>
      </c>
      <c r="CH77" s="311">
        <f>SUM(CH62:CH76)</f>
        <v/>
      </c>
      <c r="CI77" s="311">
        <f>SUM(CI62:CI76)</f>
        <v/>
      </c>
      <c r="CJ77" s="311">
        <f>SUM(CJ62:CJ76)</f>
        <v/>
      </c>
      <c r="CK77" s="311">
        <f>SUM(CK62:CK76)</f>
        <v/>
      </c>
      <c r="CL77" s="311">
        <f>SUM(CL62:CL76)</f>
        <v/>
      </c>
      <c r="CM77" s="311">
        <f>SUM(CM62:CM76)</f>
        <v/>
      </c>
      <c r="CN77" s="311">
        <f>SUM(CN62:CN76)</f>
        <v/>
      </c>
      <c r="CO77" s="311">
        <f>SUM(CO62:CO76)</f>
        <v/>
      </c>
      <c r="CP77" s="311">
        <f>SUM(CP62:CP76)</f>
        <v/>
      </c>
      <c r="CQ77" s="311">
        <f>SUM(CQ62:CQ76)</f>
        <v/>
      </c>
      <c r="CR77" s="311">
        <f>SUM(CR62:CR76)</f>
        <v/>
      </c>
      <c r="CS77" s="311">
        <f>SUM(CS62:CS76)</f>
        <v/>
      </c>
      <c r="CT77" s="311">
        <f>SUM(CT62:CT76)</f>
        <v/>
      </c>
      <c r="CU77" s="311">
        <f>SUM(CU62:CU76)</f>
        <v/>
      </c>
      <c r="CV77" s="311">
        <f>SUM(CV62:CV76)</f>
        <v/>
      </c>
      <c r="CW77" s="311">
        <f>SUM(CW62:CW76)</f>
        <v/>
      </c>
      <c r="CX77" s="311">
        <f>SUM(CX62:CX76)</f>
        <v/>
      </c>
      <c r="CY77" s="311">
        <f>SUM(CY62:CY76)</f>
        <v/>
      </c>
      <c r="CZ77" s="311">
        <f>SUM(CZ62:CZ76)</f>
        <v/>
      </c>
      <c r="DA77" s="311">
        <f>SUM(DA62:DA76)</f>
        <v/>
      </c>
      <c r="DB77" s="311">
        <f>SUM(DB62:DB76)</f>
        <v/>
      </c>
    </row>
    <row r="78" ht="18.95" customHeight="1" thickBot="1">
      <c r="B78" s="26" t="n"/>
      <c r="C78" s="1" t="n"/>
      <c r="D78" s="1" t="n"/>
      <c r="E78" s="1" t="n"/>
      <c r="F78" s="1" t="n"/>
      <c r="G78" s="180" t="n"/>
      <c r="H78" s="180" t="n"/>
      <c r="I78" s="1" t="n"/>
      <c r="J78" s="312">
        <f>IFERROR(J77/I77,0)</f>
        <v/>
      </c>
      <c r="K78" s="1" t="n"/>
      <c r="L78" s="312">
        <f>IFERROR(L77/K77,0)</f>
        <v/>
      </c>
      <c r="M78" s="1" t="n"/>
      <c r="N78" s="312">
        <f>IFERROR(N77/M77,0)</f>
        <v/>
      </c>
      <c r="O78" s="1" t="n"/>
      <c r="P78" s="312">
        <f>IFERROR(P77/O77,0)</f>
        <v/>
      </c>
      <c r="Q78" s="1" t="n"/>
      <c r="R78" s="312">
        <f>IFERROR(R77/Q77,0)</f>
        <v/>
      </c>
      <c r="S78" s="1" t="n"/>
      <c r="T78" s="312">
        <f>IFERROR(T77/S77,0)</f>
        <v/>
      </c>
      <c r="U78" s="1" t="n"/>
      <c r="V78" s="312">
        <f>IFERROR(V77/U77,0)</f>
        <v/>
      </c>
      <c r="W78" s="1" t="n"/>
      <c r="X78" s="312">
        <f>IFERROR(X77/W77,0)</f>
        <v/>
      </c>
      <c r="Y78" s="1" t="n"/>
      <c r="Z78" s="312">
        <f>IFERROR(Z77/Y77,0)</f>
        <v/>
      </c>
      <c r="AA78" s="1" t="n"/>
      <c r="AB78" s="312">
        <f>IFERROR(AB77/AA77,0)</f>
        <v/>
      </c>
      <c r="AC78" s="1" t="n"/>
      <c r="AD78" s="312">
        <f>IFERROR(AD77/AC77,0)</f>
        <v/>
      </c>
      <c r="AE78" s="1" t="n"/>
      <c r="AF78" s="312">
        <f>IFERROR(AF77/AE77,0)</f>
        <v/>
      </c>
      <c r="AG78" s="1" t="n"/>
      <c r="AH78" s="1" t="n"/>
      <c r="AI78" s="180" t="n"/>
      <c r="AJ78" s="1" t="n"/>
      <c r="AK78" s="312">
        <f>IFERROR(AK77/AJ77,0)</f>
        <v/>
      </c>
      <c r="AL78" s="1" t="n"/>
      <c r="AM78" s="312">
        <f>IFERROR(AM77/AL77,0)</f>
        <v/>
      </c>
      <c r="AN78" s="1" t="n"/>
      <c r="AO78" s="312">
        <f>IFERROR(AO77/AN77,0)</f>
        <v/>
      </c>
      <c r="AP78" s="1" t="n"/>
      <c r="AQ78" s="312">
        <f>IFERROR(AQ77/AP77,0)</f>
        <v/>
      </c>
      <c r="AR78" s="1" t="n"/>
      <c r="AS78" s="312">
        <f>IFERROR(AS77/AR77,0)</f>
        <v/>
      </c>
      <c r="AT78" s="1" t="n"/>
      <c r="AU78" s="312">
        <f>IFERROR(AU77/AT77,0)</f>
        <v/>
      </c>
      <c r="AV78" s="1" t="n"/>
      <c r="AW78" s="312">
        <f>IFERROR(AW77/AV77,0)</f>
        <v/>
      </c>
      <c r="AX78" s="1" t="n"/>
      <c r="AY78" s="312">
        <f>IFERROR(AY77/AX77,0)</f>
        <v/>
      </c>
      <c r="AZ78" s="1" t="n"/>
      <c r="BA78" s="312">
        <f>IFERROR(BA77/AZ77,0)</f>
        <v/>
      </c>
      <c r="BB78" s="1" t="n"/>
      <c r="BC78" s="312">
        <f>IFERROR(BC77/BB77,0)</f>
        <v/>
      </c>
      <c r="BD78" s="1" t="n"/>
      <c r="BE78" s="312">
        <f>IFERROR(BE77/BD77,0)</f>
        <v/>
      </c>
      <c r="BF78" s="1" t="n"/>
      <c r="BG78" s="312">
        <f>IFERROR(BG77/BF77,0)</f>
        <v/>
      </c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</row>
    <row r="79" ht="18.6" customHeight="1">
      <c r="B79" s="27" t="n"/>
      <c r="D79" s="313">
        <f>SUM(G79,AH79)</f>
        <v/>
      </c>
      <c r="E79" s="313">
        <f>SUM(H79,AI79)</f>
        <v/>
      </c>
      <c r="G79" s="313">
        <f t="array" ref="G79">SUM(H79,SUMPRODUCT(($I$12:$AF$12="Plan")*($I$11:$AF$11&gt;$B$5)*(I79:AF79))/1000000)</f>
        <v/>
      </c>
      <c r="H79" s="313">
        <f>SUMIF($I$12:$AF$12,"Actual",I79:AF79)/1000000</f>
        <v/>
      </c>
      <c r="I79" s="273">
        <f>SUMIF(Table4[Workstream],'$ Dashboard'!B79,Table4[Jan_2026_F])+SUMIF(Table46[Workstream],'$ Dashboard'!B79,Table46[Jan_26_F])</f>
        <v/>
      </c>
      <c r="J79" s="274" t="n"/>
      <c r="K79" s="296" t="n"/>
      <c r="L79" s="274" t="n"/>
      <c r="M79" s="296" t="n"/>
      <c r="N79" s="274" t="n"/>
      <c r="O79" s="296" t="n"/>
      <c r="P79" s="274" t="n"/>
      <c r="Q79" s="296" t="n"/>
      <c r="R79" s="274" t="n"/>
      <c r="S79" s="296" t="n"/>
      <c r="T79" s="274" t="n"/>
      <c r="U79" s="296" t="n"/>
      <c r="V79" s="274" t="n"/>
      <c r="W79" s="296" t="n"/>
      <c r="X79" s="274" t="n"/>
      <c r="Y79" s="296" t="n"/>
      <c r="Z79" s="274" t="n"/>
      <c r="AA79" s="296" t="n"/>
      <c r="AB79" s="274" t="n"/>
      <c r="AC79" s="296" t="n"/>
      <c r="AD79" s="274" t="n"/>
      <c r="AE79" s="296" t="n"/>
      <c r="AF79" s="274" t="n"/>
      <c r="AH79" s="313">
        <f>SUM(AW79:BG79)/1000000</f>
        <v/>
      </c>
      <c r="AI79" s="313">
        <f>SUMIF($AJ$12:$BG$12,"Actual",AJ79:BG79)/1000000</f>
        <v/>
      </c>
      <c r="AJ79" s="296" t="n"/>
      <c r="AK79" s="296" t="n"/>
      <c r="AL79" s="296" t="n"/>
      <c r="AM79" s="296" t="n"/>
      <c r="AN79" s="296" t="n"/>
      <c r="AO79" s="296" t="n"/>
      <c r="AP79" s="296" t="n"/>
      <c r="AQ79" s="296" t="n"/>
      <c r="AR79" s="296" t="n"/>
      <c r="AS79" s="296" t="n"/>
      <c r="AT79" s="296" t="n"/>
      <c r="AU79" s="296" t="n"/>
      <c r="AV79" s="296" t="n"/>
      <c r="AW79" s="296" t="n"/>
      <c r="AX79" s="296" t="n"/>
      <c r="AY79" s="296" t="n"/>
      <c r="AZ79" s="296" t="n"/>
      <c r="BA79" s="296" t="n"/>
      <c r="BB79" s="296" t="n"/>
      <c r="BC79" s="296" t="n"/>
      <c r="BD79" s="296" t="n"/>
      <c r="BE79" s="296" t="n"/>
      <c r="BF79" s="296" t="n"/>
      <c r="BG79" s="296" t="n"/>
      <c r="BI79" s="275" t="n"/>
      <c r="BJ79" s="275" t="n"/>
      <c r="BK79" s="275" t="n"/>
      <c r="BL79" s="275" t="n"/>
      <c r="BM79" s="275" t="n"/>
      <c r="BN79" s="275" t="n"/>
      <c r="BO79" s="275" t="n"/>
      <c r="BP79" s="275" t="n"/>
      <c r="BQ79" s="275" t="n"/>
      <c r="BR79" s="275" t="n"/>
      <c r="BS79" s="275" t="n"/>
      <c r="BT79" s="275" t="n"/>
      <c r="BU79" s="275" t="n"/>
      <c r="BV79" s="275" t="n"/>
      <c r="BW79" s="275" t="n"/>
      <c r="BX79" s="275" t="n"/>
      <c r="BY79" s="275" t="n"/>
      <c r="BZ79" s="275" t="n"/>
      <c r="CA79" s="275" t="n"/>
      <c r="CB79" s="275" t="n"/>
      <c r="CC79" s="275" t="n"/>
      <c r="CD79" s="313">
        <f>SUM(CE79:DB79)/1000000</f>
        <v/>
      </c>
      <c r="CE79" s="297" t="n"/>
      <c r="CF79" s="297" t="n"/>
      <c r="CG79" s="297" t="n"/>
      <c r="CH79" s="297" t="n"/>
      <c r="CI79" s="297" t="n"/>
      <c r="CJ79" s="297" t="n"/>
      <c r="CK79" s="297" t="n"/>
      <c r="CL79" s="297" t="n"/>
      <c r="CM79" s="297" t="n"/>
      <c r="CN79" s="297" t="n"/>
      <c r="CO79" s="297" t="n"/>
      <c r="CP79" s="297" t="n"/>
      <c r="CQ79" s="297" t="n"/>
      <c r="CR79" s="297" t="n"/>
      <c r="CS79" s="297" t="n"/>
      <c r="CT79" s="297" t="n"/>
      <c r="CU79" s="297" t="n"/>
      <c r="CV79" s="297" t="n"/>
      <c r="CW79" s="297" t="n"/>
      <c r="CX79" s="297" t="n"/>
      <c r="CY79" s="297" t="n"/>
      <c r="CZ79" s="297" t="n"/>
      <c r="DA79" s="297" t="n"/>
      <c r="DB79" s="297" t="n"/>
    </row>
    <row r="80" ht="18.95" customHeight="1" thickBot="1">
      <c r="B80" s="283" t="inlineStr">
        <is>
          <t>Program Total w contingency</t>
        </is>
      </c>
      <c r="D80" s="284">
        <f>SUM(D77,D79)</f>
        <v/>
      </c>
      <c r="E80" s="284">
        <f>SUM(E77,E79)</f>
        <v/>
      </c>
      <c r="G80" s="284">
        <f>SUM(G77,G79)</f>
        <v/>
      </c>
      <c r="H80" s="284">
        <f>SUM(H77,H79)</f>
        <v/>
      </c>
      <c r="I80" s="285">
        <f>SUM(I77,I79)</f>
        <v/>
      </c>
      <c r="J80" s="285">
        <f>SUM(J77,J79)</f>
        <v/>
      </c>
      <c r="K80" s="285">
        <f>SUM(K77,K79)</f>
        <v/>
      </c>
      <c r="L80" s="285">
        <f>SUM(L77,L79)</f>
        <v/>
      </c>
      <c r="M80" s="285">
        <f>SUM(M77,M79)</f>
        <v/>
      </c>
      <c r="N80" s="285">
        <f>SUM(N77,N79)</f>
        <v/>
      </c>
      <c r="O80" s="285">
        <f>SUM(O77,O79)</f>
        <v/>
      </c>
      <c r="P80" s="285">
        <f>SUM(P77,P79)</f>
        <v/>
      </c>
      <c r="Q80" s="285">
        <f>SUM(Q77,Q79)</f>
        <v/>
      </c>
      <c r="R80" s="285">
        <f>SUM(R77,R79)</f>
        <v/>
      </c>
      <c r="S80" s="285">
        <f>SUM(S77,S79)</f>
        <v/>
      </c>
      <c r="T80" s="285">
        <f>SUM(T77,T79)</f>
        <v/>
      </c>
      <c r="U80" s="285">
        <f>SUM(U77,U79)</f>
        <v/>
      </c>
      <c r="V80" s="285">
        <f>SUM(V77,V79)</f>
        <v/>
      </c>
      <c r="W80" s="285">
        <f>SUM(W77,W79)</f>
        <v/>
      </c>
      <c r="X80" s="285">
        <f>SUM(X77,X79)</f>
        <v/>
      </c>
      <c r="Y80" s="285">
        <f>SUM(Y77,Y79)</f>
        <v/>
      </c>
      <c r="Z80" s="285">
        <f>SUM(Z77,Z79)</f>
        <v/>
      </c>
      <c r="AA80" s="285">
        <f>SUM(AA77,AA79)</f>
        <v/>
      </c>
      <c r="AB80" s="285">
        <f>SUM(AB77,AB79)</f>
        <v/>
      </c>
      <c r="AC80" s="285">
        <f>SUM(AC77,AC79)</f>
        <v/>
      </c>
      <c r="AD80" s="285">
        <f>SUM(AD77,AD79)</f>
        <v/>
      </c>
      <c r="AE80" s="285">
        <f>SUM(AE77,AE79)</f>
        <v/>
      </c>
      <c r="AF80" s="285">
        <f>SUM(AF77,AF79)</f>
        <v/>
      </c>
      <c r="AH80" s="284">
        <f>SUM(AH77,AH79)</f>
        <v/>
      </c>
      <c r="AI80" s="284">
        <f>SUM(AI77,AI79)</f>
        <v/>
      </c>
      <c r="AJ80" s="285">
        <f>SUM(AJ77,AJ79)</f>
        <v/>
      </c>
      <c r="AK80" s="285">
        <f>SUM(AK77,AK79)</f>
        <v/>
      </c>
      <c r="AL80" s="285">
        <f>SUM(AL77,AL79)</f>
        <v/>
      </c>
      <c r="AM80" s="285">
        <f>SUM(AM77,AM79)</f>
        <v/>
      </c>
      <c r="AN80" s="285">
        <f>SUM(AN77,AN79)</f>
        <v/>
      </c>
      <c r="AO80" s="285">
        <f>SUM(AO77,AO79)</f>
        <v/>
      </c>
      <c r="AP80" s="285">
        <f>SUM(AP77,AP79)</f>
        <v/>
      </c>
      <c r="AQ80" s="285">
        <f>SUM(AQ77,AQ79)</f>
        <v/>
      </c>
      <c r="AR80" s="285">
        <f>SUM(AR77,AR79)</f>
        <v/>
      </c>
      <c r="AS80" s="285">
        <f>SUM(AS77,AS79)</f>
        <v/>
      </c>
      <c r="AT80" s="285">
        <f>SUM(AT77,AT79)</f>
        <v/>
      </c>
      <c r="AU80" s="285">
        <f>SUM(AU77,AU79)</f>
        <v/>
      </c>
      <c r="AV80" s="285">
        <f>SUM(AV77,AV79)</f>
        <v/>
      </c>
      <c r="AW80" s="285">
        <f>SUM(AW77,AW79)</f>
        <v/>
      </c>
      <c r="AX80" s="285">
        <f>SUM(AX77,AX79)</f>
        <v/>
      </c>
      <c r="AY80" s="285">
        <f>SUM(AY77,AY79)</f>
        <v/>
      </c>
      <c r="AZ80" s="285">
        <f>SUM(AZ77,AZ79)</f>
        <v/>
      </c>
      <c r="BA80" s="285">
        <f>SUM(BA77,BA79)</f>
        <v/>
      </c>
      <c r="BB80" s="285">
        <f>SUM(BB77,BB79)</f>
        <v/>
      </c>
      <c r="BC80" s="285">
        <f>SUM(BC77,BC79)</f>
        <v/>
      </c>
      <c r="BD80" s="285">
        <f>SUM(BD77,BD79)</f>
        <v/>
      </c>
      <c r="BE80" s="285">
        <f>SUM(BE77,BE79)</f>
        <v/>
      </c>
      <c r="BF80" s="285">
        <f>SUM(BF77,BF79)</f>
        <v/>
      </c>
      <c r="BG80" s="285">
        <f>SUM(BG77,BG79)</f>
        <v/>
      </c>
      <c r="BI80" s="275" t="n"/>
      <c r="BJ80" s="275" t="n"/>
      <c r="BK80" s="275" t="n"/>
      <c r="BL80" s="275" t="n"/>
      <c r="BM80" s="275" t="n"/>
      <c r="BN80" s="275" t="n"/>
      <c r="BO80" s="275" t="n"/>
      <c r="BP80" s="275" t="n"/>
      <c r="BQ80" s="275" t="n"/>
      <c r="BR80" s="275" t="n"/>
      <c r="BS80" s="275" t="n"/>
      <c r="BT80" s="275" t="n"/>
      <c r="BU80" s="275" t="n"/>
      <c r="BV80" s="275" t="n"/>
      <c r="BW80" s="275" t="n"/>
      <c r="BX80" s="275" t="n"/>
      <c r="BY80" s="275" t="n"/>
      <c r="BZ80" s="275" t="n"/>
      <c r="CA80" s="275" t="n"/>
      <c r="CB80" s="275" t="n"/>
      <c r="CC80" s="275" t="n"/>
      <c r="CD80" s="284">
        <f>SUM(CE80:DB80)/1000000</f>
        <v/>
      </c>
      <c r="CE80" s="285">
        <f>SUM(CE77,CE79)</f>
        <v/>
      </c>
      <c r="CF80" s="285">
        <f>SUM(CF77,CF79)</f>
        <v/>
      </c>
      <c r="CG80" s="285">
        <f>SUM(CG77,CG79)</f>
        <v/>
      </c>
      <c r="CH80" s="285">
        <f>SUM(CH77,CH79)</f>
        <v/>
      </c>
      <c r="CI80" s="285">
        <f>SUM(CI77,CI79)</f>
        <v/>
      </c>
      <c r="CJ80" s="285">
        <f>SUM(CJ77,CJ79)</f>
        <v/>
      </c>
      <c r="CK80" s="285">
        <f>SUM(CK77,CK79)</f>
        <v/>
      </c>
      <c r="CL80" s="285">
        <f>SUM(CL77,CL79)</f>
        <v/>
      </c>
      <c r="CM80" s="285">
        <f>SUM(CM77,CM79)</f>
        <v/>
      </c>
      <c r="CN80" s="285">
        <f>SUM(CN77,CN79)</f>
        <v/>
      </c>
      <c r="CO80" s="285">
        <f>SUM(CO77,CO79)</f>
        <v/>
      </c>
      <c r="CP80" s="285">
        <f>SUM(CP77,CP79)</f>
        <v/>
      </c>
      <c r="CQ80" s="285">
        <f>SUM(CQ77,CQ79)</f>
        <v/>
      </c>
      <c r="CR80" s="285">
        <f>SUM(CR77,CR79)</f>
        <v/>
      </c>
      <c r="CS80" s="285">
        <f>SUM(CS77,CS79)</f>
        <v/>
      </c>
      <c r="CT80" s="285">
        <f>SUM(CT77,CT79)</f>
        <v/>
      </c>
      <c r="CU80" s="285">
        <f>SUM(CU77,CU79)</f>
        <v/>
      </c>
      <c r="CV80" s="285">
        <f>SUM(CV77,CV79)</f>
        <v/>
      </c>
      <c r="CW80" s="285">
        <f>SUM(CW77,CW79)</f>
        <v/>
      </c>
      <c r="CX80" s="285">
        <f>SUM(CX77,CX79)</f>
        <v/>
      </c>
      <c r="CY80" s="285">
        <f>SUM(CY77,CY79)</f>
        <v/>
      </c>
      <c r="CZ80" s="285">
        <f>SUM(CZ77,CZ79)</f>
        <v/>
      </c>
      <c r="DA80" s="285">
        <f>SUM(DA77,DA79)</f>
        <v/>
      </c>
      <c r="DB80" s="285">
        <f>SUM(DB77,DB79)</f>
        <v/>
      </c>
    </row>
  </sheetData>
  <mergeCells count="197">
    <mergeCell ref="AT60:AU60"/>
    <mergeCell ref="BF60:BG60"/>
    <mergeCell ref="C1:C2"/>
    <mergeCell ref="DB11:DB12"/>
    <mergeCell ref="CW11:CW12"/>
    <mergeCell ref="E1:E2"/>
    <mergeCell ref="AL36:AM36"/>
    <mergeCell ref="CP60:CP61"/>
    <mergeCell ref="D36:D37"/>
    <mergeCell ref="H11:H12"/>
    <mergeCell ref="AN36:AO36"/>
    <mergeCell ref="CR60:CR61"/>
    <mergeCell ref="CJ60:CJ61"/>
    <mergeCell ref="CT60:CT61"/>
    <mergeCell ref="AX36:AY36"/>
    <mergeCell ref="AH35:AI35"/>
    <mergeCell ref="M60:N60"/>
    <mergeCell ref="AZ36:BA36"/>
    <mergeCell ref="CZ36:CZ37"/>
    <mergeCell ref="AV11:AW11"/>
    <mergeCell ref="DB36:DB37"/>
    <mergeCell ref="AX11:AY11"/>
    <mergeCell ref="W1:X1"/>
    <mergeCell ref="AA60:AB60"/>
    <mergeCell ref="H36:H37"/>
    <mergeCell ref="O1:P1"/>
    <mergeCell ref="Y1:Z1"/>
    <mergeCell ref="CR36:CR37"/>
    <mergeCell ref="AH59:AI59"/>
    <mergeCell ref="CJ36:CJ37"/>
    <mergeCell ref="G60:G61"/>
    <mergeCell ref="M36:N36"/>
    <mergeCell ref="CH11:CH12"/>
    <mergeCell ref="CS60:CS61"/>
    <mergeCell ref="CJ11:CJ12"/>
    <mergeCell ref="Y36:Z36"/>
    <mergeCell ref="AC60:AD60"/>
    <mergeCell ref="CT11:CT12"/>
    <mergeCell ref="AE60:AF60"/>
    <mergeCell ref="CV11:CV12"/>
    <mergeCell ref="O60:P60"/>
    <mergeCell ref="CG11:CG12"/>
    <mergeCell ref="O11:P11"/>
    <mergeCell ref="Q11:R11"/>
    <mergeCell ref="AA11:AB11"/>
    <mergeCell ref="AC36:AD36"/>
    <mergeCell ref="AC11:AD11"/>
    <mergeCell ref="AV60:AW60"/>
    <mergeCell ref="AE36:AF36"/>
    <mergeCell ref="AE11:AF11"/>
    <mergeCell ref="S60:T60"/>
    <mergeCell ref="G36:G37"/>
    <mergeCell ref="U60:V60"/>
    <mergeCell ref="D35:E35"/>
    <mergeCell ref="CU60:CU61"/>
    <mergeCell ref="CW60:CW61"/>
    <mergeCell ref="G59:H59"/>
    <mergeCell ref="CQ36:CQ37"/>
    <mergeCell ref="CS36:CS37"/>
    <mergeCell ref="D10:E10"/>
    <mergeCell ref="B11:B12"/>
    <mergeCell ref="D11:D12"/>
    <mergeCell ref="CD60:CD61"/>
    <mergeCell ref="M1:N1"/>
    <mergeCell ref="CF60:CF61"/>
    <mergeCell ref="BF36:BG36"/>
    <mergeCell ref="K1:L1"/>
    <mergeCell ref="B60:B61"/>
    <mergeCell ref="AH10:AI10"/>
    <mergeCell ref="CV60:CV61"/>
    <mergeCell ref="AN60:AO60"/>
    <mergeCell ref="CM11:CM12"/>
    <mergeCell ref="CX60:CX61"/>
    <mergeCell ref="AP60:AQ60"/>
    <mergeCell ref="CO11:CO12"/>
    <mergeCell ref="AH11:AH12"/>
    <mergeCell ref="BB60:BC60"/>
    <mergeCell ref="CF36:CF37"/>
    <mergeCell ref="Q1:R1"/>
    <mergeCell ref="BD60:BE60"/>
    <mergeCell ref="BD11:BE11"/>
    <mergeCell ref="AC1:AD1"/>
    <mergeCell ref="AN11:AO11"/>
    <mergeCell ref="AP11:AQ11"/>
    <mergeCell ref="AH36:AH37"/>
    <mergeCell ref="CP11:CP12"/>
    <mergeCell ref="AJ36:AK36"/>
    <mergeCell ref="AT36:AU36"/>
    <mergeCell ref="G35:H35"/>
    <mergeCell ref="CL36:CL37"/>
    <mergeCell ref="AV36:AW36"/>
    <mergeCell ref="CV36:CV37"/>
    <mergeCell ref="AR11:AS11"/>
    <mergeCell ref="W11:X11"/>
    <mergeCell ref="AT11:AU11"/>
    <mergeCell ref="CX36:CX37"/>
    <mergeCell ref="S1:T1"/>
    <mergeCell ref="W60:X60"/>
    <mergeCell ref="U1:V1"/>
    <mergeCell ref="D1:D2"/>
    <mergeCell ref="BF11:BG11"/>
    <mergeCell ref="CX11:CX12"/>
    <mergeCell ref="G11:G12"/>
    <mergeCell ref="AI60:AI61"/>
    <mergeCell ref="I60:J60"/>
    <mergeCell ref="CI60:CI61"/>
    <mergeCell ref="CK60:CK61"/>
    <mergeCell ref="I11:J11"/>
    <mergeCell ref="E60:E61"/>
    <mergeCell ref="CD11:CD12"/>
    <mergeCell ref="CF11:CF12"/>
    <mergeCell ref="U36:V36"/>
    <mergeCell ref="W36:X36"/>
    <mergeCell ref="O36:P36"/>
    <mergeCell ref="CR11:CR12"/>
    <mergeCell ref="K60:L60"/>
    <mergeCell ref="B57:B58"/>
    <mergeCell ref="K11:L11"/>
    <mergeCell ref="AI36:AI37"/>
    <mergeCell ref="M11:N11"/>
    <mergeCell ref="CI36:CI37"/>
    <mergeCell ref="CK36:CK37"/>
    <mergeCell ref="H60:H61"/>
    <mergeCell ref="Y11:Z11"/>
    <mergeCell ref="CI11:CI12"/>
    <mergeCell ref="C36:C37"/>
    <mergeCell ref="CQ60:CQ61"/>
    <mergeCell ref="CU11:CU12"/>
    <mergeCell ref="CM36:CM37"/>
    <mergeCell ref="CO36:CO37"/>
    <mergeCell ref="B36:B37"/>
    <mergeCell ref="DA36:DA37"/>
    <mergeCell ref="AH60:AH61"/>
    <mergeCell ref="B33:B34"/>
    <mergeCell ref="CY11:CY12"/>
    <mergeCell ref="DA11:DA12"/>
    <mergeCell ref="AP36:AQ36"/>
    <mergeCell ref="AR36:AS36"/>
    <mergeCell ref="CL60:CL61"/>
    <mergeCell ref="CN60:CN61"/>
    <mergeCell ref="BB36:BC36"/>
    <mergeCell ref="BD36:BE36"/>
    <mergeCell ref="G1:H1"/>
    <mergeCell ref="AZ11:BA11"/>
    <mergeCell ref="BB11:BC11"/>
    <mergeCell ref="CZ60:CZ61"/>
    <mergeCell ref="DB60:DB61"/>
    <mergeCell ref="AJ60:AK60"/>
    <mergeCell ref="CK11:CK12"/>
    <mergeCell ref="AL60:AM60"/>
    <mergeCell ref="AX60:AY60"/>
    <mergeCell ref="AZ60:BA60"/>
    <mergeCell ref="CD36:CD37"/>
    <mergeCell ref="D59:E59"/>
    <mergeCell ref="CN36:CN37"/>
    <mergeCell ref="AJ11:AK11"/>
    <mergeCell ref="AA1:AB1"/>
    <mergeCell ref="AL11:AM11"/>
    <mergeCell ref="CP36:CP37"/>
    <mergeCell ref="I36:J36"/>
    <mergeCell ref="CL11:CL12"/>
    <mergeCell ref="K36:L36"/>
    <mergeCell ref="CN11:CN12"/>
    <mergeCell ref="CH36:CH37"/>
    <mergeCell ref="AI11:AI12"/>
    <mergeCell ref="CZ11:CZ12"/>
    <mergeCell ref="S11:T11"/>
    <mergeCell ref="CT36:CT37"/>
    <mergeCell ref="U11:V11"/>
    <mergeCell ref="G10:H10"/>
    <mergeCell ref="C11:C12"/>
    <mergeCell ref="CM60:CM61"/>
    <mergeCell ref="E11:E12"/>
    <mergeCell ref="AA36:AB36"/>
    <mergeCell ref="CO60:CO61"/>
    <mergeCell ref="CE60:CE61"/>
    <mergeCell ref="CG60:CG61"/>
    <mergeCell ref="Y60:Z60"/>
    <mergeCell ref="CY60:CY61"/>
    <mergeCell ref="Q60:R60"/>
    <mergeCell ref="DA60:DA61"/>
    <mergeCell ref="CU36:CU37"/>
    <mergeCell ref="CW36:CW37"/>
    <mergeCell ref="E36:E37"/>
    <mergeCell ref="Q36:R36"/>
    <mergeCell ref="CH60:CH61"/>
    <mergeCell ref="S36:T36"/>
    <mergeCell ref="B5:B6"/>
    <mergeCell ref="I1:J1"/>
    <mergeCell ref="CE36:CE37"/>
    <mergeCell ref="CG36:CG37"/>
    <mergeCell ref="D60:D61"/>
    <mergeCell ref="CY36:CY37"/>
    <mergeCell ref="CE11:CE12"/>
    <mergeCell ref="CQ11:CQ12"/>
    <mergeCell ref="AR60:AS60"/>
    <mergeCell ref="CS11:CS12"/>
  </mergeCells>
  <conditionalFormatting sqref="I79:J79">
    <cfRule type="expression" priority="3" dxfId="452">
      <formula>J$12="Actual"</formula>
    </cfRule>
  </conditionalFormatting>
  <conditionalFormatting sqref="I13:AF29">
    <cfRule type="expression" priority="42" dxfId="452">
      <formula>I$12="Actual"</formula>
    </cfRule>
  </conditionalFormatting>
  <conditionalFormatting sqref="I38:AF47 I52:J52 AJ38:BG47">
    <cfRule type="expression" priority="19" dxfId="452">
      <formula>I$12="Actual"</formula>
    </cfRule>
  </conditionalFormatting>
  <conditionalFormatting sqref="I62:AF76">
    <cfRule type="expression" priority="16" dxfId="452">
      <formula>J$12="Actual"</formula>
    </cfRule>
  </conditionalFormatting>
  <conditionalFormatting sqref="J31:J32 L31:L32 N31:N32 P31:P32 R31:R32 T31:T32 V31:V32 X31:X32 Z31:Z32 AB31:AB32 AD31:AD32 AF31:AF32 AK31:AK32 AK51 AM31:AM32 AM51 AO31:AO32 AO51 AQ31:AQ32 AQ51 AS31:AS32 AS51 AU31:AU32 AU51 AW31:AW32 AW51 AY31:AY32 AY51 BA31:BA32 BA51 BC31:BC32 BC51 BE31:BE32 BE51 BG31:BG32 BG51">
    <cfRule type="cellIs" priority="45" operator="greaterThan" dxfId="478">
      <formula>0</formula>
    </cfRule>
  </conditionalFormatting>
  <conditionalFormatting sqref="J78 L78 N78 P78 R78 T78 V78 X78 Z78 AB78 AD78 AF78 AK78 AM78 AO78 AQ78 AS78 AU78 AW78 AY78 BA78 BC78 BE78 BG78">
    <cfRule type="cellIs" priority="17" operator="greaterThan" dxfId="478">
      <formula>0</formula>
    </cfRule>
  </conditionalFormatting>
  <conditionalFormatting sqref="J52:AF52 AJ52:BG52">
    <cfRule type="expression" priority="48" dxfId="452">
      <formula>J10="Actual"</formula>
    </cfRule>
  </conditionalFormatting>
  <conditionalFormatting sqref="J79:AF79 AJ79:BG79">
    <cfRule type="expression" priority="18" dxfId="452">
      <formula>J59="Actual"</formula>
    </cfRule>
  </conditionalFormatting>
  <conditionalFormatting sqref="L52">
    <cfRule type="expression" priority="30" dxfId="452">
      <formula>L$12="Actual"</formula>
    </cfRule>
  </conditionalFormatting>
  <conditionalFormatting sqref="L79">
    <cfRule type="expression" priority="14" dxfId="452">
      <formula>M$12="Actual"</formula>
    </cfRule>
  </conditionalFormatting>
  <conditionalFormatting sqref="N52">
    <cfRule type="expression" priority="29" dxfId="452">
      <formula>N$12="Actual"</formula>
    </cfRule>
  </conditionalFormatting>
  <conditionalFormatting sqref="N79">
    <cfRule type="expression" priority="13" dxfId="452">
      <formula>O$12="Actual"</formula>
    </cfRule>
  </conditionalFormatting>
  <conditionalFormatting sqref="P52">
    <cfRule type="expression" priority="28" dxfId="452">
      <formula>P$12="Actual"</formula>
    </cfRule>
  </conditionalFormatting>
  <conditionalFormatting sqref="P79">
    <cfRule type="expression" priority="12" dxfId="452">
      <formula>Q$12="Actual"</formula>
    </cfRule>
  </conditionalFormatting>
  <conditionalFormatting sqref="R52">
    <cfRule type="expression" priority="27" dxfId="452">
      <formula>R$12="Actual"</formula>
    </cfRule>
  </conditionalFormatting>
  <conditionalFormatting sqref="R79">
    <cfRule type="expression" priority="11" dxfId="452">
      <formula>S$12="Actual"</formula>
    </cfRule>
  </conditionalFormatting>
  <conditionalFormatting sqref="T52">
    <cfRule type="expression" priority="26" dxfId="452">
      <formula>T$12="Actual"</formula>
    </cfRule>
  </conditionalFormatting>
  <conditionalFormatting sqref="T79">
    <cfRule type="expression" priority="10" dxfId="452">
      <formula>U$12="Actual"</formula>
    </cfRule>
  </conditionalFormatting>
  <conditionalFormatting sqref="V52">
    <cfRule type="expression" priority="25" dxfId="452">
      <formula>V$12="Actual"</formula>
    </cfRule>
  </conditionalFormatting>
  <conditionalFormatting sqref="V79">
    <cfRule type="expression" priority="9" dxfId="452">
      <formula>W$12="Actual"</formula>
    </cfRule>
  </conditionalFormatting>
  <conditionalFormatting sqref="X52">
    <cfRule type="expression" priority="24" dxfId="452">
      <formula>X$12="Actual"</formula>
    </cfRule>
  </conditionalFormatting>
  <conditionalFormatting sqref="X79">
    <cfRule type="expression" priority="8" dxfId="452">
      <formula>Y$12="Actual"</formula>
    </cfRule>
  </conditionalFormatting>
  <conditionalFormatting sqref="Z52">
    <cfRule type="expression" priority="23" dxfId="452">
      <formula>Z$12="Actual"</formula>
    </cfRule>
  </conditionalFormatting>
  <conditionalFormatting sqref="Z79">
    <cfRule type="expression" priority="7" dxfId="452">
      <formula>AA$12="Actual"</formula>
    </cfRule>
  </conditionalFormatting>
  <conditionalFormatting sqref="AB52">
    <cfRule type="expression" priority="22" dxfId="452">
      <formula>AB$12="Actual"</formula>
    </cfRule>
  </conditionalFormatting>
  <conditionalFormatting sqref="AB79">
    <cfRule type="expression" priority="6" dxfId="452">
      <formula>AC$12="Actual"</formula>
    </cfRule>
  </conditionalFormatting>
  <conditionalFormatting sqref="AD52">
    <cfRule type="expression" priority="21" dxfId="452">
      <formula>AD$12="Actual"</formula>
    </cfRule>
  </conditionalFormatting>
  <conditionalFormatting sqref="AD79">
    <cfRule type="expression" priority="5" dxfId="452">
      <formula>AE$12="Actual"</formula>
    </cfRule>
  </conditionalFormatting>
  <conditionalFormatting sqref="AF52">
    <cfRule type="expression" priority="20" dxfId="452">
      <formula>AF$12="Actual"</formula>
    </cfRule>
  </conditionalFormatting>
  <conditionalFormatting sqref="AF79">
    <cfRule type="expression" priority="4" dxfId="452">
      <formula>AG$12="Actual"</formula>
    </cfRule>
  </conditionalFormatting>
  <conditionalFormatting sqref="AJ13:BG29">
    <cfRule type="expression" priority="41" dxfId="452">
      <formula>AJ$12="Actual"</formula>
    </cfRule>
  </conditionalFormatting>
  <conditionalFormatting sqref="AJ62:BG76">
    <cfRule type="expression" priority="15" dxfId="452">
      <formula>AK$12="Actual"</formula>
    </cfRule>
  </conditionalFormatting>
  <pageMargins left="0.5" right="0.5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EW133"/>
  <sheetViews>
    <sheetView showGridLines="0" tabSelected="1" topLeftCell="J8" zoomScale="64" zoomScaleNormal="55" workbookViewId="0">
      <pane ySplit="9" topLeftCell="A10" activePane="bottomLeft" state="frozen"/>
      <selection activeCell="CS9" sqref="CS9"/>
    </sheetView>
  </sheetViews>
  <sheetFormatPr baseColWidth="8" defaultRowHeight="15" customHeight="1"/>
  <cols>
    <col width="15.140625" bestFit="1" customWidth="1" style="14" min="1" max="1"/>
    <col width="17.85546875" bestFit="1" customWidth="1" style="14" min="2" max="2"/>
    <col width="15.7109375" bestFit="1" customWidth="1" style="14" min="3" max="3"/>
    <col width="30" bestFit="1" customWidth="1" style="14" min="4" max="4"/>
    <col width="15.42578125" customWidth="1" style="14" min="5" max="5"/>
    <col width="19.5703125" customWidth="1" style="14" min="6" max="6"/>
    <col width="14.140625" customWidth="1" style="14" min="7" max="7"/>
    <col outlineLevel="1" width="9.85546875" customWidth="1" style="116" min="8" max="8"/>
    <col width="44.85546875" customWidth="1" style="14" min="9" max="9"/>
    <col width="39.5703125" customWidth="1" style="14" min="10" max="10"/>
    <col width="13" customWidth="1" style="14" min="11" max="11"/>
    <col width="18.5703125" customWidth="1" min="12" max="12"/>
    <col outlineLevel="1" width="14.85546875" customWidth="1" style="14" min="13" max="13"/>
    <col outlineLevel="1" width="19.140625" customWidth="1" style="14" min="14" max="14"/>
    <col outlineLevel="1" width="18.7109375" customWidth="1" style="14" min="15" max="15"/>
    <col width="10.5703125" customWidth="1" style="14" min="16" max="16"/>
    <col width="14.42578125" customWidth="1" style="14" min="17" max="17"/>
    <col width="18.85546875" customWidth="1" style="14" min="18" max="18"/>
    <col width="17.85546875" customWidth="1" style="14" min="19" max="19"/>
    <col width="18.5703125" customWidth="1" style="14" min="20" max="20"/>
    <col width="17.5703125" customWidth="1" style="14" min="21" max="21"/>
    <col width="17.42578125" customWidth="1" style="14" min="22" max="22"/>
    <col width="16.42578125" customWidth="1" style="78" min="23" max="23"/>
    <col width="16.5703125" customWidth="1" style="14" min="24" max="24"/>
    <col width="34.42578125" customWidth="1" style="14" min="25" max="25"/>
    <col width="22.140625" customWidth="1" style="14" min="26" max="26"/>
    <col width="10.42578125" bestFit="1" customWidth="1" style="14" min="27" max="27"/>
    <col outlineLevel="1" width="8.42578125" customWidth="1" style="14" min="28" max="28"/>
    <col outlineLevel="1" width="11.85546875" customWidth="1" style="14" min="29" max="38"/>
    <col outlineLevel="1" width="11.85546875" customWidth="1" style="79" min="39" max="39"/>
    <col width="10.42578125" bestFit="1" customWidth="1" style="79" min="40" max="40"/>
    <col width="10.42578125" bestFit="1" customWidth="1" style="14" min="41" max="41"/>
    <col outlineLevel="1" width="13.140625" customWidth="1" style="14" min="42" max="52"/>
    <col outlineLevel="1" width="13.140625" customWidth="1" style="79" min="53" max="53"/>
    <col width="10.42578125" bestFit="1" customWidth="1" style="14" min="54" max="54"/>
    <col outlineLevel="1" width="13.140625" customWidth="1" style="14" min="55" max="65"/>
    <col outlineLevel="1" width="13.140625" customWidth="1" style="77" min="66" max="66"/>
    <col width="10.42578125" bestFit="1" customWidth="1" style="77" min="67" max="67"/>
    <col width="10.42578125" bestFit="1" customWidth="1" min="68" max="68"/>
    <col outlineLevel="1" width="12.85546875" customWidth="1" min="69" max="71"/>
    <col outlineLevel="1" width="10.42578125" customWidth="1" min="72" max="72"/>
    <col outlineLevel="1" width="12.85546875" customWidth="1" min="73" max="74"/>
    <col outlineLevel="1" width="11.85546875" customWidth="1" min="75" max="75"/>
    <col outlineLevel="1" width="10.42578125" customWidth="1" min="76" max="76"/>
    <col outlineLevel="1" width="12.85546875" customWidth="1" min="77" max="79"/>
    <col outlineLevel="1" width="10.42578125" customWidth="1" min="80" max="80"/>
    <col outlineLevel="1" width="12.85546875" customWidth="1" min="81" max="83"/>
    <col outlineLevel="1" width="10.42578125" customWidth="1" min="84" max="84"/>
    <col outlineLevel="1" width="12.85546875" customWidth="1" min="85" max="87"/>
    <col outlineLevel="1" width="10.42578125" customWidth="1" min="88" max="88"/>
    <col outlineLevel="1" width="12.85546875" customWidth="1" min="89" max="89"/>
    <col outlineLevel="1" width="10.42578125" customWidth="1" min="90" max="90"/>
    <col outlineLevel="1" width="12.85546875" customWidth="1" min="91" max="91"/>
    <col outlineLevel="1" width="10.42578125" customWidth="1" min="92" max="92"/>
    <col outlineLevel="1" width="12.85546875" customWidth="1" min="93" max="93"/>
    <col outlineLevel="1" width="10.42578125" customWidth="1" min="94" max="94"/>
    <col outlineLevel="1" width="12.85546875" customWidth="1" min="95" max="95"/>
    <col outlineLevel="1" width="10.42578125" customWidth="1" min="96" max="96"/>
    <col outlineLevel="1" width="12.85546875" customWidth="1" min="97" max="97"/>
    <col outlineLevel="1" width="10.42578125" customWidth="1" min="98" max="98"/>
    <col outlineLevel="1" width="12.85546875" customWidth="1" min="99" max="99"/>
    <col outlineLevel="1" width="10.42578125" customWidth="1" min="100" max="100"/>
    <col outlineLevel="1" width="14.42578125" customWidth="1" min="101" max="101"/>
    <col outlineLevel="1" width="10.42578125" customWidth="1" min="102" max="102"/>
    <col outlineLevel="1" width="14.42578125" customWidth="1" min="103" max="103"/>
    <col outlineLevel="1" width="10.42578125" customWidth="1" min="104" max="104"/>
    <col outlineLevel="1" width="14.42578125" customWidth="1" min="105" max="105"/>
    <col outlineLevel="1" width="10.42578125" customWidth="1" min="106" max="106"/>
    <col outlineLevel="1" width="14.42578125" customWidth="1" min="107" max="107"/>
    <col outlineLevel="1" width="10.42578125" customWidth="1" min="108" max="108"/>
    <col outlineLevel="1" width="14.42578125" customWidth="1" min="109" max="109"/>
    <col outlineLevel="1" width="10.42578125" customWidth="1" min="110" max="110"/>
    <col outlineLevel="1" width="14.42578125" customWidth="1" min="111" max="111"/>
    <col outlineLevel="1" width="10.42578125" customWidth="1" min="112" max="112"/>
    <col outlineLevel="1" width="14.42578125" customWidth="1" min="113" max="113"/>
    <col outlineLevel="1" width="10.42578125" customWidth="1" min="114" max="114"/>
    <col outlineLevel="1" width="14.42578125" customWidth="1" style="77" min="115" max="115"/>
    <col outlineLevel="1" width="10.42578125" customWidth="1" min="116" max="116"/>
    <col width="10.42578125" bestFit="1" customWidth="1" min="117" max="117"/>
    <col outlineLevel="1" width="10.42578125" customWidth="1" min="118" max="153"/>
  </cols>
  <sheetData>
    <row r="1" ht="14.45" customHeight="1">
      <c r="L1" s="14" t="n"/>
      <c r="W1" s="14" t="n"/>
      <c r="AA1" s="51" t="n"/>
      <c r="AM1" s="14" t="n"/>
      <c r="AN1" s="51" t="n"/>
      <c r="AO1" s="51" t="n"/>
      <c r="BA1" s="14" t="n"/>
      <c r="BB1" s="51" t="n"/>
      <c r="BN1" s="14" t="n"/>
      <c r="BO1" s="51" t="n"/>
      <c r="BP1" s="51" t="n"/>
      <c r="DM1" s="51" t="n"/>
    </row>
    <row r="2" ht="52.5" customHeight="1">
      <c r="K2" s="91" t="n"/>
      <c r="L2" s="91" t="n"/>
      <c r="W2" s="14" t="n"/>
      <c r="AA2" s="50" t="n"/>
      <c r="AC2" s="314" t="n">
        <v>19</v>
      </c>
      <c r="AM2" s="14" t="n"/>
      <c r="AN2" s="50" t="n"/>
      <c r="AO2" s="50" t="n"/>
      <c r="BA2" s="14" t="n"/>
      <c r="BB2" s="50" t="n"/>
      <c r="BN2" s="14" t="n"/>
      <c r="BO2" s="50" t="n"/>
      <c r="BP2" s="50" t="n"/>
      <c r="DM2" s="50" t="n"/>
    </row>
    <row r="3" ht="14.45" customHeight="1">
      <c r="K3" s="91" t="n"/>
      <c r="L3" s="91" t="n"/>
      <c r="W3" s="14" t="n"/>
      <c r="AA3" s="50" t="n"/>
      <c r="AB3" s="314" t="inlineStr">
        <is>
          <t>Hub days [excluding public holidays]</t>
        </is>
      </c>
      <c r="AM3" s="14" t="n"/>
      <c r="AN3" s="50" t="n"/>
      <c r="AO3" s="50" t="n"/>
      <c r="BA3" s="14" t="n"/>
      <c r="BB3" s="50" t="n"/>
      <c r="BN3" s="14" t="n"/>
      <c r="BO3" s="50" t="n"/>
      <c r="BP3" s="50" t="n"/>
      <c r="DM3" s="50" t="n"/>
    </row>
    <row r="4" ht="14.45" customHeight="1">
      <c r="K4" s="91" t="n"/>
      <c r="L4" s="91" t="n"/>
      <c r="W4" s="14" t="n"/>
      <c r="AA4" s="50" t="n"/>
      <c r="AB4" s="83" t="n"/>
      <c r="AC4" s="314" t="inlineStr">
        <is>
          <t>Service Center days [excluding public holidays]</t>
        </is>
      </c>
      <c r="AM4" s="14" t="n"/>
      <c r="AN4" s="50" t="n"/>
      <c r="AO4" s="50" t="n"/>
      <c r="BA4" s="14" t="n"/>
      <c r="BB4" s="50" t="n"/>
      <c r="BN4" s="14" t="n"/>
      <c r="BO4" s="50" t="n"/>
      <c r="BP4" s="50" t="n"/>
      <c r="DM4" s="50" t="n"/>
    </row>
    <row r="5" ht="14.45" customHeight="1">
      <c r="K5" s="91" t="n"/>
      <c r="L5" s="91" t="n"/>
      <c r="V5" s="315" t="n"/>
      <c r="W5" s="14" t="n"/>
      <c r="AA5" s="50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50" t="n"/>
      <c r="AO5" s="50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50" t="n"/>
      <c r="BC5" s="314" t="n">
        <v>21</v>
      </c>
      <c r="BD5" s="314" t="n">
        <v>20</v>
      </c>
      <c r="BE5" s="314" t="n">
        <v>23</v>
      </c>
      <c r="BF5" s="314" t="n">
        <v>22</v>
      </c>
      <c r="BG5" s="314" t="n">
        <v>21</v>
      </c>
      <c r="BH5" s="314" t="n">
        <v>22</v>
      </c>
      <c r="BI5" s="314" t="n">
        <v>22</v>
      </c>
      <c r="BJ5" s="314" t="n">
        <v>22</v>
      </c>
      <c r="BK5" s="314" t="n">
        <v>22</v>
      </c>
      <c r="BL5" s="314" t="n">
        <v>21</v>
      </c>
      <c r="BM5" s="314" t="n">
        <v>22</v>
      </c>
      <c r="BN5" s="314" t="n">
        <v>23</v>
      </c>
      <c r="BO5" s="50" t="n"/>
      <c r="BP5" s="50" t="n"/>
      <c r="DM5" s="50" t="n"/>
    </row>
    <row r="6" ht="19.9" customHeight="1">
      <c r="K6" s="91" t="n"/>
      <c r="L6" s="91" t="n"/>
      <c r="W6" s="14" t="n"/>
      <c r="AA6" s="50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  <c r="AL6" s="82" t="n"/>
      <c r="AM6" s="82" t="n"/>
      <c r="AN6" s="50" t="n"/>
      <c r="AO6" s="50" t="n"/>
      <c r="AP6" s="316">
        <f>SUM(Table410[Jan_2026_Days_Actual])</f>
        <v/>
      </c>
      <c r="AQ6" s="316">
        <f>SUM(Table410[Feb_2026_Days_Actual])</f>
        <v/>
      </c>
      <c r="AR6" s="316">
        <f>SUM(Table410[Mar_2026_Days_Actual])</f>
        <v/>
      </c>
      <c r="AS6" s="316">
        <f>SUM(Table410[Apr_2026_Days_Actual])</f>
        <v/>
      </c>
      <c r="AT6" s="316">
        <f>SUM(Table410[May_2026_Days_Actual])</f>
        <v/>
      </c>
      <c r="AU6" s="316">
        <f>SUM(Table410[Jun_2026_Days_Actual])</f>
        <v/>
      </c>
      <c r="AV6" s="316">
        <f>SUM(Table410[Jul_2026_Days_Actual])</f>
        <v/>
      </c>
      <c r="AW6" s="316">
        <f>SUM(Table410[Aug_2026_Days_Actual])</f>
        <v/>
      </c>
      <c r="AX6" s="316">
        <f>SUM(Table410[Sep_2026_Days_Actual])</f>
        <v/>
      </c>
      <c r="AY6" s="316">
        <f>SUM(Table410[Oct_2026_Days_Actual])</f>
        <v/>
      </c>
      <c r="AZ6" s="316">
        <f>SUM(Table410[Nov_2026_Days_Actual])</f>
        <v/>
      </c>
      <c r="BA6" s="316">
        <f>SUM(Table410[Dec_2026_Days_Actual])</f>
        <v/>
      </c>
      <c r="BB6" s="50" t="n"/>
      <c r="BC6" s="316">
        <f>SUM(Table410[Jan_2027_Days_Forecast])</f>
        <v/>
      </c>
      <c r="BD6" s="316">
        <f>SUM(Table410[Feb_2027_Days_Forecast])</f>
        <v/>
      </c>
      <c r="BE6" s="316">
        <f>SUM(Table410[Mar_2027_Days_Forecast])</f>
        <v/>
      </c>
      <c r="BF6" s="316">
        <f>SUM(Table410[Apr_2027_Days_Forecast])</f>
        <v/>
      </c>
      <c r="BG6" s="316">
        <f>SUM(Table410[May_2027_Days_Forecast])</f>
        <v/>
      </c>
      <c r="BH6" s="316">
        <f>SUM(Table410[Jun_2027_Days_Forecast])</f>
        <v/>
      </c>
      <c r="BI6" s="316">
        <f>SUM(Table410[Jul_2027_Days_Forecast])</f>
        <v/>
      </c>
      <c r="BJ6" s="316">
        <f>SUM(Table410[Aug_2027_Days_Forecast])</f>
        <v/>
      </c>
      <c r="BK6" s="316">
        <f>SUM(Table410[Sep_2027_Days_Forecast])</f>
        <v/>
      </c>
      <c r="BL6" s="316">
        <f>SUM(Table410[Oct_2027_Days_Forecast])</f>
        <v/>
      </c>
      <c r="BM6" s="316">
        <f>SUM(Table410[Nov_2027_Days_Forecast])</f>
        <v/>
      </c>
      <c r="BN6" s="316">
        <f>SUM(Table410[Dec_2027_Days_Forecast])</f>
        <v/>
      </c>
      <c r="BO6" s="50" t="n"/>
      <c r="BP6" s="50" t="n"/>
      <c r="BQ6" s="317">
        <f>SUM(Table410[Jan_2026_F])</f>
        <v/>
      </c>
      <c r="BR6" s="317">
        <f>SUM(Table410[Jan_2026_A])</f>
        <v/>
      </c>
      <c r="BS6" s="317">
        <f>SUM(Table410[Jan_2026_V])</f>
        <v/>
      </c>
      <c r="BT6" s="318" t="n"/>
      <c r="BU6" s="317">
        <f>SUM(Table410[Feb_2026_F])</f>
        <v/>
      </c>
      <c r="BV6" s="317">
        <f>SUM(Table410[Feb_2026_A])</f>
        <v/>
      </c>
      <c r="BW6" s="317">
        <f>SUM(Table410[Feb_2026_D])</f>
        <v/>
      </c>
      <c r="BX6" s="318" t="n"/>
      <c r="BY6" s="317">
        <f>SUM(Table410[Mar_2026_F])</f>
        <v/>
      </c>
      <c r="BZ6" s="317">
        <f>SUM(Table410[Mar_2026_A])</f>
        <v/>
      </c>
      <c r="CA6" s="317">
        <f>SUM(Table410[Mar_2026_D])</f>
        <v/>
      </c>
      <c r="CB6" s="318" t="n"/>
      <c r="CC6" s="317">
        <f>SUM(Table410[Apr_2026_F])</f>
        <v/>
      </c>
      <c r="CD6" s="317">
        <f>SUM(Table410[Apr_2026_A])</f>
        <v/>
      </c>
      <c r="CE6" s="317">
        <f>SUM(Table410[Apr_2026_D])</f>
        <v/>
      </c>
      <c r="CF6" s="318" t="n"/>
      <c r="CG6" s="317">
        <f>SUM(Table410[May_2026_F])</f>
        <v/>
      </c>
      <c r="CH6" s="317">
        <f>SUM(Table410[May_2026_A])</f>
        <v/>
      </c>
      <c r="CI6" s="317">
        <f>SUM(Table410[May_2026_D])</f>
        <v/>
      </c>
      <c r="CJ6" s="318" t="n"/>
      <c r="CK6" s="317">
        <f>SUM(Table410[Jun_2026_F])</f>
        <v/>
      </c>
      <c r="CL6" s="317">
        <f>SUM(Table410[Jun_2026_A])</f>
        <v/>
      </c>
      <c r="CM6" s="317">
        <f>SUM(Table410[Jun_2026_D])</f>
        <v/>
      </c>
      <c r="CN6" s="318" t="n"/>
      <c r="CO6" s="317">
        <f>SUM(Table410[Jul_2026_F])</f>
        <v/>
      </c>
      <c r="CP6" s="317">
        <f>SUM(Table410[Jul_2026_A])</f>
        <v/>
      </c>
      <c r="CQ6" s="317">
        <f>SUM(Table410[Jul_2026_D])</f>
        <v/>
      </c>
      <c r="CR6" s="318" t="n"/>
      <c r="CS6" s="317">
        <f>SUM(Table410[Aug_2026_F])</f>
        <v/>
      </c>
      <c r="CT6" s="317">
        <f>SUM(Table410[Aug_2026_A])</f>
        <v/>
      </c>
      <c r="CU6" s="317">
        <f>SUM(Table410[Aug_2026_D])</f>
        <v/>
      </c>
      <c r="CV6" s="318" t="n"/>
      <c r="CW6" s="317">
        <f>SUM(Table410[Sep_2026_F])</f>
        <v/>
      </c>
      <c r="CX6" s="317">
        <f>SUM(Table410[Sep_2026_A])</f>
        <v/>
      </c>
      <c r="CY6" s="317">
        <f>SUM(Table410[Sep_2026_D])</f>
        <v/>
      </c>
      <c r="CZ6" s="318" t="n"/>
      <c r="DA6" s="317">
        <f>SUM(Table410[Oct_2026_F])</f>
        <v/>
      </c>
      <c r="DB6" s="317">
        <f>SUM(Table410[Oct_2026_A])</f>
        <v/>
      </c>
      <c r="DC6" s="317">
        <f>SUM(Table410[Oct_2026_D])</f>
        <v/>
      </c>
      <c r="DD6" s="318" t="n"/>
      <c r="DE6" s="317">
        <f>SUM(Table410[Nov_2026_F])</f>
        <v/>
      </c>
      <c r="DF6" s="317">
        <f>SUM(Table410[Nov_2026_A])</f>
        <v/>
      </c>
      <c r="DG6" s="317">
        <f>SUM(Table410[Nov_2026_D])</f>
        <v/>
      </c>
      <c r="DH6" s="318" t="n"/>
      <c r="DI6" s="317">
        <f>SUM(Table410[Dec_2026_F])</f>
        <v/>
      </c>
      <c r="DJ6" s="317">
        <f>SUM(Table410[Dec_2026_A])</f>
        <v/>
      </c>
      <c r="DK6" s="317">
        <f>SUM(Table410[Dec_2026_D])</f>
        <v/>
      </c>
      <c r="DL6" s="319" t="n"/>
      <c r="DM6" s="320" t="n"/>
      <c r="DN6" s="317">
        <f>SUM(Table410[Jan_2027_F])</f>
        <v/>
      </c>
      <c r="DO6" s="317">
        <f>SUM(Table410[Jan_2027_A])</f>
        <v/>
      </c>
      <c r="DP6" s="317">
        <f>SUM(Table410[Jan_2027_D])</f>
        <v/>
      </c>
      <c r="DQ6" s="317">
        <f>SUM(Table410[Feb_2027_F])</f>
        <v/>
      </c>
      <c r="DR6" s="317">
        <f>SUM(Table410[Feb_2027_A])</f>
        <v/>
      </c>
      <c r="DS6" s="317">
        <f>SUM(Table410[Feb_2027_D])</f>
        <v/>
      </c>
      <c r="DT6" s="317">
        <f>SUM(Table410[Mar_2027_F])</f>
        <v/>
      </c>
      <c r="DU6" s="317">
        <f>SUM(Table410[Mar_2027_A])</f>
        <v/>
      </c>
      <c r="DV6" s="317">
        <f>SUM(Table410[Mar_2027_D])</f>
        <v/>
      </c>
      <c r="DW6" s="317">
        <f>SUM(Table410[Apr_2027_F])</f>
        <v/>
      </c>
      <c r="DX6" s="317">
        <f>SUM(Table410[Apr_2027_A])</f>
        <v/>
      </c>
      <c r="DY6" s="317">
        <f>SUM(Table410[Apr_2027_D])</f>
        <v/>
      </c>
      <c r="DZ6" s="317">
        <f>SUM(Table410[May_2027_F])</f>
        <v/>
      </c>
      <c r="EA6" s="317">
        <f>SUM(Table410[May_2027_A])</f>
        <v/>
      </c>
      <c r="EB6" s="317">
        <f>SUM(Table410[May_2027_D])</f>
        <v/>
      </c>
      <c r="EC6" s="317">
        <f>SUM(Table410[Jun_2027_F])</f>
        <v/>
      </c>
      <c r="ED6" s="317">
        <f>SUM(Table410[Jun_2027_A])</f>
        <v/>
      </c>
      <c r="EE6" s="317">
        <f>SUM(Table410[Jun_2027_D])</f>
        <v/>
      </c>
      <c r="EF6" s="317">
        <f>SUM(Table410[Jul_2027_F])</f>
        <v/>
      </c>
      <c r="EG6" s="317">
        <f>SUM(Table410[Jul_2027_A])</f>
        <v/>
      </c>
      <c r="EH6" s="317">
        <f>SUM(Table410[Jul_2027_D])</f>
        <v/>
      </c>
      <c r="EI6" s="317">
        <f>SUM(Table410[Aug_2027_F])</f>
        <v/>
      </c>
      <c r="EJ6" s="317">
        <f>SUM(Table410[Aug_2027_A])</f>
        <v/>
      </c>
      <c r="EK6" s="317">
        <f>SUM(Table410[Aug_2027_D])</f>
        <v/>
      </c>
      <c r="EL6" s="317">
        <f>SUM(Table410[Sep_2027_F])</f>
        <v/>
      </c>
      <c r="EM6" s="317">
        <f>SUM(Table410[Sep_2027_A])</f>
        <v/>
      </c>
      <c r="EN6" s="317">
        <f>SUM(Table410[Sep_2027_D])</f>
        <v/>
      </c>
      <c r="EO6" s="317">
        <f>SUM(Table410[Oct_2027_F])</f>
        <v/>
      </c>
      <c r="EP6" s="317">
        <f>SUM(Table410[Oct_2027_A])</f>
        <v/>
      </c>
      <c r="EQ6" s="317">
        <f>SUM(Table410[Oct_2027_D])</f>
        <v/>
      </c>
      <c r="ER6" s="317">
        <f>SUM(Table410[Nov_2027_F])</f>
        <v/>
      </c>
      <c r="ES6" s="317">
        <f>SUM(Table410[Nov_2027_A])</f>
        <v/>
      </c>
      <c r="ET6" s="317">
        <f>SUM(Table410[Nov_2027_D])</f>
        <v/>
      </c>
      <c r="EU6" s="317">
        <f>SUM(Table410[Dec_2027_F])</f>
        <v/>
      </c>
      <c r="EV6" s="317">
        <f>SUM(Table410[Dec_2027_A])</f>
        <v/>
      </c>
      <c r="EW6" s="317">
        <f>SUM(Table410[Dec_2027_D])</f>
        <v/>
      </c>
    </row>
    <row r="7" ht="19.9" customHeight="1">
      <c r="K7" s="91" t="n"/>
      <c r="L7" s="91" t="n"/>
      <c r="W7" s="14" t="n"/>
      <c r="AA7" s="50" t="n"/>
      <c r="AB7" s="83" t="n"/>
      <c r="AC7" s="83" t="n"/>
      <c r="AD7" s="83" t="n"/>
      <c r="AE7" s="83" t="n"/>
      <c r="AF7" s="83" t="n"/>
      <c r="AG7" s="83" t="n"/>
      <c r="AH7" s="83" t="n"/>
      <c r="AI7" s="83" t="n"/>
      <c r="AJ7" s="83" t="n"/>
      <c r="AK7" s="83" t="n"/>
      <c r="AL7" s="83" t="n"/>
      <c r="AM7" s="83" t="n"/>
      <c r="AN7" s="50" t="n"/>
      <c r="AO7" s="50" t="n"/>
      <c r="AP7" s="316">
        <f>SUBTOTAL(9,Table410[Jan_2026_Days_Actual])</f>
        <v/>
      </c>
      <c r="AQ7" s="316">
        <f>SUBTOTAL(9,Table410[Feb_2026_Days_Actual])</f>
        <v/>
      </c>
      <c r="AR7" s="316">
        <f>SUBTOTAL(9,Table410[Mar_2026_Days_Actual])</f>
        <v/>
      </c>
      <c r="AS7" s="316">
        <f>SUBTOTAL(9,Table410[Apr_2026_Days_Actual])</f>
        <v/>
      </c>
      <c r="AT7" s="316">
        <f>SUBTOTAL(9,Table410[May_2026_Days_Actual])</f>
        <v/>
      </c>
      <c r="AU7" s="316">
        <f>SUBTOTAL(9,Table410[Jun_2026_Days_Actual])</f>
        <v/>
      </c>
      <c r="AV7" s="316">
        <f>SUBTOTAL(9,Table410[Jul_2026_Days_Actual])</f>
        <v/>
      </c>
      <c r="AW7" s="316">
        <f>SUBTOTAL(9,Table410[Aug_2026_Days_Actual])</f>
        <v/>
      </c>
      <c r="AX7" s="316">
        <f>SUBTOTAL(9,Table410[Sep_2026_Days_Actual])</f>
        <v/>
      </c>
      <c r="AY7" s="316">
        <f>SUBTOTAL(9,Table410[Oct_2026_Days_Actual])</f>
        <v/>
      </c>
      <c r="AZ7" s="316">
        <f>SUBTOTAL(9,Table410[Nov_2026_Days_Actual])</f>
        <v/>
      </c>
      <c r="BA7" s="316">
        <f>SUBTOTAL(9,Table410[Dec_2026_Days_Actual])</f>
        <v/>
      </c>
      <c r="BB7" s="50" t="n"/>
      <c r="BC7" s="316">
        <f>SUBTOTAL(9,Table410[Jan_2027_Days_Forecast])</f>
        <v/>
      </c>
      <c r="BD7" s="316">
        <f>SUBTOTAL(9,Table410[Feb_2027_Days_Forecast])</f>
        <v/>
      </c>
      <c r="BE7" s="316">
        <f>SUBTOTAL(9,Table410[Mar_2027_Days_Forecast])</f>
        <v/>
      </c>
      <c r="BF7" s="316">
        <f>SUBTOTAL(9,Table410[Apr_2027_Days_Forecast])</f>
        <v/>
      </c>
      <c r="BG7" s="316">
        <f>SUBTOTAL(9,Table410[May_2027_Days_Forecast])</f>
        <v/>
      </c>
      <c r="BH7" s="316">
        <f>SUBTOTAL(9,Table410[Jun_2027_Days_Forecast])</f>
        <v/>
      </c>
      <c r="BI7" s="316">
        <f>SUBTOTAL(9,Table410[Jul_2027_Days_Forecast])</f>
        <v/>
      </c>
      <c r="BJ7" s="316">
        <f>SUBTOTAL(9,Table410[Aug_2027_Days_Forecast])</f>
        <v/>
      </c>
      <c r="BK7" s="316">
        <f>SUBTOTAL(9,Table410[Sep_2027_Days_Forecast])</f>
        <v/>
      </c>
      <c r="BL7" s="316">
        <f>SUBTOTAL(9,Table410[Oct_2027_Days_Forecast])</f>
        <v/>
      </c>
      <c r="BM7" s="316">
        <f>SUBTOTAL(9,Table410[Nov_2027_Days_Forecast])</f>
        <v/>
      </c>
      <c r="BN7" s="316">
        <f>SUBTOTAL(9,Table410[Dec_2027_Days_Forecast])</f>
        <v/>
      </c>
      <c r="BO7" s="50" t="n"/>
      <c r="BP7" s="50" t="n"/>
      <c r="BQ7" s="317">
        <f>SUBTOTAL(9,Table410[Jan_2026_F])</f>
        <v/>
      </c>
      <c r="BR7" s="317">
        <f>SUBTOTAL(9,Table410[Jan_2026_A])</f>
        <v/>
      </c>
      <c r="BS7" s="317">
        <f>SUBTOTAL(9,Table410[Jan_2026_V])</f>
        <v/>
      </c>
      <c r="BT7" s="318" t="n"/>
      <c r="BU7" s="317">
        <f>SUBTOTAL(9,Table410[Feb_2026_F])</f>
        <v/>
      </c>
      <c r="BV7" s="317">
        <f>SUBTOTAL(9,Table410[Feb_2026_A])</f>
        <v/>
      </c>
      <c r="BW7" s="317">
        <f>SUBTOTAL(9,Table410[Feb_2026_D])</f>
        <v/>
      </c>
      <c r="BX7" s="318" t="n"/>
      <c r="BY7" s="317">
        <f>SUBTOTAL(9,Table410[Mar_2026_F])</f>
        <v/>
      </c>
      <c r="BZ7" s="317">
        <f>SUBTOTAL(9,Table410[Mar_2026_A])</f>
        <v/>
      </c>
      <c r="CA7" s="317">
        <f>SUBTOTAL(9,Table410[Mar_2026_D])</f>
        <v/>
      </c>
      <c r="CB7" s="318" t="n"/>
      <c r="CC7" s="317">
        <f>SUBTOTAL(9,Table410[Apr_2026_F])</f>
        <v/>
      </c>
      <c r="CD7" s="317">
        <f>SUBTOTAL(9,Table410[Apr_2026_A])</f>
        <v/>
      </c>
      <c r="CE7" s="317">
        <f>SUBTOTAL(9,Table410[Apr_2026_D])</f>
        <v/>
      </c>
      <c r="CF7" s="318" t="n"/>
      <c r="CG7" s="317">
        <f>SUBTOTAL(9,Table410[May_2026_F])</f>
        <v/>
      </c>
      <c r="CH7" s="317">
        <f>SUBTOTAL(9,Table410[May_2026_A])</f>
        <v/>
      </c>
      <c r="CI7" s="317">
        <f>SUBTOTAL(9,Table410[May_2026_D])</f>
        <v/>
      </c>
      <c r="CJ7" s="318" t="n"/>
      <c r="CK7" s="317">
        <f>SUBTOTAL(9,Table410[Jun_2026_F])</f>
        <v/>
      </c>
      <c r="CL7" s="317">
        <f>SUBTOTAL(9,Table410[Jun_2026_A])</f>
        <v/>
      </c>
      <c r="CM7" s="317">
        <f>SUBTOTAL(9,Table410[Jun_2026_D])</f>
        <v/>
      </c>
      <c r="CN7" s="318" t="n"/>
      <c r="CO7" s="317">
        <f>SUBTOTAL(9,Table410[Jul_2026_F])</f>
        <v/>
      </c>
      <c r="CP7" s="317">
        <f>SUBTOTAL(9,Table410[Jul_2026_A])</f>
        <v/>
      </c>
      <c r="CQ7" s="317">
        <f>SUBTOTAL(9,Table410[Jul_2026_D])</f>
        <v/>
      </c>
      <c r="CR7" s="318" t="n"/>
      <c r="CS7" s="317">
        <f>SUBTOTAL(9,Table410[Aug_2026_F])</f>
        <v/>
      </c>
      <c r="CT7" s="317">
        <f>SUBTOTAL(9,Table410[Aug_2026_A])</f>
        <v/>
      </c>
      <c r="CU7" s="317">
        <f>SUBTOTAL(9,Table410[Aug_2026_D])</f>
        <v/>
      </c>
      <c r="CV7" s="318" t="n"/>
      <c r="CW7" s="317">
        <f>SUBTOTAL(9,Table410[Sep_2026_F])</f>
        <v/>
      </c>
      <c r="CX7" s="317">
        <f>SUBTOTAL(9,Table410[Sep_2026_A])</f>
        <v/>
      </c>
      <c r="CY7" s="317">
        <f>SUBTOTAL(9,Table410[Sep_2026_D])</f>
        <v/>
      </c>
      <c r="CZ7" s="318" t="n"/>
      <c r="DA7" s="317">
        <f>SUBTOTAL(9,Table410[Oct_2026_F])</f>
        <v/>
      </c>
      <c r="DB7" s="317">
        <f>SUBTOTAL(9,Table410[Oct_2026_A])</f>
        <v/>
      </c>
      <c r="DC7" s="317">
        <f>SUBTOTAL(9,Table410[Oct_2026_D])</f>
        <v/>
      </c>
      <c r="DD7" s="318" t="n"/>
      <c r="DE7" s="317">
        <f>SUBTOTAL(9,Table410[Nov_2026_F])</f>
        <v/>
      </c>
      <c r="DF7" s="317">
        <f>SUBTOTAL(9,Table410[Nov_2026_A])</f>
        <v/>
      </c>
      <c r="DG7" s="317">
        <f>SUBTOTAL(9,Table410[Nov_2026_D])</f>
        <v/>
      </c>
      <c r="DH7" s="318" t="n"/>
      <c r="DI7" s="317">
        <f>SUBTOTAL(9,Table410[Dec_2026_F])</f>
        <v/>
      </c>
      <c r="DJ7" s="317">
        <f>SUBTOTAL(9,Table410[Dec_2026_A])</f>
        <v/>
      </c>
      <c r="DK7" s="317">
        <f>SUBTOTAL(9,Table410[Dec_2026_D])</f>
        <v/>
      </c>
      <c r="DL7" s="319" t="n"/>
      <c r="DM7" s="321" t="n"/>
      <c r="DN7" s="317">
        <f>SUBTOTAL(9,Table410[Jan_2027_F])</f>
        <v/>
      </c>
      <c r="DO7" s="317">
        <f>SUBTOTAL(9,Table410[Jan_2027_A])</f>
        <v/>
      </c>
      <c r="DP7" s="317">
        <f>SUBTOTAL(9,Table410[Jan_2027_D])</f>
        <v/>
      </c>
      <c r="DQ7" s="317">
        <f>SUBTOTAL(9,Table410[Feb_2027_F])</f>
        <v/>
      </c>
      <c r="DR7" s="317">
        <f>SUBTOTAL(9,Table410[Feb_2027_A])</f>
        <v/>
      </c>
      <c r="DS7" s="317">
        <f>SUBTOTAL(9,Table410[Feb_2027_D])</f>
        <v/>
      </c>
      <c r="DT7" s="317">
        <f>SUBTOTAL(9,Table410[Mar_2027_F])</f>
        <v/>
      </c>
      <c r="DU7" s="317">
        <f>SUBTOTAL(9,Table410[Mar_2027_A])</f>
        <v/>
      </c>
      <c r="DV7" s="317">
        <f>SUBTOTAL(9,Table410[Mar_2027_D])</f>
        <v/>
      </c>
      <c r="DW7" s="317">
        <f>SUBTOTAL(9,Table410[Apr_2027_F])</f>
        <v/>
      </c>
      <c r="DX7" s="317">
        <f>SUBTOTAL(9,Table410[Apr_2027_A])</f>
        <v/>
      </c>
      <c r="DY7" s="317">
        <f>SUBTOTAL(9,Table410[Apr_2027_D])</f>
        <v/>
      </c>
      <c r="DZ7" s="317">
        <f>SUBTOTAL(9,Table410[May_2027_F])</f>
        <v/>
      </c>
      <c r="EA7" s="317">
        <f>SUBTOTAL(9,Table410[May_2027_A])</f>
        <v/>
      </c>
      <c r="EB7" s="317">
        <f>SUBTOTAL(9,Table410[May_2027_D])</f>
        <v/>
      </c>
      <c r="EC7" s="317">
        <f>SUBTOTAL(9,Table410[Jun_2027_F])</f>
        <v/>
      </c>
      <c r="ED7" s="317">
        <f>SUBTOTAL(9,Table410[Jun_2027_A])</f>
        <v/>
      </c>
      <c r="EE7" s="317">
        <f>SUBTOTAL(9,Table410[Jun_2027_D])</f>
        <v/>
      </c>
      <c r="EF7" s="317">
        <f>SUBTOTAL(9,Table410[Jul_2027_F])</f>
        <v/>
      </c>
      <c r="EG7" s="317">
        <f>SUBTOTAL(9,Table410[Jul_2027_A])</f>
        <v/>
      </c>
      <c r="EH7" s="317">
        <f>SUBTOTAL(9,Table410[Jul_2027_D])</f>
        <v/>
      </c>
      <c r="EI7" s="317">
        <f>SUBTOTAL(9,Table410[Aug_2027_F])</f>
        <v/>
      </c>
      <c r="EJ7" s="317">
        <f>SUBTOTAL(9,Table410[Aug_2027_A])</f>
        <v/>
      </c>
      <c r="EK7" s="317">
        <f>SUBTOTAL(9,Table410[Aug_2027_D])</f>
        <v/>
      </c>
      <c r="EL7" s="317">
        <f>SUBTOTAL(9,Table410[Sep_2027_F])</f>
        <v/>
      </c>
      <c r="EM7" s="317">
        <f>SUBTOTAL(9,Table410[Sep_2027_A])</f>
        <v/>
      </c>
      <c r="EN7" s="317">
        <f>SUBTOTAL(9,Table410[Sep_2027_D])</f>
        <v/>
      </c>
      <c r="EO7" s="317">
        <f>SUBTOTAL(9,Table410[Oct_2027_F])</f>
        <v/>
      </c>
      <c r="EP7" s="317">
        <f>SUBTOTAL(9,Table410[Oct_2027_A])</f>
        <v/>
      </c>
      <c r="EQ7" s="317">
        <f>SUBTOTAL(9,Table410[Oct_2027_D])</f>
        <v/>
      </c>
      <c r="ER7" s="317">
        <f>SUBTOTAL(9,Table410[Nov_2027_F])</f>
        <v/>
      </c>
      <c r="ES7" s="317">
        <f>SUBTOTAL(9,Table410[Nov_2027_A])</f>
        <v/>
      </c>
      <c r="ET7" s="317">
        <f>SUBTOTAL(9,Table410[Nov_2027_D])</f>
        <v/>
      </c>
      <c r="EU7" s="317">
        <f>SUBTOTAL(9,Table410[Dec_2027_F])</f>
        <v/>
      </c>
      <c r="EV7" s="317">
        <f>SUBTOTAL(9,Table410[Dec_2027_A])</f>
        <v/>
      </c>
      <c r="EW7" s="317">
        <f>SUBTOTAL(9,Table410[Dec_2027_D])</f>
        <v/>
      </c>
    </row>
    <row r="8" ht="14.45" customHeight="1">
      <c r="L8" s="14" t="n"/>
      <c r="W8" s="14" t="n"/>
      <c r="AA8" s="50" t="n"/>
      <c r="AB8" s="322" t="n">
        <v>2026</v>
      </c>
      <c r="AC8" s="323" t="n"/>
      <c r="AD8" s="323" t="n"/>
      <c r="AE8" s="323" t="n"/>
      <c r="AF8" s="323" t="n"/>
      <c r="AG8" s="323" t="n"/>
      <c r="AH8" s="323" t="n"/>
      <c r="AI8" s="323" t="n"/>
      <c r="AJ8" s="323" t="n"/>
      <c r="AK8" s="323" t="n"/>
      <c r="AL8" s="323" t="n"/>
      <c r="AM8" s="324" t="n"/>
      <c r="AN8" s="50" t="n"/>
      <c r="AO8" s="50" t="n"/>
      <c r="AP8" s="322" t="n">
        <v>2026</v>
      </c>
      <c r="AQ8" s="323" t="n"/>
      <c r="AR8" s="323" t="n"/>
      <c r="AS8" s="323" t="n"/>
      <c r="AT8" s="323" t="n"/>
      <c r="AU8" s="323" t="n"/>
      <c r="AV8" s="323" t="n"/>
      <c r="AW8" s="323" t="n"/>
      <c r="AX8" s="323" t="n"/>
      <c r="AY8" s="323" t="n"/>
      <c r="AZ8" s="323" t="n"/>
      <c r="BA8" s="324" t="n"/>
      <c r="BB8" s="50" t="n"/>
      <c r="BC8" s="325" t="n">
        <v>2027</v>
      </c>
      <c r="BD8" s="326" t="n"/>
      <c r="BE8" s="326" t="n"/>
      <c r="BF8" s="326" t="n"/>
      <c r="BG8" s="326" t="n"/>
      <c r="BH8" s="326" t="n"/>
      <c r="BI8" s="326" t="n"/>
      <c r="BJ8" s="326" t="n"/>
      <c r="BK8" s="326" t="n"/>
      <c r="BL8" s="326" t="n"/>
      <c r="BM8" s="326" t="n"/>
      <c r="BN8" s="327" t="n"/>
      <c r="BO8" s="50" t="n"/>
      <c r="BP8" s="50" t="n"/>
      <c r="BQ8" s="328" t="n">
        <v>46047</v>
      </c>
      <c r="BR8" s="329" t="n"/>
      <c r="BS8" s="330" t="n"/>
      <c r="BT8" s="220" t="n"/>
      <c r="BU8" s="328" t="n">
        <v>46078</v>
      </c>
      <c r="BV8" s="329" t="n"/>
      <c r="BW8" s="330" t="n"/>
      <c r="BX8" s="220" t="n"/>
      <c r="BY8" s="328" t="n">
        <v>46106</v>
      </c>
      <c r="BZ8" s="329" t="n"/>
      <c r="CA8" s="330" t="n"/>
      <c r="CB8" s="220" t="n"/>
      <c r="CC8" s="328" t="n">
        <v>46137</v>
      </c>
      <c r="CD8" s="329" t="n"/>
      <c r="CE8" s="330" t="n"/>
      <c r="CF8" s="220" t="n"/>
      <c r="CG8" s="328" t="n">
        <v>46167</v>
      </c>
      <c r="CH8" s="329" t="n"/>
      <c r="CI8" s="330" t="n"/>
      <c r="CJ8" s="220" t="n"/>
      <c r="CK8" s="328" t="n">
        <v>46198</v>
      </c>
      <c r="CL8" s="329" t="n"/>
      <c r="CM8" s="330" t="n"/>
      <c r="CN8" s="220" t="n"/>
      <c r="CO8" s="328" t="n">
        <v>46228</v>
      </c>
      <c r="CP8" s="329" t="n"/>
      <c r="CQ8" s="330" t="n"/>
      <c r="CR8" s="220" t="n"/>
      <c r="CS8" s="328" t="n">
        <v>46259</v>
      </c>
      <c r="CT8" s="329" t="n"/>
      <c r="CU8" s="330" t="n"/>
      <c r="CV8" s="220" t="n"/>
      <c r="CW8" s="328" t="n">
        <v>46290</v>
      </c>
      <c r="CX8" s="329" t="n"/>
      <c r="CY8" s="330" t="n"/>
      <c r="CZ8" s="220" t="n"/>
      <c r="DA8" s="328" t="n">
        <v>46320</v>
      </c>
      <c r="DB8" s="329" t="n"/>
      <c r="DC8" s="330" t="n"/>
      <c r="DD8" s="220" t="n"/>
      <c r="DE8" s="328" t="n">
        <v>46351</v>
      </c>
      <c r="DF8" s="329" t="n"/>
      <c r="DG8" s="330" t="n"/>
      <c r="DH8" s="220" t="n"/>
      <c r="DI8" s="328" t="n">
        <v>46381</v>
      </c>
      <c r="DJ8" s="329" t="n"/>
      <c r="DK8" s="330" t="n"/>
      <c r="DL8" s="102" t="n"/>
      <c r="DM8" s="55" t="n"/>
      <c r="DN8" s="328" t="n">
        <v>46412</v>
      </c>
      <c r="DO8" s="329" t="n"/>
      <c r="DP8" s="330" t="n"/>
      <c r="DQ8" s="331" t="n">
        <v>46443</v>
      </c>
      <c r="DR8" s="329" t="n"/>
      <c r="DS8" s="330" t="n"/>
      <c r="DT8" s="331" t="n">
        <v>46471</v>
      </c>
      <c r="DU8" s="329" t="n"/>
      <c r="DV8" s="330" t="n"/>
      <c r="DW8" s="331" t="n">
        <v>46502</v>
      </c>
      <c r="DX8" s="329" t="n"/>
      <c r="DY8" s="330" t="n"/>
      <c r="DZ8" s="331" t="n">
        <v>46532</v>
      </c>
      <c r="EA8" s="329" t="n"/>
      <c r="EB8" s="330" t="n"/>
      <c r="EC8" s="331" t="n">
        <v>46563</v>
      </c>
      <c r="ED8" s="329" t="n"/>
      <c r="EE8" s="330" t="n"/>
      <c r="EF8" s="331" t="n">
        <v>46593</v>
      </c>
      <c r="EG8" s="329" t="n"/>
      <c r="EH8" s="330" t="n"/>
      <c r="EI8" s="331" t="n">
        <v>46624</v>
      </c>
      <c r="EJ8" s="329" t="n"/>
      <c r="EK8" s="330" t="n"/>
      <c r="EL8" s="331" t="n">
        <v>46655</v>
      </c>
      <c r="EM8" s="329" t="n"/>
      <c r="EN8" s="330" t="n"/>
      <c r="EO8" s="331" t="n">
        <v>46685</v>
      </c>
      <c r="EP8" s="329" t="n"/>
      <c r="EQ8" s="330" t="n"/>
      <c r="ER8" s="331" t="n">
        <v>46716</v>
      </c>
      <c r="ES8" s="329" t="n"/>
      <c r="ET8" s="330" t="n"/>
      <c r="EU8" s="331" t="n">
        <v>46746</v>
      </c>
      <c r="EV8" s="329" t="n"/>
      <c r="EW8" s="330" t="n"/>
    </row>
    <row r="9" ht="132" customFormat="1" customHeight="1" s="48">
      <c r="A9" s="332" t="inlineStr">
        <is>
          <t>Personal Number</t>
        </is>
      </c>
      <c r="B9" s="332" t="inlineStr">
        <is>
          <t>Workstream</t>
        </is>
      </c>
      <c r="C9" s="332" t="inlineStr">
        <is>
          <t>Staff Type</t>
        </is>
      </c>
      <c r="D9" s="332" t="inlineStr">
        <is>
          <t>Resource Name</t>
        </is>
      </c>
      <c r="E9" s="332" t="inlineStr">
        <is>
          <t>Resource Provider</t>
        </is>
      </c>
      <c r="F9" s="332" t="inlineStr">
        <is>
          <t>Resource Plan Number</t>
        </is>
      </c>
      <c r="G9" s="332" t="inlineStr">
        <is>
          <t>Country</t>
        </is>
      </c>
      <c r="H9" s="332" t="inlineStr">
        <is>
          <t>JG</t>
        </is>
      </c>
      <c r="I9" s="332" t="inlineStr">
        <is>
          <t>Resource Group / Team</t>
        </is>
      </c>
      <c r="J9" s="332" t="inlineStr">
        <is>
          <t>Project Role</t>
        </is>
      </c>
      <c r="K9" s="332" t="inlineStr">
        <is>
          <t>Status</t>
        </is>
      </c>
      <c r="L9" s="332" t="inlineStr">
        <is>
          <t>Cost Boolean</t>
        </is>
      </c>
      <c r="M9" s="332" t="inlineStr">
        <is>
          <t>Location</t>
        </is>
      </c>
      <c r="N9" s="332" t="inlineStr">
        <is>
          <t>Capability</t>
        </is>
      </c>
      <c r="O9" s="332" t="inlineStr">
        <is>
          <t>OPEX/CAPEX</t>
        </is>
      </c>
      <c r="P9" s="332" t="inlineStr">
        <is>
          <t>Tag</t>
        </is>
      </c>
      <c r="Q9" s="332" t="inlineStr">
        <is>
          <t>WBSE</t>
        </is>
      </c>
      <c r="R9" s="332" t="inlineStr">
        <is>
          <t>Planned Start Date</t>
        </is>
      </c>
      <c r="S9" s="332" t="inlineStr">
        <is>
          <t>Planned End Date</t>
        </is>
      </c>
      <c r="T9" s="332" t="inlineStr">
        <is>
          <t>Revised Start Date</t>
        </is>
      </c>
      <c r="U9" s="332" t="inlineStr">
        <is>
          <t>Revised End Date</t>
        </is>
      </c>
      <c r="V9" s="332" t="inlineStr">
        <is>
          <t>Actual Start Date</t>
        </is>
      </c>
      <c r="W9" s="332" t="inlineStr">
        <is>
          <t>Actual End Date</t>
        </is>
      </c>
      <c r="X9" s="332" t="inlineStr">
        <is>
          <t>Comments</t>
        </is>
      </c>
      <c r="Y9" s="332" t="inlineStr">
        <is>
          <t>RATE CONCAT</t>
        </is>
      </c>
      <c r="Z9" s="332" t="inlineStr">
        <is>
          <t>Rate</t>
        </is>
      </c>
      <c r="AA9" s="333" t="inlineStr">
        <is>
          <t>DAYS</t>
        </is>
      </c>
      <c r="AB9" s="334" t="inlineStr">
        <is>
          <t>Jan_2026_Days_Forecast</t>
        </is>
      </c>
      <c r="AC9" s="334" t="inlineStr">
        <is>
          <t>Feb_2026_Days_Forecast</t>
        </is>
      </c>
      <c r="AD9" s="334" t="inlineStr">
        <is>
          <t>Mar_2026_Days_Forecast</t>
        </is>
      </c>
      <c r="AE9" s="334" t="inlineStr">
        <is>
          <t>Apr_2026_Days_Forecast</t>
        </is>
      </c>
      <c r="AF9" s="334" t="inlineStr">
        <is>
          <t>May_2026_Days_Forecast</t>
        </is>
      </c>
      <c r="AG9" s="334" t="inlineStr">
        <is>
          <t>Jun_2026_Days_Forecast</t>
        </is>
      </c>
      <c r="AH9" s="334" t="inlineStr">
        <is>
          <t>Jul_2026_Days_Forecast</t>
        </is>
      </c>
      <c r="AI9" s="334" t="inlineStr">
        <is>
          <t>Aug_2026_Days_Forecast</t>
        </is>
      </c>
      <c r="AJ9" s="334" t="inlineStr">
        <is>
          <t>Sep_2026_Days_Forecast</t>
        </is>
      </c>
      <c r="AK9" s="334" t="inlineStr">
        <is>
          <t>Oct_2026_Days_Forecast</t>
        </is>
      </c>
      <c r="AL9" s="334" t="inlineStr">
        <is>
          <t>Nov_2026_Days_Forecast</t>
        </is>
      </c>
      <c r="AM9" s="334" t="inlineStr">
        <is>
          <t>Dec_2026_Days_Forecast</t>
        </is>
      </c>
      <c r="AN9" s="333" t="inlineStr">
        <is>
          <t>FTE</t>
        </is>
      </c>
      <c r="AO9" s="333" t="inlineStr">
        <is>
          <t>2026_FTE</t>
        </is>
      </c>
      <c r="AP9" s="334" t="inlineStr">
        <is>
          <t>Jan_2026_Days_Actual</t>
        </is>
      </c>
      <c r="AQ9" s="334" t="inlineStr">
        <is>
          <t>Feb_2026_Days_Actual</t>
        </is>
      </c>
      <c r="AR9" s="334" t="inlineStr">
        <is>
          <t>Mar_2026_Days_Actual</t>
        </is>
      </c>
      <c r="AS9" s="334" t="inlineStr">
        <is>
          <t>Apr_2026_Days_Actual</t>
        </is>
      </c>
      <c r="AT9" s="334" t="inlineStr">
        <is>
          <t>May_2026_Days_Actual</t>
        </is>
      </c>
      <c r="AU9" s="334" t="inlineStr">
        <is>
          <t>Jun_2026_Days_Actual</t>
        </is>
      </c>
      <c r="AV9" s="334" t="inlineStr">
        <is>
          <t>Jul_2026_Days_Actual</t>
        </is>
      </c>
      <c r="AW9" s="334" t="inlineStr">
        <is>
          <t>Aug_2026_Days_Actual</t>
        </is>
      </c>
      <c r="AX9" s="334" t="inlineStr">
        <is>
          <t>Sep_2026_Days_Actual</t>
        </is>
      </c>
      <c r="AY9" s="334" t="inlineStr">
        <is>
          <t>Oct_2026_Days_Actual</t>
        </is>
      </c>
      <c r="AZ9" s="334" t="inlineStr">
        <is>
          <t>Nov_2026_Days_Actual</t>
        </is>
      </c>
      <c r="BA9" s="334" t="inlineStr">
        <is>
          <t>Dec_2026_Days_Actual</t>
        </is>
      </c>
      <c r="BB9" s="333" t="inlineStr">
        <is>
          <t>2027_FTE</t>
        </is>
      </c>
      <c r="BC9" s="334" t="inlineStr">
        <is>
          <t>Jan_2027_Days_Forecast</t>
        </is>
      </c>
      <c r="BD9" s="334" t="inlineStr">
        <is>
          <t>Feb_2027_Days_Forecast</t>
        </is>
      </c>
      <c r="BE9" s="334" t="inlineStr">
        <is>
          <t>Mar_2027_Days_Forecast</t>
        </is>
      </c>
      <c r="BF9" s="334" t="inlineStr">
        <is>
          <t>Apr_2027_Days_Forecast</t>
        </is>
      </c>
      <c r="BG9" s="334" t="inlineStr">
        <is>
          <t>May_2027_Days_Forecast</t>
        </is>
      </c>
      <c r="BH9" s="334" t="inlineStr">
        <is>
          <t>Jun_2027_Days_Forecast</t>
        </is>
      </c>
      <c r="BI9" s="334" t="inlineStr">
        <is>
          <t>Jul_2027_Days_Forecast</t>
        </is>
      </c>
      <c r="BJ9" s="334" t="inlineStr">
        <is>
          <t>Aug_2027_Days_Forecast</t>
        </is>
      </c>
      <c r="BK9" s="334" t="inlineStr">
        <is>
          <t>Sep_2027_Days_Forecast</t>
        </is>
      </c>
      <c r="BL9" s="334" t="inlineStr">
        <is>
          <t>Oct_2027_Days_Forecast</t>
        </is>
      </c>
      <c r="BM9" s="334" t="inlineStr">
        <is>
          <t>Nov_2027_Days_Forecast</t>
        </is>
      </c>
      <c r="BN9" s="334" t="inlineStr">
        <is>
          <t>Dec_2027_Days_Forecast</t>
        </is>
      </c>
      <c r="BO9" s="333" t="inlineStr">
        <is>
          <t>COSTS</t>
        </is>
      </c>
      <c r="BP9" s="333" t="inlineStr">
        <is>
          <t>2026_C</t>
        </is>
      </c>
      <c r="BQ9" s="335" t="inlineStr">
        <is>
          <t>Jan_2026_F</t>
        </is>
      </c>
      <c r="BR9" s="335" t="inlineStr">
        <is>
          <t>Jan_2026_A</t>
        </is>
      </c>
      <c r="BS9" s="335" t="inlineStr">
        <is>
          <t>Jan_2026_V</t>
        </is>
      </c>
      <c r="BT9" s="335" t="inlineStr">
        <is>
          <t>Jan_2026_V_Reason</t>
        </is>
      </c>
      <c r="BU9" s="336" t="inlineStr">
        <is>
          <t>Feb_2026_F</t>
        </is>
      </c>
      <c r="BV9" s="335" t="inlineStr">
        <is>
          <t>Feb_2026_A</t>
        </is>
      </c>
      <c r="BW9" s="336" t="inlineStr">
        <is>
          <t>Feb_2026_D</t>
        </is>
      </c>
      <c r="BX9" s="336" t="inlineStr">
        <is>
          <t>Feb_2026_V_Reason</t>
        </is>
      </c>
      <c r="BY9" s="336" t="inlineStr">
        <is>
          <t>Mar_2026_F</t>
        </is>
      </c>
      <c r="BZ9" s="335" t="inlineStr">
        <is>
          <t>Mar_2026_A</t>
        </is>
      </c>
      <c r="CA9" s="336" t="inlineStr">
        <is>
          <t>Mar_2026_D</t>
        </is>
      </c>
      <c r="CB9" s="336" t="inlineStr">
        <is>
          <t>Mar_2026_V_Reason</t>
        </is>
      </c>
      <c r="CC9" s="336" t="inlineStr">
        <is>
          <t>Apr_2026_F</t>
        </is>
      </c>
      <c r="CD9" s="335" t="inlineStr">
        <is>
          <t>Apr_2026_A</t>
        </is>
      </c>
      <c r="CE9" s="336" t="inlineStr">
        <is>
          <t>Apr_2026_D</t>
        </is>
      </c>
      <c r="CF9" s="336" t="inlineStr">
        <is>
          <t>Apr_2026_V_Reason</t>
        </is>
      </c>
      <c r="CG9" s="336" t="inlineStr">
        <is>
          <t>May_2026_F</t>
        </is>
      </c>
      <c r="CH9" s="335" t="inlineStr">
        <is>
          <t>May_2026_A</t>
        </is>
      </c>
      <c r="CI9" s="336" t="inlineStr">
        <is>
          <t>May_2026_D</t>
        </is>
      </c>
      <c r="CJ9" s="336" t="inlineStr">
        <is>
          <t>May_2026_V_Reason</t>
        </is>
      </c>
      <c r="CK9" s="336" t="inlineStr">
        <is>
          <t>Jun_2026_F</t>
        </is>
      </c>
      <c r="CL9" s="335" t="inlineStr">
        <is>
          <t>Jun_2026_A</t>
        </is>
      </c>
      <c r="CM9" s="336" t="inlineStr">
        <is>
          <t>Jun_2026_D</t>
        </is>
      </c>
      <c r="CN9" s="336" t="inlineStr">
        <is>
          <t>Jun_2026_V_Reason</t>
        </is>
      </c>
      <c r="CO9" s="336" t="inlineStr">
        <is>
          <t>Jul_2026_F</t>
        </is>
      </c>
      <c r="CP9" s="335" t="inlineStr">
        <is>
          <t>Jul_2026_A</t>
        </is>
      </c>
      <c r="CQ9" s="336" t="inlineStr">
        <is>
          <t>Jul_2026_D</t>
        </is>
      </c>
      <c r="CR9" s="336" t="inlineStr">
        <is>
          <t>Jul_2026_V_Reason</t>
        </is>
      </c>
      <c r="CS9" s="336" t="inlineStr">
        <is>
          <t>Aug_2026_F</t>
        </is>
      </c>
      <c r="CT9" s="335" t="inlineStr">
        <is>
          <t>Aug_2026_A</t>
        </is>
      </c>
      <c r="CU9" s="336" t="inlineStr">
        <is>
          <t>Aug_2026_D</t>
        </is>
      </c>
      <c r="CV9" s="336" t="inlineStr">
        <is>
          <t>Aug_2026_V_Reason</t>
        </is>
      </c>
      <c r="CW9" s="336" t="inlineStr">
        <is>
          <t>Sep_2026_F</t>
        </is>
      </c>
      <c r="CX9" s="335" t="inlineStr">
        <is>
          <t>Sep_2026_A</t>
        </is>
      </c>
      <c r="CY9" s="336" t="inlineStr">
        <is>
          <t>Sep_2026_D</t>
        </is>
      </c>
      <c r="CZ9" s="336" t="inlineStr">
        <is>
          <t>Sep_2026_V_Reason</t>
        </is>
      </c>
      <c r="DA9" s="336" t="inlineStr">
        <is>
          <t>Oct_2026_F</t>
        </is>
      </c>
      <c r="DB9" s="335" t="inlineStr">
        <is>
          <t>Oct_2026_A</t>
        </is>
      </c>
      <c r="DC9" s="336" t="inlineStr">
        <is>
          <t>Oct_2026_D</t>
        </is>
      </c>
      <c r="DD9" s="336" t="inlineStr">
        <is>
          <t>Oct_2026_V_Reason</t>
        </is>
      </c>
      <c r="DE9" s="336" t="inlineStr">
        <is>
          <t>Nov_2026_F</t>
        </is>
      </c>
      <c r="DF9" s="335" t="inlineStr">
        <is>
          <t>Nov_2026_A</t>
        </is>
      </c>
      <c r="DG9" s="336" t="inlineStr">
        <is>
          <t>Nov_2026_D</t>
        </is>
      </c>
      <c r="DH9" s="336" t="inlineStr">
        <is>
          <t>Nov_2026_V_Reason</t>
        </is>
      </c>
      <c r="DI9" s="336" t="inlineStr">
        <is>
          <t>Dec_2026_F</t>
        </is>
      </c>
      <c r="DJ9" s="335" t="inlineStr">
        <is>
          <t>Dec_2026_A</t>
        </is>
      </c>
      <c r="DK9" s="336" t="inlineStr">
        <is>
          <t>Dec_2026_D</t>
        </is>
      </c>
      <c r="DL9" s="336" t="inlineStr">
        <is>
          <t>Dec_2026_V_Reason</t>
        </is>
      </c>
      <c r="DM9" s="337" t="inlineStr">
        <is>
          <t>2027_C</t>
        </is>
      </c>
      <c r="DN9" s="335" t="inlineStr">
        <is>
          <t>Jan_2027_F</t>
        </is>
      </c>
      <c r="DO9" s="335" t="inlineStr">
        <is>
          <t>Jan_2027_A</t>
        </is>
      </c>
      <c r="DP9" s="335" t="inlineStr">
        <is>
          <t>Jan_2027_D</t>
        </is>
      </c>
      <c r="DQ9" s="336" t="inlineStr">
        <is>
          <t>Feb_2027_F</t>
        </is>
      </c>
      <c r="DR9" s="335" t="inlineStr">
        <is>
          <t>Feb_2027_A</t>
        </is>
      </c>
      <c r="DS9" s="336" t="inlineStr">
        <is>
          <t>Feb_2027_D</t>
        </is>
      </c>
      <c r="DT9" s="336" t="inlineStr">
        <is>
          <t>Mar_2027_F</t>
        </is>
      </c>
      <c r="DU9" s="335" t="inlineStr">
        <is>
          <t>Mar_2027_A</t>
        </is>
      </c>
      <c r="DV9" s="336" t="inlineStr">
        <is>
          <t>Mar_2027_D</t>
        </is>
      </c>
      <c r="DW9" s="336" t="inlineStr">
        <is>
          <t>Apr_2027_F</t>
        </is>
      </c>
      <c r="DX9" s="335" t="inlineStr">
        <is>
          <t>Apr_2027_A</t>
        </is>
      </c>
      <c r="DY9" s="336" t="inlineStr">
        <is>
          <t>Apr_2027_D</t>
        </is>
      </c>
      <c r="DZ9" s="336" t="inlineStr">
        <is>
          <t>May_2027_F</t>
        </is>
      </c>
      <c r="EA9" s="335" t="inlineStr">
        <is>
          <t>May_2027_A</t>
        </is>
      </c>
      <c r="EB9" s="336" t="inlineStr">
        <is>
          <t>May_2027_D</t>
        </is>
      </c>
      <c r="EC9" s="336" t="inlineStr">
        <is>
          <t>Jun_2027_F</t>
        </is>
      </c>
      <c r="ED9" s="335" t="inlineStr">
        <is>
          <t>Jun_2027_A</t>
        </is>
      </c>
      <c r="EE9" s="336" t="inlineStr">
        <is>
          <t>Jun_2027_D</t>
        </is>
      </c>
      <c r="EF9" s="336" t="inlineStr">
        <is>
          <t>Jul_2027_F</t>
        </is>
      </c>
      <c r="EG9" s="335" t="inlineStr">
        <is>
          <t>Jul_2027_A</t>
        </is>
      </c>
      <c r="EH9" s="336" t="inlineStr">
        <is>
          <t>Jul_2027_D</t>
        </is>
      </c>
      <c r="EI9" s="336" t="inlineStr">
        <is>
          <t>Aug_2027_F</t>
        </is>
      </c>
      <c r="EJ9" s="335" t="inlineStr">
        <is>
          <t>Aug_2027_A</t>
        </is>
      </c>
      <c r="EK9" s="336" t="inlineStr">
        <is>
          <t>Aug_2027_D</t>
        </is>
      </c>
      <c r="EL9" s="336" t="inlineStr">
        <is>
          <t>Sep_2027_F</t>
        </is>
      </c>
      <c r="EM9" s="335" t="inlineStr">
        <is>
          <t>Sep_2027_A</t>
        </is>
      </c>
      <c r="EN9" s="336" t="inlineStr">
        <is>
          <t>Sep_2027_D</t>
        </is>
      </c>
      <c r="EO9" s="336" t="inlineStr">
        <is>
          <t>Oct_2027_F</t>
        </is>
      </c>
      <c r="EP9" s="335" t="inlineStr">
        <is>
          <t>Oct_2027_A</t>
        </is>
      </c>
      <c r="EQ9" s="336" t="inlineStr">
        <is>
          <t>Oct_2027_D</t>
        </is>
      </c>
      <c r="ER9" s="336" t="inlineStr">
        <is>
          <t>Nov_2027_F</t>
        </is>
      </c>
      <c r="ES9" s="335" t="inlineStr">
        <is>
          <t>Nov_2027_A</t>
        </is>
      </c>
      <c r="ET9" s="336" t="inlineStr">
        <is>
          <t>Nov_2027_D</t>
        </is>
      </c>
      <c r="EU9" s="336" t="inlineStr">
        <is>
          <t>Dec_2027_F</t>
        </is>
      </c>
      <c r="EV9" s="335" t="inlineStr">
        <is>
          <t>Dec_2027_A</t>
        </is>
      </c>
      <c r="EW9" s="336" t="inlineStr">
        <is>
          <t>Dec_2027_D</t>
        </is>
      </c>
    </row>
    <row r="10" ht="30.75" customFormat="1" customHeight="1" s="13">
      <c r="A10" s="338" t="inlineStr">
        <is>
          <t>PDSFS1001</t>
        </is>
      </c>
      <c r="B10" s="338" t="inlineStr">
        <is>
          <t>Program Management</t>
        </is>
      </c>
      <c r="C10" s="338" t="inlineStr">
        <is>
          <t>Staff</t>
        </is>
      </c>
      <c r="D10" s="338" t="inlineStr">
        <is>
          <t>Anna Kordek</t>
        </is>
      </c>
      <c r="E10" s="338" t="inlineStr">
        <is>
          <t>Shell Business</t>
        </is>
      </c>
      <c r="G10" s="338" t="inlineStr">
        <is>
          <t>United Kingdom</t>
        </is>
      </c>
      <c r="H10" s="338" t="n">
        <v>4</v>
      </c>
      <c r="J10" s="338" t="inlineStr">
        <is>
          <t>Business PM</t>
        </is>
      </c>
      <c r="K10" s="338" t="inlineStr">
        <is>
          <t>In-seat</t>
        </is>
      </c>
      <c r="L10" s="338" t="n">
        <v>1</v>
      </c>
      <c r="M10" s="338" t="inlineStr">
        <is>
          <t>LON</t>
        </is>
      </c>
      <c r="N10" s="338" t="inlineStr">
        <is>
          <t>Project Management</t>
        </is>
      </c>
      <c r="O10" s="338" t="inlineStr">
        <is>
          <t>Capex</t>
        </is>
      </c>
      <c r="P10" s="338" t="inlineStr">
        <is>
          <t>Business</t>
        </is>
      </c>
      <c r="Q10" s="338" t="inlineStr">
        <is>
          <t>TBD</t>
        </is>
      </c>
      <c r="R10" s="339" t="n">
        <v>46023</v>
      </c>
      <c r="S10" s="339" t="n">
        <v>46387</v>
      </c>
      <c r="T10" s="339" t="n">
        <v>46023</v>
      </c>
      <c r="U10" s="339" t="n">
        <v>46387</v>
      </c>
      <c r="V10" s="339" t="n">
        <v>46023</v>
      </c>
      <c r="W10" s="339" t="n">
        <v>46387</v>
      </c>
      <c r="Y10" s="338">
        <f>CONCATENATE(Table410[[#This Row],[JG]],Table410[[#This Row],[Country]],Table410[[#This Row],[Resource Provider]])</f>
        <v/>
      </c>
      <c r="Z10" s="338">
        <f>VLOOKUP(Table410[[#This Row],[RATE CONCAT]],Tables!I:N,5,0)</f>
        <v/>
      </c>
      <c r="AA10" s="52" t="n"/>
      <c r="AB10" s="340" t="n">
        <v>19</v>
      </c>
      <c r="AC10" s="340" t="n">
        <v>19</v>
      </c>
      <c r="AD10" s="340" t="n">
        <v>19</v>
      </c>
      <c r="AE10" s="340" t="n">
        <v>19</v>
      </c>
      <c r="AF10" s="340" t="n">
        <v>19</v>
      </c>
      <c r="AG10" s="340" t="n">
        <v>19</v>
      </c>
      <c r="AH10" s="340" t="n">
        <v>19</v>
      </c>
      <c r="AI10" s="340" t="n">
        <v>19</v>
      </c>
      <c r="AJ10" s="340" t="n">
        <v>19</v>
      </c>
      <c r="AK10" s="340" t="n">
        <v>19</v>
      </c>
      <c r="AL10" s="340" t="n">
        <v>19</v>
      </c>
      <c r="AM10" s="340" t="n">
        <v>19</v>
      </c>
      <c r="AN10" s="341">
        <f>IFERROR(AVERAGE(Table410[[#This Row],[Jan_2026_Days_Forecast]:[Dec_2026_Days_Forecast]]),0)/19</f>
        <v/>
      </c>
      <c r="AO10" s="341">
        <f>IFERROR(AVERAGE(Table410[[#This Row],[Jan_2026_Days_Actual]:[Dec_2026_Days_Actual]]),0)/19</f>
        <v/>
      </c>
      <c r="AP10" s="340" t="n">
        <v>19</v>
      </c>
      <c r="AQ10" s="340" t="n">
        <v>19</v>
      </c>
      <c r="AR10" s="340" t="n">
        <v>19</v>
      </c>
      <c r="AS10" s="340" t="n">
        <v>19</v>
      </c>
      <c r="AT10" s="340" t="n">
        <v>19</v>
      </c>
      <c r="AU10" s="340" t="n">
        <v>19</v>
      </c>
      <c r="AV10" s="340" t="n">
        <v>19</v>
      </c>
      <c r="AW10" s="340" t="n">
        <v>19</v>
      </c>
      <c r="AX10" s="340" t="n">
        <v>19</v>
      </c>
      <c r="AY10" s="340" t="n">
        <v>19</v>
      </c>
      <c r="AZ10" s="340" t="n">
        <v>19</v>
      </c>
      <c r="BA10" s="340" t="n">
        <v>19</v>
      </c>
      <c r="BB10" s="341">
        <f>IFERROR(AVERAGE(Table410[[#This Row],[Jan_2027_Days_Forecast]:[Dec_2027_Days_Forecast]]),0)</f>
        <v/>
      </c>
      <c r="BC10" s="127" t="n"/>
      <c r="BD10" s="127" t="n"/>
      <c r="BE10" s="127" t="n"/>
      <c r="BF10" s="127" t="n"/>
      <c r="BG10" s="127" t="n"/>
      <c r="BH10" s="127" t="n"/>
      <c r="BI10" s="127" t="n"/>
      <c r="BJ10" s="127" t="n"/>
      <c r="BK10" s="127" t="n"/>
      <c r="BL10" s="127" t="n"/>
      <c r="BM10" s="127" t="n"/>
      <c r="BN10" s="127" t="n"/>
      <c r="BO10" s="176" t="n"/>
      <c r="BP10" s="176" t="n"/>
      <c r="BQ10" s="338">
        <f>IFERROR(Table410[[#This Row],[Jan_2026_Days_Forecast]]*Table410[[#This Row],[Cost Boolean]]*(VLOOKUP(Table410[[#This Row],[RATE CONCAT]],Tables!I:N,5,0)),0)</f>
        <v/>
      </c>
      <c r="BR10" s="338">
        <f>IFERROR(Table410[[#This Row],[Jan_2026_Days_Actual]]*Table410[[#This Row],[Cost Boolean]]*(VLOOKUP(Table410[[#This Row],[RATE CONCAT]],Tables!I:N,5,0)),0)</f>
        <v/>
      </c>
      <c r="BS10" s="338">
        <f>Table410[[#This Row],[Jan_2026_F]]-Table410[[#This Row],[Jan_2026_A]]</f>
        <v/>
      </c>
      <c r="BU10" s="338">
        <f>IFERROR(Table410[[#This Row],[Feb_2026_Days_Forecast]]*Table410[[#This Row],[Cost Boolean]]*(VLOOKUP(Table410[[#This Row],[RATE CONCAT]],Tables!I:N,5,0)),0)</f>
        <v/>
      </c>
      <c r="BV10" s="338">
        <f>IFERROR(Table410[[#This Row],[Feb_2026_Days_Actual]]*Table410[[#This Row],[Cost Boolean]]*(VLOOKUP(Table410[[#This Row],[RATE CONCAT]],Tables!I:N,5,0)),0)</f>
        <v/>
      </c>
      <c r="BW10" s="338">
        <f>Table410[[#This Row],[Feb_2026_F]]-Table410[[#This Row],[Feb_2026_A]]</f>
        <v/>
      </c>
      <c r="BY10" s="338">
        <f>IFERROR(Table410[[#This Row],[Mar_2026_Days_Forecast]]*Table410[[#This Row],[Cost Boolean]]*(VLOOKUP(Table410[[#This Row],[RATE CONCAT]],Tables!I:N,5,0)),0)</f>
        <v/>
      </c>
      <c r="BZ10" s="338">
        <f>IFERROR(Table410[[#This Row],[Mar_2026_Days_Actual]]*Table410[[#This Row],[Cost Boolean]]*(VLOOKUP(Table410[[#This Row],[RATE CONCAT]],Tables!I:N,5,0)),0)</f>
        <v/>
      </c>
      <c r="CA10" s="338">
        <f>Table410[[#This Row],[Mar_2026_F]]-Table410[[#This Row],[Mar_2026_A]]</f>
        <v/>
      </c>
      <c r="CC10" s="338">
        <f>IFERROR(Table410[[#This Row],[Apr_2026_Days_Forecast]]*Table410[[#This Row],[Cost Boolean]]*(VLOOKUP(Table410[[#This Row],[RATE CONCAT]],Tables!I:N,5,0)),0)</f>
        <v/>
      </c>
      <c r="CD10" s="338">
        <f>IFERROR(Table410[[#This Row],[Apr_2026_Days_Actual]]*Table410[[#This Row],[Cost Boolean]]*(VLOOKUP(Table410[[#This Row],[RATE CONCAT]],Tables!I:N,5,0)),0)</f>
        <v/>
      </c>
      <c r="CE10" s="338">
        <f>Table410[[#This Row],[Apr_2026_F]]-Table410[[#This Row],[Apr_2026_A]]</f>
        <v/>
      </c>
      <c r="CG10" s="338">
        <f>IFERROR(Table410[[#This Row],[May_2026_Days_Forecast]] *Table410[[#This Row],[Cost Boolean]]*(VLOOKUP(Table410[[#This Row],[RATE CONCAT]],Tables!I:N,5,0)),0)</f>
        <v/>
      </c>
      <c r="CH10" s="338">
        <f>IFERROR(Table410[[#This Row],[May_2026_Days_Actual]]*Table410[[#This Row],[Cost Boolean]]*(VLOOKUP(Table410[[#This Row],[RATE CONCAT]],Tables!I:N,5,0)),0)</f>
        <v/>
      </c>
      <c r="CI10" s="338">
        <f>Table410[[#This Row],[May_2026_F]]-Table410[[#This Row],[May_2026_A]]</f>
        <v/>
      </c>
      <c r="CK10" s="338">
        <f>IFERROR(Table410[[#This Row],[Jun_2026_Days_Forecast]]*Table410[[#This Row],[Cost Boolean]]*(VLOOKUP(Table410[[#This Row],[RATE CONCAT]],Tables!I:N,5,0)),0)</f>
        <v/>
      </c>
      <c r="CL10" s="338">
        <f>IFERROR(Table410[[#This Row],[Jun_2026_Days_Actual]]*Table410[[#This Row],[Cost Boolean]]*(VLOOKUP(Table410[[#This Row],[RATE CONCAT]],Tables!I:N,5,0)),0)</f>
        <v/>
      </c>
      <c r="CM10" s="338">
        <f>Table410[[#This Row],[Jun_2026_F]]-Table410[[#This Row],[Jun_2026_A]]</f>
        <v/>
      </c>
      <c r="CO10" s="338">
        <f>IFERROR(Table410[[#This Row],[Jul_2026_Days_Forecast]]*Table410[[#This Row],[Cost Boolean]]*(VLOOKUP(Table410[[#This Row],[RATE CONCAT]],Tables!I:N,5,0)),0)</f>
        <v/>
      </c>
      <c r="CP10" s="338">
        <f>IFERROR(Table410[[#This Row],[Jul_2026_Days_Actual]]*Table410[[#This Row],[Cost Boolean]]*(VLOOKUP(Table410[[#This Row],[RATE CONCAT]],Tables!I:N,5,0)),0)</f>
        <v/>
      </c>
      <c r="CQ10" s="338">
        <f>Table410[[#This Row],[Jul_2026_F]]-Table410[[#This Row],[Jul_2026_A]]</f>
        <v/>
      </c>
      <c r="CS10" s="338">
        <f>IFERROR(Table410[[#This Row],[Aug_2026_Days_Forecast]]*Table410[[#This Row],[Cost Boolean]]*(VLOOKUP(Table410[[#This Row],[RATE CONCAT]],Tables!I:N,5,0)),0)</f>
        <v/>
      </c>
      <c r="CT10" s="338">
        <f>IFERROR(Table410[[#This Row],[Aug_2026_Days_Actual]]*Table410[[#This Row],[Cost Boolean]]*(VLOOKUP(Table410[[#This Row],[RATE CONCAT]],Tables!I:N,5,0)),0)</f>
        <v/>
      </c>
      <c r="CU10" s="338">
        <f>Table410[[#This Row],[Aug_2026_F]]-Table410[[#This Row],[Aug_2026_A]]</f>
        <v/>
      </c>
      <c r="CW10" s="338">
        <f>IFERROR(Table410[[#This Row],[Sep_2026_Days_Forecast]]*Table410[[#This Row],[Cost Boolean]]*(VLOOKUP(Table410[[#This Row],[RATE CONCAT]],Tables!I:N,5,0)),0)</f>
        <v/>
      </c>
      <c r="CX10" s="338">
        <f>IFERROR(Table410[[#This Row],[Sep_2026_Days_Actual]]*Table410[[#This Row],[Cost Boolean]]*(VLOOKUP(Table410[[#This Row],[RATE CONCAT]],Tables!I:N,5,0)),0)</f>
        <v/>
      </c>
      <c r="CY10" s="338">
        <f>Table410[[#This Row],[Sep_2026_F]]-Table410[[#This Row],[Sep_2026_A]]</f>
        <v/>
      </c>
      <c r="DA10" s="338">
        <f>IFERROR(Table410[[#This Row],[Oct_2026_Days_Forecast]]*Table410[[#This Row],[Cost Boolean]]*(VLOOKUP(Table410[[#This Row],[RATE CONCAT]],Tables!I:N,5,0)),0)</f>
        <v/>
      </c>
      <c r="DB10" s="338">
        <f>IFERROR(Table410[[#This Row],[Oct_2026_Days_Actual]]*Table410[[#This Row],[Cost Boolean]]*(VLOOKUP(Table410[[#This Row],[RATE CONCAT]],Tables!I:N,5,0)),0)</f>
        <v/>
      </c>
      <c r="DC10" s="338">
        <f>Table410[[#This Row],[Oct_2026_F]]-Table410[[#This Row],[Oct_2026_A]]</f>
        <v/>
      </c>
      <c r="DE10" s="338">
        <f>IFERROR(Table410[[#This Row],[Nov_2026_Days_Forecast]]*Table410[[#This Row],[Cost Boolean]]*(VLOOKUP(Table410[[#This Row],[RATE CONCAT]],Tables!I:N,5,0)),0)</f>
        <v/>
      </c>
      <c r="DF10" s="338">
        <f>IFERROR(Table410[[#This Row],[Nov_2026_Days_Actual]]*Table410[[#This Row],[Cost Boolean]]*(VLOOKUP(Table410[[#This Row],[RATE CONCAT]],Tables!I:N,5,0)),0)</f>
        <v/>
      </c>
      <c r="DG10" s="338">
        <f>Table410[[#This Row],[Nov_2026_F]]-Table410[[#This Row],[Nov_2026_A]]</f>
        <v/>
      </c>
      <c r="DI10" s="338">
        <f>IFERROR(Table410[[#This Row],[Dec_2026_Days_Forecast]]*Table410[[#This Row],[Cost Boolean]]*(VLOOKUP(Table410[[#This Row],[RATE CONCAT]],Tables!I:N,5,0)),0)</f>
        <v/>
      </c>
      <c r="DJ10" s="338">
        <f>IFERROR(Table410[[#This Row],[Dec_2026_Days_Actual]]*Table410[[#This Row],[Cost Boolean]]*(VLOOKUP(Table410[[#This Row],[RATE CONCAT]],Tables!I:N,5,0)),0)</f>
        <v/>
      </c>
      <c r="DK10" s="338">
        <f>Table410[[#This Row],[Dec_2026_F]]-Table410[[#This Row],[Dec_2026_A]]</f>
        <v/>
      </c>
      <c r="DN10" s="338">
        <f>IFERROR(Table410[[#This Row],[Jan_2027_Days_Forecast]]*Table410[[#This Row],[Cost Boolean]]*(VLOOKUP(Table410[[#This Row],[RATE CONCAT]],Tables!I:N,6,0)),0)</f>
        <v/>
      </c>
      <c r="DO10" s="338" t="n">
        <v>0</v>
      </c>
      <c r="DP10" s="338">
        <f>Table410[[#This Row],[Jan_2027_F]]-Table410[[#This Row],[Jan_2027_A]]</f>
        <v/>
      </c>
      <c r="DQ10" s="338">
        <f>IFERROR(Table410[[#This Row],[Feb_2027_Days_Forecast]]*Table410[[#This Row],[Cost Boolean]]*(VLOOKUP(Table410[[#This Row],[RATE CONCAT]],Tables!I:N,6,0)),0)</f>
        <v/>
      </c>
      <c r="DR10" s="338" t="n">
        <v>0</v>
      </c>
      <c r="DS10" s="338">
        <f>Table410[[#This Row],[Feb_2027_F]]-Table410[[#This Row],[Feb_2027_A]]</f>
        <v/>
      </c>
      <c r="DT10" s="338">
        <f>IFERROR(Table410[[#This Row],[Mar_2027_Days_Forecast]]*Table410[[#This Row],[Cost Boolean]]*(VLOOKUP(Table410[[#This Row],[RATE CONCAT]],Tables!I:N,6,0)),0)</f>
        <v/>
      </c>
      <c r="DU10" s="338" t="n">
        <v>0</v>
      </c>
      <c r="DV10" s="338">
        <f>Table410[[#This Row],[Mar_2027_F]]-Table410[[#This Row],[Mar_2027_A]]</f>
        <v/>
      </c>
      <c r="DW10" s="338">
        <f>IFERROR(Table410[[#This Row],[Apr_2027_Days_Forecast]]*Table410[[#This Row],[Cost Boolean]]*(VLOOKUP(Table410[[#This Row],[RATE CONCAT]],Tables!I:N,6,0)),0)</f>
        <v/>
      </c>
      <c r="DX10" s="338" t="n">
        <v>0</v>
      </c>
      <c r="DY10" s="338">
        <f>Table410[[#This Row],[Apr_2027_F]]-Table410[[#This Row],[Apr_2027_A]]</f>
        <v/>
      </c>
      <c r="DZ10" s="338">
        <f>IFERROR(Table410[[#This Row],[May_2027_Days_Forecast]]*Table410[[#This Row],[Cost Boolean]]*(VLOOKUP(Table410[[#This Row],[RATE CONCAT]],Tables!I:N,6,0)),0)</f>
        <v/>
      </c>
      <c r="EA10" s="338" t="n">
        <v>0</v>
      </c>
      <c r="EB10" s="338">
        <f>Table410[[#This Row],[May_2027_F]]-Table410[[#This Row],[May_2027_A]]</f>
        <v/>
      </c>
      <c r="EC10" s="338">
        <f>IFERROR(Table410[[#This Row],[Jun_2027_Days_Forecast]]*Table410[[#This Row],[Cost Boolean]]*(VLOOKUP(Table410[[#This Row],[RATE CONCAT]],Tables!I:N,6,0)),0)</f>
        <v/>
      </c>
      <c r="ED10" s="338" t="n">
        <v>0</v>
      </c>
      <c r="EE10" s="338">
        <f>Table410[[#This Row],[Jun_2027_F]]-Table410[[#This Row],[Jun_2027_A]]</f>
        <v/>
      </c>
      <c r="EF10" s="338">
        <f>IFERROR(Table410[[#This Row],[Jul_2027_Days_Forecast]]*Table410[[#This Row],[Cost Boolean]]*(VLOOKUP(Table410[[#This Row],[RATE CONCAT]],Tables!I:N,6,0)),0)</f>
        <v/>
      </c>
      <c r="EG10" s="338" t="n">
        <v>0</v>
      </c>
      <c r="EH10" s="338">
        <f>Table410[[#This Row],[Jul_2027_F]]-Table410[[#This Row],[Jul_2027_A]]</f>
        <v/>
      </c>
      <c r="EI10" s="338">
        <f>IFERROR(Table410[[#This Row],[Aug_2027_Days_Forecast]]*Table410[[#This Row],[Cost Boolean]]*(VLOOKUP(Table410[[#This Row],[RATE CONCAT]],Tables!I:N,6,0)),0)</f>
        <v/>
      </c>
      <c r="EJ10" s="338" t="n">
        <v>0</v>
      </c>
      <c r="EK10" s="338">
        <f>Table410[[#This Row],[Aug_2027_F]]-Table410[[#This Row],[Aug_2027_A]]</f>
        <v/>
      </c>
      <c r="EL10" s="338">
        <f>IFERROR(Table410[[#This Row],[Sep_2027_Days_Forecast]]*Table410[[#This Row],[Cost Boolean]]*(VLOOKUP(Table410[[#This Row],[RATE CONCAT]],Tables!I:N,6,0)),0)</f>
        <v/>
      </c>
      <c r="EM10" s="338" t="n">
        <v>0</v>
      </c>
      <c r="EN10" s="338">
        <f>Table410[[#This Row],[Sep_2027_F]]-Table410[[#This Row],[Sep_2027_A]]</f>
        <v/>
      </c>
      <c r="EO10" s="338">
        <f>IFERROR(Table410[[#This Row],[Oct_2027_Days_Forecast]]*Table410[[#This Row],[Cost Boolean]]*(VLOOKUP(Table410[[#This Row],[RATE CONCAT]],Tables!I:N,6,0)),0)</f>
        <v/>
      </c>
      <c r="EP10" s="338" t="n">
        <v>0</v>
      </c>
      <c r="EQ10" s="338">
        <f>Table410[[#This Row],[Oct_2027_F]]-Table410[[#This Row],[Oct_2027_A]]</f>
        <v/>
      </c>
      <c r="ER10" s="338">
        <f>IFERROR(Table410[[#This Row],[Nov_2027_Days_Forecast]]*Table410[[#This Row],[Cost Boolean]]*(VLOOKUP(Table410[[#This Row],[RATE CONCAT]],Tables!I:N,6,0)),0)</f>
        <v/>
      </c>
      <c r="ES10" s="338">
        <f>IFERROR(Table410[[#This Row],[Dec_2027_Days_Forecast]]*Table410[[#This Row],[Location]]*(VLOOKUP(Table410[[#This Row],[DAYS]],Tables!J:P,6,0)),0)</f>
        <v/>
      </c>
      <c r="ET10" s="338">
        <f>Table410[[#This Row],[Nov_2027_F]]-Table410[[#This Row],[Nov_2027_A]]</f>
        <v/>
      </c>
      <c r="EU10" s="338">
        <f>IFERROR(Table410[[#This Row],[Dec_2027_Days_Forecast]]*Table410[[#This Row],[Cost Boolean]]*(VLOOKUP(Table410[[#This Row],[RATE CONCAT]],Tables!I:N,6,0)),0)</f>
        <v/>
      </c>
      <c r="EV10" s="338" t="n">
        <v>0</v>
      </c>
      <c r="EW10" s="338">
        <f>Table410[[#This Row],[Dec_2027_F]]-Table410[[#This Row],[Dec_2027_A]]</f>
        <v/>
      </c>
    </row>
    <row r="11" ht="15" customFormat="1" customHeight="1" s="13">
      <c r="A11" s="342" t="inlineStr">
        <is>
          <t>PDSFS1002</t>
        </is>
      </c>
      <c r="B11" s="342" t="inlineStr">
        <is>
          <t>Program Management</t>
        </is>
      </c>
      <c r="C11" s="342" t="inlineStr">
        <is>
          <t>Staff</t>
        </is>
      </c>
      <c r="D11" s="342" t="inlineStr">
        <is>
          <t>Ben Poppelaars</t>
        </is>
      </c>
      <c r="E11" s="342" t="inlineStr">
        <is>
          <t>Shell Business</t>
        </is>
      </c>
      <c r="G11" s="342" t="inlineStr">
        <is>
          <t>United States</t>
        </is>
      </c>
      <c r="H11" s="342" t="n">
        <v>2</v>
      </c>
      <c r="J11" s="342" t="inlineStr">
        <is>
          <t>BOM</t>
        </is>
      </c>
      <c r="K11" s="342" t="inlineStr">
        <is>
          <t>In-seat</t>
        </is>
      </c>
      <c r="L11" s="342" t="n">
        <v>1</v>
      </c>
      <c r="M11" s="342" t="inlineStr">
        <is>
          <t>HOU</t>
        </is>
      </c>
      <c r="N11" s="342" t="inlineStr">
        <is>
          <t>Program Management</t>
        </is>
      </c>
      <c r="O11" s="342" t="inlineStr">
        <is>
          <t>Capex</t>
        </is>
      </c>
      <c r="P11" s="342" t="inlineStr">
        <is>
          <t>Business</t>
        </is>
      </c>
      <c r="Q11" s="342" t="inlineStr">
        <is>
          <t>TBD</t>
        </is>
      </c>
      <c r="R11" s="343" t="n">
        <v>46023</v>
      </c>
      <c r="S11" s="343" t="n">
        <v>46387</v>
      </c>
      <c r="T11" s="343" t="n">
        <v>46023</v>
      </c>
      <c r="U11" s="343" t="n">
        <v>46387</v>
      </c>
      <c r="V11" s="343" t="n">
        <v>46023</v>
      </c>
      <c r="W11" s="343" t="n">
        <v>46387</v>
      </c>
      <c r="Y11" s="342">
        <f>CONCATENATE(Table410[[#This Row],[JG]],Table410[[#This Row],[Country]],Table410[[#This Row],[Resource Provider]])</f>
        <v/>
      </c>
      <c r="Z11" s="342">
        <f>VLOOKUP(Table410[[#This Row],[RATE CONCAT]],Tables!I:N,5,0)</f>
        <v/>
      </c>
      <c r="AA11" s="52" t="n"/>
      <c r="AB11" s="344" t="n">
        <v>19</v>
      </c>
      <c r="AC11" s="344" t="n">
        <v>19</v>
      </c>
      <c r="AD11" s="344" t="n">
        <v>19</v>
      </c>
      <c r="AE11" s="344" t="n">
        <v>19</v>
      </c>
      <c r="AF11" s="344" t="n">
        <v>19</v>
      </c>
      <c r="AG11" s="344" t="n">
        <v>19</v>
      </c>
      <c r="AH11" s="344" t="n">
        <v>19</v>
      </c>
      <c r="AI11" s="344" t="n">
        <v>19</v>
      </c>
      <c r="AJ11" s="344" t="n">
        <v>19</v>
      </c>
      <c r="AK11" s="344" t="n">
        <v>19</v>
      </c>
      <c r="AL11" s="344" t="n">
        <v>19</v>
      </c>
      <c r="AM11" s="344" t="n">
        <v>19</v>
      </c>
      <c r="AN11" s="341">
        <f>IFERROR(AVERAGE(Table410[[#This Row],[Jan_2026_Days_Forecast]:[Dec_2026_Days_Forecast]]),0)/19</f>
        <v/>
      </c>
      <c r="AO11" s="341">
        <f>IFERROR(AVERAGE(Table410[[#This Row],[Jan_2026_Days_Actual]:[Dec_2026_Days_Actual]]),0)/19</f>
        <v/>
      </c>
      <c r="AP11" s="344" t="n">
        <v>19</v>
      </c>
      <c r="AQ11" s="344" t="n">
        <v>19</v>
      </c>
      <c r="AR11" s="344" t="n">
        <v>19</v>
      </c>
      <c r="AS11" s="344" t="n">
        <v>19</v>
      </c>
      <c r="AT11" s="344" t="n">
        <v>19</v>
      </c>
      <c r="AU11" s="344" t="n">
        <v>19</v>
      </c>
      <c r="AV11" s="344" t="n">
        <v>19</v>
      </c>
      <c r="AW11" s="344" t="n">
        <v>19</v>
      </c>
      <c r="AX11" s="344" t="n">
        <v>19</v>
      </c>
      <c r="AY11" s="344" t="n">
        <v>19</v>
      </c>
      <c r="AZ11" s="344" t="n">
        <v>19</v>
      </c>
      <c r="BA11" s="344" t="n">
        <v>19</v>
      </c>
      <c r="BB11" s="341">
        <f>IFERROR(AVERAGE(Table410[[#This Row],[Jan_2027_Days_Forecast]:[Dec_2027_Days_Forecast]]),0)</f>
        <v/>
      </c>
      <c r="BC11" s="127" t="n"/>
      <c r="BD11" s="127" t="n"/>
      <c r="BE11" s="127" t="n"/>
      <c r="BF11" s="127" t="n"/>
      <c r="BG11" s="127" t="n"/>
      <c r="BH11" s="127" t="n"/>
      <c r="BI11" s="127" t="n"/>
      <c r="BJ11" s="127" t="n"/>
      <c r="BK11" s="127" t="n"/>
      <c r="BL11" s="127" t="n"/>
      <c r="BM11" s="127" t="n"/>
      <c r="BN11" s="127" t="n"/>
      <c r="BO11" s="176" t="n"/>
      <c r="BP11" s="176" t="n"/>
      <c r="BQ11" s="342">
        <f>IFERROR(Table410[[#This Row],[Jan_2026_Days_Forecast]]*Table410[[#This Row],[Cost Boolean]]*(VLOOKUP(Table410[[#This Row],[RATE CONCAT]],Tables!I:N,5,0)),0)</f>
        <v/>
      </c>
      <c r="BR11" s="342">
        <f>IFERROR(Table410[[#This Row],[Jan_2026_Days_Actual]]*Table410[[#This Row],[Cost Boolean]]*(VLOOKUP(Table410[[#This Row],[RATE CONCAT]],Tables!I:N,5,0)),0)</f>
        <v/>
      </c>
      <c r="BS11" s="342">
        <f>Table410[[#This Row],[Jan_2026_F]]-Table410[[#This Row],[Jan_2026_A]]</f>
        <v/>
      </c>
      <c r="BU11" s="342">
        <f>IFERROR(Table410[[#This Row],[Feb_2026_Days_Forecast]]*Table410[[#This Row],[Cost Boolean]]*(VLOOKUP(Table410[[#This Row],[RATE CONCAT]],Tables!I:N,5,0)),0)</f>
        <v/>
      </c>
      <c r="BV11" s="342">
        <f>IFERROR(Table410[[#This Row],[Feb_2026_Days_Actual]]*Table410[[#This Row],[Cost Boolean]]*(VLOOKUP(Table410[[#This Row],[RATE CONCAT]],Tables!I:N,5,0)),0)</f>
        <v/>
      </c>
      <c r="BW11" s="342">
        <f>Table410[[#This Row],[Feb_2026_F]]-Table410[[#This Row],[Feb_2026_A]]</f>
        <v/>
      </c>
      <c r="BY11" s="342">
        <f>IFERROR(Table410[[#This Row],[Mar_2026_Days_Forecast]]*Table410[[#This Row],[Cost Boolean]]*(VLOOKUP(Table410[[#This Row],[RATE CONCAT]],Tables!I:N,5,0)),0)</f>
        <v/>
      </c>
      <c r="BZ11" s="342">
        <f>IFERROR(Table410[[#This Row],[Mar_2026_Days_Actual]]*Table410[[#This Row],[Cost Boolean]]*(VLOOKUP(Table410[[#This Row],[RATE CONCAT]],Tables!I:N,5,0)),0)</f>
        <v/>
      </c>
      <c r="CA11" s="342">
        <f>Table410[[#This Row],[Mar_2026_F]]-Table410[[#This Row],[Mar_2026_A]]</f>
        <v/>
      </c>
      <c r="CC11" s="342">
        <f>IFERROR(Table410[[#This Row],[Apr_2026_Days_Forecast]]*Table410[[#This Row],[Cost Boolean]]*(VLOOKUP(Table410[[#This Row],[RATE CONCAT]],Tables!I:N,5,0)),0)</f>
        <v/>
      </c>
      <c r="CD11" s="342">
        <f>IFERROR(Table410[[#This Row],[Apr_2026_Days_Actual]]*Table410[[#This Row],[Cost Boolean]]*(VLOOKUP(Table410[[#This Row],[RATE CONCAT]],Tables!I:N,5,0)),0)</f>
        <v/>
      </c>
      <c r="CE11" s="342">
        <f>Table410[[#This Row],[Apr_2026_F]]-Table410[[#This Row],[Apr_2026_A]]</f>
        <v/>
      </c>
      <c r="CG11" s="342">
        <f>IFERROR(Table410[[#This Row],[May_2026_Days_Forecast]] *Table410[[#This Row],[Cost Boolean]]*(VLOOKUP(Table410[[#This Row],[RATE CONCAT]],Tables!I:N,5,0)),0)</f>
        <v/>
      </c>
      <c r="CH11" s="342">
        <f>IFERROR(Table410[[#This Row],[May_2026_Days_Actual]]*Table410[[#This Row],[Cost Boolean]]*(VLOOKUP(Table410[[#This Row],[RATE CONCAT]],Tables!I:N,5,0)),0)</f>
        <v/>
      </c>
      <c r="CI11" s="342">
        <f>Table410[[#This Row],[May_2026_F]]-Table410[[#This Row],[May_2026_A]]</f>
        <v/>
      </c>
      <c r="CK11" s="342">
        <f>IFERROR(Table410[[#This Row],[Jun_2026_Days_Forecast]]*Table410[[#This Row],[Cost Boolean]]*(VLOOKUP(Table410[[#This Row],[RATE CONCAT]],Tables!I:N,5,0)),0)</f>
        <v/>
      </c>
      <c r="CL11" s="342">
        <f>IFERROR(Table410[[#This Row],[Jun_2026_Days_Actual]]*Table410[[#This Row],[Cost Boolean]]*(VLOOKUP(Table410[[#This Row],[RATE CONCAT]],Tables!I:N,5,0)),0)</f>
        <v/>
      </c>
      <c r="CM11" s="342">
        <f>Table410[[#This Row],[Jun_2026_F]]-Table410[[#This Row],[Jun_2026_A]]</f>
        <v/>
      </c>
      <c r="CO11" s="342">
        <f>IFERROR(Table410[[#This Row],[Jul_2026_Days_Forecast]]*Table410[[#This Row],[Cost Boolean]]*(VLOOKUP(Table410[[#This Row],[RATE CONCAT]],Tables!I:N,5,0)),0)</f>
        <v/>
      </c>
      <c r="CP11" s="342">
        <f>IFERROR(Table410[[#This Row],[Jul_2026_Days_Actual]]*Table410[[#This Row],[Cost Boolean]]*(VLOOKUP(Table410[[#This Row],[RATE CONCAT]],Tables!I:N,5,0)),0)</f>
        <v/>
      </c>
      <c r="CQ11" s="342">
        <f>Table410[[#This Row],[Jul_2026_F]]-Table410[[#This Row],[Jul_2026_A]]</f>
        <v/>
      </c>
      <c r="CS11" s="342">
        <f>IFERROR(Table410[[#This Row],[Aug_2026_Days_Forecast]]*Table410[[#This Row],[Cost Boolean]]*(VLOOKUP(Table410[[#This Row],[RATE CONCAT]],Tables!I:N,5,0)),0)</f>
        <v/>
      </c>
      <c r="CT11" s="342">
        <f>IFERROR(Table410[[#This Row],[Aug_2026_Days_Actual]]*Table410[[#This Row],[Cost Boolean]]*(VLOOKUP(Table410[[#This Row],[RATE CONCAT]],Tables!I:N,5,0)),0)</f>
        <v/>
      </c>
      <c r="CU11" s="342">
        <f>Table410[[#This Row],[Aug_2026_F]]-Table410[[#This Row],[Aug_2026_A]]</f>
        <v/>
      </c>
      <c r="CW11" s="342">
        <f>IFERROR(Table410[[#This Row],[Sep_2026_Days_Forecast]]*Table410[[#This Row],[Cost Boolean]]*(VLOOKUP(Table410[[#This Row],[RATE CONCAT]],Tables!I:N,5,0)),0)</f>
        <v/>
      </c>
      <c r="CX11" s="342">
        <f>IFERROR(Table410[[#This Row],[Sep_2026_Days_Actual]]*Table410[[#This Row],[Cost Boolean]]*(VLOOKUP(Table410[[#This Row],[RATE CONCAT]],Tables!I:N,5,0)),0)</f>
        <v/>
      </c>
      <c r="CY11" s="342">
        <f>Table410[[#This Row],[Sep_2026_F]]-Table410[[#This Row],[Sep_2026_A]]</f>
        <v/>
      </c>
      <c r="DA11" s="342">
        <f>IFERROR(Table410[[#This Row],[Oct_2026_Days_Forecast]]*Table410[[#This Row],[Cost Boolean]]*(VLOOKUP(Table410[[#This Row],[RATE CONCAT]],Tables!I:N,5,0)),0)</f>
        <v/>
      </c>
      <c r="DB11" s="342">
        <f>IFERROR(Table410[[#This Row],[Oct_2026_Days_Actual]]*Table410[[#This Row],[Cost Boolean]]*(VLOOKUP(Table410[[#This Row],[RATE CONCAT]],Tables!I:N,5,0)),0)</f>
        <v/>
      </c>
      <c r="DC11" s="342">
        <f>Table410[[#This Row],[Oct_2026_F]]-Table410[[#This Row],[Oct_2026_A]]</f>
        <v/>
      </c>
      <c r="DE11" s="342">
        <f>IFERROR(Table410[[#This Row],[Nov_2026_Days_Forecast]]*Table410[[#This Row],[Cost Boolean]]*(VLOOKUP(Table410[[#This Row],[RATE CONCAT]],Tables!I:N,5,0)),0)</f>
        <v/>
      </c>
      <c r="DF11" s="342">
        <f>IFERROR(Table410[[#This Row],[Nov_2026_Days_Actual]]*Table410[[#This Row],[Cost Boolean]]*(VLOOKUP(Table410[[#This Row],[RATE CONCAT]],Tables!I:N,5,0)),0)</f>
        <v/>
      </c>
      <c r="DG11" s="342">
        <f>Table410[[#This Row],[Nov_2026_F]]-Table410[[#This Row],[Nov_2026_A]]</f>
        <v/>
      </c>
      <c r="DI11" s="342">
        <f>IFERROR(Table410[[#This Row],[Dec_2026_Days_Forecast]]*Table410[[#This Row],[Cost Boolean]]*(VLOOKUP(Table410[[#This Row],[RATE CONCAT]],Tables!I:N,5,0)),0)</f>
        <v/>
      </c>
      <c r="DJ11" s="342">
        <f>IFERROR(Table410[[#This Row],[Dec_2026_Days_Actual]]*Table410[[#This Row],[Cost Boolean]]*(VLOOKUP(Table410[[#This Row],[RATE CONCAT]],Tables!I:N,5,0)),0)</f>
        <v/>
      </c>
      <c r="DK11" s="342">
        <f>Table410[[#This Row],[Dec_2026_F]]-Table410[[#This Row],[Dec_2026_A]]</f>
        <v/>
      </c>
      <c r="DN11" s="342">
        <f>IFERROR(Table410[[#This Row],[Jan_2027_Days_Forecast]]*Table410[[#This Row],[Cost Boolean]]*(VLOOKUP(Table410[[#This Row],[RATE CONCAT]],Tables!I:N,6,0)),0)</f>
        <v/>
      </c>
      <c r="DO11" s="342" t="n">
        <v>0</v>
      </c>
      <c r="DP11" s="342">
        <f>Table410[[#This Row],[Jan_2027_F]]-Table410[[#This Row],[Jan_2027_A]]</f>
        <v/>
      </c>
      <c r="DQ11" s="342">
        <f>IFERROR(Table410[[#This Row],[Feb_2027_Days_Forecast]]*Table410[[#This Row],[Cost Boolean]]*(VLOOKUP(Table410[[#This Row],[RATE CONCAT]],Tables!I:N,6,0)),0)</f>
        <v/>
      </c>
      <c r="DR11" s="342" t="n">
        <v>0</v>
      </c>
      <c r="DS11" s="342">
        <f>Table410[[#This Row],[Feb_2027_F]]-Table410[[#This Row],[Feb_2027_A]]</f>
        <v/>
      </c>
      <c r="DT11" s="342">
        <f>IFERROR(Table410[[#This Row],[Mar_2027_Days_Forecast]]*Table410[[#This Row],[Cost Boolean]]*(VLOOKUP(Table410[[#This Row],[RATE CONCAT]],Tables!I:N,6,0)),0)</f>
        <v/>
      </c>
      <c r="DU11" s="342" t="n">
        <v>0</v>
      </c>
      <c r="DV11" s="342">
        <f>Table410[[#This Row],[Mar_2027_F]]-Table410[[#This Row],[Mar_2027_A]]</f>
        <v/>
      </c>
      <c r="DW11" s="342">
        <f>IFERROR(Table410[[#This Row],[Apr_2027_Days_Forecast]]*Table410[[#This Row],[Cost Boolean]]*(VLOOKUP(Table410[[#This Row],[RATE CONCAT]],Tables!I:N,6,0)),0)</f>
        <v/>
      </c>
      <c r="DX11" s="342" t="n">
        <v>0</v>
      </c>
      <c r="DY11" s="342">
        <f>Table410[[#This Row],[Apr_2027_F]]-Table410[[#This Row],[Apr_2027_A]]</f>
        <v/>
      </c>
      <c r="DZ11" s="342">
        <f>IFERROR(Table410[[#This Row],[May_2027_Days_Forecast]]*Table410[[#This Row],[Cost Boolean]]*(VLOOKUP(Table410[[#This Row],[RATE CONCAT]],Tables!I:N,6,0)),0)</f>
        <v/>
      </c>
      <c r="EA11" s="342" t="n">
        <v>0</v>
      </c>
      <c r="EB11" s="342">
        <f>Table410[[#This Row],[May_2027_F]]-Table410[[#This Row],[May_2027_A]]</f>
        <v/>
      </c>
      <c r="EC11" s="342">
        <f>IFERROR(Table410[[#This Row],[Jun_2027_Days_Forecast]]*Table410[[#This Row],[Cost Boolean]]*(VLOOKUP(Table410[[#This Row],[RATE CONCAT]],Tables!I:N,6,0)),0)</f>
        <v/>
      </c>
      <c r="ED11" s="342" t="n">
        <v>0</v>
      </c>
      <c r="EE11" s="342">
        <f>Table410[[#This Row],[Jun_2027_F]]-Table410[[#This Row],[Jun_2027_A]]</f>
        <v/>
      </c>
      <c r="EF11" s="342">
        <f>IFERROR(Table410[[#This Row],[Jul_2027_Days_Forecast]]*Table410[[#This Row],[Cost Boolean]]*(VLOOKUP(Table410[[#This Row],[RATE CONCAT]],Tables!I:N,6,0)),0)</f>
        <v/>
      </c>
      <c r="EG11" s="342" t="n">
        <v>0</v>
      </c>
      <c r="EH11" s="342">
        <f>Table410[[#This Row],[Jul_2027_F]]-Table410[[#This Row],[Jul_2027_A]]</f>
        <v/>
      </c>
      <c r="EI11" s="342">
        <f>IFERROR(Table410[[#This Row],[Aug_2027_Days_Forecast]]*Table410[[#This Row],[Cost Boolean]]*(VLOOKUP(Table410[[#This Row],[RATE CONCAT]],Tables!I:N,6,0)),0)</f>
        <v/>
      </c>
      <c r="EJ11" s="342" t="n">
        <v>0</v>
      </c>
      <c r="EK11" s="342">
        <f>Table410[[#This Row],[Aug_2027_F]]-Table410[[#This Row],[Aug_2027_A]]</f>
        <v/>
      </c>
      <c r="EL11" s="342">
        <f>IFERROR(Table410[[#This Row],[Sep_2027_Days_Forecast]]*Table410[[#This Row],[Cost Boolean]]*(VLOOKUP(Table410[[#This Row],[RATE CONCAT]],Tables!I:N,6,0)),0)</f>
        <v/>
      </c>
      <c r="EM11" s="342" t="n">
        <v>0</v>
      </c>
      <c r="EN11" s="342">
        <f>Table410[[#This Row],[Sep_2027_F]]-Table410[[#This Row],[Sep_2027_A]]</f>
        <v/>
      </c>
      <c r="EO11" s="342">
        <f>IFERROR(Table410[[#This Row],[Oct_2027_Days_Forecast]]*Table410[[#This Row],[Cost Boolean]]*(VLOOKUP(Table410[[#This Row],[RATE CONCAT]],Tables!I:N,6,0)),0)</f>
        <v/>
      </c>
      <c r="EP11" s="342" t="n">
        <v>0</v>
      </c>
      <c r="EQ11" s="342">
        <f>Table410[[#This Row],[Oct_2027_F]]-Table410[[#This Row],[Oct_2027_A]]</f>
        <v/>
      </c>
      <c r="ER11" s="342">
        <f>IFERROR(Table410[[#This Row],[Nov_2027_Days_Forecast]]*Table410[[#This Row],[Cost Boolean]]*(VLOOKUP(Table410[[#This Row],[RATE CONCAT]],Tables!I:N,6,0)),0)</f>
        <v/>
      </c>
      <c r="ES11" s="342" t="n">
        <v>0</v>
      </c>
      <c r="ET11" s="342">
        <f>Table410[[#This Row],[Nov_2027_F]]-Table410[[#This Row],[Nov_2027_A]]</f>
        <v/>
      </c>
      <c r="EU11" s="342">
        <f>IFERROR(Table410[[#This Row],[Dec_2027_Days_Forecast]]*Table410[[#This Row],[Cost Boolean]]*(VLOOKUP(Table410[[#This Row],[RATE CONCAT]],Tables!I:N,6,0)),0)</f>
        <v/>
      </c>
      <c r="EV11" s="342" t="n">
        <v>0</v>
      </c>
      <c r="EW11" s="342">
        <f>Table410[[#This Row],[Dec_2027_F]]-Table410[[#This Row],[Dec_2027_A]]</f>
        <v/>
      </c>
    </row>
    <row r="12" ht="15" customFormat="1" customHeight="1" s="13">
      <c r="A12" s="338" t="inlineStr">
        <is>
          <t>PDSFS1003</t>
        </is>
      </c>
      <c r="B12" s="338" t="inlineStr">
        <is>
          <t>VPD</t>
        </is>
      </c>
      <c r="C12" s="338" t="inlineStr">
        <is>
          <t>Staff</t>
        </is>
      </c>
      <c r="D12" s="338" t="inlineStr">
        <is>
          <t>Shalini Mandala</t>
        </is>
      </c>
      <c r="E12" s="338" t="inlineStr">
        <is>
          <t>Shell Business</t>
        </is>
      </c>
      <c r="G12" s="338" t="inlineStr">
        <is>
          <t>United States</t>
        </is>
      </c>
      <c r="H12" s="338" t="n">
        <v>3</v>
      </c>
      <c r="J12" s="338" t="inlineStr">
        <is>
          <t>Developer</t>
        </is>
      </c>
      <c r="K12" s="338" t="inlineStr">
        <is>
          <t>In-seat</t>
        </is>
      </c>
      <c r="L12" s="338" t="n">
        <v>1</v>
      </c>
      <c r="M12" s="338" t="inlineStr">
        <is>
          <t>HOU</t>
        </is>
      </c>
      <c r="N12" s="338" t="inlineStr">
        <is>
          <t>Software development</t>
        </is>
      </c>
      <c r="O12" s="338" t="inlineStr">
        <is>
          <t>Capex</t>
        </is>
      </c>
      <c r="P12" s="338" t="inlineStr">
        <is>
          <t>Business</t>
        </is>
      </c>
      <c r="Q12" s="338" t="inlineStr">
        <is>
          <t>TBD</t>
        </is>
      </c>
      <c r="R12" s="339" t="n">
        <v>46023</v>
      </c>
      <c r="S12" s="339" t="n">
        <v>46387</v>
      </c>
      <c r="T12" s="339" t="n">
        <v>46023</v>
      </c>
      <c r="U12" s="339" t="n">
        <v>46387</v>
      </c>
      <c r="V12" s="339" t="n">
        <v>46023</v>
      </c>
      <c r="W12" s="339" t="n">
        <v>46387</v>
      </c>
      <c r="Y12" s="338">
        <f>CONCATENATE(Table410[[#This Row],[JG]],Table410[[#This Row],[Country]],Table410[[#This Row],[Resource Provider]])</f>
        <v/>
      </c>
      <c r="Z12" s="338">
        <f>VLOOKUP(Table410[[#This Row],[RATE CONCAT]],Tables!I:N,5,0)</f>
        <v/>
      </c>
      <c r="AA12" s="52" t="n"/>
      <c r="AB12" s="340" t="n">
        <v>5</v>
      </c>
      <c r="AC12" s="340" t="n">
        <v>5</v>
      </c>
      <c r="AD12" s="340" t="n">
        <v>5</v>
      </c>
      <c r="AE12" s="340" t="n">
        <v>5</v>
      </c>
      <c r="AF12" s="340" t="n">
        <v>5</v>
      </c>
      <c r="AG12" s="340" t="n">
        <v>4</v>
      </c>
      <c r="AH12" s="340" t="n">
        <v>5</v>
      </c>
      <c r="AI12" s="340" t="n">
        <v>5</v>
      </c>
      <c r="AJ12" s="340" t="n">
        <v>5</v>
      </c>
      <c r="AK12" s="340" t="n">
        <v>5</v>
      </c>
      <c r="AL12" s="340" t="n">
        <v>5</v>
      </c>
      <c r="AM12" s="340" t="n">
        <v>4</v>
      </c>
      <c r="AN12" s="341">
        <f>IFERROR(AVERAGE(Table410[[#This Row],[Jan_2026_Days_Forecast]:[Dec_2026_Days_Forecast]]),0)/19</f>
        <v/>
      </c>
      <c r="AO12" s="341">
        <f>IFERROR(AVERAGE(Table410[[#This Row],[Jan_2026_Days_Actual]:[Dec_2026_Days_Actual]]),0)/19</f>
        <v/>
      </c>
      <c r="AP12" s="340" t="n">
        <v>5</v>
      </c>
      <c r="AQ12" s="340" t="n">
        <v>5</v>
      </c>
      <c r="AR12" s="340" t="n">
        <v>5</v>
      </c>
      <c r="AS12" s="340" t="n">
        <v>5</v>
      </c>
      <c r="AT12" s="340" t="n">
        <v>5</v>
      </c>
      <c r="AU12" s="340" t="n">
        <v>4</v>
      </c>
      <c r="AV12" s="340" t="n">
        <v>5</v>
      </c>
      <c r="AW12" s="340" t="n">
        <v>5</v>
      </c>
      <c r="AX12" s="340" t="n">
        <v>5</v>
      </c>
      <c r="AY12" s="340" t="n">
        <v>5</v>
      </c>
      <c r="AZ12" s="340" t="n">
        <v>5</v>
      </c>
      <c r="BA12" s="340" t="n">
        <v>4</v>
      </c>
      <c r="BB12" s="341">
        <f>IFERROR(AVERAGE(Table410[[#This Row],[Jan_2027_Days_Forecast]:[Dec_2027_Days_Forecast]]),0)</f>
        <v/>
      </c>
      <c r="BC12" s="127" t="n"/>
      <c r="BD12" s="127" t="n"/>
      <c r="BE12" s="127" t="n"/>
      <c r="BF12" s="127" t="n"/>
      <c r="BG12" s="127" t="n"/>
      <c r="BH12" s="127" t="n"/>
      <c r="BI12" s="127" t="n"/>
      <c r="BJ12" s="127" t="n"/>
      <c r="BK12" s="127" t="n"/>
      <c r="BL12" s="127" t="n"/>
      <c r="BM12" s="127" t="n"/>
      <c r="BN12" s="127" t="n"/>
      <c r="BO12" s="176" t="n"/>
      <c r="BP12" s="176" t="n"/>
      <c r="BQ12" s="338">
        <f>IFERROR(Table410[[#This Row],[Jan_2026_Days_Forecast]]*Table410[[#This Row],[Cost Boolean]]*(VLOOKUP(Table410[[#This Row],[RATE CONCAT]],Tables!I:N,5,0)),0)</f>
        <v/>
      </c>
      <c r="BR12" s="338">
        <f>IFERROR(Table410[[#This Row],[Jan_2026_Days_Actual]]*Table410[[#This Row],[Cost Boolean]]*(VLOOKUP(Table410[[#This Row],[RATE CONCAT]],Tables!I:N,5,0)),0)</f>
        <v/>
      </c>
      <c r="BS12" s="338">
        <f>Table410[[#This Row],[Jan_2026_F]]-Table410[[#This Row],[Jan_2026_A]]</f>
        <v/>
      </c>
      <c r="BU12" s="338">
        <f>IFERROR(Table410[[#This Row],[Feb_2026_Days_Forecast]]*Table410[[#This Row],[Cost Boolean]]*(VLOOKUP(Table410[[#This Row],[RATE CONCAT]],Tables!I:N,5,0)),0)</f>
        <v/>
      </c>
      <c r="BV12" s="338">
        <f>IFERROR(Table410[[#This Row],[Feb_2026_Days_Actual]]*Table410[[#This Row],[Cost Boolean]]*(VLOOKUP(Table410[[#This Row],[RATE CONCAT]],Tables!I:N,5,0)),0)</f>
        <v/>
      </c>
      <c r="BW12" s="338">
        <f>Table410[[#This Row],[Feb_2026_F]]-Table410[[#This Row],[Feb_2026_A]]</f>
        <v/>
      </c>
      <c r="BY12" s="338">
        <f>IFERROR(Table410[[#This Row],[Mar_2026_Days_Forecast]]*Table410[[#This Row],[Cost Boolean]]*(VLOOKUP(Table410[[#This Row],[RATE CONCAT]],Tables!I:N,5,0)),0)</f>
        <v/>
      </c>
      <c r="BZ12" s="338">
        <f>IFERROR(Table410[[#This Row],[Mar_2026_Days_Actual]]*Table410[[#This Row],[Cost Boolean]]*(VLOOKUP(Table410[[#This Row],[RATE CONCAT]],Tables!I:N,5,0)),0)</f>
        <v/>
      </c>
      <c r="CA12" s="338">
        <f>Table410[[#This Row],[Mar_2026_F]]-Table410[[#This Row],[Mar_2026_A]]</f>
        <v/>
      </c>
      <c r="CC12" s="338">
        <f>IFERROR(Table410[[#This Row],[Apr_2026_Days_Forecast]]*Table410[[#This Row],[Cost Boolean]]*(VLOOKUP(Table410[[#This Row],[RATE CONCAT]],Tables!I:N,5,0)),0)</f>
        <v/>
      </c>
      <c r="CD12" s="338">
        <f>IFERROR(Table410[[#This Row],[Apr_2026_Days_Actual]]*Table410[[#This Row],[Cost Boolean]]*(VLOOKUP(Table410[[#This Row],[RATE CONCAT]],Tables!I:N,5,0)),0)</f>
        <v/>
      </c>
      <c r="CE12" s="338">
        <f>Table410[[#This Row],[Apr_2026_F]]-Table410[[#This Row],[Apr_2026_A]]</f>
        <v/>
      </c>
      <c r="CG12" s="338">
        <f>IFERROR(Table410[[#This Row],[May_2026_Days_Forecast]] *Table410[[#This Row],[Cost Boolean]]*(VLOOKUP(Table410[[#This Row],[RATE CONCAT]],Tables!I:N,5,0)),0)</f>
        <v/>
      </c>
      <c r="CH12" s="338">
        <f>IFERROR(Table410[[#This Row],[May_2026_Days_Actual]]*Table410[[#This Row],[Cost Boolean]]*(VLOOKUP(Table410[[#This Row],[RATE CONCAT]],Tables!I:N,5,0)),0)</f>
        <v/>
      </c>
      <c r="CI12" s="338">
        <f>Table410[[#This Row],[May_2026_F]]-Table410[[#This Row],[May_2026_A]]</f>
        <v/>
      </c>
      <c r="CK12" s="338">
        <f>IFERROR(Table410[[#This Row],[Jun_2026_Days_Forecast]]*Table410[[#This Row],[Cost Boolean]]*(VLOOKUP(Table410[[#This Row],[RATE CONCAT]],Tables!I:N,5,0)),0)</f>
        <v/>
      </c>
      <c r="CL12" s="338">
        <f>IFERROR(Table410[[#This Row],[Jun_2026_Days_Actual]]*Table410[[#This Row],[Cost Boolean]]*(VLOOKUP(Table410[[#This Row],[RATE CONCAT]],Tables!I:N,5,0)),0)</f>
        <v/>
      </c>
      <c r="CM12" s="338">
        <f>Table410[[#This Row],[Jun_2026_F]]-Table410[[#This Row],[Jun_2026_A]]</f>
        <v/>
      </c>
      <c r="CO12" s="338">
        <f>IFERROR(Table410[[#This Row],[Jul_2026_Days_Forecast]]*Table410[[#This Row],[Cost Boolean]]*(VLOOKUP(Table410[[#This Row],[RATE CONCAT]],Tables!I:N,5,0)),0)</f>
        <v/>
      </c>
      <c r="CP12" s="338">
        <f>IFERROR(Table410[[#This Row],[Jul_2026_Days_Actual]]*Table410[[#This Row],[Cost Boolean]]*(VLOOKUP(Table410[[#This Row],[RATE CONCAT]],Tables!I:N,5,0)),0)</f>
        <v/>
      </c>
      <c r="CQ12" s="338">
        <f>Table410[[#This Row],[Jul_2026_F]]-Table410[[#This Row],[Jul_2026_A]]</f>
        <v/>
      </c>
      <c r="CS12" s="338">
        <f>IFERROR(Table410[[#This Row],[Aug_2026_Days_Forecast]]*Table410[[#This Row],[Cost Boolean]]*(VLOOKUP(Table410[[#This Row],[RATE CONCAT]],Tables!I:N,5,0)),0)</f>
        <v/>
      </c>
      <c r="CT12" s="338">
        <f>IFERROR(Table410[[#This Row],[Aug_2026_Days_Actual]]*Table410[[#This Row],[Cost Boolean]]*(VLOOKUP(Table410[[#This Row],[RATE CONCAT]],Tables!I:N,5,0)),0)</f>
        <v/>
      </c>
      <c r="CU12" s="338">
        <f>Table410[[#This Row],[Aug_2026_F]]-Table410[[#This Row],[Aug_2026_A]]</f>
        <v/>
      </c>
      <c r="CW12" s="338">
        <f>IFERROR(Table410[[#This Row],[Sep_2026_Days_Forecast]]*Table410[[#This Row],[Cost Boolean]]*(VLOOKUP(Table410[[#This Row],[RATE CONCAT]],Tables!I:N,5,0)),0)</f>
        <v/>
      </c>
      <c r="CX12" s="338">
        <f>IFERROR(Table410[[#This Row],[Sep_2026_Days_Actual]]*Table410[[#This Row],[Cost Boolean]]*(VLOOKUP(Table410[[#This Row],[RATE CONCAT]],Tables!I:N,5,0)),0)</f>
        <v/>
      </c>
      <c r="CY12" s="338">
        <f>Table410[[#This Row],[Sep_2026_F]]-Table410[[#This Row],[Sep_2026_A]]</f>
        <v/>
      </c>
      <c r="DA12" s="338">
        <f>IFERROR(Table410[[#This Row],[Oct_2026_Days_Forecast]]*Table410[[#This Row],[Cost Boolean]]*(VLOOKUP(Table410[[#This Row],[RATE CONCAT]],Tables!I:N,5,0)),0)</f>
        <v/>
      </c>
      <c r="DB12" s="338">
        <f>IFERROR(Table410[[#This Row],[Oct_2026_Days_Actual]]*Table410[[#This Row],[Cost Boolean]]*(VLOOKUP(Table410[[#This Row],[RATE CONCAT]],Tables!I:N,5,0)),0)</f>
        <v/>
      </c>
      <c r="DC12" s="338">
        <f>Table410[[#This Row],[Oct_2026_F]]-Table410[[#This Row],[Oct_2026_A]]</f>
        <v/>
      </c>
      <c r="DE12" s="338">
        <f>IFERROR(Table410[[#This Row],[Nov_2026_Days_Forecast]]*Table410[[#This Row],[Cost Boolean]]*(VLOOKUP(Table410[[#This Row],[RATE CONCAT]],Tables!I:N,5,0)),0)</f>
        <v/>
      </c>
      <c r="DF12" s="338">
        <f>IFERROR(Table410[[#This Row],[Nov_2026_Days_Actual]]*Table410[[#This Row],[Cost Boolean]]*(VLOOKUP(Table410[[#This Row],[RATE CONCAT]],Tables!I:N,5,0)),0)</f>
        <v/>
      </c>
      <c r="DG12" s="338">
        <f>Table410[[#This Row],[Nov_2026_F]]-Table410[[#This Row],[Nov_2026_A]]</f>
        <v/>
      </c>
      <c r="DI12" s="338">
        <f>IFERROR(Table410[[#This Row],[Dec_2026_Days_Forecast]]*Table410[[#This Row],[Cost Boolean]]*(VLOOKUP(Table410[[#This Row],[RATE CONCAT]],Tables!I:N,5,0)),0)</f>
        <v/>
      </c>
      <c r="DJ12" s="338">
        <f>IFERROR(Table410[[#This Row],[Dec_2026_Days_Actual]]*Table410[[#This Row],[Cost Boolean]]*(VLOOKUP(Table410[[#This Row],[RATE CONCAT]],Tables!I:N,5,0)),0)</f>
        <v/>
      </c>
      <c r="DK12" s="338">
        <f>Table410[[#This Row],[Dec_2026_F]]-Table410[[#This Row],[Dec_2026_A]]</f>
        <v/>
      </c>
      <c r="DN12" s="338">
        <f>IFERROR(Table410[[#This Row],[Jan_2027_Days_Forecast]]*Table410[[#This Row],[Cost Boolean]]*(VLOOKUP(Table410[[#This Row],[RATE CONCAT]],Tables!I:N,6,0)),0)</f>
        <v/>
      </c>
      <c r="DO12" s="338" t="n">
        <v>0</v>
      </c>
      <c r="DP12" s="338">
        <f>Table410[[#This Row],[Jan_2027_F]]-Table410[[#This Row],[Jan_2027_A]]</f>
        <v/>
      </c>
      <c r="DQ12" s="338">
        <f>IFERROR(Table410[[#This Row],[Feb_2027_Days_Forecast]]*Table410[[#This Row],[Cost Boolean]]*(VLOOKUP(Table410[[#This Row],[RATE CONCAT]],Tables!I:N,6,0)),0)</f>
        <v/>
      </c>
      <c r="DR12" s="338" t="n">
        <v>0</v>
      </c>
      <c r="DS12" s="338">
        <f>Table410[[#This Row],[Feb_2027_F]]-Table410[[#This Row],[Feb_2027_A]]</f>
        <v/>
      </c>
      <c r="DT12" s="338">
        <f>IFERROR(Table410[[#This Row],[Mar_2027_Days_Forecast]]*Table410[[#This Row],[Cost Boolean]]*(VLOOKUP(Table410[[#This Row],[RATE CONCAT]],Tables!I:N,6,0)),0)</f>
        <v/>
      </c>
      <c r="DU12" s="338" t="n">
        <v>0</v>
      </c>
      <c r="DV12" s="338">
        <f>Table410[[#This Row],[Mar_2027_F]]-Table410[[#This Row],[Mar_2027_A]]</f>
        <v/>
      </c>
      <c r="DW12" s="338">
        <f>IFERROR(Table410[[#This Row],[Apr_2027_Days_Forecast]]*Table410[[#This Row],[Cost Boolean]]*(VLOOKUP(Table410[[#This Row],[RATE CONCAT]],Tables!I:N,6,0)),0)</f>
        <v/>
      </c>
      <c r="DX12" s="338" t="n">
        <v>0</v>
      </c>
      <c r="DY12" s="338">
        <f>Table410[[#This Row],[Apr_2027_F]]-Table410[[#This Row],[Apr_2027_A]]</f>
        <v/>
      </c>
      <c r="DZ12" s="338">
        <f>IFERROR(Table410[[#This Row],[May_2027_Days_Forecast]]*Table410[[#This Row],[Cost Boolean]]*(VLOOKUP(Table410[[#This Row],[RATE CONCAT]],Tables!I:N,6,0)),0)</f>
        <v/>
      </c>
      <c r="EA12" s="338" t="n">
        <v>0</v>
      </c>
      <c r="EB12" s="338">
        <f>Table410[[#This Row],[May_2027_F]]-Table410[[#This Row],[May_2027_A]]</f>
        <v/>
      </c>
      <c r="EC12" s="338">
        <f>IFERROR(Table410[[#This Row],[Jun_2027_Days_Forecast]]*Table410[[#This Row],[Cost Boolean]]*(VLOOKUP(Table410[[#This Row],[RATE CONCAT]],Tables!I:N,6,0)),0)</f>
        <v/>
      </c>
      <c r="ED12" s="338" t="n">
        <v>0</v>
      </c>
      <c r="EE12" s="338">
        <f>Table410[[#This Row],[Jun_2027_F]]-Table410[[#This Row],[Jun_2027_A]]</f>
        <v/>
      </c>
      <c r="EF12" s="338">
        <f>IFERROR(Table410[[#This Row],[Jul_2027_Days_Forecast]]*Table410[[#This Row],[Cost Boolean]]*(VLOOKUP(Table410[[#This Row],[RATE CONCAT]],Tables!I:N,6,0)),0)</f>
        <v/>
      </c>
      <c r="EG12" s="338" t="n">
        <v>0</v>
      </c>
      <c r="EH12" s="338">
        <f>Table410[[#This Row],[Jul_2027_F]]-Table410[[#This Row],[Jul_2027_A]]</f>
        <v/>
      </c>
      <c r="EI12" s="338">
        <f>IFERROR(Table410[[#This Row],[Aug_2027_Days_Forecast]]*Table410[[#This Row],[Cost Boolean]]*(VLOOKUP(Table410[[#This Row],[RATE CONCAT]],Tables!I:N,6,0)),0)</f>
        <v/>
      </c>
      <c r="EJ12" s="338" t="n">
        <v>0</v>
      </c>
      <c r="EK12" s="338">
        <f>Table410[[#This Row],[Aug_2027_F]]-Table410[[#This Row],[Aug_2027_A]]</f>
        <v/>
      </c>
      <c r="EL12" s="338">
        <f>IFERROR(Table410[[#This Row],[Sep_2027_Days_Forecast]]*Table410[[#This Row],[Cost Boolean]]*(VLOOKUP(Table410[[#This Row],[RATE CONCAT]],Tables!I:N,6,0)),0)</f>
        <v/>
      </c>
      <c r="EM12" s="338" t="n">
        <v>0</v>
      </c>
      <c r="EN12" s="338">
        <f>Table410[[#This Row],[Sep_2027_F]]-Table410[[#This Row],[Sep_2027_A]]</f>
        <v/>
      </c>
      <c r="EO12" s="338">
        <f>IFERROR(Table410[[#This Row],[Oct_2027_Days_Forecast]]*Table410[[#This Row],[Cost Boolean]]*(VLOOKUP(Table410[[#This Row],[RATE CONCAT]],Tables!I:N,6,0)),0)</f>
        <v/>
      </c>
      <c r="EP12" s="338" t="n">
        <v>0</v>
      </c>
      <c r="EQ12" s="338">
        <f>Table410[[#This Row],[Oct_2027_F]]-Table410[[#This Row],[Oct_2027_A]]</f>
        <v/>
      </c>
      <c r="ER12" s="338">
        <f>IFERROR(Table410[[#This Row],[Nov_2027_Days_Forecast]]*Table410[[#This Row],[Cost Boolean]]*(VLOOKUP(Table410[[#This Row],[RATE CONCAT]],Tables!I:N,6,0)),0)</f>
        <v/>
      </c>
      <c r="ES12" s="338" t="n">
        <v>0</v>
      </c>
      <c r="ET12" s="338">
        <f>Table410[[#This Row],[Nov_2027_F]]-Table410[[#This Row],[Nov_2027_A]]</f>
        <v/>
      </c>
      <c r="EU12" s="338">
        <f>IFERROR(Table410[[#This Row],[Dec_2027_Days_Forecast]]*Table410[[#This Row],[Cost Boolean]]*(VLOOKUP(Table410[[#This Row],[RATE CONCAT]],Tables!I:N,6,0)),0)</f>
        <v/>
      </c>
      <c r="EV12" s="338" t="n">
        <v>0</v>
      </c>
      <c r="EW12" s="338">
        <f>Table410[[#This Row],[Dec_2027_F]]-Table410[[#This Row],[Dec_2027_A]]</f>
        <v/>
      </c>
    </row>
    <row r="13" ht="15" customFormat="1" customHeight="1" s="13">
      <c r="A13" s="342" t="inlineStr">
        <is>
          <t>PDSFS1009</t>
        </is>
      </c>
      <c r="B13" s="342" t="inlineStr">
        <is>
          <t>Prosmar Crude</t>
        </is>
      </c>
      <c r="C13" s="342" t="inlineStr">
        <is>
          <t>Staff</t>
        </is>
      </c>
      <c r="D13" s="342" t="inlineStr">
        <is>
          <t>Dilan Velani</t>
        </is>
      </c>
      <c r="E13" s="342" t="inlineStr">
        <is>
          <t>Shell Business</t>
        </is>
      </c>
      <c r="G13" s="342" t="inlineStr">
        <is>
          <t>United Kingdom</t>
        </is>
      </c>
      <c r="H13" s="342" t="n">
        <v>5</v>
      </c>
      <c r="J13" s="342" t="inlineStr">
        <is>
          <t>Market Risk Analyst</t>
        </is>
      </c>
      <c r="K13" s="342" t="inlineStr">
        <is>
          <t>In-seat</t>
        </is>
      </c>
      <c r="L13" s="342" t="n">
        <v>1</v>
      </c>
      <c r="M13" s="342" t="inlineStr">
        <is>
          <t>LON</t>
        </is>
      </c>
      <c r="N13" s="342" t="inlineStr">
        <is>
          <t>Market Risk</t>
        </is>
      </c>
      <c r="O13" s="342" t="inlineStr">
        <is>
          <t>Capex</t>
        </is>
      </c>
      <c r="P13" s="342" t="inlineStr">
        <is>
          <t>Business</t>
        </is>
      </c>
      <c r="Q13" s="342" t="inlineStr">
        <is>
          <t>TBD</t>
        </is>
      </c>
      <c r="R13" s="343" t="n">
        <v>46023</v>
      </c>
      <c r="S13" s="343" t="n">
        <v>46387</v>
      </c>
      <c r="T13" s="343" t="n">
        <v>46023</v>
      </c>
      <c r="U13" s="343" t="n">
        <v>46387</v>
      </c>
      <c r="V13" s="343" t="n">
        <v>46023</v>
      </c>
      <c r="W13" s="343" t="n">
        <v>46387</v>
      </c>
      <c r="Y13" s="342">
        <f>CONCATENATE(Table410[[#This Row],[JG]],Table410[[#This Row],[Country]],Table410[[#This Row],[Resource Provider]])</f>
        <v/>
      </c>
      <c r="Z13" s="342">
        <f>VLOOKUP(Table410[[#This Row],[RATE CONCAT]],Tables!I:N,5,0)</f>
        <v/>
      </c>
      <c r="AA13" s="52" t="n"/>
      <c r="AB13" s="344" t="n">
        <v>10</v>
      </c>
      <c r="AC13" s="344" t="n">
        <v>10</v>
      </c>
      <c r="AD13" s="344" t="n">
        <v>10</v>
      </c>
      <c r="AE13" s="344" t="n">
        <v>10</v>
      </c>
      <c r="AF13" s="344" t="n">
        <v>9</v>
      </c>
      <c r="AG13" s="344" t="n">
        <v>9</v>
      </c>
      <c r="AH13" s="344" t="n">
        <v>9</v>
      </c>
      <c r="AI13" s="344" t="n">
        <v>10</v>
      </c>
      <c r="AJ13" s="344" t="n">
        <v>10</v>
      </c>
      <c r="AK13" s="344" t="n">
        <v>10</v>
      </c>
      <c r="AL13" s="344" t="n">
        <v>9</v>
      </c>
      <c r="AM13" s="344" t="n">
        <v>9</v>
      </c>
      <c r="AN13" s="341">
        <f>IFERROR(AVERAGE(Table410[[#This Row],[Jan_2026_Days_Forecast]:[Dec_2026_Days_Forecast]]),0)/19</f>
        <v/>
      </c>
      <c r="AO13" s="341">
        <f>IFERROR(AVERAGE(Table410[[#This Row],[Jan_2026_Days_Actual]:[Dec_2026_Days_Actual]]),0)/19</f>
        <v/>
      </c>
      <c r="AP13" s="344" t="n">
        <v>10</v>
      </c>
      <c r="AQ13" s="344" t="n">
        <v>10</v>
      </c>
      <c r="AR13" s="344" t="n">
        <v>10</v>
      </c>
      <c r="AS13" s="344" t="n">
        <v>10</v>
      </c>
      <c r="AT13" s="344" t="n">
        <v>9</v>
      </c>
      <c r="AU13" s="344" t="n">
        <v>9</v>
      </c>
      <c r="AV13" s="344" t="n">
        <v>9</v>
      </c>
      <c r="AW13" s="344" t="n">
        <v>10</v>
      </c>
      <c r="AX13" s="344" t="n">
        <v>10</v>
      </c>
      <c r="AY13" s="344" t="n">
        <v>10</v>
      </c>
      <c r="AZ13" s="344" t="n">
        <v>9</v>
      </c>
      <c r="BA13" s="344" t="n">
        <v>9</v>
      </c>
      <c r="BB13" s="341">
        <f>IFERROR(AVERAGE(Table410[[#This Row],[Jan_2027_Days_Forecast]:[Dec_2027_Days_Forecast]]),0)</f>
        <v/>
      </c>
      <c r="BC13" s="127" t="n"/>
      <c r="BD13" s="127" t="n"/>
      <c r="BE13" s="127" t="n"/>
      <c r="BF13" s="127" t="n"/>
      <c r="BG13" s="127" t="n"/>
      <c r="BH13" s="127" t="n"/>
      <c r="BI13" s="127" t="n"/>
      <c r="BJ13" s="127" t="n"/>
      <c r="BK13" s="127" t="n"/>
      <c r="BL13" s="127" t="n"/>
      <c r="BM13" s="127" t="n"/>
      <c r="BN13" s="127" t="n"/>
      <c r="BO13" s="176" t="n"/>
      <c r="BP13" s="176" t="n"/>
      <c r="BQ13" s="342">
        <f>IFERROR(Table410[[#This Row],[Jan_2026_Days_Forecast]]*Table410[[#This Row],[Cost Boolean]]*(VLOOKUP(Table410[[#This Row],[RATE CONCAT]],Tables!I:N,5,0)),0)</f>
        <v/>
      </c>
      <c r="BR13" s="342">
        <f>IFERROR(Table410[[#This Row],[Jan_2026_Days_Actual]]*Table410[[#This Row],[Cost Boolean]]*(VLOOKUP(Table410[[#This Row],[RATE CONCAT]],Tables!I:N,5,0)),0)</f>
        <v/>
      </c>
      <c r="BS13" s="342">
        <f>Table410[[#This Row],[Jan_2026_F]]-Table410[[#This Row],[Jan_2026_A]]</f>
        <v/>
      </c>
      <c r="BU13" s="342">
        <f>IFERROR(Table410[[#This Row],[Feb_2026_Days_Forecast]]*Table410[[#This Row],[Cost Boolean]]*(VLOOKUP(Table410[[#This Row],[RATE CONCAT]],Tables!I:N,5,0)),0)</f>
        <v/>
      </c>
      <c r="BV13" s="342">
        <f>IFERROR(Table410[[#This Row],[Feb_2026_Days_Actual]]*Table410[[#This Row],[Cost Boolean]]*(VLOOKUP(Table410[[#This Row],[RATE CONCAT]],Tables!I:N,5,0)),0)</f>
        <v/>
      </c>
      <c r="BW13" s="342">
        <f>Table410[[#This Row],[Feb_2026_F]]-Table410[[#This Row],[Feb_2026_A]]</f>
        <v/>
      </c>
      <c r="BY13" s="342">
        <f>IFERROR(Table410[[#This Row],[Mar_2026_Days_Forecast]]*Table410[[#This Row],[Cost Boolean]]*(VLOOKUP(Table410[[#This Row],[RATE CONCAT]],Tables!I:N,5,0)),0)</f>
        <v/>
      </c>
      <c r="BZ13" s="342">
        <f>IFERROR(Table410[[#This Row],[Mar_2026_Days_Actual]]*Table410[[#This Row],[Cost Boolean]]*(VLOOKUP(Table410[[#This Row],[RATE CONCAT]],Tables!I:N,5,0)),0)</f>
        <v/>
      </c>
      <c r="CA13" s="342">
        <f>Table410[[#This Row],[Mar_2026_F]]-Table410[[#This Row],[Mar_2026_A]]</f>
        <v/>
      </c>
      <c r="CC13" s="342">
        <f>IFERROR(Table410[[#This Row],[Apr_2026_Days_Forecast]]*Table410[[#This Row],[Cost Boolean]]*(VLOOKUP(Table410[[#This Row],[RATE CONCAT]],Tables!I:N,5,0)),0)</f>
        <v/>
      </c>
      <c r="CD13" s="342">
        <f>IFERROR(Table410[[#This Row],[Apr_2026_Days_Actual]]*Table410[[#This Row],[Cost Boolean]]*(VLOOKUP(Table410[[#This Row],[RATE CONCAT]],Tables!I:N,5,0)),0)</f>
        <v/>
      </c>
      <c r="CE13" s="342">
        <f>Table410[[#This Row],[Apr_2026_F]]-Table410[[#This Row],[Apr_2026_A]]</f>
        <v/>
      </c>
      <c r="CG13" s="342">
        <f>IFERROR(Table410[[#This Row],[May_2026_Days_Forecast]] *Table410[[#This Row],[Cost Boolean]]*(VLOOKUP(Table410[[#This Row],[RATE CONCAT]],Tables!I:N,5,0)),0)</f>
        <v/>
      </c>
      <c r="CH13" s="342">
        <f>IFERROR(Table410[[#This Row],[May_2026_Days_Actual]]*Table410[[#This Row],[Cost Boolean]]*(VLOOKUP(Table410[[#This Row],[RATE CONCAT]],Tables!I:N,5,0)),0)</f>
        <v/>
      </c>
      <c r="CI13" s="342">
        <f>Table410[[#This Row],[May_2026_F]]-Table410[[#This Row],[May_2026_A]]</f>
        <v/>
      </c>
      <c r="CK13" s="342">
        <f>IFERROR(Table410[[#This Row],[Jun_2026_Days_Forecast]]*Table410[[#This Row],[Cost Boolean]]*(VLOOKUP(Table410[[#This Row],[RATE CONCAT]],Tables!I:N,5,0)),0)</f>
        <v/>
      </c>
      <c r="CL13" s="342">
        <f>IFERROR(Table410[[#This Row],[Jun_2026_Days_Actual]]*Table410[[#This Row],[Cost Boolean]]*(VLOOKUP(Table410[[#This Row],[RATE CONCAT]],Tables!I:N,5,0)),0)</f>
        <v/>
      </c>
      <c r="CM13" s="342">
        <f>Table410[[#This Row],[Jun_2026_F]]-Table410[[#This Row],[Jun_2026_A]]</f>
        <v/>
      </c>
      <c r="CO13" s="342">
        <f>IFERROR(Table410[[#This Row],[Jul_2026_Days_Forecast]]*Table410[[#This Row],[Cost Boolean]]*(VLOOKUP(Table410[[#This Row],[RATE CONCAT]],Tables!I:N,5,0)),0)</f>
        <v/>
      </c>
      <c r="CP13" s="342">
        <f>IFERROR(Table410[[#This Row],[Jul_2026_Days_Actual]]*Table410[[#This Row],[Cost Boolean]]*(VLOOKUP(Table410[[#This Row],[RATE CONCAT]],Tables!I:N,5,0)),0)</f>
        <v/>
      </c>
      <c r="CQ13" s="342">
        <f>Table410[[#This Row],[Jul_2026_F]]-Table410[[#This Row],[Jul_2026_A]]</f>
        <v/>
      </c>
      <c r="CS13" s="342">
        <f>IFERROR(Table410[[#This Row],[Aug_2026_Days_Forecast]]*Table410[[#This Row],[Cost Boolean]]*(VLOOKUP(Table410[[#This Row],[RATE CONCAT]],Tables!I:N,5,0)),0)</f>
        <v/>
      </c>
      <c r="CT13" s="342">
        <f>IFERROR(Table410[[#This Row],[Aug_2026_Days_Actual]]*Table410[[#This Row],[Cost Boolean]]*(VLOOKUP(Table410[[#This Row],[RATE CONCAT]],Tables!I:N,5,0)),0)</f>
        <v/>
      </c>
      <c r="CU13" s="342">
        <f>Table410[[#This Row],[Aug_2026_F]]-Table410[[#This Row],[Aug_2026_A]]</f>
        <v/>
      </c>
      <c r="CW13" s="342">
        <f>IFERROR(Table410[[#This Row],[Sep_2026_Days_Forecast]]*Table410[[#This Row],[Cost Boolean]]*(VLOOKUP(Table410[[#This Row],[RATE CONCAT]],Tables!I:N,5,0)),0)</f>
        <v/>
      </c>
      <c r="CX13" s="342">
        <f>IFERROR(Table410[[#This Row],[Sep_2026_Days_Actual]]*Table410[[#This Row],[Cost Boolean]]*(VLOOKUP(Table410[[#This Row],[RATE CONCAT]],Tables!I:N,5,0)),0)</f>
        <v/>
      </c>
      <c r="CY13" s="342">
        <f>Table410[[#This Row],[Sep_2026_F]]-Table410[[#This Row],[Sep_2026_A]]</f>
        <v/>
      </c>
      <c r="DA13" s="342">
        <f>IFERROR(Table410[[#This Row],[Oct_2026_Days_Forecast]]*Table410[[#This Row],[Cost Boolean]]*(VLOOKUP(Table410[[#This Row],[RATE CONCAT]],Tables!I:N,5,0)),0)</f>
        <v/>
      </c>
      <c r="DB13" s="342">
        <f>IFERROR(Table410[[#This Row],[Oct_2026_Days_Actual]]*Table410[[#This Row],[Cost Boolean]]*(VLOOKUP(Table410[[#This Row],[RATE CONCAT]],Tables!I:N,5,0)),0)</f>
        <v/>
      </c>
      <c r="DC13" s="342">
        <f>Table410[[#This Row],[Oct_2026_F]]-Table410[[#This Row],[Oct_2026_A]]</f>
        <v/>
      </c>
      <c r="DE13" s="342">
        <f>IFERROR(Table410[[#This Row],[Nov_2026_Days_Forecast]]*Table410[[#This Row],[Cost Boolean]]*(VLOOKUP(Table410[[#This Row],[RATE CONCAT]],Tables!I:N,5,0)),0)</f>
        <v/>
      </c>
      <c r="DF13" s="342">
        <f>IFERROR(Table410[[#This Row],[Nov_2026_Days_Actual]]*Table410[[#This Row],[Cost Boolean]]*(VLOOKUP(Table410[[#This Row],[RATE CONCAT]],Tables!I:N,5,0)),0)</f>
        <v/>
      </c>
      <c r="DG13" s="342">
        <f>Table410[[#This Row],[Nov_2026_F]]-Table410[[#This Row],[Nov_2026_A]]</f>
        <v/>
      </c>
      <c r="DI13" s="342">
        <f>IFERROR(Table410[[#This Row],[Dec_2026_Days_Forecast]]*Table410[[#This Row],[Cost Boolean]]*(VLOOKUP(Table410[[#This Row],[RATE CONCAT]],Tables!I:N,5,0)),0)</f>
        <v/>
      </c>
      <c r="DJ13" s="342">
        <f>IFERROR(Table410[[#This Row],[Dec_2026_Days_Actual]]*Table410[[#This Row],[Cost Boolean]]*(VLOOKUP(Table410[[#This Row],[RATE CONCAT]],Tables!I:N,5,0)),0)</f>
        <v/>
      </c>
      <c r="DK13" s="342">
        <f>Table410[[#This Row],[Dec_2026_F]]-Table410[[#This Row],[Dec_2026_A]]</f>
        <v/>
      </c>
      <c r="DN13" s="342">
        <f>IFERROR(Table410[[#This Row],[Jan_2027_Days_Forecast]]*Table410[[#This Row],[Cost Boolean]]*(VLOOKUP(Table410[[#This Row],[RATE CONCAT]],Tables!I:N,6,0)),0)</f>
        <v/>
      </c>
      <c r="DO13" s="342" t="n">
        <v>0</v>
      </c>
      <c r="DP13" s="342">
        <f>Table410[[#This Row],[Jan_2027_F]]-Table410[[#This Row],[Jan_2027_A]]</f>
        <v/>
      </c>
      <c r="DQ13" s="342">
        <f>IFERROR(Table410[[#This Row],[Feb_2027_Days_Forecast]]*Table410[[#This Row],[Cost Boolean]]*(VLOOKUP(Table410[[#This Row],[RATE CONCAT]],Tables!I:N,6,0)),0)</f>
        <v/>
      </c>
      <c r="DR13" s="342" t="n">
        <v>0</v>
      </c>
      <c r="DS13" s="342">
        <f>Table410[[#This Row],[Feb_2027_F]]-Table410[[#This Row],[Feb_2027_A]]</f>
        <v/>
      </c>
      <c r="DT13" s="342">
        <f>IFERROR(Table410[[#This Row],[Mar_2027_Days_Forecast]]*Table410[[#This Row],[Cost Boolean]]*(VLOOKUP(Table410[[#This Row],[RATE CONCAT]],Tables!I:N,6,0)),0)</f>
        <v/>
      </c>
      <c r="DU13" s="342" t="n">
        <v>0</v>
      </c>
      <c r="DV13" s="342">
        <f>Table410[[#This Row],[Mar_2027_F]]-Table410[[#This Row],[Mar_2027_A]]</f>
        <v/>
      </c>
      <c r="DW13" s="342">
        <f>IFERROR(Table410[[#This Row],[Apr_2027_Days_Forecast]]*Table410[[#This Row],[Cost Boolean]]*(VLOOKUP(Table410[[#This Row],[RATE CONCAT]],Tables!I:N,6,0)),0)</f>
        <v/>
      </c>
      <c r="DX13" s="342" t="n">
        <v>0</v>
      </c>
      <c r="DY13" s="342">
        <f>Table410[[#This Row],[Apr_2027_F]]-Table410[[#This Row],[Apr_2027_A]]</f>
        <v/>
      </c>
      <c r="DZ13" s="342">
        <f>IFERROR(Table410[[#This Row],[May_2027_Days_Forecast]]*Table410[[#This Row],[Cost Boolean]]*(VLOOKUP(Table410[[#This Row],[RATE CONCAT]],Tables!I:N,6,0)),0)</f>
        <v/>
      </c>
      <c r="EA13" s="342" t="n">
        <v>0</v>
      </c>
      <c r="EB13" s="342">
        <f>Table410[[#This Row],[May_2027_F]]-Table410[[#This Row],[May_2027_A]]</f>
        <v/>
      </c>
      <c r="EC13" s="342">
        <f>IFERROR(Table410[[#This Row],[Jun_2027_Days_Forecast]]*Table410[[#This Row],[Cost Boolean]]*(VLOOKUP(Table410[[#This Row],[RATE CONCAT]],Tables!I:N,6,0)),0)</f>
        <v/>
      </c>
      <c r="ED13" s="342" t="n">
        <v>0</v>
      </c>
      <c r="EE13" s="342">
        <f>Table410[[#This Row],[Jun_2027_F]]-Table410[[#This Row],[Jun_2027_A]]</f>
        <v/>
      </c>
      <c r="EF13" s="342">
        <f>IFERROR(Table410[[#This Row],[Jul_2027_Days_Forecast]]*Table410[[#This Row],[Cost Boolean]]*(VLOOKUP(Table410[[#This Row],[RATE CONCAT]],Tables!I:N,6,0)),0)</f>
        <v/>
      </c>
      <c r="EG13" s="342" t="n">
        <v>0</v>
      </c>
      <c r="EH13" s="342">
        <f>Table410[[#This Row],[Jul_2027_F]]-Table410[[#This Row],[Jul_2027_A]]</f>
        <v/>
      </c>
      <c r="EI13" s="342">
        <f>IFERROR(Table410[[#This Row],[Aug_2027_Days_Forecast]]*Table410[[#This Row],[Cost Boolean]]*(VLOOKUP(Table410[[#This Row],[RATE CONCAT]],Tables!I:N,6,0)),0)</f>
        <v/>
      </c>
      <c r="EJ13" s="342" t="n">
        <v>0</v>
      </c>
      <c r="EK13" s="342">
        <f>Table410[[#This Row],[Aug_2027_F]]-Table410[[#This Row],[Aug_2027_A]]</f>
        <v/>
      </c>
      <c r="EL13" s="342">
        <f>IFERROR(Table410[[#This Row],[Sep_2027_Days_Forecast]]*Table410[[#This Row],[Cost Boolean]]*(VLOOKUP(Table410[[#This Row],[RATE CONCAT]],Tables!I:N,6,0)),0)</f>
        <v/>
      </c>
      <c r="EM13" s="342" t="n">
        <v>0</v>
      </c>
      <c r="EN13" s="342">
        <f>Table410[[#This Row],[Sep_2027_F]]-Table410[[#This Row],[Sep_2027_A]]</f>
        <v/>
      </c>
      <c r="EO13" s="342">
        <f>IFERROR(Table410[[#This Row],[Oct_2027_Days_Forecast]]*Table410[[#This Row],[Cost Boolean]]*(VLOOKUP(Table410[[#This Row],[RATE CONCAT]],Tables!I:N,6,0)),0)</f>
        <v/>
      </c>
      <c r="EP13" s="342" t="n">
        <v>0</v>
      </c>
      <c r="EQ13" s="342">
        <f>Table410[[#This Row],[Oct_2027_F]]-Table410[[#This Row],[Oct_2027_A]]</f>
        <v/>
      </c>
      <c r="ER13" s="342">
        <f>IFERROR(Table410[[#This Row],[Nov_2027_Days_Forecast]]*Table410[[#This Row],[Cost Boolean]]*(VLOOKUP(Table410[[#This Row],[RATE CONCAT]],Tables!I:N,6,0)),0)</f>
        <v/>
      </c>
      <c r="ES13" s="342" t="n">
        <v>0</v>
      </c>
      <c r="ET13" s="342">
        <f>Table410[[#This Row],[Nov_2027_F]]-Table410[[#This Row],[Nov_2027_A]]</f>
        <v/>
      </c>
      <c r="EU13" s="342">
        <f>IFERROR(Table410[[#This Row],[Dec_2027_Days_Forecast]]*Table410[[#This Row],[Cost Boolean]]*(VLOOKUP(Table410[[#This Row],[RATE CONCAT]],Tables!I:N,6,0)),0)</f>
        <v/>
      </c>
      <c r="EV13" s="342" t="n">
        <v>0</v>
      </c>
      <c r="EW13" s="342">
        <f>Table410[[#This Row],[Dec_2027_F]]-Table410[[#This Row],[Dec_2027_A]]</f>
        <v/>
      </c>
    </row>
    <row r="14" ht="15" customFormat="1" customHeight="1" s="13">
      <c r="A14" s="338" t="inlineStr">
        <is>
          <t>PDSFS1012</t>
        </is>
      </c>
      <c r="B14" s="338" t="inlineStr">
        <is>
          <t>Prosmar Products</t>
        </is>
      </c>
      <c r="C14" s="338" t="inlineStr">
        <is>
          <t>Staff</t>
        </is>
      </c>
      <c r="D14" s="338" t="inlineStr">
        <is>
          <t>Karina Toh</t>
        </is>
      </c>
      <c r="E14" s="338" t="inlineStr">
        <is>
          <t>Shell Business</t>
        </is>
      </c>
      <c r="G14" s="338" t="inlineStr">
        <is>
          <t>Singapore</t>
        </is>
      </c>
      <c r="H14" s="338" t="n">
        <v>4</v>
      </c>
      <c r="J14" s="338" t="inlineStr">
        <is>
          <t>Market Risk Analyst</t>
        </is>
      </c>
      <c r="K14" s="338" t="inlineStr">
        <is>
          <t>In-seat</t>
        </is>
      </c>
      <c r="L14" s="338" t="n">
        <v>1</v>
      </c>
      <c r="M14" s="338" t="inlineStr">
        <is>
          <t>SGP</t>
        </is>
      </c>
      <c r="N14" s="338" t="inlineStr">
        <is>
          <t>Market Risk</t>
        </is>
      </c>
      <c r="O14" s="338" t="inlineStr">
        <is>
          <t>Capex</t>
        </is>
      </c>
      <c r="P14" s="338" t="inlineStr">
        <is>
          <t>Business</t>
        </is>
      </c>
      <c r="Q14" s="338" t="inlineStr">
        <is>
          <t>TBD</t>
        </is>
      </c>
      <c r="R14" s="339" t="n">
        <v>46023</v>
      </c>
      <c r="S14" s="339" t="n">
        <v>46387</v>
      </c>
      <c r="T14" s="339" t="n">
        <v>46023</v>
      </c>
      <c r="U14" s="339" t="n">
        <v>46387</v>
      </c>
      <c r="V14" s="339" t="n">
        <v>46023</v>
      </c>
      <c r="W14" s="339" t="n">
        <v>46387</v>
      </c>
      <c r="Y14" s="338">
        <f>CONCATENATE(Table410[[#This Row],[JG]],Table410[[#This Row],[Country]],Table410[[#This Row],[Resource Provider]])</f>
        <v/>
      </c>
      <c r="Z14" s="338">
        <f>VLOOKUP(Table410[[#This Row],[RATE CONCAT]],Tables!I:N,5,0)</f>
        <v/>
      </c>
      <c r="AA14" s="52" t="n"/>
      <c r="AB14" s="340" t="n">
        <v>10</v>
      </c>
      <c r="AC14" s="340" t="n">
        <v>10</v>
      </c>
      <c r="AD14" s="340" t="n">
        <v>10</v>
      </c>
      <c r="AE14" s="340" t="n">
        <v>10</v>
      </c>
      <c r="AF14" s="340" t="n">
        <v>9</v>
      </c>
      <c r="AG14" s="340" t="n">
        <v>9</v>
      </c>
      <c r="AH14" s="340" t="n">
        <v>9</v>
      </c>
      <c r="AI14" s="340" t="n">
        <v>10</v>
      </c>
      <c r="AJ14" s="340" t="n">
        <v>10</v>
      </c>
      <c r="AK14" s="340" t="n">
        <v>10</v>
      </c>
      <c r="AL14" s="340" t="n">
        <v>9</v>
      </c>
      <c r="AM14" s="340" t="n">
        <v>9</v>
      </c>
      <c r="AN14" s="341">
        <f>IFERROR(AVERAGE(Table410[[#This Row],[Jan_2026_Days_Forecast]:[Dec_2026_Days_Forecast]]),0)/19</f>
        <v/>
      </c>
      <c r="AO14" s="341">
        <f>IFERROR(AVERAGE(Table410[[#This Row],[Jan_2026_Days_Actual]:[Dec_2026_Days_Actual]]),0)/19</f>
        <v/>
      </c>
      <c r="AP14" s="340" t="n">
        <v>10</v>
      </c>
      <c r="AQ14" s="340" t="n">
        <v>10</v>
      </c>
      <c r="AR14" s="340" t="n">
        <v>10</v>
      </c>
      <c r="AS14" s="340" t="n">
        <v>10</v>
      </c>
      <c r="AT14" s="340" t="n">
        <v>9</v>
      </c>
      <c r="AU14" s="340" t="n">
        <v>9</v>
      </c>
      <c r="AV14" s="340" t="n">
        <v>9</v>
      </c>
      <c r="AW14" s="340" t="n">
        <v>10</v>
      </c>
      <c r="AX14" s="340" t="n">
        <v>10</v>
      </c>
      <c r="AY14" s="340" t="n">
        <v>10</v>
      </c>
      <c r="AZ14" s="340" t="n">
        <v>9</v>
      </c>
      <c r="BA14" s="340" t="n">
        <v>9</v>
      </c>
      <c r="BB14" s="341">
        <f>IFERROR(AVERAGE(Table410[[#This Row],[Jan_2027_Days_Forecast]:[Dec_2027_Days_Forecast]]),0)</f>
        <v/>
      </c>
      <c r="BC14" s="127" t="n"/>
      <c r="BD14" s="127" t="n"/>
      <c r="BE14" s="127" t="n"/>
      <c r="BF14" s="127" t="n"/>
      <c r="BG14" s="127" t="n"/>
      <c r="BH14" s="127" t="n"/>
      <c r="BI14" s="127" t="n"/>
      <c r="BJ14" s="127" t="n"/>
      <c r="BK14" s="127" t="n"/>
      <c r="BL14" s="127" t="n"/>
      <c r="BM14" s="127" t="n"/>
      <c r="BN14" s="127" t="n"/>
      <c r="BO14" s="176" t="n"/>
      <c r="BP14" s="176" t="n"/>
      <c r="BQ14" s="338">
        <f>IFERROR(Table410[[#This Row],[Jan_2026_Days_Forecast]]*Table410[[#This Row],[Cost Boolean]]*(VLOOKUP(Table410[[#This Row],[RATE CONCAT]],Tables!I:N,5,0)),0)</f>
        <v/>
      </c>
      <c r="BR14" s="338">
        <f>IFERROR(Table410[[#This Row],[Jan_2026_Days_Actual]]*Table410[[#This Row],[Cost Boolean]]*(VLOOKUP(Table410[[#This Row],[RATE CONCAT]],Tables!I:N,5,0)),0)</f>
        <v/>
      </c>
      <c r="BS14" s="338">
        <f>Table410[[#This Row],[Jan_2026_F]]-Table410[[#This Row],[Jan_2026_A]]</f>
        <v/>
      </c>
      <c r="BU14" s="338">
        <f>IFERROR(Table410[[#This Row],[Feb_2026_Days_Forecast]]*Table410[[#This Row],[Cost Boolean]]*(VLOOKUP(Table410[[#This Row],[RATE CONCAT]],Tables!I:N,5,0)),0)</f>
        <v/>
      </c>
      <c r="BW14" s="338">
        <f>Table410[[#This Row],[Feb_2026_F]]-Table410[[#This Row],[Feb_2026_A]]</f>
        <v/>
      </c>
      <c r="BY14" s="338">
        <f>IFERROR(Table410[[#This Row],[Mar_2026_Days_Forecast]]*Table410[[#This Row],[Cost Boolean]]*(VLOOKUP(Table410[[#This Row],[RATE CONCAT]],Tables!I:N,5,0)),0)</f>
        <v/>
      </c>
      <c r="CA14" s="338">
        <f>Table410[[#This Row],[Mar_2026_F]]-Table410[[#This Row],[Mar_2026_A]]</f>
        <v/>
      </c>
      <c r="CC14" s="338">
        <f>IFERROR(Table410[[#This Row],[Apr_2026_Days_Forecast]]*Table410[[#This Row],[Cost Boolean]]*(VLOOKUP(Table410[[#This Row],[RATE CONCAT]],Tables!I:N,5,0)),0)</f>
        <v/>
      </c>
      <c r="CE14" s="338">
        <f>Table410[[#This Row],[Apr_2026_F]]-Table410[[#This Row],[Apr_2026_A]]</f>
        <v/>
      </c>
      <c r="CG14" s="338">
        <f>IFERROR(Table410[[#This Row],[May_2026_Days_Forecast]] *Table410[[#This Row],[Cost Boolean]]*(VLOOKUP(Table410[[#This Row],[RATE CONCAT]],Tables!I:N,5,0)),0)</f>
        <v/>
      </c>
      <c r="CH14" s="338">
        <f>IFERROR(Table410[[#This Row],[May_2026_Days_Actual]]*Table410[[#This Row],[Cost Boolean]]*(VLOOKUP(Table410[[#This Row],[RATE CONCAT]],Tables!I:N,5,0)),0)</f>
        <v/>
      </c>
      <c r="CI14" s="338">
        <f>Table410[[#This Row],[May_2026_F]]-Table410[[#This Row],[May_2026_A]]</f>
        <v/>
      </c>
      <c r="CK14" s="338">
        <f>IFERROR(Table410[[#This Row],[Jun_2026_Days_Forecast]]*Table410[[#This Row],[Cost Boolean]]*(VLOOKUP(Table410[[#This Row],[RATE CONCAT]],Tables!I:N,5,0)),0)</f>
        <v/>
      </c>
      <c r="CL14" s="338">
        <f>IFERROR(Table410[[#This Row],[Jun_2026_Days_Actual]]*Table410[[#This Row],[Cost Boolean]]*(VLOOKUP(Table410[[#This Row],[RATE CONCAT]],Tables!I:N,5,0)),0)</f>
        <v/>
      </c>
      <c r="CM14" s="338">
        <f>Table410[[#This Row],[Jun_2026_F]]-Table410[[#This Row],[Jun_2026_A]]</f>
        <v/>
      </c>
      <c r="CO14" s="338">
        <f>IFERROR(Table410[[#This Row],[Jul_2026_Days_Forecast]]*Table410[[#This Row],[Cost Boolean]]*(VLOOKUP(Table410[[#This Row],[RATE CONCAT]],Tables!I:N,5,0)),0)</f>
        <v/>
      </c>
      <c r="CP14" s="338">
        <f>IFERROR(Table410[[#This Row],[Jul_2026_Days_Actual]]*Table410[[#This Row],[Cost Boolean]]*(VLOOKUP(Table410[[#This Row],[RATE CONCAT]],Tables!I:N,5,0)),0)</f>
        <v/>
      </c>
      <c r="CQ14" s="338">
        <f>Table410[[#This Row],[Jul_2026_F]]-Table410[[#This Row],[Jul_2026_A]]</f>
        <v/>
      </c>
      <c r="CS14" s="338">
        <f>IFERROR(Table410[[#This Row],[Aug_2026_Days_Forecast]]*Table410[[#This Row],[Cost Boolean]]*(VLOOKUP(Table410[[#This Row],[RATE CONCAT]],Tables!I:N,5,0)),0)</f>
        <v/>
      </c>
      <c r="CT14" s="338">
        <f>IFERROR(Table410[[#This Row],[Aug_2026_Days_Actual]]*Table410[[#This Row],[Cost Boolean]]*(VLOOKUP(Table410[[#This Row],[RATE CONCAT]],Tables!I:N,5,0)),0)</f>
        <v/>
      </c>
      <c r="CU14" s="338">
        <f>Table410[[#This Row],[Aug_2026_F]]-Table410[[#This Row],[Aug_2026_A]]</f>
        <v/>
      </c>
      <c r="CW14" s="338">
        <f>IFERROR(Table410[[#This Row],[Sep_2026_Days_Forecast]]*Table410[[#This Row],[Cost Boolean]]*(VLOOKUP(Table410[[#This Row],[RATE CONCAT]],Tables!I:N,5,0)),0)</f>
        <v/>
      </c>
      <c r="CX14" s="338">
        <f>IFERROR(Table410[[#This Row],[Sep_2026_Days_Actual]]*Table410[[#This Row],[Cost Boolean]]*(VLOOKUP(Table410[[#This Row],[RATE CONCAT]],Tables!I:N,5,0)),0)</f>
        <v/>
      </c>
      <c r="CY14" s="338">
        <f>Table410[[#This Row],[Sep_2026_F]]-Table410[[#This Row],[Sep_2026_A]]</f>
        <v/>
      </c>
      <c r="DA14" s="338">
        <f>IFERROR(Table410[[#This Row],[Oct_2026_Days_Forecast]]*Table410[[#This Row],[Cost Boolean]]*(VLOOKUP(Table410[[#This Row],[RATE CONCAT]],Tables!I:N,5,0)),0)</f>
        <v/>
      </c>
      <c r="DB14" s="338">
        <f>IFERROR(Table410[[#This Row],[Oct_2026_Days_Actual]]*Table410[[#This Row],[Cost Boolean]]*(VLOOKUP(Table410[[#This Row],[RATE CONCAT]],Tables!I:N,5,0)),0)</f>
        <v/>
      </c>
      <c r="DC14" s="338">
        <f>Table410[[#This Row],[Oct_2026_F]]-Table410[[#This Row],[Oct_2026_A]]</f>
        <v/>
      </c>
      <c r="DE14" s="338">
        <f>IFERROR(Table410[[#This Row],[Nov_2026_Days_Forecast]]*Table410[[#This Row],[Cost Boolean]]*(VLOOKUP(Table410[[#This Row],[RATE CONCAT]],Tables!I:N,5,0)),0)</f>
        <v/>
      </c>
      <c r="DF14" s="338">
        <f>IFERROR(Table410[[#This Row],[Nov_2026_Days_Actual]]*Table410[[#This Row],[Cost Boolean]]*(VLOOKUP(Table410[[#This Row],[RATE CONCAT]],Tables!I:N,5,0)),0)</f>
        <v/>
      </c>
      <c r="DG14" s="338">
        <f>Table410[[#This Row],[Nov_2026_F]]-Table410[[#This Row],[Nov_2026_A]]</f>
        <v/>
      </c>
      <c r="DI14" s="338">
        <f>IFERROR(Table410[[#This Row],[Dec_2026_Days_Forecast]]*Table410[[#This Row],[Cost Boolean]]*(VLOOKUP(Table410[[#This Row],[RATE CONCAT]],Tables!I:N,5,0)),0)</f>
        <v/>
      </c>
      <c r="DJ14" s="338">
        <f>IFERROR(Table410[[#This Row],[Dec_2026_Days_Actual]]*Table410[[#This Row],[Cost Boolean]]*(VLOOKUP(Table410[[#This Row],[RATE CONCAT]],Tables!I:N,5,0)),0)</f>
        <v/>
      </c>
      <c r="DK14" s="338">
        <f>Table410[[#This Row],[Dec_2026_F]]-Table410[[#This Row],[Dec_2026_A]]</f>
        <v/>
      </c>
      <c r="DN14" s="338">
        <f>IFERROR(Table410[[#This Row],[Jan_2027_Days_Forecast]]*Table410[[#This Row],[Cost Boolean]]*(VLOOKUP(Table410[[#This Row],[RATE CONCAT]],Tables!I:N,6,0)),0)</f>
        <v/>
      </c>
      <c r="DO14" s="338" t="n">
        <v>0</v>
      </c>
      <c r="DP14" s="338">
        <f>Table410[[#This Row],[Jan_2027_F]]-Table410[[#This Row],[Jan_2027_A]]</f>
        <v/>
      </c>
      <c r="DQ14" s="338">
        <f>IFERROR(Table410[[#This Row],[Feb_2027_Days_Forecast]]*Table410[[#This Row],[Cost Boolean]]*(VLOOKUP(Table410[[#This Row],[RATE CONCAT]],Tables!I:N,6,0)),0)</f>
        <v/>
      </c>
      <c r="DR14" s="338" t="n">
        <v>0</v>
      </c>
      <c r="DS14" s="338">
        <f>Table410[[#This Row],[Feb_2027_F]]-Table410[[#This Row],[Feb_2027_A]]</f>
        <v/>
      </c>
      <c r="DT14" s="338">
        <f>IFERROR(Table410[[#This Row],[Mar_2027_Days_Forecast]]*Table410[[#This Row],[Cost Boolean]]*(VLOOKUP(Table410[[#This Row],[RATE CONCAT]],Tables!I:N,6,0)),0)</f>
        <v/>
      </c>
      <c r="DU14" s="338" t="n">
        <v>0</v>
      </c>
      <c r="DV14" s="338">
        <f>Table410[[#This Row],[Mar_2027_F]]-Table410[[#This Row],[Mar_2027_A]]</f>
        <v/>
      </c>
      <c r="DW14" s="338">
        <f>IFERROR(Table410[[#This Row],[Apr_2027_Days_Forecast]]*Table410[[#This Row],[Cost Boolean]]*(VLOOKUP(Table410[[#This Row],[RATE CONCAT]],Tables!I:N,6,0)),0)</f>
        <v/>
      </c>
      <c r="DX14" s="338" t="n">
        <v>0</v>
      </c>
      <c r="DY14" s="338">
        <f>Table410[[#This Row],[Apr_2027_F]]-Table410[[#This Row],[Apr_2027_A]]</f>
        <v/>
      </c>
      <c r="DZ14" s="338">
        <f>IFERROR(Table410[[#This Row],[May_2027_Days_Forecast]]*Table410[[#This Row],[Cost Boolean]]*(VLOOKUP(Table410[[#This Row],[RATE CONCAT]],Tables!I:N,6,0)),0)</f>
        <v/>
      </c>
      <c r="EA14" s="338" t="n">
        <v>0</v>
      </c>
      <c r="EB14" s="338">
        <f>Table410[[#This Row],[May_2027_F]]-Table410[[#This Row],[May_2027_A]]</f>
        <v/>
      </c>
      <c r="EC14" s="338">
        <f>IFERROR(Table410[[#This Row],[Jun_2027_Days_Forecast]]*Table410[[#This Row],[Cost Boolean]]*(VLOOKUP(Table410[[#This Row],[RATE CONCAT]],Tables!I:N,6,0)),0)</f>
        <v/>
      </c>
      <c r="ED14" s="338" t="n">
        <v>0</v>
      </c>
      <c r="EE14" s="338">
        <f>Table410[[#This Row],[Jun_2027_F]]-Table410[[#This Row],[Jun_2027_A]]</f>
        <v/>
      </c>
      <c r="EF14" s="338">
        <f>IFERROR(Table410[[#This Row],[Jul_2027_Days_Forecast]]*Table410[[#This Row],[Cost Boolean]]*(VLOOKUP(Table410[[#This Row],[RATE CONCAT]],Tables!I:N,6,0)),0)</f>
        <v/>
      </c>
      <c r="EG14" s="338" t="n">
        <v>0</v>
      </c>
      <c r="EH14" s="338">
        <f>Table410[[#This Row],[Jul_2027_F]]-Table410[[#This Row],[Jul_2027_A]]</f>
        <v/>
      </c>
      <c r="EI14" s="338">
        <f>IFERROR(Table410[[#This Row],[Aug_2027_Days_Forecast]]*Table410[[#This Row],[Cost Boolean]]*(VLOOKUP(Table410[[#This Row],[RATE CONCAT]],Tables!I:N,6,0)),0)</f>
        <v/>
      </c>
      <c r="EJ14" s="338" t="n">
        <v>0</v>
      </c>
      <c r="EK14" s="338">
        <f>Table410[[#This Row],[Aug_2027_F]]-Table410[[#This Row],[Aug_2027_A]]</f>
        <v/>
      </c>
      <c r="EL14" s="338">
        <f>IFERROR(Table410[[#This Row],[Sep_2027_Days_Forecast]]*Table410[[#This Row],[Cost Boolean]]*(VLOOKUP(Table410[[#This Row],[RATE CONCAT]],Tables!I:N,6,0)),0)</f>
        <v/>
      </c>
      <c r="EM14" s="338" t="n">
        <v>0</v>
      </c>
      <c r="EN14" s="338">
        <f>Table410[[#This Row],[Sep_2027_F]]-Table410[[#This Row],[Sep_2027_A]]</f>
        <v/>
      </c>
      <c r="EO14" s="338">
        <f>IFERROR(Table410[[#This Row],[Oct_2027_Days_Forecast]]*Table410[[#This Row],[Cost Boolean]]*(VLOOKUP(Table410[[#This Row],[RATE CONCAT]],Tables!I:N,6,0)),0)</f>
        <v/>
      </c>
      <c r="EP14" s="338" t="n">
        <v>0</v>
      </c>
      <c r="EQ14" s="338">
        <f>Table410[[#This Row],[Oct_2027_F]]-Table410[[#This Row],[Oct_2027_A]]</f>
        <v/>
      </c>
      <c r="ER14" s="338">
        <f>IFERROR(Table410[[#This Row],[Nov_2027_Days_Forecast]]*Table410[[#This Row],[Cost Boolean]]*(VLOOKUP(Table410[[#This Row],[RATE CONCAT]],Tables!I:N,6,0)),0)</f>
        <v/>
      </c>
      <c r="ES14" s="338" t="n">
        <v>0</v>
      </c>
      <c r="ET14" s="338">
        <f>Table410[[#This Row],[Nov_2027_F]]-Table410[[#This Row],[Nov_2027_A]]</f>
        <v/>
      </c>
      <c r="EU14" s="338">
        <f>IFERROR(Table410[[#This Row],[Dec_2027_Days_Forecast]]*Table410[[#This Row],[Cost Boolean]]*(VLOOKUP(Table410[[#This Row],[RATE CONCAT]],Tables!I:N,6,0)),0)</f>
        <v/>
      </c>
      <c r="EV14" s="338" t="n">
        <v>0</v>
      </c>
      <c r="EW14" s="338">
        <f>Table410[[#This Row],[Dec_2027_F]]-Table410[[#This Row],[Dec_2027_A]]</f>
        <v/>
      </c>
    </row>
    <row r="15" ht="15" customFormat="1" customHeight="1" s="13">
      <c r="A15" s="342" t="inlineStr">
        <is>
          <t>PDSFS1016</t>
        </is>
      </c>
      <c r="B15" s="342" t="inlineStr">
        <is>
          <t>GATOR</t>
        </is>
      </c>
      <c r="C15" s="342" t="inlineStr">
        <is>
          <t>Staff</t>
        </is>
      </c>
      <c r="D15" s="342" t="inlineStr">
        <is>
          <t>Ding Luo</t>
        </is>
      </c>
      <c r="E15" s="342" t="inlineStr">
        <is>
          <t>Shell Business</t>
        </is>
      </c>
      <c r="G15" s="342" t="inlineStr">
        <is>
          <t>Netherlands</t>
        </is>
      </c>
      <c r="H15" s="342" t="n">
        <v>4</v>
      </c>
      <c r="J15" s="342" t="inlineStr">
        <is>
          <t>PDT Data Analyst</t>
        </is>
      </c>
      <c r="K15" s="342" t="inlineStr">
        <is>
          <t>In-seat</t>
        </is>
      </c>
      <c r="L15" s="342" t="n">
        <v>1</v>
      </c>
      <c r="M15" s="342" t="inlineStr">
        <is>
          <t>ROT</t>
        </is>
      </c>
      <c r="N15" s="342" t="inlineStr">
        <is>
          <t>Data integration</t>
        </is>
      </c>
      <c r="O15" s="342" t="inlineStr">
        <is>
          <t>Capex</t>
        </is>
      </c>
      <c r="P15" s="342" t="inlineStr">
        <is>
          <t>Business</t>
        </is>
      </c>
      <c r="Q15" s="342" t="inlineStr">
        <is>
          <t>TBD</t>
        </is>
      </c>
      <c r="R15" s="343" t="n">
        <v>46113</v>
      </c>
      <c r="S15" s="343" t="n">
        <v>46387</v>
      </c>
      <c r="T15" s="343" t="n">
        <v>46023</v>
      </c>
      <c r="U15" s="343" t="n">
        <v>46387</v>
      </c>
      <c r="V15" s="343" t="n">
        <v>46113</v>
      </c>
      <c r="W15" s="343" t="n">
        <v>46387</v>
      </c>
      <c r="Y15" s="342">
        <f>CONCATENATE(Table410[[#This Row],[JG]],Table410[[#This Row],[Country]],Table410[[#This Row],[Resource Provider]])</f>
        <v/>
      </c>
      <c r="Z15" s="342">
        <f>VLOOKUP(Table410[[#This Row],[RATE CONCAT]],Tables!I:N,5,0)</f>
        <v/>
      </c>
      <c r="AA15" s="52" t="n"/>
      <c r="AB15" s="130" t="n"/>
      <c r="AC15" s="130" t="n"/>
      <c r="AD15" s="130" t="n"/>
      <c r="AE15" s="344" t="n">
        <v>5</v>
      </c>
      <c r="AF15" s="344" t="n">
        <v>5</v>
      </c>
      <c r="AG15" s="344" t="n">
        <v>4</v>
      </c>
      <c r="AH15" s="344" t="n">
        <v>5</v>
      </c>
      <c r="AI15" s="344" t="n">
        <v>5</v>
      </c>
      <c r="AJ15" s="130" t="n"/>
      <c r="AK15" s="130" t="n"/>
      <c r="AL15" s="130" t="n"/>
      <c r="AM15" s="130" t="n"/>
      <c r="AN15" s="341">
        <f>IFERROR(AVERAGE(Table410[[#This Row],[Jan_2026_Days_Forecast]:[Dec_2026_Days_Forecast]]),0)/19</f>
        <v/>
      </c>
      <c r="AO15" s="341">
        <f>IFERROR(AVERAGE(Table410[[#This Row],[Jan_2026_Days_Actual]:[Dec_2026_Days_Actual]]),0)/19</f>
        <v/>
      </c>
      <c r="AP15" s="130" t="n"/>
      <c r="AQ15" s="130" t="n"/>
      <c r="AR15" s="130" t="n"/>
      <c r="AS15" s="344" t="n">
        <v>5</v>
      </c>
      <c r="AT15" s="344" t="n">
        <v>5</v>
      </c>
      <c r="AU15" s="344" t="n">
        <v>4</v>
      </c>
      <c r="AV15" s="344" t="n">
        <v>5</v>
      </c>
      <c r="AW15" s="344" t="n">
        <v>5</v>
      </c>
      <c r="AX15" s="130" t="n"/>
      <c r="AY15" s="130" t="n"/>
      <c r="AZ15" s="130" t="n"/>
      <c r="BA15" s="130" t="n"/>
      <c r="BB15" s="341">
        <f>IFERROR(AVERAGE(Table410[[#This Row],[Jan_2027_Days_Forecast]:[Dec_2027_Days_Forecast]]),0)</f>
        <v/>
      </c>
      <c r="BC15" s="127" t="n"/>
      <c r="BD15" s="127" t="n"/>
      <c r="BE15" s="127" t="n"/>
      <c r="BF15" s="127" t="n"/>
      <c r="BG15" s="127" t="n"/>
      <c r="BH15" s="127" t="n"/>
      <c r="BI15" s="127" t="n"/>
      <c r="BJ15" s="127" t="n"/>
      <c r="BK15" s="127" t="n"/>
      <c r="BL15" s="127" t="n"/>
      <c r="BM15" s="127" t="n"/>
      <c r="BN15" s="127" t="n"/>
      <c r="BO15" s="176" t="n"/>
      <c r="BP15" s="176" t="n"/>
      <c r="BQ15" s="342">
        <f>IFERROR(Table410[[#This Row],[Jan_2026_Days_Forecast]]*Table410[[#This Row],[Cost Boolean]]*(VLOOKUP(Table410[[#This Row],[RATE CONCAT]],Tables!I:N,5,0)),0)</f>
        <v/>
      </c>
      <c r="BR15" s="342">
        <f>IFERROR(Table410[[#This Row],[Jan_2026_Days_Actual]]*Table410[[#This Row],[Cost Boolean]]*(VLOOKUP(Table410[[#This Row],[RATE CONCAT]],Tables!I:N,5,0)),0)</f>
        <v/>
      </c>
      <c r="BS15" s="342">
        <f>Table410[[#This Row],[Jan_2026_F]]-Table410[[#This Row],[Jan_2026_A]]</f>
        <v/>
      </c>
      <c r="BU15" s="342">
        <f>IFERROR(Table410[[#This Row],[Feb_2026_Days_Forecast]]*Table410[[#This Row],[Cost Boolean]]*(VLOOKUP(Table410[[#This Row],[RATE CONCAT]],Tables!I:N,5,0)),0)</f>
        <v/>
      </c>
      <c r="BV15" s="342">
        <f>IFERROR(Table410[[#This Row],[Feb_2026_Days_Actual]]*Table410[[#This Row],[Cost Boolean]]*(VLOOKUP(Table410[[#This Row],[RATE CONCAT]],Tables!I:N,5,0)),0)</f>
        <v/>
      </c>
      <c r="BW15" s="342">
        <f>Table410[[#This Row],[Feb_2026_F]]-Table410[[#This Row],[Feb_2026_A]]</f>
        <v/>
      </c>
      <c r="BY15" s="342">
        <f>IFERROR(Table410[[#This Row],[Mar_2026_Days_Forecast]]*Table410[[#This Row],[Cost Boolean]]*(VLOOKUP(Table410[[#This Row],[RATE CONCAT]],Tables!I:N,5,0)),0)</f>
        <v/>
      </c>
      <c r="BZ15" s="342">
        <f>IFERROR(Table410[[#This Row],[Mar_2026_Days_Actual]]*Table410[[#This Row],[Cost Boolean]]*(VLOOKUP(Table410[[#This Row],[RATE CONCAT]],Tables!I:N,5,0)),0)</f>
        <v/>
      </c>
      <c r="CA15" s="342">
        <f>Table410[[#This Row],[Mar_2026_F]]-Table410[[#This Row],[Mar_2026_A]]</f>
        <v/>
      </c>
      <c r="CC15" s="342">
        <f>IFERROR(Table410[[#This Row],[Apr_2026_Days_Forecast]]*Table410[[#This Row],[Cost Boolean]]*(VLOOKUP(Table410[[#This Row],[RATE CONCAT]],Tables!I:N,5,0)),0)</f>
        <v/>
      </c>
      <c r="CD15" s="342">
        <f>IFERROR(Table410[[#This Row],[Apr_2026_Days_Actual]]*Table410[[#This Row],[Cost Boolean]]*(VLOOKUP(Table410[[#This Row],[RATE CONCAT]],Tables!I:N,5,0)),0)</f>
        <v/>
      </c>
      <c r="CE15" s="342">
        <f>Table410[[#This Row],[Apr_2026_F]]-Table410[[#This Row],[Apr_2026_A]]</f>
        <v/>
      </c>
      <c r="CG15" s="342">
        <f>IFERROR(Table410[[#This Row],[May_2026_Days_Forecast]] *Table410[[#This Row],[Cost Boolean]]*(VLOOKUP(Table410[[#This Row],[RATE CONCAT]],Tables!I:N,5,0)),0)</f>
        <v/>
      </c>
      <c r="CH15" s="342">
        <f>IFERROR(Table410[[#This Row],[May_2026_Days_Actual]]*Table410[[#This Row],[Cost Boolean]]*(VLOOKUP(Table410[[#This Row],[RATE CONCAT]],Tables!I:N,5,0)),0)</f>
        <v/>
      </c>
      <c r="CI15" s="342">
        <f>Table410[[#This Row],[May_2026_F]]-Table410[[#This Row],[May_2026_A]]</f>
        <v/>
      </c>
      <c r="CK15" s="342">
        <f>IFERROR(Table410[[#This Row],[Jun_2026_Days_Forecast]]*Table410[[#This Row],[Cost Boolean]]*(VLOOKUP(Table410[[#This Row],[RATE CONCAT]],Tables!I:N,5,0)),0)</f>
        <v/>
      </c>
      <c r="CL15" s="342">
        <f>IFERROR(Table410[[#This Row],[Jun_2026_Days_Actual]]*Table410[[#This Row],[Cost Boolean]]*(VLOOKUP(Table410[[#This Row],[RATE CONCAT]],Tables!I:N,5,0)),0)</f>
        <v/>
      </c>
      <c r="CM15" s="342">
        <f>Table410[[#This Row],[Jun_2026_F]]-Table410[[#This Row],[Jun_2026_A]]</f>
        <v/>
      </c>
      <c r="CO15" s="342">
        <f>IFERROR(Table410[[#This Row],[Jul_2026_Days_Forecast]]*Table410[[#This Row],[Cost Boolean]]*(VLOOKUP(Table410[[#This Row],[RATE CONCAT]],Tables!I:N,5,0)),0)</f>
        <v/>
      </c>
      <c r="CP15" s="342">
        <f>IFERROR(Table410[[#This Row],[Jul_2026_Days_Actual]]*Table410[[#This Row],[Cost Boolean]]*(VLOOKUP(Table410[[#This Row],[RATE CONCAT]],Tables!I:N,5,0)),0)</f>
        <v/>
      </c>
      <c r="CQ15" s="342">
        <f>Table410[[#This Row],[Jul_2026_F]]-Table410[[#This Row],[Jul_2026_A]]</f>
        <v/>
      </c>
      <c r="CS15" s="342">
        <f>IFERROR(Table410[[#This Row],[Aug_2026_Days_Forecast]]*Table410[[#This Row],[Cost Boolean]]*(VLOOKUP(Table410[[#This Row],[RATE CONCAT]],Tables!I:N,5,0)),0)</f>
        <v/>
      </c>
      <c r="CT15" s="342">
        <f>IFERROR(Table410[[#This Row],[Aug_2026_Days_Actual]]*Table410[[#This Row],[Cost Boolean]]*(VLOOKUP(Table410[[#This Row],[RATE CONCAT]],Tables!I:N,5,0)),0)</f>
        <v/>
      </c>
      <c r="CU15" s="342">
        <f>Table410[[#This Row],[Aug_2026_F]]-Table410[[#This Row],[Aug_2026_A]]</f>
        <v/>
      </c>
      <c r="CW15" s="342">
        <f>IFERROR(Table410[[#This Row],[Sep_2026_Days_Forecast]]*Table410[[#This Row],[Cost Boolean]]*(VLOOKUP(Table410[[#This Row],[RATE CONCAT]],Tables!I:N,5,0)),0)</f>
        <v/>
      </c>
      <c r="CX15" s="342">
        <f>IFERROR(Table410[[#This Row],[Sep_2026_Days_Actual]]*Table410[[#This Row],[Cost Boolean]]*(VLOOKUP(Table410[[#This Row],[RATE CONCAT]],Tables!I:N,5,0)),0)</f>
        <v/>
      </c>
      <c r="CY15" s="342">
        <f>Table410[[#This Row],[Sep_2026_F]]-Table410[[#This Row],[Sep_2026_A]]</f>
        <v/>
      </c>
      <c r="DA15" s="342">
        <f>IFERROR(Table410[[#This Row],[Oct_2026_Days_Forecast]]*Table410[[#This Row],[Cost Boolean]]*(VLOOKUP(Table410[[#This Row],[RATE CONCAT]],Tables!I:N,5,0)),0)</f>
        <v/>
      </c>
      <c r="DB15" s="342">
        <f>IFERROR(Table410[[#This Row],[Oct_2026_Days_Actual]]*Table410[[#This Row],[Cost Boolean]]*(VLOOKUP(Table410[[#This Row],[RATE CONCAT]],Tables!I:N,5,0)),0)</f>
        <v/>
      </c>
      <c r="DC15" s="342">
        <f>Table410[[#This Row],[Oct_2026_F]]-Table410[[#This Row],[Oct_2026_A]]</f>
        <v/>
      </c>
      <c r="DE15" s="342">
        <f>IFERROR(Table410[[#This Row],[Nov_2026_Days_Forecast]]*Table410[[#This Row],[Cost Boolean]]*(VLOOKUP(Table410[[#This Row],[RATE CONCAT]],Tables!I:N,5,0)),0)</f>
        <v/>
      </c>
      <c r="DF15" s="342">
        <f>IFERROR(Table410[[#This Row],[Nov_2026_Days_Actual]]*Table410[[#This Row],[Cost Boolean]]*(VLOOKUP(Table410[[#This Row],[RATE CONCAT]],Tables!I:N,5,0)),0)</f>
        <v/>
      </c>
      <c r="DG15" s="342">
        <f>Table410[[#This Row],[Nov_2026_F]]-Table410[[#This Row],[Nov_2026_A]]</f>
        <v/>
      </c>
      <c r="DI15" s="342">
        <f>IFERROR(Table410[[#This Row],[Dec_2026_Days_Forecast]]*Table410[[#This Row],[Cost Boolean]]*(VLOOKUP(Table410[[#This Row],[RATE CONCAT]],Tables!I:N,5,0)),0)</f>
        <v/>
      </c>
      <c r="DJ15" s="342">
        <f>IFERROR(Table410[[#This Row],[Dec_2026_Days_Actual]]*Table410[[#This Row],[Cost Boolean]]*(VLOOKUP(Table410[[#This Row],[RATE CONCAT]],Tables!I:N,5,0)),0)</f>
        <v/>
      </c>
      <c r="DK15" s="342">
        <f>Table410[[#This Row],[Dec_2026_F]]-Table410[[#This Row],[Dec_2026_A]]</f>
        <v/>
      </c>
      <c r="DN15" s="342">
        <f>IFERROR(Table410[[#This Row],[Jan_2027_Days_Forecast]]*Table410[[#This Row],[Cost Boolean]]*(VLOOKUP(Table410[[#This Row],[RATE CONCAT]],Tables!I:N,6,0)),0)</f>
        <v/>
      </c>
      <c r="DO15" s="342" t="n">
        <v>0</v>
      </c>
      <c r="DP15" s="342">
        <f>Table410[[#This Row],[Jan_2027_F]]-Table410[[#This Row],[Jan_2027_A]]</f>
        <v/>
      </c>
      <c r="DQ15" s="342">
        <f>IFERROR(Table410[[#This Row],[Feb_2027_Days_Forecast]]*Table410[[#This Row],[Cost Boolean]]*(VLOOKUP(Table410[[#This Row],[RATE CONCAT]],Tables!I:N,6,0)),0)</f>
        <v/>
      </c>
      <c r="DR15" s="342" t="n">
        <v>0</v>
      </c>
      <c r="DS15" s="342">
        <f>Table410[[#This Row],[Feb_2027_F]]-Table410[[#This Row],[Feb_2027_A]]</f>
        <v/>
      </c>
      <c r="DT15" s="342">
        <f>IFERROR(Table410[[#This Row],[Mar_2027_Days_Forecast]]*Table410[[#This Row],[Cost Boolean]]*(VLOOKUP(Table410[[#This Row],[RATE CONCAT]],Tables!I:N,6,0)),0)</f>
        <v/>
      </c>
      <c r="DU15" s="342" t="n">
        <v>0</v>
      </c>
      <c r="DV15" s="342">
        <f>Table410[[#This Row],[Mar_2027_F]]-Table410[[#This Row],[Mar_2027_A]]</f>
        <v/>
      </c>
      <c r="DW15" s="342">
        <f>IFERROR(Table410[[#This Row],[Apr_2027_Days_Forecast]]*Table410[[#This Row],[Cost Boolean]]*(VLOOKUP(Table410[[#This Row],[RATE CONCAT]],Tables!I:N,6,0)),0)</f>
        <v/>
      </c>
      <c r="DX15" s="342" t="n">
        <v>0</v>
      </c>
      <c r="DY15" s="342">
        <f>Table410[[#This Row],[Apr_2027_F]]-Table410[[#This Row],[Apr_2027_A]]</f>
        <v/>
      </c>
      <c r="DZ15" s="342">
        <f>IFERROR(Table410[[#This Row],[May_2027_Days_Forecast]]*Table410[[#This Row],[Cost Boolean]]*(VLOOKUP(Table410[[#This Row],[RATE CONCAT]],Tables!I:N,6,0)),0)</f>
        <v/>
      </c>
      <c r="EA15" s="342" t="n">
        <v>0</v>
      </c>
      <c r="EB15" s="342">
        <f>Table410[[#This Row],[May_2027_F]]-Table410[[#This Row],[May_2027_A]]</f>
        <v/>
      </c>
      <c r="EC15" s="342">
        <f>IFERROR(Table410[[#This Row],[Jun_2027_Days_Forecast]]*Table410[[#This Row],[Cost Boolean]]*(VLOOKUP(Table410[[#This Row],[RATE CONCAT]],Tables!I:N,6,0)),0)</f>
        <v/>
      </c>
      <c r="ED15" s="342" t="n">
        <v>0</v>
      </c>
      <c r="EE15" s="342">
        <f>Table410[[#This Row],[Jun_2027_F]]-Table410[[#This Row],[Jun_2027_A]]</f>
        <v/>
      </c>
      <c r="EF15" s="342">
        <f>IFERROR(Table410[[#This Row],[Jul_2027_Days_Forecast]]*Table410[[#This Row],[Cost Boolean]]*(VLOOKUP(Table410[[#This Row],[RATE CONCAT]],Tables!I:N,6,0)),0)</f>
        <v/>
      </c>
      <c r="EG15" s="342" t="n">
        <v>0</v>
      </c>
      <c r="EH15" s="342">
        <f>Table410[[#This Row],[Jul_2027_F]]-Table410[[#This Row],[Jul_2027_A]]</f>
        <v/>
      </c>
      <c r="EI15" s="342">
        <f>IFERROR(Table410[[#This Row],[Aug_2027_Days_Forecast]]*Table410[[#This Row],[Cost Boolean]]*(VLOOKUP(Table410[[#This Row],[RATE CONCAT]],Tables!I:N,6,0)),0)</f>
        <v/>
      </c>
      <c r="EJ15" s="342" t="n">
        <v>0</v>
      </c>
      <c r="EK15" s="342">
        <f>Table410[[#This Row],[Aug_2027_F]]-Table410[[#This Row],[Aug_2027_A]]</f>
        <v/>
      </c>
      <c r="EL15" s="342">
        <f>IFERROR(Table410[[#This Row],[Sep_2027_Days_Forecast]]*Table410[[#This Row],[Cost Boolean]]*(VLOOKUP(Table410[[#This Row],[RATE CONCAT]],Tables!I:N,6,0)),0)</f>
        <v/>
      </c>
      <c r="EM15" s="342" t="n">
        <v>0</v>
      </c>
      <c r="EN15" s="342">
        <f>Table410[[#This Row],[Sep_2027_F]]-Table410[[#This Row],[Sep_2027_A]]</f>
        <v/>
      </c>
      <c r="EO15" s="342">
        <f>IFERROR(Table410[[#This Row],[Oct_2027_Days_Forecast]]*Table410[[#This Row],[Cost Boolean]]*(VLOOKUP(Table410[[#This Row],[RATE CONCAT]],Tables!I:N,6,0)),0)</f>
        <v/>
      </c>
      <c r="EP15" s="342" t="n">
        <v>0</v>
      </c>
      <c r="EQ15" s="342">
        <f>Table410[[#This Row],[Oct_2027_F]]-Table410[[#This Row],[Oct_2027_A]]</f>
        <v/>
      </c>
      <c r="ER15" s="342">
        <f>IFERROR(Table410[[#This Row],[Nov_2027_Days_Forecast]]*Table410[[#This Row],[Cost Boolean]]*(VLOOKUP(Table410[[#This Row],[RATE CONCAT]],Tables!I:N,6,0)),0)</f>
        <v/>
      </c>
      <c r="ES15" s="342" t="n">
        <v>0</v>
      </c>
      <c r="ET15" s="342">
        <f>Table410[[#This Row],[Nov_2027_F]]-Table410[[#This Row],[Nov_2027_A]]</f>
        <v/>
      </c>
      <c r="EU15" s="342">
        <f>IFERROR(Table410[[#This Row],[Dec_2027_Days_Forecast]]*Table410[[#This Row],[Cost Boolean]]*(VLOOKUP(Table410[[#This Row],[RATE CONCAT]],Tables!I:N,6,0)),0)</f>
        <v/>
      </c>
      <c r="EV15" s="342" t="n">
        <v>0</v>
      </c>
      <c r="EW15" s="342">
        <f>Table410[[#This Row],[Dec_2027_F]]-Table410[[#This Row],[Dec_2027_A]]</f>
        <v/>
      </c>
    </row>
    <row r="16" ht="15" customFormat="1" customHeight="1" s="13">
      <c r="A16" s="338" t="inlineStr">
        <is>
          <t>PDSFS1019</t>
        </is>
      </c>
      <c r="B16" s="338" t="inlineStr">
        <is>
          <t>GATOR</t>
        </is>
      </c>
      <c r="C16" s="338" t="inlineStr">
        <is>
          <t>Staff</t>
        </is>
      </c>
      <c r="D16" s="338" t="inlineStr">
        <is>
          <t>Daniel Harlow</t>
        </is>
      </c>
      <c r="E16" s="338" t="inlineStr">
        <is>
          <t>Shell Business</t>
        </is>
      </c>
      <c r="G16" s="338" t="inlineStr">
        <is>
          <t>United States</t>
        </is>
      </c>
      <c r="H16" s="338" t="n">
        <v>4</v>
      </c>
      <c r="J16" s="338" t="inlineStr">
        <is>
          <t>Charterer</t>
        </is>
      </c>
      <c r="K16" s="338" t="inlineStr">
        <is>
          <t>In-seat</t>
        </is>
      </c>
      <c r="L16" s="338" t="n">
        <v>1</v>
      </c>
      <c r="M16" s="338" t="inlineStr">
        <is>
          <t>HOU</t>
        </is>
      </c>
      <c r="N16" s="338" t="inlineStr">
        <is>
          <t>Chartering</t>
        </is>
      </c>
      <c r="O16" s="338" t="inlineStr">
        <is>
          <t>Capex</t>
        </is>
      </c>
      <c r="P16" s="338" t="inlineStr">
        <is>
          <t>Business</t>
        </is>
      </c>
      <c r="Q16" s="338" t="inlineStr">
        <is>
          <t>TBD</t>
        </is>
      </c>
      <c r="R16" s="339" t="n">
        <v>46023</v>
      </c>
      <c r="S16" s="339" t="n">
        <v>46387</v>
      </c>
      <c r="T16" s="339" t="n">
        <v>46023</v>
      </c>
      <c r="U16" s="339" t="n">
        <v>46387</v>
      </c>
      <c r="V16" s="339" t="n">
        <v>46023</v>
      </c>
      <c r="W16" s="339" t="n">
        <v>46387</v>
      </c>
      <c r="Y16" s="338">
        <f>CONCATENATE(Table410[[#This Row],[JG]],Table410[[#This Row],[Country]],Table410[[#This Row],[Resource Provider]])</f>
        <v/>
      </c>
      <c r="Z16" s="338">
        <f>VLOOKUP(Table410[[#This Row],[RATE CONCAT]],Tables!I:N,5,0)</f>
        <v/>
      </c>
      <c r="AA16" s="52" t="n"/>
      <c r="AB16" s="340" t="n">
        <v>5</v>
      </c>
      <c r="AC16" s="340" t="n">
        <v>5</v>
      </c>
      <c r="AD16" s="340" t="n">
        <v>5</v>
      </c>
      <c r="AE16" s="340" t="n">
        <v>5</v>
      </c>
      <c r="AF16" s="340" t="n">
        <v>5</v>
      </c>
      <c r="AG16" s="340" t="n">
        <v>4</v>
      </c>
      <c r="AH16" s="340" t="n">
        <v>5</v>
      </c>
      <c r="AI16" s="340" t="n">
        <v>5</v>
      </c>
      <c r="AJ16" s="340" t="n">
        <v>5</v>
      </c>
      <c r="AK16" s="340" t="n">
        <v>5</v>
      </c>
      <c r="AL16" s="340" t="n">
        <v>5</v>
      </c>
      <c r="AM16" s="340" t="n">
        <v>4</v>
      </c>
      <c r="AN16" s="341">
        <f>IFERROR(AVERAGE(Table410[[#This Row],[Jan_2026_Days_Forecast]:[Dec_2026_Days_Forecast]]),0)/19</f>
        <v/>
      </c>
      <c r="AO16" s="341">
        <f>IFERROR(AVERAGE(Table410[[#This Row],[Jan_2026_Days_Actual]:[Dec_2026_Days_Actual]]),0)/19</f>
        <v/>
      </c>
      <c r="AP16" s="340" t="n">
        <v>5</v>
      </c>
      <c r="AQ16" s="340" t="n">
        <v>5</v>
      </c>
      <c r="AR16" s="340" t="n">
        <v>5</v>
      </c>
      <c r="AS16" s="340" t="n">
        <v>5</v>
      </c>
      <c r="AT16" s="340" t="n">
        <v>5</v>
      </c>
      <c r="AU16" s="340" t="n">
        <v>4</v>
      </c>
      <c r="AV16" s="340" t="n">
        <v>5</v>
      </c>
      <c r="AW16" s="340" t="n">
        <v>5</v>
      </c>
      <c r="AX16" s="340" t="n">
        <v>5</v>
      </c>
      <c r="AY16" s="340" t="n">
        <v>5</v>
      </c>
      <c r="AZ16" s="340" t="n">
        <v>5</v>
      </c>
      <c r="BA16" s="340" t="n">
        <v>4</v>
      </c>
      <c r="BB16" s="341">
        <f>IFERROR(AVERAGE(Table410[[#This Row],[Jan_2027_Days_Forecast]:[Dec_2027_Days_Forecast]]),0)</f>
        <v/>
      </c>
      <c r="BC16" s="127" t="n"/>
      <c r="BD16" s="127" t="n"/>
      <c r="BE16" s="127" t="n"/>
      <c r="BF16" s="127" t="n"/>
      <c r="BG16" s="127" t="n"/>
      <c r="BH16" s="127" t="n"/>
      <c r="BI16" s="127" t="n"/>
      <c r="BJ16" s="127" t="n"/>
      <c r="BK16" s="127" t="n"/>
      <c r="BL16" s="127" t="n"/>
      <c r="BM16" s="127" t="n"/>
      <c r="BN16" s="127" t="n"/>
      <c r="BO16" s="176" t="n"/>
      <c r="BP16" s="176" t="n"/>
      <c r="BQ16" s="338">
        <f>IFERROR(Table410[[#This Row],[Jan_2026_Days_Forecast]]*Table410[[#This Row],[Cost Boolean]]*(VLOOKUP(Table410[[#This Row],[RATE CONCAT]],Tables!I:N,5,0)),0)</f>
        <v/>
      </c>
      <c r="BR16" s="338">
        <f>IFERROR(Table410[[#This Row],[Jan_2026_Days_Actual]]*Table410[[#This Row],[Cost Boolean]]*(VLOOKUP(Table410[[#This Row],[RATE CONCAT]],Tables!I:N,5,0)),0)</f>
        <v/>
      </c>
      <c r="BS16" s="338">
        <f>Table410[[#This Row],[Jan_2026_F]]-Table410[[#This Row],[Jan_2026_A]]</f>
        <v/>
      </c>
      <c r="BU16" s="338">
        <f>IFERROR(Table410[[#This Row],[Feb_2026_Days_Forecast]]*Table410[[#This Row],[Cost Boolean]]*(VLOOKUP(Table410[[#This Row],[RATE CONCAT]],Tables!I:N,5,0)),0)</f>
        <v/>
      </c>
      <c r="BV16" s="338">
        <f>IFERROR(Table410[[#This Row],[Feb_2026_Days_Actual]]*Table410[[#This Row],[Cost Boolean]]*(VLOOKUP(Table410[[#This Row],[RATE CONCAT]],Tables!I:N,5,0)),0)</f>
        <v/>
      </c>
      <c r="BW16" s="338">
        <f>Table410[[#This Row],[Feb_2026_F]]-Table410[[#This Row],[Feb_2026_A]]</f>
        <v/>
      </c>
      <c r="BY16" s="338">
        <f>IFERROR(Table410[[#This Row],[Mar_2026_Days_Forecast]]*Table410[[#This Row],[Cost Boolean]]*(VLOOKUP(Table410[[#This Row],[RATE CONCAT]],Tables!I:N,5,0)),0)</f>
        <v/>
      </c>
      <c r="BZ16" s="338">
        <f>IFERROR(Table410[[#This Row],[Mar_2026_Days_Actual]]*Table410[[#This Row],[Cost Boolean]]*(VLOOKUP(Table410[[#This Row],[RATE CONCAT]],Tables!I:N,5,0)),0)</f>
        <v/>
      </c>
      <c r="CA16" s="338">
        <f>Table410[[#This Row],[Mar_2026_F]]-Table410[[#This Row],[Mar_2026_A]]</f>
        <v/>
      </c>
      <c r="CC16" s="338">
        <f>IFERROR(Table410[[#This Row],[Apr_2026_Days_Forecast]]*Table410[[#This Row],[Cost Boolean]]*(VLOOKUP(Table410[[#This Row],[RATE CONCAT]],Tables!I:N,5,0)),0)</f>
        <v/>
      </c>
      <c r="CD16" s="338">
        <f>IFERROR(Table410[[#This Row],[Apr_2026_Days_Actual]]*Table410[[#This Row],[Cost Boolean]]*(VLOOKUP(Table410[[#This Row],[RATE CONCAT]],Tables!I:N,5,0)),0)</f>
        <v/>
      </c>
      <c r="CE16" s="338">
        <f>Table410[[#This Row],[Apr_2026_F]]-Table410[[#This Row],[Apr_2026_A]]</f>
        <v/>
      </c>
      <c r="CG16" s="338">
        <f>IFERROR(Table410[[#This Row],[May_2026_Days_Forecast]] *Table410[[#This Row],[Cost Boolean]]*(VLOOKUP(Table410[[#This Row],[RATE CONCAT]],Tables!I:N,5,0)),0)</f>
        <v/>
      </c>
      <c r="CH16" s="338">
        <f>IFERROR(Table410[[#This Row],[May_2026_Days_Actual]]*Table410[[#This Row],[Cost Boolean]]*(VLOOKUP(Table410[[#This Row],[RATE CONCAT]],Tables!I:N,5,0)),0)</f>
        <v/>
      </c>
      <c r="CI16" s="338">
        <f>Table410[[#This Row],[May_2026_F]]-Table410[[#This Row],[May_2026_A]]</f>
        <v/>
      </c>
      <c r="CK16" s="338">
        <f>IFERROR(Table410[[#This Row],[Jun_2026_Days_Forecast]]*Table410[[#This Row],[Cost Boolean]]*(VLOOKUP(Table410[[#This Row],[RATE CONCAT]],Tables!I:N,5,0)),0)</f>
        <v/>
      </c>
      <c r="CL16" s="338">
        <f>IFERROR(Table410[[#This Row],[Jun_2026_Days_Actual]]*Table410[[#This Row],[Cost Boolean]]*(VLOOKUP(Table410[[#This Row],[RATE CONCAT]],Tables!I:N,5,0)),0)</f>
        <v/>
      </c>
      <c r="CM16" s="338">
        <f>Table410[[#This Row],[Jun_2026_F]]-Table410[[#This Row],[Jun_2026_A]]</f>
        <v/>
      </c>
      <c r="CO16" s="338">
        <f>IFERROR(Table410[[#This Row],[Jul_2026_Days_Forecast]]*Table410[[#This Row],[Cost Boolean]]*(VLOOKUP(Table410[[#This Row],[RATE CONCAT]],Tables!I:N,5,0)),0)</f>
        <v/>
      </c>
      <c r="CP16" s="338">
        <f>IFERROR(Table410[[#This Row],[Jul_2026_Days_Actual]]*Table410[[#This Row],[Cost Boolean]]*(VLOOKUP(Table410[[#This Row],[RATE CONCAT]],Tables!I:N,5,0)),0)</f>
        <v/>
      </c>
      <c r="CQ16" s="338">
        <f>Table410[[#This Row],[Jul_2026_F]]-Table410[[#This Row],[Jul_2026_A]]</f>
        <v/>
      </c>
      <c r="CS16" s="338">
        <f>IFERROR(Table410[[#This Row],[Aug_2026_Days_Forecast]]*Table410[[#This Row],[Cost Boolean]]*(VLOOKUP(Table410[[#This Row],[RATE CONCAT]],Tables!I:N,5,0)),0)</f>
        <v/>
      </c>
      <c r="CT16" s="338">
        <f>IFERROR(Table410[[#This Row],[Aug_2026_Days_Actual]]*Table410[[#This Row],[Cost Boolean]]*(VLOOKUP(Table410[[#This Row],[RATE CONCAT]],Tables!I:N,5,0)),0)</f>
        <v/>
      </c>
      <c r="CU16" s="338">
        <f>Table410[[#This Row],[Aug_2026_F]]-Table410[[#This Row],[Aug_2026_A]]</f>
        <v/>
      </c>
      <c r="CW16" s="338">
        <f>IFERROR(Table410[[#This Row],[Sep_2026_Days_Forecast]]*Table410[[#This Row],[Cost Boolean]]*(VLOOKUP(Table410[[#This Row],[RATE CONCAT]],Tables!I:N,5,0)),0)</f>
        <v/>
      </c>
      <c r="CX16" s="338">
        <f>IFERROR(Table410[[#This Row],[Sep_2026_Days_Actual]]*Table410[[#This Row],[Cost Boolean]]*(VLOOKUP(Table410[[#This Row],[RATE CONCAT]],Tables!I:N,5,0)),0)</f>
        <v/>
      </c>
      <c r="CY16" s="338">
        <f>Table410[[#This Row],[Sep_2026_F]]-Table410[[#This Row],[Sep_2026_A]]</f>
        <v/>
      </c>
      <c r="DA16" s="338">
        <f>IFERROR(Table410[[#This Row],[Oct_2026_Days_Forecast]]*Table410[[#This Row],[Cost Boolean]]*(VLOOKUP(Table410[[#This Row],[RATE CONCAT]],Tables!I:N,5,0)),0)</f>
        <v/>
      </c>
      <c r="DB16" s="338">
        <f>IFERROR(Table410[[#This Row],[Oct_2026_Days_Actual]]*Table410[[#This Row],[Cost Boolean]]*(VLOOKUP(Table410[[#This Row],[RATE CONCAT]],Tables!I:N,5,0)),0)</f>
        <v/>
      </c>
      <c r="DC16" s="338">
        <f>Table410[[#This Row],[Oct_2026_F]]-Table410[[#This Row],[Oct_2026_A]]</f>
        <v/>
      </c>
      <c r="DE16" s="338">
        <f>IFERROR(Table410[[#This Row],[Nov_2026_Days_Forecast]]*Table410[[#This Row],[Cost Boolean]]*(VLOOKUP(Table410[[#This Row],[RATE CONCAT]],Tables!I:N,5,0)),0)</f>
        <v/>
      </c>
      <c r="DF16" s="338">
        <f>IFERROR(Table410[[#This Row],[Nov_2026_Days_Actual]]*Table410[[#This Row],[Cost Boolean]]*(VLOOKUP(Table410[[#This Row],[RATE CONCAT]],Tables!I:N,5,0)),0)</f>
        <v/>
      </c>
      <c r="DG16" s="338">
        <f>Table410[[#This Row],[Nov_2026_F]]-Table410[[#This Row],[Nov_2026_A]]</f>
        <v/>
      </c>
      <c r="DI16" s="338">
        <f>IFERROR(Table410[[#This Row],[Dec_2026_Days_Forecast]]*Table410[[#This Row],[Cost Boolean]]*(VLOOKUP(Table410[[#This Row],[RATE CONCAT]],Tables!I:N,5,0)),0)</f>
        <v/>
      </c>
      <c r="DJ16" s="338">
        <f>IFERROR(Table410[[#This Row],[Dec_2026_Days_Actual]]*Table410[[#This Row],[Cost Boolean]]*(VLOOKUP(Table410[[#This Row],[RATE CONCAT]],Tables!I:N,5,0)),0)</f>
        <v/>
      </c>
      <c r="DK16" s="338">
        <f>Table410[[#This Row],[Dec_2026_F]]-Table410[[#This Row],[Dec_2026_A]]</f>
        <v/>
      </c>
      <c r="DN16" s="338">
        <f>IFERROR(Table410[[#This Row],[Jan_2027_Days_Forecast]]*Table410[[#This Row],[Cost Boolean]]*(VLOOKUP(Table410[[#This Row],[RATE CONCAT]],Tables!I:N,6,0)),0)</f>
        <v/>
      </c>
      <c r="DO16" s="338" t="n">
        <v>0</v>
      </c>
      <c r="DP16" s="338">
        <f>Table410[[#This Row],[Jan_2027_F]]-Table410[[#This Row],[Jan_2027_A]]</f>
        <v/>
      </c>
      <c r="DQ16" s="338">
        <f>IFERROR(Table410[[#This Row],[Feb_2027_Days_Forecast]]*Table410[[#This Row],[Cost Boolean]]*(VLOOKUP(Table410[[#This Row],[RATE CONCAT]],Tables!I:N,6,0)),0)</f>
        <v/>
      </c>
      <c r="DR16" s="338" t="n">
        <v>0</v>
      </c>
      <c r="DS16" s="338">
        <f>Table410[[#This Row],[Feb_2027_F]]-Table410[[#This Row],[Feb_2027_A]]</f>
        <v/>
      </c>
      <c r="DT16" s="338">
        <f>IFERROR(Table410[[#This Row],[Mar_2027_Days_Forecast]]*Table410[[#This Row],[Cost Boolean]]*(VLOOKUP(Table410[[#This Row],[RATE CONCAT]],Tables!I:N,6,0)),0)</f>
        <v/>
      </c>
      <c r="DU16" s="338" t="n">
        <v>0</v>
      </c>
      <c r="DV16" s="338">
        <f>Table410[[#This Row],[Mar_2027_F]]-Table410[[#This Row],[Mar_2027_A]]</f>
        <v/>
      </c>
      <c r="DW16" s="338">
        <f>IFERROR(Table410[[#This Row],[Apr_2027_Days_Forecast]]*Table410[[#This Row],[Cost Boolean]]*(VLOOKUP(Table410[[#This Row],[RATE CONCAT]],Tables!I:N,6,0)),0)</f>
        <v/>
      </c>
      <c r="DX16" s="338" t="n">
        <v>0</v>
      </c>
      <c r="DY16" s="338">
        <f>Table410[[#This Row],[Apr_2027_F]]-Table410[[#This Row],[Apr_2027_A]]</f>
        <v/>
      </c>
      <c r="DZ16" s="338">
        <f>IFERROR(Table410[[#This Row],[May_2027_Days_Forecast]]*Table410[[#This Row],[Cost Boolean]]*(VLOOKUP(Table410[[#This Row],[RATE CONCAT]],Tables!I:N,6,0)),0)</f>
        <v/>
      </c>
      <c r="EA16" s="338" t="n">
        <v>0</v>
      </c>
      <c r="EB16" s="338">
        <f>Table410[[#This Row],[May_2027_F]]-Table410[[#This Row],[May_2027_A]]</f>
        <v/>
      </c>
      <c r="EC16" s="338">
        <f>IFERROR(Table410[[#This Row],[Jun_2027_Days_Forecast]]*Table410[[#This Row],[Cost Boolean]]*(VLOOKUP(Table410[[#This Row],[RATE CONCAT]],Tables!I:N,6,0)),0)</f>
        <v/>
      </c>
      <c r="ED16" s="338" t="n">
        <v>0</v>
      </c>
      <c r="EE16" s="338">
        <f>Table410[[#This Row],[Jun_2027_F]]-Table410[[#This Row],[Jun_2027_A]]</f>
        <v/>
      </c>
      <c r="EF16" s="338">
        <f>IFERROR(Table410[[#This Row],[Jul_2027_Days_Forecast]]*Table410[[#This Row],[Cost Boolean]]*(VLOOKUP(Table410[[#This Row],[RATE CONCAT]],Tables!I:N,6,0)),0)</f>
        <v/>
      </c>
      <c r="EG16" s="338" t="n">
        <v>0</v>
      </c>
      <c r="EH16" s="338">
        <f>Table410[[#This Row],[Jul_2027_F]]-Table410[[#This Row],[Jul_2027_A]]</f>
        <v/>
      </c>
      <c r="EI16" s="338">
        <f>IFERROR(Table410[[#This Row],[Aug_2027_Days_Forecast]]*Table410[[#This Row],[Cost Boolean]]*(VLOOKUP(Table410[[#This Row],[RATE CONCAT]],Tables!I:N,6,0)),0)</f>
        <v/>
      </c>
      <c r="EJ16" s="338" t="n">
        <v>0</v>
      </c>
      <c r="EK16" s="338">
        <f>Table410[[#This Row],[Aug_2027_F]]-Table410[[#This Row],[Aug_2027_A]]</f>
        <v/>
      </c>
      <c r="EL16" s="338">
        <f>IFERROR(Table410[[#This Row],[Sep_2027_Days_Forecast]]*Table410[[#This Row],[Cost Boolean]]*(VLOOKUP(Table410[[#This Row],[RATE CONCAT]],Tables!I:N,6,0)),0)</f>
        <v/>
      </c>
      <c r="EM16" s="338" t="n">
        <v>0</v>
      </c>
      <c r="EN16" s="338">
        <f>Table410[[#This Row],[Sep_2027_F]]-Table410[[#This Row],[Sep_2027_A]]</f>
        <v/>
      </c>
      <c r="EO16" s="338">
        <f>IFERROR(Table410[[#This Row],[Oct_2027_Days_Forecast]]*Table410[[#This Row],[Cost Boolean]]*(VLOOKUP(Table410[[#This Row],[RATE CONCAT]],Tables!I:N,6,0)),0)</f>
        <v/>
      </c>
      <c r="EP16" s="338" t="n">
        <v>0</v>
      </c>
      <c r="EQ16" s="338">
        <f>Table410[[#This Row],[Oct_2027_F]]-Table410[[#This Row],[Oct_2027_A]]</f>
        <v/>
      </c>
      <c r="ER16" s="338">
        <f>IFERROR(Table410[[#This Row],[Nov_2027_Days_Forecast]]*Table410[[#This Row],[Cost Boolean]]*(VLOOKUP(Table410[[#This Row],[RATE CONCAT]],Tables!I:N,6,0)),0)</f>
        <v/>
      </c>
      <c r="ES16" s="338" t="n">
        <v>0</v>
      </c>
      <c r="ET16" s="338">
        <f>Table410[[#This Row],[Nov_2027_F]]-Table410[[#This Row],[Nov_2027_A]]</f>
        <v/>
      </c>
      <c r="EU16" s="338">
        <f>IFERROR(Table410[[#This Row],[Dec_2027_Days_Forecast]]*Table410[[#This Row],[Cost Boolean]]*(VLOOKUP(Table410[[#This Row],[RATE CONCAT]],Tables!I:N,6,0)),0)</f>
        <v/>
      </c>
      <c r="EV16" s="338" t="n">
        <v>0</v>
      </c>
      <c r="EW16" s="338">
        <f>Table410[[#This Row],[Dec_2027_F]]-Table410[[#This Row],[Dec_2027_A]]</f>
        <v/>
      </c>
    </row>
    <row r="17" ht="15" customFormat="1" customHeight="1" s="13">
      <c r="A17" s="342" t="inlineStr">
        <is>
          <t>PDSFS1024</t>
        </is>
      </c>
      <c r="B17" s="342" t="inlineStr">
        <is>
          <t>DA Desk</t>
        </is>
      </c>
      <c r="C17" s="342" t="inlineStr">
        <is>
          <t>Staff</t>
        </is>
      </c>
      <c r="D17" s="342" t="inlineStr">
        <is>
          <t>Anishka Irving</t>
        </is>
      </c>
      <c r="E17" s="342" t="inlineStr">
        <is>
          <t>Shell Business</t>
        </is>
      </c>
      <c r="G17" s="342" t="inlineStr">
        <is>
          <t>United Kingdom</t>
        </is>
      </c>
      <c r="H17" s="342" t="n">
        <v>4</v>
      </c>
      <c r="J17" s="342" t="inlineStr">
        <is>
          <t>Finance Lead</t>
        </is>
      </c>
      <c r="K17" s="342" t="inlineStr">
        <is>
          <t>In-seat</t>
        </is>
      </c>
      <c r="L17" s="342" t="n">
        <v>0</v>
      </c>
      <c r="M17" s="342" t="inlineStr">
        <is>
          <t>LON</t>
        </is>
      </c>
      <c r="N17" s="342" t="inlineStr">
        <is>
          <t>Finance</t>
        </is>
      </c>
      <c r="O17" s="342" t="inlineStr">
        <is>
          <t>Opex</t>
        </is>
      </c>
      <c r="P17" s="342" t="inlineStr">
        <is>
          <t>Business</t>
        </is>
      </c>
      <c r="Q17" s="342" t="inlineStr">
        <is>
          <t>TBD</t>
        </is>
      </c>
      <c r="R17" s="343" t="n">
        <v>46023</v>
      </c>
      <c r="S17" s="343" t="n">
        <v>46387</v>
      </c>
      <c r="T17" s="343" t="n">
        <v>46023</v>
      </c>
      <c r="U17" s="343" t="n">
        <v>46387</v>
      </c>
      <c r="V17" s="343" t="n">
        <v>46023</v>
      </c>
      <c r="W17" s="343" t="n">
        <v>46387</v>
      </c>
      <c r="Y17" s="342">
        <f>CONCATENATE(Table410[[#This Row],[JG]],Table410[[#This Row],[Country]],Table410[[#This Row],[Resource Provider]])</f>
        <v/>
      </c>
      <c r="Z17" s="342">
        <f>VLOOKUP(Table410[[#This Row],[RATE CONCAT]],Tables!I:N,5,0)</f>
        <v/>
      </c>
      <c r="AA17" s="52" t="n"/>
      <c r="AB17" s="344" t="n">
        <v>5</v>
      </c>
      <c r="AC17" s="344" t="n">
        <v>5</v>
      </c>
      <c r="AD17" s="344" t="n">
        <v>5</v>
      </c>
      <c r="AE17" s="344" t="n">
        <v>5</v>
      </c>
      <c r="AF17" s="344" t="n">
        <v>5</v>
      </c>
      <c r="AG17" s="344" t="n">
        <v>4</v>
      </c>
      <c r="AH17" s="344" t="n">
        <v>5</v>
      </c>
      <c r="AI17" s="344" t="n">
        <v>5</v>
      </c>
      <c r="AJ17" s="130" t="n"/>
      <c r="AK17" s="130" t="n"/>
      <c r="AL17" s="130" t="n"/>
      <c r="AM17" s="130" t="n"/>
      <c r="AN17" s="341">
        <f>IFERROR(AVERAGE(Table410[[#This Row],[Jan_2026_Days_Forecast]:[Dec_2026_Days_Forecast]]),0)/19</f>
        <v/>
      </c>
      <c r="AO17" s="341">
        <f>IFERROR(AVERAGE(Table410[[#This Row],[Jan_2026_Days_Actual]:[Dec_2026_Days_Actual]]),0)/19</f>
        <v/>
      </c>
      <c r="AP17" s="344" t="n">
        <v>5</v>
      </c>
      <c r="AQ17" s="344" t="n">
        <v>5</v>
      </c>
      <c r="AR17" s="344" t="n">
        <v>5</v>
      </c>
      <c r="AS17" s="344" t="n">
        <v>5</v>
      </c>
      <c r="AT17" s="344" t="n">
        <v>5</v>
      </c>
      <c r="AU17" s="344" t="n">
        <v>4</v>
      </c>
      <c r="AV17" s="344" t="n">
        <v>5</v>
      </c>
      <c r="AW17" s="344" t="n">
        <v>5</v>
      </c>
      <c r="AX17" s="130" t="n"/>
      <c r="AY17" s="130" t="n"/>
      <c r="AZ17" s="130" t="n"/>
      <c r="BA17" s="130" t="n"/>
      <c r="BB17" s="341">
        <f>IFERROR(AVERAGE(Table410[[#This Row],[Jan_2027_Days_Forecast]:[Dec_2027_Days_Forecast]]),0)</f>
        <v/>
      </c>
      <c r="BC17" s="127" t="n"/>
      <c r="BD17" s="127" t="n"/>
      <c r="BE17" s="127" t="n"/>
      <c r="BF17" s="127" t="n"/>
      <c r="BG17" s="127" t="n"/>
      <c r="BH17" s="127" t="n"/>
      <c r="BI17" s="127" t="n"/>
      <c r="BJ17" s="127" t="n"/>
      <c r="BK17" s="127" t="n"/>
      <c r="BL17" s="127" t="n"/>
      <c r="BM17" s="127" t="n"/>
      <c r="BN17" s="127" t="n"/>
      <c r="BO17" s="176" t="n"/>
      <c r="BP17" s="176" t="n"/>
      <c r="BQ17" s="342">
        <f>IFERROR(Table410[[#This Row],[Jan_2026_Days_Forecast]]*Table410[[#This Row],[Cost Boolean]]*(VLOOKUP(Table410[[#This Row],[RATE CONCAT]],Tables!I:N,5,0)),0)</f>
        <v/>
      </c>
      <c r="BR17" s="342">
        <f>IFERROR(Table410[[#This Row],[Jan_2026_Days_Actual]]*Table410[[#This Row],[Cost Boolean]]*(VLOOKUP(Table410[[#This Row],[RATE CONCAT]],Tables!I:N,5,0)),0)</f>
        <v/>
      </c>
      <c r="BS17" s="342">
        <f>Table410[[#This Row],[Jan_2026_F]]-Table410[[#This Row],[Jan_2026_A]]</f>
        <v/>
      </c>
      <c r="BU17" s="342">
        <f>IFERROR(Table410[[#This Row],[Feb_2026_Days_Forecast]]*Table410[[#This Row],[Cost Boolean]]*(VLOOKUP(Table410[[#This Row],[RATE CONCAT]],Tables!I:N,5,0)),0)</f>
        <v/>
      </c>
      <c r="BV17" s="342">
        <f>IFERROR(Table410[[#This Row],[Feb_2026_Days_Actual]]*Table410[[#This Row],[Cost Boolean]]*(VLOOKUP(Table410[[#This Row],[RATE CONCAT]],Tables!I:N,5,0)),0)</f>
        <v/>
      </c>
      <c r="BW17" s="342">
        <f>Table410[[#This Row],[Feb_2026_F]]-Table410[[#This Row],[Feb_2026_A]]</f>
        <v/>
      </c>
      <c r="BY17" s="342">
        <f>IFERROR(Table410[[#This Row],[Mar_2026_Days_Forecast]]*Table410[[#This Row],[Cost Boolean]]*(VLOOKUP(Table410[[#This Row],[RATE CONCAT]],Tables!I:N,5,0)),0)</f>
        <v/>
      </c>
      <c r="BZ17" s="342">
        <f>IFERROR(Table410[[#This Row],[Mar_2026_Days_Actual]]*Table410[[#This Row],[Cost Boolean]]*(VLOOKUP(Table410[[#This Row],[RATE CONCAT]],Tables!I:N,5,0)),0)</f>
        <v/>
      </c>
      <c r="CA17" s="342">
        <f>Table410[[#This Row],[Mar_2026_F]]-Table410[[#This Row],[Mar_2026_A]]</f>
        <v/>
      </c>
      <c r="CC17" s="342">
        <f>IFERROR(Table410[[#This Row],[Apr_2026_Days_Forecast]]*Table410[[#This Row],[Cost Boolean]]*(VLOOKUP(Table410[[#This Row],[RATE CONCAT]],Tables!I:N,5,0)),0)</f>
        <v/>
      </c>
      <c r="CD17" s="342">
        <f>IFERROR(Table410[[#This Row],[Apr_2026_Days_Actual]]*Table410[[#This Row],[Cost Boolean]]*(VLOOKUP(Table410[[#This Row],[RATE CONCAT]],Tables!I:N,5,0)),0)</f>
        <v/>
      </c>
      <c r="CE17" s="342">
        <f>Table410[[#This Row],[Apr_2026_F]]-Table410[[#This Row],[Apr_2026_A]]</f>
        <v/>
      </c>
      <c r="CG17" s="342">
        <f>IFERROR(Table410[[#This Row],[May_2026_Days_Forecast]] *Table410[[#This Row],[Cost Boolean]]*(VLOOKUP(Table410[[#This Row],[RATE CONCAT]],Tables!I:N,5,0)),0)</f>
        <v/>
      </c>
      <c r="CH17" s="342">
        <f>IFERROR(Table410[[#This Row],[May_2026_Days_Actual]]*Table410[[#This Row],[Cost Boolean]]*(VLOOKUP(Table410[[#This Row],[RATE CONCAT]],Tables!I:N,5,0)),0)</f>
        <v/>
      </c>
      <c r="CI17" s="342">
        <f>Table410[[#This Row],[May_2026_F]]-Table410[[#This Row],[May_2026_A]]</f>
        <v/>
      </c>
      <c r="CK17" s="342">
        <f>IFERROR(Table410[[#This Row],[Jun_2026_Days_Forecast]]*Table410[[#This Row],[Cost Boolean]]*(VLOOKUP(Table410[[#This Row],[RATE CONCAT]],Tables!I:N,5,0)),0)</f>
        <v/>
      </c>
      <c r="CL17" s="342">
        <f>IFERROR(Table410[[#This Row],[Jun_2026_Days_Actual]]*Table410[[#This Row],[Cost Boolean]]*(VLOOKUP(Table410[[#This Row],[RATE CONCAT]],Tables!I:N,5,0)),0)</f>
        <v/>
      </c>
      <c r="CM17" s="342">
        <f>Table410[[#This Row],[Jun_2026_F]]-Table410[[#This Row],[Jun_2026_A]]</f>
        <v/>
      </c>
      <c r="CO17" s="342">
        <f>IFERROR(Table410[[#This Row],[Jul_2026_Days_Forecast]]*Table410[[#This Row],[Cost Boolean]]*(VLOOKUP(Table410[[#This Row],[RATE CONCAT]],Tables!I:N,5,0)),0)</f>
        <v/>
      </c>
      <c r="CP17" s="342">
        <f>IFERROR(Table410[[#This Row],[Jul_2026_Days_Actual]]*Table410[[#This Row],[Cost Boolean]]*(VLOOKUP(Table410[[#This Row],[RATE CONCAT]],Tables!I:N,5,0)),0)</f>
        <v/>
      </c>
      <c r="CQ17" s="342">
        <f>Table410[[#This Row],[Jul_2026_F]]-Table410[[#This Row],[Jul_2026_A]]</f>
        <v/>
      </c>
      <c r="CS17" s="342">
        <f>IFERROR(Table410[[#This Row],[Aug_2026_Days_Forecast]]*Table410[[#This Row],[Cost Boolean]]*(VLOOKUP(Table410[[#This Row],[RATE CONCAT]],Tables!I:N,5,0)),0)</f>
        <v/>
      </c>
      <c r="CT17" s="342">
        <f>IFERROR(Table410[[#This Row],[Aug_2026_Days_Actual]]*Table410[[#This Row],[Cost Boolean]]*(VLOOKUP(Table410[[#This Row],[RATE CONCAT]],Tables!I:N,5,0)),0)</f>
        <v/>
      </c>
      <c r="CU17" s="342">
        <f>Table410[[#This Row],[Aug_2026_F]]-Table410[[#This Row],[Aug_2026_A]]</f>
        <v/>
      </c>
      <c r="CW17" s="342">
        <f>IFERROR(Table410[[#This Row],[Sep_2026_Days_Forecast]]*Table410[[#This Row],[Cost Boolean]]*(VLOOKUP(Table410[[#This Row],[RATE CONCAT]],Tables!I:N,5,0)),0)</f>
        <v/>
      </c>
      <c r="CX17" s="342">
        <f>IFERROR(Table410[[#This Row],[Sep_2026_Days_Actual]]*Table410[[#This Row],[Cost Boolean]]*(VLOOKUP(Table410[[#This Row],[RATE CONCAT]],Tables!I:N,5,0)),0)</f>
        <v/>
      </c>
      <c r="CY17" s="342">
        <f>Table410[[#This Row],[Sep_2026_F]]-Table410[[#This Row],[Sep_2026_A]]</f>
        <v/>
      </c>
      <c r="DA17" s="342">
        <f>IFERROR(Table410[[#This Row],[Oct_2026_Days_Forecast]]*Table410[[#This Row],[Cost Boolean]]*(VLOOKUP(Table410[[#This Row],[RATE CONCAT]],Tables!I:N,5,0)),0)</f>
        <v/>
      </c>
      <c r="DB17" s="342">
        <f>IFERROR(Table410[[#This Row],[Oct_2026_Days_Actual]]*Table410[[#This Row],[Cost Boolean]]*(VLOOKUP(Table410[[#This Row],[RATE CONCAT]],Tables!I:N,5,0)),0)</f>
        <v/>
      </c>
      <c r="DC17" s="342">
        <f>Table410[[#This Row],[Oct_2026_F]]-Table410[[#This Row],[Oct_2026_A]]</f>
        <v/>
      </c>
      <c r="DE17" s="342">
        <f>IFERROR(Table410[[#This Row],[Nov_2026_Days_Forecast]]*Table410[[#This Row],[Cost Boolean]]*(VLOOKUP(Table410[[#This Row],[RATE CONCAT]],Tables!I:N,5,0)),0)</f>
        <v/>
      </c>
      <c r="DF17" s="342">
        <f>IFERROR(Table410[[#This Row],[Nov_2026_Days_Actual]]*Table410[[#This Row],[Cost Boolean]]*(VLOOKUP(Table410[[#This Row],[RATE CONCAT]],Tables!I:N,5,0)),0)</f>
        <v/>
      </c>
      <c r="DG17" s="342">
        <f>Table410[[#This Row],[Nov_2026_F]]-Table410[[#This Row],[Nov_2026_A]]</f>
        <v/>
      </c>
      <c r="DI17" s="342">
        <f>IFERROR(Table410[[#This Row],[Dec_2026_Days_Forecast]]*Table410[[#This Row],[Cost Boolean]]*(VLOOKUP(Table410[[#This Row],[RATE CONCAT]],Tables!I:N,5,0)),0)</f>
        <v/>
      </c>
      <c r="DJ17" s="342">
        <f>IFERROR(Table410[[#This Row],[Dec_2026_Days_Actual]]*Table410[[#This Row],[Cost Boolean]]*(VLOOKUP(Table410[[#This Row],[RATE CONCAT]],Tables!I:N,5,0)),0)</f>
        <v/>
      </c>
      <c r="DK17" s="342">
        <f>Table410[[#This Row],[Dec_2026_F]]-Table410[[#This Row],[Dec_2026_A]]</f>
        <v/>
      </c>
      <c r="DN17" s="342">
        <f>IFERROR(Table410[[#This Row],[Jan_2027_Days_Forecast]]*Table410[[#This Row],[Cost Boolean]]*(VLOOKUP(Table410[[#This Row],[RATE CONCAT]],Tables!I:N,6,0)),0)</f>
        <v/>
      </c>
      <c r="DO17" s="342" t="n">
        <v>0</v>
      </c>
      <c r="DP17" s="342">
        <f>Table410[[#This Row],[Jan_2027_F]]-Table410[[#This Row],[Jan_2027_A]]</f>
        <v/>
      </c>
      <c r="DQ17" s="342">
        <f>IFERROR(Table410[[#This Row],[Feb_2027_Days_Forecast]]*Table410[[#This Row],[Cost Boolean]]*(VLOOKUP(Table410[[#This Row],[RATE CONCAT]],Tables!I:N,6,0)),0)</f>
        <v/>
      </c>
      <c r="DR17" s="342" t="n">
        <v>0</v>
      </c>
      <c r="DS17" s="342">
        <f>Table410[[#This Row],[Feb_2027_F]]-Table410[[#This Row],[Feb_2027_A]]</f>
        <v/>
      </c>
      <c r="DT17" s="342">
        <f>IFERROR(Table410[[#This Row],[Mar_2027_Days_Forecast]]*Table410[[#This Row],[Cost Boolean]]*(VLOOKUP(Table410[[#This Row],[RATE CONCAT]],Tables!I:N,6,0)),0)</f>
        <v/>
      </c>
      <c r="DU17" s="342" t="n">
        <v>0</v>
      </c>
      <c r="DV17" s="342">
        <f>Table410[[#This Row],[Mar_2027_F]]-Table410[[#This Row],[Mar_2027_A]]</f>
        <v/>
      </c>
      <c r="DW17" s="342">
        <f>IFERROR(Table410[[#This Row],[Apr_2027_Days_Forecast]]*Table410[[#This Row],[Cost Boolean]]*(VLOOKUP(Table410[[#This Row],[RATE CONCAT]],Tables!I:N,6,0)),0)</f>
        <v/>
      </c>
      <c r="DX17" s="342" t="n">
        <v>0</v>
      </c>
      <c r="DY17" s="342">
        <f>Table410[[#This Row],[Apr_2027_F]]-Table410[[#This Row],[Apr_2027_A]]</f>
        <v/>
      </c>
      <c r="DZ17" s="342">
        <f>IFERROR(Table410[[#This Row],[May_2027_Days_Forecast]]*Table410[[#This Row],[Cost Boolean]]*(VLOOKUP(Table410[[#This Row],[RATE CONCAT]],Tables!I:N,6,0)),0)</f>
        <v/>
      </c>
      <c r="EA17" s="342" t="n">
        <v>0</v>
      </c>
      <c r="EB17" s="342">
        <f>Table410[[#This Row],[May_2027_F]]-Table410[[#This Row],[May_2027_A]]</f>
        <v/>
      </c>
      <c r="EC17" s="342">
        <f>IFERROR(Table410[[#This Row],[Jun_2027_Days_Forecast]]*Table410[[#This Row],[Cost Boolean]]*(VLOOKUP(Table410[[#This Row],[RATE CONCAT]],Tables!I:N,6,0)),0)</f>
        <v/>
      </c>
      <c r="ED17" s="342" t="n">
        <v>0</v>
      </c>
      <c r="EE17" s="342">
        <f>Table410[[#This Row],[Jun_2027_F]]-Table410[[#This Row],[Jun_2027_A]]</f>
        <v/>
      </c>
      <c r="EF17" s="342">
        <f>IFERROR(Table410[[#This Row],[Jul_2027_Days_Forecast]]*Table410[[#This Row],[Cost Boolean]]*(VLOOKUP(Table410[[#This Row],[RATE CONCAT]],Tables!I:N,6,0)),0)</f>
        <v/>
      </c>
      <c r="EG17" s="342" t="n">
        <v>0</v>
      </c>
      <c r="EH17" s="342">
        <f>Table410[[#This Row],[Jul_2027_F]]-Table410[[#This Row],[Jul_2027_A]]</f>
        <v/>
      </c>
      <c r="EI17" s="342">
        <f>IFERROR(Table410[[#This Row],[Aug_2027_Days_Forecast]]*Table410[[#This Row],[Cost Boolean]]*(VLOOKUP(Table410[[#This Row],[RATE CONCAT]],Tables!I:N,6,0)),0)</f>
        <v/>
      </c>
      <c r="EJ17" s="342" t="n">
        <v>0</v>
      </c>
      <c r="EK17" s="342">
        <f>Table410[[#This Row],[Aug_2027_F]]-Table410[[#This Row],[Aug_2027_A]]</f>
        <v/>
      </c>
      <c r="EL17" s="342">
        <f>IFERROR(Table410[[#This Row],[Sep_2027_Days_Forecast]]*Table410[[#This Row],[Cost Boolean]]*(VLOOKUP(Table410[[#This Row],[RATE CONCAT]],Tables!I:N,6,0)),0)</f>
        <v/>
      </c>
      <c r="EM17" s="342" t="n">
        <v>0</v>
      </c>
      <c r="EN17" s="342">
        <f>Table410[[#This Row],[Sep_2027_F]]-Table410[[#This Row],[Sep_2027_A]]</f>
        <v/>
      </c>
      <c r="EO17" s="342">
        <f>IFERROR(Table410[[#This Row],[Oct_2027_Days_Forecast]]*Table410[[#This Row],[Cost Boolean]]*(VLOOKUP(Table410[[#This Row],[RATE CONCAT]],Tables!I:N,6,0)),0)</f>
        <v/>
      </c>
      <c r="EP17" s="342" t="n">
        <v>0</v>
      </c>
      <c r="EQ17" s="342">
        <f>Table410[[#This Row],[Oct_2027_F]]-Table410[[#This Row],[Oct_2027_A]]</f>
        <v/>
      </c>
      <c r="ER17" s="342">
        <f>IFERROR(Table410[[#This Row],[Nov_2027_Days_Forecast]]*Table410[[#This Row],[Cost Boolean]]*(VLOOKUP(Table410[[#This Row],[RATE CONCAT]],Tables!I:N,6,0)),0)</f>
        <v/>
      </c>
      <c r="ES17" s="342" t="n">
        <v>0</v>
      </c>
      <c r="ET17" s="342">
        <f>Table410[[#This Row],[Nov_2027_F]]-Table410[[#This Row],[Nov_2027_A]]</f>
        <v/>
      </c>
      <c r="EU17" s="342">
        <f>IFERROR(Table410[[#This Row],[Dec_2027_Days_Forecast]]*Table410[[#This Row],[Cost Boolean]]*(VLOOKUP(Table410[[#This Row],[RATE CONCAT]],Tables!I:N,6,0)),0)</f>
        <v/>
      </c>
      <c r="EV17" s="342" t="n">
        <v>0</v>
      </c>
      <c r="EW17" s="342">
        <f>Table410[[#This Row],[Dec_2027_F]]-Table410[[#This Row],[Dec_2027_A]]</f>
        <v/>
      </c>
    </row>
    <row r="18" ht="15" customFormat="1" customHeight="1" s="13">
      <c r="A18" s="338" t="inlineStr">
        <is>
          <t>PDSFS1027</t>
        </is>
      </c>
      <c r="B18" s="338" t="inlineStr">
        <is>
          <t>USDF</t>
        </is>
      </c>
      <c r="C18" s="338" t="inlineStr">
        <is>
          <t>Staff</t>
        </is>
      </c>
      <c r="D18" s="338" t="inlineStr">
        <is>
          <t>Raquel Alvarado</t>
        </is>
      </c>
      <c r="E18" s="338" t="inlineStr">
        <is>
          <t>Shell Business</t>
        </is>
      </c>
      <c r="G18" s="338" t="inlineStr">
        <is>
          <t>United States</t>
        </is>
      </c>
      <c r="H18" s="338" t="n">
        <v>2</v>
      </c>
      <c r="J18" s="338" t="inlineStr">
        <is>
          <t>USDF Business Lead</t>
        </is>
      </c>
      <c r="K18" s="338" t="inlineStr">
        <is>
          <t>In-seat</t>
        </is>
      </c>
      <c r="L18" s="338" t="n">
        <v>0</v>
      </c>
      <c r="M18" s="338" t="inlineStr">
        <is>
          <t>HOU</t>
        </is>
      </c>
      <c r="N18" s="338" t="inlineStr">
        <is>
          <t>Chartering management</t>
        </is>
      </c>
      <c r="O18" s="338" t="inlineStr">
        <is>
          <t>Opex</t>
        </is>
      </c>
      <c r="P18" s="338" t="inlineStr">
        <is>
          <t>Business</t>
        </is>
      </c>
      <c r="Q18" s="338" t="inlineStr">
        <is>
          <t>TBD</t>
        </is>
      </c>
      <c r="R18" s="339" t="n">
        <v>46023</v>
      </c>
      <c r="S18" s="339" t="n">
        <v>46387</v>
      </c>
      <c r="T18" s="339" t="n">
        <v>46023</v>
      </c>
      <c r="U18" s="339" t="n">
        <v>46387</v>
      </c>
      <c r="V18" s="339" t="n">
        <v>46023</v>
      </c>
      <c r="W18" s="339" t="n">
        <v>46387</v>
      </c>
      <c r="Y18" s="338">
        <f>CONCATENATE(Table410[[#This Row],[JG]],Table410[[#This Row],[Country]],Table410[[#This Row],[Resource Provider]])</f>
        <v/>
      </c>
      <c r="Z18" s="338">
        <f>VLOOKUP(Table410[[#This Row],[RATE CONCAT]],Tables!I:N,5,0)</f>
        <v/>
      </c>
      <c r="AA18" s="52" t="n"/>
      <c r="AB18" s="130" t="n"/>
      <c r="AC18" s="340" t="n">
        <v>10</v>
      </c>
      <c r="AD18" s="340" t="n">
        <v>10</v>
      </c>
      <c r="AE18" s="340" t="n">
        <v>10</v>
      </c>
      <c r="AF18" s="340" t="n">
        <v>9</v>
      </c>
      <c r="AG18" s="340" t="n">
        <v>9</v>
      </c>
      <c r="AH18" s="340" t="n">
        <v>9</v>
      </c>
      <c r="AI18" s="340" t="n">
        <v>10</v>
      </c>
      <c r="AJ18" s="340" t="n">
        <v>10</v>
      </c>
      <c r="AK18" s="340" t="n">
        <v>10</v>
      </c>
      <c r="AL18" s="130" t="n"/>
      <c r="AM18" s="130" t="n"/>
      <c r="AN18" s="341">
        <f>IFERROR(AVERAGE(Table410[[#This Row],[Jan_2026_Days_Forecast]:[Dec_2026_Days_Forecast]]),0)/19</f>
        <v/>
      </c>
      <c r="AO18" s="341">
        <f>IFERROR(AVERAGE(Table410[[#This Row],[Jan_2026_Days_Actual]:[Dec_2026_Days_Actual]]),0)/19</f>
        <v/>
      </c>
      <c r="AP18" s="130" t="n"/>
      <c r="AQ18" s="340" t="n">
        <v>10</v>
      </c>
      <c r="AR18" s="340" t="n">
        <v>10</v>
      </c>
      <c r="AS18" s="340" t="n">
        <v>10</v>
      </c>
      <c r="AT18" s="340" t="n">
        <v>9</v>
      </c>
      <c r="AU18" s="340" t="n">
        <v>9</v>
      </c>
      <c r="AV18" s="340" t="n">
        <v>9</v>
      </c>
      <c r="AW18" s="340" t="n">
        <v>10</v>
      </c>
      <c r="AX18" s="340" t="n">
        <v>10</v>
      </c>
      <c r="AY18" s="340" t="n">
        <v>10</v>
      </c>
      <c r="AZ18" s="130" t="n"/>
      <c r="BA18" s="130" t="n"/>
      <c r="BB18" s="341">
        <f>IFERROR(AVERAGE(Table410[[#This Row],[Jan_2027_Days_Forecast]:[Dec_2027_Days_Forecast]]),0)</f>
        <v/>
      </c>
      <c r="BC18" s="127" t="n"/>
      <c r="BD18" s="127" t="n"/>
      <c r="BE18" s="127" t="n"/>
      <c r="BF18" s="127" t="n"/>
      <c r="BG18" s="127" t="n"/>
      <c r="BH18" s="127" t="n"/>
      <c r="BI18" s="127" t="n"/>
      <c r="BJ18" s="127" t="n"/>
      <c r="BK18" s="127" t="n"/>
      <c r="BL18" s="127" t="n"/>
      <c r="BM18" s="127" t="n"/>
      <c r="BN18" s="127" t="n"/>
      <c r="BO18" s="176" t="n"/>
      <c r="BP18" s="176" t="n"/>
      <c r="BQ18" s="338">
        <f>IFERROR(Table410[[#This Row],[Jan_2026_Days_Forecast]]*Table410[[#This Row],[Cost Boolean]]*(VLOOKUP(Table410[[#This Row],[RATE CONCAT]],Tables!I:N,5,0)),0)</f>
        <v/>
      </c>
      <c r="BR18" s="338">
        <f>IFERROR(Table410[[#This Row],[Jan_2026_Days_Actual]]*Table410[[#This Row],[Cost Boolean]]*(VLOOKUP(Table410[[#This Row],[RATE CONCAT]],Tables!I:N,5,0)),0)</f>
        <v/>
      </c>
      <c r="BS18" s="338">
        <f>Table410[[#This Row],[Jan_2026_F]]-Table410[[#This Row],[Jan_2026_A]]</f>
        <v/>
      </c>
      <c r="BU18" s="338">
        <f>IFERROR(Table410[[#This Row],[Feb_2026_Days_Forecast]]*Table410[[#This Row],[Cost Boolean]]*(VLOOKUP(Table410[[#This Row],[RATE CONCAT]],Tables!I:N,5,0)),0)</f>
        <v/>
      </c>
      <c r="BV18" s="338">
        <f>IFERROR(Table410[[#This Row],[Feb_2026_Days_Actual]]*Table410[[#This Row],[Cost Boolean]]*(VLOOKUP(Table410[[#This Row],[RATE CONCAT]],Tables!I:N,5,0)),0)</f>
        <v/>
      </c>
      <c r="BW18" s="338">
        <f>Table410[[#This Row],[Feb_2026_F]]-Table410[[#This Row],[Feb_2026_A]]</f>
        <v/>
      </c>
      <c r="BY18" s="338">
        <f>IFERROR(Table410[[#This Row],[Mar_2026_Days_Forecast]]*Table410[[#This Row],[Cost Boolean]]*(VLOOKUP(Table410[[#This Row],[RATE CONCAT]],Tables!I:N,5,0)),0)</f>
        <v/>
      </c>
      <c r="BZ18" s="338">
        <f>IFERROR(Table410[[#This Row],[Mar_2026_Days_Actual]]*Table410[[#This Row],[Cost Boolean]]*(VLOOKUP(Table410[[#This Row],[RATE CONCAT]],Tables!I:N,5,0)),0)</f>
        <v/>
      </c>
      <c r="CA18" s="338">
        <f>Table410[[#This Row],[Mar_2026_F]]-Table410[[#This Row],[Mar_2026_A]]</f>
        <v/>
      </c>
      <c r="CC18" s="338">
        <f>IFERROR(Table410[[#This Row],[Apr_2026_Days_Forecast]]*Table410[[#This Row],[Cost Boolean]]*(VLOOKUP(Table410[[#This Row],[RATE CONCAT]],Tables!I:N,5,0)),0)</f>
        <v/>
      </c>
      <c r="CD18" s="338">
        <f>IFERROR(Table410[[#This Row],[Apr_2026_Days_Actual]]*Table410[[#This Row],[Cost Boolean]]*(VLOOKUP(Table410[[#This Row],[RATE CONCAT]],Tables!I:N,5,0)),0)</f>
        <v/>
      </c>
      <c r="CE18" s="338">
        <f>Table410[[#This Row],[Apr_2026_F]]-Table410[[#This Row],[Apr_2026_A]]</f>
        <v/>
      </c>
      <c r="CG18" s="338">
        <f>IFERROR(Table410[[#This Row],[May_2026_Days_Forecast]] *Table410[[#This Row],[Cost Boolean]]*(VLOOKUP(Table410[[#This Row],[RATE CONCAT]],Tables!I:N,5,0)),0)</f>
        <v/>
      </c>
      <c r="CH18" s="338">
        <f>IFERROR(Table410[[#This Row],[May_2026_Days_Actual]]*Table410[[#This Row],[Cost Boolean]]*(VLOOKUP(Table410[[#This Row],[RATE CONCAT]],Tables!I:N,5,0)),0)</f>
        <v/>
      </c>
      <c r="CI18" s="338">
        <f>Table410[[#This Row],[May_2026_F]]-Table410[[#This Row],[May_2026_A]]</f>
        <v/>
      </c>
      <c r="CK18" s="338">
        <f>IFERROR(Table410[[#This Row],[Jun_2026_Days_Forecast]]*Table410[[#This Row],[Cost Boolean]]*(VLOOKUP(Table410[[#This Row],[RATE CONCAT]],Tables!I:N,5,0)),0)</f>
        <v/>
      </c>
      <c r="CL18" s="338">
        <f>IFERROR(Table410[[#This Row],[Jun_2026_Days_Actual]]*Table410[[#This Row],[Cost Boolean]]*(VLOOKUP(Table410[[#This Row],[RATE CONCAT]],Tables!I:N,5,0)),0)</f>
        <v/>
      </c>
      <c r="CM18" s="338">
        <f>Table410[[#This Row],[Jun_2026_F]]-Table410[[#This Row],[Jun_2026_A]]</f>
        <v/>
      </c>
      <c r="CO18" s="338">
        <f>IFERROR(Table410[[#This Row],[Jul_2026_Days_Forecast]]*Table410[[#This Row],[Cost Boolean]]*(VLOOKUP(Table410[[#This Row],[RATE CONCAT]],Tables!I:N,5,0)),0)</f>
        <v/>
      </c>
      <c r="CP18" s="338">
        <f>IFERROR(Table410[[#This Row],[Jul_2026_Days_Actual]]*Table410[[#This Row],[Cost Boolean]]*(VLOOKUP(Table410[[#This Row],[RATE CONCAT]],Tables!I:N,5,0)),0)</f>
        <v/>
      </c>
      <c r="CQ18" s="338">
        <f>Table410[[#This Row],[Jul_2026_F]]-Table410[[#This Row],[Jul_2026_A]]</f>
        <v/>
      </c>
      <c r="CS18" s="338">
        <f>IFERROR(Table410[[#This Row],[Aug_2026_Days_Forecast]]*Table410[[#This Row],[Cost Boolean]]*(VLOOKUP(Table410[[#This Row],[RATE CONCAT]],Tables!I:N,5,0)),0)</f>
        <v/>
      </c>
      <c r="CT18" s="338">
        <f>IFERROR(Table410[[#This Row],[Aug_2026_Days_Actual]]*Table410[[#This Row],[Cost Boolean]]*(VLOOKUP(Table410[[#This Row],[RATE CONCAT]],Tables!I:N,5,0)),0)</f>
        <v/>
      </c>
      <c r="CU18" s="338">
        <f>Table410[[#This Row],[Aug_2026_F]]-Table410[[#This Row],[Aug_2026_A]]</f>
        <v/>
      </c>
      <c r="CW18" s="338">
        <f>IFERROR(Table410[[#This Row],[Sep_2026_Days_Forecast]]*Table410[[#This Row],[Cost Boolean]]*(VLOOKUP(Table410[[#This Row],[RATE CONCAT]],Tables!I:N,5,0)),0)</f>
        <v/>
      </c>
      <c r="CX18" s="338">
        <f>IFERROR(Table410[[#This Row],[Sep_2026_Days_Actual]]*Table410[[#This Row],[Cost Boolean]]*(VLOOKUP(Table410[[#This Row],[RATE CONCAT]],Tables!I:N,5,0)),0)</f>
        <v/>
      </c>
      <c r="CY18" s="338">
        <f>Table410[[#This Row],[Sep_2026_F]]-Table410[[#This Row],[Sep_2026_A]]</f>
        <v/>
      </c>
      <c r="DA18" s="338">
        <f>IFERROR(Table410[[#This Row],[Oct_2026_Days_Forecast]]*Table410[[#This Row],[Cost Boolean]]*(VLOOKUP(Table410[[#This Row],[RATE CONCAT]],Tables!I:N,5,0)),0)</f>
        <v/>
      </c>
      <c r="DB18" s="338">
        <f>IFERROR(Table410[[#This Row],[Oct_2026_Days_Actual]]*Table410[[#This Row],[Cost Boolean]]*(VLOOKUP(Table410[[#This Row],[RATE CONCAT]],Tables!I:N,5,0)),0)</f>
        <v/>
      </c>
      <c r="DC18" s="338">
        <f>Table410[[#This Row],[Oct_2026_F]]-Table410[[#This Row],[Oct_2026_A]]</f>
        <v/>
      </c>
      <c r="DE18" s="338">
        <f>IFERROR(Table410[[#This Row],[Nov_2026_Days_Forecast]]*Table410[[#This Row],[Cost Boolean]]*(VLOOKUP(Table410[[#This Row],[RATE CONCAT]],Tables!I:N,5,0)),0)</f>
        <v/>
      </c>
      <c r="DF18" s="338">
        <f>IFERROR(Table410[[#This Row],[Nov_2026_Days_Actual]]*Table410[[#This Row],[Cost Boolean]]*(VLOOKUP(Table410[[#This Row],[RATE CONCAT]],Tables!I:N,5,0)),0)</f>
        <v/>
      </c>
      <c r="DG18" s="338">
        <f>Table410[[#This Row],[Nov_2026_F]]-Table410[[#This Row],[Nov_2026_A]]</f>
        <v/>
      </c>
      <c r="DI18" s="338">
        <f>IFERROR(Table410[[#This Row],[Dec_2026_Days_Forecast]]*Table410[[#This Row],[Cost Boolean]]*(VLOOKUP(Table410[[#This Row],[RATE CONCAT]],Tables!I:N,5,0)),0)</f>
        <v/>
      </c>
      <c r="DJ18" s="338">
        <f>IFERROR(Table410[[#This Row],[Dec_2026_Days_Actual]]*Table410[[#This Row],[Cost Boolean]]*(VLOOKUP(Table410[[#This Row],[RATE CONCAT]],Tables!I:N,5,0)),0)</f>
        <v/>
      </c>
      <c r="DK18" s="338">
        <f>Table410[[#This Row],[Dec_2026_F]]-Table410[[#This Row],[Dec_2026_A]]</f>
        <v/>
      </c>
      <c r="DN18" s="338">
        <f>IFERROR(Table410[[#This Row],[Jan_2027_Days_Forecast]]*Table410[[#This Row],[Cost Boolean]]*(VLOOKUP(Table410[[#This Row],[RATE CONCAT]],Tables!I:N,6,0)),0)</f>
        <v/>
      </c>
      <c r="DO18" s="338" t="n">
        <v>0</v>
      </c>
      <c r="DP18" s="338">
        <f>Table410[[#This Row],[Jan_2027_F]]-Table410[[#This Row],[Jan_2027_A]]</f>
        <v/>
      </c>
      <c r="DQ18" s="338">
        <f>IFERROR(Table410[[#This Row],[Feb_2027_Days_Forecast]]*Table410[[#This Row],[Cost Boolean]]*(VLOOKUP(Table410[[#This Row],[RATE CONCAT]],Tables!I:N,6,0)),0)</f>
        <v/>
      </c>
      <c r="DR18" s="338" t="n">
        <v>0</v>
      </c>
      <c r="DS18" s="338">
        <f>Table410[[#This Row],[Feb_2027_F]]-Table410[[#This Row],[Feb_2027_A]]</f>
        <v/>
      </c>
      <c r="DT18" s="338">
        <f>IFERROR(Table410[[#This Row],[Mar_2027_Days_Forecast]]*Table410[[#This Row],[Cost Boolean]]*(VLOOKUP(Table410[[#This Row],[RATE CONCAT]],Tables!I:N,6,0)),0)</f>
        <v/>
      </c>
      <c r="DU18" s="338" t="n">
        <v>0</v>
      </c>
      <c r="DV18" s="338">
        <f>Table410[[#This Row],[Mar_2027_F]]-Table410[[#This Row],[Mar_2027_A]]</f>
        <v/>
      </c>
      <c r="DW18" s="338">
        <f>IFERROR(Table410[[#This Row],[Apr_2027_Days_Forecast]]*Table410[[#This Row],[Cost Boolean]]*(VLOOKUP(Table410[[#This Row],[RATE CONCAT]],Tables!I:N,6,0)),0)</f>
        <v/>
      </c>
      <c r="DX18" s="338" t="n">
        <v>0</v>
      </c>
      <c r="DY18" s="338">
        <f>Table410[[#This Row],[Apr_2027_F]]-Table410[[#This Row],[Apr_2027_A]]</f>
        <v/>
      </c>
      <c r="DZ18" s="338">
        <f>IFERROR(Table410[[#This Row],[May_2027_Days_Forecast]]*Table410[[#This Row],[Cost Boolean]]*(VLOOKUP(Table410[[#This Row],[RATE CONCAT]],Tables!I:N,6,0)),0)</f>
        <v/>
      </c>
      <c r="EA18" s="338" t="n">
        <v>0</v>
      </c>
      <c r="EB18" s="338">
        <f>Table410[[#This Row],[May_2027_F]]-Table410[[#This Row],[May_2027_A]]</f>
        <v/>
      </c>
      <c r="EC18" s="338">
        <f>IFERROR(Table410[[#This Row],[Jun_2027_Days_Forecast]]*Table410[[#This Row],[Cost Boolean]]*(VLOOKUP(Table410[[#This Row],[RATE CONCAT]],Tables!I:N,6,0)),0)</f>
        <v/>
      </c>
      <c r="ED18" s="338" t="n">
        <v>0</v>
      </c>
      <c r="EE18" s="338">
        <f>Table410[[#This Row],[Jun_2027_F]]-Table410[[#This Row],[Jun_2027_A]]</f>
        <v/>
      </c>
      <c r="EF18" s="338">
        <f>IFERROR(Table410[[#This Row],[Jul_2027_Days_Forecast]]*Table410[[#This Row],[Cost Boolean]]*(VLOOKUP(Table410[[#This Row],[RATE CONCAT]],Tables!I:N,6,0)),0)</f>
        <v/>
      </c>
      <c r="EG18" s="338" t="n">
        <v>0</v>
      </c>
      <c r="EH18" s="338">
        <f>Table410[[#This Row],[Jul_2027_F]]-Table410[[#This Row],[Jul_2027_A]]</f>
        <v/>
      </c>
      <c r="EI18" s="338">
        <f>IFERROR(Table410[[#This Row],[Aug_2027_Days_Forecast]]*Table410[[#This Row],[Cost Boolean]]*(VLOOKUP(Table410[[#This Row],[RATE CONCAT]],Tables!I:N,6,0)),0)</f>
        <v/>
      </c>
      <c r="EJ18" s="338" t="n">
        <v>0</v>
      </c>
      <c r="EK18" s="338">
        <f>Table410[[#This Row],[Aug_2027_F]]-Table410[[#This Row],[Aug_2027_A]]</f>
        <v/>
      </c>
      <c r="EL18" s="338">
        <f>IFERROR(Table410[[#This Row],[Sep_2027_Days_Forecast]]*Table410[[#This Row],[Cost Boolean]]*(VLOOKUP(Table410[[#This Row],[RATE CONCAT]],Tables!I:N,6,0)),0)</f>
        <v/>
      </c>
      <c r="EM18" s="338" t="n">
        <v>0</v>
      </c>
      <c r="EN18" s="338">
        <f>Table410[[#This Row],[Sep_2027_F]]-Table410[[#This Row],[Sep_2027_A]]</f>
        <v/>
      </c>
      <c r="EO18" s="338">
        <f>IFERROR(Table410[[#This Row],[Oct_2027_Days_Forecast]]*Table410[[#This Row],[Cost Boolean]]*(VLOOKUP(Table410[[#This Row],[RATE CONCAT]],Tables!I:N,6,0)),0)</f>
        <v/>
      </c>
      <c r="EP18" s="338" t="n">
        <v>0</v>
      </c>
      <c r="EQ18" s="338">
        <f>Table410[[#This Row],[Oct_2027_F]]-Table410[[#This Row],[Oct_2027_A]]</f>
        <v/>
      </c>
      <c r="ER18" s="338">
        <f>IFERROR(Table410[[#This Row],[Nov_2027_Days_Forecast]]*Table410[[#This Row],[Cost Boolean]]*(VLOOKUP(Table410[[#This Row],[RATE CONCAT]],Tables!I:N,6,0)),0)</f>
        <v/>
      </c>
      <c r="ES18" s="338" t="n">
        <v>0</v>
      </c>
      <c r="ET18" s="338">
        <f>Table410[[#This Row],[Nov_2027_F]]-Table410[[#This Row],[Nov_2027_A]]</f>
        <v/>
      </c>
      <c r="EU18" s="338">
        <f>IFERROR(Table410[[#This Row],[Dec_2027_Days_Forecast]]*Table410[[#This Row],[Cost Boolean]]*(VLOOKUP(Table410[[#This Row],[RATE CONCAT]],Tables!I:N,6,0)),0)</f>
        <v/>
      </c>
      <c r="EV18" s="338" t="n">
        <v>0</v>
      </c>
      <c r="EW18" s="338">
        <f>Table410[[#This Row],[Dec_2027_F]]-Table410[[#This Row],[Dec_2027_A]]</f>
        <v/>
      </c>
    </row>
    <row r="19" ht="15" customFormat="1" customHeight="1" s="13">
      <c r="A19" s="342" t="inlineStr">
        <is>
          <t>PDSFS1032</t>
        </is>
      </c>
      <c r="B19" s="342" t="inlineStr">
        <is>
          <t>USDF</t>
        </is>
      </c>
      <c r="C19" s="342" t="inlineStr">
        <is>
          <t>Staff</t>
        </is>
      </c>
      <c r="D19" s="342" t="inlineStr">
        <is>
          <t>Aravind Nair</t>
        </is>
      </c>
      <c r="E19" s="342" t="inlineStr">
        <is>
          <t>Shell Business</t>
        </is>
      </c>
      <c r="G19" s="342" t="inlineStr">
        <is>
          <t>India</t>
        </is>
      </c>
      <c r="H19" s="342" t="n">
        <v>4</v>
      </c>
      <c r="J19" s="342" t="inlineStr">
        <is>
          <t>Finance Analyst</t>
        </is>
      </c>
      <c r="K19" s="342" t="inlineStr">
        <is>
          <t>In-seat</t>
        </is>
      </c>
      <c r="L19" s="342" t="n">
        <v>1</v>
      </c>
      <c r="M19" s="342" t="inlineStr">
        <is>
          <t>CHN</t>
        </is>
      </c>
      <c r="N19" s="342" t="inlineStr">
        <is>
          <t>Finance</t>
        </is>
      </c>
      <c r="O19" s="342" t="inlineStr">
        <is>
          <t>Capex</t>
        </is>
      </c>
      <c r="P19" s="342" t="inlineStr">
        <is>
          <t>Business</t>
        </is>
      </c>
      <c r="Q19" s="342" t="inlineStr">
        <is>
          <t>TBD</t>
        </is>
      </c>
      <c r="R19" s="343" t="n">
        <v>46023</v>
      </c>
      <c r="S19" s="343" t="n">
        <v>46387</v>
      </c>
      <c r="T19" s="343" t="n">
        <v>46023</v>
      </c>
      <c r="U19" s="343" t="n">
        <v>46387</v>
      </c>
      <c r="V19" s="343" t="n">
        <v>46023</v>
      </c>
      <c r="W19" s="343" t="n">
        <v>46387</v>
      </c>
      <c r="Y19" s="342">
        <f>CONCATENATE(Table410[[#This Row],[JG]],Table410[[#This Row],[Country]],Table410[[#This Row],[Resource Provider]])</f>
        <v/>
      </c>
      <c r="Z19" s="342">
        <f>VLOOKUP(Table410[[#This Row],[RATE CONCAT]],Tables!I:N,5,0)</f>
        <v/>
      </c>
      <c r="AA19" s="52" t="n"/>
      <c r="AB19" s="130" t="n"/>
      <c r="AC19" s="344" t="n">
        <v>10</v>
      </c>
      <c r="AD19" s="344" t="n">
        <v>10</v>
      </c>
      <c r="AE19" s="344" t="n">
        <v>10</v>
      </c>
      <c r="AF19" s="344" t="n">
        <v>9</v>
      </c>
      <c r="AG19" s="344" t="n">
        <v>9</v>
      </c>
      <c r="AH19" s="344" t="n">
        <v>9</v>
      </c>
      <c r="AI19" s="344" t="n">
        <v>10</v>
      </c>
      <c r="AJ19" s="344" t="n">
        <v>10</v>
      </c>
      <c r="AK19" s="344" t="n">
        <v>10</v>
      </c>
      <c r="AL19" s="130" t="n"/>
      <c r="AM19" s="130" t="n"/>
      <c r="AN19" s="341">
        <f>IFERROR(AVERAGE(Table410[[#This Row],[Jan_2026_Days_Forecast]:[Dec_2026_Days_Forecast]]),0)/19</f>
        <v/>
      </c>
      <c r="AO19" s="341">
        <f>IFERROR(AVERAGE(Table410[[#This Row],[Jan_2026_Days_Actual]:[Dec_2026_Days_Actual]]),0)/19</f>
        <v/>
      </c>
      <c r="AP19" s="130" t="n"/>
      <c r="AQ19" s="344" t="n">
        <v>10</v>
      </c>
      <c r="AR19" s="344" t="n">
        <v>10</v>
      </c>
      <c r="AS19" s="344" t="n">
        <v>10</v>
      </c>
      <c r="AT19" s="344" t="n">
        <v>9</v>
      </c>
      <c r="AU19" s="344" t="n">
        <v>9</v>
      </c>
      <c r="AV19" s="344" t="n">
        <v>9</v>
      </c>
      <c r="AW19" s="344" t="n">
        <v>10</v>
      </c>
      <c r="AX19" s="344" t="n">
        <v>10</v>
      </c>
      <c r="AY19" s="344" t="n">
        <v>10</v>
      </c>
      <c r="AZ19" s="130" t="n"/>
      <c r="BA19" s="130" t="n"/>
      <c r="BB19" s="341">
        <f>IFERROR(AVERAGE(Table410[[#This Row],[Jan_2027_Days_Forecast]:[Dec_2027_Days_Forecast]]),0)</f>
        <v/>
      </c>
      <c r="BC19" s="127" t="n"/>
      <c r="BD19" s="127" t="n"/>
      <c r="BE19" s="127" t="n"/>
      <c r="BF19" s="127" t="n"/>
      <c r="BG19" s="127" t="n"/>
      <c r="BH19" s="127" t="n"/>
      <c r="BI19" s="127" t="n"/>
      <c r="BJ19" s="127" t="n"/>
      <c r="BK19" s="127" t="n"/>
      <c r="BL19" s="127" t="n"/>
      <c r="BM19" s="127" t="n"/>
      <c r="BN19" s="127" t="n"/>
      <c r="BO19" s="176" t="n"/>
      <c r="BP19" s="176" t="n"/>
      <c r="BQ19" s="342">
        <f>IFERROR(Table410[[#This Row],[Jan_2026_Days_Forecast]]*Table410[[#This Row],[Cost Boolean]]*(VLOOKUP(Table410[[#This Row],[RATE CONCAT]],Tables!I:N,5,0)),0)</f>
        <v/>
      </c>
      <c r="BR19" s="342">
        <f>IFERROR(Table410[[#This Row],[Jan_2026_Days_Actual]]*Table410[[#This Row],[Cost Boolean]]*(VLOOKUP(Table410[[#This Row],[RATE CONCAT]],Tables!I:N,5,0)),0)</f>
        <v/>
      </c>
      <c r="BS19" s="342">
        <f>Table410[[#This Row],[Jan_2026_F]]-Table410[[#This Row],[Jan_2026_A]]</f>
        <v/>
      </c>
      <c r="BU19" s="342">
        <f>IFERROR(Table410[[#This Row],[Feb_2026_Days_Forecast]]*Table410[[#This Row],[Cost Boolean]]*(VLOOKUP(Table410[[#This Row],[RATE CONCAT]],Tables!I:N,5,0)),0)</f>
        <v/>
      </c>
      <c r="BW19" s="342">
        <f>Table410[[#This Row],[Feb_2026_F]]-Table410[[#This Row],[Feb_2026_A]]</f>
        <v/>
      </c>
      <c r="BY19" s="342">
        <f>IFERROR(Table410[[#This Row],[Mar_2026_Days_Forecast]]*Table410[[#This Row],[Cost Boolean]]*(VLOOKUP(Table410[[#This Row],[RATE CONCAT]],Tables!I:N,5,0)),0)</f>
        <v/>
      </c>
      <c r="CA19" s="342">
        <f>Table410[[#This Row],[Mar_2026_F]]-Table410[[#This Row],[Mar_2026_A]]</f>
        <v/>
      </c>
      <c r="CC19" s="342">
        <f>IFERROR(Table410[[#This Row],[Apr_2026_Days_Forecast]]*Table410[[#This Row],[Cost Boolean]]*(VLOOKUP(Table410[[#This Row],[RATE CONCAT]],Tables!I:N,5,0)),0)</f>
        <v/>
      </c>
      <c r="CE19" s="342">
        <f>Table410[[#This Row],[Apr_2026_F]]-Table410[[#This Row],[Apr_2026_A]]</f>
        <v/>
      </c>
      <c r="CG19" s="342">
        <f>IFERROR(Table410[[#This Row],[May_2026_Days_Forecast]] *Table410[[#This Row],[Cost Boolean]]*(VLOOKUP(Table410[[#This Row],[RATE CONCAT]],Tables!I:N,5,0)),0)</f>
        <v/>
      </c>
      <c r="CH19" s="342">
        <f>IFERROR(Table410[[#This Row],[May_2026_Days_Actual]]*Table410[[#This Row],[Cost Boolean]]*(VLOOKUP(Table410[[#This Row],[RATE CONCAT]],Tables!I:N,5,0)),0)</f>
        <v/>
      </c>
      <c r="CI19" s="342">
        <f>Table410[[#This Row],[May_2026_F]]-Table410[[#This Row],[May_2026_A]]</f>
        <v/>
      </c>
      <c r="CK19" s="342">
        <f>IFERROR(Table410[[#This Row],[Jun_2026_Days_Forecast]]*Table410[[#This Row],[Cost Boolean]]*(VLOOKUP(Table410[[#This Row],[RATE CONCAT]],Tables!I:N,5,0)),0)</f>
        <v/>
      </c>
      <c r="CL19" s="342">
        <f>IFERROR(Table410[[#This Row],[Jun_2026_Days_Actual]]*Table410[[#This Row],[Cost Boolean]]*(VLOOKUP(Table410[[#This Row],[RATE CONCAT]],Tables!I:N,5,0)),0)</f>
        <v/>
      </c>
      <c r="CM19" s="342">
        <f>Table410[[#This Row],[Jun_2026_F]]-Table410[[#This Row],[Jun_2026_A]]</f>
        <v/>
      </c>
      <c r="CO19" s="342">
        <f>IFERROR(Table410[[#This Row],[Jul_2026_Days_Forecast]]*Table410[[#This Row],[Cost Boolean]]*(VLOOKUP(Table410[[#This Row],[RATE CONCAT]],Tables!I:N,5,0)),0)</f>
        <v/>
      </c>
      <c r="CP19" s="342">
        <f>IFERROR(Table410[[#This Row],[Jul_2026_Days_Actual]]*Table410[[#This Row],[Cost Boolean]]*(VLOOKUP(Table410[[#This Row],[RATE CONCAT]],Tables!I:N,5,0)),0)</f>
        <v/>
      </c>
      <c r="CQ19" s="342">
        <f>Table410[[#This Row],[Jul_2026_F]]-Table410[[#This Row],[Jul_2026_A]]</f>
        <v/>
      </c>
      <c r="CS19" s="342">
        <f>IFERROR(Table410[[#This Row],[Aug_2026_Days_Forecast]]*Table410[[#This Row],[Cost Boolean]]*(VLOOKUP(Table410[[#This Row],[RATE CONCAT]],Tables!I:N,5,0)),0)</f>
        <v/>
      </c>
      <c r="CT19" s="342">
        <f>IFERROR(Table410[[#This Row],[Aug_2026_Days_Actual]]*Table410[[#This Row],[Cost Boolean]]*(VLOOKUP(Table410[[#This Row],[RATE CONCAT]],Tables!I:N,5,0)),0)</f>
        <v/>
      </c>
      <c r="CU19" s="342">
        <f>Table410[[#This Row],[Aug_2026_F]]-Table410[[#This Row],[Aug_2026_A]]</f>
        <v/>
      </c>
      <c r="CW19" s="342">
        <f>IFERROR(Table410[[#This Row],[Sep_2026_Days_Forecast]]*Table410[[#This Row],[Cost Boolean]]*(VLOOKUP(Table410[[#This Row],[RATE CONCAT]],Tables!I:N,5,0)),0)</f>
        <v/>
      </c>
      <c r="CX19" s="342">
        <f>IFERROR(Table410[[#This Row],[Sep_2026_Days_Actual]]*Table410[[#This Row],[Cost Boolean]]*(VLOOKUP(Table410[[#This Row],[RATE CONCAT]],Tables!I:N,5,0)),0)</f>
        <v/>
      </c>
      <c r="CY19" s="342">
        <f>Table410[[#This Row],[Sep_2026_F]]-Table410[[#This Row],[Sep_2026_A]]</f>
        <v/>
      </c>
      <c r="DA19" s="342">
        <f>IFERROR(Table410[[#This Row],[Oct_2026_Days_Forecast]]*Table410[[#This Row],[Cost Boolean]]*(VLOOKUP(Table410[[#This Row],[RATE CONCAT]],Tables!I:N,5,0)),0)</f>
        <v/>
      </c>
      <c r="DB19" s="342">
        <f>IFERROR(Table410[[#This Row],[Oct_2026_Days_Actual]]*Table410[[#This Row],[Cost Boolean]]*(VLOOKUP(Table410[[#This Row],[RATE CONCAT]],Tables!I:N,5,0)),0)</f>
        <v/>
      </c>
      <c r="DC19" s="342">
        <f>Table410[[#This Row],[Oct_2026_F]]-Table410[[#This Row],[Oct_2026_A]]</f>
        <v/>
      </c>
      <c r="DE19" s="342">
        <f>IFERROR(Table410[[#This Row],[Nov_2026_Days_Forecast]]*Table410[[#This Row],[Cost Boolean]]*(VLOOKUP(Table410[[#This Row],[RATE CONCAT]],Tables!I:N,5,0)),0)</f>
        <v/>
      </c>
      <c r="DF19" s="342">
        <f>IFERROR(Table410[[#This Row],[Nov_2026_Days_Actual]]*Table410[[#This Row],[Cost Boolean]]*(VLOOKUP(Table410[[#This Row],[RATE CONCAT]],Tables!I:N,5,0)),0)</f>
        <v/>
      </c>
      <c r="DG19" s="342">
        <f>Table410[[#This Row],[Nov_2026_F]]-Table410[[#This Row],[Nov_2026_A]]</f>
        <v/>
      </c>
      <c r="DI19" s="342">
        <f>IFERROR(Table410[[#This Row],[Dec_2026_Days_Forecast]]*Table410[[#This Row],[Cost Boolean]]*(VLOOKUP(Table410[[#This Row],[RATE CONCAT]],Tables!I:N,5,0)),0)</f>
        <v/>
      </c>
      <c r="DJ19" s="342">
        <f>IFERROR(Table410[[#This Row],[Dec_2026_Days_Actual]]*Table410[[#This Row],[Cost Boolean]]*(VLOOKUP(Table410[[#This Row],[RATE CONCAT]],Tables!I:N,5,0)),0)</f>
        <v/>
      </c>
      <c r="DK19" s="342">
        <f>Table410[[#This Row],[Dec_2026_F]]-Table410[[#This Row],[Dec_2026_A]]</f>
        <v/>
      </c>
      <c r="DN19" s="342">
        <f>IFERROR(Table410[[#This Row],[Jan_2027_Days_Forecast]]*Table410[[#This Row],[Cost Boolean]]*(VLOOKUP(Table410[[#This Row],[RATE CONCAT]],Tables!I:N,6,0)),0)</f>
        <v/>
      </c>
      <c r="DO19" s="342" t="n">
        <v>0</v>
      </c>
      <c r="DP19" s="342">
        <f>Table410[[#This Row],[Jan_2027_F]]-Table410[[#This Row],[Jan_2027_A]]</f>
        <v/>
      </c>
      <c r="DQ19" s="342">
        <f>IFERROR(Table410[[#This Row],[Feb_2027_Days_Forecast]]*Table410[[#This Row],[Cost Boolean]]*(VLOOKUP(Table410[[#This Row],[RATE CONCAT]],Tables!I:N,6,0)),0)</f>
        <v/>
      </c>
      <c r="DR19" s="342" t="n">
        <v>0</v>
      </c>
      <c r="DS19" s="342">
        <f>Table410[[#This Row],[Feb_2027_F]]-Table410[[#This Row],[Feb_2027_A]]</f>
        <v/>
      </c>
      <c r="DT19" s="342">
        <f>IFERROR(Table410[[#This Row],[Mar_2027_Days_Forecast]]*Table410[[#This Row],[Cost Boolean]]*(VLOOKUP(Table410[[#This Row],[RATE CONCAT]],Tables!I:N,6,0)),0)</f>
        <v/>
      </c>
      <c r="DU19" s="342" t="n">
        <v>0</v>
      </c>
      <c r="DV19" s="342">
        <f>Table410[[#This Row],[Mar_2027_F]]-Table410[[#This Row],[Mar_2027_A]]</f>
        <v/>
      </c>
      <c r="DW19" s="342">
        <f>IFERROR(Table410[[#This Row],[Apr_2027_Days_Forecast]]*Table410[[#This Row],[Cost Boolean]]*(VLOOKUP(Table410[[#This Row],[RATE CONCAT]],Tables!I:N,6,0)),0)</f>
        <v/>
      </c>
      <c r="DX19" s="342" t="n">
        <v>0</v>
      </c>
      <c r="DY19" s="342">
        <f>Table410[[#This Row],[Apr_2027_F]]-Table410[[#This Row],[Apr_2027_A]]</f>
        <v/>
      </c>
      <c r="DZ19" s="342">
        <f>IFERROR(Table410[[#This Row],[May_2027_Days_Forecast]]*Table410[[#This Row],[Cost Boolean]]*(VLOOKUP(Table410[[#This Row],[RATE CONCAT]],Tables!I:N,6,0)),0)</f>
        <v/>
      </c>
      <c r="EA19" s="342" t="n">
        <v>0</v>
      </c>
      <c r="EB19" s="342">
        <f>Table410[[#This Row],[May_2027_F]]-Table410[[#This Row],[May_2027_A]]</f>
        <v/>
      </c>
      <c r="EC19" s="342">
        <f>IFERROR(Table410[[#This Row],[Jun_2027_Days_Forecast]]*Table410[[#This Row],[Cost Boolean]]*(VLOOKUP(Table410[[#This Row],[RATE CONCAT]],Tables!I:N,6,0)),0)</f>
        <v/>
      </c>
      <c r="ED19" s="342" t="n">
        <v>0</v>
      </c>
      <c r="EE19" s="342">
        <f>Table410[[#This Row],[Jun_2027_F]]-Table410[[#This Row],[Jun_2027_A]]</f>
        <v/>
      </c>
      <c r="EF19" s="342">
        <f>IFERROR(Table410[[#This Row],[Jul_2027_Days_Forecast]]*Table410[[#This Row],[Cost Boolean]]*(VLOOKUP(Table410[[#This Row],[RATE CONCAT]],Tables!I:N,6,0)),0)</f>
        <v/>
      </c>
      <c r="EG19" s="342" t="n">
        <v>0</v>
      </c>
      <c r="EH19" s="342">
        <f>Table410[[#This Row],[Jul_2027_F]]-Table410[[#This Row],[Jul_2027_A]]</f>
        <v/>
      </c>
      <c r="EI19" s="342">
        <f>IFERROR(Table410[[#This Row],[Aug_2027_Days_Forecast]]*Table410[[#This Row],[Cost Boolean]]*(VLOOKUP(Table410[[#This Row],[RATE CONCAT]],Tables!I:N,6,0)),0)</f>
        <v/>
      </c>
      <c r="EJ19" s="342" t="n">
        <v>0</v>
      </c>
      <c r="EK19" s="342">
        <f>Table410[[#This Row],[Aug_2027_F]]-Table410[[#This Row],[Aug_2027_A]]</f>
        <v/>
      </c>
      <c r="EL19" s="342">
        <f>IFERROR(Table410[[#This Row],[Sep_2027_Days_Forecast]]*Table410[[#This Row],[Cost Boolean]]*(VLOOKUP(Table410[[#This Row],[RATE CONCAT]],Tables!I:N,6,0)),0)</f>
        <v/>
      </c>
      <c r="EM19" s="342" t="n">
        <v>0</v>
      </c>
      <c r="EN19" s="342">
        <f>Table410[[#This Row],[Sep_2027_F]]-Table410[[#This Row],[Sep_2027_A]]</f>
        <v/>
      </c>
      <c r="EO19" s="342">
        <f>IFERROR(Table410[[#This Row],[Oct_2027_Days_Forecast]]*Table410[[#This Row],[Cost Boolean]]*(VLOOKUP(Table410[[#This Row],[RATE CONCAT]],Tables!I:N,6,0)),0)</f>
        <v/>
      </c>
      <c r="EP19" s="342" t="n">
        <v>0</v>
      </c>
      <c r="EQ19" s="342">
        <f>Table410[[#This Row],[Oct_2027_F]]-Table410[[#This Row],[Oct_2027_A]]</f>
        <v/>
      </c>
      <c r="ER19" s="342">
        <f>IFERROR(Table410[[#This Row],[Nov_2027_Days_Forecast]]*Table410[[#This Row],[Cost Boolean]]*(VLOOKUP(Table410[[#This Row],[RATE CONCAT]],Tables!I:N,6,0)),0)</f>
        <v/>
      </c>
      <c r="ES19" s="342" t="n">
        <v>0</v>
      </c>
      <c r="ET19" s="342">
        <f>Table410[[#This Row],[Nov_2027_F]]-Table410[[#This Row],[Nov_2027_A]]</f>
        <v/>
      </c>
      <c r="EU19" s="342">
        <f>IFERROR(Table410[[#This Row],[Dec_2027_Days_Forecast]]*Table410[[#This Row],[Cost Boolean]]*(VLOOKUP(Table410[[#This Row],[RATE CONCAT]],Tables!I:N,6,0)),0)</f>
        <v/>
      </c>
      <c r="EV19" s="342" t="n">
        <v>0</v>
      </c>
      <c r="EW19" s="342">
        <f>Table410[[#This Row],[Dec_2027_F]]-Table410[[#This Row],[Dec_2027_A]]</f>
        <v/>
      </c>
    </row>
    <row r="20" ht="15" customFormat="1" customHeight="1" s="13">
      <c r="A20" s="338" t="inlineStr">
        <is>
          <t>PDSFS1035</t>
        </is>
      </c>
      <c r="B20" s="338" t="inlineStr">
        <is>
          <t>USDF</t>
        </is>
      </c>
      <c r="C20" s="338" t="inlineStr">
        <is>
          <t>Staff</t>
        </is>
      </c>
      <c r="D20" s="338" t="inlineStr">
        <is>
          <t>Anne Ong</t>
        </is>
      </c>
      <c r="E20" s="338" t="inlineStr">
        <is>
          <t>Shell Business</t>
        </is>
      </c>
      <c r="G20" s="338" t="inlineStr">
        <is>
          <t>Singapore</t>
        </is>
      </c>
      <c r="H20" s="338" t="n">
        <v>4</v>
      </c>
      <c r="J20" s="338" t="inlineStr">
        <is>
          <t>PNL Analyst</t>
        </is>
      </c>
      <c r="K20" s="338" t="inlineStr">
        <is>
          <t>In-seat</t>
        </is>
      </c>
      <c r="L20" s="338" t="n">
        <v>0</v>
      </c>
      <c r="M20" s="338" t="inlineStr">
        <is>
          <t>SGP</t>
        </is>
      </c>
      <c r="N20" s="338" t="inlineStr">
        <is>
          <t>P&amp;L Analysis</t>
        </is>
      </c>
      <c r="O20" s="338" t="inlineStr">
        <is>
          <t>Opex</t>
        </is>
      </c>
      <c r="P20" s="338" t="inlineStr">
        <is>
          <t>Business</t>
        </is>
      </c>
      <c r="Q20" s="338" t="inlineStr">
        <is>
          <t>TBD</t>
        </is>
      </c>
      <c r="R20" s="339" t="n">
        <v>46023</v>
      </c>
      <c r="S20" s="339" t="n">
        <v>46387</v>
      </c>
      <c r="T20" s="339" t="n">
        <v>46023</v>
      </c>
      <c r="U20" s="339" t="n">
        <v>46387</v>
      </c>
      <c r="V20" s="339" t="n">
        <v>46023</v>
      </c>
      <c r="W20" s="339" t="n">
        <v>46387</v>
      </c>
      <c r="Y20" s="338">
        <f>CONCATENATE(Table410[[#This Row],[JG]],Table410[[#This Row],[Country]],Table410[[#This Row],[Resource Provider]])</f>
        <v/>
      </c>
      <c r="Z20" s="338">
        <f>VLOOKUP(Table410[[#This Row],[RATE CONCAT]],Tables!I:N,5,0)</f>
        <v/>
      </c>
      <c r="AA20" s="52" t="n"/>
      <c r="AB20" s="130" t="n"/>
      <c r="AC20" s="340" t="n">
        <v>5</v>
      </c>
      <c r="AD20" s="340" t="n">
        <v>5</v>
      </c>
      <c r="AE20" s="340" t="n">
        <v>5</v>
      </c>
      <c r="AF20" s="340" t="n">
        <v>5</v>
      </c>
      <c r="AG20" s="340" t="n">
        <v>4</v>
      </c>
      <c r="AH20" s="340" t="n">
        <v>5</v>
      </c>
      <c r="AI20" s="340" t="n">
        <v>5</v>
      </c>
      <c r="AJ20" s="340" t="n">
        <v>5</v>
      </c>
      <c r="AK20" s="340" t="n">
        <v>5</v>
      </c>
      <c r="AL20" s="130" t="n"/>
      <c r="AM20" s="130" t="n"/>
      <c r="AN20" s="341">
        <f>IFERROR(AVERAGE(Table410[[#This Row],[Jan_2026_Days_Forecast]:[Dec_2026_Days_Forecast]]),0)/19</f>
        <v/>
      </c>
      <c r="AO20" s="341">
        <f>IFERROR(AVERAGE(Table410[[#This Row],[Jan_2026_Days_Actual]:[Dec_2026_Days_Actual]]),0)/19</f>
        <v/>
      </c>
      <c r="AP20" s="130" t="n"/>
      <c r="AQ20" s="340" t="n">
        <v>5</v>
      </c>
      <c r="AR20" s="340" t="n">
        <v>5</v>
      </c>
      <c r="AS20" s="340" t="n">
        <v>5</v>
      </c>
      <c r="AT20" s="340" t="n">
        <v>5</v>
      </c>
      <c r="AU20" s="340" t="n">
        <v>4</v>
      </c>
      <c r="AV20" s="340" t="n">
        <v>5</v>
      </c>
      <c r="AW20" s="340" t="n">
        <v>5</v>
      </c>
      <c r="AX20" s="340" t="n">
        <v>5</v>
      </c>
      <c r="AY20" s="340" t="n">
        <v>5</v>
      </c>
      <c r="AZ20" s="130" t="n"/>
      <c r="BA20" s="130" t="n"/>
      <c r="BB20" s="341">
        <f>IFERROR(AVERAGE(Table410[[#This Row],[Jan_2027_Days_Forecast]:[Dec_2027_Days_Forecast]]),0)</f>
        <v/>
      </c>
      <c r="BC20" s="127" t="n"/>
      <c r="BD20" s="127" t="n"/>
      <c r="BE20" s="127" t="n"/>
      <c r="BF20" s="127" t="n"/>
      <c r="BG20" s="127" t="n"/>
      <c r="BH20" s="127" t="n"/>
      <c r="BI20" s="127" t="n"/>
      <c r="BJ20" s="127" t="n"/>
      <c r="BK20" s="127" t="n"/>
      <c r="BL20" s="127" t="n"/>
      <c r="BM20" s="127" t="n"/>
      <c r="BN20" s="127" t="n"/>
      <c r="BO20" s="176" t="n"/>
      <c r="BP20" s="176" t="n"/>
      <c r="BQ20" s="338">
        <f>IFERROR(Table410[[#This Row],[Jan_2026_Days_Forecast]]*Table410[[#This Row],[Cost Boolean]]*(VLOOKUP(Table410[[#This Row],[RATE CONCAT]],Tables!I:N,5,0)),0)</f>
        <v/>
      </c>
      <c r="BR20" s="338">
        <f>IFERROR(Table410[[#This Row],[Jan_2026_Days_Actual]]*Table410[[#This Row],[Cost Boolean]]*(VLOOKUP(Table410[[#This Row],[RATE CONCAT]],Tables!I:N,5,0)),0)</f>
        <v/>
      </c>
      <c r="BS20" s="338">
        <f>Table410[[#This Row],[Jan_2026_F]]-Table410[[#This Row],[Jan_2026_A]]</f>
        <v/>
      </c>
      <c r="BU20" s="338">
        <f>IFERROR(Table410[[#This Row],[Feb_2026_Days_Forecast]]*Table410[[#This Row],[Cost Boolean]]*(VLOOKUP(Table410[[#This Row],[RATE CONCAT]],Tables!I:N,5,0)),0)</f>
        <v/>
      </c>
      <c r="BV20" s="338">
        <f>IFERROR(Table410[[#This Row],[Feb_2026_Days_Actual]]*Table410[[#This Row],[Cost Boolean]]*(VLOOKUP(Table410[[#This Row],[RATE CONCAT]],Tables!I:N,5,0)),0)</f>
        <v/>
      </c>
      <c r="BW20" s="338">
        <f>Table410[[#This Row],[Feb_2026_F]]-Table410[[#This Row],[Feb_2026_A]]</f>
        <v/>
      </c>
      <c r="BY20" s="338">
        <f>IFERROR(Table410[[#This Row],[Mar_2026_Days_Forecast]]*Table410[[#This Row],[Cost Boolean]]*(VLOOKUP(Table410[[#This Row],[RATE CONCAT]],Tables!I:N,5,0)),0)</f>
        <v/>
      </c>
      <c r="BZ20" s="338">
        <f>IFERROR(Table410[[#This Row],[Mar_2026_Days_Actual]]*Table410[[#This Row],[Cost Boolean]]*(VLOOKUP(Table410[[#This Row],[RATE CONCAT]],Tables!I:N,5,0)),0)</f>
        <v/>
      </c>
      <c r="CA20" s="338">
        <f>Table410[[#This Row],[Mar_2026_F]]-Table410[[#This Row],[Mar_2026_A]]</f>
        <v/>
      </c>
      <c r="CC20" s="338">
        <f>IFERROR(Table410[[#This Row],[Apr_2026_Days_Forecast]]*Table410[[#This Row],[Cost Boolean]]*(VLOOKUP(Table410[[#This Row],[RATE CONCAT]],Tables!I:N,5,0)),0)</f>
        <v/>
      </c>
      <c r="CD20" s="338">
        <f>IFERROR(Table410[[#This Row],[Apr_2026_Days_Actual]]*Table410[[#This Row],[Cost Boolean]]*(VLOOKUP(Table410[[#This Row],[RATE CONCAT]],Tables!I:N,5,0)),0)</f>
        <v/>
      </c>
      <c r="CE20" s="338">
        <f>Table410[[#This Row],[Apr_2026_F]]-Table410[[#This Row],[Apr_2026_A]]</f>
        <v/>
      </c>
      <c r="CG20" s="338">
        <f>IFERROR(Table410[[#This Row],[May_2026_Days_Forecast]] *Table410[[#This Row],[Cost Boolean]]*(VLOOKUP(Table410[[#This Row],[RATE CONCAT]],Tables!I:N,5,0)),0)</f>
        <v/>
      </c>
      <c r="CH20" s="338">
        <f>IFERROR(Table410[[#This Row],[May_2026_Days_Actual]]*Table410[[#This Row],[Cost Boolean]]*(VLOOKUP(Table410[[#This Row],[RATE CONCAT]],Tables!I:N,5,0)),0)</f>
        <v/>
      </c>
      <c r="CI20" s="338">
        <f>Table410[[#This Row],[May_2026_F]]-Table410[[#This Row],[May_2026_A]]</f>
        <v/>
      </c>
      <c r="CK20" s="338">
        <f>IFERROR(Table410[[#This Row],[Jun_2026_Days_Forecast]]*Table410[[#This Row],[Cost Boolean]]*(VLOOKUP(Table410[[#This Row],[RATE CONCAT]],Tables!I:N,5,0)),0)</f>
        <v/>
      </c>
      <c r="CL20" s="338">
        <f>IFERROR(Table410[[#This Row],[Jun_2026_Days_Actual]]*Table410[[#This Row],[Cost Boolean]]*(VLOOKUP(Table410[[#This Row],[RATE CONCAT]],Tables!I:N,5,0)),0)</f>
        <v/>
      </c>
      <c r="CM20" s="338">
        <f>Table410[[#This Row],[Jun_2026_F]]-Table410[[#This Row],[Jun_2026_A]]</f>
        <v/>
      </c>
      <c r="CO20" s="338">
        <f>IFERROR(Table410[[#This Row],[Jul_2026_Days_Forecast]]*Table410[[#This Row],[Cost Boolean]]*(VLOOKUP(Table410[[#This Row],[RATE CONCAT]],Tables!I:N,5,0)),0)</f>
        <v/>
      </c>
      <c r="CP20" s="338">
        <f>IFERROR(Table410[[#This Row],[Jul_2026_Days_Actual]]*Table410[[#This Row],[Cost Boolean]]*(VLOOKUP(Table410[[#This Row],[RATE CONCAT]],Tables!I:N,5,0)),0)</f>
        <v/>
      </c>
      <c r="CQ20" s="338">
        <f>Table410[[#This Row],[Jul_2026_F]]-Table410[[#This Row],[Jul_2026_A]]</f>
        <v/>
      </c>
      <c r="CS20" s="338">
        <f>IFERROR(Table410[[#This Row],[Aug_2026_Days_Forecast]]*Table410[[#This Row],[Cost Boolean]]*(VLOOKUP(Table410[[#This Row],[RATE CONCAT]],Tables!I:N,5,0)),0)</f>
        <v/>
      </c>
      <c r="CT20" s="338">
        <f>IFERROR(Table410[[#This Row],[Aug_2026_Days_Actual]]*Table410[[#This Row],[Cost Boolean]]*(VLOOKUP(Table410[[#This Row],[RATE CONCAT]],Tables!I:N,5,0)),0)</f>
        <v/>
      </c>
      <c r="CU20" s="338">
        <f>Table410[[#This Row],[Aug_2026_F]]-Table410[[#This Row],[Aug_2026_A]]</f>
        <v/>
      </c>
      <c r="CW20" s="338">
        <f>IFERROR(Table410[[#This Row],[Sep_2026_Days_Forecast]]*Table410[[#This Row],[Cost Boolean]]*(VLOOKUP(Table410[[#This Row],[RATE CONCAT]],Tables!I:N,5,0)),0)</f>
        <v/>
      </c>
      <c r="CX20" s="338">
        <f>IFERROR(Table410[[#This Row],[Sep_2026_Days_Actual]]*Table410[[#This Row],[Cost Boolean]]*(VLOOKUP(Table410[[#This Row],[RATE CONCAT]],Tables!I:N,5,0)),0)</f>
        <v/>
      </c>
      <c r="CY20" s="338">
        <f>Table410[[#This Row],[Sep_2026_F]]-Table410[[#This Row],[Sep_2026_A]]</f>
        <v/>
      </c>
      <c r="DA20" s="338">
        <f>IFERROR(Table410[[#This Row],[Oct_2026_Days_Forecast]]*Table410[[#This Row],[Cost Boolean]]*(VLOOKUP(Table410[[#This Row],[RATE CONCAT]],Tables!I:N,5,0)),0)</f>
        <v/>
      </c>
      <c r="DB20" s="338">
        <f>IFERROR(Table410[[#This Row],[Oct_2026_Days_Actual]]*Table410[[#This Row],[Cost Boolean]]*(VLOOKUP(Table410[[#This Row],[RATE CONCAT]],Tables!I:N,5,0)),0)</f>
        <v/>
      </c>
      <c r="DC20" s="338">
        <f>Table410[[#This Row],[Oct_2026_F]]-Table410[[#This Row],[Oct_2026_A]]</f>
        <v/>
      </c>
      <c r="DE20" s="338">
        <f>IFERROR(Table410[[#This Row],[Nov_2026_Days_Forecast]]*Table410[[#This Row],[Cost Boolean]]*(VLOOKUP(Table410[[#This Row],[RATE CONCAT]],Tables!I:N,5,0)),0)</f>
        <v/>
      </c>
      <c r="DF20" s="338">
        <f>IFERROR(Table410[[#This Row],[Nov_2026_Days_Actual]]*Table410[[#This Row],[Cost Boolean]]*(VLOOKUP(Table410[[#This Row],[RATE CONCAT]],Tables!I:N,5,0)),0)</f>
        <v/>
      </c>
      <c r="DG20" s="338">
        <f>Table410[[#This Row],[Nov_2026_F]]-Table410[[#This Row],[Nov_2026_A]]</f>
        <v/>
      </c>
      <c r="DI20" s="338">
        <f>IFERROR(Table410[[#This Row],[Dec_2026_Days_Forecast]]*Table410[[#This Row],[Cost Boolean]]*(VLOOKUP(Table410[[#This Row],[RATE CONCAT]],Tables!I:N,5,0)),0)</f>
        <v/>
      </c>
      <c r="DJ20" s="338">
        <f>IFERROR(Table410[[#This Row],[Dec_2026_Days_Actual]]*Table410[[#This Row],[Cost Boolean]]*(VLOOKUP(Table410[[#This Row],[RATE CONCAT]],Tables!I:N,5,0)),0)</f>
        <v/>
      </c>
      <c r="DK20" s="338">
        <f>Table410[[#This Row],[Dec_2026_F]]-Table410[[#This Row],[Dec_2026_A]]</f>
        <v/>
      </c>
      <c r="DN20" s="338">
        <f>IFERROR(Table410[[#This Row],[Jan_2027_Days_Forecast]]*Table410[[#This Row],[Cost Boolean]]*(VLOOKUP(Table410[[#This Row],[RATE CONCAT]],Tables!I:N,6,0)),0)</f>
        <v/>
      </c>
      <c r="DP20" s="338">
        <f>Table410[[#This Row],[Jan_2027_F]]-Table410[[#This Row],[Jan_2027_A]]</f>
        <v/>
      </c>
      <c r="DQ20" s="338">
        <f>IFERROR(Table410[[#This Row],[Feb_2027_Days_Forecast]]*Table410[[#This Row],[Cost Boolean]]*(VLOOKUP(Table410[[#This Row],[RATE CONCAT]],Tables!I:N,6,0)),0)</f>
        <v/>
      </c>
      <c r="DS20" s="338">
        <f>Table410[[#This Row],[Feb_2027_F]]-Table410[[#This Row],[Feb_2027_A]]</f>
        <v/>
      </c>
      <c r="DT20" s="338">
        <f>IFERROR(Table410[[#This Row],[Mar_2027_Days_Forecast]]*Table410[[#This Row],[Cost Boolean]]*(VLOOKUP(Table410[[#This Row],[RATE CONCAT]],Tables!I:N,6,0)),0)</f>
        <v/>
      </c>
      <c r="DV20" s="338">
        <f>Table410[[#This Row],[Mar_2027_F]]-Table410[[#This Row],[Mar_2027_A]]</f>
        <v/>
      </c>
      <c r="DW20" s="338">
        <f>IFERROR(Table410[[#This Row],[Apr_2027_Days_Forecast]]*Table410[[#This Row],[Cost Boolean]]*(VLOOKUP(Table410[[#This Row],[RATE CONCAT]],Tables!I:N,6,0)),0)</f>
        <v/>
      </c>
      <c r="DY20" s="338">
        <f>Table410[[#This Row],[Apr_2027_F]]-Table410[[#This Row],[Apr_2027_A]]</f>
        <v/>
      </c>
      <c r="DZ20" s="338">
        <f>IFERROR(Table410[[#This Row],[May_2027_Days_Forecast]]*Table410[[#This Row],[Cost Boolean]]*(VLOOKUP(Table410[[#This Row],[RATE CONCAT]],Tables!I:N,6,0)),0)</f>
        <v/>
      </c>
      <c r="EB20" s="338">
        <f>Table410[[#This Row],[May_2027_F]]-Table410[[#This Row],[May_2027_A]]</f>
        <v/>
      </c>
      <c r="EC20" s="338">
        <f>IFERROR(Table410[[#This Row],[Jun_2027_Days_Forecast]]*Table410[[#This Row],[Cost Boolean]]*(VLOOKUP(Table410[[#This Row],[RATE CONCAT]],Tables!I:N,6,0)),0)</f>
        <v/>
      </c>
      <c r="EE20" s="338">
        <f>Table410[[#This Row],[Jun_2027_F]]-Table410[[#This Row],[Jun_2027_A]]</f>
        <v/>
      </c>
      <c r="EF20" s="338">
        <f>IFERROR(Table410[[#This Row],[Jul_2027_Days_Forecast]]*Table410[[#This Row],[Cost Boolean]]*(VLOOKUP(Table410[[#This Row],[RATE CONCAT]],Tables!I:N,6,0)),0)</f>
        <v/>
      </c>
      <c r="EH20" s="338">
        <f>Table410[[#This Row],[Jul_2027_F]]-Table410[[#This Row],[Jul_2027_A]]</f>
        <v/>
      </c>
      <c r="EI20" s="338">
        <f>IFERROR(Table410[[#This Row],[Aug_2027_Days_Forecast]]*Table410[[#This Row],[Cost Boolean]]*(VLOOKUP(Table410[[#This Row],[RATE CONCAT]],Tables!I:N,6,0)),0)</f>
        <v/>
      </c>
      <c r="EK20" s="338">
        <f>Table410[[#This Row],[Aug_2027_F]]-Table410[[#This Row],[Aug_2027_A]]</f>
        <v/>
      </c>
      <c r="EL20" s="338">
        <f>IFERROR(Table410[[#This Row],[Sep_2027_Days_Forecast]]*Table410[[#This Row],[Cost Boolean]]*(VLOOKUP(Table410[[#This Row],[RATE CONCAT]],Tables!I:N,6,0)),0)</f>
        <v/>
      </c>
      <c r="EN20" s="338">
        <f>Table410[[#This Row],[Sep_2027_F]]-Table410[[#This Row],[Sep_2027_A]]</f>
        <v/>
      </c>
      <c r="EO20" s="338">
        <f>IFERROR(Table410[[#This Row],[Oct_2027_Days_Forecast]]*Table410[[#This Row],[Cost Boolean]]*(VLOOKUP(Table410[[#This Row],[RATE CONCAT]],Tables!I:N,6,0)),0)</f>
        <v/>
      </c>
      <c r="EQ20" s="338">
        <f>Table410[[#This Row],[Oct_2027_F]]-Table410[[#This Row],[Oct_2027_A]]</f>
        <v/>
      </c>
      <c r="ER20" s="338">
        <f>IFERROR(Table410[[#This Row],[Nov_2027_Days_Forecast]]*Table410[[#This Row],[Cost Boolean]]*(VLOOKUP(Table410[[#This Row],[RATE CONCAT]],Tables!I:N,6,0)),0)</f>
        <v/>
      </c>
      <c r="ET20" s="338">
        <f>Table410[[#This Row],[Nov_2027_F]]-Table410[[#This Row],[Nov_2027_A]]</f>
        <v/>
      </c>
      <c r="EU20" s="338">
        <f>IFERROR(Table410[[#This Row],[Dec_2027_Days_Forecast]]*Table410[[#This Row],[Cost Boolean]]*(VLOOKUP(Table410[[#This Row],[RATE CONCAT]],Tables!I:N,6,0)),0)</f>
        <v/>
      </c>
      <c r="EW20" s="338">
        <f>Table410[[#This Row],[Dec_2027_F]]-Table410[[#This Row],[Dec_2027_A]]</f>
        <v/>
      </c>
    </row>
    <row r="21" ht="15" customFormat="1" customHeight="1" s="13">
      <c r="A21" s="342" t="inlineStr">
        <is>
          <t>PDSFS1037</t>
        </is>
      </c>
      <c r="B21" s="342" t="inlineStr">
        <is>
          <t>USDF</t>
        </is>
      </c>
      <c r="C21" s="342" t="inlineStr">
        <is>
          <t>Staff</t>
        </is>
      </c>
      <c r="D21" s="342" t="inlineStr">
        <is>
          <t>Carlos Lorenzo Fernandez</t>
        </is>
      </c>
      <c r="E21" s="342" t="inlineStr">
        <is>
          <t>Shell Business</t>
        </is>
      </c>
      <c r="G21" s="342" t="inlineStr">
        <is>
          <t>Philippines</t>
        </is>
      </c>
      <c r="H21" s="342" t="n">
        <v>4</v>
      </c>
      <c r="J21" s="342" t="inlineStr">
        <is>
          <t>Voyage Claims SME</t>
        </is>
      </c>
      <c r="K21" s="342" t="inlineStr">
        <is>
          <t>In-seat</t>
        </is>
      </c>
      <c r="L21" s="342" t="n">
        <v>0</v>
      </c>
      <c r="M21" s="342" t="inlineStr">
        <is>
          <t>MLA</t>
        </is>
      </c>
      <c r="N21" s="342" t="inlineStr">
        <is>
          <t>Voyage Claims</t>
        </is>
      </c>
      <c r="O21" s="342" t="inlineStr">
        <is>
          <t>Opex</t>
        </is>
      </c>
      <c r="P21" s="342" t="inlineStr">
        <is>
          <t>Business</t>
        </is>
      </c>
      <c r="Q21" s="342" t="inlineStr">
        <is>
          <t>TBD</t>
        </is>
      </c>
      <c r="R21" s="343" t="n">
        <v>46023</v>
      </c>
      <c r="S21" s="343" t="n">
        <v>46387</v>
      </c>
      <c r="T21" s="343" t="n">
        <v>46023</v>
      </c>
      <c r="U21" s="343" t="n">
        <v>46387</v>
      </c>
      <c r="V21" s="343" t="n">
        <v>46023</v>
      </c>
      <c r="W21" s="343" t="n">
        <v>46387</v>
      </c>
      <c r="Y21" s="342">
        <f>CONCATENATE(Table410[[#This Row],[JG]],Table410[[#This Row],[Country]],Table410[[#This Row],[Resource Provider]])</f>
        <v/>
      </c>
      <c r="Z21" s="342">
        <f>VLOOKUP(Table410[[#This Row],[RATE CONCAT]],Tables!I:N,5,0)</f>
        <v/>
      </c>
      <c r="AA21" s="52" t="n"/>
      <c r="AB21" s="130" t="n"/>
      <c r="AC21" s="344" t="n">
        <v>5</v>
      </c>
      <c r="AD21" s="344" t="n">
        <v>5</v>
      </c>
      <c r="AE21" s="344" t="n">
        <v>5</v>
      </c>
      <c r="AF21" s="344" t="n">
        <v>5</v>
      </c>
      <c r="AG21" s="344" t="n">
        <v>4</v>
      </c>
      <c r="AH21" s="344" t="n">
        <v>5</v>
      </c>
      <c r="AI21" s="344" t="n">
        <v>5</v>
      </c>
      <c r="AJ21" s="344" t="n">
        <v>5</v>
      </c>
      <c r="AK21" s="344" t="n">
        <v>5</v>
      </c>
      <c r="AL21" s="130" t="n"/>
      <c r="AM21" s="130" t="n"/>
      <c r="AN21" s="341">
        <f>IFERROR(AVERAGE(Table410[[#This Row],[Jan_2026_Days_Forecast]:[Dec_2026_Days_Forecast]]),0)/19</f>
        <v/>
      </c>
      <c r="AO21" s="341">
        <f>IFERROR(AVERAGE(Table410[[#This Row],[Jan_2026_Days_Actual]:[Dec_2026_Days_Actual]]),0)/19</f>
        <v/>
      </c>
      <c r="AP21" s="130" t="n"/>
      <c r="AQ21" s="344" t="n">
        <v>5</v>
      </c>
      <c r="AR21" s="344" t="n">
        <v>5</v>
      </c>
      <c r="AS21" s="344" t="n">
        <v>5</v>
      </c>
      <c r="AT21" s="344" t="n">
        <v>5</v>
      </c>
      <c r="AU21" s="344" t="n">
        <v>4</v>
      </c>
      <c r="AV21" s="344" t="n">
        <v>5</v>
      </c>
      <c r="AW21" s="344" t="n">
        <v>5</v>
      </c>
      <c r="AX21" s="344" t="n">
        <v>5</v>
      </c>
      <c r="AY21" s="344" t="n">
        <v>5</v>
      </c>
      <c r="AZ21" s="130" t="n"/>
      <c r="BA21" s="130" t="n"/>
      <c r="BB21" s="341">
        <f>IFERROR(AVERAGE(Table410[[#This Row],[Jan_2027_Days_Forecast]:[Dec_2027_Days_Forecast]]),0)</f>
        <v/>
      </c>
      <c r="BC21" s="127" t="n"/>
      <c r="BD21" s="127" t="n"/>
      <c r="BE21" s="127" t="n"/>
      <c r="BF21" s="127" t="n"/>
      <c r="BG21" s="127" t="n"/>
      <c r="BH21" s="127" t="n"/>
      <c r="BI21" s="127" t="n"/>
      <c r="BJ21" s="127" t="n"/>
      <c r="BK21" s="127" t="n"/>
      <c r="BL21" s="127" t="n"/>
      <c r="BM21" s="127" t="n"/>
      <c r="BN21" s="127" t="n"/>
      <c r="BO21" s="176" t="n"/>
      <c r="BP21" s="176" t="n"/>
      <c r="BQ21" s="342">
        <f>IFERROR(Table410[[#This Row],[Jan_2026_Days_Forecast]]*Table410[[#This Row],[Cost Boolean]]*(VLOOKUP(Table410[[#This Row],[RATE CONCAT]],Tables!I:N,5,0)),0)</f>
        <v/>
      </c>
      <c r="BR21" s="342">
        <f>IFERROR(Table410[[#This Row],[Jan_2026_Days_Actual]]*Table410[[#This Row],[Cost Boolean]]*(VLOOKUP(Table410[[#This Row],[RATE CONCAT]],Tables!I:N,5,0)),0)</f>
        <v/>
      </c>
      <c r="BS21" s="342">
        <f>Table410[[#This Row],[Jan_2026_F]]-Table410[[#This Row],[Jan_2026_A]]</f>
        <v/>
      </c>
      <c r="BU21" s="342">
        <f>IFERROR(Table410[[#This Row],[Feb_2026_Days_Forecast]]*Table410[[#This Row],[Cost Boolean]]*(VLOOKUP(Table410[[#This Row],[RATE CONCAT]],Tables!I:N,5,0)),0)</f>
        <v/>
      </c>
      <c r="BW21" s="342">
        <f>Table410[[#This Row],[Feb_2026_F]]-Table410[[#This Row],[Feb_2026_A]]</f>
        <v/>
      </c>
      <c r="BY21" s="342">
        <f>IFERROR(Table410[[#This Row],[Mar_2026_Days_Forecast]]*Table410[[#This Row],[Cost Boolean]]*(VLOOKUP(Table410[[#This Row],[RATE CONCAT]],Tables!I:N,5,0)),0)</f>
        <v/>
      </c>
      <c r="CA21" s="342">
        <f>Table410[[#This Row],[Mar_2026_F]]-Table410[[#This Row],[Mar_2026_A]]</f>
        <v/>
      </c>
      <c r="CC21" s="342">
        <f>IFERROR(Table410[[#This Row],[Apr_2026_Days_Forecast]]*Table410[[#This Row],[Cost Boolean]]*(VLOOKUP(Table410[[#This Row],[RATE CONCAT]],Tables!I:N,5,0)),0)</f>
        <v/>
      </c>
      <c r="CE21" s="342">
        <f>Table410[[#This Row],[Apr_2026_F]]-Table410[[#This Row],[Apr_2026_A]]</f>
        <v/>
      </c>
      <c r="CG21" s="342">
        <f>IFERROR(Table410[[#This Row],[May_2026_Days_Forecast]] *Table410[[#This Row],[Cost Boolean]]*(VLOOKUP(Table410[[#This Row],[RATE CONCAT]],Tables!I:N,5,0)),0)</f>
        <v/>
      </c>
      <c r="CH21" s="342">
        <f>IFERROR(Table410[[#This Row],[May_2026_Days_Actual]]*Table410[[#This Row],[Cost Boolean]]*(VLOOKUP(Table410[[#This Row],[RATE CONCAT]],Tables!I:N,5,0)),0)</f>
        <v/>
      </c>
      <c r="CI21" s="342">
        <f>Table410[[#This Row],[May_2026_F]]-Table410[[#This Row],[May_2026_A]]</f>
        <v/>
      </c>
      <c r="CK21" s="342">
        <f>IFERROR(Table410[[#This Row],[Jun_2026_Days_Forecast]]*Table410[[#This Row],[Cost Boolean]]*(VLOOKUP(Table410[[#This Row],[RATE CONCAT]],Tables!I:N,5,0)),0)</f>
        <v/>
      </c>
      <c r="CL21" s="342">
        <f>IFERROR(Table410[[#This Row],[Jun_2026_Days_Actual]]*Table410[[#This Row],[Cost Boolean]]*(VLOOKUP(Table410[[#This Row],[RATE CONCAT]],Tables!I:N,5,0)),0)</f>
        <v/>
      </c>
      <c r="CM21" s="342">
        <f>Table410[[#This Row],[Jun_2026_F]]-Table410[[#This Row],[Jun_2026_A]]</f>
        <v/>
      </c>
      <c r="CO21" s="342">
        <f>IFERROR(Table410[[#This Row],[Jul_2026_Days_Forecast]]*Table410[[#This Row],[Cost Boolean]]*(VLOOKUP(Table410[[#This Row],[RATE CONCAT]],Tables!I:N,5,0)),0)</f>
        <v/>
      </c>
      <c r="CP21" s="342">
        <f>IFERROR(Table410[[#This Row],[Jul_2026_Days_Actual]]*Table410[[#This Row],[Cost Boolean]]*(VLOOKUP(Table410[[#This Row],[RATE CONCAT]],Tables!I:N,5,0)),0)</f>
        <v/>
      </c>
      <c r="CQ21" s="342">
        <f>Table410[[#This Row],[Jul_2026_F]]-Table410[[#This Row],[Jul_2026_A]]</f>
        <v/>
      </c>
      <c r="CS21" s="342">
        <f>IFERROR(Table410[[#This Row],[Aug_2026_Days_Forecast]]*Table410[[#This Row],[Cost Boolean]]*(VLOOKUP(Table410[[#This Row],[RATE CONCAT]],Tables!I:N,5,0)),0)</f>
        <v/>
      </c>
      <c r="CT21" s="342">
        <f>IFERROR(Table410[[#This Row],[Aug_2026_Days_Actual]]*Table410[[#This Row],[Cost Boolean]]*(VLOOKUP(Table410[[#This Row],[RATE CONCAT]],Tables!I:N,5,0)),0)</f>
        <v/>
      </c>
      <c r="CU21" s="342">
        <f>Table410[[#This Row],[Aug_2026_F]]-Table410[[#This Row],[Aug_2026_A]]</f>
        <v/>
      </c>
      <c r="CW21" s="342">
        <f>IFERROR(Table410[[#This Row],[Sep_2026_Days_Forecast]]*Table410[[#This Row],[Cost Boolean]]*(VLOOKUP(Table410[[#This Row],[RATE CONCAT]],Tables!I:N,5,0)),0)</f>
        <v/>
      </c>
      <c r="CX21" s="342">
        <f>IFERROR(Table410[[#This Row],[Sep_2026_Days_Actual]]*Table410[[#This Row],[Cost Boolean]]*(VLOOKUP(Table410[[#This Row],[RATE CONCAT]],Tables!I:N,5,0)),0)</f>
        <v/>
      </c>
      <c r="CY21" s="342">
        <f>Table410[[#This Row],[Sep_2026_F]]-Table410[[#This Row],[Sep_2026_A]]</f>
        <v/>
      </c>
      <c r="DA21" s="342">
        <f>IFERROR(Table410[[#This Row],[Oct_2026_Days_Forecast]]*Table410[[#This Row],[Cost Boolean]]*(VLOOKUP(Table410[[#This Row],[RATE CONCAT]],Tables!I:N,5,0)),0)</f>
        <v/>
      </c>
      <c r="DB21" s="342">
        <f>IFERROR(Table410[[#This Row],[Oct_2026_Days_Actual]]*Table410[[#This Row],[Cost Boolean]]*(VLOOKUP(Table410[[#This Row],[RATE CONCAT]],Tables!I:N,5,0)),0)</f>
        <v/>
      </c>
      <c r="DC21" s="342">
        <f>Table410[[#This Row],[Oct_2026_F]]-Table410[[#This Row],[Oct_2026_A]]</f>
        <v/>
      </c>
      <c r="DE21" s="342">
        <f>IFERROR(Table410[[#This Row],[Nov_2026_Days_Forecast]]*Table410[[#This Row],[Cost Boolean]]*(VLOOKUP(Table410[[#This Row],[RATE CONCAT]],Tables!I:N,5,0)),0)</f>
        <v/>
      </c>
      <c r="DF21" s="342">
        <f>IFERROR(Table410[[#This Row],[Nov_2026_Days_Actual]]*Table410[[#This Row],[Cost Boolean]]*(VLOOKUP(Table410[[#This Row],[RATE CONCAT]],Tables!I:N,5,0)),0)</f>
        <v/>
      </c>
      <c r="DG21" s="342">
        <f>Table410[[#This Row],[Nov_2026_F]]-Table410[[#This Row],[Nov_2026_A]]</f>
        <v/>
      </c>
      <c r="DI21" s="342">
        <f>IFERROR(Table410[[#This Row],[Dec_2026_Days_Forecast]]*Table410[[#This Row],[Cost Boolean]]*(VLOOKUP(Table410[[#This Row],[RATE CONCAT]],Tables!I:N,5,0)),0)</f>
        <v/>
      </c>
      <c r="DJ21" s="342">
        <f>IFERROR(Table410[[#This Row],[Dec_2026_Days_Actual]]*Table410[[#This Row],[Cost Boolean]]*(VLOOKUP(Table410[[#This Row],[RATE CONCAT]],Tables!I:N,5,0)),0)</f>
        <v/>
      </c>
      <c r="DK21" s="342">
        <f>Table410[[#This Row],[Dec_2026_F]]-Table410[[#This Row],[Dec_2026_A]]</f>
        <v/>
      </c>
      <c r="DN21" s="342">
        <f>IFERROR(Table410[[#This Row],[Jan_2027_Days_Forecast]]*Table410[[#This Row],[Cost Boolean]]*(VLOOKUP(Table410[[#This Row],[RATE CONCAT]],Tables!I:N,6,0)),0)</f>
        <v/>
      </c>
      <c r="DP21" s="342">
        <f>Table410[[#This Row],[Jan_2027_F]]-Table410[[#This Row],[Jan_2027_A]]</f>
        <v/>
      </c>
      <c r="DQ21" s="342">
        <f>IFERROR(Table410[[#This Row],[Feb_2027_Days_Forecast]]*Table410[[#This Row],[Cost Boolean]]*(VLOOKUP(Table410[[#This Row],[RATE CONCAT]],Tables!I:N,6,0)),0)</f>
        <v/>
      </c>
      <c r="DS21" s="342">
        <f>Table410[[#This Row],[Feb_2027_F]]-Table410[[#This Row],[Feb_2027_A]]</f>
        <v/>
      </c>
      <c r="DT21" s="342">
        <f>IFERROR(Table410[[#This Row],[Mar_2027_Days_Forecast]]*Table410[[#This Row],[Cost Boolean]]*(VLOOKUP(Table410[[#This Row],[RATE CONCAT]],Tables!I:N,6,0)),0)</f>
        <v/>
      </c>
      <c r="DV21" s="342">
        <f>Table410[[#This Row],[Mar_2027_F]]-Table410[[#This Row],[Mar_2027_A]]</f>
        <v/>
      </c>
      <c r="DW21" s="342">
        <f>IFERROR(Table410[[#This Row],[Apr_2027_Days_Forecast]]*Table410[[#This Row],[Cost Boolean]]*(VLOOKUP(Table410[[#This Row],[RATE CONCAT]],Tables!I:N,6,0)),0)</f>
        <v/>
      </c>
      <c r="DY21" s="342">
        <f>Table410[[#This Row],[Apr_2027_F]]-Table410[[#This Row],[Apr_2027_A]]</f>
        <v/>
      </c>
      <c r="DZ21" s="342">
        <f>IFERROR(Table410[[#This Row],[May_2027_Days_Forecast]]*Table410[[#This Row],[Cost Boolean]]*(VLOOKUP(Table410[[#This Row],[RATE CONCAT]],Tables!I:N,6,0)),0)</f>
        <v/>
      </c>
      <c r="EB21" s="342">
        <f>Table410[[#This Row],[May_2027_F]]-Table410[[#This Row],[May_2027_A]]</f>
        <v/>
      </c>
      <c r="EC21" s="342">
        <f>IFERROR(Table410[[#This Row],[Jun_2027_Days_Forecast]]*Table410[[#This Row],[Cost Boolean]]*(VLOOKUP(Table410[[#This Row],[RATE CONCAT]],Tables!I:N,6,0)),0)</f>
        <v/>
      </c>
      <c r="EE21" s="342">
        <f>Table410[[#This Row],[Jun_2027_F]]-Table410[[#This Row],[Jun_2027_A]]</f>
        <v/>
      </c>
      <c r="EF21" s="342">
        <f>IFERROR(Table410[[#This Row],[Jul_2027_Days_Forecast]]*Table410[[#This Row],[Cost Boolean]]*(VLOOKUP(Table410[[#This Row],[RATE CONCAT]],Tables!I:N,6,0)),0)</f>
        <v/>
      </c>
      <c r="EH21" s="342">
        <f>Table410[[#This Row],[Jul_2027_F]]-Table410[[#This Row],[Jul_2027_A]]</f>
        <v/>
      </c>
      <c r="EI21" s="342">
        <f>IFERROR(Table410[[#This Row],[Aug_2027_Days_Forecast]]*Table410[[#This Row],[Cost Boolean]]*(VLOOKUP(Table410[[#This Row],[RATE CONCAT]],Tables!I:N,6,0)),0)</f>
        <v/>
      </c>
      <c r="EK21" s="342">
        <f>Table410[[#This Row],[Aug_2027_F]]-Table410[[#This Row],[Aug_2027_A]]</f>
        <v/>
      </c>
      <c r="EL21" s="342">
        <f>IFERROR(Table410[[#This Row],[Sep_2027_Days_Forecast]]*Table410[[#This Row],[Cost Boolean]]*(VLOOKUP(Table410[[#This Row],[RATE CONCAT]],Tables!I:N,6,0)),0)</f>
        <v/>
      </c>
      <c r="EN21" s="342">
        <f>Table410[[#This Row],[Sep_2027_F]]-Table410[[#This Row],[Sep_2027_A]]</f>
        <v/>
      </c>
      <c r="EO21" s="342">
        <f>IFERROR(Table410[[#This Row],[Oct_2027_Days_Forecast]]*Table410[[#This Row],[Cost Boolean]]*(VLOOKUP(Table410[[#This Row],[RATE CONCAT]],Tables!I:N,6,0)),0)</f>
        <v/>
      </c>
      <c r="EQ21" s="342">
        <f>Table410[[#This Row],[Oct_2027_F]]-Table410[[#This Row],[Oct_2027_A]]</f>
        <v/>
      </c>
      <c r="ER21" s="342">
        <f>IFERROR(Table410[[#This Row],[Nov_2027_Days_Forecast]]*Table410[[#This Row],[Cost Boolean]]*(VLOOKUP(Table410[[#This Row],[RATE CONCAT]],Tables!I:N,6,0)),0)</f>
        <v/>
      </c>
      <c r="ET21" s="342">
        <f>Table410[[#This Row],[Nov_2027_F]]-Table410[[#This Row],[Nov_2027_A]]</f>
        <v/>
      </c>
      <c r="EU21" s="342">
        <f>IFERROR(Table410[[#This Row],[Dec_2027_Days_Forecast]]*Table410[[#This Row],[Cost Boolean]]*(VLOOKUP(Table410[[#This Row],[RATE CONCAT]],Tables!I:N,6,0)),0)</f>
        <v/>
      </c>
      <c r="EW21" s="342">
        <f>Table410[[#This Row],[Dec_2027_F]]-Table410[[#This Row],[Dec_2027_A]]</f>
        <v/>
      </c>
    </row>
    <row r="22" ht="15" customFormat="1" customHeight="1" s="13">
      <c r="A22" s="338" t="inlineStr">
        <is>
          <t>PDSFS1040</t>
        </is>
      </c>
      <c r="B22" s="338" t="inlineStr">
        <is>
          <t>USDF</t>
        </is>
      </c>
      <c r="C22" s="338" t="inlineStr">
        <is>
          <t>Staff</t>
        </is>
      </c>
      <c r="D22" s="338" t="inlineStr">
        <is>
          <t>Mary Ann Asis</t>
        </is>
      </c>
      <c r="E22" s="338" t="inlineStr">
        <is>
          <t>Shell Business</t>
        </is>
      </c>
      <c r="G22" s="338" t="inlineStr">
        <is>
          <t>Philippines</t>
        </is>
      </c>
      <c r="H22" s="338" t="n">
        <v>4</v>
      </c>
      <c r="J22" s="338" t="inlineStr">
        <is>
          <t>Oil Demurrage SME</t>
        </is>
      </c>
      <c r="K22" s="338" t="inlineStr">
        <is>
          <t>In-seat</t>
        </is>
      </c>
      <c r="L22" s="338" t="n">
        <v>0</v>
      </c>
      <c r="M22" s="338" t="inlineStr">
        <is>
          <t>MLA</t>
        </is>
      </c>
      <c r="N22" s="338" t="inlineStr">
        <is>
          <t>Oil Demurrage</t>
        </is>
      </c>
      <c r="O22" s="338" t="inlineStr">
        <is>
          <t>Opex</t>
        </is>
      </c>
      <c r="P22" s="338" t="inlineStr">
        <is>
          <t>Business</t>
        </is>
      </c>
      <c r="Q22" s="338" t="inlineStr">
        <is>
          <t>TBD</t>
        </is>
      </c>
      <c r="R22" s="339" t="n">
        <v>46023</v>
      </c>
      <c r="S22" s="339" t="n">
        <v>46387</v>
      </c>
      <c r="T22" s="339" t="n">
        <v>46023</v>
      </c>
      <c r="U22" s="339" t="n">
        <v>46387</v>
      </c>
      <c r="V22" s="339" t="n">
        <v>46023</v>
      </c>
      <c r="W22" s="339" t="n">
        <v>46387</v>
      </c>
      <c r="Y22" s="338">
        <f>CONCATENATE(Table410[[#This Row],[JG]],Table410[[#This Row],[Country]],Table410[[#This Row],[Resource Provider]])</f>
        <v/>
      </c>
      <c r="Z22" s="338">
        <f>VLOOKUP(Table410[[#This Row],[RATE CONCAT]],Tables!I:N,5,0)</f>
        <v/>
      </c>
      <c r="AA22" s="52" t="n"/>
      <c r="AB22" s="130" t="n"/>
      <c r="AC22" s="340" t="n">
        <v>5</v>
      </c>
      <c r="AD22" s="340" t="n">
        <v>5</v>
      </c>
      <c r="AE22" s="340" t="n">
        <v>5</v>
      </c>
      <c r="AF22" s="340" t="n">
        <v>5</v>
      </c>
      <c r="AG22" s="340" t="n">
        <v>4</v>
      </c>
      <c r="AH22" s="340" t="n">
        <v>5</v>
      </c>
      <c r="AI22" s="340" t="n">
        <v>5</v>
      </c>
      <c r="AJ22" s="340" t="n">
        <v>5</v>
      </c>
      <c r="AK22" s="340" t="n">
        <v>5</v>
      </c>
      <c r="AL22" s="130" t="n"/>
      <c r="AM22" s="130" t="n"/>
      <c r="AN22" s="341">
        <f>IFERROR(AVERAGE(Table410[[#This Row],[Jan_2026_Days_Forecast]:[Dec_2026_Days_Forecast]]),0)/19</f>
        <v/>
      </c>
      <c r="AO22" s="341">
        <f>IFERROR(AVERAGE(Table410[[#This Row],[Jan_2026_Days_Actual]:[Dec_2026_Days_Actual]]),0)/19</f>
        <v/>
      </c>
      <c r="AP22" s="130" t="n"/>
      <c r="AQ22" s="340" t="n">
        <v>5</v>
      </c>
      <c r="AR22" s="340" t="n">
        <v>5</v>
      </c>
      <c r="AS22" s="340" t="n">
        <v>5</v>
      </c>
      <c r="AT22" s="340" t="n">
        <v>5</v>
      </c>
      <c r="AU22" s="340" t="n">
        <v>4</v>
      </c>
      <c r="AV22" s="340" t="n">
        <v>5</v>
      </c>
      <c r="AW22" s="340" t="n">
        <v>5</v>
      </c>
      <c r="AX22" s="340" t="n">
        <v>5</v>
      </c>
      <c r="AY22" s="340" t="n">
        <v>5</v>
      </c>
      <c r="AZ22" s="130" t="n"/>
      <c r="BA22" s="130" t="n"/>
      <c r="BB22" s="341">
        <f>IFERROR(AVERAGE(Table410[[#This Row],[Jan_2027_Days_Forecast]:[Dec_2027_Days_Forecast]]),0)</f>
        <v/>
      </c>
      <c r="BC22" s="127" t="n"/>
      <c r="BD22" s="127" t="n"/>
      <c r="BE22" s="127" t="n"/>
      <c r="BF22" s="127" t="n"/>
      <c r="BG22" s="127" t="n"/>
      <c r="BH22" s="127" t="n"/>
      <c r="BI22" s="127" t="n"/>
      <c r="BJ22" s="127" t="n"/>
      <c r="BK22" s="127" t="n"/>
      <c r="BL22" s="127" t="n"/>
      <c r="BM22" s="127" t="n"/>
      <c r="BN22" s="127" t="n"/>
      <c r="BO22" s="176" t="n"/>
      <c r="BP22" s="176" t="n"/>
      <c r="BQ22" s="338">
        <f>IFERROR(Table410[[#This Row],[Jan_2026_Days_Forecast]]*Table410[[#This Row],[Cost Boolean]]*(VLOOKUP(Table410[[#This Row],[RATE CONCAT]],Tables!I:N,5,0)),0)</f>
        <v/>
      </c>
      <c r="BR22" s="338">
        <f>IFERROR(Table410[[#This Row],[Jan_2026_Days_Actual]]*Table410[[#This Row],[Cost Boolean]]*(VLOOKUP(Table410[[#This Row],[RATE CONCAT]],Tables!I:N,5,0)),0)</f>
        <v/>
      </c>
      <c r="BS22" s="338">
        <f>Table410[[#This Row],[Jan_2026_F]]-Table410[[#This Row],[Jan_2026_A]]</f>
        <v/>
      </c>
      <c r="BU22" s="338">
        <f>IFERROR(Table410[[#This Row],[Feb_2026_Days_Forecast]]*Table410[[#This Row],[Cost Boolean]]*(VLOOKUP(Table410[[#This Row],[RATE CONCAT]],Tables!I:N,5,0)),0)</f>
        <v/>
      </c>
      <c r="BW22" s="338">
        <f>Table410[[#This Row],[Feb_2026_F]]-Table410[[#This Row],[Feb_2026_A]]</f>
        <v/>
      </c>
      <c r="BY22" s="338">
        <f>IFERROR(Table410[[#This Row],[Mar_2026_Days_Forecast]]*Table410[[#This Row],[Cost Boolean]]*(VLOOKUP(Table410[[#This Row],[RATE CONCAT]],Tables!I:N,5,0)),0)</f>
        <v/>
      </c>
      <c r="CA22" s="338">
        <f>Table410[[#This Row],[Mar_2026_F]]-Table410[[#This Row],[Mar_2026_A]]</f>
        <v/>
      </c>
      <c r="CC22" s="338">
        <f>IFERROR(Table410[[#This Row],[Apr_2026_Days_Forecast]]*Table410[[#This Row],[Cost Boolean]]*(VLOOKUP(Table410[[#This Row],[RATE CONCAT]],Tables!I:N,5,0)),0)</f>
        <v/>
      </c>
      <c r="CE22" s="338">
        <f>Table410[[#This Row],[Apr_2026_F]]-Table410[[#This Row],[Apr_2026_A]]</f>
        <v/>
      </c>
      <c r="CG22" s="338">
        <f>IFERROR(Table410[[#This Row],[May_2026_Days_Forecast]] *Table410[[#This Row],[Cost Boolean]]*(VLOOKUP(Table410[[#This Row],[RATE CONCAT]],Tables!I:N,5,0)),0)</f>
        <v/>
      </c>
      <c r="CI22" s="338">
        <f>Table410[[#This Row],[May_2026_F]]-Table410[[#This Row],[May_2026_A]]</f>
        <v/>
      </c>
      <c r="CK22" s="338">
        <f>IFERROR(Table410[[#This Row],[Jun_2026_Days_Forecast]]*Table410[[#This Row],[Cost Boolean]]*(VLOOKUP(Table410[[#This Row],[RATE CONCAT]],Tables!I:N,5,0)),0)</f>
        <v/>
      </c>
      <c r="CL22" s="338">
        <f>IFERROR(Table410[[#This Row],[Jun_2026_Days_Actual]]*Table410[[#This Row],[Cost Boolean]]*(VLOOKUP(Table410[[#This Row],[RATE CONCAT]],Tables!I:N,5,0)),0)</f>
        <v/>
      </c>
      <c r="CM22" s="338">
        <f>Table410[[#This Row],[Jun_2026_F]]-Table410[[#This Row],[Jun_2026_A]]</f>
        <v/>
      </c>
      <c r="CO22" s="338">
        <f>IFERROR(Table410[[#This Row],[Jul_2026_Days_Forecast]]*Table410[[#This Row],[Cost Boolean]]*(VLOOKUP(Table410[[#This Row],[RATE CONCAT]],Tables!I:N,5,0)),0)</f>
        <v/>
      </c>
      <c r="CP22" s="338">
        <f>IFERROR(Table410[[#This Row],[Jul_2026_Days_Actual]]*Table410[[#This Row],[Cost Boolean]]*(VLOOKUP(Table410[[#This Row],[RATE CONCAT]],Tables!I:N,5,0)),0)</f>
        <v/>
      </c>
      <c r="CQ22" s="338">
        <f>Table410[[#This Row],[Jul_2026_F]]-Table410[[#This Row],[Jul_2026_A]]</f>
        <v/>
      </c>
      <c r="CS22" s="338">
        <f>IFERROR(Table410[[#This Row],[Aug_2026_Days_Forecast]]*Table410[[#This Row],[Cost Boolean]]*(VLOOKUP(Table410[[#This Row],[RATE CONCAT]],Tables!I:N,5,0)),0)</f>
        <v/>
      </c>
      <c r="CT22" s="338">
        <f>IFERROR(Table410[[#This Row],[Aug_2026_Days_Actual]]*Table410[[#This Row],[Cost Boolean]]*(VLOOKUP(Table410[[#This Row],[RATE CONCAT]],Tables!I:N,5,0)),0)</f>
        <v/>
      </c>
      <c r="CU22" s="338">
        <f>Table410[[#This Row],[Aug_2026_F]]-Table410[[#This Row],[Aug_2026_A]]</f>
        <v/>
      </c>
      <c r="CW22" s="338">
        <f>IFERROR(Table410[[#This Row],[Sep_2026_Days_Forecast]]*Table410[[#This Row],[Cost Boolean]]*(VLOOKUP(Table410[[#This Row],[RATE CONCAT]],Tables!I:N,5,0)),0)</f>
        <v/>
      </c>
      <c r="CX22" s="338">
        <f>IFERROR(Table410[[#This Row],[Sep_2026_Days_Actual]]*Table410[[#This Row],[Cost Boolean]]*(VLOOKUP(Table410[[#This Row],[RATE CONCAT]],Tables!I:N,5,0)),0)</f>
        <v/>
      </c>
      <c r="CY22" s="338">
        <f>Table410[[#This Row],[Sep_2026_F]]-Table410[[#This Row],[Sep_2026_A]]</f>
        <v/>
      </c>
      <c r="DA22" s="338">
        <f>IFERROR(Table410[[#This Row],[Oct_2026_Days_Forecast]]*Table410[[#This Row],[Cost Boolean]]*(VLOOKUP(Table410[[#This Row],[RATE CONCAT]],Tables!I:N,5,0)),0)</f>
        <v/>
      </c>
      <c r="DB22" s="338">
        <f>IFERROR(Table410[[#This Row],[Oct_2026_Days_Actual]]*Table410[[#This Row],[Cost Boolean]]*(VLOOKUP(Table410[[#This Row],[RATE CONCAT]],Tables!I:N,5,0)),0)</f>
        <v/>
      </c>
      <c r="DC22" s="338">
        <f>Table410[[#This Row],[Oct_2026_F]]-Table410[[#This Row],[Oct_2026_A]]</f>
        <v/>
      </c>
      <c r="DE22" s="338">
        <f>IFERROR(Table410[[#This Row],[Nov_2026_Days_Forecast]]*Table410[[#This Row],[Cost Boolean]]*(VLOOKUP(Table410[[#This Row],[RATE CONCAT]],Tables!I:N,5,0)),0)</f>
        <v/>
      </c>
      <c r="DF22" s="338">
        <f>IFERROR(Table410[[#This Row],[Nov_2026_Days_Actual]]*Table410[[#This Row],[Cost Boolean]]*(VLOOKUP(Table410[[#This Row],[RATE CONCAT]],Tables!I:N,5,0)),0)</f>
        <v/>
      </c>
      <c r="DG22" s="338">
        <f>Table410[[#This Row],[Nov_2026_F]]-Table410[[#This Row],[Nov_2026_A]]</f>
        <v/>
      </c>
      <c r="DI22" s="338">
        <f>IFERROR(Table410[[#This Row],[Dec_2026_Days_Forecast]]*Table410[[#This Row],[Cost Boolean]]*(VLOOKUP(Table410[[#This Row],[RATE CONCAT]],Tables!I:N,5,0)),0)</f>
        <v/>
      </c>
      <c r="DJ22" s="338">
        <f>IFERROR(Table410[[#This Row],[Dec_2026_Days_Actual]]*Table410[[#This Row],[Cost Boolean]]*(VLOOKUP(Table410[[#This Row],[RATE CONCAT]],Tables!I:N,5,0)),0)</f>
        <v/>
      </c>
      <c r="DK22" s="338">
        <f>Table410[[#This Row],[Dec_2026_F]]-Table410[[#This Row],[Dec_2026_A]]</f>
        <v/>
      </c>
      <c r="DN22" s="338">
        <f>IFERROR(Table410[[#This Row],[Jan_2027_Days_Forecast]]*Table410[[#This Row],[Cost Boolean]]*(VLOOKUP(Table410[[#This Row],[RATE CONCAT]],Tables!I:N,6,0)),0)</f>
        <v/>
      </c>
      <c r="DP22" s="338">
        <f>Table410[[#This Row],[Jan_2027_F]]-Table410[[#This Row],[Jan_2027_A]]</f>
        <v/>
      </c>
      <c r="DQ22" s="338">
        <f>IFERROR(Table410[[#This Row],[Feb_2027_Days_Forecast]]*Table410[[#This Row],[Cost Boolean]]*(VLOOKUP(Table410[[#This Row],[RATE CONCAT]],Tables!I:N,6,0)),0)</f>
        <v/>
      </c>
      <c r="DS22" s="338">
        <f>Table410[[#This Row],[Feb_2027_F]]-Table410[[#This Row],[Feb_2027_A]]</f>
        <v/>
      </c>
      <c r="DT22" s="338">
        <f>IFERROR(Table410[[#This Row],[Mar_2027_Days_Forecast]]*Table410[[#This Row],[Cost Boolean]]*(VLOOKUP(Table410[[#This Row],[RATE CONCAT]],Tables!I:N,6,0)),0)</f>
        <v/>
      </c>
      <c r="DV22" s="338">
        <f>Table410[[#This Row],[Mar_2027_F]]-Table410[[#This Row],[Mar_2027_A]]</f>
        <v/>
      </c>
      <c r="DW22" s="338">
        <f>IFERROR(Table410[[#This Row],[Apr_2027_Days_Forecast]]*Table410[[#This Row],[Cost Boolean]]*(VLOOKUP(Table410[[#This Row],[RATE CONCAT]],Tables!I:N,6,0)),0)</f>
        <v/>
      </c>
      <c r="DY22" s="338">
        <f>Table410[[#This Row],[Apr_2027_F]]-Table410[[#This Row],[Apr_2027_A]]</f>
        <v/>
      </c>
      <c r="DZ22" s="338">
        <f>IFERROR(Table410[[#This Row],[May_2027_Days_Forecast]]*Table410[[#This Row],[Cost Boolean]]*(VLOOKUP(Table410[[#This Row],[RATE CONCAT]],Tables!I:N,6,0)),0)</f>
        <v/>
      </c>
      <c r="EB22" s="338">
        <f>Table410[[#This Row],[May_2027_F]]-Table410[[#This Row],[May_2027_A]]</f>
        <v/>
      </c>
      <c r="EC22" s="338">
        <f>IFERROR(Table410[[#This Row],[Jun_2027_Days_Forecast]]*Table410[[#This Row],[Cost Boolean]]*(VLOOKUP(Table410[[#This Row],[RATE CONCAT]],Tables!I:N,6,0)),0)</f>
        <v/>
      </c>
      <c r="EE22" s="338">
        <f>Table410[[#This Row],[Jun_2027_F]]-Table410[[#This Row],[Jun_2027_A]]</f>
        <v/>
      </c>
      <c r="EF22" s="338">
        <f>IFERROR(Table410[[#This Row],[Jul_2027_Days_Forecast]]*Table410[[#This Row],[Cost Boolean]]*(VLOOKUP(Table410[[#This Row],[RATE CONCAT]],Tables!I:N,6,0)),0)</f>
        <v/>
      </c>
      <c r="EH22" s="338">
        <f>Table410[[#This Row],[Jul_2027_F]]-Table410[[#This Row],[Jul_2027_A]]</f>
        <v/>
      </c>
      <c r="EI22" s="338">
        <f>IFERROR(Table410[[#This Row],[Aug_2027_Days_Forecast]]*Table410[[#This Row],[Cost Boolean]]*(VLOOKUP(Table410[[#This Row],[RATE CONCAT]],Tables!I:N,6,0)),0)</f>
        <v/>
      </c>
      <c r="EK22" s="338">
        <f>Table410[[#This Row],[Aug_2027_F]]-Table410[[#This Row],[Aug_2027_A]]</f>
        <v/>
      </c>
      <c r="EL22" s="338">
        <f>IFERROR(Table410[[#This Row],[Sep_2027_Days_Forecast]]*Table410[[#This Row],[Cost Boolean]]*(VLOOKUP(Table410[[#This Row],[RATE CONCAT]],Tables!I:N,6,0)),0)</f>
        <v/>
      </c>
      <c r="EN22" s="338">
        <f>Table410[[#This Row],[Sep_2027_F]]-Table410[[#This Row],[Sep_2027_A]]</f>
        <v/>
      </c>
      <c r="EO22" s="338">
        <f>IFERROR(Table410[[#This Row],[Oct_2027_Days_Forecast]]*Table410[[#This Row],[Cost Boolean]]*(VLOOKUP(Table410[[#This Row],[RATE CONCAT]],Tables!I:N,6,0)),0)</f>
        <v/>
      </c>
      <c r="EQ22" s="338">
        <f>Table410[[#This Row],[Oct_2027_F]]-Table410[[#This Row],[Oct_2027_A]]</f>
        <v/>
      </c>
      <c r="ER22" s="338">
        <f>IFERROR(Table410[[#This Row],[Nov_2027_Days_Forecast]]*Table410[[#This Row],[Cost Boolean]]*(VLOOKUP(Table410[[#This Row],[RATE CONCAT]],Tables!I:N,6,0)),0)</f>
        <v/>
      </c>
      <c r="ET22" s="338">
        <f>Table410[[#This Row],[Nov_2027_F]]-Table410[[#This Row],[Nov_2027_A]]</f>
        <v/>
      </c>
      <c r="EU22" s="338">
        <f>IFERROR(Table410[[#This Row],[Dec_2027_Days_Forecast]]*Table410[[#This Row],[Cost Boolean]]*(VLOOKUP(Table410[[#This Row],[RATE CONCAT]],Tables!I:N,6,0)),0)</f>
        <v/>
      </c>
      <c r="EW22" s="338">
        <f>Table410[[#This Row],[Dec_2027_F]]-Table410[[#This Row],[Dec_2027_A]]</f>
        <v/>
      </c>
    </row>
    <row r="23" ht="15" customFormat="1" customHeight="1" s="13">
      <c r="A23" s="342" t="inlineStr">
        <is>
          <t>PDSFS1004</t>
        </is>
      </c>
      <c r="B23" s="342" t="inlineStr">
        <is>
          <t>VPD</t>
        </is>
      </c>
      <c r="C23" s="342" t="inlineStr">
        <is>
          <t>Staff</t>
        </is>
      </c>
      <c r="D23" s="342" t="inlineStr">
        <is>
          <t>Swati Bhatia</t>
        </is>
      </c>
      <c r="E23" s="342" t="inlineStr">
        <is>
          <t>Shell Business</t>
        </is>
      </c>
      <c r="G23" s="342" t="inlineStr">
        <is>
          <t>United Kingdom</t>
        </is>
      </c>
      <c r="H23" s="342" t="n">
        <v>3</v>
      </c>
      <c r="J23" s="342" t="inlineStr">
        <is>
          <t>Business Lead</t>
        </is>
      </c>
      <c r="K23" s="342" t="inlineStr">
        <is>
          <t>In-seat</t>
        </is>
      </c>
      <c r="L23" s="342" t="n">
        <v>0</v>
      </c>
      <c r="M23" s="342" t="inlineStr">
        <is>
          <t>LON</t>
        </is>
      </c>
      <c r="N23" s="342" t="inlineStr">
        <is>
          <t>SME</t>
        </is>
      </c>
      <c r="O23" s="342" t="inlineStr">
        <is>
          <t>Opex</t>
        </is>
      </c>
      <c r="P23" s="342" t="inlineStr">
        <is>
          <t>Business</t>
        </is>
      </c>
      <c r="Q23" s="342" t="inlineStr">
        <is>
          <t>TBD</t>
        </is>
      </c>
      <c r="R23" s="343" t="n">
        <v>46023</v>
      </c>
      <c r="S23" s="343" t="n">
        <v>46387</v>
      </c>
      <c r="T23" s="343" t="n">
        <v>46023</v>
      </c>
      <c r="U23" s="343" t="n">
        <v>46387</v>
      </c>
      <c r="V23" s="343" t="n">
        <v>46023</v>
      </c>
      <c r="W23" s="343" t="n">
        <v>46387</v>
      </c>
      <c r="Y23" s="342">
        <f>CONCATENATE(Table410[[#This Row],[JG]],Table410[[#This Row],[Country]],Table410[[#This Row],[Resource Provider]])</f>
        <v/>
      </c>
      <c r="Z23" s="342">
        <f>VLOOKUP(Table410[[#This Row],[RATE CONCAT]],Tables!I:N,5,0)</f>
        <v/>
      </c>
      <c r="AA23" s="52" t="n"/>
      <c r="AB23" s="344" t="n">
        <v>5</v>
      </c>
      <c r="AC23" s="344" t="n">
        <v>5</v>
      </c>
      <c r="AD23" s="344" t="n">
        <v>5</v>
      </c>
      <c r="AE23" s="344" t="n">
        <v>5</v>
      </c>
      <c r="AF23" s="344" t="n">
        <v>5</v>
      </c>
      <c r="AG23" s="344" t="n">
        <v>4</v>
      </c>
      <c r="AH23" s="344" t="n">
        <v>5</v>
      </c>
      <c r="AI23" s="344" t="n">
        <v>5</v>
      </c>
      <c r="AJ23" s="344" t="n">
        <v>5</v>
      </c>
      <c r="AK23" s="344" t="n">
        <v>5</v>
      </c>
      <c r="AL23" s="344" t="n">
        <v>5</v>
      </c>
      <c r="AM23" s="344" t="n">
        <v>4</v>
      </c>
      <c r="AN23" s="341">
        <f>IFERROR(AVERAGE(Table410[[#This Row],[Jan_2026_Days_Forecast]:[Dec_2026_Days_Forecast]]),0)/19</f>
        <v/>
      </c>
      <c r="AO23" s="341">
        <f>IFERROR(AVERAGE(Table410[[#This Row],[Jan_2026_Days_Actual]:[Dec_2026_Days_Actual]]),0)/19</f>
        <v/>
      </c>
      <c r="AP23" s="344" t="n">
        <v>5</v>
      </c>
      <c r="AQ23" s="344" t="n">
        <v>5</v>
      </c>
      <c r="AR23" s="344" t="n">
        <v>5</v>
      </c>
      <c r="AS23" s="344" t="n">
        <v>5</v>
      </c>
      <c r="AT23" s="344" t="n">
        <v>5</v>
      </c>
      <c r="AU23" s="344" t="n">
        <v>4</v>
      </c>
      <c r="AV23" s="344" t="n">
        <v>5</v>
      </c>
      <c r="AW23" s="344" t="n">
        <v>5</v>
      </c>
      <c r="AX23" s="344" t="n">
        <v>5</v>
      </c>
      <c r="AY23" s="344" t="n">
        <v>5</v>
      </c>
      <c r="AZ23" s="344" t="n">
        <v>5</v>
      </c>
      <c r="BA23" s="344" t="n">
        <v>4</v>
      </c>
      <c r="BB23" s="341">
        <f>IFERROR(AVERAGE(Table410[[#This Row],[Jan_2027_Days_Forecast]:[Dec_2027_Days_Forecast]]),0)</f>
        <v/>
      </c>
      <c r="BC23" s="127" t="n"/>
      <c r="BD23" s="127" t="n"/>
      <c r="BE23" s="127" t="n"/>
      <c r="BF23" s="127" t="n"/>
      <c r="BG23" s="127" t="n"/>
      <c r="BH23" s="127" t="n"/>
      <c r="BI23" s="127" t="n"/>
      <c r="BJ23" s="127" t="n"/>
      <c r="BK23" s="127" t="n"/>
      <c r="BL23" s="127" t="n"/>
      <c r="BM23" s="127" t="n"/>
      <c r="BN23" s="127" t="n"/>
      <c r="BO23" s="176" t="n"/>
      <c r="BP23" s="176" t="n"/>
      <c r="BQ23" s="342">
        <f>IFERROR(Table410[[#This Row],[Jan_2026_Days_Forecast]]*Table410[[#This Row],[Cost Boolean]]*(VLOOKUP(Table410[[#This Row],[RATE CONCAT]],Tables!I:N,5,0)),0)</f>
        <v/>
      </c>
      <c r="BR23" s="342">
        <f>IFERROR(Table410[[#This Row],[Jan_2026_Days_Actual]]*Table410[[#This Row],[Cost Boolean]]*(VLOOKUP(Table410[[#This Row],[RATE CONCAT]],Tables!I:N,5,0)),0)</f>
        <v/>
      </c>
      <c r="BS23" s="342">
        <f>Table410[[#This Row],[Jan_2026_F]]-Table410[[#This Row],[Jan_2026_A]]</f>
        <v/>
      </c>
      <c r="BU23" s="342">
        <f>IFERROR(Table410[[#This Row],[Feb_2026_Days_Forecast]]*Table410[[#This Row],[Cost Boolean]]*(VLOOKUP(Table410[[#This Row],[RATE CONCAT]],Tables!I:N,5,0)),0)</f>
        <v/>
      </c>
      <c r="BV23" s="342">
        <f>IFERROR(Table410[[#This Row],[Feb_2026_Days_Actual]]*Table410[[#This Row],[Cost Boolean]]*(VLOOKUP(Table410[[#This Row],[RATE CONCAT]],Tables!I:N,5,0)),0)</f>
        <v/>
      </c>
      <c r="BW23" s="342">
        <f>Table410[[#This Row],[Feb_2026_F]]-Table410[[#This Row],[Feb_2026_A]]</f>
        <v/>
      </c>
      <c r="BY23" s="342">
        <f>IFERROR(Table410[[#This Row],[Mar_2026_Days_Forecast]]*Table410[[#This Row],[Cost Boolean]]*(VLOOKUP(Table410[[#This Row],[RATE CONCAT]],Tables!I:N,5,0)),0)</f>
        <v/>
      </c>
      <c r="BZ23" s="342">
        <f>IFERROR(Table410[[#This Row],[Mar_2026_Days_Actual]]*Table410[[#This Row],[Cost Boolean]]*(VLOOKUP(Table410[[#This Row],[RATE CONCAT]],Tables!I:N,5,0)),0)</f>
        <v/>
      </c>
      <c r="CA23" s="342">
        <f>Table410[[#This Row],[Mar_2026_F]]-Table410[[#This Row],[Mar_2026_A]]</f>
        <v/>
      </c>
      <c r="CC23" s="342">
        <f>IFERROR(Table410[[#This Row],[Apr_2026_Days_Forecast]]*Table410[[#This Row],[Cost Boolean]]*(VLOOKUP(Table410[[#This Row],[RATE CONCAT]],Tables!I:N,5,0)),0)</f>
        <v/>
      </c>
      <c r="CD23" s="342">
        <f>IFERROR(Table410[[#This Row],[Apr_2026_Days_Actual]]*Table410[[#This Row],[Cost Boolean]]*(VLOOKUP(Table410[[#This Row],[RATE CONCAT]],Tables!I:N,5,0)),0)</f>
        <v/>
      </c>
      <c r="CE23" s="342">
        <f>Table410[[#This Row],[Apr_2026_F]]-Table410[[#This Row],[Apr_2026_A]]</f>
        <v/>
      </c>
      <c r="CG23" s="342">
        <f>IFERROR(Table410[[#This Row],[May_2026_Days_Forecast]] *Table410[[#This Row],[Cost Boolean]]*(VLOOKUP(Table410[[#This Row],[RATE CONCAT]],Tables!I:N,5,0)),0)</f>
        <v/>
      </c>
      <c r="CH23" s="342">
        <f>IFERROR(Table410[[#This Row],[May_2026_Days_Actual]]*Table410[[#This Row],[Cost Boolean]]*(VLOOKUP(Table410[[#This Row],[RATE CONCAT]],Tables!I:N,5,0)),0)</f>
        <v/>
      </c>
      <c r="CI23" s="342">
        <f>Table410[[#This Row],[May_2026_F]]-Table410[[#This Row],[May_2026_A]]</f>
        <v/>
      </c>
      <c r="CK23" s="342">
        <f>IFERROR(Table410[[#This Row],[Jun_2026_Days_Forecast]]*Table410[[#This Row],[Cost Boolean]]*(VLOOKUP(Table410[[#This Row],[RATE CONCAT]],Tables!I:N,5,0)),0)</f>
        <v/>
      </c>
      <c r="CL23" s="342">
        <f>IFERROR(Table410[[#This Row],[Jun_2026_Days_Actual]]*Table410[[#This Row],[Cost Boolean]]*(VLOOKUP(Table410[[#This Row],[RATE CONCAT]],Tables!I:N,5,0)),0)</f>
        <v/>
      </c>
      <c r="CM23" s="342">
        <f>Table410[[#This Row],[Jun_2026_F]]-Table410[[#This Row],[Jun_2026_A]]</f>
        <v/>
      </c>
      <c r="CO23" s="342">
        <f>IFERROR(Table410[[#This Row],[Jul_2026_Days_Forecast]]*Table410[[#This Row],[Cost Boolean]]*(VLOOKUP(Table410[[#This Row],[RATE CONCAT]],Tables!I:N,5,0)),0)</f>
        <v/>
      </c>
      <c r="CP23" s="342">
        <f>IFERROR(Table410[[#This Row],[Jul_2026_Days_Actual]]*Table410[[#This Row],[Cost Boolean]]*(VLOOKUP(Table410[[#This Row],[RATE CONCAT]],Tables!I:N,5,0)),0)</f>
        <v/>
      </c>
      <c r="CQ23" s="342">
        <f>Table410[[#This Row],[Jul_2026_F]]-Table410[[#This Row],[Jul_2026_A]]</f>
        <v/>
      </c>
      <c r="CS23" s="342">
        <f>IFERROR(Table410[[#This Row],[Aug_2026_Days_Forecast]]*Table410[[#This Row],[Cost Boolean]]*(VLOOKUP(Table410[[#This Row],[RATE CONCAT]],Tables!I:N,5,0)),0)</f>
        <v/>
      </c>
      <c r="CT23" s="342">
        <f>IFERROR(Table410[[#This Row],[Aug_2026_Days_Actual]]*Table410[[#This Row],[Cost Boolean]]*(VLOOKUP(Table410[[#This Row],[RATE CONCAT]],Tables!I:N,5,0)),0)</f>
        <v/>
      </c>
      <c r="CU23" s="342">
        <f>Table410[[#This Row],[Aug_2026_F]]-Table410[[#This Row],[Aug_2026_A]]</f>
        <v/>
      </c>
      <c r="CW23" s="342">
        <f>IFERROR(Table410[[#This Row],[Sep_2026_Days_Forecast]]*Table410[[#This Row],[Cost Boolean]]*(VLOOKUP(Table410[[#This Row],[RATE CONCAT]],Tables!I:N,5,0)),0)</f>
        <v/>
      </c>
      <c r="CX23" s="342">
        <f>IFERROR(Table410[[#This Row],[Sep_2026_Days_Actual]]*Table410[[#This Row],[Cost Boolean]]*(VLOOKUP(Table410[[#This Row],[RATE CONCAT]],Tables!I:N,5,0)),0)</f>
        <v/>
      </c>
      <c r="CY23" s="342">
        <f>Table410[[#This Row],[Sep_2026_F]]-Table410[[#This Row],[Sep_2026_A]]</f>
        <v/>
      </c>
      <c r="DA23" s="342">
        <f>IFERROR(Table410[[#This Row],[Oct_2026_Days_Forecast]]*Table410[[#This Row],[Cost Boolean]]*(VLOOKUP(Table410[[#This Row],[RATE CONCAT]],Tables!I:N,5,0)),0)</f>
        <v/>
      </c>
      <c r="DB23" s="342">
        <f>IFERROR(Table410[[#This Row],[Oct_2026_Days_Actual]]*Table410[[#This Row],[Cost Boolean]]*(VLOOKUP(Table410[[#This Row],[RATE CONCAT]],Tables!I:N,5,0)),0)</f>
        <v/>
      </c>
      <c r="DC23" s="342">
        <f>Table410[[#This Row],[Oct_2026_F]]-Table410[[#This Row],[Oct_2026_A]]</f>
        <v/>
      </c>
      <c r="DE23" s="342">
        <f>IFERROR(Table410[[#This Row],[Nov_2026_Days_Forecast]]*Table410[[#This Row],[Cost Boolean]]*(VLOOKUP(Table410[[#This Row],[RATE CONCAT]],Tables!I:N,5,0)),0)</f>
        <v/>
      </c>
      <c r="DF23" s="342">
        <f>IFERROR(Table410[[#This Row],[Nov_2026_Days_Actual]]*Table410[[#This Row],[Cost Boolean]]*(VLOOKUP(Table410[[#This Row],[RATE CONCAT]],Tables!I:N,5,0)),0)</f>
        <v/>
      </c>
      <c r="DG23" s="342">
        <f>Table410[[#This Row],[Nov_2026_F]]-Table410[[#This Row],[Nov_2026_A]]</f>
        <v/>
      </c>
      <c r="DI23" s="342">
        <f>IFERROR(Table410[[#This Row],[Dec_2026_Days_Forecast]]*Table410[[#This Row],[Cost Boolean]]*(VLOOKUP(Table410[[#This Row],[RATE CONCAT]],Tables!I:N,5,0)),0)</f>
        <v/>
      </c>
      <c r="DJ23" s="342">
        <f>IFERROR(Table410[[#This Row],[Dec_2026_Days_Actual]]*Table410[[#This Row],[Cost Boolean]]*(VLOOKUP(Table410[[#This Row],[RATE CONCAT]],Tables!I:N,5,0)),0)</f>
        <v/>
      </c>
      <c r="DK23" s="342">
        <f>Table410[[#This Row],[Dec_2026_F]]-Table410[[#This Row],[Dec_2026_A]]</f>
        <v/>
      </c>
      <c r="DN23" s="342">
        <f>IFERROR(Table410[[#This Row],[Jan_2027_Days_Forecast]]*Table410[[#This Row],[Cost Boolean]]*(VLOOKUP(Table410[[#This Row],[RATE CONCAT]],Tables!I:N,6,0)),0)</f>
        <v/>
      </c>
      <c r="DP23" s="342">
        <f>Table410[[#This Row],[Jan_2027_F]]-Table410[[#This Row],[Jan_2027_A]]</f>
        <v/>
      </c>
      <c r="DQ23" s="342">
        <f>IFERROR(Table410[[#This Row],[Feb_2027_Days_Forecast]]*Table410[[#This Row],[Cost Boolean]]*(VLOOKUP(Table410[[#This Row],[RATE CONCAT]],Tables!I:N,6,0)),0)</f>
        <v/>
      </c>
      <c r="DS23" s="342">
        <f>Table410[[#This Row],[Feb_2027_F]]-Table410[[#This Row],[Feb_2027_A]]</f>
        <v/>
      </c>
      <c r="DT23" s="342">
        <f>IFERROR(Table410[[#This Row],[Mar_2027_Days_Forecast]]*Table410[[#This Row],[Cost Boolean]]*(VLOOKUP(Table410[[#This Row],[RATE CONCAT]],Tables!I:N,6,0)),0)</f>
        <v/>
      </c>
      <c r="DV23" s="342">
        <f>Table410[[#This Row],[Mar_2027_F]]-Table410[[#This Row],[Mar_2027_A]]</f>
        <v/>
      </c>
      <c r="DW23" s="342">
        <f>IFERROR(Table410[[#This Row],[Apr_2027_Days_Forecast]]*Table410[[#This Row],[Cost Boolean]]*(VLOOKUP(Table410[[#This Row],[RATE CONCAT]],Tables!I:N,6,0)),0)</f>
        <v/>
      </c>
      <c r="DY23" s="342">
        <f>Table410[[#This Row],[Apr_2027_F]]-Table410[[#This Row],[Apr_2027_A]]</f>
        <v/>
      </c>
      <c r="DZ23" s="342">
        <f>IFERROR(Table410[[#This Row],[May_2027_Days_Forecast]]*Table410[[#This Row],[Cost Boolean]]*(VLOOKUP(Table410[[#This Row],[RATE CONCAT]],Tables!I:N,6,0)),0)</f>
        <v/>
      </c>
      <c r="EB23" s="342">
        <f>Table410[[#This Row],[May_2027_F]]-Table410[[#This Row],[May_2027_A]]</f>
        <v/>
      </c>
      <c r="EC23" s="342">
        <f>IFERROR(Table410[[#This Row],[Jun_2027_Days_Forecast]]*Table410[[#This Row],[Cost Boolean]]*(VLOOKUP(Table410[[#This Row],[RATE CONCAT]],Tables!I:N,6,0)),0)</f>
        <v/>
      </c>
      <c r="EE23" s="342">
        <f>Table410[[#This Row],[Jun_2027_F]]-Table410[[#This Row],[Jun_2027_A]]</f>
        <v/>
      </c>
      <c r="EF23" s="342">
        <f>IFERROR(Table410[[#This Row],[Jul_2027_Days_Forecast]]*Table410[[#This Row],[Cost Boolean]]*(VLOOKUP(Table410[[#This Row],[RATE CONCAT]],Tables!I:N,6,0)),0)</f>
        <v/>
      </c>
      <c r="EH23" s="342">
        <f>Table410[[#This Row],[Jul_2027_F]]-Table410[[#This Row],[Jul_2027_A]]</f>
        <v/>
      </c>
      <c r="EI23" s="342">
        <f>IFERROR(Table410[[#This Row],[Aug_2027_Days_Forecast]]*Table410[[#This Row],[Cost Boolean]]*(VLOOKUP(Table410[[#This Row],[RATE CONCAT]],Tables!I:N,6,0)),0)</f>
        <v/>
      </c>
      <c r="EK23" s="342">
        <f>Table410[[#This Row],[Aug_2027_F]]-Table410[[#This Row],[Aug_2027_A]]</f>
        <v/>
      </c>
      <c r="EL23" s="342">
        <f>IFERROR(Table410[[#This Row],[Sep_2027_Days_Forecast]]*Table410[[#This Row],[Cost Boolean]]*(VLOOKUP(Table410[[#This Row],[RATE CONCAT]],Tables!I:N,6,0)),0)</f>
        <v/>
      </c>
      <c r="EN23" s="342">
        <f>Table410[[#This Row],[Sep_2027_F]]-Table410[[#This Row],[Sep_2027_A]]</f>
        <v/>
      </c>
      <c r="EO23" s="342">
        <f>IFERROR(Table410[[#This Row],[Oct_2027_Days_Forecast]]*Table410[[#This Row],[Cost Boolean]]*(VLOOKUP(Table410[[#This Row],[RATE CONCAT]],Tables!I:N,6,0)),0)</f>
        <v/>
      </c>
      <c r="EQ23" s="342">
        <f>Table410[[#This Row],[Oct_2027_F]]-Table410[[#This Row],[Oct_2027_A]]</f>
        <v/>
      </c>
      <c r="ER23" s="342">
        <f>IFERROR(Table410[[#This Row],[Nov_2027_Days_Forecast]]*Table410[[#This Row],[Cost Boolean]]*(VLOOKUP(Table410[[#This Row],[RATE CONCAT]],Tables!I:N,6,0)),0)</f>
        <v/>
      </c>
      <c r="ET23" s="342">
        <f>Table410[[#This Row],[Nov_2027_F]]-Table410[[#This Row],[Nov_2027_A]]</f>
        <v/>
      </c>
      <c r="EU23" s="342">
        <f>IFERROR(Table410[[#This Row],[Dec_2027_Days_Forecast]]*Table410[[#This Row],[Cost Boolean]]*(VLOOKUP(Table410[[#This Row],[RATE CONCAT]],Tables!I:N,6,0)),0)</f>
        <v/>
      </c>
      <c r="EW23" s="342">
        <f>Table410[[#This Row],[Dec_2027_F]]-Table410[[#This Row],[Dec_2027_A]]</f>
        <v/>
      </c>
    </row>
    <row r="24" ht="15" customFormat="1" customHeight="1" s="13">
      <c r="A24" s="338" t="inlineStr">
        <is>
          <t>PDSFS1005</t>
        </is>
      </c>
      <c r="B24" s="338" t="inlineStr">
        <is>
          <t>VPD</t>
        </is>
      </c>
      <c r="C24" s="338" t="inlineStr">
        <is>
          <t>Staff</t>
        </is>
      </c>
      <c r="D24" s="338" t="inlineStr">
        <is>
          <t>Yafet Wolde</t>
        </is>
      </c>
      <c r="E24" s="338" t="inlineStr">
        <is>
          <t>Shell Business</t>
        </is>
      </c>
      <c r="G24" s="338" t="inlineStr">
        <is>
          <t>United Kingdom</t>
        </is>
      </c>
      <c r="H24" s="338" t="n">
        <v>4</v>
      </c>
      <c r="J24" s="338" t="inlineStr">
        <is>
          <t>Developer</t>
        </is>
      </c>
      <c r="K24" s="338" t="inlineStr">
        <is>
          <t>In-seat</t>
        </is>
      </c>
      <c r="L24" s="338" t="n">
        <v>1</v>
      </c>
      <c r="M24" s="338" t="inlineStr">
        <is>
          <t xml:space="preserve">LON </t>
        </is>
      </c>
      <c r="N24" s="338" t="inlineStr">
        <is>
          <t>Software Development</t>
        </is>
      </c>
      <c r="O24" s="338" t="inlineStr">
        <is>
          <t>Capex</t>
        </is>
      </c>
      <c r="P24" s="338" t="inlineStr">
        <is>
          <t>Business</t>
        </is>
      </c>
      <c r="Q24" s="338" t="inlineStr">
        <is>
          <t>TBD</t>
        </is>
      </c>
      <c r="R24" s="339" t="n">
        <v>46023</v>
      </c>
      <c r="S24" s="339" t="n">
        <v>46387</v>
      </c>
      <c r="T24" s="339" t="n">
        <v>46023</v>
      </c>
      <c r="U24" s="339" t="n">
        <v>46387</v>
      </c>
      <c r="V24" s="339" t="n">
        <v>46023</v>
      </c>
      <c r="W24" s="339" t="n">
        <v>46387</v>
      </c>
      <c r="Y24" s="338">
        <f>CONCATENATE(Table410[[#This Row],[JG]],Table410[[#This Row],[Country]],Table410[[#This Row],[Resource Provider]])</f>
        <v/>
      </c>
      <c r="Z24" s="338">
        <f>VLOOKUP(Table410[[#This Row],[RATE CONCAT]],Tables!I:N,5,0)</f>
        <v/>
      </c>
      <c r="AA24" s="52" t="n"/>
      <c r="AB24" s="340" t="n">
        <v>10</v>
      </c>
      <c r="AC24" s="340" t="n">
        <v>10</v>
      </c>
      <c r="AD24" s="340" t="n">
        <v>10</v>
      </c>
      <c r="AE24" s="340" t="n">
        <v>10</v>
      </c>
      <c r="AF24" s="340" t="n">
        <v>9</v>
      </c>
      <c r="AG24" s="340" t="n">
        <v>9</v>
      </c>
      <c r="AH24" s="340" t="n">
        <v>9</v>
      </c>
      <c r="AI24" s="340" t="n">
        <v>10</v>
      </c>
      <c r="AJ24" s="340" t="n">
        <v>10</v>
      </c>
      <c r="AK24" s="340" t="n">
        <v>10</v>
      </c>
      <c r="AL24" s="340" t="n">
        <v>9</v>
      </c>
      <c r="AM24" s="340" t="n">
        <v>9</v>
      </c>
      <c r="AN24" s="341">
        <f>IFERROR(AVERAGE(Table410[[#This Row],[Jan_2026_Days_Forecast]:[Dec_2026_Days_Forecast]]),0)/19</f>
        <v/>
      </c>
      <c r="AO24" s="341">
        <f>IFERROR(AVERAGE(Table410[[#This Row],[Jan_2026_Days_Actual]:[Dec_2026_Days_Actual]]),0)/19</f>
        <v/>
      </c>
      <c r="AP24" s="340" t="n">
        <v>10</v>
      </c>
      <c r="AQ24" s="340" t="n">
        <v>10</v>
      </c>
      <c r="AR24" s="340" t="n">
        <v>10</v>
      </c>
      <c r="AS24" s="340" t="n">
        <v>10</v>
      </c>
      <c r="AT24" s="340" t="n">
        <v>9</v>
      </c>
      <c r="AU24" s="340" t="n">
        <v>9</v>
      </c>
      <c r="AV24" s="340" t="n">
        <v>9</v>
      </c>
      <c r="AW24" s="340" t="n">
        <v>10</v>
      </c>
      <c r="AX24" s="340" t="n">
        <v>10</v>
      </c>
      <c r="AY24" s="340" t="n">
        <v>10</v>
      </c>
      <c r="AZ24" s="340" t="n">
        <v>9</v>
      </c>
      <c r="BA24" s="340" t="n">
        <v>9</v>
      </c>
      <c r="BB24" s="341">
        <f>IFERROR(AVERAGE(Table410[[#This Row],[Jan_2027_Days_Forecast]:[Dec_2027_Days_Forecast]]),0)</f>
        <v/>
      </c>
      <c r="BC24" s="127" t="n"/>
      <c r="BD24" s="127" t="n"/>
      <c r="BE24" s="127" t="n"/>
      <c r="BF24" s="127" t="n"/>
      <c r="BG24" s="127" t="n"/>
      <c r="BH24" s="127" t="n"/>
      <c r="BI24" s="127" t="n"/>
      <c r="BJ24" s="127" t="n"/>
      <c r="BK24" s="127" t="n"/>
      <c r="BL24" s="127" t="n"/>
      <c r="BM24" s="127" t="n"/>
      <c r="BN24" s="127" t="n"/>
      <c r="BO24" s="176" t="n"/>
      <c r="BP24" s="176" t="n"/>
      <c r="BQ24" s="338">
        <f>IFERROR(Table410[[#This Row],[Jan_2026_Days_Forecast]]*Table410[[#This Row],[Cost Boolean]]*(VLOOKUP(Table410[[#This Row],[RATE CONCAT]],Tables!I:N,5,0)),0)</f>
        <v/>
      </c>
      <c r="BR24" s="338">
        <f>IFERROR(Table410[[#This Row],[Jan_2026_Days_Actual]]*Table410[[#This Row],[Cost Boolean]]*(VLOOKUP(Table410[[#This Row],[RATE CONCAT]],Tables!I:N,5,0)),0)</f>
        <v/>
      </c>
      <c r="BS24" s="338">
        <f>Table410[[#This Row],[Jan_2026_F]]-Table410[[#This Row],[Jan_2026_A]]</f>
        <v/>
      </c>
      <c r="BU24" s="338">
        <f>IFERROR(Table410[[#This Row],[Feb_2026_Days_Forecast]]*Table410[[#This Row],[Cost Boolean]]*(VLOOKUP(Table410[[#This Row],[RATE CONCAT]],Tables!I:N,5,0)),0)</f>
        <v/>
      </c>
      <c r="BV24" s="338">
        <f>IFERROR(Table410[[#This Row],[Feb_2026_Days_Actual]]*Table410[[#This Row],[Cost Boolean]]*(VLOOKUP(Table410[[#This Row],[RATE CONCAT]],Tables!I:N,5,0)),0)</f>
        <v/>
      </c>
      <c r="BW24" s="338">
        <f>Table410[[#This Row],[Feb_2026_F]]-Table410[[#This Row],[Feb_2026_A]]</f>
        <v/>
      </c>
      <c r="BY24" s="338">
        <f>IFERROR(Table410[[#This Row],[Mar_2026_Days_Forecast]]*Table410[[#This Row],[Cost Boolean]]*(VLOOKUP(Table410[[#This Row],[RATE CONCAT]],Tables!I:N,5,0)),0)</f>
        <v/>
      </c>
      <c r="BZ24" s="338">
        <f>IFERROR(Table410[[#This Row],[Mar_2026_Days_Actual]]*Table410[[#This Row],[Cost Boolean]]*(VLOOKUP(Table410[[#This Row],[RATE CONCAT]],Tables!I:N,5,0)),0)</f>
        <v/>
      </c>
      <c r="CA24" s="338">
        <f>Table410[[#This Row],[Mar_2026_F]]-Table410[[#This Row],[Mar_2026_A]]</f>
        <v/>
      </c>
      <c r="CC24" s="338">
        <f>IFERROR(Table410[[#This Row],[Apr_2026_Days_Forecast]]*Table410[[#This Row],[Cost Boolean]]*(VLOOKUP(Table410[[#This Row],[RATE CONCAT]],Tables!I:N,5,0)),0)</f>
        <v/>
      </c>
      <c r="CD24" s="338">
        <f>IFERROR(Table410[[#This Row],[Apr_2026_Days_Actual]]*Table410[[#This Row],[Cost Boolean]]*(VLOOKUP(Table410[[#This Row],[RATE CONCAT]],Tables!I:N,5,0)),0)</f>
        <v/>
      </c>
      <c r="CE24" s="338">
        <f>Table410[[#This Row],[Apr_2026_F]]-Table410[[#This Row],[Apr_2026_A]]</f>
        <v/>
      </c>
      <c r="CG24" s="338">
        <f>IFERROR(Table410[[#This Row],[May_2026_Days_Forecast]] *Table410[[#This Row],[Cost Boolean]]*(VLOOKUP(Table410[[#This Row],[RATE CONCAT]],Tables!I:N,5,0)),0)</f>
        <v/>
      </c>
      <c r="CH24" s="338">
        <f>IFERROR(Table410[[#This Row],[May_2026_Days_Actual]]*Table410[[#This Row],[Cost Boolean]]*(VLOOKUP(Table410[[#This Row],[RATE CONCAT]],Tables!I:N,5,0)),0)</f>
        <v/>
      </c>
      <c r="CI24" s="338">
        <f>Table410[[#This Row],[May_2026_F]]-Table410[[#This Row],[May_2026_A]]</f>
        <v/>
      </c>
      <c r="CK24" s="338">
        <f>IFERROR(Table410[[#This Row],[Jun_2026_Days_Forecast]]*Table410[[#This Row],[Cost Boolean]]*(VLOOKUP(Table410[[#This Row],[RATE CONCAT]],Tables!I:N,5,0)),0)</f>
        <v/>
      </c>
      <c r="CL24" s="338">
        <f>IFERROR(Table410[[#This Row],[Jun_2026_Days_Actual]]*Table410[[#This Row],[Cost Boolean]]*(VLOOKUP(Table410[[#This Row],[RATE CONCAT]],Tables!I:N,5,0)),0)</f>
        <v/>
      </c>
      <c r="CM24" s="338">
        <f>Table410[[#This Row],[Jun_2026_F]]-Table410[[#This Row],[Jun_2026_A]]</f>
        <v/>
      </c>
      <c r="CO24" s="338">
        <f>IFERROR(Table410[[#This Row],[Jul_2026_Days_Forecast]]*Table410[[#This Row],[Cost Boolean]]*(VLOOKUP(Table410[[#This Row],[RATE CONCAT]],Tables!I:N,5,0)),0)</f>
        <v/>
      </c>
      <c r="CP24" s="338">
        <f>IFERROR(Table410[[#This Row],[Jul_2026_Days_Actual]]*Table410[[#This Row],[Cost Boolean]]*(VLOOKUP(Table410[[#This Row],[RATE CONCAT]],Tables!I:N,5,0)),0)</f>
        <v/>
      </c>
      <c r="CQ24" s="338">
        <f>Table410[[#This Row],[Jul_2026_F]]-Table410[[#This Row],[Jul_2026_A]]</f>
        <v/>
      </c>
      <c r="CS24" s="338">
        <f>IFERROR(Table410[[#This Row],[Aug_2026_Days_Forecast]]*Table410[[#This Row],[Cost Boolean]]*(VLOOKUP(Table410[[#This Row],[RATE CONCAT]],Tables!I:N,5,0)),0)</f>
        <v/>
      </c>
      <c r="CT24" s="338">
        <f>IFERROR(Table410[[#This Row],[Aug_2026_Days_Actual]]*Table410[[#This Row],[Cost Boolean]]*(VLOOKUP(Table410[[#This Row],[RATE CONCAT]],Tables!I:N,5,0)),0)</f>
        <v/>
      </c>
      <c r="CU24" s="338">
        <f>Table410[[#This Row],[Aug_2026_F]]-Table410[[#This Row],[Aug_2026_A]]</f>
        <v/>
      </c>
      <c r="CW24" s="338">
        <f>IFERROR(Table410[[#This Row],[Sep_2026_Days_Forecast]]*Table410[[#This Row],[Cost Boolean]]*(VLOOKUP(Table410[[#This Row],[RATE CONCAT]],Tables!I:N,5,0)),0)</f>
        <v/>
      </c>
      <c r="CX24" s="338">
        <f>IFERROR(Table410[[#This Row],[Sep_2026_Days_Actual]]*Table410[[#This Row],[Cost Boolean]]*(VLOOKUP(Table410[[#This Row],[RATE CONCAT]],Tables!I:N,5,0)),0)</f>
        <v/>
      </c>
      <c r="CY24" s="338">
        <f>Table410[[#This Row],[Sep_2026_F]]-Table410[[#This Row],[Sep_2026_A]]</f>
        <v/>
      </c>
      <c r="DA24" s="338">
        <f>IFERROR(Table410[[#This Row],[Oct_2026_Days_Forecast]]*Table410[[#This Row],[Cost Boolean]]*(VLOOKUP(Table410[[#This Row],[RATE CONCAT]],Tables!I:N,5,0)),0)</f>
        <v/>
      </c>
      <c r="DB24" s="338">
        <f>IFERROR(Table410[[#This Row],[Oct_2026_Days_Actual]]*Table410[[#This Row],[Cost Boolean]]*(VLOOKUP(Table410[[#This Row],[RATE CONCAT]],Tables!I:N,5,0)),0)</f>
        <v/>
      </c>
      <c r="DC24" s="338">
        <f>Table410[[#This Row],[Oct_2026_F]]-Table410[[#This Row],[Oct_2026_A]]</f>
        <v/>
      </c>
      <c r="DE24" s="338">
        <f>IFERROR(Table410[[#This Row],[Nov_2026_Days_Forecast]]*Table410[[#This Row],[Cost Boolean]]*(VLOOKUP(Table410[[#This Row],[RATE CONCAT]],Tables!I:N,5,0)),0)</f>
        <v/>
      </c>
      <c r="DF24" s="338">
        <f>IFERROR(Table410[[#This Row],[Nov_2026_Days_Actual]]*Table410[[#This Row],[Cost Boolean]]*(VLOOKUP(Table410[[#This Row],[RATE CONCAT]],Tables!I:N,5,0)),0)</f>
        <v/>
      </c>
      <c r="DG24" s="338">
        <f>Table410[[#This Row],[Nov_2026_F]]-Table410[[#This Row],[Nov_2026_A]]</f>
        <v/>
      </c>
      <c r="DI24" s="338">
        <f>IFERROR(Table410[[#This Row],[Dec_2026_Days_Forecast]]*Table410[[#This Row],[Cost Boolean]]*(VLOOKUP(Table410[[#This Row],[RATE CONCAT]],Tables!I:N,5,0)),0)</f>
        <v/>
      </c>
      <c r="DJ24" s="338">
        <f>IFERROR(Table410[[#This Row],[Dec_2026_Days_Actual]]*Table410[[#This Row],[Cost Boolean]]*(VLOOKUP(Table410[[#This Row],[RATE CONCAT]],Tables!I:N,5,0)),0)</f>
        <v/>
      </c>
      <c r="DK24" s="338">
        <f>Table410[[#This Row],[Dec_2026_F]]-Table410[[#This Row],[Dec_2026_A]]</f>
        <v/>
      </c>
      <c r="DN24" s="338">
        <f>IFERROR(Table410[[#This Row],[Jan_2027_Days_Forecast]]*Table410[[#This Row],[Cost Boolean]]*(VLOOKUP(Table410[[#This Row],[RATE CONCAT]],Tables!I:N,6,0)),0)</f>
        <v/>
      </c>
      <c r="DP24" s="338">
        <f>Table410[[#This Row],[Jan_2027_F]]-Table410[[#This Row],[Jan_2027_A]]</f>
        <v/>
      </c>
      <c r="DQ24" s="338">
        <f>IFERROR(Table410[[#This Row],[Feb_2027_Days_Forecast]]*Table410[[#This Row],[Cost Boolean]]*(VLOOKUP(Table410[[#This Row],[RATE CONCAT]],Tables!I:N,6,0)),0)</f>
        <v/>
      </c>
      <c r="DS24" s="338">
        <f>Table410[[#This Row],[Feb_2027_F]]-Table410[[#This Row],[Feb_2027_A]]</f>
        <v/>
      </c>
      <c r="DT24" s="338">
        <f>IFERROR(Table410[[#This Row],[Mar_2027_Days_Forecast]]*Table410[[#This Row],[Cost Boolean]]*(VLOOKUP(Table410[[#This Row],[RATE CONCAT]],Tables!I:N,6,0)),0)</f>
        <v/>
      </c>
      <c r="DV24" s="338">
        <f>Table410[[#This Row],[Mar_2027_F]]-Table410[[#This Row],[Mar_2027_A]]</f>
        <v/>
      </c>
      <c r="DW24" s="338">
        <f>IFERROR(Table410[[#This Row],[Apr_2027_Days_Forecast]]*Table410[[#This Row],[Cost Boolean]]*(VLOOKUP(Table410[[#This Row],[RATE CONCAT]],Tables!I:N,6,0)),0)</f>
        <v/>
      </c>
      <c r="DY24" s="338">
        <f>Table410[[#This Row],[Apr_2027_F]]-Table410[[#This Row],[Apr_2027_A]]</f>
        <v/>
      </c>
      <c r="DZ24" s="338">
        <f>IFERROR(Table410[[#This Row],[May_2027_Days_Forecast]]*Table410[[#This Row],[Cost Boolean]]*(VLOOKUP(Table410[[#This Row],[RATE CONCAT]],Tables!I:N,6,0)),0)</f>
        <v/>
      </c>
      <c r="EB24" s="338">
        <f>Table410[[#This Row],[May_2027_F]]-Table410[[#This Row],[May_2027_A]]</f>
        <v/>
      </c>
      <c r="EC24" s="338">
        <f>IFERROR(Table410[[#This Row],[Jun_2027_Days_Forecast]]*Table410[[#This Row],[Cost Boolean]]*(VLOOKUP(Table410[[#This Row],[RATE CONCAT]],Tables!I:N,6,0)),0)</f>
        <v/>
      </c>
      <c r="EE24" s="338">
        <f>Table410[[#This Row],[Jun_2027_F]]-Table410[[#This Row],[Jun_2027_A]]</f>
        <v/>
      </c>
      <c r="EF24" s="338">
        <f>IFERROR(Table410[[#This Row],[Jul_2027_Days_Forecast]]*Table410[[#This Row],[Cost Boolean]]*(VLOOKUP(Table410[[#This Row],[RATE CONCAT]],Tables!I:N,6,0)),0)</f>
        <v/>
      </c>
      <c r="EH24" s="338">
        <f>Table410[[#This Row],[Jul_2027_F]]-Table410[[#This Row],[Jul_2027_A]]</f>
        <v/>
      </c>
      <c r="EI24" s="338">
        <f>IFERROR(Table410[[#This Row],[Aug_2027_Days_Forecast]]*Table410[[#This Row],[Cost Boolean]]*(VLOOKUP(Table410[[#This Row],[RATE CONCAT]],Tables!I:N,6,0)),0)</f>
        <v/>
      </c>
      <c r="EK24" s="338">
        <f>Table410[[#This Row],[Aug_2027_F]]-Table410[[#This Row],[Aug_2027_A]]</f>
        <v/>
      </c>
      <c r="EL24" s="338">
        <f>IFERROR(Table410[[#This Row],[Sep_2027_Days_Forecast]]*Table410[[#This Row],[Cost Boolean]]*(VLOOKUP(Table410[[#This Row],[RATE CONCAT]],Tables!I:N,6,0)),0)</f>
        <v/>
      </c>
      <c r="EN24" s="338">
        <f>Table410[[#This Row],[Sep_2027_F]]-Table410[[#This Row],[Sep_2027_A]]</f>
        <v/>
      </c>
      <c r="EO24" s="338">
        <f>IFERROR(Table410[[#This Row],[Oct_2027_Days_Forecast]]*Table410[[#This Row],[Cost Boolean]]*(VLOOKUP(Table410[[#This Row],[RATE CONCAT]],Tables!I:N,6,0)),0)</f>
        <v/>
      </c>
      <c r="EQ24" s="338">
        <f>Table410[[#This Row],[Oct_2027_F]]-Table410[[#This Row],[Oct_2027_A]]</f>
        <v/>
      </c>
      <c r="ER24" s="338">
        <f>IFERROR(Table410[[#This Row],[Nov_2027_Days_Forecast]]*Table410[[#This Row],[Cost Boolean]]*(VLOOKUP(Table410[[#This Row],[RATE CONCAT]],Tables!I:N,6,0)),0)</f>
        <v/>
      </c>
      <c r="ET24" s="338">
        <f>Table410[[#This Row],[Nov_2027_F]]-Table410[[#This Row],[Nov_2027_A]]</f>
        <v/>
      </c>
      <c r="EU24" s="338">
        <f>IFERROR(Table410[[#This Row],[Dec_2027_Days_Forecast]]*Table410[[#This Row],[Cost Boolean]]*(VLOOKUP(Table410[[#This Row],[RATE CONCAT]],Tables!I:N,6,0)),0)</f>
        <v/>
      </c>
      <c r="EW24" s="338">
        <f>Table410[[#This Row],[Dec_2027_F]]-Table410[[#This Row],[Dec_2027_A]]</f>
        <v/>
      </c>
    </row>
    <row r="25" ht="15" customFormat="1" customHeight="1" s="13">
      <c r="A25" s="342" t="inlineStr">
        <is>
          <t>PDSFS1006</t>
        </is>
      </c>
      <c r="B25" s="342" t="inlineStr">
        <is>
          <t>VPD</t>
        </is>
      </c>
      <c r="C25" s="342" t="inlineStr">
        <is>
          <t>Staff</t>
        </is>
      </c>
      <c r="D25" s="342" t="inlineStr">
        <is>
          <t>Amit Mishra</t>
        </is>
      </c>
      <c r="E25" s="342" t="inlineStr">
        <is>
          <t>Shell Business</t>
        </is>
      </c>
      <c r="G25" s="342" t="inlineStr">
        <is>
          <t>United Kingdom</t>
        </is>
      </c>
      <c r="H25" s="342" t="n">
        <v>4</v>
      </c>
      <c r="J25" s="342" t="inlineStr">
        <is>
          <t>Tester</t>
        </is>
      </c>
      <c r="K25" s="342" t="inlineStr">
        <is>
          <t>In-seat</t>
        </is>
      </c>
      <c r="L25" s="342" t="n">
        <v>0</v>
      </c>
      <c r="M25" s="342" t="inlineStr">
        <is>
          <t>LON</t>
        </is>
      </c>
      <c r="N25" s="342" t="inlineStr">
        <is>
          <t>Testing</t>
        </is>
      </c>
      <c r="O25" s="342" t="inlineStr">
        <is>
          <t>Opex</t>
        </is>
      </c>
      <c r="P25" s="342" t="inlineStr">
        <is>
          <t>Business</t>
        </is>
      </c>
      <c r="Q25" s="342" t="inlineStr">
        <is>
          <t>TBD</t>
        </is>
      </c>
      <c r="R25" s="343" t="n">
        <v>46023</v>
      </c>
      <c r="S25" s="343" t="n">
        <v>46387</v>
      </c>
      <c r="T25" s="343" t="n">
        <v>46113</v>
      </c>
      <c r="U25" s="343" t="n">
        <v>46387</v>
      </c>
      <c r="V25" s="343" t="n">
        <v>46023</v>
      </c>
      <c r="W25" s="343" t="n">
        <v>46387</v>
      </c>
      <c r="Y25" s="342">
        <f>CONCATENATE(Table410[[#This Row],[JG]],Table410[[#This Row],[Country]],Table410[[#This Row],[Resource Provider]])</f>
        <v/>
      </c>
      <c r="Z25" s="342">
        <f>VLOOKUP(Table410[[#This Row],[RATE CONCAT]],Tables!I:N,5,0)</f>
        <v/>
      </c>
      <c r="AA25" s="52" t="n"/>
      <c r="AB25" s="344" t="n">
        <v>5</v>
      </c>
      <c r="AC25" s="344" t="n">
        <v>5</v>
      </c>
      <c r="AD25" s="344" t="n">
        <v>5</v>
      </c>
      <c r="AE25" s="344" t="n">
        <v>5</v>
      </c>
      <c r="AF25" s="344" t="n">
        <v>5</v>
      </c>
      <c r="AG25" s="344" t="n">
        <v>4</v>
      </c>
      <c r="AH25" s="344" t="n">
        <v>5</v>
      </c>
      <c r="AI25" s="344" t="n">
        <v>5</v>
      </c>
      <c r="AJ25" s="344" t="n">
        <v>5</v>
      </c>
      <c r="AK25" s="344" t="n">
        <v>5</v>
      </c>
      <c r="AL25" s="344" t="n">
        <v>5</v>
      </c>
      <c r="AM25" s="344" t="n">
        <v>4</v>
      </c>
      <c r="AN25" s="341">
        <f>IFERROR(AVERAGE(Table410[[#This Row],[Jan_2026_Days_Forecast]:[Dec_2026_Days_Forecast]]),0)/19</f>
        <v/>
      </c>
      <c r="AO25" s="341">
        <f>IFERROR(AVERAGE(Table410[[#This Row],[Jan_2026_Days_Actual]:[Dec_2026_Days_Actual]]),0)/19</f>
        <v/>
      </c>
      <c r="AP25" s="344" t="n">
        <v>5</v>
      </c>
      <c r="AQ25" s="344" t="n">
        <v>5</v>
      </c>
      <c r="AR25" s="344" t="n">
        <v>5</v>
      </c>
      <c r="AS25" s="344" t="n">
        <v>5</v>
      </c>
      <c r="AT25" s="344" t="n">
        <v>5</v>
      </c>
      <c r="AU25" s="344" t="n">
        <v>4</v>
      </c>
      <c r="AV25" s="344" t="n">
        <v>5</v>
      </c>
      <c r="AW25" s="344" t="n">
        <v>5</v>
      </c>
      <c r="AX25" s="344" t="n">
        <v>5</v>
      </c>
      <c r="AY25" s="344" t="n">
        <v>5</v>
      </c>
      <c r="AZ25" s="344" t="n">
        <v>5</v>
      </c>
      <c r="BA25" s="344" t="n">
        <v>4</v>
      </c>
      <c r="BB25" s="341">
        <f>IFERROR(AVERAGE(Table410[[#This Row],[Jan_2027_Days_Forecast]:[Dec_2027_Days_Forecast]]),0)</f>
        <v/>
      </c>
      <c r="BC25" s="127" t="n"/>
      <c r="BD25" s="127" t="n"/>
      <c r="BE25" s="127" t="n"/>
      <c r="BF25" s="127" t="n"/>
      <c r="BG25" s="127" t="n"/>
      <c r="BH25" s="127" t="n"/>
      <c r="BI25" s="127" t="n"/>
      <c r="BJ25" s="127" t="n"/>
      <c r="BK25" s="127" t="n"/>
      <c r="BL25" s="127" t="n"/>
      <c r="BM25" s="127" t="n"/>
      <c r="BN25" s="127" t="n"/>
      <c r="BO25" s="176" t="n"/>
      <c r="BP25" s="176" t="n"/>
      <c r="BQ25" s="342">
        <f>IFERROR(Table410[[#This Row],[Jan_2026_Days_Forecast]]*Table410[[#This Row],[Cost Boolean]]*(VLOOKUP(Table410[[#This Row],[RATE CONCAT]],Tables!I:N,5,0)),0)</f>
        <v/>
      </c>
      <c r="BR25" s="342">
        <f>IFERROR(Table410[[#This Row],[Jan_2026_Days_Actual]]*Table410[[#This Row],[Cost Boolean]]*(VLOOKUP(Table410[[#This Row],[RATE CONCAT]],Tables!I:N,5,0)),0)</f>
        <v/>
      </c>
      <c r="BS25" s="342">
        <f>Table410[[#This Row],[Jan_2026_F]]-Table410[[#This Row],[Jan_2026_A]]</f>
        <v/>
      </c>
      <c r="BU25" s="342">
        <f>IFERROR(Table410[[#This Row],[Feb_2026_Days_Forecast]]*Table410[[#This Row],[Cost Boolean]]*(VLOOKUP(Table410[[#This Row],[RATE CONCAT]],Tables!I:N,5,0)),0)</f>
        <v/>
      </c>
      <c r="BV25" s="342">
        <f>IFERROR(Table410[[#This Row],[Feb_2026_Days_Actual]]*Table410[[#This Row],[Cost Boolean]]*(VLOOKUP(Table410[[#This Row],[RATE CONCAT]],Tables!I:N,5,0)),0)</f>
        <v/>
      </c>
      <c r="BW25" s="342">
        <f>Table410[[#This Row],[Feb_2026_F]]-Table410[[#This Row],[Feb_2026_A]]</f>
        <v/>
      </c>
      <c r="BY25" s="342">
        <f>IFERROR(Table410[[#This Row],[Mar_2026_Days_Forecast]]*Table410[[#This Row],[Cost Boolean]]*(VLOOKUP(Table410[[#This Row],[RATE CONCAT]],Tables!I:N,5,0)),0)</f>
        <v/>
      </c>
      <c r="BZ25" s="342">
        <f>IFERROR(Table410[[#This Row],[Mar_2026_Days_Actual]]*Table410[[#This Row],[Cost Boolean]]*(VLOOKUP(Table410[[#This Row],[RATE CONCAT]],Tables!I:N,5,0)),0)</f>
        <v/>
      </c>
      <c r="CA25" s="342">
        <f>Table410[[#This Row],[Mar_2026_F]]-Table410[[#This Row],[Mar_2026_A]]</f>
        <v/>
      </c>
      <c r="CC25" s="342">
        <f>IFERROR(Table410[[#This Row],[Apr_2026_Days_Forecast]]*Table410[[#This Row],[Cost Boolean]]*(VLOOKUP(Table410[[#This Row],[RATE CONCAT]],Tables!I:N,5,0)),0)</f>
        <v/>
      </c>
      <c r="CD25" s="342">
        <f>IFERROR(Table410[[#This Row],[Apr_2026_Days_Actual]]*Table410[[#This Row],[Cost Boolean]]*(VLOOKUP(Table410[[#This Row],[RATE CONCAT]],Tables!I:N,5,0)),0)</f>
        <v/>
      </c>
      <c r="CE25" s="342">
        <f>Table410[[#This Row],[Apr_2026_F]]-Table410[[#This Row],[Apr_2026_A]]</f>
        <v/>
      </c>
      <c r="CG25" s="342">
        <f>IFERROR(Table410[[#This Row],[May_2026_Days_Forecast]] *Table410[[#This Row],[Cost Boolean]]*(VLOOKUP(Table410[[#This Row],[RATE CONCAT]],Tables!I:N,5,0)),0)</f>
        <v/>
      </c>
      <c r="CH25" s="342">
        <f>IFERROR(Table410[[#This Row],[May_2026_Days_Actual]]*Table410[[#This Row],[Cost Boolean]]*(VLOOKUP(Table410[[#This Row],[RATE CONCAT]],Tables!I:N,5,0)),0)</f>
        <v/>
      </c>
      <c r="CI25" s="342">
        <f>Table410[[#This Row],[May_2026_F]]-Table410[[#This Row],[May_2026_A]]</f>
        <v/>
      </c>
      <c r="CK25" s="342">
        <f>IFERROR(Table410[[#This Row],[Jun_2026_Days_Forecast]]*Table410[[#This Row],[Cost Boolean]]*(VLOOKUP(Table410[[#This Row],[RATE CONCAT]],Tables!I:N,5,0)),0)</f>
        <v/>
      </c>
      <c r="CL25" s="342">
        <f>IFERROR(Table410[[#This Row],[Jun_2026_Days_Actual]]*Table410[[#This Row],[Cost Boolean]]*(VLOOKUP(Table410[[#This Row],[RATE CONCAT]],Tables!I:N,5,0)),0)</f>
        <v/>
      </c>
      <c r="CM25" s="342">
        <f>Table410[[#This Row],[Jun_2026_F]]-Table410[[#This Row],[Jun_2026_A]]</f>
        <v/>
      </c>
      <c r="CO25" s="342">
        <f>IFERROR(Table410[[#This Row],[Jul_2026_Days_Forecast]]*Table410[[#This Row],[Cost Boolean]]*(VLOOKUP(Table410[[#This Row],[RATE CONCAT]],Tables!I:N,5,0)),0)</f>
        <v/>
      </c>
      <c r="CP25" s="342">
        <f>IFERROR(Table410[[#This Row],[Jul_2026_Days_Actual]]*Table410[[#This Row],[Cost Boolean]]*(VLOOKUP(Table410[[#This Row],[RATE CONCAT]],Tables!I:N,5,0)),0)</f>
        <v/>
      </c>
      <c r="CQ25" s="342">
        <f>Table410[[#This Row],[Jul_2026_F]]-Table410[[#This Row],[Jul_2026_A]]</f>
        <v/>
      </c>
      <c r="CS25" s="342">
        <f>IFERROR(Table410[[#This Row],[Aug_2026_Days_Forecast]]*Table410[[#This Row],[Cost Boolean]]*(VLOOKUP(Table410[[#This Row],[RATE CONCAT]],Tables!I:N,5,0)),0)</f>
        <v/>
      </c>
      <c r="CT25" s="342">
        <f>IFERROR(Table410[[#This Row],[Aug_2026_Days_Actual]]*Table410[[#This Row],[Cost Boolean]]*(VLOOKUP(Table410[[#This Row],[RATE CONCAT]],Tables!I:N,5,0)),0)</f>
        <v/>
      </c>
      <c r="CU25" s="342">
        <f>Table410[[#This Row],[Aug_2026_F]]-Table410[[#This Row],[Aug_2026_A]]</f>
        <v/>
      </c>
      <c r="CW25" s="342">
        <f>IFERROR(Table410[[#This Row],[Sep_2026_Days_Forecast]]*Table410[[#This Row],[Cost Boolean]]*(VLOOKUP(Table410[[#This Row],[RATE CONCAT]],Tables!I:N,5,0)),0)</f>
        <v/>
      </c>
      <c r="CX25" s="342">
        <f>IFERROR(Table410[[#This Row],[Sep_2026_Days_Actual]]*Table410[[#This Row],[Cost Boolean]]*(VLOOKUP(Table410[[#This Row],[RATE CONCAT]],Tables!I:N,5,0)),0)</f>
        <v/>
      </c>
      <c r="CY25" s="342">
        <f>Table410[[#This Row],[Sep_2026_F]]-Table410[[#This Row],[Sep_2026_A]]</f>
        <v/>
      </c>
      <c r="DA25" s="342">
        <f>IFERROR(Table410[[#This Row],[Oct_2026_Days_Forecast]]*Table410[[#This Row],[Cost Boolean]]*(VLOOKUP(Table410[[#This Row],[RATE CONCAT]],Tables!I:N,5,0)),0)</f>
        <v/>
      </c>
      <c r="DB25" s="342">
        <f>IFERROR(Table410[[#This Row],[Oct_2026_Days_Actual]]*Table410[[#This Row],[Cost Boolean]]*(VLOOKUP(Table410[[#This Row],[RATE CONCAT]],Tables!I:N,5,0)),0)</f>
        <v/>
      </c>
      <c r="DC25" s="342">
        <f>Table410[[#This Row],[Oct_2026_F]]-Table410[[#This Row],[Oct_2026_A]]</f>
        <v/>
      </c>
      <c r="DE25" s="342">
        <f>IFERROR(Table410[[#This Row],[Nov_2026_Days_Forecast]]*Table410[[#This Row],[Cost Boolean]]*(VLOOKUP(Table410[[#This Row],[RATE CONCAT]],Tables!I:N,5,0)),0)</f>
        <v/>
      </c>
      <c r="DF25" s="342">
        <f>IFERROR(Table410[[#This Row],[Nov_2026_Days_Actual]]*Table410[[#This Row],[Cost Boolean]]*(VLOOKUP(Table410[[#This Row],[RATE CONCAT]],Tables!I:N,5,0)),0)</f>
        <v/>
      </c>
      <c r="DG25" s="342">
        <f>Table410[[#This Row],[Nov_2026_F]]-Table410[[#This Row],[Nov_2026_A]]</f>
        <v/>
      </c>
      <c r="DI25" s="342">
        <f>IFERROR(Table410[[#This Row],[Dec_2026_Days_Forecast]]*Table410[[#This Row],[Cost Boolean]]*(VLOOKUP(Table410[[#This Row],[RATE CONCAT]],Tables!I:N,5,0)),0)</f>
        <v/>
      </c>
      <c r="DJ25" s="342">
        <f>IFERROR(Table410[[#This Row],[Dec_2026_Days_Actual]]*Table410[[#This Row],[Cost Boolean]]*(VLOOKUP(Table410[[#This Row],[RATE CONCAT]],Tables!I:N,5,0)),0)</f>
        <v/>
      </c>
      <c r="DK25" s="342">
        <f>Table410[[#This Row],[Dec_2026_F]]-Table410[[#This Row],[Dec_2026_A]]</f>
        <v/>
      </c>
      <c r="DN25" s="342">
        <f>IFERROR(Table410[[#This Row],[Jan_2027_Days_Forecast]]*Table410[[#This Row],[Cost Boolean]]*(VLOOKUP(Table410[[#This Row],[RATE CONCAT]],Tables!I:N,6,0)),0)</f>
        <v/>
      </c>
      <c r="DP25" s="342">
        <f>Table410[[#This Row],[Jan_2027_F]]-Table410[[#This Row],[Jan_2027_A]]</f>
        <v/>
      </c>
      <c r="DQ25" s="342">
        <f>IFERROR(Table410[[#This Row],[Feb_2027_Days_Forecast]]*Table410[[#This Row],[Cost Boolean]]*(VLOOKUP(Table410[[#This Row],[RATE CONCAT]],Tables!I:N,6,0)),0)</f>
        <v/>
      </c>
      <c r="DS25" s="342">
        <f>Table410[[#This Row],[Feb_2027_F]]-Table410[[#This Row],[Feb_2027_A]]</f>
        <v/>
      </c>
      <c r="DT25" s="342">
        <f>IFERROR(Table410[[#This Row],[Mar_2027_Days_Forecast]]*Table410[[#This Row],[Cost Boolean]]*(VLOOKUP(Table410[[#This Row],[RATE CONCAT]],Tables!I:N,6,0)),0)</f>
        <v/>
      </c>
      <c r="DV25" s="342">
        <f>Table410[[#This Row],[Mar_2027_F]]-Table410[[#This Row],[Mar_2027_A]]</f>
        <v/>
      </c>
      <c r="DW25" s="342">
        <f>IFERROR(Table410[[#This Row],[Apr_2027_Days_Forecast]]*Table410[[#This Row],[Cost Boolean]]*(VLOOKUP(Table410[[#This Row],[RATE CONCAT]],Tables!I:N,6,0)),0)</f>
        <v/>
      </c>
      <c r="DY25" s="342">
        <f>Table410[[#This Row],[Apr_2027_F]]-Table410[[#This Row],[Apr_2027_A]]</f>
        <v/>
      </c>
      <c r="DZ25" s="342">
        <f>IFERROR(Table410[[#This Row],[May_2027_Days_Forecast]]*Table410[[#This Row],[Cost Boolean]]*(VLOOKUP(Table410[[#This Row],[RATE CONCAT]],Tables!I:N,6,0)),0)</f>
        <v/>
      </c>
      <c r="EB25" s="342">
        <f>Table410[[#This Row],[May_2027_F]]-Table410[[#This Row],[May_2027_A]]</f>
        <v/>
      </c>
      <c r="EC25" s="342">
        <f>IFERROR(Table410[[#This Row],[Jun_2027_Days_Forecast]]*Table410[[#This Row],[Cost Boolean]]*(VLOOKUP(Table410[[#This Row],[RATE CONCAT]],Tables!I:N,6,0)),0)</f>
        <v/>
      </c>
      <c r="EE25" s="342">
        <f>Table410[[#This Row],[Jun_2027_F]]-Table410[[#This Row],[Jun_2027_A]]</f>
        <v/>
      </c>
      <c r="EF25" s="342">
        <f>IFERROR(Table410[[#This Row],[Jul_2027_Days_Forecast]]*Table410[[#This Row],[Cost Boolean]]*(VLOOKUP(Table410[[#This Row],[RATE CONCAT]],Tables!I:N,6,0)),0)</f>
        <v/>
      </c>
      <c r="EH25" s="342">
        <f>Table410[[#This Row],[Jul_2027_F]]-Table410[[#This Row],[Jul_2027_A]]</f>
        <v/>
      </c>
      <c r="EI25" s="342">
        <f>IFERROR(Table410[[#This Row],[Aug_2027_Days_Forecast]]*Table410[[#This Row],[Cost Boolean]]*(VLOOKUP(Table410[[#This Row],[RATE CONCAT]],Tables!I:N,6,0)),0)</f>
        <v/>
      </c>
      <c r="EK25" s="342">
        <f>Table410[[#This Row],[Aug_2027_F]]-Table410[[#This Row],[Aug_2027_A]]</f>
        <v/>
      </c>
      <c r="EL25" s="342">
        <f>IFERROR(Table410[[#This Row],[Sep_2027_Days_Forecast]]*Table410[[#This Row],[Cost Boolean]]*(VLOOKUP(Table410[[#This Row],[RATE CONCAT]],Tables!I:N,6,0)),0)</f>
        <v/>
      </c>
      <c r="EN25" s="342">
        <f>Table410[[#This Row],[Sep_2027_F]]-Table410[[#This Row],[Sep_2027_A]]</f>
        <v/>
      </c>
      <c r="EO25" s="342">
        <f>IFERROR(Table410[[#This Row],[Oct_2027_Days_Forecast]]*Table410[[#This Row],[Cost Boolean]]*(VLOOKUP(Table410[[#This Row],[RATE CONCAT]],Tables!I:N,6,0)),0)</f>
        <v/>
      </c>
      <c r="EQ25" s="342">
        <f>Table410[[#This Row],[Oct_2027_F]]-Table410[[#This Row],[Oct_2027_A]]</f>
        <v/>
      </c>
      <c r="ER25" s="342">
        <f>IFERROR(Table410[[#This Row],[Nov_2027_Days_Forecast]]*Table410[[#This Row],[Cost Boolean]]*(VLOOKUP(Table410[[#This Row],[RATE CONCAT]],Tables!I:N,6,0)),0)</f>
        <v/>
      </c>
      <c r="ET25" s="342">
        <f>Table410[[#This Row],[Nov_2027_F]]-Table410[[#This Row],[Nov_2027_A]]</f>
        <v/>
      </c>
      <c r="EU25" s="342">
        <f>IFERROR(Table410[[#This Row],[Dec_2027_Days_Forecast]]*Table410[[#This Row],[Cost Boolean]]*(VLOOKUP(Table410[[#This Row],[RATE CONCAT]],Tables!I:N,6,0)),0)</f>
        <v/>
      </c>
      <c r="EW25" s="342">
        <f>Table410[[#This Row],[Dec_2027_F]]-Table410[[#This Row],[Dec_2027_A]]</f>
        <v/>
      </c>
    </row>
    <row r="26" ht="15" customFormat="1" customHeight="1" s="13">
      <c r="A26" s="338" t="inlineStr">
        <is>
          <t>PDSFS1007</t>
        </is>
      </c>
      <c r="B26" s="338" t="inlineStr">
        <is>
          <t>VPD</t>
        </is>
      </c>
      <c r="C26" s="338" t="inlineStr">
        <is>
          <t>Staff</t>
        </is>
      </c>
      <c r="D26" s="338" t="inlineStr">
        <is>
          <t>Arun Tharakan</t>
        </is>
      </c>
      <c r="E26" s="338" t="inlineStr">
        <is>
          <t>Shell Business</t>
        </is>
      </c>
      <c r="G26" s="338" t="inlineStr">
        <is>
          <t>United Kingdom</t>
        </is>
      </c>
      <c r="H26" s="338" t="n">
        <v>3</v>
      </c>
      <c r="J26" s="338" t="inlineStr">
        <is>
          <t>Business Analyst</t>
        </is>
      </c>
      <c r="K26" s="338" t="inlineStr">
        <is>
          <t>In-seat</t>
        </is>
      </c>
      <c r="L26" s="338" t="n">
        <v>1</v>
      </c>
      <c r="M26" s="338" t="inlineStr">
        <is>
          <t>LON</t>
        </is>
      </c>
      <c r="N26" s="338" t="inlineStr">
        <is>
          <t>Vessel Performance</t>
        </is>
      </c>
      <c r="O26" s="338" t="inlineStr">
        <is>
          <t>Capex</t>
        </is>
      </c>
      <c r="P26" s="338" t="inlineStr">
        <is>
          <t>Business</t>
        </is>
      </c>
      <c r="Q26" s="338" t="inlineStr">
        <is>
          <t>TBD</t>
        </is>
      </c>
      <c r="R26" s="339" t="n">
        <v>46023</v>
      </c>
      <c r="S26" s="339" t="n">
        <v>46387</v>
      </c>
      <c r="T26" s="339" t="n">
        <v>46054</v>
      </c>
      <c r="U26" s="339" t="n">
        <v>46387</v>
      </c>
      <c r="V26" s="339" t="n">
        <v>46023</v>
      </c>
      <c r="W26" s="339" t="n">
        <v>46387</v>
      </c>
      <c r="Y26" s="338">
        <f>CONCATENATE(Table410[[#This Row],[JG]],Table410[[#This Row],[Country]],Table410[[#This Row],[Resource Provider]])</f>
        <v/>
      </c>
      <c r="Z26" s="338">
        <f>VLOOKUP(Table410[[#This Row],[RATE CONCAT]],Tables!I:N,5,0)</f>
        <v/>
      </c>
      <c r="AA26" s="52" t="n"/>
      <c r="AB26" s="340" t="n">
        <v>5</v>
      </c>
      <c r="AC26" s="340" t="n">
        <v>5</v>
      </c>
      <c r="AD26" s="340" t="n">
        <v>5</v>
      </c>
      <c r="AE26" s="340" t="n">
        <v>5</v>
      </c>
      <c r="AF26" s="340" t="n">
        <v>5</v>
      </c>
      <c r="AG26" s="340" t="n">
        <v>4</v>
      </c>
      <c r="AH26" s="340" t="n">
        <v>5</v>
      </c>
      <c r="AI26" s="340" t="n">
        <v>5</v>
      </c>
      <c r="AJ26" s="340" t="n">
        <v>5</v>
      </c>
      <c r="AK26" s="340" t="n">
        <v>5</v>
      </c>
      <c r="AL26" s="340" t="n">
        <v>5</v>
      </c>
      <c r="AM26" s="340" t="n">
        <v>4</v>
      </c>
      <c r="AN26" s="341">
        <f>IFERROR(AVERAGE(Table410[[#This Row],[Jan_2026_Days_Forecast]:[Dec_2026_Days_Forecast]]),0)/19</f>
        <v/>
      </c>
      <c r="AO26" s="341">
        <f>IFERROR(AVERAGE(Table410[[#This Row],[Jan_2026_Days_Actual]:[Dec_2026_Days_Actual]]),0)/19</f>
        <v/>
      </c>
      <c r="AP26" s="340" t="n">
        <v>5</v>
      </c>
      <c r="AQ26" s="340" t="n">
        <v>5</v>
      </c>
      <c r="AR26" s="340" t="n">
        <v>5</v>
      </c>
      <c r="AS26" s="340" t="n">
        <v>5</v>
      </c>
      <c r="AT26" s="340" t="n">
        <v>5</v>
      </c>
      <c r="AU26" s="340" t="n">
        <v>4</v>
      </c>
      <c r="AV26" s="340" t="n">
        <v>5</v>
      </c>
      <c r="AW26" s="340" t="n">
        <v>5</v>
      </c>
      <c r="AX26" s="340" t="n">
        <v>5</v>
      </c>
      <c r="AY26" s="340" t="n">
        <v>5</v>
      </c>
      <c r="AZ26" s="340" t="n">
        <v>5</v>
      </c>
      <c r="BA26" s="340" t="n">
        <v>4</v>
      </c>
      <c r="BB26" s="341">
        <f>IFERROR(AVERAGE(Table410[[#This Row],[Jan_2027_Days_Forecast]:[Dec_2027_Days_Forecast]]),0)</f>
        <v/>
      </c>
      <c r="BC26" s="127" t="n"/>
      <c r="BD26" s="127" t="n"/>
      <c r="BE26" s="127" t="n"/>
      <c r="BF26" s="127" t="n"/>
      <c r="BG26" s="127" t="n"/>
      <c r="BH26" s="127" t="n"/>
      <c r="BI26" s="127" t="n"/>
      <c r="BJ26" s="127" t="n"/>
      <c r="BK26" s="127" t="n"/>
      <c r="BL26" s="127" t="n"/>
      <c r="BM26" s="127" t="n"/>
      <c r="BN26" s="127" t="n"/>
      <c r="BO26" s="176" t="n"/>
      <c r="BP26" s="176" t="n"/>
      <c r="BQ26" s="338">
        <f>IFERROR(Table410[[#This Row],[Jan_2026_Days_Forecast]]*Table410[[#This Row],[Cost Boolean]]*(VLOOKUP(Table410[[#This Row],[RATE CONCAT]],Tables!I:N,5,0)),0)</f>
        <v/>
      </c>
      <c r="BR26" s="338">
        <f>IFERROR(Table410[[#This Row],[Jan_2026_Days_Actual]]*Table410[[#This Row],[Cost Boolean]]*(VLOOKUP(Table410[[#This Row],[RATE CONCAT]],Tables!I:N,5,0)),0)</f>
        <v/>
      </c>
      <c r="BS26" s="338">
        <f>Table410[[#This Row],[Jan_2026_F]]-Table410[[#This Row],[Jan_2026_A]]</f>
        <v/>
      </c>
      <c r="BU26" s="338">
        <f>IFERROR(Table410[[#This Row],[Feb_2026_Days_Forecast]]*Table410[[#This Row],[Cost Boolean]]*(VLOOKUP(Table410[[#This Row],[RATE CONCAT]],Tables!I:N,5,0)),0)</f>
        <v/>
      </c>
      <c r="BV26" s="338">
        <f>IFERROR(Table410[[#This Row],[Feb_2026_Days_Actual]]*Table410[[#This Row],[Cost Boolean]]*(VLOOKUP(Table410[[#This Row],[RATE CONCAT]],Tables!I:N,5,0)),0)</f>
        <v/>
      </c>
      <c r="BW26" s="338">
        <f>Table410[[#This Row],[Feb_2026_F]]-Table410[[#This Row],[Feb_2026_A]]</f>
        <v/>
      </c>
      <c r="BY26" s="338">
        <f>IFERROR(Table410[[#This Row],[Mar_2026_Days_Forecast]]*Table410[[#This Row],[Cost Boolean]]*(VLOOKUP(Table410[[#This Row],[RATE CONCAT]],Tables!I:N,5,0)),0)</f>
        <v/>
      </c>
      <c r="BZ26" s="338">
        <f>IFERROR(Table410[[#This Row],[Mar_2026_Days_Actual]]*Table410[[#This Row],[Cost Boolean]]*(VLOOKUP(Table410[[#This Row],[RATE CONCAT]],Tables!I:N,5,0)),0)</f>
        <v/>
      </c>
      <c r="CA26" s="338">
        <f>Table410[[#This Row],[Mar_2026_F]]-Table410[[#This Row],[Mar_2026_A]]</f>
        <v/>
      </c>
      <c r="CC26" s="338">
        <f>IFERROR(Table410[[#This Row],[Apr_2026_Days_Forecast]]*Table410[[#This Row],[Cost Boolean]]*(VLOOKUP(Table410[[#This Row],[RATE CONCAT]],Tables!I:N,5,0)),0)</f>
        <v/>
      </c>
      <c r="CD26" s="338">
        <f>IFERROR(Table410[[#This Row],[Apr_2026_Days_Actual]]*Table410[[#This Row],[Cost Boolean]]*(VLOOKUP(Table410[[#This Row],[RATE CONCAT]],Tables!I:N,5,0)),0)</f>
        <v/>
      </c>
      <c r="CE26" s="338">
        <f>Table410[[#This Row],[Apr_2026_F]]-Table410[[#This Row],[Apr_2026_A]]</f>
        <v/>
      </c>
      <c r="CG26" s="338">
        <f>IFERROR(Table410[[#This Row],[May_2026_Days_Forecast]] *Table410[[#This Row],[Cost Boolean]]*(VLOOKUP(Table410[[#This Row],[RATE CONCAT]],Tables!I:N,5,0)),0)</f>
        <v/>
      </c>
      <c r="CH26" s="338">
        <f>IFERROR(Table410[[#This Row],[May_2026_Days_Actual]]*Table410[[#This Row],[Cost Boolean]]*(VLOOKUP(Table410[[#This Row],[RATE CONCAT]],Tables!I:N,5,0)),0)</f>
        <v/>
      </c>
      <c r="CI26" s="338">
        <f>Table410[[#This Row],[May_2026_F]]-Table410[[#This Row],[May_2026_A]]</f>
        <v/>
      </c>
      <c r="CK26" s="338">
        <f>IFERROR(Table410[[#This Row],[Jun_2026_Days_Forecast]]*Table410[[#This Row],[Cost Boolean]]*(VLOOKUP(Table410[[#This Row],[RATE CONCAT]],Tables!I:N,5,0)),0)</f>
        <v/>
      </c>
      <c r="CL26" s="338">
        <f>IFERROR(Table410[[#This Row],[Jun_2026_Days_Actual]]*Table410[[#This Row],[Cost Boolean]]*(VLOOKUP(Table410[[#This Row],[RATE CONCAT]],Tables!I:N,5,0)),0)</f>
        <v/>
      </c>
      <c r="CM26" s="338">
        <f>Table410[[#This Row],[Jun_2026_F]]-Table410[[#This Row],[Jun_2026_A]]</f>
        <v/>
      </c>
      <c r="CO26" s="338">
        <f>IFERROR(Table410[[#This Row],[Jul_2026_Days_Forecast]]*Table410[[#This Row],[Cost Boolean]]*(VLOOKUP(Table410[[#This Row],[RATE CONCAT]],Tables!I:N,5,0)),0)</f>
        <v/>
      </c>
      <c r="CP26" s="338">
        <f>IFERROR(Table410[[#This Row],[Jul_2026_Days_Actual]]*Table410[[#This Row],[Cost Boolean]]*(VLOOKUP(Table410[[#This Row],[RATE CONCAT]],Tables!I:N,5,0)),0)</f>
        <v/>
      </c>
      <c r="CQ26" s="338">
        <f>Table410[[#This Row],[Jul_2026_F]]-Table410[[#This Row],[Jul_2026_A]]</f>
        <v/>
      </c>
      <c r="CS26" s="338">
        <f>IFERROR(Table410[[#This Row],[Aug_2026_Days_Forecast]]*Table410[[#This Row],[Cost Boolean]]*(VLOOKUP(Table410[[#This Row],[RATE CONCAT]],Tables!I:N,5,0)),0)</f>
        <v/>
      </c>
      <c r="CT26" s="338">
        <f>IFERROR(Table410[[#This Row],[Aug_2026_Days_Actual]]*Table410[[#This Row],[Cost Boolean]]*(VLOOKUP(Table410[[#This Row],[RATE CONCAT]],Tables!I:N,5,0)),0)</f>
        <v/>
      </c>
      <c r="CU26" s="338">
        <f>Table410[[#This Row],[Aug_2026_F]]-Table410[[#This Row],[Aug_2026_A]]</f>
        <v/>
      </c>
      <c r="CW26" s="338">
        <f>IFERROR(Table410[[#This Row],[Sep_2026_Days_Forecast]]*Table410[[#This Row],[Cost Boolean]]*(VLOOKUP(Table410[[#This Row],[RATE CONCAT]],Tables!I:N,5,0)),0)</f>
        <v/>
      </c>
      <c r="CX26" s="338">
        <f>IFERROR(Table410[[#This Row],[Sep_2026_Days_Actual]]*Table410[[#This Row],[Cost Boolean]]*(VLOOKUP(Table410[[#This Row],[RATE CONCAT]],Tables!I:N,5,0)),0)</f>
        <v/>
      </c>
      <c r="CY26" s="338">
        <f>Table410[[#This Row],[Sep_2026_F]]-Table410[[#This Row],[Sep_2026_A]]</f>
        <v/>
      </c>
      <c r="DA26" s="338">
        <f>IFERROR(Table410[[#This Row],[Oct_2026_Days_Forecast]]*Table410[[#This Row],[Cost Boolean]]*(VLOOKUP(Table410[[#This Row],[RATE CONCAT]],Tables!I:N,5,0)),0)</f>
        <v/>
      </c>
      <c r="DB26" s="338">
        <f>IFERROR(Table410[[#This Row],[Oct_2026_Days_Actual]]*Table410[[#This Row],[Cost Boolean]]*(VLOOKUP(Table410[[#This Row],[RATE CONCAT]],Tables!I:N,5,0)),0)</f>
        <v/>
      </c>
      <c r="DC26" s="338">
        <f>Table410[[#This Row],[Oct_2026_F]]-Table410[[#This Row],[Oct_2026_A]]</f>
        <v/>
      </c>
      <c r="DE26" s="338">
        <f>IFERROR(Table410[[#This Row],[Nov_2026_Days_Forecast]]*Table410[[#This Row],[Cost Boolean]]*(VLOOKUP(Table410[[#This Row],[RATE CONCAT]],Tables!I:N,5,0)),0)</f>
        <v/>
      </c>
      <c r="DF26" s="338">
        <f>IFERROR(Table410[[#This Row],[Nov_2026_Days_Actual]]*Table410[[#This Row],[Cost Boolean]]*(VLOOKUP(Table410[[#This Row],[RATE CONCAT]],Tables!I:N,5,0)),0)</f>
        <v/>
      </c>
      <c r="DG26" s="338">
        <f>Table410[[#This Row],[Nov_2026_F]]-Table410[[#This Row],[Nov_2026_A]]</f>
        <v/>
      </c>
      <c r="DI26" s="338">
        <f>IFERROR(Table410[[#This Row],[Dec_2026_Days_Forecast]]*Table410[[#This Row],[Cost Boolean]]*(VLOOKUP(Table410[[#This Row],[RATE CONCAT]],Tables!I:N,5,0)),0)</f>
        <v/>
      </c>
      <c r="DJ26" s="338">
        <f>IFERROR(Table410[[#This Row],[Dec_2026_Days_Actual]]*Table410[[#This Row],[Cost Boolean]]*(VLOOKUP(Table410[[#This Row],[RATE CONCAT]],Tables!I:N,5,0)),0)</f>
        <v/>
      </c>
      <c r="DK26" s="338">
        <f>Table410[[#This Row],[Dec_2026_F]]-Table410[[#This Row],[Dec_2026_A]]</f>
        <v/>
      </c>
      <c r="DN26" s="338">
        <f>IFERROR(Table410[[#This Row],[Jan_2027_Days_Forecast]]*Table410[[#This Row],[Cost Boolean]]*(VLOOKUP(Table410[[#This Row],[RATE CONCAT]],Tables!I:N,6,0)),0)</f>
        <v/>
      </c>
      <c r="DP26" s="338">
        <f>Table410[[#This Row],[Jan_2027_F]]-Table410[[#This Row],[Jan_2027_A]]</f>
        <v/>
      </c>
      <c r="DQ26" s="338">
        <f>IFERROR(Table410[[#This Row],[Feb_2027_Days_Forecast]]*Table410[[#This Row],[Cost Boolean]]*(VLOOKUP(Table410[[#This Row],[RATE CONCAT]],Tables!I:N,6,0)),0)</f>
        <v/>
      </c>
      <c r="DS26" s="338">
        <f>Table410[[#This Row],[Feb_2027_F]]-Table410[[#This Row],[Feb_2027_A]]</f>
        <v/>
      </c>
      <c r="DT26" s="338">
        <f>IFERROR(Table410[[#This Row],[Mar_2027_Days_Forecast]]*Table410[[#This Row],[Cost Boolean]]*(VLOOKUP(Table410[[#This Row],[RATE CONCAT]],Tables!I:N,6,0)),0)</f>
        <v/>
      </c>
      <c r="DV26" s="338">
        <f>Table410[[#This Row],[Mar_2027_F]]-Table410[[#This Row],[Mar_2027_A]]</f>
        <v/>
      </c>
      <c r="DW26" s="338">
        <f>IFERROR(Table410[[#This Row],[Apr_2027_Days_Forecast]]*Table410[[#This Row],[Cost Boolean]]*(VLOOKUP(Table410[[#This Row],[RATE CONCAT]],Tables!I:N,6,0)),0)</f>
        <v/>
      </c>
      <c r="DY26" s="338">
        <f>Table410[[#This Row],[Apr_2027_F]]-Table410[[#This Row],[Apr_2027_A]]</f>
        <v/>
      </c>
      <c r="DZ26" s="338">
        <f>IFERROR(Table410[[#This Row],[May_2027_Days_Forecast]]*Table410[[#This Row],[Cost Boolean]]*(VLOOKUP(Table410[[#This Row],[RATE CONCAT]],Tables!I:N,6,0)),0)</f>
        <v/>
      </c>
      <c r="EB26" s="338">
        <f>Table410[[#This Row],[May_2027_F]]-Table410[[#This Row],[May_2027_A]]</f>
        <v/>
      </c>
      <c r="EC26" s="338">
        <f>IFERROR(Table410[[#This Row],[Jun_2027_Days_Forecast]]*Table410[[#This Row],[Cost Boolean]]*(VLOOKUP(Table410[[#This Row],[RATE CONCAT]],Tables!I:N,6,0)),0)</f>
        <v/>
      </c>
      <c r="EE26" s="338">
        <f>Table410[[#This Row],[Jun_2027_F]]-Table410[[#This Row],[Jun_2027_A]]</f>
        <v/>
      </c>
      <c r="EF26" s="338">
        <f>IFERROR(Table410[[#This Row],[Jul_2027_Days_Forecast]]*Table410[[#This Row],[Cost Boolean]]*(VLOOKUP(Table410[[#This Row],[RATE CONCAT]],Tables!I:N,6,0)),0)</f>
        <v/>
      </c>
      <c r="EH26" s="338">
        <f>Table410[[#This Row],[Jul_2027_F]]-Table410[[#This Row],[Jul_2027_A]]</f>
        <v/>
      </c>
      <c r="EI26" s="338">
        <f>IFERROR(Table410[[#This Row],[Aug_2027_Days_Forecast]]*Table410[[#This Row],[Cost Boolean]]*(VLOOKUP(Table410[[#This Row],[RATE CONCAT]],Tables!I:N,6,0)),0)</f>
        <v/>
      </c>
      <c r="EK26" s="338">
        <f>Table410[[#This Row],[Aug_2027_F]]-Table410[[#This Row],[Aug_2027_A]]</f>
        <v/>
      </c>
      <c r="EL26" s="338">
        <f>IFERROR(Table410[[#This Row],[Sep_2027_Days_Forecast]]*Table410[[#This Row],[Cost Boolean]]*(VLOOKUP(Table410[[#This Row],[RATE CONCAT]],Tables!I:N,6,0)),0)</f>
        <v/>
      </c>
      <c r="EN26" s="338">
        <f>Table410[[#This Row],[Sep_2027_F]]-Table410[[#This Row],[Sep_2027_A]]</f>
        <v/>
      </c>
      <c r="EO26" s="338">
        <f>IFERROR(Table410[[#This Row],[Oct_2027_Days_Forecast]]*Table410[[#This Row],[Cost Boolean]]*(VLOOKUP(Table410[[#This Row],[RATE CONCAT]],Tables!I:N,6,0)),0)</f>
        <v/>
      </c>
      <c r="EQ26" s="338">
        <f>Table410[[#This Row],[Oct_2027_F]]-Table410[[#This Row],[Oct_2027_A]]</f>
        <v/>
      </c>
      <c r="ER26" s="338">
        <f>IFERROR(Table410[[#This Row],[Nov_2027_Days_Forecast]]*Table410[[#This Row],[Cost Boolean]]*(VLOOKUP(Table410[[#This Row],[RATE CONCAT]],Tables!I:N,6,0)),0)</f>
        <v/>
      </c>
      <c r="ET26" s="338">
        <f>Table410[[#This Row],[Nov_2027_F]]-Table410[[#This Row],[Nov_2027_A]]</f>
        <v/>
      </c>
      <c r="EU26" s="338">
        <f>IFERROR(Table410[[#This Row],[Dec_2027_Days_Forecast]]*Table410[[#This Row],[Cost Boolean]]*(VLOOKUP(Table410[[#This Row],[RATE CONCAT]],Tables!I:N,6,0)),0)</f>
        <v/>
      </c>
      <c r="EW26" s="338">
        <f>Table410[[#This Row],[Dec_2027_F]]-Table410[[#This Row],[Dec_2027_A]]</f>
        <v/>
      </c>
    </row>
    <row r="27" ht="15" customFormat="1" customHeight="1" s="13">
      <c r="A27" s="342" t="inlineStr">
        <is>
          <t>PDSFS1010</t>
        </is>
      </c>
      <c r="B27" s="342" t="inlineStr">
        <is>
          <t>Prosmar Crude</t>
        </is>
      </c>
      <c r="C27" s="342" t="inlineStr">
        <is>
          <t>Staff</t>
        </is>
      </c>
      <c r="D27" s="342" t="inlineStr">
        <is>
          <t>Tracy Quirk</t>
        </is>
      </c>
      <c r="E27" s="342" t="inlineStr">
        <is>
          <t>Shell Business</t>
        </is>
      </c>
      <c r="G27" s="342" t="inlineStr">
        <is>
          <t>United States</t>
        </is>
      </c>
      <c r="H27" s="342" t="n">
        <v>3</v>
      </c>
      <c r="J27" s="342" t="inlineStr">
        <is>
          <t>Business Lead</t>
        </is>
      </c>
      <c r="K27" s="342" t="inlineStr">
        <is>
          <t>In-seat</t>
        </is>
      </c>
      <c r="L27" s="342" t="n">
        <v>0</v>
      </c>
      <c r="M27" s="342" t="inlineStr">
        <is>
          <t>HOU</t>
        </is>
      </c>
      <c r="N27" s="342" t="inlineStr">
        <is>
          <t>Market Risk</t>
        </is>
      </c>
      <c r="O27" s="342" t="inlineStr">
        <is>
          <t>Opex</t>
        </is>
      </c>
      <c r="P27" s="342" t="inlineStr">
        <is>
          <t>Business</t>
        </is>
      </c>
      <c r="Q27" s="342" t="inlineStr">
        <is>
          <t>TBD</t>
        </is>
      </c>
      <c r="R27" s="343" t="n">
        <v>46023</v>
      </c>
      <c r="S27" s="343" t="n">
        <v>46387</v>
      </c>
      <c r="T27" s="343" t="n">
        <v>46023</v>
      </c>
      <c r="U27" s="343" t="n">
        <v>46387</v>
      </c>
      <c r="V27" s="343" t="n">
        <v>46023</v>
      </c>
      <c r="W27" s="343" t="n">
        <v>46387</v>
      </c>
      <c r="Y27" s="342">
        <f>CONCATENATE(Table410[[#This Row],[JG]],Table410[[#This Row],[Country]],Table410[[#This Row],[Resource Provider]])</f>
        <v/>
      </c>
      <c r="Z27" s="342">
        <f>VLOOKUP(Table410[[#This Row],[RATE CONCAT]],Tables!I:N,5,0)</f>
        <v/>
      </c>
      <c r="AA27" s="52" t="n"/>
      <c r="AB27" s="344" t="n">
        <v>5</v>
      </c>
      <c r="AC27" s="344" t="n">
        <v>5</v>
      </c>
      <c r="AD27" s="344" t="n">
        <v>5</v>
      </c>
      <c r="AE27" s="344" t="n">
        <v>5</v>
      </c>
      <c r="AF27" s="344" t="n">
        <v>5</v>
      </c>
      <c r="AG27" s="344" t="n">
        <v>4</v>
      </c>
      <c r="AH27" s="344" t="n">
        <v>5</v>
      </c>
      <c r="AI27" s="344" t="n">
        <v>5</v>
      </c>
      <c r="AJ27" s="344" t="n">
        <v>5</v>
      </c>
      <c r="AK27" s="344" t="n">
        <v>5</v>
      </c>
      <c r="AL27" s="344" t="n">
        <v>5</v>
      </c>
      <c r="AM27" s="344" t="n">
        <v>4</v>
      </c>
      <c r="AN27" s="341">
        <f>IFERROR(AVERAGE(Table410[[#This Row],[Jan_2026_Days_Forecast]:[Dec_2026_Days_Forecast]]),0)/19</f>
        <v/>
      </c>
      <c r="AO27" s="341">
        <f>IFERROR(AVERAGE(Table410[[#This Row],[Jan_2026_Days_Actual]:[Dec_2026_Days_Actual]]),0)/19</f>
        <v/>
      </c>
      <c r="AP27" s="344" t="n">
        <v>5</v>
      </c>
      <c r="AQ27" s="344" t="n">
        <v>5</v>
      </c>
      <c r="AR27" s="344" t="n">
        <v>5</v>
      </c>
      <c r="AS27" s="344" t="n">
        <v>5</v>
      </c>
      <c r="AT27" s="344" t="n">
        <v>5</v>
      </c>
      <c r="AU27" s="344" t="n">
        <v>4</v>
      </c>
      <c r="AV27" s="344" t="n">
        <v>5</v>
      </c>
      <c r="AW27" s="344" t="n">
        <v>5</v>
      </c>
      <c r="AX27" s="344" t="n">
        <v>5</v>
      </c>
      <c r="AY27" s="344" t="n">
        <v>5</v>
      </c>
      <c r="AZ27" s="344" t="n">
        <v>5</v>
      </c>
      <c r="BA27" s="344" t="n">
        <v>4</v>
      </c>
      <c r="BB27" s="341">
        <f>IFERROR(AVERAGE(Table410[[#This Row],[Jan_2027_Days_Forecast]:[Dec_2027_Days_Forecast]]),0)</f>
        <v/>
      </c>
      <c r="BC27" s="127" t="n"/>
      <c r="BD27" s="127" t="n"/>
      <c r="BE27" s="127" t="n"/>
      <c r="BF27" s="127" t="n"/>
      <c r="BG27" s="127" t="n"/>
      <c r="BH27" s="127" t="n"/>
      <c r="BI27" s="127" t="n"/>
      <c r="BJ27" s="127" t="n"/>
      <c r="BK27" s="127" t="n"/>
      <c r="BL27" s="127" t="n"/>
      <c r="BM27" s="127" t="n"/>
      <c r="BN27" s="127" t="n"/>
      <c r="BO27" s="176" t="n"/>
      <c r="BP27" s="176" t="n"/>
      <c r="BQ27" s="342">
        <f>IFERROR(Table410[[#This Row],[Jan_2026_Days_Forecast]]*Table410[[#This Row],[Cost Boolean]]*(VLOOKUP(Table410[[#This Row],[RATE CONCAT]],Tables!I:N,5,0)),0)</f>
        <v/>
      </c>
      <c r="BR27" s="342">
        <f>IFERROR(Table410[[#This Row],[Jan_2026_Days_Actual]]*Table410[[#This Row],[Cost Boolean]]*(VLOOKUP(Table410[[#This Row],[RATE CONCAT]],Tables!I:N,5,0)),0)</f>
        <v/>
      </c>
      <c r="BS27" s="342">
        <f>Table410[[#This Row],[Jan_2026_F]]-Table410[[#This Row],[Jan_2026_A]]</f>
        <v/>
      </c>
      <c r="BU27" s="342">
        <f>IFERROR(Table410[[#This Row],[Feb_2026_Days_Forecast]]*Table410[[#This Row],[Cost Boolean]]*(VLOOKUP(Table410[[#This Row],[RATE CONCAT]],Tables!I:N,5,0)),0)</f>
        <v/>
      </c>
      <c r="BV27" s="342">
        <f>IFERROR(Table410[[#This Row],[Feb_2026_Days_Actual]]*Table410[[#This Row],[Cost Boolean]]*(VLOOKUP(Table410[[#This Row],[RATE CONCAT]],Tables!I:N,5,0)),0)</f>
        <v/>
      </c>
      <c r="BW27" s="342">
        <f>Table410[[#This Row],[Feb_2026_F]]-Table410[[#This Row],[Feb_2026_A]]</f>
        <v/>
      </c>
      <c r="BY27" s="342">
        <f>IFERROR(Table410[[#This Row],[Mar_2026_Days_Forecast]]*Table410[[#This Row],[Cost Boolean]]*(VLOOKUP(Table410[[#This Row],[RATE CONCAT]],Tables!I:N,5,0)),0)</f>
        <v/>
      </c>
      <c r="BZ27" s="342">
        <f>IFERROR(Table410[[#This Row],[Mar_2026_Days_Actual]]*Table410[[#This Row],[Cost Boolean]]*(VLOOKUP(Table410[[#This Row],[RATE CONCAT]],Tables!I:N,5,0)),0)</f>
        <v/>
      </c>
      <c r="CA27" s="342">
        <f>Table410[[#This Row],[Mar_2026_F]]-Table410[[#This Row],[Mar_2026_A]]</f>
        <v/>
      </c>
      <c r="CC27" s="342">
        <f>IFERROR(Table410[[#This Row],[Apr_2026_Days_Forecast]]*Table410[[#This Row],[Cost Boolean]]*(VLOOKUP(Table410[[#This Row],[RATE CONCAT]],Tables!I:N,5,0)),0)</f>
        <v/>
      </c>
      <c r="CD27" s="342">
        <f>IFERROR(Table410[[#This Row],[Apr_2026_Days_Actual]]*Table410[[#This Row],[Cost Boolean]]*(VLOOKUP(Table410[[#This Row],[RATE CONCAT]],Tables!I:N,5,0)),0)</f>
        <v/>
      </c>
      <c r="CE27" s="342">
        <f>Table410[[#This Row],[Apr_2026_F]]-Table410[[#This Row],[Apr_2026_A]]</f>
        <v/>
      </c>
      <c r="CG27" s="342">
        <f>IFERROR(Table410[[#This Row],[May_2026_Days_Forecast]] *Table410[[#This Row],[Cost Boolean]]*(VLOOKUP(Table410[[#This Row],[RATE CONCAT]],Tables!I:N,5,0)),0)</f>
        <v/>
      </c>
      <c r="CH27" s="342">
        <f>IFERROR(Table410[[#This Row],[May_2026_Days_Actual]]*Table410[[#This Row],[Cost Boolean]]*(VLOOKUP(Table410[[#This Row],[RATE CONCAT]],Tables!I:N,5,0)),0)</f>
        <v/>
      </c>
      <c r="CI27" s="342">
        <f>Table410[[#This Row],[May_2026_F]]-Table410[[#This Row],[May_2026_A]]</f>
        <v/>
      </c>
      <c r="CK27" s="342">
        <f>IFERROR(Table410[[#This Row],[Jun_2026_Days_Forecast]]*Table410[[#This Row],[Cost Boolean]]*(VLOOKUP(Table410[[#This Row],[RATE CONCAT]],Tables!I:N,5,0)),0)</f>
        <v/>
      </c>
      <c r="CL27" s="342">
        <f>IFERROR(Table410[[#This Row],[Jun_2026_Days_Actual]]*Table410[[#This Row],[Cost Boolean]]*(VLOOKUP(Table410[[#This Row],[RATE CONCAT]],Tables!I:N,5,0)),0)</f>
        <v/>
      </c>
      <c r="CM27" s="342">
        <f>Table410[[#This Row],[Jun_2026_F]]-Table410[[#This Row],[Jun_2026_A]]</f>
        <v/>
      </c>
      <c r="CO27" s="342">
        <f>IFERROR(Table410[[#This Row],[Jul_2026_Days_Forecast]]*Table410[[#This Row],[Cost Boolean]]*(VLOOKUP(Table410[[#This Row],[RATE CONCAT]],Tables!I:N,5,0)),0)</f>
        <v/>
      </c>
      <c r="CP27" s="342">
        <f>IFERROR(Table410[[#This Row],[Jul_2026_Days_Actual]]*Table410[[#This Row],[Cost Boolean]]*(VLOOKUP(Table410[[#This Row],[RATE CONCAT]],Tables!I:N,5,0)),0)</f>
        <v/>
      </c>
      <c r="CQ27" s="342">
        <f>Table410[[#This Row],[Jul_2026_F]]-Table410[[#This Row],[Jul_2026_A]]</f>
        <v/>
      </c>
      <c r="CS27" s="342">
        <f>IFERROR(Table410[[#This Row],[Aug_2026_Days_Forecast]]*Table410[[#This Row],[Cost Boolean]]*(VLOOKUP(Table410[[#This Row],[RATE CONCAT]],Tables!I:N,5,0)),0)</f>
        <v/>
      </c>
      <c r="CT27" s="342">
        <f>IFERROR(Table410[[#This Row],[Aug_2026_Days_Actual]]*Table410[[#This Row],[Cost Boolean]]*(VLOOKUP(Table410[[#This Row],[RATE CONCAT]],Tables!I:N,5,0)),0)</f>
        <v/>
      </c>
      <c r="CU27" s="342">
        <f>Table410[[#This Row],[Aug_2026_F]]-Table410[[#This Row],[Aug_2026_A]]</f>
        <v/>
      </c>
      <c r="CW27" s="342">
        <f>IFERROR(Table410[[#This Row],[Sep_2026_Days_Forecast]]*Table410[[#This Row],[Cost Boolean]]*(VLOOKUP(Table410[[#This Row],[RATE CONCAT]],Tables!I:N,5,0)),0)</f>
        <v/>
      </c>
      <c r="CX27" s="342">
        <f>IFERROR(Table410[[#This Row],[Sep_2026_Days_Actual]]*Table410[[#This Row],[Cost Boolean]]*(VLOOKUP(Table410[[#This Row],[RATE CONCAT]],Tables!I:N,5,0)),0)</f>
        <v/>
      </c>
      <c r="CY27" s="342">
        <f>Table410[[#This Row],[Sep_2026_F]]-Table410[[#This Row],[Sep_2026_A]]</f>
        <v/>
      </c>
      <c r="DA27" s="342">
        <f>IFERROR(Table410[[#This Row],[Oct_2026_Days_Forecast]]*Table410[[#This Row],[Cost Boolean]]*(VLOOKUP(Table410[[#This Row],[RATE CONCAT]],Tables!I:N,5,0)),0)</f>
        <v/>
      </c>
      <c r="DB27" s="342">
        <f>IFERROR(Table410[[#This Row],[Oct_2026_Days_Actual]]*Table410[[#This Row],[Cost Boolean]]*(VLOOKUP(Table410[[#This Row],[RATE CONCAT]],Tables!I:N,5,0)),0)</f>
        <v/>
      </c>
      <c r="DC27" s="342">
        <f>Table410[[#This Row],[Oct_2026_F]]-Table410[[#This Row],[Oct_2026_A]]</f>
        <v/>
      </c>
      <c r="DE27" s="342">
        <f>IFERROR(Table410[[#This Row],[Nov_2026_Days_Forecast]]*Table410[[#This Row],[Cost Boolean]]*(VLOOKUP(Table410[[#This Row],[RATE CONCAT]],Tables!I:N,5,0)),0)</f>
        <v/>
      </c>
      <c r="DF27" s="342">
        <f>IFERROR(Table410[[#This Row],[Nov_2026_Days_Actual]]*Table410[[#This Row],[Cost Boolean]]*(VLOOKUP(Table410[[#This Row],[RATE CONCAT]],Tables!I:N,5,0)),0)</f>
        <v/>
      </c>
      <c r="DG27" s="342">
        <f>Table410[[#This Row],[Nov_2026_F]]-Table410[[#This Row],[Nov_2026_A]]</f>
        <v/>
      </c>
      <c r="DI27" s="342">
        <f>IFERROR(Table410[[#This Row],[Dec_2026_Days_Forecast]]*Table410[[#This Row],[Cost Boolean]]*(VLOOKUP(Table410[[#This Row],[RATE CONCAT]],Tables!I:N,5,0)),0)</f>
        <v/>
      </c>
      <c r="DJ27" s="342">
        <f>IFERROR(Table410[[#This Row],[Dec_2026_Days_Actual]]*Table410[[#This Row],[Cost Boolean]]*(VLOOKUP(Table410[[#This Row],[RATE CONCAT]],Tables!I:N,5,0)),0)</f>
        <v/>
      </c>
      <c r="DK27" s="342">
        <f>Table410[[#This Row],[Dec_2026_F]]-Table410[[#This Row],[Dec_2026_A]]</f>
        <v/>
      </c>
      <c r="DN27" s="342">
        <f>IFERROR(Table410[[#This Row],[Jan_2027_Days_Forecast]]*Table410[[#This Row],[Cost Boolean]]*(VLOOKUP(Table410[[#This Row],[RATE CONCAT]],Tables!I:N,6,0)),0)</f>
        <v/>
      </c>
      <c r="DP27" s="342">
        <f>Table410[[#This Row],[Jan_2027_F]]-Table410[[#This Row],[Jan_2027_A]]</f>
        <v/>
      </c>
      <c r="DQ27" s="342">
        <f>IFERROR(Table410[[#This Row],[Feb_2027_Days_Forecast]]*Table410[[#This Row],[Cost Boolean]]*(VLOOKUP(Table410[[#This Row],[RATE CONCAT]],Tables!I:N,6,0)),0)</f>
        <v/>
      </c>
      <c r="DS27" s="342">
        <f>Table410[[#This Row],[Feb_2027_F]]-Table410[[#This Row],[Feb_2027_A]]</f>
        <v/>
      </c>
      <c r="DT27" s="342">
        <f>IFERROR(Table410[[#This Row],[Mar_2027_Days_Forecast]]*Table410[[#This Row],[Cost Boolean]]*(VLOOKUP(Table410[[#This Row],[RATE CONCAT]],Tables!I:N,6,0)),0)</f>
        <v/>
      </c>
      <c r="DV27" s="342">
        <f>Table410[[#This Row],[Mar_2027_F]]-Table410[[#This Row],[Mar_2027_A]]</f>
        <v/>
      </c>
      <c r="DW27" s="342">
        <f>IFERROR(Table410[[#This Row],[Apr_2027_Days_Forecast]]*Table410[[#This Row],[Cost Boolean]]*(VLOOKUP(Table410[[#This Row],[RATE CONCAT]],Tables!I:N,6,0)),0)</f>
        <v/>
      </c>
      <c r="DY27" s="342">
        <f>Table410[[#This Row],[Apr_2027_F]]-Table410[[#This Row],[Apr_2027_A]]</f>
        <v/>
      </c>
      <c r="DZ27" s="342">
        <f>IFERROR(Table410[[#This Row],[May_2027_Days_Forecast]]*Table410[[#This Row],[Cost Boolean]]*(VLOOKUP(Table410[[#This Row],[RATE CONCAT]],Tables!I:N,6,0)),0)</f>
        <v/>
      </c>
      <c r="EB27" s="342">
        <f>Table410[[#This Row],[May_2027_F]]-Table410[[#This Row],[May_2027_A]]</f>
        <v/>
      </c>
      <c r="EC27" s="342">
        <f>IFERROR(Table410[[#This Row],[Jun_2027_Days_Forecast]]*Table410[[#This Row],[Cost Boolean]]*(VLOOKUP(Table410[[#This Row],[RATE CONCAT]],Tables!I:N,6,0)),0)</f>
        <v/>
      </c>
      <c r="EE27" s="342">
        <f>Table410[[#This Row],[Jun_2027_F]]-Table410[[#This Row],[Jun_2027_A]]</f>
        <v/>
      </c>
      <c r="EF27" s="342">
        <f>IFERROR(Table410[[#This Row],[Jul_2027_Days_Forecast]]*Table410[[#This Row],[Cost Boolean]]*(VLOOKUP(Table410[[#This Row],[RATE CONCAT]],Tables!I:N,6,0)),0)</f>
        <v/>
      </c>
      <c r="EH27" s="342">
        <f>Table410[[#This Row],[Jul_2027_F]]-Table410[[#This Row],[Jul_2027_A]]</f>
        <v/>
      </c>
      <c r="EI27" s="342">
        <f>IFERROR(Table410[[#This Row],[Aug_2027_Days_Forecast]]*Table410[[#This Row],[Cost Boolean]]*(VLOOKUP(Table410[[#This Row],[RATE CONCAT]],Tables!I:N,6,0)),0)</f>
        <v/>
      </c>
      <c r="EK27" s="342">
        <f>Table410[[#This Row],[Aug_2027_F]]-Table410[[#This Row],[Aug_2027_A]]</f>
        <v/>
      </c>
      <c r="EL27" s="342">
        <f>IFERROR(Table410[[#This Row],[Sep_2027_Days_Forecast]]*Table410[[#This Row],[Cost Boolean]]*(VLOOKUP(Table410[[#This Row],[RATE CONCAT]],Tables!I:N,6,0)),0)</f>
        <v/>
      </c>
      <c r="EN27" s="342">
        <f>Table410[[#This Row],[Sep_2027_F]]-Table410[[#This Row],[Sep_2027_A]]</f>
        <v/>
      </c>
      <c r="EO27" s="342">
        <f>IFERROR(Table410[[#This Row],[Oct_2027_Days_Forecast]]*Table410[[#This Row],[Cost Boolean]]*(VLOOKUP(Table410[[#This Row],[RATE CONCAT]],Tables!I:N,6,0)),0)</f>
        <v/>
      </c>
      <c r="EQ27" s="342">
        <f>Table410[[#This Row],[Oct_2027_F]]-Table410[[#This Row],[Oct_2027_A]]</f>
        <v/>
      </c>
      <c r="ER27" s="342">
        <f>IFERROR(Table410[[#This Row],[Nov_2027_Days_Forecast]]*Table410[[#This Row],[Cost Boolean]]*(VLOOKUP(Table410[[#This Row],[RATE CONCAT]],Tables!I:N,6,0)),0)</f>
        <v/>
      </c>
      <c r="ET27" s="342">
        <f>Table410[[#This Row],[Nov_2027_F]]-Table410[[#This Row],[Nov_2027_A]]</f>
        <v/>
      </c>
      <c r="EU27" s="342">
        <f>IFERROR(Table410[[#This Row],[Dec_2027_Days_Forecast]]*Table410[[#This Row],[Cost Boolean]]*(VLOOKUP(Table410[[#This Row],[RATE CONCAT]],Tables!I:N,6,0)),0)</f>
        <v/>
      </c>
      <c r="EW27" s="342">
        <f>Table410[[#This Row],[Dec_2027_F]]-Table410[[#This Row],[Dec_2027_A]]</f>
        <v/>
      </c>
    </row>
    <row r="28" ht="15" customFormat="1" customHeight="1" s="13">
      <c r="A28" s="338" t="inlineStr">
        <is>
          <t>PDSFS1017</t>
        </is>
      </c>
      <c r="B28" s="338" t="inlineStr">
        <is>
          <t>GATOR</t>
        </is>
      </c>
      <c r="C28" s="338" t="inlineStr">
        <is>
          <t>Staff</t>
        </is>
      </c>
      <c r="D28" s="338" t="inlineStr">
        <is>
          <t>Barry Davis</t>
        </is>
      </c>
      <c r="E28" s="338" t="inlineStr">
        <is>
          <t>Shell Business</t>
        </is>
      </c>
      <c r="G28" s="338" t="inlineStr">
        <is>
          <t>Singapore</t>
        </is>
      </c>
      <c r="H28" s="338" t="n">
        <v>2</v>
      </c>
      <c r="J28" s="338" t="inlineStr">
        <is>
          <t>IT Strategist SME</t>
        </is>
      </c>
      <c r="K28" s="338" t="inlineStr">
        <is>
          <t>In-seat</t>
        </is>
      </c>
      <c r="L28" s="338" t="n">
        <v>0</v>
      </c>
      <c r="M28" s="338" t="inlineStr">
        <is>
          <t>SGP</t>
        </is>
      </c>
      <c r="N28" s="338" t="inlineStr">
        <is>
          <t>AI SME</t>
        </is>
      </c>
      <c r="O28" s="338" t="inlineStr">
        <is>
          <t>Opex</t>
        </is>
      </c>
      <c r="P28" s="338" t="inlineStr">
        <is>
          <t>Business</t>
        </is>
      </c>
      <c r="Q28" s="338" t="inlineStr">
        <is>
          <t>TBD</t>
        </is>
      </c>
      <c r="R28" s="339" t="n">
        <v>46054</v>
      </c>
      <c r="S28" s="339" t="n">
        <v>46387</v>
      </c>
      <c r="T28" s="339" t="n">
        <v>46023</v>
      </c>
      <c r="U28" s="339" t="n">
        <v>46387</v>
      </c>
      <c r="V28" s="339" t="n">
        <v>46054</v>
      </c>
      <c r="W28" s="339" t="n">
        <v>46387</v>
      </c>
      <c r="Y28" s="338">
        <f>CONCATENATE(Table410[[#This Row],[JG]],Table410[[#This Row],[Country]],Table410[[#This Row],[Resource Provider]])</f>
        <v/>
      </c>
      <c r="Z28" s="338">
        <f>VLOOKUP(Table410[[#This Row],[RATE CONCAT]],Tables!I:N,5,0)</f>
        <v/>
      </c>
      <c r="AA28" s="52" t="n"/>
      <c r="AB28" s="130" t="n"/>
      <c r="AC28" s="340" t="n">
        <v>5</v>
      </c>
      <c r="AD28" s="340" t="n">
        <v>5</v>
      </c>
      <c r="AE28" s="340" t="n">
        <v>5</v>
      </c>
      <c r="AF28" s="340" t="n">
        <v>5</v>
      </c>
      <c r="AG28" s="340" t="n">
        <v>4</v>
      </c>
      <c r="AH28" s="340" t="n">
        <v>5</v>
      </c>
      <c r="AI28" s="340" t="n">
        <v>5</v>
      </c>
      <c r="AJ28" s="340" t="n">
        <v>5</v>
      </c>
      <c r="AK28" s="130" t="n"/>
      <c r="AL28" s="130" t="n"/>
      <c r="AM28" s="130" t="n"/>
      <c r="AN28" s="341">
        <f>IFERROR(AVERAGE(Table410[[#This Row],[Jan_2026_Days_Forecast]:[Dec_2026_Days_Forecast]]),0)/19</f>
        <v/>
      </c>
      <c r="AO28" s="341">
        <f>IFERROR(AVERAGE(Table410[[#This Row],[Jan_2026_Days_Actual]:[Dec_2026_Days_Actual]]),0)/19</f>
        <v/>
      </c>
      <c r="AP28" s="130" t="n"/>
      <c r="AQ28" s="340" t="n">
        <v>5</v>
      </c>
      <c r="AR28" s="340" t="n">
        <v>5</v>
      </c>
      <c r="AS28" s="340" t="n">
        <v>5</v>
      </c>
      <c r="AT28" s="340" t="n">
        <v>5</v>
      </c>
      <c r="AU28" s="340" t="n">
        <v>4</v>
      </c>
      <c r="AV28" s="340" t="n">
        <v>5</v>
      </c>
      <c r="AW28" s="340" t="n">
        <v>5</v>
      </c>
      <c r="AX28" s="340" t="n">
        <v>5</v>
      </c>
      <c r="AY28" s="130" t="n"/>
      <c r="AZ28" s="130" t="n"/>
      <c r="BA28" s="130" t="n"/>
      <c r="BB28" s="341">
        <f>IFERROR(AVERAGE(Table410[[#This Row],[Jan_2027_Days_Forecast]:[Dec_2027_Days_Forecast]]),0)</f>
        <v/>
      </c>
      <c r="BC28" s="127" t="n"/>
      <c r="BD28" s="127" t="n"/>
      <c r="BE28" s="127" t="n"/>
      <c r="BF28" s="127" t="n"/>
      <c r="BG28" s="127" t="n"/>
      <c r="BH28" s="127" t="n"/>
      <c r="BI28" s="127" t="n"/>
      <c r="BJ28" s="127" t="n"/>
      <c r="BK28" s="127" t="n"/>
      <c r="BL28" s="127" t="n"/>
      <c r="BM28" s="127" t="n"/>
      <c r="BN28" s="127" t="n"/>
      <c r="BO28" s="176" t="n"/>
      <c r="BP28" s="176" t="n"/>
      <c r="BQ28" s="338">
        <f>IFERROR(Table410[[#This Row],[Jan_2026_Days_Forecast]]*Table410[[#This Row],[Cost Boolean]]*(VLOOKUP(Table410[[#This Row],[RATE CONCAT]],Tables!I:N,5,0)),0)</f>
        <v/>
      </c>
      <c r="BR28" s="338">
        <f>IFERROR(Table410[[#This Row],[Jan_2026_Days_Actual]]*Table410[[#This Row],[Cost Boolean]]*(VLOOKUP(Table410[[#This Row],[RATE CONCAT]],Tables!I:N,5,0)),0)</f>
        <v/>
      </c>
      <c r="BS28" s="338">
        <f>Table410[[#This Row],[Jan_2026_F]]-Table410[[#This Row],[Jan_2026_A]]</f>
        <v/>
      </c>
      <c r="BU28" s="338">
        <f>IFERROR(Table410[[#This Row],[Feb_2026_Days_Forecast]]*Table410[[#This Row],[Cost Boolean]]*(VLOOKUP(Table410[[#This Row],[RATE CONCAT]],Tables!I:N,5,0)),0)</f>
        <v/>
      </c>
      <c r="BV28" s="338">
        <f>IFERROR(Table410[[#This Row],[Feb_2026_Days_Actual]]*Table410[[#This Row],[Cost Boolean]]*(VLOOKUP(Table410[[#This Row],[RATE CONCAT]],Tables!I:N,5,0)),0)</f>
        <v/>
      </c>
      <c r="BW28" s="338">
        <f>Table410[[#This Row],[Feb_2026_F]]-Table410[[#This Row],[Feb_2026_A]]</f>
        <v/>
      </c>
      <c r="BY28" s="338">
        <f>IFERROR(Table410[[#This Row],[Mar_2026_Days_Forecast]]*Table410[[#This Row],[Cost Boolean]]*(VLOOKUP(Table410[[#This Row],[RATE CONCAT]],Tables!I:N,5,0)),0)</f>
        <v/>
      </c>
      <c r="BZ28" s="338">
        <f>IFERROR(Table410[[#This Row],[Mar_2026_Days_Actual]]*Table410[[#This Row],[Cost Boolean]]*(VLOOKUP(Table410[[#This Row],[RATE CONCAT]],Tables!I:N,5,0)),0)</f>
        <v/>
      </c>
      <c r="CA28" s="338">
        <f>Table410[[#This Row],[Mar_2026_F]]-Table410[[#This Row],[Mar_2026_A]]</f>
        <v/>
      </c>
      <c r="CC28" s="338">
        <f>IFERROR(Table410[[#This Row],[Apr_2026_Days_Forecast]]*Table410[[#This Row],[Cost Boolean]]*(VLOOKUP(Table410[[#This Row],[RATE CONCAT]],Tables!I:N,5,0)),0)</f>
        <v/>
      </c>
      <c r="CD28" s="338">
        <f>IFERROR(Table410[[#This Row],[Apr_2026_Days_Actual]]*Table410[[#This Row],[Cost Boolean]]*(VLOOKUP(Table410[[#This Row],[RATE CONCAT]],Tables!I:N,5,0)),0)</f>
        <v/>
      </c>
      <c r="CE28" s="338">
        <f>Table410[[#This Row],[Apr_2026_F]]-Table410[[#This Row],[Apr_2026_A]]</f>
        <v/>
      </c>
      <c r="CG28" s="338">
        <f>IFERROR(Table410[[#This Row],[May_2026_Days_Forecast]] *Table410[[#This Row],[Cost Boolean]]*(VLOOKUP(Table410[[#This Row],[RATE CONCAT]],Tables!I:N,5,0)),0)</f>
        <v/>
      </c>
      <c r="CH28" s="338">
        <f>IFERROR(Table410[[#This Row],[May_2026_Days_Actual]]*Table410[[#This Row],[Cost Boolean]]*(VLOOKUP(Table410[[#This Row],[RATE CONCAT]],Tables!I:N,5,0)),0)</f>
        <v/>
      </c>
      <c r="CI28" s="338">
        <f>Table410[[#This Row],[May_2026_F]]-Table410[[#This Row],[May_2026_A]]</f>
        <v/>
      </c>
      <c r="CK28" s="338">
        <f>IFERROR(Table410[[#This Row],[Jun_2026_Days_Forecast]]*Table410[[#This Row],[Cost Boolean]]*(VLOOKUP(Table410[[#This Row],[RATE CONCAT]],Tables!I:N,5,0)),0)</f>
        <v/>
      </c>
      <c r="CL28" s="338">
        <f>IFERROR(Table410[[#This Row],[Jun_2026_Days_Actual]]*Table410[[#This Row],[Cost Boolean]]*(VLOOKUP(Table410[[#This Row],[RATE CONCAT]],Tables!I:N,5,0)),0)</f>
        <v/>
      </c>
      <c r="CM28" s="338">
        <f>Table410[[#This Row],[Jun_2026_F]]-Table410[[#This Row],[Jun_2026_A]]</f>
        <v/>
      </c>
      <c r="CO28" s="338">
        <f>IFERROR(Table410[[#This Row],[Jul_2026_Days_Forecast]]*Table410[[#This Row],[Cost Boolean]]*(VLOOKUP(Table410[[#This Row],[RATE CONCAT]],Tables!I:N,5,0)),0)</f>
        <v/>
      </c>
      <c r="CP28" s="338">
        <f>IFERROR(Table410[[#This Row],[Jul_2026_Days_Actual]]*Table410[[#This Row],[Cost Boolean]]*(VLOOKUP(Table410[[#This Row],[RATE CONCAT]],Tables!I:N,5,0)),0)</f>
        <v/>
      </c>
      <c r="CQ28" s="338">
        <f>Table410[[#This Row],[Jul_2026_F]]-Table410[[#This Row],[Jul_2026_A]]</f>
        <v/>
      </c>
      <c r="CS28" s="338">
        <f>IFERROR(Table410[[#This Row],[Aug_2026_Days_Forecast]]*Table410[[#This Row],[Cost Boolean]]*(VLOOKUP(Table410[[#This Row],[RATE CONCAT]],Tables!I:N,5,0)),0)</f>
        <v/>
      </c>
      <c r="CT28" s="338">
        <f>IFERROR(Table410[[#This Row],[Aug_2026_Days_Actual]]*Table410[[#This Row],[Cost Boolean]]*(VLOOKUP(Table410[[#This Row],[RATE CONCAT]],Tables!I:N,5,0)),0)</f>
        <v/>
      </c>
      <c r="CU28" s="338">
        <f>Table410[[#This Row],[Aug_2026_F]]-Table410[[#This Row],[Aug_2026_A]]</f>
        <v/>
      </c>
      <c r="CW28" s="338">
        <f>IFERROR(Table410[[#This Row],[Sep_2026_Days_Forecast]]*Table410[[#This Row],[Cost Boolean]]*(VLOOKUP(Table410[[#This Row],[RATE CONCAT]],Tables!I:N,5,0)),0)</f>
        <v/>
      </c>
      <c r="CX28" s="338">
        <f>IFERROR(Table410[[#This Row],[Sep_2026_Days_Actual]]*Table410[[#This Row],[Cost Boolean]]*(VLOOKUP(Table410[[#This Row],[RATE CONCAT]],Tables!I:N,5,0)),0)</f>
        <v/>
      </c>
      <c r="CY28" s="338">
        <f>Table410[[#This Row],[Sep_2026_F]]-Table410[[#This Row],[Sep_2026_A]]</f>
        <v/>
      </c>
      <c r="DA28" s="338">
        <f>IFERROR(Table410[[#This Row],[Oct_2026_Days_Forecast]]*Table410[[#This Row],[Cost Boolean]]*(VLOOKUP(Table410[[#This Row],[RATE CONCAT]],Tables!I:N,5,0)),0)</f>
        <v/>
      </c>
      <c r="DB28" s="338">
        <f>IFERROR(Table410[[#This Row],[Oct_2026_Days_Actual]]*Table410[[#This Row],[Cost Boolean]]*(VLOOKUP(Table410[[#This Row],[RATE CONCAT]],Tables!I:N,5,0)),0)</f>
        <v/>
      </c>
      <c r="DC28" s="338">
        <f>Table410[[#This Row],[Oct_2026_F]]-Table410[[#This Row],[Oct_2026_A]]</f>
        <v/>
      </c>
      <c r="DE28" s="338">
        <f>IFERROR(Table410[[#This Row],[Nov_2026_Days_Forecast]]*Table410[[#This Row],[Cost Boolean]]*(VLOOKUP(Table410[[#This Row],[RATE CONCAT]],Tables!I:N,5,0)),0)</f>
        <v/>
      </c>
      <c r="DF28" s="338">
        <f>IFERROR(Table410[[#This Row],[Nov_2026_Days_Actual]]*Table410[[#This Row],[Cost Boolean]]*(VLOOKUP(Table410[[#This Row],[RATE CONCAT]],Tables!I:N,5,0)),0)</f>
        <v/>
      </c>
      <c r="DG28" s="338">
        <f>Table410[[#This Row],[Nov_2026_F]]-Table410[[#This Row],[Nov_2026_A]]</f>
        <v/>
      </c>
      <c r="DI28" s="338">
        <f>IFERROR(Table410[[#This Row],[Dec_2026_Days_Forecast]]*Table410[[#This Row],[Cost Boolean]]*(VLOOKUP(Table410[[#This Row],[RATE CONCAT]],Tables!I:N,5,0)),0)</f>
        <v/>
      </c>
      <c r="DJ28" s="338">
        <f>IFERROR(Table410[[#This Row],[Dec_2026_Days_Actual]]*Table410[[#This Row],[Cost Boolean]]*(VLOOKUP(Table410[[#This Row],[RATE CONCAT]],Tables!I:N,5,0)),0)</f>
        <v/>
      </c>
      <c r="DK28" s="338">
        <f>Table410[[#This Row],[Dec_2026_F]]-Table410[[#This Row],[Dec_2026_A]]</f>
        <v/>
      </c>
      <c r="DN28" s="338">
        <f>IFERROR(Table410[[#This Row],[Jan_2027_Days_Forecast]]*Table410[[#This Row],[Cost Boolean]]*(VLOOKUP(Table410[[#This Row],[RATE CONCAT]],Tables!I:N,6,0)),0)</f>
        <v/>
      </c>
      <c r="DP28" s="338">
        <f>Table410[[#This Row],[Jan_2027_F]]-Table410[[#This Row],[Jan_2027_A]]</f>
        <v/>
      </c>
      <c r="DQ28" s="338">
        <f>IFERROR(Table410[[#This Row],[Feb_2027_Days_Forecast]]*Table410[[#This Row],[Cost Boolean]]*(VLOOKUP(Table410[[#This Row],[RATE CONCAT]],Tables!I:N,6,0)),0)</f>
        <v/>
      </c>
      <c r="DS28" s="338">
        <f>Table410[[#This Row],[Feb_2027_F]]-Table410[[#This Row],[Feb_2027_A]]</f>
        <v/>
      </c>
      <c r="DT28" s="338">
        <f>IFERROR(Table410[[#This Row],[Mar_2027_Days_Forecast]]*Table410[[#This Row],[Cost Boolean]]*(VLOOKUP(Table410[[#This Row],[RATE CONCAT]],Tables!I:N,6,0)),0)</f>
        <v/>
      </c>
      <c r="DV28" s="338">
        <f>Table410[[#This Row],[Mar_2027_F]]-Table410[[#This Row],[Mar_2027_A]]</f>
        <v/>
      </c>
      <c r="DW28" s="338">
        <f>IFERROR(Table410[[#This Row],[Apr_2027_Days_Forecast]]*Table410[[#This Row],[Cost Boolean]]*(VLOOKUP(Table410[[#This Row],[RATE CONCAT]],Tables!I:N,6,0)),0)</f>
        <v/>
      </c>
      <c r="DY28" s="338">
        <f>Table410[[#This Row],[Apr_2027_F]]-Table410[[#This Row],[Apr_2027_A]]</f>
        <v/>
      </c>
      <c r="DZ28" s="338">
        <f>IFERROR(Table410[[#This Row],[May_2027_Days_Forecast]]*Table410[[#This Row],[Cost Boolean]]*(VLOOKUP(Table410[[#This Row],[RATE CONCAT]],Tables!I:N,6,0)),0)</f>
        <v/>
      </c>
      <c r="EB28" s="338">
        <f>Table410[[#This Row],[May_2027_F]]-Table410[[#This Row],[May_2027_A]]</f>
        <v/>
      </c>
      <c r="EC28" s="338">
        <f>IFERROR(Table410[[#This Row],[Jun_2027_Days_Forecast]]*Table410[[#This Row],[Cost Boolean]]*(VLOOKUP(Table410[[#This Row],[RATE CONCAT]],Tables!I:N,6,0)),0)</f>
        <v/>
      </c>
      <c r="EE28" s="338">
        <f>Table410[[#This Row],[Jun_2027_F]]-Table410[[#This Row],[Jun_2027_A]]</f>
        <v/>
      </c>
      <c r="EF28" s="338">
        <f>IFERROR(Table410[[#This Row],[Jul_2027_Days_Forecast]]*Table410[[#This Row],[Cost Boolean]]*(VLOOKUP(Table410[[#This Row],[RATE CONCAT]],Tables!I:N,6,0)),0)</f>
        <v/>
      </c>
      <c r="EH28" s="338">
        <f>Table410[[#This Row],[Jul_2027_F]]-Table410[[#This Row],[Jul_2027_A]]</f>
        <v/>
      </c>
      <c r="EI28" s="338">
        <f>IFERROR(Table410[[#This Row],[Aug_2027_Days_Forecast]]*Table410[[#This Row],[Cost Boolean]]*(VLOOKUP(Table410[[#This Row],[RATE CONCAT]],Tables!I:N,6,0)),0)</f>
        <v/>
      </c>
      <c r="EK28" s="338">
        <f>Table410[[#This Row],[Aug_2027_F]]-Table410[[#This Row],[Aug_2027_A]]</f>
        <v/>
      </c>
      <c r="EL28" s="338">
        <f>IFERROR(Table410[[#This Row],[Sep_2027_Days_Forecast]]*Table410[[#This Row],[Cost Boolean]]*(VLOOKUP(Table410[[#This Row],[RATE CONCAT]],Tables!I:N,6,0)),0)</f>
        <v/>
      </c>
      <c r="EN28" s="338">
        <f>Table410[[#This Row],[Sep_2027_F]]-Table410[[#This Row],[Sep_2027_A]]</f>
        <v/>
      </c>
      <c r="EO28" s="338">
        <f>IFERROR(Table410[[#This Row],[Oct_2027_Days_Forecast]]*Table410[[#This Row],[Cost Boolean]]*(VLOOKUP(Table410[[#This Row],[RATE CONCAT]],Tables!I:N,6,0)),0)</f>
        <v/>
      </c>
      <c r="EQ28" s="338">
        <f>Table410[[#This Row],[Oct_2027_F]]-Table410[[#This Row],[Oct_2027_A]]</f>
        <v/>
      </c>
      <c r="ER28" s="338">
        <f>IFERROR(Table410[[#This Row],[Nov_2027_Days_Forecast]]*Table410[[#This Row],[Cost Boolean]]*(VLOOKUP(Table410[[#This Row],[RATE CONCAT]],Tables!I:N,6,0)),0)</f>
        <v/>
      </c>
      <c r="ET28" s="338">
        <f>Table410[[#This Row],[Nov_2027_F]]-Table410[[#This Row],[Nov_2027_A]]</f>
        <v/>
      </c>
      <c r="EU28" s="338">
        <f>IFERROR(Table410[[#This Row],[Dec_2027_Days_Forecast]]*Table410[[#This Row],[Cost Boolean]]*(VLOOKUP(Table410[[#This Row],[RATE CONCAT]],Tables!I:N,6,0)),0)</f>
        <v/>
      </c>
      <c r="EW28" s="338">
        <f>Table410[[#This Row],[Dec_2027_F]]-Table410[[#This Row],[Dec_2027_A]]</f>
        <v/>
      </c>
    </row>
    <row r="29" ht="15" customFormat="1" customHeight="1" s="13">
      <c r="A29" s="342" t="inlineStr">
        <is>
          <t>PDSFS1018</t>
        </is>
      </c>
      <c r="B29" s="342" t="inlineStr">
        <is>
          <t>GATOR</t>
        </is>
      </c>
      <c r="C29" s="342" t="inlineStr">
        <is>
          <t>Staff</t>
        </is>
      </c>
      <c r="D29" s="342" t="inlineStr">
        <is>
          <t>Rachel Zhuo</t>
        </is>
      </c>
      <c r="E29" s="342" t="inlineStr">
        <is>
          <t>Shell Business</t>
        </is>
      </c>
      <c r="G29" s="342" t="inlineStr">
        <is>
          <t>United States</t>
        </is>
      </c>
      <c r="H29" s="342" t="n">
        <v>4</v>
      </c>
      <c r="J29" s="342" t="inlineStr">
        <is>
          <t>S&amp;M PDS Analyst</t>
        </is>
      </c>
      <c r="K29" s="342" t="inlineStr">
        <is>
          <t>In-seat</t>
        </is>
      </c>
      <c r="L29" s="342" t="n">
        <v>1</v>
      </c>
      <c r="M29" s="342" t="inlineStr">
        <is>
          <t>HOU</t>
        </is>
      </c>
      <c r="N29" s="342" t="inlineStr">
        <is>
          <t>Data integration</t>
        </is>
      </c>
      <c r="O29" s="342" t="inlineStr">
        <is>
          <t>Capex</t>
        </is>
      </c>
      <c r="P29" s="342" t="inlineStr">
        <is>
          <t>Business</t>
        </is>
      </c>
      <c r="Q29" s="342" t="inlineStr">
        <is>
          <t>TBD</t>
        </is>
      </c>
      <c r="R29" s="343" t="n">
        <v>46023</v>
      </c>
      <c r="S29" s="343" t="n">
        <v>46387</v>
      </c>
      <c r="T29" s="343" t="n">
        <v>46023</v>
      </c>
      <c r="U29" s="343" t="n">
        <v>46387</v>
      </c>
      <c r="V29" s="343" t="n">
        <v>46023</v>
      </c>
      <c r="W29" s="343" t="n">
        <v>46387</v>
      </c>
      <c r="Y29" s="342">
        <f>CONCATENATE(Table410[[#This Row],[JG]],Table410[[#This Row],[Country]],Table410[[#This Row],[Resource Provider]])</f>
        <v/>
      </c>
      <c r="Z29" s="342">
        <f>VLOOKUP(Table410[[#This Row],[RATE CONCAT]],Tables!I:N,5,0)</f>
        <v/>
      </c>
      <c r="AA29" s="52" t="n"/>
      <c r="AB29" s="344" t="n">
        <v>5</v>
      </c>
      <c r="AC29" s="344" t="n">
        <v>5</v>
      </c>
      <c r="AD29" s="344" t="n">
        <v>5</v>
      </c>
      <c r="AE29" s="344" t="n">
        <v>5</v>
      </c>
      <c r="AF29" s="344" t="n">
        <v>5</v>
      </c>
      <c r="AG29" s="344" t="n">
        <v>4</v>
      </c>
      <c r="AH29" s="344" t="n">
        <v>5</v>
      </c>
      <c r="AI29" s="344" t="n">
        <v>5</v>
      </c>
      <c r="AJ29" s="344" t="n">
        <v>5</v>
      </c>
      <c r="AK29" s="130" t="n"/>
      <c r="AL29" s="130" t="n"/>
      <c r="AM29" s="130" t="n"/>
      <c r="AN29" s="341">
        <f>IFERROR(AVERAGE(Table410[[#This Row],[Jan_2026_Days_Forecast]:[Dec_2026_Days_Forecast]]),0)/19</f>
        <v/>
      </c>
      <c r="AO29" s="341">
        <f>IFERROR(AVERAGE(Table410[[#This Row],[Jan_2026_Days_Actual]:[Dec_2026_Days_Actual]]),0)/19</f>
        <v/>
      </c>
      <c r="AP29" s="344" t="n">
        <v>5</v>
      </c>
      <c r="AQ29" s="344" t="n">
        <v>5</v>
      </c>
      <c r="AR29" s="344" t="n">
        <v>5</v>
      </c>
      <c r="AS29" s="344" t="n">
        <v>5</v>
      </c>
      <c r="AT29" s="344" t="n">
        <v>5</v>
      </c>
      <c r="AU29" s="344" t="n">
        <v>4</v>
      </c>
      <c r="AV29" s="344" t="n">
        <v>5</v>
      </c>
      <c r="AW29" s="344" t="n">
        <v>5</v>
      </c>
      <c r="AX29" s="344" t="n">
        <v>5</v>
      </c>
      <c r="AY29" s="130" t="n"/>
      <c r="AZ29" s="130" t="n"/>
      <c r="BA29" s="130" t="n"/>
      <c r="BB29" s="341">
        <f>IFERROR(AVERAGE(Table410[[#This Row],[Jan_2027_Days_Forecast]:[Dec_2027_Days_Forecast]]),0)</f>
        <v/>
      </c>
      <c r="BC29" s="127" t="n"/>
      <c r="BD29" s="127" t="n"/>
      <c r="BE29" s="127" t="n"/>
      <c r="BF29" s="127" t="n"/>
      <c r="BG29" s="127" t="n"/>
      <c r="BH29" s="127" t="n"/>
      <c r="BI29" s="127" t="n"/>
      <c r="BJ29" s="127" t="n"/>
      <c r="BK29" s="127" t="n"/>
      <c r="BL29" s="127" t="n"/>
      <c r="BM29" s="127" t="n"/>
      <c r="BN29" s="127" t="n"/>
      <c r="BO29" s="176" t="n"/>
      <c r="BP29" s="176" t="n"/>
      <c r="BQ29" s="342">
        <f>IFERROR(Table410[[#This Row],[Jan_2026_Days_Forecast]]*Table410[[#This Row],[Cost Boolean]]*(VLOOKUP(Table410[[#This Row],[RATE CONCAT]],Tables!I:N,5,0)),0)</f>
        <v/>
      </c>
      <c r="BR29" s="342">
        <f>IFERROR(Table410[[#This Row],[Jan_2026_Days_Actual]]*Table410[[#This Row],[Cost Boolean]]*(VLOOKUP(Table410[[#This Row],[RATE CONCAT]],Tables!I:N,5,0)),0)</f>
        <v/>
      </c>
      <c r="BS29" s="342">
        <f>Table410[[#This Row],[Jan_2026_F]]-Table410[[#This Row],[Jan_2026_A]]</f>
        <v/>
      </c>
      <c r="BU29" s="342">
        <f>IFERROR(Table410[[#This Row],[Feb_2026_Days_Forecast]]*Table410[[#This Row],[Cost Boolean]]*(VLOOKUP(Table410[[#This Row],[RATE CONCAT]],Tables!I:N,5,0)),0)</f>
        <v/>
      </c>
      <c r="BV29" s="342">
        <f>IFERROR(Table410[[#This Row],[Feb_2026_Days_Actual]]*Table410[[#This Row],[Cost Boolean]]*(VLOOKUP(Table410[[#This Row],[RATE CONCAT]],Tables!I:N,5,0)),0)</f>
        <v/>
      </c>
      <c r="BW29" s="342">
        <f>Table410[[#This Row],[Feb_2026_F]]-Table410[[#This Row],[Feb_2026_A]]</f>
        <v/>
      </c>
      <c r="BY29" s="342">
        <f>IFERROR(Table410[[#This Row],[Mar_2026_Days_Forecast]]*Table410[[#This Row],[Cost Boolean]]*(VLOOKUP(Table410[[#This Row],[RATE CONCAT]],Tables!I:N,5,0)),0)</f>
        <v/>
      </c>
      <c r="BZ29" s="342">
        <f>IFERROR(Table410[[#This Row],[Mar_2026_Days_Actual]]*Table410[[#This Row],[Cost Boolean]]*(VLOOKUP(Table410[[#This Row],[RATE CONCAT]],Tables!I:N,5,0)),0)</f>
        <v/>
      </c>
      <c r="CA29" s="342">
        <f>Table410[[#This Row],[Mar_2026_F]]-Table410[[#This Row],[Mar_2026_A]]</f>
        <v/>
      </c>
      <c r="CC29" s="342">
        <f>IFERROR(Table410[[#This Row],[Apr_2026_Days_Forecast]]*Table410[[#This Row],[Cost Boolean]]*(VLOOKUP(Table410[[#This Row],[RATE CONCAT]],Tables!I:N,5,0)),0)</f>
        <v/>
      </c>
      <c r="CD29" s="342">
        <f>IFERROR(Table410[[#This Row],[Apr_2026_Days_Actual]]*Table410[[#This Row],[Cost Boolean]]*(VLOOKUP(Table410[[#This Row],[RATE CONCAT]],Tables!I:N,5,0)),0)</f>
        <v/>
      </c>
      <c r="CE29" s="342">
        <f>Table410[[#This Row],[Apr_2026_F]]-Table410[[#This Row],[Apr_2026_A]]</f>
        <v/>
      </c>
      <c r="CG29" s="342">
        <f>IFERROR(Table410[[#This Row],[May_2026_Days_Forecast]] *Table410[[#This Row],[Cost Boolean]]*(VLOOKUP(Table410[[#This Row],[RATE CONCAT]],Tables!I:N,5,0)),0)</f>
        <v/>
      </c>
      <c r="CH29" s="342">
        <f>IFERROR(Table410[[#This Row],[May_2026_Days_Actual]]*Table410[[#This Row],[Cost Boolean]]*(VLOOKUP(Table410[[#This Row],[RATE CONCAT]],Tables!I:N,5,0)),0)</f>
        <v/>
      </c>
      <c r="CI29" s="342">
        <f>Table410[[#This Row],[May_2026_F]]-Table410[[#This Row],[May_2026_A]]</f>
        <v/>
      </c>
      <c r="CK29" s="342">
        <f>IFERROR(Table410[[#This Row],[Jun_2026_Days_Forecast]]*Table410[[#This Row],[Cost Boolean]]*(VLOOKUP(Table410[[#This Row],[RATE CONCAT]],Tables!I:N,5,0)),0)</f>
        <v/>
      </c>
      <c r="CL29" s="342">
        <f>IFERROR(Table410[[#This Row],[Jun_2026_Days_Actual]]*Table410[[#This Row],[Cost Boolean]]*(VLOOKUP(Table410[[#This Row],[RATE CONCAT]],Tables!I:N,5,0)),0)</f>
        <v/>
      </c>
      <c r="CM29" s="342">
        <f>Table410[[#This Row],[Jun_2026_F]]-Table410[[#This Row],[Jun_2026_A]]</f>
        <v/>
      </c>
      <c r="CO29" s="342">
        <f>IFERROR(Table410[[#This Row],[Jul_2026_Days_Forecast]]*Table410[[#This Row],[Cost Boolean]]*(VLOOKUP(Table410[[#This Row],[RATE CONCAT]],Tables!I:N,5,0)),0)</f>
        <v/>
      </c>
      <c r="CP29" s="342">
        <f>IFERROR(Table410[[#This Row],[Jul_2026_Days_Actual]]*Table410[[#This Row],[Cost Boolean]]*(VLOOKUP(Table410[[#This Row],[RATE CONCAT]],Tables!I:N,5,0)),0)</f>
        <v/>
      </c>
      <c r="CQ29" s="342">
        <f>Table410[[#This Row],[Jul_2026_F]]-Table410[[#This Row],[Jul_2026_A]]</f>
        <v/>
      </c>
      <c r="CS29" s="342">
        <f>IFERROR(Table410[[#This Row],[Aug_2026_Days_Forecast]]*Table410[[#This Row],[Cost Boolean]]*(VLOOKUP(Table410[[#This Row],[RATE CONCAT]],Tables!I:N,5,0)),0)</f>
        <v/>
      </c>
      <c r="CT29" s="342">
        <f>IFERROR(Table410[[#This Row],[Aug_2026_Days_Actual]]*Table410[[#This Row],[Cost Boolean]]*(VLOOKUP(Table410[[#This Row],[RATE CONCAT]],Tables!I:N,5,0)),0)</f>
        <v/>
      </c>
      <c r="CU29" s="342">
        <f>Table410[[#This Row],[Aug_2026_F]]-Table410[[#This Row],[Aug_2026_A]]</f>
        <v/>
      </c>
      <c r="CW29" s="342">
        <f>IFERROR(Table410[[#This Row],[Sep_2026_Days_Forecast]]*Table410[[#This Row],[Cost Boolean]]*(VLOOKUP(Table410[[#This Row],[RATE CONCAT]],Tables!I:N,5,0)),0)</f>
        <v/>
      </c>
      <c r="CX29" s="342">
        <f>IFERROR(Table410[[#This Row],[Sep_2026_Days_Actual]]*Table410[[#This Row],[Cost Boolean]]*(VLOOKUP(Table410[[#This Row],[RATE CONCAT]],Tables!I:N,5,0)),0)</f>
        <v/>
      </c>
      <c r="CY29" s="342">
        <f>Table410[[#This Row],[Sep_2026_F]]-Table410[[#This Row],[Sep_2026_A]]</f>
        <v/>
      </c>
      <c r="DA29" s="342">
        <f>IFERROR(Table410[[#This Row],[Oct_2026_Days_Forecast]]*Table410[[#This Row],[Cost Boolean]]*(VLOOKUP(Table410[[#This Row],[RATE CONCAT]],Tables!I:N,5,0)),0)</f>
        <v/>
      </c>
      <c r="DB29" s="342">
        <f>IFERROR(Table410[[#This Row],[Oct_2026_Days_Actual]]*Table410[[#This Row],[Cost Boolean]]*(VLOOKUP(Table410[[#This Row],[RATE CONCAT]],Tables!I:N,5,0)),0)</f>
        <v/>
      </c>
      <c r="DC29" s="342">
        <f>Table410[[#This Row],[Oct_2026_F]]-Table410[[#This Row],[Oct_2026_A]]</f>
        <v/>
      </c>
      <c r="DE29" s="342">
        <f>IFERROR(Table410[[#This Row],[Nov_2026_Days_Forecast]]*Table410[[#This Row],[Cost Boolean]]*(VLOOKUP(Table410[[#This Row],[RATE CONCAT]],Tables!I:N,5,0)),0)</f>
        <v/>
      </c>
      <c r="DF29" s="342">
        <f>IFERROR(Table410[[#This Row],[Nov_2026_Days_Actual]]*Table410[[#This Row],[Cost Boolean]]*(VLOOKUP(Table410[[#This Row],[RATE CONCAT]],Tables!I:N,5,0)),0)</f>
        <v/>
      </c>
      <c r="DG29" s="342">
        <f>Table410[[#This Row],[Nov_2026_F]]-Table410[[#This Row],[Nov_2026_A]]</f>
        <v/>
      </c>
      <c r="DI29" s="342">
        <f>IFERROR(Table410[[#This Row],[Dec_2026_Days_Forecast]]*Table410[[#This Row],[Cost Boolean]]*(VLOOKUP(Table410[[#This Row],[RATE CONCAT]],Tables!I:N,5,0)),0)</f>
        <v/>
      </c>
      <c r="DJ29" s="342">
        <f>IFERROR(Table410[[#This Row],[Dec_2026_Days_Actual]]*Table410[[#This Row],[Cost Boolean]]*(VLOOKUP(Table410[[#This Row],[RATE CONCAT]],Tables!I:N,5,0)),0)</f>
        <v/>
      </c>
      <c r="DK29" s="342">
        <f>Table410[[#This Row],[Dec_2026_F]]-Table410[[#This Row],[Dec_2026_A]]</f>
        <v/>
      </c>
      <c r="DN29" s="342">
        <f>IFERROR(Table410[[#This Row],[Jan_2027_Days_Forecast]]*Table410[[#This Row],[Cost Boolean]]*(VLOOKUP(Table410[[#This Row],[RATE CONCAT]],Tables!I:N,6,0)),0)</f>
        <v/>
      </c>
      <c r="DP29" s="342">
        <f>Table410[[#This Row],[Jan_2027_F]]-Table410[[#This Row],[Jan_2027_A]]</f>
        <v/>
      </c>
      <c r="DQ29" s="342">
        <f>IFERROR(Table410[[#This Row],[Feb_2027_Days_Forecast]]*Table410[[#This Row],[Cost Boolean]]*(VLOOKUP(Table410[[#This Row],[RATE CONCAT]],Tables!I:N,6,0)),0)</f>
        <v/>
      </c>
      <c r="DS29" s="342">
        <f>Table410[[#This Row],[Feb_2027_F]]-Table410[[#This Row],[Feb_2027_A]]</f>
        <v/>
      </c>
      <c r="DT29" s="342">
        <f>IFERROR(Table410[[#This Row],[Mar_2027_Days_Forecast]]*Table410[[#This Row],[Cost Boolean]]*(VLOOKUP(Table410[[#This Row],[RATE CONCAT]],Tables!I:N,6,0)),0)</f>
        <v/>
      </c>
      <c r="DV29" s="342">
        <f>Table410[[#This Row],[Mar_2027_F]]-Table410[[#This Row],[Mar_2027_A]]</f>
        <v/>
      </c>
      <c r="DW29" s="342">
        <f>IFERROR(Table410[[#This Row],[Apr_2027_Days_Forecast]]*Table410[[#This Row],[Cost Boolean]]*(VLOOKUP(Table410[[#This Row],[RATE CONCAT]],Tables!I:N,6,0)),0)</f>
        <v/>
      </c>
      <c r="DY29" s="342">
        <f>Table410[[#This Row],[Apr_2027_F]]-Table410[[#This Row],[Apr_2027_A]]</f>
        <v/>
      </c>
      <c r="DZ29" s="342">
        <f>IFERROR(Table410[[#This Row],[May_2027_Days_Forecast]]*Table410[[#This Row],[Cost Boolean]]*(VLOOKUP(Table410[[#This Row],[RATE CONCAT]],Tables!I:N,6,0)),0)</f>
        <v/>
      </c>
      <c r="EB29" s="342">
        <f>Table410[[#This Row],[May_2027_F]]-Table410[[#This Row],[May_2027_A]]</f>
        <v/>
      </c>
      <c r="EC29" s="342">
        <f>IFERROR(Table410[[#This Row],[Jun_2027_Days_Forecast]]*Table410[[#This Row],[Cost Boolean]]*(VLOOKUP(Table410[[#This Row],[RATE CONCAT]],Tables!I:N,6,0)),0)</f>
        <v/>
      </c>
      <c r="EE29" s="342">
        <f>Table410[[#This Row],[Jun_2027_F]]-Table410[[#This Row],[Jun_2027_A]]</f>
        <v/>
      </c>
      <c r="EF29" s="342">
        <f>IFERROR(Table410[[#This Row],[Jul_2027_Days_Forecast]]*Table410[[#This Row],[Cost Boolean]]*(VLOOKUP(Table410[[#This Row],[RATE CONCAT]],Tables!I:N,6,0)),0)</f>
        <v/>
      </c>
      <c r="EH29" s="342">
        <f>Table410[[#This Row],[Jul_2027_F]]-Table410[[#This Row],[Jul_2027_A]]</f>
        <v/>
      </c>
      <c r="EI29" s="342">
        <f>IFERROR(Table410[[#This Row],[Aug_2027_Days_Forecast]]*Table410[[#This Row],[Cost Boolean]]*(VLOOKUP(Table410[[#This Row],[RATE CONCAT]],Tables!I:N,6,0)),0)</f>
        <v/>
      </c>
      <c r="EK29" s="342">
        <f>Table410[[#This Row],[Aug_2027_F]]-Table410[[#This Row],[Aug_2027_A]]</f>
        <v/>
      </c>
      <c r="EL29" s="342">
        <f>IFERROR(Table410[[#This Row],[Sep_2027_Days_Forecast]]*Table410[[#This Row],[Cost Boolean]]*(VLOOKUP(Table410[[#This Row],[RATE CONCAT]],Tables!I:N,6,0)),0)</f>
        <v/>
      </c>
      <c r="EN29" s="342">
        <f>Table410[[#This Row],[Sep_2027_F]]-Table410[[#This Row],[Sep_2027_A]]</f>
        <v/>
      </c>
      <c r="EO29" s="342">
        <f>IFERROR(Table410[[#This Row],[Oct_2027_Days_Forecast]]*Table410[[#This Row],[Cost Boolean]]*(VLOOKUP(Table410[[#This Row],[RATE CONCAT]],Tables!I:N,6,0)),0)</f>
        <v/>
      </c>
      <c r="EQ29" s="342">
        <f>Table410[[#This Row],[Oct_2027_F]]-Table410[[#This Row],[Oct_2027_A]]</f>
        <v/>
      </c>
      <c r="ER29" s="342">
        <f>IFERROR(Table410[[#This Row],[Nov_2027_Days_Forecast]]*Table410[[#This Row],[Cost Boolean]]*(VLOOKUP(Table410[[#This Row],[RATE CONCAT]],Tables!I:N,6,0)),0)</f>
        <v/>
      </c>
      <c r="ET29" s="342">
        <f>Table410[[#This Row],[Nov_2027_F]]-Table410[[#This Row],[Nov_2027_A]]</f>
        <v/>
      </c>
      <c r="EU29" s="342">
        <f>IFERROR(Table410[[#This Row],[Dec_2027_Days_Forecast]]*Table410[[#This Row],[Cost Boolean]]*(VLOOKUP(Table410[[#This Row],[RATE CONCAT]],Tables!I:N,6,0)),0)</f>
        <v/>
      </c>
      <c r="EW29" s="342">
        <f>Table410[[#This Row],[Dec_2027_F]]-Table410[[#This Row],[Dec_2027_A]]</f>
        <v/>
      </c>
    </row>
    <row r="30" ht="15" customFormat="1" customHeight="1" s="13">
      <c r="A30" s="338" t="inlineStr">
        <is>
          <t>PDSFS1020</t>
        </is>
      </c>
      <c r="B30" s="338" t="inlineStr">
        <is>
          <t>JIGSAW &amp; PDS Process work</t>
        </is>
      </c>
      <c r="C30" s="338" t="inlineStr">
        <is>
          <t>Staff</t>
        </is>
      </c>
      <c r="D30" s="338" t="inlineStr">
        <is>
          <t>Josh Gonzalez</t>
        </is>
      </c>
      <c r="E30" s="338" t="inlineStr">
        <is>
          <t>Shell Business</t>
        </is>
      </c>
      <c r="G30" s="338" t="inlineStr">
        <is>
          <t>United States</t>
        </is>
      </c>
      <c r="H30" s="338" t="n">
        <v>4</v>
      </c>
      <c r="J30" s="338" t="inlineStr">
        <is>
          <t>Crude BIAM Process Lead</t>
        </is>
      </c>
      <c r="K30" s="338" t="inlineStr">
        <is>
          <t>In-seat</t>
        </is>
      </c>
      <c r="L30" s="338" t="n">
        <v>1</v>
      </c>
      <c r="M30" s="338" t="inlineStr">
        <is>
          <t>HOU</t>
        </is>
      </c>
      <c r="N30" s="338" t="inlineStr">
        <is>
          <t>Process Analysis</t>
        </is>
      </c>
      <c r="O30" s="338" t="inlineStr">
        <is>
          <t>Capex</t>
        </is>
      </c>
      <c r="P30" s="338" t="inlineStr">
        <is>
          <t>Business</t>
        </is>
      </c>
      <c r="Q30" s="338" t="inlineStr">
        <is>
          <t>TBD</t>
        </is>
      </c>
      <c r="R30" s="339" t="n">
        <v>46023</v>
      </c>
      <c r="S30" s="339" t="n">
        <v>46387</v>
      </c>
      <c r="T30" s="339" t="n">
        <v>46023</v>
      </c>
      <c r="U30" s="339" t="n">
        <v>46387</v>
      </c>
      <c r="V30" s="339" t="n">
        <v>46023</v>
      </c>
      <c r="W30" s="339" t="n">
        <v>46387</v>
      </c>
      <c r="Y30" s="338">
        <f>CONCATENATE(Table410[[#This Row],[JG]],Table410[[#This Row],[Country]],Table410[[#This Row],[Resource Provider]])</f>
        <v/>
      </c>
      <c r="Z30" s="338">
        <f>VLOOKUP(Table410[[#This Row],[RATE CONCAT]],Tables!I:N,5,0)</f>
        <v/>
      </c>
      <c r="AA30" s="52" t="n"/>
      <c r="AB30" s="340" t="n">
        <v>5</v>
      </c>
      <c r="AC30" s="340" t="n">
        <v>5</v>
      </c>
      <c r="AD30" s="340" t="n">
        <v>5</v>
      </c>
      <c r="AE30" s="340" t="n">
        <v>5</v>
      </c>
      <c r="AF30" s="340" t="n">
        <v>5</v>
      </c>
      <c r="AG30" s="340" t="n">
        <v>4</v>
      </c>
      <c r="AH30" s="340" t="n">
        <v>5</v>
      </c>
      <c r="AI30" s="340" t="n">
        <v>5</v>
      </c>
      <c r="AJ30" s="340" t="n">
        <v>5</v>
      </c>
      <c r="AK30" s="340" t="n">
        <v>5</v>
      </c>
      <c r="AL30" s="340" t="n">
        <v>5</v>
      </c>
      <c r="AM30" s="340" t="n">
        <v>4</v>
      </c>
      <c r="AN30" s="341">
        <f>IFERROR(AVERAGE(Table410[[#This Row],[Jan_2026_Days_Forecast]:[Dec_2026_Days_Forecast]]),0)/19</f>
        <v/>
      </c>
      <c r="AO30" s="341">
        <f>IFERROR(AVERAGE(Table410[[#This Row],[Jan_2026_Days_Actual]:[Dec_2026_Days_Actual]]),0)/19</f>
        <v/>
      </c>
      <c r="AP30" s="340" t="n">
        <v>5</v>
      </c>
      <c r="AQ30" s="340" t="n">
        <v>5</v>
      </c>
      <c r="AR30" s="340" t="n">
        <v>5</v>
      </c>
      <c r="AS30" s="340" t="n">
        <v>5</v>
      </c>
      <c r="AT30" s="340" t="n">
        <v>5</v>
      </c>
      <c r="AU30" s="340" t="n">
        <v>4</v>
      </c>
      <c r="AV30" s="340" t="n">
        <v>5</v>
      </c>
      <c r="AW30" s="340" t="n">
        <v>5</v>
      </c>
      <c r="AX30" s="340" t="n">
        <v>5</v>
      </c>
      <c r="AY30" s="340" t="n">
        <v>5</v>
      </c>
      <c r="AZ30" s="340" t="n">
        <v>5</v>
      </c>
      <c r="BA30" s="340" t="n">
        <v>4</v>
      </c>
      <c r="BB30" s="341">
        <f>IFERROR(AVERAGE(Table410[[#This Row],[Jan_2027_Days_Forecast]:[Dec_2027_Days_Forecast]]),0)</f>
        <v/>
      </c>
      <c r="BC30" s="127" t="n"/>
      <c r="BD30" s="127" t="n"/>
      <c r="BE30" s="127" t="n"/>
      <c r="BF30" s="127" t="n"/>
      <c r="BG30" s="127" t="n"/>
      <c r="BH30" s="127" t="n"/>
      <c r="BI30" s="127" t="n"/>
      <c r="BJ30" s="127" t="n"/>
      <c r="BK30" s="127" t="n"/>
      <c r="BL30" s="127" t="n"/>
      <c r="BM30" s="127" t="n"/>
      <c r="BN30" s="127" t="n"/>
      <c r="BO30" s="176" t="n"/>
      <c r="BP30" s="176" t="n"/>
      <c r="BQ30" s="338">
        <f>IFERROR(Table410[[#This Row],[Jan_2026_Days_Forecast]]*Table410[[#This Row],[Cost Boolean]]*(VLOOKUP(Table410[[#This Row],[RATE CONCAT]],Tables!I:N,5,0)),0)</f>
        <v/>
      </c>
      <c r="BR30" s="338">
        <f>IFERROR(Table410[[#This Row],[Jan_2026_Days_Actual]]*Table410[[#This Row],[Cost Boolean]]*(VLOOKUP(Table410[[#This Row],[RATE CONCAT]],Tables!I:N,5,0)),0)</f>
        <v/>
      </c>
      <c r="BS30" s="338">
        <f>Table410[[#This Row],[Jan_2026_F]]-Table410[[#This Row],[Jan_2026_A]]</f>
        <v/>
      </c>
      <c r="BU30" s="338">
        <f>IFERROR(Table410[[#This Row],[Feb_2026_Days_Forecast]]*Table410[[#This Row],[Cost Boolean]]*(VLOOKUP(Table410[[#This Row],[RATE CONCAT]],Tables!I:N,5,0)),0)</f>
        <v/>
      </c>
      <c r="BV30" s="338">
        <f>IFERROR(Table410[[#This Row],[Feb_2026_Days_Actual]]*Table410[[#This Row],[Cost Boolean]]*(VLOOKUP(Table410[[#This Row],[RATE CONCAT]],Tables!I:N,5,0)),0)</f>
        <v/>
      </c>
      <c r="BW30" s="338">
        <f>Table410[[#This Row],[Feb_2026_F]]-Table410[[#This Row],[Feb_2026_A]]</f>
        <v/>
      </c>
      <c r="BY30" s="338">
        <f>IFERROR(Table410[[#This Row],[Mar_2026_Days_Forecast]]*Table410[[#This Row],[Cost Boolean]]*(VLOOKUP(Table410[[#This Row],[RATE CONCAT]],Tables!I:N,5,0)),0)</f>
        <v/>
      </c>
      <c r="BZ30" s="338">
        <f>IFERROR(Table410[[#This Row],[Mar_2026_Days_Actual]]*Table410[[#This Row],[Cost Boolean]]*(VLOOKUP(Table410[[#This Row],[RATE CONCAT]],Tables!I:N,5,0)),0)</f>
        <v/>
      </c>
      <c r="CA30" s="338">
        <f>Table410[[#This Row],[Mar_2026_F]]-Table410[[#This Row],[Mar_2026_A]]</f>
        <v/>
      </c>
      <c r="CC30" s="338">
        <f>IFERROR(Table410[[#This Row],[Apr_2026_Days_Forecast]]*Table410[[#This Row],[Cost Boolean]]*(VLOOKUP(Table410[[#This Row],[RATE CONCAT]],Tables!I:N,5,0)),0)</f>
        <v/>
      </c>
      <c r="CD30" s="338">
        <f>IFERROR(Table410[[#This Row],[Apr_2026_Days_Actual]]*Table410[[#This Row],[Cost Boolean]]*(VLOOKUP(Table410[[#This Row],[RATE CONCAT]],Tables!I:N,5,0)),0)</f>
        <v/>
      </c>
      <c r="CE30" s="338">
        <f>Table410[[#This Row],[Apr_2026_F]]-Table410[[#This Row],[Apr_2026_A]]</f>
        <v/>
      </c>
      <c r="CG30" s="338">
        <f>IFERROR(Table410[[#This Row],[May_2026_Days_Forecast]] *Table410[[#This Row],[Cost Boolean]]*(VLOOKUP(Table410[[#This Row],[RATE CONCAT]],Tables!I:N,5,0)),0)</f>
        <v/>
      </c>
      <c r="CH30" s="338">
        <f>IFERROR(Table410[[#This Row],[May_2026_Days_Actual]]*Table410[[#This Row],[Cost Boolean]]*(VLOOKUP(Table410[[#This Row],[RATE CONCAT]],Tables!I:N,5,0)),0)</f>
        <v/>
      </c>
      <c r="CI30" s="338">
        <f>Table410[[#This Row],[May_2026_F]]-Table410[[#This Row],[May_2026_A]]</f>
        <v/>
      </c>
      <c r="CK30" s="338">
        <f>IFERROR(Table410[[#This Row],[Jun_2026_Days_Forecast]]*Table410[[#This Row],[Cost Boolean]]*(VLOOKUP(Table410[[#This Row],[RATE CONCAT]],Tables!I:N,5,0)),0)</f>
        <v/>
      </c>
      <c r="CL30" s="338">
        <f>IFERROR(Table410[[#This Row],[Jun_2026_Days_Actual]]*Table410[[#This Row],[Cost Boolean]]*(VLOOKUP(Table410[[#This Row],[RATE CONCAT]],Tables!I:N,5,0)),0)</f>
        <v/>
      </c>
      <c r="CM30" s="338">
        <f>Table410[[#This Row],[Jun_2026_F]]-Table410[[#This Row],[Jun_2026_A]]</f>
        <v/>
      </c>
      <c r="CO30" s="338">
        <f>IFERROR(Table410[[#This Row],[Jul_2026_Days_Forecast]]*Table410[[#This Row],[Cost Boolean]]*(VLOOKUP(Table410[[#This Row],[RATE CONCAT]],Tables!I:N,5,0)),0)</f>
        <v/>
      </c>
      <c r="CP30" s="338">
        <f>IFERROR(Table410[[#This Row],[Jul_2026_Days_Actual]]*Table410[[#This Row],[Cost Boolean]]*(VLOOKUP(Table410[[#This Row],[RATE CONCAT]],Tables!I:N,5,0)),0)</f>
        <v/>
      </c>
      <c r="CQ30" s="338">
        <f>Table410[[#This Row],[Jul_2026_F]]-Table410[[#This Row],[Jul_2026_A]]</f>
        <v/>
      </c>
      <c r="CS30" s="338">
        <f>IFERROR(Table410[[#This Row],[Aug_2026_Days_Forecast]]*Table410[[#This Row],[Cost Boolean]]*(VLOOKUP(Table410[[#This Row],[RATE CONCAT]],Tables!I:N,5,0)),0)</f>
        <v/>
      </c>
      <c r="CT30" s="338">
        <f>IFERROR(Table410[[#This Row],[Aug_2026_Days_Actual]]*Table410[[#This Row],[Cost Boolean]]*(VLOOKUP(Table410[[#This Row],[RATE CONCAT]],Tables!I:N,5,0)),0)</f>
        <v/>
      </c>
      <c r="CU30" s="338">
        <f>Table410[[#This Row],[Aug_2026_F]]-Table410[[#This Row],[Aug_2026_A]]</f>
        <v/>
      </c>
      <c r="CW30" s="338">
        <f>IFERROR(Table410[[#This Row],[Sep_2026_Days_Forecast]]*Table410[[#This Row],[Cost Boolean]]*(VLOOKUP(Table410[[#This Row],[RATE CONCAT]],Tables!I:N,5,0)),0)</f>
        <v/>
      </c>
      <c r="CX30" s="338">
        <f>IFERROR(Table410[[#This Row],[Sep_2026_Days_Actual]]*Table410[[#This Row],[Cost Boolean]]*(VLOOKUP(Table410[[#This Row],[RATE CONCAT]],Tables!I:N,5,0)),0)</f>
        <v/>
      </c>
      <c r="CY30" s="338">
        <f>Table410[[#This Row],[Sep_2026_F]]-Table410[[#This Row],[Sep_2026_A]]</f>
        <v/>
      </c>
      <c r="DA30" s="338">
        <f>IFERROR(Table410[[#This Row],[Oct_2026_Days_Forecast]]*Table410[[#This Row],[Cost Boolean]]*(VLOOKUP(Table410[[#This Row],[RATE CONCAT]],Tables!I:N,5,0)),0)</f>
        <v/>
      </c>
      <c r="DB30" s="338">
        <f>IFERROR(Table410[[#This Row],[Oct_2026_Days_Actual]]*Table410[[#This Row],[Cost Boolean]]*(VLOOKUP(Table410[[#This Row],[RATE CONCAT]],Tables!I:N,5,0)),0)</f>
        <v/>
      </c>
      <c r="DC30" s="338">
        <f>Table410[[#This Row],[Oct_2026_F]]-Table410[[#This Row],[Oct_2026_A]]</f>
        <v/>
      </c>
      <c r="DE30" s="338">
        <f>IFERROR(Table410[[#This Row],[Nov_2026_Days_Forecast]]*Table410[[#This Row],[Cost Boolean]]*(VLOOKUP(Table410[[#This Row],[RATE CONCAT]],Tables!I:N,5,0)),0)</f>
        <v/>
      </c>
      <c r="DF30" s="338">
        <f>IFERROR(Table410[[#This Row],[Nov_2026_Days_Actual]]*Table410[[#This Row],[Cost Boolean]]*(VLOOKUP(Table410[[#This Row],[RATE CONCAT]],Tables!I:N,5,0)),0)</f>
        <v/>
      </c>
      <c r="DG30" s="338">
        <f>Table410[[#This Row],[Nov_2026_F]]-Table410[[#This Row],[Nov_2026_A]]</f>
        <v/>
      </c>
      <c r="DI30" s="338">
        <f>IFERROR(Table410[[#This Row],[Dec_2026_Days_Forecast]]*Table410[[#This Row],[Cost Boolean]]*(VLOOKUP(Table410[[#This Row],[RATE CONCAT]],Tables!I:N,5,0)),0)</f>
        <v/>
      </c>
      <c r="DJ30" s="338">
        <f>IFERROR(Table410[[#This Row],[Dec_2026_Days_Actual]]*Table410[[#This Row],[Cost Boolean]]*(VLOOKUP(Table410[[#This Row],[RATE CONCAT]],Tables!I:N,5,0)),0)</f>
        <v/>
      </c>
      <c r="DK30" s="338">
        <f>Table410[[#This Row],[Dec_2026_F]]-Table410[[#This Row],[Dec_2026_A]]</f>
        <v/>
      </c>
      <c r="DN30" s="338">
        <f>IFERROR(Table410[[#This Row],[Jan_2027_Days_Forecast]]*Table410[[#This Row],[Cost Boolean]]*(VLOOKUP(Table410[[#This Row],[RATE CONCAT]],Tables!I:N,6,0)),0)</f>
        <v/>
      </c>
      <c r="DP30" s="338">
        <f>Table410[[#This Row],[Jan_2027_F]]-Table410[[#This Row],[Jan_2027_A]]</f>
        <v/>
      </c>
      <c r="DQ30" s="338">
        <f>IFERROR(Table410[[#This Row],[Feb_2027_Days_Forecast]]*Table410[[#This Row],[Cost Boolean]]*(VLOOKUP(Table410[[#This Row],[RATE CONCAT]],Tables!I:N,6,0)),0)</f>
        <v/>
      </c>
      <c r="DS30" s="338">
        <f>Table410[[#This Row],[Feb_2027_F]]-Table410[[#This Row],[Feb_2027_A]]</f>
        <v/>
      </c>
      <c r="DT30" s="338">
        <f>IFERROR(Table410[[#This Row],[Mar_2027_Days_Forecast]]*Table410[[#This Row],[Cost Boolean]]*(VLOOKUP(Table410[[#This Row],[RATE CONCAT]],Tables!I:N,6,0)),0)</f>
        <v/>
      </c>
      <c r="DV30" s="338">
        <f>Table410[[#This Row],[Mar_2027_F]]-Table410[[#This Row],[Mar_2027_A]]</f>
        <v/>
      </c>
      <c r="DW30" s="338">
        <f>IFERROR(Table410[[#This Row],[Apr_2027_Days_Forecast]]*Table410[[#This Row],[Cost Boolean]]*(VLOOKUP(Table410[[#This Row],[RATE CONCAT]],Tables!I:N,6,0)),0)</f>
        <v/>
      </c>
      <c r="DY30" s="338">
        <f>Table410[[#This Row],[Apr_2027_F]]-Table410[[#This Row],[Apr_2027_A]]</f>
        <v/>
      </c>
      <c r="DZ30" s="338">
        <f>IFERROR(Table410[[#This Row],[May_2027_Days_Forecast]]*Table410[[#This Row],[Cost Boolean]]*(VLOOKUP(Table410[[#This Row],[RATE CONCAT]],Tables!I:N,6,0)),0)</f>
        <v/>
      </c>
      <c r="EB30" s="338">
        <f>Table410[[#This Row],[May_2027_F]]-Table410[[#This Row],[May_2027_A]]</f>
        <v/>
      </c>
      <c r="EC30" s="338">
        <f>IFERROR(Table410[[#This Row],[Jun_2027_Days_Forecast]]*Table410[[#This Row],[Cost Boolean]]*(VLOOKUP(Table410[[#This Row],[RATE CONCAT]],Tables!I:N,6,0)),0)</f>
        <v/>
      </c>
      <c r="EE30" s="338">
        <f>Table410[[#This Row],[Jun_2027_F]]-Table410[[#This Row],[Jun_2027_A]]</f>
        <v/>
      </c>
      <c r="EF30" s="338">
        <f>IFERROR(Table410[[#This Row],[Jul_2027_Days_Forecast]]*Table410[[#This Row],[Cost Boolean]]*(VLOOKUP(Table410[[#This Row],[RATE CONCAT]],Tables!I:N,6,0)),0)</f>
        <v/>
      </c>
      <c r="EH30" s="338">
        <f>Table410[[#This Row],[Jul_2027_F]]-Table410[[#This Row],[Jul_2027_A]]</f>
        <v/>
      </c>
      <c r="EI30" s="338">
        <f>IFERROR(Table410[[#This Row],[Aug_2027_Days_Forecast]]*Table410[[#This Row],[Cost Boolean]]*(VLOOKUP(Table410[[#This Row],[RATE CONCAT]],Tables!I:N,6,0)),0)</f>
        <v/>
      </c>
      <c r="EK30" s="338">
        <f>Table410[[#This Row],[Aug_2027_F]]-Table410[[#This Row],[Aug_2027_A]]</f>
        <v/>
      </c>
      <c r="EL30" s="338">
        <f>IFERROR(Table410[[#This Row],[Sep_2027_Days_Forecast]]*Table410[[#This Row],[Cost Boolean]]*(VLOOKUP(Table410[[#This Row],[RATE CONCAT]],Tables!I:N,6,0)),0)</f>
        <v/>
      </c>
      <c r="EN30" s="338">
        <f>Table410[[#This Row],[Sep_2027_F]]-Table410[[#This Row],[Sep_2027_A]]</f>
        <v/>
      </c>
      <c r="EO30" s="338">
        <f>IFERROR(Table410[[#This Row],[Oct_2027_Days_Forecast]]*Table410[[#This Row],[Cost Boolean]]*(VLOOKUP(Table410[[#This Row],[RATE CONCAT]],Tables!I:N,6,0)),0)</f>
        <v/>
      </c>
      <c r="EQ30" s="338">
        <f>Table410[[#This Row],[Oct_2027_F]]-Table410[[#This Row],[Oct_2027_A]]</f>
        <v/>
      </c>
      <c r="ER30" s="338">
        <f>IFERROR(Table410[[#This Row],[Nov_2027_Days_Forecast]]*Table410[[#This Row],[Cost Boolean]]*(VLOOKUP(Table410[[#This Row],[RATE CONCAT]],Tables!I:N,6,0)),0)</f>
        <v/>
      </c>
      <c r="ET30" s="338">
        <f>Table410[[#This Row],[Nov_2027_F]]-Table410[[#This Row],[Nov_2027_A]]</f>
        <v/>
      </c>
      <c r="EU30" s="338">
        <f>IFERROR(Table410[[#This Row],[Dec_2027_Days_Forecast]]*Table410[[#This Row],[Cost Boolean]]*(VLOOKUP(Table410[[#This Row],[RATE CONCAT]],Tables!I:N,6,0)),0)</f>
        <v/>
      </c>
      <c r="EW30" s="338">
        <f>Table410[[#This Row],[Dec_2027_F]]-Table410[[#This Row],[Dec_2027_A]]</f>
        <v/>
      </c>
    </row>
    <row r="31" ht="15" customFormat="1" customHeight="1" s="13">
      <c r="A31" s="342" t="inlineStr">
        <is>
          <t>PDSFS1021</t>
        </is>
      </c>
      <c r="B31" s="342" t="inlineStr">
        <is>
          <t>JIGSAW &amp; PDS Process work</t>
        </is>
      </c>
      <c r="C31" s="342" t="inlineStr">
        <is>
          <t>Staff</t>
        </is>
      </c>
      <c r="D31" s="342" t="inlineStr">
        <is>
          <t>Ilona Blachnicka</t>
        </is>
      </c>
      <c r="E31" s="342" t="inlineStr">
        <is>
          <t>Shell Business</t>
        </is>
      </c>
      <c r="G31" s="342" t="inlineStr">
        <is>
          <t>Poland</t>
        </is>
      </c>
      <c r="H31" s="342" t="n">
        <v>4</v>
      </c>
      <c r="J31" s="342" t="inlineStr">
        <is>
          <t>Products PDS Freight Controls Lead</t>
        </is>
      </c>
      <c r="K31" s="342" t="inlineStr">
        <is>
          <t>In-seat</t>
        </is>
      </c>
      <c r="L31" s="342" t="n">
        <v>1</v>
      </c>
      <c r="M31" s="342" t="inlineStr">
        <is>
          <t>KRW</t>
        </is>
      </c>
      <c r="N31" s="342" t="inlineStr">
        <is>
          <t xml:space="preserve"> Freight Controls</t>
        </is>
      </c>
      <c r="O31" s="342" t="inlineStr">
        <is>
          <t>Capex</t>
        </is>
      </c>
      <c r="P31" s="342" t="inlineStr">
        <is>
          <t>Business</t>
        </is>
      </c>
      <c r="Q31" s="342" t="inlineStr">
        <is>
          <t>TBD</t>
        </is>
      </c>
      <c r="R31" s="343" t="n">
        <v>46023</v>
      </c>
      <c r="S31" s="343" t="n">
        <v>46387</v>
      </c>
      <c r="T31" s="343" t="n">
        <v>46023</v>
      </c>
      <c r="U31" s="343" t="n">
        <v>46387</v>
      </c>
      <c r="V31" s="343" t="n">
        <v>46023</v>
      </c>
      <c r="W31" s="343" t="n">
        <v>46387</v>
      </c>
      <c r="Y31" s="342">
        <f>CONCATENATE(Table410[[#This Row],[JG]],Table410[[#This Row],[Country]],Table410[[#This Row],[Resource Provider]])</f>
        <v/>
      </c>
      <c r="Z31" s="342">
        <f>VLOOKUP(Table410[[#This Row],[RATE CONCAT]],Tables!I:N,5,0)</f>
        <v/>
      </c>
      <c r="AA31" s="52" t="n"/>
      <c r="AB31" s="344" t="n">
        <v>5</v>
      </c>
      <c r="AC31" s="344" t="n">
        <v>5</v>
      </c>
      <c r="AD31" s="344" t="n">
        <v>5</v>
      </c>
      <c r="AE31" s="344" t="n">
        <v>5</v>
      </c>
      <c r="AF31" s="344" t="n">
        <v>5</v>
      </c>
      <c r="AG31" s="344" t="n">
        <v>4</v>
      </c>
      <c r="AH31" s="344" t="n">
        <v>5</v>
      </c>
      <c r="AI31" s="344" t="n">
        <v>5</v>
      </c>
      <c r="AJ31" s="344" t="n">
        <v>5</v>
      </c>
      <c r="AK31" s="344" t="n">
        <v>5</v>
      </c>
      <c r="AL31" s="344" t="n">
        <v>5</v>
      </c>
      <c r="AM31" s="344" t="n">
        <v>4</v>
      </c>
      <c r="AN31" s="341">
        <f>IFERROR(AVERAGE(Table410[[#This Row],[Jan_2026_Days_Forecast]:[Dec_2026_Days_Forecast]]),0)/19</f>
        <v/>
      </c>
      <c r="AO31" s="341">
        <f>IFERROR(AVERAGE(Table410[[#This Row],[Jan_2026_Days_Actual]:[Dec_2026_Days_Actual]]),0)/19</f>
        <v/>
      </c>
      <c r="AP31" s="344" t="n">
        <v>5</v>
      </c>
      <c r="AQ31" s="344" t="n">
        <v>5</v>
      </c>
      <c r="AR31" s="344" t="n">
        <v>5</v>
      </c>
      <c r="AS31" s="344" t="n">
        <v>5</v>
      </c>
      <c r="AT31" s="344" t="n">
        <v>5</v>
      </c>
      <c r="AU31" s="344" t="n">
        <v>4</v>
      </c>
      <c r="AV31" s="344" t="n">
        <v>5</v>
      </c>
      <c r="AW31" s="344" t="n">
        <v>5</v>
      </c>
      <c r="AX31" s="344" t="n">
        <v>5</v>
      </c>
      <c r="AY31" s="344" t="n">
        <v>5</v>
      </c>
      <c r="AZ31" s="344" t="n">
        <v>5</v>
      </c>
      <c r="BA31" s="344" t="n">
        <v>4</v>
      </c>
      <c r="BB31" s="341">
        <f>IFERROR(AVERAGE(Table410[[#This Row],[Jan_2027_Days_Forecast]:[Dec_2027_Days_Forecast]]),0)</f>
        <v/>
      </c>
      <c r="BC31" s="127" t="n"/>
      <c r="BD31" s="127" t="n"/>
      <c r="BE31" s="127" t="n"/>
      <c r="BF31" s="127" t="n"/>
      <c r="BG31" s="127" t="n"/>
      <c r="BH31" s="127" t="n"/>
      <c r="BI31" s="127" t="n"/>
      <c r="BJ31" s="127" t="n"/>
      <c r="BK31" s="127" t="n"/>
      <c r="BL31" s="127" t="n"/>
      <c r="BM31" s="127" t="n"/>
      <c r="BN31" s="127" t="n"/>
      <c r="BO31" s="176" t="n"/>
      <c r="BP31" s="176" t="n"/>
      <c r="BQ31" s="342">
        <f>IFERROR(Table410[[#This Row],[Jan_2026_Days_Forecast]]*Table410[[#This Row],[Cost Boolean]]*(VLOOKUP(Table410[[#This Row],[RATE CONCAT]],Tables!I:N,5,0)),0)</f>
        <v/>
      </c>
      <c r="BR31" s="342">
        <f>IFERROR(Table410[[#This Row],[Jan_2026_Days_Actual]]*Table410[[#This Row],[Cost Boolean]]*(VLOOKUP(Table410[[#This Row],[RATE CONCAT]],Tables!I:N,5,0)),0)</f>
        <v/>
      </c>
      <c r="BS31" s="342">
        <f>Table410[[#This Row],[Jan_2026_F]]-Table410[[#This Row],[Jan_2026_A]]</f>
        <v/>
      </c>
      <c r="BU31" s="342">
        <f>IFERROR(Table410[[#This Row],[Feb_2026_Days_Forecast]]*Table410[[#This Row],[Cost Boolean]]*(VLOOKUP(Table410[[#This Row],[RATE CONCAT]],Tables!I:N,5,0)),0)</f>
        <v/>
      </c>
      <c r="BV31" s="342">
        <f>IFERROR(Table410[[#This Row],[Feb_2026_Days_Actual]]*Table410[[#This Row],[Cost Boolean]]*(VLOOKUP(Table410[[#This Row],[RATE CONCAT]],Tables!I:N,5,0)),0)</f>
        <v/>
      </c>
      <c r="BW31" s="342">
        <f>Table410[[#This Row],[Feb_2026_F]]-Table410[[#This Row],[Feb_2026_A]]</f>
        <v/>
      </c>
      <c r="BY31" s="342">
        <f>IFERROR(Table410[[#This Row],[Mar_2026_Days_Forecast]]*Table410[[#This Row],[Cost Boolean]]*(VLOOKUP(Table410[[#This Row],[RATE CONCAT]],Tables!I:N,5,0)),0)</f>
        <v/>
      </c>
      <c r="BZ31" s="342">
        <f>IFERROR(Table410[[#This Row],[Mar_2026_Days_Actual]]*Table410[[#This Row],[Cost Boolean]]*(VLOOKUP(Table410[[#This Row],[RATE CONCAT]],Tables!I:N,5,0)),0)</f>
        <v/>
      </c>
      <c r="CA31" s="342">
        <f>Table410[[#This Row],[Mar_2026_F]]-Table410[[#This Row],[Mar_2026_A]]</f>
        <v/>
      </c>
      <c r="CC31" s="342">
        <f>IFERROR(Table410[[#This Row],[Apr_2026_Days_Forecast]]*Table410[[#This Row],[Cost Boolean]]*(VLOOKUP(Table410[[#This Row],[RATE CONCAT]],Tables!I:N,5,0)),0)</f>
        <v/>
      </c>
      <c r="CD31" s="342">
        <f>IFERROR(Table410[[#This Row],[Apr_2026_Days_Actual]]*Table410[[#This Row],[Cost Boolean]]*(VLOOKUP(Table410[[#This Row],[RATE CONCAT]],Tables!I:N,5,0)),0)</f>
        <v/>
      </c>
      <c r="CE31" s="342">
        <f>Table410[[#This Row],[Apr_2026_F]]-Table410[[#This Row],[Apr_2026_A]]</f>
        <v/>
      </c>
      <c r="CG31" s="342">
        <f>IFERROR(Table410[[#This Row],[May_2026_Days_Forecast]] *Table410[[#This Row],[Cost Boolean]]*(VLOOKUP(Table410[[#This Row],[RATE CONCAT]],Tables!I:N,5,0)),0)</f>
        <v/>
      </c>
      <c r="CH31" s="342">
        <f>IFERROR(Table410[[#This Row],[May_2026_Days_Actual]]*Table410[[#This Row],[Cost Boolean]]*(VLOOKUP(Table410[[#This Row],[RATE CONCAT]],Tables!I:N,5,0)),0)</f>
        <v/>
      </c>
      <c r="CI31" s="342">
        <f>Table410[[#This Row],[May_2026_F]]-Table410[[#This Row],[May_2026_A]]</f>
        <v/>
      </c>
      <c r="CK31" s="342">
        <f>IFERROR(Table410[[#This Row],[Jun_2026_Days_Forecast]]*Table410[[#This Row],[Cost Boolean]]*(VLOOKUP(Table410[[#This Row],[RATE CONCAT]],Tables!I:N,5,0)),0)</f>
        <v/>
      </c>
      <c r="CL31" s="342">
        <f>IFERROR(Table410[[#This Row],[Jun_2026_Days_Actual]]*Table410[[#This Row],[Cost Boolean]]*(VLOOKUP(Table410[[#This Row],[RATE CONCAT]],Tables!I:N,5,0)),0)</f>
        <v/>
      </c>
      <c r="CM31" s="342">
        <f>Table410[[#This Row],[Jun_2026_F]]-Table410[[#This Row],[Jun_2026_A]]</f>
        <v/>
      </c>
      <c r="CO31" s="342">
        <f>IFERROR(Table410[[#This Row],[Jul_2026_Days_Forecast]]*Table410[[#This Row],[Cost Boolean]]*(VLOOKUP(Table410[[#This Row],[RATE CONCAT]],Tables!I:N,5,0)),0)</f>
        <v/>
      </c>
      <c r="CP31" s="342">
        <f>IFERROR(Table410[[#This Row],[Jul_2026_Days_Actual]]*Table410[[#This Row],[Cost Boolean]]*(VLOOKUP(Table410[[#This Row],[RATE CONCAT]],Tables!I:N,5,0)),0)</f>
        <v/>
      </c>
      <c r="CQ31" s="342">
        <f>Table410[[#This Row],[Jul_2026_F]]-Table410[[#This Row],[Jul_2026_A]]</f>
        <v/>
      </c>
      <c r="CS31" s="342">
        <f>IFERROR(Table410[[#This Row],[Aug_2026_Days_Forecast]]*Table410[[#This Row],[Cost Boolean]]*(VLOOKUP(Table410[[#This Row],[RATE CONCAT]],Tables!I:N,5,0)),0)</f>
        <v/>
      </c>
      <c r="CT31" s="342">
        <f>IFERROR(Table410[[#This Row],[Aug_2026_Days_Actual]]*Table410[[#This Row],[Cost Boolean]]*(VLOOKUP(Table410[[#This Row],[RATE CONCAT]],Tables!I:N,5,0)),0)</f>
        <v/>
      </c>
      <c r="CU31" s="342">
        <f>Table410[[#This Row],[Aug_2026_F]]-Table410[[#This Row],[Aug_2026_A]]</f>
        <v/>
      </c>
      <c r="CW31" s="342">
        <f>IFERROR(Table410[[#This Row],[Sep_2026_Days_Forecast]]*Table410[[#This Row],[Cost Boolean]]*(VLOOKUP(Table410[[#This Row],[RATE CONCAT]],Tables!I:N,5,0)),0)</f>
        <v/>
      </c>
      <c r="CX31" s="342">
        <f>IFERROR(Table410[[#This Row],[Sep_2026_Days_Actual]]*Table410[[#This Row],[Cost Boolean]]*(VLOOKUP(Table410[[#This Row],[RATE CONCAT]],Tables!I:N,5,0)),0)</f>
        <v/>
      </c>
      <c r="CY31" s="342">
        <f>Table410[[#This Row],[Sep_2026_F]]-Table410[[#This Row],[Sep_2026_A]]</f>
        <v/>
      </c>
      <c r="DA31" s="342">
        <f>IFERROR(Table410[[#This Row],[Oct_2026_Days_Forecast]]*Table410[[#This Row],[Cost Boolean]]*(VLOOKUP(Table410[[#This Row],[RATE CONCAT]],Tables!I:N,5,0)),0)</f>
        <v/>
      </c>
      <c r="DB31" s="342">
        <f>IFERROR(Table410[[#This Row],[Oct_2026_Days_Actual]]*Table410[[#This Row],[Cost Boolean]]*(VLOOKUP(Table410[[#This Row],[RATE CONCAT]],Tables!I:N,5,0)),0)</f>
        <v/>
      </c>
      <c r="DC31" s="342">
        <f>Table410[[#This Row],[Oct_2026_F]]-Table410[[#This Row],[Oct_2026_A]]</f>
        <v/>
      </c>
      <c r="DE31" s="342">
        <f>IFERROR(Table410[[#This Row],[Nov_2026_Days_Forecast]]*Table410[[#This Row],[Cost Boolean]]*(VLOOKUP(Table410[[#This Row],[RATE CONCAT]],Tables!I:N,5,0)),0)</f>
        <v/>
      </c>
      <c r="DF31" s="342">
        <f>IFERROR(Table410[[#This Row],[Nov_2026_Days_Actual]]*Table410[[#This Row],[Cost Boolean]]*(VLOOKUP(Table410[[#This Row],[RATE CONCAT]],Tables!I:N,5,0)),0)</f>
        <v/>
      </c>
      <c r="DG31" s="342">
        <f>Table410[[#This Row],[Nov_2026_F]]-Table410[[#This Row],[Nov_2026_A]]</f>
        <v/>
      </c>
      <c r="DI31" s="342">
        <f>IFERROR(Table410[[#This Row],[Dec_2026_Days_Forecast]]*Table410[[#This Row],[Cost Boolean]]*(VLOOKUP(Table410[[#This Row],[RATE CONCAT]],Tables!I:N,5,0)),0)</f>
        <v/>
      </c>
      <c r="DJ31" s="342">
        <f>IFERROR(Table410[[#This Row],[Dec_2026_Days_Actual]]*Table410[[#This Row],[Cost Boolean]]*(VLOOKUP(Table410[[#This Row],[RATE CONCAT]],Tables!I:N,5,0)),0)</f>
        <v/>
      </c>
      <c r="DK31" s="342">
        <f>Table410[[#This Row],[Dec_2026_F]]-Table410[[#This Row],[Dec_2026_A]]</f>
        <v/>
      </c>
      <c r="DN31" s="342">
        <f>IFERROR(Table410[[#This Row],[Jan_2027_Days_Forecast]]*Table410[[#This Row],[Cost Boolean]]*(VLOOKUP(Table410[[#This Row],[RATE CONCAT]],Tables!I:N,6,0)),0)</f>
        <v/>
      </c>
      <c r="DP31" s="342">
        <f>Table410[[#This Row],[Jan_2027_F]]-Table410[[#This Row],[Jan_2027_A]]</f>
        <v/>
      </c>
      <c r="DQ31" s="342">
        <f>IFERROR(Table410[[#This Row],[Feb_2027_Days_Forecast]]*Table410[[#This Row],[Cost Boolean]]*(VLOOKUP(Table410[[#This Row],[RATE CONCAT]],Tables!I:N,6,0)),0)</f>
        <v/>
      </c>
      <c r="DS31" s="342">
        <f>Table410[[#This Row],[Feb_2027_F]]-Table410[[#This Row],[Feb_2027_A]]</f>
        <v/>
      </c>
      <c r="DT31" s="342">
        <f>IFERROR(Table410[[#This Row],[Mar_2027_Days_Forecast]]*Table410[[#This Row],[Cost Boolean]]*(VLOOKUP(Table410[[#This Row],[RATE CONCAT]],Tables!I:N,6,0)),0)</f>
        <v/>
      </c>
      <c r="DV31" s="342">
        <f>Table410[[#This Row],[Mar_2027_F]]-Table410[[#This Row],[Mar_2027_A]]</f>
        <v/>
      </c>
      <c r="DW31" s="342">
        <f>IFERROR(Table410[[#This Row],[Apr_2027_Days_Forecast]]*Table410[[#This Row],[Cost Boolean]]*(VLOOKUP(Table410[[#This Row],[RATE CONCAT]],Tables!I:N,6,0)),0)</f>
        <v/>
      </c>
      <c r="DY31" s="342">
        <f>Table410[[#This Row],[Apr_2027_F]]-Table410[[#This Row],[Apr_2027_A]]</f>
        <v/>
      </c>
      <c r="DZ31" s="342">
        <f>IFERROR(Table410[[#This Row],[May_2027_Days_Forecast]]*Table410[[#This Row],[Cost Boolean]]*(VLOOKUP(Table410[[#This Row],[RATE CONCAT]],Tables!I:N,6,0)),0)</f>
        <v/>
      </c>
      <c r="EB31" s="342">
        <f>Table410[[#This Row],[May_2027_F]]-Table410[[#This Row],[May_2027_A]]</f>
        <v/>
      </c>
      <c r="EC31" s="342">
        <f>IFERROR(Table410[[#This Row],[Jun_2027_Days_Forecast]]*Table410[[#This Row],[Cost Boolean]]*(VLOOKUP(Table410[[#This Row],[RATE CONCAT]],Tables!I:N,6,0)),0)</f>
        <v/>
      </c>
      <c r="EE31" s="342">
        <f>Table410[[#This Row],[Jun_2027_F]]-Table410[[#This Row],[Jun_2027_A]]</f>
        <v/>
      </c>
      <c r="EF31" s="342">
        <f>IFERROR(Table410[[#This Row],[Jul_2027_Days_Forecast]]*Table410[[#This Row],[Cost Boolean]]*(VLOOKUP(Table410[[#This Row],[RATE CONCAT]],Tables!I:N,6,0)),0)</f>
        <v/>
      </c>
      <c r="EH31" s="342">
        <f>Table410[[#This Row],[Jul_2027_F]]-Table410[[#This Row],[Jul_2027_A]]</f>
        <v/>
      </c>
      <c r="EI31" s="342">
        <f>IFERROR(Table410[[#This Row],[Aug_2027_Days_Forecast]]*Table410[[#This Row],[Cost Boolean]]*(VLOOKUP(Table410[[#This Row],[RATE CONCAT]],Tables!I:N,6,0)),0)</f>
        <v/>
      </c>
      <c r="EK31" s="342">
        <f>Table410[[#This Row],[Aug_2027_F]]-Table410[[#This Row],[Aug_2027_A]]</f>
        <v/>
      </c>
      <c r="EL31" s="342">
        <f>IFERROR(Table410[[#This Row],[Sep_2027_Days_Forecast]]*Table410[[#This Row],[Cost Boolean]]*(VLOOKUP(Table410[[#This Row],[RATE CONCAT]],Tables!I:N,6,0)),0)</f>
        <v/>
      </c>
      <c r="EN31" s="342">
        <f>Table410[[#This Row],[Sep_2027_F]]-Table410[[#This Row],[Sep_2027_A]]</f>
        <v/>
      </c>
      <c r="EO31" s="342">
        <f>IFERROR(Table410[[#This Row],[Oct_2027_Days_Forecast]]*Table410[[#This Row],[Cost Boolean]]*(VLOOKUP(Table410[[#This Row],[RATE CONCAT]],Tables!I:N,6,0)),0)</f>
        <v/>
      </c>
      <c r="EQ31" s="342">
        <f>Table410[[#This Row],[Oct_2027_F]]-Table410[[#This Row],[Oct_2027_A]]</f>
        <v/>
      </c>
      <c r="ER31" s="342">
        <f>IFERROR(Table410[[#This Row],[Nov_2027_Days_Forecast]]*Table410[[#This Row],[Cost Boolean]]*(VLOOKUP(Table410[[#This Row],[RATE CONCAT]],Tables!I:N,6,0)),0)</f>
        <v/>
      </c>
      <c r="ET31" s="342">
        <f>Table410[[#This Row],[Nov_2027_F]]-Table410[[#This Row],[Nov_2027_A]]</f>
        <v/>
      </c>
      <c r="EU31" s="342">
        <f>IFERROR(Table410[[#This Row],[Dec_2027_Days_Forecast]]*Table410[[#This Row],[Cost Boolean]]*(VLOOKUP(Table410[[#This Row],[RATE CONCAT]],Tables!I:N,6,0)),0)</f>
        <v/>
      </c>
      <c r="EW31" s="342">
        <f>Table410[[#This Row],[Dec_2027_F]]-Table410[[#This Row],[Dec_2027_A]]</f>
        <v/>
      </c>
    </row>
    <row r="32" ht="15" customFormat="1" customHeight="1" s="13">
      <c r="A32" s="338" t="inlineStr">
        <is>
          <t>PDSFS1022</t>
        </is>
      </c>
      <c r="B32" s="338" t="inlineStr">
        <is>
          <t>JIGSAW &amp; PDS Process work</t>
        </is>
      </c>
      <c r="C32" s="338" t="inlineStr">
        <is>
          <t>Staff</t>
        </is>
      </c>
      <c r="D32" s="338" t="inlineStr">
        <is>
          <t>Aneta Markocka</t>
        </is>
      </c>
      <c r="E32" s="338" t="inlineStr">
        <is>
          <t>Shell Business</t>
        </is>
      </c>
      <c r="G32" s="338" t="inlineStr">
        <is>
          <t>Poland</t>
        </is>
      </c>
      <c r="H32" s="338" t="n">
        <v>4</v>
      </c>
      <c r="J32" s="338" t="inlineStr">
        <is>
          <t>PDT Process Analyst</t>
        </is>
      </c>
      <c r="K32" s="338" t="inlineStr">
        <is>
          <t>In-seat</t>
        </is>
      </c>
      <c r="L32" s="338" t="n">
        <v>1</v>
      </c>
      <c r="M32" s="338" t="inlineStr">
        <is>
          <t>KRW</t>
        </is>
      </c>
      <c r="N32" s="338" t="inlineStr">
        <is>
          <t>Process Analysis</t>
        </is>
      </c>
      <c r="O32" s="338" t="inlineStr">
        <is>
          <t>Opex</t>
        </is>
      </c>
      <c r="P32" s="338" t="inlineStr">
        <is>
          <t>Business</t>
        </is>
      </c>
      <c r="Q32" s="338" t="inlineStr">
        <is>
          <t>TBD</t>
        </is>
      </c>
      <c r="R32" s="339" t="n">
        <v>46023</v>
      </c>
      <c r="S32" s="339" t="n">
        <v>46387</v>
      </c>
      <c r="T32" s="339" t="n">
        <v>46023</v>
      </c>
      <c r="U32" s="339" t="n">
        <v>46387</v>
      </c>
      <c r="V32" s="339" t="n">
        <v>46023</v>
      </c>
      <c r="W32" s="339" t="n">
        <v>46387</v>
      </c>
      <c r="Y32" s="338">
        <f>CONCATENATE(Table410[[#This Row],[JG]],Table410[[#This Row],[Country]],Table410[[#This Row],[Resource Provider]])</f>
        <v/>
      </c>
      <c r="Z32" s="338">
        <f>VLOOKUP(Table410[[#This Row],[RATE CONCAT]],Tables!I:N,5,0)</f>
        <v/>
      </c>
      <c r="AA32" s="52" t="n"/>
      <c r="AB32" s="340" t="n">
        <v>5</v>
      </c>
      <c r="AC32" s="340" t="n">
        <v>5</v>
      </c>
      <c r="AD32" s="340" t="n">
        <v>5</v>
      </c>
      <c r="AE32" s="340" t="n">
        <v>5</v>
      </c>
      <c r="AF32" s="340" t="n">
        <v>5</v>
      </c>
      <c r="AG32" s="340" t="n">
        <v>4</v>
      </c>
      <c r="AH32" s="340" t="n">
        <v>5</v>
      </c>
      <c r="AI32" s="340" t="n">
        <v>5</v>
      </c>
      <c r="AJ32" s="340" t="n">
        <v>5</v>
      </c>
      <c r="AK32" s="340" t="n">
        <v>5</v>
      </c>
      <c r="AL32" s="340" t="n">
        <v>5</v>
      </c>
      <c r="AM32" s="340" t="n">
        <v>4</v>
      </c>
      <c r="AN32" s="341">
        <f>IFERROR(AVERAGE(Table410[[#This Row],[Jan_2026_Days_Forecast]:[Dec_2026_Days_Forecast]]),0)/19</f>
        <v/>
      </c>
      <c r="AO32" s="341">
        <f>IFERROR(AVERAGE(Table410[[#This Row],[Jan_2026_Days_Actual]:[Dec_2026_Days_Actual]]),0)/19</f>
        <v/>
      </c>
      <c r="AP32" s="340" t="n">
        <v>5</v>
      </c>
      <c r="AQ32" s="340" t="n">
        <v>5</v>
      </c>
      <c r="AR32" s="340" t="n">
        <v>5</v>
      </c>
      <c r="AS32" s="340" t="n">
        <v>5</v>
      </c>
      <c r="AT32" s="340" t="n">
        <v>5</v>
      </c>
      <c r="AU32" s="340" t="n">
        <v>4</v>
      </c>
      <c r="AV32" s="340" t="n">
        <v>5</v>
      </c>
      <c r="AW32" s="340" t="n">
        <v>5</v>
      </c>
      <c r="AX32" s="340" t="n">
        <v>5</v>
      </c>
      <c r="AY32" s="340" t="n">
        <v>5</v>
      </c>
      <c r="AZ32" s="340" t="n">
        <v>5</v>
      </c>
      <c r="BA32" s="340" t="n">
        <v>4</v>
      </c>
      <c r="BB32" s="341">
        <f>IFERROR(AVERAGE(Table410[[#This Row],[Jan_2027_Days_Forecast]:[Dec_2027_Days_Forecast]]),0)</f>
        <v/>
      </c>
      <c r="BC32" s="127" t="n"/>
      <c r="BD32" s="127" t="n"/>
      <c r="BE32" s="127" t="n"/>
      <c r="BF32" s="127" t="n"/>
      <c r="BG32" s="127" t="n"/>
      <c r="BH32" s="127" t="n"/>
      <c r="BI32" s="127" t="n"/>
      <c r="BJ32" s="127" t="n"/>
      <c r="BK32" s="127" t="n"/>
      <c r="BL32" s="127" t="n"/>
      <c r="BM32" s="127" t="n"/>
      <c r="BN32" s="127" t="n"/>
      <c r="BO32" s="176" t="n"/>
      <c r="BP32" s="176" t="n"/>
      <c r="BQ32" s="338">
        <f>IFERROR(Table410[[#This Row],[Jan_2026_Days_Forecast]]*Table410[[#This Row],[Cost Boolean]]*(VLOOKUP(Table410[[#This Row],[RATE CONCAT]],Tables!I:N,5,0)),0)</f>
        <v/>
      </c>
      <c r="BR32" s="338">
        <f>IFERROR(Table410[[#This Row],[Jan_2026_Days_Actual]]*Table410[[#This Row],[Cost Boolean]]*(VLOOKUP(Table410[[#This Row],[RATE CONCAT]],Tables!I:N,5,0)),0)</f>
        <v/>
      </c>
      <c r="BS32" s="338">
        <f>Table410[[#This Row],[Jan_2026_F]]-Table410[[#This Row],[Jan_2026_A]]</f>
        <v/>
      </c>
      <c r="BU32" s="338">
        <f>IFERROR(Table410[[#This Row],[Feb_2026_Days_Forecast]]*Table410[[#This Row],[Cost Boolean]]*(VLOOKUP(Table410[[#This Row],[RATE CONCAT]],Tables!I:N,5,0)),0)</f>
        <v/>
      </c>
      <c r="BV32" s="338">
        <f>IFERROR(Table410[[#This Row],[Feb_2026_Days_Actual]]*Table410[[#This Row],[Cost Boolean]]*(VLOOKUP(Table410[[#This Row],[RATE CONCAT]],Tables!I:N,5,0)),0)</f>
        <v/>
      </c>
      <c r="BW32" s="338">
        <f>Table410[[#This Row],[Feb_2026_F]]-Table410[[#This Row],[Feb_2026_A]]</f>
        <v/>
      </c>
      <c r="BY32" s="338">
        <f>IFERROR(Table410[[#This Row],[Mar_2026_Days_Forecast]]*Table410[[#This Row],[Cost Boolean]]*(VLOOKUP(Table410[[#This Row],[RATE CONCAT]],Tables!I:N,5,0)),0)</f>
        <v/>
      </c>
      <c r="BZ32" s="338">
        <f>IFERROR(Table410[[#This Row],[Mar_2026_Days_Actual]]*Table410[[#This Row],[Cost Boolean]]*(VLOOKUP(Table410[[#This Row],[RATE CONCAT]],Tables!I:N,5,0)),0)</f>
        <v/>
      </c>
      <c r="CA32" s="338">
        <f>Table410[[#This Row],[Mar_2026_F]]-Table410[[#This Row],[Mar_2026_A]]</f>
        <v/>
      </c>
      <c r="CC32" s="338">
        <f>IFERROR(Table410[[#This Row],[Apr_2026_Days_Forecast]]*Table410[[#This Row],[Cost Boolean]]*(VLOOKUP(Table410[[#This Row],[RATE CONCAT]],Tables!I:N,5,0)),0)</f>
        <v/>
      </c>
      <c r="CD32" s="338">
        <f>IFERROR(Table410[[#This Row],[Apr_2026_Days_Actual]]*Table410[[#This Row],[Cost Boolean]]*(VLOOKUP(Table410[[#This Row],[RATE CONCAT]],Tables!I:N,5,0)),0)</f>
        <v/>
      </c>
      <c r="CE32" s="338">
        <f>Table410[[#This Row],[Apr_2026_F]]-Table410[[#This Row],[Apr_2026_A]]</f>
        <v/>
      </c>
      <c r="CG32" s="338">
        <f>IFERROR(Table410[[#This Row],[May_2026_Days_Forecast]] *Table410[[#This Row],[Cost Boolean]]*(VLOOKUP(Table410[[#This Row],[RATE CONCAT]],Tables!I:N,5,0)),0)</f>
        <v/>
      </c>
      <c r="CH32" s="338">
        <f>IFERROR(Table410[[#This Row],[May_2026_Days_Actual]]*Table410[[#This Row],[Cost Boolean]]*(VLOOKUP(Table410[[#This Row],[RATE CONCAT]],Tables!I:N,5,0)),0)</f>
        <v/>
      </c>
      <c r="CI32" s="338">
        <f>Table410[[#This Row],[May_2026_F]]-Table410[[#This Row],[May_2026_A]]</f>
        <v/>
      </c>
      <c r="CK32" s="338">
        <f>IFERROR(Table410[[#This Row],[Jun_2026_Days_Forecast]]*Table410[[#This Row],[Cost Boolean]]*(VLOOKUP(Table410[[#This Row],[RATE CONCAT]],Tables!I:N,5,0)),0)</f>
        <v/>
      </c>
      <c r="CL32" s="338">
        <f>IFERROR(Table410[[#This Row],[Jun_2026_Days_Actual]]*Table410[[#This Row],[Cost Boolean]]*(VLOOKUP(Table410[[#This Row],[RATE CONCAT]],Tables!I:N,5,0)),0)</f>
        <v/>
      </c>
      <c r="CM32" s="338">
        <f>Table410[[#This Row],[Jun_2026_F]]-Table410[[#This Row],[Jun_2026_A]]</f>
        <v/>
      </c>
      <c r="CO32" s="338">
        <f>IFERROR(Table410[[#This Row],[Jul_2026_Days_Forecast]]*Table410[[#This Row],[Cost Boolean]]*(VLOOKUP(Table410[[#This Row],[RATE CONCAT]],Tables!I:N,5,0)),0)</f>
        <v/>
      </c>
      <c r="CP32" s="338">
        <f>IFERROR(Table410[[#This Row],[Jul_2026_Days_Actual]]*Table410[[#This Row],[Cost Boolean]]*(VLOOKUP(Table410[[#This Row],[RATE CONCAT]],Tables!I:N,5,0)),0)</f>
        <v/>
      </c>
      <c r="CQ32" s="338">
        <f>Table410[[#This Row],[Jul_2026_F]]-Table410[[#This Row],[Jul_2026_A]]</f>
        <v/>
      </c>
      <c r="CS32" s="338">
        <f>IFERROR(Table410[[#This Row],[Aug_2026_Days_Forecast]]*Table410[[#This Row],[Cost Boolean]]*(VLOOKUP(Table410[[#This Row],[RATE CONCAT]],Tables!I:N,5,0)),0)</f>
        <v/>
      </c>
      <c r="CT32" s="338">
        <f>IFERROR(Table410[[#This Row],[Aug_2026_Days_Actual]]*Table410[[#This Row],[Cost Boolean]]*(VLOOKUP(Table410[[#This Row],[RATE CONCAT]],Tables!I:N,5,0)),0)</f>
        <v/>
      </c>
      <c r="CU32" s="338">
        <f>Table410[[#This Row],[Aug_2026_F]]-Table410[[#This Row],[Aug_2026_A]]</f>
        <v/>
      </c>
      <c r="CW32" s="338">
        <f>IFERROR(Table410[[#This Row],[Sep_2026_Days_Forecast]]*Table410[[#This Row],[Cost Boolean]]*(VLOOKUP(Table410[[#This Row],[RATE CONCAT]],Tables!I:N,5,0)),0)</f>
        <v/>
      </c>
      <c r="CX32" s="338">
        <f>IFERROR(Table410[[#This Row],[Sep_2026_Days_Actual]]*Table410[[#This Row],[Cost Boolean]]*(VLOOKUP(Table410[[#This Row],[RATE CONCAT]],Tables!I:N,5,0)),0)</f>
        <v/>
      </c>
      <c r="CY32" s="338">
        <f>Table410[[#This Row],[Sep_2026_F]]-Table410[[#This Row],[Sep_2026_A]]</f>
        <v/>
      </c>
      <c r="DA32" s="338">
        <f>IFERROR(Table410[[#This Row],[Oct_2026_Days_Forecast]]*Table410[[#This Row],[Cost Boolean]]*(VLOOKUP(Table410[[#This Row],[RATE CONCAT]],Tables!I:N,5,0)),0)</f>
        <v/>
      </c>
      <c r="DB32" s="338">
        <f>IFERROR(Table410[[#This Row],[Oct_2026_Days_Actual]]*Table410[[#This Row],[Cost Boolean]]*(VLOOKUP(Table410[[#This Row],[RATE CONCAT]],Tables!I:N,5,0)),0)</f>
        <v/>
      </c>
      <c r="DC32" s="338">
        <f>Table410[[#This Row],[Oct_2026_F]]-Table410[[#This Row],[Oct_2026_A]]</f>
        <v/>
      </c>
      <c r="DE32" s="338">
        <f>IFERROR(Table410[[#This Row],[Nov_2026_Days_Forecast]]*Table410[[#This Row],[Cost Boolean]]*(VLOOKUP(Table410[[#This Row],[RATE CONCAT]],Tables!I:N,5,0)),0)</f>
        <v/>
      </c>
      <c r="DF32" s="338">
        <f>IFERROR(Table410[[#This Row],[Nov_2026_Days_Actual]]*Table410[[#This Row],[Cost Boolean]]*(VLOOKUP(Table410[[#This Row],[RATE CONCAT]],Tables!I:N,5,0)),0)</f>
        <v/>
      </c>
      <c r="DG32" s="338">
        <f>Table410[[#This Row],[Nov_2026_F]]-Table410[[#This Row],[Nov_2026_A]]</f>
        <v/>
      </c>
      <c r="DI32" s="338">
        <f>IFERROR(Table410[[#This Row],[Dec_2026_Days_Forecast]]*Table410[[#This Row],[Cost Boolean]]*(VLOOKUP(Table410[[#This Row],[RATE CONCAT]],Tables!I:N,5,0)),0)</f>
        <v/>
      </c>
      <c r="DJ32" s="338">
        <f>IFERROR(Table410[[#This Row],[Dec_2026_Days_Actual]]*Table410[[#This Row],[Cost Boolean]]*(VLOOKUP(Table410[[#This Row],[RATE CONCAT]],Tables!I:N,5,0)),0)</f>
        <v/>
      </c>
      <c r="DK32" s="338">
        <f>Table410[[#This Row],[Dec_2026_F]]-Table410[[#This Row],[Dec_2026_A]]</f>
        <v/>
      </c>
      <c r="DN32" s="338">
        <f>IFERROR(Table410[[#This Row],[Jan_2027_Days_Forecast]]*Table410[[#This Row],[Cost Boolean]]*(VLOOKUP(Table410[[#This Row],[RATE CONCAT]],Tables!I:N,6,0)),0)</f>
        <v/>
      </c>
      <c r="DP32" s="338">
        <f>Table410[[#This Row],[Jan_2027_F]]-Table410[[#This Row],[Jan_2027_A]]</f>
        <v/>
      </c>
      <c r="DQ32" s="338">
        <f>IFERROR(Table410[[#This Row],[Feb_2027_Days_Forecast]]*Table410[[#This Row],[Cost Boolean]]*(VLOOKUP(Table410[[#This Row],[RATE CONCAT]],Tables!I:N,6,0)),0)</f>
        <v/>
      </c>
      <c r="DS32" s="338">
        <f>Table410[[#This Row],[Feb_2027_F]]-Table410[[#This Row],[Feb_2027_A]]</f>
        <v/>
      </c>
      <c r="DT32" s="338">
        <f>IFERROR(Table410[[#This Row],[Mar_2027_Days_Forecast]]*Table410[[#This Row],[Cost Boolean]]*(VLOOKUP(Table410[[#This Row],[RATE CONCAT]],Tables!I:N,6,0)),0)</f>
        <v/>
      </c>
      <c r="DV32" s="338">
        <f>Table410[[#This Row],[Mar_2027_F]]-Table410[[#This Row],[Mar_2027_A]]</f>
        <v/>
      </c>
      <c r="DW32" s="338">
        <f>IFERROR(Table410[[#This Row],[Apr_2027_Days_Forecast]]*Table410[[#This Row],[Cost Boolean]]*(VLOOKUP(Table410[[#This Row],[RATE CONCAT]],Tables!I:N,6,0)),0)</f>
        <v/>
      </c>
      <c r="DY32" s="338">
        <f>Table410[[#This Row],[Apr_2027_F]]-Table410[[#This Row],[Apr_2027_A]]</f>
        <v/>
      </c>
      <c r="DZ32" s="338">
        <f>IFERROR(Table410[[#This Row],[May_2027_Days_Forecast]]*Table410[[#This Row],[Cost Boolean]]*(VLOOKUP(Table410[[#This Row],[RATE CONCAT]],Tables!I:N,6,0)),0)</f>
        <v/>
      </c>
      <c r="EB32" s="338">
        <f>Table410[[#This Row],[May_2027_F]]-Table410[[#This Row],[May_2027_A]]</f>
        <v/>
      </c>
      <c r="EC32" s="338">
        <f>IFERROR(Table410[[#This Row],[Jun_2027_Days_Forecast]]*Table410[[#This Row],[Cost Boolean]]*(VLOOKUP(Table410[[#This Row],[RATE CONCAT]],Tables!I:N,6,0)),0)</f>
        <v/>
      </c>
      <c r="EE32" s="338">
        <f>Table410[[#This Row],[Jun_2027_F]]-Table410[[#This Row],[Jun_2027_A]]</f>
        <v/>
      </c>
      <c r="EF32" s="338">
        <f>IFERROR(Table410[[#This Row],[Jul_2027_Days_Forecast]]*Table410[[#This Row],[Cost Boolean]]*(VLOOKUP(Table410[[#This Row],[RATE CONCAT]],Tables!I:N,6,0)),0)</f>
        <v/>
      </c>
      <c r="EH32" s="338">
        <f>Table410[[#This Row],[Jul_2027_F]]-Table410[[#This Row],[Jul_2027_A]]</f>
        <v/>
      </c>
      <c r="EI32" s="338">
        <f>IFERROR(Table410[[#This Row],[Aug_2027_Days_Forecast]]*Table410[[#This Row],[Cost Boolean]]*(VLOOKUP(Table410[[#This Row],[RATE CONCAT]],Tables!I:N,6,0)),0)</f>
        <v/>
      </c>
      <c r="EK32" s="338">
        <f>Table410[[#This Row],[Aug_2027_F]]-Table410[[#This Row],[Aug_2027_A]]</f>
        <v/>
      </c>
      <c r="EL32" s="338">
        <f>IFERROR(Table410[[#This Row],[Sep_2027_Days_Forecast]]*Table410[[#This Row],[Cost Boolean]]*(VLOOKUP(Table410[[#This Row],[RATE CONCAT]],Tables!I:N,6,0)),0)</f>
        <v/>
      </c>
      <c r="EN32" s="338">
        <f>Table410[[#This Row],[Sep_2027_F]]-Table410[[#This Row],[Sep_2027_A]]</f>
        <v/>
      </c>
      <c r="EO32" s="338">
        <f>IFERROR(Table410[[#This Row],[Oct_2027_Days_Forecast]]*Table410[[#This Row],[Cost Boolean]]*(VLOOKUP(Table410[[#This Row],[RATE CONCAT]],Tables!I:N,6,0)),0)</f>
        <v/>
      </c>
      <c r="EQ32" s="338">
        <f>Table410[[#This Row],[Oct_2027_F]]-Table410[[#This Row],[Oct_2027_A]]</f>
        <v/>
      </c>
      <c r="ER32" s="338">
        <f>IFERROR(Table410[[#This Row],[Nov_2027_Days_Forecast]]*Table410[[#This Row],[Cost Boolean]]*(VLOOKUP(Table410[[#This Row],[RATE CONCAT]],Tables!I:N,6,0)),0)</f>
        <v/>
      </c>
      <c r="ET32" s="338">
        <f>Table410[[#This Row],[Nov_2027_F]]-Table410[[#This Row],[Nov_2027_A]]</f>
        <v/>
      </c>
      <c r="EU32" s="338">
        <f>IFERROR(Table410[[#This Row],[Dec_2027_Days_Forecast]]*Table410[[#This Row],[Cost Boolean]]*(VLOOKUP(Table410[[#This Row],[RATE CONCAT]],Tables!I:N,6,0)),0)</f>
        <v/>
      </c>
      <c r="EW32" s="338">
        <f>Table410[[#This Row],[Dec_2027_F]]-Table410[[#This Row],[Dec_2027_A]]</f>
        <v/>
      </c>
    </row>
    <row r="33" ht="15" customFormat="1" customHeight="1" s="13">
      <c r="A33" s="342" t="inlineStr">
        <is>
          <t>PDSFS1023</t>
        </is>
      </c>
      <c r="B33" s="342" t="inlineStr">
        <is>
          <t>DA Desk</t>
        </is>
      </c>
      <c r="C33" s="342" t="inlineStr">
        <is>
          <t>Staff</t>
        </is>
      </c>
      <c r="D33" s="342" t="inlineStr">
        <is>
          <t>Matthew Joseph</t>
        </is>
      </c>
      <c r="E33" s="342" t="inlineStr">
        <is>
          <t>Shell Business</t>
        </is>
      </c>
      <c r="G33" s="342" t="inlineStr">
        <is>
          <t>United Kingdom</t>
        </is>
      </c>
      <c r="H33" s="342" t="n">
        <v>4</v>
      </c>
      <c r="J33" s="342" t="inlineStr">
        <is>
          <t>OPS Lead</t>
        </is>
      </c>
      <c r="K33" s="342" t="inlineStr">
        <is>
          <t>In-seat</t>
        </is>
      </c>
      <c r="L33" s="342" t="n">
        <v>0</v>
      </c>
      <c r="M33" s="342" t="inlineStr">
        <is>
          <t>LON</t>
        </is>
      </c>
      <c r="N33" s="342" t="inlineStr">
        <is>
          <t>Comm OPS</t>
        </is>
      </c>
      <c r="O33" s="342" t="inlineStr">
        <is>
          <t>Opex</t>
        </is>
      </c>
      <c r="P33" s="342" t="inlineStr">
        <is>
          <t>Business</t>
        </is>
      </c>
      <c r="Q33" s="342" t="inlineStr">
        <is>
          <t>TBD</t>
        </is>
      </c>
      <c r="R33" s="343" t="n">
        <v>46023</v>
      </c>
      <c r="S33" s="343" t="n">
        <v>46387</v>
      </c>
      <c r="T33" s="343" t="n">
        <v>46023</v>
      </c>
      <c r="U33" s="343" t="n">
        <v>46387</v>
      </c>
      <c r="V33" s="343" t="n">
        <v>46023</v>
      </c>
      <c r="W33" s="343" t="n">
        <v>46387</v>
      </c>
      <c r="Y33" s="342">
        <f>CONCATENATE(Table410[[#This Row],[JG]],Table410[[#This Row],[Country]],Table410[[#This Row],[Resource Provider]])</f>
        <v/>
      </c>
      <c r="Z33" s="342">
        <f>VLOOKUP(Table410[[#This Row],[RATE CONCAT]],Tables!I:N,5,0)</f>
        <v/>
      </c>
      <c r="AA33" s="52" t="n"/>
      <c r="AB33" s="344" t="n">
        <v>5</v>
      </c>
      <c r="AC33" s="344" t="n">
        <v>5</v>
      </c>
      <c r="AD33" s="344" t="n">
        <v>5</v>
      </c>
      <c r="AE33" s="344" t="n">
        <v>5</v>
      </c>
      <c r="AF33" s="344" t="n">
        <v>5</v>
      </c>
      <c r="AG33" s="344" t="n">
        <v>4</v>
      </c>
      <c r="AH33" s="344" t="n">
        <v>5</v>
      </c>
      <c r="AI33" s="344" t="n">
        <v>5</v>
      </c>
      <c r="AJ33" s="130" t="n"/>
      <c r="AK33" s="130" t="n"/>
      <c r="AL33" s="130" t="n"/>
      <c r="AM33" s="130" t="n"/>
      <c r="AN33" s="341">
        <f>IFERROR(AVERAGE(Table410[[#This Row],[Jan_2026_Days_Forecast]:[Dec_2026_Days_Forecast]]),0)/19</f>
        <v/>
      </c>
      <c r="AO33" s="341">
        <f>IFERROR(AVERAGE(Table410[[#This Row],[Jan_2026_Days_Actual]:[Dec_2026_Days_Actual]]),0)/19</f>
        <v/>
      </c>
      <c r="AP33" s="344" t="n">
        <v>5</v>
      </c>
      <c r="AQ33" s="344" t="n">
        <v>5</v>
      </c>
      <c r="AR33" s="344" t="n">
        <v>5</v>
      </c>
      <c r="AS33" s="344" t="n">
        <v>5</v>
      </c>
      <c r="AT33" s="344" t="n">
        <v>5</v>
      </c>
      <c r="AU33" s="344" t="n">
        <v>4</v>
      </c>
      <c r="AV33" s="344" t="n">
        <v>5</v>
      </c>
      <c r="AW33" s="344" t="n">
        <v>5</v>
      </c>
      <c r="AX33" s="130" t="n"/>
      <c r="AY33" s="130" t="n"/>
      <c r="AZ33" s="130" t="n"/>
      <c r="BA33" s="130" t="n"/>
      <c r="BB33" s="341">
        <f>IFERROR(AVERAGE(Table410[[#This Row],[Jan_2027_Days_Forecast]:[Dec_2027_Days_Forecast]]),0)</f>
        <v/>
      </c>
      <c r="BC33" s="127" t="n"/>
      <c r="BD33" s="127" t="n"/>
      <c r="BE33" s="127" t="n"/>
      <c r="BF33" s="127" t="n"/>
      <c r="BG33" s="127" t="n"/>
      <c r="BH33" s="127" t="n"/>
      <c r="BI33" s="127" t="n"/>
      <c r="BJ33" s="127" t="n"/>
      <c r="BK33" s="127" t="n"/>
      <c r="BL33" s="127" t="n"/>
      <c r="BM33" s="127" t="n"/>
      <c r="BN33" s="127" t="n"/>
      <c r="BO33" s="176" t="n"/>
      <c r="BP33" s="176" t="n"/>
      <c r="BQ33" s="342">
        <f>IFERROR(Table410[[#This Row],[Jan_2026_Days_Forecast]]*Table410[[#This Row],[Cost Boolean]]*(VLOOKUP(Table410[[#This Row],[RATE CONCAT]],Tables!I:N,5,0)),0)</f>
        <v/>
      </c>
      <c r="BR33" s="342">
        <f>IFERROR(Table410[[#This Row],[Jan_2026_Days_Actual]]*Table410[[#This Row],[Cost Boolean]]*(VLOOKUP(Table410[[#This Row],[RATE CONCAT]],Tables!I:N,5,0)),0)</f>
        <v/>
      </c>
      <c r="BS33" s="342">
        <f>Table410[[#This Row],[Jan_2026_F]]-Table410[[#This Row],[Jan_2026_A]]</f>
        <v/>
      </c>
      <c r="BU33" s="342">
        <f>IFERROR(Table410[[#This Row],[Feb_2026_Days_Forecast]]*Table410[[#This Row],[Cost Boolean]]*(VLOOKUP(Table410[[#This Row],[RATE CONCAT]],Tables!I:N,5,0)),0)</f>
        <v/>
      </c>
      <c r="BV33" s="342">
        <f>IFERROR(Table410[[#This Row],[Feb_2026_Days_Actual]]*Table410[[#This Row],[Cost Boolean]]*(VLOOKUP(Table410[[#This Row],[RATE CONCAT]],Tables!I:N,5,0)),0)</f>
        <v/>
      </c>
      <c r="BW33" s="342">
        <f>Table410[[#This Row],[Feb_2026_F]]-Table410[[#This Row],[Feb_2026_A]]</f>
        <v/>
      </c>
      <c r="BY33" s="342">
        <f>IFERROR(Table410[[#This Row],[Mar_2026_Days_Forecast]]*Table410[[#This Row],[Cost Boolean]]*(VLOOKUP(Table410[[#This Row],[RATE CONCAT]],Tables!I:N,5,0)),0)</f>
        <v/>
      </c>
      <c r="BZ33" s="342">
        <f>IFERROR(Table410[[#This Row],[Mar_2026_Days_Actual]]*Table410[[#This Row],[Cost Boolean]]*(VLOOKUP(Table410[[#This Row],[RATE CONCAT]],Tables!I:N,5,0)),0)</f>
        <v/>
      </c>
      <c r="CA33" s="342">
        <f>Table410[[#This Row],[Mar_2026_F]]-Table410[[#This Row],[Mar_2026_A]]</f>
        <v/>
      </c>
      <c r="CC33" s="342">
        <f>IFERROR(Table410[[#This Row],[Apr_2026_Days_Forecast]]*Table410[[#This Row],[Cost Boolean]]*(VLOOKUP(Table410[[#This Row],[RATE CONCAT]],Tables!I:N,5,0)),0)</f>
        <v/>
      </c>
      <c r="CD33" s="342">
        <f>IFERROR(Table410[[#This Row],[Apr_2026_Days_Actual]]*Table410[[#This Row],[Cost Boolean]]*(VLOOKUP(Table410[[#This Row],[RATE CONCAT]],Tables!I:N,5,0)),0)</f>
        <v/>
      </c>
      <c r="CE33" s="342">
        <f>Table410[[#This Row],[Apr_2026_F]]-Table410[[#This Row],[Apr_2026_A]]</f>
        <v/>
      </c>
      <c r="CG33" s="342">
        <f>IFERROR(Table410[[#This Row],[May_2026_Days_Forecast]] *Table410[[#This Row],[Cost Boolean]]*(VLOOKUP(Table410[[#This Row],[RATE CONCAT]],Tables!I:N,5,0)),0)</f>
        <v/>
      </c>
      <c r="CH33" s="342">
        <f>IFERROR(Table410[[#This Row],[May_2026_Days_Actual]]*Table410[[#This Row],[Cost Boolean]]*(VLOOKUP(Table410[[#This Row],[RATE CONCAT]],Tables!I:N,5,0)),0)</f>
        <v/>
      </c>
      <c r="CI33" s="342">
        <f>Table410[[#This Row],[May_2026_F]]-Table410[[#This Row],[May_2026_A]]</f>
        <v/>
      </c>
      <c r="CK33" s="342">
        <f>IFERROR(Table410[[#This Row],[Jun_2026_Days_Forecast]]*Table410[[#This Row],[Cost Boolean]]*(VLOOKUP(Table410[[#This Row],[RATE CONCAT]],Tables!I:N,5,0)),0)</f>
        <v/>
      </c>
      <c r="CL33" s="342">
        <f>IFERROR(Table410[[#This Row],[Jun_2026_Days_Actual]]*Table410[[#This Row],[Cost Boolean]]*(VLOOKUP(Table410[[#This Row],[RATE CONCAT]],Tables!I:N,5,0)),0)</f>
        <v/>
      </c>
      <c r="CM33" s="342">
        <f>Table410[[#This Row],[Jun_2026_F]]-Table410[[#This Row],[Jun_2026_A]]</f>
        <v/>
      </c>
      <c r="CO33" s="342">
        <f>IFERROR(Table410[[#This Row],[Jul_2026_Days_Forecast]]*Table410[[#This Row],[Cost Boolean]]*(VLOOKUP(Table410[[#This Row],[RATE CONCAT]],Tables!I:N,5,0)),0)</f>
        <v/>
      </c>
      <c r="CP33" s="342">
        <f>IFERROR(Table410[[#This Row],[Jul_2026_Days_Actual]]*Table410[[#This Row],[Cost Boolean]]*(VLOOKUP(Table410[[#This Row],[RATE CONCAT]],Tables!I:N,5,0)),0)</f>
        <v/>
      </c>
      <c r="CQ33" s="342">
        <f>Table410[[#This Row],[Jul_2026_F]]-Table410[[#This Row],[Jul_2026_A]]</f>
        <v/>
      </c>
      <c r="CS33" s="342">
        <f>IFERROR(Table410[[#This Row],[Aug_2026_Days_Forecast]]*Table410[[#This Row],[Cost Boolean]]*(VLOOKUP(Table410[[#This Row],[RATE CONCAT]],Tables!I:N,5,0)),0)</f>
        <v/>
      </c>
      <c r="CT33" s="342">
        <f>IFERROR(Table410[[#This Row],[Aug_2026_Days_Actual]]*Table410[[#This Row],[Cost Boolean]]*(VLOOKUP(Table410[[#This Row],[RATE CONCAT]],Tables!I:N,5,0)),0)</f>
        <v/>
      </c>
      <c r="CU33" s="342">
        <f>Table410[[#This Row],[Aug_2026_F]]-Table410[[#This Row],[Aug_2026_A]]</f>
        <v/>
      </c>
      <c r="CW33" s="342">
        <f>IFERROR(Table410[[#This Row],[Sep_2026_Days_Forecast]]*Table410[[#This Row],[Cost Boolean]]*(VLOOKUP(Table410[[#This Row],[RATE CONCAT]],Tables!I:N,5,0)),0)</f>
        <v/>
      </c>
      <c r="CX33" s="342">
        <f>IFERROR(Table410[[#This Row],[Sep_2026_Days_Actual]]*Table410[[#This Row],[Cost Boolean]]*(VLOOKUP(Table410[[#This Row],[RATE CONCAT]],Tables!I:N,5,0)),0)</f>
        <v/>
      </c>
      <c r="CY33" s="342">
        <f>Table410[[#This Row],[Sep_2026_F]]-Table410[[#This Row],[Sep_2026_A]]</f>
        <v/>
      </c>
      <c r="DA33" s="342">
        <f>IFERROR(Table410[[#This Row],[Oct_2026_Days_Forecast]]*Table410[[#This Row],[Cost Boolean]]*(VLOOKUP(Table410[[#This Row],[RATE CONCAT]],Tables!I:N,5,0)),0)</f>
        <v/>
      </c>
      <c r="DB33" s="342">
        <f>IFERROR(Table410[[#This Row],[Oct_2026_Days_Actual]]*Table410[[#This Row],[Cost Boolean]]*(VLOOKUP(Table410[[#This Row],[RATE CONCAT]],Tables!I:N,5,0)),0)</f>
        <v/>
      </c>
      <c r="DC33" s="342">
        <f>Table410[[#This Row],[Oct_2026_F]]-Table410[[#This Row],[Oct_2026_A]]</f>
        <v/>
      </c>
      <c r="DE33" s="342">
        <f>IFERROR(Table410[[#This Row],[Nov_2026_Days_Forecast]]*Table410[[#This Row],[Cost Boolean]]*(VLOOKUP(Table410[[#This Row],[RATE CONCAT]],Tables!I:N,5,0)),0)</f>
        <v/>
      </c>
      <c r="DF33" s="342">
        <f>IFERROR(Table410[[#This Row],[Nov_2026_Days_Actual]]*Table410[[#This Row],[Cost Boolean]]*(VLOOKUP(Table410[[#This Row],[RATE CONCAT]],Tables!I:N,5,0)),0)</f>
        <v/>
      </c>
      <c r="DG33" s="342">
        <f>Table410[[#This Row],[Nov_2026_F]]-Table410[[#This Row],[Nov_2026_A]]</f>
        <v/>
      </c>
      <c r="DI33" s="342">
        <f>IFERROR(Table410[[#This Row],[Dec_2026_Days_Forecast]]*Table410[[#This Row],[Cost Boolean]]*(VLOOKUP(Table410[[#This Row],[RATE CONCAT]],Tables!I:N,5,0)),0)</f>
        <v/>
      </c>
      <c r="DJ33" s="342">
        <f>IFERROR(Table410[[#This Row],[Dec_2026_Days_Actual]]*Table410[[#This Row],[Cost Boolean]]*(VLOOKUP(Table410[[#This Row],[RATE CONCAT]],Tables!I:N,5,0)),0)</f>
        <v/>
      </c>
      <c r="DK33" s="342">
        <f>Table410[[#This Row],[Dec_2026_F]]-Table410[[#This Row],[Dec_2026_A]]</f>
        <v/>
      </c>
      <c r="DN33" s="342">
        <f>IFERROR(Table410[[#This Row],[Jan_2027_Days_Forecast]]*Table410[[#This Row],[Cost Boolean]]*(VLOOKUP(Table410[[#This Row],[RATE CONCAT]],Tables!I:N,6,0)),0)</f>
        <v/>
      </c>
      <c r="DP33" s="342">
        <f>Table410[[#This Row],[Jan_2027_F]]-Table410[[#This Row],[Jan_2027_A]]</f>
        <v/>
      </c>
      <c r="DQ33" s="342">
        <f>IFERROR(Table410[[#This Row],[Feb_2027_Days_Forecast]]*Table410[[#This Row],[Cost Boolean]]*(VLOOKUP(Table410[[#This Row],[RATE CONCAT]],Tables!I:N,6,0)),0)</f>
        <v/>
      </c>
      <c r="DS33" s="342">
        <f>Table410[[#This Row],[Feb_2027_F]]-Table410[[#This Row],[Feb_2027_A]]</f>
        <v/>
      </c>
      <c r="DT33" s="342">
        <f>IFERROR(Table410[[#This Row],[Mar_2027_Days_Forecast]]*Table410[[#This Row],[Cost Boolean]]*(VLOOKUP(Table410[[#This Row],[RATE CONCAT]],Tables!I:N,6,0)),0)</f>
        <v/>
      </c>
      <c r="DV33" s="342">
        <f>Table410[[#This Row],[Mar_2027_F]]-Table410[[#This Row],[Mar_2027_A]]</f>
        <v/>
      </c>
      <c r="DW33" s="342">
        <f>IFERROR(Table410[[#This Row],[Apr_2027_Days_Forecast]]*Table410[[#This Row],[Cost Boolean]]*(VLOOKUP(Table410[[#This Row],[RATE CONCAT]],Tables!I:N,6,0)),0)</f>
        <v/>
      </c>
      <c r="DY33" s="342">
        <f>Table410[[#This Row],[Apr_2027_F]]-Table410[[#This Row],[Apr_2027_A]]</f>
        <v/>
      </c>
      <c r="DZ33" s="342">
        <f>IFERROR(Table410[[#This Row],[May_2027_Days_Forecast]]*Table410[[#This Row],[Cost Boolean]]*(VLOOKUP(Table410[[#This Row],[RATE CONCAT]],Tables!I:N,6,0)),0)</f>
        <v/>
      </c>
      <c r="EB33" s="342">
        <f>Table410[[#This Row],[May_2027_F]]-Table410[[#This Row],[May_2027_A]]</f>
        <v/>
      </c>
      <c r="EC33" s="342">
        <f>IFERROR(Table410[[#This Row],[Jun_2027_Days_Forecast]]*Table410[[#This Row],[Cost Boolean]]*(VLOOKUP(Table410[[#This Row],[RATE CONCAT]],Tables!I:N,6,0)),0)</f>
        <v/>
      </c>
      <c r="EE33" s="342">
        <f>Table410[[#This Row],[Jun_2027_F]]-Table410[[#This Row],[Jun_2027_A]]</f>
        <v/>
      </c>
      <c r="EF33" s="342">
        <f>IFERROR(Table410[[#This Row],[Jul_2027_Days_Forecast]]*Table410[[#This Row],[Cost Boolean]]*(VLOOKUP(Table410[[#This Row],[RATE CONCAT]],Tables!I:N,6,0)),0)</f>
        <v/>
      </c>
      <c r="EH33" s="342">
        <f>Table410[[#This Row],[Jul_2027_F]]-Table410[[#This Row],[Jul_2027_A]]</f>
        <v/>
      </c>
      <c r="EI33" s="342">
        <f>IFERROR(Table410[[#This Row],[Aug_2027_Days_Forecast]]*Table410[[#This Row],[Cost Boolean]]*(VLOOKUP(Table410[[#This Row],[RATE CONCAT]],Tables!I:N,6,0)),0)</f>
        <v/>
      </c>
      <c r="EK33" s="342">
        <f>Table410[[#This Row],[Aug_2027_F]]-Table410[[#This Row],[Aug_2027_A]]</f>
        <v/>
      </c>
      <c r="EL33" s="342">
        <f>IFERROR(Table410[[#This Row],[Sep_2027_Days_Forecast]]*Table410[[#This Row],[Cost Boolean]]*(VLOOKUP(Table410[[#This Row],[RATE CONCAT]],Tables!I:N,6,0)),0)</f>
        <v/>
      </c>
      <c r="EN33" s="342">
        <f>Table410[[#This Row],[Sep_2027_F]]-Table410[[#This Row],[Sep_2027_A]]</f>
        <v/>
      </c>
      <c r="EO33" s="342">
        <f>IFERROR(Table410[[#This Row],[Oct_2027_Days_Forecast]]*Table410[[#This Row],[Cost Boolean]]*(VLOOKUP(Table410[[#This Row],[RATE CONCAT]],Tables!I:N,6,0)),0)</f>
        <v/>
      </c>
      <c r="EQ33" s="342">
        <f>Table410[[#This Row],[Oct_2027_F]]-Table410[[#This Row],[Oct_2027_A]]</f>
        <v/>
      </c>
      <c r="ER33" s="342">
        <f>IFERROR(Table410[[#This Row],[Nov_2027_Days_Forecast]]*Table410[[#This Row],[Cost Boolean]]*(VLOOKUP(Table410[[#This Row],[RATE CONCAT]],Tables!I:N,6,0)),0)</f>
        <v/>
      </c>
      <c r="ET33" s="342">
        <f>Table410[[#This Row],[Nov_2027_F]]-Table410[[#This Row],[Nov_2027_A]]</f>
        <v/>
      </c>
      <c r="EU33" s="342">
        <f>IFERROR(Table410[[#This Row],[Dec_2027_Days_Forecast]]*Table410[[#This Row],[Cost Boolean]]*(VLOOKUP(Table410[[#This Row],[RATE CONCAT]],Tables!I:N,6,0)),0)</f>
        <v/>
      </c>
      <c r="EW33" s="342">
        <f>Table410[[#This Row],[Dec_2027_F]]-Table410[[#This Row],[Dec_2027_A]]</f>
        <v/>
      </c>
    </row>
    <row r="34" ht="15" customFormat="1" customHeight="1" s="13">
      <c r="A34" s="338" t="inlineStr">
        <is>
          <t>PDSFS1025</t>
        </is>
      </c>
      <c r="B34" s="338" t="inlineStr">
        <is>
          <t>DA Desk</t>
        </is>
      </c>
      <c r="C34" s="338" t="inlineStr">
        <is>
          <t>Staff</t>
        </is>
      </c>
      <c r="D34" s="338" t="inlineStr">
        <is>
          <t>Ryan McAllister</t>
        </is>
      </c>
      <c r="E34" s="338" t="inlineStr">
        <is>
          <t>Shell Business</t>
        </is>
      </c>
      <c r="G34" s="338" t="inlineStr">
        <is>
          <t>United Kingdom</t>
        </is>
      </c>
      <c r="H34" s="338" t="n">
        <v>5</v>
      </c>
      <c r="K34" s="338" t="inlineStr">
        <is>
          <t>In-seat</t>
        </is>
      </c>
      <c r="L34" s="338" t="n">
        <v>0</v>
      </c>
      <c r="M34" s="338" t="inlineStr">
        <is>
          <t>LON</t>
        </is>
      </c>
      <c r="N34" s="338" t="inlineStr">
        <is>
          <t>Comm OPS</t>
        </is>
      </c>
      <c r="O34" s="338" t="inlineStr">
        <is>
          <t>Opex</t>
        </is>
      </c>
      <c r="P34" s="338" t="inlineStr">
        <is>
          <t>Business</t>
        </is>
      </c>
      <c r="Q34" s="338" t="inlineStr">
        <is>
          <t>TBD</t>
        </is>
      </c>
      <c r="R34" s="339" t="n">
        <v>46023</v>
      </c>
      <c r="S34" s="339" t="n">
        <v>46387</v>
      </c>
      <c r="T34" s="339" t="n">
        <v>46023</v>
      </c>
      <c r="U34" s="339" t="n">
        <v>46387</v>
      </c>
      <c r="V34" s="339" t="n">
        <v>46023</v>
      </c>
      <c r="W34" s="339" t="n">
        <v>46387</v>
      </c>
      <c r="Y34" s="338">
        <f>CONCATENATE(Table410[[#This Row],[JG]],Table410[[#This Row],[Country]],Table410[[#This Row],[Resource Provider]])</f>
        <v/>
      </c>
      <c r="Z34" s="338">
        <f>VLOOKUP(Table410[[#This Row],[RATE CONCAT]],Tables!I:N,5,0)</f>
        <v/>
      </c>
      <c r="AA34" s="52" t="n"/>
      <c r="AB34" s="340" t="n">
        <v>5</v>
      </c>
      <c r="AC34" s="340" t="n">
        <v>5</v>
      </c>
      <c r="AD34" s="340" t="n">
        <v>5</v>
      </c>
      <c r="AE34" s="340" t="n">
        <v>5</v>
      </c>
      <c r="AF34" s="340" t="n">
        <v>5</v>
      </c>
      <c r="AG34" s="340" t="n">
        <v>4</v>
      </c>
      <c r="AH34" s="340" t="n">
        <v>5</v>
      </c>
      <c r="AI34" s="340" t="n">
        <v>5</v>
      </c>
      <c r="AJ34" s="130" t="n"/>
      <c r="AK34" s="130" t="n"/>
      <c r="AL34" s="130" t="n"/>
      <c r="AM34" s="130" t="n"/>
      <c r="AN34" s="341">
        <f>IFERROR(AVERAGE(Table410[[#This Row],[Jan_2026_Days_Forecast]:[Dec_2026_Days_Forecast]]),0)/19</f>
        <v/>
      </c>
      <c r="AO34" s="341">
        <f>IFERROR(AVERAGE(Table410[[#This Row],[Jan_2026_Days_Actual]:[Dec_2026_Days_Actual]]),0)/19</f>
        <v/>
      </c>
      <c r="AP34" s="340" t="n">
        <v>5</v>
      </c>
      <c r="AQ34" s="340" t="n">
        <v>5</v>
      </c>
      <c r="AR34" s="340" t="n">
        <v>5</v>
      </c>
      <c r="AS34" s="340" t="n">
        <v>5</v>
      </c>
      <c r="AT34" s="340" t="n">
        <v>5</v>
      </c>
      <c r="AU34" s="340" t="n">
        <v>4</v>
      </c>
      <c r="AV34" s="340" t="n">
        <v>5</v>
      </c>
      <c r="AW34" s="340" t="n">
        <v>5</v>
      </c>
      <c r="AX34" s="130" t="n"/>
      <c r="AY34" s="130" t="n"/>
      <c r="AZ34" s="130" t="n"/>
      <c r="BA34" s="130" t="n"/>
      <c r="BB34" s="341">
        <f>IFERROR(AVERAGE(Table410[[#This Row],[Jan_2027_Days_Forecast]:[Dec_2027_Days_Forecast]]),0)</f>
        <v/>
      </c>
      <c r="BC34" s="127" t="n"/>
      <c r="BD34" s="127" t="n"/>
      <c r="BE34" s="127" t="n"/>
      <c r="BF34" s="127" t="n"/>
      <c r="BG34" s="127" t="n"/>
      <c r="BH34" s="127" t="n"/>
      <c r="BI34" s="127" t="n"/>
      <c r="BJ34" s="127" t="n"/>
      <c r="BK34" s="127" t="n"/>
      <c r="BL34" s="127" t="n"/>
      <c r="BM34" s="127" t="n"/>
      <c r="BN34" s="127" t="n"/>
      <c r="BO34" s="176" t="n"/>
      <c r="BP34" s="176" t="n"/>
      <c r="BQ34" s="338">
        <f>IFERROR(Table410[[#This Row],[Jan_2026_Days_Forecast]]*Table410[[#This Row],[Cost Boolean]]*(VLOOKUP(Table410[[#This Row],[RATE CONCAT]],Tables!I:N,5,0)),0)</f>
        <v/>
      </c>
      <c r="BR34" s="338">
        <f>IFERROR(Table410[[#This Row],[Jan_2026_Days_Actual]]*Table410[[#This Row],[Cost Boolean]]*(VLOOKUP(Table410[[#This Row],[RATE CONCAT]],Tables!I:N,5,0)),0)</f>
        <v/>
      </c>
      <c r="BS34" s="338">
        <f>Table410[[#This Row],[Jan_2026_F]]-Table410[[#This Row],[Jan_2026_A]]</f>
        <v/>
      </c>
      <c r="BU34" s="338">
        <f>IFERROR(Table410[[#This Row],[Feb_2026_Days_Forecast]]*Table410[[#This Row],[Cost Boolean]]*(VLOOKUP(Table410[[#This Row],[RATE CONCAT]],Tables!I:N,5,0)),0)</f>
        <v/>
      </c>
      <c r="BV34" s="338">
        <f>IFERROR(Table410[[#This Row],[Feb_2026_Days_Actual]]*Table410[[#This Row],[Cost Boolean]]*(VLOOKUP(Table410[[#This Row],[RATE CONCAT]],Tables!I:N,5,0)),0)</f>
        <v/>
      </c>
      <c r="BW34" s="338">
        <f>Table410[[#This Row],[Feb_2026_F]]-Table410[[#This Row],[Feb_2026_A]]</f>
        <v/>
      </c>
      <c r="BY34" s="338">
        <f>IFERROR(Table410[[#This Row],[Mar_2026_Days_Forecast]]*Table410[[#This Row],[Cost Boolean]]*(VLOOKUP(Table410[[#This Row],[RATE CONCAT]],Tables!I:N,5,0)),0)</f>
        <v/>
      </c>
      <c r="BZ34" s="338">
        <f>IFERROR(Table410[[#This Row],[Mar_2026_Days_Actual]]*Table410[[#This Row],[Cost Boolean]]*(VLOOKUP(Table410[[#This Row],[RATE CONCAT]],Tables!I:N,5,0)),0)</f>
        <v/>
      </c>
      <c r="CA34" s="338">
        <f>Table410[[#This Row],[Mar_2026_F]]-Table410[[#This Row],[Mar_2026_A]]</f>
        <v/>
      </c>
      <c r="CC34" s="338">
        <f>IFERROR(Table410[[#This Row],[Apr_2026_Days_Forecast]]*Table410[[#This Row],[Cost Boolean]]*(VLOOKUP(Table410[[#This Row],[RATE CONCAT]],Tables!I:N,5,0)),0)</f>
        <v/>
      </c>
      <c r="CD34" s="338">
        <f>IFERROR(Table410[[#This Row],[Apr_2026_Days_Actual]]*Table410[[#This Row],[Cost Boolean]]*(VLOOKUP(Table410[[#This Row],[RATE CONCAT]],Tables!I:N,5,0)),0)</f>
        <v/>
      </c>
      <c r="CE34" s="338">
        <f>Table410[[#This Row],[Apr_2026_F]]-Table410[[#This Row],[Apr_2026_A]]</f>
        <v/>
      </c>
      <c r="CG34" s="338">
        <f>IFERROR(Table410[[#This Row],[May_2026_Days_Forecast]] *Table410[[#This Row],[Cost Boolean]]*(VLOOKUP(Table410[[#This Row],[RATE CONCAT]],Tables!I:N,5,0)),0)</f>
        <v/>
      </c>
      <c r="CH34" s="338">
        <f>IFERROR(Table410[[#This Row],[May_2026_Days_Actual]]*Table410[[#This Row],[Cost Boolean]]*(VLOOKUP(Table410[[#This Row],[RATE CONCAT]],Tables!I:N,5,0)),0)</f>
        <v/>
      </c>
      <c r="CI34" s="338">
        <f>Table410[[#This Row],[May_2026_F]]-Table410[[#This Row],[May_2026_A]]</f>
        <v/>
      </c>
      <c r="CK34" s="338">
        <f>IFERROR(Table410[[#This Row],[Jun_2026_Days_Forecast]]*Table410[[#This Row],[Cost Boolean]]*(VLOOKUP(Table410[[#This Row],[RATE CONCAT]],Tables!I:N,5,0)),0)</f>
        <v/>
      </c>
      <c r="CL34" s="338">
        <f>IFERROR(Table410[[#This Row],[Jun_2026_Days_Actual]]*Table410[[#This Row],[Cost Boolean]]*(VLOOKUP(Table410[[#This Row],[RATE CONCAT]],Tables!I:N,5,0)),0)</f>
        <v/>
      </c>
      <c r="CM34" s="338">
        <f>Table410[[#This Row],[Jun_2026_F]]-Table410[[#This Row],[Jun_2026_A]]</f>
        <v/>
      </c>
      <c r="CO34" s="338">
        <f>IFERROR(Table410[[#This Row],[Jul_2026_Days_Forecast]]*Table410[[#This Row],[Cost Boolean]]*(VLOOKUP(Table410[[#This Row],[RATE CONCAT]],Tables!I:N,5,0)),0)</f>
        <v/>
      </c>
      <c r="CP34" s="338">
        <f>IFERROR(Table410[[#This Row],[Jul_2026_Days_Actual]]*Table410[[#This Row],[Cost Boolean]]*(VLOOKUP(Table410[[#This Row],[RATE CONCAT]],Tables!I:N,5,0)),0)</f>
        <v/>
      </c>
      <c r="CQ34" s="338">
        <f>Table410[[#This Row],[Jul_2026_F]]-Table410[[#This Row],[Jul_2026_A]]</f>
        <v/>
      </c>
      <c r="CS34" s="338">
        <f>IFERROR(Table410[[#This Row],[Aug_2026_Days_Forecast]]*Table410[[#This Row],[Cost Boolean]]*(VLOOKUP(Table410[[#This Row],[RATE CONCAT]],Tables!I:N,5,0)),0)</f>
        <v/>
      </c>
      <c r="CT34" s="338">
        <f>IFERROR(Table410[[#This Row],[Aug_2026_Days_Actual]]*Table410[[#This Row],[Cost Boolean]]*(VLOOKUP(Table410[[#This Row],[RATE CONCAT]],Tables!I:N,5,0)),0)</f>
        <v/>
      </c>
      <c r="CU34" s="338">
        <f>Table410[[#This Row],[Aug_2026_F]]-Table410[[#This Row],[Aug_2026_A]]</f>
        <v/>
      </c>
      <c r="CW34" s="338">
        <f>IFERROR(Table410[[#This Row],[Sep_2026_Days_Forecast]]*Table410[[#This Row],[Cost Boolean]]*(VLOOKUP(Table410[[#This Row],[RATE CONCAT]],Tables!I:N,5,0)),0)</f>
        <v/>
      </c>
      <c r="CX34" s="338">
        <f>IFERROR(Table410[[#This Row],[Sep_2026_Days_Actual]]*Table410[[#This Row],[Cost Boolean]]*(VLOOKUP(Table410[[#This Row],[RATE CONCAT]],Tables!I:N,5,0)),0)</f>
        <v/>
      </c>
      <c r="CY34" s="338">
        <f>Table410[[#This Row],[Sep_2026_F]]-Table410[[#This Row],[Sep_2026_A]]</f>
        <v/>
      </c>
      <c r="DA34" s="338">
        <f>IFERROR(Table410[[#This Row],[Oct_2026_Days_Forecast]]*Table410[[#This Row],[Cost Boolean]]*(VLOOKUP(Table410[[#This Row],[RATE CONCAT]],Tables!I:N,5,0)),0)</f>
        <v/>
      </c>
      <c r="DB34" s="338">
        <f>IFERROR(Table410[[#This Row],[Oct_2026_Days_Actual]]*Table410[[#This Row],[Cost Boolean]]*(VLOOKUP(Table410[[#This Row],[RATE CONCAT]],Tables!I:N,5,0)),0)</f>
        <v/>
      </c>
      <c r="DC34" s="338">
        <f>Table410[[#This Row],[Oct_2026_F]]-Table410[[#This Row],[Oct_2026_A]]</f>
        <v/>
      </c>
      <c r="DE34" s="338">
        <f>IFERROR(Table410[[#This Row],[Nov_2026_Days_Forecast]]*Table410[[#This Row],[Cost Boolean]]*(VLOOKUP(Table410[[#This Row],[RATE CONCAT]],Tables!I:N,5,0)),0)</f>
        <v/>
      </c>
      <c r="DF34" s="338">
        <f>IFERROR(Table410[[#This Row],[Nov_2026_Days_Actual]]*Table410[[#This Row],[Cost Boolean]]*(VLOOKUP(Table410[[#This Row],[RATE CONCAT]],Tables!I:N,5,0)),0)</f>
        <v/>
      </c>
      <c r="DG34" s="338">
        <f>Table410[[#This Row],[Nov_2026_F]]-Table410[[#This Row],[Nov_2026_A]]</f>
        <v/>
      </c>
      <c r="DI34" s="338">
        <f>IFERROR(Table410[[#This Row],[Dec_2026_Days_Forecast]]*Table410[[#This Row],[Cost Boolean]]*(VLOOKUP(Table410[[#This Row],[RATE CONCAT]],Tables!I:N,5,0)),0)</f>
        <v/>
      </c>
      <c r="DJ34" s="338">
        <f>IFERROR(Table410[[#This Row],[Dec_2026_Days_Actual]]*Table410[[#This Row],[Cost Boolean]]*(VLOOKUP(Table410[[#This Row],[RATE CONCAT]],Tables!I:N,5,0)),0)</f>
        <v/>
      </c>
      <c r="DK34" s="338">
        <f>Table410[[#This Row],[Dec_2026_F]]-Table410[[#This Row],[Dec_2026_A]]</f>
        <v/>
      </c>
      <c r="DN34" s="338">
        <f>IFERROR(Table410[[#This Row],[Jan_2027_Days_Forecast]]*Table410[[#This Row],[Cost Boolean]]*(VLOOKUP(Table410[[#This Row],[RATE CONCAT]],Tables!I:N,6,0)),0)</f>
        <v/>
      </c>
      <c r="DP34" s="338">
        <f>Table410[[#This Row],[Jan_2027_F]]-Table410[[#This Row],[Jan_2027_A]]</f>
        <v/>
      </c>
      <c r="DQ34" s="338">
        <f>IFERROR(Table410[[#This Row],[Feb_2027_Days_Forecast]]*Table410[[#This Row],[Cost Boolean]]*(VLOOKUP(Table410[[#This Row],[RATE CONCAT]],Tables!I:N,6,0)),0)</f>
        <v/>
      </c>
      <c r="DS34" s="338">
        <f>Table410[[#This Row],[Feb_2027_F]]-Table410[[#This Row],[Feb_2027_A]]</f>
        <v/>
      </c>
      <c r="DT34" s="338">
        <f>IFERROR(Table410[[#This Row],[Mar_2027_Days_Forecast]]*Table410[[#This Row],[Cost Boolean]]*(VLOOKUP(Table410[[#This Row],[RATE CONCAT]],Tables!I:N,6,0)),0)</f>
        <v/>
      </c>
      <c r="DV34" s="338">
        <f>Table410[[#This Row],[Mar_2027_F]]-Table410[[#This Row],[Mar_2027_A]]</f>
        <v/>
      </c>
      <c r="DW34" s="338">
        <f>IFERROR(Table410[[#This Row],[Apr_2027_Days_Forecast]]*Table410[[#This Row],[Cost Boolean]]*(VLOOKUP(Table410[[#This Row],[RATE CONCAT]],Tables!I:N,6,0)),0)</f>
        <v/>
      </c>
      <c r="DY34" s="338">
        <f>Table410[[#This Row],[Apr_2027_F]]-Table410[[#This Row],[Apr_2027_A]]</f>
        <v/>
      </c>
      <c r="DZ34" s="338">
        <f>IFERROR(Table410[[#This Row],[May_2027_Days_Forecast]]*Table410[[#This Row],[Cost Boolean]]*(VLOOKUP(Table410[[#This Row],[RATE CONCAT]],Tables!I:N,6,0)),0)</f>
        <v/>
      </c>
      <c r="EB34" s="338">
        <f>Table410[[#This Row],[May_2027_F]]-Table410[[#This Row],[May_2027_A]]</f>
        <v/>
      </c>
      <c r="EC34" s="338">
        <f>IFERROR(Table410[[#This Row],[Jun_2027_Days_Forecast]]*Table410[[#This Row],[Cost Boolean]]*(VLOOKUP(Table410[[#This Row],[RATE CONCAT]],Tables!I:N,6,0)),0)</f>
        <v/>
      </c>
      <c r="EE34" s="338">
        <f>Table410[[#This Row],[Jun_2027_F]]-Table410[[#This Row],[Jun_2027_A]]</f>
        <v/>
      </c>
      <c r="EF34" s="338">
        <f>IFERROR(Table410[[#This Row],[Jul_2027_Days_Forecast]]*Table410[[#This Row],[Cost Boolean]]*(VLOOKUP(Table410[[#This Row],[RATE CONCAT]],Tables!I:N,6,0)),0)</f>
        <v/>
      </c>
      <c r="EH34" s="338">
        <f>Table410[[#This Row],[Jul_2027_F]]-Table410[[#This Row],[Jul_2027_A]]</f>
        <v/>
      </c>
      <c r="EI34" s="338">
        <f>IFERROR(Table410[[#This Row],[Aug_2027_Days_Forecast]]*Table410[[#This Row],[Cost Boolean]]*(VLOOKUP(Table410[[#This Row],[RATE CONCAT]],Tables!I:N,6,0)),0)</f>
        <v/>
      </c>
      <c r="EK34" s="338">
        <f>Table410[[#This Row],[Aug_2027_F]]-Table410[[#This Row],[Aug_2027_A]]</f>
        <v/>
      </c>
      <c r="EL34" s="338">
        <f>IFERROR(Table410[[#This Row],[Sep_2027_Days_Forecast]]*Table410[[#This Row],[Cost Boolean]]*(VLOOKUP(Table410[[#This Row],[RATE CONCAT]],Tables!I:N,6,0)),0)</f>
        <v/>
      </c>
      <c r="EN34" s="338">
        <f>Table410[[#This Row],[Sep_2027_F]]-Table410[[#This Row],[Sep_2027_A]]</f>
        <v/>
      </c>
      <c r="EO34" s="338">
        <f>IFERROR(Table410[[#This Row],[Oct_2027_Days_Forecast]]*Table410[[#This Row],[Cost Boolean]]*(VLOOKUP(Table410[[#This Row],[RATE CONCAT]],Tables!I:N,6,0)),0)</f>
        <v/>
      </c>
      <c r="EQ34" s="338">
        <f>Table410[[#This Row],[Oct_2027_F]]-Table410[[#This Row],[Oct_2027_A]]</f>
        <v/>
      </c>
      <c r="ER34" s="338">
        <f>IFERROR(Table410[[#This Row],[Nov_2027_Days_Forecast]]*Table410[[#This Row],[Cost Boolean]]*(VLOOKUP(Table410[[#This Row],[RATE CONCAT]],Tables!I:N,6,0)),0)</f>
        <v/>
      </c>
      <c r="ET34" s="338">
        <f>Table410[[#This Row],[Nov_2027_F]]-Table410[[#This Row],[Nov_2027_A]]</f>
        <v/>
      </c>
      <c r="EU34" s="338">
        <f>IFERROR(Table410[[#This Row],[Dec_2027_Days_Forecast]]*Table410[[#This Row],[Cost Boolean]]*(VLOOKUP(Table410[[#This Row],[RATE CONCAT]],Tables!I:N,6,0)),0)</f>
        <v/>
      </c>
      <c r="EW34" s="338">
        <f>Table410[[#This Row],[Dec_2027_F]]-Table410[[#This Row],[Dec_2027_A]]</f>
        <v/>
      </c>
    </row>
    <row r="35" ht="15" customFormat="1" customHeight="1" s="13">
      <c r="A35" s="342" t="inlineStr">
        <is>
          <t>PDSFS1026</t>
        </is>
      </c>
      <c r="B35" s="342" t="inlineStr">
        <is>
          <t>USDF</t>
        </is>
      </c>
      <c r="C35" s="342" t="inlineStr">
        <is>
          <t>Staff</t>
        </is>
      </c>
      <c r="D35" s="342" t="inlineStr">
        <is>
          <t>Heidi Hearn</t>
        </is>
      </c>
      <c r="E35" s="342" t="inlineStr">
        <is>
          <t>Shell Business</t>
        </is>
      </c>
      <c r="G35" s="342" t="inlineStr">
        <is>
          <t>United States</t>
        </is>
      </c>
      <c r="H35" s="342" t="n">
        <v>3</v>
      </c>
      <c r="J35" s="342" t="inlineStr">
        <is>
          <t>Charterer</t>
        </is>
      </c>
      <c r="K35" s="342" t="inlineStr">
        <is>
          <t>In-seat</t>
        </is>
      </c>
      <c r="L35" s="342" t="n">
        <v>1</v>
      </c>
      <c r="M35" s="342" t="inlineStr">
        <is>
          <t>HOU</t>
        </is>
      </c>
      <c r="N35" s="342" t="inlineStr">
        <is>
          <t>Freight Operations</t>
        </is>
      </c>
      <c r="O35" s="342" t="inlineStr">
        <is>
          <t>Capex</t>
        </is>
      </c>
      <c r="P35" s="342" t="inlineStr">
        <is>
          <t>Business</t>
        </is>
      </c>
      <c r="Q35" s="342" t="inlineStr">
        <is>
          <t>TBD</t>
        </is>
      </c>
      <c r="R35" s="343" t="n">
        <v>46023</v>
      </c>
      <c r="S35" s="343" t="n">
        <v>46387</v>
      </c>
      <c r="T35" s="343" t="n">
        <v>46023</v>
      </c>
      <c r="U35" s="343" t="n">
        <v>46387</v>
      </c>
      <c r="V35" s="343" t="n">
        <v>46023</v>
      </c>
      <c r="W35" s="343" t="n">
        <v>46387</v>
      </c>
      <c r="Y35" s="342">
        <f>CONCATENATE(Table410[[#This Row],[JG]],Table410[[#This Row],[Country]],Table410[[#This Row],[Resource Provider]])</f>
        <v/>
      </c>
      <c r="Z35" s="342">
        <f>VLOOKUP(Table410[[#This Row],[RATE CONCAT]],Tables!I:N,5,0)</f>
        <v/>
      </c>
      <c r="AA35" s="52" t="n"/>
      <c r="AB35" s="130" t="n"/>
      <c r="AC35" s="344" t="n">
        <v>10</v>
      </c>
      <c r="AD35" s="344" t="n">
        <v>10</v>
      </c>
      <c r="AE35" s="344" t="n">
        <v>10</v>
      </c>
      <c r="AF35" s="344" t="n">
        <v>9</v>
      </c>
      <c r="AG35" s="344" t="n">
        <v>9</v>
      </c>
      <c r="AH35" s="344" t="n">
        <v>9</v>
      </c>
      <c r="AI35" s="344" t="n">
        <v>10</v>
      </c>
      <c r="AJ35" s="344" t="n">
        <v>10</v>
      </c>
      <c r="AK35" s="344" t="n">
        <v>10</v>
      </c>
      <c r="AL35" s="130" t="n"/>
      <c r="AM35" s="130" t="n"/>
      <c r="AN35" s="341">
        <f>IFERROR(AVERAGE(Table410[[#This Row],[Jan_2026_Days_Forecast]:[Dec_2026_Days_Forecast]]),0)/19</f>
        <v/>
      </c>
      <c r="AO35" s="341">
        <f>IFERROR(AVERAGE(Table410[[#This Row],[Jan_2026_Days_Actual]:[Dec_2026_Days_Actual]]),0)/19</f>
        <v/>
      </c>
      <c r="AP35" s="130" t="n"/>
      <c r="AQ35" s="344" t="n">
        <v>10</v>
      </c>
      <c r="AR35" s="344" t="n">
        <v>10</v>
      </c>
      <c r="AS35" s="344" t="n">
        <v>10</v>
      </c>
      <c r="AT35" s="344" t="n">
        <v>9</v>
      </c>
      <c r="AU35" s="344" t="n">
        <v>9</v>
      </c>
      <c r="AV35" s="344" t="n">
        <v>9</v>
      </c>
      <c r="AW35" s="344" t="n">
        <v>10</v>
      </c>
      <c r="AX35" s="344" t="n">
        <v>10</v>
      </c>
      <c r="AY35" s="344" t="n">
        <v>10</v>
      </c>
      <c r="AZ35" s="130" t="n"/>
      <c r="BA35" s="130" t="n"/>
      <c r="BB35" s="341">
        <f>IFERROR(AVERAGE(Table410[[#This Row],[Jan_2027_Days_Forecast]:[Dec_2027_Days_Forecast]]),0)</f>
        <v/>
      </c>
      <c r="BC35" s="127" t="n"/>
      <c r="BD35" s="127" t="n"/>
      <c r="BE35" s="127" t="n"/>
      <c r="BF35" s="127" t="n"/>
      <c r="BG35" s="127" t="n"/>
      <c r="BH35" s="127" t="n"/>
      <c r="BI35" s="127" t="n"/>
      <c r="BJ35" s="127" t="n"/>
      <c r="BK35" s="127" t="n"/>
      <c r="BL35" s="127" t="n"/>
      <c r="BM35" s="127" t="n"/>
      <c r="BN35" s="127" t="n"/>
      <c r="BO35" s="176" t="n"/>
      <c r="BP35" s="176" t="n"/>
      <c r="BQ35" s="342">
        <f>IFERROR(Table410[[#This Row],[Jan_2026_Days_Forecast]]*Table410[[#This Row],[Cost Boolean]]*(VLOOKUP(Table410[[#This Row],[RATE CONCAT]],Tables!I:N,5,0)),0)</f>
        <v/>
      </c>
      <c r="BR35" s="342">
        <f>IFERROR(Table410[[#This Row],[Jan_2026_Days_Actual]]*Table410[[#This Row],[Cost Boolean]]*(VLOOKUP(Table410[[#This Row],[RATE CONCAT]],Tables!I:N,5,0)),0)</f>
        <v/>
      </c>
      <c r="BS35" s="342">
        <f>Table410[[#This Row],[Jan_2026_F]]-Table410[[#This Row],[Jan_2026_A]]</f>
        <v/>
      </c>
      <c r="BU35" s="342">
        <f>IFERROR(Table410[[#This Row],[Feb_2026_Days_Forecast]]*Table410[[#This Row],[Cost Boolean]]*(VLOOKUP(Table410[[#This Row],[RATE CONCAT]],Tables!I:N,5,0)),0)</f>
        <v/>
      </c>
      <c r="BV35" s="342">
        <f>IFERROR(Table410[[#This Row],[Feb_2026_Days_Actual]]*Table410[[#This Row],[Cost Boolean]]*(VLOOKUP(Table410[[#This Row],[RATE CONCAT]],Tables!I:N,5,0)),0)</f>
        <v/>
      </c>
      <c r="BW35" s="342">
        <f>Table410[[#This Row],[Feb_2026_F]]-Table410[[#This Row],[Feb_2026_A]]</f>
        <v/>
      </c>
      <c r="BY35" s="342">
        <f>IFERROR(Table410[[#This Row],[Mar_2026_Days_Forecast]]*Table410[[#This Row],[Cost Boolean]]*(VLOOKUP(Table410[[#This Row],[RATE CONCAT]],Tables!I:N,5,0)),0)</f>
        <v/>
      </c>
      <c r="BZ35" s="342">
        <f>IFERROR(Table410[[#This Row],[Mar_2026_Days_Actual]]*Table410[[#This Row],[Cost Boolean]]*(VLOOKUP(Table410[[#This Row],[RATE CONCAT]],Tables!I:N,5,0)),0)</f>
        <v/>
      </c>
      <c r="CA35" s="342">
        <f>Table410[[#This Row],[Mar_2026_F]]-Table410[[#This Row],[Mar_2026_A]]</f>
        <v/>
      </c>
      <c r="CC35" s="342">
        <f>IFERROR(Table410[[#This Row],[Apr_2026_Days_Forecast]]*Table410[[#This Row],[Cost Boolean]]*(VLOOKUP(Table410[[#This Row],[RATE CONCAT]],Tables!I:N,5,0)),0)</f>
        <v/>
      </c>
      <c r="CD35" s="342">
        <f>IFERROR(Table410[[#This Row],[Apr_2026_Days_Actual]]*Table410[[#This Row],[Cost Boolean]]*(VLOOKUP(Table410[[#This Row],[RATE CONCAT]],Tables!I:N,5,0)),0)</f>
        <v/>
      </c>
      <c r="CE35" s="342">
        <f>Table410[[#This Row],[Apr_2026_F]]-Table410[[#This Row],[Apr_2026_A]]</f>
        <v/>
      </c>
      <c r="CG35" s="342">
        <f>IFERROR(Table410[[#This Row],[May_2026_Days_Forecast]] *Table410[[#This Row],[Cost Boolean]]*(VLOOKUP(Table410[[#This Row],[RATE CONCAT]],Tables!I:N,5,0)),0)</f>
        <v/>
      </c>
      <c r="CH35" s="342">
        <f>IFERROR(Table410[[#This Row],[May_2026_Days_Actual]]*Table410[[#This Row],[Cost Boolean]]*(VLOOKUP(Table410[[#This Row],[RATE CONCAT]],Tables!I:N,5,0)),0)</f>
        <v/>
      </c>
      <c r="CI35" s="342">
        <f>Table410[[#This Row],[May_2026_F]]-Table410[[#This Row],[May_2026_A]]</f>
        <v/>
      </c>
      <c r="CK35" s="342">
        <f>IFERROR(Table410[[#This Row],[Jun_2026_Days_Forecast]]*Table410[[#This Row],[Cost Boolean]]*(VLOOKUP(Table410[[#This Row],[RATE CONCAT]],Tables!I:N,5,0)),0)</f>
        <v/>
      </c>
      <c r="CL35" s="342">
        <f>IFERROR(Table410[[#This Row],[Jun_2026_Days_Actual]]*Table410[[#This Row],[Cost Boolean]]*(VLOOKUP(Table410[[#This Row],[RATE CONCAT]],Tables!I:N,5,0)),0)</f>
        <v/>
      </c>
      <c r="CM35" s="342">
        <f>Table410[[#This Row],[Jun_2026_F]]-Table410[[#This Row],[Jun_2026_A]]</f>
        <v/>
      </c>
      <c r="CO35" s="342">
        <f>IFERROR(Table410[[#This Row],[Jul_2026_Days_Forecast]]*Table410[[#This Row],[Cost Boolean]]*(VLOOKUP(Table410[[#This Row],[RATE CONCAT]],Tables!I:N,5,0)),0)</f>
        <v/>
      </c>
      <c r="CP35" s="342">
        <f>IFERROR(Table410[[#This Row],[Jul_2026_Days_Actual]]*Table410[[#This Row],[Cost Boolean]]*(VLOOKUP(Table410[[#This Row],[RATE CONCAT]],Tables!I:N,5,0)),0)</f>
        <v/>
      </c>
      <c r="CQ35" s="342">
        <f>Table410[[#This Row],[Jul_2026_F]]-Table410[[#This Row],[Jul_2026_A]]</f>
        <v/>
      </c>
      <c r="CS35" s="342">
        <f>IFERROR(Table410[[#This Row],[Aug_2026_Days_Forecast]]*Table410[[#This Row],[Cost Boolean]]*(VLOOKUP(Table410[[#This Row],[RATE CONCAT]],Tables!I:N,5,0)),0)</f>
        <v/>
      </c>
      <c r="CT35" s="342">
        <f>IFERROR(Table410[[#This Row],[Aug_2026_Days_Actual]]*Table410[[#This Row],[Cost Boolean]]*(VLOOKUP(Table410[[#This Row],[RATE CONCAT]],Tables!I:N,5,0)),0)</f>
        <v/>
      </c>
      <c r="CU35" s="342">
        <f>Table410[[#This Row],[Aug_2026_F]]-Table410[[#This Row],[Aug_2026_A]]</f>
        <v/>
      </c>
      <c r="CW35" s="342">
        <f>IFERROR(Table410[[#This Row],[Sep_2026_Days_Forecast]]*Table410[[#This Row],[Cost Boolean]]*(VLOOKUP(Table410[[#This Row],[RATE CONCAT]],Tables!I:N,5,0)),0)</f>
        <v/>
      </c>
      <c r="CX35" s="342">
        <f>IFERROR(Table410[[#This Row],[Sep_2026_Days_Actual]]*Table410[[#This Row],[Cost Boolean]]*(VLOOKUP(Table410[[#This Row],[RATE CONCAT]],Tables!I:N,5,0)),0)</f>
        <v/>
      </c>
      <c r="CY35" s="342">
        <f>Table410[[#This Row],[Sep_2026_F]]-Table410[[#This Row],[Sep_2026_A]]</f>
        <v/>
      </c>
      <c r="DA35" s="342">
        <f>IFERROR(Table410[[#This Row],[Oct_2026_Days_Forecast]]*Table410[[#This Row],[Cost Boolean]]*(VLOOKUP(Table410[[#This Row],[RATE CONCAT]],Tables!I:N,5,0)),0)</f>
        <v/>
      </c>
      <c r="DB35" s="342">
        <f>IFERROR(Table410[[#This Row],[Oct_2026_Days_Actual]]*Table410[[#This Row],[Cost Boolean]]*(VLOOKUP(Table410[[#This Row],[RATE CONCAT]],Tables!I:N,5,0)),0)</f>
        <v/>
      </c>
      <c r="DC35" s="342">
        <f>Table410[[#This Row],[Oct_2026_F]]-Table410[[#This Row],[Oct_2026_A]]</f>
        <v/>
      </c>
      <c r="DE35" s="342">
        <f>IFERROR(Table410[[#This Row],[Nov_2026_Days_Forecast]]*Table410[[#This Row],[Cost Boolean]]*(VLOOKUP(Table410[[#This Row],[RATE CONCAT]],Tables!I:N,5,0)),0)</f>
        <v/>
      </c>
      <c r="DF35" s="342">
        <f>IFERROR(Table410[[#This Row],[Nov_2026_Days_Actual]]*Table410[[#This Row],[Cost Boolean]]*(VLOOKUP(Table410[[#This Row],[RATE CONCAT]],Tables!I:N,5,0)),0)</f>
        <v/>
      </c>
      <c r="DG35" s="342">
        <f>Table410[[#This Row],[Nov_2026_F]]-Table410[[#This Row],[Nov_2026_A]]</f>
        <v/>
      </c>
      <c r="DI35" s="342">
        <f>IFERROR(Table410[[#This Row],[Dec_2026_Days_Forecast]]*Table410[[#This Row],[Cost Boolean]]*(VLOOKUP(Table410[[#This Row],[RATE CONCAT]],Tables!I:N,5,0)),0)</f>
        <v/>
      </c>
      <c r="DJ35" s="342">
        <f>IFERROR(Table410[[#This Row],[Dec_2026_Days_Actual]]*Table410[[#This Row],[Cost Boolean]]*(VLOOKUP(Table410[[#This Row],[RATE CONCAT]],Tables!I:N,5,0)),0)</f>
        <v/>
      </c>
      <c r="DK35" s="342">
        <f>Table410[[#This Row],[Dec_2026_F]]-Table410[[#This Row],[Dec_2026_A]]</f>
        <v/>
      </c>
      <c r="DN35" s="342">
        <f>IFERROR(Table410[[#This Row],[Jan_2027_Days_Forecast]]*Table410[[#This Row],[Cost Boolean]]*(VLOOKUP(Table410[[#This Row],[RATE CONCAT]],Tables!I:N,6,0)),0)</f>
        <v/>
      </c>
      <c r="DP35" s="342">
        <f>Table410[[#This Row],[Jan_2027_F]]-Table410[[#This Row],[Jan_2027_A]]</f>
        <v/>
      </c>
      <c r="DQ35" s="342">
        <f>IFERROR(Table410[[#This Row],[Feb_2027_Days_Forecast]]*Table410[[#This Row],[Cost Boolean]]*(VLOOKUP(Table410[[#This Row],[RATE CONCAT]],Tables!I:N,6,0)),0)</f>
        <v/>
      </c>
      <c r="DS35" s="342">
        <f>Table410[[#This Row],[Feb_2027_F]]-Table410[[#This Row],[Feb_2027_A]]</f>
        <v/>
      </c>
      <c r="DT35" s="342">
        <f>IFERROR(Table410[[#This Row],[Mar_2027_Days_Forecast]]*Table410[[#This Row],[Cost Boolean]]*(VLOOKUP(Table410[[#This Row],[RATE CONCAT]],Tables!I:N,6,0)),0)</f>
        <v/>
      </c>
      <c r="DV35" s="342">
        <f>Table410[[#This Row],[Mar_2027_F]]-Table410[[#This Row],[Mar_2027_A]]</f>
        <v/>
      </c>
      <c r="DW35" s="342">
        <f>IFERROR(Table410[[#This Row],[Apr_2027_Days_Forecast]]*Table410[[#This Row],[Cost Boolean]]*(VLOOKUP(Table410[[#This Row],[RATE CONCAT]],Tables!I:N,6,0)),0)</f>
        <v/>
      </c>
      <c r="DY35" s="342">
        <f>Table410[[#This Row],[Apr_2027_F]]-Table410[[#This Row],[Apr_2027_A]]</f>
        <v/>
      </c>
      <c r="DZ35" s="342">
        <f>IFERROR(Table410[[#This Row],[May_2027_Days_Forecast]]*Table410[[#This Row],[Cost Boolean]]*(VLOOKUP(Table410[[#This Row],[RATE CONCAT]],Tables!I:N,6,0)),0)</f>
        <v/>
      </c>
      <c r="EB35" s="342">
        <f>Table410[[#This Row],[May_2027_F]]-Table410[[#This Row],[May_2027_A]]</f>
        <v/>
      </c>
      <c r="EC35" s="342">
        <f>IFERROR(Table410[[#This Row],[Jun_2027_Days_Forecast]]*Table410[[#This Row],[Cost Boolean]]*(VLOOKUP(Table410[[#This Row],[RATE CONCAT]],Tables!I:N,6,0)),0)</f>
        <v/>
      </c>
      <c r="EE35" s="342">
        <f>Table410[[#This Row],[Jun_2027_F]]-Table410[[#This Row],[Jun_2027_A]]</f>
        <v/>
      </c>
      <c r="EF35" s="342">
        <f>IFERROR(Table410[[#This Row],[Jul_2027_Days_Forecast]]*Table410[[#This Row],[Cost Boolean]]*(VLOOKUP(Table410[[#This Row],[RATE CONCAT]],Tables!I:N,6,0)),0)</f>
        <v/>
      </c>
      <c r="EH35" s="342">
        <f>Table410[[#This Row],[Jul_2027_F]]-Table410[[#This Row],[Jul_2027_A]]</f>
        <v/>
      </c>
      <c r="EI35" s="342">
        <f>IFERROR(Table410[[#This Row],[Aug_2027_Days_Forecast]]*Table410[[#This Row],[Cost Boolean]]*(VLOOKUP(Table410[[#This Row],[RATE CONCAT]],Tables!I:N,6,0)),0)</f>
        <v/>
      </c>
      <c r="EK35" s="342">
        <f>Table410[[#This Row],[Aug_2027_F]]-Table410[[#This Row],[Aug_2027_A]]</f>
        <v/>
      </c>
      <c r="EL35" s="342">
        <f>IFERROR(Table410[[#This Row],[Sep_2027_Days_Forecast]]*Table410[[#This Row],[Cost Boolean]]*(VLOOKUP(Table410[[#This Row],[RATE CONCAT]],Tables!I:N,6,0)),0)</f>
        <v/>
      </c>
      <c r="EN35" s="342">
        <f>Table410[[#This Row],[Sep_2027_F]]-Table410[[#This Row],[Sep_2027_A]]</f>
        <v/>
      </c>
      <c r="EO35" s="342">
        <f>IFERROR(Table410[[#This Row],[Oct_2027_Days_Forecast]]*Table410[[#This Row],[Cost Boolean]]*(VLOOKUP(Table410[[#This Row],[RATE CONCAT]],Tables!I:N,6,0)),0)</f>
        <v/>
      </c>
      <c r="EQ35" s="342">
        <f>Table410[[#This Row],[Oct_2027_F]]-Table410[[#This Row],[Oct_2027_A]]</f>
        <v/>
      </c>
      <c r="ER35" s="342">
        <f>IFERROR(Table410[[#This Row],[Nov_2027_Days_Forecast]]*Table410[[#This Row],[Cost Boolean]]*(VLOOKUP(Table410[[#This Row],[RATE CONCAT]],Tables!I:N,6,0)),0)</f>
        <v/>
      </c>
      <c r="ET35" s="342">
        <f>Table410[[#This Row],[Nov_2027_F]]-Table410[[#This Row],[Nov_2027_A]]</f>
        <v/>
      </c>
      <c r="EU35" s="342">
        <f>IFERROR(Table410[[#This Row],[Dec_2027_Days_Forecast]]*Table410[[#This Row],[Cost Boolean]]*(VLOOKUP(Table410[[#This Row],[RATE CONCAT]],Tables!I:N,6,0)),0)</f>
        <v/>
      </c>
      <c r="EW35" s="342">
        <f>Table410[[#This Row],[Dec_2027_F]]-Table410[[#This Row],[Dec_2027_A]]</f>
        <v/>
      </c>
    </row>
    <row r="36" ht="15" customFormat="1" customHeight="1" s="13">
      <c r="A36" s="338" t="inlineStr">
        <is>
          <t>PDSFS1028</t>
        </is>
      </c>
      <c r="B36" s="338" t="inlineStr">
        <is>
          <t>USDF</t>
        </is>
      </c>
      <c r="C36" s="338" t="inlineStr">
        <is>
          <t>Staff</t>
        </is>
      </c>
      <c r="D36" s="338" t="inlineStr">
        <is>
          <t>Kennette Richards</t>
        </is>
      </c>
      <c r="E36" s="338" t="inlineStr">
        <is>
          <t>Shell Business</t>
        </is>
      </c>
      <c r="G36" s="338" t="inlineStr">
        <is>
          <t>United States</t>
        </is>
      </c>
      <c r="H36" s="338" t="n">
        <v>2</v>
      </c>
      <c r="J36" s="338" t="inlineStr">
        <is>
          <t>USDF Freight OPS Lead</t>
        </is>
      </c>
      <c r="K36" s="338" t="inlineStr">
        <is>
          <t>In-seat</t>
        </is>
      </c>
      <c r="L36" s="338" t="n">
        <v>0</v>
      </c>
      <c r="M36" s="338" t="inlineStr">
        <is>
          <t>HOU</t>
        </is>
      </c>
      <c r="N36" s="338" t="inlineStr">
        <is>
          <t>Freight OPS</t>
        </is>
      </c>
      <c r="O36" s="338" t="inlineStr">
        <is>
          <t>Opex</t>
        </is>
      </c>
      <c r="P36" s="338" t="inlineStr">
        <is>
          <t>Business</t>
        </is>
      </c>
      <c r="Q36" s="338" t="inlineStr">
        <is>
          <t>TBD</t>
        </is>
      </c>
      <c r="R36" s="339" t="n">
        <v>46023</v>
      </c>
      <c r="S36" s="339" t="n">
        <v>46387</v>
      </c>
      <c r="T36" s="339" t="n">
        <v>46023</v>
      </c>
      <c r="U36" s="339" t="n">
        <v>46387</v>
      </c>
      <c r="V36" s="339" t="n">
        <v>46023</v>
      </c>
      <c r="W36" s="339" t="n">
        <v>46387</v>
      </c>
      <c r="Y36" s="338">
        <f>CONCATENATE(Table410[[#This Row],[JG]],Table410[[#This Row],[Country]],Table410[[#This Row],[Resource Provider]])</f>
        <v/>
      </c>
      <c r="Z36" s="338">
        <f>VLOOKUP(Table410[[#This Row],[RATE CONCAT]],Tables!I:N,5,0)</f>
        <v/>
      </c>
      <c r="AA36" s="52" t="n"/>
      <c r="AB36" s="130" t="n"/>
      <c r="AC36" s="340" t="n">
        <v>5</v>
      </c>
      <c r="AD36" s="340" t="n">
        <v>5</v>
      </c>
      <c r="AE36" s="340" t="n">
        <v>5</v>
      </c>
      <c r="AF36" s="340" t="n">
        <v>5</v>
      </c>
      <c r="AG36" s="340" t="n">
        <v>4</v>
      </c>
      <c r="AH36" s="340" t="n">
        <v>5</v>
      </c>
      <c r="AI36" s="340" t="n">
        <v>5</v>
      </c>
      <c r="AJ36" s="340" t="n">
        <v>5</v>
      </c>
      <c r="AK36" s="340" t="n">
        <v>5</v>
      </c>
      <c r="AL36" s="130" t="n"/>
      <c r="AM36" s="130" t="n"/>
      <c r="AN36" s="341">
        <f>IFERROR(AVERAGE(Table410[[#This Row],[Jan_2026_Days_Forecast]:[Dec_2026_Days_Forecast]]),0)/19</f>
        <v/>
      </c>
      <c r="AO36" s="341">
        <f>IFERROR(AVERAGE(Table410[[#This Row],[Jan_2026_Days_Actual]:[Dec_2026_Days_Actual]]),0)/19</f>
        <v/>
      </c>
      <c r="AP36" s="130" t="n"/>
      <c r="AQ36" s="340" t="n">
        <v>5</v>
      </c>
      <c r="AR36" s="340" t="n">
        <v>5</v>
      </c>
      <c r="AS36" s="340" t="n">
        <v>5</v>
      </c>
      <c r="AT36" s="340" t="n">
        <v>5</v>
      </c>
      <c r="AU36" s="340" t="n">
        <v>4</v>
      </c>
      <c r="AV36" s="340" t="n">
        <v>5</v>
      </c>
      <c r="AW36" s="340" t="n">
        <v>5</v>
      </c>
      <c r="AX36" s="340" t="n">
        <v>5</v>
      </c>
      <c r="AY36" s="340" t="n">
        <v>5</v>
      </c>
      <c r="AZ36" s="130" t="n"/>
      <c r="BA36" s="130" t="n"/>
      <c r="BB36" s="341">
        <f>IFERROR(AVERAGE(Table410[[#This Row],[Jan_2027_Days_Forecast]:[Dec_2027_Days_Forecast]]),0)</f>
        <v/>
      </c>
      <c r="BC36" s="127" t="n"/>
      <c r="BD36" s="127" t="n"/>
      <c r="BE36" s="127" t="n"/>
      <c r="BF36" s="127" t="n"/>
      <c r="BG36" s="127" t="n"/>
      <c r="BH36" s="127" t="n"/>
      <c r="BI36" s="127" t="n"/>
      <c r="BJ36" s="127" t="n"/>
      <c r="BK36" s="127" t="n"/>
      <c r="BL36" s="127" t="n"/>
      <c r="BM36" s="127" t="n"/>
      <c r="BN36" s="127" t="n"/>
      <c r="BO36" s="176" t="n"/>
      <c r="BP36" s="176" t="n"/>
      <c r="BQ36" s="338">
        <f>IFERROR(Table410[[#This Row],[Jan_2026_Days_Forecast]]*Table410[[#This Row],[Cost Boolean]]*(VLOOKUP(Table410[[#This Row],[RATE CONCAT]],Tables!I:N,5,0)),0)</f>
        <v/>
      </c>
      <c r="BR36" s="338">
        <f>IFERROR(Table410[[#This Row],[Jan_2026_Days_Actual]]*Table410[[#This Row],[Cost Boolean]]*(VLOOKUP(Table410[[#This Row],[RATE CONCAT]],Tables!I:N,5,0)),0)</f>
        <v/>
      </c>
      <c r="BS36" s="338">
        <f>Table410[[#This Row],[Jan_2026_F]]-Table410[[#This Row],[Jan_2026_A]]</f>
        <v/>
      </c>
      <c r="BU36" s="338">
        <f>IFERROR(Table410[[#This Row],[Feb_2026_Days_Forecast]]*Table410[[#This Row],[Cost Boolean]]*(VLOOKUP(Table410[[#This Row],[RATE CONCAT]],Tables!I:N,5,0)),0)</f>
        <v/>
      </c>
      <c r="BV36" s="338">
        <f>IFERROR(Table410[[#This Row],[Feb_2026_Days_Actual]]*Table410[[#This Row],[Cost Boolean]]*(VLOOKUP(Table410[[#This Row],[RATE CONCAT]],Tables!I:N,5,0)),0)</f>
        <v/>
      </c>
      <c r="BW36" s="338">
        <f>Table410[[#This Row],[Feb_2026_F]]-Table410[[#This Row],[Feb_2026_A]]</f>
        <v/>
      </c>
      <c r="BY36" s="338">
        <f>IFERROR(Table410[[#This Row],[Mar_2026_Days_Forecast]]*Table410[[#This Row],[Cost Boolean]]*(VLOOKUP(Table410[[#This Row],[RATE CONCAT]],Tables!I:N,5,0)),0)</f>
        <v/>
      </c>
      <c r="BZ36" s="338">
        <f>IFERROR(Table410[[#This Row],[Mar_2026_Days_Actual]]*Table410[[#This Row],[Cost Boolean]]*(VLOOKUP(Table410[[#This Row],[RATE CONCAT]],Tables!I:N,5,0)),0)</f>
        <v/>
      </c>
      <c r="CA36" s="338">
        <f>Table410[[#This Row],[Mar_2026_F]]-Table410[[#This Row],[Mar_2026_A]]</f>
        <v/>
      </c>
      <c r="CC36" s="338">
        <f>IFERROR(Table410[[#This Row],[Apr_2026_Days_Forecast]]*Table410[[#This Row],[Cost Boolean]]*(VLOOKUP(Table410[[#This Row],[RATE CONCAT]],Tables!I:N,5,0)),0)</f>
        <v/>
      </c>
      <c r="CD36" s="338">
        <f>IFERROR(Table410[[#This Row],[Apr_2026_Days_Actual]]*Table410[[#This Row],[Cost Boolean]]*(VLOOKUP(Table410[[#This Row],[RATE CONCAT]],Tables!I:N,5,0)),0)</f>
        <v/>
      </c>
      <c r="CE36" s="338">
        <f>Table410[[#This Row],[Apr_2026_F]]-Table410[[#This Row],[Apr_2026_A]]</f>
        <v/>
      </c>
      <c r="CG36" s="338">
        <f>IFERROR(Table410[[#This Row],[May_2026_Days_Forecast]] *Table410[[#This Row],[Cost Boolean]]*(VLOOKUP(Table410[[#This Row],[RATE CONCAT]],Tables!I:N,5,0)),0)</f>
        <v/>
      </c>
      <c r="CH36" s="338">
        <f>IFERROR(Table410[[#This Row],[May_2026_Days_Actual]]*Table410[[#This Row],[Cost Boolean]]*(VLOOKUP(Table410[[#This Row],[RATE CONCAT]],Tables!I:N,5,0)),0)</f>
        <v/>
      </c>
      <c r="CI36" s="338">
        <f>Table410[[#This Row],[May_2026_F]]-Table410[[#This Row],[May_2026_A]]</f>
        <v/>
      </c>
      <c r="CK36" s="338">
        <f>IFERROR(Table410[[#This Row],[Jun_2026_Days_Forecast]]*Table410[[#This Row],[Cost Boolean]]*(VLOOKUP(Table410[[#This Row],[RATE CONCAT]],Tables!I:N,5,0)),0)</f>
        <v/>
      </c>
      <c r="CL36" s="338">
        <f>IFERROR(Table410[[#This Row],[Jun_2026_Days_Actual]]*Table410[[#This Row],[Cost Boolean]]*(VLOOKUP(Table410[[#This Row],[RATE CONCAT]],Tables!I:N,5,0)),0)</f>
        <v/>
      </c>
      <c r="CM36" s="338">
        <f>Table410[[#This Row],[Jun_2026_F]]-Table410[[#This Row],[Jun_2026_A]]</f>
        <v/>
      </c>
      <c r="CO36" s="338">
        <f>IFERROR(Table410[[#This Row],[Jul_2026_Days_Forecast]]*Table410[[#This Row],[Cost Boolean]]*(VLOOKUP(Table410[[#This Row],[RATE CONCAT]],Tables!I:N,5,0)),0)</f>
        <v/>
      </c>
      <c r="CP36" s="338">
        <f>IFERROR(Table410[[#This Row],[Jul_2026_Days_Actual]]*Table410[[#This Row],[Cost Boolean]]*(VLOOKUP(Table410[[#This Row],[RATE CONCAT]],Tables!I:N,5,0)),0)</f>
        <v/>
      </c>
      <c r="CQ36" s="338">
        <f>Table410[[#This Row],[Jul_2026_F]]-Table410[[#This Row],[Jul_2026_A]]</f>
        <v/>
      </c>
      <c r="CS36" s="338">
        <f>IFERROR(Table410[[#This Row],[Aug_2026_Days_Forecast]]*Table410[[#This Row],[Cost Boolean]]*(VLOOKUP(Table410[[#This Row],[RATE CONCAT]],Tables!I:N,5,0)),0)</f>
        <v/>
      </c>
      <c r="CT36" s="338">
        <f>IFERROR(Table410[[#This Row],[Aug_2026_Days_Actual]]*Table410[[#This Row],[Cost Boolean]]*(VLOOKUP(Table410[[#This Row],[RATE CONCAT]],Tables!I:N,5,0)),0)</f>
        <v/>
      </c>
      <c r="CU36" s="338">
        <f>Table410[[#This Row],[Aug_2026_F]]-Table410[[#This Row],[Aug_2026_A]]</f>
        <v/>
      </c>
      <c r="CW36" s="338">
        <f>IFERROR(Table410[[#This Row],[Sep_2026_Days_Forecast]]*Table410[[#This Row],[Cost Boolean]]*(VLOOKUP(Table410[[#This Row],[RATE CONCAT]],Tables!I:N,5,0)),0)</f>
        <v/>
      </c>
      <c r="CX36" s="338">
        <f>IFERROR(Table410[[#This Row],[Sep_2026_Days_Actual]]*Table410[[#This Row],[Cost Boolean]]*(VLOOKUP(Table410[[#This Row],[RATE CONCAT]],Tables!I:N,5,0)),0)</f>
        <v/>
      </c>
      <c r="CY36" s="338">
        <f>Table410[[#This Row],[Sep_2026_F]]-Table410[[#This Row],[Sep_2026_A]]</f>
        <v/>
      </c>
      <c r="DA36" s="338">
        <f>IFERROR(Table410[[#This Row],[Oct_2026_Days_Forecast]]*Table410[[#This Row],[Cost Boolean]]*(VLOOKUP(Table410[[#This Row],[RATE CONCAT]],Tables!I:N,5,0)),0)</f>
        <v/>
      </c>
      <c r="DB36" s="338">
        <f>IFERROR(Table410[[#This Row],[Oct_2026_Days_Actual]]*Table410[[#This Row],[Cost Boolean]]*(VLOOKUP(Table410[[#This Row],[RATE CONCAT]],Tables!I:N,5,0)),0)</f>
        <v/>
      </c>
      <c r="DC36" s="338">
        <f>Table410[[#This Row],[Oct_2026_F]]-Table410[[#This Row],[Oct_2026_A]]</f>
        <v/>
      </c>
      <c r="DE36" s="338">
        <f>IFERROR(Table410[[#This Row],[Nov_2026_Days_Forecast]]*Table410[[#This Row],[Cost Boolean]]*(VLOOKUP(Table410[[#This Row],[RATE CONCAT]],Tables!I:N,5,0)),0)</f>
        <v/>
      </c>
      <c r="DF36" s="338">
        <f>IFERROR(Table410[[#This Row],[Nov_2026_Days_Actual]]*Table410[[#This Row],[Cost Boolean]]*(VLOOKUP(Table410[[#This Row],[RATE CONCAT]],Tables!I:N,5,0)),0)</f>
        <v/>
      </c>
      <c r="DG36" s="338">
        <f>Table410[[#This Row],[Nov_2026_F]]-Table410[[#This Row],[Nov_2026_A]]</f>
        <v/>
      </c>
      <c r="DI36" s="338">
        <f>IFERROR(Table410[[#This Row],[Dec_2026_Days_Forecast]]*Table410[[#This Row],[Cost Boolean]]*(VLOOKUP(Table410[[#This Row],[RATE CONCAT]],Tables!I:N,5,0)),0)</f>
        <v/>
      </c>
      <c r="DJ36" s="338">
        <f>IFERROR(Table410[[#This Row],[Dec_2026_Days_Actual]]*Table410[[#This Row],[Cost Boolean]]*(VLOOKUP(Table410[[#This Row],[RATE CONCAT]],Tables!I:N,5,0)),0)</f>
        <v/>
      </c>
      <c r="DK36" s="338">
        <f>Table410[[#This Row],[Dec_2026_F]]-Table410[[#This Row],[Dec_2026_A]]</f>
        <v/>
      </c>
      <c r="DN36" s="338">
        <f>IFERROR(Table410[[#This Row],[Jan_2027_Days_Forecast]]*Table410[[#This Row],[Cost Boolean]]*(VLOOKUP(Table410[[#This Row],[RATE CONCAT]],Tables!I:N,6,0)),0)</f>
        <v/>
      </c>
      <c r="DP36" s="338">
        <f>Table410[[#This Row],[Jan_2027_F]]-Table410[[#This Row],[Jan_2027_A]]</f>
        <v/>
      </c>
      <c r="DQ36" s="338">
        <f>IFERROR(Table410[[#This Row],[Feb_2027_Days_Forecast]]*Table410[[#This Row],[Cost Boolean]]*(VLOOKUP(Table410[[#This Row],[RATE CONCAT]],Tables!I:N,6,0)),0)</f>
        <v/>
      </c>
      <c r="DS36" s="338">
        <f>Table410[[#This Row],[Feb_2027_F]]-Table410[[#This Row],[Feb_2027_A]]</f>
        <v/>
      </c>
      <c r="DT36" s="338">
        <f>IFERROR(Table410[[#This Row],[Mar_2027_Days_Forecast]]*Table410[[#This Row],[Cost Boolean]]*(VLOOKUP(Table410[[#This Row],[RATE CONCAT]],Tables!I:N,6,0)),0)</f>
        <v/>
      </c>
      <c r="DV36" s="338">
        <f>Table410[[#This Row],[Mar_2027_F]]-Table410[[#This Row],[Mar_2027_A]]</f>
        <v/>
      </c>
      <c r="DW36" s="338">
        <f>IFERROR(Table410[[#This Row],[Apr_2027_Days_Forecast]]*Table410[[#This Row],[Cost Boolean]]*(VLOOKUP(Table410[[#This Row],[RATE CONCAT]],Tables!I:N,6,0)),0)</f>
        <v/>
      </c>
      <c r="DY36" s="338">
        <f>Table410[[#This Row],[Apr_2027_F]]-Table410[[#This Row],[Apr_2027_A]]</f>
        <v/>
      </c>
      <c r="DZ36" s="338">
        <f>IFERROR(Table410[[#This Row],[May_2027_Days_Forecast]]*Table410[[#This Row],[Cost Boolean]]*(VLOOKUP(Table410[[#This Row],[RATE CONCAT]],Tables!I:N,6,0)),0)</f>
        <v/>
      </c>
      <c r="EB36" s="338">
        <f>Table410[[#This Row],[May_2027_F]]-Table410[[#This Row],[May_2027_A]]</f>
        <v/>
      </c>
      <c r="EC36" s="338">
        <f>IFERROR(Table410[[#This Row],[Jun_2027_Days_Forecast]]*Table410[[#This Row],[Cost Boolean]]*(VLOOKUP(Table410[[#This Row],[RATE CONCAT]],Tables!I:N,6,0)),0)</f>
        <v/>
      </c>
      <c r="EE36" s="338">
        <f>Table410[[#This Row],[Jun_2027_F]]-Table410[[#This Row],[Jun_2027_A]]</f>
        <v/>
      </c>
      <c r="EF36" s="338">
        <f>IFERROR(Table410[[#This Row],[Jul_2027_Days_Forecast]]*Table410[[#This Row],[Cost Boolean]]*(VLOOKUP(Table410[[#This Row],[RATE CONCAT]],Tables!I:N,6,0)),0)</f>
        <v/>
      </c>
      <c r="EH36" s="338">
        <f>Table410[[#This Row],[Jul_2027_F]]-Table410[[#This Row],[Jul_2027_A]]</f>
        <v/>
      </c>
      <c r="EI36" s="338">
        <f>IFERROR(Table410[[#This Row],[Aug_2027_Days_Forecast]]*Table410[[#This Row],[Cost Boolean]]*(VLOOKUP(Table410[[#This Row],[RATE CONCAT]],Tables!I:N,6,0)),0)</f>
        <v/>
      </c>
      <c r="EK36" s="338">
        <f>Table410[[#This Row],[Aug_2027_F]]-Table410[[#This Row],[Aug_2027_A]]</f>
        <v/>
      </c>
      <c r="EL36" s="338">
        <f>IFERROR(Table410[[#This Row],[Sep_2027_Days_Forecast]]*Table410[[#This Row],[Cost Boolean]]*(VLOOKUP(Table410[[#This Row],[RATE CONCAT]],Tables!I:N,6,0)),0)</f>
        <v/>
      </c>
      <c r="EN36" s="338">
        <f>Table410[[#This Row],[Sep_2027_F]]-Table410[[#This Row],[Sep_2027_A]]</f>
        <v/>
      </c>
      <c r="EO36" s="338">
        <f>IFERROR(Table410[[#This Row],[Oct_2027_Days_Forecast]]*Table410[[#This Row],[Cost Boolean]]*(VLOOKUP(Table410[[#This Row],[RATE CONCAT]],Tables!I:N,6,0)),0)</f>
        <v/>
      </c>
      <c r="EQ36" s="338">
        <f>Table410[[#This Row],[Oct_2027_F]]-Table410[[#This Row],[Oct_2027_A]]</f>
        <v/>
      </c>
      <c r="ER36" s="338">
        <f>IFERROR(Table410[[#This Row],[Nov_2027_Days_Forecast]]*Table410[[#This Row],[Cost Boolean]]*(VLOOKUP(Table410[[#This Row],[RATE CONCAT]],Tables!I:N,6,0)),0)</f>
        <v/>
      </c>
      <c r="ET36" s="338">
        <f>Table410[[#This Row],[Nov_2027_F]]-Table410[[#This Row],[Nov_2027_A]]</f>
        <v/>
      </c>
      <c r="EU36" s="338">
        <f>IFERROR(Table410[[#This Row],[Dec_2027_Days_Forecast]]*Table410[[#This Row],[Cost Boolean]]*(VLOOKUP(Table410[[#This Row],[RATE CONCAT]],Tables!I:N,6,0)),0)</f>
        <v/>
      </c>
      <c r="EW36" s="338">
        <f>Table410[[#This Row],[Dec_2027_F]]-Table410[[#This Row],[Dec_2027_A]]</f>
        <v/>
      </c>
    </row>
    <row r="37" ht="15" customFormat="1" customHeight="1" s="13">
      <c r="A37" s="342" t="inlineStr">
        <is>
          <t>PDSFS1029</t>
        </is>
      </c>
      <c r="B37" s="342" t="inlineStr">
        <is>
          <t>USDF</t>
        </is>
      </c>
      <c r="C37" s="342" t="inlineStr">
        <is>
          <t>Staff</t>
        </is>
      </c>
      <c r="D37" s="342" t="inlineStr">
        <is>
          <t>Shrinivasan Venkhatram</t>
        </is>
      </c>
      <c r="E37" s="342" t="inlineStr">
        <is>
          <t>Shell Business</t>
        </is>
      </c>
      <c r="G37" s="342" t="inlineStr">
        <is>
          <t>India</t>
        </is>
      </c>
      <c r="H37" s="342" t="n">
        <v>3</v>
      </c>
      <c r="J37" s="342" t="inlineStr">
        <is>
          <t>USDF Finance Lead</t>
        </is>
      </c>
      <c r="K37" s="342" t="inlineStr">
        <is>
          <t>In-seat</t>
        </is>
      </c>
      <c r="L37" s="342" t="n">
        <v>0</v>
      </c>
      <c r="M37" s="342" t="inlineStr">
        <is>
          <t>CHN</t>
        </is>
      </c>
      <c r="N37" s="342" t="inlineStr">
        <is>
          <t>Finance</t>
        </is>
      </c>
      <c r="O37" s="342" t="inlineStr">
        <is>
          <t>Opex</t>
        </is>
      </c>
      <c r="P37" s="342" t="inlineStr">
        <is>
          <t>Business</t>
        </is>
      </c>
      <c r="Q37" s="342" t="inlineStr">
        <is>
          <t>TBD</t>
        </is>
      </c>
      <c r="R37" s="343" t="n">
        <v>46023</v>
      </c>
      <c r="S37" s="343" t="n">
        <v>46387</v>
      </c>
      <c r="T37" s="343" t="n">
        <v>46023</v>
      </c>
      <c r="U37" s="343" t="n">
        <v>46387</v>
      </c>
      <c r="V37" s="343" t="n">
        <v>46023</v>
      </c>
      <c r="W37" s="343" t="n">
        <v>46387</v>
      </c>
      <c r="Y37" s="342">
        <f>CONCATENATE(Table410[[#This Row],[JG]],Table410[[#This Row],[Country]],Table410[[#This Row],[Resource Provider]])</f>
        <v/>
      </c>
      <c r="Z37" s="342">
        <f>VLOOKUP(Table410[[#This Row],[RATE CONCAT]],Tables!I:N,5,0)</f>
        <v/>
      </c>
      <c r="AA37" s="52" t="n"/>
      <c r="AB37" s="130" t="n"/>
      <c r="AC37" s="344" t="n">
        <v>5</v>
      </c>
      <c r="AD37" s="344" t="n">
        <v>5</v>
      </c>
      <c r="AE37" s="344" t="n">
        <v>5</v>
      </c>
      <c r="AF37" s="344" t="n">
        <v>5</v>
      </c>
      <c r="AG37" s="344" t="n">
        <v>4</v>
      </c>
      <c r="AH37" s="344" t="n">
        <v>5</v>
      </c>
      <c r="AI37" s="344" t="n">
        <v>5</v>
      </c>
      <c r="AJ37" s="344" t="n">
        <v>5</v>
      </c>
      <c r="AK37" s="344" t="n">
        <v>5</v>
      </c>
      <c r="AL37" s="130" t="n"/>
      <c r="AM37" s="130" t="n"/>
      <c r="AN37" s="341">
        <f>IFERROR(AVERAGE(Table410[[#This Row],[Jan_2026_Days_Forecast]:[Dec_2026_Days_Forecast]]),0)/19</f>
        <v/>
      </c>
      <c r="AO37" s="341">
        <f>IFERROR(AVERAGE(Table410[[#This Row],[Jan_2026_Days_Actual]:[Dec_2026_Days_Actual]]),0)/19</f>
        <v/>
      </c>
      <c r="AP37" s="130" t="n"/>
      <c r="AQ37" s="344" t="n">
        <v>5</v>
      </c>
      <c r="AR37" s="344" t="n">
        <v>5</v>
      </c>
      <c r="AS37" s="344" t="n">
        <v>5</v>
      </c>
      <c r="AT37" s="344" t="n">
        <v>5</v>
      </c>
      <c r="AU37" s="344" t="n">
        <v>4</v>
      </c>
      <c r="AV37" s="344" t="n">
        <v>5</v>
      </c>
      <c r="AW37" s="344" t="n">
        <v>5</v>
      </c>
      <c r="AX37" s="344" t="n">
        <v>5</v>
      </c>
      <c r="AY37" s="344" t="n">
        <v>5</v>
      </c>
      <c r="AZ37" s="130" t="n"/>
      <c r="BA37" s="130" t="n"/>
      <c r="BB37" s="341">
        <f>IFERROR(AVERAGE(Table410[[#This Row],[Jan_2027_Days_Forecast]:[Dec_2027_Days_Forecast]]),0)</f>
        <v/>
      </c>
      <c r="BC37" s="127" t="n"/>
      <c r="BD37" s="127" t="n"/>
      <c r="BE37" s="127" t="n"/>
      <c r="BF37" s="127" t="n"/>
      <c r="BG37" s="127" t="n"/>
      <c r="BH37" s="127" t="n"/>
      <c r="BI37" s="127" t="n"/>
      <c r="BJ37" s="127" t="n"/>
      <c r="BK37" s="127" t="n"/>
      <c r="BL37" s="127" t="n"/>
      <c r="BM37" s="127" t="n"/>
      <c r="BN37" s="127" t="n"/>
      <c r="BO37" s="176" t="n"/>
      <c r="BP37" s="176" t="n"/>
      <c r="BQ37" s="342">
        <f>IFERROR(Table410[[#This Row],[Jan_2026_Days_Forecast]]*Table410[[#This Row],[Cost Boolean]]*(VLOOKUP(Table410[[#This Row],[RATE CONCAT]],Tables!I:N,5,0)),0)</f>
        <v/>
      </c>
      <c r="BR37" s="342">
        <f>IFERROR(Table410[[#This Row],[Jan_2026_Days_Actual]]*Table410[[#This Row],[Cost Boolean]]*(VLOOKUP(Table410[[#This Row],[RATE CONCAT]],Tables!I:N,5,0)),0)</f>
        <v/>
      </c>
      <c r="BS37" s="342">
        <f>Table410[[#This Row],[Jan_2026_F]]-Table410[[#This Row],[Jan_2026_A]]</f>
        <v/>
      </c>
      <c r="BU37" s="342">
        <f>IFERROR(Table410[[#This Row],[Feb_2026_Days_Forecast]]*Table410[[#This Row],[Cost Boolean]]*(VLOOKUP(Table410[[#This Row],[RATE CONCAT]],Tables!I:N,5,0)),0)</f>
        <v/>
      </c>
      <c r="BV37" s="342">
        <f>IFERROR(Table410[[#This Row],[Feb_2026_Days_Actual]]*Table410[[#This Row],[Cost Boolean]]*(VLOOKUP(Table410[[#This Row],[RATE CONCAT]],Tables!I:N,5,0)),0)</f>
        <v/>
      </c>
      <c r="BW37" s="342">
        <f>Table410[[#This Row],[Feb_2026_F]]-Table410[[#This Row],[Feb_2026_A]]</f>
        <v/>
      </c>
      <c r="BY37" s="342">
        <f>IFERROR(Table410[[#This Row],[Mar_2026_Days_Forecast]]*Table410[[#This Row],[Cost Boolean]]*(VLOOKUP(Table410[[#This Row],[RATE CONCAT]],Tables!I:N,5,0)),0)</f>
        <v/>
      </c>
      <c r="BZ37" s="342">
        <f>IFERROR(Table410[[#This Row],[Mar_2026_Days_Actual]]*Table410[[#This Row],[Cost Boolean]]*(VLOOKUP(Table410[[#This Row],[RATE CONCAT]],Tables!I:N,5,0)),0)</f>
        <v/>
      </c>
      <c r="CA37" s="342">
        <f>Table410[[#This Row],[Mar_2026_F]]-Table410[[#This Row],[Mar_2026_A]]</f>
        <v/>
      </c>
      <c r="CC37" s="342">
        <f>IFERROR(Table410[[#This Row],[Apr_2026_Days_Forecast]]*Table410[[#This Row],[Cost Boolean]]*(VLOOKUP(Table410[[#This Row],[RATE CONCAT]],Tables!I:N,5,0)),0)</f>
        <v/>
      </c>
      <c r="CD37" s="342">
        <f>IFERROR(Table410[[#This Row],[Apr_2026_Days_Actual]]*Table410[[#This Row],[Cost Boolean]]*(VLOOKUP(Table410[[#This Row],[RATE CONCAT]],Tables!I:N,5,0)),0)</f>
        <v/>
      </c>
      <c r="CE37" s="342">
        <f>Table410[[#This Row],[Apr_2026_F]]-Table410[[#This Row],[Apr_2026_A]]</f>
        <v/>
      </c>
      <c r="CG37" s="342">
        <f>IFERROR(Table410[[#This Row],[May_2026_Days_Forecast]] *Table410[[#This Row],[Cost Boolean]]*(VLOOKUP(Table410[[#This Row],[RATE CONCAT]],Tables!I:N,5,0)),0)</f>
        <v/>
      </c>
      <c r="CH37" s="342">
        <f>IFERROR(Table410[[#This Row],[May_2026_Days_Actual]]*Table410[[#This Row],[Cost Boolean]]*(VLOOKUP(Table410[[#This Row],[RATE CONCAT]],Tables!I:N,5,0)),0)</f>
        <v/>
      </c>
      <c r="CI37" s="342">
        <f>Table410[[#This Row],[May_2026_F]]-Table410[[#This Row],[May_2026_A]]</f>
        <v/>
      </c>
      <c r="CK37" s="342">
        <f>IFERROR(Table410[[#This Row],[Jun_2026_Days_Forecast]]*Table410[[#This Row],[Cost Boolean]]*(VLOOKUP(Table410[[#This Row],[RATE CONCAT]],Tables!I:N,5,0)),0)</f>
        <v/>
      </c>
      <c r="CL37" s="342">
        <f>IFERROR(Table410[[#This Row],[Jun_2026_Days_Actual]]*Table410[[#This Row],[Cost Boolean]]*(VLOOKUP(Table410[[#This Row],[RATE CONCAT]],Tables!I:N,5,0)),0)</f>
        <v/>
      </c>
      <c r="CM37" s="342">
        <f>Table410[[#This Row],[Jun_2026_F]]-Table410[[#This Row],[Jun_2026_A]]</f>
        <v/>
      </c>
      <c r="CO37" s="342">
        <f>IFERROR(Table410[[#This Row],[Jul_2026_Days_Forecast]]*Table410[[#This Row],[Cost Boolean]]*(VLOOKUP(Table410[[#This Row],[RATE CONCAT]],Tables!I:N,5,0)),0)</f>
        <v/>
      </c>
      <c r="CP37" s="342">
        <f>IFERROR(Table410[[#This Row],[Jul_2026_Days_Actual]]*Table410[[#This Row],[Cost Boolean]]*(VLOOKUP(Table410[[#This Row],[RATE CONCAT]],Tables!I:N,5,0)),0)</f>
        <v/>
      </c>
      <c r="CQ37" s="342">
        <f>Table410[[#This Row],[Jul_2026_F]]-Table410[[#This Row],[Jul_2026_A]]</f>
        <v/>
      </c>
      <c r="CS37" s="342">
        <f>IFERROR(Table410[[#This Row],[Aug_2026_Days_Forecast]]*Table410[[#This Row],[Cost Boolean]]*(VLOOKUP(Table410[[#This Row],[RATE CONCAT]],Tables!I:N,5,0)),0)</f>
        <v/>
      </c>
      <c r="CT37" s="342">
        <f>IFERROR(Table410[[#This Row],[Aug_2026_Days_Actual]]*Table410[[#This Row],[Cost Boolean]]*(VLOOKUP(Table410[[#This Row],[RATE CONCAT]],Tables!I:N,5,0)),0)</f>
        <v/>
      </c>
      <c r="CU37" s="342">
        <f>Table410[[#This Row],[Aug_2026_F]]-Table410[[#This Row],[Aug_2026_A]]</f>
        <v/>
      </c>
      <c r="CW37" s="342">
        <f>IFERROR(Table410[[#This Row],[Sep_2026_Days_Forecast]]*Table410[[#This Row],[Cost Boolean]]*(VLOOKUP(Table410[[#This Row],[RATE CONCAT]],Tables!I:N,5,0)),0)</f>
        <v/>
      </c>
      <c r="CX37" s="342">
        <f>IFERROR(Table410[[#This Row],[Sep_2026_Days_Actual]]*Table410[[#This Row],[Cost Boolean]]*(VLOOKUP(Table410[[#This Row],[RATE CONCAT]],Tables!I:N,5,0)),0)</f>
        <v/>
      </c>
      <c r="CY37" s="342">
        <f>Table410[[#This Row],[Sep_2026_F]]-Table410[[#This Row],[Sep_2026_A]]</f>
        <v/>
      </c>
      <c r="DA37" s="342">
        <f>IFERROR(Table410[[#This Row],[Oct_2026_Days_Forecast]]*Table410[[#This Row],[Cost Boolean]]*(VLOOKUP(Table410[[#This Row],[RATE CONCAT]],Tables!I:N,5,0)),0)</f>
        <v/>
      </c>
      <c r="DB37" s="342">
        <f>IFERROR(Table410[[#This Row],[Oct_2026_Days_Actual]]*Table410[[#This Row],[Cost Boolean]]*(VLOOKUP(Table410[[#This Row],[RATE CONCAT]],Tables!I:N,5,0)),0)</f>
        <v/>
      </c>
      <c r="DC37" s="342">
        <f>Table410[[#This Row],[Oct_2026_F]]-Table410[[#This Row],[Oct_2026_A]]</f>
        <v/>
      </c>
      <c r="DE37" s="342">
        <f>IFERROR(Table410[[#This Row],[Nov_2026_Days_Forecast]]*Table410[[#This Row],[Cost Boolean]]*(VLOOKUP(Table410[[#This Row],[RATE CONCAT]],Tables!I:N,5,0)),0)</f>
        <v/>
      </c>
      <c r="DF37" s="342">
        <f>IFERROR(Table410[[#This Row],[Nov_2026_Days_Actual]]*Table410[[#This Row],[Cost Boolean]]*(VLOOKUP(Table410[[#This Row],[RATE CONCAT]],Tables!I:N,5,0)),0)</f>
        <v/>
      </c>
      <c r="DG37" s="342">
        <f>Table410[[#This Row],[Nov_2026_F]]-Table410[[#This Row],[Nov_2026_A]]</f>
        <v/>
      </c>
      <c r="DI37" s="342">
        <f>IFERROR(Table410[[#This Row],[Dec_2026_Days_Forecast]]*Table410[[#This Row],[Cost Boolean]]*(VLOOKUP(Table410[[#This Row],[RATE CONCAT]],Tables!I:N,5,0)),0)</f>
        <v/>
      </c>
      <c r="DJ37" s="342">
        <f>IFERROR(Table410[[#This Row],[Dec_2026_Days_Actual]]*Table410[[#This Row],[Cost Boolean]]*(VLOOKUP(Table410[[#This Row],[RATE CONCAT]],Tables!I:N,5,0)),0)</f>
        <v/>
      </c>
      <c r="DK37" s="342">
        <f>Table410[[#This Row],[Dec_2026_F]]-Table410[[#This Row],[Dec_2026_A]]</f>
        <v/>
      </c>
      <c r="DN37" s="342">
        <f>IFERROR(Table410[[#This Row],[Jan_2027_Days_Forecast]]*Table410[[#This Row],[Cost Boolean]]*(VLOOKUP(Table410[[#This Row],[RATE CONCAT]],Tables!I:N,6,0)),0)</f>
        <v/>
      </c>
      <c r="DP37" s="342">
        <f>Table410[[#This Row],[Jan_2027_F]]-Table410[[#This Row],[Jan_2027_A]]</f>
        <v/>
      </c>
      <c r="DQ37" s="342">
        <f>IFERROR(Table410[[#This Row],[Feb_2027_Days_Forecast]]*Table410[[#This Row],[Cost Boolean]]*(VLOOKUP(Table410[[#This Row],[RATE CONCAT]],Tables!I:N,6,0)),0)</f>
        <v/>
      </c>
      <c r="DS37" s="342">
        <f>Table410[[#This Row],[Feb_2027_F]]-Table410[[#This Row],[Feb_2027_A]]</f>
        <v/>
      </c>
      <c r="DT37" s="342">
        <f>IFERROR(Table410[[#This Row],[Mar_2027_Days_Forecast]]*Table410[[#This Row],[Cost Boolean]]*(VLOOKUP(Table410[[#This Row],[RATE CONCAT]],Tables!I:N,6,0)),0)</f>
        <v/>
      </c>
      <c r="DV37" s="342">
        <f>Table410[[#This Row],[Mar_2027_F]]-Table410[[#This Row],[Mar_2027_A]]</f>
        <v/>
      </c>
      <c r="DW37" s="342">
        <f>IFERROR(Table410[[#This Row],[Apr_2027_Days_Forecast]]*Table410[[#This Row],[Cost Boolean]]*(VLOOKUP(Table410[[#This Row],[RATE CONCAT]],Tables!I:N,6,0)),0)</f>
        <v/>
      </c>
      <c r="DY37" s="342">
        <f>Table410[[#This Row],[Apr_2027_F]]-Table410[[#This Row],[Apr_2027_A]]</f>
        <v/>
      </c>
      <c r="DZ37" s="342">
        <f>IFERROR(Table410[[#This Row],[May_2027_Days_Forecast]]*Table410[[#This Row],[Cost Boolean]]*(VLOOKUP(Table410[[#This Row],[RATE CONCAT]],Tables!I:N,6,0)),0)</f>
        <v/>
      </c>
      <c r="EB37" s="342">
        <f>Table410[[#This Row],[May_2027_F]]-Table410[[#This Row],[May_2027_A]]</f>
        <v/>
      </c>
      <c r="EC37" s="342">
        <f>IFERROR(Table410[[#This Row],[Jun_2027_Days_Forecast]]*Table410[[#This Row],[Cost Boolean]]*(VLOOKUP(Table410[[#This Row],[RATE CONCAT]],Tables!I:N,6,0)),0)</f>
        <v/>
      </c>
      <c r="EE37" s="342">
        <f>Table410[[#This Row],[Jun_2027_F]]-Table410[[#This Row],[Jun_2027_A]]</f>
        <v/>
      </c>
      <c r="EF37" s="342">
        <f>IFERROR(Table410[[#This Row],[Jul_2027_Days_Forecast]]*Table410[[#This Row],[Cost Boolean]]*(VLOOKUP(Table410[[#This Row],[RATE CONCAT]],Tables!I:N,6,0)),0)</f>
        <v/>
      </c>
      <c r="EH37" s="342">
        <f>Table410[[#This Row],[Jul_2027_F]]-Table410[[#This Row],[Jul_2027_A]]</f>
        <v/>
      </c>
      <c r="EI37" s="342">
        <f>IFERROR(Table410[[#This Row],[Aug_2027_Days_Forecast]]*Table410[[#This Row],[Cost Boolean]]*(VLOOKUP(Table410[[#This Row],[RATE CONCAT]],Tables!I:N,6,0)),0)</f>
        <v/>
      </c>
      <c r="EK37" s="342">
        <f>Table410[[#This Row],[Aug_2027_F]]-Table410[[#This Row],[Aug_2027_A]]</f>
        <v/>
      </c>
      <c r="EL37" s="342">
        <f>IFERROR(Table410[[#This Row],[Sep_2027_Days_Forecast]]*Table410[[#This Row],[Cost Boolean]]*(VLOOKUP(Table410[[#This Row],[RATE CONCAT]],Tables!I:N,6,0)),0)</f>
        <v/>
      </c>
      <c r="EN37" s="342">
        <f>Table410[[#This Row],[Sep_2027_F]]-Table410[[#This Row],[Sep_2027_A]]</f>
        <v/>
      </c>
      <c r="EO37" s="342">
        <f>IFERROR(Table410[[#This Row],[Oct_2027_Days_Forecast]]*Table410[[#This Row],[Cost Boolean]]*(VLOOKUP(Table410[[#This Row],[RATE CONCAT]],Tables!I:N,6,0)),0)</f>
        <v/>
      </c>
      <c r="EQ37" s="342">
        <f>Table410[[#This Row],[Oct_2027_F]]-Table410[[#This Row],[Oct_2027_A]]</f>
        <v/>
      </c>
      <c r="ER37" s="342">
        <f>IFERROR(Table410[[#This Row],[Nov_2027_Days_Forecast]]*Table410[[#This Row],[Cost Boolean]]*(VLOOKUP(Table410[[#This Row],[RATE CONCAT]],Tables!I:N,6,0)),0)</f>
        <v/>
      </c>
      <c r="ET37" s="342">
        <f>Table410[[#This Row],[Nov_2027_F]]-Table410[[#This Row],[Nov_2027_A]]</f>
        <v/>
      </c>
      <c r="EU37" s="342">
        <f>IFERROR(Table410[[#This Row],[Dec_2027_Days_Forecast]]*Table410[[#This Row],[Cost Boolean]]*(VLOOKUP(Table410[[#This Row],[RATE CONCAT]],Tables!I:N,6,0)),0)</f>
        <v/>
      </c>
      <c r="EW37" s="342">
        <f>Table410[[#This Row],[Dec_2027_F]]-Table410[[#This Row],[Dec_2027_A]]</f>
        <v/>
      </c>
    </row>
    <row r="38" ht="15" customFormat="1" customHeight="1" s="13">
      <c r="A38" s="338" t="inlineStr">
        <is>
          <t>PDSFS1030</t>
        </is>
      </c>
      <c r="B38" s="338" t="inlineStr">
        <is>
          <t>USDF</t>
        </is>
      </c>
      <c r="C38" s="338" t="inlineStr">
        <is>
          <t>Staff</t>
        </is>
      </c>
      <c r="D38" s="338" t="inlineStr">
        <is>
          <t>Lawrence Turner</t>
        </is>
      </c>
      <c r="E38" s="338" t="inlineStr">
        <is>
          <t>Shell Business</t>
        </is>
      </c>
      <c r="G38" s="338" t="inlineStr">
        <is>
          <t>United States</t>
        </is>
      </c>
      <c r="H38" s="338" t="n">
        <v>4</v>
      </c>
      <c r="J38" s="338" t="inlineStr">
        <is>
          <t>Operator</t>
        </is>
      </c>
      <c r="K38" s="338" t="inlineStr">
        <is>
          <t>In-seat</t>
        </is>
      </c>
      <c r="L38" s="338" t="n">
        <v>1</v>
      </c>
      <c r="M38" s="338" t="inlineStr">
        <is>
          <t>HOU</t>
        </is>
      </c>
      <c r="N38" s="338" t="inlineStr">
        <is>
          <t>Freight Operations</t>
        </is>
      </c>
      <c r="O38" s="338" t="inlineStr">
        <is>
          <t>Capex</t>
        </is>
      </c>
      <c r="P38" s="338" t="inlineStr">
        <is>
          <t>Business</t>
        </is>
      </c>
      <c r="Q38" s="338" t="inlineStr">
        <is>
          <t>TBD</t>
        </is>
      </c>
      <c r="R38" s="339" t="n">
        <v>46023</v>
      </c>
      <c r="S38" s="339" t="n">
        <v>46387</v>
      </c>
      <c r="T38" s="339" t="n">
        <v>46023</v>
      </c>
      <c r="U38" s="339" t="n">
        <v>46387</v>
      </c>
      <c r="V38" s="339" t="n">
        <v>46023</v>
      </c>
      <c r="W38" s="339" t="n">
        <v>46387</v>
      </c>
      <c r="Y38" s="338">
        <f>CONCATENATE(Table410[[#This Row],[JG]],Table410[[#This Row],[Country]],Table410[[#This Row],[Resource Provider]])</f>
        <v/>
      </c>
      <c r="Z38" s="338">
        <f>VLOOKUP(Table410[[#This Row],[RATE CONCAT]],Tables!I:N,5,0)</f>
        <v/>
      </c>
      <c r="AA38" s="52" t="n"/>
      <c r="AB38" s="130" t="n"/>
      <c r="AC38" s="340" t="n">
        <v>5</v>
      </c>
      <c r="AD38" s="340" t="n">
        <v>5</v>
      </c>
      <c r="AE38" s="340" t="n">
        <v>5</v>
      </c>
      <c r="AF38" s="340" t="n">
        <v>5</v>
      </c>
      <c r="AG38" s="340" t="n">
        <v>4</v>
      </c>
      <c r="AH38" s="340" t="n">
        <v>5</v>
      </c>
      <c r="AI38" s="340" t="n">
        <v>5</v>
      </c>
      <c r="AJ38" s="340" t="n">
        <v>5</v>
      </c>
      <c r="AK38" s="340" t="n">
        <v>5</v>
      </c>
      <c r="AL38" s="130" t="n"/>
      <c r="AM38" s="130" t="n"/>
      <c r="AN38" s="341">
        <f>IFERROR(AVERAGE(Table410[[#This Row],[Jan_2026_Days_Forecast]:[Dec_2026_Days_Forecast]]),0)/19</f>
        <v/>
      </c>
      <c r="AO38" s="341">
        <f>IFERROR(AVERAGE(Table410[[#This Row],[Jan_2026_Days_Actual]:[Dec_2026_Days_Actual]]),0)/19</f>
        <v/>
      </c>
      <c r="AP38" s="130" t="n"/>
      <c r="AQ38" s="340" t="n">
        <v>5</v>
      </c>
      <c r="AR38" s="340" t="n">
        <v>5</v>
      </c>
      <c r="AS38" s="340" t="n">
        <v>5</v>
      </c>
      <c r="AT38" s="340" t="n">
        <v>5</v>
      </c>
      <c r="AU38" s="340" t="n">
        <v>4</v>
      </c>
      <c r="AV38" s="340" t="n">
        <v>5</v>
      </c>
      <c r="AW38" s="340" t="n">
        <v>5</v>
      </c>
      <c r="AX38" s="340" t="n">
        <v>5</v>
      </c>
      <c r="AY38" s="340" t="n">
        <v>5</v>
      </c>
      <c r="AZ38" s="130" t="n"/>
      <c r="BA38" s="130" t="n"/>
      <c r="BB38" s="341">
        <f>IFERROR(AVERAGE(Table410[[#This Row],[Jan_2027_Days_Forecast]:[Dec_2027_Days_Forecast]]),0)</f>
        <v/>
      </c>
      <c r="BC38" s="127" t="n"/>
      <c r="BD38" s="127" t="n"/>
      <c r="BE38" s="127" t="n"/>
      <c r="BF38" s="127" t="n"/>
      <c r="BG38" s="127" t="n"/>
      <c r="BH38" s="127" t="n"/>
      <c r="BI38" s="127" t="n"/>
      <c r="BJ38" s="127" t="n"/>
      <c r="BK38" s="127" t="n"/>
      <c r="BL38" s="127" t="n"/>
      <c r="BM38" s="127" t="n"/>
      <c r="BN38" s="127" t="n"/>
      <c r="BO38" s="176" t="n"/>
      <c r="BP38" s="176" t="n"/>
      <c r="BQ38" s="338">
        <f>IFERROR(Table410[[#This Row],[Jan_2026_Days_Forecast]]*Table410[[#This Row],[Cost Boolean]]*(VLOOKUP(Table410[[#This Row],[RATE CONCAT]],Tables!I:N,5,0)),0)</f>
        <v/>
      </c>
      <c r="BR38" s="338">
        <f>IFERROR(Table410[[#This Row],[Jan_2026_Days_Actual]]*Table410[[#This Row],[Cost Boolean]]*(VLOOKUP(Table410[[#This Row],[RATE CONCAT]],Tables!I:N,5,0)),0)</f>
        <v/>
      </c>
      <c r="BS38" s="338">
        <f>Table410[[#This Row],[Jan_2026_F]]-Table410[[#This Row],[Jan_2026_A]]</f>
        <v/>
      </c>
      <c r="BU38" s="338">
        <f>IFERROR(Table410[[#This Row],[Feb_2026_Days_Forecast]]*Table410[[#This Row],[Cost Boolean]]*(VLOOKUP(Table410[[#This Row],[RATE CONCAT]],Tables!I:N,5,0)),0)</f>
        <v/>
      </c>
      <c r="BV38" s="338">
        <f>IFERROR(Table410[[#This Row],[Feb_2026_Days_Actual]]*Table410[[#This Row],[Cost Boolean]]*(VLOOKUP(Table410[[#This Row],[RATE CONCAT]],Tables!I:N,5,0)),0)</f>
        <v/>
      </c>
      <c r="BW38" s="338">
        <f>Table410[[#This Row],[Feb_2026_F]]-Table410[[#This Row],[Feb_2026_A]]</f>
        <v/>
      </c>
      <c r="BY38" s="338">
        <f>IFERROR(Table410[[#This Row],[Mar_2026_Days_Forecast]]*Table410[[#This Row],[Cost Boolean]]*(VLOOKUP(Table410[[#This Row],[RATE CONCAT]],Tables!I:N,5,0)),0)</f>
        <v/>
      </c>
      <c r="BZ38" s="338">
        <f>IFERROR(Table410[[#This Row],[Mar_2026_Days_Actual]]*Table410[[#This Row],[Cost Boolean]]*(VLOOKUP(Table410[[#This Row],[RATE CONCAT]],Tables!I:N,5,0)),0)</f>
        <v/>
      </c>
      <c r="CA38" s="338">
        <f>Table410[[#This Row],[Mar_2026_F]]-Table410[[#This Row],[Mar_2026_A]]</f>
        <v/>
      </c>
      <c r="CC38" s="338">
        <f>IFERROR(Table410[[#This Row],[Apr_2026_Days_Forecast]]*Table410[[#This Row],[Cost Boolean]]*(VLOOKUP(Table410[[#This Row],[RATE CONCAT]],Tables!I:N,5,0)),0)</f>
        <v/>
      </c>
      <c r="CD38" s="338">
        <f>IFERROR(Table410[[#This Row],[Apr_2026_Days_Actual]]*Table410[[#This Row],[Cost Boolean]]*(VLOOKUP(Table410[[#This Row],[RATE CONCAT]],Tables!I:N,5,0)),0)</f>
        <v/>
      </c>
      <c r="CE38" s="338">
        <f>Table410[[#This Row],[Apr_2026_F]]-Table410[[#This Row],[Apr_2026_A]]</f>
        <v/>
      </c>
      <c r="CG38" s="338">
        <f>IFERROR(Table410[[#This Row],[May_2026_Days_Forecast]] *Table410[[#This Row],[Cost Boolean]]*(VLOOKUP(Table410[[#This Row],[RATE CONCAT]],Tables!I:N,5,0)),0)</f>
        <v/>
      </c>
      <c r="CH38" s="338">
        <f>IFERROR(Table410[[#This Row],[May_2026_Days_Actual]]*Table410[[#This Row],[Cost Boolean]]*(VLOOKUP(Table410[[#This Row],[RATE CONCAT]],Tables!I:N,5,0)),0)</f>
        <v/>
      </c>
      <c r="CI38" s="338">
        <f>Table410[[#This Row],[May_2026_F]]-Table410[[#This Row],[May_2026_A]]</f>
        <v/>
      </c>
      <c r="CK38" s="338">
        <f>IFERROR(Table410[[#This Row],[Jun_2026_Days_Forecast]]*Table410[[#This Row],[Cost Boolean]]*(VLOOKUP(Table410[[#This Row],[RATE CONCAT]],Tables!I:N,5,0)),0)</f>
        <v/>
      </c>
      <c r="CL38" s="338">
        <f>IFERROR(Table410[[#This Row],[Jun_2026_Days_Actual]]*Table410[[#This Row],[Cost Boolean]]*(VLOOKUP(Table410[[#This Row],[RATE CONCAT]],Tables!I:N,5,0)),0)</f>
        <v/>
      </c>
      <c r="CM38" s="338">
        <f>Table410[[#This Row],[Jun_2026_F]]-Table410[[#This Row],[Jun_2026_A]]</f>
        <v/>
      </c>
      <c r="CO38" s="338">
        <f>IFERROR(Table410[[#This Row],[Jul_2026_Days_Forecast]]*Table410[[#This Row],[Cost Boolean]]*(VLOOKUP(Table410[[#This Row],[RATE CONCAT]],Tables!I:N,5,0)),0)</f>
        <v/>
      </c>
      <c r="CP38" s="338">
        <f>IFERROR(Table410[[#This Row],[Jul_2026_Days_Actual]]*Table410[[#This Row],[Cost Boolean]]*(VLOOKUP(Table410[[#This Row],[RATE CONCAT]],Tables!I:N,5,0)),0)</f>
        <v/>
      </c>
      <c r="CQ38" s="338">
        <f>Table410[[#This Row],[Jul_2026_F]]-Table410[[#This Row],[Jul_2026_A]]</f>
        <v/>
      </c>
      <c r="CS38" s="338">
        <f>IFERROR(Table410[[#This Row],[Aug_2026_Days_Forecast]]*Table410[[#This Row],[Cost Boolean]]*(VLOOKUP(Table410[[#This Row],[RATE CONCAT]],Tables!I:N,5,0)),0)</f>
        <v/>
      </c>
      <c r="CT38" s="338">
        <f>IFERROR(Table410[[#This Row],[Aug_2026_Days_Actual]]*Table410[[#This Row],[Cost Boolean]]*(VLOOKUP(Table410[[#This Row],[RATE CONCAT]],Tables!I:N,5,0)),0)</f>
        <v/>
      </c>
      <c r="CU38" s="338">
        <f>Table410[[#This Row],[Aug_2026_F]]-Table410[[#This Row],[Aug_2026_A]]</f>
        <v/>
      </c>
      <c r="CW38" s="338">
        <f>IFERROR(Table410[[#This Row],[Sep_2026_Days_Forecast]]*Table410[[#This Row],[Cost Boolean]]*(VLOOKUP(Table410[[#This Row],[RATE CONCAT]],Tables!I:N,5,0)),0)</f>
        <v/>
      </c>
      <c r="CX38" s="338">
        <f>IFERROR(Table410[[#This Row],[Sep_2026_Days_Actual]]*Table410[[#This Row],[Cost Boolean]]*(VLOOKUP(Table410[[#This Row],[RATE CONCAT]],Tables!I:N,5,0)),0)</f>
        <v/>
      </c>
      <c r="CY38" s="338">
        <f>Table410[[#This Row],[Sep_2026_F]]-Table410[[#This Row],[Sep_2026_A]]</f>
        <v/>
      </c>
      <c r="DA38" s="338">
        <f>IFERROR(Table410[[#This Row],[Oct_2026_Days_Forecast]]*Table410[[#This Row],[Cost Boolean]]*(VLOOKUP(Table410[[#This Row],[RATE CONCAT]],Tables!I:N,5,0)),0)</f>
        <v/>
      </c>
      <c r="DB38" s="338">
        <f>IFERROR(Table410[[#This Row],[Oct_2026_Days_Actual]]*Table410[[#This Row],[Cost Boolean]]*(VLOOKUP(Table410[[#This Row],[RATE CONCAT]],Tables!I:N,5,0)),0)</f>
        <v/>
      </c>
      <c r="DC38" s="338">
        <f>Table410[[#This Row],[Oct_2026_F]]-Table410[[#This Row],[Oct_2026_A]]</f>
        <v/>
      </c>
      <c r="DE38" s="338">
        <f>IFERROR(Table410[[#This Row],[Nov_2026_Days_Forecast]]*Table410[[#This Row],[Cost Boolean]]*(VLOOKUP(Table410[[#This Row],[RATE CONCAT]],Tables!I:N,5,0)),0)</f>
        <v/>
      </c>
      <c r="DF38" s="338">
        <f>IFERROR(Table410[[#This Row],[Nov_2026_Days_Actual]]*Table410[[#This Row],[Cost Boolean]]*(VLOOKUP(Table410[[#This Row],[RATE CONCAT]],Tables!I:N,5,0)),0)</f>
        <v/>
      </c>
      <c r="DG38" s="338">
        <f>Table410[[#This Row],[Nov_2026_F]]-Table410[[#This Row],[Nov_2026_A]]</f>
        <v/>
      </c>
      <c r="DI38" s="338">
        <f>IFERROR(Table410[[#This Row],[Dec_2026_Days_Forecast]]*Table410[[#This Row],[Cost Boolean]]*(VLOOKUP(Table410[[#This Row],[RATE CONCAT]],Tables!I:N,5,0)),0)</f>
        <v/>
      </c>
      <c r="DJ38" s="338">
        <f>IFERROR(Table410[[#This Row],[Dec_2026_Days_Actual]]*Table410[[#This Row],[Cost Boolean]]*(VLOOKUP(Table410[[#This Row],[RATE CONCAT]],Tables!I:N,5,0)),0)</f>
        <v/>
      </c>
      <c r="DK38" s="338">
        <f>Table410[[#This Row],[Dec_2026_F]]-Table410[[#This Row],[Dec_2026_A]]</f>
        <v/>
      </c>
      <c r="DN38" s="338">
        <f>IFERROR(Table410[[#This Row],[Jan_2027_Days_Forecast]]*Table410[[#This Row],[Cost Boolean]]*(VLOOKUP(Table410[[#This Row],[RATE CONCAT]],Tables!I:N,6,0)),0)</f>
        <v/>
      </c>
      <c r="DP38" s="338">
        <f>Table410[[#This Row],[Jan_2027_F]]-Table410[[#This Row],[Jan_2027_A]]</f>
        <v/>
      </c>
      <c r="DQ38" s="338">
        <f>IFERROR(Table410[[#This Row],[Feb_2027_Days_Forecast]]*Table410[[#This Row],[Cost Boolean]]*(VLOOKUP(Table410[[#This Row],[RATE CONCAT]],Tables!I:N,6,0)),0)</f>
        <v/>
      </c>
      <c r="DS38" s="338">
        <f>Table410[[#This Row],[Feb_2027_F]]-Table410[[#This Row],[Feb_2027_A]]</f>
        <v/>
      </c>
      <c r="DT38" s="338">
        <f>IFERROR(Table410[[#This Row],[Mar_2027_Days_Forecast]]*Table410[[#This Row],[Cost Boolean]]*(VLOOKUP(Table410[[#This Row],[RATE CONCAT]],Tables!I:N,6,0)),0)</f>
        <v/>
      </c>
      <c r="DV38" s="338">
        <f>Table410[[#This Row],[Mar_2027_F]]-Table410[[#This Row],[Mar_2027_A]]</f>
        <v/>
      </c>
      <c r="DW38" s="338">
        <f>IFERROR(Table410[[#This Row],[Apr_2027_Days_Forecast]]*Table410[[#This Row],[Cost Boolean]]*(VLOOKUP(Table410[[#This Row],[RATE CONCAT]],Tables!I:N,6,0)),0)</f>
        <v/>
      </c>
      <c r="DY38" s="338">
        <f>Table410[[#This Row],[Apr_2027_F]]-Table410[[#This Row],[Apr_2027_A]]</f>
        <v/>
      </c>
      <c r="DZ38" s="338">
        <f>IFERROR(Table410[[#This Row],[May_2027_Days_Forecast]]*Table410[[#This Row],[Cost Boolean]]*(VLOOKUP(Table410[[#This Row],[RATE CONCAT]],Tables!I:N,6,0)),0)</f>
        <v/>
      </c>
      <c r="EB38" s="338">
        <f>Table410[[#This Row],[May_2027_F]]-Table410[[#This Row],[May_2027_A]]</f>
        <v/>
      </c>
      <c r="EC38" s="338">
        <f>IFERROR(Table410[[#This Row],[Jun_2027_Days_Forecast]]*Table410[[#This Row],[Cost Boolean]]*(VLOOKUP(Table410[[#This Row],[RATE CONCAT]],Tables!I:N,6,0)),0)</f>
        <v/>
      </c>
      <c r="EE38" s="338">
        <f>Table410[[#This Row],[Jun_2027_F]]-Table410[[#This Row],[Jun_2027_A]]</f>
        <v/>
      </c>
      <c r="EF38" s="338">
        <f>IFERROR(Table410[[#This Row],[Jul_2027_Days_Forecast]]*Table410[[#This Row],[Cost Boolean]]*(VLOOKUP(Table410[[#This Row],[RATE CONCAT]],Tables!I:N,6,0)),0)</f>
        <v/>
      </c>
      <c r="EH38" s="338">
        <f>Table410[[#This Row],[Jul_2027_F]]-Table410[[#This Row],[Jul_2027_A]]</f>
        <v/>
      </c>
      <c r="EI38" s="338">
        <f>IFERROR(Table410[[#This Row],[Aug_2027_Days_Forecast]]*Table410[[#This Row],[Cost Boolean]]*(VLOOKUP(Table410[[#This Row],[RATE CONCAT]],Tables!I:N,6,0)),0)</f>
        <v/>
      </c>
      <c r="EK38" s="338">
        <f>Table410[[#This Row],[Aug_2027_F]]-Table410[[#This Row],[Aug_2027_A]]</f>
        <v/>
      </c>
      <c r="EL38" s="338">
        <f>IFERROR(Table410[[#This Row],[Sep_2027_Days_Forecast]]*Table410[[#This Row],[Cost Boolean]]*(VLOOKUP(Table410[[#This Row],[RATE CONCAT]],Tables!I:N,6,0)),0)</f>
        <v/>
      </c>
      <c r="EN38" s="338">
        <f>Table410[[#This Row],[Sep_2027_F]]-Table410[[#This Row],[Sep_2027_A]]</f>
        <v/>
      </c>
      <c r="EO38" s="338">
        <f>IFERROR(Table410[[#This Row],[Oct_2027_Days_Forecast]]*Table410[[#This Row],[Cost Boolean]]*(VLOOKUP(Table410[[#This Row],[RATE CONCAT]],Tables!I:N,6,0)),0)</f>
        <v/>
      </c>
      <c r="EQ38" s="338">
        <f>Table410[[#This Row],[Oct_2027_F]]-Table410[[#This Row],[Oct_2027_A]]</f>
        <v/>
      </c>
      <c r="ER38" s="338">
        <f>IFERROR(Table410[[#This Row],[Nov_2027_Days_Forecast]]*Table410[[#This Row],[Cost Boolean]]*(VLOOKUP(Table410[[#This Row],[RATE CONCAT]],Tables!I:N,6,0)),0)</f>
        <v/>
      </c>
      <c r="ET38" s="338">
        <f>Table410[[#This Row],[Nov_2027_F]]-Table410[[#This Row],[Nov_2027_A]]</f>
        <v/>
      </c>
      <c r="EU38" s="338">
        <f>IFERROR(Table410[[#This Row],[Dec_2027_Days_Forecast]]*Table410[[#This Row],[Cost Boolean]]*(VLOOKUP(Table410[[#This Row],[RATE CONCAT]],Tables!I:N,6,0)),0)</f>
        <v/>
      </c>
      <c r="EW38" s="338">
        <f>Table410[[#This Row],[Dec_2027_F]]-Table410[[#This Row],[Dec_2027_A]]</f>
        <v/>
      </c>
    </row>
    <row r="39" ht="15" customFormat="1" customHeight="1" s="13">
      <c r="A39" s="342" t="inlineStr">
        <is>
          <t>PDSFS1031</t>
        </is>
      </c>
      <c r="B39" s="342" t="inlineStr">
        <is>
          <t>USDF</t>
        </is>
      </c>
      <c r="C39" s="342" t="inlineStr">
        <is>
          <t>Staff</t>
        </is>
      </c>
      <c r="D39" s="342" t="inlineStr">
        <is>
          <t>Juan Olguin</t>
        </is>
      </c>
      <c r="E39" s="342" t="inlineStr">
        <is>
          <t>Shell Business</t>
        </is>
      </c>
      <c r="G39" s="342" t="inlineStr">
        <is>
          <t>United States</t>
        </is>
      </c>
      <c r="H39" s="342" t="n">
        <v>4</v>
      </c>
      <c r="J39" s="342" t="inlineStr">
        <is>
          <t>Charterer</t>
        </is>
      </c>
      <c r="K39" s="342" t="inlineStr">
        <is>
          <t>In-seat</t>
        </is>
      </c>
      <c r="L39" s="342" t="n">
        <v>1</v>
      </c>
      <c r="M39" s="342" t="inlineStr">
        <is>
          <t>HOU</t>
        </is>
      </c>
      <c r="N39" s="342" t="inlineStr">
        <is>
          <t>Chartering</t>
        </is>
      </c>
      <c r="O39" s="342" t="inlineStr">
        <is>
          <t>Capex</t>
        </is>
      </c>
      <c r="P39" s="342" t="inlineStr">
        <is>
          <t>Business</t>
        </is>
      </c>
      <c r="Q39" s="342" t="inlineStr">
        <is>
          <t>TBD</t>
        </is>
      </c>
      <c r="R39" s="343" t="n">
        <v>46023</v>
      </c>
      <c r="S39" s="343" t="n">
        <v>46387</v>
      </c>
      <c r="T39" s="343" t="n">
        <v>46023</v>
      </c>
      <c r="U39" s="343" t="n">
        <v>46387</v>
      </c>
      <c r="V39" s="343" t="n">
        <v>46023</v>
      </c>
      <c r="W39" s="343" t="n">
        <v>46387</v>
      </c>
      <c r="Y39" s="342">
        <f>CONCATENATE(Table410[[#This Row],[JG]],Table410[[#This Row],[Country]],Table410[[#This Row],[Resource Provider]])</f>
        <v/>
      </c>
      <c r="Z39" s="342">
        <f>VLOOKUP(Table410[[#This Row],[RATE CONCAT]],Tables!I:N,5,0)</f>
        <v/>
      </c>
      <c r="AA39" s="52" t="n"/>
      <c r="AB39" s="130" t="n"/>
      <c r="AC39" s="344" t="n">
        <v>5</v>
      </c>
      <c r="AD39" s="344" t="n">
        <v>5</v>
      </c>
      <c r="AE39" s="344" t="n">
        <v>5</v>
      </c>
      <c r="AF39" s="344" t="n">
        <v>5</v>
      </c>
      <c r="AG39" s="344" t="n">
        <v>4</v>
      </c>
      <c r="AH39" s="344" t="n">
        <v>5</v>
      </c>
      <c r="AI39" s="344" t="n">
        <v>5</v>
      </c>
      <c r="AJ39" s="344" t="n">
        <v>5</v>
      </c>
      <c r="AK39" s="344" t="n">
        <v>5</v>
      </c>
      <c r="AL39" s="130" t="n"/>
      <c r="AM39" s="130" t="n"/>
      <c r="AN39" s="341">
        <f>IFERROR(AVERAGE(Table410[[#This Row],[Jan_2026_Days_Forecast]:[Dec_2026_Days_Forecast]]),0)/19</f>
        <v/>
      </c>
      <c r="AO39" s="341">
        <f>IFERROR(AVERAGE(Table410[[#This Row],[Jan_2026_Days_Actual]:[Dec_2026_Days_Actual]]),0)/19</f>
        <v/>
      </c>
      <c r="AP39" s="130" t="n"/>
      <c r="AQ39" s="344" t="n">
        <v>5</v>
      </c>
      <c r="AR39" s="344" t="n">
        <v>5</v>
      </c>
      <c r="AS39" s="344" t="n">
        <v>5</v>
      </c>
      <c r="AT39" s="344" t="n">
        <v>5</v>
      </c>
      <c r="AU39" s="344" t="n">
        <v>4</v>
      </c>
      <c r="AV39" s="344" t="n">
        <v>5</v>
      </c>
      <c r="AW39" s="344" t="n">
        <v>5</v>
      </c>
      <c r="AX39" s="344" t="n">
        <v>5</v>
      </c>
      <c r="AY39" s="344" t="n">
        <v>5</v>
      </c>
      <c r="AZ39" s="130" t="n"/>
      <c r="BA39" s="130" t="n"/>
      <c r="BB39" s="341">
        <f>IFERROR(AVERAGE(Table410[[#This Row],[Jan_2027_Days_Forecast]:[Dec_2027_Days_Forecast]]),0)</f>
        <v/>
      </c>
      <c r="BC39" s="127" t="n"/>
      <c r="BD39" s="127" t="n"/>
      <c r="BE39" s="127" t="n"/>
      <c r="BF39" s="127" t="n"/>
      <c r="BG39" s="127" t="n"/>
      <c r="BH39" s="127" t="n"/>
      <c r="BI39" s="127" t="n"/>
      <c r="BJ39" s="127" t="n"/>
      <c r="BK39" s="127" t="n"/>
      <c r="BL39" s="127" t="n"/>
      <c r="BM39" s="127" t="n"/>
      <c r="BN39" s="127" t="n"/>
      <c r="BO39" s="176" t="n"/>
      <c r="BP39" s="176" t="n"/>
      <c r="BQ39" s="342">
        <f>IFERROR(Table410[[#This Row],[Jan_2026_Days_Forecast]]*Table410[[#This Row],[Cost Boolean]]*(VLOOKUP(Table410[[#This Row],[RATE CONCAT]],Tables!I:N,5,0)),0)</f>
        <v/>
      </c>
      <c r="BR39" s="342">
        <f>IFERROR(Table410[[#This Row],[Jan_2026_Days_Actual]]*Table410[[#This Row],[Cost Boolean]]*(VLOOKUP(Table410[[#This Row],[RATE CONCAT]],Tables!I:N,5,0)),0)</f>
        <v/>
      </c>
      <c r="BS39" s="342">
        <f>Table410[[#This Row],[Jan_2026_F]]-Table410[[#This Row],[Jan_2026_A]]</f>
        <v/>
      </c>
      <c r="BU39" s="342">
        <f>IFERROR(Table410[[#This Row],[Feb_2026_Days_Forecast]]*Table410[[#This Row],[Cost Boolean]]*(VLOOKUP(Table410[[#This Row],[RATE CONCAT]],Tables!I:N,5,0)),0)</f>
        <v/>
      </c>
      <c r="BV39" s="342">
        <f>IFERROR(Table410[[#This Row],[Feb_2026_Days_Actual]]*Table410[[#This Row],[Cost Boolean]]*(VLOOKUP(Table410[[#This Row],[RATE CONCAT]],Tables!I:N,5,0)),0)</f>
        <v/>
      </c>
      <c r="BW39" s="342">
        <f>Table410[[#This Row],[Feb_2026_F]]-Table410[[#This Row],[Feb_2026_A]]</f>
        <v/>
      </c>
      <c r="BY39" s="342">
        <f>IFERROR(Table410[[#This Row],[Mar_2026_Days_Forecast]]*Table410[[#This Row],[Cost Boolean]]*(VLOOKUP(Table410[[#This Row],[RATE CONCAT]],Tables!I:N,5,0)),0)</f>
        <v/>
      </c>
      <c r="BZ39" s="342">
        <f>IFERROR(Table410[[#This Row],[Mar_2026_Days_Actual]]*Table410[[#This Row],[Cost Boolean]]*(VLOOKUP(Table410[[#This Row],[RATE CONCAT]],Tables!I:N,5,0)),0)</f>
        <v/>
      </c>
      <c r="CA39" s="342">
        <f>Table410[[#This Row],[Mar_2026_F]]-Table410[[#This Row],[Mar_2026_A]]</f>
        <v/>
      </c>
      <c r="CC39" s="342">
        <f>IFERROR(Table410[[#This Row],[Apr_2026_Days_Forecast]]*Table410[[#This Row],[Cost Boolean]]*(VLOOKUP(Table410[[#This Row],[RATE CONCAT]],Tables!I:N,5,0)),0)</f>
        <v/>
      </c>
      <c r="CD39" s="342">
        <f>IFERROR(Table410[[#This Row],[Apr_2026_Days_Actual]]*Table410[[#This Row],[Cost Boolean]]*(VLOOKUP(Table410[[#This Row],[RATE CONCAT]],Tables!I:N,5,0)),0)</f>
        <v/>
      </c>
      <c r="CE39" s="342">
        <f>Table410[[#This Row],[Apr_2026_F]]-Table410[[#This Row],[Apr_2026_A]]</f>
        <v/>
      </c>
      <c r="CG39" s="342">
        <f>IFERROR(Table410[[#This Row],[May_2026_Days_Forecast]] *Table410[[#This Row],[Cost Boolean]]*(VLOOKUP(Table410[[#This Row],[RATE CONCAT]],Tables!I:N,5,0)),0)</f>
        <v/>
      </c>
      <c r="CH39" s="342">
        <f>IFERROR(Table410[[#This Row],[May_2026_Days_Actual]]*Table410[[#This Row],[Cost Boolean]]*(VLOOKUP(Table410[[#This Row],[RATE CONCAT]],Tables!I:N,5,0)),0)</f>
        <v/>
      </c>
      <c r="CI39" s="342">
        <f>Table410[[#This Row],[May_2026_F]]-Table410[[#This Row],[May_2026_A]]</f>
        <v/>
      </c>
      <c r="CK39" s="342">
        <f>IFERROR(Table410[[#This Row],[Jun_2026_Days_Forecast]]*Table410[[#This Row],[Cost Boolean]]*(VLOOKUP(Table410[[#This Row],[RATE CONCAT]],Tables!I:N,5,0)),0)</f>
        <v/>
      </c>
      <c r="CL39" s="342">
        <f>IFERROR(Table410[[#This Row],[Jun_2026_Days_Actual]]*Table410[[#This Row],[Cost Boolean]]*(VLOOKUP(Table410[[#This Row],[RATE CONCAT]],Tables!I:N,5,0)),0)</f>
        <v/>
      </c>
      <c r="CM39" s="342">
        <f>Table410[[#This Row],[Jun_2026_F]]-Table410[[#This Row],[Jun_2026_A]]</f>
        <v/>
      </c>
      <c r="CO39" s="342">
        <f>IFERROR(Table410[[#This Row],[Jul_2026_Days_Forecast]]*Table410[[#This Row],[Cost Boolean]]*(VLOOKUP(Table410[[#This Row],[RATE CONCAT]],Tables!I:N,5,0)),0)</f>
        <v/>
      </c>
      <c r="CP39" s="342">
        <f>IFERROR(Table410[[#This Row],[Jul_2026_Days_Actual]]*Table410[[#This Row],[Cost Boolean]]*(VLOOKUP(Table410[[#This Row],[RATE CONCAT]],Tables!I:N,5,0)),0)</f>
        <v/>
      </c>
      <c r="CQ39" s="342">
        <f>Table410[[#This Row],[Jul_2026_F]]-Table410[[#This Row],[Jul_2026_A]]</f>
        <v/>
      </c>
      <c r="CS39" s="342">
        <f>IFERROR(Table410[[#This Row],[Aug_2026_Days_Forecast]]*Table410[[#This Row],[Cost Boolean]]*(VLOOKUP(Table410[[#This Row],[RATE CONCAT]],Tables!I:N,5,0)),0)</f>
        <v/>
      </c>
      <c r="CT39" s="342">
        <f>IFERROR(Table410[[#This Row],[Aug_2026_Days_Actual]]*Table410[[#This Row],[Cost Boolean]]*(VLOOKUP(Table410[[#This Row],[RATE CONCAT]],Tables!I:N,5,0)),0)</f>
        <v/>
      </c>
      <c r="CU39" s="342">
        <f>Table410[[#This Row],[Aug_2026_F]]-Table410[[#This Row],[Aug_2026_A]]</f>
        <v/>
      </c>
      <c r="CW39" s="342">
        <f>IFERROR(Table410[[#This Row],[Sep_2026_Days_Forecast]]*Table410[[#This Row],[Cost Boolean]]*(VLOOKUP(Table410[[#This Row],[RATE CONCAT]],Tables!I:N,5,0)),0)</f>
        <v/>
      </c>
      <c r="CX39" s="342">
        <f>IFERROR(Table410[[#This Row],[Sep_2026_Days_Actual]]*Table410[[#This Row],[Cost Boolean]]*(VLOOKUP(Table410[[#This Row],[RATE CONCAT]],Tables!I:N,5,0)),0)</f>
        <v/>
      </c>
      <c r="CY39" s="342">
        <f>Table410[[#This Row],[Sep_2026_F]]-Table410[[#This Row],[Sep_2026_A]]</f>
        <v/>
      </c>
      <c r="DA39" s="342">
        <f>IFERROR(Table410[[#This Row],[Oct_2026_Days_Forecast]]*Table410[[#This Row],[Cost Boolean]]*(VLOOKUP(Table410[[#This Row],[RATE CONCAT]],Tables!I:N,5,0)),0)</f>
        <v/>
      </c>
      <c r="DB39" s="342">
        <f>IFERROR(Table410[[#This Row],[Oct_2026_Days_Actual]]*Table410[[#This Row],[Cost Boolean]]*(VLOOKUP(Table410[[#This Row],[RATE CONCAT]],Tables!I:N,5,0)),0)</f>
        <v/>
      </c>
      <c r="DC39" s="342">
        <f>Table410[[#This Row],[Oct_2026_F]]-Table410[[#This Row],[Oct_2026_A]]</f>
        <v/>
      </c>
      <c r="DE39" s="342">
        <f>IFERROR(Table410[[#This Row],[Nov_2026_Days_Forecast]]*Table410[[#This Row],[Cost Boolean]]*(VLOOKUP(Table410[[#This Row],[RATE CONCAT]],Tables!I:N,5,0)),0)</f>
        <v/>
      </c>
      <c r="DF39" s="342">
        <f>IFERROR(Table410[[#This Row],[Nov_2026_Days_Actual]]*Table410[[#This Row],[Cost Boolean]]*(VLOOKUP(Table410[[#This Row],[RATE CONCAT]],Tables!I:N,5,0)),0)</f>
        <v/>
      </c>
      <c r="DG39" s="342">
        <f>Table410[[#This Row],[Nov_2026_F]]-Table410[[#This Row],[Nov_2026_A]]</f>
        <v/>
      </c>
      <c r="DI39" s="342">
        <f>IFERROR(Table410[[#This Row],[Dec_2026_Days_Forecast]]*Table410[[#This Row],[Cost Boolean]]*(VLOOKUP(Table410[[#This Row],[RATE CONCAT]],Tables!I:N,5,0)),0)</f>
        <v/>
      </c>
      <c r="DJ39" s="342">
        <f>IFERROR(Table410[[#This Row],[Dec_2026_Days_Actual]]*Table410[[#This Row],[Cost Boolean]]*(VLOOKUP(Table410[[#This Row],[RATE CONCAT]],Tables!I:N,5,0)),0)</f>
        <v/>
      </c>
      <c r="DK39" s="342">
        <f>Table410[[#This Row],[Dec_2026_F]]-Table410[[#This Row],[Dec_2026_A]]</f>
        <v/>
      </c>
      <c r="DN39" s="342">
        <f>IFERROR(Table410[[#This Row],[Jan_2027_Days_Forecast]]*Table410[[#This Row],[Cost Boolean]]*(VLOOKUP(Table410[[#This Row],[RATE CONCAT]],Tables!I:N,6,0)),0)</f>
        <v/>
      </c>
      <c r="DP39" s="342">
        <f>Table410[[#This Row],[Jan_2027_F]]-Table410[[#This Row],[Jan_2027_A]]</f>
        <v/>
      </c>
      <c r="DQ39" s="342">
        <f>IFERROR(Table410[[#This Row],[Feb_2027_Days_Forecast]]*Table410[[#This Row],[Cost Boolean]]*(VLOOKUP(Table410[[#This Row],[RATE CONCAT]],Tables!I:N,6,0)),0)</f>
        <v/>
      </c>
      <c r="DS39" s="342">
        <f>Table410[[#This Row],[Feb_2027_F]]-Table410[[#This Row],[Feb_2027_A]]</f>
        <v/>
      </c>
      <c r="DT39" s="342">
        <f>IFERROR(Table410[[#This Row],[Mar_2027_Days_Forecast]]*Table410[[#This Row],[Cost Boolean]]*(VLOOKUP(Table410[[#This Row],[RATE CONCAT]],Tables!I:N,6,0)),0)</f>
        <v/>
      </c>
      <c r="DV39" s="342">
        <f>Table410[[#This Row],[Mar_2027_F]]-Table410[[#This Row],[Mar_2027_A]]</f>
        <v/>
      </c>
      <c r="DW39" s="342">
        <f>IFERROR(Table410[[#This Row],[Apr_2027_Days_Forecast]]*Table410[[#This Row],[Cost Boolean]]*(VLOOKUP(Table410[[#This Row],[RATE CONCAT]],Tables!I:N,6,0)),0)</f>
        <v/>
      </c>
      <c r="DY39" s="342">
        <f>Table410[[#This Row],[Apr_2027_F]]-Table410[[#This Row],[Apr_2027_A]]</f>
        <v/>
      </c>
      <c r="DZ39" s="342">
        <f>IFERROR(Table410[[#This Row],[May_2027_Days_Forecast]]*Table410[[#This Row],[Cost Boolean]]*(VLOOKUP(Table410[[#This Row],[RATE CONCAT]],Tables!I:N,6,0)),0)</f>
        <v/>
      </c>
      <c r="EB39" s="342">
        <f>Table410[[#This Row],[May_2027_F]]-Table410[[#This Row],[May_2027_A]]</f>
        <v/>
      </c>
      <c r="EC39" s="342">
        <f>IFERROR(Table410[[#This Row],[Jun_2027_Days_Forecast]]*Table410[[#This Row],[Cost Boolean]]*(VLOOKUP(Table410[[#This Row],[RATE CONCAT]],Tables!I:N,6,0)),0)</f>
        <v/>
      </c>
      <c r="EE39" s="342">
        <f>Table410[[#This Row],[Jun_2027_F]]-Table410[[#This Row],[Jun_2027_A]]</f>
        <v/>
      </c>
      <c r="EF39" s="342">
        <f>IFERROR(Table410[[#This Row],[Jul_2027_Days_Forecast]]*Table410[[#This Row],[Cost Boolean]]*(VLOOKUP(Table410[[#This Row],[RATE CONCAT]],Tables!I:N,6,0)),0)</f>
        <v/>
      </c>
      <c r="EH39" s="342">
        <f>Table410[[#This Row],[Jul_2027_F]]-Table410[[#This Row],[Jul_2027_A]]</f>
        <v/>
      </c>
      <c r="EI39" s="342">
        <f>IFERROR(Table410[[#This Row],[Aug_2027_Days_Forecast]]*Table410[[#This Row],[Cost Boolean]]*(VLOOKUP(Table410[[#This Row],[RATE CONCAT]],Tables!I:N,6,0)),0)</f>
        <v/>
      </c>
      <c r="EK39" s="342">
        <f>Table410[[#This Row],[Aug_2027_F]]-Table410[[#This Row],[Aug_2027_A]]</f>
        <v/>
      </c>
      <c r="EL39" s="342">
        <f>IFERROR(Table410[[#This Row],[Sep_2027_Days_Forecast]]*Table410[[#This Row],[Cost Boolean]]*(VLOOKUP(Table410[[#This Row],[RATE CONCAT]],Tables!I:N,6,0)),0)</f>
        <v/>
      </c>
      <c r="EN39" s="342">
        <f>Table410[[#This Row],[Sep_2027_F]]-Table410[[#This Row],[Sep_2027_A]]</f>
        <v/>
      </c>
      <c r="EO39" s="342">
        <f>IFERROR(Table410[[#This Row],[Oct_2027_Days_Forecast]]*Table410[[#This Row],[Cost Boolean]]*(VLOOKUP(Table410[[#This Row],[RATE CONCAT]],Tables!I:N,6,0)),0)</f>
        <v/>
      </c>
      <c r="EQ39" s="342">
        <f>Table410[[#This Row],[Oct_2027_F]]-Table410[[#This Row],[Oct_2027_A]]</f>
        <v/>
      </c>
      <c r="ER39" s="342">
        <f>IFERROR(Table410[[#This Row],[Nov_2027_Days_Forecast]]*Table410[[#This Row],[Cost Boolean]]*(VLOOKUP(Table410[[#This Row],[RATE CONCAT]],Tables!I:N,6,0)),0)</f>
        <v/>
      </c>
      <c r="ET39" s="342">
        <f>Table410[[#This Row],[Nov_2027_F]]-Table410[[#This Row],[Nov_2027_A]]</f>
        <v/>
      </c>
      <c r="EU39" s="342">
        <f>IFERROR(Table410[[#This Row],[Dec_2027_Days_Forecast]]*Table410[[#This Row],[Cost Boolean]]*(VLOOKUP(Table410[[#This Row],[RATE CONCAT]],Tables!I:N,6,0)),0)</f>
        <v/>
      </c>
      <c r="EW39" s="342">
        <f>Table410[[#This Row],[Dec_2027_F]]-Table410[[#This Row],[Dec_2027_A]]</f>
        <v/>
      </c>
    </row>
    <row r="40" ht="15" customFormat="1" customHeight="1" s="13">
      <c r="A40" s="338" t="inlineStr">
        <is>
          <t>PDSFS1036</t>
        </is>
      </c>
      <c r="B40" s="338" t="inlineStr">
        <is>
          <t>USDF</t>
        </is>
      </c>
      <c r="C40" s="338" t="inlineStr">
        <is>
          <t>Staff</t>
        </is>
      </c>
      <c r="D40" s="338" t="inlineStr">
        <is>
          <t>Deniz Akcelikli</t>
        </is>
      </c>
      <c r="E40" s="338" t="inlineStr">
        <is>
          <t>Shell Business</t>
        </is>
      </c>
      <c r="G40" s="338" t="inlineStr">
        <is>
          <t>Poland</t>
        </is>
      </c>
      <c r="H40" s="338" t="n">
        <v>3</v>
      </c>
      <c r="J40" s="338" t="inlineStr">
        <is>
          <t>Demurrage Lead</t>
        </is>
      </c>
      <c r="K40" s="338" t="inlineStr">
        <is>
          <t>In-seat</t>
        </is>
      </c>
      <c r="L40" s="338" t="n">
        <v>0</v>
      </c>
      <c r="M40" s="338" t="inlineStr">
        <is>
          <t>KRW</t>
        </is>
      </c>
      <c r="N40" s="338" t="inlineStr">
        <is>
          <t>Demurrage</t>
        </is>
      </c>
      <c r="O40" s="338" t="inlineStr">
        <is>
          <t>Opex</t>
        </is>
      </c>
      <c r="P40" s="338" t="inlineStr">
        <is>
          <t>Business</t>
        </is>
      </c>
      <c r="Q40" s="338" t="inlineStr">
        <is>
          <t>TBD</t>
        </is>
      </c>
      <c r="R40" s="339" t="n">
        <v>46023</v>
      </c>
      <c r="S40" s="339" t="n">
        <v>46387</v>
      </c>
      <c r="T40" s="339" t="n">
        <v>46023</v>
      </c>
      <c r="U40" s="339" t="n">
        <v>46387</v>
      </c>
      <c r="V40" s="339" t="n">
        <v>46023</v>
      </c>
      <c r="W40" s="339" t="n">
        <v>46387</v>
      </c>
      <c r="Y40" s="338">
        <f>CONCATENATE(Table410[[#This Row],[JG]],Table410[[#This Row],[Country]],Table410[[#This Row],[Resource Provider]])</f>
        <v/>
      </c>
      <c r="Z40" s="338">
        <f>VLOOKUP(Table410[[#This Row],[RATE CONCAT]],Tables!I:N,5,0)</f>
        <v/>
      </c>
      <c r="AA40" s="52" t="n"/>
      <c r="AB40" s="130" t="n"/>
      <c r="AC40" s="340" t="n">
        <v>5</v>
      </c>
      <c r="AD40" s="340" t="n">
        <v>5</v>
      </c>
      <c r="AE40" s="340" t="n">
        <v>5</v>
      </c>
      <c r="AF40" s="340" t="n">
        <v>5</v>
      </c>
      <c r="AG40" s="340" t="n">
        <v>4</v>
      </c>
      <c r="AH40" s="340" t="n">
        <v>5</v>
      </c>
      <c r="AI40" s="340" t="n">
        <v>5</v>
      </c>
      <c r="AJ40" s="340" t="n">
        <v>5</v>
      </c>
      <c r="AK40" s="340" t="n">
        <v>5</v>
      </c>
      <c r="AL40" s="130" t="n"/>
      <c r="AM40" s="130" t="n"/>
      <c r="AN40" s="341">
        <f>IFERROR(AVERAGE(Table410[[#This Row],[Jan_2026_Days_Forecast]:[Dec_2026_Days_Forecast]]),0)/19</f>
        <v/>
      </c>
      <c r="AO40" s="341">
        <f>IFERROR(AVERAGE(Table410[[#This Row],[Jan_2026_Days_Actual]:[Dec_2026_Days_Actual]]),0)/19</f>
        <v/>
      </c>
      <c r="AP40" s="130" t="n"/>
      <c r="AQ40" s="340" t="n">
        <v>5</v>
      </c>
      <c r="AR40" s="340" t="n">
        <v>5</v>
      </c>
      <c r="AS40" s="340" t="n">
        <v>5</v>
      </c>
      <c r="AT40" s="340" t="n">
        <v>5</v>
      </c>
      <c r="AU40" s="340" t="n">
        <v>4</v>
      </c>
      <c r="AV40" s="340" t="n">
        <v>5</v>
      </c>
      <c r="AW40" s="340" t="n">
        <v>5</v>
      </c>
      <c r="AX40" s="340" t="n">
        <v>5</v>
      </c>
      <c r="AY40" s="340" t="n">
        <v>5</v>
      </c>
      <c r="AZ40" s="130" t="n"/>
      <c r="BA40" s="130" t="n"/>
      <c r="BB40" s="341">
        <f>IFERROR(AVERAGE(Table410[[#This Row],[Jan_2027_Days_Forecast]:[Dec_2027_Days_Forecast]]),0)</f>
        <v/>
      </c>
      <c r="BC40" s="127" t="n"/>
      <c r="BD40" s="127" t="n"/>
      <c r="BE40" s="127" t="n"/>
      <c r="BF40" s="127" t="n"/>
      <c r="BG40" s="127" t="n"/>
      <c r="BH40" s="127" t="n"/>
      <c r="BI40" s="127" t="n"/>
      <c r="BJ40" s="127" t="n"/>
      <c r="BK40" s="127" t="n"/>
      <c r="BL40" s="127" t="n"/>
      <c r="BM40" s="127" t="n"/>
      <c r="BN40" s="127" t="n"/>
      <c r="BO40" s="176" t="n"/>
      <c r="BP40" s="176" t="n"/>
      <c r="BQ40" s="338">
        <f>IFERROR(Table410[[#This Row],[Jan_2026_Days_Forecast]]*Table410[[#This Row],[Cost Boolean]]*(VLOOKUP(Table410[[#This Row],[RATE CONCAT]],Tables!I:N,5,0)),0)</f>
        <v/>
      </c>
      <c r="BR40" s="338">
        <f>IFERROR(Table410[[#This Row],[Jan_2026_Days_Actual]]*Table410[[#This Row],[Cost Boolean]]*(VLOOKUP(Table410[[#This Row],[RATE CONCAT]],Tables!I:N,5,0)),0)</f>
        <v/>
      </c>
      <c r="BS40" s="338">
        <f>Table410[[#This Row],[Jan_2026_F]]-Table410[[#This Row],[Jan_2026_A]]</f>
        <v/>
      </c>
      <c r="BU40" s="338">
        <f>IFERROR(Table410[[#This Row],[Feb_2026_Days_Forecast]]*Table410[[#This Row],[Cost Boolean]]*(VLOOKUP(Table410[[#This Row],[RATE CONCAT]],Tables!I:N,5,0)),0)</f>
        <v/>
      </c>
      <c r="BV40" s="338">
        <f>IFERROR(Table410[[#This Row],[Feb_2026_Days_Actual]]*Table410[[#This Row],[Cost Boolean]]*(VLOOKUP(Table410[[#This Row],[RATE CONCAT]],Tables!I:N,5,0)),0)</f>
        <v/>
      </c>
      <c r="BW40" s="338">
        <f>Table410[[#This Row],[Feb_2026_F]]-Table410[[#This Row],[Feb_2026_A]]</f>
        <v/>
      </c>
      <c r="BY40" s="338">
        <f>IFERROR(Table410[[#This Row],[Mar_2026_Days_Forecast]]*Table410[[#This Row],[Cost Boolean]]*(VLOOKUP(Table410[[#This Row],[RATE CONCAT]],Tables!I:N,5,0)),0)</f>
        <v/>
      </c>
      <c r="BZ40" s="338">
        <f>IFERROR(Table410[[#This Row],[Mar_2026_Days_Actual]]*Table410[[#This Row],[Cost Boolean]]*(VLOOKUP(Table410[[#This Row],[RATE CONCAT]],Tables!I:N,5,0)),0)</f>
        <v/>
      </c>
      <c r="CA40" s="338">
        <f>Table410[[#This Row],[Mar_2026_F]]-Table410[[#This Row],[Mar_2026_A]]</f>
        <v/>
      </c>
      <c r="CC40" s="338">
        <f>IFERROR(Table410[[#This Row],[Apr_2026_Days_Forecast]]*Table410[[#This Row],[Cost Boolean]]*(VLOOKUP(Table410[[#This Row],[RATE CONCAT]],Tables!I:N,5,0)),0)</f>
        <v/>
      </c>
      <c r="CD40" s="338">
        <f>IFERROR(Table410[[#This Row],[Apr_2026_Days_Actual]]*Table410[[#This Row],[Cost Boolean]]*(VLOOKUP(Table410[[#This Row],[RATE CONCAT]],Tables!I:N,5,0)),0)</f>
        <v/>
      </c>
      <c r="CE40" s="338">
        <f>Table410[[#This Row],[Apr_2026_F]]-Table410[[#This Row],[Apr_2026_A]]</f>
        <v/>
      </c>
      <c r="CG40" s="338">
        <f>IFERROR(Table410[[#This Row],[May_2026_Days_Forecast]] *Table410[[#This Row],[Cost Boolean]]*(VLOOKUP(Table410[[#This Row],[RATE CONCAT]],Tables!I:N,5,0)),0)</f>
        <v/>
      </c>
      <c r="CH40" s="338">
        <f>IFERROR(Table410[[#This Row],[May_2026_Days_Actual]]*Table410[[#This Row],[Cost Boolean]]*(VLOOKUP(Table410[[#This Row],[RATE CONCAT]],Tables!I:N,5,0)),0)</f>
        <v/>
      </c>
      <c r="CI40" s="338">
        <f>Table410[[#This Row],[May_2026_F]]-Table410[[#This Row],[May_2026_A]]</f>
        <v/>
      </c>
      <c r="CK40" s="338">
        <f>IFERROR(Table410[[#This Row],[Jun_2026_Days_Forecast]]*Table410[[#This Row],[Cost Boolean]]*(VLOOKUP(Table410[[#This Row],[RATE CONCAT]],Tables!I:N,5,0)),0)</f>
        <v/>
      </c>
      <c r="CL40" s="338">
        <f>IFERROR(Table410[[#This Row],[Jun_2026_Days_Actual]]*Table410[[#This Row],[Cost Boolean]]*(VLOOKUP(Table410[[#This Row],[RATE CONCAT]],Tables!I:N,5,0)),0)</f>
        <v/>
      </c>
      <c r="CM40" s="338">
        <f>Table410[[#This Row],[Jun_2026_F]]-Table410[[#This Row],[Jun_2026_A]]</f>
        <v/>
      </c>
      <c r="CO40" s="338">
        <f>IFERROR(Table410[[#This Row],[Jul_2026_Days_Forecast]]*Table410[[#This Row],[Cost Boolean]]*(VLOOKUP(Table410[[#This Row],[RATE CONCAT]],Tables!I:N,5,0)),0)</f>
        <v/>
      </c>
      <c r="CP40" s="338">
        <f>IFERROR(Table410[[#This Row],[Jul_2026_Days_Actual]]*Table410[[#This Row],[Cost Boolean]]*(VLOOKUP(Table410[[#This Row],[RATE CONCAT]],Tables!I:N,5,0)),0)</f>
        <v/>
      </c>
      <c r="CQ40" s="338">
        <f>Table410[[#This Row],[Jul_2026_F]]-Table410[[#This Row],[Jul_2026_A]]</f>
        <v/>
      </c>
      <c r="CS40" s="338">
        <f>IFERROR(Table410[[#This Row],[Aug_2026_Days_Forecast]]*Table410[[#This Row],[Cost Boolean]]*(VLOOKUP(Table410[[#This Row],[RATE CONCAT]],Tables!I:N,5,0)),0)</f>
        <v/>
      </c>
      <c r="CT40" s="338">
        <f>IFERROR(Table410[[#This Row],[Aug_2026_Days_Actual]]*Table410[[#This Row],[Cost Boolean]]*(VLOOKUP(Table410[[#This Row],[RATE CONCAT]],Tables!I:N,5,0)),0)</f>
        <v/>
      </c>
      <c r="CU40" s="338">
        <f>Table410[[#This Row],[Aug_2026_F]]-Table410[[#This Row],[Aug_2026_A]]</f>
        <v/>
      </c>
      <c r="CW40" s="338">
        <f>IFERROR(Table410[[#This Row],[Sep_2026_Days_Forecast]]*Table410[[#This Row],[Cost Boolean]]*(VLOOKUP(Table410[[#This Row],[RATE CONCAT]],Tables!I:N,5,0)),0)</f>
        <v/>
      </c>
      <c r="CX40" s="338">
        <f>IFERROR(Table410[[#This Row],[Sep_2026_Days_Actual]]*Table410[[#This Row],[Cost Boolean]]*(VLOOKUP(Table410[[#This Row],[RATE CONCAT]],Tables!I:N,5,0)),0)</f>
        <v/>
      </c>
      <c r="CY40" s="338">
        <f>Table410[[#This Row],[Sep_2026_F]]-Table410[[#This Row],[Sep_2026_A]]</f>
        <v/>
      </c>
      <c r="DA40" s="338">
        <f>IFERROR(Table410[[#This Row],[Oct_2026_Days_Forecast]]*Table410[[#This Row],[Cost Boolean]]*(VLOOKUP(Table410[[#This Row],[RATE CONCAT]],Tables!I:N,5,0)),0)</f>
        <v/>
      </c>
      <c r="DB40" s="338">
        <f>IFERROR(Table410[[#This Row],[Oct_2026_Days_Actual]]*Table410[[#This Row],[Cost Boolean]]*(VLOOKUP(Table410[[#This Row],[RATE CONCAT]],Tables!I:N,5,0)),0)</f>
        <v/>
      </c>
      <c r="DC40" s="338">
        <f>Table410[[#This Row],[Oct_2026_F]]-Table410[[#This Row],[Oct_2026_A]]</f>
        <v/>
      </c>
      <c r="DE40" s="338">
        <f>IFERROR(Table410[[#This Row],[Nov_2026_Days_Forecast]]*Table410[[#This Row],[Cost Boolean]]*(VLOOKUP(Table410[[#This Row],[RATE CONCAT]],Tables!I:N,5,0)),0)</f>
        <v/>
      </c>
      <c r="DF40" s="338">
        <f>IFERROR(Table410[[#This Row],[Nov_2026_Days_Actual]]*Table410[[#This Row],[Cost Boolean]]*(VLOOKUP(Table410[[#This Row],[RATE CONCAT]],Tables!I:N,5,0)),0)</f>
        <v/>
      </c>
      <c r="DG40" s="338">
        <f>Table410[[#This Row],[Nov_2026_F]]-Table410[[#This Row],[Nov_2026_A]]</f>
        <v/>
      </c>
      <c r="DI40" s="338">
        <f>IFERROR(Table410[[#This Row],[Dec_2026_Days_Forecast]]*Table410[[#This Row],[Cost Boolean]]*(VLOOKUP(Table410[[#This Row],[RATE CONCAT]],Tables!I:N,5,0)),0)</f>
        <v/>
      </c>
      <c r="DJ40" s="338">
        <f>IFERROR(Table410[[#This Row],[Dec_2026_Days_Actual]]*Table410[[#This Row],[Cost Boolean]]*(VLOOKUP(Table410[[#This Row],[RATE CONCAT]],Tables!I:N,5,0)),0)</f>
        <v/>
      </c>
      <c r="DK40" s="338">
        <f>Table410[[#This Row],[Dec_2026_F]]-Table410[[#This Row],[Dec_2026_A]]</f>
        <v/>
      </c>
      <c r="DN40" s="338">
        <f>IFERROR(Table410[[#This Row],[Jan_2027_Days_Forecast]]*Table410[[#This Row],[Cost Boolean]]*(VLOOKUP(Table410[[#This Row],[RATE CONCAT]],Tables!I:N,6,0)),0)</f>
        <v/>
      </c>
      <c r="DP40" s="338">
        <f>Table410[[#This Row],[Jan_2027_F]]-Table410[[#This Row],[Jan_2027_A]]</f>
        <v/>
      </c>
      <c r="DQ40" s="338">
        <f>IFERROR(Table410[[#This Row],[Feb_2027_Days_Forecast]]*Table410[[#This Row],[Cost Boolean]]*(VLOOKUP(Table410[[#This Row],[RATE CONCAT]],Tables!I:N,6,0)),0)</f>
        <v/>
      </c>
      <c r="DS40" s="338">
        <f>Table410[[#This Row],[Feb_2027_F]]-Table410[[#This Row],[Feb_2027_A]]</f>
        <v/>
      </c>
      <c r="DT40" s="338">
        <f>IFERROR(Table410[[#This Row],[Mar_2027_Days_Forecast]]*Table410[[#This Row],[Cost Boolean]]*(VLOOKUP(Table410[[#This Row],[RATE CONCAT]],Tables!I:N,6,0)),0)</f>
        <v/>
      </c>
      <c r="DV40" s="338">
        <f>Table410[[#This Row],[Mar_2027_F]]-Table410[[#This Row],[Mar_2027_A]]</f>
        <v/>
      </c>
      <c r="DW40" s="338">
        <f>IFERROR(Table410[[#This Row],[Apr_2027_Days_Forecast]]*Table410[[#This Row],[Cost Boolean]]*(VLOOKUP(Table410[[#This Row],[RATE CONCAT]],Tables!I:N,6,0)),0)</f>
        <v/>
      </c>
      <c r="DY40" s="338">
        <f>Table410[[#This Row],[Apr_2027_F]]-Table410[[#This Row],[Apr_2027_A]]</f>
        <v/>
      </c>
      <c r="DZ40" s="338">
        <f>IFERROR(Table410[[#This Row],[May_2027_Days_Forecast]]*Table410[[#This Row],[Cost Boolean]]*(VLOOKUP(Table410[[#This Row],[RATE CONCAT]],Tables!I:N,6,0)),0)</f>
        <v/>
      </c>
      <c r="EB40" s="338">
        <f>Table410[[#This Row],[May_2027_F]]-Table410[[#This Row],[May_2027_A]]</f>
        <v/>
      </c>
      <c r="EC40" s="338">
        <f>IFERROR(Table410[[#This Row],[Jun_2027_Days_Forecast]]*Table410[[#This Row],[Cost Boolean]]*(VLOOKUP(Table410[[#This Row],[RATE CONCAT]],Tables!I:N,6,0)),0)</f>
        <v/>
      </c>
      <c r="EE40" s="338">
        <f>Table410[[#This Row],[Jun_2027_F]]-Table410[[#This Row],[Jun_2027_A]]</f>
        <v/>
      </c>
      <c r="EF40" s="338">
        <f>IFERROR(Table410[[#This Row],[Jul_2027_Days_Forecast]]*Table410[[#This Row],[Cost Boolean]]*(VLOOKUP(Table410[[#This Row],[RATE CONCAT]],Tables!I:N,6,0)),0)</f>
        <v/>
      </c>
      <c r="EH40" s="338">
        <f>Table410[[#This Row],[Jul_2027_F]]-Table410[[#This Row],[Jul_2027_A]]</f>
        <v/>
      </c>
      <c r="EI40" s="338">
        <f>IFERROR(Table410[[#This Row],[Aug_2027_Days_Forecast]]*Table410[[#This Row],[Cost Boolean]]*(VLOOKUP(Table410[[#This Row],[RATE CONCAT]],Tables!I:N,6,0)),0)</f>
        <v/>
      </c>
      <c r="EK40" s="338">
        <f>Table410[[#This Row],[Aug_2027_F]]-Table410[[#This Row],[Aug_2027_A]]</f>
        <v/>
      </c>
      <c r="EL40" s="338">
        <f>IFERROR(Table410[[#This Row],[Sep_2027_Days_Forecast]]*Table410[[#This Row],[Cost Boolean]]*(VLOOKUP(Table410[[#This Row],[RATE CONCAT]],Tables!I:N,6,0)),0)</f>
        <v/>
      </c>
      <c r="EN40" s="338">
        <f>Table410[[#This Row],[Sep_2027_F]]-Table410[[#This Row],[Sep_2027_A]]</f>
        <v/>
      </c>
      <c r="EO40" s="338">
        <f>IFERROR(Table410[[#This Row],[Oct_2027_Days_Forecast]]*Table410[[#This Row],[Cost Boolean]]*(VLOOKUP(Table410[[#This Row],[RATE CONCAT]],Tables!I:N,6,0)),0)</f>
        <v/>
      </c>
      <c r="EQ40" s="338">
        <f>Table410[[#This Row],[Oct_2027_F]]-Table410[[#This Row],[Oct_2027_A]]</f>
        <v/>
      </c>
      <c r="ER40" s="338">
        <f>IFERROR(Table410[[#This Row],[Nov_2027_Days_Forecast]]*Table410[[#This Row],[Cost Boolean]]*(VLOOKUP(Table410[[#This Row],[RATE CONCAT]],Tables!I:N,6,0)),0)</f>
        <v/>
      </c>
      <c r="ET40" s="338">
        <f>Table410[[#This Row],[Nov_2027_F]]-Table410[[#This Row],[Nov_2027_A]]</f>
        <v/>
      </c>
      <c r="EU40" s="338">
        <f>IFERROR(Table410[[#This Row],[Dec_2027_Days_Forecast]]*Table410[[#This Row],[Cost Boolean]]*(VLOOKUP(Table410[[#This Row],[RATE CONCAT]],Tables!I:N,6,0)),0)</f>
        <v/>
      </c>
      <c r="EW40" s="338">
        <f>Table410[[#This Row],[Dec_2027_F]]-Table410[[#This Row],[Dec_2027_A]]</f>
        <v/>
      </c>
    </row>
    <row r="41" ht="15" customFormat="1" customHeight="1" s="13">
      <c r="A41" s="342" t="inlineStr">
        <is>
          <t>PDSFS1038</t>
        </is>
      </c>
      <c r="B41" s="342" t="inlineStr">
        <is>
          <t>USDF</t>
        </is>
      </c>
      <c r="C41" s="342" t="inlineStr">
        <is>
          <t>Staff</t>
        </is>
      </c>
      <c r="D41" s="342" t="inlineStr">
        <is>
          <t>Anitra Adams</t>
        </is>
      </c>
      <c r="E41" s="342" t="inlineStr">
        <is>
          <t>Shell Business</t>
        </is>
      </c>
      <c r="G41" s="342" t="inlineStr">
        <is>
          <t>United States</t>
        </is>
      </c>
      <c r="H41" s="342" t="n">
        <v>3</v>
      </c>
      <c r="J41" s="342" t="inlineStr">
        <is>
          <t>Data Manager</t>
        </is>
      </c>
      <c r="K41" s="342" t="inlineStr">
        <is>
          <t>In-seat</t>
        </is>
      </c>
      <c r="L41" s="342" t="n">
        <v>1</v>
      </c>
      <c r="M41" s="342" t="inlineStr">
        <is>
          <t>HOU</t>
        </is>
      </c>
      <c r="N41" s="342" t="inlineStr">
        <is>
          <t>Masterdata and VIP SME</t>
        </is>
      </c>
      <c r="O41" s="342" t="inlineStr">
        <is>
          <t>Opex</t>
        </is>
      </c>
      <c r="P41" s="342" t="inlineStr">
        <is>
          <t>Business</t>
        </is>
      </c>
      <c r="Q41" s="342" t="inlineStr">
        <is>
          <t>TBD</t>
        </is>
      </c>
      <c r="R41" s="343" t="n">
        <v>46023</v>
      </c>
      <c r="S41" s="343" t="n">
        <v>46387</v>
      </c>
      <c r="T41" s="343" t="n">
        <v>46023</v>
      </c>
      <c r="U41" s="343" t="n">
        <v>46387</v>
      </c>
      <c r="V41" s="343" t="n">
        <v>46023</v>
      </c>
      <c r="W41" s="343" t="n">
        <v>46387</v>
      </c>
      <c r="Y41" s="342">
        <f>CONCATENATE(Table410[[#This Row],[JG]],Table410[[#This Row],[Country]],Table410[[#This Row],[Resource Provider]])</f>
        <v/>
      </c>
      <c r="Z41" s="342">
        <f>VLOOKUP(Table410[[#This Row],[RATE CONCAT]],Tables!I:N,5,0)</f>
        <v/>
      </c>
      <c r="AA41" s="52" t="n"/>
      <c r="AB41" s="130" t="n"/>
      <c r="AC41" s="130" t="n"/>
      <c r="AD41" s="130" t="n"/>
      <c r="AE41" s="130" t="n"/>
      <c r="AF41" s="130" t="n"/>
      <c r="AG41" s="344" t="n">
        <v>5</v>
      </c>
      <c r="AH41" s="344" t="n">
        <v>5</v>
      </c>
      <c r="AI41" s="344" t="n">
        <v>5</v>
      </c>
      <c r="AJ41" s="130" t="n"/>
      <c r="AK41" s="130" t="n"/>
      <c r="AL41" s="130" t="n"/>
      <c r="AM41" s="130" t="n"/>
      <c r="AN41" s="341">
        <f>IFERROR(AVERAGE(Table410[[#This Row],[Jan_2026_Days_Forecast]:[Dec_2026_Days_Forecast]]),0)/19</f>
        <v/>
      </c>
      <c r="AO41" s="341">
        <f>IFERROR(AVERAGE(Table410[[#This Row],[Jan_2026_Days_Actual]:[Dec_2026_Days_Actual]]),0)/19</f>
        <v/>
      </c>
      <c r="AP41" s="130" t="n"/>
      <c r="AQ41" s="130" t="n"/>
      <c r="AR41" s="130" t="n"/>
      <c r="AS41" s="130" t="n"/>
      <c r="AT41" s="130" t="n"/>
      <c r="AU41" s="344" t="n">
        <v>5</v>
      </c>
      <c r="AV41" s="344" t="n">
        <v>5</v>
      </c>
      <c r="AW41" s="344" t="n">
        <v>5</v>
      </c>
      <c r="AX41" s="130" t="n"/>
      <c r="AY41" s="130" t="n"/>
      <c r="AZ41" s="130" t="n"/>
      <c r="BA41" s="130" t="n"/>
      <c r="BB41" s="341">
        <f>IFERROR(AVERAGE(Table410[[#This Row],[Jan_2027_Days_Forecast]:[Dec_2027_Days_Forecast]]),0)</f>
        <v/>
      </c>
      <c r="BC41" s="127" t="n"/>
      <c r="BD41" s="127" t="n"/>
      <c r="BE41" s="127" t="n"/>
      <c r="BF41" s="127" t="n"/>
      <c r="BG41" s="127" t="n"/>
      <c r="BH41" s="127" t="n"/>
      <c r="BI41" s="127" t="n"/>
      <c r="BJ41" s="127" t="n"/>
      <c r="BK41" s="127" t="n"/>
      <c r="BL41" s="127" t="n"/>
      <c r="BM41" s="127" t="n"/>
      <c r="BN41" s="127" t="n"/>
      <c r="BO41" s="176" t="n"/>
      <c r="BP41" s="176" t="n"/>
      <c r="BQ41" s="342">
        <f>IFERROR(Table410[[#This Row],[Jan_2026_Days_Forecast]]*Table410[[#This Row],[Cost Boolean]]*(VLOOKUP(Table410[[#This Row],[RATE CONCAT]],Tables!I:N,5,0)),0)</f>
        <v/>
      </c>
      <c r="BR41" s="342">
        <f>IFERROR(Table410[[#This Row],[Jan_2026_Days_Actual]]*Table410[[#This Row],[Cost Boolean]]*(VLOOKUP(Table410[[#This Row],[RATE CONCAT]],Tables!I:N,5,0)),0)</f>
        <v/>
      </c>
      <c r="BS41" s="342">
        <f>Table410[[#This Row],[Jan_2026_F]]-Table410[[#This Row],[Jan_2026_A]]</f>
        <v/>
      </c>
      <c r="BU41" s="342">
        <f>IFERROR(Table410[[#This Row],[Feb_2026_Days_Forecast]]*Table410[[#This Row],[Cost Boolean]]*(VLOOKUP(Table410[[#This Row],[RATE CONCAT]],Tables!I:N,5,0)),0)</f>
        <v/>
      </c>
      <c r="BV41" s="342">
        <f>IFERROR(Table410[[#This Row],[Feb_2026_Days_Actual]]*Table410[[#This Row],[Cost Boolean]]*(VLOOKUP(Table410[[#This Row],[RATE CONCAT]],Tables!I:N,5,0)),0)</f>
        <v/>
      </c>
      <c r="BW41" s="342">
        <f>Table410[[#This Row],[Feb_2026_F]]-Table410[[#This Row],[Feb_2026_A]]</f>
        <v/>
      </c>
      <c r="BY41" s="342">
        <f>IFERROR(Table410[[#This Row],[Mar_2026_Days_Forecast]]*Table410[[#This Row],[Cost Boolean]]*(VLOOKUP(Table410[[#This Row],[RATE CONCAT]],Tables!I:N,5,0)),0)</f>
        <v/>
      </c>
      <c r="BZ41" s="342">
        <f>IFERROR(Table410[[#This Row],[Mar_2026_Days_Actual]]*Table410[[#This Row],[Cost Boolean]]*(VLOOKUP(Table410[[#This Row],[RATE CONCAT]],Tables!I:N,5,0)),0)</f>
        <v/>
      </c>
      <c r="CA41" s="342">
        <f>Table410[[#This Row],[Mar_2026_F]]-Table410[[#This Row],[Mar_2026_A]]</f>
        <v/>
      </c>
      <c r="CC41" s="342">
        <f>IFERROR(Table410[[#This Row],[Apr_2026_Days_Forecast]]*Table410[[#This Row],[Cost Boolean]]*(VLOOKUP(Table410[[#This Row],[RATE CONCAT]],Tables!I:N,5,0)),0)</f>
        <v/>
      </c>
      <c r="CD41" s="342">
        <f>IFERROR(Table410[[#This Row],[Apr_2026_Days_Actual]]*Table410[[#This Row],[Cost Boolean]]*(VLOOKUP(Table410[[#This Row],[RATE CONCAT]],Tables!I:N,5,0)),0)</f>
        <v/>
      </c>
      <c r="CE41" s="342">
        <f>Table410[[#This Row],[Apr_2026_F]]-Table410[[#This Row],[Apr_2026_A]]</f>
        <v/>
      </c>
      <c r="CG41" s="342">
        <f>IFERROR(Table410[[#This Row],[May_2026_Days_Forecast]] *Table410[[#This Row],[Cost Boolean]]*(VLOOKUP(Table410[[#This Row],[RATE CONCAT]],Tables!I:N,5,0)),0)</f>
        <v/>
      </c>
      <c r="CH41" s="342">
        <f>IFERROR(Table410[[#This Row],[May_2026_Days_Actual]]*Table410[[#This Row],[Cost Boolean]]*(VLOOKUP(Table410[[#This Row],[RATE CONCAT]],Tables!I:N,5,0)),0)</f>
        <v/>
      </c>
      <c r="CI41" s="342">
        <f>Table410[[#This Row],[May_2026_F]]-Table410[[#This Row],[May_2026_A]]</f>
        <v/>
      </c>
      <c r="CK41" s="342">
        <f>IFERROR(Table410[[#This Row],[Jun_2026_Days_Forecast]]*Table410[[#This Row],[Cost Boolean]]*(VLOOKUP(Table410[[#This Row],[RATE CONCAT]],Tables!I:N,5,0)),0)</f>
        <v/>
      </c>
      <c r="CL41" s="342">
        <f>IFERROR(Table410[[#This Row],[Jun_2026_Days_Actual]]*Table410[[#This Row],[Cost Boolean]]*(VLOOKUP(Table410[[#This Row],[RATE CONCAT]],Tables!I:N,5,0)),0)</f>
        <v/>
      </c>
      <c r="CM41" s="342">
        <f>Table410[[#This Row],[Jun_2026_F]]-Table410[[#This Row],[Jun_2026_A]]</f>
        <v/>
      </c>
      <c r="CO41" s="342">
        <f>IFERROR(Table410[[#This Row],[Jul_2026_Days_Forecast]]*Table410[[#This Row],[Cost Boolean]]*(VLOOKUP(Table410[[#This Row],[RATE CONCAT]],Tables!I:N,5,0)),0)</f>
        <v/>
      </c>
      <c r="CP41" s="342">
        <f>IFERROR(Table410[[#This Row],[Jul_2026_Days_Actual]]*Table410[[#This Row],[Cost Boolean]]*(VLOOKUP(Table410[[#This Row],[RATE CONCAT]],Tables!I:N,5,0)),0)</f>
        <v/>
      </c>
      <c r="CQ41" s="342">
        <f>Table410[[#This Row],[Jul_2026_F]]-Table410[[#This Row],[Jul_2026_A]]</f>
        <v/>
      </c>
      <c r="CS41" s="342">
        <f>IFERROR(Table410[[#This Row],[Aug_2026_Days_Forecast]]*Table410[[#This Row],[Cost Boolean]]*(VLOOKUP(Table410[[#This Row],[RATE CONCAT]],Tables!I:N,5,0)),0)</f>
        <v/>
      </c>
      <c r="CT41" s="342">
        <f>IFERROR(Table410[[#This Row],[Aug_2026_Days_Actual]]*Table410[[#This Row],[Cost Boolean]]*(VLOOKUP(Table410[[#This Row],[RATE CONCAT]],Tables!I:N,5,0)),0)</f>
        <v/>
      </c>
      <c r="CU41" s="342">
        <f>Table410[[#This Row],[Aug_2026_F]]-Table410[[#This Row],[Aug_2026_A]]</f>
        <v/>
      </c>
      <c r="CW41" s="342">
        <f>IFERROR(Table410[[#This Row],[Sep_2026_Days_Forecast]]*Table410[[#This Row],[Cost Boolean]]*(VLOOKUP(Table410[[#This Row],[RATE CONCAT]],Tables!I:N,5,0)),0)</f>
        <v/>
      </c>
      <c r="CX41" s="342">
        <f>IFERROR(Table410[[#This Row],[Sep_2026_Days_Actual]]*Table410[[#This Row],[Cost Boolean]]*(VLOOKUP(Table410[[#This Row],[RATE CONCAT]],Tables!I:N,5,0)),0)</f>
        <v/>
      </c>
      <c r="CY41" s="342">
        <f>Table410[[#This Row],[Sep_2026_F]]-Table410[[#This Row],[Sep_2026_A]]</f>
        <v/>
      </c>
      <c r="DA41" s="342">
        <f>IFERROR(Table410[[#This Row],[Oct_2026_Days_Forecast]]*Table410[[#This Row],[Cost Boolean]]*(VLOOKUP(Table410[[#This Row],[RATE CONCAT]],Tables!I:N,5,0)),0)</f>
        <v/>
      </c>
      <c r="DB41" s="342">
        <f>IFERROR(Table410[[#This Row],[Oct_2026_Days_Actual]]*Table410[[#This Row],[Cost Boolean]]*(VLOOKUP(Table410[[#This Row],[RATE CONCAT]],Tables!I:N,5,0)),0)</f>
        <v/>
      </c>
      <c r="DC41" s="342">
        <f>Table410[[#This Row],[Oct_2026_F]]-Table410[[#This Row],[Oct_2026_A]]</f>
        <v/>
      </c>
      <c r="DE41" s="342">
        <f>IFERROR(Table410[[#This Row],[Nov_2026_Days_Forecast]]*Table410[[#This Row],[Cost Boolean]]*(VLOOKUP(Table410[[#This Row],[RATE CONCAT]],Tables!I:N,5,0)),0)</f>
        <v/>
      </c>
      <c r="DF41" s="342">
        <f>IFERROR(Table410[[#This Row],[Nov_2026_Days_Actual]]*Table410[[#This Row],[Cost Boolean]]*(VLOOKUP(Table410[[#This Row],[RATE CONCAT]],Tables!I:N,5,0)),0)</f>
        <v/>
      </c>
      <c r="DG41" s="342">
        <f>Table410[[#This Row],[Nov_2026_F]]-Table410[[#This Row],[Nov_2026_A]]</f>
        <v/>
      </c>
      <c r="DI41" s="342">
        <f>IFERROR(Table410[[#This Row],[Dec_2026_Days_Forecast]]*Table410[[#This Row],[Cost Boolean]]*(VLOOKUP(Table410[[#This Row],[RATE CONCAT]],Tables!I:N,5,0)),0)</f>
        <v/>
      </c>
      <c r="DJ41" s="342">
        <f>IFERROR(Table410[[#This Row],[Dec_2026_Days_Actual]]*Table410[[#This Row],[Cost Boolean]]*(VLOOKUP(Table410[[#This Row],[RATE CONCAT]],Tables!I:N,5,0)),0)</f>
        <v/>
      </c>
      <c r="DK41" s="342">
        <f>Table410[[#This Row],[Dec_2026_F]]-Table410[[#This Row],[Dec_2026_A]]</f>
        <v/>
      </c>
      <c r="DN41" s="342">
        <f>IFERROR(Table410[[#This Row],[Jan_2027_Days_Forecast]]*Table410[[#This Row],[Cost Boolean]]*(VLOOKUP(Table410[[#This Row],[RATE CONCAT]],Tables!I:N,6,0)),0)</f>
        <v/>
      </c>
      <c r="DP41" s="342">
        <f>Table410[[#This Row],[Jan_2027_F]]-Table410[[#This Row],[Jan_2027_A]]</f>
        <v/>
      </c>
      <c r="DQ41" s="342">
        <f>IFERROR(Table410[[#This Row],[Feb_2027_Days_Forecast]]*Table410[[#This Row],[Cost Boolean]]*(VLOOKUP(Table410[[#This Row],[RATE CONCAT]],Tables!I:N,6,0)),0)</f>
        <v/>
      </c>
      <c r="DS41" s="342">
        <f>Table410[[#This Row],[Feb_2027_F]]-Table410[[#This Row],[Feb_2027_A]]</f>
        <v/>
      </c>
      <c r="DT41" s="342">
        <f>IFERROR(Table410[[#This Row],[Mar_2027_Days_Forecast]]*Table410[[#This Row],[Cost Boolean]]*(VLOOKUP(Table410[[#This Row],[RATE CONCAT]],Tables!I:N,6,0)),0)</f>
        <v/>
      </c>
      <c r="DV41" s="342">
        <f>Table410[[#This Row],[Mar_2027_F]]-Table410[[#This Row],[Mar_2027_A]]</f>
        <v/>
      </c>
      <c r="DW41" s="342">
        <f>IFERROR(Table410[[#This Row],[Apr_2027_Days_Forecast]]*Table410[[#This Row],[Cost Boolean]]*(VLOOKUP(Table410[[#This Row],[RATE CONCAT]],Tables!I:N,6,0)),0)</f>
        <v/>
      </c>
      <c r="DY41" s="342">
        <f>Table410[[#This Row],[Apr_2027_F]]-Table410[[#This Row],[Apr_2027_A]]</f>
        <v/>
      </c>
      <c r="DZ41" s="342">
        <f>IFERROR(Table410[[#This Row],[May_2027_Days_Forecast]]*Table410[[#This Row],[Cost Boolean]]*(VLOOKUP(Table410[[#This Row],[RATE CONCAT]],Tables!I:N,6,0)),0)</f>
        <v/>
      </c>
      <c r="EB41" s="342">
        <f>Table410[[#This Row],[May_2027_F]]-Table410[[#This Row],[May_2027_A]]</f>
        <v/>
      </c>
      <c r="EC41" s="342">
        <f>IFERROR(Table410[[#This Row],[Jun_2027_Days_Forecast]]*Table410[[#This Row],[Cost Boolean]]*(VLOOKUP(Table410[[#This Row],[RATE CONCAT]],Tables!I:N,6,0)),0)</f>
        <v/>
      </c>
      <c r="EE41" s="342">
        <f>Table410[[#This Row],[Jun_2027_F]]-Table410[[#This Row],[Jun_2027_A]]</f>
        <v/>
      </c>
      <c r="EF41" s="342">
        <f>IFERROR(Table410[[#This Row],[Jul_2027_Days_Forecast]]*Table410[[#This Row],[Cost Boolean]]*(VLOOKUP(Table410[[#This Row],[RATE CONCAT]],Tables!I:N,6,0)),0)</f>
        <v/>
      </c>
      <c r="EH41" s="342">
        <f>Table410[[#This Row],[Jul_2027_F]]-Table410[[#This Row],[Jul_2027_A]]</f>
        <v/>
      </c>
      <c r="EI41" s="342">
        <f>IFERROR(Table410[[#This Row],[Aug_2027_Days_Forecast]]*Table410[[#This Row],[Cost Boolean]]*(VLOOKUP(Table410[[#This Row],[RATE CONCAT]],Tables!I:N,6,0)),0)</f>
        <v/>
      </c>
      <c r="EK41" s="342">
        <f>Table410[[#This Row],[Aug_2027_F]]-Table410[[#This Row],[Aug_2027_A]]</f>
        <v/>
      </c>
      <c r="EL41" s="342">
        <f>IFERROR(Table410[[#This Row],[Sep_2027_Days_Forecast]]*Table410[[#This Row],[Cost Boolean]]*(VLOOKUP(Table410[[#This Row],[RATE CONCAT]],Tables!I:N,6,0)),0)</f>
        <v/>
      </c>
      <c r="EN41" s="342">
        <f>Table410[[#This Row],[Sep_2027_F]]-Table410[[#This Row],[Sep_2027_A]]</f>
        <v/>
      </c>
      <c r="EO41" s="342">
        <f>IFERROR(Table410[[#This Row],[Oct_2027_Days_Forecast]]*Table410[[#This Row],[Cost Boolean]]*(VLOOKUP(Table410[[#This Row],[RATE CONCAT]],Tables!I:N,6,0)),0)</f>
        <v/>
      </c>
      <c r="EQ41" s="342">
        <f>Table410[[#This Row],[Oct_2027_F]]-Table410[[#This Row],[Oct_2027_A]]</f>
        <v/>
      </c>
      <c r="ER41" s="342">
        <f>IFERROR(Table410[[#This Row],[Nov_2027_Days_Forecast]]*Table410[[#This Row],[Cost Boolean]]*(VLOOKUP(Table410[[#This Row],[RATE CONCAT]],Tables!I:N,6,0)),0)</f>
        <v/>
      </c>
      <c r="ET41" s="342">
        <f>Table410[[#This Row],[Nov_2027_F]]-Table410[[#This Row],[Nov_2027_A]]</f>
        <v/>
      </c>
      <c r="EU41" s="342">
        <f>IFERROR(Table410[[#This Row],[Dec_2027_Days_Forecast]]*Table410[[#This Row],[Cost Boolean]]*(VLOOKUP(Table410[[#This Row],[RATE CONCAT]],Tables!I:N,6,0)),0)</f>
        <v/>
      </c>
      <c r="EW41" s="342">
        <f>Table410[[#This Row],[Dec_2027_F]]-Table410[[#This Row],[Dec_2027_A]]</f>
        <v/>
      </c>
    </row>
    <row r="42" ht="15" customFormat="1" customHeight="1" s="13">
      <c r="A42" s="338" t="inlineStr">
        <is>
          <t>PDSFS1039</t>
        </is>
      </c>
      <c r="B42" s="338" t="inlineStr">
        <is>
          <t>USDF</t>
        </is>
      </c>
      <c r="C42" s="338" t="inlineStr">
        <is>
          <t>Staff</t>
        </is>
      </c>
      <c r="D42" s="338" t="inlineStr">
        <is>
          <t>Ram Kumar</t>
        </is>
      </c>
      <c r="E42" s="338" t="inlineStr">
        <is>
          <t>Shell Business</t>
        </is>
      </c>
      <c r="G42" s="338" t="inlineStr">
        <is>
          <t>India</t>
        </is>
      </c>
      <c r="H42" s="338" t="n">
        <v>4</v>
      </c>
      <c r="J42" s="338" t="inlineStr">
        <is>
          <t>Finance Analyst</t>
        </is>
      </c>
      <c r="K42" s="338" t="inlineStr">
        <is>
          <t>In-seat</t>
        </is>
      </c>
      <c r="L42" s="338" t="n">
        <v>1</v>
      </c>
      <c r="M42" s="338" t="inlineStr">
        <is>
          <t>CHN</t>
        </is>
      </c>
      <c r="N42" s="338" t="inlineStr">
        <is>
          <t>Finance</t>
        </is>
      </c>
      <c r="O42" s="338" t="inlineStr">
        <is>
          <t>Capex</t>
        </is>
      </c>
      <c r="P42" s="338" t="inlineStr">
        <is>
          <t>Business</t>
        </is>
      </c>
      <c r="Q42" s="338" t="inlineStr">
        <is>
          <t>TBD</t>
        </is>
      </c>
      <c r="R42" s="339" t="n">
        <v>46023</v>
      </c>
      <c r="S42" s="339" t="n">
        <v>46387</v>
      </c>
      <c r="T42" s="339" t="n">
        <v>46023</v>
      </c>
      <c r="U42" s="339" t="n">
        <v>46387</v>
      </c>
      <c r="V42" s="339" t="n">
        <v>46023</v>
      </c>
      <c r="W42" s="339" t="n">
        <v>46387</v>
      </c>
      <c r="Y42" s="338">
        <f>CONCATENATE(Table410[[#This Row],[JG]],Table410[[#This Row],[Country]],Table410[[#This Row],[Resource Provider]])</f>
        <v/>
      </c>
      <c r="Z42" s="338">
        <f>VLOOKUP(Table410[[#This Row],[RATE CONCAT]],Tables!I:N,5,0)</f>
        <v/>
      </c>
      <c r="AA42" s="52" t="n"/>
      <c r="AB42" s="130" t="n"/>
      <c r="AC42" s="340" t="n">
        <v>5</v>
      </c>
      <c r="AD42" s="340" t="n">
        <v>5</v>
      </c>
      <c r="AE42" s="340" t="n">
        <v>5</v>
      </c>
      <c r="AF42" s="340" t="n">
        <v>5</v>
      </c>
      <c r="AG42" s="340" t="n">
        <v>4</v>
      </c>
      <c r="AH42" s="340" t="n">
        <v>5</v>
      </c>
      <c r="AI42" s="340" t="n">
        <v>5</v>
      </c>
      <c r="AJ42" s="340" t="n">
        <v>5</v>
      </c>
      <c r="AK42" s="340" t="n">
        <v>5</v>
      </c>
      <c r="AL42" s="130" t="n"/>
      <c r="AM42" s="130" t="n"/>
      <c r="AN42" s="341">
        <f>IFERROR(AVERAGE(Table410[[#This Row],[Jan_2026_Days_Forecast]:[Dec_2026_Days_Forecast]]),0)/19</f>
        <v/>
      </c>
      <c r="AO42" s="341">
        <f>IFERROR(AVERAGE(Table410[[#This Row],[Jan_2026_Days_Actual]:[Dec_2026_Days_Actual]]),0)/19</f>
        <v/>
      </c>
      <c r="AP42" s="130" t="n"/>
      <c r="AQ42" s="340" t="n">
        <v>5</v>
      </c>
      <c r="AR42" s="340" t="n">
        <v>5</v>
      </c>
      <c r="AS42" s="340" t="n">
        <v>5</v>
      </c>
      <c r="AT42" s="340" t="n">
        <v>5</v>
      </c>
      <c r="AU42" s="340" t="n">
        <v>4</v>
      </c>
      <c r="AV42" s="340" t="n">
        <v>5</v>
      </c>
      <c r="AW42" s="340" t="n">
        <v>5</v>
      </c>
      <c r="AX42" s="340" t="n">
        <v>5</v>
      </c>
      <c r="AY42" s="340" t="n">
        <v>5</v>
      </c>
      <c r="AZ42" s="130" t="n"/>
      <c r="BA42" s="130" t="n"/>
      <c r="BB42" s="341">
        <f>IFERROR(AVERAGE(Table410[[#This Row],[Jan_2027_Days_Forecast]:[Dec_2027_Days_Forecast]]),0)</f>
        <v/>
      </c>
      <c r="BC42" s="127" t="n"/>
      <c r="BD42" s="127" t="n"/>
      <c r="BE42" s="127" t="n"/>
      <c r="BF42" s="127" t="n"/>
      <c r="BG42" s="127" t="n"/>
      <c r="BH42" s="127" t="n"/>
      <c r="BI42" s="127" t="n"/>
      <c r="BJ42" s="127" t="n"/>
      <c r="BK42" s="127" t="n"/>
      <c r="BL42" s="127" t="n"/>
      <c r="BM42" s="127" t="n"/>
      <c r="BN42" s="127" t="n"/>
      <c r="BO42" s="176" t="n"/>
      <c r="BP42" s="176" t="n"/>
      <c r="BQ42" s="338">
        <f>IFERROR(Table410[[#This Row],[Jan_2026_Days_Forecast]]*Table410[[#This Row],[Cost Boolean]]*(VLOOKUP(Table410[[#This Row],[RATE CONCAT]],Tables!I:N,5,0)),0)</f>
        <v/>
      </c>
      <c r="BR42" s="338">
        <f>IFERROR(Table410[[#This Row],[Jan_2026_Days_Actual]]*Table410[[#This Row],[Cost Boolean]]*(VLOOKUP(Table410[[#This Row],[RATE CONCAT]],Tables!I:N,5,0)),0)</f>
        <v/>
      </c>
      <c r="BS42" s="338">
        <f>Table410[[#This Row],[Jan_2026_F]]-Table410[[#This Row],[Jan_2026_A]]</f>
        <v/>
      </c>
      <c r="BU42" s="338">
        <f>IFERROR(Table410[[#This Row],[Feb_2026_Days_Forecast]]*Table410[[#This Row],[Cost Boolean]]*(VLOOKUP(Table410[[#This Row],[RATE CONCAT]],Tables!I:N,5,0)),0)</f>
        <v/>
      </c>
      <c r="BV42" s="338">
        <f>IFERROR(Table410[[#This Row],[Feb_2026_Days_Actual]]*Table410[[#This Row],[Cost Boolean]]*(VLOOKUP(Table410[[#This Row],[RATE CONCAT]],Tables!I:N,5,0)),0)</f>
        <v/>
      </c>
      <c r="BW42" s="338">
        <f>Table410[[#This Row],[Feb_2026_F]]-Table410[[#This Row],[Feb_2026_A]]</f>
        <v/>
      </c>
      <c r="BY42" s="338">
        <f>IFERROR(Table410[[#This Row],[Mar_2026_Days_Forecast]]*Table410[[#This Row],[Cost Boolean]]*(VLOOKUP(Table410[[#This Row],[RATE CONCAT]],Tables!I:N,5,0)),0)</f>
        <v/>
      </c>
      <c r="BZ42" s="338">
        <f>IFERROR(Table410[[#This Row],[Mar_2026_Days_Actual]]*Table410[[#This Row],[Cost Boolean]]*(VLOOKUP(Table410[[#This Row],[RATE CONCAT]],Tables!I:N,5,0)),0)</f>
        <v/>
      </c>
      <c r="CA42" s="338">
        <f>Table410[[#This Row],[Mar_2026_F]]-Table410[[#This Row],[Mar_2026_A]]</f>
        <v/>
      </c>
      <c r="CC42" s="338">
        <f>IFERROR(Table410[[#This Row],[Apr_2026_Days_Forecast]]*Table410[[#This Row],[Cost Boolean]]*(VLOOKUP(Table410[[#This Row],[RATE CONCAT]],Tables!I:N,5,0)),0)</f>
        <v/>
      </c>
      <c r="CD42" s="338">
        <f>IFERROR(Table410[[#This Row],[Apr_2026_Days_Actual]]*Table410[[#This Row],[Cost Boolean]]*(VLOOKUP(Table410[[#This Row],[RATE CONCAT]],Tables!I:N,5,0)),0)</f>
        <v/>
      </c>
      <c r="CE42" s="338">
        <f>Table410[[#This Row],[Apr_2026_F]]-Table410[[#This Row],[Apr_2026_A]]</f>
        <v/>
      </c>
      <c r="CG42" s="338">
        <f>IFERROR(Table410[[#This Row],[May_2026_Days_Forecast]] *Table410[[#This Row],[Cost Boolean]]*(VLOOKUP(Table410[[#This Row],[RATE CONCAT]],Tables!I:N,5,0)),0)</f>
        <v/>
      </c>
      <c r="CH42" s="338">
        <f>IFERROR(Table410[[#This Row],[May_2026_Days_Actual]]*Table410[[#This Row],[Cost Boolean]]*(VLOOKUP(Table410[[#This Row],[RATE CONCAT]],Tables!I:N,5,0)),0)</f>
        <v/>
      </c>
      <c r="CI42" s="338">
        <f>Table410[[#This Row],[May_2026_F]]-Table410[[#This Row],[May_2026_A]]</f>
        <v/>
      </c>
      <c r="CK42" s="338">
        <f>IFERROR(Table410[[#This Row],[Jun_2026_Days_Forecast]]*Table410[[#This Row],[Cost Boolean]]*(VLOOKUP(Table410[[#This Row],[RATE CONCAT]],Tables!I:N,5,0)),0)</f>
        <v/>
      </c>
      <c r="CL42" s="338">
        <f>IFERROR(Table410[[#This Row],[Jun_2026_Days_Actual]]*Table410[[#This Row],[Cost Boolean]]*(VLOOKUP(Table410[[#This Row],[RATE CONCAT]],Tables!I:N,5,0)),0)</f>
        <v/>
      </c>
      <c r="CM42" s="338">
        <f>Table410[[#This Row],[Jun_2026_F]]-Table410[[#This Row],[Jun_2026_A]]</f>
        <v/>
      </c>
      <c r="CO42" s="338">
        <f>IFERROR(Table410[[#This Row],[Jul_2026_Days_Forecast]]*Table410[[#This Row],[Cost Boolean]]*(VLOOKUP(Table410[[#This Row],[RATE CONCAT]],Tables!I:N,5,0)),0)</f>
        <v/>
      </c>
      <c r="CP42" s="338">
        <f>IFERROR(Table410[[#This Row],[Jul_2026_Days_Actual]]*Table410[[#This Row],[Cost Boolean]]*(VLOOKUP(Table410[[#This Row],[RATE CONCAT]],Tables!I:N,5,0)),0)</f>
        <v/>
      </c>
      <c r="CQ42" s="338">
        <f>Table410[[#This Row],[Jul_2026_F]]-Table410[[#This Row],[Jul_2026_A]]</f>
        <v/>
      </c>
      <c r="CS42" s="338">
        <f>IFERROR(Table410[[#This Row],[Aug_2026_Days_Forecast]]*Table410[[#This Row],[Cost Boolean]]*(VLOOKUP(Table410[[#This Row],[RATE CONCAT]],Tables!I:N,5,0)),0)</f>
        <v/>
      </c>
      <c r="CT42" s="338">
        <f>IFERROR(Table410[[#This Row],[Aug_2026_Days_Actual]]*Table410[[#This Row],[Cost Boolean]]*(VLOOKUP(Table410[[#This Row],[RATE CONCAT]],Tables!I:N,5,0)),0)</f>
        <v/>
      </c>
      <c r="CU42" s="338">
        <f>Table410[[#This Row],[Aug_2026_F]]-Table410[[#This Row],[Aug_2026_A]]</f>
        <v/>
      </c>
      <c r="CW42" s="338">
        <f>IFERROR(Table410[[#This Row],[Sep_2026_Days_Forecast]]*Table410[[#This Row],[Cost Boolean]]*(VLOOKUP(Table410[[#This Row],[RATE CONCAT]],Tables!I:N,5,0)),0)</f>
        <v/>
      </c>
      <c r="CX42" s="338">
        <f>IFERROR(Table410[[#This Row],[Sep_2026_Days_Actual]]*Table410[[#This Row],[Cost Boolean]]*(VLOOKUP(Table410[[#This Row],[RATE CONCAT]],Tables!I:N,5,0)),0)</f>
        <v/>
      </c>
      <c r="CY42" s="338">
        <f>Table410[[#This Row],[Sep_2026_F]]-Table410[[#This Row],[Sep_2026_A]]</f>
        <v/>
      </c>
      <c r="DA42" s="338">
        <f>IFERROR(Table410[[#This Row],[Oct_2026_Days_Forecast]]*Table410[[#This Row],[Cost Boolean]]*(VLOOKUP(Table410[[#This Row],[RATE CONCAT]],Tables!I:N,5,0)),0)</f>
        <v/>
      </c>
      <c r="DB42" s="338">
        <f>IFERROR(Table410[[#This Row],[Oct_2026_Days_Actual]]*Table410[[#This Row],[Cost Boolean]]*(VLOOKUP(Table410[[#This Row],[RATE CONCAT]],Tables!I:N,5,0)),0)</f>
        <v/>
      </c>
      <c r="DC42" s="338">
        <f>Table410[[#This Row],[Oct_2026_F]]-Table410[[#This Row],[Oct_2026_A]]</f>
        <v/>
      </c>
      <c r="DE42" s="338">
        <f>IFERROR(Table410[[#This Row],[Nov_2026_Days_Forecast]]*Table410[[#This Row],[Cost Boolean]]*(VLOOKUP(Table410[[#This Row],[RATE CONCAT]],Tables!I:N,5,0)),0)</f>
        <v/>
      </c>
      <c r="DF42" s="338">
        <f>IFERROR(Table410[[#This Row],[Nov_2026_Days_Actual]]*Table410[[#This Row],[Cost Boolean]]*(VLOOKUP(Table410[[#This Row],[RATE CONCAT]],Tables!I:N,5,0)),0)</f>
        <v/>
      </c>
      <c r="DG42" s="338">
        <f>Table410[[#This Row],[Nov_2026_F]]-Table410[[#This Row],[Nov_2026_A]]</f>
        <v/>
      </c>
      <c r="DI42" s="338">
        <f>IFERROR(Table410[[#This Row],[Dec_2026_Days_Forecast]]*Table410[[#This Row],[Cost Boolean]]*(VLOOKUP(Table410[[#This Row],[RATE CONCAT]],Tables!I:N,5,0)),0)</f>
        <v/>
      </c>
      <c r="DJ42" s="338">
        <f>IFERROR(Table410[[#This Row],[Dec_2026_Days_Actual]]*Table410[[#This Row],[Cost Boolean]]*(VLOOKUP(Table410[[#This Row],[RATE CONCAT]],Tables!I:N,5,0)),0)</f>
        <v/>
      </c>
      <c r="DK42" s="338">
        <f>Table410[[#This Row],[Dec_2026_F]]-Table410[[#This Row],[Dec_2026_A]]</f>
        <v/>
      </c>
      <c r="DN42" s="338">
        <f>IFERROR(Table410[[#This Row],[Jan_2027_Days_Forecast]]*Table410[[#This Row],[Cost Boolean]]*(VLOOKUP(Table410[[#This Row],[RATE CONCAT]],Tables!I:N,6,0)),0)</f>
        <v/>
      </c>
      <c r="DP42" s="338">
        <f>Table410[[#This Row],[Jan_2027_F]]-Table410[[#This Row],[Jan_2027_A]]</f>
        <v/>
      </c>
      <c r="DQ42" s="338">
        <f>IFERROR(Table410[[#This Row],[Feb_2027_Days_Forecast]]*Table410[[#This Row],[Cost Boolean]]*(VLOOKUP(Table410[[#This Row],[RATE CONCAT]],Tables!I:N,6,0)),0)</f>
        <v/>
      </c>
      <c r="DS42" s="338">
        <f>Table410[[#This Row],[Feb_2027_F]]-Table410[[#This Row],[Feb_2027_A]]</f>
        <v/>
      </c>
      <c r="DT42" s="338">
        <f>IFERROR(Table410[[#This Row],[Mar_2027_Days_Forecast]]*Table410[[#This Row],[Cost Boolean]]*(VLOOKUP(Table410[[#This Row],[RATE CONCAT]],Tables!I:N,6,0)),0)</f>
        <v/>
      </c>
      <c r="DV42" s="338">
        <f>Table410[[#This Row],[Mar_2027_F]]-Table410[[#This Row],[Mar_2027_A]]</f>
        <v/>
      </c>
      <c r="DW42" s="338">
        <f>IFERROR(Table410[[#This Row],[Apr_2027_Days_Forecast]]*Table410[[#This Row],[Cost Boolean]]*(VLOOKUP(Table410[[#This Row],[RATE CONCAT]],Tables!I:N,6,0)),0)</f>
        <v/>
      </c>
      <c r="DY42" s="338">
        <f>Table410[[#This Row],[Apr_2027_F]]-Table410[[#This Row],[Apr_2027_A]]</f>
        <v/>
      </c>
      <c r="DZ42" s="338">
        <f>IFERROR(Table410[[#This Row],[May_2027_Days_Forecast]]*Table410[[#This Row],[Cost Boolean]]*(VLOOKUP(Table410[[#This Row],[RATE CONCAT]],Tables!I:N,6,0)),0)</f>
        <v/>
      </c>
      <c r="EB42" s="338">
        <f>Table410[[#This Row],[May_2027_F]]-Table410[[#This Row],[May_2027_A]]</f>
        <v/>
      </c>
      <c r="EC42" s="338">
        <f>IFERROR(Table410[[#This Row],[Jun_2027_Days_Forecast]]*Table410[[#This Row],[Cost Boolean]]*(VLOOKUP(Table410[[#This Row],[RATE CONCAT]],Tables!I:N,6,0)),0)</f>
        <v/>
      </c>
      <c r="EE42" s="338">
        <f>Table410[[#This Row],[Jun_2027_F]]-Table410[[#This Row],[Jun_2027_A]]</f>
        <v/>
      </c>
      <c r="EF42" s="338">
        <f>IFERROR(Table410[[#This Row],[Jul_2027_Days_Forecast]]*Table410[[#This Row],[Cost Boolean]]*(VLOOKUP(Table410[[#This Row],[RATE CONCAT]],Tables!I:N,6,0)),0)</f>
        <v/>
      </c>
      <c r="EH42" s="338">
        <f>Table410[[#This Row],[Jul_2027_F]]-Table410[[#This Row],[Jul_2027_A]]</f>
        <v/>
      </c>
      <c r="EI42" s="338">
        <f>IFERROR(Table410[[#This Row],[Aug_2027_Days_Forecast]]*Table410[[#This Row],[Cost Boolean]]*(VLOOKUP(Table410[[#This Row],[RATE CONCAT]],Tables!I:N,6,0)),0)</f>
        <v/>
      </c>
      <c r="EK42" s="338">
        <f>Table410[[#This Row],[Aug_2027_F]]-Table410[[#This Row],[Aug_2027_A]]</f>
        <v/>
      </c>
      <c r="EL42" s="338">
        <f>IFERROR(Table410[[#This Row],[Sep_2027_Days_Forecast]]*Table410[[#This Row],[Cost Boolean]]*(VLOOKUP(Table410[[#This Row],[RATE CONCAT]],Tables!I:N,6,0)),0)</f>
        <v/>
      </c>
      <c r="EN42" s="338">
        <f>Table410[[#This Row],[Sep_2027_F]]-Table410[[#This Row],[Sep_2027_A]]</f>
        <v/>
      </c>
      <c r="EO42" s="338">
        <f>IFERROR(Table410[[#This Row],[Oct_2027_Days_Forecast]]*Table410[[#This Row],[Cost Boolean]]*(VLOOKUP(Table410[[#This Row],[RATE CONCAT]],Tables!I:N,6,0)),0)</f>
        <v/>
      </c>
      <c r="EQ42" s="338">
        <f>Table410[[#This Row],[Oct_2027_F]]-Table410[[#This Row],[Oct_2027_A]]</f>
        <v/>
      </c>
      <c r="ER42" s="338">
        <f>IFERROR(Table410[[#This Row],[Nov_2027_Days_Forecast]]*Table410[[#This Row],[Cost Boolean]]*(VLOOKUP(Table410[[#This Row],[RATE CONCAT]],Tables!I:N,6,0)),0)</f>
        <v/>
      </c>
      <c r="ET42" s="338">
        <f>Table410[[#This Row],[Nov_2027_F]]-Table410[[#This Row],[Nov_2027_A]]</f>
        <v/>
      </c>
      <c r="EU42" s="338">
        <f>IFERROR(Table410[[#This Row],[Dec_2027_Days_Forecast]]*Table410[[#This Row],[Cost Boolean]]*(VLOOKUP(Table410[[#This Row],[RATE CONCAT]],Tables!I:N,6,0)),0)</f>
        <v/>
      </c>
      <c r="EW42" s="338">
        <f>Table410[[#This Row],[Dec_2027_F]]-Table410[[#This Row],[Dec_2027_A]]</f>
        <v/>
      </c>
    </row>
    <row r="43" ht="15" customFormat="1" customHeight="1" s="13">
      <c r="A43" s="342" t="inlineStr">
        <is>
          <t>PDSFS1041</t>
        </is>
      </c>
      <c r="B43" s="342" t="inlineStr">
        <is>
          <t>USDF</t>
        </is>
      </c>
      <c r="C43" s="342" t="inlineStr">
        <is>
          <t>Staff</t>
        </is>
      </c>
      <c r="D43" s="342" t="inlineStr">
        <is>
          <t>Courtney Ledbetter</t>
        </is>
      </c>
      <c r="E43" s="342" t="inlineStr">
        <is>
          <t>Shell Business</t>
        </is>
      </c>
      <c r="G43" s="342" t="inlineStr">
        <is>
          <t>United States</t>
        </is>
      </c>
      <c r="H43" s="342" t="n">
        <v>3</v>
      </c>
      <c r="J43" s="342" t="inlineStr">
        <is>
          <t>BIAM PM</t>
        </is>
      </c>
      <c r="K43" s="342" t="inlineStr">
        <is>
          <t>In-seat</t>
        </is>
      </c>
      <c r="L43" s="342" t="n">
        <v>1</v>
      </c>
      <c r="M43" s="342" t="inlineStr">
        <is>
          <t>HOU</t>
        </is>
      </c>
      <c r="N43" s="342" t="inlineStr">
        <is>
          <t>Business Integration and Assurance</t>
        </is>
      </c>
      <c r="O43" s="342" t="inlineStr">
        <is>
          <t>Capex</t>
        </is>
      </c>
      <c r="P43" s="342" t="inlineStr">
        <is>
          <t>Business</t>
        </is>
      </c>
      <c r="Q43" s="342" t="inlineStr">
        <is>
          <t>TBD</t>
        </is>
      </c>
      <c r="R43" s="343" t="n">
        <v>46023</v>
      </c>
      <c r="S43" s="343" t="n">
        <v>46387</v>
      </c>
      <c r="T43" s="343" t="n">
        <v>46023</v>
      </c>
      <c r="U43" s="343" t="n">
        <v>46387</v>
      </c>
      <c r="V43" s="343" t="n">
        <v>46023</v>
      </c>
      <c r="W43" s="343" t="n">
        <v>46387</v>
      </c>
      <c r="Y43" s="342">
        <f>CONCATENATE(Table410[[#This Row],[JG]],Table410[[#This Row],[Country]],Table410[[#This Row],[Resource Provider]])</f>
        <v/>
      </c>
      <c r="Z43" s="342">
        <f>VLOOKUP(Table410[[#This Row],[RATE CONCAT]],Tables!I:N,5,0)</f>
        <v/>
      </c>
      <c r="AA43" s="52" t="n"/>
      <c r="AB43" s="130" t="n"/>
      <c r="AC43" s="344" t="n">
        <v>10</v>
      </c>
      <c r="AD43" s="344" t="n">
        <v>10</v>
      </c>
      <c r="AE43" s="344" t="n">
        <v>10</v>
      </c>
      <c r="AF43" s="344" t="n">
        <v>9</v>
      </c>
      <c r="AG43" s="344" t="n">
        <v>9</v>
      </c>
      <c r="AH43" s="344" t="n">
        <v>9</v>
      </c>
      <c r="AI43" s="344" t="n">
        <v>10</v>
      </c>
      <c r="AJ43" s="344" t="n">
        <v>10</v>
      </c>
      <c r="AK43" s="344" t="n">
        <v>10</v>
      </c>
      <c r="AL43" s="130" t="n"/>
      <c r="AM43" s="130" t="n"/>
      <c r="AN43" s="341">
        <f>IFERROR(AVERAGE(Table410[[#This Row],[Jan_2026_Days_Forecast]:[Dec_2026_Days_Forecast]]),0)/19</f>
        <v/>
      </c>
      <c r="AO43" s="341">
        <f>IFERROR(AVERAGE(Table410[[#This Row],[Jan_2026_Days_Actual]:[Dec_2026_Days_Actual]]),0)/19</f>
        <v/>
      </c>
      <c r="AP43" s="130" t="n"/>
      <c r="AQ43" s="344" t="n">
        <v>10</v>
      </c>
      <c r="AR43" s="344" t="n">
        <v>10</v>
      </c>
      <c r="AS43" s="344" t="n">
        <v>10</v>
      </c>
      <c r="AT43" s="344" t="n">
        <v>9</v>
      </c>
      <c r="AU43" s="344" t="n">
        <v>9</v>
      </c>
      <c r="AV43" s="344" t="n">
        <v>9</v>
      </c>
      <c r="AW43" s="344" t="n">
        <v>10</v>
      </c>
      <c r="AX43" s="344" t="n">
        <v>10</v>
      </c>
      <c r="AY43" s="344" t="n">
        <v>10</v>
      </c>
      <c r="AZ43" s="130" t="n"/>
      <c r="BA43" s="130" t="n"/>
      <c r="BB43" s="341">
        <f>IFERROR(AVERAGE(Table410[[#This Row],[Jan_2027_Days_Forecast]:[Dec_2027_Days_Forecast]]),0)</f>
        <v/>
      </c>
      <c r="BC43" s="127" t="n"/>
      <c r="BD43" s="127" t="n"/>
      <c r="BE43" s="127" t="n"/>
      <c r="BF43" s="127" t="n"/>
      <c r="BG43" s="127" t="n"/>
      <c r="BH43" s="127" t="n"/>
      <c r="BI43" s="127" t="n"/>
      <c r="BJ43" s="127" t="n"/>
      <c r="BK43" s="127" t="n"/>
      <c r="BL43" s="127" t="n"/>
      <c r="BM43" s="127" t="n"/>
      <c r="BN43" s="127" t="n"/>
      <c r="BO43" s="176" t="n"/>
      <c r="BP43" s="176" t="n"/>
      <c r="BQ43" s="342">
        <f>IFERROR(Table410[[#This Row],[Jan_2026_Days_Forecast]]*Table410[[#This Row],[Cost Boolean]]*(VLOOKUP(Table410[[#This Row],[RATE CONCAT]],Tables!I:N,5,0)),0)</f>
        <v/>
      </c>
      <c r="BR43" s="342">
        <f>IFERROR(Table410[[#This Row],[Jan_2026_Days_Actual]]*Table410[[#This Row],[Cost Boolean]]*(VLOOKUP(Table410[[#This Row],[RATE CONCAT]],Tables!I:N,5,0)),0)</f>
        <v/>
      </c>
      <c r="BS43" s="342">
        <f>Table410[[#This Row],[Jan_2026_F]]-Table410[[#This Row],[Jan_2026_A]]</f>
        <v/>
      </c>
      <c r="BU43" s="342">
        <f>IFERROR(Table410[[#This Row],[Feb_2026_Days_Forecast]]*Table410[[#This Row],[Cost Boolean]]*(VLOOKUP(Table410[[#This Row],[RATE CONCAT]],Tables!I:N,5,0)),0)</f>
        <v/>
      </c>
      <c r="BV43" s="342">
        <f>IFERROR(Table410[[#This Row],[Feb_2026_Days_Actual]]*Table410[[#This Row],[Cost Boolean]]*(VLOOKUP(Table410[[#This Row],[RATE CONCAT]],Tables!I:N,5,0)),0)</f>
        <v/>
      </c>
      <c r="BW43" s="342">
        <f>Table410[[#This Row],[Feb_2026_F]]-Table410[[#This Row],[Feb_2026_A]]</f>
        <v/>
      </c>
      <c r="BY43" s="342">
        <f>IFERROR(Table410[[#This Row],[Mar_2026_Days_Forecast]]*Table410[[#This Row],[Cost Boolean]]*(VLOOKUP(Table410[[#This Row],[RATE CONCAT]],Tables!I:N,5,0)),0)</f>
        <v/>
      </c>
      <c r="BZ43" s="342">
        <f>IFERROR(Table410[[#This Row],[Mar_2026_Days_Actual]]*Table410[[#This Row],[Cost Boolean]]*(VLOOKUP(Table410[[#This Row],[RATE CONCAT]],Tables!I:N,5,0)),0)</f>
        <v/>
      </c>
      <c r="CA43" s="342">
        <f>Table410[[#This Row],[Mar_2026_F]]-Table410[[#This Row],[Mar_2026_A]]</f>
        <v/>
      </c>
      <c r="CC43" s="342">
        <f>IFERROR(Table410[[#This Row],[Apr_2026_Days_Forecast]]*Table410[[#This Row],[Cost Boolean]]*(VLOOKUP(Table410[[#This Row],[RATE CONCAT]],Tables!I:N,5,0)),0)</f>
        <v/>
      </c>
      <c r="CD43" s="342">
        <f>IFERROR(Table410[[#This Row],[Apr_2026_Days_Actual]]*Table410[[#This Row],[Cost Boolean]]*(VLOOKUP(Table410[[#This Row],[RATE CONCAT]],Tables!I:N,5,0)),0)</f>
        <v/>
      </c>
      <c r="CE43" s="342">
        <f>Table410[[#This Row],[Apr_2026_F]]-Table410[[#This Row],[Apr_2026_A]]</f>
        <v/>
      </c>
      <c r="CG43" s="342">
        <f>IFERROR(Table410[[#This Row],[May_2026_Days_Forecast]] *Table410[[#This Row],[Cost Boolean]]*(VLOOKUP(Table410[[#This Row],[RATE CONCAT]],Tables!I:N,5,0)),0)</f>
        <v/>
      </c>
      <c r="CH43" s="342">
        <f>IFERROR(Table410[[#This Row],[May_2026_Days_Actual]]*Table410[[#This Row],[Cost Boolean]]*(VLOOKUP(Table410[[#This Row],[RATE CONCAT]],Tables!I:N,5,0)),0)</f>
        <v/>
      </c>
      <c r="CI43" s="342">
        <f>Table410[[#This Row],[May_2026_F]]-Table410[[#This Row],[May_2026_A]]</f>
        <v/>
      </c>
      <c r="CK43" s="342">
        <f>IFERROR(Table410[[#This Row],[Jun_2026_Days_Forecast]]*Table410[[#This Row],[Cost Boolean]]*(VLOOKUP(Table410[[#This Row],[RATE CONCAT]],Tables!I:N,5,0)),0)</f>
        <v/>
      </c>
      <c r="CL43" s="342">
        <f>IFERROR(Table410[[#This Row],[Jun_2026_Days_Actual]]*Table410[[#This Row],[Cost Boolean]]*(VLOOKUP(Table410[[#This Row],[RATE CONCAT]],Tables!I:N,5,0)),0)</f>
        <v/>
      </c>
      <c r="CM43" s="342">
        <f>Table410[[#This Row],[Jun_2026_F]]-Table410[[#This Row],[Jun_2026_A]]</f>
        <v/>
      </c>
      <c r="CO43" s="342">
        <f>IFERROR(Table410[[#This Row],[Jul_2026_Days_Forecast]]*Table410[[#This Row],[Cost Boolean]]*(VLOOKUP(Table410[[#This Row],[RATE CONCAT]],Tables!I:N,5,0)),0)</f>
        <v/>
      </c>
      <c r="CP43" s="342">
        <f>IFERROR(Table410[[#This Row],[Jul_2026_Days_Actual]]*Table410[[#This Row],[Cost Boolean]]*(VLOOKUP(Table410[[#This Row],[RATE CONCAT]],Tables!I:N,5,0)),0)</f>
        <v/>
      </c>
      <c r="CQ43" s="342">
        <f>Table410[[#This Row],[Jul_2026_F]]-Table410[[#This Row],[Jul_2026_A]]</f>
        <v/>
      </c>
      <c r="CS43" s="342">
        <f>IFERROR(Table410[[#This Row],[Aug_2026_Days_Forecast]]*Table410[[#This Row],[Cost Boolean]]*(VLOOKUP(Table410[[#This Row],[RATE CONCAT]],Tables!I:N,5,0)),0)</f>
        <v/>
      </c>
      <c r="CT43" s="342">
        <f>IFERROR(Table410[[#This Row],[Aug_2026_Days_Actual]]*Table410[[#This Row],[Cost Boolean]]*(VLOOKUP(Table410[[#This Row],[RATE CONCAT]],Tables!I:N,5,0)),0)</f>
        <v/>
      </c>
      <c r="CU43" s="342">
        <f>Table410[[#This Row],[Aug_2026_F]]-Table410[[#This Row],[Aug_2026_A]]</f>
        <v/>
      </c>
      <c r="CW43" s="342">
        <f>IFERROR(Table410[[#This Row],[Sep_2026_Days_Forecast]]*Table410[[#This Row],[Cost Boolean]]*(VLOOKUP(Table410[[#This Row],[RATE CONCAT]],Tables!I:N,5,0)),0)</f>
        <v/>
      </c>
      <c r="CX43" s="342">
        <f>IFERROR(Table410[[#This Row],[Sep_2026_Days_Actual]]*Table410[[#This Row],[Cost Boolean]]*(VLOOKUP(Table410[[#This Row],[RATE CONCAT]],Tables!I:N,5,0)),0)</f>
        <v/>
      </c>
      <c r="CY43" s="342">
        <f>Table410[[#This Row],[Sep_2026_F]]-Table410[[#This Row],[Sep_2026_A]]</f>
        <v/>
      </c>
      <c r="DA43" s="342">
        <f>IFERROR(Table410[[#This Row],[Oct_2026_Days_Forecast]]*Table410[[#This Row],[Cost Boolean]]*(VLOOKUP(Table410[[#This Row],[RATE CONCAT]],Tables!I:N,5,0)),0)</f>
        <v/>
      </c>
      <c r="DB43" s="342">
        <f>IFERROR(Table410[[#This Row],[Oct_2026_Days_Actual]]*Table410[[#This Row],[Cost Boolean]]*(VLOOKUP(Table410[[#This Row],[RATE CONCAT]],Tables!I:N,5,0)),0)</f>
        <v/>
      </c>
      <c r="DC43" s="342">
        <f>Table410[[#This Row],[Oct_2026_F]]-Table410[[#This Row],[Oct_2026_A]]</f>
        <v/>
      </c>
      <c r="DE43" s="342">
        <f>IFERROR(Table410[[#This Row],[Nov_2026_Days_Forecast]]*Table410[[#This Row],[Cost Boolean]]*(VLOOKUP(Table410[[#This Row],[RATE CONCAT]],Tables!I:N,5,0)),0)</f>
        <v/>
      </c>
      <c r="DF43" s="342">
        <f>IFERROR(Table410[[#This Row],[Nov_2026_Days_Actual]]*Table410[[#This Row],[Cost Boolean]]*(VLOOKUP(Table410[[#This Row],[RATE CONCAT]],Tables!I:N,5,0)),0)</f>
        <v/>
      </c>
      <c r="DG43" s="342">
        <f>Table410[[#This Row],[Nov_2026_F]]-Table410[[#This Row],[Nov_2026_A]]</f>
        <v/>
      </c>
      <c r="DI43" s="342">
        <f>IFERROR(Table410[[#This Row],[Dec_2026_Days_Forecast]]*Table410[[#This Row],[Cost Boolean]]*(VLOOKUP(Table410[[#This Row],[RATE CONCAT]],Tables!I:N,5,0)),0)</f>
        <v/>
      </c>
      <c r="DJ43" s="342">
        <f>IFERROR(Table410[[#This Row],[Dec_2026_Days_Actual]]*Table410[[#This Row],[Cost Boolean]]*(VLOOKUP(Table410[[#This Row],[RATE CONCAT]],Tables!I:N,5,0)),0)</f>
        <v/>
      </c>
      <c r="DK43" s="342">
        <f>Table410[[#This Row],[Dec_2026_F]]-Table410[[#This Row],[Dec_2026_A]]</f>
        <v/>
      </c>
      <c r="DN43" s="342">
        <f>IFERROR(Table410[[#This Row],[Jan_2027_Days_Forecast]]*Table410[[#This Row],[Cost Boolean]]*(VLOOKUP(Table410[[#This Row],[RATE CONCAT]],Tables!I:N,6,0)),0)</f>
        <v/>
      </c>
      <c r="DP43" s="342">
        <f>Table410[[#This Row],[Jan_2027_F]]-Table410[[#This Row],[Jan_2027_A]]</f>
        <v/>
      </c>
      <c r="DQ43" s="342">
        <f>IFERROR(Table410[[#This Row],[Feb_2027_Days_Forecast]]*Table410[[#This Row],[Cost Boolean]]*(VLOOKUP(Table410[[#This Row],[RATE CONCAT]],Tables!I:N,6,0)),0)</f>
        <v/>
      </c>
      <c r="DS43" s="342">
        <f>Table410[[#This Row],[Feb_2027_F]]-Table410[[#This Row],[Feb_2027_A]]</f>
        <v/>
      </c>
      <c r="DT43" s="342">
        <f>IFERROR(Table410[[#This Row],[Mar_2027_Days_Forecast]]*Table410[[#This Row],[Cost Boolean]]*(VLOOKUP(Table410[[#This Row],[RATE CONCAT]],Tables!I:N,6,0)),0)</f>
        <v/>
      </c>
      <c r="DV43" s="342">
        <f>Table410[[#This Row],[Mar_2027_F]]-Table410[[#This Row],[Mar_2027_A]]</f>
        <v/>
      </c>
      <c r="DW43" s="342">
        <f>IFERROR(Table410[[#This Row],[Apr_2027_Days_Forecast]]*Table410[[#This Row],[Cost Boolean]]*(VLOOKUP(Table410[[#This Row],[RATE CONCAT]],Tables!I:N,6,0)),0)</f>
        <v/>
      </c>
      <c r="DY43" s="342">
        <f>Table410[[#This Row],[Apr_2027_F]]-Table410[[#This Row],[Apr_2027_A]]</f>
        <v/>
      </c>
      <c r="DZ43" s="342">
        <f>IFERROR(Table410[[#This Row],[May_2027_Days_Forecast]]*Table410[[#This Row],[Cost Boolean]]*(VLOOKUP(Table410[[#This Row],[RATE CONCAT]],Tables!I:N,6,0)),0)</f>
        <v/>
      </c>
      <c r="EB43" s="342">
        <f>Table410[[#This Row],[May_2027_F]]-Table410[[#This Row],[May_2027_A]]</f>
        <v/>
      </c>
      <c r="EC43" s="342">
        <f>IFERROR(Table410[[#This Row],[Jun_2027_Days_Forecast]]*Table410[[#This Row],[Cost Boolean]]*(VLOOKUP(Table410[[#This Row],[RATE CONCAT]],Tables!I:N,6,0)),0)</f>
        <v/>
      </c>
      <c r="EE43" s="342">
        <f>Table410[[#This Row],[Jun_2027_F]]-Table410[[#This Row],[Jun_2027_A]]</f>
        <v/>
      </c>
      <c r="EF43" s="342">
        <f>IFERROR(Table410[[#This Row],[Jul_2027_Days_Forecast]]*Table410[[#This Row],[Cost Boolean]]*(VLOOKUP(Table410[[#This Row],[RATE CONCAT]],Tables!I:N,6,0)),0)</f>
        <v/>
      </c>
      <c r="EH43" s="342">
        <f>Table410[[#This Row],[Jul_2027_F]]-Table410[[#This Row],[Jul_2027_A]]</f>
        <v/>
      </c>
      <c r="EI43" s="342">
        <f>IFERROR(Table410[[#This Row],[Aug_2027_Days_Forecast]]*Table410[[#This Row],[Cost Boolean]]*(VLOOKUP(Table410[[#This Row],[RATE CONCAT]],Tables!I:N,6,0)),0)</f>
        <v/>
      </c>
      <c r="EK43" s="342">
        <f>Table410[[#This Row],[Aug_2027_F]]-Table410[[#This Row],[Aug_2027_A]]</f>
        <v/>
      </c>
      <c r="EL43" s="342">
        <f>IFERROR(Table410[[#This Row],[Sep_2027_Days_Forecast]]*Table410[[#This Row],[Cost Boolean]]*(VLOOKUP(Table410[[#This Row],[RATE CONCAT]],Tables!I:N,6,0)),0)</f>
        <v/>
      </c>
      <c r="EN43" s="342">
        <f>Table410[[#This Row],[Sep_2027_F]]-Table410[[#This Row],[Sep_2027_A]]</f>
        <v/>
      </c>
      <c r="EO43" s="342">
        <f>IFERROR(Table410[[#This Row],[Oct_2027_Days_Forecast]]*Table410[[#This Row],[Cost Boolean]]*(VLOOKUP(Table410[[#This Row],[RATE CONCAT]],Tables!I:N,6,0)),0)</f>
        <v/>
      </c>
      <c r="EQ43" s="342">
        <f>Table410[[#This Row],[Oct_2027_F]]-Table410[[#This Row],[Oct_2027_A]]</f>
        <v/>
      </c>
      <c r="ER43" s="342">
        <f>IFERROR(Table410[[#This Row],[Nov_2027_Days_Forecast]]*Table410[[#This Row],[Cost Boolean]]*(VLOOKUP(Table410[[#This Row],[RATE CONCAT]],Tables!I:N,6,0)),0)</f>
        <v/>
      </c>
      <c r="ET43" s="342">
        <f>Table410[[#This Row],[Nov_2027_F]]-Table410[[#This Row],[Nov_2027_A]]</f>
        <v/>
      </c>
      <c r="EU43" s="342">
        <f>IFERROR(Table410[[#This Row],[Dec_2027_Days_Forecast]]*Table410[[#This Row],[Cost Boolean]]*(VLOOKUP(Table410[[#This Row],[RATE CONCAT]],Tables!I:N,6,0)),0)</f>
        <v/>
      </c>
      <c r="EW43" s="342">
        <f>Table410[[#This Row],[Dec_2027_F]]-Table410[[#This Row],[Dec_2027_A]]</f>
        <v/>
      </c>
    </row>
    <row r="44" ht="15" customFormat="1" customHeight="1" s="13">
      <c r="Y44" s="338">
        <f>CONCATENATE(Table410[[#This Row],[JG]],Table410[[#This Row],[Country]],Table410[[#This Row],[Resource Provider]])</f>
        <v/>
      </c>
      <c r="Z44" s="338">
        <f>VLOOKUP(Table410[[#This Row],[RATE CONCAT]],Tables!I:N,5,0)</f>
        <v/>
      </c>
      <c r="AA44" s="52" t="n"/>
      <c r="AB44" s="127" t="n"/>
      <c r="AC44" s="127" t="n"/>
      <c r="AD44" s="127" t="n"/>
      <c r="AE44" s="130" t="n"/>
      <c r="AF44" s="130" t="n"/>
      <c r="AG44" s="130" t="n"/>
      <c r="AH44" s="130" t="n"/>
      <c r="AI44" s="130" t="n"/>
      <c r="AJ44" s="130" t="n"/>
      <c r="AK44" s="130" t="n"/>
      <c r="AL44" s="130" t="n"/>
      <c r="AM44" s="130" t="n"/>
      <c r="AN44" s="341">
        <f>IFERROR(AVERAGE(Table410[[#This Row],[Jan_2026_Days_Forecast]:[Dec_2026_Days_Forecast]]),0)/19</f>
        <v/>
      </c>
      <c r="AO44" s="341">
        <f>IFERROR(AVERAGE(Table410[[#This Row],[Jan_2026_Days_Actual]:[Dec_2026_Days_Actual]]),0)/19</f>
        <v/>
      </c>
      <c r="BB44" s="341">
        <f>IFERROR(AVERAGE(Table410[[#This Row],[Jan_2027_Days_Forecast]:[Dec_2027_Days_Forecast]]),0)</f>
        <v/>
      </c>
      <c r="BC44" s="127" t="n"/>
      <c r="BD44" s="127" t="n"/>
      <c r="BE44" s="127" t="n"/>
      <c r="BF44" s="127" t="n"/>
      <c r="BG44" s="127" t="n"/>
      <c r="BH44" s="127" t="n"/>
      <c r="BI44" s="127" t="n"/>
      <c r="BJ44" s="127" t="n"/>
      <c r="BK44" s="127" t="n"/>
      <c r="BL44" s="127" t="n"/>
      <c r="BM44" s="127" t="n"/>
      <c r="BN44" s="127" t="n"/>
      <c r="BO44" s="176" t="n"/>
      <c r="BP44" s="176" t="n"/>
      <c r="BQ44" s="338">
        <f>IFERROR(Table410[[#This Row],[Jan_2026_Days_Forecast]]*Table410[[#This Row],[Cost Boolean]]*(VLOOKUP(Table410[[#This Row],[RATE CONCAT]],Tables!I:N,5,0)),0)</f>
        <v/>
      </c>
      <c r="BR44" s="338">
        <f>IFERROR(Table410[[#This Row],[Jan_2026_Days_Actual]]*Table410[[#This Row],[Cost Boolean]]*(VLOOKUP(Table410[[#This Row],[RATE CONCAT]],Tables!I:N,5,0)),0)</f>
        <v/>
      </c>
      <c r="BS44" s="338">
        <f>Table410[[#This Row],[Jan_2026_F]]-Table410[[#This Row],[Jan_2026_A]]</f>
        <v/>
      </c>
      <c r="BU44" s="338">
        <f>IFERROR(Table410[[#This Row],[Feb_2026_Days_Forecast]]*Table410[[#This Row],[Cost Boolean]]*(VLOOKUP(Table410[[#This Row],[RATE CONCAT]],Tables!I:N,5,0)),0)</f>
        <v/>
      </c>
      <c r="BV44" s="338">
        <f>IFERROR(Table410[[#This Row],[Feb_2026_Days_Actual]]*Table410[[#This Row],[Cost Boolean]]*(VLOOKUP(Table410[[#This Row],[RATE CONCAT]],Tables!I:N,5,0)),0)</f>
        <v/>
      </c>
      <c r="BW44" s="338">
        <f>Table410[[#This Row],[Feb_2026_F]]-Table410[[#This Row],[Feb_2026_A]]</f>
        <v/>
      </c>
      <c r="BY44" s="338">
        <f>IFERROR(Table410[[#This Row],[Mar_2026_Days_Forecast]]*Table410[[#This Row],[Cost Boolean]]*(VLOOKUP(Table410[[#This Row],[RATE CONCAT]],Tables!I:N,5,0)),0)</f>
        <v/>
      </c>
      <c r="BZ44" s="338">
        <f>IFERROR(Table410[[#This Row],[Mar_2026_Days_Actual]]*Table410[[#This Row],[Cost Boolean]]*(VLOOKUP(Table410[[#This Row],[RATE CONCAT]],Tables!I:N,5,0)),0)</f>
        <v/>
      </c>
      <c r="CA44" s="338">
        <f>Table410[[#This Row],[Mar_2026_F]]-Table410[[#This Row],[Mar_2026_A]]</f>
        <v/>
      </c>
      <c r="CC44" s="338">
        <f>IFERROR(Table410[[#This Row],[Apr_2026_Days_Forecast]]*Table410[[#This Row],[Cost Boolean]]*(VLOOKUP(Table410[[#This Row],[RATE CONCAT]],Tables!I:N,5,0)),0)</f>
        <v/>
      </c>
      <c r="CD44" s="338">
        <f>IFERROR(Table410[[#This Row],[Apr_2026_Days_Actual]]*Table410[[#This Row],[Cost Boolean]]*(VLOOKUP(Table410[[#This Row],[RATE CONCAT]],Tables!I:N,5,0)),0)</f>
        <v/>
      </c>
      <c r="CE44" s="338">
        <f>Table410[[#This Row],[Apr_2026_F]]-Table410[[#This Row],[Apr_2026_A]]</f>
        <v/>
      </c>
      <c r="CG44" s="338">
        <f>IFERROR(Table410[[#This Row],[May_2026_Days_Forecast]] *Table410[[#This Row],[Cost Boolean]]*(VLOOKUP(Table410[[#This Row],[RATE CONCAT]],Tables!I:N,5,0)),0)</f>
        <v/>
      </c>
      <c r="CH44" s="338">
        <f>IFERROR(Table410[[#This Row],[May_2026_Days_Actual]]*Table410[[#This Row],[Cost Boolean]]*(VLOOKUP(Table410[[#This Row],[RATE CONCAT]],Tables!I:N,5,0)),0)</f>
        <v/>
      </c>
      <c r="CI44" s="338">
        <f>Table410[[#This Row],[May_2026_F]]-Table410[[#This Row],[May_2026_A]]</f>
        <v/>
      </c>
      <c r="CK44" s="338">
        <f>IFERROR(Table410[[#This Row],[Jun_2026_Days_Forecast]]*Table410[[#This Row],[Cost Boolean]]*(VLOOKUP(Table410[[#This Row],[RATE CONCAT]],Tables!I:N,5,0)),0)</f>
        <v/>
      </c>
      <c r="CL44" s="338">
        <f>IFERROR(Table410[[#This Row],[Jun_2026_Days_Actual]]*Table410[[#This Row],[Cost Boolean]]*(VLOOKUP(Table410[[#This Row],[RATE CONCAT]],Tables!I:N,5,0)),0)</f>
        <v/>
      </c>
      <c r="CM44" s="338">
        <f>Table410[[#This Row],[Jun_2026_F]]-Table410[[#This Row],[Jun_2026_A]]</f>
        <v/>
      </c>
      <c r="CO44" s="338">
        <f>IFERROR(Table410[[#This Row],[Jul_2026_Days_Forecast]]*Table410[[#This Row],[Cost Boolean]]*(VLOOKUP(Table410[[#This Row],[RATE CONCAT]],Tables!I:N,5,0)),0)</f>
        <v/>
      </c>
      <c r="CP44" s="338">
        <f>IFERROR(Table410[[#This Row],[Jul_2026_Days_Actual]]*Table410[[#This Row],[Cost Boolean]]*(VLOOKUP(Table410[[#This Row],[RATE CONCAT]],Tables!I:N,5,0)),0)</f>
        <v/>
      </c>
      <c r="CQ44" s="338">
        <f>Table410[[#This Row],[Jul_2026_F]]-Table410[[#This Row],[Jul_2026_A]]</f>
        <v/>
      </c>
      <c r="CS44" s="338">
        <f>IFERROR(Table410[[#This Row],[Aug_2026_Days_Forecast]]*Table410[[#This Row],[Cost Boolean]]*(VLOOKUP(Table410[[#This Row],[RATE CONCAT]],Tables!I:N,5,0)),0)</f>
        <v/>
      </c>
      <c r="CT44" s="338">
        <f>IFERROR(Table410[[#This Row],[Aug_2026_Days_Actual]]*Table410[[#This Row],[Cost Boolean]]*(VLOOKUP(Table410[[#This Row],[RATE CONCAT]],Tables!I:N,5,0)),0)</f>
        <v/>
      </c>
      <c r="CU44" s="338">
        <f>Table410[[#This Row],[Aug_2026_F]]-Table410[[#This Row],[Aug_2026_A]]</f>
        <v/>
      </c>
      <c r="CW44" s="338">
        <f>IFERROR(Table410[[#This Row],[Sep_2026_Days_Forecast]]*Table410[[#This Row],[Cost Boolean]]*(VLOOKUP(Table410[[#This Row],[RATE CONCAT]],Tables!I:N,5,0)),0)</f>
        <v/>
      </c>
      <c r="CX44" s="338">
        <f>IFERROR(Table410[[#This Row],[Sep_2026_Days_Actual]]*Table410[[#This Row],[Cost Boolean]]*(VLOOKUP(Table410[[#This Row],[RATE CONCAT]],Tables!I:N,5,0)),0)</f>
        <v/>
      </c>
      <c r="CY44" s="338">
        <f>Table410[[#This Row],[Sep_2026_F]]-Table410[[#This Row],[Sep_2026_A]]</f>
        <v/>
      </c>
      <c r="DA44" s="338">
        <f>IFERROR(Table410[[#This Row],[Oct_2026_Days_Forecast]]*Table410[[#This Row],[Cost Boolean]]*(VLOOKUP(Table410[[#This Row],[RATE CONCAT]],Tables!I:N,5,0)),0)</f>
        <v/>
      </c>
      <c r="DB44" s="338">
        <f>IFERROR(Table410[[#This Row],[Oct_2026_Days_Actual]]*Table410[[#This Row],[Cost Boolean]]*(VLOOKUP(Table410[[#This Row],[RATE CONCAT]],Tables!I:N,5,0)),0)</f>
        <v/>
      </c>
      <c r="DC44" s="338">
        <f>Table410[[#This Row],[Oct_2026_F]]-Table410[[#This Row],[Oct_2026_A]]</f>
        <v/>
      </c>
      <c r="DE44" s="338">
        <f>IFERROR(Table410[[#This Row],[Nov_2026_Days_Forecast]]*Table410[[#This Row],[Cost Boolean]]*(VLOOKUP(Table410[[#This Row],[RATE CONCAT]],Tables!I:N,5,0)),0)</f>
        <v/>
      </c>
      <c r="DF44" s="338">
        <f>IFERROR(Table410[[#This Row],[Nov_2026_Days_Actual]]*Table410[[#This Row],[Cost Boolean]]*(VLOOKUP(Table410[[#This Row],[RATE CONCAT]],Tables!I:N,5,0)),0)</f>
        <v/>
      </c>
      <c r="DG44" s="338">
        <f>Table410[[#This Row],[Nov_2026_F]]-Table410[[#This Row],[Nov_2026_A]]</f>
        <v/>
      </c>
      <c r="DI44" s="338">
        <f>IFERROR(Table410[[#This Row],[Dec_2026_Days_Forecast]]*Table410[[#This Row],[Cost Boolean]]*(VLOOKUP(Table410[[#This Row],[RATE CONCAT]],Tables!I:N,5,0)),0)</f>
        <v/>
      </c>
      <c r="DJ44" s="338">
        <f>IFERROR(Table410[[#This Row],[Dec_2026_Days_Actual]]*Table410[[#This Row],[Cost Boolean]]*(VLOOKUP(Table410[[#This Row],[RATE CONCAT]],Tables!I:N,5,0)),0)</f>
        <v/>
      </c>
      <c r="DK44" s="338">
        <f>Table410[[#This Row],[Dec_2026_F]]-Table410[[#This Row],[Dec_2026_A]]</f>
        <v/>
      </c>
      <c r="DN44" s="338">
        <f>IFERROR(Table410[[#This Row],[Jan_2027_Days_Forecast]]*Table410[[#This Row],[Cost Boolean]]*(VLOOKUP(Table410[[#This Row],[RATE CONCAT]],Tables!I:N,6,0)),0)</f>
        <v/>
      </c>
      <c r="DP44" s="338">
        <f>Table410[[#This Row],[Jan_2027_F]]-Table410[[#This Row],[Jan_2027_A]]</f>
        <v/>
      </c>
      <c r="DQ44" s="338">
        <f>IFERROR(Table410[[#This Row],[Feb_2027_Days_Forecast]]*Table410[[#This Row],[Cost Boolean]]*(VLOOKUP(Table410[[#This Row],[RATE CONCAT]],Tables!I:N,6,0)),0)</f>
        <v/>
      </c>
      <c r="DS44" s="338">
        <f>Table410[[#This Row],[Feb_2027_F]]-Table410[[#This Row],[Feb_2027_A]]</f>
        <v/>
      </c>
      <c r="DT44" s="338">
        <f>IFERROR(Table410[[#This Row],[Mar_2027_Days_Forecast]]*Table410[[#This Row],[Cost Boolean]]*(VLOOKUP(Table410[[#This Row],[RATE CONCAT]],Tables!I:N,6,0)),0)</f>
        <v/>
      </c>
      <c r="DV44" s="338">
        <f>Table410[[#This Row],[Mar_2027_F]]-Table410[[#This Row],[Mar_2027_A]]</f>
        <v/>
      </c>
      <c r="DW44" s="338">
        <f>IFERROR(Table410[[#This Row],[Apr_2027_Days_Forecast]]*Table410[[#This Row],[Cost Boolean]]*(VLOOKUP(Table410[[#This Row],[RATE CONCAT]],Tables!I:N,6,0)),0)</f>
        <v/>
      </c>
      <c r="DY44" s="338">
        <f>Table410[[#This Row],[Apr_2027_F]]-Table410[[#This Row],[Apr_2027_A]]</f>
        <v/>
      </c>
      <c r="DZ44" s="338">
        <f>IFERROR(Table410[[#This Row],[May_2027_Days_Forecast]]*Table410[[#This Row],[Cost Boolean]]*(VLOOKUP(Table410[[#This Row],[RATE CONCAT]],Tables!I:N,6,0)),0)</f>
        <v/>
      </c>
      <c r="EB44" s="338">
        <f>Table410[[#This Row],[May_2027_F]]-Table410[[#This Row],[May_2027_A]]</f>
        <v/>
      </c>
      <c r="EC44" s="338">
        <f>IFERROR(Table410[[#This Row],[Jun_2027_Days_Forecast]]*Table410[[#This Row],[Cost Boolean]]*(VLOOKUP(Table410[[#This Row],[RATE CONCAT]],Tables!I:N,6,0)),0)</f>
        <v/>
      </c>
      <c r="EE44" s="338">
        <f>Table410[[#This Row],[Jun_2027_F]]-Table410[[#This Row],[Jun_2027_A]]</f>
        <v/>
      </c>
      <c r="EF44" s="338">
        <f>IFERROR(Table410[[#This Row],[Jul_2027_Days_Forecast]]*Table410[[#This Row],[Cost Boolean]]*(VLOOKUP(Table410[[#This Row],[RATE CONCAT]],Tables!I:N,6,0)),0)</f>
        <v/>
      </c>
      <c r="EH44" s="338">
        <f>Table410[[#This Row],[Jul_2027_F]]-Table410[[#This Row],[Jul_2027_A]]</f>
        <v/>
      </c>
      <c r="EI44" s="338">
        <f>IFERROR(Table410[[#This Row],[Aug_2027_Days_Forecast]]*Table410[[#This Row],[Cost Boolean]]*(VLOOKUP(Table410[[#This Row],[RATE CONCAT]],Tables!I:N,6,0)),0)</f>
        <v/>
      </c>
      <c r="EK44" s="338">
        <f>Table410[[#This Row],[Aug_2027_F]]-Table410[[#This Row],[Aug_2027_A]]</f>
        <v/>
      </c>
      <c r="EL44" s="338">
        <f>IFERROR(Table410[[#This Row],[Sep_2027_Days_Forecast]]*Table410[[#This Row],[Cost Boolean]]*(VLOOKUP(Table410[[#This Row],[RATE CONCAT]],Tables!I:N,6,0)),0)</f>
        <v/>
      </c>
      <c r="EN44" s="338">
        <f>Table410[[#This Row],[Sep_2027_F]]-Table410[[#This Row],[Sep_2027_A]]</f>
        <v/>
      </c>
      <c r="EO44" s="338">
        <f>IFERROR(Table410[[#This Row],[Oct_2027_Days_Forecast]]*Table410[[#This Row],[Cost Boolean]]*(VLOOKUP(Table410[[#This Row],[RATE CONCAT]],Tables!I:N,6,0)),0)</f>
        <v/>
      </c>
      <c r="EQ44" s="338">
        <f>Table410[[#This Row],[Oct_2027_F]]-Table410[[#This Row],[Oct_2027_A]]</f>
        <v/>
      </c>
      <c r="ER44" s="338">
        <f>IFERROR(Table410[[#This Row],[Nov_2027_Days_Forecast]]*Table410[[#This Row],[Cost Boolean]]*(VLOOKUP(Table410[[#This Row],[RATE CONCAT]],Tables!I:N,6,0)),0)</f>
        <v/>
      </c>
      <c r="ET44" s="338">
        <f>Table410[[#This Row],[Nov_2027_F]]-Table410[[#This Row],[Nov_2027_A]]</f>
        <v/>
      </c>
      <c r="EU44" s="338">
        <f>IFERROR(Table410[[#This Row],[Dec_2027_Days_Forecast]]*Table410[[#This Row],[Cost Boolean]]*(VLOOKUP(Table410[[#This Row],[RATE CONCAT]],Tables!I:N,6,0)),0)</f>
        <v/>
      </c>
      <c r="EW44" s="338">
        <f>Table410[[#This Row],[Dec_2027_F]]-Table410[[#This Row],[Dec_2027_A]]</f>
        <v/>
      </c>
    </row>
    <row r="45" ht="15" customFormat="1" customHeight="1" s="13">
      <c r="Y45" s="342">
        <f>CONCATENATE(Table410[[#This Row],[JG]],Table410[[#This Row],[Country]],Table410[[#This Row],[Resource Provider]])</f>
        <v/>
      </c>
      <c r="Z45" s="342">
        <f>VLOOKUP(Table410[[#This Row],[RATE CONCAT]],Tables!I:N,5,0)</f>
        <v/>
      </c>
      <c r="AA45" s="52" t="n"/>
      <c r="AB45" s="130" t="n"/>
      <c r="AC45" s="130" t="n"/>
      <c r="AD45" s="130" t="n"/>
      <c r="AE45" s="130" t="n"/>
      <c r="AF45" s="130" t="n"/>
      <c r="AG45" s="130" t="n"/>
      <c r="AH45" s="130" t="n"/>
      <c r="AI45" s="130" t="n"/>
      <c r="AJ45" s="130" t="n"/>
      <c r="AK45" s="130" t="n"/>
      <c r="AL45" s="130" t="n"/>
      <c r="AM45" s="130" t="n"/>
      <c r="AN45" s="341">
        <f>IFERROR(AVERAGE(Table410[[#This Row],[Jan_2026_Days_Forecast]:[Dec_2026_Days_Forecast]]),0)/19</f>
        <v/>
      </c>
      <c r="AO45" s="341">
        <f>IFERROR(AVERAGE(Table410[[#This Row],[Jan_2026_Days_Actual]:[Dec_2026_Days_Actual]]),0)/19</f>
        <v/>
      </c>
      <c r="BB45" s="341">
        <f>IFERROR(AVERAGE(Table410[[#This Row],[Jan_2027_Days_Forecast]:[Dec_2027_Days_Forecast]]),0)</f>
        <v/>
      </c>
      <c r="BC45" s="127" t="n"/>
      <c r="BD45" s="127" t="n"/>
      <c r="BE45" s="127" t="n"/>
      <c r="BF45" s="127" t="n"/>
      <c r="BG45" s="127" t="n"/>
      <c r="BH45" s="127" t="n"/>
      <c r="BI45" s="127" t="n"/>
      <c r="BJ45" s="127" t="n"/>
      <c r="BK45" s="127" t="n"/>
      <c r="BL45" s="127" t="n"/>
      <c r="BM45" s="127" t="n"/>
      <c r="BN45" s="127" t="n"/>
      <c r="BO45" s="176" t="n"/>
      <c r="BP45" s="176" t="n"/>
      <c r="BQ45" s="342">
        <f>IFERROR(Table410[[#This Row],[Jan_2026_Days_Forecast]]*Table410[[#This Row],[Cost Boolean]]*(VLOOKUP(Table410[[#This Row],[RATE CONCAT]],Tables!I:N,5,0)),0)</f>
        <v/>
      </c>
      <c r="BR45" s="342">
        <f>IFERROR(Table410[[#This Row],[Jan_2026_Days_Actual]]*Table410[[#This Row],[Cost Boolean]]*(VLOOKUP(Table410[[#This Row],[RATE CONCAT]],Tables!I:N,5,0)),0)</f>
        <v/>
      </c>
      <c r="BS45" s="342">
        <f>Table410[[#This Row],[Jan_2026_F]]-Table410[[#This Row],[Jan_2026_A]]</f>
        <v/>
      </c>
      <c r="BU45" s="342">
        <f>IFERROR(Table410[[#This Row],[Feb_2026_Days_Forecast]]*Table410[[#This Row],[Cost Boolean]]*(VLOOKUP(Table410[[#This Row],[RATE CONCAT]],Tables!I:N,5,0)),0)</f>
        <v/>
      </c>
      <c r="BV45" s="342">
        <f>IFERROR(Table410[[#This Row],[Feb_2026_Days_Actual]]*Table410[[#This Row],[Cost Boolean]]*(VLOOKUP(Table410[[#This Row],[RATE CONCAT]],Tables!I:N,5,0)),0)</f>
        <v/>
      </c>
      <c r="BW45" s="342">
        <f>Table410[[#This Row],[Feb_2026_F]]-Table410[[#This Row],[Feb_2026_A]]</f>
        <v/>
      </c>
      <c r="BY45" s="342">
        <f>IFERROR(Table410[[#This Row],[Mar_2026_Days_Forecast]]*Table410[[#This Row],[Cost Boolean]]*(VLOOKUP(Table410[[#This Row],[RATE CONCAT]],Tables!I:N,5,0)),0)</f>
        <v/>
      </c>
      <c r="BZ45" s="342">
        <f>IFERROR(Table410[[#This Row],[Mar_2026_Days_Actual]]*Table410[[#This Row],[Cost Boolean]]*(VLOOKUP(Table410[[#This Row],[RATE CONCAT]],Tables!I:N,5,0)),0)</f>
        <v/>
      </c>
      <c r="CA45" s="342">
        <f>Table410[[#This Row],[Mar_2026_F]]-Table410[[#This Row],[Mar_2026_A]]</f>
        <v/>
      </c>
      <c r="CC45" s="342">
        <f>IFERROR(Table410[[#This Row],[Apr_2026_Days_Forecast]]*Table410[[#This Row],[Cost Boolean]]*(VLOOKUP(Table410[[#This Row],[RATE CONCAT]],Tables!I:N,5,0)),0)</f>
        <v/>
      </c>
      <c r="CD45" s="342">
        <f>IFERROR(Table410[[#This Row],[Apr_2026_Days_Actual]]*Table410[[#This Row],[Cost Boolean]]*(VLOOKUP(Table410[[#This Row],[RATE CONCAT]],Tables!I:N,5,0)),0)</f>
        <v/>
      </c>
      <c r="CE45" s="342">
        <f>Table410[[#This Row],[Apr_2026_F]]-Table410[[#This Row],[Apr_2026_A]]</f>
        <v/>
      </c>
      <c r="CG45" s="342">
        <f>IFERROR(Table410[[#This Row],[May_2026_Days_Forecast]] *Table410[[#This Row],[Cost Boolean]]*(VLOOKUP(Table410[[#This Row],[RATE CONCAT]],Tables!I:N,5,0)),0)</f>
        <v/>
      </c>
      <c r="CH45" s="342">
        <f>IFERROR(Table410[[#This Row],[May_2026_Days_Actual]]*Table410[[#This Row],[Cost Boolean]]*(VLOOKUP(Table410[[#This Row],[RATE CONCAT]],Tables!I:N,5,0)),0)</f>
        <v/>
      </c>
      <c r="CI45" s="342">
        <f>Table410[[#This Row],[May_2026_F]]-Table410[[#This Row],[May_2026_A]]</f>
        <v/>
      </c>
      <c r="CK45" s="342">
        <f>IFERROR(Table410[[#This Row],[Jun_2026_Days_Forecast]]*Table410[[#This Row],[Cost Boolean]]*(VLOOKUP(Table410[[#This Row],[RATE CONCAT]],Tables!I:N,5,0)),0)</f>
        <v/>
      </c>
      <c r="CL45" s="342">
        <f>IFERROR(Table410[[#This Row],[Jun_2026_Days_Actual]]*Table410[[#This Row],[Cost Boolean]]*(VLOOKUP(Table410[[#This Row],[RATE CONCAT]],Tables!I:N,5,0)),0)</f>
        <v/>
      </c>
      <c r="CM45" s="342">
        <f>Table410[[#This Row],[Jun_2026_F]]-Table410[[#This Row],[Jun_2026_A]]</f>
        <v/>
      </c>
      <c r="CO45" s="342">
        <f>IFERROR(Table410[[#This Row],[Jul_2026_Days_Forecast]]*Table410[[#This Row],[Cost Boolean]]*(VLOOKUP(Table410[[#This Row],[RATE CONCAT]],Tables!I:N,5,0)),0)</f>
        <v/>
      </c>
      <c r="CP45" s="342">
        <f>IFERROR(Table410[[#This Row],[Jul_2026_Days_Actual]]*Table410[[#This Row],[Cost Boolean]]*(VLOOKUP(Table410[[#This Row],[RATE CONCAT]],Tables!I:N,5,0)),0)</f>
        <v/>
      </c>
      <c r="CQ45" s="342">
        <f>Table410[[#This Row],[Jul_2026_F]]-Table410[[#This Row],[Jul_2026_A]]</f>
        <v/>
      </c>
      <c r="CS45" s="342">
        <f>IFERROR(Table410[[#This Row],[Aug_2026_Days_Forecast]]*Table410[[#This Row],[Cost Boolean]]*(VLOOKUP(Table410[[#This Row],[RATE CONCAT]],Tables!I:N,5,0)),0)</f>
        <v/>
      </c>
      <c r="CT45" s="342">
        <f>IFERROR(Table410[[#This Row],[Aug_2026_Days_Actual]]*Table410[[#This Row],[Cost Boolean]]*(VLOOKUP(Table410[[#This Row],[RATE CONCAT]],Tables!I:N,5,0)),0)</f>
        <v/>
      </c>
      <c r="CU45" s="342">
        <f>Table410[[#This Row],[Aug_2026_F]]-Table410[[#This Row],[Aug_2026_A]]</f>
        <v/>
      </c>
      <c r="CW45" s="342">
        <f>IFERROR(Table410[[#This Row],[Sep_2026_Days_Forecast]]*Table410[[#This Row],[Cost Boolean]]*(VLOOKUP(Table410[[#This Row],[RATE CONCAT]],Tables!I:N,5,0)),0)</f>
        <v/>
      </c>
      <c r="CX45" s="342">
        <f>IFERROR(Table410[[#This Row],[Sep_2026_Days_Actual]]*Table410[[#This Row],[Cost Boolean]]*(VLOOKUP(Table410[[#This Row],[RATE CONCAT]],Tables!I:N,5,0)),0)</f>
        <v/>
      </c>
      <c r="CY45" s="342">
        <f>Table410[[#This Row],[Sep_2026_F]]-Table410[[#This Row],[Sep_2026_A]]</f>
        <v/>
      </c>
      <c r="DA45" s="342">
        <f>IFERROR(Table410[[#This Row],[Oct_2026_Days_Forecast]]*Table410[[#This Row],[Cost Boolean]]*(VLOOKUP(Table410[[#This Row],[RATE CONCAT]],Tables!I:N,5,0)),0)</f>
        <v/>
      </c>
      <c r="DB45" s="342">
        <f>IFERROR(Table410[[#This Row],[Oct_2026_Days_Actual]]*Table410[[#This Row],[Cost Boolean]]*(VLOOKUP(Table410[[#This Row],[RATE CONCAT]],Tables!I:N,5,0)),0)</f>
        <v/>
      </c>
      <c r="DC45" s="342">
        <f>Table410[[#This Row],[Oct_2026_F]]-Table410[[#This Row],[Oct_2026_A]]</f>
        <v/>
      </c>
      <c r="DE45" s="342">
        <f>IFERROR(Table410[[#This Row],[Nov_2026_Days_Forecast]]*Table410[[#This Row],[Cost Boolean]]*(VLOOKUP(Table410[[#This Row],[RATE CONCAT]],Tables!I:N,5,0)),0)</f>
        <v/>
      </c>
      <c r="DF45" s="342">
        <f>IFERROR(Table410[[#This Row],[Nov_2026_Days_Actual]]*Table410[[#This Row],[Cost Boolean]]*(VLOOKUP(Table410[[#This Row],[RATE CONCAT]],Tables!I:N,5,0)),0)</f>
        <v/>
      </c>
      <c r="DG45" s="342">
        <f>Table410[[#This Row],[Nov_2026_F]]-Table410[[#This Row],[Nov_2026_A]]</f>
        <v/>
      </c>
      <c r="DI45" s="342">
        <f>IFERROR(Table410[[#This Row],[Dec_2026_Days_Forecast]]*Table410[[#This Row],[Cost Boolean]]*(VLOOKUP(Table410[[#This Row],[RATE CONCAT]],Tables!I:N,5,0)),0)</f>
        <v/>
      </c>
      <c r="DJ45" s="342">
        <f>IFERROR(Table410[[#This Row],[Dec_2026_Days_Actual]]*Table410[[#This Row],[Cost Boolean]]*(VLOOKUP(Table410[[#This Row],[RATE CONCAT]],Tables!I:N,5,0)),0)</f>
        <v/>
      </c>
      <c r="DK45" s="342">
        <f>Table410[[#This Row],[Dec_2026_F]]-Table410[[#This Row],[Dec_2026_A]]</f>
        <v/>
      </c>
      <c r="DN45" s="342">
        <f>IFERROR(Table410[[#This Row],[Jan_2027_Days_Forecast]]*Table410[[#This Row],[Cost Boolean]]*(VLOOKUP(Table410[[#This Row],[RATE CONCAT]],Tables!I:N,6,0)),0)</f>
        <v/>
      </c>
      <c r="DP45" s="342">
        <f>Table410[[#This Row],[Jan_2027_F]]-Table410[[#This Row],[Jan_2027_A]]</f>
        <v/>
      </c>
      <c r="DQ45" s="342">
        <f>IFERROR(Table410[[#This Row],[Feb_2027_Days_Forecast]]*Table410[[#This Row],[Cost Boolean]]*(VLOOKUP(Table410[[#This Row],[RATE CONCAT]],Tables!I:N,6,0)),0)</f>
        <v/>
      </c>
      <c r="DS45" s="342">
        <f>Table410[[#This Row],[Feb_2027_F]]-Table410[[#This Row],[Feb_2027_A]]</f>
        <v/>
      </c>
      <c r="DT45" s="342">
        <f>IFERROR(Table410[[#This Row],[Mar_2027_Days_Forecast]]*Table410[[#This Row],[Cost Boolean]]*(VLOOKUP(Table410[[#This Row],[RATE CONCAT]],Tables!I:N,6,0)),0)</f>
        <v/>
      </c>
      <c r="DV45" s="342">
        <f>Table410[[#This Row],[Mar_2027_F]]-Table410[[#This Row],[Mar_2027_A]]</f>
        <v/>
      </c>
      <c r="DW45" s="342">
        <f>IFERROR(Table410[[#This Row],[Apr_2027_Days_Forecast]]*Table410[[#This Row],[Cost Boolean]]*(VLOOKUP(Table410[[#This Row],[RATE CONCAT]],Tables!I:N,6,0)),0)</f>
        <v/>
      </c>
      <c r="DY45" s="342">
        <f>Table410[[#This Row],[Apr_2027_F]]-Table410[[#This Row],[Apr_2027_A]]</f>
        <v/>
      </c>
      <c r="DZ45" s="342">
        <f>IFERROR(Table410[[#This Row],[May_2027_Days_Forecast]]*Table410[[#This Row],[Cost Boolean]]*(VLOOKUP(Table410[[#This Row],[RATE CONCAT]],Tables!I:N,6,0)),0)</f>
        <v/>
      </c>
      <c r="EB45" s="342">
        <f>Table410[[#This Row],[May_2027_F]]-Table410[[#This Row],[May_2027_A]]</f>
        <v/>
      </c>
      <c r="EC45" s="342">
        <f>IFERROR(Table410[[#This Row],[Jun_2027_Days_Forecast]]*Table410[[#This Row],[Cost Boolean]]*(VLOOKUP(Table410[[#This Row],[RATE CONCAT]],Tables!I:N,6,0)),0)</f>
        <v/>
      </c>
      <c r="EE45" s="342">
        <f>Table410[[#This Row],[Jun_2027_F]]-Table410[[#This Row],[Jun_2027_A]]</f>
        <v/>
      </c>
      <c r="EF45" s="342">
        <f>IFERROR(Table410[[#This Row],[Jul_2027_Days_Forecast]]*Table410[[#This Row],[Cost Boolean]]*(VLOOKUP(Table410[[#This Row],[RATE CONCAT]],Tables!I:N,6,0)),0)</f>
        <v/>
      </c>
      <c r="EH45" s="342">
        <f>Table410[[#This Row],[Jul_2027_F]]-Table410[[#This Row],[Jul_2027_A]]</f>
        <v/>
      </c>
      <c r="EI45" s="342">
        <f>IFERROR(Table410[[#This Row],[Aug_2027_Days_Forecast]]*Table410[[#This Row],[Cost Boolean]]*(VLOOKUP(Table410[[#This Row],[RATE CONCAT]],Tables!I:N,6,0)),0)</f>
        <v/>
      </c>
      <c r="EK45" s="342">
        <f>Table410[[#This Row],[Aug_2027_F]]-Table410[[#This Row],[Aug_2027_A]]</f>
        <v/>
      </c>
      <c r="EL45" s="342">
        <f>IFERROR(Table410[[#This Row],[Sep_2027_Days_Forecast]]*Table410[[#This Row],[Cost Boolean]]*(VLOOKUP(Table410[[#This Row],[RATE CONCAT]],Tables!I:N,6,0)),0)</f>
        <v/>
      </c>
      <c r="EN45" s="342">
        <f>Table410[[#This Row],[Sep_2027_F]]-Table410[[#This Row],[Sep_2027_A]]</f>
        <v/>
      </c>
      <c r="EO45" s="342">
        <f>IFERROR(Table410[[#This Row],[Oct_2027_Days_Forecast]]*Table410[[#This Row],[Cost Boolean]]*(VLOOKUP(Table410[[#This Row],[RATE CONCAT]],Tables!I:N,6,0)),0)</f>
        <v/>
      </c>
      <c r="EQ45" s="342">
        <f>Table410[[#This Row],[Oct_2027_F]]-Table410[[#This Row],[Oct_2027_A]]</f>
        <v/>
      </c>
      <c r="ER45" s="342">
        <f>IFERROR(Table410[[#This Row],[Nov_2027_Days_Forecast]]*Table410[[#This Row],[Cost Boolean]]*(VLOOKUP(Table410[[#This Row],[RATE CONCAT]],Tables!I:N,6,0)),0)</f>
        <v/>
      </c>
      <c r="ET45" s="342">
        <f>Table410[[#This Row],[Nov_2027_F]]-Table410[[#This Row],[Nov_2027_A]]</f>
        <v/>
      </c>
      <c r="EU45" s="342">
        <f>IFERROR(Table410[[#This Row],[Dec_2027_Days_Forecast]]*Table410[[#This Row],[Cost Boolean]]*(VLOOKUP(Table410[[#This Row],[RATE CONCAT]],Tables!I:N,6,0)),0)</f>
        <v/>
      </c>
      <c r="EW45" s="342">
        <f>Table410[[#This Row],[Dec_2027_F]]-Table410[[#This Row],[Dec_2027_A]]</f>
        <v/>
      </c>
    </row>
    <row r="46" ht="15" customFormat="1" customHeight="1" s="13">
      <c r="Y46" s="338">
        <f>CONCATENATE(Table410[[#This Row],[JG]],Table410[[#This Row],[Country]],Table410[[#This Row],[Resource Provider]])</f>
        <v/>
      </c>
      <c r="Z46" s="338">
        <f>VLOOKUP(Table410[[#This Row],[RATE CONCAT]],Tables!I:N,5,0)</f>
        <v/>
      </c>
      <c r="AA46" s="52" t="n"/>
      <c r="AB46" s="127" t="n"/>
      <c r="AC46" s="127" t="n"/>
      <c r="AD46" s="127" t="n"/>
      <c r="AE46" s="127" t="n"/>
      <c r="AF46" s="127" t="n"/>
      <c r="AG46" s="127" t="n"/>
      <c r="AH46" s="127" t="n"/>
      <c r="AI46" s="130" t="n"/>
      <c r="AJ46" s="130" t="n"/>
      <c r="AK46" s="130" t="n"/>
      <c r="AL46" s="130" t="n"/>
      <c r="AM46" s="130" t="n"/>
      <c r="AN46" s="341">
        <f>IFERROR(AVERAGE(Table410[[#This Row],[Jan_2026_Days_Forecast]:[Dec_2026_Days_Forecast]]),0)/19</f>
        <v/>
      </c>
      <c r="AO46" s="341">
        <f>IFERROR(AVERAGE(Table410[[#This Row],[Jan_2026_Days_Actual]:[Dec_2026_Days_Actual]]),0)/19</f>
        <v/>
      </c>
      <c r="BB46" s="341">
        <f>IFERROR(AVERAGE(Table410[[#This Row],[Jan_2027_Days_Forecast]:[Dec_2027_Days_Forecast]]),0)</f>
        <v/>
      </c>
      <c r="BC46" s="127" t="n"/>
      <c r="BD46" s="127" t="n"/>
      <c r="BE46" s="127" t="n"/>
      <c r="BF46" s="127" t="n"/>
      <c r="BG46" s="127" t="n"/>
      <c r="BH46" s="127" t="n"/>
      <c r="BI46" s="127" t="n"/>
      <c r="BJ46" s="127" t="n"/>
      <c r="BK46" s="127" t="n"/>
      <c r="BL46" s="127" t="n"/>
      <c r="BM46" s="127" t="n"/>
      <c r="BN46" s="127" t="n"/>
      <c r="BO46" s="176" t="n"/>
      <c r="BP46" s="176" t="n"/>
      <c r="BQ46" s="338">
        <f>IFERROR(Table410[[#This Row],[Jan_2026_Days_Forecast]]*Table410[[#This Row],[Cost Boolean]]*(VLOOKUP(Table410[[#This Row],[RATE CONCAT]],Tables!I:N,5,0)),0)</f>
        <v/>
      </c>
      <c r="BR46" s="338">
        <f>IFERROR(Table410[[#This Row],[Jan_2026_Days_Actual]]*Table410[[#This Row],[Cost Boolean]]*(VLOOKUP(Table410[[#This Row],[RATE CONCAT]],Tables!I:N,5,0)),0)</f>
        <v/>
      </c>
      <c r="BS46" s="338">
        <f>Table410[[#This Row],[Jan_2026_F]]-Table410[[#This Row],[Jan_2026_A]]</f>
        <v/>
      </c>
      <c r="BU46" s="338">
        <f>IFERROR(Table410[[#This Row],[Feb_2026_Days_Forecast]]*Table410[[#This Row],[Cost Boolean]]*(VLOOKUP(Table410[[#This Row],[RATE CONCAT]],Tables!I:N,5,0)),0)</f>
        <v/>
      </c>
      <c r="BV46" s="338">
        <f>IFERROR(Table410[[#This Row],[Feb_2026_Days_Actual]]*Table410[[#This Row],[Cost Boolean]]*(VLOOKUP(Table410[[#This Row],[RATE CONCAT]],Tables!I:N,5,0)),0)</f>
        <v/>
      </c>
      <c r="BW46" s="338">
        <f>Table410[[#This Row],[Feb_2026_F]]-Table410[[#This Row],[Feb_2026_A]]</f>
        <v/>
      </c>
      <c r="BY46" s="338">
        <f>IFERROR(Table410[[#This Row],[Mar_2026_Days_Forecast]]*Table410[[#This Row],[Cost Boolean]]*(VLOOKUP(Table410[[#This Row],[RATE CONCAT]],Tables!I:N,5,0)),0)</f>
        <v/>
      </c>
      <c r="BZ46" s="338">
        <f>IFERROR(Table410[[#This Row],[Mar_2026_Days_Actual]]*Table410[[#This Row],[Cost Boolean]]*(VLOOKUP(Table410[[#This Row],[RATE CONCAT]],Tables!I:N,5,0)),0)</f>
        <v/>
      </c>
      <c r="CA46" s="338">
        <f>Table410[[#This Row],[Mar_2026_F]]-Table410[[#This Row],[Mar_2026_A]]</f>
        <v/>
      </c>
      <c r="CC46" s="338">
        <f>IFERROR(Table410[[#This Row],[Apr_2026_Days_Forecast]]*Table410[[#This Row],[Cost Boolean]]*(VLOOKUP(Table410[[#This Row],[RATE CONCAT]],Tables!I:N,5,0)),0)</f>
        <v/>
      </c>
      <c r="CD46" s="338">
        <f>IFERROR(Table410[[#This Row],[Apr_2026_Days_Actual]]*Table410[[#This Row],[Cost Boolean]]*(VLOOKUP(Table410[[#This Row],[RATE CONCAT]],Tables!I:N,5,0)),0)</f>
        <v/>
      </c>
      <c r="CE46" s="338">
        <f>Table410[[#This Row],[Apr_2026_F]]-Table410[[#This Row],[Apr_2026_A]]</f>
        <v/>
      </c>
      <c r="CG46" s="338">
        <f>IFERROR(Table410[[#This Row],[May_2026_Days_Forecast]] *Table410[[#This Row],[Cost Boolean]]*(VLOOKUP(Table410[[#This Row],[RATE CONCAT]],Tables!I:N,5,0)),0)</f>
        <v/>
      </c>
      <c r="CH46" s="338">
        <f>IFERROR(Table410[[#This Row],[May_2026_Days_Actual]]*Table410[[#This Row],[Cost Boolean]]*(VLOOKUP(Table410[[#This Row],[RATE CONCAT]],Tables!I:N,5,0)),0)</f>
        <v/>
      </c>
      <c r="CI46" s="338">
        <f>Table410[[#This Row],[May_2026_F]]-Table410[[#This Row],[May_2026_A]]</f>
        <v/>
      </c>
      <c r="CK46" s="338">
        <f>IFERROR(Table410[[#This Row],[Jun_2026_Days_Forecast]]*Table410[[#This Row],[Cost Boolean]]*(VLOOKUP(Table410[[#This Row],[RATE CONCAT]],Tables!I:N,5,0)),0)</f>
        <v/>
      </c>
      <c r="CL46" s="338">
        <f>IFERROR(Table410[[#This Row],[Jun_2026_Days_Actual]]*Table410[[#This Row],[Cost Boolean]]*(VLOOKUP(Table410[[#This Row],[RATE CONCAT]],Tables!I:N,5,0)),0)</f>
        <v/>
      </c>
      <c r="CM46" s="338">
        <f>Table410[[#This Row],[Jun_2026_F]]-Table410[[#This Row],[Jun_2026_A]]</f>
        <v/>
      </c>
      <c r="CO46" s="338">
        <f>IFERROR(Table410[[#This Row],[Jul_2026_Days_Forecast]]*Table410[[#This Row],[Cost Boolean]]*(VLOOKUP(Table410[[#This Row],[RATE CONCAT]],Tables!I:N,5,0)),0)</f>
        <v/>
      </c>
      <c r="CP46" s="338">
        <f>IFERROR(Table410[[#This Row],[Jul_2026_Days_Actual]]*Table410[[#This Row],[Cost Boolean]]*(VLOOKUP(Table410[[#This Row],[RATE CONCAT]],Tables!I:N,5,0)),0)</f>
        <v/>
      </c>
      <c r="CQ46" s="338">
        <f>Table410[[#This Row],[Jul_2026_F]]-Table410[[#This Row],[Jul_2026_A]]</f>
        <v/>
      </c>
      <c r="CS46" s="338">
        <f>IFERROR(Table410[[#This Row],[Aug_2026_Days_Forecast]]*Table410[[#This Row],[Cost Boolean]]*(VLOOKUP(Table410[[#This Row],[RATE CONCAT]],Tables!I:N,5,0)),0)</f>
        <v/>
      </c>
      <c r="CT46" s="338">
        <f>IFERROR(Table410[[#This Row],[Aug_2026_Days_Actual]]*Table410[[#This Row],[Cost Boolean]]*(VLOOKUP(Table410[[#This Row],[RATE CONCAT]],Tables!I:N,5,0)),0)</f>
        <v/>
      </c>
      <c r="CU46" s="338">
        <f>Table410[[#This Row],[Aug_2026_F]]-Table410[[#This Row],[Aug_2026_A]]</f>
        <v/>
      </c>
      <c r="CW46" s="338">
        <f>IFERROR(Table410[[#This Row],[Sep_2026_Days_Forecast]]*Table410[[#This Row],[Cost Boolean]]*(VLOOKUP(Table410[[#This Row],[RATE CONCAT]],Tables!I:N,5,0)),0)</f>
        <v/>
      </c>
      <c r="CX46" s="338">
        <f>IFERROR(Table410[[#This Row],[Sep_2026_Days_Actual]]*Table410[[#This Row],[Cost Boolean]]*(VLOOKUP(Table410[[#This Row],[RATE CONCAT]],Tables!I:N,5,0)),0)</f>
        <v/>
      </c>
      <c r="CY46" s="338">
        <f>Table410[[#This Row],[Sep_2026_F]]-Table410[[#This Row],[Sep_2026_A]]</f>
        <v/>
      </c>
      <c r="DA46" s="338">
        <f>IFERROR(Table410[[#This Row],[Oct_2026_Days_Forecast]]*Table410[[#This Row],[Cost Boolean]]*(VLOOKUP(Table410[[#This Row],[RATE CONCAT]],Tables!I:N,5,0)),0)</f>
        <v/>
      </c>
      <c r="DB46" s="338">
        <f>IFERROR(Table410[[#This Row],[Oct_2026_Days_Actual]]*Table410[[#This Row],[Cost Boolean]]*(VLOOKUP(Table410[[#This Row],[RATE CONCAT]],Tables!I:N,5,0)),0)</f>
        <v/>
      </c>
      <c r="DC46" s="338">
        <f>Table410[[#This Row],[Oct_2026_F]]-Table410[[#This Row],[Oct_2026_A]]</f>
        <v/>
      </c>
      <c r="DE46" s="338">
        <f>IFERROR(Table410[[#This Row],[Nov_2026_Days_Forecast]]*Table410[[#This Row],[Cost Boolean]]*(VLOOKUP(Table410[[#This Row],[RATE CONCAT]],Tables!I:N,5,0)),0)</f>
        <v/>
      </c>
      <c r="DF46" s="338">
        <f>IFERROR(Table410[[#This Row],[Nov_2026_Days_Actual]]*Table410[[#This Row],[Cost Boolean]]*(VLOOKUP(Table410[[#This Row],[RATE CONCAT]],Tables!I:N,5,0)),0)</f>
        <v/>
      </c>
      <c r="DG46" s="338">
        <f>Table410[[#This Row],[Nov_2026_F]]-Table410[[#This Row],[Nov_2026_A]]</f>
        <v/>
      </c>
      <c r="DI46" s="338">
        <f>IFERROR(Table410[[#This Row],[Dec_2026_Days_Forecast]]*Table410[[#This Row],[Cost Boolean]]*(VLOOKUP(Table410[[#This Row],[RATE CONCAT]],Tables!I:N,5,0)),0)</f>
        <v/>
      </c>
      <c r="DJ46" s="338">
        <f>IFERROR(Table410[[#This Row],[Dec_2026_Days_Actual]]*Table410[[#This Row],[Cost Boolean]]*(VLOOKUP(Table410[[#This Row],[RATE CONCAT]],Tables!I:N,5,0)),0)</f>
        <v/>
      </c>
      <c r="DK46" s="338">
        <f>Table410[[#This Row],[Dec_2026_F]]-Table410[[#This Row],[Dec_2026_A]]</f>
        <v/>
      </c>
      <c r="DN46" s="338">
        <f>IFERROR(Table410[[#This Row],[Jan_2027_Days_Forecast]]*Table410[[#This Row],[Cost Boolean]]*(VLOOKUP(Table410[[#This Row],[RATE CONCAT]],Tables!I:N,6,0)),0)</f>
        <v/>
      </c>
      <c r="DP46" s="338">
        <f>Table410[[#This Row],[Jan_2027_F]]-Table410[[#This Row],[Jan_2027_A]]</f>
        <v/>
      </c>
      <c r="DQ46" s="338">
        <f>IFERROR(Table410[[#This Row],[Feb_2027_Days_Forecast]]*Table410[[#This Row],[Cost Boolean]]*(VLOOKUP(Table410[[#This Row],[RATE CONCAT]],Tables!I:N,6,0)),0)</f>
        <v/>
      </c>
      <c r="DS46" s="338">
        <f>Table410[[#This Row],[Feb_2027_F]]-Table410[[#This Row],[Feb_2027_A]]</f>
        <v/>
      </c>
      <c r="DT46" s="338">
        <f>IFERROR(Table410[[#This Row],[Mar_2027_Days_Forecast]]*Table410[[#This Row],[Cost Boolean]]*(VLOOKUP(Table410[[#This Row],[RATE CONCAT]],Tables!I:N,6,0)),0)</f>
        <v/>
      </c>
      <c r="DV46" s="338">
        <f>Table410[[#This Row],[Mar_2027_F]]-Table410[[#This Row],[Mar_2027_A]]</f>
        <v/>
      </c>
      <c r="DW46" s="338">
        <f>IFERROR(Table410[[#This Row],[Apr_2027_Days_Forecast]]*Table410[[#This Row],[Cost Boolean]]*(VLOOKUP(Table410[[#This Row],[RATE CONCAT]],Tables!I:N,6,0)),0)</f>
        <v/>
      </c>
      <c r="DY46" s="338">
        <f>Table410[[#This Row],[Apr_2027_F]]-Table410[[#This Row],[Apr_2027_A]]</f>
        <v/>
      </c>
      <c r="DZ46" s="338">
        <f>IFERROR(Table410[[#This Row],[May_2027_Days_Forecast]]*Table410[[#This Row],[Cost Boolean]]*(VLOOKUP(Table410[[#This Row],[RATE CONCAT]],Tables!I:N,6,0)),0)</f>
        <v/>
      </c>
      <c r="EB46" s="338">
        <f>Table410[[#This Row],[May_2027_F]]-Table410[[#This Row],[May_2027_A]]</f>
        <v/>
      </c>
      <c r="EC46" s="338">
        <f>IFERROR(Table410[[#This Row],[Jun_2027_Days_Forecast]]*Table410[[#This Row],[Cost Boolean]]*(VLOOKUP(Table410[[#This Row],[RATE CONCAT]],Tables!I:N,6,0)),0)</f>
        <v/>
      </c>
      <c r="EE46" s="338">
        <f>Table410[[#This Row],[Jun_2027_F]]-Table410[[#This Row],[Jun_2027_A]]</f>
        <v/>
      </c>
      <c r="EF46" s="338">
        <f>IFERROR(Table410[[#This Row],[Jul_2027_Days_Forecast]]*Table410[[#This Row],[Cost Boolean]]*(VLOOKUP(Table410[[#This Row],[RATE CONCAT]],Tables!I:N,6,0)),0)</f>
        <v/>
      </c>
      <c r="EH46" s="338">
        <f>Table410[[#This Row],[Jul_2027_F]]-Table410[[#This Row],[Jul_2027_A]]</f>
        <v/>
      </c>
      <c r="EI46" s="338">
        <f>IFERROR(Table410[[#This Row],[Aug_2027_Days_Forecast]]*Table410[[#This Row],[Cost Boolean]]*(VLOOKUP(Table410[[#This Row],[RATE CONCAT]],Tables!I:N,6,0)),0)</f>
        <v/>
      </c>
      <c r="EK46" s="338">
        <f>Table410[[#This Row],[Aug_2027_F]]-Table410[[#This Row],[Aug_2027_A]]</f>
        <v/>
      </c>
      <c r="EL46" s="338">
        <f>IFERROR(Table410[[#This Row],[Sep_2027_Days_Forecast]]*Table410[[#This Row],[Cost Boolean]]*(VLOOKUP(Table410[[#This Row],[RATE CONCAT]],Tables!I:N,6,0)),0)</f>
        <v/>
      </c>
      <c r="EN46" s="338">
        <f>Table410[[#This Row],[Sep_2027_F]]-Table410[[#This Row],[Sep_2027_A]]</f>
        <v/>
      </c>
      <c r="EO46" s="338">
        <f>IFERROR(Table410[[#This Row],[Oct_2027_Days_Forecast]]*Table410[[#This Row],[Cost Boolean]]*(VLOOKUP(Table410[[#This Row],[RATE CONCAT]],Tables!I:N,6,0)),0)</f>
        <v/>
      </c>
      <c r="EQ46" s="338">
        <f>Table410[[#This Row],[Oct_2027_F]]-Table410[[#This Row],[Oct_2027_A]]</f>
        <v/>
      </c>
      <c r="ER46" s="338">
        <f>IFERROR(Table410[[#This Row],[Nov_2027_Days_Forecast]]*Table410[[#This Row],[Cost Boolean]]*(VLOOKUP(Table410[[#This Row],[RATE CONCAT]],Tables!I:N,6,0)),0)</f>
        <v/>
      </c>
      <c r="ET46" s="338">
        <f>Table410[[#This Row],[Nov_2027_F]]-Table410[[#This Row],[Nov_2027_A]]</f>
        <v/>
      </c>
      <c r="EU46" s="338">
        <f>IFERROR(Table410[[#This Row],[Dec_2027_Days_Forecast]]*Table410[[#This Row],[Cost Boolean]]*(VLOOKUP(Table410[[#This Row],[RATE CONCAT]],Tables!I:N,6,0)),0)</f>
        <v/>
      </c>
      <c r="EW46" s="338">
        <f>Table410[[#This Row],[Dec_2027_F]]-Table410[[#This Row],[Dec_2027_A]]</f>
        <v/>
      </c>
    </row>
    <row r="47" ht="15" customFormat="1" customHeight="1" s="13">
      <c r="Y47" s="342">
        <f>CONCATENATE(Table410[[#This Row],[JG]],Table410[[#This Row],[Country]],Table410[[#This Row],[Resource Provider]])</f>
        <v/>
      </c>
      <c r="Z47" s="342">
        <f>VLOOKUP(Table410[[#This Row],[RATE CONCAT]],Tables!I:N,5,0)</f>
        <v/>
      </c>
      <c r="AA47" s="52" t="n"/>
      <c r="AB47" s="127" t="n"/>
      <c r="AC47" s="127" t="n"/>
      <c r="AD47" s="127" t="n"/>
      <c r="AE47" s="127" t="n"/>
      <c r="AF47" s="127" t="n"/>
      <c r="AG47" s="127" t="n"/>
      <c r="AH47" s="127" t="n"/>
      <c r="AI47" s="130" t="n"/>
      <c r="AJ47" s="130" t="n"/>
      <c r="AK47" s="130" t="n"/>
      <c r="AL47" s="130" t="n"/>
      <c r="AM47" s="130" t="n"/>
      <c r="AN47" s="341">
        <f>IFERROR(AVERAGE(Table410[[#This Row],[Jan_2026_Days_Forecast]:[Dec_2026_Days_Forecast]]),0)/19</f>
        <v/>
      </c>
      <c r="AO47" s="341">
        <f>IFERROR(AVERAGE(Table410[[#This Row],[Jan_2026_Days_Actual]:[Dec_2026_Days_Actual]]),0)/19</f>
        <v/>
      </c>
      <c r="BB47" s="341">
        <f>IFERROR(AVERAGE(Table410[[#This Row],[Jan_2027_Days_Forecast]:[Dec_2027_Days_Forecast]]),0)</f>
        <v/>
      </c>
      <c r="BC47" s="127" t="n"/>
      <c r="BD47" s="127" t="n"/>
      <c r="BE47" s="127" t="n"/>
      <c r="BF47" s="127" t="n"/>
      <c r="BG47" s="127" t="n"/>
      <c r="BH47" s="127" t="n"/>
      <c r="BI47" s="127" t="n"/>
      <c r="BJ47" s="127" t="n"/>
      <c r="BK47" s="127" t="n"/>
      <c r="BL47" s="127" t="n"/>
      <c r="BM47" s="127" t="n"/>
      <c r="BN47" s="127" t="n"/>
      <c r="BO47" s="176" t="n"/>
      <c r="BP47" s="176" t="n"/>
      <c r="BQ47" s="342">
        <f>IFERROR(Table410[[#This Row],[Jan_2026_Days_Forecast]]*Table410[[#This Row],[Cost Boolean]]*(VLOOKUP(Table410[[#This Row],[RATE CONCAT]],Tables!I:N,5,0)),0)</f>
        <v/>
      </c>
      <c r="BR47" s="342">
        <f>IFERROR(Table410[[#This Row],[Jan_2026_Days_Actual]]*Table410[[#This Row],[Cost Boolean]]*(VLOOKUP(Table410[[#This Row],[RATE CONCAT]],Tables!I:N,5,0)),0)</f>
        <v/>
      </c>
      <c r="BS47" s="342">
        <f>Table410[[#This Row],[Jan_2026_F]]-Table410[[#This Row],[Jan_2026_A]]</f>
        <v/>
      </c>
      <c r="BU47" s="342">
        <f>IFERROR(Table410[[#This Row],[Feb_2026_Days_Forecast]]*Table410[[#This Row],[Cost Boolean]]*(VLOOKUP(Table410[[#This Row],[RATE CONCAT]],Tables!I:N,5,0)),0)</f>
        <v/>
      </c>
      <c r="BV47" s="342">
        <f>IFERROR(Table410[[#This Row],[Feb_2026_Days_Actual]]*Table410[[#This Row],[Cost Boolean]]*(VLOOKUP(Table410[[#This Row],[RATE CONCAT]],Tables!I:N,5,0)),0)</f>
        <v/>
      </c>
      <c r="BW47" s="342">
        <f>Table410[[#This Row],[Feb_2026_F]]-Table410[[#This Row],[Feb_2026_A]]</f>
        <v/>
      </c>
      <c r="BY47" s="342">
        <f>IFERROR(Table410[[#This Row],[Mar_2026_Days_Forecast]]*Table410[[#This Row],[Cost Boolean]]*(VLOOKUP(Table410[[#This Row],[RATE CONCAT]],Tables!I:N,5,0)),0)</f>
        <v/>
      </c>
      <c r="BZ47" s="342">
        <f>IFERROR(Table410[[#This Row],[Mar_2026_Days_Actual]]*Table410[[#This Row],[Cost Boolean]]*(VLOOKUP(Table410[[#This Row],[RATE CONCAT]],Tables!I:N,5,0)),0)</f>
        <v/>
      </c>
      <c r="CA47" s="342">
        <f>Table410[[#This Row],[Mar_2026_F]]-Table410[[#This Row],[Mar_2026_A]]</f>
        <v/>
      </c>
      <c r="CC47" s="342">
        <f>IFERROR(Table410[[#This Row],[Apr_2026_Days_Forecast]]*Table410[[#This Row],[Cost Boolean]]*(VLOOKUP(Table410[[#This Row],[RATE CONCAT]],Tables!I:N,5,0)),0)</f>
        <v/>
      </c>
      <c r="CD47" s="342">
        <f>IFERROR(Table410[[#This Row],[Apr_2026_Days_Actual]]*Table410[[#This Row],[Cost Boolean]]*(VLOOKUP(Table410[[#This Row],[RATE CONCAT]],Tables!I:N,5,0)),0)</f>
        <v/>
      </c>
      <c r="CE47" s="342">
        <f>Table410[[#This Row],[Apr_2026_F]]-Table410[[#This Row],[Apr_2026_A]]</f>
        <v/>
      </c>
      <c r="CG47" s="342">
        <f>IFERROR(Table410[[#This Row],[May_2026_Days_Forecast]] *Table410[[#This Row],[Cost Boolean]]*(VLOOKUP(Table410[[#This Row],[RATE CONCAT]],Tables!I:N,5,0)),0)</f>
        <v/>
      </c>
      <c r="CH47" s="342">
        <f>IFERROR(Table410[[#This Row],[May_2026_Days_Actual]]*Table410[[#This Row],[Cost Boolean]]*(VLOOKUP(Table410[[#This Row],[RATE CONCAT]],Tables!I:N,5,0)),0)</f>
        <v/>
      </c>
      <c r="CI47" s="342">
        <f>Table410[[#This Row],[May_2026_F]]-Table410[[#This Row],[May_2026_A]]</f>
        <v/>
      </c>
      <c r="CK47" s="342">
        <f>IFERROR(Table410[[#This Row],[Jun_2026_Days_Forecast]]*Table410[[#This Row],[Cost Boolean]]*(VLOOKUP(Table410[[#This Row],[RATE CONCAT]],Tables!I:N,5,0)),0)</f>
        <v/>
      </c>
      <c r="CL47" s="342">
        <f>IFERROR(Table410[[#This Row],[Jun_2026_Days_Actual]]*Table410[[#This Row],[Cost Boolean]]*(VLOOKUP(Table410[[#This Row],[RATE CONCAT]],Tables!I:N,5,0)),0)</f>
        <v/>
      </c>
      <c r="CM47" s="342">
        <f>Table410[[#This Row],[Jun_2026_F]]-Table410[[#This Row],[Jun_2026_A]]</f>
        <v/>
      </c>
      <c r="CO47" s="342">
        <f>IFERROR(Table410[[#This Row],[Jul_2026_Days_Forecast]]*Table410[[#This Row],[Cost Boolean]]*(VLOOKUP(Table410[[#This Row],[RATE CONCAT]],Tables!I:N,5,0)),0)</f>
        <v/>
      </c>
      <c r="CP47" s="342">
        <f>IFERROR(Table410[[#This Row],[Jul_2026_Days_Actual]]*Table410[[#This Row],[Cost Boolean]]*(VLOOKUP(Table410[[#This Row],[RATE CONCAT]],Tables!I:N,5,0)),0)</f>
        <v/>
      </c>
      <c r="CQ47" s="342">
        <f>Table410[[#This Row],[Jul_2026_F]]-Table410[[#This Row],[Jul_2026_A]]</f>
        <v/>
      </c>
      <c r="CS47" s="342">
        <f>IFERROR(Table410[[#This Row],[Aug_2026_Days_Forecast]]*Table410[[#This Row],[Cost Boolean]]*(VLOOKUP(Table410[[#This Row],[RATE CONCAT]],Tables!I:N,5,0)),0)</f>
        <v/>
      </c>
      <c r="CT47" s="342">
        <f>IFERROR(Table410[[#This Row],[Aug_2026_Days_Actual]]*Table410[[#This Row],[Cost Boolean]]*(VLOOKUP(Table410[[#This Row],[RATE CONCAT]],Tables!I:N,5,0)),0)</f>
        <v/>
      </c>
      <c r="CU47" s="342">
        <f>Table410[[#This Row],[Aug_2026_F]]-Table410[[#This Row],[Aug_2026_A]]</f>
        <v/>
      </c>
      <c r="CW47" s="342">
        <f>IFERROR(Table410[[#This Row],[Sep_2026_Days_Forecast]]*Table410[[#This Row],[Cost Boolean]]*(VLOOKUP(Table410[[#This Row],[RATE CONCAT]],Tables!I:N,5,0)),0)</f>
        <v/>
      </c>
      <c r="CX47" s="342">
        <f>IFERROR(Table410[[#This Row],[Sep_2026_Days_Actual]]*Table410[[#This Row],[Cost Boolean]]*(VLOOKUP(Table410[[#This Row],[RATE CONCAT]],Tables!I:N,5,0)),0)</f>
        <v/>
      </c>
      <c r="CY47" s="342">
        <f>Table410[[#This Row],[Sep_2026_F]]-Table410[[#This Row],[Sep_2026_A]]</f>
        <v/>
      </c>
      <c r="DA47" s="342">
        <f>IFERROR(Table410[[#This Row],[Oct_2026_Days_Forecast]]*Table410[[#This Row],[Cost Boolean]]*(VLOOKUP(Table410[[#This Row],[RATE CONCAT]],Tables!I:N,5,0)),0)</f>
        <v/>
      </c>
      <c r="DB47" s="342">
        <f>IFERROR(Table410[[#This Row],[Oct_2026_Days_Actual]]*Table410[[#This Row],[Cost Boolean]]*(VLOOKUP(Table410[[#This Row],[RATE CONCAT]],Tables!I:N,5,0)),0)</f>
        <v/>
      </c>
      <c r="DC47" s="342">
        <f>Table410[[#This Row],[Oct_2026_F]]-Table410[[#This Row],[Oct_2026_A]]</f>
        <v/>
      </c>
      <c r="DE47" s="342">
        <f>IFERROR(Table410[[#This Row],[Nov_2026_Days_Forecast]]*Table410[[#This Row],[Cost Boolean]]*(VLOOKUP(Table410[[#This Row],[RATE CONCAT]],Tables!I:N,5,0)),0)</f>
        <v/>
      </c>
      <c r="DF47" s="342">
        <f>IFERROR(Table410[[#This Row],[Nov_2026_Days_Actual]]*Table410[[#This Row],[Cost Boolean]]*(VLOOKUP(Table410[[#This Row],[RATE CONCAT]],Tables!I:N,5,0)),0)</f>
        <v/>
      </c>
      <c r="DG47" s="342">
        <f>Table410[[#This Row],[Nov_2026_F]]-Table410[[#This Row],[Nov_2026_A]]</f>
        <v/>
      </c>
      <c r="DI47" s="342">
        <f>IFERROR(Table410[[#This Row],[Dec_2026_Days_Forecast]]*Table410[[#This Row],[Cost Boolean]]*(VLOOKUP(Table410[[#This Row],[RATE CONCAT]],Tables!I:N,5,0)),0)</f>
        <v/>
      </c>
      <c r="DJ47" s="342">
        <f>IFERROR(Table410[[#This Row],[Dec_2026_Days_Actual]]*Table410[[#This Row],[Cost Boolean]]*(VLOOKUP(Table410[[#This Row],[RATE CONCAT]],Tables!I:N,5,0)),0)</f>
        <v/>
      </c>
      <c r="DK47" s="342">
        <f>Table410[[#This Row],[Dec_2026_F]]-Table410[[#This Row],[Dec_2026_A]]</f>
        <v/>
      </c>
      <c r="DN47" s="342">
        <f>IFERROR(Table410[[#This Row],[Jan_2027_Days_Forecast]]*Table410[[#This Row],[Cost Boolean]]*(VLOOKUP(Table410[[#This Row],[RATE CONCAT]],Tables!I:N,6,0)),0)</f>
        <v/>
      </c>
      <c r="DP47" s="342">
        <f>Table410[[#This Row],[Jan_2027_F]]-Table410[[#This Row],[Jan_2027_A]]</f>
        <v/>
      </c>
      <c r="DQ47" s="342">
        <f>IFERROR(Table410[[#This Row],[Feb_2027_Days_Forecast]]*Table410[[#This Row],[Cost Boolean]]*(VLOOKUP(Table410[[#This Row],[RATE CONCAT]],Tables!I:N,6,0)),0)</f>
        <v/>
      </c>
      <c r="DS47" s="342">
        <f>Table410[[#This Row],[Feb_2027_F]]-Table410[[#This Row],[Feb_2027_A]]</f>
        <v/>
      </c>
      <c r="DT47" s="342">
        <f>IFERROR(Table410[[#This Row],[Mar_2027_Days_Forecast]]*Table410[[#This Row],[Cost Boolean]]*(VLOOKUP(Table410[[#This Row],[RATE CONCAT]],Tables!I:N,6,0)),0)</f>
        <v/>
      </c>
      <c r="DV47" s="342">
        <f>Table410[[#This Row],[Mar_2027_F]]-Table410[[#This Row],[Mar_2027_A]]</f>
        <v/>
      </c>
      <c r="DW47" s="342">
        <f>IFERROR(Table410[[#This Row],[Apr_2027_Days_Forecast]]*Table410[[#This Row],[Cost Boolean]]*(VLOOKUP(Table410[[#This Row],[RATE CONCAT]],Tables!I:N,6,0)),0)</f>
        <v/>
      </c>
      <c r="DY47" s="342">
        <f>Table410[[#This Row],[Apr_2027_F]]-Table410[[#This Row],[Apr_2027_A]]</f>
        <v/>
      </c>
      <c r="DZ47" s="342">
        <f>IFERROR(Table410[[#This Row],[May_2027_Days_Forecast]]*Table410[[#This Row],[Cost Boolean]]*(VLOOKUP(Table410[[#This Row],[RATE CONCAT]],Tables!I:N,6,0)),0)</f>
        <v/>
      </c>
      <c r="EB47" s="342">
        <f>Table410[[#This Row],[May_2027_F]]-Table410[[#This Row],[May_2027_A]]</f>
        <v/>
      </c>
      <c r="EC47" s="342">
        <f>IFERROR(Table410[[#This Row],[Jun_2027_Days_Forecast]]*Table410[[#This Row],[Cost Boolean]]*(VLOOKUP(Table410[[#This Row],[RATE CONCAT]],Tables!I:N,6,0)),0)</f>
        <v/>
      </c>
      <c r="EE47" s="342">
        <f>Table410[[#This Row],[Jun_2027_F]]-Table410[[#This Row],[Jun_2027_A]]</f>
        <v/>
      </c>
      <c r="EF47" s="342">
        <f>IFERROR(Table410[[#This Row],[Jul_2027_Days_Forecast]]*Table410[[#This Row],[Cost Boolean]]*(VLOOKUP(Table410[[#This Row],[RATE CONCAT]],Tables!I:N,6,0)),0)</f>
        <v/>
      </c>
      <c r="EH47" s="342">
        <f>Table410[[#This Row],[Jul_2027_F]]-Table410[[#This Row],[Jul_2027_A]]</f>
        <v/>
      </c>
      <c r="EI47" s="342">
        <f>IFERROR(Table410[[#This Row],[Aug_2027_Days_Forecast]]*Table410[[#This Row],[Cost Boolean]]*(VLOOKUP(Table410[[#This Row],[RATE CONCAT]],Tables!I:N,6,0)),0)</f>
        <v/>
      </c>
      <c r="EK47" s="342">
        <f>Table410[[#This Row],[Aug_2027_F]]-Table410[[#This Row],[Aug_2027_A]]</f>
        <v/>
      </c>
      <c r="EL47" s="342">
        <f>IFERROR(Table410[[#This Row],[Sep_2027_Days_Forecast]]*Table410[[#This Row],[Cost Boolean]]*(VLOOKUP(Table410[[#This Row],[RATE CONCAT]],Tables!I:N,6,0)),0)</f>
        <v/>
      </c>
      <c r="EN47" s="342">
        <f>Table410[[#This Row],[Sep_2027_F]]-Table410[[#This Row],[Sep_2027_A]]</f>
        <v/>
      </c>
      <c r="EO47" s="342">
        <f>IFERROR(Table410[[#This Row],[Oct_2027_Days_Forecast]]*Table410[[#This Row],[Cost Boolean]]*(VLOOKUP(Table410[[#This Row],[RATE CONCAT]],Tables!I:N,6,0)),0)</f>
        <v/>
      </c>
      <c r="EQ47" s="342">
        <f>Table410[[#This Row],[Oct_2027_F]]-Table410[[#This Row],[Oct_2027_A]]</f>
        <v/>
      </c>
      <c r="ER47" s="342">
        <f>IFERROR(Table410[[#This Row],[Nov_2027_Days_Forecast]]*Table410[[#This Row],[Cost Boolean]]*(VLOOKUP(Table410[[#This Row],[RATE CONCAT]],Tables!I:N,6,0)),0)</f>
        <v/>
      </c>
      <c r="ET47" s="342">
        <f>Table410[[#This Row],[Nov_2027_F]]-Table410[[#This Row],[Nov_2027_A]]</f>
        <v/>
      </c>
      <c r="EU47" s="342">
        <f>IFERROR(Table410[[#This Row],[Dec_2027_Days_Forecast]]*Table410[[#This Row],[Cost Boolean]]*(VLOOKUP(Table410[[#This Row],[RATE CONCAT]],Tables!I:N,6,0)),0)</f>
        <v/>
      </c>
      <c r="EW47" s="342">
        <f>Table410[[#This Row],[Dec_2027_F]]-Table410[[#This Row],[Dec_2027_A]]</f>
        <v/>
      </c>
    </row>
    <row r="48" ht="15" customFormat="1" customHeight="1" s="13">
      <c r="Y48" s="338">
        <f>CONCATENATE(Table410[[#This Row],[JG]],Table410[[#This Row],[Country]],Table410[[#This Row],[Resource Provider]])</f>
        <v/>
      </c>
      <c r="Z48" s="338">
        <f>VLOOKUP(Table410[[#This Row],[RATE CONCAT]],Tables!I:N,5,0)</f>
        <v/>
      </c>
      <c r="AA48" s="52" t="n"/>
      <c r="AB48" s="127" t="n"/>
      <c r="AC48" s="127" t="n"/>
      <c r="AD48" s="127" t="n"/>
      <c r="AE48" s="127" t="n"/>
      <c r="AF48" s="127" t="n"/>
      <c r="AG48" s="127" t="n"/>
      <c r="AH48" s="130" t="n"/>
      <c r="AI48" s="130" t="n"/>
      <c r="AJ48" s="130" t="n"/>
      <c r="AK48" s="130" t="n"/>
      <c r="AL48" s="130" t="n"/>
      <c r="AM48" s="130" t="n"/>
      <c r="AN48" s="341">
        <f>IFERROR(AVERAGE(Table410[[#This Row],[Jan_2026_Days_Forecast]:[Dec_2026_Days_Forecast]]),0)/19</f>
        <v/>
      </c>
      <c r="AO48" s="341">
        <f>IFERROR(AVERAGE(Table410[[#This Row],[Jan_2026_Days_Actual]:[Dec_2026_Days_Actual]]),0)/19</f>
        <v/>
      </c>
      <c r="BB48" s="341">
        <f>IFERROR(AVERAGE(Table410[[#This Row],[Jan_2027_Days_Forecast]:[Dec_2027_Days_Forecast]]),0)</f>
        <v/>
      </c>
      <c r="BC48" s="127" t="n"/>
      <c r="BD48" s="127" t="n"/>
      <c r="BE48" s="127" t="n"/>
      <c r="BF48" s="127" t="n"/>
      <c r="BG48" s="127" t="n"/>
      <c r="BH48" s="127" t="n"/>
      <c r="BI48" s="127" t="n"/>
      <c r="BJ48" s="127" t="n"/>
      <c r="BK48" s="127" t="n"/>
      <c r="BL48" s="127" t="n"/>
      <c r="BM48" s="127" t="n"/>
      <c r="BN48" s="127" t="n"/>
      <c r="BO48" s="176" t="n"/>
      <c r="BP48" s="176" t="n"/>
      <c r="BQ48" s="338">
        <f>IFERROR(Table410[[#This Row],[Jan_2026_Days_Forecast]]*Table410[[#This Row],[Cost Boolean]]*(VLOOKUP(Table410[[#This Row],[RATE CONCAT]],Tables!I:N,5,0)),0)</f>
        <v/>
      </c>
      <c r="BR48" s="338">
        <f>IFERROR(Table410[[#This Row],[Jan_2026_Days_Actual]]*Table410[[#This Row],[Cost Boolean]]*(VLOOKUP(Table410[[#This Row],[RATE CONCAT]],Tables!I:N,5,0)),0)</f>
        <v/>
      </c>
      <c r="BS48" s="338">
        <f>Table410[[#This Row],[Jan_2026_F]]-Table410[[#This Row],[Jan_2026_A]]</f>
        <v/>
      </c>
      <c r="BU48" s="338">
        <f>IFERROR(Table410[[#This Row],[Feb_2026_Days_Forecast]]*Table410[[#This Row],[Cost Boolean]]*(VLOOKUP(Table410[[#This Row],[RATE CONCAT]],Tables!I:N,5,0)),0)</f>
        <v/>
      </c>
      <c r="BV48" s="338">
        <f>IFERROR(Table410[[#This Row],[Feb_2026_Days_Actual]]*Table410[[#This Row],[Cost Boolean]]*(VLOOKUP(Table410[[#This Row],[RATE CONCAT]],Tables!I:N,5,0)),0)</f>
        <v/>
      </c>
      <c r="BW48" s="338">
        <f>Table410[[#This Row],[Feb_2026_F]]-Table410[[#This Row],[Feb_2026_A]]</f>
        <v/>
      </c>
      <c r="BY48" s="338">
        <f>IFERROR(Table410[[#This Row],[Mar_2026_Days_Forecast]]*Table410[[#This Row],[Cost Boolean]]*(VLOOKUP(Table410[[#This Row],[RATE CONCAT]],Tables!I:N,5,0)),0)</f>
        <v/>
      </c>
      <c r="BZ48" s="338">
        <f>IFERROR(Table410[[#This Row],[Mar_2026_Days_Actual]]*Table410[[#This Row],[Cost Boolean]]*(VLOOKUP(Table410[[#This Row],[RATE CONCAT]],Tables!I:N,5,0)),0)</f>
        <v/>
      </c>
      <c r="CA48" s="338">
        <f>Table410[[#This Row],[Mar_2026_F]]-Table410[[#This Row],[Mar_2026_A]]</f>
        <v/>
      </c>
      <c r="CC48" s="338">
        <f>IFERROR(Table410[[#This Row],[Apr_2026_Days_Forecast]]*Table410[[#This Row],[Cost Boolean]]*(VLOOKUP(Table410[[#This Row],[RATE CONCAT]],Tables!I:N,5,0)),0)</f>
        <v/>
      </c>
      <c r="CD48" s="338">
        <f>IFERROR(Table410[[#This Row],[Apr_2026_Days_Actual]]*Table410[[#This Row],[Cost Boolean]]*(VLOOKUP(Table410[[#This Row],[RATE CONCAT]],Tables!I:N,5,0)),0)</f>
        <v/>
      </c>
      <c r="CE48" s="338">
        <f>Table410[[#This Row],[Apr_2026_F]]-Table410[[#This Row],[Apr_2026_A]]</f>
        <v/>
      </c>
      <c r="CG48" s="338">
        <f>IFERROR(Table410[[#This Row],[May_2026_Days_Forecast]] *Table410[[#This Row],[Cost Boolean]]*(VLOOKUP(Table410[[#This Row],[RATE CONCAT]],Tables!I:N,5,0)),0)</f>
        <v/>
      </c>
      <c r="CH48" s="338">
        <f>IFERROR(Table410[[#This Row],[May_2026_Days_Actual]]*Table410[[#This Row],[Cost Boolean]]*(VLOOKUP(Table410[[#This Row],[RATE CONCAT]],Tables!I:N,5,0)),0)</f>
        <v/>
      </c>
      <c r="CI48" s="338">
        <f>Table410[[#This Row],[May_2026_F]]-Table410[[#This Row],[May_2026_A]]</f>
        <v/>
      </c>
      <c r="CK48" s="338">
        <f>IFERROR(Table410[[#This Row],[Jun_2026_Days_Forecast]]*Table410[[#This Row],[Cost Boolean]]*(VLOOKUP(Table410[[#This Row],[RATE CONCAT]],Tables!I:N,5,0)),0)</f>
        <v/>
      </c>
      <c r="CL48" s="338">
        <f>IFERROR(Table410[[#This Row],[Jun_2026_Days_Actual]]*Table410[[#This Row],[Cost Boolean]]*(VLOOKUP(Table410[[#This Row],[RATE CONCAT]],Tables!I:N,5,0)),0)</f>
        <v/>
      </c>
      <c r="CM48" s="338">
        <f>Table410[[#This Row],[Jun_2026_F]]-Table410[[#This Row],[Jun_2026_A]]</f>
        <v/>
      </c>
      <c r="CO48" s="338">
        <f>IFERROR(Table410[[#This Row],[Jul_2026_Days_Forecast]]*Table410[[#This Row],[Cost Boolean]]*(VLOOKUP(Table410[[#This Row],[RATE CONCAT]],Tables!I:N,5,0)),0)</f>
        <v/>
      </c>
      <c r="CP48" s="338">
        <f>IFERROR(Table410[[#This Row],[Jul_2026_Days_Actual]]*Table410[[#This Row],[Cost Boolean]]*(VLOOKUP(Table410[[#This Row],[RATE CONCAT]],Tables!I:N,5,0)),0)</f>
        <v/>
      </c>
      <c r="CQ48" s="338">
        <f>Table410[[#This Row],[Jul_2026_F]]-Table410[[#This Row],[Jul_2026_A]]</f>
        <v/>
      </c>
      <c r="CS48" s="338">
        <f>IFERROR(Table410[[#This Row],[Aug_2026_Days_Forecast]]*Table410[[#This Row],[Cost Boolean]]*(VLOOKUP(Table410[[#This Row],[RATE CONCAT]],Tables!I:N,5,0)),0)</f>
        <v/>
      </c>
      <c r="CT48" s="338">
        <f>IFERROR(Table410[[#This Row],[Aug_2026_Days_Actual]]*Table410[[#This Row],[Cost Boolean]]*(VLOOKUP(Table410[[#This Row],[RATE CONCAT]],Tables!I:N,5,0)),0)</f>
        <v/>
      </c>
      <c r="CU48" s="338">
        <f>Table410[[#This Row],[Aug_2026_F]]-Table410[[#This Row],[Aug_2026_A]]</f>
        <v/>
      </c>
      <c r="CW48" s="338">
        <f>IFERROR(Table410[[#This Row],[Sep_2026_Days_Forecast]]*Table410[[#This Row],[Cost Boolean]]*(VLOOKUP(Table410[[#This Row],[RATE CONCAT]],Tables!I:N,5,0)),0)</f>
        <v/>
      </c>
      <c r="CX48" s="338">
        <f>IFERROR(Table410[[#This Row],[Sep_2026_Days_Actual]]*Table410[[#This Row],[Cost Boolean]]*(VLOOKUP(Table410[[#This Row],[RATE CONCAT]],Tables!I:N,5,0)),0)</f>
        <v/>
      </c>
      <c r="CY48" s="338">
        <f>Table410[[#This Row],[Sep_2026_F]]-Table410[[#This Row],[Sep_2026_A]]</f>
        <v/>
      </c>
      <c r="DA48" s="338">
        <f>IFERROR(Table410[[#This Row],[Oct_2026_Days_Forecast]]*Table410[[#This Row],[Cost Boolean]]*(VLOOKUP(Table410[[#This Row],[RATE CONCAT]],Tables!I:N,5,0)),0)</f>
        <v/>
      </c>
      <c r="DB48" s="338">
        <f>IFERROR(Table410[[#This Row],[Oct_2026_Days_Actual]]*Table410[[#This Row],[Cost Boolean]]*(VLOOKUP(Table410[[#This Row],[RATE CONCAT]],Tables!I:N,5,0)),0)</f>
        <v/>
      </c>
      <c r="DC48" s="338">
        <f>Table410[[#This Row],[Oct_2026_F]]-Table410[[#This Row],[Oct_2026_A]]</f>
        <v/>
      </c>
      <c r="DE48" s="338">
        <f>IFERROR(Table410[[#This Row],[Nov_2026_Days_Forecast]]*Table410[[#This Row],[Cost Boolean]]*(VLOOKUP(Table410[[#This Row],[RATE CONCAT]],Tables!I:N,5,0)),0)</f>
        <v/>
      </c>
      <c r="DF48" s="338">
        <f>IFERROR(Table410[[#This Row],[Nov_2026_Days_Actual]]*Table410[[#This Row],[Cost Boolean]]*(VLOOKUP(Table410[[#This Row],[RATE CONCAT]],Tables!I:N,5,0)),0)</f>
        <v/>
      </c>
      <c r="DG48" s="338">
        <f>Table410[[#This Row],[Nov_2026_F]]-Table410[[#This Row],[Nov_2026_A]]</f>
        <v/>
      </c>
      <c r="DI48" s="338">
        <f>IFERROR(Table410[[#This Row],[Dec_2026_Days_Forecast]]*Table410[[#This Row],[Cost Boolean]]*(VLOOKUP(Table410[[#This Row],[RATE CONCAT]],Tables!I:N,5,0)),0)</f>
        <v/>
      </c>
      <c r="DJ48" s="338">
        <f>IFERROR(Table410[[#This Row],[Dec_2026_Days_Actual]]*Table410[[#This Row],[Cost Boolean]]*(VLOOKUP(Table410[[#This Row],[RATE CONCAT]],Tables!I:N,5,0)),0)</f>
        <v/>
      </c>
      <c r="DK48" s="338">
        <f>Table410[[#This Row],[Dec_2026_F]]-Table410[[#This Row],[Dec_2026_A]]</f>
        <v/>
      </c>
      <c r="DN48" s="338">
        <f>IFERROR(Table410[[#This Row],[Jan_2027_Days_Forecast]]*Table410[[#This Row],[Cost Boolean]]*(VLOOKUP(Table410[[#This Row],[RATE CONCAT]],Tables!I:N,6,0)),0)</f>
        <v/>
      </c>
      <c r="DP48" s="338">
        <f>Table410[[#This Row],[Jan_2027_F]]-Table410[[#This Row],[Jan_2027_A]]</f>
        <v/>
      </c>
      <c r="DQ48" s="338">
        <f>IFERROR(Table410[[#This Row],[Feb_2027_Days_Forecast]]*Table410[[#This Row],[Cost Boolean]]*(VLOOKUP(Table410[[#This Row],[RATE CONCAT]],Tables!I:N,6,0)),0)</f>
        <v/>
      </c>
      <c r="DS48" s="338">
        <f>Table410[[#This Row],[Feb_2027_F]]-Table410[[#This Row],[Feb_2027_A]]</f>
        <v/>
      </c>
      <c r="DT48" s="338">
        <f>IFERROR(Table410[[#This Row],[Mar_2027_Days_Forecast]]*Table410[[#This Row],[Cost Boolean]]*(VLOOKUP(Table410[[#This Row],[RATE CONCAT]],Tables!I:N,6,0)),0)</f>
        <v/>
      </c>
      <c r="DV48" s="338">
        <f>Table410[[#This Row],[Mar_2027_F]]-Table410[[#This Row],[Mar_2027_A]]</f>
        <v/>
      </c>
      <c r="DW48" s="338">
        <f>IFERROR(Table410[[#This Row],[Apr_2027_Days_Forecast]]*Table410[[#This Row],[Cost Boolean]]*(VLOOKUP(Table410[[#This Row],[RATE CONCAT]],Tables!I:N,6,0)),0)</f>
        <v/>
      </c>
      <c r="DY48" s="338">
        <f>Table410[[#This Row],[Apr_2027_F]]-Table410[[#This Row],[Apr_2027_A]]</f>
        <v/>
      </c>
      <c r="DZ48" s="338">
        <f>IFERROR(Table410[[#This Row],[May_2027_Days_Forecast]]*Table410[[#This Row],[Cost Boolean]]*(VLOOKUP(Table410[[#This Row],[RATE CONCAT]],Tables!I:N,6,0)),0)</f>
        <v/>
      </c>
      <c r="EB48" s="338">
        <f>Table410[[#This Row],[May_2027_F]]-Table410[[#This Row],[May_2027_A]]</f>
        <v/>
      </c>
      <c r="EC48" s="338">
        <f>IFERROR(Table410[[#This Row],[Jun_2027_Days_Forecast]]*Table410[[#This Row],[Cost Boolean]]*(VLOOKUP(Table410[[#This Row],[RATE CONCAT]],Tables!I:N,6,0)),0)</f>
        <v/>
      </c>
      <c r="EE48" s="338">
        <f>Table410[[#This Row],[Jun_2027_F]]-Table410[[#This Row],[Jun_2027_A]]</f>
        <v/>
      </c>
      <c r="EF48" s="338">
        <f>IFERROR(Table410[[#This Row],[Jul_2027_Days_Forecast]]*Table410[[#This Row],[Cost Boolean]]*(VLOOKUP(Table410[[#This Row],[RATE CONCAT]],Tables!I:N,6,0)),0)</f>
        <v/>
      </c>
      <c r="EH48" s="338">
        <f>Table410[[#This Row],[Jul_2027_F]]-Table410[[#This Row],[Jul_2027_A]]</f>
        <v/>
      </c>
      <c r="EI48" s="338">
        <f>IFERROR(Table410[[#This Row],[Aug_2027_Days_Forecast]]*Table410[[#This Row],[Cost Boolean]]*(VLOOKUP(Table410[[#This Row],[RATE CONCAT]],Tables!I:N,6,0)),0)</f>
        <v/>
      </c>
      <c r="EK48" s="338">
        <f>Table410[[#This Row],[Aug_2027_F]]-Table410[[#This Row],[Aug_2027_A]]</f>
        <v/>
      </c>
      <c r="EL48" s="338">
        <f>IFERROR(Table410[[#This Row],[Sep_2027_Days_Forecast]]*Table410[[#This Row],[Cost Boolean]]*(VLOOKUP(Table410[[#This Row],[RATE CONCAT]],Tables!I:N,6,0)),0)</f>
        <v/>
      </c>
      <c r="EN48" s="338">
        <f>Table410[[#This Row],[Sep_2027_F]]-Table410[[#This Row],[Sep_2027_A]]</f>
        <v/>
      </c>
      <c r="EO48" s="338">
        <f>IFERROR(Table410[[#This Row],[Oct_2027_Days_Forecast]]*Table410[[#This Row],[Cost Boolean]]*(VLOOKUP(Table410[[#This Row],[RATE CONCAT]],Tables!I:N,6,0)),0)</f>
        <v/>
      </c>
      <c r="EQ48" s="338">
        <f>Table410[[#This Row],[Oct_2027_F]]-Table410[[#This Row],[Oct_2027_A]]</f>
        <v/>
      </c>
      <c r="ER48" s="338">
        <f>IFERROR(Table410[[#This Row],[Nov_2027_Days_Forecast]]*Table410[[#This Row],[Cost Boolean]]*(VLOOKUP(Table410[[#This Row],[RATE CONCAT]],Tables!I:N,6,0)),0)</f>
        <v/>
      </c>
      <c r="ET48" s="338">
        <f>Table410[[#This Row],[Nov_2027_F]]-Table410[[#This Row],[Nov_2027_A]]</f>
        <v/>
      </c>
      <c r="EU48" s="338">
        <f>IFERROR(Table410[[#This Row],[Dec_2027_Days_Forecast]]*Table410[[#This Row],[Cost Boolean]]*(VLOOKUP(Table410[[#This Row],[RATE CONCAT]],Tables!I:N,6,0)),0)</f>
        <v/>
      </c>
      <c r="EW48" s="338">
        <f>Table410[[#This Row],[Dec_2027_F]]-Table410[[#This Row],[Dec_2027_A]]</f>
        <v/>
      </c>
    </row>
    <row r="49" ht="15" customFormat="1" customHeight="1" s="13">
      <c r="Y49" s="342">
        <f>CONCATENATE(Table410[[#This Row],[JG]],Table410[[#This Row],[Country]],Table410[[#This Row],[Resource Provider]])</f>
        <v/>
      </c>
      <c r="Z49" s="342">
        <f>VLOOKUP(Table410[[#This Row],[RATE CONCAT]],Tables!I:N,5,0)</f>
        <v/>
      </c>
      <c r="AA49" s="52" t="n"/>
      <c r="AB49" s="127" t="n"/>
      <c r="AC49" s="127" t="n"/>
      <c r="AD49" s="127" t="n"/>
      <c r="AE49" s="127" t="n"/>
      <c r="AF49" s="127" t="n"/>
      <c r="AG49" s="127" t="n"/>
      <c r="AH49" s="127" t="n"/>
      <c r="AI49" s="127" t="n"/>
      <c r="AJ49" s="127" t="n"/>
      <c r="AK49" s="127" t="n"/>
      <c r="AL49" s="127" t="n"/>
      <c r="AM49" s="127" t="n"/>
      <c r="AN49" s="341">
        <f>IFERROR(AVERAGE(Table410[[#This Row],[Jan_2026_Days_Forecast]:[Dec_2026_Days_Forecast]]),0)/19</f>
        <v/>
      </c>
      <c r="AO49" s="341">
        <f>IFERROR(AVERAGE(Table410[[#This Row],[Jan_2026_Days_Actual]:[Dec_2026_Days_Actual]]),0)/19</f>
        <v/>
      </c>
      <c r="BB49" s="341">
        <f>IFERROR(AVERAGE(Table410[[#This Row],[Jan_2027_Days_Forecast]:[Dec_2027_Days_Forecast]]),0)</f>
        <v/>
      </c>
      <c r="BC49" s="127" t="n"/>
      <c r="BD49" s="127" t="n"/>
      <c r="BE49" s="127" t="n"/>
      <c r="BF49" s="127" t="n"/>
      <c r="BG49" s="127" t="n"/>
      <c r="BH49" s="127" t="n"/>
      <c r="BI49" s="127" t="n"/>
      <c r="BJ49" s="127" t="n"/>
      <c r="BK49" s="127" t="n"/>
      <c r="BL49" s="127" t="n"/>
      <c r="BM49" s="127" t="n"/>
      <c r="BN49" s="127" t="n"/>
      <c r="BO49" s="176" t="n"/>
      <c r="BP49" s="176" t="n"/>
      <c r="BQ49" s="342">
        <f>IFERROR(Table410[[#This Row],[Jan_2026_Days_Forecast]]*Table410[[#This Row],[Cost Boolean]]*(VLOOKUP(Table410[[#This Row],[RATE CONCAT]],Tables!I:N,5,0)),0)</f>
        <v/>
      </c>
      <c r="BR49" s="342">
        <f>IFERROR(Table410[[#This Row],[Jan_2026_Days_Actual]]*Table410[[#This Row],[Cost Boolean]]*(VLOOKUP(Table410[[#This Row],[RATE CONCAT]],Tables!I:N,5,0)),0)</f>
        <v/>
      </c>
      <c r="BS49" s="342">
        <f>Table410[[#This Row],[Jan_2026_F]]-Table410[[#This Row],[Jan_2026_A]]</f>
        <v/>
      </c>
      <c r="BU49" s="342">
        <f>IFERROR(Table410[[#This Row],[Feb_2026_Days_Forecast]]*Table410[[#This Row],[Cost Boolean]]*(VLOOKUP(Table410[[#This Row],[RATE CONCAT]],Tables!I:N,5,0)),0)</f>
        <v/>
      </c>
      <c r="BV49" s="342">
        <f>IFERROR(Table410[[#This Row],[Feb_2026_Days_Actual]]*Table410[[#This Row],[Cost Boolean]]*(VLOOKUP(Table410[[#This Row],[RATE CONCAT]],Tables!I:N,5,0)),0)</f>
        <v/>
      </c>
      <c r="BW49" s="342">
        <f>Table410[[#This Row],[Feb_2026_F]]-Table410[[#This Row],[Feb_2026_A]]</f>
        <v/>
      </c>
      <c r="BY49" s="342">
        <f>IFERROR(Table410[[#This Row],[Mar_2026_Days_Forecast]]*Table410[[#This Row],[Cost Boolean]]*(VLOOKUP(Table410[[#This Row],[RATE CONCAT]],Tables!I:N,5,0)),0)</f>
        <v/>
      </c>
      <c r="BZ49" s="342">
        <f>IFERROR(Table410[[#This Row],[Mar_2026_Days_Actual]]*Table410[[#This Row],[Cost Boolean]]*(VLOOKUP(Table410[[#This Row],[RATE CONCAT]],Tables!I:N,5,0)),0)</f>
        <v/>
      </c>
      <c r="CA49" s="342">
        <f>Table410[[#This Row],[Mar_2026_F]]-Table410[[#This Row],[Mar_2026_A]]</f>
        <v/>
      </c>
      <c r="CC49" s="342">
        <f>IFERROR(Table410[[#This Row],[Apr_2026_Days_Forecast]]*Table410[[#This Row],[Cost Boolean]]*(VLOOKUP(Table410[[#This Row],[RATE CONCAT]],Tables!I:N,5,0)),0)</f>
        <v/>
      </c>
      <c r="CD49" s="342">
        <f>IFERROR(Table410[[#This Row],[Apr_2026_Days_Actual]]*Table410[[#This Row],[Cost Boolean]]*(VLOOKUP(Table410[[#This Row],[RATE CONCAT]],Tables!I:N,5,0)),0)</f>
        <v/>
      </c>
      <c r="CE49" s="342">
        <f>Table410[[#This Row],[Apr_2026_F]]-Table410[[#This Row],[Apr_2026_A]]</f>
        <v/>
      </c>
      <c r="CG49" s="342">
        <f>IFERROR(Table410[[#This Row],[May_2026_Days_Forecast]] *Table410[[#This Row],[Cost Boolean]]*(VLOOKUP(Table410[[#This Row],[RATE CONCAT]],Tables!I:N,5,0)),0)</f>
        <v/>
      </c>
      <c r="CH49" s="342">
        <f>IFERROR(Table410[[#This Row],[May_2026_Days_Actual]]*Table410[[#This Row],[Cost Boolean]]*(VLOOKUP(Table410[[#This Row],[RATE CONCAT]],Tables!I:N,5,0)),0)</f>
        <v/>
      </c>
      <c r="CI49" s="342">
        <f>Table410[[#This Row],[May_2026_F]]-Table410[[#This Row],[May_2026_A]]</f>
        <v/>
      </c>
      <c r="CK49" s="342">
        <f>IFERROR(Table410[[#This Row],[Jun_2026_Days_Forecast]]*Table410[[#This Row],[Cost Boolean]]*(VLOOKUP(Table410[[#This Row],[RATE CONCAT]],Tables!I:N,5,0)),0)</f>
        <v/>
      </c>
      <c r="CL49" s="342">
        <f>IFERROR(Table410[[#This Row],[Jun_2026_Days_Actual]]*Table410[[#This Row],[Cost Boolean]]*(VLOOKUP(Table410[[#This Row],[RATE CONCAT]],Tables!I:N,5,0)),0)</f>
        <v/>
      </c>
      <c r="CM49" s="342">
        <f>Table410[[#This Row],[Jun_2026_F]]-Table410[[#This Row],[Jun_2026_A]]</f>
        <v/>
      </c>
      <c r="CO49" s="342">
        <f>IFERROR(Table410[[#This Row],[Jul_2026_Days_Forecast]]*Table410[[#This Row],[Cost Boolean]]*(VLOOKUP(Table410[[#This Row],[RATE CONCAT]],Tables!I:N,5,0)),0)</f>
        <v/>
      </c>
      <c r="CP49" s="342">
        <f>IFERROR(Table410[[#This Row],[Jul_2026_Days_Actual]]*Table410[[#This Row],[Cost Boolean]]*(VLOOKUP(Table410[[#This Row],[RATE CONCAT]],Tables!I:N,5,0)),0)</f>
        <v/>
      </c>
      <c r="CQ49" s="342">
        <f>Table410[[#This Row],[Jul_2026_F]]-Table410[[#This Row],[Jul_2026_A]]</f>
        <v/>
      </c>
      <c r="CS49" s="342">
        <f>IFERROR(Table410[[#This Row],[Aug_2026_Days_Forecast]]*Table410[[#This Row],[Cost Boolean]]*(VLOOKUP(Table410[[#This Row],[RATE CONCAT]],Tables!I:N,5,0)),0)</f>
        <v/>
      </c>
      <c r="CT49" s="342">
        <f>IFERROR(Table410[[#This Row],[Aug_2026_Days_Actual]]*Table410[[#This Row],[Cost Boolean]]*(VLOOKUP(Table410[[#This Row],[RATE CONCAT]],Tables!I:N,5,0)),0)</f>
        <v/>
      </c>
      <c r="CU49" s="342">
        <f>Table410[[#This Row],[Aug_2026_F]]-Table410[[#This Row],[Aug_2026_A]]</f>
        <v/>
      </c>
      <c r="CW49" s="342">
        <f>IFERROR(Table410[[#This Row],[Sep_2026_Days_Forecast]]*Table410[[#This Row],[Cost Boolean]]*(VLOOKUP(Table410[[#This Row],[RATE CONCAT]],Tables!I:N,5,0)),0)</f>
        <v/>
      </c>
      <c r="CX49" s="342">
        <f>IFERROR(Table410[[#This Row],[Sep_2026_Days_Actual]]*Table410[[#This Row],[Cost Boolean]]*(VLOOKUP(Table410[[#This Row],[RATE CONCAT]],Tables!I:N,5,0)),0)</f>
        <v/>
      </c>
      <c r="CY49" s="342">
        <f>Table410[[#This Row],[Sep_2026_F]]-Table410[[#This Row],[Sep_2026_A]]</f>
        <v/>
      </c>
      <c r="DA49" s="342">
        <f>IFERROR(Table410[[#This Row],[Oct_2026_Days_Forecast]]*Table410[[#This Row],[Cost Boolean]]*(VLOOKUP(Table410[[#This Row],[RATE CONCAT]],Tables!I:N,5,0)),0)</f>
        <v/>
      </c>
      <c r="DB49" s="342">
        <f>IFERROR(Table410[[#This Row],[Oct_2026_Days_Actual]]*Table410[[#This Row],[Cost Boolean]]*(VLOOKUP(Table410[[#This Row],[RATE CONCAT]],Tables!I:N,5,0)),0)</f>
        <v/>
      </c>
      <c r="DC49" s="342">
        <f>Table410[[#This Row],[Oct_2026_F]]-Table410[[#This Row],[Oct_2026_A]]</f>
        <v/>
      </c>
      <c r="DE49" s="342">
        <f>IFERROR(Table410[[#This Row],[Nov_2026_Days_Forecast]]*Table410[[#This Row],[Cost Boolean]]*(VLOOKUP(Table410[[#This Row],[RATE CONCAT]],Tables!I:N,5,0)),0)</f>
        <v/>
      </c>
      <c r="DF49" s="342">
        <f>IFERROR(Table410[[#This Row],[Nov_2026_Days_Actual]]*Table410[[#This Row],[Cost Boolean]]*(VLOOKUP(Table410[[#This Row],[RATE CONCAT]],Tables!I:N,5,0)),0)</f>
        <v/>
      </c>
      <c r="DG49" s="342">
        <f>Table410[[#This Row],[Nov_2026_F]]-Table410[[#This Row],[Nov_2026_A]]</f>
        <v/>
      </c>
      <c r="DI49" s="342">
        <f>IFERROR(Table410[[#This Row],[Dec_2026_Days_Forecast]]*Table410[[#This Row],[Cost Boolean]]*(VLOOKUP(Table410[[#This Row],[RATE CONCAT]],Tables!I:N,5,0)),0)</f>
        <v/>
      </c>
      <c r="DJ49" s="342">
        <f>IFERROR(Table410[[#This Row],[Dec_2026_Days_Actual]]*Table410[[#This Row],[Cost Boolean]]*(VLOOKUP(Table410[[#This Row],[RATE CONCAT]],Tables!I:N,5,0)),0)</f>
        <v/>
      </c>
      <c r="DK49" s="342">
        <f>Table410[[#This Row],[Dec_2026_F]]-Table410[[#This Row],[Dec_2026_A]]</f>
        <v/>
      </c>
      <c r="DN49" s="342">
        <f>IFERROR(Table410[[#This Row],[Jan_2027_Days_Forecast]]*Table410[[#This Row],[Cost Boolean]]*(VLOOKUP(Table410[[#This Row],[RATE CONCAT]],Tables!I:N,6,0)),0)</f>
        <v/>
      </c>
      <c r="DP49" s="342">
        <f>Table410[[#This Row],[Jan_2027_F]]-Table410[[#This Row],[Jan_2027_A]]</f>
        <v/>
      </c>
      <c r="DQ49" s="342">
        <f>IFERROR(Table410[[#This Row],[Feb_2027_Days_Forecast]]*Table410[[#This Row],[Cost Boolean]]*(VLOOKUP(Table410[[#This Row],[RATE CONCAT]],Tables!I:N,6,0)),0)</f>
        <v/>
      </c>
      <c r="DS49" s="342">
        <f>Table410[[#This Row],[Feb_2027_F]]-Table410[[#This Row],[Feb_2027_A]]</f>
        <v/>
      </c>
      <c r="DT49" s="342">
        <f>IFERROR(Table410[[#This Row],[Mar_2027_Days_Forecast]]*Table410[[#This Row],[Cost Boolean]]*(VLOOKUP(Table410[[#This Row],[RATE CONCAT]],Tables!I:N,6,0)),0)</f>
        <v/>
      </c>
      <c r="DV49" s="342">
        <f>Table410[[#This Row],[Mar_2027_F]]-Table410[[#This Row],[Mar_2027_A]]</f>
        <v/>
      </c>
      <c r="DW49" s="342">
        <f>IFERROR(Table410[[#This Row],[Apr_2027_Days_Forecast]]*Table410[[#This Row],[Cost Boolean]]*(VLOOKUP(Table410[[#This Row],[RATE CONCAT]],Tables!I:N,6,0)),0)</f>
        <v/>
      </c>
      <c r="DY49" s="342">
        <f>Table410[[#This Row],[Apr_2027_F]]-Table410[[#This Row],[Apr_2027_A]]</f>
        <v/>
      </c>
      <c r="DZ49" s="342">
        <f>IFERROR(Table410[[#This Row],[May_2027_Days_Forecast]]*Table410[[#This Row],[Cost Boolean]]*(VLOOKUP(Table410[[#This Row],[RATE CONCAT]],Tables!I:N,6,0)),0)</f>
        <v/>
      </c>
      <c r="EB49" s="342">
        <f>Table410[[#This Row],[May_2027_F]]-Table410[[#This Row],[May_2027_A]]</f>
        <v/>
      </c>
      <c r="EC49" s="342">
        <f>IFERROR(Table410[[#This Row],[Jun_2027_Days_Forecast]]*Table410[[#This Row],[Cost Boolean]]*(VLOOKUP(Table410[[#This Row],[RATE CONCAT]],Tables!I:N,6,0)),0)</f>
        <v/>
      </c>
      <c r="EE49" s="342">
        <f>Table410[[#This Row],[Jun_2027_F]]-Table410[[#This Row],[Jun_2027_A]]</f>
        <v/>
      </c>
      <c r="EF49" s="342">
        <f>IFERROR(Table410[[#This Row],[Jul_2027_Days_Forecast]]*Table410[[#This Row],[Cost Boolean]]*(VLOOKUP(Table410[[#This Row],[RATE CONCAT]],Tables!I:N,6,0)),0)</f>
        <v/>
      </c>
      <c r="EH49" s="342">
        <f>Table410[[#This Row],[Jul_2027_F]]-Table410[[#This Row],[Jul_2027_A]]</f>
        <v/>
      </c>
      <c r="EI49" s="342">
        <f>IFERROR(Table410[[#This Row],[Aug_2027_Days_Forecast]]*Table410[[#This Row],[Cost Boolean]]*(VLOOKUP(Table410[[#This Row],[RATE CONCAT]],Tables!I:N,6,0)),0)</f>
        <v/>
      </c>
      <c r="EK49" s="342">
        <f>Table410[[#This Row],[Aug_2027_F]]-Table410[[#This Row],[Aug_2027_A]]</f>
        <v/>
      </c>
      <c r="EL49" s="342">
        <f>IFERROR(Table410[[#This Row],[Sep_2027_Days_Forecast]]*Table410[[#This Row],[Cost Boolean]]*(VLOOKUP(Table410[[#This Row],[RATE CONCAT]],Tables!I:N,6,0)),0)</f>
        <v/>
      </c>
      <c r="EN49" s="342">
        <f>Table410[[#This Row],[Sep_2027_F]]-Table410[[#This Row],[Sep_2027_A]]</f>
        <v/>
      </c>
      <c r="EO49" s="342">
        <f>IFERROR(Table410[[#This Row],[Oct_2027_Days_Forecast]]*Table410[[#This Row],[Cost Boolean]]*(VLOOKUP(Table410[[#This Row],[RATE CONCAT]],Tables!I:N,6,0)),0)</f>
        <v/>
      </c>
      <c r="EQ49" s="342">
        <f>Table410[[#This Row],[Oct_2027_F]]-Table410[[#This Row],[Oct_2027_A]]</f>
        <v/>
      </c>
      <c r="ER49" s="342">
        <f>IFERROR(Table410[[#This Row],[Nov_2027_Days_Forecast]]*Table410[[#This Row],[Cost Boolean]]*(VLOOKUP(Table410[[#This Row],[RATE CONCAT]],Tables!I:N,6,0)),0)</f>
        <v/>
      </c>
      <c r="ET49" s="342">
        <f>Table410[[#This Row],[Nov_2027_F]]-Table410[[#This Row],[Nov_2027_A]]</f>
        <v/>
      </c>
      <c r="EU49" s="342">
        <f>IFERROR(Table410[[#This Row],[Dec_2027_Days_Forecast]]*Table410[[#This Row],[Cost Boolean]]*(VLOOKUP(Table410[[#This Row],[RATE CONCAT]],Tables!I:N,6,0)),0)</f>
        <v/>
      </c>
      <c r="EW49" s="342">
        <f>Table410[[#This Row],[Dec_2027_F]]-Table410[[#This Row],[Dec_2027_A]]</f>
        <v/>
      </c>
    </row>
    <row r="50" ht="15" customFormat="1" customHeight="1" s="13">
      <c r="Y50" s="338">
        <f>CONCATENATE(Table410[[#This Row],[JG]],Table410[[#This Row],[Country]],Table410[[#This Row],[Resource Provider]])</f>
        <v/>
      </c>
      <c r="Z50" s="338">
        <f>VLOOKUP(Table410[[#This Row],[RATE CONCAT]],Tables!I:N,5,0)</f>
        <v/>
      </c>
      <c r="AA50" s="52" t="n"/>
      <c r="AB50" s="127" t="n"/>
      <c r="AC50" s="127" t="n"/>
      <c r="AD50" s="127" t="n"/>
      <c r="AE50" s="127" t="n"/>
      <c r="AF50" s="127" t="n"/>
      <c r="AG50" s="127" t="n"/>
      <c r="AH50" s="127" t="n"/>
      <c r="AI50" s="127" t="n"/>
      <c r="AJ50" s="127" t="n"/>
      <c r="AK50" s="127" t="n"/>
      <c r="AL50" s="127" t="n"/>
      <c r="AM50" s="127" t="n"/>
      <c r="AN50" s="341">
        <f>IFERROR(AVERAGE(Table410[[#This Row],[Jan_2026_Days_Forecast]:[Dec_2026_Days_Forecast]]),0)/19</f>
        <v/>
      </c>
      <c r="AO50" s="341">
        <f>IFERROR(AVERAGE(Table410[[#This Row],[Jan_2026_Days_Actual]:[Dec_2026_Days_Actual]]),0)/19</f>
        <v/>
      </c>
      <c r="BB50" s="341">
        <f>IFERROR(AVERAGE(Table410[[#This Row],[Jan_2027_Days_Forecast]:[Dec_2027_Days_Forecast]]),0)</f>
        <v/>
      </c>
      <c r="BC50" s="127" t="n"/>
      <c r="BD50" s="127" t="n"/>
      <c r="BE50" s="127" t="n"/>
      <c r="BF50" s="127" t="n"/>
      <c r="BG50" s="127" t="n"/>
      <c r="BH50" s="127" t="n"/>
      <c r="BI50" s="127" t="n"/>
      <c r="BJ50" s="127" t="n"/>
      <c r="BK50" s="127" t="n"/>
      <c r="BL50" s="127" t="n"/>
      <c r="BM50" s="127" t="n"/>
      <c r="BN50" s="127" t="n"/>
      <c r="BO50" s="176" t="n"/>
      <c r="BP50" s="176" t="n"/>
      <c r="BQ50" s="338">
        <f>IFERROR(Table410[[#This Row],[Jan_2026_Days_Forecast]]*Table410[[#This Row],[Cost Boolean]]*(VLOOKUP(Table410[[#This Row],[RATE CONCAT]],Tables!I:N,5,0)),0)</f>
        <v/>
      </c>
      <c r="BR50" s="338">
        <f>IFERROR(Table410[[#This Row],[Jan_2026_Days_Actual]]*Table410[[#This Row],[Cost Boolean]]*(VLOOKUP(Table410[[#This Row],[RATE CONCAT]],Tables!I:N,5,0)),0)</f>
        <v/>
      </c>
      <c r="BS50" s="338">
        <f>Table410[[#This Row],[Jan_2026_F]]-Table410[[#This Row],[Jan_2026_A]]</f>
        <v/>
      </c>
      <c r="BU50" s="338">
        <f>IFERROR(Table410[[#This Row],[Feb_2026_Days_Forecast]]*Table410[[#This Row],[Cost Boolean]]*(VLOOKUP(Table410[[#This Row],[RATE CONCAT]],Tables!I:N,5,0)),0)</f>
        <v/>
      </c>
      <c r="BV50" s="338">
        <f>IFERROR(Table410[[#This Row],[Feb_2026_Days_Actual]]*Table410[[#This Row],[Cost Boolean]]*(VLOOKUP(Table410[[#This Row],[RATE CONCAT]],Tables!I:N,5,0)),0)</f>
        <v/>
      </c>
      <c r="BW50" s="338">
        <f>Table410[[#This Row],[Feb_2026_F]]-Table410[[#This Row],[Feb_2026_A]]</f>
        <v/>
      </c>
      <c r="BY50" s="338">
        <f>IFERROR(Table410[[#This Row],[Mar_2026_Days_Forecast]]*Table410[[#This Row],[Cost Boolean]]*(VLOOKUP(Table410[[#This Row],[RATE CONCAT]],Tables!I:N,5,0)),0)</f>
        <v/>
      </c>
      <c r="BZ50" s="338">
        <f>IFERROR(Table410[[#This Row],[Mar_2026_Days_Actual]]*Table410[[#This Row],[Cost Boolean]]*(VLOOKUP(Table410[[#This Row],[RATE CONCAT]],Tables!I:N,5,0)),0)</f>
        <v/>
      </c>
      <c r="CA50" s="338">
        <f>Table410[[#This Row],[Mar_2026_F]]-Table410[[#This Row],[Mar_2026_A]]</f>
        <v/>
      </c>
      <c r="CC50" s="338">
        <f>IFERROR(Table410[[#This Row],[Apr_2026_Days_Forecast]]*Table410[[#This Row],[Cost Boolean]]*(VLOOKUP(Table410[[#This Row],[RATE CONCAT]],Tables!I:N,5,0)),0)</f>
        <v/>
      </c>
      <c r="CD50" s="338">
        <f>IFERROR(Table410[[#This Row],[Apr_2026_Days_Actual]]*Table410[[#This Row],[Cost Boolean]]*(VLOOKUP(Table410[[#This Row],[RATE CONCAT]],Tables!I:N,5,0)),0)</f>
        <v/>
      </c>
      <c r="CE50" s="338">
        <f>Table410[[#This Row],[Apr_2026_F]]-Table410[[#This Row],[Apr_2026_A]]</f>
        <v/>
      </c>
      <c r="CG50" s="338">
        <f>IFERROR(Table410[[#This Row],[May_2026_Days_Forecast]] *Table410[[#This Row],[Cost Boolean]]*(VLOOKUP(Table410[[#This Row],[RATE CONCAT]],Tables!I:N,5,0)),0)</f>
        <v/>
      </c>
      <c r="CH50" s="338">
        <f>IFERROR(Table410[[#This Row],[May_2026_Days_Actual]]*Table410[[#This Row],[Cost Boolean]]*(VLOOKUP(Table410[[#This Row],[RATE CONCAT]],Tables!I:N,5,0)),0)</f>
        <v/>
      </c>
      <c r="CI50" s="338">
        <f>Table410[[#This Row],[May_2026_F]]-Table410[[#This Row],[May_2026_A]]</f>
        <v/>
      </c>
      <c r="CK50" s="338">
        <f>IFERROR(Table410[[#This Row],[Jun_2026_Days_Forecast]]*Table410[[#This Row],[Cost Boolean]]*(VLOOKUP(Table410[[#This Row],[RATE CONCAT]],Tables!I:N,5,0)),0)</f>
        <v/>
      </c>
      <c r="CL50" s="338">
        <f>IFERROR(Table410[[#This Row],[Jun_2026_Days_Actual]]*Table410[[#This Row],[Cost Boolean]]*(VLOOKUP(Table410[[#This Row],[RATE CONCAT]],Tables!I:N,5,0)),0)</f>
        <v/>
      </c>
      <c r="CM50" s="338">
        <f>Table410[[#This Row],[Jun_2026_F]]-Table410[[#This Row],[Jun_2026_A]]</f>
        <v/>
      </c>
      <c r="CO50" s="338">
        <f>IFERROR(Table410[[#This Row],[Jul_2026_Days_Forecast]]*Table410[[#This Row],[Cost Boolean]]*(VLOOKUP(Table410[[#This Row],[RATE CONCAT]],Tables!I:N,5,0)),0)</f>
        <v/>
      </c>
      <c r="CP50" s="338">
        <f>IFERROR(Table410[[#This Row],[Jul_2026_Days_Actual]]*Table410[[#This Row],[Cost Boolean]]*(VLOOKUP(Table410[[#This Row],[RATE CONCAT]],Tables!I:N,5,0)),0)</f>
        <v/>
      </c>
      <c r="CQ50" s="338">
        <f>Table410[[#This Row],[Jul_2026_F]]-Table410[[#This Row],[Jul_2026_A]]</f>
        <v/>
      </c>
      <c r="CS50" s="338">
        <f>IFERROR(Table410[[#This Row],[Aug_2026_Days_Forecast]]*Table410[[#This Row],[Cost Boolean]]*(VLOOKUP(Table410[[#This Row],[RATE CONCAT]],Tables!I:N,5,0)),0)</f>
        <v/>
      </c>
      <c r="CT50" s="338">
        <f>IFERROR(Table410[[#This Row],[Aug_2026_Days_Actual]]*Table410[[#This Row],[Cost Boolean]]*(VLOOKUP(Table410[[#This Row],[RATE CONCAT]],Tables!I:N,5,0)),0)</f>
        <v/>
      </c>
      <c r="CU50" s="338">
        <f>Table410[[#This Row],[Aug_2026_F]]-Table410[[#This Row],[Aug_2026_A]]</f>
        <v/>
      </c>
      <c r="CW50" s="338">
        <f>IFERROR(Table410[[#This Row],[Sep_2026_Days_Forecast]]*Table410[[#This Row],[Cost Boolean]]*(VLOOKUP(Table410[[#This Row],[RATE CONCAT]],Tables!I:N,5,0)),0)</f>
        <v/>
      </c>
      <c r="CX50" s="338">
        <f>IFERROR(Table410[[#This Row],[Sep_2026_Days_Actual]]*Table410[[#This Row],[Cost Boolean]]*(VLOOKUP(Table410[[#This Row],[RATE CONCAT]],Tables!I:N,5,0)),0)</f>
        <v/>
      </c>
      <c r="CY50" s="338">
        <f>Table410[[#This Row],[Sep_2026_F]]-Table410[[#This Row],[Sep_2026_A]]</f>
        <v/>
      </c>
      <c r="DA50" s="338">
        <f>IFERROR(Table410[[#This Row],[Oct_2026_Days_Forecast]]*Table410[[#This Row],[Cost Boolean]]*(VLOOKUP(Table410[[#This Row],[RATE CONCAT]],Tables!I:N,5,0)),0)</f>
        <v/>
      </c>
      <c r="DB50" s="338">
        <f>IFERROR(Table410[[#This Row],[Oct_2026_Days_Actual]]*Table410[[#This Row],[Cost Boolean]]*(VLOOKUP(Table410[[#This Row],[RATE CONCAT]],Tables!I:N,5,0)),0)</f>
        <v/>
      </c>
      <c r="DC50" s="338">
        <f>Table410[[#This Row],[Oct_2026_F]]-Table410[[#This Row],[Oct_2026_A]]</f>
        <v/>
      </c>
      <c r="DE50" s="338">
        <f>IFERROR(Table410[[#This Row],[Nov_2026_Days_Forecast]]*Table410[[#This Row],[Cost Boolean]]*(VLOOKUP(Table410[[#This Row],[RATE CONCAT]],Tables!I:N,5,0)),0)</f>
        <v/>
      </c>
      <c r="DF50" s="338">
        <f>IFERROR(Table410[[#This Row],[Nov_2026_Days_Actual]]*Table410[[#This Row],[Cost Boolean]]*(VLOOKUP(Table410[[#This Row],[RATE CONCAT]],Tables!I:N,5,0)),0)</f>
        <v/>
      </c>
      <c r="DG50" s="338">
        <f>Table410[[#This Row],[Nov_2026_F]]-Table410[[#This Row],[Nov_2026_A]]</f>
        <v/>
      </c>
      <c r="DI50" s="338">
        <f>IFERROR(Table410[[#This Row],[Dec_2026_Days_Forecast]]*Table410[[#This Row],[Cost Boolean]]*(VLOOKUP(Table410[[#This Row],[RATE CONCAT]],Tables!I:N,5,0)),0)</f>
        <v/>
      </c>
      <c r="DJ50" s="338">
        <f>IFERROR(Table410[[#This Row],[Dec_2026_Days_Actual]]*Table410[[#This Row],[Cost Boolean]]*(VLOOKUP(Table410[[#This Row],[RATE CONCAT]],Tables!I:N,5,0)),0)</f>
        <v/>
      </c>
      <c r="DK50" s="338">
        <f>Table410[[#This Row],[Dec_2026_F]]-Table410[[#This Row],[Dec_2026_A]]</f>
        <v/>
      </c>
      <c r="DN50" s="338">
        <f>IFERROR(Table410[[#This Row],[Jan_2027_Days_Forecast]]*Table410[[#This Row],[Cost Boolean]]*(VLOOKUP(Table410[[#This Row],[RATE CONCAT]],Tables!I:N,6,0)),0)</f>
        <v/>
      </c>
      <c r="DP50" s="338">
        <f>Table410[[#This Row],[Jan_2027_F]]-Table410[[#This Row],[Jan_2027_A]]</f>
        <v/>
      </c>
      <c r="DQ50" s="338">
        <f>IFERROR(Table410[[#This Row],[Feb_2027_Days_Forecast]]*Table410[[#This Row],[Cost Boolean]]*(VLOOKUP(Table410[[#This Row],[RATE CONCAT]],Tables!I:N,6,0)),0)</f>
        <v/>
      </c>
      <c r="DS50" s="338">
        <f>Table410[[#This Row],[Feb_2027_F]]-Table410[[#This Row],[Feb_2027_A]]</f>
        <v/>
      </c>
      <c r="DT50" s="338">
        <f>IFERROR(Table410[[#This Row],[Mar_2027_Days_Forecast]]*Table410[[#This Row],[Cost Boolean]]*(VLOOKUP(Table410[[#This Row],[RATE CONCAT]],Tables!I:N,6,0)),0)</f>
        <v/>
      </c>
      <c r="DV50" s="338">
        <f>Table410[[#This Row],[Mar_2027_F]]-Table410[[#This Row],[Mar_2027_A]]</f>
        <v/>
      </c>
      <c r="DW50" s="338">
        <f>IFERROR(Table410[[#This Row],[Apr_2027_Days_Forecast]]*Table410[[#This Row],[Cost Boolean]]*(VLOOKUP(Table410[[#This Row],[RATE CONCAT]],Tables!I:N,6,0)),0)</f>
        <v/>
      </c>
      <c r="DY50" s="338">
        <f>Table410[[#This Row],[Apr_2027_F]]-Table410[[#This Row],[Apr_2027_A]]</f>
        <v/>
      </c>
      <c r="DZ50" s="338">
        <f>IFERROR(Table410[[#This Row],[May_2027_Days_Forecast]]*Table410[[#This Row],[Cost Boolean]]*(VLOOKUP(Table410[[#This Row],[RATE CONCAT]],Tables!I:N,6,0)),0)</f>
        <v/>
      </c>
      <c r="EB50" s="338">
        <f>Table410[[#This Row],[May_2027_F]]-Table410[[#This Row],[May_2027_A]]</f>
        <v/>
      </c>
      <c r="EC50" s="338">
        <f>IFERROR(Table410[[#This Row],[Jun_2027_Days_Forecast]]*Table410[[#This Row],[Cost Boolean]]*(VLOOKUP(Table410[[#This Row],[RATE CONCAT]],Tables!I:N,6,0)),0)</f>
        <v/>
      </c>
      <c r="EE50" s="338">
        <f>Table410[[#This Row],[Jun_2027_F]]-Table410[[#This Row],[Jun_2027_A]]</f>
        <v/>
      </c>
      <c r="EF50" s="338">
        <f>IFERROR(Table410[[#This Row],[Jul_2027_Days_Forecast]]*Table410[[#This Row],[Cost Boolean]]*(VLOOKUP(Table410[[#This Row],[RATE CONCAT]],Tables!I:N,6,0)),0)</f>
        <v/>
      </c>
      <c r="EH50" s="338">
        <f>Table410[[#This Row],[Jul_2027_F]]-Table410[[#This Row],[Jul_2027_A]]</f>
        <v/>
      </c>
      <c r="EI50" s="338">
        <f>IFERROR(Table410[[#This Row],[Aug_2027_Days_Forecast]]*Table410[[#This Row],[Cost Boolean]]*(VLOOKUP(Table410[[#This Row],[RATE CONCAT]],Tables!I:N,6,0)),0)</f>
        <v/>
      </c>
      <c r="EK50" s="338">
        <f>Table410[[#This Row],[Aug_2027_F]]-Table410[[#This Row],[Aug_2027_A]]</f>
        <v/>
      </c>
      <c r="EL50" s="338">
        <f>IFERROR(Table410[[#This Row],[Sep_2027_Days_Forecast]]*Table410[[#This Row],[Cost Boolean]]*(VLOOKUP(Table410[[#This Row],[RATE CONCAT]],Tables!I:N,6,0)),0)</f>
        <v/>
      </c>
      <c r="EN50" s="338">
        <f>Table410[[#This Row],[Sep_2027_F]]-Table410[[#This Row],[Sep_2027_A]]</f>
        <v/>
      </c>
      <c r="EO50" s="338">
        <f>IFERROR(Table410[[#This Row],[Oct_2027_Days_Forecast]]*Table410[[#This Row],[Cost Boolean]]*(VLOOKUP(Table410[[#This Row],[RATE CONCAT]],Tables!I:N,6,0)),0)</f>
        <v/>
      </c>
      <c r="EQ50" s="338">
        <f>Table410[[#This Row],[Oct_2027_F]]-Table410[[#This Row],[Oct_2027_A]]</f>
        <v/>
      </c>
      <c r="ER50" s="338">
        <f>IFERROR(Table410[[#This Row],[Nov_2027_Days_Forecast]]*Table410[[#This Row],[Cost Boolean]]*(VLOOKUP(Table410[[#This Row],[RATE CONCAT]],Tables!I:N,6,0)),0)</f>
        <v/>
      </c>
      <c r="ET50" s="338">
        <f>Table410[[#This Row],[Nov_2027_F]]-Table410[[#This Row],[Nov_2027_A]]</f>
        <v/>
      </c>
      <c r="EU50" s="338">
        <f>IFERROR(Table410[[#This Row],[Dec_2027_Days_Forecast]]*Table410[[#This Row],[Cost Boolean]]*(VLOOKUP(Table410[[#This Row],[RATE CONCAT]],Tables!I:N,6,0)),0)</f>
        <v/>
      </c>
      <c r="EW50" s="338">
        <f>Table410[[#This Row],[Dec_2027_F]]-Table410[[#This Row],[Dec_2027_A]]</f>
        <v/>
      </c>
    </row>
    <row r="51" ht="15" customFormat="1" customHeight="1" s="13">
      <c r="Y51" s="342">
        <f>CONCATENATE(Table410[[#This Row],[JG]],Table410[[#This Row],[Country]],Table410[[#This Row],[Resource Provider]])</f>
        <v/>
      </c>
      <c r="Z51" s="342">
        <f>VLOOKUP(Table410[[#This Row],[RATE CONCAT]],Tables!I:N,5,0)</f>
        <v/>
      </c>
      <c r="AA51" s="52" t="n"/>
      <c r="AB51" s="127" t="n"/>
      <c r="AC51" s="127" t="n"/>
      <c r="AD51" s="127" t="n"/>
      <c r="AE51" s="127" t="n"/>
      <c r="AF51" s="127" t="n"/>
      <c r="AG51" s="127" t="n"/>
      <c r="AH51" s="127" t="n"/>
      <c r="AI51" s="127" t="n"/>
      <c r="AJ51" s="127" t="n"/>
      <c r="AK51" s="127" t="n"/>
      <c r="AL51" s="127" t="n"/>
      <c r="AM51" s="127" t="n"/>
      <c r="AN51" s="341">
        <f>IFERROR(AVERAGE(Table410[[#This Row],[Jan_2026_Days_Forecast]:[Dec_2026_Days_Forecast]]),0)/19</f>
        <v/>
      </c>
      <c r="AO51" s="341">
        <f>IFERROR(AVERAGE(Table410[[#This Row],[Jan_2026_Days_Actual]:[Dec_2026_Days_Actual]]),0)/19</f>
        <v/>
      </c>
      <c r="BB51" s="341">
        <f>IFERROR(AVERAGE(Table410[[#This Row],[Jan_2027_Days_Forecast]:[Dec_2027_Days_Forecast]]),0)</f>
        <v/>
      </c>
      <c r="BC51" s="127" t="n"/>
      <c r="BD51" s="127" t="n"/>
      <c r="BE51" s="127" t="n"/>
      <c r="BF51" s="127" t="n"/>
      <c r="BG51" s="127" t="n"/>
      <c r="BH51" s="127" t="n"/>
      <c r="BI51" s="127" t="n"/>
      <c r="BJ51" s="127" t="n"/>
      <c r="BK51" s="127" t="n"/>
      <c r="BL51" s="127" t="n"/>
      <c r="BM51" s="127" t="n"/>
      <c r="BN51" s="127" t="n"/>
      <c r="BO51" s="176" t="n"/>
      <c r="BP51" s="176" t="n"/>
      <c r="BQ51" s="342">
        <f>IFERROR(Table410[[#This Row],[Jan_2026_Days_Forecast]]*Table410[[#This Row],[Cost Boolean]]*(VLOOKUP(Table410[[#This Row],[RATE CONCAT]],Tables!I:N,5,0)),0)</f>
        <v/>
      </c>
      <c r="BR51" s="342">
        <f>IFERROR(Table410[[#This Row],[Jan_2026_Days_Actual]]*Table410[[#This Row],[Cost Boolean]]*(VLOOKUP(Table410[[#This Row],[RATE CONCAT]],Tables!I:N,5,0)),0)</f>
        <v/>
      </c>
      <c r="BS51" s="342">
        <f>Table410[[#This Row],[Jan_2026_F]]-Table410[[#This Row],[Jan_2026_A]]</f>
        <v/>
      </c>
      <c r="BU51" s="342">
        <f>IFERROR(Table410[[#This Row],[Feb_2026_Days_Forecast]]*Table410[[#This Row],[Cost Boolean]]*(VLOOKUP(Table410[[#This Row],[RATE CONCAT]],Tables!I:N,5,0)),0)</f>
        <v/>
      </c>
      <c r="BV51" s="342">
        <f>IFERROR(Table410[[#This Row],[Feb_2026_Days_Actual]]*Table410[[#This Row],[Cost Boolean]]*(VLOOKUP(Table410[[#This Row],[RATE CONCAT]],Tables!I:N,5,0)),0)</f>
        <v/>
      </c>
      <c r="BW51" s="342">
        <f>Table410[[#This Row],[Feb_2026_F]]-Table410[[#This Row],[Feb_2026_A]]</f>
        <v/>
      </c>
      <c r="BY51" s="342">
        <f>IFERROR(Table410[[#This Row],[Mar_2026_Days_Forecast]]*Table410[[#This Row],[Cost Boolean]]*(VLOOKUP(Table410[[#This Row],[RATE CONCAT]],Tables!I:N,5,0)),0)</f>
        <v/>
      </c>
      <c r="BZ51" s="342">
        <f>IFERROR(Table410[[#This Row],[Mar_2026_Days_Actual]]*Table410[[#This Row],[Cost Boolean]]*(VLOOKUP(Table410[[#This Row],[RATE CONCAT]],Tables!I:N,5,0)),0)</f>
        <v/>
      </c>
      <c r="CA51" s="342">
        <f>Table410[[#This Row],[Mar_2026_F]]-Table410[[#This Row],[Mar_2026_A]]</f>
        <v/>
      </c>
      <c r="CC51" s="342">
        <f>IFERROR(Table410[[#This Row],[Apr_2026_Days_Forecast]]*Table410[[#This Row],[Cost Boolean]]*(VLOOKUP(Table410[[#This Row],[RATE CONCAT]],Tables!I:N,5,0)),0)</f>
        <v/>
      </c>
      <c r="CD51" s="342">
        <f>IFERROR(Table410[[#This Row],[Apr_2026_Days_Actual]]*Table410[[#This Row],[Cost Boolean]]*(VLOOKUP(Table410[[#This Row],[RATE CONCAT]],Tables!I:N,5,0)),0)</f>
        <v/>
      </c>
      <c r="CE51" s="342">
        <f>Table410[[#This Row],[Apr_2026_F]]-Table410[[#This Row],[Apr_2026_A]]</f>
        <v/>
      </c>
      <c r="CG51" s="342">
        <f>IFERROR(Table410[[#This Row],[May_2026_Days_Forecast]] *Table410[[#This Row],[Cost Boolean]]*(VLOOKUP(Table410[[#This Row],[RATE CONCAT]],Tables!I:N,5,0)),0)</f>
        <v/>
      </c>
      <c r="CH51" s="342">
        <f>IFERROR(Table410[[#This Row],[May_2026_Days_Actual]]*Table410[[#This Row],[Cost Boolean]]*(VLOOKUP(Table410[[#This Row],[RATE CONCAT]],Tables!I:N,5,0)),0)</f>
        <v/>
      </c>
      <c r="CI51" s="342">
        <f>Table410[[#This Row],[May_2026_F]]-Table410[[#This Row],[May_2026_A]]</f>
        <v/>
      </c>
      <c r="CK51" s="342">
        <f>IFERROR(Table410[[#This Row],[Jun_2026_Days_Forecast]]*Table410[[#This Row],[Cost Boolean]]*(VLOOKUP(Table410[[#This Row],[RATE CONCAT]],Tables!I:N,5,0)),0)</f>
        <v/>
      </c>
      <c r="CL51" s="342">
        <f>IFERROR(Table410[[#This Row],[Jun_2026_Days_Actual]]*Table410[[#This Row],[Cost Boolean]]*(VLOOKUP(Table410[[#This Row],[RATE CONCAT]],Tables!I:N,5,0)),0)</f>
        <v/>
      </c>
      <c r="CM51" s="342">
        <f>Table410[[#This Row],[Jun_2026_F]]-Table410[[#This Row],[Jun_2026_A]]</f>
        <v/>
      </c>
      <c r="CO51" s="342">
        <f>IFERROR(Table410[[#This Row],[Jul_2026_Days_Forecast]]*Table410[[#This Row],[Cost Boolean]]*(VLOOKUP(Table410[[#This Row],[RATE CONCAT]],Tables!I:N,5,0)),0)</f>
        <v/>
      </c>
      <c r="CP51" s="342">
        <f>IFERROR(Table410[[#This Row],[Jul_2026_Days_Actual]]*Table410[[#This Row],[Cost Boolean]]*(VLOOKUP(Table410[[#This Row],[RATE CONCAT]],Tables!I:N,5,0)),0)</f>
        <v/>
      </c>
      <c r="CQ51" s="342">
        <f>Table410[[#This Row],[Jul_2026_F]]-Table410[[#This Row],[Jul_2026_A]]</f>
        <v/>
      </c>
      <c r="CS51" s="342">
        <f>IFERROR(Table410[[#This Row],[Aug_2026_Days_Forecast]]*Table410[[#This Row],[Cost Boolean]]*(VLOOKUP(Table410[[#This Row],[RATE CONCAT]],Tables!I:N,5,0)),0)</f>
        <v/>
      </c>
      <c r="CT51" s="342">
        <f>IFERROR(Table410[[#This Row],[Aug_2026_Days_Actual]]*Table410[[#This Row],[Cost Boolean]]*(VLOOKUP(Table410[[#This Row],[RATE CONCAT]],Tables!I:N,5,0)),0)</f>
        <v/>
      </c>
      <c r="CU51" s="342">
        <f>Table410[[#This Row],[Aug_2026_F]]-Table410[[#This Row],[Aug_2026_A]]</f>
        <v/>
      </c>
      <c r="CW51" s="342">
        <f>IFERROR(Table410[[#This Row],[Sep_2026_Days_Forecast]]*Table410[[#This Row],[Cost Boolean]]*(VLOOKUP(Table410[[#This Row],[RATE CONCAT]],Tables!I:N,5,0)),0)</f>
        <v/>
      </c>
      <c r="CX51" s="342">
        <f>IFERROR(Table410[[#This Row],[Sep_2026_Days_Actual]]*Table410[[#This Row],[Cost Boolean]]*(VLOOKUP(Table410[[#This Row],[RATE CONCAT]],Tables!I:N,5,0)),0)</f>
        <v/>
      </c>
      <c r="CY51" s="342">
        <f>Table410[[#This Row],[Sep_2026_F]]-Table410[[#This Row],[Sep_2026_A]]</f>
        <v/>
      </c>
      <c r="DA51" s="342">
        <f>IFERROR(Table410[[#This Row],[Oct_2026_Days_Forecast]]*Table410[[#This Row],[Cost Boolean]]*(VLOOKUP(Table410[[#This Row],[RATE CONCAT]],Tables!I:N,5,0)),0)</f>
        <v/>
      </c>
      <c r="DB51" s="342">
        <f>IFERROR(Table410[[#This Row],[Oct_2026_Days_Actual]]*Table410[[#This Row],[Cost Boolean]]*(VLOOKUP(Table410[[#This Row],[RATE CONCAT]],Tables!I:N,5,0)),0)</f>
        <v/>
      </c>
      <c r="DC51" s="342">
        <f>Table410[[#This Row],[Oct_2026_F]]-Table410[[#This Row],[Oct_2026_A]]</f>
        <v/>
      </c>
      <c r="DE51" s="342">
        <f>IFERROR(Table410[[#This Row],[Nov_2026_Days_Forecast]]*Table410[[#This Row],[Cost Boolean]]*(VLOOKUP(Table410[[#This Row],[RATE CONCAT]],Tables!I:N,5,0)),0)</f>
        <v/>
      </c>
      <c r="DF51" s="342">
        <f>IFERROR(Table410[[#This Row],[Nov_2026_Days_Actual]]*Table410[[#This Row],[Cost Boolean]]*(VLOOKUP(Table410[[#This Row],[RATE CONCAT]],Tables!I:N,5,0)),0)</f>
        <v/>
      </c>
      <c r="DG51" s="342">
        <f>Table410[[#This Row],[Nov_2026_F]]-Table410[[#This Row],[Nov_2026_A]]</f>
        <v/>
      </c>
      <c r="DI51" s="342">
        <f>IFERROR(Table410[[#This Row],[Dec_2026_Days_Forecast]]*Table410[[#This Row],[Cost Boolean]]*(VLOOKUP(Table410[[#This Row],[RATE CONCAT]],Tables!I:N,5,0)),0)</f>
        <v/>
      </c>
      <c r="DJ51" s="342">
        <f>IFERROR(Table410[[#This Row],[Dec_2026_Days_Actual]]*Table410[[#This Row],[Cost Boolean]]*(VLOOKUP(Table410[[#This Row],[RATE CONCAT]],Tables!I:N,5,0)),0)</f>
        <v/>
      </c>
      <c r="DK51" s="342">
        <f>Table410[[#This Row],[Dec_2026_F]]-Table410[[#This Row],[Dec_2026_A]]</f>
        <v/>
      </c>
      <c r="DN51" s="342">
        <f>IFERROR(Table410[[#This Row],[Jan_2027_Days_Forecast]]*Table410[[#This Row],[Cost Boolean]]*(VLOOKUP(Table410[[#This Row],[RATE CONCAT]],Tables!I:N,6,0)),0)</f>
        <v/>
      </c>
      <c r="DP51" s="342">
        <f>Table410[[#This Row],[Jan_2027_F]]-Table410[[#This Row],[Jan_2027_A]]</f>
        <v/>
      </c>
      <c r="DQ51" s="342">
        <f>IFERROR(Table410[[#This Row],[Feb_2027_Days_Forecast]]*Table410[[#This Row],[Cost Boolean]]*(VLOOKUP(Table410[[#This Row],[RATE CONCAT]],Tables!I:N,6,0)),0)</f>
        <v/>
      </c>
      <c r="DS51" s="342">
        <f>Table410[[#This Row],[Feb_2027_F]]-Table410[[#This Row],[Feb_2027_A]]</f>
        <v/>
      </c>
      <c r="DT51" s="342">
        <f>IFERROR(Table410[[#This Row],[Mar_2027_Days_Forecast]]*Table410[[#This Row],[Cost Boolean]]*(VLOOKUP(Table410[[#This Row],[RATE CONCAT]],Tables!I:N,6,0)),0)</f>
        <v/>
      </c>
      <c r="DV51" s="342">
        <f>Table410[[#This Row],[Mar_2027_F]]-Table410[[#This Row],[Mar_2027_A]]</f>
        <v/>
      </c>
      <c r="DW51" s="342">
        <f>IFERROR(Table410[[#This Row],[Apr_2027_Days_Forecast]]*Table410[[#This Row],[Cost Boolean]]*(VLOOKUP(Table410[[#This Row],[RATE CONCAT]],Tables!I:N,6,0)),0)</f>
        <v/>
      </c>
      <c r="DY51" s="342">
        <f>Table410[[#This Row],[Apr_2027_F]]-Table410[[#This Row],[Apr_2027_A]]</f>
        <v/>
      </c>
      <c r="DZ51" s="342">
        <f>IFERROR(Table410[[#This Row],[May_2027_Days_Forecast]]*Table410[[#This Row],[Cost Boolean]]*(VLOOKUP(Table410[[#This Row],[RATE CONCAT]],Tables!I:N,6,0)),0)</f>
        <v/>
      </c>
      <c r="EB51" s="342">
        <f>Table410[[#This Row],[May_2027_F]]-Table410[[#This Row],[May_2027_A]]</f>
        <v/>
      </c>
      <c r="EC51" s="342">
        <f>IFERROR(Table410[[#This Row],[Jun_2027_Days_Forecast]]*Table410[[#This Row],[Cost Boolean]]*(VLOOKUP(Table410[[#This Row],[RATE CONCAT]],Tables!I:N,6,0)),0)</f>
        <v/>
      </c>
      <c r="EE51" s="342">
        <f>Table410[[#This Row],[Jun_2027_F]]-Table410[[#This Row],[Jun_2027_A]]</f>
        <v/>
      </c>
      <c r="EF51" s="342">
        <f>IFERROR(Table410[[#This Row],[Jul_2027_Days_Forecast]]*Table410[[#This Row],[Cost Boolean]]*(VLOOKUP(Table410[[#This Row],[RATE CONCAT]],Tables!I:N,6,0)),0)</f>
        <v/>
      </c>
      <c r="EH51" s="342">
        <f>Table410[[#This Row],[Jul_2027_F]]-Table410[[#This Row],[Jul_2027_A]]</f>
        <v/>
      </c>
      <c r="EI51" s="342">
        <f>IFERROR(Table410[[#This Row],[Aug_2027_Days_Forecast]]*Table410[[#This Row],[Cost Boolean]]*(VLOOKUP(Table410[[#This Row],[RATE CONCAT]],Tables!I:N,6,0)),0)</f>
        <v/>
      </c>
      <c r="EK51" s="342">
        <f>Table410[[#This Row],[Aug_2027_F]]-Table410[[#This Row],[Aug_2027_A]]</f>
        <v/>
      </c>
      <c r="EL51" s="342">
        <f>IFERROR(Table410[[#This Row],[Sep_2027_Days_Forecast]]*Table410[[#This Row],[Cost Boolean]]*(VLOOKUP(Table410[[#This Row],[RATE CONCAT]],Tables!I:N,6,0)),0)</f>
        <v/>
      </c>
      <c r="EN51" s="342">
        <f>Table410[[#This Row],[Sep_2027_F]]-Table410[[#This Row],[Sep_2027_A]]</f>
        <v/>
      </c>
      <c r="EO51" s="342">
        <f>IFERROR(Table410[[#This Row],[Oct_2027_Days_Forecast]]*Table410[[#This Row],[Cost Boolean]]*(VLOOKUP(Table410[[#This Row],[RATE CONCAT]],Tables!I:N,6,0)),0)</f>
        <v/>
      </c>
      <c r="EQ51" s="342">
        <f>Table410[[#This Row],[Oct_2027_F]]-Table410[[#This Row],[Oct_2027_A]]</f>
        <v/>
      </c>
      <c r="ER51" s="342">
        <f>IFERROR(Table410[[#This Row],[Nov_2027_Days_Forecast]]*Table410[[#This Row],[Cost Boolean]]*(VLOOKUP(Table410[[#This Row],[RATE CONCAT]],Tables!I:N,6,0)),0)</f>
        <v/>
      </c>
      <c r="ET51" s="342">
        <f>Table410[[#This Row],[Nov_2027_F]]-Table410[[#This Row],[Nov_2027_A]]</f>
        <v/>
      </c>
      <c r="EU51" s="342">
        <f>IFERROR(Table410[[#This Row],[Dec_2027_Days_Forecast]]*Table410[[#This Row],[Cost Boolean]]*(VLOOKUP(Table410[[#This Row],[RATE CONCAT]],Tables!I:N,6,0)),0)</f>
        <v/>
      </c>
      <c r="EW51" s="342">
        <f>Table410[[#This Row],[Dec_2027_F]]-Table410[[#This Row],[Dec_2027_A]]</f>
        <v/>
      </c>
    </row>
    <row r="52" ht="15" customFormat="1" customHeight="1" s="13">
      <c r="Y52" s="338">
        <f>CONCATENATE(Table410[[#This Row],[JG]],Table410[[#This Row],[Country]],Table410[[#This Row],[Resource Provider]])</f>
        <v/>
      </c>
      <c r="Z52" s="338">
        <f>VLOOKUP(Table410[[#This Row],[RATE CONCAT]],Tables!I:N,5,0)</f>
        <v/>
      </c>
      <c r="AA52" s="52" t="n"/>
      <c r="AB52" s="127" t="n"/>
      <c r="AC52" s="127" t="n"/>
      <c r="AD52" s="127" t="n"/>
      <c r="AE52" s="127" t="n"/>
      <c r="AF52" s="127" t="n"/>
      <c r="AG52" s="127" t="n"/>
      <c r="AH52" s="127" t="n"/>
      <c r="AI52" s="127" t="n"/>
      <c r="AJ52" s="127" t="n"/>
      <c r="AK52" s="127" t="n"/>
      <c r="AL52" s="127" t="n"/>
      <c r="AM52" s="127" t="n"/>
      <c r="AN52" s="341">
        <f>IFERROR(AVERAGE(Table410[[#This Row],[Jan_2026_Days_Forecast]:[Dec_2026_Days_Forecast]]),0)/19</f>
        <v/>
      </c>
      <c r="AO52" s="341">
        <f>IFERROR(AVERAGE(Table410[[#This Row],[Jan_2026_Days_Actual]:[Dec_2026_Days_Actual]]),0)/19</f>
        <v/>
      </c>
      <c r="BB52" s="341">
        <f>IFERROR(AVERAGE(Table410[[#This Row],[Jan_2027_Days_Forecast]:[Dec_2027_Days_Forecast]]),0)</f>
        <v/>
      </c>
      <c r="BC52" s="127" t="n"/>
      <c r="BD52" s="127" t="n"/>
      <c r="BE52" s="127" t="n"/>
      <c r="BF52" s="127" t="n"/>
      <c r="BG52" s="127" t="n"/>
      <c r="BH52" s="127" t="n"/>
      <c r="BI52" s="127" t="n"/>
      <c r="BJ52" s="127" t="n"/>
      <c r="BK52" s="127" t="n"/>
      <c r="BL52" s="127" t="n"/>
      <c r="BM52" s="127" t="n"/>
      <c r="BN52" s="127" t="n"/>
      <c r="BO52" s="176" t="n"/>
      <c r="BP52" s="176" t="n"/>
      <c r="BQ52" s="338">
        <f>IFERROR(Table410[[#This Row],[Jan_2026_Days_Forecast]]*Table410[[#This Row],[Cost Boolean]]*(VLOOKUP(Table410[[#This Row],[RATE CONCAT]],Tables!I:N,5,0)),0)</f>
        <v/>
      </c>
      <c r="BR52" s="338">
        <f>IFERROR(Table410[[#This Row],[Jan_2026_Days_Actual]]*Table410[[#This Row],[Cost Boolean]]*(VLOOKUP(Table410[[#This Row],[RATE CONCAT]],Tables!I:N,5,0)),0)</f>
        <v/>
      </c>
      <c r="BS52" s="338">
        <f>Table410[[#This Row],[Jan_2026_F]]-Table410[[#This Row],[Jan_2026_A]]</f>
        <v/>
      </c>
      <c r="BU52" s="338">
        <f>IFERROR(Table410[[#This Row],[Feb_2026_Days_Forecast]]*Table410[[#This Row],[Cost Boolean]]*(VLOOKUP(Table410[[#This Row],[RATE CONCAT]],Tables!I:N,5,0)),0)</f>
        <v/>
      </c>
      <c r="BV52" s="338">
        <f>IFERROR(Table410[[#This Row],[Feb_2026_Days_Actual]]*Table410[[#This Row],[Cost Boolean]]*(VLOOKUP(Table410[[#This Row],[RATE CONCAT]],Tables!I:N,5,0)),0)</f>
        <v/>
      </c>
      <c r="BW52" s="338">
        <f>Table410[[#This Row],[Feb_2026_F]]-Table410[[#This Row],[Feb_2026_A]]</f>
        <v/>
      </c>
      <c r="BY52" s="338">
        <f>IFERROR(Table410[[#This Row],[Mar_2026_Days_Forecast]]*Table410[[#This Row],[Cost Boolean]]*(VLOOKUP(Table410[[#This Row],[RATE CONCAT]],Tables!I:N,5,0)),0)</f>
        <v/>
      </c>
      <c r="BZ52" s="338">
        <f>IFERROR(Table410[[#This Row],[Mar_2026_Days_Actual]]*Table410[[#This Row],[Cost Boolean]]*(VLOOKUP(Table410[[#This Row],[RATE CONCAT]],Tables!I:N,5,0)),0)</f>
        <v/>
      </c>
      <c r="CA52" s="338">
        <f>Table410[[#This Row],[Mar_2026_F]]-Table410[[#This Row],[Mar_2026_A]]</f>
        <v/>
      </c>
      <c r="CC52" s="338">
        <f>IFERROR(Table410[[#This Row],[Apr_2026_Days_Forecast]]*Table410[[#This Row],[Cost Boolean]]*(VLOOKUP(Table410[[#This Row],[RATE CONCAT]],Tables!I:N,5,0)),0)</f>
        <v/>
      </c>
      <c r="CD52" s="338">
        <f>IFERROR(Table410[[#This Row],[Apr_2026_Days_Actual]]*Table410[[#This Row],[Cost Boolean]]*(VLOOKUP(Table410[[#This Row],[RATE CONCAT]],Tables!I:N,5,0)),0)</f>
        <v/>
      </c>
      <c r="CE52" s="338">
        <f>Table410[[#This Row],[Apr_2026_F]]-Table410[[#This Row],[Apr_2026_A]]</f>
        <v/>
      </c>
      <c r="CG52" s="338">
        <f>IFERROR(Table410[[#This Row],[May_2026_Days_Forecast]] *Table410[[#This Row],[Cost Boolean]]*(VLOOKUP(Table410[[#This Row],[RATE CONCAT]],Tables!I:N,5,0)),0)</f>
        <v/>
      </c>
      <c r="CH52" s="338">
        <f>IFERROR(Table410[[#This Row],[May_2026_Days_Actual]]*Table410[[#This Row],[Cost Boolean]]*(VLOOKUP(Table410[[#This Row],[RATE CONCAT]],Tables!I:N,5,0)),0)</f>
        <v/>
      </c>
      <c r="CI52" s="338">
        <f>Table410[[#This Row],[May_2026_F]]-Table410[[#This Row],[May_2026_A]]</f>
        <v/>
      </c>
      <c r="CK52" s="338">
        <f>IFERROR(Table410[[#This Row],[Jun_2026_Days_Forecast]]*Table410[[#This Row],[Cost Boolean]]*(VLOOKUP(Table410[[#This Row],[RATE CONCAT]],Tables!I:N,5,0)),0)</f>
        <v/>
      </c>
      <c r="CL52" s="338">
        <f>IFERROR(Table410[[#This Row],[Jun_2026_Days_Actual]]*Table410[[#This Row],[Cost Boolean]]*(VLOOKUP(Table410[[#This Row],[RATE CONCAT]],Tables!I:N,5,0)),0)</f>
        <v/>
      </c>
      <c r="CM52" s="338">
        <f>Table410[[#This Row],[Jun_2026_F]]-Table410[[#This Row],[Jun_2026_A]]</f>
        <v/>
      </c>
      <c r="CO52" s="338">
        <f>IFERROR(Table410[[#This Row],[Jul_2026_Days_Forecast]]*Table410[[#This Row],[Cost Boolean]]*(VLOOKUP(Table410[[#This Row],[RATE CONCAT]],Tables!I:N,5,0)),0)</f>
        <v/>
      </c>
      <c r="CP52" s="338">
        <f>IFERROR(Table410[[#This Row],[Jul_2026_Days_Actual]]*Table410[[#This Row],[Cost Boolean]]*(VLOOKUP(Table410[[#This Row],[RATE CONCAT]],Tables!I:N,5,0)),0)</f>
        <v/>
      </c>
      <c r="CQ52" s="338">
        <f>Table410[[#This Row],[Jul_2026_F]]-Table410[[#This Row],[Jul_2026_A]]</f>
        <v/>
      </c>
      <c r="CS52" s="338">
        <f>IFERROR(Table410[[#This Row],[Aug_2026_Days_Forecast]]*Table410[[#This Row],[Cost Boolean]]*(VLOOKUP(Table410[[#This Row],[RATE CONCAT]],Tables!I:N,5,0)),0)</f>
        <v/>
      </c>
      <c r="CT52" s="338">
        <f>IFERROR(Table410[[#This Row],[Aug_2026_Days_Actual]]*Table410[[#This Row],[Cost Boolean]]*(VLOOKUP(Table410[[#This Row],[RATE CONCAT]],Tables!I:N,5,0)),0)</f>
        <v/>
      </c>
      <c r="CU52" s="338">
        <f>Table410[[#This Row],[Aug_2026_F]]-Table410[[#This Row],[Aug_2026_A]]</f>
        <v/>
      </c>
      <c r="CW52" s="338">
        <f>IFERROR(Table410[[#This Row],[Sep_2026_Days_Forecast]]*Table410[[#This Row],[Cost Boolean]]*(VLOOKUP(Table410[[#This Row],[RATE CONCAT]],Tables!I:N,5,0)),0)</f>
        <v/>
      </c>
      <c r="CX52" s="338">
        <f>IFERROR(Table410[[#This Row],[Sep_2026_Days_Actual]]*Table410[[#This Row],[Cost Boolean]]*(VLOOKUP(Table410[[#This Row],[RATE CONCAT]],Tables!I:N,5,0)),0)</f>
        <v/>
      </c>
      <c r="CY52" s="338">
        <f>Table410[[#This Row],[Sep_2026_F]]-Table410[[#This Row],[Sep_2026_A]]</f>
        <v/>
      </c>
      <c r="DA52" s="338">
        <f>IFERROR(Table410[[#This Row],[Oct_2026_Days_Forecast]]*Table410[[#This Row],[Cost Boolean]]*(VLOOKUP(Table410[[#This Row],[RATE CONCAT]],Tables!I:N,5,0)),0)</f>
        <v/>
      </c>
      <c r="DB52" s="338">
        <f>IFERROR(Table410[[#This Row],[Oct_2026_Days_Actual]]*Table410[[#This Row],[Cost Boolean]]*(VLOOKUP(Table410[[#This Row],[RATE CONCAT]],Tables!I:N,5,0)),0)</f>
        <v/>
      </c>
      <c r="DC52" s="338">
        <f>Table410[[#This Row],[Oct_2026_F]]-Table410[[#This Row],[Oct_2026_A]]</f>
        <v/>
      </c>
      <c r="DE52" s="338">
        <f>IFERROR(Table410[[#This Row],[Nov_2026_Days_Forecast]]*Table410[[#This Row],[Cost Boolean]]*(VLOOKUP(Table410[[#This Row],[RATE CONCAT]],Tables!I:N,5,0)),0)</f>
        <v/>
      </c>
      <c r="DF52" s="338">
        <f>IFERROR(Table410[[#This Row],[Nov_2026_Days_Actual]]*Table410[[#This Row],[Cost Boolean]]*(VLOOKUP(Table410[[#This Row],[RATE CONCAT]],Tables!I:N,5,0)),0)</f>
        <v/>
      </c>
      <c r="DG52" s="338">
        <f>Table410[[#This Row],[Nov_2026_F]]-Table410[[#This Row],[Nov_2026_A]]</f>
        <v/>
      </c>
      <c r="DI52" s="338">
        <f>IFERROR(Table410[[#This Row],[Dec_2026_Days_Forecast]]*Table410[[#This Row],[Cost Boolean]]*(VLOOKUP(Table410[[#This Row],[RATE CONCAT]],Tables!I:N,5,0)),0)</f>
        <v/>
      </c>
      <c r="DJ52" s="338">
        <f>IFERROR(Table410[[#This Row],[Dec_2026_Days_Actual]]*Table410[[#This Row],[Cost Boolean]]*(VLOOKUP(Table410[[#This Row],[RATE CONCAT]],Tables!I:N,5,0)),0)</f>
        <v/>
      </c>
      <c r="DK52" s="338">
        <f>Table410[[#This Row],[Dec_2026_F]]-Table410[[#This Row],[Dec_2026_A]]</f>
        <v/>
      </c>
      <c r="DN52" s="338">
        <f>IFERROR(Table410[[#This Row],[Jan_2027_Days_Forecast]]*Table410[[#This Row],[Cost Boolean]]*(VLOOKUP(Table410[[#This Row],[RATE CONCAT]],Tables!I:N,6,0)),0)</f>
        <v/>
      </c>
      <c r="DP52" s="338">
        <f>Table410[[#This Row],[Jan_2027_F]]-Table410[[#This Row],[Jan_2027_A]]</f>
        <v/>
      </c>
      <c r="DQ52" s="338">
        <f>IFERROR(Table410[[#This Row],[Feb_2027_Days_Forecast]]*Table410[[#This Row],[Cost Boolean]]*(VLOOKUP(Table410[[#This Row],[RATE CONCAT]],Tables!I:N,6,0)),0)</f>
        <v/>
      </c>
      <c r="DS52" s="338">
        <f>Table410[[#This Row],[Feb_2027_F]]-Table410[[#This Row],[Feb_2027_A]]</f>
        <v/>
      </c>
      <c r="DT52" s="338">
        <f>IFERROR(Table410[[#This Row],[Mar_2027_Days_Forecast]]*Table410[[#This Row],[Cost Boolean]]*(VLOOKUP(Table410[[#This Row],[RATE CONCAT]],Tables!I:N,6,0)),0)</f>
        <v/>
      </c>
      <c r="DV52" s="338">
        <f>Table410[[#This Row],[Mar_2027_F]]-Table410[[#This Row],[Mar_2027_A]]</f>
        <v/>
      </c>
      <c r="DW52" s="338">
        <f>IFERROR(Table410[[#This Row],[Apr_2027_Days_Forecast]]*Table410[[#This Row],[Cost Boolean]]*(VLOOKUP(Table410[[#This Row],[RATE CONCAT]],Tables!I:N,6,0)),0)</f>
        <v/>
      </c>
      <c r="DY52" s="338">
        <f>Table410[[#This Row],[Apr_2027_F]]-Table410[[#This Row],[Apr_2027_A]]</f>
        <v/>
      </c>
      <c r="DZ52" s="338">
        <f>IFERROR(Table410[[#This Row],[May_2027_Days_Forecast]]*Table410[[#This Row],[Cost Boolean]]*(VLOOKUP(Table410[[#This Row],[RATE CONCAT]],Tables!I:N,6,0)),0)</f>
        <v/>
      </c>
      <c r="EB52" s="338">
        <f>Table410[[#This Row],[May_2027_F]]-Table410[[#This Row],[May_2027_A]]</f>
        <v/>
      </c>
      <c r="EC52" s="338">
        <f>IFERROR(Table410[[#This Row],[Jun_2027_Days_Forecast]]*Table410[[#This Row],[Cost Boolean]]*(VLOOKUP(Table410[[#This Row],[RATE CONCAT]],Tables!I:N,6,0)),0)</f>
        <v/>
      </c>
      <c r="EE52" s="338">
        <f>Table410[[#This Row],[Jun_2027_F]]-Table410[[#This Row],[Jun_2027_A]]</f>
        <v/>
      </c>
      <c r="EF52" s="338">
        <f>IFERROR(Table410[[#This Row],[Jul_2027_Days_Forecast]]*Table410[[#This Row],[Cost Boolean]]*(VLOOKUP(Table410[[#This Row],[RATE CONCAT]],Tables!I:N,6,0)),0)</f>
        <v/>
      </c>
      <c r="EH52" s="338">
        <f>Table410[[#This Row],[Jul_2027_F]]-Table410[[#This Row],[Jul_2027_A]]</f>
        <v/>
      </c>
      <c r="EI52" s="338">
        <f>IFERROR(Table410[[#This Row],[Aug_2027_Days_Forecast]]*Table410[[#This Row],[Cost Boolean]]*(VLOOKUP(Table410[[#This Row],[RATE CONCAT]],Tables!I:N,6,0)),0)</f>
        <v/>
      </c>
      <c r="EK52" s="338">
        <f>Table410[[#This Row],[Aug_2027_F]]-Table410[[#This Row],[Aug_2027_A]]</f>
        <v/>
      </c>
      <c r="EL52" s="338">
        <f>IFERROR(Table410[[#This Row],[Sep_2027_Days_Forecast]]*Table410[[#This Row],[Cost Boolean]]*(VLOOKUP(Table410[[#This Row],[RATE CONCAT]],Tables!I:N,6,0)),0)</f>
        <v/>
      </c>
      <c r="EN52" s="338">
        <f>Table410[[#This Row],[Sep_2027_F]]-Table410[[#This Row],[Sep_2027_A]]</f>
        <v/>
      </c>
      <c r="EO52" s="338">
        <f>IFERROR(Table410[[#This Row],[Oct_2027_Days_Forecast]]*Table410[[#This Row],[Cost Boolean]]*(VLOOKUP(Table410[[#This Row],[RATE CONCAT]],Tables!I:N,6,0)),0)</f>
        <v/>
      </c>
      <c r="EQ52" s="338">
        <f>Table410[[#This Row],[Oct_2027_F]]-Table410[[#This Row],[Oct_2027_A]]</f>
        <v/>
      </c>
      <c r="ER52" s="338">
        <f>IFERROR(Table410[[#This Row],[Nov_2027_Days_Forecast]]*Table410[[#This Row],[Cost Boolean]]*(VLOOKUP(Table410[[#This Row],[RATE CONCAT]],Tables!I:N,6,0)),0)</f>
        <v/>
      </c>
      <c r="ET52" s="338">
        <f>Table410[[#This Row],[Nov_2027_F]]-Table410[[#This Row],[Nov_2027_A]]</f>
        <v/>
      </c>
      <c r="EU52" s="338">
        <f>IFERROR(Table410[[#This Row],[Dec_2027_Days_Forecast]]*Table410[[#This Row],[Cost Boolean]]*(VLOOKUP(Table410[[#This Row],[RATE CONCAT]],Tables!I:N,6,0)),0)</f>
        <v/>
      </c>
      <c r="EW52" s="338">
        <f>Table410[[#This Row],[Dec_2027_F]]-Table410[[#This Row],[Dec_2027_A]]</f>
        <v/>
      </c>
    </row>
    <row r="53" ht="15" customFormat="1" customHeight="1" s="13">
      <c r="Y53" s="342">
        <f>CONCATENATE(Table410[[#This Row],[JG]],Table410[[#This Row],[Country]],Table410[[#This Row],[Resource Provider]])</f>
        <v/>
      </c>
      <c r="Z53" s="342">
        <f>VLOOKUP(Table410[[#This Row],[RATE CONCAT]],Tables!I:N,5,0)</f>
        <v/>
      </c>
      <c r="AA53" s="52" t="n"/>
      <c r="AB53" s="127" t="n"/>
      <c r="AC53" s="127" t="n"/>
      <c r="AD53" s="127" t="n"/>
      <c r="AE53" s="127" t="n"/>
      <c r="AF53" s="127" t="n"/>
      <c r="AG53" s="127" t="n"/>
      <c r="AH53" s="127" t="n"/>
      <c r="AI53" s="127" t="n"/>
      <c r="AJ53" s="127" t="n"/>
      <c r="AK53" s="127" t="n"/>
      <c r="AL53" s="127" t="n"/>
      <c r="AM53" s="127" t="n"/>
      <c r="AN53" s="341">
        <f>IFERROR(AVERAGE(Table410[[#This Row],[Jan_2026_Days_Forecast]:[Dec_2026_Days_Forecast]]),0)/19</f>
        <v/>
      </c>
      <c r="AO53" s="341">
        <f>IFERROR(AVERAGE(Table410[[#This Row],[Jan_2026_Days_Actual]:[Dec_2026_Days_Actual]]),0)/19</f>
        <v/>
      </c>
      <c r="BB53" s="341">
        <f>IFERROR(AVERAGE(Table410[[#This Row],[Jan_2027_Days_Forecast]:[Dec_2027_Days_Forecast]]),0)</f>
        <v/>
      </c>
      <c r="BC53" s="127" t="n"/>
      <c r="BD53" s="127" t="n"/>
      <c r="BE53" s="127" t="n"/>
      <c r="BF53" s="127" t="n"/>
      <c r="BG53" s="127" t="n"/>
      <c r="BH53" s="127" t="n"/>
      <c r="BI53" s="127" t="n"/>
      <c r="BJ53" s="127" t="n"/>
      <c r="BK53" s="127" t="n"/>
      <c r="BL53" s="127" t="n"/>
      <c r="BM53" s="127" t="n"/>
      <c r="BN53" s="127" t="n"/>
      <c r="BO53" s="176" t="n"/>
      <c r="BP53" s="176" t="n"/>
      <c r="BQ53" s="342">
        <f>IFERROR(Table410[[#This Row],[Jan_2026_Days_Forecast]]*Table410[[#This Row],[Cost Boolean]]*(VLOOKUP(Table410[[#This Row],[RATE CONCAT]],Tables!I:N,5,0)),0)</f>
        <v/>
      </c>
      <c r="BR53" s="342">
        <f>IFERROR(Table410[[#This Row],[Jan_2026_Days_Actual]]*Table410[[#This Row],[Cost Boolean]]*(VLOOKUP(Table410[[#This Row],[RATE CONCAT]],Tables!I:N,5,0)),0)</f>
        <v/>
      </c>
      <c r="BS53" s="342">
        <f>Table410[[#This Row],[Jan_2026_F]]-Table410[[#This Row],[Jan_2026_A]]</f>
        <v/>
      </c>
      <c r="BU53" s="342">
        <f>IFERROR(Table410[[#This Row],[Feb_2026_Days_Forecast]]*Table410[[#This Row],[Cost Boolean]]*(VLOOKUP(Table410[[#This Row],[RATE CONCAT]],Tables!I:N,5,0)),0)</f>
        <v/>
      </c>
      <c r="BV53" s="342">
        <f>IFERROR(Table410[[#This Row],[Feb_2026_Days_Actual]]*Table410[[#This Row],[Cost Boolean]]*(VLOOKUP(Table410[[#This Row],[RATE CONCAT]],Tables!I:N,5,0)),0)</f>
        <v/>
      </c>
      <c r="BW53" s="342">
        <f>Table410[[#This Row],[Feb_2026_F]]-Table410[[#This Row],[Feb_2026_A]]</f>
        <v/>
      </c>
      <c r="BY53" s="342">
        <f>IFERROR(Table410[[#This Row],[Mar_2026_Days_Forecast]]*Table410[[#This Row],[Cost Boolean]]*(VLOOKUP(Table410[[#This Row],[RATE CONCAT]],Tables!I:N,5,0)),0)</f>
        <v/>
      </c>
      <c r="BZ53" s="342">
        <f>IFERROR(Table410[[#This Row],[Mar_2026_Days_Actual]]*Table410[[#This Row],[Cost Boolean]]*(VLOOKUP(Table410[[#This Row],[RATE CONCAT]],Tables!I:N,5,0)),0)</f>
        <v/>
      </c>
      <c r="CA53" s="342">
        <f>Table410[[#This Row],[Mar_2026_F]]-Table410[[#This Row],[Mar_2026_A]]</f>
        <v/>
      </c>
      <c r="CC53" s="342">
        <f>IFERROR(Table410[[#This Row],[Apr_2026_Days_Forecast]]*Table410[[#This Row],[Cost Boolean]]*(VLOOKUP(Table410[[#This Row],[RATE CONCAT]],Tables!I:N,5,0)),0)</f>
        <v/>
      </c>
      <c r="CD53" s="342">
        <f>IFERROR(Table410[[#This Row],[Apr_2026_Days_Actual]]*Table410[[#This Row],[Cost Boolean]]*(VLOOKUP(Table410[[#This Row],[RATE CONCAT]],Tables!I:N,5,0)),0)</f>
        <v/>
      </c>
      <c r="CE53" s="342">
        <f>Table410[[#This Row],[Apr_2026_F]]-Table410[[#This Row],[Apr_2026_A]]</f>
        <v/>
      </c>
      <c r="CG53" s="342">
        <f>IFERROR(Table410[[#This Row],[May_2026_Days_Forecast]] *Table410[[#This Row],[Cost Boolean]]*(VLOOKUP(Table410[[#This Row],[RATE CONCAT]],Tables!I:N,5,0)),0)</f>
        <v/>
      </c>
      <c r="CH53" s="342">
        <f>IFERROR(Table410[[#This Row],[May_2026_Days_Actual]]*Table410[[#This Row],[Cost Boolean]]*(VLOOKUP(Table410[[#This Row],[RATE CONCAT]],Tables!I:N,5,0)),0)</f>
        <v/>
      </c>
      <c r="CI53" s="342">
        <f>Table410[[#This Row],[May_2026_F]]-Table410[[#This Row],[May_2026_A]]</f>
        <v/>
      </c>
      <c r="CK53" s="342">
        <f>IFERROR(Table410[[#This Row],[Jun_2026_Days_Forecast]]*Table410[[#This Row],[Cost Boolean]]*(VLOOKUP(Table410[[#This Row],[RATE CONCAT]],Tables!I:N,5,0)),0)</f>
        <v/>
      </c>
      <c r="CL53" s="342">
        <f>IFERROR(Table410[[#This Row],[Jun_2026_Days_Actual]]*Table410[[#This Row],[Cost Boolean]]*(VLOOKUP(Table410[[#This Row],[RATE CONCAT]],Tables!I:N,5,0)),0)</f>
        <v/>
      </c>
      <c r="CM53" s="342">
        <f>Table410[[#This Row],[Jun_2026_F]]-Table410[[#This Row],[Jun_2026_A]]</f>
        <v/>
      </c>
      <c r="CO53" s="342">
        <f>IFERROR(Table410[[#This Row],[Jul_2026_Days_Forecast]]*Table410[[#This Row],[Cost Boolean]]*(VLOOKUP(Table410[[#This Row],[RATE CONCAT]],Tables!I:N,5,0)),0)</f>
        <v/>
      </c>
      <c r="CP53" s="342">
        <f>IFERROR(Table410[[#This Row],[Jul_2026_Days_Actual]]*Table410[[#This Row],[Cost Boolean]]*(VLOOKUP(Table410[[#This Row],[RATE CONCAT]],Tables!I:N,5,0)),0)</f>
        <v/>
      </c>
      <c r="CQ53" s="342">
        <f>Table410[[#This Row],[Jul_2026_F]]-Table410[[#This Row],[Jul_2026_A]]</f>
        <v/>
      </c>
      <c r="CS53" s="342">
        <f>IFERROR(Table410[[#This Row],[Aug_2026_Days_Forecast]]*Table410[[#This Row],[Cost Boolean]]*(VLOOKUP(Table410[[#This Row],[RATE CONCAT]],Tables!I:N,5,0)),0)</f>
        <v/>
      </c>
      <c r="CT53" s="342">
        <f>IFERROR(Table410[[#This Row],[Aug_2026_Days_Actual]]*Table410[[#This Row],[Cost Boolean]]*(VLOOKUP(Table410[[#This Row],[RATE CONCAT]],Tables!I:N,5,0)),0)</f>
        <v/>
      </c>
      <c r="CU53" s="342">
        <f>Table410[[#This Row],[Aug_2026_F]]-Table410[[#This Row],[Aug_2026_A]]</f>
        <v/>
      </c>
      <c r="CW53" s="342">
        <f>IFERROR(Table410[[#This Row],[Sep_2026_Days_Forecast]]*Table410[[#This Row],[Cost Boolean]]*(VLOOKUP(Table410[[#This Row],[RATE CONCAT]],Tables!I:N,5,0)),0)</f>
        <v/>
      </c>
      <c r="CX53" s="342">
        <f>IFERROR(Table410[[#This Row],[Sep_2026_Days_Actual]]*Table410[[#This Row],[Cost Boolean]]*(VLOOKUP(Table410[[#This Row],[RATE CONCAT]],Tables!I:N,5,0)),0)</f>
        <v/>
      </c>
      <c r="CY53" s="342">
        <f>Table410[[#This Row],[Sep_2026_F]]-Table410[[#This Row],[Sep_2026_A]]</f>
        <v/>
      </c>
      <c r="DA53" s="342">
        <f>IFERROR(Table410[[#This Row],[Oct_2026_Days_Forecast]]*Table410[[#This Row],[Cost Boolean]]*(VLOOKUP(Table410[[#This Row],[RATE CONCAT]],Tables!I:N,5,0)),0)</f>
        <v/>
      </c>
      <c r="DB53" s="342">
        <f>IFERROR(Table410[[#This Row],[Oct_2026_Days_Actual]]*Table410[[#This Row],[Cost Boolean]]*(VLOOKUP(Table410[[#This Row],[RATE CONCAT]],Tables!I:N,5,0)),0)</f>
        <v/>
      </c>
      <c r="DC53" s="342">
        <f>Table410[[#This Row],[Oct_2026_F]]-Table410[[#This Row],[Oct_2026_A]]</f>
        <v/>
      </c>
      <c r="DE53" s="342">
        <f>IFERROR(Table410[[#This Row],[Nov_2026_Days_Forecast]]*Table410[[#This Row],[Cost Boolean]]*(VLOOKUP(Table410[[#This Row],[RATE CONCAT]],Tables!I:N,5,0)),0)</f>
        <v/>
      </c>
      <c r="DF53" s="342">
        <f>IFERROR(Table410[[#This Row],[Nov_2026_Days_Actual]]*Table410[[#This Row],[Cost Boolean]]*(VLOOKUP(Table410[[#This Row],[RATE CONCAT]],Tables!I:N,5,0)),0)</f>
        <v/>
      </c>
      <c r="DG53" s="342">
        <f>Table410[[#This Row],[Nov_2026_F]]-Table410[[#This Row],[Nov_2026_A]]</f>
        <v/>
      </c>
      <c r="DI53" s="342">
        <f>IFERROR(Table410[[#This Row],[Dec_2026_Days_Forecast]]*Table410[[#This Row],[Cost Boolean]]*(VLOOKUP(Table410[[#This Row],[RATE CONCAT]],Tables!I:N,5,0)),0)</f>
        <v/>
      </c>
      <c r="DJ53" s="342">
        <f>IFERROR(Table410[[#This Row],[Dec_2026_Days_Actual]]*Table410[[#This Row],[Cost Boolean]]*(VLOOKUP(Table410[[#This Row],[RATE CONCAT]],Tables!I:N,5,0)),0)</f>
        <v/>
      </c>
      <c r="DK53" s="342">
        <f>Table410[[#This Row],[Dec_2026_F]]-Table410[[#This Row],[Dec_2026_A]]</f>
        <v/>
      </c>
      <c r="DN53" s="342">
        <f>IFERROR(Table410[[#This Row],[Jan_2027_Days_Forecast]]*Table410[[#This Row],[Cost Boolean]]*(VLOOKUP(Table410[[#This Row],[RATE CONCAT]],Tables!I:N,6,0)),0)</f>
        <v/>
      </c>
      <c r="DP53" s="342">
        <f>Table410[[#This Row],[Jan_2027_F]]-Table410[[#This Row],[Jan_2027_A]]</f>
        <v/>
      </c>
      <c r="DQ53" s="342">
        <f>IFERROR(Table410[[#This Row],[Feb_2027_Days_Forecast]]*Table410[[#This Row],[Cost Boolean]]*(VLOOKUP(Table410[[#This Row],[RATE CONCAT]],Tables!I:N,6,0)),0)</f>
        <v/>
      </c>
      <c r="DS53" s="342">
        <f>Table410[[#This Row],[Feb_2027_F]]-Table410[[#This Row],[Feb_2027_A]]</f>
        <v/>
      </c>
      <c r="DT53" s="342">
        <f>IFERROR(Table410[[#This Row],[Mar_2027_Days_Forecast]]*Table410[[#This Row],[Cost Boolean]]*(VLOOKUP(Table410[[#This Row],[RATE CONCAT]],Tables!I:N,6,0)),0)</f>
        <v/>
      </c>
      <c r="DV53" s="342">
        <f>Table410[[#This Row],[Mar_2027_F]]-Table410[[#This Row],[Mar_2027_A]]</f>
        <v/>
      </c>
      <c r="DW53" s="342">
        <f>IFERROR(Table410[[#This Row],[Apr_2027_Days_Forecast]]*Table410[[#This Row],[Cost Boolean]]*(VLOOKUP(Table410[[#This Row],[RATE CONCAT]],Tables!I:N,6,0)),0)</f>
        <v/>
      </c>
      <c r="DY53" s="342">
        <f>Table410[[#This Row],[Apr_2027_F]]-Table410[[#This Row],[Apr_2027_A]]</f>
        <v/>
      </c>
      <c r="DZ53" s="342">
        <f>IFERROR(Table410[[#This Row],[May_2027_Days_Forecast]]*Table410[[#This Row],[Cost Boolean]]*(VLOOKUP(Table410[[#This Row],[RATE CONCAT]],Tables!I:N,6,0)),0)</f>
        <v/>
      </c>
      <c r="EB53" s="342">
        <f>Table410[[#This Row],[May_2027_F]]-Table410[[#This Row],[May_2027_A]]</f>
        <v/>
      </c>
      <c r="EC53" s="342">
        <f>IFERROR(Table410[[#This Row],[Jun_2027_Days_Forecast]]*Table410[[#This Row],[Cost Boolean]]*(VLOOKUP(Table410[[#This Row],[RATE CONCAT]],Tables!I:N,6,0)),0)</f>
        <v/>
      </c>
      <c r="EE53" s="342">
        <f>Table410[[#This Row],[Jun_2027_F]]-Table410[[#This Row],[Jun_2027_A]]</f>
        <v/>
      </c>
      <c r="EF53" s="342">
        <f>IFERROR(Table410[[#This Row],[Jul_2027_Days_Forecast]]*Table410[[#This Row],[Cost Boolean]]*(VLOOKUP(Table410[[#This Row],[RATE CONCAT]],Tables!I:N,6,0)),0)</f>
        <v/>
      </c>
      <c r="EH53" s="342">
        <f>Table410[[#This Row],[Jul_2027_F]]-Table410[[#This Row],[Jul_2027_A]]</f>
        <v/>
      </c>
      <c r="EI53" s="342">
        <f>IFERROR(Table410[[#This Row],[Aug_2027_Days_Forecast]]*Table410[[#This Row],[Cost Boolean]]*(VLOOKUP(Table410[[#This Row],[RATE CONCAT]],Tables!I:N,6,0)),0)</f>
        <v/>
      </c>
      <c r="EK53" s="342">
        <f>Table410[[#This Row],[Aug_2027_F]]-Table410[[#This Row],[Aug_2027_A]]</f>
        <v/>
      </c>
      <c r="EL53" s="342">
        <f>IFERROR(Table410[[#This Row],[Sep_2027_Days_Forecast]]*Table410[[#This Row],[Cost Boolean]]*(VLOOKUP(Table410[[#This Row],[RATE CONCAT]],Tables!I:N,6,0)),0)</f>
        <v/>
      </c>
      <c r="EN53" s="342">
        <f>Table410[[#This Row],[Sep_2027_F]]-Table410[[#This Row],[Sep_2027_A]]</f>
        <v/>
      </c>
      <c r="EO53" s="342">
        <f>IFERROR(Table410[[#This Row],[Oct_2027_Days_Forecast]]*Table410[[#This Row],[Cost Boolean]]*(VLOOKUP(Table410[[#This Row],[RATE CONCAT]],Tables!I:N,6,0)),0)</f>
        <v/>
      </c>
      <c r="EQ53" s="342">
        <f>Table410[[#This Row],[Oct_2027_F]]-Table410[[#This Row],[Oct_2027_A]]</f>
        <v/>
      </c>
      <c r="ER53" s="342">
        <f>IFERROR(Table410[[#This Row],[Nov_2027_Days_Forecast]]*Table410[[#This Row],[Cost Boolean]]*(VLOOKUP(Table410[[#This Row],[RATE CONCAT]],Tables!I:N,6,0)),0)</f>
        <v/>
      </c>
      <c r="ET53" s="342">
        <f>Table410[[#This Row],[Nov_2027_F]]-Table410[[#This Row],[Nov_2027_A]]</f>
        <v/>
      </c>
      <c r="EU53" s="342">
        <f>IFERROR(Table410[[#This Row],[Dec_2027_Days_Forecast]]*Table410[[#This Row],[Cost Boolean]]*(VLOOKUP(Table410[[#This Row],[RATE CONCAT]],Tables!I:N,6,0)),0)</f>
        <v/>
      </c>
      <c r="EW53" s="342">
        <f>Table410[[#This Row],[Dec_2027_F]]-Table410[[#This Row],[Dec_2027_A]]</f>
        <v/>
      </c>
    </row>
    <row r="54" ht="15" customFormat="1" customHeight="1" s="13">
      <c r="Y54" s="338">
        <f>CONCATENATE(Table410[[#This Row],[JG]],Table410[[#This Row],[Country]],Table410[[#This Row],[Resource Provider]])</f>
        <v/>
      </c>
      <c r="Z54" s="338">
        <f>VLOOKUP(Table410[[#This Row],[RATE CONCAT]],Tables!I:N,5,0)</f>
        <v/>
      </c>
      <c r="AA54" s="52" t="n"/>
      <c r="AB54" s="127" t="n"/>
      <c r="AC54" s="127" t="n"/>
      <c r="AD54" s="127" t="n"/>
      <c r="AE54" s="127" t="n"/>
      <c r="AF54" s="127" t="n"/>
      <c r="AG54" s="127" t="n"/>
      <c r="AH54" s="127" t="n"/>
      <c r="AI54" s="127" t="n"/>
      <c r="AJ54" s="127" t="n"/>
      <c r="AK54" s="127" t="n"/>
      <c r="AL54" s="127" t="n"/>
      <c r="AM54" s="127" t="n"/>
      <c r="AN54" s="341">
        <f>IFERROR(AVERAGE(Table410[[#This Row],[Jan_2026_Days_Forecast]:[Dec_2026_Days_Forecast]]),0)/19</f>
        <v/>
      </c>
      <c r="AO54" s="341">
        <f>IFERROR(AVERAGE(Table410[[#This Row],[Jan_2026_Days_Actual]:[Dec_2026_Days_Actual]]),0)/19</f>
        <v/>
      </c>
      <c r="BB54" s="341">
        <f>IFERROR(AVERAGE(Table410[[#This Row],[Jan_2027_Days_Forecast]:[Dec_2027_Days_Forecast]]),0)</f>
        <v/>
      </c>
      <c r="BC54" s="127" t="n"/>
      <c r="BD54" s="127" t="n"/>
      <c r="BE54" s="127" t="n"/>
      <c r="BF54" s="127" t="n"/>
      <c r="BG54" s="127" t="n"/>
      <c r="BH54" s="127" t="n"/>
      <c r="BI54" s="127" t="n"/>
      <c r="BJ54" s="127" t="n"/>
      <c r="BK54" s="127" t="n"/>
      <c r="BL54" s="127" t="n"/>
      <c r="BM54" s="127" t="n"/>
      <c r="BN54" s="127" t="n"/>
      <c r="BO54" s="176" t="n"/>
      <c r="BP54" s="176" t="n"/>
      <c r="BQ54" s="338">
        <f>IFERROR(Table410[[#This Row],[Jan_2026_Days_Forecast]]*Table410[[#This Row],[Cost Boolean]]*(VLOOKUP(Table410[[#This Row],[RATE CONCAT]],Tables!I:N,5,0)),0)</f>
        <v/>
      </c>
      <c r="BR54" s="338">
        <f>IFERROR(Table410[[#This Row],[Jan_2026_Days_Actual]]*Table410[[#This Row],[Cost Boolean]]*(VLOOKUP(Table410[[#This Row],[RATE CONCAT]],Tables!I:N,5,0)),0)</f>
        <v/>
      </c>
      <c r="BS54" s="338">
        <f>Table410[[#This Row],[Jan_2026_F]]-Table410[[#This Row],[Jan_2026_A]]</f>
        <v/>
      </c>
      <c r="BU54" s="338">
        <f>IFERROR(Table410[[#This Row],[Feb_2026_Days_Forecast]]*Table410[[#This Row],[Cost Boolean]]*(VLOOKUP(Table410[[#This Row],[RATE CONCAT]],Tables!I:N,5,0)),0)</f>
        <v/>
      </c>
      <c r="BV54" s="338">
        <f>IFERROR(Table410[[#This Row],[Feb_2026_Days_Actual]]*Table410[[#This Row],[Cost Boolean]]*(VLOOKUP(Table410[[#This Row],[RATE CONCAT]],Tables!I:N,5,0)),0)</f>
        <v/>
      </c>
      <c r="BW54" s="338">
        <f>Table410[[#This Row],[Feb_2026_F]]-Table410[[#This Row],[Feb_2026_A]]</f>
        <v/>
      </c>
      <c r="BY54" s="338">
        <f>IFERROR(Table410[[#This Row],[Mar_2026_Days_Forecast]]*Table410[[#This Row],[Cost Boolean]]*(VLOOKUP(Table410[[#This Row],[RATE CONCAT]],Tables!I:N,5,0)),0)</f>
        <v/>
      </c>
      <c r="BZ54" s="338">
        <f>IFERROR(Table410[[#This Row],[Mar_2026_Days_Actual]]*Table410[[#This Row],[Cost Boolean]]*(VLOOKUP(Table410[[#This Row],[RATE CONCAT]],Tables!I:N,5,0)),0)</f>
        <v/>
      </c>
      <c r="CA54" s="338">
        <f>Table410[[#This Row],[Mar_2026_F]]-Table410[[#This Row],[Mar_2026_A]]</f>
        <v/>
      </c>
      <c r="CC54" s="338">
        <f>IFERROR(Table410[[#This Row],[Apr_2026_Days_Forecast]]*Table410[[#This Row],[Cost Boolean]]*(VLOOKUP(Table410[[#This Row],[RATE CONCAT]],Tables!I:N,5,0)),0)</f>
        <v/>
      </c>
      <c r="CD54" s="338">
        <f>IFERROR(Table410[[#This Row],[Apr_2026_Days_Actual]]*Table410[[#This Row],[Cost Boolean]]*(VLOOKUP(Table410[[#This Row],[RATE CONCAT]],Tables!I:N,5,0)),0)</f>
        <v/>
      </c>
      <c r="CE54" s="338">
        <f>Table410[[#This Row],[Apr_2026_F]]-Table410[[#This Row],[Apr_2026_A]]</f>
        <v/>
      </c>
      <c r="CG54" s="338">
        <f>IFERROR(Table410[[#This Row],[May_2026_Days_Forecast]] *Table410[[#This Row],[Cost Boolean]]*(VLOOKUP(Table410[[#This Row],[RATE CONCAT]],Tables!I:N,5,0)),0)</f>
        <v/>
      </c>
      <c r="CH54" s="338">
        <f>IFERROR(Table410[[#This Row],[May_2026_Days_Actual]]*Table410[[#This Row],[Cost Boolean]]*(VLOOKUP(Table410[[#This Row],[RATE CONCAT]],Tables!I:N,5,0)),0)</f>
        <v/>
      </c>
      <c r="CI54" s="338">
        <f>Table410[[#This Row],[May_2026_F]]-Table410[[#This Row],[May_2026_A]]</f>
        <v/>
      </c>
      <c r="CK54" s="338">
        <f>IFERROR(Table410[[#This Row],[Jun_2026_Days_Forecast]]*Table410[[#This Row],[Cost Boolean]]*(VLOOKUP(Table410[[#This Row],[RATE CONCAT]],Tables!I:N,5,0)),0)</f>
        <v/>
      </c>
      <c r="CL54" s="338">
        <f>IFERROR(Table410[[#This Row],[Jun_2026_Days_Actual]]*Table410[[#This Row],[Cost Boolean]]*(VLOOKUP(Table410[[#This Row],[RATE CONCAT]],Tables!I:N,5,0)),0)</f>
        <v/>
      </c>
      <c r="CM54" s="338">
        <f>Table410[[#This Row],[Jun_2026_F]]-Table410[[#This Row],[Jun_2026_A]]</f>
        <v/>
      </c>
      <c r="CO54" s="338">
        <f>IFERROR(Table410[[#This Row],[Jul_2026_Days_Forecast]]*Table410[[#This Row],[Cost Boolean]]*(VLOOKUP(Table410[[#This Row],[RATE CONCAT]],Tables!I:N,5,0)),0)</f>
        <v/>
      </c>
      <c r="CP54" s="338">
        <f>IFERROR(Table410[[#This Row],[Jul_2026_Days_Actual]]*Table410[[#This Row],[Cost Boolean]]*(VLOOKUP(Table410[[#This Row],[RATE CONCAT]],Tables!I:N,5,0)),0)</f>
        <v/>
      </c>
      <c r="CQ54" s="338">
        <f>Table410[[#This Row],[Jul_2026_F]]-Table410[[#This Row],[Jul_2026_A]]</f>
        <v/>
      </c>
      <c r="CS54" s="338">
        <f>IFERROR(Table410[[#This Row],[Aug_2026_Days_Forecast]]*Table410[[#This Row],[Cost Boolean]]*(VLOOKUP(Table410[[#This Row],[RATE CONCAT]],Tables!I:N,5,0)),0)</f>
        <v/>
      </c>
      <c r="CT54" s="338">
        <f>IFERROR(Table410[[#This Row],[Aug_2026_Days_Actual]]*Table410[[#This Row],[Cost Boolean]]*(VLOOKUP(Table410[[#This Row],[RATE CONCAT]],Tables!I:N,5,0)),0)</f>
        <v/>
      </c>
      <c r="CU54" s="338">
        <f>Table410[[#This Row],[Aug_2026_F]]-Table410[[#This Row],[Aug_2026_A]]</f>
        <v/>
      </c>
      <c r="CW54" s="338">
        <f>IFERROR(Table410[[#This Row],[Sep_2026_Days_Forecast]]*Table410[[#This Row],[Cost Boolean]]*(VLOOKUP(Table410[[#This Row],[RATE CONCAT]],Tables!I:N,5,0)),0)</f>
        <v/>
      </c>
      <c r="CX54" s="338">
        <f>IFERROR(Table410[[#This Row],[Sep_2026_Days_Actual]]*Table410[[#This Row],[Cost Boolean]]*(VLOOKUP(Table410[[#This Row],[RATE CONCAT]],Tables!I:N,5,0)),0)</f>
        <v/>
      </c>
      <c r="CY54" s="338">
        <f>Table410[[#This Row],[Sep_2026_F]]-Table410[[#This Row],[Sep_2026_A]]</f>
        <v/>
      </c>
      <c r="DA54" s="338">
        <f>IFERROR(Table410[[#This Row],[Oct_2026_Days_Forecast]]*Table410[[#This Row],[Cost Boolean]]*(VLOOKUP(Table410[[#This Row],[RATE CONCAT]],Tables!I:N,5,0)),0)</f>
        <v/>
      </c>
      <c r="DB54" s="338">
        <f>IFERROR(Table410[[#This Row],[Oct_2026_Days_Actual]]*Table410[[#This Row],[Cost Boolean]]*(VLOOKUP(Table410[[#This Row],[RATE CONCAT]],Tables!I:N,5,0)),0)</f>
        <v/>
      </c>
      <c r="DC54" s="338">
        <f>Table410[[#This Row],[Oct_2026_F]]-Table410[[#This Row],[Oct_2026_A]]</f>
        <v/>
      </c>
      <c r="DE54" s="338">
        <f>IFERROR(Table410[[#This Row],[Nov_2026_Days_Forecast]]*Table410[[#This Row],[Cost Boolean]]*(VLOOKUP(Table410[[#This Row],[RATE CONCAT]],Tables!I:N,5,0)),0)</f>
        <v/>
      </c>
      <c r="DF54" s="338">
        <f>IFERROR(Table410[[#This Row],[Nov_2026_Days_Actual]]*Table410[[#This Row],[Cost Boolean]]*(VLOOKUP(Table410[[#This Row],[RATE CONCAT]],Tables!I:N,5,0)),0)</f>
        <v/>
      </c>
      <c r="DG54" s="338">
        <f>Table410[[#This Row],[Nov_2026_F]]-Table410[[#This Row],[Nov_2026_A]]</f>
        <v/>
      </c>
      <c r="DI54" s="338">
        <f>IFERROR(Table410[[#This Row],[Dec_2026_Days_Forecast]]*Table410[[#This Row],[Cost Boolean]]*(VLOOKUP(Table410[[#This Row],[RATE CONCAT]],Tables!I:N,5,0)),0)</f>
        <v/>
      </c>
      <c r="DJ54" s="338">
        <f>IFERROR(Table410[[#This Row],[Dec_2026_Days_Actual]]*Table410[[#This Row],[Cost Boolean]]*(VLOOKUP(Table410[[#This Row],[RATE CONCAT]],Tables!I:N,5,0)),0)</f>
        <v/>
      </c>
      <c r="DK54" s="338">
        <f>Table410[[#This Row],[Dec_2026_F]]-Table410[[#This Row],[Dec_2026_A]]</f>
        <v/>
      </c>
      <c r="DN54" s="338">
        <f>IFERROR(Table410[[#This Row],[Jan_2027_Days_Forecast]]*Table410[[#This Row],[Cost Boolean]]*(VLOOKUP(Table410[[#This Row],[RATE CONCAT]],Tables!I:N,6,0)),0)</f>
        <v/>
      </c>
      <c r="DP54" s="338">
        <f>Table410[[#This Row],[Jan_2027_F]]-Table410[[#This Row],[Jan_2027_A]]</f>
        <v/>
      </c>
      <c r="DQ54" s="338">
        <f>IFERROR(Table410[[#This Row],[Feb_2027_Days_Forecast]]*Table410[[#This Row],[Cost Boolean]]*(VLOOKUP(Table410[[#This Row],[RATE CONCAT]],Tables!I:N,6,0)),0)</f>
        <v/>
      </c>
      <c r="DS54" s="338">
        <f>Table410[[#This Row],[Feb_2027_F]]-Table410[[#This Row],[Feb_2027_A]]</f>
        <v/>
      </c>
      <c r="DT54" s="338">
        <f>IFERROR(Table410[[#This Row],[Mar_2027_Days_Forecast]]*Table410[[#This Row],[Cost Boolean]]*(VLOOKUP(Table410[[#This Row],[RATE CONCAT]],Tables!I:N,6,0)),0)</f>
        <v/>
      </c>
      <c r="DV54" s="338">
        <f>Table410[[#This Row],[Mar_2027_F]]-Table410[[#This Row],[Mar_2027_A]]</f>
        <v/>
      </c>
      <c r="DW54" s="338">
        <f>IFERROR(Table410[[#This Row],[Apr_2027_Days_Forecast]]*Table410[[#This Row],[Cost Boolean]]*(VLOOKUP(Table410[[#This Row],[RATE CONCAT]],Tables!I:N,6,0)),0)</f>
        <v/>
      </c>
      <c r="DY54" s="338">
        <f>Table410[[#This Row],[Apr_2027_F]]-Table410[[#This Row],[Apr_2027_A]]</f>
        <v/>
      </c>
      <c r="DZ54" s="338">
        <f>IFERROR(Table410[[#This Row],[May_2027_Days_Forecast]]*Table410[[#This Row],[Cost Boolean]]*(VLOOKUP(Table410[[#This Row],[RATE CONCAT]],Tables!I:N,6,0)),0)</f>
        <v/>
      </c>
      <c r="EB54" s="338">
        <f>Table410[[#This Row],[May_2027_F]]-Table410[[#This Row],[May_2027_A]]</f>
        <v/>
      </c>
      <c r="EC54" s="338">
        <f>IFERROR(Table410[[#This Row],[Jun_2027_Days_Forecast]]*Table410[[#This Row],[Cost Boolean]]*(VLOOKUP(Table410[[#This Row],[RATE CONCAT]],Tables!I:N,6,0)),0)</f>
        <v/>
      </c>
      <c r="EE54" s="338">
        <f>Table410[[#This Row],[Jun_2027_F]]-Table410[[#This Row],[Jun_2027_A]]</f>
        <v/>
      </c>
      <c r="EF54" s="338">
        <f>IFERROR(Table410[[#This Row],[Jul_2027_Days_Forecast]]*Table410[[#This Row],[Cost Boolean]]*(VLOOKUP(Table410[[#This Row],[RATE CONCAT]],Tables!I:N,6,0)),0)</f>
        <v/>
      </c>
      <c r="EH54" s="338">
        <f>Table410[[#This Row],[Jul_2027_F]]-Table410[[#This Row],[Jul_2027_A]]</f>
        <v/>
      </c>
      <c r="EI54" s="338">
        <f>IFERROR(Table410[[#This Row],[Aug_2027_Days_Forecast]]*Table410[[#This Row],[Cost Boolean]]*(VLOOKUP(Table410[[#This Row],[RATE CONCAT]],Tables!I:N,6,0)),0)</f>
        <v/>
      </c>
      <c r="EK54" s="338">
        <f>Table410[[#This Row],[Aug_2027_F]]-Table410[[#This Row],[Aug_2027_A]]</f>
        <v/>
      </c>
      <c r="EL54" s="338">
        <f>IFERROR(Table410[[#This Row],[Sep_2027_Days_Forecast]]*Table410[[#This Row],[Cost Boolean]]*(VLOOKUP(Table410[[#This Row],[RATE CONCAT]],Tables!I:N,6,0)),0)</f>
        <v/>
      </c>
      <c r="EN54" s="338">
        <f>Table410[[#This Row],[Sep_2027_F]]-Table410[[#This Row],[Sep_2027_A]]</f>
        <v/>
      </c>
      <c r="EO54" s="338">
        <f>IFERROR(Table410[[#This Row],[Oct_2027_Days_Forecast]]*Table410[[#This Row],[Cost Boolean]]*(VLOOKUP(Table410[[#This Row],[RATE CONCAT]],Tables!I:N,6,0)),0)</f>
        <v/>
      </c>
      <c r="EQ54" s="338">
        <f>Table410[[#This Row],[Oct_2027_F]]-Table410[[#This Row],[Oct_2027_A]]</f>
        <v/>
      </c>
      <c r="ER54" s="338">
        <f>IFERROR(Table410[[#This Row],[Nov_2027_Days_Forecast]]*Table410[[#This Row],[Cost Boolean]]*(VLOOKUP(Table410[[#This Row],[RATE CONCAT]],Tables!I:N,6,0)),0)</f>
        <v/>
      </c>
      <c r="ET54" s="338">
        <f>Table410[[#This Row],[Nov_2027_F]]-Table410[[#This Row],[Nov_2027_A]]</f>
        <v/>
      </c>
      <c r="EU54" s="338">
        <f>IFERROR(Table410[[#This Row],[Dec_2027_Days_Forecast]]*Table410[[#This Row],[Cost Boolean]]*(VLOOKUP(Table410[[#This Row],[RATE CONCAT]],Tables!I:N,6,0)),0)</f>
        <v/>
      </c>
      <c r="EW54" s="338">
        <f>Table410[[#This Row],[Dec_2027_F]]-Table410[[#This Row],[Dec_2027_A]]</f>
        <v/>
      </c>
    </row>
    <row r="55" ht="15" customFormat="1" customHeight="1" s="13">
      <c r="Y55" s="342">
        <f>CONCATENATE(Table410[[#This Row],[JG]],Table410[[#This Row],[Country]],Table410[[#This Row],[Resource Provider]])</f>
        <v/>
      </c>
      <c r="Z55" s="342">
        <f>VLOOKUP(Table410[[#This Row],[RATE CONCAT]],Tables!I:N,5,0)</f>
        <v/>
      </c>
      <c r="AA55" s="52" t="n"/>
      <c r="AB55" s="127" t="n"/>
      <c r="AC55" s="127" t="n"/>
      <c r="AD55" s="127" t="n"/>
      <c r="AE55" s="127" t="n"/>
      <c r="AF55" s="127" t="n"/>
      <c r="AG55" s="127" t="n"/>
      <c r="AH55" s="127" t="n"/>
      <c r="AI55" s="127" t="n"/>
      <c r="AJ55" s="127" t="n"/>
      <c r="AK55" s="127" t="n"/>
      <c r="AL55" s="127" t="n"/>
      <c r="AM55" s="127" t="n"/>
      <c r="AN55" s="341">
        <f>IFERROR(AVERAGE(Table410[[#This Row],[Jan_2026_Days_Forecast]:[Dec_2026_Days_Forecast]]),0)/19</f>
        <v/>
      </c>
      <c r="AO55" s="341">
        <f>IFERROR(AVERAGE(Table410[[#This Row],[Jan_2026_Days_Actual]:[Dec_2026_Days_Actual]]),0)/19</f>
        <v/>
      </c>
      <c r="BB55" s="341">
        <f>IFERROR(AVERAGE(Table410[[#This Row],[Jan_2027_Days_Forecast]:[Dec_2027_Days_Forecast]]),0)</f>
        <v/>
      </c>
      <c r="BC55" s="127" t="n"/>
      <c r="BD55" s="127" t="n"/>
      <c r="BE55" s="127" t="n"/>
      <c r="BF55" s="127" t="n"/>
      <c r="BG55" s="127" t="n"/>
      <c r="BH55" s="127" t="n"/>
      <c r="BI55" s="127" t="n"/>
      <c r="BJ55" s="127" t="n"/>
      <c r="BK55" s="127" t="n"/>
      <c r="BL55" s="127" t="n"/>
      <c r="BM55" s="127" t="n"/>
      <c r="BN55" s="127" t="n"/>
      <c r="BO55" s="176" t="n"/>
      <c r="BP55" s="176" t="n"/>
      <c r="BQ55" s="342">
        <f>IFERROR(Table410[[#This Row],[Jan_2026_Days_Forecast]]*Table410[[#This Row],[Cost Boolean]]*(VLOOKUP(Table410[[#This Row],[RATE CONCAT]],Tables!I:N,5,0)),0)</f>
        <v/>
      </c>
      <c r="BR55" s="342">
        <f>IFERROR(Table410[[#This Row],[Jan_2026_Days_Actual]]*Table410[[#This Row],[Cost Boolean]]*(VLOOKUP(Table410[[#This Row],[RATE CONCAT]],Tables!I:N,5,0)),0)</f>
        <v/>
      </c>
      <c r="BS55" s="342">
        <f>Table410[[#This Row],[Jan_2026_F]]-Table410[[#This Row],[Jan_2026_A]]</f>
        <v/>
      </c>
      <c r="BU55" s="342">
        <f>IFERROR(Table410[[#This Row],[Feb_2026_Days_Forecast]]*Table410[[#This Row],[Cost Boolean]]*(VLOOKUP(Table410[[#This Row],[RATE CONCAT]],Tables!I:N,5,0)),0)</f>
        <v/>
      </c>
      <c r="BV55" s="342">
        <f>IFERROR(Table410[[#This Row],[Feb_2026_Days_Actual]]*Table410[[#This Row],[Cost Boolean]]*(VLOOKUP(Table410[[#This Row],[RATE CONCAT]],Tables!I:N,5,0)),0)</f>
        <v/>
      </c>
      <c r="BW55" s="342">
        <f>Table410[[#This Row],[Feb_2026_F]]-Table410[[#This Row],[Feb_2026_A]]</f>
        <v/>
      </c>
      <c r="BY55" s="342">
        <f>IFERROR(Table410[[#This Row],[Mar_2026_Days_Forecast]]*Table410[[#This Row],[Cost Boolean]]*(VLOOKUP(Table410[[#This Row],[RATE CONCAT]],Tables!I:N,5,0)),0)</f>
        <v/>
      </c>
      <c r="BZ55" s="342">
        <f>IFERROR(Table410[[#This Row],[Mar_2026_Days_Actual]]*Table410[[#This Row],[Cost Boolean]]*(VLOOKUP(Table410[[#This Row],[RATE CONCAT]],Tables!I:N,5,0)),0)</f>
        <v/>
      </c>
      <c r="CA55" s="342">
        <f>Table410[[#This Row],[Mar_2026_F]]-Table410[[#This Row],[Mar_2026_A]]</f>
        <v/>
      </c>
      <c r="CC55" s="342">
        <f>IFERROR(Table410[[#This Row],[Apr_2026_Days_Forecast]]*Table410[[#This Row],[Cost Boolean]]*(VLOOKUP(Table410[[#This Row],[RATE CONCAT]],Tables!I:N,5,0)),0)</f>
        <v/>
      </c>
      <c r="CD55" s="342">
        <f>IFERROR(Table410[[#This Row],[Apr_2026_Days_Actual]]*Table410[[#This Row],[Cost Boolean]]*(VLOOKUP(Table410[[#This Row],[RATE CONCAT]],Tables!I:N,5,0)),0)</f>
        <v/>
      </c>
      <c r="CE55" s="342">
        <f>Table410[[#This Row],[Apr_2026_F]]-Table410[[#This Row],[Apr_2026_A]]</f>
        <v/>
      </c>
      <c r="CG55" s="342">
        <f>IFERROR(Table410[[#This Row],[May_2026_Days_Forecast]] *Table410[[#This Row],[Cost Boolean]]*(VLOOKUP(Table410[[#This Row],[RATE CONCAT]],Tables!I:N,5,0)),0)</f>
        <v/>
      </c>
      <c r="CH55" s="342">
        <f>IFERROR(Table410[[#This Row],[May_2026_Days_Actual]]*Table410[[#This Row],[Cost Boolean]]*(VLOOKUP(Table410[[#This Row],[RATE CONCAT]],Tables!I:N,5,0)),0)</f>
        <v/>
      </c>
      <c r="CI55" s="342">
        <f>Table410[[#This Row],[May_2026_F]]-Table410[[#This Row],[May_2026_A]]</f>
        <v/>
      </c>
      <c r="CK55" s="342">
        <f>IFERROR(Table410[[#This Row],[Jun_2026_Days_Forecast]]*Table410[[#This Row],[Cost Boolean]]*(VLOOKUP(Table410[[#This Row],[RATE CONCAT]],Tables!I:N,5,0)),0)</f>
        <v/>
      </c>
      <c r="CL55" s="342">
        <f>IFERROR(Table410[[#This Row],[Jun_2026_Days_Actual]]*Table410[[#This Row],[Cost Boolean]]*(VLOOKUP(Table410[[#This Row],[RATE CONCAT]],Tables!I:N,5,0)),0)</f>
        <v/>
      </c>
      <c r="CM55" s="342">
        <f>Table410[[#This Row],[Jun_2026_F]]-Table410[[#This Row],[Jun_2026_A]]</f>
        <v/>
      </c>
      <c r="CO55" s="342">
        <f>IFERROR(Table410[[#This Row],[Jul_2026_Days_Forecast]]*Table410[[#This Row],[Cost Boolean]]*(VLOOKUP(Table410[[#This Row],[RATE CONCAT]],Tables!I:N,5,0)),0)</f>
        <v/>
      </c>
      <c r="CP55" s="342">
        <f>IFERROR(Table410[[#This Row],[Jul_2026_Days_Actual]]*Table410[[#This Row],[Cost Boolean]]*(VLOOKUP(Table410[[#This Row],[RATE CONCAT]],Tables!I:N,5,0)),0)</f>
        <v/>
      </c>
      <c r="CQ55" s="342">
        <f>Table410[[#This Row],[Jul_2026_F]]-Table410[[#This Row],[Jul_2026_A]]</f>
        <v/>
      </c>
      <c r="CS55" s="342">
        <f>IFERROR(Table410[[#This Row],[Aug_2026_Days_Forecast]]*Table410[[#This Row],[Cost Boolean]]*(VLOOKUP(Table410[[#This Row],[RATE CONCAT]],Tables!I:N,5,0)),0)</f>
        <v/>
      </c>
      <c r="CT55" s="342">
        <f>IFERROR(Table410[[#This Row],[Aug_2026_Days_Actual]]*Table410[[#This Row],[Cost Boolean]]*(VLOOKUP(Table410[[#This Row],[RATE CONCAT]],Tables!I:N,5,0)),0)</f>
        <v/>
      </c>
      <c r="CU55" s="342">
        <f>Table410[[#This Row],[Aug_2026_F]]-Table410[[#This Row],[Aug_2026_A]]</f>
        <v/>
      </c>
      <c r="CW55" s="342">
        <f>IFERROR(Table410[[#This Row],[Sep_2026_Days_Forecast]]*Table410[[#This Row],[Cost Boolean]]*(VLOOKUP(Table410[[#This Row],[RATE CONCAT]],Tables!I:N,5,0)),0)</f>
        <v/>
      </c>
      <c r="CX55" s="342">
        <f>IFERROR(Table410[[#This Row],[Sep_2026_Days_Actual]]*Table410[[#This Row],[Cost Boolean]]*(VLOOKUP(Table410[[#This Row],[RATE CONCAT]],Tables!I:N,5,0)),0)</f>
        <v/>
      </c>
      <c r="CY55" s="342">
        <f>Table410[[#This Row],[Sep_2026_F]]-Table410[[#This Row],[Sep_2026_A]]</f>
        <v/>
      </c>
      <c r="DA55" s="342">
        <f>IFERROR(Table410[[#This Row],[Oct_2026_Days_Forecast]]*Table410[[#This Row],[Cost Boolean]]*(VLOOKUP(Table410[[#This Row],[RATE CONCAT]],Tables!I:N,5,0)),0)</f>
        <v/>
      </c>
      <c r="DB55" s="342">
        <f>IFERROR(Table410[[#This Row],[Oct_2026_Days_Actual]]*Table410[[#This Row],[Cost Boolean]]*(VLOOKUP(Table410[[#This Row],[RATE CONCAT]],Tables!I:N,5,0)),0)</f>
        <v/>
      </c>
      <c r="DC55" s="342">
        <f>Table410[[#This Row],[Oct_2026_F]]-Table410[[#This Row],[Oct_2026_A]]</f>
        <v/>
      </c>
      <c r="DE55" s="342">
        <f>IFERROR(Table410[[#This Row],[Nov_2026_Days_Forecast]]*Table410[[#This Row],[Cost Boolean]]*(VLOOKUP(Table410[[#This Row],[RATE CONCAT]],Tables!I:N,5,0)),0)</f>
        <v/>
      </c>
      <c r="DF55" s="342">
        <f>IFERROR(Table410[[#This Row],[Nov_2026_Days_Actual]]*Table410[[#This Row],[Cost Boolean]]*(VLOOKUP(Table410[[#This Row],[RATE CONCAT]],Tables!I:N,5,0)),0)</f>
        <v/>
      </c>
      <c r="DG55" s="342">
        <f>Table410[[#This Row],[Nov_2026_F]]-Table410[[#This Row],[Nov_2026_A]]</f>
        <v/>
      </c>
      <c r="DI55" s="342">
        <f>IFERROR(Table410[[#This Row],[Dec_2026_Days_Forecast]]*Table410[[#This Row],[Cost Boolean]]*(VLOOKUP(Table410[[#This Row],[RATE CONCAT]],Tables!I:N,5,0)),0)</f>
        <v/>
      </c>
      <c r="DJ55" s="342">
        <f>IFERROR(Table410[[#This Row],[Dec_2026_Days_Actual]]*Table410[[#This Row],[Cost Boolean]]*(VLOOKUP(Table410[[#This Row],[RATE CONCAT]],Tables!I:N,5,0)),0)</f>
        <v/>
      </c>
      <c r="DK55" s="342">
        <f>Table410[[#This Row],[Dec_2026_F]]-Table410[[#This Row],[Dec_2026_A]]</f>
        <v/>
      </c>
      <c r="DN55" s="342">
        <f>IFERROR(Table410[[#This Row],[Jan_2027_Days_Forecast]]*Table410[[#This Row],[Cost Boolean]]*(VLOOKUP(Table410[[#This Row],[RATE CONCAT]],Tables!I:N,6,0)),0)</f>
        <v/>
      </c>
      <c r="DP55" s="342">
        <f>Table410[[#This Row],[Jan_2027_F]]-Table410[[#This Row],[Jan_2027_A]]</f>
        <v/>
      </c>
      <c r="DQ55" s="342">
        <f>IFERROR(Table410[[#This Row],[Feb_2027_Days_Forecast]]*Table410[[#This Row],[Cost Boolean]]*(VLOOKUP(Table410[[#This Row],[RATE CONCAT]],Tables!I:N,6,0)),0)</f>
        <v/>
      </c>
      <c r="DS55" s="342">
        <f>Table410[[#This Row],[Feb_2027_F]]-Table410[[#This Row],[Feb_2027_A]]</f>
        <v/>
      </c>
      <c r="DT55" s="342">
        <f>IFERROR(Table410[[#This Row],[Mar_2027_Days_Forecast]]*Table410[[#This Row],[Cost Boolean]]*(VLOOKUP(Table410[[#This Row],[RATE CONCAT]],Tables!I:N,6,0)),0)</f>
        <v/>
      </c>
      <c r="DV55" s="342">
        <f>Table410[[#This Row],[Mar_2027_F]]-Table410[[#This Row],[Mar_2027_A]]</f>
        <v/>
      </c>
      <c r="DW55" s="342">
        <f>IFERROR(Table410[[#This Row],[Apr_2027_Days_Forecast]]*Table410[[#This Row],[Cost Boolean]]*(VLOOKUP(Table410[[#This Row],[RATE CONCAT]],Tables!I:N,6,0)),0)</f>
        <v/>
      </c>
      <c r="DY55" s="342">
        <f>Table410[[#This Row],[Apr_2027_F]]-Table410[[#This Row],[Apr_2027_A]]</f>
        <v/>
      </c>
      <c r="DZ55" s="342">
        <f>IFERROR(Table410[[#This Row],[May_2027_Days_Forecast]]*Table410[[#This Row],[Cost Boolean]]*(VLOOKUP(Table410[[#This Row],[RATE CONCAT]],Tables!I:N,6,0)),0)</f>
        <v/>
      </c>
      <c r="EB55" s="342">
        <f>Table410[[#This Row],[May_2027_F]]-Table410[[#This Row],[May_2027_A]]</f>
        <v/>
      </c>
      <c r="EC55" s="342">
        <f>IFERROR(Table410[[#This Row],[Jun_2027_Days_Forecast]]*Table410[[#This Row],[Cost Boolean]]*(VLOOKUP(Table410[[#This Row],[RATE CONCAT]],Tables!I:N,6,0)),0)</f>
        <v/>
      </c>
      <c r="EE55" s="342">
        <f>Table410[[#This Row],[Jun_2027_F]]-Table410[[#This Row],[Jun_2027_A]]</f>
        <v/>
      </c>
      <c r="EF55" s="342">
        <f>IFERROR(Table410[[#This Row],[Jul_2027_Days_Forecast]]*Table410[[#This Row],[Cost Boolean]]*(VLOOKUP(Table410[[#This Row],[RATE CONCAT]],Tables!I:N,6,0)),0)</f>
        <v/>
      </c>
      <c r="EH55" s="342">
        <f>Table410[[#This Row],[Jul_2027_F]]-Table410[[#This Row],[Jul_2027_A]]</f>
        <v/>
      </c>
      <c r="EI55" s="342">
        <f>IFERROR(Table410[[#This Row],[Aug_2027_Days_Forecast]]*Table410[[#This Row],[Cost Boolean]]*(VLOOKUP(Table410[[#This Row],[RATE CONCAT]],Tables!I:N,6,0)),0)</f>
        <v/>
      </c>
      <c r="EK55" s="342">
        <f>Table410[[#This Row],[Aug_2027_F]]-Table410[[#This Row],[Aug_2027_A]]</f>
        <v/>
      </c>
      <c r="EL55" s="342">
        <f>IFERROR(Table410[[#This Row],[Sep_2027_Days_Forecast]]*Table410[[#This Row],[Cost Boolean]]*(VLOOKUP(Table410[[#This Row],[RATE CONCAT]],Tables!I:N,6,0)),0)</f>
        <v/>
      </c>
      <c r="EN55" s="342">
        <f>Table410[[#This Row],[Sep_2027_F]]-Table410[[#This Row],[Sep_2027_A]]</f>
        <v/>
      </c>
      <c r="EO55" s="342">
        <f>IFERROR(Table410[[#This Row],[Oct_2027_Days_Forecast]]*Table410[[#This Row],[Cost Boolean]]*(VLOOKUP(Table410[[#This Row],[RATE CONCAT]],Tables!I:N,6,0)),0)</f>
        <v/>
      </c>
      <c r="EQ55" s="342">
        <f>Table410[[#This Row],[Oct_2027_F]]-Table410[[#This Row],[Oct_2027_A]]</f>
        <v/>
      </c>
      <c r="ER55" s="342">
        <f>IFERROR(Table410[[#This Row],[Nov_2027_Days_Forecast]]*Table410[[#This Row],[Cost Boolean]]*(VLOOKUP(Table410[[#This Row],[RATE CONCAT]],Tables!I:N,6,0)),0)</f>
        <v/>
      </c>
      <c r="ET55" s="342">
        <f>Table410[[#This Row],[Nov_2027_F]]-Table410[[#This Row],[Nov_2027_A]]</f>
        <v/>
      </c>
      <c r="EU55" s="342">
        <f>IFERROR(Table410[[#This Row],[Dec_2027_Days_Forecast]]*Table410[[#This Row],[Cost Boolean]]*(VLOOKUP(Table410[[#This Row],[RATE CONCAT]],Tables!I:N,6,0)),0)</f>
        <v/>
      </c>
      <c r="EW55" s="342">
        <f>Table410[[#This Row],[Dec_2027_F]]-Table410[[#This Row],[Dec_2027_A]]</f>
        <v/>
      </c>
    </row>
    <row r="56" ht="15" customFormat="1" customHeight="1" s="13">
      <c r="Y56" s="338">
        <f>CONCATENATE(Table410[[#This Row],[JG]],Table410[[#This Row],[Country]],Table410[[#This Row],[Resource Provider]])</f>
        <v/>
      </c>
      <c r="Z56" s="338">
        <f>VLOOKUP(Table410[[#This Row],[RATE CONCAT]],Tables!I:N,5,0)</f>
        <v/>
      </c>
      <c r="AA56" s="52" t="n"/>
      <c r="AB56" s="127" t="n"/>
      <c r="AC56" s="127" t="n"/>
      <c r="AD56" s="127" t="n"/>
      <c r="AE56" s="127" t="n"/>
      <c r="AF56" s="127" t="n"/>
      <c r="AG56" s="127" t="n"/>
      <c r="AH56" s="127" t="n"/>
      <c r="AI56" s="127" t="n"/>
      <c r="AJ56" s="127" t="n"/>
      <c r="AK56" s="127" t="n"/>
      <c r="AL56" s="127" t="n"/>
      <c r="AM56" s="127" t="n"/>
      <c r="AN56" s="341">
        <f>IFERROR(AVERAGE(Table410[[#This Row],[Jan_2026_Days_Forecast]:[Dec_2026_Days_Forecast]]),0)/19</f>
        <v/>
      </c>
      <c r="AO56" s="341">
        <f>IFERROR(AVERAGE(Table410[[#This Row],[Jan_2026_Days_Actual]:[Dec_2026_Days_Actual]]),0)/19</f>
        <v/>
      </c>
      <c r="BB56" s="341">
        <f>IFERROR(AVERAGE(Table410[[#This Row],[Jan_2027_Days_Forecast]:[Dec_2027_Days_Forecast]]),0)</f>
        <v/>
      </c>
      <c r="BC56" s="127" t="n"/>
      <c r="BD56" s="127" t="n"/>
      <c r="BE56" s="127" t="n"/>
      <c r="BF56" s="127" t="n"/>
      <c r="BG56" s="127" t="n"/>
      <c r="BH56" s="127" t="n"/>
      <c r="BI56" s="127" t="n"/>
      <c r="BJ56" s="127" t="n"/>
      <c r="BK56" s="127" t="n"/>
      <c r="BL56" s="127" t="n"/>
      <c r="BM56" s="127" t="n"/>
      <c r="BN56" s="127" t="n"/>
      <c r="BO56" s="176" t="n"/>
      <c r="BP56" s="176" t="n"/>
      <c r="BQ56" s="338">
        <f>IFERROR(Table410[[#This Row],[Jan_2026_Days_Forecast]]*Table410[[#This Row],[Cost Boolean]]*(VLOOKUP(Table410[[#This Row],[RATE CONCAT]],Tables!I:N,5,0)),0)</f>
        <v/>
      </c>
      <c r="BR56" s="338">
        <f>IFERROR(Table410[[#This Row],[Jan_2026_Days_Actual]]*Table410[[#This Row],[Cost Boolean]]*(VLOOKUP(Table410[[#This Row],[RATE CONCAT]],Tables!I:N,5,0)),0)</f>
        <v/>
      </c>
      <c r="BS56" s="338">
        <f>Table410[[#This Row],[Jan_2026_F]]-Table410[[#This Row],[Jan_2026_A]]</f>
        <v/>
      </c>
      <c r="BU56" s="338">
        <f>IFERROR(Table410[[#This Row],[Feb_2026_Days_Forecast]]*Table410[[#This Row],[Cost Boolean]]*(VLOOKUP(Table410[[#This Row],[RATE CONCAT]],Tables!I:N,5,0)),0)</f>
        <v/>
      </c>
      <c r="BV56" s="338">
        <f>IFERROR(Table410[[#This Row],[Feb_2026_Days_Actual]]*Table410[[#This Row],[Cost Boolean]]*(VLOOKUP(Table410[[#This Row],[RATE CONCAT]],Tables!I:N,5,0)),0)</f>
        <v/>
      </c>
      <c r="BW56" s="338">
        <f>Table410[[#This Row],[Feb_2026_F]]-Table410[[#This Row],[Feb_2026_A]]</f>
        <v/>
      </c>
      <c r="BY56" s="338">
        <f>IFERROR(Table410[[#This Row],[Mar_2026_Days_Forecast]]*Table410[[#This Row],[Cost Boolean]]*(VLOOKUP(Table410[[#This Row],[RATE CONCAT]],Tables!I:N,5,0)),0)</f>
        <v/>
      </c>
      <c r="BZ56" s="338">
        <f>IFERROR(Table410[[#This Row],[Mar_2026_Days_Actual]]*Table410[[#This Row],[Cost Boolean]]*(VLOOKUP(Table410[[#This Row],[RATE CONCAT]],Tables!I:N,5,0)),0)</f>
        <v/>
      </c>
      <c r="CA56" s="338">
        <f>Table410[[#This Row],[Mar_2026_F]]-Table410[[#This Row],[Mar_2026_A]]</f>
        <v/>
      </c>
      <c r="CC56" s="338">
        <f>IFERROR(Table410[[#This Row],[Apr_2026_Days_Forecast]]*Table410[[#This Row],[Cost Boolean]]*(VLOOKUP(Table410[[#This Row],[RATE CONCAT]],Tables!I:N,5,0)),0)</f>
        <v/>
      </c>
      <c r="CD56" s="338">
        <f>IFERROR(Table410[[#This Row],[Apr_2026_Days_Actual]]*Table410[[#This Row],[Cost Boolean]]*(VLOOKUP(Table410[[#This Row],[RATE CONCAT]],Tables!I:N,5,0)),0)</f>
        <v/>
      </c>
      <c r="CE56" s="338">
        <f>Table410[[#This Row],[Apr_2026_F]]-Table410[[#This Row],[Apr_2026_A]]</f>
        <v/>
      </c>
      <c r="CG56" s="338">
        <f>IFERROR(Table410[[#This Row],[May_2026_Days_Forecast]] *Table410[[#This Row],[Cost Boolean]]*(VLOOKUP(Table410[[#This Row],[RATE CONCAT]],Tables!I:N,5,0)),0)</f>
        <v/>
      </c>
      <c r="CH56" s="338">
        <f>IFERROR(Table410[[#This Row],[May_2026_Days_Actual]]*Table410[[#This Row],[Cost Boolean]]*(VLOOKUP(Table410[[#This Row],[RATE CONCAT]],Tables!I:N,5,0)),0)</f>
        <v/>
      </c>
      <c r="CI56" s="338">
        <f>Table410[[#This Row],[May_2026_F]]-Table410[[#This Row],[May_2026_A]]</f>
        <v/>
      </c>
      <c r="CK56" s="338">
        <f>IFERROR(Table410[[#This Row],[Jun_2026_Days_Forecast]]*Table410[[#This Row],[Cost Boolean]]*(VLOOKUP(Table410[[#This Row],[RATE CONCAT]],Tables!I:N,5,0)),0)</f>
        <v/>
      </c>
      <c r="CL56" s="338">
        <f>IFERROR(Table410[[#This Row],[Jun_2026_Days_Actual]]*Table410[[#This Row],[Cost Boolean]]*(VLOOKUP(Table410[[#This Row],[RATE CONCAT]],Tables!I:N,5,0)),0)</f>
        <v/>
      </c>
      <c r="CM56" s="338">
        <f>Table410[[#This Row],[Jun_2026_F]]-Table410[[#This Row],[Jun_2026_A]]</f>
        <v/>
      </c>
      <c r="CO56" s="338">
        <f>IFERROR(Table410[[#This Row],[Jul_2026_Days_Forecast]]*Table410[[#This Row],[Cost Boolean]]*(VLOOKUP(Table410[[#This Row],[RATE CONCAT]],Tables!I:N,5,0)),0)</f>
        <v/>
      </c>
      <c r="CP56" s="338">
        <f>IFERROR(Table410[[#This Row],[Jul_2026_Days_Actual]]*Table410[[#This Row],[Cost Boolean]]*(VLOOKUP(Table410[[#This Row],[RATE CONCAT]],Tables!I:N,5,0)),0)</f>
        <v/>
      </c>
      <c r="CQ56" s="338">
        <f>Table410[[#This Row],[Jul_2026_F]]-Table410[[#This Row],[Jul_2026_A]]</f>
        <v/>
      </c>
      <c r="CS56" s="338">
        <f>IFERROR(Table410[[#This Row],[Aug_2026_Days_Forecast]]*Table410[[#This Row],[Cost Boolean]]*(VLOOKUP(Table410[[#This Row],[RATE CONCAT]],Tables!I:N,5,0)),0)</f>
        <v/>
      </c>
      <c r="CT56" s="338">
        <f>IFERROR(Table410[[#This Row],[Aug_2026_Days_Actual]]*Table410[[#This Row],[Cost Boolean]]*(VLOOKUP(Table410[[#This Row],[RATE CONCAT]],Tables!I:N,5,0)),0)</f>
        <v/>
      </c>
      <c r="CU56" s="338">
        <f>Table410[[#This Row],[Aug_2026_F]]-Table410[[#This Row],[Aug_2026_A]]</f>
        <v/>
      </c>
      <c r="CW56" s="338">
        <f>IFERROR(Table410[[#This Row],[Sep_2026_Days_Forecast]]*Table410[[#This Row],[Cost Boolean]]*(VLOOKUP(Table410[[#This Row],[RATE CONCAT]],Tables!I:N,5,0)),0)</f>
        <v/>
      </c>
      <c r="CX56" s="338">
        <f>IFERROR(Table410[[#This Row],[Sep_2026_Days_Actual]]*Table410[[#This Row],[Cost Boolean]]*(VLOOKUP(Table410[[#This Row],[RATE CONCAT]],Tables!I:N,5,0)),0)</f>
        <v/>
      </c>
      <c r="CY56" s="338">
        <f>Table410[[#This Row],[Sep_2026_F]]-Table410[[#This Row],[Sep_2026_A]]</f>
        <v/>
      </c>
      <c r="DA56" s="338">
        <f>IFERROR(Table410[[#This Row],[Oct_2026_Days_Forecast]]*Table410[[#This Row],[Cost Boolean]]*(VLOOKUP(Table410[[#This Row],[RATE CONCAT]],Tables!I:N,5,0)),0)</f>
        <v/>
      </c>
      <c r="DB56" s="338">
        <f>IFERROR(Table410[[#This Row],[Oct_2026_Days_Actual]]*Table410[[#This Row],[Cost Boolean]]*(VLOOKUP(Table410[[#This Row],[RATE CONCAT]],Tables!I:N,5,0)),0)</f>
        <v/>
      </c>
      <c r="DC56" s="338">
        <f>Table410[[#This Row],[Oct_2026_F]]-Table410[[#This Row],[Oct_2026_A]]</f>
        <v/>
      </c>
      <c r="DE56" s="338">
        <f>IFERROR(Table410[[#This Row],[Nov_2026_Days_Forecast]]*Table410[[#This Row],[Cost Boolean]]*(VLOOKUP(Table410[[#This Row],[RATE CONCAT]],Tables!I:N,5,0)),0)</f>
        <v/>
      </c>
      <c r="DF56" s="338">
        <f>IFERROR(Table410[[#This Row],[Nov_2026_Days_Actual]]*Table410[[#This Row],[Cost Boolean]]*(VLOOKUP(Table410[[#This Row],[RATE CONCAT]],Tables!I:N,5,0)),0)</f>
        <v/>
      </c>
      <c r="DG56" s="338">
        <f>Table410[[#This Row],[Nov_2026_F]]-Table410[[#This Row],[Nov_2026_A]]</f>
        <v/>
      </c>
      <c r="DI56" s="338">
        <f>IFERROR(Table410[[#This Row],[Dec_2026_Days_Forecast]]*Table410[[#This Row],[Cost Boolean]]*(VLOOKUP(Table410[[#This Row],[RATE CONCAT]],Tables!I:N,5,0)),0)</f>
        <v/>
      </c>
      <c r="DJ56" s="338">
        <f>IFERROR(Table410[[#This Row],[Dec_2026_Days_Actual]]*Table410[[#This Row],[Cost Boolean]]*(VLOOKUP(Table410[[#This Row],[RATE CONCAT]],Tables!I:N,5,0)),0)</f>
        <v/>
      </c>
      <c r="DK56" s="338">
        <f>Table410[[#This Row],[Dec_2026_F]]-Table410[[#This Row],[Dec_2026_A]]</f>
        <v/>
      </c>
      <c r="DN56" s="338">
        <f>IFERROR(Table410[[#This Row],[Jan_2027_Days_Forecast]]*Table410[[#This Row],[Cost Boolean]]*(VLOOKUP(Table410[[#This Row],[RATE CONCAT]],Tables!I:N,6,0)),0)</f>
        <v/>
      </c>
      <c r="DP56" s="338">
        <f>Table410[[#This Row],[Jan_2027_F]]-Table410[[#This Row],[Jan_2027_A]]</f>
        <v/>
      </c>
      <c r="DQ56" s="338">
        <f>IFERROR(Table410[[#This Row],[Feb_2027_Days_Forecast]]*Table410[[#This Row],[Cost Boolean]]*(VLOOKUP(Table410[[#This Row],[RATE CONCAT]],Tables!I:N,6,0)),0)</f>
        <v/>
      </c>
      <c r="DS56" s="338">
        <f>Table410[[#This Row],[Feb_2027_F]]-Table410[[#This Row],[Feb_2027_A]]</f>
        <v/>
      </c>
      <c r="DT56" s="338">
        <f>IFERROR(Table410[[#This Row],[Mar_2027_Days_Forecast]]*Table410[[#This Row],[Cost Boolean]]*(VLOOKUP(Table410[[#This Row],[RATE CONCAT]],Tables!I:N,6,0)),0)</f>
        <v/>
      </c>
      <c r="DV56" s="338">
        <f>Table410[[#This Row],[Mar_2027_F]]-Table410[[#This Row],[Mar_2027_A]]</f>
        <v/>
      </c>
      <c r="DW56" s="338">
        <f>IFERROR(Table410[[#This Row],[Apr_2027_Days_Forecast]]*Table410[[#This Row],[Cost Boolean]]*(VLOOKUP(Table410[[#This Row],[RATE CONCAT]],Tables!I:N,6,0)),0)</f>
        <v/>
      </c>
      <c r="DY56" s="338">
        <f>Table410[[#This Row],[Apr_2027_F]]-Table410[[#This Row],[Apr_2027_A]]</f>
        <v/>
      </c>
      <c r="DZ56" s="338">
        <f>IFERROR(Table410[[#This Row],[May_2027_Days_Forecast]]*Table410[[#This Row],[Cost Boolean]]*(VLOOKUP(Table410[[#This Row],[RATE CONCAT]],Tables!I:N,6,0)),0)</f>
        <v/>
      </c>
      <c r="EB56" s="338">
        <f>Table410[[#This Row],[May_2027_F]]-Table410[[#This Row],[May_2027_A]]</f>
        <v/>
      </c>
      <c r="EC56" s="338">
        <f>IFERROR(Table410[[#This Row],[Jun_2027_Days_Forecast]]*Table410[[#This Row],[Cost Boolean]]*(VLOOKUP(Table410[[#This Row],[RATE CONCAT]],Tables!I:N,6,0)),0)</f>
        <v/>
      </c>
      <c r="EE56" s="338">
        <f>Table410[[#This Row],[Jun_2027_F]]-Table410[[#This Row],[Jun_2027_A]]</f>
        <v/>
      </c>
      <c r="EF56" s="338">
        <f>IFERROR(Table410[[#This Row],[Jul_2027_Days_Forecast]]*Table410[[#This Row],[Cost Boolean]]*(VLOOKUP(Table410[[#This Row],[RATE CONCAT]],Tables!I:N,6,0)),0)</f>
        <v/>
      </c>
      <c r="EH56" s="338">
        <f>Table410[[#This Row],[Jul_2027_F]]-Table410[[#This Row],[Jul_2027_A]]</f>
        <v/>
      </c>
      <c r="EI56" s="338">
        <f>IFERROR(Table410[[#This Row],[Aug_2027_Days_Forecast]]*Table410[[#This Row],[Cost Boolean]]*(VLOOKUP(Table410[[#This Row],[RATE CONCAT]],Tables!I:N,6,0)),0)</f>
        <v/>
      </c>
      <c r="EK56" s="338">
        <f>Table410[[#This Row],[Aug_2027_F]]-Table410[[#This Row],[Aug_2027_A]]</f>
        <v/>
      </c>
      <c r="EL56" s="338">
        <f>IFERROR(Table410[[#This Row],[Sep_2027_Days_Forecast]]*Table410[[#This Row],[Cost Boolean]]*(VLOOKUP(Table410[[#This Row],[RATE CONCAT]],Tables!I:N,6,0)),0)</f>
        <v/>
      </c>
      <c r="EN56" s="338">
        <f>Table410[[#This Row],[Sep_2027_F]]-Table410[[#This Row],[Sep_2027_A]]</f>
        <v/>
      </c>
      <c r="EO56" s="338">
        <f>IFERROR(Table410[[#This Row],[Oct_2027_Days_Forecast]]*Table410[[#This Row],[Cost Boolean]]*(VLOOKUP(Table410[[#This Row],[RATE CONCAT]],Tables!I:N,6,0)),0)</f>
        <v/>
      </c>
      <c r="EQ56" s="338">
        <f>Table410[[#This Row],[Oct_2027_F]]-Table410[[#This Row],[Oct_2027_A]]</f>
        <v/>
      </c>
      <c r="ER56" s="338">
        <f>IFERROR(Table410[[#This Row],[Nov_2027_Days_Forecast]]*Table410[[#This Row],[Cost Boolean]]*(VLOOKUP(Table410[[#This Row],[RATE CONCAT]],Tables!I:N,6,0)),0)</f>
        <v/>
      </c>
      <c r="ET56" s="338">
        <f>Table410[[#This Row],[Nov_2027_F]]-Table410[[#This Row],[Nov_2027_A]]</f>
        <v/>
      </c>
      <c r="EU56" s="338">
        <f>IFERROR(Table410[[#This Row],[Dec_2027_Days_Forecast]]*Table410[[#This Row],[Cost Boolean]]*(VLOOKUP(Table410[[#This Row],[RATE CONCAT]],Tables!I:N,6,0)),0)</f>
        <v/>
      </c>
      <c r="EW56" s="338">
        <f>Table410[[#This Row],[Dec_2027_F]]-Table410[[#This Row],[Dec_2027_A]]</f>
        <v/>
      </c>
    </row>
    <row r="57" ht="15" customFormat="1" customHeight="1" s="13">
      <c r="Y57" s="342">
        <f>CONCATENATE(Table410[[#This Row],[JG]],Table410[[#This Row],[Country]],Table410[[#This Row],[Resource Provider]])</f>
        <v/>
      </c>
      <c r="Z57" s="342">
        <f>VLOOKUP(Table410[[#This Row],[RATE CONCAT]],Tables!I:N,5,0)</f>
        <v/>
      </c>
      <c r="AA57" s="52" t="n"/>
      <c r="AB57" s="127" t="n"/>
      <c r="AC57" s="127" t="n"/>
      <c r="AD57" s="127" t="n"/>
      <c r="AE57" s="127" t="n"/>
      <c r="AF57" s="127" t="n"/>
      <c r="AG57" s="127" t="n"/>
      <c r="AH57" s="127" t="n"/>
      <c r="AI57" s="127" t="n"/>
      <c r="AJ57" s="127" t="n"/>
      <c r="AK57" s="127" t="n"/>
      <c r="AL57" s="127" t="n"/>
      <c r="AM57" s="127" t="n"/>
      <c r="AN57" s="341">
        <f>IFERROR(AVERAGE(Table410[[#This Row],[Jan_2026_Days_Forecast]:[Dec_2026_Days_Forecast]]),0)/19</f>
        <v/>
      </c>
      <c r="AO57" s="341">
        <f>IFERROR(AVERAGE(Table410[[#This Row],[Jan_2026_Days_Actual]:[Dec_2026_Days_Actual]]),0)/19</f>
        <v/>
      </c>
      <c r="BB57" s="341">
        <f>IFERROR(AVERAGE(Table410[[#This Row],[Jan_2027_Days_Forecast]:[Dec_2027_Days_Forecast]]),0)</f>
        <v/>
      </c>
      <c r="BC57" s="129" t="n"/>
      <c r="BD57" s="129" t="n"/>
      <c r="BE57" s="129" t="n"/>
      <c r="BF57" s="129" t="n"/>
      <c r="BG57" s="129" t="n"/>
      <c r="BH57" s="129" t="n"/>
      <c r="BI57" s="129" t="n"/>
      <c r="BJ57" s="129" t="n"/>
      <c r="BK57" s="129" t="n"/>
      <c r="BL57" s="129" t="n"/>
      <c r="BM57" s="129" t="n"/>
      <c r="BN57" s="129" t="n"/>
      <c r="BO57" s="176" t="n"/>
      <c r="BP57" s="176" t="n"/>
      <c r="BQ57" s="342">
        <f>IFERROR(Table410[[#This Row],[Jan_2026_Days_Forecast]]*Table410[[#This Row],[Cost Boolean]]*(VLOOKUP(Table410[[#This Row],[RATE CONCAT]],Tables!I:N,5,0)),0)</f>
        <v/>
      </c>
      <c r="BR57" s="342">
        <f>IFERROR(Table410[[#This Row],[Jan_2026_Days_Actual]]*Table410[[#This Row],[Cost Boolean]]*(VLOOKUP(Table410[[#This Row],[RATE CONCAT]],Tables!I:N,5,0)),0)</f>
        <v/>
      </c>
      <c r="BS57" s="342">
        <f>Table410[[#This Row],[Jan_2026_F]]-Table410[[#This Row],[Jan_2026_A]]</f>
        <v/>
      </c>
      <c r="BU57" s="342">
        <f>IFERROR(Table410[[#This Row],[Feb_2026_Days_Forecast]]*Table410[[#This Row],[Cost Boolean]]*(VLOOKUP(Table410[[#This Row],[RATE CONCAT]],Tables!I:N,5,0)),0)</f>
        <v/>
      </c>
      <c r="BV57" s="342">
        <f>IFERROR(Table410[[#This Row],[Feb_2026_Days_Actual]]*Table410[[#This Row],[Cost Boolean]]*(VLOOKUP(Table410[[#This Row],[RATE CONCAT]],Tables!I:N,5,0)),0)</f>
        <v/>
      </c>
      <c r="BW57" s="342">
        <f>Table410[[#This Row],[Feb_2026_F]]-Table410[[#This Row],[Feb_2026_A]]</f>
        <v/>
      </c>
      <c r="BY57" s="342">
        <f>IFERROR(Table410[[#This Row],[Mar_2026_Days_Forecast]]*Table410[[#This Row],[Cost Boolean]]*(VLOOKUP(Table410[[#This Row],[RATE CONCAT]],Tables!I:N,5,0)),0)</f>
        <v/>
      </c>
      <c r="BZ57" s="342">
        <f>IFERROR(Table410[[#This Row],[Mar_2026_Days_Actual]]*Table410[[#This Row],[Cost Boolean]]*(VLOOKUP(Table410[[#This Row],[RATE CONCAT]],Tables!I:N,5,0)),0)</f>
        <v/>
      </c>
      <c r="CA57" s="342">
        <f>Table410[[#This Row],[Mar_2026_F]]-Table410[[#This Row],[Mar_2026_A]]</f>
        <v/>
      </c>
      <c r="CC57" s="342">
        <f>IFERROR(Table410[[#This Row],[Apr_2026_Days_Forecast]]*Table410[[#This Row],[Cost Boolean]]*(VLOOKUP(Table410[[#This Row],[RATE CONCAT]],Tables!I:N,5,0)),0)</f>
        <v/>
      </c>
      <c r="CD57" s="342">
        <f>IFERROR(Table410[[#This Row],[Apr_2026_Days_Actual]]*Table410[[#This Row],[Cost Boolean]]*(VLOOKUP(Table410[[#This Row],[RATE CONCAT]],Tables!I:N,5,0)),0)</f>
        <v/>
      </c>
      <c r="CE57" s="342">
        <f>Table410[[#This Row],[Apr_2026_F]]-Table410[[#This Row],[Apr_2026_A]]</f>
        <v/>
      </c>
      <c r="CG57" s="342">
        <f>IFERROR(Table410[[#This Row],[May_2026_Days_Forecast]] *Table410[[#This Row],[Cost Boolean]]*(VLOOKUP(Table410[[#This Row],[RATE CONCAT]],Tables!I:N,5,0)),0)</f>
        <v/>
      </c>
      <c r="CH57" s="342">
        <f>IFERROR(Table410[[#This Row],[May_2026_Days_Actual]]*Table410[[#This Row],[Cost Boolean]]*(VLOOKUP(Table410[[#This Row],[RATE CONCAT]],Tables!I:N,5,0)),0)</f>
        <v/>
      </c>
      <c r="CI57" s="342">
        <f>Table410[[#This Row],[May_2026_F]]-Table410[[#This Row],[May_2026_A]]</f>
        <v/>
      </c>
      <c r="CK57" s="342">
        <f>IFERROR(Table410[[#This Row],[Jun_2026_Days_Forecast]]*Table410[[#This Row],[Cost Boolean]]*(VLOOKUP(Table410[[#This Row],[RATE CONCAT]],Tables!I:N,5,0)),0)</f>
        <v/>
      </c>
      <c r="CL57" s="342">
        <f>IFERROR(Table410[[#This Row],[Jun_2026_Days_Actual]]*Table410[[#This Row],[Cost Boolean]]*(VLOOKUP(Table410[[#This Row],[RATE CONCAT]],Tables!I:N,5,0)),0)</f>
        <v/>
      </c>
      <c r="CM57" s="342">
        <f>Table410[[#This Row],[Jun_2026_F]]-Table410[[#This Row],[Jun_2026_A]]</f>
        <v/>
      </c>
      <c r="CO57" s="342">
        <f>IFERROR(Table410[[#This Row],[Jul_2026_Days_Forecast]]*Table410[[#This Row],[Cost Boolean]]*(VLOOKUP(Table410[[#This Row],[RATE CONCAT]],Tables!I:N,5,0)),0)</f>
        <v/>
      </c>
      <c r="CP57" s="342">
        <f>IFERROR(Table410[[#This Row],[Jul_2026_Days_Actual]]*Table410[[#This Row],[Cost Boolean]]*(VLOOKUP(Table410[[#This Row],[RATE CONCAT]],Tables!I:N,5,0)),0)</f>
        <v/>
      </c>
      <c r="CQ57" s="342">
        <f>Table410[[#This Row],[Jul_2026_F]]-Table410[[#This Row],[Jul_2026_A]]</f>
        <v/>
      </c>
      <c r="CS57" s="342">
        <f>IFERROR(Table410[[#This Row],[Aug_2026_Days_Forecast]]*Table410[[#This Row],[Cost Boolean]]*(VLOOKUP(Table410[[#This Row],[RATE CONCAT]],Tables!I:N,5,0)),0)</f>
        <v/>
      </c>
      <c r="CT57" s="342">
        <f>IFERROR(Table410[[#This Row],[Aug_2026_Days_Actual]]*Table410[[#This Row],[Cost Boolean]]*(VLOOKUP(Table410[[#This Row],[RATE CONCAT]],Tables!I:N,5,0)),0)</f>
        <v/>
      </c>
      <c r="CU57" s="342">
        <f>Table410[[#This Row],[Aug_2026_F]]-Table410[[#This Row],[Aug_2026_A]]</f>
        <v/>
      </c>
      <c r="CW57" s="342">
        <f>IFERROR(Table410[[#This Row],[Sep_2026_Days_Forecast]]*Table410[[#This Row],[Cost Boolean]]*(VLOOKUP(Table410[[#This Row],[RATE CONCAT]],Tables!I:N,5,0)),0)</f>
        <v/>
      </c>
      <c r="CX57" s="342">
        <f>IFERROR(Table410[[#This Row],[Sep_2026_Days_Actual]]*Table410[[#This Row],[Cost Boolean]]*(VLOOKUP(Table410[[#This Row],[RATE CONCAT]],Tables!I:N,5,0)),0)</f>
        <v/>
      </c>
      <c r="CY57" s="342">
        <f>Table410[[#This Row],[Sep_2026_F]]-Table410[[#This Row],[Sep_2026_A]]</f>
        <v/>
      </c>
      <c r="DA57" s="342">
        <f>IFERROR(Table410[[#This Row],[Oct_2026_Days_Forecast]]*Table410[[#This Row],[Cost Boolean]]*(VLOOKUP(Table410[[#This Row],[RATE CONCAT]],Tables!I:N,5,0)),0)</f>
        <v/>
      </c>
      <c r="DB57" s="342">
        <f>IFERROR(Table410[[#This Row],[Oct_2026_Days_Actual]]*Table410[[#This Row],[Cost Boolean]]*(VLOOKUP(Table410[[#This Row],[RATE CONCAT]],Tables!I:N,5,0)),0)</f>
        <v/>
      </c>
      <c r="DC57" s="342">
        <f>Table410[[#This Row],[Oct_2026_F]]-Table410[[#This Row],[Oct_2026_A]]</f>
        <v/>
      </c>
      <c r="DE57" s="342">
        <f>IFERROR(Table410[[#This Row],[Nov_2026_Days_Forecast]]*Table410[[#This Row],[Cost Boolean]]*(VLOOKUP(Table410[[#This Row],[RATE CONCAT]],Tables!I:N,5,0)),0)</f>
        <v/>
      </c>
      <c r="DF57" s="342">
        <f>IFERROR(Table410[[#This Row],[Nov_2026_Days_Actual]]*Table410[[#This Row],[Cost Boolean]]*(VLOOKUP(Table410[[#This Row],[RATE CONCAT]],Tables!I:N,5,0)),0)</f>
        <v/>
      </c>
      <c r="DG57" s="342">
        <f>Table410[[#This Row],[Nov_2026_F]]-Table410[[#This Row],[Nov_2026_A]]</f>
        <v/>
      </c>
      <c r="DI57" s="342">
        <f>IFERROR(Table410[[#This Row],[Dec_2026_Days_Forecast]]*Table410[[#This Row],[Cost Boolean]]*(VLOOKUP(Table410[[#This Row],[RATE CONCAT]],Tables!I:N,5,0)),0)</f>
        <v/>
      </c>
      <c r="DJ57" s="342">
        <f>IFERROR(Table410[[#This Row],[Dec_2026_Days_Actual]]*Table410[[#This Row],[Cost Boolean]]*(VLOOKUP(Table410[[#This Row],[RATE CONCAT]],Tables!I:N,5,0)),0)</f>
        <v/>
      </c>
      <c r="DK57" s="342">
        <f>Table410[[#This Row],[Dec_2026_F]]-Table410[[#This Row],[Dec_2026_A]]</f>
        <v/>
      </c>
      <c r="DN57" s="342">
        <f>IFERROR(Table410[[#This Row],[Jan_2027_Days_Forecast]]*Table410[[#This Row],[Cost Boolean]]*(VLOOKUP(Table410[[#This Row],[RATE CONCAT]],Tables!I:N,6,0)),0)</f>
        <v/>
      </c>
      <c r="DP57" s="342">
        <f>Table410[[#This Row],[Jan_2027_F]]-Table410[[#This Row],[Jan_2027_A]]</f>
        <v/>
      </c>
      <c r="DQ57" s="342">
        <f>IFERROR(Table410[[#This Row],[Feb_2027_Days_Forecast]]*Table410[[#This Row],[Cost Boolean]]*(VLOOKUP(Table410[[#This Row],[RATE CONCAT]],Tables!I:N,6,0)),0)</f>
        <v/>
      </c>
      <c r="DS57" s="342">
        <f>Table410[[#This Row],[Feb_2027_F]]-Table410[[#This Row],[Feb_2027_A]]</f>
        <v/>
      </c>
      <c r="DT57" s="342">
        <f>IFERROR(Table410[[#This Row],[Mar_2027_Days_Forecast]]*Table410[[#This Row],[Cost Boolean]]*(VLOOKUP(Table410[[#This Row],[RATE CONCAT]],Tables!I:N,6,0)),0)</f>
        <v/>
      </c>
      <c r="DV57" s="342">
        <f>Table410[[#This Row],[Mar_2027_F]]-Table410[[#This Row],[Mar_2027_A]]</f>
        <v/>
      </c>
      <c r="DW57" s="342">
        <f>IFERROR(Table410[[#This Row],[Apr_2027_Days_Forecast]]*Table410[[#This Row],[Cost Boolean]]*(VLOOKUP(Table410[[#This Row],[RATE CONCAT]],Tables!I:N,6,0)),0)</f>
        <v/>
      </c>
      <c r="DY57" s="342">
        <f>Table410[[#This Row],[Apr_2027_F]]-Table410[[#This Row],[Apr_2027_A]]</f>
        <v/>
      </c>
      <c r="DZ57" s="342">
        <f>IFERROR(Table410[[#This Row],[May_2027_Days_Forecast]]*Table410[[#This Row],[Cost Boolean]]*(VLOOKUP(Table410[[#This Row],[RATE CONCAT]],Tables!I:N,6,0)),0)</f>
        <v/>
      </c>
      <c r="EB57" s="342">
        <f>Table410[[#This Row],[May_2027_F]]-Table410[[#This Row],[May_2027_A]]</f>
        <v/>
      </c>
      <c r="EC57" s="342">
        <f>IFERROR(Table410[[#This Row],[Jun_2027_Days_Forecast]]*Table410[[#This Row],[Cost Boolean]]*(VLOOKUP(Table410[[#This Row],[RATE CONCAT]],Tables!I:N,6,0)),0)</f>
        <v/>
      </c>
      <c r="EE57" s="342">
        <f>Table410[[#This Row],[Jun_2027_F]]-Table410[[#This Row],[Jun_2027_A]]</f>
        <v/>
      </c>
      <c r="EF57" s="342">
        <f>IFERROR(Table410[[#This Row],[Jul_2027_Days_Forecast]]*Table410[[#This Row],[Cost Boolean]]*(VLOOKUP(Table410[[#This Row],[RATE CONCAT]],Tables!I:N,6,0)),0)</f>
        <v/>
      </c>
      <c r="EH57" s="342">
        <f>Table410[[#This Row],[Jul_2027_F]]-Table410[[#This Row],[Jul_2027_A]]</f>
        <v/>
      </c>
      <c r="EI57" s="342">
        <f>IFERROR(Table410[[#This Row],[Aug_2027_Days_Forecast]]*Table410[[#This Row],[Cost Boolean]]*(VLOOKUP(Table410[[#This Row],[RATE CONCAT]],Tables!I:N,6,0)),0)</f>
        <v/>
      </c>
      <c r="EK57" s="342">
        <f>Table410[[#This Row],[Aug_2027_F]]-Table410[[#This Row],[Aug_2027_A]]</f>
        <v/>
      </c>
      <c r="EL57" s="342">
        <f>IFERROR(Table410[[#This Row],[Sep_2027_Days_Forecast]]*Table410[[#This Row],[Cost Boolean]]*(VLOOKUP(Table410[[#This Row],[RATE CONCAT]],Tables!I:N,6,0)),0)</f>
        <v/>
      </c>
      <c r="EN57" s="342">
        <f>Table410[[#This Row],[Sep_2027_F]]-Table410[[#This Row],[Sep_2027_A]]</f>
        <v/>
      </c>
      <c r="EO57" s="342">
        <f>IFERROR(Table410[[#This Row],[Oct_2027_Days_Forecast]]*Table410[[#This Row],[Cost Boolean]]*(VLOOKUP(Table410[[#This Row],[RATE CONCAT]],Tables!I:N,6,0)),0)</f>
        <v/>
      </c>
      <c r="EQ57" s="342">
        <f>Table410[[#This Row],[Oct_2027_F]]-Table410[[#This Row],[Oct_2027_A]]</f>
        <v/>
      </c>
      <c r="ER57" s="342">
        <f>IFERROR(Table410[[#This Row],[Nov_2027_Days_Forecast]]*Table410[[#This Row],[Cost Boolean]]*(VLOOKUP(Table410[[#This Row],[RATE CONCAT]],Tables!I:N,6,0)),0)</f>
        <v/>
      </c>
      <c r="ET57" s="342">
        <f>Table410[[#This Row],[Nov_2027_F]]-Table410[[#This Row],[Nov_2027_A]]</f>
        <v/>
      </c>
      <c r="EU57" s="342">
        <f>IFERROR(Table410[[#This Row],[Dec_2027_Days_Forecast]]*Table410[[#This Row],[Cost Boolean]]*(VLOOKUP(Table410[[#This Row],[RATE CONCAT]],Tables!I:N,6,0)),0)</f>
        <v/>
      </c>
      <c r="EW57" s="342">
        <f>Table410[[#This Row],[Dec_2027_F]]-Table410[[#This Row],[Dec_2027_A]]</f>
        <v/>
      </c>
    </row>
    <row r="58" ht="15" customFormat="1" customHeight="1" s="13">
      <c r="Y58" s="338">
        <f>CONCATENATE(Table410[[#This Row],[JG]],Table410[[#This Row],[Country]],Table410[[#This Row],[Resource Provider]])</f>
        <v/>
      </c>
      <c r="Z58" s="338">
        <f>VLOOKUP(Table410[[#This Row],[RATE CONCAT]],Tables!I:N,5,0)</f>
        <v/>
      </c>
      <c r="AA58" s="52" t="n"/>
      <c r="AB58" s="127" t="n"/>
      <c r="AC58" s="127" t="n"/>
      <c r="AD58" s="127" t="n"/>
      <c r="AE58" s="127" t="n"/>
      <c r="AF58" s="127" t="n"/>
      <c r="AG58" s="127" t="n"/>
      <c r="AH58" s="127" t="n"/>
      <c r="AI58" s="127" t="n"/>
      <c r="AJ58" s="127" t="n"/>
      <c r="AK58" s="127" t="n"/>
      <c r="AL58" s="127" t="n"/>
      <c r="AM58" s="127" t="n"/>
      <c r="AN58" s="341">
        <f>IFERROR(AVERAGE(Table410[[#This Row],[Jan_2026_Days_Forecast]:[Dec_2026_Days_Forecast]]),0)/19</f>
        <v/>
      </c>
      <c r="AO58" s="341">
        <f>IFERROR(AVERAGE(Table410[[#This Row],[Jan_2026_Days_Actual]:[Dec_2026_Days_Actual]]),0)/19</f>
        <v/>
      </c>
      <c r="BB58" s="341">
        <f>IFERROR(AVERAGE(Table410[[#This Row],[Jan_2027_Days_Forecast]:[Dec_2027_Days_Forecast]]),0)</f>
        <v/>
      </c>
      <c r="BC58" s="127" t="n"/>
      <c r="BD58" s="127" t="n"/>
      <c r="BE58" s="127" t="n"/>
      <c r="BF58" s="127" t="n"/>
      <c r="BG58" s="127" t="n"/>
      <c r="BH58" s="127" t="n"/>
      <c r="BI58" s="127" t="n"/>
      <c r="BJ58" s="127" t="n"/>
      <c r="BK58" s="127" t="n"/>
      <c r="BL58" s="127" t="n"/>
      <c r="BM58" s="127" t="n"/>
      <c r="BN58" s="127" t="n"/>
      <c r="BO58" s="176" t="n"/>
      <c r="BP58" s="176" t="n"/>
      <c r="BQ58" s="338">
        <f>IFERROR(Table410[[#This Row],[Jan_2026_Days_Forecast]]*Table410[[#This Row],[Cost Boolean]]*(VLOOKUP(Table410[[#This Row],[RATE CONCAT]],Tables!I:N,5,0)),0)</f>
        <v/>
      </c>
      <c r="BR58" s="338">
        <f>IFERROR(Table410[[#This Row],[Jan_2026_Days_Actual]]*Table410[[#This Row],[Cost Boolean]]*(VLOOKUP(Table410[[#This Row],[RATE CONCAT]],Tables!I:N,5,0)),0)</f>
        <v/>
      </c>
      <c r="BS58" s="338">
        <f>Table410[[#This Row],[Jan_2026_F]]-Table410[[#This Row],[Jan_2026_A]]</f>
        <v/>
      </c>
      <c r="BU58" s="338">
        <f>IFERROR(Table410[[#This Row],[Feb_2026_Days_Forecast]]*Table410[[#This Row],[Cost Boolean]]*(VLOOKUP(Table410[[#This Row],[RATE CONCAT]],Tables!I:N,5,0)),0)</f>
        <v/>
      </c>
      <c r="BV58" s="338">
        <f>IFERROR(Table410[[#This Row],[Feb_2026_Days_Actual]]*Table410[[#This Row],[Cost Boolean]]*(VLOOKUP(Table410[[#This Row],[RATE CONCAT]],Tables!I:N,5,0)),0)</f>
        <v/>
      </c>
      <c r="BW58" s="338">
        <f>Table410[[#This Row],[Feb_2026_F]]-Table410[[#This Row],[Feb_2026_A]]</f>
        <v/>
      </c>
      <c r="BY58" s="338">
        <f>IFERROR(Table410[[#This Row],[Mar_2026_Days_Forecast]]*Table410[[#This Row],[Cost Boolean]]*(VLOOKUP(Table410[[#This Row],[RATE CONCAT]],Tables!I:N,5,0)),0)</f>
        <v/>
      </c>
      <c r="BZ58" s="338">
        <f>IFERROR(Table410[[#This Row],[Mar_2026_Days_Actual]]*Table410[[#This Row],[Cost Boolean]]*(VLOOKUP(Table410[[#This Row],[RATE CONCAT]],Tables!I:N,5,0)),0)</f>
        <v/>
      </c>
      <c r="CA58" s="338">
        <f>Table410[[#This Row],[Mar_2026_F]]-Table410[[#This Row],[Mar_2026_A]]</f>
        <v/>
      </c>
      <c r="CC58" s="338">
        <f>IFERROR(Table410[[#This Row],[Apr_2026_Days_Forecast]]*Table410[[#This Row],[Cost Boolean]]*(VLOOKUP(Table410[[#This Row],[RATE CONCAT]],Tables!I:N,5,0)),0)</f>
        <v/>
      </c>
      <c r="CD58" s="338">
        <f>IFERROR(Table410[[#This Row],[Apr_2026_Days_Actual]]*Table410[[#This Row],[Cost Boolean]]*(VLOOKUP(Table410[[#This Row],[RATE CONCAT]],Tables!I:N,5,0)),0)</f>
        <v/>
      </c>
      <c r="CE58" s="338">
        <f>Table410[[#This Row],[Apr_2026_F]]-Table410[[#This Row],[Apr_2026_A]]</f>
        <v/>
      </c>
      <c r="CG58" s="338">
        <f>IFERROR(Table410[[#This Row],[May_2026_Days_Forecast]] *Table410[[#This Row],[Cost Boolean]]*(VLOOKUP(Table410[[#This Row],[RATE CONCAT]],Tables!I:N,5,0)),0)</f>
        <v/>
      </c>
      <c r="CH58" s="338">
        <f>IFERROR(Table410[[#This Row],[May_2026_Days_Actual]]*Table410[[#This Row],[Cost Boolean]]*(VLOOKUP(Table410[[#This Row],[RATE CONCAT]],Tables!I:N,5,0)),0)</f>
        <v/>
      </c>
      <c r="CI58" s="338">
        <f>Table410[[#This Row],[May_2026_F]]-Table410[[#This Row],[May_2026_A]]</f>
        <v/>
      </c>
      <c r="CK58" s="338">
        <f>IFERROR(Table410[[#This Row],[Jun_2026_Days_Forecast]]*Table410[[#This Row],[Cost Boolean]]*(VLOOKUP(Table410[[#This Row],[RATE CONCAT]],Tables!I:N,5,0)),0)</f>
        <v/>
      </c>
      <c r="CL58" s="338">
        <f>IFERROR(Table410[[#This Row],[Jun_2026_Days_Actual]]*Table410[[#This Row],[Cost Boolean]]*(VLOOKUP(Table410[[#This Row],[RATE CONCAT]],Tables!I:N,5,0)),0)</f>
        <v/>
      </c>
      <c r="CM58" s="338">
        <f>Table410[[#This Row],[Jun_2026_F]]-Table410[[#This Row],[Jun_2026_A]]</f>
        <v/>
      </c>
      <c r="CO58" s="338">
        <f>IFERROR(Table410[[#This Row],[Jul_2026_Days_Forecast]]*Table410[[#This Row],[Cost Boolean]]*(VLOOKUP(Table410[[#This Row],[RATE CONCAT]],Tables!I:N,5,0)),0)</f>
        <v/>
      </c>
      <c r="CP58" s="338">
        <f>IFERROR(Table410[[#This Row],[Jul_2026_Days_Actual]]*Table410[[#This Row],[Cost Boolean]]*(VLOOKUP(Table410[[#This Row],[RATE CONCAT]],Tables!I:N,5,0)),0)</f>
        <v/>
      </c>
      <c r="CQ58" s="338">
        <f>Table410[[#This Row],[Jul_2026_F]]-Table410[[#This Row],[Jul_2026_A]]</f>
        <v/>
      </c>
      <c r="CS58" s="338">
        <f>IFERROR(Table410[[#This Row],[Aug_2026_Days_Forecast]]*Table410[[#This Row],[Cost Boolean]]*(VLOOKUP(Table410[[#This Row],[RATE CONCAT]],Tables!I:N,5,0)),0)</f>
        <v/>
      </c>
      <c r="CT58" s="338">
        <f>IFERROR(Table410[[#This Row],[Aug_2026_Days_Actual]]*Table410[[#This Row],[Cost Boolean]]*(VLOOKUP(Table410[[#This Row],[RATE CONCAT]],Tables!I:N,5,0)),0)</f>
        <v/>
      </c>
      <c r="CU58" s="338">
        <f>Table410[[#This Row],[Aug_2026_F]]-Table410[[#This Row],[Aug_2026_A]]</f>
        <v/>
      </c>
      <c r="CW58" s="338">
        <f>IFERROR(Table410[[#This Row],[Sep_2026_Days_Forecast]]*Table410[[#This Row],[Cost Boolean]]*(VLOOKUP(Table410[[#This Row],[RATE CONCAT]],Tables!I:N,5,0)),0)</f>
        <v/>
      </c>
      <c r="CX58" s="338">
        <f>IFERROR(Table410[[#This Row],[Sep_2026_Days_Actual]]*Table410[[#This Row],[Cost Boolean]]*(VLOOKUP(Table410[[#This Row],[RATE CONCAT]],Tables!I:N,5,0)),0)</f>
        <v/>
      </c>
      <c r="CY58" s="338">
        <f>Table410[[#This Row],[Sep_2026_F]]-Table410[[#This Row],[Sep_2026_A]]</f>
        <v/>
      </c>
      <c r="DA58" s="338">
        <f>IFERROR(Table410[[#This Row],[Oct_2026_Days_Forecast]]*Table410[[#This Row],[Cost Boolean]]*(VLOOKUP(Table410[[#This Row],[RATE CONCAT]],Tables!I:N,5,0)),0)</f>
        <v/>
      </c>
      <c r="DB58" s="338">
        <f>IFERROR(Table410[[#This Row],[Oct_2026_Days_Actual]]*Table410[[#This Row],[Cost Boolean]]*(VLOOKUP(Table410[[#This Row],[RATE CONCAT]],Tables!I:N,5,0)),0)</f>
        <v/>
      </c>
      <c r="DC58" s="338">
        <f>Table410[[#This Row],[Oct_2026_F]]-Table410[[#This Row],[Oct_2026_A]]</f>
        <v/>
      </c>
      <c r="DE58" s="338">
        <f>IFERROR(Table410[[#This Row],[Nov_2026_Days_Forecast]]*Table410[[#This Row],[Cost Boolean]]*(VLOOKUP(Table410[[#This Row],[RATE CONCAT]],Tables!I:N,5,0)),0)</f>
        <v/>
      </c>
      <c r="DF58" s="338">
        <f>IFERROR(Table410[[#This Row],[Nov_2026_Days_Actual]]*Table410[[#This Row],[Cost Boolean]]*(VLOOKUP(Table410[[#This Row],[RATE CONCAT]],Tables!I:N,5,0)),0)</f>
        <v/>
      </c>
      <c r="DG58" s="338">
        <f>Table410[[#This Row],[Nov_2026_F]]-Table410[[#This Row],[Nov_2026_A]]</f>
        <v/>
      </c>
      <c r="DI58" s="338">
        <f>IFERROR(Table410[[#This Row],[Dec_2026_Days_Forecast]]*Table410[[#This Row],[Cost Boolean]]*(VLOOKUP(Table410[[#This Row],[RATE CONCAT]],Tables!I:N,5,0)),0)</f>
        <v/>
      </c>
      <c r="DJ58" s="338">
        <f>IFERROR(Table410[[#This Row],[Dec_2026_Days_Actual]]*Table410[[#This Row],[Cost Boolean]]*(VLOOKUP(Table410[[#This Row],[RATE CONCAT]],Tables!I:N,5,0)),0)</f>
        <v/>
      </c>
      <c r="DK58" s="338">
        <f>Table410[[#This Row],[Dec_2026_F]]-Table410[[#This Row],[Dec_2026_A]]</f>
        <v/>
      </c>
      <c r="DN58" s="338">
        <f>IFERROR(Table410[[#This Row],[Jan_2027_Days_Forecast]]*Table410[[#This Row],[Cost Boolean]]*(VLOOKUP(Table410[[#This Row],[RATE CONCAT]],Tables!I:N,6,0)),0)</f>
        <v/>
      </c>
      <c r="DP58" s="338">
        <f>Table410[[#This Row],[Jan_2027_F]]-Table410[[#This Row],[Jan_2027_A]]</f>
        <v/>
      </c>
      <c r="DQ58" s="338">
        <f>IFERROR(Table410[[#This Row],[Feb_2027_Days_Forecast]]*Table410[[#This Row],[Cost Boolean]]*(VLOOKUP(Table410[[#This Row],[RATE CONCAT]],Tables!I:N,6,0)),0)</f>
        <v/>
      </c>
      <c r="DS58" s="338">
        <f>Table410[[#This Row],[Feb_2027_F]]-Table410[[#This Row],[Feb_2027_A]]</f>
        <v/>
      </c>
      <c r="DT58" s="338">
        <f>IFERROR(Table410[[#This Row],[Mar_2027_Days_Forecast]]*Table410[[#This Row],[Cost Boolean]]*(VLOOKUP(Table410[[#This Row],[RATE CONCAT]],Tables!I:N,6,0)),0)</f>
        <v/>
      </c>
      <c r="DV58" s="338">
        <f>Table410[[#This Row],[Mar_2027_F]]-Table410[[#This Row],[Mar_2027_A]]</f>
        <v/>
      </c>
      <c r="DW58" s="338">
        <f>IFERROR(Table410[[#This Row],[Apr_2027_Days_Forecast]]*Table410[[#This Row],[Cost Boolean]]*(VLOOKUP(Table410[[#This Row],[RATE CONCAT]],Tables!I:N,6,0)),0)</f>
        <v/>
      </c>
      <c r="DY58" s="338">
        <f>Table410[[#This Row],[Apr_2027_F]]-Table410[[#This Row],[Apr_2027_A]]</f>
        <v/>
      </c>
      <c r="DZ58" s="338">
        <f>IFERROR(Table410[[#This Row],[May_2027_Days_Forecast]]*Table410[[#This Row],[Cost Boolean]]*(VLOOKUP(Table410[[#This Row],[RATE CONCAT]],Tables!I:N,6,0)),0)</f>
        <v/>
      </c>
      <c r="EB58" s="338">
        <f>Table410[[#This Row],[May_2027_F]]-Table410[[#This Row],[May_2027_A]]</f>
        <v/>
      </c>
      <c r="EC58" s="338">
        <f>IFERROR(Table410[[#This Row],[Jun_2027_Days_Forecast]]*Table410[[#This Row],[Cost Boolean]]*(VLOOKUP(Table410[[#This Row],[RATE CONCAT]],Tables!I:N,6,0)),0)</f>
        <v/>
      </c>
      <c r="EE58" s="338">
        <f>Table410[[#This Row],[Jun_2027_F]]-Table410[[#This Row],[Jun_2027_A]]</f>
        <v/>
      </c>
      <c r="EF58" s="338">
        <f>IFERROR(Table410[[#This Row],[Jul_2027_Days_Forecast]]*Table410[[#This Row],[Cost Boolean]]*(VLOOKUP(Table410[[#This Row],[RATE CONCAT]],Tables!I:N,6,0)),0)</f>
        <v/>
      </c>
      <c r="EH58" s="338">
        <f>Table410[[#This Row],[Jul_2027_F]]-Table410[[#This Row],[Jul_2027_A]]</f>
        <v/>
      </c>
      <c r="EI58" s="338">
        <f>IFERROR(Table410[[#This Row],[Aug_2027_Days_Forecast]]*Table410[[#This Row],[Cost Boolean]]*(VLOOKUP(Table410[[#This Row],[RATE CONCAT]],Tables!I:N,6,0)),0)</f>
        <v/>
      </c>
      <c r="EK58" s="338">
        <f>Table410[[#This Row],[Aug_2027_F]]-Table410[[#This Row],[Aug_2027_A]]</f>
        <v/>
      </c>
      <c r="EL58" s="338">
        <f>IFERROR(Table410[[#This Row],[Sep_2027_Days_Forecast]]*Table410[[#This Row],[Cost Boolean]]*(VLOOKUP(Table410[[#This Row],[RATE CONCAT]],Tables!I:N,6,0)),0)</f>
        <v/>
      </c>
      <c r="EN58" s="338">
        <f>Table410[[#This Row],[Sep_2027_F]]-Table410[[#This Row],[Sep_2027_A]]</f>
        <v/>
      </c>
      <c r="EO58" s="338">
        <f>IFERROR(Table410[[#This Row],[Oct_2027_Days_Forecast]]*Table410[[#This Row],[Cost Boolean]]*(VLOOKUP(Table410[[#This Row],[RATE CONCAT]],Tables!I:N,6,0)),0)</f>
        <v/>
      </c>
      <c r="EQ58" s="338">
        <f>Table410[[#This Row],[Oct_2027_F]]-Table410[[#This Row],[Oct_2027_A]]</f>
        <v/>
      </c>
      <c r="ER58" s="338">
        <f>IFERROR(Table410[[#This Row],[Nov_2027_Days_Forecast]]*Table410[[#This Row],[Cost Boolean]]*(VLOOKUP(Table410[[#This Row],[RATE CONCAT]],Tables!I:N,6,0)),0)</f>
        <v/>
      </c>
      <c r="ET58" s="338">
        <f>Table410[[#This Row],[Nov_2027_F]]-Table410[[#This Row],[Nov_2027_A]]</f>
        <v/>
      </c>
      <c r="EU58" s="338">
        <f>IFERROR(Table410[[#This Row],[Dec_2027_Days_Forecast]]*Table410[[#This Row],[Cost Boolean]]*(VLOOKUP(Table410[[#This Row],[RATE CONCAT]],Tables!I:N,6,0)),0)</f>
        <v/>
      </c>
      <c r="EW58" s="338">
        <f>Table410[[#This Row],[Dec_2027_F]]-Table410[[#This Row],[Dec_2027_A]]</f>
        <v/>
      </c>
    </row>
    <row r="59" ht="15" customFormat="1" customHeight="1" s="13">
      <c r="Y59" s="342">
        <f>CONCATENATE(Table410[[#This Row],[JG]],Table410[[#This Row],[Country]],Table410[[#This Row],[Resource Provider]])</f>
        <v/>
      </c>
      <c r="Z59" s="342">
        <f>VLOOKUP(Table410[[#This Row],[RATE CONCAT]],Tables!I:N,5,0)</f>
        <v/>
      </c>
      <c r="AA59" s="52" t="n"/>
      <c r="AB59" s="127" t="n"/>
      <c r="AC59" s="127" t="n"/>
      <c r="AD59" s="127" t="n"/>
      <c r="AE59" s="127" t="n"/>
      <c r="AF59" s="127" t="n"/>
      <c r="AG59" s="127" t="n"/>
      <c r="AH59" s="127" t="n"/>
      <c r="AI59" s="127" t="n"/>
      <c r="AJ59" s="127" t="n"/>
      <c r="AK59" s="127" t="n"/>
      <c r="AL59" s="127" t="n"/>
      <c r="AM59" s="127" t="n"/>
      <c r="AN59" s="341">
        <f>IFERROR(AVERAGE(Table410[[#This Row],[Jan_2026_Days_Forecast]:[Dec_2026_Days_Forecast]]),0)/19</f>
        <v/>
      </c>
      <c r="AO59" s="341">
        <f>IFERROR(AVERAGE(Table410[[#This Row],[Jan_2026_Days_Actual]:[Dec_2026_Days_Actual]]),0)/19</f>
        <v/>
      </c>
      <c r="BB59" s="341">
        <f>IFERROR(AVERAGE(Table410[[#This Row],[Jan_2027_Days_Forecast]:[Dec_2027_Days_Forecast]]),0)</f>
        <v/>
      </c>
      <c r="BC59" s="127" t="n"/>
      <c r="BD59" s="127" t="n"/>
      <c r="BE59" s="127" t="n"/>
      <c r="BF59" s="127" t="n"/>
      <c r="BG59" s="127" t="n"/>
      <c r="BH59" s="127" t="n"/>
      <c r="BI59" s="127" t="n"/>
      <c r="BJ59" s="127" t="n"/>
      <c r="BK59" s="127" t="n"/>
      <c r="BL59" s="127" t="n"/>
      <c r="BM59" s="127" t="n"/>
      <c r="BN59" s="127" t="n"/>
      <c r="BO59" s="176" t="n"/>
      <c r="BP59" s="176" t="n"/>
      <c r="BQ59" s="342">
        <f>IFERROR(Table410[[#This Row],[Jan_2026_Days_Forecast]]*Table410[[#This Row],[Cost Boolean]]*(VLOOKUP(Table410[[#This Row],[RATE CONCAT]],Tables!I:N,5,0)),0)</f>
        <v/>
      </c>
      <c r="BR59" s="342">
        <f>IFERROR(Table410[[#This Row],[Jan_2026_Days_Actual]]*Table410[[#This Row],[Cost Boolean]]*(VLOOKUP(Table410[[#This Row],[RATE CONCAT]],Tables!I:N,5,0)),0)</f>
        <v/>
      </c>
      <c r="BS59" s="342">
        <f>Table410[[#This Row],[Jan_2026_F]]-Table410[[#This Row],[Jan_2026_A]]</f>
        <v/>
      </c>
      <c r="BU59" s="342">
        <f>IFERROR(Table410[[#This Row],[Feb_2026_Days_Forecast]]*Table410[[#This Row],[Cost Boolean]]*(VLOOKUP(Table410[[#This Row],[RATE CONCAT]],Tables!I:N,5,0)),0)</f>
        <v/>
      </c>
      <c r="BV59" s="342">
        <f>IFERROR(Table410[[#This Row],[Feb_2026_Days_Actual]]*Table410[[#This Row],[Cost Boolean]]*(VLOOKUP(Table410[[#This Row],[RATE CONCAT]],Tables!I:N,5,0)),0)</f>
        <v/>
      </c>
      <c r="BW59" s="342">
        <f>Table410[[#This Row],[Feb_2026_F]]-Table410[[#This Row],[Feb_2026_A]]</f>
        <v/>
      </c>
      <c r="BY59" s="342">
        <f>IFERROR(Table410[[#This Row],[Mar_2026_Days_Forecast]]*Table410[[#This Row],[Cost Boolean]]*(VLOOKUP(Table410[[#This Row],[RATE CONCAT]],Tables!I:N,5,0)),0)</f>
        <v/>
      </c>
      <c r="BZ59" s="342">
        <f>IFERROR(Table410[[#This Row],[Mar_2026_Days_Actual]]*Table410[[#This Row],[Cost Boolean]]*(VLOOKUP(Table410[[#This Row],[RATE CONCAT]],Tables!I:N,5,0)),0)</f>
        <v/>
      </c>
      <c r="CA59" s="342">
        <f>Table410[[#This Row],[Mar_2026_F]]-Table410[[#This Row],[Mar_2026_A]]</f>
        <v/>
      </c>
      <c r="CC59" s="342">
        <f>IFERROR(Table410[[#This Row],[Apr_2026_Days_Forecast]]*Table410[[#This Row],[Cost Boolean]]*(VLOOKUP(Table410[[#This Row],[RATE CONCAT]],Tables!I:N,5,0)),0)</f>
        <v/>
      </c>
      <c r="CD59" s="342">
        <f>IFERROR(Table410[[#This Row],[Apr_2026_Days_Actual]]*Table410[[#This Row],[Cost Boolean]]*(VLOOKUP(Table410[[#This Row],[RATE CONCAT]],Tables!I:N,5,0)),0)</f>
        <v/>
      </c>
      <c r="CE59" s="342">
        <f>Table410[[#This Row],[Apr_2026_F]]-Table410[[#This Row],[Apr_2026_A]]</f>
        <v/>
      </c>
      <c r="CG59" s="342">
        <f>IFERROR(Table410[[#This Row],[May_2026_Days_Forecast]] *Table410[[#This Row],[Cost Boolean]]*(VLOOKUP(Table410[[#This Row],[RATE CONCAT]],Tables!I:N,5,0)),0)</f>
        <v/>
      </c>
      <c r="CH59" s="342">
        <f>IFERROR(Table410[[#This Row],[May_2026_Days_Actual]]*Table410[[#This Row],[Cost Boolean]]*(VLOOKUP(Table410[[#This Row],[RATE CONCAT]],Tables!I:N,5,0)),0)</f>
        <v/>
      </c>
      <c r="CI59" s="342">
        <f>Table410[[#This Row],[May_2026_F]]-Table410[[#This Row],[May_2026_A]]</f>
        <v/>
      </c>
      <c r="CK59" s="342">
        <f>IFERROR(Table410[[#This Row],[Jun_2026_Days_Forecast]]*Table410[[#This Row],[Cost Boolean]]*(VLOOKUP(Table410[[#This Row],[RATE CONCAT]],Tables!I:N,5,0)),0)</f>
        <v/>
      </c>
      <c r="CL59" s="342">
        <f>IFERROR(Table410[[#This Row],[Jun_2026_Days_Actual]]*Table410[[#This Row],[Cost Boolean]]*(VLOOKUP(Table410[[#This Row],[RATE CONCAT]],Tables!I:N,5,0)),0)</f>
        <v/>
      </c>
      <c r="CM59" s="342">
        <f>Table410[[#This Row],[Jun_2026_F]]-Table410[[#This Row],[Jun_2026_A]]</f>
        <v/>
      </c>
      <c r="CO59" s="342">
        <f>IFERROR(Table410[[#This Row],[Jul_2026_Days_Forecast]]*Table410[[#This Row],[Cost Boolean]]*(VLOOKUP(Table410[[#This Row],[RATE CONCAT]],Tables!I:N,5,0)),0)</f>
        <v/>
      </c>
      <c r="CP59" s="342">
        <f>IFERROR(Table410[[#This Row],[Jul_2026_Days_Actual]]*Table410[[#This Row],[Cost Boolean]]*(VLOOKUP(Table410[[#This Row],[RATE CONCAT]],Tables!I:N,5,0)),0)</f>
        <v/>
      </c>
      <c r="CQ59" s="342">
        <f>Table410[[#This Row],[Jul_2026_F]]-Table410[[#This Row],[Jul_2026_A]]</f>
        <v/>
      </c>
      <c r="CS59" s="342">
        <f>IFERROR(Table410[[#This Row],[Aug_2026_Days_Forecast]]*Table410[[#This Row],[Cost Boolean]]*(VLOOKUP(Table410[[#This Row],[RATE CONCAT]],Tables!I:N,5,0)),0)</f>
        <v/>
      </c>
      <c r="CT59" s="342">
        <f>IFERROR(Table410[[#This Row],[Aug_2026_Days_Actual]]*Table410[[#This Row],[Cost Boolean]]*(VLOOKUP(Table410[[#This Row],[RATE CONCAT]],Tables!I:N,5,0)),0)</f>
        <v/>
      </c>
      <c r="CU59" s="342">
        <f>Table410[[#This Row],[Aug_2026_F]]-Table410[[#This Row],[Aug_2026_A]]</f>
        <v/>
      </c>
      <c r="CW59" s="342">
        <f>IFERROR(Table410[[#This Row],[Sep_2026_Days_Forecast]]*Table410[[#This Row],[Cost Boolean]]*(VLOOKUP(Table410[[#This Row],[RATE CONCAT]],Tables!I:N,5,0)),0)</f>
        <v/>
      </c>
      <c r="CX59" s="342">
        <f>IFERROR(Table410[[#This Row],[Sep_2026_Days_Actual]]*Table410[[#This Row],[Cost Boolean]]*(VLOOKUP(Table410[[#This Row],[RATE CONCAT]],Tables!I:N,5,0)),0)</f>
        <v/>
      </c>
      <c r="CY59" s="342">
        <f>Table410[[#This Row],[Sep_2026_F]]-Table410[[#This Row],[Sep_2026_A]]</f>
        <v/>
      </c>
      <c r="DA59" s="342">
        <f>IFERROR(Table410[[#This Row],[Oct_2026_Days_Forecast]]*Table410[[#This Row],[Cost Boolean]]*(VLOOKUP(Table410[[#This Row],[RATE CONCAT]],Tables!I:N,5,0)),0)</f>
        <v/>
      </c>
      <c r="DB59" s="342">
        <f>IFERROR(Table410[[#This Row],[Oct_2026_Days_Actual]]*Table410[[#This Row],[Cost Boolean]]*(VLOOKUP(Table410[[#This Row],[RATE CONCAT]],Tables!I:N,5,0)),0)</f>
        <v/>
      </c>
      <c r="DC59" s="342">
        <f>Table410[[#This Row],[Oct_2026_F]]-Table410[[#This Row],[Oct_2026_A]]</f>
        <v/>
      </c>
      <c r="DE59" s="342">
        <f>IFERROR(Table410[[#This Row],[Nov_2026_Days_Forecast]]*Table410[[#This Row],[Cost Boolean]]*(VLOOKUP(Table410[[#This Row],[RATE CONCAT]],Tables!I:N,5,0)),0)</f>
        <v/>
      </c>
      <c r="DF59" s="342">
        <f>IFERROR(Table410[[#This Row],[Nov_2026_Days_Actual]]*Table410[[#This Row],[Cost Boolean]]*(VLOOKUP(Table410[[#This Row],[RATE CONCAT]],Tables!I:N,5,0)),0)</f>
        <v/>
      </c>
      <c r="DG59" s="342">
        <f>Table410[[#This Row],[Nov_2026_F]]-Table410[[#This Row],[Nov_2026_A]]</f>
        <v/>
      </c>
      <c r="DI59" s="342">
        <f>IFERROR(Table410[[#This Row],[Dec_2026_Days_Forecast]]*Table410[[#This Row],[Cost Boolean]]*(VLOOKUP(Table410[[#This Row],[RATE CONCAT]],Tables!I:N,5,0)),0)</f>
        <v/>
      </c>
      <c r="DJ59" s="342">
        <f>IFERROR(Table410[[#This Row],[Dec_2026_Days_Actual]]*Table410[[#This Row],[Cost Boolean]]*(VLOOKUP(Table410[[#This Row],[RATE CONCAT]],Tables!I:N,5,0)),0)</f>
        <v/>
      </c>
      <c r="DK59" s="342">
        <f>Table410[[#This Row],[Dec_2026_F]]-Table410[[#This Row],[Dec_2026_A]]</f>
        <v/>
      </c>
      <c r="DN59" s="342">
        <f>IFERROR(Table410[[#This Row],[Jan_2027_Days_Forecast]]*Table410[[#This Row],[Cost Boolean]]*(VLOOKUP(Table410[[#This Row],[RATE CONCAT]],Tables!I:N,6,0)),0)</f>
        <v/>
      </c>
      <c r="DP59" s="342">
        <f>Table410[[#This Row],[Jan_2027_F]]-Table410[[#This Row],[Jan_2027_A]]</f>
        <v/>
      </c>
      <c r="DQ59" s="342">
        <f>IFERROR(Table410[[#This Row],[Feb_2027_Days_Forecast]]*Table410[[#This Row],[Cost Boolean]]*(VLOOKUP(Table410[[#This Row],[RATE CONCAT]],Tables!I:N,6,0)),0)</f>
        <v/>
      </c>
      <c r="DS59" s="342">
        <f>Table410[[#This Row],[Feb_2027_F]]-Table410[[#This Row],[Feb_2027_A]]</f>
        <v/>
      </c>
      <c r="DT59" s="342">
        <f>IFERROR(Table410[[#This Row],[Mar_2027_Days_Forecast]]*Table410[[#This Row],[Cost Boolean]]*(VLOOKUP(Table410[[#This Row],[RATE CONCAT]],Tables!I:N,6,0)),0)</f>
        <v/>
      </c>
      <c r="DV59" s="342">
        <f>Table410[[#This Row],[Mar_2027_F]]-Table410[[#This Row],[Mar_2027_A]]</f>
        <v/>
      </c>
      <c r="DW59" s="342">
        <f>IFERROR(Table410[[#This Row],[Apr_2027_Days_Forecast]]*Table410[[#This Row],[Cost Boolean]]*(VLOOKUP(Table410[[#This Row],[RATE CONCAT]],Tables!I:N,6,0)),0)</f>
        <v/>
      </c>
      <c r="DY59" s="342">
        <f>Table410[[#This Row],[Apr_2027_F]]-Table410[[#This Row],[Apr_2027_A]]</f>
        <v/>
      </c>
      <c r="DZ59" s="342">
        <f>IFERROR(Table410[[#This Row],[May_2027_Days_Forecast]]*Table410[[#This Row],[Cost Boolean]]*(VLOOKUP(Table410[[#This Row],[RATE CONCAT]],Tables!I:N,6,0)),0)</f>
        <v/>
      </c>
      <c r="EB59" s="342">
        <f>Table410[[#This Row],[May_2027_F]]-Table410[[#This Row],[May_2027_A]]</f>
        <v/>
      </c>
      <c r="EC59" s="342">
        <f>IFERROR(Table410[[#This Row],[Jun_2027_Days_Forecast]]*Table410[[#This Row],[Cost Boolean]]*(VLOOKUP(Table410[[#This Row],[RATE CONCAT]],Tables!I:N,6,0)),0)</f>
        <v/>
      </c>
      <c r="EE59" s="342">
        <f>Table410[[#This Row],[Jun_2027_F]]-Table410[[#This Row],[Jun_2027_A]]</f>
        <v/>
      </c>
      <c r="EF59" s="342">
        <f>IFERROR(Table410[[#This Row],[Jul_2027_Days_Forecast]]*Table410[[#This Row],[Cost Boolean]]*(VLOOKUP(Table410[[#This Row],[RATE CONCAT]],Tables!I:N,6,0)),0)</f>
        <v/>
      </c>
      <c r="EH59" s="342">
        <f>Table410[[#This Row],[Jul_2027_F]]-Table410[[#This Row],[Jul_2027_A]]</f>
        <v/>
      </c>
      <c r="EI59" s="342">
        <f>IFERROR(Table410[[#This Row],[Aug_2027_Days_Forecast]]*Table410[[#This Row],[Cost Boolean]]*(VLOOKUP(Table410[[#This Row],[RATE CONCAT]],Tables!I:N,6,0)),0)</f>
        <v/>
      </c>
      <c r="EK59" s="342">
        <f>Table410[[#This Row],[Aug_2027_F]]-Table410[[#This Row],[Aug_2027_A]]</f>
        <v/>
      </c>
      <c r="EL59" s="342">
        <f>IFERROR(Table410[[#This Row],[Sep_2027_Days_Forecast]]*Table410[[#This Row],[Cost Boolean]]*(VLOOKUP(Table410[[#This Row],[RATE CONCAT]],Tables!I:N,6,0)),0)</f>
        <v/>
      </c>
      <c r="EN59" s="342">
        <f>Table410[[#This Row],[Sep_2027_F]]-Table410[[#This Row],[Sep_2027_A]]</f>
        <v/>
      </c>
      <c r="EO59" s="342">
        <f>IFERROR(Table410[[#This Row],[Oct_2027_Days_Forecast]]*Table410[[#This Row],[Cost Boolean]]*(VLOOKUP(Table410[[#This Row],[RATE CONCAT]],Tables!I:N,6,0)),0)</f>
        <v/>
      </c>
      <c r="EQ59" s="342">
        <f>Table410[[#This Row],[Oct_2027_F]]-Table410[[#This Row],[Oct_2027_A]]</f>
        <v/>
      </c>
      <c r="ER59" s="342">
        <f>IFERROR(Table410[[#This Row],[Nov_2027_Days_Forecast]]*Table410[[#This Row],[Cost Boolean]]*(VLOOKUP(Table410[[#This Row],[RATE CONCAT]],Tables!I:N,6,0)),0)</f>
        <v/>
      </c>
      <c r="ET59" s="342">
        <f>Table410[[#This Row],[Nov_2027_F]]-Table410[[#This Row],[Nov_2027_A]]</f>
        <v/>
      </c>
      <c r="EU59" s="342">
        <f>IFERROR(Table410[[#This Row],[Dec_2027_Days_Forecast]]*Table410[[#This Row],[Cost Boolean]]*(VLOOKUP(Table410[[#This Row],[RATE CONCAT]],Tables!I:N,6,0)),0)</f>
        <v/>
      </c>
      <c r="EW59" s="342">
        <f>Table410[[#This Row],[Dec_2027_F]]-Table410[[#This Row],[Dec_2027_A]]</f>
        <v/>
      </c>
    </row>
    <row r="60" ht="15" customFormat="1" customHeight="1" s="13">
      <c r="Y60" s="338">
        <f>CONCATENATE(Table410[[#This Row],[JG]],Table410[[#This Row],[Country]],Table410[[#This Row],[Resource Provider]])</f>
        <v/>
      </c>
      <c r="Z60" s="338">
        <f>VLOOKUP(Table410[[#This Row],[RATE CONCAT]],Tables!I:N,5,0)</f>
        <v/>
      </c>
      <c r="AA60" s="52" t="n"/>
      <c r="AB60" s="127" t="n"/>
      <c r="AC60" s="127" t="n"/>
      <c r="AD60" s="127" t="n"/>
      <c r="AE60" s="127" t="n"/>
      <c r="AF60" s="127" t="n"/>
      <c r="AG60" s="127" t="n"/>
      <c r="AH60" s="127" t="n"/>
      <c r="AI60" s="127" t="n"/>
      <c r="AJ60" s="127" t="n"/>
      <c r="AK60" s="127" t="n"/>
      <c r="AL60" s="127" t="n"/>
      <c r="AM60" s="127" t="n"/>
      <c r="AN60" s="341">
        <f>IFERROR(AVERAGE(Table410[[#This Row],[Jan_2026_Days_Forecast]:[Dec_2026_Days_Forecast]]),0)/19</f>
        <v/>
      </c>
      <c r="AO60" s="341">
        <f>IFERROR(AVERAGE(Table410[[#This Row],[Jan_2026_Days_Actual]:[Dec_2026_Days_Actual]]),0)/19</f>
        <v/>
      </c>
      <c r="BB60" s="341">
        <f>IFERROR(AVERAGE(Table410[[#This Row],[Jan_2027_Days_Forecast]:[Dec_2027_Days_Forecast]]),0)</f>
        <v/>
      </c>
      <c r="BC60" s="127" t="n"/>
      <c r="BD60" s="127" t="n"/>
      <c r="BE60" s="127" t="n"/>
      <c r="BF60" s="127" t="n"/>
      <c r="BG60" s="127" t="n"/>
      <c r="BH60" s="127" t="n"/>
      <c r="BI60" s="127" t="n"/>
      <c r="BJ60" s="127" t="n"/>
      <c r="BK60" s="127" t="n"/>
      <c r="BL60" s="127" t="n"/>
      <c r="BM60" s="127" t="n"/>
      <c r="BN60" s="127" t="n"/>
      <c r="BO60" s="176" t="n"/>
      <c r="BP60" s="176" t="n"/>
      <c r="BQ60" s="338">
        <f>IFERROR(Table410[[#This Row],[Jan_2026_Days_Forecast]]*Table410[[#This Row],[Cost Boolean]]*(VLOOKUP(Table410[[#This Row],[RATE CONCAT]],Tables!I:N,5,0)),0)</f>
        <v/>
      </c>
      <c r="BR60" s="338">
        <f>IFERROR(Table410[[#This Row],[Jan_2026_Days_Actual]]*Table410[[#This Row],[Cost Boolean]]*(VLOOKUP(Table410[[#This Row],[RATE CONCAT]],Tables!I:N,5,0)),0)</f>
        <v/>
      </c>
      <c r="BS60" s="338">
        <f>Table410[[#This Row],[Jan_2026_F]]-Table410[[#This Row],[Jan_2026_A]]</f>
        <v/>
      </c>
      <c r="BU60" s="338">
        <f>IFERROR(Table410[[#This Row],[Feb_2026_Days_Forecast]]*Table410[[#This Row],[Cost Boolean]]*(VLOOKUP(Table410[[#This Row],[RATE CONCAT]],Tables!I:N,5,0)),0)</f>
        <v/>
      </c>
      <c r="BV60" s="338">
        <f>IFERROR(Table410[[#This Row],[Feb_2026_Days_Actual]]*Table410[[#This Row],[Cost Boolean]]*(VLOOKUP(Table410[[#This Row],[RATE CONCAT]],Tables!I:N,5,0)),0)</f>
        <v/>
      </c>
      <c r="BW60" s="338">
        <f>Table410[[#This Row],[Feb_2026_F]]-Table410[[#This Row],[Feb_2026_A]]</f>
        <v/>
      </c>
      <c r="BY60" s="338">
        <f>IFERROR(Table410[[#This Row],[Mar_2026_Days_Forecast]]*Table410[[#This Row],[Cost Boolean]]*(VLOOKUP(Table410[[#This Row],[RATE CONCAT]],Tables!I:N,5,0)),0)</f>
        <v/>
      </c>
      <c r="BZ60" s="338">
        <f>IFERROR(Table410[[#This Row],[Mar_2026_Days_Actual]]*Table410[[#This Row],[Cost Boolean]]*(VLOOKUP(Table410[[#This Row],[RATE CONCAT]],Tables!I:N,5,0)),0)</f>
        <v/>
      </c>
      <c r="CA60" s="338">
        <f>Table410[[#This Row],[Mar_2026_F]]-Table410[[#This Row],[Mar_2026_A]]</f>
        <v/>
      </c>
      <c r="CC60" s="338">
        <f>IFERROR(Table410[[#This Row],[Apr_2026_Days_Forecast]]*Table410[[#This Row],[Cost Boolean]]*(VLOOKUP(Table410[[#This Row],[RATE CONCAT]],Tables!I:N,5,0)),0)</f>
        <v/>
      </c>
      <c r="CD60" s="338">
        <f>IFERROR(Table410[[#This Row],[Apr_2026_Days_Actual]]*Table410[[#This Row],[Cost Boolean]]*(VLOOKUP(Table410[[#This Row],[RATE CONCAT]],Tables!I:N,5,0)),0)</f>
        <v/>
      </c>
      <c r="CE60" s="338">
        <f>Table410[[#This Row],[Apr_2026_F]]-Table410[[#This Row],[Apr_2026_A]]</f>
        <v/>
      </c>
      <c r="CG60" s="338">
        <f>IFERROR(Table410[[#This Row],[May_2026_Days_Forecast]] *Table410[[#This Row],[Cost Boolean]]*(VLOOKUP(Table410[[#This Row],[RATE CONCAT]],Tables!I:N,5,0)),0)</f>
        <v/>
      </c>
      <c r="CH60" s="338">
        <f>IFERROR(Table410[[#This Row],[May_2026_Days_Actual]]*Table410[[#This Row],[Cost Boolean]]*(VLOOKUP(Table410[[#This Row],[RATE CONCAT]],Tables!I:N,5,0)),0)</f>
        <v/>
      </c>
      <c r="CI60" s="338">
        <f>Table410[[#This Row],[May_2026_F]]-Table410[[#This Row],[May_2026_A]]</f>
        <v/>
      </c>
      <c r="CK60" s="338">
        <f>IFERROR(Table410[[#This Row],[Jun_2026_Days_Forecast]]*Table410[[#This Row],[Cost Boolean]]*(VLOOKUP(Table410[[#This Row],[RATE CONCAT]],Tables!I:N,5,0)),0)</f>
        <v/>
      </c>
      <c r="CL60" s="338">
        <f>IFERROR(Table410[[#This Row],[Jun_2026_Days_Actual]]*Table410[[#This Row],[Cost Boolean]]*(VLOOKUP(Table410[[#This Row],[RATE CONCAT]],Tables!I:N,5,0)),0)</f>
        <v/>
      </c>
      <c r="CM60" s="338">
        <f>Table410[[#This Row],[Jun_2026_F]]-Table410[[#This Row],[Jun_2026_A]]</f>
        <v/>
      </c>
      <c r="CO60" s="338">
        <f>IFERROR(Table410[[#This Row],[Jul_2026_Days_Forecast]]*Table410[[#This Row],[Cost Boolean]]*(VLOOKUP(Table410[[#This Row],[RATE CONCAT]],Tables!I:N,5,0)),0)</f>
        <v/>
      </c>
      <c r="CP60" s="338">
        <f>IFERROR(Table410[[#This Row],[Jul_2026_Days_Actual]]*Table410[[#This Row],[Cost Boolean]]*(VLOOKUP(Table410[[#This Row],[RATE CONCAT]],Tables!I:N,5,0)),0)</f>
        <v/>
      </c>
      <c r="CQ60" s="338">
        <f>Table410[[#This Row],[Jul_2026_F]]-Table410[[#This Row],[Jul_2026_A]]</f>
        <v/>
      </c>
      <c r="CS60" s="338">
        <f>IFERROR(Table410[[#This Row],[Aug_2026_Days_Forecast]]*Table410[[#This Row],[Cost Boolean]]*(VLOOKUP(Table410[[#This Row],[RATE CONCAT]],Tables!I:N,5,0)),0)</f>
        <v/>
      </c>
      <c r="CT60" s="338">
        <f>IFERROR(Table410[[#This Row],[Aug_2026_Days_Actual]]*Table410[[#This Row],[Cost Boolean]]*(VLOOKUP(Table410[[#This Row],[RATE CONCAT]],Tables!I:N,5,0)),0)</f>
        <v/>
      </c>
      <c r="CU60" s="338">
        <f>Table410[[#This Row],[Aug_2026_F]]-Table410[[#This Row],[Aug_2026_A]]</f>
        <v/>
      </c>
      <c r="CW60" s="338">
        <f>IFERROR(Table410[[#This Row],[Sep_2026_Days_Forecast]]*Table410[[#This Row],[Cost Boolean]]*(VLOOKUP(Table410[[#This Row],[RATE CONCAT]],Tables!I:N,5,0)),0)</f>
        <v/>
      </c>
      <c r="CX60" s="338">
        <f>IFERROR(Table410[[#This Row],[Sep_2026_Days_Actual]]*Table410[[#This Row],[Cost Boolean]]*(VLOOKUP(Table410[[#This Row],[RATE CONCAT]],Tables!I:N,5,0)),0)</f>
        <v/>
      </c>
      <c r="CY60" s="338">
        <f>Table410[[#This Row],[Sep_2026_F]]-Table410[[#This Row],[Sep_2026_A]]</f>
        <v/>
      </c>
      <c r="DA60" s="338">
        <f>IFERROR(Table410[[#This Row],[Oct_2026_Days_Forecast]]*Table410[[#This Row],[Cost Boolean]]*(VLOOKUP(Table410[[#This Row],[RATE CONCAT]],Tables!I:N,5,0)),0)</f>
        <v/>
      </c>
      <c r="DB60" s="338">
        <f>IFERROR(Table410[[#This Row],[Oct_2026_Days_Actual]]*Table410[[#This Row],[Cost Boolean]]*(VLOOKUP(Table410[[#This Row],[RATE CONCAT]],Tables!I:N,5,0)),0)</f>
        <v/>
      </c>
      <c r="DC60" s="338">
        <f>Table410[[#This Row],[Oct_2026_F]]-Table410[[#This Row],[Oct_2026_A]]</f>
        <v/>
      </c>
      <c r="DE60" s="338">
        <f>IFERROR(Table410[[#This Row],[Nov_2026_Days_Forecast]]*Table410[[#This Row],[Cost Boolean]]*(VLOOKUP(Table410[[#This Row],[RATE CONCAT]],Tables!I:N,5,0)),0)</f>
        <v/>
      </c>
      <c r="DF60" s="338">
        <f>IFERROR(Table410[[#This Row],[Nov_2026_Days_Actual]]*Table410[[#This Row],[Cost Boolean]]*(VLOOKUP(Table410[[#This Row],[RATE CONCAT]],Tables!I:N,5,0)),0)</f>
        <v/>
      </c>
      <c r="DG60" s="338">
        <f>Table410[[#This Row],[Nov_2026_F]]-Table410[[#This Row],[Nov_2026_A]]</f>
        <v/>
      </c>
      <c r="DI60" s="338">
        <f>IFERROR(Table410[[#This Row],[Dec_2026_Days_Forecast]]*Table410[[#This Row],[Cost Boolean]]*(VLOOKUP(Table410[[#This Row],[RATE CONCAT]],Tables!I:N,5,0)),0)</f>
        <v/>
      </c>
      <c r="DJ60" s="338">
        <f>IFERROR(Table410[[#This Row],[Dec_2026_Days_Actual]]*Table410[[#This Row],[Cost Boolean]]*(VLOOKUP(Table410[[#This Row],[RATE CONCAT]],Tables!I:N,5,0)),0)</f>
        <v/>
      </c>
      <c r="DK60" s="338">
        <f>Table410[[#This Row],[Dec_2026_F]]-Table410[[#This Row],[Dec_2026_A]]</f>
        <v/>
      </c>
      <c r="DN60" s="338">
        <f>IFERROR(Table410[[#This Row],[Jan_2027_Days_Forecast]]*Table410[[#This Row],[Cost Boolean]]*(VLOOKUP(Table410[[#This Row],[RATE CONCAT]],Tables!I:N,6,0)),0)</f>
        <v/>
      </c>
      <c r="DP60" s="338">
        <f>Table410[[#This Row],[Jan_2027_F]]-Table410[[#This Row],[Jan_2027_A]]</f>
        <v/>
      </c>
      <c r="DQ60" s="338">
        <f>IFERROR(Table410[[#This Row],[Feb_2027_Days_Forecast]]*Table410[[#This Row],[Cost Boolean]]*(VLOOKUP(Table410[[#This Row],[RATE CONCAT]],Tables!I:N,6,0)),0)</f>
        <v/>
      </c>
      <c r="DS60" s="338">
        <f>Table410[[#This Row],[Feb_2027_F]]-Table410[[#This Row],[Feb_2027_A]]</f>
        <v/>
      </c>
      <c r="DT60" s="338">
        <f>IFERROR(Table410[[#This Row],[Mar_2027_Days_Forecast]]*Table410[[#This Row],[Cost Boolean]]*(VLOOKUP(Table410[[#This Row],[RATE CONCAT]],Tables!I:N,6,0)),0)</f>
        <v/>
      </c>
      <c r="DV60" s="338">
        <f>Table410[[#This Row],[Mar_2027_F]]-Table410[[#This Row],[Mar_2027_A]]</f>
        <v/>
      </c>
      <c r="DW60" s="338">
        <f>IFERROR(Table410[[#This Row],[Apr_2027_Days_Forecast]]*Table410[[#This Row],[Cost Boolean]]*(VLOOKUP(Table410[[#This Row],[RATE CONCAT]],Tables!I:N,6,0)),0)</f>
        <v/>
      </c>
      <c r="DY60" s="338">
        <f>Table410[[#This Row],[Apr_2027_F]]-Table410[[#This Row],[Apr_2027_A]]</f>
        <v/>
      </c>
      <c r="DZ60" s="338">
        <f>IFERROR(Table410[[#This Row],[May_2027_Days_Forecast]]*Table410[[#This Row],[Cost Boolean]]*(VLOOKUP(Table410[[#This Row],[RATE CONCAT]],Tables!I:N,6,0)),0)</f>
        <v/>
      </c>
      <c r="EB60" s="338">
        <f>Table410[[#This Row],[May_2027_F]]-Table410[[#This Row],[May_2027_A]]</f>
        <v/>
      </c>
      <c r="EC60" s="338">
        <f>IFERROR(Table410[[#This Row],[Jun_2027_Days_Forecast]]*Table410[[#This Row],[Cost Boolean]]*(VLOOKUP(Table410[[#This Row],[RATE CONCAT]],Tables!I:N,6,0)),0)</f>
        <v/>
      </c>
      <c r="EE60" s="338">
        <f>Table410[[#This Row],[Jun_2027_F]]-Table410[[#This Row],[Jun_2027_A]]</f>
        <v/>
      </c>
      <c r="EF60" s="338">
        <f>IFERROR(Table410[[#This Row],[Jul_2027_Days_Forecast]]*Table410[[#This Row],[Cost Boolean]]*(VLOOKUP(Table410[[#This Row],[RATE CONCAT]],Tables!I:N,6,0)),0)</f>
        <v/>
      </c>
      <c r="EH60" s="338">
        <f>Table410[[#This Row],[Jul_2027_F]]-Table410[[#This Row],[Jul_2027_A]]</f>
        <v/>
      </c>
      <c r="EI60" s="338">
        <f>IFERROR(Table410[[#This Row],[Aug_2027_Days_Forecast]]*Table410[[#This Row],[Cost Boolean]]*(VLOOKUP(Table410[[#This Row],[RATE CONCAT]],Tables!I:N,6,0)),0)</f>
        <v/>
      </c>
      <c r="EK60" s="338">
        <f>Table410[[#This Row],[Aug_2027_F]]-Table410[[#This Row],[Aug_2027_A]]</f>
        <v/>
      </c>
      <c r="EL60" s="338">
        <f>IFERROR(Table410[[#This Row],[Sep_2027_Days_Forecast]]*Table410[[#This Row],[Cost Boolean]]*(VLOOKUP(Table410[[#This Row],[RATE CONCAT]],Tables!I:N,6,0)),0)</f>
        <v/>
      </c>
      <c r="EN60" s="338">
        <f>Table410[[#This Row],[Sep_2027_F]]-Table410[[#This Row],[Sep_2027_A]]</f>
        <v/>
      </c>
      <c r="EO60" s="338">
        <f>IFERROR(Table410[[#This Row],[Oct_2027_Days_Forecast]]*Table410[[#This Row],[Cost Boolean]]*(VLOOKUP(Table410[[#This Row],[RATE CONCAT]],Tables!I:N,6,0)),0)</f>
        <v/>
      </c>
      <c r="EQ60" s="338">
        <f>Table410[[#This Row],[Oct_2027_F]]-Table410[[#This Row],[Oct_2027_A]]</f>
        <v/>
      </c>
      <c r="ER60" s="338">
        <f>IFERROR(Table410[[#This Row],[Nov_2027_Days_Forecast]]*Table410[[#This Row],[Cost Boolean]]*(VLOOKUP(Table410[[#This Row],[RATE CONCAT]],Tables!I:N,6,0)),0)</f>
        <v/>
      </c>
      <c r="ET60" s="338">
        <f>Table410[[#This Row],[Nov_2027_F]]-Table410[[#This Row],[Nov_2027_A]]</f>
        <v/>
      </c>
      <c r="EU60" s="338">
        <f>IFERROR(Table410[[#This Row],[Dec_2027_Days_Forecast]]*Table410[[#This Row],[Cost Boolean]]*(VLOOKUP(Table410[[#This Row],[RATE CONCAT]],Tables!I:N,6,0)),0)</f>
        <v/>
      </c>
      <c r="EW60" s="338">
        <f>Table410[[#This Row],[Dec_2027_F]]-Table410[[#This Row],[Dec_2027_A]]</f>
        <v/>
      </c>
    </row>
    <row r="61" ht="15" customFormat="1" customHeight="1" s="13">
      <c r="Y61" s="342">
        <f>CONCATENATE(Table410[[#This Row],[JG]],Table410[[#This Row],[Country]],Table410[[#This Row],[Resource Provider]])</f>
        <v/>
      </c>
      <c r="Z61" s="342">
        <f>VLOOKUP(Table410[[#This Row],[RATE CONCAT]],Tables!I:N,5,0)</f>
        <v/>
      </c>
      <c r="AA61" s="52" t="n"/>
      <c r="AB61" s="127" t="n"/>
      <c r="AC61" s="127" t="n"/>
      <c r="AD61" s="127" t="n"/>
      <c r="AE61" s="127" t="n"/>
      <c r="AF61" s="127" t="n"/>
      <c r="AG61" s="127" t="n"/>
      <c r="AH61" s="127" t="n"/>
      <c r="AI61" s="127" t="n"/>
      <c r="AJ61" s="127" t="n"/>
      <c r="AK61" s="127" t="n"/>
      <c r="AL61" s="127" t="n"/>
      <c r="AM61" s="127" t="n"/>
      <c r="AN61" s="341">
        <f>IFERROR(AVERAGE(Table410[[#This Row],[Jan_2026_Days_Forecast]:[Dec_2026_Days_Forecast]]),0)/19</f>
        <v/>
      </c>
      <c r="AO61" s="341">
        <f>IFERROR(AVERAGE(Table410[[#This Row],[Jan_2026_Days_Actual]:[Dec_2026_Days_Actual]]),0)/19</f>
        <v/>
      </c>
      <c r="BB61" s="341">
        <f>IFERROR(AVERAGE(Table410[[#This Row],[Jan_2027_Days_Forecast]:[Dec_2027_Days_Forecast]]),0)</f>
        <v/>
      </c>
      <c r="BC61" s="129" t="n"/>
      <c r="BD61" s="129" t="n"/>
      <c r="BE61" s="129" t="n"/>
      <c r="BF61" s="129" t="n"/>
      <c r="BG61" s="129" t="n"/>
      <c r="BH61" s="129" t="n"/>
      <c r="BI61" s="129" t="n"/>
      <c r="BJ61" s="129" t="n"/>
      <c r="BK61" s="129" t="n"/>
      <c r="BL61" s="129" t="n"/>
      <c r="BM61" s="129" t="n"/>
      <c r="BN61" s="129" t="n"/>
      <c r="BO61" s="176" t="n"/>
      <c r="BP61" s="176" t="n"/>
      <c r="BQ61" s="342">
        <f>IFERROR(Table410[[#This Row],[Jan_2026_Days_Forecast]]*Table410[[#This Row],[Cost Boolean]]*(VLOOKUP(Table410[[#This Row],[RATE CONCAT]],Tables!I:N,5,0)),0)</f>
        <v/>
      </c>
      <c r="BR61" s="342">
        <f>IFERROR(Table410[[#This Row],[Jan_2026_Days_Actual]]*Table410[[#This Row],[Cost Boolean]]*(VLOOKUP(Table410[[#This Row],[RATE CONCAT]],Tables!I:N,5,0)),0)</f>
        <v/>
      </c>
      <c r="BS61" s="342">
        <f>Table410[[#This Row],[Jan_2026_F]]-Table410[[#This Row],[Jan_2026_A]]</f>
        <v/>
      </c>
      <c r="BU61" s="342">
        <f>IFERROR(Table410[[#This Row],[Feb_2026_Days_Forecast]]*Table410[[#This Row],[Cost Boolean]]*(VLOOKUP(Table410[[#This Row],[RATE CONCAT]],Tables!I:N,5,0)),0)</f>
        <v/>
      </c>
      <c r="BV61" s="342">
        <f>IFERROR(Table410[[#This Row],[Feb_2026_Days_Actual]]*Table410[[#This Row],[Cost Boolean]]*(VLOOKUP(Table410[[#This Row],[RATE CONCAT]],Tables!I:N,5,0)),0)</f>
        <v/>
      </c>
      <c r="BW61" s="342">
        <f>Table410[[#This Row],[Feb_2026_F]]-Table410[[#This Row],[Feb_2026_A]]</f>
        <v/>
      </c>
      <c r="BY61" s="342">
        <f>IFERROR(Table410[[#This Row],[Mar_2026_Days_Forecast]]*Table410[[#This Row],[Cost Boolean]]*(VLOOKUP(Table410[[#This Row],[RATE CONCAT]],Tables!I:N,5,0)),0)</f>
        <v/>
      </c>
      <c r="BZ61" s="342">
        <f>IFERROR(Table410[[#This Row],[Mar_2026_Days_Actual]]*Table410[[#This Row],[Cost Boolean]]*(VLOOKUP(Table410[[#This Row],[RATE CONCAT]],Tables!I:N,5,0)),0)</f>
        <v/>
      </c>
      <c r="CA61" s="342">
        <f>Table410[[#This Row],[Mar_2026_F]]-Table410[[#This Row],[Mar_2026_A]]</f>
        <v/>
      </c>
      <c r="CC61" s="342">
        <f>IFERROR(Table410[[#This Row],[Apr_2026_Days_Forecast]]*Table410[[#This Row],[Cost Boolean]]*(VLOOKUP(Table410[[#This Row],[RATE CONCAT]],Tables!I:N,5,0)),0)</f>
        <v/>
      </c>
      <c r="CD61" s="342">
        <f>IFERROR(Table410[[#This Row],[Apr_2026_Days_Actual]]*Table410[[#This Row],[Cost Boolean]]*(VLOOKUP(Table410[[#This Row],[RATE CONCAT]],Tables!I:N,5,0)),0)</f>
        <v/>
      </c>
      <c r="CE61" s="342">
        <f>Table410[[#This Row],[Apr_2026_F]]-Table410[[#This Row],[Apr_2026_A]]</f>
        <v/>
      </c>
      <c r="CG61" s="342">
        <f>IFERROR(Table410[[#This Row],[May_2026_Days_Forecast]] *Table410[[#This Row],[Cost Boolean]]*(VLOOKUP(Table410[[#This Row],[RATE CONCAT]],Tables!I:N,5,0)),0)</f>
        <v/>
      </c>
      <c r="CH61" s="342">
        <f>IFERROR(Table410[[#This Row],[May_2026_Days_Actual]]*Table410[[#This Row],[Cost Boolean]]*(VLOOKUP(Table410[[#This Row],[RATE CONCAT]],Tables!I:N,5,0)),0)</f>
        <v/>
      </c>
      <c r="CI61" s="342">
        <f>Table410[[#This Row],[May_2026_F]]-Table410[[#This Row],[May_2026_A]]</f>
        <v/>
      </c>
      <c r="CK61" s="342">
        <f>IFERROR(Table410[[#This Row],[Jun_2026_Days_Forecast]]*Table410[[#This Row],[Cost Boolean]]*(VLOOKUP(Table410[[#This Row],[RATE CONCAT]],Tables!I:N,5,0)),0)</f>
        <v/>
      </c>
      <c r="CL61" s="342">
        <f>IFERROR(Table410[[#This Row],[Jun_2026_Days_Actual]]*Table410[[#This Row],[Cost Boolean]]*(VLOOKUP(Table410[[#This Row],[RATE CONCAT]],Tables!I:N,5,0)),0)</f>
        <v/>
      </c>
      <c r="CM61" s="342">
        <f>Table410[[#This Row],[Jun_2026_F]]-Table410[[#This Row],[Jun_2026_A]]</f>
        <v/>
      </c>
      <c r="CO61" s="342">
        <f>IFERROR(Table410[[#This Row],[Jul_2026_Days_Forecast]]*Table410[[#This Row],[Cost Boolean]]*(VLOOKUP(Table410[[#This Row],[RATE CONCAT]],Tables!I:N,5,0)),0)</f>
        <v/>
      </c>
      <c r="CP61" s="342">
        <f>IFERROR(Table410[[#This Row],[Jul_2026_Days_Actual]]*Table410[[#This Row],[Cost Boolean]]*(VLOOKUP(Table410[[#This Row],[RATE CONCAT]],Tables!I:N,5,0)),0)</f>
        <v/>
      </c>
      <c r="CQ61" s="342">
        <f>Table410[[#This Row],[Jul_2026_F]]-Table410[[#This Row],[Jul_2026_A]]</f>
        <v/>
      </c>
      <c r="CS61" s="342">
        <f>IFERROR(Table410[[#This Row],[Aug_2026_Days_Forecast]]*Table410[[#This Row],[Cost Boolean]]*(VLOOKUP(Table410[[#This Row],[RATE CONCAT]],Tables!I:N,5,0)),0)</f>
        <v/>
      </c>
      <c r="CT61" s="342">
        <f>IFERROR(Table410[[#This Row],[Aug_2026_Days_Actual]]*Table410[[#This Row],[Cost Boolean]]*(VLOOKUP(Table410[[#This Row],[RATE CONCAT]],Tables!I:N,5,0)),0)</f>
        <v/>
      </c>
      <c r="CU61" s="342">
        <f>Table410[[#This Row],[Aug_2026_F]]-Table410[[#This Row],[Aug_2026_A]]</f>
        <v/>
      </c>
      <c r="CW61" s="342">
        <f>IFERROR(Table410[[#This Row],[Sep_2026_Days_Forecast]]*Table410[[#This Row],[Cost Boolean]]*(VLOOKUP(Table410[[#This Row],[RATE CONCAT]],Tables!I:N,5,0)),0)</f>
        <v/>
      </c>
      <c r="CX61" s="342">
        <f>IFERROR(Table410[[#This Row],[Sep_2026_Days_Actual]]*Table410[[#This Row],[Cost Boolean]]*(VLOOKUP(Table410[[#This Row],[RATE CONCAT]],Tables!I:N,5,0)),0)</f>
        <v/>
      </c>
      <c r="CY61" s="342">
        <f>Table410[[#This Row],[Sep_2026_F]]-Table410[[#This Row],[Sep_2026_A]]</f>
        <v/>
      </c>
      <c r="DA61" s="342">
        <f>IFERROR(Table410[[#This Row],[Oct_2026_Days_Forecast]]*Table410[[#This Row],[Cost Boolean]]*(VLOOKUP(Table410[[#This Row],[RATE CONCAT]],Tables!I:N,5,0)),0)</f>
        <v/>
      </c>
      <c r="DB61" s="342">
        <f>IFERROR(Table410[[#This Row],[Oct_2026_Days_Actual]]*Table410[[#This Row],[Cost Boolean]]*(VLOOKUP(Table410[[#This Row],[RATE CONCAT]],Tables!I:N,5,0)),0)</f>
        <v/>
      </c>
      <c r="DC61" s="342">
        <f>Table410[[#This Row],[Oct_2026_F]]-Table410[[#This Row],[Oct_2026_A]]</f>
        <v/>
      </c>
      <c r="DE61" s="342">
        <f>IFERROR(Table410[[#This Row],[Nov_2026_Days_Forecast]]*Table410[[#This Row],[Cost Boolean]]*(VLOOKUP(Table410[[#This Row],[RATE CONCAT]],Tables!I:N,5,0)),0)</f>
        <v/>
      </c>
      <c r="DF61" s="342">
        <f>IFERROR(Table410[[#This Row],[Nov_2026_Days_Actual]]*Table410[[#This Row],[Cost Boolean]]*(VLOOKUP(Table410[[#This Row],[RATE CONCAT]],Tables!I:N,5,0)),0)</f>
        <v/>
      </c>
      <c r="DG61" s="342">
        <f>Table410[[#This Row],[Nov_2026_F]]-Table410[[#This Row],[Nov_2026_A]]</f>
        <v/>
      </c>
      <c r="DI61" s="342">
        <f>IFERROR(Table410[[#This Row],[Dec_2026_Days_Forecast]]*Table410[[#This Row],[Cost Boolean]]*(VLOOKUP(Table410[[#This Row],[RATE CONCAT]],Tables!I:N,5,0)),0)</f>
        <v/>
      </c>
      <c r="DJ61" s="342">
        <f>IFERROR(Table410[[#This Row],[Dec_2026_Days_Actual]]*Table410[[#This Row],[Cost Boolean]]*(VLOOKUP(Table410[[#This Row],[RATE CONCAT]],Tables!I:N,5,0)),0)</f>
        <v/>
      </c>
      <c r="DK61" s="342">
        <f>Table410[[#This Row],[Dec_2026_F]]-Table410[[#This Row],[Dec_2026_A]]</f>
        <v/>
      </c>
      <c r="DN61" s="342">
        <f>IFERROR(Table410[[#This Row],[Jan_2027_Days_Forecast]]*Table410[[#This Row],[Cost Boolean]]*(VLOOKUP(Table410[[#This Row],[RATE CONCAT]],Tables!I:N,6,0)),0)</f>
        <v/>
      </c>
      <c r="DP61" s="342">
        <f>Table410[[#This Row],[Jan_2027_F]]-Table410[[#This Row],[Jan_2027_A]]</f>
        <v/>
      </c>
      <c r="DQ61" s="342">
        <f>IFERROR(Table410[[#This Row],[Feb_2027_Days_Forecast]]*Table410[[#This Row],[Cost Boolean]]*(VLOOKUP(Table410[[#This Row],[RATE CONCAT]],Tables!I:N,6,0)),0)</f>
        <v/>
      </c>
      <c r="DS61" s="342">
        <f>Table410[[#This Row],[Feb_2027_F]]-Table410[[#This Row],[Feb_2027_A]]</f>
        <v/>
      </c>
      <c r="DT61" s="342">
        <f>IFERROR(Table410[[#This Row],[Mar_2027_Days_Forecast]]*Table410[[#This Row],[Cost Boolean]]*(VLOOKUP(Table410[[#This Row],[RATE CONCAT]],Tables!I:N,6,0)),0)</f>
        <v/>
      </c>
      <c r="DV61" s="342">
        <f>Table410[[#This Row],[Mar_2027_F]]-Table410[[#This Row],[Mar_2027_A]]</f>
        <v/>
      </c>
      <c r="DW61" s="342">
        <f>IFERROR(Table410[[#This Row],[Apr_2027_Days_Forecast]]*Table410[[#This Row],[Cost Boolean]]*(VLOOKUP(Table410[[#This Row],[RATE CONCAT]],Tables!I:N,6,0)),0)</f>
        <v/>
      </c>
      <c r="DY61" s="342">
        <f>Table410[[#This Row],[Apr_2027_F]]-Table410[[#This Row],[Apr_2027_A]]</f>
        <v/>
      </c>
      <c r="DZ61" s="342">
        <f>IFERROR(Table410[[#This Row],[May_2027_Days_Forecast]]*Table410[[#This Row],[Cost Boolean]]*(VLOOKUP(Table410[[#This Row],[RATE CONCAT]],Tables!I:N,6,0)),0)</f>
        <v/>
      </c>
      <c r="EB61" s="342">
        <f>Table410[[#This Row],[May_2027_F]]-Table410[[#This Row],[May_2027_A]]</f>
        <v/>
      </c>
      <c r="EC61" s="342">
        <f>IFERROR(Table410[[#This Row],[Jun_2027_Days_Forecast]]*Table410[[#This Row],[Cost Boolean]]*(VLOOKUP(Table410[[#This Row],[RATE CONCAT]],Tables!I:N,6,0)),0)</f>
        <v/>
      </c>
      <c r="EE61" s="342">
        <f>Table410[[#This Row],[Jun_2027_F]]-Table410[[#This Row],[Jun_2027_A]]</f>
        <v/>
      </c>
      <c r="EF61" s="342">
        <f>IFERROR(Table410[[#This Row],[Jul_2027_Days_Forecast]]*Table410[[#This Row],[Cost Boolean]]*(VLOOKUP(Table410[[#This Row],[RATE CONCAT]],Tables!I:N,6,0)),0)</f>
        <v/>
      </c>
      <c r="EH61" s="342">
        <f>Table410[[#This Row],[Jul_2027_F]]-Table410[[#This Row],[Jul_2027_A]]</f>
        <v/>
      </c>
      <c r="EI61" s="342">
        <f>IFERROR(Table410[[#This Row],[Aug_2027_Days_Forecast]]*Table410[[#This Row],[Cost Boolean]]*(VLOOKUP(Table410[[#This Row],[RATE CONCAT]],Tables!I:N,6,0)),0)</f>
        <v/>
      </c>
      <c r="EK61" s="342">
        <f>Table410[[#This Row],[Aug_2027_F]]-Table410[[#This Row],[Aug_2027_A]]</f>
        <v/>
      </c>
      <c r="EL61" s="342">
        <f>IFERROR(Table410[[#This Row],[Sep_2027_Days_Forecast]]*Table410[[#This Row],[Cost Boolean]]*(VLOOKUP(Table410[[#This Row],[RATE CONCAT]],Tables!I:N,6,0)),0)</f>
        <v/>
      </c>
      <c r="EN61" s="342">
        <f>Table410[[#This Row],[Sep_2027_F]]-Table410[[#This Row],[Sep_2027_A]]</f>
        <v/>
      </c>
      <c r="EO61" s="342">
        <f>IFERROR(Table410[[#This Row],[Oct_2027_Days_Forecast]]*Table410[[#This Row],[Cost Boolean]]*(VLOOKUP(Table410[[#This Row],[RATE CONCAT]],Tables!I:N,6,0)),0)</f>
        <v/>
      </c>
      <c r="EQ61" s="342">
        <f>Table410[[#This Row],[Oct_2027_F]]-Table410[[#This Row],[Oct_2027_A]]</f>
        <v/>
      </c>
      <c r="ER61" s="342">
        <f>IFERROR(Table410[[#This Row],[Nov_2027_Days_Forecast]]*Table410[[#This Row],[Cost Boolean]]*(VLOOKUP(Table410[[#This Row],[RATE CONCAT]],Tables!I:N,6,0)),0)</f>
        <v/>
      </c>
      <c r="ET61" s="342">
        <f>Table410[[#This Row],[Nov_2027_F]]-Table410[[#This Row],[Nov_2027_A]]</f>
        <v/>
      </c>
      <c r="EU61" s="342">
        <f>IFERROR(Table410[[#This Row],[Dec_2027_Days_Forecast]]*Table410[[#This Row],[Cost Boolean]]*(VLOOKUP(Table410[[#This Row],[RATE CONCAT]],Tables!I:N,6,0)),0)</f>
        <v/>
      </c>
      <c r="EW61" s="342">
        <f>Table410[[#This Row],[Dec_2027_F]]-Table410[[#This Row],[Dec_2027_A]]</f>
        <v/>
      </c>
    </row>
    <row r="62" ht="15" customFormat="1" customHeight="1" s="13">
      <c r="Y62" s="338">
        <f>CONCATENATE(Table410[[#This Row],[JG]],Table410[[#This Row],[Country]],Table410[[#This Row],[Resource Provider]])</f>
        <v/>
      </c>
      <c r="Z62" s="338">
        <f>VLOOKUP(Table410[[#This Row],[RATE CONCAT]],Tables!I:N,5,0)</f>
        <v/>
      </c>
      <c r="AA62" s="52" t="n"/>
      <c r="AB62" s="127" t="n"/>
      <c r="AC62" s="127" t="n"/>
      <c r="AD62" s="127" t="n"/>
      <c r="AE62" s="127" t="n"/>
      <c r="AF62" s="127" t="n"/>
      <c r="AG62" s="127" t="n"/>
      <c r="AH62" s="127" t="n"/>
      <c r="AI62" s="127" t="n"/>
      <c r="AJ62" s="127" t="n"/>
      <c r="AK62" s="127" t="n"/>
      <c r="AL62" s="127" t="n"/>
      <c r="AM62" s="127" t="n"/>
      <c r="AN62" s="341">
        <f>IFERROR(AVERAGE(Table410[[#This Row],[Jan_2026_Days_Forecast]:[Dec_2026_Days_Forecast]]),0)/19</f>
        <v/>
      </c>
      <c r="AO62" s="341">
        <f>IFERROR(AVERAGE(Table410[[#This Row],[Jan_2026_Days_Actual]:[Dec_2026_Days_Actual]]),0)/19</f>
        <v/>
      </c>
      <c r="BB62" s="341">
        <f>IFERROR(AVERAGE(Table410[[#This Row],[Jan_2027_Days_Forecast]:[Dec_2027_Days_Forecast]]),0)</f>
        <v/>
      </c>
      <c r="BC62" s="127" t="n"/>
      <c r="BD62" s="127" t="n"/>
      <c r="BE62" s="127" t="n"/>
      <c r="BF62" s="127" t="n"/>
      <c r="BG62" s="127" t="n"/>
      <c r="BH62" s="127" t="n"/>
      <c r="BI62" s="127" t="n"/>
      <c r="BJ62" s="127" t="n"/>
      <c r="BK62" s="127" t="n"/>
      <c r="BL62" s="127" t="n"/>
      <c r="BM62" s="127" t="n"/>
      <c r="BN62" s="127" t="n"/>
      <c r="BO62" s="176" t="n"/>
      <c r="BP62" s="176" t="n"/>
      <c r="BQ62" s="338">
        <f>IFERROR(Table410[[#This Row],[Jan_2026_Days_Forecast]]*Table410[[#This Row],[Cost Boolean]]*(VLOOKUP(Table410[[#This Row],[RATE CONCAT]],Tables!I:N,5,0)),0)</f>
        <v/>
      </c>
      <c r="BR62" s="338">
        <f>IFERROR(Table410[[#This Row],[Jan_2026_Days_Actual]]*Table410[[#This Row],[Cost Boolean]]*(VLOOKUP(Table410[[#This Row],[RATE CONCAT]],Tables!I:N,5,0)),0)</f>
        <v/>
      </c>
      <c r="BS62" s="338">
        <f>Table410[[#This Row],[Jan_2026_F]]-Table410[[#This Row],[Jan_2026_A]]</f>
        <v/>
      </c>
      <c r="BU62" s="338">
        <f>IFERROR(Table410[[#This Row],[Feb_2026_Days_Forecast]]*Table410[[#This Row],[Cost Boolean]]*(VLOOKUP(Table410[[#This Row],[RATE CONCAT]],Tables!I:N,5,0)),0)</f>
        <v/>
      </c>
      <c r="BV62" s="338">
        <f>IFERROR(Table410[[#This Row],[Feb_2026_Days_Actual]]*Table410[[#This Row],[Cost Boolean]]*(VLOOKUP(Table410[[#This Row],[RATE CONCAT]],Tables!I:N,5,0)),0)</f>
        <v/>
      </c>
      <c r="BW62" s="338">
        <f>Table410[[#This Row],[Feb_2026_F]]-Table410[[#This Row],[Feb_2026_A]]</f>
        <v/>
      </c>
      <c r="BY62" s="338">
        <f>IFERROR(Table410[[#This Row],[Mar_2026_Days_Forecast]]*Table410[[#This Row],[Cost Boolean]]*(VLOOKUP(Table410[[#This Row],[RATE CONCAT]],Tables!I:N,5,0)),0)</f>
        <v/>
      </c>
      <c r="BZ62" s="338">
        <f>IFERROR(Table410[[#This Row],[Mar_2026_Days_Actual]]*Table410[[#This Row],[Cost Boolean]]*(VLOOKUP(Table410[[#This Row],[RATE CONCAT]],Tables!I:N,5,0)),0)</f>
        <v/>
      </c>
      <c r="CA62" s="338">
        <f>Table410[[#This Row],[Mar_2026_F]]-Table410[[#This Row],[Mar_2026_A]]</f>
        <v/>
      </c>
      <c r="CC62" s="338">
        <f>IFERROR(Table410[[#This Row],[Apr_2026_Days_Forecast]]*Table410[[#This Row],[Cost Boolean]]*(VLOOKUP(Table410[[#This Row],[RATE CONCAT]],Tables!I:N,5,0)),0)</f>
        <v/>
      </c>
      <c r="CD62" s="338">
        <f>IFERROR(Table410[[#This Row],[Apr_2026_Days_Actual]]*Table410[[#This Row],[Cost Boolean]]*(VLOOKUP(Table410[[#This Row],[RATE CONCAT]],Tables!I:N,5,0)),0)</f>
        <v/>
      </c>
      <c r="CE62" s="338">
        <f>Table410[[#This Row],[Apr_2026_F]]-Table410[[#This Row],[Apr_2026_A]]</f>
        <v/>
      </c>
      <c r="CG62" s="338">
        <f>IFERROR(Table410[[#This Row],[May_2026_Days_Forecast]] *Table410[[#This Row],[Cost Boolean]]*(VLOOKUP(Table410[[#This Row],[RATE CONCAT]],Tables!I:N,5,0)),0)</f>
        <v/>
      </c>
      <c r="CH62" s="338">
        <f>IFERROR(Table410[[#This Row],[May_2026_Days_Actual]]*Table410[[#This Row],[Cost Boolean]]*(VLOOKUP(Table410[[#This Row],[RATE CONCAT]],Tables!I:N,5,0)),0)</f>
        <v/>
      </c>
      <c r="CI62" s="338">
        <f>Table410[[#This Row],[May_2026_F]]-Table410[[#This Row],[May_2026_A]]</f>
        <v/>
      </c>
      <c r="CK62" s="338">
        <f>IFERROR(Table410[[#This Row],[Jun_2026_Days_Forecast]]*Table410[[#This Row],[Cost Boolean]]*(VLOOKUP(Table410[[#This Row],[RATE CONCAT]],Tables!I:N,5,0)),0)</f>
        <v/>
      </c>
      <c r="CL62" s="338">
        <f>IFERROR(Table410[[#This Row],[Jun_2026_Days_Actual]]*Table410[[#This Row],[Cost Boolean]]*(VLOOKUP(Table410[[#This Row],[RATE CONCAT]],Tables!I:N,5,0)),0)</f>
        <v/>
      </c>
      <c r="CM62" s="338">
        <f>Table410[[#This Row],[Jun_2026_F]]-Table410[[#This Row],[Jun_2026_A]]</f>
        <v/>
      </c>
      <c r="CO62" s="338">
        <f>IFERROR(Table410[[#This Row],[Jul_2026_Days_Forecast]]*Table410[[#This Row],[Cost Boolean]]*(VLOOKUP(Table410[[#This Row],[RATE CONCAT]],Tables!I:N,5,0)),0)</f>
        <v/>
      </c>
      <c r="CP62" s="338">
        <f>IFERROR(Table410[[#This Row],[Jul_2026_Days_Actual]]*Table410[[#This Row],[Cost Boolean]]*(VLOOKUP(Table410[[#This Row],[RATE CONCAT]],Tables!I:N,5,0)),0)</f>
        <v/>
      </c>
      <c r="CQ62" s="338">
        <f>Table410[[#This Row],[Jul_2026_F]]-Table410[[#This Row],[Jul_2026_A]]</f>
        <v/>
      </c>
      <c r="CS62" s="338">
        <f>IFERROR(Table410[[#This Row],[Aug_2026_Days_Forecast]]*Table410[[#This Row],[Cost Boolean]]*(VLOOKUP(Table410[[#This Row],[RATE CONCAT]],Tables!I:N,5,0)),0)</f>
        <v/>
      </c>
      <c r="CT62" s="338">
        <f>IFERROR(Table410[[#This Row],[Aug_2026_Days_Actual]]*Table410[[#This Row],[Cost Boolean]]*(VLOOKUP(Table410[[#This Row],[RATE CONCAT]],Tables!I:N,5,0)),0)</f>
        <v/>
      </c>
      <c r="CU62" s="338">
        <f>Table410[[#This Row],[Aug_2026_F]]-Table410[[#This Row],[Aug_2026_A]]</f>
        <v/>
      </c>
      <c r="CW62" s="338">
        <f>IFERROR(Table410[[#This Row],[Sep_2026_Days_Forecast]]*Table410[[#This Row],[Cost Boolean]]*(VLOOKUP(Table410[[#This Row],[RATE CONCAT]],Tables!I:N,5,0)),0)</f>
        <v/>
      </c>
      <c r="CX62" s="338">
        <f>IFERROR(Table410[[#This Row],[Sep_2026_Days_Actual]]*Table410[[#This Row],[Cost Boolean]]*(VLOOKUP(Table410[[#This Row],[RATE CONCAT]],Tables!I:N,5,0)),0)</f>
        <v/>
      </c>
      <c r="CY62" s="338">
        <f>Table410[[#This Row],[Sep_2026_F]]-Table410[[#This Row],[Sep_2026_A]]</f>
        <v/>
      </c>
      <c r="DA62" s="338">
        <f>IFERROR(Table410[[#This Row],[Oct_2026_Days_Forecast]]*Table410[[#This Row],[Cost Boolean]]*(VLOOKUP(Table410[[#This Row],[RATE CONCAT]],Tables!I:N,5,0)),0)</f>
        <v/>
      </c>
      <c r="DB62" s="338">
        <f>IFERROR(Table410[[#This Row],[Oct_2026_Days_Actual]]*Table410[[#This Row],[Cost Boolean]]*(VLOOKUP(Table410[[#This Row],[RATE CONCAT]],Tables!I:N,5,0)),0)</f>
        <v/>
      </c>
      <c r="DC62" s="338">
        <f>Table410[[#This Row],[Oct_2026_F]]-Table410[[#This Row],[Oct_2026_A]]</f>
        <v/>
      </c>
      <c r="DE62" s="338">
        <f>IFERROR(Table410[[#This Row],[Nov_2026_Days_Forecast]]*Table410[[#This Row],[Cost Boolean]]*(VLOOKUP(Table410[[#This Row],[RATE CONCAT]],Tables!I:N,5,0)),0)</f>
        <v/>
      </c>
      <c r="DF62" s="338">
        <f>IFERROR(Table410[[#This Row],[Nov_2026_Days_Actual]]*Table410[[#This Row],[Cost Boolean]]*(VLOOKUP(Table410[[#This Row],[RATE CONCAT]],Tables!I:N,5,0)),0)</f>
        <v/>
      </c>
      <c r="DG62" s="338">
        <f>Table410[[#This Row],[Nov_2026_F]]-Table410[[#This Row],[Nov_2026_A]]</f>
        <v/>
      </c>
      <c r="DI62" s="338">
        <f>IFERROR(Table410[[#This Row],[Dec_2026_Days_Forecast]]*Table410[[#This Row],[Cost Boolean]]*(VLOOKUP(Table410[[#This Row],[RATE CONCAT]],Tables!I:N,5,0)),0)</f>
        <v/>
      </c>
      <c r="DJ62" s="338">
        <f>IFERROR(Table410[[#This Row],[Dec_2026_Days_Actual]]*Table410[[#This Row],[Cost Boolean]]*(VLOOKUP(Table410[[#This Row],[RATE CONCAT]],Tables!I:N,5,0)),0)</f>
        <v/>
      </c>
      <c r="DK62" s="338">
        <f>Table410[[#This Row],[Dec_2026_F]]-Table410[[#This Row],[Dec_2026_A]]</f>
        <v/>
      </c>
      <c r="DN62" s="338">
        <f>IFERROR(Table410[[#This Row],[Jan_2027_Days_Forecast]]*Table410[[#This Row],[Cost Boolean]]*(VLOOKUP(Table410[[#This Row],[RATE CONCAT]],Tables!I:N,6,0)),0)</f>
        <v/>
      </c>
      <c r="DP62" s="338">
        <f>Table410[[#This Row],[Jan_2027_F]]-Table410[[#This Row],[Jan_2027_A]]</f>
        <v/>
      </c>
      <c r="DQ62" s="338">
        <f>IFERROR(Table410[[#This Row],[Feb_2027_Days_Forecast]]*Table410[[#This Row],[Cost Boolean]]*(VLOOKUP(Table410[[#This Row],[RATE CONCAT]],Tables!I:N,6,0)),0)</f>
        <v/>
      </c>
      <c r="DS62" s="338">
        <f>Table410[[#This Row],[Feb_2027_F]]-Table410[[#This Row],[Feb_2027_A]]</f>
        <v/>
      </c>
      <c r="DT62" s="338">
        <f>IFERROR(Table410[[#This Row],[Mar_2027_Days_Forecast]]*Table410[[#This Row],[Cost Boolean]]*(VLOOKUP(Table410[[#This Row],[RATE CONCAT]],Tables!I:N,6,0)),0)</f>
        <v/>
      </c>
      <c r="DV62" s="338">
        <f>Table410[[#This Row],[Mar_2027_F]]-Table410[[#This Row],[Mar_2027_A]]</f>
        <v/>
      </c>
      <c r="DW62" s="338">
        <f>IFERROR(Table410[[#This Row],[Apr_2027_Days_Forecast]]*Table410[[#This Row],[Cost Boolean]]*(VLOOKUP(Table410[[#This Row],[RATE CONCAT]],Tables!I:N,6,0)),0)</f>
        <v/>
      </c>
      <c r="DY62" s="338">
        <f>Table410[[#This Row],[Apr_2027_F]]-Table410[[#This Row],[Apr_2027_A]]</f>
        <v/>
      </c>
      <c r="DZ62" s="338">
        <f>IFERROR(Table410[[#This Row],[May_2027_Days_Forecast]]*Table410[[#This Row],[Cost Boolean]]*(VLOOKUP(Table410[[#This Row],[RATE CONCAT]],Tables!I:N,6,0)),0)</f>
        <v/>
      </c>
      <c r="EB62" s="338">
        <f>Table410[[#This Row],[May_2027_F]]-Table410[[#This Row],[May_2027_A]]</f>
        <v/>
      </c>
      <c r="EC62" s="338">
        <f>IFERROR(Table410[[#This Row],[Jun_2027_Days_Forecast]]*Table410[[#This Row],[Cost Boolean]]*(VLOOKUP(Table410[[#This Row],[RATE CONCAT]],Tables!I:N,6,0)),0)</f>
        <v/>
      </c>
      <c r="EE62" s="338">
        <f>Table410[[#This Row],[Jun_2027_F]]-Table410[[#This Row],[Jun_2027_A]]</f>
        <v/>
      </c>
      <c r="EF62" s="338">
        <f>IFERROR(Table410[[#This Row],[Jul_2027_Days_Forecast]]*Table410[[#This Row],[Cost Boolean]]*(VLOOKUP(Table410[[#This Row],[RATE CONCAT]],Tables!I:N,6,0)),0)</f>
        <v/>
      </c>
      <c r="EH62" s="338">
        <f>Table410[[#This Row],[Jul_2027_F]]-Table410[[#This Row],[Jul_2027_A]]</f>
        <v/>
      </c>
      <c r="EI62" s="338">
        <f>IFERROR(Table410[[#This Row],[Aug_2027_Days_Forecast]]*Table410[[#This Row],[Cost Boolean]]*(VLOOKUP(Table410[[#This Row],[RATE CONCAT]],Tables!I:N,6,0)),0)</f>
        <v/>
      </c>
      <c r="EK62" s="338">
        <f>Table410[[#This Row],[Aug_2027_F]]-Table410[[#This Row],[Aug_2027_A]]</f>
        <v/>
      </c>
      <c r="EL62" s="338">
        <f>IFERROR(Table410[[#This Row],[Sep_2027_Days_Forecast]]*Table410[[#This Row],[Cost Boolean]]*(VLOOKUP(Table410[[#This Row],[RATE CONCAT]],Tables!I:N,6,0)),0)</f>
        <v/>
      </c>
      <c r="EN62" s="338">
        <f>Table410[[#This Row],[Sep_2027_F]]-Table410[[#This Row],[Sep_2027_A]]</f>
        <v/>
      </c>
      <c r="EO62" s="338">
        <f>IFERROR(Table410[[#This Row],[Oct_2027_Days_Forecast]]*Table410[[#This Row],[Cost Boolean]]*(VLOOKUP(Table410[[#This Row],[RATE CONCAT]],Tables!I:N,6,0)),0)</f>
        <v/>
      </c>
      <c r="EQ62" s="338">
        <f>Table410[[#This Row],[Oct_2027_F]]-Table410[[#This Row],[Oct_2027_A]]</f>
        <v/>
      </c>
      <c r="ER62" s="338">
        <f>IFERROR(Table410[[#This Row],[Nov_2027_Days_Forecast]]*Table410[[#This Row],[Cost Boolean]]*(VLOOKUP(Table410[[#This Row],[RATE CONCAT]],Tables!I:N,6,0)),0)</f>
        <v/>
      </c>
      <c r="ET62" s="338">
        <f>Table410[[#This Row],[Nov_2027_F]]-Table410[[#This Row],[Nov_2027_A]]</f>
        <v/>
      </c>
      <c r="EU62" s="338">
        <f>IFERROR(Table410[[#This Row],[Dec_2027_Days_Forecast]]*Table410[[#This Row],[Cost Boolean]]*(VLOOKUP(Table410[[#This Row],[RATE CONCAT]],Tables!I:N,6,0)),0)</f>
        <v/>
      </c>
      <c r="EW62" s="338">
        <f>Table410[[#This Row],[Dec_2027_F]]-Table410[[#This Row],[Dec_2027_A]]</f>
        <v/>
      </c>
    </row>
    <row r="63" ht="15" customFormat="1" customHeight="1" s="13">
      <c r="Y63" s="342">
        <f>CONCATENATE(Table410[[#This Row],[JG]],Table410[[#This Row],[Country]],Table410[[#This Row],[Resource Provider]])</f>
        <v/>
      </c>
      <c r="Z63" s="342">
        <f>VLOOKUP(Table410[[#This Row],[RATE CONCAT]],Tables!I:N,5,0)</f>
        <v/>
      </c>
      <c r="AA63" s="52" t="n"/>
      <c r="AB63" s="127" t="n"/>
      <c r="AC63" s="127" t="n"/>
      <c r="AD63" s="127" t="n"/>
      <c r="AE63" s="127" t="n"/>
      <c r="AF63" s="127" t="n"/>
      <c r="AG63" s="127" t="n"/>
      <c r="AH63" s="127" t="n"/>
      <c r="AI63" s="127" t="n"/>
      <c r="AJ63" s="127" t="n"/>
      <c r="AK63" s="127" t="n"/>
      <c r="AL63" s="127" t="n"/>
      <c r="AM63" s="127" t="n"/>
      <c r="AN63" s="341">
        <f>IFERROR(AVERAGE(Table410[[#This Row],[Jan_2026_Days_Forecast]:[Dec_2026_Days_Forecast]]),0)/19</f>
        <v/>
      </c>
      <c r="AO63" s="341">
        <f>IFERROR(AVERAGE(Table410[[#This Row],[Jan_2026_Days_Actual]:[Dec_2026_Days_Actual]]),0)/19</f>
        <v/>
      </c>
      <c r="BB63" s="341">
        <f>IFERROR(AVERAGE(Table410[[#This Row],[Jan_2027_Days_Forecast]:[Dec_2027_Days_Forecast]]),0)</f>
        <v/>
      </c>
      <c r="BC63" s="127" t="n"/>
      <c r="BD63" s="127" t="n"/>
      <c r="BE63" s="127" t="n"/>
      <c r="BF63" s="127" t="n"/>
      <c r="BG63" s="127" t="n"/>
      <c r="BH63" s="127" t="n"/>
      <c r="BI63" s="127" t="n"/>
      <c r="BJ63" s="127" t="n"/>
      <c r="BK63" s="127" t="n"/>
      <c r="BL63" s="127" t="n"/>
      <c r="BM63" s="127" t="n"/>
      <c r="BN63" s="127" t="n"/>
      <c r="BO63" s="176" t="n"/>
      <c r="BP63" s="176" t="n"/>
      <c r="BQ63" s="342">
        <f>IFERROR(Table410[[#This Row],[Jan_2026_Days_Forecast]]*Table410[[#This Row],[Cost Boolean]]*(VLOOKUP(Table410[[#This Row],[RATE CONCAT]],Tables!I:N,5,0)),0)</f>
        <v/>
      </c>
      <c r="BR63" s="342">
        <f>IFERROR(Table410[[#This Row],[Jan_2026_Days_Actual]]*Table410[[#This Row],[Cost Boolean]]*(VLOOKUP(Table410[[#This Row],[RATE CONCAT]],Tables!I:N,5,0)),0)</f>
        <v/>
      </c>
      <c r="BS63" s="342">
        <f>Table410[[#This Row],[Jan_2026_F]]-Table410[[#This Row],[Jan_2026_A]]</f>
        <v/>
      </c>
      <c r="BU63" s="342">
        <f>IFERROR(Table410[[#This Row],[Feb_2026_Days_Forecast]]*Table410[[#This Row],[Cost Boolean]]*(VLOOKUP(Table410[[#This Row],[RATE CONCAT]],Tables!I:N,5,0)),0)</f>
        <v/>
      </c>
      <c r="BV63" s="342">
        <f>IFERROR(Table410[[#This Row],[Feb_2026_Days_Actual]]*Table410[[#This Row],[Cost Boolean]]*(VLOOKUP(Table410[[#This Row],[RATE CONCAT]],Tables!I:N,5,0)),0)</f>
        <v/>
      </c>
      <c r="BW63" s="342">
        <f>Table410[[#This Row],[Feb_2026_F]]-Table410[[#This Row],[Feb_2026_A]]</f>
        <v/>
      </c>
      <c r="BY63" s="342">
        <f>IFERROR(Table410[[#This Row],[Mar_2026_Days_Forecast]]*Table410[[#This Row],[Cost Boolean]]*(VLOOKUP(Table410[[#This Row],[RATE CONCAT]],Tables!I:N,5,0)),0)</f>
        <v/>
      </c>
      <c r="BZ63" s="342">
        <f>IFERROR(Table410[[#This Row],[Mar_2026_Days_Actual]]*Table410[[#This Row],[Cost Boolean]]*(VLOOKUP(Table410[[#This Row],[RATE CONCAT]],Tables!I:N,5,0)),0)</f>
        <v/>
      </c>
      <c r="CA63" s="342">
        <f>Table410[[#This Row],[Mar_2026_F]]-Table410[[#This Row],[Mar_2026_A]]</f>
        <v/>
      </c>
      <c r="CC63" s="342">
        <f>IFERROR(Table410[[#This Row],[Apr_2026_Days_Forecast]]*Table410[[#This Row],[Cost Boolean]]*(VLOOKUP(Table410[[#This Row],[RATE CONCAT]],Tables!I:N,5,0)),0)</f>
        <v/>
      </c>
      <c r="CD63" s="342">
        <f>IFERROR(Table410[[#This Row],[Apr_2026_Days_Actual]]*Table410[[#This Row],[Cost Boolean]]*(VLOOKUP(Table410[[#This Row],[RATE CONCAT]],Tables!I:N,5,0)),0)</f>
        <v/>
      </c>
      <c r="CE63" s="342">
        <f>Table410[[#This Row],[Apr_2026_F]]-Table410[[#This Row],[Apr_2026_A]]</f>
        <v/>
      </c>
      <c r="CG63" s="342">
        <f>IFERROR(Table410[[#This Row],[May_2026_Days_Forecast]] *Table410[[#This Row],[Cost Boolean]]*(VLOOKUP(Table410[[#This Row],[RATE CONCAT]],Tables!I:N,5,0)),0)</f>
        <v/>
      </c>
      <c r="CH63" s="342">
        <f>IFERROR(Table410[[#This Row],[May_2026_Days_Actual]]*Table410[[#This Row],[Cost Boolean]]*(VLOOKUP(Table410[[#This Row],[RATE CONCAT]],Tables!I:N,5,0)),0)</f>
        <v/>
      </c>
      <c r="CI63" s="342">
        <f>Table410[[#This Row],[May_2026_F]]-Table410[[#This Row],[May_2026_A]]</f>
        <v/>
      </c>
      <c r="CK63" s="342">
        <f>IFERROR(Table410[[#This Row],[Jun_2026_Days_Forecast]]*Table410[[#This Row],[Cost Boolean]]*(VLOOKUP(Table410[[#This Row],[RATE CONCAT]],Tables!I:N,5,0)),0)</f>
        <v/>
      </c>
      <c r="CL63" s="342">
        <f>IFERROR(Table410[[#This Row],[Jun_2026_Days_Actual]]*Table410[[#This Row],[Cost Boolean]]*(VLOOKUP(Table410[[#This Row],[RATE CONCAT]],Tables!I:N,5,0)),0)</f>
        <v/>
      </c>
      <c r="CM63" s="342">
        <f>Table410[[#This Row],[Jun_2026_F]]-Table410[[#This Row],[Jun_2026_A]]</f>
        <v/>
      </c>
      <c r="CO63" s="342">
        <f>IFERROR(Table410[[#This Row],[Jul_2026_Days_Forecast]]*Table410[[#This Row],[Cost Boolean]]*(VLOOKUP(Table410[[#This Row],[RATE CONCAT]],Tables!I:N,5,0)),0)</f>
        <v/>
      </c>
      <c r="CP63" s="342">
        <f>IFERROR(Table410[[#This Row],[Jul_2026_Days_Actual]]*Table410[[#This Row],[Cost Boolean]]*(VLOOKUP(Table410[[#This Row],[RATE CONCAT]],Tables!I:N,5,0)),0)</f>
        <v/>
      </c>
      <c r="CQ63" s="342">
        <f>Table410[[#This Row],[Jul_2026_F]]-Table410[[#This Row],[Jul_2026_A]]</f>
        <v/>
      </c>
      <c r="CS63" s="342">
        <f>IFERROR(Table410[[#This Row],[Aug_2026_Days_Forecast]]*Table410[[#This Row],[Cost Boolean]]*(VLOOKUP(Table410[[#This Row],[RATE CONCAT]],Tables!I:N,5,0)),0)</f>
        <v/>
      </c>
      <c r="CT63" s="342">
        <f>IFERROR(Table410[[#This Row],[Aug_2026_Days_Actual]]*Table410[[#This Row],[Cost Boolean]]*(VLOOKUP(Table410[[#This Row],[RATE CONCAT]],Tables!I:N,5,0)),0)</f>
        <v/>
      </c>
      <c r="CU63" s="342">
        <f>Table410[[#This Row],[Aug_2026_F]]-Table410[[#This Row],[Aug_2026_A]]</f>
        <v/>
      </c>
      <c r="CW63" s="342">
        <f>IFERROR(Table410[[#This Row],[Sep_2026_Days_Forecast]]*Table410[[#This Row],[Cost Boolean]]*(VLOOKUP(Table410[[#This Row],[RATE CONCAT]],Tables!I:N,5,0)),0)</f>
        <v/>
      </c>
      <c r="CX63" s="342">
        <f>IFERROR(Table410[[#This Row],[Sep_2026_Days_Actual]]*Table410[[#This Row],[Cost Boolean]]*(VLOOKUP(Table410[[#This Row],[RATE CONCAT]],Tables!I:N,5,0)),0)</f>
        <v/>
      </c>
      <c r="CY63" s="342">
        <f>Table410[[#This Row],[Sep_2026_F]]-Table410[[#This Row],[Sep_2026_A]]</f>
        <v/>
      </c>
      <c r="DA63" s="342">
        <f>IFERROR(Table410[[#This Row],[Oct_2026_Days_Forecast]]*Table410[[#This Row],[Cost Boolean]]*(VLOOKUP(Table410[[#This Row],[RATE CONCAT]],Tables!I:N,5,0)),0)</f>
        <v/>
      </c>
      <c r="DB63" s="342">
        <f>IFERROR(Table410[[#This Row],[Oct_2026_Days_Actual]]*Table410[[#This Row],[Cost Boolean]]*(VLOOKUP(Table410[[#This Row],[RATE CONCAT]],Tables!I:N,5,0)),0)</f>
        <v/>
      </c>
      <c r="DC63" s="342">
        <f>Table410[[#This Row],[Oct_2026_F]]-Table410[[#This Row],[Oct_2026_A]]</f>
        <v/>
      </c>
      <c r="DE63" s="342">
        <f>IFERROR(Table410[[#This Row],[Nov_2026_Days_Forecast]]*Table410[[#This Row],[Cost Boolean]]*(VLOOKUP(Table410[[#This Row],[RATE CONCAT]],Tables!I:N,5,0)),0)</f>
        <v/>
      </c>
      <c r="DF63" s="342">
        <f>IFERROR(Table410[[#This Row],[Nov_2026_Days_Actual]]*Table410[[#This Row],[Cost Boolean]]*(VLOOKUP(Table410[[#This Row],[RATE CONCAT]],Tables!I:N,5,0)),0)</f>
        <v/>
      </c>
      <c r="DG63" s="342">
        <f>Table410[[#This Row],[Nov_2026_F]]-Table410[[#This Row],[Nov_2026_A]]</f>
        <v/>
      </c>
      <c r="DI63" s="342">
        <f>IFERROR(Table410[[#This Row],[Dec_2026_Days_Forecast]]*Table410[[#This Row],[Cost Boolean]]*(VLOOKUP(Table410[[#This Row],[RATE CONCAT]],Tables!I:N,5,0)),0)</f>
        <v/>
      </c>
      <c r="DJ63" s="342">
        <f>IFERROR(Table410[[#This Row],[Dec_2026_Days_Actual]]*Table410[[#This Row],[Cost Boolean]]*(VLOOKUP(Table410[[#This Row],[RATE CONCAT]],Tables!I:N,5,0)),0)</f>
        <v/>
      </c>
      <c r="DK63" s="342">
        <f>Table410[[#This Row],[Dec_2026_F]]-Table410[[#This Row],[Dec_2026_A]]</f>
        <v/>
      </c>
      <c r="DN63" s="342">
        <f>IFERROR(Table410[[#This Row],[Jan_2027_Days_Forecast]]*Table410[[#This Row],[Cost Boolean]]*(VLOOKUP(Table410[[#This Row],[RATE CONCAT]],Tables!I:N,6,0)),0)</f>
        <v/>
      </c>
      <c r="DP63" s="342">
        <f>Table410[[#This Row],[Jan_2027_F]]-Table410[[#This Row],[Jan_2027_A]]</f>
        <v/>
      </c>
      <c r="DQ63" s="342">
        <f>IFERROR(Table410[[#This Row],[Feb_2027_Days_Forecast]]*Table410[[#This Row],[Cost Boolean]]*(VLOOKUP(Table410[[#This Row],[RATE CONCAT]],Tables!I:N,6,0)),0)</f>
        <v/>
      </c>
      <c r="DS63" s="342">
        <f>Table410[[#This Row],[Feb_2027_F]]-Table410[[#This Row],[Feb_2027_A]]</f>
        <v/>
      </c>
      <c r="DT63" s="342">
        <f>IFERROR(Table410[[#This Row],[Mar_2027_Days_Forecast]]*Table410[[#This Row],[Cost Boolean]]*(VLOOKUP(Table410[[#This Row],[RATE CONCAT]],Tables!I:N,6,0)),0)</f>
        <v/>
      </c>
      <c r="DV63" s="342">
        <f>Table410[[#This Row],[Mar_2027_F]]-Table410[[#This Row],[Mar_2027_A]]</f>
        <v/>
      </c>
      <c r="DW63" s="342">
        <f>IFERROR(Table410[[#This Row],[Apr_2027_Days_Forecast]]*Table410[[#This Row],[Cost Boolean]]*(VLOOKUP(Table410[[#This Row],[RATE CONCAT]],Tables!I:N,6,0)),0)</f>
        <v/>
      </c>
      <c r="DY63" s="342">
        <f>Table410[[#This Row],[Apr_2027_F]]-Table410[[#This Row],[Apr_2027_A]]</f>
        <v/>
      </c>
      <c r="DZ63" s="342">
        <f>IFERROR(Table410[[#This Row],[May_2027_Days_Forecast]]*Table410[[#This Row],[Cost Boolean]]*(VLOOKUP(Table410[[#This Row],[RATE CONCAT]],Tables!I:N,6,0)),0)</f>
        <v/>
      </c>
      <c r="EB63" s="342">
        <f>Table410[[#This Row],[May_2027_F]]-Table410[[#This Row],[May_2027_A]]</f>
        <v/>
      </c>
      <c r="EC63" s="342">
        <f>IFERROR(Table410[[#This Row],[Jun_2027_Days_Forecast]]*Table410[[#This Row],[Cost Boolean]]*(VLOOKUP(Table410[[#This Row],[RATE CONCAT]],Tables!I:N,6,0)),0)</f>
        <v/>
      </c>
      <c r="EE63" s="342">
        <f>Table410[[#This Row],[Jun_2027_F]]-Table410[[#This Row],[Jun_2027_A]]</f>
        <v/>
      </c>
      <c r="EF63" s="342">
        <f>IFERROR(Table410[[#This Row],[Jul_2027_Days_Forecast]]*Table410[[#This Row],[Cost Boolean]]*(VLOOKUP(Table410[[#This Row],[RATE CONCAT]],Tables!I:N,6,0)),0)</f>
        <v/>
      </c>
      <c r="EH63" s="342">
        <f>Table410[[#This Row],[Jul_2027_F]]-Table410[[#This Row],[Jul_2027_A]]</f>
        <v/>
      </c>
      <c r="EI63" s="342">
        <f>IFERROR(Table410[[#This Row],[Aug_2027_Days_Forecast]]*Table410[[#This Row],[Cost Boolean]]*(VLOOKUP(Table410[[#This Row],[RATE CONCAT]],Tables!I:N,6,0)),0)</f>
        <v/>
      </c>
      <c r="EK63" s="342">
        <f>Table410[[#This Row],[Aug_2027_F]]-Table410[[#This Row],[Aug_2027_A]]</f>
        <v/>
      </c>
      <c r="EL63" s="342">
        <f>IFERROR(Table410[[#This Row],[Sep_2027_Days_Forecast]]*Table410[[#This Row],[Cost Boolean]]*(VLOOKUP(Table410[[#This Row],[RATE CONCAT]],Tables!I:N,6,0)),0)</f>
        <v/>
      </c>
      <c r="EN63" s="342">
        <f>Table410[[#This Row],[Sep_2027_F]]-Table410[[#This Row],[Sep_2027_A]]</f>
        <v/>
      </c>
      <c r="EO63" s="342">
        <f>IFERROR(Table410[[#This Row],[Oct_2027_Days_Forecast]]*Table410[[#This Row],[Cost Boolean]]*(VLOOKUP(Table410[[#This Row],[RATE CONCAT]],Tables!I:N,6,0)),0)</f>
        <v/>
      </c>
      <c r="EQ63" s="342">
        <f>Table410[[#This Row],[Oct_2027_F]]-Table410[[#This Row],[Oct_2027_A]]</f>
        <v/>
      </c>
      <c r="ER63" s="342">
        <f>IFERROR(Table410[[#This Row],[Nov_2027_Days_Forecast]]*Table410[[#This Row],[Cost Boolean]]*(VLOOKUP(Table410[[#This Row],[RATE CONCAT]],Tables!I:N,6,0)),0)</f>
        <v/>
      </c>
      <c r="ET63" s="342">
        <f>Table410[[#This Row],[Nov_2027_F]]-Table410[[#This Row],[Nov_2027_A]]</f>
        <v/>
      </c>
      <c r="EU63" s="342">
        <f>IFERROR(Table410[[#This Row],[Dec_2027_Days_Forecast]]*Table410[[#This Row],[Cost Boolean]]*(VLOOKUP(Table410[[#This Row],[RATE CONCAT]],Tables!I:N,6,0)),0)</f>
        <v/>
      </c>
      <c r="EW63" s="342">
        <f>Table410[[#This Row],[Dec_2027_F]]-Table410[[#This Row],[Dec_2027_A]]</f>
        <v/>
      </c>
    </row>
    <row r="64" ht="15" customFormat="1" customHeight="1" s="13">
      <c r="Y64" s="338">
        <f>CONCATENATE(Table410[[#This Row],[JG]],Table410[[#This Row],[Country]],Table410[[#This Row],[Resource Provider]])</f>
        <v/>
      </c>
      <c r="Z64" s="338">
        <f>VLOOKUP(Table410[[#This Row],[RATE CONCAT]],Tables!I:N,5,0)</f>
        <v/>
      </c>
      <c r="AA64" s="52" t="n"/>
      <c r="AB64" s="127" t="n"/>
      <c r="AC64" s="127" t="n"/>
      <c r="AD64" s="127" t="n"/>
      <c r="AE64" s="127" t="n"/>
      <c r="AF64" s="127" t="n"/>
      <c r="AG64" s="127" t="n"/>
      <c r="AH64" s="127" t="n"/>
      <c r="AI64" s="127" t="n"/>
      <c r="AJ64" s="127" t="n"/>
      <c r="AK64" s="127" t="n"/>
      <c r="AL64" s="127" t="n"/>
      <c r="AM64" s="127" t="n"/>
      <c r="AN64" s="341">
        <f>IFERROR(AVERAGE(Table410[[#This Row],[Jan_2026_Days_Forecast]:[Dec_2026_Days_Forecast]]),0)/19</f>
        <v/>
      </c>
      <c r="AO64" s="341">
        <f>IFERROR(AVERAGE(Table410[[#This Row],[Jan_2026_Days_Actual]:[Dec_2026_Days_Actual]]),0)/19</f>
        <v/>
      </c>
      <c r="BB64" s="341">
        <f>IFERROR(AVERAGE(Table410[[#This Row],[Jan_2027_Days_Forecast]:[Dec_2027_Days_Forecast]]),0)</f>
        <v/>
      </c>
      <c r="BC64" s="127" t="n"/>
      <c r="BD64" s="127" t="n"/>
      <c r="BE64" s="127" t="n"/>
      <c r="BF64" s="127" t="n"/>
      <c r="BG64" s="127" t="n"/>
      <c r="BH64" s="127" t="n"/>
      <c r="BI64" s="127" t="n"/>
      <c r="BJ64" s="127" t="n"/>
      <c r="BK64" s="127" t="n"/>
      <c r="BL64" s="127" t="n"/>
      <c r="BM64" s="127" t="n"/>
      <c r="BN64" s="127" t="n"/>
      <c r="BO64" s="176" t="n"/>
      <c r="BP64" s="176" t="n"/>
      <c r="BQ64" s="338">
        <f>IFERROR(Table410[[#This Row],[Jan_2026_Days_Forecast]]*Table410[[#This Row],[Cost Boolean]]*(VLOOKUP(Table410[[#This Row],[RATE CONCAT]],Tables!I:N,5,0)),0)</f>
        <v/>
      </c>
      <c r="BR64" s="338">
        <f>IFERROR(Table410[[#This Row],[Jan_2026_Days_Actual]]*Table410[[#This Row],[Cost Boolean]]*(VLOOKUP(Table410[[#This Row],[RATE CONCAT]],Tables!I:N,5,0)),0)</f>
        <v/>
      </c>
      <c r="BS64" s="338">
        <f>Table410[[#This Row],[Jan_2026_F]]-Table410[[#This Row],[Jan_2026_A]]</f>
        <v/>
      </c>
      <c r="BU64" s="338">
        <f>IFERROR(Table410[[#This Row],[Feb_2026_Days_Forecast]]*Table410[[#This Row],[Cost Boolean]]*(VLOOKUP(Table410[[#This Row],[RATE CONCAT]],Tables!I:N,5,0)),0)</f>
        <v/>
      </c>
      <c r="BV64" s="338">
        <f>IFERROR(Table410[[#This Row],[Feb_2026_Days_Actual]]*Table410[[#This Row],[Cost Boolean]]*(VLOOKUP(Table410[[#This Row],[RATE CONCAT]],Tables!I:N,5,0)),0)</f>
        <v/>
      </c>
      <c r="BW64" s="338">
        <f>Table410[[#This Row],[Feb_2026_F]]-Table410[[#This Row],[Feb_2026_A]]</f>
        <v/>
      </c>
      <c r="BY64" s="338">
        <f>IFERROR(Table410[[#This Row],[Mar_2026_Days_Forecast]]*Table410[[#This Row],[Cost Boolean]]*(VLOOKUP(Table410[[#This Row],[RATE CONCAT]],Tables!I:N,5,0)),0)</f>
        <v/>
      </c>
      <c r="BZ64" s="338">
        <f>IFERROR(Table410[[#This Row],[Mar_2026_Days_Actual]]*Table410[[#This Row],[Cost Boolean]]*(VLOOKUP(Table410[[#This Row],[RATE CONCAT]],Tables!I:N,5,0)),0)</f>
        <v/>
      </c>
      <c r="CA64" s="338">
        <f>Table410[[#This Row],[Mar_2026_F]]-Table410[[#This Row],[Mar_2026_A]]</f>
        <v/>
      </c>
      <c r="CC64" s="338">
        <f>IFERROR(Table410[[#This Row],[Apr_2026_Days_Forecast]]*Table410[[#This Row],[Cost Boolean]]*(VLOOKUP(Table410[[#This Row],[RATE CONCAT]],Tables!I:N,5,0)),0)</f>
        <v/>
      </c>
      <c r="CD64" s="338">
        <f>IFERROR(Table410[[#This Row],[Apr_2026_Days_Actual]]*Table410[[#This Row],[Cost Boolean]]*(VLOOKUP(Table410[[#This Row],[RATE CONCAT]],Tables!I:N,5,0)),0)</f>
        <v/>
      </c>
      <c r="CE64" s="338">
        <f>Table410[[#This Row],[Apr_2026_F]]-Table410[[#This Row],[Apr_2026_A]]</f>
        <v/>
      </c>
      <c r="CG64" s="338">
        <f>IFERROR(Table410[[#This Row],[May_2026_Days_Forecast]] *Table410[[#This Row],[Cost Boolean]]*(VLOOKUP(Table410[[#This Row],[RATE CONCAT]],Tables!I:N,5,0)),0)</f>
        <v/>
      </c>
      <c r="CH64" s="338">
        <f>IFERROR(Table410[[#This Row],[May_2026_Days_Actual]]*Table410[[#This Row],[Cost Boolean]]*(VLOOKUP(Table410[[#This Row],[RATE CONCAT]],Tables!I:N,5,0)),0)</f>
        <v/>
      </c>
      <c r="CI64" s="338">
        <f>Table410[[#This Row],[May_2026_F]]-Table410[[#This Row],[May_2026_A]]</f>
        <v/>
      </c>
      <c r="CK64" s="338">
        <f>IFERROR(Table410[[#This Row],[Jun_2026_Days_Forecast]]*Table410[[#This Row],[Cost Boolean]]*(VLOOKUP(Table410[[#This Row],[RATE CONCAT]],Tables!I:N,5,0)),0)</f>
        <v/>
      </c>
      <c r="CL64" s="338">
        <f>IFERROR(Table410[[#This Row],[Jun_2026_Days_Actual]]*Table410[[#This Row],[Cost Boolean]]*(VLOOKUP(Table410[[#This Row],[RATE CONCAT]],Tables!I:N,5,0)),0)</f>
        <v/>
      </c>
      <c r="CM64" s="338">
        <f>Table410[[#This Row],[Jun_2026_F]]-Table410[[#This Row],[Jun_2026_A]]</f>
        <v/>
      </c>
      <c r="CO64" s="338">
        <f>IFERROR(Table410[[#This Row],[Jul_2026_Days_Forecast]]*Table410[[#This Row],[Cost Boolean]]*(VLOOKUP(Table410[[#This Row],[RATE CONCAT]],Tables!I:N,5,0)),0)</f>
        <v/>
      </c>
      <c r="CP64" s="338">
        <f>IFERROR(Table410[[#This Row],[Jul_2026_Days_Actual]]*Table410[[#This Row],[Cost Boolean]]*(VLOOKUP(Table410[[#This Row],[RATE CONCAT]],Tables!I:N,5,0)),0)</f>
        <v/>
      </c>
      <c r="CQ64" s="338">
        <f>Table410[[#This Row],[Jul_2026_F]]-Table410[[#This Row],[Jul_2026_A]]</f>
        <v/>
      </c>
      <c r="CS64" s="338">
        <f>IFERROR(Table410[[#This Row],[Aug_2026_Days_Forecast]]*Table410[[#This Row],[Cost Boolean]]*(VLOOKUP(Table410[[#This Row],[RATE CONCAT]],Tables!I:N,5,0)),0)</f>
        <v/>
      </c>
      <c r="CT64" s="338">
        <f>IFERROR(Table410[[#This Row],[Aug_2026_Days_Actual]]*Table410[[#This Row],[Cost Boolean]]*(VLOOKUP(Table410[[#This Row],[RATE CONCAT]],Tables!I:N,5,0)),0)</f>
        <v/>
      </c>
      <c r="CU64" s="338">
        <f>Table410[[#This Row],[Aug_2026_F]]-Table410[[#This Row],[Aug_2026_A]]</f>
        <v/>
      </c>
      <c r="CW64" s="338">
        <f>IFERROR(Table410[[#This Row],[Sep_2026_Days_Forecast]]*Table410[[#This Row],[Cost Boolean]]*(VLOOKUP(Table410[[#This Row],[RATE CONCAT]],Tables!I:N,5,0)),0)</f>
        <v/>
      </c>
      <c r="CX64" s="338">
        <f>IFERROR(Table410[[#This Row],[Sep_2026_Days_Actual]]*Table410[[#This Row],[Cost Boolean]]*(VLOOKUP(Table410[[#This Row],[RATE CONCAT]],Tables!I:N,5,0)),0)</f>
        <v/>
      </c>
      <c r="CY64" s="338">
        <f>Table410[[#This Row],[Sep_2026_F]]-Table410[[#This Row],[Sep_2026_A]]</f>
        <v/>
      </c>
      <c r="DA64" s="338">
        <f>IFERROR(Table410[[#This Row],[Oct_2026_Days_Forecast]]*Table410[[#This Row],[Cost Boolean]]*(VLOOKUP(Table410[[#This Row],[RATE CONCAT]],Tables!I:N,5,0)),0)</f>
        <v/>
      </c>
      <c r="DB64" s="338">
        <f>IFERROR(Table410[[#This Row],[Oct_2026_Days_Actual]]*Table410[[#This Row],[Cost Boolean]]*(VLOOKUP(Table410[[#This Row],[RATE CONCAT]],Tables!I:N,5,0)),0)</f>
        <v/>
      </c>
      <c r="DC64" s="338">
        <f>Table410[[#This Row],[Oct_2026_F]]-Table410[[#This Row],[Oct_2026_A]]</f>
        <v/>
      </c>
      <c r="DE64" s="338">
        <f>IFERROR(Table410[[#This Row],[Nov_2026_Days_Forecast]]*Table410[[#This Row],[Cost Boolean]]*(VLOOKUP(Table410[[#This Row],[RATE CONCAT]],Tables!I:N,5,0)),0)</f>
        <v/>
      </c>
      <c r="DF64" s="338">
        <f>IFERROR(Table410[[#This Row],[Nov_2026_Days_Actual]]*Table410[[#This Row],[Cost Boolean]]*(VLOOKUP(Table410[[#This Row],[RATE CONCAT]],Tables!I:N,5,0)),0)</f>
        <v/>
      </c>
      <c r="DG64" s="338">
        <f>Table410[[#This Row],[Nov_2026_F]]-Table410[[#This Row],[Nov_2026_A]]</f>
        <v/>
      </c>
      <c r="DI64" s="338">
        <f>IFERROR(Table410[[#This Row],[Dec_2026_Days_Forecast]]*Table410[[#This Row],[Cost Boolean]]*(VLOOKUP(Table410[[#This Row],[RATE CONCAT]],Tables!I:N,5,0)),0)</f>
        <v/>
      </c>
      <c r="DJ64" s="338">
        <f>IFERROR(Table410[[#This Row],[Dec_2026_Days_Actual]]*Table410[[#This Row],[Cost Boolean]]*(VLOOKUP(Table410[[#This Row],[RATE CONCAT]],Tables!I:N,5,0)),0)</f>
        <v/>
      </c>
      <c r="DK64" s="338">
        <f>Table410[[#This Row],[Dec_2026_F]]-Table410[[#This Row],[Dec_2026_A]]</f>
        <v/>
      </c>
      <c r="DN64" s="338">
        <f>IFERROR(Table410[[#This Row],[Jan_2027_Days_Forecast]]*Table410[[#This Row],[Cost Boolean]]*(VLOOKUP(Table410[[#This Row],[RATE CONCAT]],Tables!I:N,6,0)),0)</f>
        <v/>
      </c>
      <c r="DP64" s="338">
        <f>Table410[[#This Row],[Jan_2027_F]]-Table410[[#This Row],[Jan_2027_A]]</f>
        <v/>
      </c>
      <c r="DQ64" s="338">
        <f>IFERROR(Table410[[#This Row],[Feb_2027_Days_Forecast]]*Table410[[#This Row],[Cost Boolean]]*(VLOOKUP(Table410[[#This Row],[RATE CONCAT]],Tables!I:N,6,0)),0)</f>
        <v/>
      </c>
      <c r="DS64" s="338">
        <f>Table410[[#This Row],[Feb_2027_F]]-Table410[[#This Row],[Feb_2027_A]]</f>
        <v/>
      </c>
      <c r="DT64" s="338">
        <f>IFERROR(Table410[[#This Row],[Mar_2027_Days_Forecast]]*Table410[[#This Row],[Cost Boolean]]*(VLOOKUP(Table410[[#This Row],[RATE CONCAT]],Tables!I:N,6,0)),0)</f>
        <v/>
      </c>
      <c r="DV64" s="338">
        <f>Table410[[#This Row],[Mar_2027_F]]-Table410[[#This Row],[Mar_2027_A]]</f>
        <v/>
      </c>
      <c r="DW64" s="338">
        <f>IFERROR(Table410[[#This Row],[Apr_2027_Days_Forecast]]*Table410[[#This Row],[Cost Boolean]]*(VLOOKUP(Table410[[#This Row],[RATE CONCAT]],Tables!I:N,6,0)),0)</f>
        <v/>
      </c>
      <c r="DY64" s="338">
        <f>Table410[[#This Row],[Apr_2027_F]]-Table410[[#This Row],[Apr_2027_A]]</f>
        <v/>
      </c>
      <c r="DZ64" s="338">
        <f>IFERROR(Table410[[#This Row],[May_2027_Days_Forecast]]*Table410[[#This Row],[Cost Boolean]]*(VLOOKUP(Table410[[#This Row],[RATE CONCAT]],Tables!I:N,6,0)),0)</f>
        <v/>
      </c>
      <c r="EB64" s="338">
        <f>Table410[[#This Row],[May_2027_F]]-Table410[[#This Row],[May_2027_A]]</f>
        <v/>
      </c>
      <c r="EC64" s="338">
        <f>IFERROR(Table410[[#This Row],[Jun_2027_Days_Forecast]]*Table410[[#This Row],[Cost Boolean]]*(VLOOKUP(Table410[[#This Row],[RATE CONCAT]],Tables!I:N,6,0)),0)</f>
        <v/>
      </c>
      <c r="EE64" s="338">
        <f>Table410[[#This Row],[Jun_2027_F]]-Table410[[#This Row],[Jun_2027_A]]</f>
        <v/>
      </c>
      <c r="EF64" s="338">
        <f>IFERROR(Table410[[#This Row],[Jul_2027_Days_Forecast]]*Table410[[#This Row],[Cost Boolean]]*(VLOOKUP(Table410[[#This Row],[RATE CONCAT]],Tables!I:N,6,0)),0)</f>
        <v/>
      </c>
      <c r="EH64" s="338">
        <f>Table410[[#This Row],[Jul_2027_F]]-Table410[[#This Row],[Jul_2027_A]]</f>
        <v/>
      </c>
      <c r="EI64" s="338">
        <f>IFERROR(Table410[[#This Row],[Aug_2027_Days_Forecast]]*Table410[[#This Row],[Cost Boolean]]*(VLOOKUP(Table410[[#This Row],[RATE CONCAT]],Tables!I:N,6,0)),0)</f>
        <v/>
      </c>
      <c r="EK64" s="338">
        <f>Table410[[#This Row],[Aug_2027_F]]-Table410[[#This Row],[Aug_2027_A]]</f>
        <v/>
      </c>
      <c r="EL64" s="338">
        <f>IFERROR(Table410[[#This Row],[Sep_2027_Days_Forecast]]*Table410[[#This Row],[Cost Boolean]]*(VLOOKUP(Table410[[#This Row],[RATE CONCAT]],Tables!I:N,6,0)),0)</f>
        <v/>
      </c>
      <c r="EN64" s="338">
        <f>Table410[[#This Row],[Sep_2027_F]]-Table410[[#This Row],[Sep_2027_A]]</f>
        <v/>
      </c>
      <c r="EO64" s="338">
        <f>IFERROR(Table410[[#This Row],[Oct_2027_Days_Forecast]]*Table410[[#This Row],[Cost Boolean]]*(VLOOKUP(Table410[[#This Row],[RATE CONCAT]],Tables!I:N,6,0)),0)</f>
        <v/>
      </c>
      <c r="EQ64" s="338">
        <f>Table410[[#This Row],[Oct_2027_F]]-Table410[[#This Row],[Oct_2027_A]]</f>
        <v/>
      </c>
      <c r="ER64" s="338">
        <f>IFERROR(Table410[[#This Row],[Nov_2027_Days_Forecast]]*Table410[[#This Row],[Cost Boolean]]*(VLOOKUP(Table410[[#This Row],[RATE CONCAT]],Tables!I:N,6,0)),0)</f>
        <v/>
      </c>
      <c r="ET64" s="338">
        <f>Table410[[#This Row],[Nov_2027_F]]-Table410[[#This Row],[Nov_2027_A]]</f>
        <v/>
      </c>
      <c r="EU64" s="338">
        <f>IFERROR(Table410[[#This Row],[Dec_2027_Days_Forecast]]*Table410[[#This Row],[Cost Boolean]]*(VLOOKUP(Table410[[#This Row],[RATE CONCAT]],Tables!I:N,6,0)),0)</f>
        <v/>
      </c>
      <c r="EW64" s="338">
        <f>Table410[[#This Row],[Dec_2027_F]]-Table410[[#This Row],[Dec_2027_A]]</f>
        <v/>
      </c>
    </row>
    <row r="65" ht="15" customFormat="1" customHeight="1" s="13">
      <c r="Y65" s="342">
        <f>CONCATENATE(Table410[[#This Row],[JG]],Table410[[#This Row],[Country]],Table410[[#This Row],[Resource Provider]])</f>
        <v/>
      </c>
      <c r="Z65" s="342">
        <f>VLOOKUP(Table410[[#This Row],[RATE CONCAT]],Tables!I:N,5,0)</f>
        <v/>
      </c>
      <c r="AA65" s="52" t="n"/>
      <c r="AB65" s="127" t="n"/>
      <c r="AC65" s="127" t="n"/>
      <c r="AD65" s="127" t="n"/>
      <c r="AE65" s="127" t="n"/>
      <c r="AF65" s="127" t="n"/>
      <c r="AG65" s="127" t="n"/>
      <c r="AH65" s="127" t="n"/>
      <c r="AI65" s="127" t="n"/>
      <c r="AJ65" s="127" t="n"/>
      <c r="AK65" s="127" t="n"/>
      <c r="AL65" s="127" t="n"/>
      <c r="AM65" s="127" t="n"/>
      <c r="AN65" s="341">
        <f>IFERROR(AVERAGE(Table410[[#This Row],[Jan_2026_Days_Forecast]:[Dec_2026_Days_Forecast]]),0)/19</f>
        <v/>
      </c>
      <c r="AO65" s="341">
        <f>IFERROR(AVERAGE(Table410[[#This Row],[Jan_2026_Days_Actual]:[Dec_2026_Days_Actual]]),0)/19</f>
        <v/>
      </c>
      <c r="BB65" s="341">
        <f>IFERROR(AVERAGE(Table410[[#This Row],[Jan_2027_Days_Forecast]:[Dec_2027_Days_Forecast]]),0)</f>
        <v/>
      </c>
      <c r="BC65" s="128" t="n"/>
      <c r="BD65" s="128" t="n"/>
      <c r="BE65" s="128" t="n"/>
      <c r="BF65" s="128" t="n"/>
      <c r="BG65" s="128" t="n"/>
      <c r="BH65" s="128" t="n"/>
      <c r="BI65" s="128" t="n"/>
      <c r="BJ65" s="128" t="n"/>
      <c r="BK65" s="128" t="n"/>
      <c r="BL65" s="128" t="n"/>
      <c r="BM65" s="128" t="n"/>
      <c r="BN65" s="128" t="n"/>
      <c r="BO65" s="176" t="n"/>
      <c r="BP65" s="176" t="n"/>
      <c r="BQ65" s="342">
        <f>IFERROR(Table410[[#This Row],[Jan_2026_Days_Forecast]]*Table410[[#This Row],[Cost Boolean]]*(VLOOKUP(Table410[[#This Row],[RATE CONCAT]],Tables!I:N,5,0)),0)</f>
        <v/>
      </c>
      <c r="BR65" s="342">
        <f>IFERROR(Table410[[#This Row],[Jan_2026_Days_Actual]]*Table410[[#This Row],[Cost Boolean]]*(VLOOKUP(Table410[[#This Row],[RATE CONCAT]],Tables!I:N,5,0)),0)</f>
        <v/>
      </c>
      <c r="BS65" s="342">
        <f>Table410[[#This Row],[Jan_2026_F]]-Table410[[#This Row],[Jan_2026_A]]</f>
        <v/>
      </c>
      <c r="BU65" s="342">
        <f>IFERROR(Table410[[#This Row],[Feb_2026_Days_Forecast]]*Table410[[#This Row],[Cost Boolean]]*(VLOOKUP(Table410[[#This Row],[RATE CONCAT]],Tables!I:N,5,0)),0)</f>
        <v/>
      </c>
      <c r="BV65" s="342">
        <f>IFERROR(Table410[[#This Row],[Feb_2026_Days_Actual]]*Table410[[#This Row],[Cost Boolean]]*(VLOOKUP(Table410[[#This Row],[RATE CONCAT]],Tables!I:N,5,0)),0)</f>
        <v/>
      </c>
      <c r="BW65" s="342">
        <f>Table410[[#This Row],[Feb_2026_F]]-Table410[[#This Row],[Feb_2026_A]]</f>
        <v/>
      </c>
      <c r="BY65" s="342">
        <f>IFERROR(Table410[[#This Row],[Mar_2026_Days_Forecast]]*Table410[[#This Row],[Cost Boolean]]*(VLOOKUP(Table410[[#This Row],[RATE CONCAT]],Tables!I:N,5,0)),0)</f>
        <v/>
      </c>
      <c r="BZ65" s="342">
        <f>IFERROR(Table410[[#This Row],[Mar_2026_Days_Actual]]*Table410[[#This Row],[Cost Boolean]]*(VLOOKUP(Table410[[#This Row],[RATE CONCAT]],Tables!I:N,5,0)),0)</f>
        <v/>
      </c>
      <c r="CA65" s="342">
        <f>Table410[[#This Row],[Mar_2026_F]]-Table410[[#This Row],[Mar_2026_A]]</f>
        <v/>
      </c>
      <c r="CC65" s="342">
        <f>IFERROR(Table410[[#This Row],[Apr_2026_Days_Forecast]]*Table410[[#This Row],[Cost Boolean]]*(VLOOKUP(Table410[[#This Row],[RATE CONCAT]],Tables!I:N,5,0)),0)</f>
        <v/>
      </c>
      <c r="CD65" s="342">
        <f>IFERROR(Table410[[#This Row],[Apr_2026_Days_Actual]]*Table410[[#This Row],[Cost Boolean]]*(VLOOKUP(Table410[[#This Row],[RATE CONCAT]],Tables!I:N,5,0)),0)</f>
        <v/>
      </c>
      <c r="CE65" s="342">
        <f>Table410[[#This Row],[Apr_2026_F]]-Table410[[#This Row],[Apr_2026_A]]</f>
        <v/>
      </c>
      <c r="CG65" s="342">
        <f>IFERROR(Table410[[#This Row],[May_2026_Days_Forecast]] *Table410[[#This Row],[Cost Boolean]]*(VLOOKUP(Table410[[#This Row],[RATE CONCAT]],Tables!I:N,5,0)),0)</f>
        <v/>
      </c>
      <c r="CH65" s="342">
        <f>IFERROR(Table410[[#This Row],[May_2026_Days_Actual]]*Table410[[#This Row],[Cost Boolean]]*(VLOOKUP(Table410[[#This Row],[RATE CONCAT]],Tables!I:N,5,0)),0)</f>
        <v/>
      </c>
      <c r="CI65" s="342">
        <f>Table410[[#This Row],[May_2026_F]]-Table410[[#This Row],[May_2026_A]]</f>
        <v/>
      </c>
      <c r="CK65" s="342">
        <f>IFERROR(Table410[[#This Row],[Jun_2026_Days_Forecast]]*Table410[[#This Row],[Cost Boolean]]*(VLOOKUP(Table410[[#This Row],[RATE CONCAT]],Tables!I:N,5,0)),0)</f>
        <v/>
      </c>
      <c r="CL65" s="342">
        <f>IFERROR(Table410[[#This Row],[Jun_2026_Days_Actual]]*Table410[[#This Row],[Cost Boolean]]*(VLOOKUP(Table410[[#This Row],[RATE CONCAT]],Tables!I:N,5,0)),0)</f>
        <v/>
      </c>
      <c r="CM65" s="342">
        <f>Table410[[#This Row],[Jun_2026_F]]-Table410[[#This Row],[Jun_2026_A]]</f>
        <v/>
      </c>
      <c r="CO65" s="342">
        <f>IFERROR(Table410[[#This Row],[Jul_2026_Days_Forecast]]*Table410[[#This Row],[Cost Boolean]]*(VLOOKUP(Table410[[#This Row],[RATE CONCAT]],Tables!I:N,5,0)),0)</f>
        <v/>
      </c>
      <c r="CP65" s="342">
        <f>IFERROR(Table410[[#This Row],[Jul_2026_Days_Actual]]*Table410[[#This Row],[Cost Boolean]]*(VLOOKUP(Table410[[#This Row],[RATE CONCAT]],Tables!I:N,5,0)),0)</f>
        <v/>
      </c>
      <c r="CQ65" s="342">
        <f>Table410[[#This Row],[Jul_2026_F]]-Table410[[#This Row],[Jul_2026_A]]</f>
        <v/>
      </c>
      <c r="CS65" s="342">
        <f>IFERROR(Table410[[#This Row],[Aug_2026_Days_Forecast]]*Table410[[#This Row],[Cost Boolean]]*(VLOOKUP(Table410[[#This Row],[RATE CONCAT]],Tables!I:N,5,0)),0)</f>
        <v/>
      </c>
      <c r="CT65" s="342">
        <f>IFERROR(Table410[[#This Row],[Aug_2026_Days_Actual]]*Table410[[#This Row],[Cost Boolean]]*(VLOOKUP(Table410[[#This Row],[RATE CONCAT]],Tables!I:N,5,0)),0)</f>
        <v/>
      </c>
      <c r="CU65" s="342">
        <f>Table410[[#This Row],[Aug_2026_F]]-Table410[[#This Row],[Aug_2026_A]]</f>
        <v/>
      </c>
      <c r="CW65" s="342">
        <f>IFERROR(Table410[[#This Row],[Sep_2026_Days_Forecast]]*Table410[[#This Row],[Cost Boolean]]*(VLOOKUP(Table410[[#This Row],[RATE CONCAT]],Tables!I:N,5,0)),0)</f>
        <v/>
      </c>
      <c r="CX65" s="342">
        <f>IFERROR(Table410[[#This Row],[Sep_2026_Days_Actual]]*Table410[[#This Row],[Cost Boolean]]*(VLOOKUP(Table410[[#This Row],[RATE CONCAT]],Tables!I:N,5,0)),0)</f>
        <v/>
      </c>
      <c r="CY65" s="342">
        <f>Table410[[#This Row],[Sep_2026_F]]-Table410[[#This Row],[Sep_2026_A]]</f>
        <v/>
      </c>
      <c r="DA65" s="342">
        <f>IFERROR(Table410[[#This Row],[Oct_2026_Days_Forecast]]*Table410[[#This Row],[Cost Boolean]]*(VLOOKUP(Table410[[#This Row],[RATE CONCAT]],Tables!I:N,5,0)),0)</f>
        <v/>
      </c>
      <c r="DB65" s="342">
        <f>IFERROR(Table410[[#This Row],[Oct_2026_Days_Actual]]*Table410[[#This Row],[Cost Boolean]]*(VLOOKUP(Table410[[#This Row],[RATE CONCAT]],Tables!I:N,5,0)),0)</f>
        <v/>
      </c>
      <c r="DC65" s="342">
        <f>Table410[[#This Row],[Oct_2026_F]]-Table410[[#This Row],[Oct_2026_A]]</f>
        <v/>
      </c>
      <c r="DE65" s="342">
        <f>IFERROR(Table410[[#This Row],[Nov_2026_Days_Forecast]]*Table410[[#This Row],[Cost Boolean]]*(VLOOKUP(Table410[[#This Row],[RATE CONCAT]],Tables!I:N,5,0)),0)</f>
        <v/>
      </c>
      <c r="DF65" s="342">
        <f>IFERROR(Table410[[#This Row],[Nov_2026_Days_Actual]]*Table410[[#This Row],[Cost Boolean]]*(VLOOKUP(Table410[[#This Row],[RATE CONCAT]],Tables!I:N,5,0)),0)</f>
        <v/>
      </c>
      <c r="DG65" s="342">
        <f>Table410[[#This Row],[Nov_2026_F]]-Table410[[#This Row],[Nov_2026_A]]</f>
        <v/>
      </c>
      <c r="DI65" s="342">
        <f>IFERROR(Table410[[#This Row],[Dec_2026_Days_Forecast]]*Table410[[#This Row],[Cost Boolean]]*(VLOOKUP(Table410[[#This Row],[RATE CONCAT]],Tables!I:N,5,0)),0)</f>
        <v/>
      </c>
      <c r="DJ65" s="342">
        <f>IFERROR(Table410[[#This Row],[Dec_2026_Days_Actual]]*Table410[[#This Row],[Cost Boolean]]*(VLOOKUP(Table410[[#This Row],[RATE CONCAT]],Tables!I:N,5,0)),0)</f>
        <v/>
      </c>
      <c r="DK65" s="342">
        <f>Table410[[#This Row],[Dec_2026_F]]-Table410[[#This Row],[Dec_2026_A]]</f>
        <v/>
      </c>
      <c r="DN65" s="342">
        <f>IFERROR(Table410[[#This Row],[Jan_2027_Days_Forecast]]*Table410[[#This Row],[Cost Boolean]]*(VLOOKUP(Table410[[#This Row],[RATE CONCAT]],Tables!I:N,6,0)),0)</f>
        <v/>
      </c>
      <c r="DP65" s="342">
        <f>Table410[[#This Row],[Jan_2027_F]]-Table410[[#This Row],[Jan_2027_A]]</f>
        <v/>
      </c>
      <c r="DQ65" s="342">
        <f>IFERROR(Table410[[#This Row],[Feb_2027_Days_Forecast]]*Table410[[#This Row],[Cost Boolean]]*(VLOOKUP(Table410[[#This Row],[RATE CONCAT]],Tables!I:N,6,0)),0)</f>
        <v/>
      </c>
      <c r="DS65" s="342">
        <f>Table410[[#This Row],[Feb_2027_F]]-Table410[[#This Row],[Feb_2027_A]]</f>
        <v/>
      </c>
      <c r="DT65" s="342">
        <f>IFERROR(Table410[[#This Row],[Mar_2027_Days_Forecast]]*Table410[[#This Row],[Cost Boolean]]*(VLOOKUP(Table410[[#This Row],[RATE CONCAT]],Tables!I:N,6,0)),0)</f>
        <v/>
      </c>
      <c r="DV65" s="342">
        <f>Table410[[#This Row],[Mar_2027_F]]-Table410[[#This Row],[Mar_2027_A]]</f>
        <v/>
      </c>
      <c r="DW65" s="342">
        <f>IFERROR(Table410[[#This Row],[Apr_2027_Days_Forecast]]*Table410[[#This Row],[Cost Boolean]]*(VLOOKUP(Table410[[#This Row],[RATE CONCAT]],Tables!I:N,6,0)),0)</f>
        <v/>
      </c>
      <c r="DY65" s="342">
        <f>Table410[[#This Row],[Apr_2027_F]]-Table410[[#This Row],[Apr_2027_A]]</f>
        <v/>
      </c>
      <c r="DZ65" s="342">
        <f>IFERROR(Table410[[#This Row],[May_2027_Days_Forecast]]*Table410[[#This Row],[Cost Boolean]]*(VLOOKUP(Table410[[#This Row],[RATE CONCAT]],Tables!I:N,6,0)),0)</f>
        <v/>
      </c>
      <c r="EB65" s="342">
        <f>Table410[[#This Row],[May_2027_F]]-Table410[[#This Row],[May_2027_A]]</f>
        <v/>
      </c>
      <c r="EC65" s="342">
        <f>IFERROR(Table410[[#This Row],[Jun_2027_Days_Forecast]]*Table410[[#This Row],[Cost Boolean]]*(VLOOKUP(Table410[[#This Row],[RATE CONCAT]],Tables!I:N,6,0)),0)</f>
        <v/>
      </c>
      <c r="EE65" s="342">
        <f>Table410[[#This Row],[Jun_2027_F]]-Table410[[#This Row],[Jun_2027_A]]</f>
        <v/>
      </c>
      <c r="EF65" s="342">
        <f>IFERROR(Table410[[#This Row],[Jul_2027_Days_Forecast]]*Table410[[#This Row],[Cost Boolean]]*(VLOOKUP(Table410[[#This Row],[RATE CONCAT]],Tables!I:N,6,0)),0)</f>
        <v/>
      </c>
      <c r="EH65" s="342">
        <f>Table410[[#This Row],[Jul_2027_F]]-Table410[[#This Row],[Jul_2027_A]]</f>
        <v/>
      </c>
      <c r="EI65" s="342">
        <f>IFERROR(Table410[[#This Row],[Aug_2027_Days_Forecast]]*Table410[[#This Row],[Cost Boolean]]*(VLOOKUP(Table410[[#This Row],[RATE CONCAT]],Tables!I:N,6,0)),0)</f>
        <v/>
      </c>
      <c r="EK65" s="342">
        <f>Table410[[#This Row],[Aug_2027_F]]-Table410[[#This Row],[Aug_2027_A]]</f>
        <v/>
      </c>
      <c r="EL65" s="342">
        <f>IFERROR(Table410[[#This Row],[Sep_2027_Days_Forecast]]*Table410[[#This Row],[Cost Boolean]]*(VLOOKUP(Table410[[#This Row],[RATE CONCAT]],Tables!I:N,6,0)),0)</f>
        <v/>
      </c>
      <c r="EN65" s="342">
        <f>Table410[[#This Row],[Sep_2027_F]]-Table410[[#This Row],[Sep_2027_A]]</f>
        <v/>
      </c>
      <c r="EO65" s="342">
        <f>IFERROR(Table410[[#This Row],[Oct_2027_Days_Forecast]]*Table410[[#This Row],[Cost Boolean]]*(VLOOKUP(Table410[[#This Row],[RATE CONCAT]],Tables!I:N,6,0)),0)</f>
        <v/>
      </c>
      <c r="EQ65" s="342">
        <f>Table410[[#This Row],[Oct_2027_F]]-Table410[[#This Row],[Oct_2027_A]]</f>
        <v/>
      </c>
      <c r="ER65" s="342">
        <f>IFERROR(Table410[[#This Row],[Nov_2027_Days_Forecast]]*Table410[[#This Row],[Cost Boolean]]*(VLOOKUP(Table410[[#This Row],[RATE CONCAT]],Tables!I:N,6,0)),0)</f>
        <v/>
      </c>
      <c r="ET65" s="342">
        <f>Table410[[#This Row],[Nov_2027_F]]-Table410[[#This Row],[Nov_2027_A]]</f>
        <v/>
      </c>
      <c r="EU65" s="342">
        <f>IFERROR(Table410[[#This Row],[Dec_2027_Days_Forecast]]*Table410[[#This Row],[Cost Boolean]]*(VLOOKUP(Table410[[#This Row],[RATE CONCAT]],Tables!I:N,6,0)),0)</f>
        <v/>
      </c>
      <c r="EW65" s="342">
        <f>Table410[[#This Row],[Dec_2027_F]]-Table410[[#This Row],[Dec_2027_A]]</f>
        <v/>
      </c>
    </row>
    <row r="66" ht="15" customFormat="1" customHeight="1" s="13">
      <c r="Y66" s="338">
        <f>CONCATENATE(Table410[[#This Row],[JG]],Table410[[#This Row],[Country]],Table410[[#This Row],[Resource Provider]])</f>
        <v/>
      </c>
      <c r="Z66" s="338">
        <f>VLOOKUP(Table410[[#This Row],[RATE CONCAT]],Tables!I:N,5,0)</f>
        <v/>
      </c>
      <c r="AA66" s="52" t="n"/>
      <c r="AB66" s="127" t="n"/>
      <c r="AC66" s="127" t="n"/>
      <c r="AD66" s="127" t="n"/>
      <c r="AE66" s="127" t="n"/>
      <c r="AF66" s="127" t="n"/>
      <c r="AG66" s="127" t="n"/>
      <c r="AH66" s="127" t="n"/>
      <c r="AI66" s="127" t="n"/>
      <c r="AJ66" s="127" t="n"/>
      <c r="AK66" s="127" t="n"/>
      <c r="AL66" s="127" t="n"/>
      <c r="AM66" s="127" t="n"/>
      <c r="AN66" s="341">
        <f>IFERROR(AVERAGE(Table410[[#This Row],[Jan_2026_Days_Forecast]:[Dec_2026_Days_Forecast]]),0)/19</f>
        <v/>
      </c>
      <c r="AO66" s="341">
        <f>IFERROR(AVERAGE(Table410[[#This Row],[Jan_2026_Days_Actual]:[Dec_2026_Days_Actual]]),0)/19</f>
        <v/>
      </c>
      <c r="BB66" s="341">
        <f>IFERROR(AVERAGE(Table410[[#This Row],[Jan_2027_Days_Forecast]:[Dec_2027_Days_Forecast]]),0)</f>
        <v/>
      </c>
      <c r="BC66" s="127" t="n"/>
      <c r="BD66" s="127" t="n"/>
      <c r="BE66" s="127" t="n"/>
      <c r="BF66" s="127" t="n"/>
      <c r="BG66" s="127" t="n"/>
      <c r="BH66" s="127" t="n"/>
      <c r="BI66" s="127" t="n"/>
      <c r="BJ66" s="127" t="n"/>
      <c r="BK66" s="127" t="n"/>
      <c r="BL66" s="127" t="n"/>
      <c r="BM66" s="127" t="n"/>
      <c r="BN66" s="127" t="n"/>
      <c r="BO66" s="176" t="n"/>
      <c r="BP66" s="176" t="n"/>
      <c r="BQ66" s="338">
        <f>IFERROR(Table410[[#This Row],[Jan_2026_Days_Forecast]]*Table410[[#This Row],[Cost Boolean]]*(VLOOKUP(Table410[[#This Row],[RATE CONCAT]],Tables!I:N,5,0)),0)</f>
        <v/>
      </c>
      <c r="BR66" s="338">
        <f>IFERROR(Table410[[#This Row],[Jan_2026_Days_Actual]]*Table410[[#This Row],[Cost Boolean]]*(VLOOKUP(Table410[[#This Row],[RATE CONCAT]],Tables!I:N,5,0)),0)</f>
        <v/>
      </c>
      <c r="BS66" s="338">
        <f>Table410[[#This Row],[Jan_2026_F]]-Table410[[#This Row],[Jan_2026_A]]</f>
        <v/>
      </c>
      <c r="BU66" s="338">
        <f>IFERROR(Table410[[#This Row],[Feb_2026_Days_Forecast]]*Table410[[#This Row],[Cost Boolean]]*(VLOOKUP(Table410[[#This Row],[RATE CONCAT]],Tables!I:N,5,0)),0)</f>
        <v/>
      </c>
      <c r="BV66" s="338">
        <f>IFERROR(Table410[[#This Row],[Feb_2026_Days_Actual]]*Table410[[#This Row],[Cost Boolean]]*(VLOOKUP(Table410[[#This Row],[RATE CONCAT]],Tables!I:N,5,0)),0)</f>
        <v/>
      </c>
      <c r="BW66" s="338">
        <f>Table410[[#This Row],[Feb_2026_F]]-Table410[[#This Row],[Feb_2026_A]]</f>
        <v/>
      </c>
      <c r="BY66" s="338">
        <f>IFERROR(Table410[[#This Row],[Mar_2026_Days_Forecast]]*Table410[[#This Row],[Cost Boolean]]*(VLOOKUP(Table410[[#This Row],[RATE CONCAT]],Tables!I:N,5,0)),0)</f>
        <v/>
      </c>
      <c r="BZ66" s="338">
        <f>IFERROR(Table410[[#This Row],[Mar_2026_Days_Actual]]*Table410[[#This Row],[Cost Boolean]]*(VLOOKUP(Table410[[#This Row],[RATE CONCAT]],Tables!I:N,5,0)),0)</f>
        <v/>
      </c>
      <c r="CA66" s="338">
        <f>Table410[[#This Row],[Mar_2026_F]]-Table410[[#This Row],[Mar_2026_A]]</f>
        <v/>
      </c>
      <c r="CC66" s="338">
        <f>IFERROR(Table410[[#This Row],[Apr_2026_Days_Forecast]]*Table410[[#This Row],[Cost Boolean]]*(VLOOKUP(Table410[[#This Row],[RATE CONCAT]],Tables!I:N,5,0)),0)</f>
        <v/>
      </c>
      <c r="CD66" s="338">
        <f>IFERROR(Table410[[#This Row],[Apr_2026_Days_Actual]]*Table410[[#This Row],[Cost Boolean]]*(VLOOKUP(Table410[[#This Row],[RATE CONCAT]],Tables!I:N,5,0)),0)</f>
        <v/>
      </c>
      <c r="CE66" s="338">
        <f>Table410[[#This Row],[Apr_2026_F]]-Table410[[#This Row],[Apr_2026_A]]</f>
        <v/>
      </c>
      <c r="CG66" s="338">
        <f>IFERROR(Table410[[#This Row],[May_2026_Days_Forecast]] *Table410[[#This Row],[Cost Boolean]]*(VLOOKUP(Table410[[#This Row],[RATE CONCAT]],Tables!I:N,5,0)),0)</f>
        <v/>
      </c>
      <c r="CH66" s="338">
        <f>IFERROR(Table410[[#This Row],[May_2026_Days_Actual]]*Table410[[#This Row],[Cost Boolean]]*(VLOOKUP(Table410[[#This Row],[RATE CONCAT]],Tables!I:N,5,0)),0)</f>
        <v/>
      </c>
      <c r="CI66" s="338">
        <f>Table410[[#This Row],[May_2026_F]]-Table410[[#This Row],[May_2026_A]]</f>
        <v/>
      </c>
      <c r="CK66" s="338">
        <f>IFERROR(Table410[[#This Row],[Jun_2026_Days_Forecast]]*Table410[[#This Row],[Cost Boolean]]*(VLOOKUP(Table410[[#This Row],[RATE CONCAT]],Tables!I:N,5,0)),0)</f>
        <v/>
      </c>
      <c r="CL66" s="338">
        <f>IFERROR(Table410[[#This Row],[Jun_2026_Days_Actual]]*Table410[[#This Row],[Cost Boolean]]*(VLOOKUP(Table410[[#This Row],[RATE CONCAT]],Tables!I:N,5,0)),0)</f>
        <v/>
      </c>
      <c r="CM66" s="338">
        <f>Table410[[#This Row],[Jun_2026_F]]-Table410[[#This Row],[Jun_2026_A]]</f>
        <v/>
      </c>
      <c r="CO66" s="338">
        <f>IFERROR(Table410[[#This Row],[Jul_2026_Days_Forecast]]*Table410[[#This Row],[Cost Boolean]]*(VLOOKUP(Table410[[#This Row],[RATE CONCAT]],Tables!I:N,5,0)),0)</f>
        <v/>
      </c>
      <c r="CP66" s="338">
        <f>IFERROR(Table410[[#This Row],[Jul_2026_Days_Actual]]*Table410[[#This Row],[Cost Boolean]]*(VLOOKUP(Table410[[#This Row],[RATE CONCAT]],Tables!I:N,5,0)),0)</f>
        <v/>
      </c>
      <c r="CQ66" s="338">
        <f>Table410[[#This Row],[Jul_2026_F]]-Table410[[#This Row],[Jul_2026_A]]</f>
        <v/>
      </c>
      <c r="CS66" s="338">
        <f>IFERROR(Table410[[#This Row],[Aug_2026_Days_Forecast]]*Table410[[#This Row],[Cost Boolean]]*(VLOOKUP(Table410[[#This Row],[RATE CONCAT]],Tables!I:N,5,0)),0)</f>
        <v/>
      </c>
      <c r="CT66" s="338">
        <f>IFERROR(Table410[[#This Row],[Aug_2026_Days_Actual]]*Table410[[#This Row],[Cost Boolean]]*(VLOOKUP(Table410[[#This Row],[RATE CONCAT]],Tables!I:N,5,0)),0)</f>
        <v/>
      </c>
      <c r="CU66" s="338">
        <f>Table410[[#This Row],[Aug_2026_F]]-Table410[[#This Row],[Aug_2026_A]]</f>
        <v/>
      </c>
      <c r="CW66" s="338">
        <f>IFERROR(Table410[[#This Row],[Sep_2026_Days_Forecast]]*Table410[[#This Row],[Cost Boolean]]*(VLOOKUP(Table410[[#This Row],[RATE CONCAT]],Tables!I:N,5,0)),0)</f>
        <v/>
      </c>
      <c r="CX66" s="338">
        <f>IFERROR(Table410[[#This Row],[Sep_2026_Days_Actual]]*Table410[[#This Row],[Cost Boolean]]*(VLOOKUP(Table410[[#This Row],[RATE CONCAT]],Tables!I:N,5,0)),0)</f>
        <v/>
      </c>
      <c r="CY66" s="338">
        <f>Table410[[#This Row],[Sep_2026_F]]-Table410[[#This Row],[Sep_2026_A]]</f>
        <v/>
      </c>
      <c r="DA66" s="338">
        <f>IFERROR(Table410[[#This Row],[Oct_2026_Days_Forecast]]*Table410[[#This Row],[Cost Boolean]]*(VLOOKUP(Table410[[#This Row],[RATE CONCAT]],Tables!I:N,5,0)),0)</f>
        <v/>
      </c>
      <c r="DB66" s="338">
        <f>IFERROR(Table410[[#This Row],[Oct_2026_Days_Actual]]*Table410[[#This Row],[Cost Boolean]]*(VLOOKUP(Table410[[#This Row],[RATE CONCAT]],Tables!I:N,5,0)),0)</f>
        <v/>
      </c>
      <c r="DC66" s="338">
        <f>Table410[[#This Row],[Oct_2026_F]]-Table410[[#This Row],[Oct_2026_A]]</f>
        <v/>
      </c>
      <c r="DE66" s="338">
        <f>IFERROR(Table410[[#This Row],[Nov_2026_Days_Forecast]]*Table410[[#This Row],[Cost Boolean]]*(VLOOKUP(Table410[[#This Row],[RATE CONCAT]],Tables!I:N,5,0)),0)</f>
        <v/>
      </c>
      <c r="DF66" s="338">
        <f>IFERROR(Table410[[#This Row],[Nov_2026_Days_Actual]]*Table410[[#This Row],[Cost Boolean]]*(VLOOKUP(Table410[[#This Row],[RATE CONCAT]],Tables!I:N,5,0)),0)</f>
        <v/>
      </c>
      <c r="DG66" s="338">
        <f>Table410[[#This Row],[Nov_2026_F]]-Table410[[#This Row],[Nov_2026_A]]</f>
        <v/>
      </c>
      <c r="DI66" s="338">
        <f>IFERROR(Table410[[#This Row],[Dec_2026_Days_Forecast]]*Table410[[#This Row],[Cost Boolean]]*(VLOOKUP(Table410[[#This Row],[RATE CONCAT]],Tables!I:N,5,0)),0)</f>
        <v/>
      </c>
      <c r="DJ66" s="338">
        <f>IFERROR(Table410[[#This Row],[Dec_2026_Days_Actual]]*Table410[[#This Row],[Cost Boolean]]*(VLOOKUP(Table410[[#This Row],[RATE CONCAT]],Tables!I:N,5,0)),0)</f>
        <v/>
      </c>
      <c r="DK66" s="338">
        <f>Table410[[#This Row],[Dec_2026_F]]-Table410[[#This Row],[Dec_2026_A]]</f>
        <v/>
      </c>
      <c r="DN66" s="338">
        <f>IFERROR(Table410[[#This Row],[Jan_2027_Days_Forecast]]*Table410[[#This Row],[Cost Boolean]]*(VLOOKUP(Table410[[#This Row],[RATE CONCAT]],Tables!I:N,6,0)),0)</f>
        <v/>
      </c>
      <c r="DP66" s="338">
        <f>Table410[[#This Row],[Jan_2027_F]]-Table410[[#This Row],[Jan_2027_A]]</f>
        <v/>
      </c>
      <c r="DQ66" s="338">
        <f>IFERROR(Table410[[#This Row],[Feb_2027_Days_Forecast]]*Table410[[#This Row],[Cost Boolean]]*(VLOOKUP(Table410[[#This Row],[RATE CONCAT]],Tables!I:N,6,0)),0)</f>
        <v/>
      </c>
      <c r="DS66" s="338">
        <f>Table410[[#This Row],[Feb_2027_F]]-Table410[[#This Row],[Feb_2027_A]]</f>
        <v/>
      </c>
      <c r="DT66" s="338">
        <f>IFERROR(Table410[[#This Row],[Mar_2027_Days_Forecast]]*Table410[[#This Row],[Cost Boolean]]*(VLOOKUP(Table410[[#This Row],[RATE CONCAT]],Tables!I:N,6,0)),0)</f>
        <v/>
      </c>
      <c r="DV66" s="338">
        <f>Table410[[#This Row],[Mar_2027_F]]-Table410[[#This Row],[Mar_2027_A]]</f>
        <v/>
      </c>
      <c r="DW66" s="338">
        <f>IFERROR(Table410[[#This Row],[Apr_2027_Days_Forecast]]*Table410[[#This Row],[Cost Boolean]]*(VLOOKUP(Table410[[#This Row],[RATE CONCAT]],Tables!I:N,6,0)),0)</f>
        <v/>
      </c>
      <c r="DY66" s="338">
        <f>Table410[[#This Row],[Apr_2027_F]]-Table410[[#This Row],[Apr_2027_A]]</f>
        <v/>
      </c>
      <c r="DZ66" s="338">
        <f>IFERROR(Table410[[#This Row],[May_2027_Days_Forecast]]*Table410[[#This Row],[Cost Boolean]]*(VLOOKUP(Table410[[#This Row],[RATE CONCAT]],Tables!I:N,6,0)),0)</f>
        <v/>
      </c>
      <c r="EB66" s="338">
        <f>Table410[[#This Row],[May_2027_F]]-Table410[[#This Row],[May_2027_A]]</f>
        <v/>
      </c>
      <c r="EC66" s="338">
        <f>IFERROR(Table410[[#This Row],[Jun_2027_Days_Forecast]]*Table410[[#This Row],[Cost Boolean]]*(VLOOKUP(Table410[[#This Row],[RATE CONCAT]],Tables!I:N,6,0)),0)</f>
        <v/>
      </c>
      <c r="EE66" s="338">
        <f>Table410[[#This Row],[Jun_2027_F]]-Table410[[#This Row],[Jun_2027_A]]</f>
        <v/>
      </c>
      <c r="EF66" s="338">
        <f>IFERROR(Table410[[#This Row],[Jul_2027_Days_Forecast]]*Table410[[#This Row],[Cost Boolean]]*(VLOOKUP(Table410[[#This Row],[RATE CONCAT]],Tables!I:N,6,0)),0)</f>
        <v/>
      </c>
      <c r="EH66" s="338">
        <f>Table410[[#This Row],[Jul_2027_F]]-Table410[[#This Row],[Jul_2027_A]]</f>
        <v/>
      </c>
      <c r="EI66" s="338">
        <f>IFERROR(Table410[[#This Row],[Aug_2027_Days_Forecast]]*Table410[[#This Row],[Cost Boolean]]*(VLOOKUP(Table410[[#This Row],[RATE CONCAT]],Tables!I:N,6,0)),0)</f>
        <v/>
      </c>
      <c r="EK66" s="338">
        <f>Table410[[#This Row],[Aug_2027_F]]-Table410[[#This Row],[Aug_2027_A]]</f>
        <v/>
      </c>
      <c r="EL66" s="338">
        <f>IFERROR(Table410[[#This Row],[Sep_2027_Days_Forecast]]*Table410[[#This Row],[Cost Boolean]]*(VLOOKUP(Table410[[#This Row],[RATE CONCAT]],Tables!I:N,6,0)),0)</f>
        <v/>
      </c>
      <c r="EN66" s="338">
        <f>Table410[[#This Row],[Sep_2027_F]]-Table410[[#This Row],[Sep_2027_A]]</f>
        <v/>
      </c>
      <c r="EO66" s="338">
        <f>IFERROR(Table410[[#This Row],[Oct_2027_Days_Forecast]]*Table410[[#This Row],[Cost Boolean]]*(VLOOKUP(Table410[[#This Row],[RATE CONCAT]],Tables!I:N,6,0)),0)</f>
        <v/>
      </c>
      <c r="EQ66" s="338">
        <f>Table410[[#This Row],[Oct_2027_F]]-Table410[[#This Row],[Oct_2027_A]]</f>
        <v/>
      </c>
      <c r="ER66" s="338">
        <f>IFERROR(Table410[[#This Row],[Nov_2027_Days_Forecast]]*Table410[[#This Row],[Cost Boolean]]*(VLOOKUP(Table410[[#This Row],[RATE CONCAT]],Tables!I:N,6,0)),0)</f>
        <v/>
      </c>
      <c r="ET66" s="338">
        <f>Table410[[#This Row],[Nov_2027_F]]-Table410[[#This Row],[Nov_2027_A]]</f>
        <v/>
      </c>
      <c r="EU66" s="338">
        <f>IFERROR(Table410[[#This Row],[Dec_2027_Days_Forecast]]*Table410[[#This Row],[Cost Boolean]]*(VLOOKUP(Table410[[#This Row],[RATE CONCAT]],Tables!I:N,6,0)),0)</f>
        <v/>
      </c>
      <c r="EW66" s="338">
        <f>Table410[[#This Row],[Dec_2027_F]]-Table410[[#This Row],[Dec_2027_A]]</f>
        <v/>
      </c>
    </row>
    <row r="67" ht="15" customFormat="1" customHeight="1" s="13">
      <c r="Y67" s="342">
        <f>CONCATENATE(Table410[[#This Row],[JG]],Table410[[#This Row],[Country]],Table410[[#This Row],[Resource Provider]])</f>
        <v/>
      </c>
      <c r="Z67" s="342">
        <f>VLOOKUP(Table410[[#This Row],[RATE CONCAT]],Tables!I:N,5,0)</f>
        <v/>
      </c>
      <c r="AA67" s="52" t="n"/>
      <c r="AB67" s="127" t="n"/>
      <c r="AC67" s="127" t="n"/>
      <c r="AD67" s="127" t="n"/>
      <c r="AE67" s="127" t="n"/>
      <c r="AF67" s="127" t="n"/>
      <c r="AG67" s="127" t="n"/>
      <c r="AH67" s="127" t="n"/>
      <c r="AI67" s="127" t="n"/>
      <c r="AJ67" s="127" t="n"/>
      <c r="AK67" s="127" t="n"/>
      <c r="AL67" s="127" t="n"/>
      <c r="AM67" s="127" t="n"/>
      <c r="AN67" s="341">
        <f>IFERROR(AVERAGE(Table410[[#This Row],[Jan_2026_Days_Forecast]:[Dec_2026_Days_Forecast]]),0)/19</f>
        <v/>
      </c>
      <c r="AO67" s="341">
        <f>IFERROR(AVERAGE(Table410[[#This Row],[Jan_2026_Days_Actual]:[Dec_2026_Days_Actual]]),0)/19</f>
        <v/>
      </c>
      <c r="BB67" s="341">
        <f>IFERROR(AVERAGE(Table410[[#This Row],[Jan_2027_Days_Forecast]:[Dec_2027_Days_Forecast]]),0)</f>
        <v/>
      </c>
      <c r="BC67" s="127" t="n"/>
      <c r="BD67" s="127" t="n"/>
      <c r="BE67" s="127" t="n"/>
      <c r="BF67" s="127" t="n"/>
      <c r="BG67" s="127" t="n"/>
      <c r="BH67" s="127" t="n"/>
      <c r="BI67" s="127" t="n"/>
      <c r="BJ67" s="127" t="n"/>
      <c r="BK67" s="127" t="n"/>
      <c r="BL67" s="127" t="n"/>
      <c r="BM67" s="127" t="n"/>
      <c r="BN67" s="127" t="n"/>
      <c r="BO67" s="176" t="n"/>
      <c r="BP67" s="176" t="n"/>
      <c r="BQ67" s="342">
        <f>IFERROR(Table410[[#This Row],[Jan_2026_Days_Forecast]]*Table410[[#This Row],[Cost Boolean]]*(VLOOKUP(Table410[[#This Row],[RATE CONCAT]],Tables!I:N,5,0)),0)</f>
        <v/>
      </c>
      <c r="BR67" s="342">
        <f>IFERROR(Table410[[#This Row],[Jan_2026_Days_Actual]]*Table410[[#This Row],[Cost Boolean]]*(VLOOKUP(Table410[[#This Row],[RATE CONCAT]],Tables!I:N,5,0)),0)</f>
        <v/>
      </c>
      <c r="BS67" s="342">
        <f>Table410[[#This Row],[Jan_2026_F]]-Table410[[#This Row],[Jan_2026_A]]</f>
        <v/>
      </c>
      <c r="BU67" s="342">
        <f>IFERROR(Table410[[#This Row],[Feb_2026_Days_Forecast]]*Table410[[#This Row],[Cost Boolean]]*(VLOOKUP(Table410[[#This Row],[RATE CONCAT]],Tables!I:N,5,0)),0)</f>
        <v/>
      </c>
      <c r="BV67" s="342">
        <f>IFERROR(Table410[[#This Row],[Feb_2026_Days_Actual]]*Table410[[#This Row],[Cost Boolean]]*(VLOOKUP(Table410[[#This Row],[RATE CONCAT]],Tables!I:N,5,0)),0)</f>
        <v/>
      </c>
      <c r="BW67" s="342">
        <f>Table410[[#This Row],[Feb_2026_F]]-Table410[[#This Row],[Feb_2026_A]]</f>
        <v/>
      </c>
      <c r="BY67" s="342">
        <f>IFERROR(Table410[[#This Row],[Mar_2026_Days_Forecast]]*Table410[[#This Row],[Cost Boolean]]*(VLOOKUP(Table410[[#This Row],[RATE CONCAT]],Tables!I:N,5,0)),0)</f>
        <v/>
      </c>
      <c r="BZ67" s="342">
        <f>IFERROR(Table410[[#This Row],[Mar_2026_Days_Actual]]*Table410[[#This Row],[Cost Boolean]]*(VLOOKUP(Table410[[#This Row],[RATE CONCAT]],Tables!I:N,5,0)),0)</f>
        <v/>
      </c>
      <c r="CA67" s="342">
        <f>Table410[[#This Row],[Mar_2026_F]]-Table410[[#This Row],[Mar_2026_A]]</f>
        <v/>
      </c>
      <c r="CC67" s="342">
        <f>IFERROR(Table410[[#This Row],[Apr_2026_Days_Forecast]]*Table410[[#This Row],[Cost Boolean]]*(VLOOKUP(Table410[[#This Row],[RATE CONCAT]],Tables!I:N,5,0)),0)</f>
        <v/>
      </c>
      <c r="CD67" s="342">
        <f>IFERROR(Table410[[#This Row],[Apr_2026_Days_Actual]]*Table410[[#This Row],[Cost Boolean]]*(VLOOKUP(Table410[[#This Row],[RATE CONCAT]],Tables!I:N,5,0)),0)</f>
        <v/>
      </c>
      <c r="CE67" s="342">
        <f>Table410[[#This Row],[Apr_2026_F]]-Table410[[#This Row],[Apr_2026_A]]</f>
        <v/>
      </c>
      <c r="CG67" s="342">
        <f>IFERROR(Table410[[#This Row],[May_2026_Days_Forecast]] *Table410[[#This Row],[Cost Boolean]]*(VLOOKUP(Table410[[#This Row],[RATE CONCAT]],Tables!I:N,5,0)),0)</f>
        <v/>
      </c>
      <c r="CH67" s="342">
        <f>IFERROR(Table410[[#This Row],[May_2026_Days_Actual]]*Table410[[#This Row],[Cost Boolean]]*(VLOOKUP(Table410[[#This Row],[RATE CONCAT]],Tables!I:N,5,0)),0)</f>
        <v/>
      </c>
      <c r="CI67" s="342">
        <f>Table410[[#This Row],[May_2026_F]]-Table410[[#This Row],[May_2026_A]]</f>
        <v/>
      </c>
      <c r="CK67" s="342">
        <f>IFERROR(Table410[[#This Row],[Jun_2026_Days_Forecast]]*Table410[[#This Row],[Cost Boolean]]*(VLOOKUP(Table410[[#This Row],[RATE CONCAT]],Tables!I:N,5,0)),0)</f>
        <v/>
      </c>
      <c r="CL67" s="342">
        <f>IFERROR(Table410[[#This Row],[Jun_2026_Days_Actual]]*Table410[[#This Row],[Cost Boolean]]*(VLOOKUP(Table410[[#This Row],[RATE CONCAT]],Tables!I:N,5,0)),0)</f>
        <v/>
      </c>
      <c r="CM67" s="342">
        <f>Table410[[#This Row],[Jun_2026_F]]-Table410[[#This Row],[Jun_2026_A]]</f>
        <v/>
      </c>
      <c r="CO67" s="342">
        <f>IFERROR(Table410[[#This Row],[Jul_2026_Days_Forecast]]*Table410[[#This Row],[Cost Boolean]]*(VLOOKUP(Table410[[#This Row],[RATE CONCAT]],Tables!I:N,5,0)),0)</f>
        <v/>
      </c>
      <c r="CP67" s="342">
        <f>IFERROR(Table410[[#This Row],[Jul_2026_Days_Actual]]*Table410[[#This Row],[Cost Boolean]]*(VLOOKUP(Table410[[#This Row],[RATE CONCAT]],Tables!I:N,5,0)),0)</f>
        <v/>
      </c>
      <c r="CQ67" s="342">
        <f>Table410[[#This Row],[Jul_2026_F]]-Table410[[#This Row],[Jul_2026_A]]</f>
        <v/>
      </c>
      <c r="CS67" s="342">
        <f>IFERROR(Table410[[#This Row],[Aug_2026_Days_Forecast]]*Table410[[#This Row],[Cost Boolean]]*(VLOOKUP(Table410[[#This Row],[RATE CONCAT]],Tables!I:N,5,0)),0)</f>
        <v/>
      </c>
      <c r="CT67" s="342">
        <f>IFERROR(Table410[[#This Row],[Aug_2026_Days_Actual]]*Table410[[#This Row],[Cost Boolean]]*(VLOOKUP(Table410[[#This Row],[RATE CONCAT]],Tables!I:N,5,0)),0)</f>
        <v/>
      </c>
      <c r="CU67" s="342">
        <f>Table410[[#This Row],[Aug_2026_F]]-Table410[[#This Row],[Aug_2026_A]]</f>
        <v/>
      </c>
      <c r="CW67" s="342">
        <f>IFERROR(Table410[[#This Row],[Sep_2026_Days_Forecast]]*Table410[[#This Row],[Cost Boolean]]*(VLOOKUP(Table410[[#This Row],[RATE CONCAT]],Tables!I:N,5,0)),0)</f>
        <v/>
      </c>
      <c r="CX67" s="342">
        <f>IFERROR(Table410[[#This Row],[Sep_2026_Days_Actual]]*Table410[[#This Row],[Cost Boolean]]*(VLOOKUP(Table410[[#This Row],[RATE CONCAT]],Tables!I:N,5,0)),0)</f>
        <v/>
      </c>
      <c r="CY67" s="342">
        <f>Table410[[#This Row],[Sep_2026_F]]-Table410[[#This Row],[Sep_2026_A]]</f>
        <v/>
      </c>
      <c r="DA67" s="342">
        <f>IFERROR(Table410[[#This Row],[Oct_2026_Days_Forecast]]*Table410[[#This Row],[Cost Boolean]]*(VLOOKUP(Table410[[#This Row],[RATE CONCAT]],Tables!I:N,5,0)),0)</f>
        <v/>
      </c>
      <c r="DB67" s="342">
        <f>IFERROR(Table410[[#This Row],[Oct_2026_Days_Actual]]*Table410[[#This Row],[Cost Boolean]]*(VLOOKUP(Table410[[#This Row],[RATE CONCAT]],Tables!I:N,5,0)),0)</f>
        <v/>
      </c>
      <c r="DC67" s="342">
        <f>Table410[[#This Row],[Oct_2026_F]]-Table410[[#This Row],[Oct_2026_A]]</f>
        <v/>
      </c>
      <c r="DE67" s="342">
        <f>IFERROR(Table410[[#This Row],[Nov_2026_Days_Forecast]]*Table410[[#This Row],[Cost Boolean]]*(VLOOKUP(Table410[[#This Row],[RATE CONCAT]],Tables!I:N,5,0)),0)</f>
        <v/>
      </c>
      <c r="DF67" s="342">
        <f>IFERROR(Table410[[#This Row],[Nov_2026_Days_Actual]]*Table410[[#This Row],[Cost Boolean]]*(VLOOKUP(Table410[[#This Row],[RATE CONCAT]],Tables!I:N,5,0)),0)</f>
        <v/>
      </c>
      <c r="DG67" s="342">
        <f>Table410[[#This Row],[Nov_2026_F]]-Table410[[#This Row],[Nov_2026_A]]</f>
        <v/>
      </c>
      <c r="DI67" s="342">
        <f>IFERROR(Table410[[#This Row],[Dec_2026_Days_Forecast]]*Table410[[#This Row],[Cost Boolean]]*(VLOOKUP(Table410[[#This Row],[RATE CONCAT]],Tables!I:N,5,0)),0)</f>
        <v/>
      </c>
      <c r="DJ67" s="342">
        <f>IFERROR(Table410[[#This Row],[Dec_2026_Days_Actual]]*Table410[[#This Row],[Cost Boolean]]*(VLOOKUP(Table410[[#This Row],[RATE CONCAT]],Tables!I:N,5,0)),0)</f>
        <v/>
      </c>
      <c r="DK67" s="342">
        <f>Table410[[#This Row],[Dec_2026_F]]-Table410[[#This Row],[Dec_2026_A]]</f>
        <v/>
      </c>
      <c r="DN67" s="342">
        <f>IFERROR(Table410[[#This Row],[Jan_2027_Days_Forecast]]*Table410[[#This Row],[Cost Boolean]]*(VLOOKUP(Table410[[#This Row],[RATE CONCAT]],Tables!I:N,6,0)),0)</f>
        <v/>
      </c>
      <c r="DP67" s="342">
        <f>Table410[[#This Row],[Jan_2027_F]]-Table410[[#This Row],[Jan_2027_A]]</f>
        <v/>
      </c>
      <c r="DQ67" s="342">
        <f>IFERROR(Table410[[#This Row],[Feb_2027_Days_Forecast]]*Table410[[#This Row],[Cost Boolean]]*(VLOOKUP(Table410[[#This Row],[RATE CONCAT]],Tables!I:N,6,0)),0)</f>
        <v/>
      </c>
      <c r="DS67" s="342">
        <f>Table410[[#This Row],[Feb_2027_F]]-Table410[[#This Row],[Feb_2027_A]]</f>
        <v/>
      </c>
      <c r="DT67" s="342">
        <f>IFERROR(Table410[[#This Row],[Mar_2027_Days_Forecast]]*Table410[[#This Row],[Cost Boolean]]*(VLOOKUP(Table410[[#This Row],[RATE CONCAT]],Tables!I:N,6,0)),0)</f>
        <v/>
      </c>
      <c r="DV67" s="342">
        <f>Table410[[#This Row],[Mar_2027_F]]-Table410[[#This Row],[Mar_2027_A]]</f>
        <v/>
      </c>
      <c r="DW67" s="342">
        <f>IFERROR(Table410[[#This Row],[Apr_2027_Days_Forecast]]*Table410[[#This Row],[Cost Boolean]]*(VLOOKUP(Table410[[#This Row],[RATE CONCAT]],Tables!I:N,6,0)),0)</f>
        <v/>
      </c>
      <c r="DY67" s="342">
        <f>Table410[[#This Row],[Apr_2027_F]]-Table410[[#This Row],[Apr_2027_A]]</f>
        <v/>
      </c>
      <c r="DZ67" s="342">
        <f>IFERROR(Table410[[#This Row],[May_2027_Days_Forecast]]*Table410[[#This Row],[Cost Boolean]]*(VLOOKUP(Table410[[#This Row],[RATE CONCAT]],Tables!I:N,6,0)),0)</f>
        <v/>
      </c>
      <c r="EB67" s="342">
        <f>Table410[[#This Row],[May_2027_F]]-Table410[[#This Row],[May_2027_A]]</f>
        <v/>
      </c>
      <c r="EC67" s="342">
        <f>IFERROR(Table410[[#This Row],[Jun_2027_Days_Forecast]]*Table410[[#This Row],[Cost Boolean]]*(VLOOKUP(Table410[[#This Row],[RATE CONCAT]],Tables!I:N,6,0)),0)</f>
        <v/>
      </c>
      <c r="EE67" s="342">
        <f>Table410[[#This Row],[Jun_2027_F]]-Table410[[#This Row],[Jun_2027_A]]</f>
        <v/>
      </c>
      <c r="EF67" s="342">
        <f>IFERROR(Table410[[#This Row],[Jul_2027_Days_Forecast]]*Table410[[#This Row],[Cost Boolean]]*(VLOOKUP(Table410[[#This Row],[RATE CONCAT]],Tables!I:N,6,0)),0)</f>
        <v/>
      </c>
      <c r="EH67" s="342">
        <f>Table410[[#This Row],[Jul_2027_F]]-Table410[[#This Row],[Jul_2027_A]]</f>
        <v/>
      </c>
      <c r="EI67" s="342">
        <f>IFERROR(Table410[[#This Row],[Aug_2027_Days_Forecast]]*Table410[[#This Row],[Cost Boolean]]*(VLOOKUP(Table410[[#This Row],[RATE CONCAT]],Tables!I:N,6,0)),0)</f>
        <v/>
      </c>
      <c r="EK67" s="342">
        <f>Table410[[#This Row],[Aug_2027_F]]-Table410[[#This Row],[Aug_2027_A]]</f>
        <v/>
      </c>
      <c r="EL67" s="342">
        <f>IFERROR(Table410[[#This Row],[Sep_2027_Days_Forecast]]*Table410[[#This Row],[Cost Boolean]]*(VLOOKUP(Table410[[#This Row],[RATE CONCAT]],Tables!I:N,6,0)),0)</f>
        <v/>
      </c>
      <c r="EN67" s="342">
        <f>Table410[[#This Row],[Sep_2027_F]]-Table410[[#This Row],[Sep_2027_A]]</f>
        <v/>
      </c>
      <c r="EO67" s="342">
        <f>IFERROR(Table410[[#This Row],[Oct_2027_Days_Forecast]]*Table410[[#This Row],[Cost Boolean]]*(VLOOKUP(Table410[[#This Row],[RATE CONCAT]],Tables!I:N,6,0)),0)</f>
        <v/>
      </c>
      <c r="EQ67" s="342">
        <f>Table410[[#This Row],[Oct_2027_F]]-Table410[[#This Row],[Oct_2027_A]]</f>
        <v/>
      </c>
      <c r="ER67" s="342">
        <f>IFERROR(Table410[[#This Row],[Nov_2027_Days_Forecast]]*Table410[[#This Row],[Cost Boolean]]*(VLOOKUP(Table410[[#This Row],[RATE CONCAT]],Tables!I:N,6,0)),0)</f>
        <v/>
      </c>
      <c r="ET67" s="342">
        <f>Table410[[#This Row],[Nov_2027_F]]-Table410[[#This Row],[Nov_2027_A]]</f>
        <v/>
      </c>
      <c r="EU67" s="342">
        <f>IFERROR(Table410[[#This Row],[Dec_2027_Days_Forecast]]*Table410[[#This Row],[Cost Boolean]]*(VLOOKUP(Table410[[#This Row],[RATE CONCAT]],Tables!I:N,6,0)),0)</f>
        <v/>
      </c>
      <c r="EW67" s="342">
        <f>Table410[[#This Row],[Dec_2027_F]]-Table410[[#This Row],[Dec_2027_A]]</f>
        <v/>
      </c>
    </row>
    <row r="68" ht="14.45" customFormat="1" customHeight="1" s="13">
      <c r="Y68" s="338">
        <f>CONCATENATE(Table410[[#This Row],[JG]],Table410[[#This Row],[Country]],Table410[[#This Row],[Resource Provider]])</f>
        <v/>
      </c>
      <c r="Z68" s="338">
        <f>VLOOKUP(Table410[[#This Row],[RATE CONCAT]],Tables!I:N,5,0)</f>
        <v/>
      </c>
      <c r="AA68" s="52" t="n"/>
      <c r="AB68" s="127" t="n"/>
      <c r="AC68" s="127" t="n"/>
      <c r="AD68" s="127" t="n"/>
      <c r="AE68" s="127" t="n"/>
      <c r="AF68" s="127" t="n"/>
      <c r="AG68" s="127" t="n"/>
      <c r="AH68" s="127" t="n"/>
      <c r="AI68" s="127" t="n"/>
      <c r="AJ68" s="127" t="n"/>
      <c r="AK68" s="127" t="n"/>
      <c r="AL68" s="127" t="n"/>
      <c r="AM68" s="127" t="n"/>
      <c r="AN68" s="341">
        <f>IFERROR(AVERAGE(Table410[[#This Row],[Jan_2026_Days_Forecast]:[Dec_2026_Days_Forecast]]),0)/19</f>
        <v/>
      </c>
      <c r="AO68" s="341">
        <f>IFERROR(AVERAGE(Table410[[#This Row],[Jan_2026_Days_Actual]:[Dec_2026_Days_Actual]]),0)/19</f>
        <v/>
      </c>
      <c r="BB68" s="341">
        <f>IFERROR(AVERAGE(Table410[[#This Row],[Jan_2027_Days_Forecast]:[Dec_2027_Days_Forecast]]),0)</f>
        <v/>
      </c>
      <c r="BC68" s="127" t="n"/>
      <c r="BD68" s="127" t="n"/>
      <c r="BE68" s="127" t="n"/>
      <c r="BF68" s="127" t="n"/>
      <c r="BG68" s="127" t="n"/>
      <c r="BH68" s="127" t="n"/>
      <c r="BI68" s="127" t="n"/>
      <c r="BJ68" s="127" t="n"/>
      <c r="BK68" s="127" t="n"/>
      <c r="BL68" s="127" t="n"/>
      <c r="BM68" s="127" t="n"/>
      <c r="BN68" s="127" t="n"/>
      <c r="BO68" s="176" t="n"/>
      <c r="BP68" s="176" t="n"/>
      <c r="BQ68" s="338">
        <f>IFERROR(Table410[[#This Row],[Jan_2026_Days_Forecast]]*Table410[[#This Row],[Cost Boolean]]*(VLOOKUP(Table410[[#This Row],[RATE CONCAT]],Tables!I:N,5,0)),0)</f>
        <v/>
      </c>
      <c r="BR68" s="338">
        <f>IFERROR(Table410[[#This Row],[Jan_2026_Days_Actual]]*Table410[[#This Row],[Cost Boolean]]*(VLOOKUP(Table410[[#This Row],[RATE CONCAT]],Tables!I:N,5,0)),0)</f>
        <v/>
      </c>
      <c r="BS68" s="338">
        <f>Table410[[#This Row],[Jan_2026_F]]-Table410[[#This Row],[Jan_2026_A]]</f>
        <v/>
      </c>
      <c r="BU68" s="338">
        <f>IFERROR(Table410[[#This Row],[Feb_2026_Days_Forecast]]*Table410[[#This Row],[Cost Boolean]]*(VLOOKUP(Table410[[#This Row],[RATE CONCAT]],Tables!I:N,5,0)),0)</f>
        <v/>
      </c>
      <c r="BV68" s="338">
        <f>IFERROR(Table410[[#This Row],[Feb_2026_Days_Actual]]*Table410[[#This Row],[Cost Boolean]]*(VLOOKUP(Table410[[#This Row],[RATE CONCAT]],Tables!I:N,5,0)),0)</f>
        <v/>
      </c>
      <c r="BW68" s="338">
        <f>Table410[[#This Row],[Feb_2026_F]]-Table410[[#This Row],[Feb_2026_A]]</f>
        <v/>
      </c>
      <c r="BY68" s="338">
        <f>IFERROR(Table410[[#This Row],[Mar_2026_Days_Forecast]]*Table410[[#This Row],[Cost Boolean]]*(VLOOKUP(Table410[[#This Row],[RATE CONCAT]],Tables!I:N,5,0)),0)</f>
        <v/>
      </c>
      <c r="BZ68" s="338">
        <f>IFERROR(Table410[[#This Row],[Mar_2026_Days_Actual]]*Table410[[#This Row],[Cost Boolean]]*(VLOOKUP(Table410[[#This Row],[RATE CONCAT]],Tables!I:N,5,0)),0)</f>
        <v/>
      </c>
      <c r="CA68" s="338">
        <f>Table410[[#This Row],[Mar_2026_F]]-Table410[[#This Row],[Mar_2026_A]]</f>
        <v/>
      </c>
      <c r="CC68" s="338">
        <f>IFERROR(Table410[[#This Row],[Apr_2026_Days_Forecast]]*Table410[[#This Row],[Cost Boolean]]*(VLOOKUP(Table410[[#This Row],[RATE CONCAT]],Tables!I:N,5,0)),0)</f>
        <v/>
      </c>
      <c r="CD68" s="338">
        <f>IFERROR(Table410[[#This Row],[Apr_2026_Days_Actual]]*Table410[[#This Row],[Cost Boolean]]*(VLOOKUP(Table410[[#This Row],[RATE CONCAT]],Tables!I:N,5,0)),0)</f>
        <v/>
      </c>
      <c r="CE68" s="338">
        <f>Table410[[#This Row],[Apr_2026_F]]-Table410[[#This Row],[Apr_2026_A]]</f>
        <v/>
      </c>
      <c r="CG68" s="338">
        <f>IFERROR(Table410[[#This Row],[May_2026_Days_Forecast]] *Table410[[#This Row],[Cost Boolean]]*(VLOOKUP(Table410[[#This Row],[RATE CONCAT]],Tables!I:N,5,0)),0)</f>
        <v/>
      </c>
      <c r="CH68" s="338">
        <f>IFERROR(Table410[[#This Row],[May_2026_Days_Actual]]*Table410[[#This Row],[Cost Boolean]]*(VLOOKUP(Table410[[#This Row],[RATE CONCAT]],Tables!I:N,5,0)),0)</f>
        <v/>
      </c>
      <c r="CI68" s="338">
        <f>Table410[[#This Row],[May_2026_F]]-Table410[[#This Row],[May_2026_A]]</f>
        <v/>
      </c>
      <c r="CK68" s="338">
        <f>IFERROR(Table410[[#This Row],[Jun_2026_Days_Forecast]]*Table410[[#This Row],[Cost Boolean]]*(VLOOKUP(Table410[[#This Row],[RATE CONCAT]],Tables!I:N,5,0)),0)</f>
        <v/>
      </c>
      <c r="CL68" s="338">
        <f>IFERROR(Table410[[#This Row],[Jun_2026_Days_Actual]]*Table410[[#This Row],[Cost Boolean]]*(VLOOKUP(Table410[[#This Row],[RATE CONCAT]],Tables!I:N,5,0)),0)</f>
        <v/>
      </c>
      <c r="CM68" s="338">
        <f>Table410[[#This Row],[Jun_2026_F]]-Table410[[#This Row],[Jun_2026_A]]</f>
        <v/>
      </c>
      <c r="CO68" s="338">
        <f>IFERROR(Table410[[#This Row],[Jul_2026_Days_Forecast]]*Table410[[#This Row],[Cost Boolean]]*(VLOOKUP(Table410[[#This Row],[RATE CONCAT]],Tables!I:N,5,0)),0)</f>
        <v/>
      </c>
      <c r="CP68" s="338">
        <f>IFERROR(Table410[[#This Row],[Jul_2026_Days_Actual]]*Table410[[#This Row],[Cost Boolean]]*(VLOOKUP(Table410[[#This Row],[RATE CONCAT]],Tables!I:N,5,0)),0)</f>
        <v/>
      </c>
      <c r="CQ68" s="338">
        <f>Table410[[#This Row],[Jul_2026_F]]-Table410[[#This Row],[Jul_2026_A]]</f>
        <v/>
      </c>
      <c r="CS68" s="338">
        <f>IFERROR(Table410[[#This Row],[Aug_2026_Days_Forecast]]*Table410[[#This Row],[Cost Boolean]]*(VLOOKUP(Table410[[#This Row],[RATE CONCAT]],Tables!I:N,5,0)),0)</f>
        <v/>
      </c>
      <c r="CT68" s="338">
        <f>IFERROR(Table410[[#This Row],[Aug_2026_Days_Actual]]*Table410[[#This Row],[Cost Boolean]]*(VLOOKUP(Table410[[#This Row],[RATE CONCAT]],Tables!I:N,5,0)),0)</f>
        <v/>
      </c>
      <c r="CU68" s="338">
        <f>Table410[[#This Row],[Aug_2026_F]]-Table410[[#This Row],[Aug_2026_A]]</f>
        <v/>
      </c>
      <c r="CW68" s="338">
        <f>IFERROR(Table410[[#This Row],[Sep_2026_Days_Forecast]]*Table410[[#This Row],[Cost Boolean]]*(VLOOKUP(Table410[[#This Row],[RATE CONCAT]],Tables!I:N,5,0)),0)</f>
        <v/>
      </c>
      <c r="CX68" s="338">
        <f>IFERROR(Table410[[#This Row],[Sep_2026_Days_Actual]]*Table410[[#This Row],[Cost Boolean]]*(VLOOKUP(Table410[[#This Row],[RATE CONCAT]],Tables!I:N,5,0)),0)</f>
        <v/>
      </c>
      <c r="CY68" s="338">
        <f>Table410[[#This Row],[Sep_2026_F]]-Table410[[#This Row],[Sep_2026_A]]</f>
        <v/>
      </c>
      <c r="DA68" s="338">
        <f>IFERROR(Table410[[#This Row],[Oct_2026_Days_Forecast]]*Table410[[#This Row],[Cost Boolean]]*(VLOOKUP(Table410[[#This Row],[RATE CONCAT]],Tables!I:N,5,0)),0)</f>
        <v/>
      </c>
      <c r="DB68" s="338">
        <f>IFERROR(Table410[[#This Row],[Oct_2026_Days_Actual]]*Table410[[#This Row],[Cost Boolean]]*(VLOOKUP(Table410[[#This Row],[RATE CONCAT]],Tables!I:N,5,0)),0)</f>
        <v/>
      </c>
      <c r="DC68" s="338">
        <f>Table410[[#This Row],[Oct_2026_F]]-Table410[[#This Row],[Oct_2026_A]]</f>
        <v/>
      </c>
      <c r="DE68" s="338">
        <f>IFERROR(Table410[[#This Row],[Nov_2026_Days_Forecast]]*Table410[[#This Row],[Cost Boolean]]*(VLOOKUP(Table410[[#This Row],[RATE CONCAT]],Tables!I:N,5,0)),0)</f>
        <v/>
      </c>
      <c r="DF68" s="338">
        <f>IFERROR(Table410[[#This Row],[Nov_2026_Days_Actual]]*Table410[[#This Row],[Cost Boolean]]*(VLOOKUP(Table410[[#This Row],[RATE CONCAT]],Tables!I:N,5,0)),0)</f>
        <v/>
      </c>
      <c r="DG68" s="338">
        <f>Table410[[#This Row],[Nov_2026_F]]-Table410[[#This Row],[Nov_2026_A]]</f>
        <v/>
      </c>
      <c r="DI68" s="338">
        <f>IFERROR(Table410[[#This Row],[Dec_2026_Days_Forecast]]*Table410[[#This Row],[Cost Boolean]]*(VLOOKUP(Table410[[#This Row],[RATE CONCAT]],Tables!I:N,5,0)),0)</f>
        <v/>
      </c>
      <c r="DJ68" s="338">
        <f>IFERROR(Table410[[#This Row],[Dec_2026_Days_Actual]]*Table410[[#This Row],[Cost Boolean]]*(VLOOKUP(Table410[[#This Row],[RATE CONCAT]],Tables!I:N,5,0)),0)</f>
        <v/>
      </c>
      <c r="DK68" s="338">
        <f>Table410[[#This Row],[Dec_2026_F]]-Table410[[#This Row],[Dec_2026_A]]</f>
        <v/>
      </c>
      <c r="DN68" s="338">
        <f>IFERROR(Table410[[#This Row],[Jan_2027_Days_Forecast]]*Table410[[#This Row],[Cost Boolean]]*(VLOOKUP(Table410[[#This Row],[RATE CONCAT]],Tables!I:N,6,0)),0)</f>
        <v/>
      </c>
      <c r="DP68" s="338">
        <f>Table410[[#This Row],[Jan_2027_F]]-Table410[[#This Row],[Jan_2027_A]]</f>
        <v/>
      </c>
      <c r="DQ68" s="338">
        <f>IFERROR(Table410[[#This Row],[Feb_2027_Days_Forecast]]*Table410[[#This Row],[Cost Boolean]]*(VLOOKUP(Table410[[#This Row],[RATE CONCAT]],Tables!I:N,6,0)),0)</f>
        <v/>
      </c>
      <c r="DS68" s="338">
        <f>Table410[[#This Row],[Feb_2027_F]]-Table410[[#This Row],[Feb_2027_A]]</f>
        <v/>
      </c>
      <c r="DT68" s="338">
        <f>IFERROR(Table410[[#This Row],[Mar_2027_Days_Forecast]]*Table410[[#This Row],[Cost Boolean]]*(VLOOKUP(Table410[[#This Row],[RATE CONCAT]],Tables!I:N,6,0)),0)</f>
        <v/>
      </c>
      <c r="DV68" s="338">
        <f>Table410[[#This Row],[Mar_2027_F]]-Table410[[#This Row],[Mar_2027_A]]</f>
        <v/>
      </c>
      <c r="DW68" s="338">
        <f>IFERROR(Table410[[#This Row],[Apr_2027_Days_Forecast]]*Table410[[#This Row],[Cost Boolean]]*(VLOOKUP(Table410[[#This Row],[RATE CONCAT]],Tables!I:N,6,0)),0)</f>
        <v/>
      </c>
      <c r="DY68" s="338">
        <f>Table410[[#This Row],[Apr_2027_F]]-Table410[[#This Row],[Apr_2027_A]]</f>
        <v/>
      </c>
      <c r="DZ68" s="338">
        <f>IFERROR(Table410[[#This Row],[May_2027_Days_Forecast]]*Table410[[#This Row],[Cost Boolean]]*(VLOOKUP(Table410[[#This Row],[RATE CONCAT]],Tables!I:N,6,0)),0)</f>
        <v/>
      </c>
      <c r="EB68" s="338">
        <f>Table410[[#This Row],[May_2027_F]]-Table410[[#This Row],[May_2027_A]]</f>
        <v/>
      </c>
      <c r="EC68" s="338">
        <f>IFERROR(Table410[[#This Row],[Jun_2027_Days_Forecast]]*Table410[[#This Row],[Cost Boolean]]*(VLOOKUP(Table410[[#This Row],[RATE CONCAT]],Tables!I:N,6,0)),0)</f>
        <v/>
      </c>
      <c r="EE68" s="338">
        <f>Table410[[#This Row],[Jun_2027_F]]-Table410[[#This Row],[Jun_2027_A]]</f>
        <v/>
      </c>
      <c r="EF68" s="338">
        <f>IFERROR(Table410[[#This Row],[Jul_2027_Days_Forecast]]*Table410[[#This Row],[Cost Boolean]]*(VLOOKUP(Table410[[#This Row],[RATE CONCAT]],Tables!I:N,6,0)),0)</f>
        <v/>
      </c>
      <c r="EH68" s="338">
        <f>Table410[[#This Row],[Jul_2027_F]]-Table410[[#This Row],[Jul_2027_A]]</f>
        <v/>
      </c>
      <c r="EI68" s="338">
        <f>IFERROR(Table410[[#This Row],[Aug_2027_Days_Forecast]]*Table410[[#This Row],[Cost Boolean]]*(VLOOKUP(Table410[[#This Row],[RATE CONCAT]],Tables!I:N,6,0)),0)</f>
        <v/>
      </c>
      <c r="EK68" s="338">
        <f>Table410[[#This Row],[Aug_2027_F]]-Table410[[#This Row],[Aug_2027_A]]</f>
        <v/>
      </c>
      <c r="EL68" s="338">
        <f>IFERROR(Table410[[#This Row],[Sep_2027_Days_Forecast]]*Table410[[#This Row],[Cost Boolean]]*(VLOOKUP(Table410[[#This Row],[RATE CONCAT]],Tables!I:N,6,0)),0)</f>
        <v/>
      </c>
      <c r="EN68" s="338">
        <f>Table410[[#This Row],[Sep_2027_F]]-Table410[[#This Row],[Sep_2027_A]]</f>
        <v/>
      </c>
      <c r="EO68" s="338">
        <f>IFERROR(Table410[[#This Row],[Oct_2027_Days_Forecast]]*Table410[[#This Row],[Cost Boolean]]*(VLOOKUP(Table410[[#This Row],[RATE CONCAT]],Tables!I:N,6,0)),0)</f>
        <v/>
      </c>
      <c r="EQ68" s="338">
        <f>Table410[[#This Row],[Oct_2027_F]]-Table410[[#This Row],[Oct_2027_A]]</f>
        <v/>
      </c>
      <c r="ER68" s="338">
        <f>IFERROR(Table410[[#This Row],[Nov_2027_Days_Forecast]]*Table410[[#This Row],[Cost Boolean]]*(VLOOKUP(Table410[[#This Row],[RATE CONCAT]],Tables!I:N,6,0)),0)</f>
        <v/>
      </c>
      <c r="ET68" s="338">
        <f>Table410[[#This Row],[Nov_2027_F]]-Table410[[#This Row],[Nov_2027_A]]</f>
        <v/>
      </c>
      <c r="EU68" s="338">
        <f>IFERROR(Table410[[#This Row],[Dec_2027_Days_Forecast]]*Table410[[#This Row],[Cost Boolean]]*(VLOOKUP(Table410[[#This Row],[RATE CONCAT]],Tables!I:N,6,0)),0)</f>
        <v/>
      </c>
      <c r="EW68" s="338">
        <f>Table410[[#This Row],[Dec_2027_F]]-Table410[[#This Row],[Dec_2027_A]]</f>
        <v/>
      </c>
    </row>
    <row r="69" ht="15" customFormat="1" customHeight="1" s="13">
      <c r="Y69" s="342">
        <f>CONCATENATE(Table410[[#This Row],[JG]],Table410[[#This Row],[Country]],Table410[[#This Row],[Resource Provider]])</f>
        <v/>
      </c>
      <c r="Z69" s="342">
        <f>VLOOKUP(Table410[[#This Row],[RATE CONCAT]],Tables!I:N,5,0)</f>
        <v/>
      </c>
      <c r="AA69" s="52" t="n"/>
      <c r="AB69" s="127" t="n"/>
      <c r="AC69" s="127" t="n"/>
      <c r="AD69" s="127" t="n"/>
      <c r="AE69" s="127" t="n"/>
      <c r="AF69" s="127" t="n"/>
      <c r="AG69" s="127" t="n"/>
      <c r="AH69" s="127" t="n"/>
      <c r="AI69" s="127" t="n"/>
      <c r="AJ69" s="127" t="n"/>
      <c r="AK69" s="127" t="n"/>
      <c r="AL69" s="127" t="n"/>
      <c r="AM69" s="127" t="n"/>
      <c r="AN69" s="341">
        <f>IFERROR(AVERAGE(Table410[[#This Row],[Jan_2026_Days_Forecast]:[Dec_2026_Days_Forecast]]),0)/19</f>
        <v/>
      </c>
      <c r="AO69" s="341">
        <f>IFERROR(AVERAGE(Table410[[#This Row],[Jan_2026_Days_Actual]:[Dec_2026_Days_Actual]]),0)/19</f>
        <v/>
      </c>
      <c r="BB69" s="341">
        <f>IFERROR(AVERAGE(Table410[[#This Row],[Jan_2027_Days_Forecast]:[Dec_2027_Days_Forecast]]),0)</f>
        <v/>
      </c>
      <c r="BC69" s="127" t="n"/>
      <c r="BD69" s="127" t="n"/>
      <c r="BE69" s="127" t="n"/>
      <c r="BF69" s="127" t="n"/>
      <c r="BG69" s="127" t="n"/>
      <c r="BH69" s="127" t="n"/>
      <c r="BI69" s="127" t="n"/>
      <c r="BJ69" s="127" t="n"/>
      <c r="BK69" s="127" t="n"/>
      <c r="BL69" s="127" t="n"/>
      <c r="BM69" s="127" t="n"/>
      <c r="BN69" s="127" t="n"/>
      <c r="BO69" s="176" t="n"/>
      <c r="BP69" s="176" t="n"/>
      <c r="BQ69" s="342">
        <f>IFERROR(Table410[[#This Row],[Jan_2026_Days_Forecast]]*Table410[[#This Row],[Cost Boolean]]*(VLOOKUP(Table410[[#This Row],[RATE CONCAT]],Tables!I:N,5,0)),0)</f>
        <v/>
      </c>
      <c r="BR69" s="342">
        <f>IFERROR(Table410[[#This Row],[Jan_2026_Days_Actual]]*Table410[[#This Row],[Cost Boolean]]*(VLOOKUP(Table410[[#This Row],[RATE CONCAT]],Tables!I:N,5,0)),0)</f>
        <v/>
      </c>
      <c r="BS69" s="342">
        <f>Table410[[#This Row],[Jan_2026_F]]-Table410[[#This Row],[Jan_2026_A]]</f>
        <v/>
      </c>
      <c r="BU69" s="342">
        <f>IFERROR(Table410[[#This Row],[Feb_2026_Days_Forecast]]*Table410[[#This Row],[Cost Boolean]]*(VLOOKUP(Table410[[#This Row],[RATE CONCAT]],Tables!I:N,5,0)),0)</f>
        <v/>
      </c>
      <c r="BV69" s="342">
        <f>IFERROR(Table410[[#This Row],[Feb_2026_Days_Actual]]*Table410[[#This Row],[Cost Boolean]]*(VLOOKUP(Table410[[#This Row],[RATE CONCAT]],Tables!I:N,5,0)),0)</f>
        <v/>
      </c>
      <c r="BW69" s="342">
        <f>Table410[[#This Row],[Feb_2026_F]]-Table410[[#This Row],[Feb_2026_A]]</f>
        <v/>
      </c>
      <c r="BY69" s="342">
        <f>IFERROR(Table410[[#This Row],[Mar_2026_Days_Forecast]]*Table410[[#This Row],[Cost Boolean]]*(VLOOKUP(Table410[[#This Row],[RATE CONCAT]],Tables!I:N,5,0)),0)</f>
        <v/>
      </c>
      <c r="BZ69" s="342">
        <f>IFERROR(Table410[[#This Row],[Mar_2026_Days_Actual]]*Table410[[#This Row],[Cost Boolean]]*(VLOOKUP(Table410[[#This Row],[RATE CONCAT]],Tables!I:N,5,0)),0)</f>
        <v/>
      </c>
      <c r="CA69" s="342">
        <f>Table410[[#This Row],[Mar_2026_F]]-Table410[[#This Row],[Mar_2026_A]]</f>
        <v/>
      </c>
      <c r="CC69" s="342">
        <f>IFERROR(Table410[[#This Row],[Apr_2026_Days_Forecast]]*Table410[[#This Row],[Cost Boolean]]*(VLOOKUP(Table410[[#This Row],[RATE CONCAT]],Tables!I:N,5,0)),0)</f>
        <v/>
      </c>
      <c r="CD69" s="342">
        <f>IFERROR(Table410[[#This Row],[Apr_2026_Days_Actual]]*Table410[[#This Row],[Cost Boolean]]*(VLOOKUP(Table410[[#This Row],[RATE CONCAT]],Tables!I:N,5,0)),0)</f>
        <v/>
      </c>
      <c r="CE69" s="342">
        <f>Table410[[#This Row],[Apr_2026_F]]-Table410[[#This Row],[Apr_2026_A]]</f>
        <v/>
      </c>
      <c r="CG69" s="342">
        <f>IFERROR(Table410[[#This Row],[May_2026_Days_Forecast]] *Table410[[#This Row],[Cost Boolean]]*(VLOOKUP(Table410[[#This Row],[RATE CONCAT]],Tables!I:N,5,0)),0)</f>
        <v/>
      </c>
      <c r="CH69" s="342">
        <f>IFERROR(Table410[[#This Row],[May_2026_Days_Actual]]*Table410[[#This Row],[Cost Boolean]]*(VLOOKUP(Table410[[#This Row],[RATE CONCAT]],Tables!I:N,5,0)),0)</f>
        <v/>
      </c>
      <c r="CI69" s="342">
        <f>Table410[[#This Row],[May_2026_F]]-Table410[[#This Row],[May_2026_A]]</f>
        <v/>
      </c>
      <c r="CK69" s="342">
        <f>IFERROR(Table410[[#This Row],[Jun_2026_Days_Forecast]]*Table410[[#This Row],[Cost Boolean]]*(VLOOKUP(Table410[[#This Row],[RATE CONCAT]],Tables!I:N,5,0)),0)</f>
        <v/>
      </c>
      <c r="CL69" s="342">
        <f>IFERROR(Table410[[#This Row],[Jun_2026_Days_Actual]]*Table410[[#This Row],[Cost Boolean]]*(VLOOKUP(Table410[[#This Row],[RATE CONCAT]],Tables!I:N,5,0)),0)</f>
        <v/>
      </c>
      <c r="CM69" s="342">
        <f>Table410[[#This Row],[Jun_2026_F]]-Table410[[#This Row],[Jun_2026_A]]</f>
        <v/>
      </c>
      <c r="CO69" s="342">
        <f>IFERROR(Table410[[#This Row],[Jul_2026_Days_Forecast]]*Table410[[#This Row],[Cost Boolean]]*(VLOOKUP(Table410[[#This Row],[RATE CONCAT]],Tables!I:N,5,0)),0)</f>
        <v/>
      </c>
      <c r="CP69" s="342">
        <f>IFERROR(Table410[[#This Row],[Jul_2026_Days_Actual]]*Table410[[#This Row],[Cost Boolean]]*(VLOOKUP(Table410[[#This Row],[RATE CONCAT]],Tables!I:N,5,0)),0)</f>
        <v/>
      </c>
      <c r="CQ69" s="342">
        <f>Table410[[#This Row],[Jul_2026_F]]-Table410[[#This Row],[Jul_2026_A]]</f>
        <v/>
      </c>
      <c r="CS69" s="342">
        <f>IFERROR(Table410[[#This Row],[Aug_2026_Days_Forecast]]*Table410[[#This Row],[Cost Boolean]]*(VLOOKUP(Table410[[#This Row],[RATE CONCAT]],Tables!I:N,5,0)),0)</f>
        <v/>
      </c>
      <c r="CT69" s="342">
        <f>IFERROR(Table410[[#This Row],[Aug_2026_Days_Actual]]*Table410[[#This Row],[Cost Boolean]]*(VLOOKUP(Table410[[#This Row],[RATE CONCAT]],Tables!I:N,5,0)),0)</f>
        <v/>
      </c>
      <c r="CU69" s="342">
        <f>Table410[[#This Row],[Aug_2026_F]]-Table410[[#This Row],[Aug_2026_A]]</f>
        <v/>
      </c>
      <c r="CW69" s="342">
        <f>IFERROR(Table410[[#This Row],[Sep_2026_Days_Forecast]]*Table410[[#This Row],[Cost Boolean]]*(VLOOKUP(Table410[[#This Row],[RATE CONCAT]],Tables!I:N,5,0)),0)</f>
        <v/>
      </c>
      <c r="CX69" s="342">
        <f>IFERROR(Table410[[#This Row],[Sep_2026_Days_Actual]]*Table410[[#This Row],[Cost Boolean]]*(VLOOKUP(Table410[[#This Row],[RATE CONCAT]],Tables!I:N,5,0)),0)</f>
        <v/>
      </c>
      <c r="CY69" s="342">
        <f>Table410[[#This Row],[Sep_2026_F]]-Table410[[#This Row],[Sep_2026_A]]</f>
        <v/>
      </c>
      <c r="DA69" s="342">
        <f>IFERROR(Table410[[#This Row],[Oct_2026_Days_Forecast]]*Table410[[#This Row],[Cost Boolean]]*(VLOOKUP(Table410[[#This Row],[RATE CONCAT]],Tables!I:N,5,0)),0)</f>
        <v/>
      </c>
      <c r="DB69" s="342">
        <f>IFERROR(Table410[[#This Row],[Oct_2026_Days_Actual]]*Table410[[#This Row],[Cost Boolean]]*(VLOOKUP(Table410[[#This Row],[RATE CONCAT]],Tables!I:N,5,0)),0)</f>
        <v/>
      </c>
      <c r="DC69" s="342">
        <f>Table410[[#This Row],[Oct_2026_F]]-Table410[[#This Row],[Oct_2026_A]]</f>
        <v/>
      </c>
      <c r="DE69" s="342">
        <f>IFERROR(Table410[[#This Row],[Nov_2026_Days_Forecast]]*Table410[[#This Row],[Cost Boolean]]*(VLOOKUP(Table410[[#This Row],[RATE CONCAT]],Tables!I:N,5,0)),0)</f>
        <v/>
      </c>
      <c r="DF69" s="342">
        <f>IFERROR(Table410[[#This Row],[Nov_2026_Days_Actual]]*Table410[[#This Row],[Cost Boolean]]*(VLOOKUP(Table410[[#This Row],[RATE CONCAT]],Tables!I:N,5,0)),0)</f>
        <v/>
      </c>
      <c r="DG69" s="342">
        <f>Table410[[#This Row],[Nov_2026_F]]-Table410[[#This Row],[Nov_2026_A]]</f>
        <v/>
      </c>
      <c r="DI69" s="342">
        <f>IFERROR(Table410[[#This Row],[Dec_2026_Days_Forecast]]*Table410[[#This Row],[Cost Boolean]]*(VLOOKUP(Table410[[#This Row],[RATE CONCAT]],Tables!I:N,5,0)),0)</f>
        <v/>
      </c>
      <c r="DJ69" s="342">
        <f>IFERROR(Table410[[#This Row],[Dec_2026_Days_Actual]]*Table410[[#This Row],[Cost Boolean]]*(VLOOKUP(Table410[[#This Row],[RATE CONCAT]],Tables!I:N,5,0)),0)</f>
        <v/>
      </c>
      <c r="DK69" s="342">
        <f>Table410[[#This Row],[Dec_2026_F]]-Table410[[#This Row],[Dec_2026_A]]</f>
        <v/>
      </c>
      <c r="DN69" s="342">
        <f>IFERROR(Table410[[#This Row],[Jan_2027_Days_Forecast]]*Table410[[#This Row],[Cost Boolean]]*(VLOOKUP(Table410[[#This Row],[RATE CONCAT]],Tables!I:N,6,0)),0)</f>
        <v/>
      </c>
      <c r="DP69" s="342">
        <f>Table410[[#This Row],[Jan_2027_F]]-Table410[[#This Row],[Jan_2027_A]]</f>
        <v/>
      </c>
      <c r="DQ69" s="342">
        <f>IFERROR(Table410[[#This Row],[Feb_2027_Days_Forecast]]*Table410[[#This Row],[Cost Boolean]]*(VLOOKUP(Table410[[#This Row],[RATE CONCAT]],Tables!I:N,6,0)),0)</f>
        <v/>
      </c>
      <c r="DS69" s="342">
        <f>Table410[[#This Row],[Feb_2027_F]]-Table410[[#This Row],[Feb_2027_A]]</f>
        <v/>
      </c>
      <c r="DT69" s="342">
        <f>IFERROR(Table410[[#This Row],[Mar_2027_Days_Forecast]]*Table410[[#This Row],[Cost Boolean]]*(VLOOKUP(Table410[[#This Row],[RATE CONCAT]],Tables!I:N,6,0)),0)</f>
        <v/>
      </c>
      <c r="DV69" s="342">
        <f>Table410[[#This Row],[Mar_2027_F]]-Table410[[#This Row],[Mar_2027_A]]</f>
        <v/>
      </c>
      <c r="DW69" s="342">
        <f>IFERROR(Table410[[#This Row],[Apr_2027_Days_Forecast]]*Table410[[#This Row],[Cost Boolean]]*(VLOOKUP(Table410[[#This Row],[RATE CONCAT]],Tables!I:N,6,0)),0)</f>
        <v/>
      </c>
      <c r="DY69" s="342">
        <f>Table410[[#This Row],[Apr_2027_F]]-Table410[[#This Row],[Apr_2027_A]]</f>
        <v/>
      </c>
      <c r="DZ69" s="342">
        <f>IFERROR(Table410[[#This Row],[May_2027_Days_Forecast]]*Table410[[#This Row],[Cost Boolean]]*(VLOOKUP(Table410[[#This Row],[RATE CONCAT]],Tables!I:N,6,0)),0)</f>
        <v/>
      </c>
      <c r="EB69" s="342">
        <f>Table410[[#This Row],[May_2027_F]]-Table410[[#This Row],[May_2027_A]]</f>
        <v/>
      </c>
      <c r="EC69" s="342">
        <f>IFERROR(Table410[[#This Row],[Jun_2027_Days_Forecast]]*Table410[[#This Row],[Cost Boolean]]*(VLOOKUP(Table410[[#This Row],[RATE CONCAT]],Tables!I:N,6,0)),0)</f>
        <v/>
      </c>
      <c r="EE69" s="342">
        <f>Table410[[#This Row],[Jun_2027_F]]-Table410[[#This Row],[Jun_2027_A]]</f>
        <v/>
      </c>
      <c r="EF69" s="342">
        <f>IFERROR(Table410[[#This Row],[Jul_2027_Days_Forecast]]*Table410[[#This Row],[Cost Boolean]]*(VLOOKUP(Table410[[#This Row],[RATE CONCAT]],Tables!I:N,6,0)),0)</f>
        <v/>
      </c>
      <c r="EH69" s="342">
        <f>Table410[[#This Row],[Jul_2027_F]]-Table410[[#This Row],[Jul_2027_A]]</f>
        <v/>
      </c>
      <c r="EI69" s="342">
        <f>IFERROR(Table410[[#This Row],[Aug_2027_Days_Forecast]]*Table410[[#This Row],[Cost Boolean]]*(VLOOKUP(Table410[[#This Row],[RATE CONCAT]],Tables!I:N,6,0)),0)</f>
        <v/>
      </c>
      <c r="EK69" s="342">
        <f>Table410[[#This Row],[Aug_2027_F]]-Table410[[#This Row],[Aug_2027_A]]</f>
        <v/>
      </c>
      <c r="EL69" s="342">
        <f>IFERROR(Table410[[#This Row],[Sep_2027_Days_Forecast]]*Table410[[#This Row],[Cost Boolean]]*(VLOOKUP(Table410[[#This Row],[RATE CONCAT]],Tables!I:N,6,0)),0)</f>
        <v/>
      </c>
      <c r="EN69" s="342">
        <f>Table410[[#This Row],[Sep_2027_F]]-Table410[[#This Row],[Sep_2027_A]]</f>
        <v/>
      </c>
      <c r="EO69" s="342">
        <f>IFERROR(Table410[[#This Row],[Oct_2027_Days_Forecast]]*Table410[[#This Row],[Cost Boolean]]*(VLOOKUP(Table410[[#This Row],[RATE CONCAT]],Tables!I:N,6,0)),0)</f>
        <v/>
      </c>
      <c r="EQ69" s="342">
        <f>Table410[[#This Row],[Oct_2027_F]]-Table410[[#This Row],[Oct_2027_A]]</f>
        <v/>
      </c>
      <c r="ER69" s="342">
        <f>IFERROR(Table410[[#This Row],[Nov_2027_Days_Forecast]]*Table410[[#This Row],[Cost Boolean]]*(VLOOKUP(Table410[[#This Row],[RATE CONCAT]],Tables!I:N,6,0)),0)</f>
        <v/>
      </c>
      <c r="ET69" s="342">
        <f>Table410[[#This Row],[Nov_2027_F]]-Table410[[#This Row],[Nov_2027_A]]</f>
        <v/>
      </c>
      <c r="EU69" s="342">
        <f>IFERROR(Table410[[#This Row],[Dec_2027_Days_Forecast]]*Table410[[#This Row],[Cost Boolean]]*(VLOOKUP(Table410[[#This Row],[RATE CONCAT]],Tables!I:N,6,0)),0)</f>
        <v/>
      </c>
      <c r="EW69" s="342">
        <f>Table410[[#This Row],[Dec_2027_F]]-Table410[[#This Row],[Dec_2027_A]]</f>
        <v/>
      </c>
    </row>
    <row r="70" ht="15" customFormat="1" customHeight="1" s="13">
      <c r="Y70" s="338">
        <f>CONCATENATE(Table410[[#This Row],[JG]],Table410[[#This Row],[Country]],Table410[[#This Row],[Resource Provider]])</f>
        <v/>
      </c>
      <c r="Z70" s="338">
        <f>VLOOKUP(Table410[[#This Row],[RATE CONCAT]],Tables!I:N,5,0)</f>
        <v/>
      </c>
      <c r="AA70" s="52" t="n"/>
      <c r="AB70" s="127" t="n"/>
      <c r="AC70" s="127" t="n"/>
      <c r="AD70" s="127" t="n"/>
      <c r="AE70" s="127" t="n"/>
      <c r="AF70" s="127" t="n"/>
      <c r="AG70" s="127" t="n"/>
      <c r="AH70" s="127" t="n"/>
      <c r="AI70" s="127" t="n"/>
      <c r="AJ70" s="127" t="n"/>
      <c r="AK70" s="127" t="n"/>
      <c r="AL70" s="127" t="n"/>
      <c r="AM70" s="127" t="n"/>
      <c r="AN70" s="341">
        <f>IFERROR(AVERAGE(Table410[[#This Row],[Jan_2026_Days_Forecast]:[Dec_2026_Days_Forecast]]),0)/19</f>
        <v/>
      </c>
      <c r="AO70" s="341">
        <f>IFERROR(AVERAGE(Table410[[#This Row],[Jan_2026_Days_Actual]:[Dec_2026_Days_Actual]]),0)/19</f>
        <v/>
      </c>
      <c r="BB70" s="341">
        <f>IFERROR(AVERAGE(Table410[[#This Row],[Jan_2027_Days_Forecast]:[Dec_2027_Days_Forecast]]),0)</f>
        <v/>
      </c>
      <c r="BC70" s="127" t="n"/>
      <c r="BD70" s="127" t="n"/>
      <c r="BE70" s="127" t="n"/>
      <c r="BF70" s="127" t="n"/>
      <c r="BG70" s="127" t="n"/>
      <c r="BH70" s="127" t="n"/>
      <c r="BI70" s="127" t="n"/>
      <c r="BJ70" s="127" t="n"/>
      <c r="BK70" s="127" t="n"/>
      <c r="BL70" s="127" t="n"/>
      <c r="BM70" s="127" t="n"/>
      <c r="BN70" s="127" t="n"/>
      <c r="BO70" s="176" t="n"/>
      <c r="BP70" s="176" t="n"/>
      <c r="BQ70" s="338">
        <f>IFERROR(Table410[[#This Row],[Jan_2026_Days_Forecast]]*Table410[[#This Row],[Cost Boolean]]*(VLOOKUP(Table410[[#This Row],[RATE CONCAT]],Tables!I:N,5,0)),0)</f>
        <v/>
      </c>
      <c r="BR70" s="338">
        <f>IFERROR(Table410[[#This Row],[Jan_2026_Days_Actual]]*Table410[[#This Row],[Cost Boolean]]*(VLOOKUP(Table410[[#This Row],[RATE CONCAT]],Tables!I:N,5,0)),0)</f>
        <v/>
      </c>
      <c r="BS70" s="338">
        <f>Table410[[#This Row],[Jan_2026_F]]-Table410[[#This Row],[Jan_2026_A]]</f>
        <v/>
      </c>
      <c r="BU70" s="338">
        <f>IFERROR(Table410[[#This Row],[Feb_2026_Days_Forecast]]*Table410[[#This Row],[Cost Boolean]]*(VLOOKUP(Table410[[#This Row],[RATE CONCAT]],Tables!I:N,5,0)),0)</f>
        <v/>
      </c>
      <c r="BV70" s="338">
        <f>IFERROR(Table410[[#This Row],[Feb_2026_Days_Actual]]*Table410[[#This Row],[Cost Boolean]]*(VLOOKUP(Table410[[#This Row],[RATE CONCAT]],Tables!I:N,5,0)),0)</f>
        <v/>
      </c>
      <c r="BW70" s="338">
        <f>Table410[[#This Row],[Feb_2026_F]]-Table410[[#This Row],[Feb_2026_A]]</f>
        <v/>
      </c>
      <c r="BY70" s="338">
        <f>IFERROR(Table410[[#This Row],[Mar_2026_Days_Forecast]]*Table410[[#This Row],[Cost Boolean]]*(VLOOKUP(Table410[[#This Row],[RATE CONCAT]],Tables!I:N,5,0)),0)</f>
        <v/>
      </c>
      <c r="BZ70" s="338">
        <f>IFERROR(Table410[[#This Row],[Mar_2026_Days_Actual]]*Table410[[#This Row],[Cost Boolean]]*(VLOOKUP(Table410[[#This Row],[RATE CONCAT]],Tables!I:N,5,0)),0)</f>
        <v/>
      </c>
      <c r="CA70" s="338">
        <f>Table410[[#This Row],[Mar_2026_F]]-Table410[[#This Row],[Mar_2026_A]]</f>
        <v/>
      </c>
      <c r="CC70" s="338">
        <f>IFERROR(Table410[[#This Row],[Apr_2026_Days_Forecast]]*Table410[[#This Row],[Cost Boolean]]*(VLOOKUP(Table410[[#This Row],[RATE CONCAT]],Tables!I:N,5,0)),0)</f>
        <v/>
      </c>
      <c r="CD70" s="338">
        <f>IFERROR(Table410[[#This Row],[Apr_2026_Days_Actual]]*Table410[[#This Row],[Cost Boolean]]*(VLOOKUP(Table410[[#This Row],[RATE CONCAT]],Tables!I:N,5,0)),0)</f>
        <v/>
      </c>
      <c r="CE70" s="338">
        <f>Table410[[#This Row],[Apr_2026_F]]-Table410[[#This Row],[Apr_2026_A]]</f>
        <v/>
      </c>
      <c r="CG70" s="338">
        <f>IFERROR(Table410[[#This Row],[May_2026_Days_Forecast]] *Table410[[#This Row],[Cost Boolean]]*(VLOOKUP(Table410[[#This Row],[RATE CONCAT]],Tables!I:N,5,0)),0)</f>
        <v/>
      </c>
      <c r="CH70" s="338">
        <f>IFERROR(Table410[[#This Row],[May_2026_Days_Actual]]*Table410[[#This Row],[Cost Boolean]]*(VLOOKUP(Table410[[#This Row],[RATE CONCAT]],Tables!I:N,5,0)),0)</f>
        <v/>
      </c>
      <c r="CI70" s="338">
        <f>Table410[[#This Row],[May_2026_F]]-Table410[[#This Row],[May_2026_A]]</f>
        <v/>
      </c>
      <c r="CK70" s="338">
        <f>IFERROR(Table410[[#This Row],[Jun_2026_Days_Forecast]]*Table410[[#This Row],[Cost Boolean]]*(VLOOKUP(Table410[[#This Row],[RATE CONCAT]],Tables!I:N,5,0)),0)</f>
        <v/>
      </c>
      <c r="CL70" s="338">
        <f>IFERROR(Table410[[#This Row],[Jun_2026_Days_Actual]]*Table410[[#This Row],[Cost Boolean]]*(VLOOKUP(Table410[[#This Row],[RATE CONCAT]],Tables!I:N,5,0)),0)</f>
        <v/>
      </c>
      <c r="CM70" s="338">
        <f>Table410[[#This Row],[Jun_2026_F]]-Table410[[#This Row],[Jun_2026_A]]</f>
        <v/>
      </c>
      <c r="CO70" s="338">
        <f>IFERROR(Table410[[#This Row],[Jul_2026_Days_Forecast]]*Table410[[#This Row],[Cost Boolean]]*(VLOOKUP(Table410[[#This Row],[RATE CONCAT]],Tables!I:N,5,0)),0)</f>
        <v/>
      </c>
      <c r="CP70" s="338">
        <f>IFERROR(Table410[[#This Row],[Jul_2026_Days_Actual]]*Table410[[#This Row],[Cost Boolean]]*(VLOOKUP(Table410[[#This Row],[RATE CONCAT]],Tables!I:N,5,0)),0)</f>
        <v/>
      </c>
      <c r="CQ70" s="338">
        <f>Table410[[#This Row],[Jul_2026_F]]-Table410[[#This Row],[Jul_2026_A]]</f>
        <v/>
      </c>
      <c r="CS70" s="338">
        <f>IFERROR(Table410[[#This Row],[Aug_2026_Days_Forecast]]*Table410[[#This Row],[Cost Boolean]]*(VLOOKUP(Table410[[#This Row],[RATE CONCAT]],Tables!I:N,5,0)),0)</f>
        <v/>
      </c>
      <c r="CT70" s="338">
        <f>IFERROR(Table410[[#This Row],[Aug_2026_Days_Actual]]*Table410[[#This Row],[Cost Boolean]]*(VLOOKUP(Table410[[#This Row],[RATE CONCAT]],Tables!I:N,5,0)),0)</f>
        <v/>
      </c>
      <c r="CU70" s="338">
        <f>Table410[[#This Row],[Aug_2026_F]]-Table410[[#This Row],[Aug_2026_A]]</f>
        <v/>
      </c>
      <c r="CW70" s="338">
        <f>IFERROR(Table410[[#This Row],[Sep_2026_Days_Forecast]]*Table410[[#This Row],[Cost Boolean]]*(VLOOKUP(Table410[[#This Row],[RATE CONCAT]],Tables!I:N,5,0)),0)</f>
        <v/>
      </c>
      <c r="CX70" s="338">
        <f>IFERROR(Table410[[#This Row],[Sep_2026_Days_Actual]]*Table410[[#This Row],[Cost Boolean]]*(VLOOKUP(Table410[[#This Row],[RATE CONCAT]],Tables!I:N,5,0)),0)</f>
        <v/>
      </c>
      <c r="CY70" s="338">
        <f>Table410[[#This Row],[Sep_2026_F]]-Table410[[#This Row],[Sep_2026_A]]</f>
        <v/>
      </c>
      <c r="DA70" s="338">
        <f>IFERROR(Table410[[#This Row],[Oct_2026_Days_Forecast]]*Table410[[#This Row],[Cost Boolean]]*(VLOOKUP(Table410[[#This Row],[RATE CONCAT]],Tables!I:N,5,0)),0)</f>
        <v/>
      </c>
      <c r="DB70" s="338">
        <f>IFERROR(Table410[[#This Row],[Oct_2026_Days_Actual]]*Table410[[#This Row],[Cost Boolean]]*(VLOOKUP(Table410[[#This Row],[RATE CONCAT]],Tables!I:N,5,0)),0)</f>
        <v/>
      </c>
      <c r="DC70" s="338">
        <f>Table410[[#This Row],[Oct_2026_F]]-Table410[[#This Row],[Oct_2026_A]]</f>
        <v/>
      </c>
      <c r="DE70" s="338">
        <f>IFERROR(Table410[[#This Row],[Nov_2026_Days_Forecast]]*Table410[[#This Row],[Cost Boolean]]*(VLOOKUP(Table410[[#This Row],[RATE CONCAT]],Tables!I:N,5,0)),0)</f>
        <v/>
      </c>
      <c r="DF70" s="338">
        <f>IFERROR(Table410[[#This Row],[Nov_2026_Days_Actual]]*Table410[[#This Row],[Cost Boolean]]*(VLOOKUP(Table410[[#This Row],[RATE CONCAT]],Tables!I:N,5,0)),0)</f>
        <v/>
      </c>
      <c r="DG70" s="338">
        <f>Table410[[#This Row],[Nov_2026_F]]-Table410[[#This Row],[Nov_2026_A]]</f>
        <v/>
      </c>
      <c r="DI70" s="338">
        <f>IFERROR(Table410[[#This Row],[Dec_2026_Days_Forecast]]*Table410[[#This Row],[Cost Boolean]]*(VLOOKUP(Table410[[#This Row],[RATE CONCAT]],Tables!I:N,5,0)),0)</f>
        <v/>
      </c>
      <c r="DJ70" s="338">
        <f>IFERROR(Table410[[#This Row],[Dec_2026_Days_Actual]]*Table410[[#This Row],[Cost Boolean]]*(VLOOKUP(Table410[[#This Row],[RATE CONCAT]],Tables!I:N,5,0)),0)</f>
        <v/>
      </c>
      <c r="DK70" s="338">
        <f>Table410[[#This Row],[Dec_2026_F]]-Table410[[#This Row],[Dec_2026_A]]</f>
        <v/>
      </c>
      <c r="DN70" s="338">
        <f>IFERROR(Table410[[#This Row],[Jan_2027_Days_Forecast]]*Table410[[#This Row],[Cost Boolean]]*(VLOOKUP(Table410[[#This Row],[RATE CONCAT]],Tables!I:N,6,0)),0)</f>
        <v/>
      </c>
      <c r="DP70" s="338">
        <f>Table410[[#This Row],[Jan_2027_F]]-Table410[[#This Row],[Jan_2027_A]]</f>
        <v/>
      </c>
      <c r="DQ70" s="338">
        <f>IFERROR(Table410[[#This Row],[Feb_2027_Days_Forecast]]*Table410[[#This Row],[Cost Boolean]]*(VLOOKUP(Table410[[#This Row],[RATE CONCAT]],Tables!I:N,6,0)),0)</f>
        <v/>
      </c>
      <c r="DS70" s="338">
        <f>Table410[[#This Row],[Feb_2027_F]]-Table410[[#This Row],[Feb_2027_A]]</f>
        <v/>
      </c>
      <c r="DT70" s="338">
        <f>IFERROR(Table410[[#This Row],[Mar_2027_Days_Forecast]]*Table410[[#This Row],[Cost Boolean]]*(VLOOKUP(Table410[[#This Row],[RATE CONCAT]],Tables!I:N,6,0)),0)</f>
        <v/>
      </c>
      <c r="DV70" s="338">
        <f>Table410[[#This Row],[Mar_2027_F]]-Table410[[#This Row],[Mar_2027_A]]</f>
        <v/>
      </c>
      <c r="DW70" s="338">
        <f>IFERROR(Table410[[#This Row],[Apr_2027_Days_Forecast]]*Table410[[#This Row],[Cost Boolean]]*(VLOOKUP(Table410[[#This Row],[RATE CONCAT]],Tables!I:N,6,0)),0)</f>
        <v/>
      </c>
      <c r="DY70" s="338">
        <f>Table410[[#This Row],[Apr_2027_F]]-Table410[[#This Row],[Apr_2027_A]]</f>
        <v/>
      </c>
      <c r="DZ70" s="338">
        <f>IFERROR(Table410[[#This Row],[May_2027_Days_Forecast]]*Table410[[#This Row],[Cost Boolean]]*(VLOOKUP(Table410[[#This Row],[RATE CONCAT]],Tables!I:N,6,0)),0)</f>
        <v/>
      </c>
      <c r="EB70" s="338">
        <f>Table410[[#This Row],[May_2027_F]]-Table410[[#This Row],[May_2027_A]]</f>
        <v/>
      </c>
      <c r="EC70" s="338">
        <f>IFERROR(Table410[[#This Row],[Jun_2027_Days_Forecast]]*Table410[[#This Row],[Cost Boolean]]*(VLOOKUP(Table410[[#This Row],[RATE CONCAT]],Tables!I:N,6,0)),0)</f>
        <v/>
      </c>
      <c r="EE70" s="338">
        <f>Table410[[#This Row],[Jun_2027_F]]-Table410[[#This Row],[Jun_2027_A]]</f>
        <v/>
      </c>
      <c r="EF70" s="338">
        <f>IFERROR(Table410[[#This Row],[Jul_2027_Days_Forecast]]*Table410[[#This Row],[Cost Boolean]]*(VLOOKUP(Table410[[#This Row],[RATE CONCAT]],Tables!I:N,6,0)),0)</f>
        <v/>
      </c>
      <c r="EH70" s="338">
        <f>Table410[[#This Row],[Jul_2027_F]]-Table410[[#This Row],[Jul_2027_A]]</f>
        <v/>
      </c>
      <c r="EI70" s="338">
        <f>IFERROR(Table410[[#This Row],[Aug_2027_Days_Forecast]]*Table410[[#This Row],[Cost Boolean]]*(VLOOKUP(Table410[[#This Row],[RATE CONCAT]],Tables!I:N,6,0)),0)</f>
        <v/>
      </c>
      <c r="EK70" s="338">
        <f>Table410[[#This Row],[Aug_2027_F]]-Table410[[#This Row],[Aug_2027_A]]</f>
        <v/>
      </c>
      <c r="EL70" s="338">
        <f>IFERROR(Table410[[#This Row],[Sep_2027_Days_Forecast]]*Table410[[#This Row],[Cost Boolean]]*(VLOOKUP(Table410[[#This Row],[RATE CONCAT]],Tables!I:N,6,0)),0)</f>
        <v/>
      </c>
      <c r="EN70" s="338">
        <f>Table410[[#This Row],[Sep_2027_F]]-Table410[[#This Row],[Sep_2027_A]]</f>
        <v/>
      </c>
      <c r="EO70" s="338">
        <f>IFERROR(Table410[[#This Row],[Oct_2027_Days_Forecast]]*Table410[[#This Row],[Cost Boolean]]*(VLOOKUP(Table410[[#This Row],[RATE CONCAT]],Tables!I:N,6,0)),0)</f>
        <v/>
      </c>
      <c r="EQ70" s="338">
        <f>Table410[[#This Row],[Oct_2027_F]]-Table410[[#This Row],[Oct_2027_A]]</f>
        <v/>
      </c>
      <c r="ER70" s="338">
        <f>IFERROR(Table410[[#This Row],[Nov_2027_Days_Forecast]]*Table410[[#This Row],[Cost Boolean]]*(VLOOKUP(Table410[[#This Row],[RATE CONCAT]],Tables!I:N,6,0)),0)</f>
        <v/>
      </c>
      <c r="ET70" s="338">
        <f>Table410[[#This Row],[Nov_2027_F]]-Table410[[#This Row],[Nov_2027_A]]</f>
        <v/>
      </c>
      <c r="EU70" s="338">
        <f>IFERROR(Table410[[#This Row],[Dec_2027_Days_Forecast]]*Table410[[#This Row],[Cost Boolean]]*(VLOOKUP(Table410[[#This Row],[RATE CONCAT]],Tables!I:N,6,0)),0)</f>
        <v/>
      </c>
      <c r="EW70" s="338">
        <f>Table410[[#This Row],[Dec_2027_F]]-Table410[[#This Row],[Dec_2027_A]]</f>
        <v/>
      </c>
    </row>
    <row r="71" ht="15" customFormat="1" customHeight="1" s="13">
      <c r="Y71" s="342">
        <f>CONCATENATE(Table410[[#This Row],[JG]],Table410[[#This Row],[Country]],Table410[[#This Row],[Resource Provider]])</f>
        <v/>
      </c>
      <c r="Z71" s="342">
        <f>VLOOKUP(Table410[[#This Row],[RATE CONCAT]],Tables!I:N,5,0)</f>
        <v/>
      </c>
      <c r="AA71" s="52" t="n"/>
      <c r="AB71" s="127" t="n"/>
      <c r="AC71" s="127" t="n"/>
      <c r="AD71" s="127" t="n"/>
      <c r="AE71" s="127" t="n"/>
      <c r="AF71" s="127" t="n"/>
      <c r="AG71" s="127" t="n"/>
      <c r="AH71" s="127" t="n"/>
      <c r="AI71" s="127" t="n"/>
      <c r="AJ71" s="127" t="n"/>
      <c r="AK71" s="127" t="n"/>
      <c r="AL71" s="127" t="n"/>
      <c r="AM71" s="127" t="n"/>
      <c r="AN71" s="341">
        <f>IFERROR(AVERAGE(Table410[[#This Row],[Jan_2026_Days_Forecast]:[Dec_2026_Days_Forecast]]),0)/19</f>
        <v/>
      </c>
      <c r="AO71" s="341">
        <f>IFERROR(AVERAGE(Table410[[#This Row],[Jan_2026_Days_Actual]:[Dec_2026_Days_Actual]]),0)/19</f>
        <v/>
      </c>
      <c r="BB71" s="341">
        <f>IFERROR(AVERAGE(Table410[[#This Row],[Jan_2027_Days_Forecast]:[Dec_2027_Days_Forecast]]),0)</f>
        <v/>
      </c>
      <c r="BC71" s="127" t="n"/>
      <c r="BD71" s="127" t="n"/>
      <c r="BE71" s="127" t="n"/>
      <c r="BF71" s="127" t="n"/>
      <c r="BG71" s="127" t="n"/>
      <c r="BH71" s="127" t="n"/>
      <c r="BI71" s="127" t="n"/>
      <c r="BJ71" s="127" t="n"/>
      <c r="BK71" s="127" t="n"/>
      <c r="BL71" s="127" t="n"/>
      <c r="BM71" s="127" t="n"/>
      <c r="BN71" s="127" t="n"/>
      <c r="BO71" s="176" t="n"/>
      <c r="BP71" s="176" t="n"/>
      <c r="BQ71" s="342">
        <f>IFERROR(Table410[[#This Row],[Jan_2026_Days_Forecast]]*Table410[[#This Row],[Cost Boolean]]*(VLOOKUP(Table410[[#This Row],[RATE CONCAT]],Tables!I:N,5,0)),0)</f>
        <v/>
      </c>
      <c r="BR71" s="342">
        <f>IFERROR(Table410[[#This Row],[Jan_2026_Days_Actual]]*Table410[[#This Row],[Cost Boolean]]*(VLOOKUP(Table410[[#This Row],[RATE CONCAT]],Tables!I:N,5,0)),0)</f>
        <v/>
      </c>
      <c r="BS71" s="342">
        <f>Table410[[#This Row],[Jan_2026_F]]-Table410[[#This Row],[Jan_2026_A]]</f>
        <v/>
      </c>
      <c r="BU71" s="342">
        <f>IFERROR(Table410[[#This Row],[Feb_2026_Days_Forecast]]*Table410[[#This Row],[Cost Boolean]]*(VLOOKUP(Table410[[#This Row],[RATE CONCAT]],Tables!I:N,5,0)),0)</f>
        <v/>
      </c>
      <c r="BV71" s="342">
        <f>IFERROR(Table410[[#This Row],[Feb_2026_Days_Actual]]*Table410[[#This Row],[Cost Boolean]]*(VLOOKUP(Table410[[#This Row],[RATE CONCAT]],Tables!I:N,5,0)),0)</f>
        <v/>
      </c>
      <c r="BW71" s="342">
        <f>Table410[[#This Row],[Feb_2026_F]]-Table410[[#This Row],[Feb_2026_A]]</f>
        <v/>
      </c>
      <c r="BY71" s="342">
        <f>IFERROR(Table410[[#This Row],[Mar_2026_Days_Forecast]]*Table410[[#This Row],[Cost Boolean]]*(VLOOKUP(Table410[[#This Row],[RATE CONCAT]],Tables!I:N,5,0)),0)</f>
        <v/>
      </c>
      <c r="BZ71" s="342">
        <f>IFERROR(Table410[[#This Row],[Mar_2026_Days_Actual]]*Table410[[#This Row],[Cost Boolean]]*(VLOOKUP(Table410[[#This Row],[RATE CONCAT]],Tables!I:N,5,0)),0)</f>
        <v/>
      </c>
      <c r="CA71" s="342">
        <f>Table410[[#This Row],[Mar_2026_F]]-Table410[[#This Row],[Mar_2026_A]]</f>
        <v/>
      </c>
      <c r="CC71" s="342">
        <f>IFERROR(Table410[[#This Row],[Apr_2026_Days_Forecast]]*Table410[[#This Row],[Cost Boolean]]*(VLOOKUP(Table410[[#This Row],[RATE CONCAT]],Tables!I:N,5,0)),0)</f>
        <v/>
      </c>
      <c r="CD71" s="342">
        <f>IFERROR(Table410[[#This Row],[Apr_2026_Days_Actual]]*Table410[[#This Row],[Cost Boolean]]*(VLOOKUP(Table410[[#This Row],[RATE CONCAT]],Tables!I:N,5,0)),0)</f>
        <v/>
      </c>
      <c r="CE71" s="342">
        <f>Table410[[#This Row],[Apr_2026_F]]-Table410[[#This Row],[Apr_2026_A]]</f>
        <v/>
      </c>
      <c r="CG71" s="342">
        <f>IFERROR(Table410[[#This Row],[May_2026_Days_Forecast]] *Table410[[#This Row],[Cost Boolean]]*(VLOOKUP(Table410[[#This Row],[RATE CONCAT]],Tables!I:N,5,0)),0)</f>
        <v/>
      </c>
      <c r="CH71" s="342">
        <f>IFERROR(Table410[[#This Row],[May_2026_Days_Actual]]*Table410[[#This Row],[Cost Boolean]]*(VLOOKUP(Table410[[#This Row],[RATE CONCAT]],Tables!I:N,5,0)),0)</f>
        <v/>
      </c>
      <c r="CI71" s="342">
        <f>Table410[[#This Row],[May_2026_F]]-Table410[[#This Row],[May_2026_A]]</f>
        <v/>
      </c>
      <c r="CK71" s="342">
        <f>IFERROR(Table410[[#This Row],[Jun_2026_Days_Forecast]]*Table410[[#This Row],[Cost Boolean]]*(VLOOKUP(Table410[[#This Row],[RATE CONCAT]],Tables!I:N,5,0)),0)</f>
        <v/>
      </c>
      <c r="CL71" s="342">
        <f>IFERROR(Table410[[#This Row],[Jun_2026_Days_Actual]]*Table410[[#This Row],[Cost Boolean]]*(VLOOKUP(Table410[[#This Row],[RATE CONCAT]],Tables!I:N,5,0)),0)</f>
        <v/>
      </c>
      <c r="CM71" s="342">
        <f>Table410[[#This Row],[Jun_2026_F]]-Table410[[#This Row],[Jun_2026_A]]</f>
        <v/>
      </c>
      <c r="CO71" s="342">
        <f>IFERROR(Table410[[#This Row],[Jul_2026_Days_Forecast]]*Table410[[#This Row],[Cost Boolean]]*(VLOOKUP(Table410[[#This Row],[RATE CONCAT]],Tables!I:N,5,0)),0)</f>
        <v/>
      </c>
      <c r="CP71" s="342">
        <f>IFERROR(Table410[[#This Row],[Jul_2026_Days_Actual]]*Table410[[#This Row],[Cost Boolean]]*(VLOOKUP(Table410[[#This Row],[RATE CONCAT]],Tables!I:N,5,0)),0)</f>
        <v/>
      </c>
      <c r="CQ71" s="342">
        <f>Table410[[#This Row],[Jul_2026_F]]-Table410[[#This Row],[Jul_2026_A]]</f>
        <v/>
      </c>
      <c r="CS71" s="342">
        <f>IFERROR(Table410[[#This Row],[Aug_2026_Days_Forecast]]*Table410[[#This Row],[Cost Boolean]]*(VLOOKUP(Table410[[#This Row],[RATE CONCAT]],Tables!I:N,5,0)),0)</f>
        <v/>
      </c>
      <c r="CT71" s="342">
        <f>IFERROR(Table410[[#This Row],[Aug_2026_Days_Actual]]*Table410[[#This Row],[Cost Boolean]]*(VLOOKUP(Table410[[#This Row],[RATE CONCAT]],Tables!I:N,5,0)),0)</f>
        <v/>
      </c>
      <c r="CU71" s="342">
        <f>Table410[[#This Row],[Aug_2026_F]]-Table410[[#This Row],[Aug_2026_A]]</f>
        <v/>
      </c>
      <c r="CW71" s="342">
        <f>IFERROR(Table410[[#This Row],[Sep_2026_Days_Forecast]]*Table410[[#This Row],[Cost Boolean]]*(VLOOKUP(Table410[[#This Row],[RATE CONCAT]],Tables!I:N,5,0)),0)</f>
        <v/>
      </c>
      <c r="CX71" s="342">
        <f>IFERROR(Table410[[#This Row],[Sep_2026_Days_Actual]]*Table410[[#This Row],[Cost Boolean]]*(VLOOKUP(Table410[[#This Row],[RATE CONCAT]],Tables!I:N,5,0)),0)</f>
        <v/>
      </c>
      <c r="CY71" s="342">
        <f>Table410[[#This Row],[Sep_2026_F]]-Table410[[#This Row],[Sep_2026_A]]</f>
        <v/>
      </c>
      <c r="DA71" s="342">
        <f>IFERROR(Table410[[#This Row],[Oct_2026_Days_Forecast]]*Table410[[#This Row],[Cost Boolean]]*(VLOOKUP(Table410[[#This Row],[RATE CONCAT]],Tables!I:N,5,0)),0)</f>
        <v/>
      </c>
      <c r="DB71" s="342">
        <f>IFERROR(Table410[[#This Row],[Oct_2026_Days_Actual]]*Table410[[#This Row],[Cost Boolean]]*(VLOOKUP(Table410[[#This Row],[RATE CONCAT]],Tables!I:N,5,0)),0)</f>
        <v/>
      </c>
      <c r="DC71" s="342">
        <f>Table410[[#This Row],[Oct_2026_F]]-Table410[[#This Row],[Oct_2026_A]]</f>
        <v/>
      </c>
      <c r="DE71" s="342">
        <f>IFERROR(Table410[[#This Row],[Nov_2026_Days_Forecast]]*Table410[[#This Row],[Cost Boolean]]*(VLOOKUP(Table410[[#This Row],[RATE CONCAT]],Tables!I:N,5,0)),0)</f>
        <v/>
      </c>
      <c r="DF71" s="342">
        <f>IFERROR(Table410[[#This Row],[Nov_2026_Days_Actual]]*Table410[[#This Row],[Cost Boolean]]*(VLOOKUP(Table410[[#This Row],[RATE CONCAT]],Tables!I:N,5,0)),0)</f>
        <v/>
      </c>
      <c r="DG71" s="342">
        <f>Table410[[#This Row],[Nov_2026_F]]-Table410[[#This Row],[Nov_2026_A]]</f>
        <v/>
      </c>
      <c r="DI71" s="342">
        <f>IFERROR(Table410[[#This Row],[Dec_2026_Days_Forecast]]*Table410[[#This Row],[Cost Boolean]]*(VLOOKUP(Table410[[#This Row],[RATE CONCAT]],Tables!I:N,5,0)),0)</f>
        <v/>
      </c>
      <c r="DJ71" s="342">
        <f>IFERROR(Table410[[#This Row],[Dec_2026_Days_Actual]]*Table410[[#This Row],[Cost Boolean]]*(VLOOKUP(Table410[[#This Row],[RATE CONCAT]],Tables!I:N,5,0)),0)</f>
        <v/>
      </c>
      <c r="DK71" s="342">
        <f>Table410[[#This Row],[Dec_2026_F]]-Table410[[#This Row],[Dec_2026_A]]</f>
        <v/>
      </c>
      <c r="DN71" s="342">
        <f>IFERROR(Table410[[#This Row],[Jan_2027_Days_Forecast]]*Table410[[#This Row],[Cost Boolean]]*(VLOOKUP(Table410[[#This Row],[RATE CONCAT]],Tables!I:N,6,0)),0)</f>
        <v/>
      </c>
      <c r="DP71" s="342">
        <f>Table410[[#This Row],[Jan_2027_F]]-Table410[[#This Row],[Jan_2027_A]]</f>
        <v/>
      </c>
      <c r="DQ71" s="342">
        <f>IFERROR(Table410[[#This Row],[Feb_2027_Days_Forecast]]*Table410[[#This Row],[Cost Boolean]]*(VLOOKUP(Table410[[#This Row],[RATE CONCAT]],Tables!I:N,6,0)),0)</f>
        <v/>
      </c>
      <c r="DS71" s="342">
        <f>Table410[[#This Row],[Feb_2027_F]]-Table410[[#This Row],[Feb_2027_A]]</f>
        <v/>
      </c>
      <c r="DT71" s="342">
        <f>IFERROR(Table410[[#This Row],[Mar_2027_Days_Forecast]]*Table410[[#This Row],[Cost Boolean]]*(VLOOKUP(Table410[[#This Row],[RATE CONCAT]],Tables!I:N,6,0)),0)</f>
        <v/>
      </c>
      <c r="DV71" s="342">
        <f>Table410[[#This Row],[Mar_2027_F]]-Table410[[#This Row],[Mar_2027_A]]</f>
        <v/>
      </c>
      <c r="DW71" s="342">
        <f>IFERROR(Table410[[#This Row],[Apr_2027_Days_Forecast]]*Table410[[#This Row],[Cost Boolean]]*(VLOOKUP(Table410[[#This Row],[RATE CONCAT]],Tables!I:N,6,0)),0)</f>
        <v/>
      </c>
      <c r="DY71" s="342">
        <f>Table410[[#This Row],[Apr_2027_F]]-Table410[[#This Row],[Apr_2027_A]]</f>
        <v/>
      </c>
      <c r="DZ71" s="342">
        <f>IFERROR(Table410[[#This Row],[May_2027_Days_Forecast]]*Table410[[#This Row],[Cost Boolean]]*(VLOOKUP(Table410[[#This Row],[RATE CONCAT]],Tables!I:N,6,0)),0)</f>
        <v/>
      </c>
      <c r="EB71" s="342">
        <f>Table410[[#This Row],[May_2027_F]]-Table410[[#This Row],[May_2027_A]]</f>
        <v/>
      </c>
      <c r="EC71" s="342">
        <f>IFERROR(Table410[[#This Row],[Jun_2027_Days_Forecast]]*Table410[[#This Row],[Cost Boolean]]*(VLOOKUP(Table410[[#This Row],[RATE CONCAT]],Tables!I:N,6,0)),0)</f>
        <v/>
      </c>
      <c r="EE71" s="342">
        <f>Table410[[#This Row],[Jun_2027_F]]-Table410[[#This Row],[Jun_2027_A]]</f>
        <v/>
      </c>
      <c r="EF71" s="342">
        <f>IFERROR(Table410[[#This Row],[Jul_2027_Days_Forecast]]*Table410[[#This Row],[Cost Boolean]]*(VLOOKUP(Table410[[#This Row],[RATE CONCAT]],Tables!I:N,6,0)),0)</f>
        <v/>
      </c>
      <c r="EH71" s="342">
        <f>Table410[[#This Row],[Jul_2027_F]]-Table410[[#This Row],[Jul_2027_A]]</f>
        <v/>
      </c>
      <c r="EI71" s="342">
        <f>IFERROR(Table410[[#This Row],[Aug_2027_Days_Forecast]]*Table410[[#This Row],[Cost Boolean]]*(VLOOKUP(Table410[[#This Row],[RATE CONCAT]],Tables!I:N,6,0)),0)</f>
        <v/>
      </c>
      <c r="EK71" s="342">
        <f>Table410[[#This Row],[Aug_2027_F]]-Table410[[#This Row],[Aug_2027_A]]</f>
        <v/>
      </c>
      <c r="EL71" s="342">
        <f>IFERROR(Table410[[#This Row],[Sep_2027_Days_Forecast]]*Table410[[#This Row],[Cost Boolean]]*(VLOOKUP(Table410[[#This Row],[RATE CONCAT]],Tables!I:N,6,0)),0)</f>
        <v/>
      </c>
      <c r="EN71" s="342">
        <f>Table410[[#This Row],[Sep_2027_F]]-Table410[[#This Row],[Sep_2027_A]]</f>
        <v/>
      </c>
      <c r="EO71" s="342">
        <f>IFERROR(Table410[[#This Row],[Oct_2027_Days_Forecast]]*Table410[[#This Row],[Cost Boolean]]*(VLOOKUP(Table410[[#This Row],[RATE CONCAT]],Tables!I:N,6,0)),0)</f>
        <v/>
      </c>
      <c r="EQ71" s="342">
        <f>Table410[[#This Row],[Oct_2027_F]]-Table410[[#This Row],[Oct_2027_A]]</f>
        <v/>
      </c>
      <c r="ER71" s="342">
        <f>IFERROR(Table410[[#This Row],[Nov_2027_Days_Forecast]]*Table410[[#This Row],[Cost Boolean]]*(VLOOKUP(Table410[[#This Row],[RATE CONCAT]],Tables!I:N,6,0)),0)</f>
        <v/>
      </c>
      <c r="ET71" s="342">
        <f>Table410[[#This Row],[Nov_2027_F]]-Table410[[#This Row],[Nov_2027_A]]</f>
        <v/>
      </c>
      <c r="EU71" s="342">
        <f>IFERROR(Table410[[#This Row],[Dec_2027_Days_Forecast]]*Table410[[#This Row],[Cost Boolean]]*(VLOOKUP(Table410[[#This Row],[RATE CONCAT]],Tables!I:N,6,0)),0)</f>
        <v/>
      </c>
      <c r="EW71" s="342">
        <f>Table410[[#This Row],[Dec_2027_F]]-Table410[[#This Row],[Dec_2027_A]]</f>
        <v/>
      </c>
    </row>
    <row r="72" ht="15" customFormat="1" customHeight="1" s="13">
      <c r="Y72" s="338">
        <f>CONCATENATE(Table410[[#This Row],[JG]],Table410[[#This Row],[Country]],Table410[[#This Row],[Resource Provider]])</f>
        <v/>
      </c>
      <c r="Z72" s="338">
        <f>VLOOKUP(Table410[[#This Row],[RATE CONCAT]],Tables!I:N,5,0)</f>
        <v/>
      </c>
      <c r="AA72" s="52" t="n"/>
      <c r="AB72" s="127" t="n"/>
      <c r="AC72" s="127" t="n"/>
      <c r="AD72" s="127" t="n"/>
      <c r="AE72" s="127" t="n"/>
      <c r="AF72" s="127" t="n"/>
      <c r="AG72" s="127" t="n"/>
      <c r="AH72" s="127" t="n"/>
      <c r="AI72" s="127" t="n"/>
      <c r="AJ72" s="127" t="n"/>
      <c r="AK72" s="127" t="n"/>
      <c r="AL72" s="127" t="n"/>
      <c r="AM72" s="127" t="n"/>
      <c r="AN72" s="341">
        <f>IFERROR(AVERAGE(Table410[[#This Row],[Jan_2026_Days_Forecast]:[Dec_2026_Days_Forecast]]),0)/19</f>
        <v/>
      </c>
      <c r="AO72" s="341">
        <f>IFERROR(AVERAGE(Table410[[#This Row],[Jan_2026_Days_Actual]:[Dec_2026_Days_Actual]]),0)/19</f>
        <v/>
      </c>
      <c r="BB72" s="341">
        <f>IFERROR(AVERAGE(Table410[[#This Row],[Jan_2027_Days_Forecast]:[Dec_2027_Days_Forecast]]),0)</f>
        <v/>
      </c>
      <c r="BC72" s="127" t="n"/>
      <c r="BD72" s="127" t="n"/>
      <c r="BE72" s="127" t="n"/>
      <c r="BF72" s="127" t="n"/>
      <c r="BG72" s="127" t="n"/>
      <c r="BH72" s="127" t="n"/>
      <c r="BI72" s="127" t="n"/>
      <c r="BJ72" s="127" t="n"/>
      <c r="BK72" s="127" t="n"/>
      <c r="BL72" s="127" t="n"/>
      <c r="BM72" s="127" t="n"/>
      <c r="BN72" s="127" t="n"/>
      <c r="BO72" s="176" t="n"/>
      <c r="BP72" s="176" t="n"/>
      <c r="BQ72" s="338">
        <f>IFERROR(Table410[[#This Row],[Jan_2026_Days_Forecast]]*Table410[[#This Row],[Cost Boolean]]*(VLOOKUP(Table410[[#This Row],[RATE CONCAT]],Tables!I:N,5,0)),0)</f>
        <v/>
      </c>
      <c r="BR72" s="338">
        <f>IFERROR(Table410[[#This Row],[Jan_2026_Days_Actual]]*Table410[[#This Row],[Cost Boolean]]*(VLOOKUP(Table410[[#This Row],[RATE CONCAT]],Tables!I:N,5,0)),0)</f>
        <v/>
      </c>
      <c r="BS72" s="338">
        <f>Table410[[#This Row],[Jan_2026_F]]-Table410[[#This Row],[Jan_2026_A]]</f>
        <v/>
      </c>
      <c r="BU72" s="338">
        <f>IFERROR(Table410[[#This Row],[Feb_2026_Days_Forecast]]*Table410[[#This Row],[Cost Boolean]]*(VLOOKUP(Table410[[#This Row],[RATE CONCAT]],Tables!I:N,5,0)),0)</f>
        <v/>
      </c>
      <c r="BV72" s="338">
        <f>IFERROR(Table410[[#This Row],[Feb_2026_Days_Actual]]*Table410[[#This Row],[Cost Boolean]]*(VLOOKUP(Table410[[#This Row],[RATE CONCAT]],Tables!I:N,5,0)),0)</f>
        <v/>
      </c>
      <c r="BW72" s="338">
        <f>Table410[[#This Row],[Feb_2026_F]]-Table410[[#This Row],[Feb_2026_A]]</f>
        <v/>
      </c>
      <c r="BY72" s="338">
        <f>IFERROR(Table410[[#This Row],[Mar_2026_Days_Forecast]]*Table410[[#This Row],[Cost Boolean]]*(VLOOKUP(Table410[[#This Row],[RATE CONCAT]],Tables!I:N,5,0)),0)</f>
        <v/>
      </c>
      <c r="BZ72" s="338">
        <f>IFERROR(Table410[[#This Row],[Mar_2026_Days_Actual]]*Table410[[#This Row],[Cost Boolean]]*(VLOOKUP(Table410[[#This Row],[RATE CONCAT]],Tables!I:N,5,0)),0)</f>
        <v/>
      </c>
      <c r="CA72" s="338">
        <f>Table410[[#This Row],[Mar_2026_F]]-Table410[[#This Row],[Mar_2026_A]]</f>
        <v/>
      </c>
      <c r="CC72" s="338">
        <f>IFERROR(Table410[[#This Row],[Apr_2026_Days_Forecast]]*Table410[[#This Row],[Cost Boolean]]*(VLOOKUP(Table410[[#This Row],[RATE CONCAT]],Tables!I:N,5,0)),0)</f>
        <v/>
      </c>
      <c r="CD72" s="338">
        <f>IFERROR(Table410[[#This Row],[Apr_2026_Days_Actual]]*Table410[[#This Row],[Cost Boolean]]*(VLOOKUP(Table410[[#This Row],[RATE CONCAT]],Tables!I:N,5,0)),0)</f>
        <v/>
      </c>
      <c r="CE72" s="338">
        <f>Table410[[#This Row],[Apr_2026_F]]-Table410[[#This Row],[Apr_2026_A]]</f>
        <v/>
      </c>
      <c r="CG72" s="338">
        <f>IFERROR(Table410[[#This Row],[May_2026_Days_Forecast]] *Table410[[#This Row],[Cost Boolean]]*(VLOOKUP(Table410[[#This Row],[RATE CONCAT]],Tables!I:N,5,0)),0)</f>
        <v/>
      </c>
      <c r="CH72" s="338">
        <f>IFERROR(Table410[[#This Row],[May_2026_Days_Actual]]*Table410[[#This Row],[Cost Boolean]]*(VLOOKUP(Table410[[#This Row],[RATE CONCAT]],Tables!I:N,5,0)),0)</f>
        <v/>
      </c>
      <c r="CI72" s="338">
        <f>Table410[[#This Row],[May_2026_F]]-Table410[[#This Row],[May_2026_A]]</f>
        <v/>
      </c>
      <c r="CK72" s="338">
        <f>IFERROR(Table410[[#This Row],[Jun_2026_Days_Forecast]]*Table410[[#This Row],[Cost Boolean]]*(VLOOKUP(Table410[[#This Row],[RATE CONCAT]],Tables!I:N,5,0)),0)</f>
        <v/>
      </c>
      <c r="CL72" s="338">
        <f>IFERROR(Table410[[#This Row],[Jun_2026_Days_Actual]]*Table410[[#This Row],[Cost Boolean]]*(VLOOKUP(Table410[[#This Row],[RATE CONCAT]],Tables!I:N,5,0)),0)</f>
        <v/>
      </c>
      <c r="CM72" s="338">
        <f>Table410[[#This Row],[Jun_2026_F]]-Table410[[#This Row],[Jun_2026_A]]</f>
        <v/>
      </c>
      <c r="CO72" s="338">
        <f>IFERROR(Table410[[#This Row],[Jul_2026_Days_Forecast]]*Table410[[#This Row],[Cost Boolean]]*(VLOOKUP(Table410[[#This Row],[RATE CONCAT]],Tables!I:N,5,0)),0)</f>
        <v/>
      </c>
      <c r="CP72" s="338">
        <f>IFERROR(Table410[[#This Row],[Jul_2026_Days_Actual]]*Table410[[#This Row],[Cost Boolean]]*(VLOOKUP(Table410[[#This Row],[RATE CONCAT]],Tables!I:N,5,0)),0)</f>
        <v/>
      </c>
      <c r="CQ72" s="338">
        <f>Table410[[#This Row],[Jul_2026_F]]-Table410[[#This Row],[Jul_2026_A]]</f>
        <v/>
      </c>
      <c r="CS72" s="338">
        <f>IFERROR(Table410[[#This Row],[Aug_2026_Days_Forecast]]*Table410[[#This Row],[Cost Boolean]]*(VLOOKUP(Table410[[#This Row],[RATE CONCAT]],Tables!I:N,5,0)),0)</f>
        <v/>
      </c>
      <c r="CT72" s="338">
        <f>IFERROR(Table410[[#This Row],[Aug_2026_Days_Actual]]*Table410[[#This Row],[Cost Boolean]]*(VLOOKUP(Table410[[#This Row],[RATE CONCAT]],Tables!I:N,5,0)),0)</f>
        <v/>
      </c>
      <c r="CU72" s="338">
        <f>Table410[[#This Row],[Aug_2026_F]]-Table410[[#This Row],[Aug_2026_A]]</f>
        <v/>
      </c>
      <c r="CW72" s="338">
        <f>IFERROR(Table410[[#This Row],[Sep_2026_Days_Forecast]]*Table410[[#This Row],[Cost Boolean]]*(VLOOKUP(Table410[[#This Row],[RATE CONCAT]],Tables!I:N,5,0)),0)</f>
        <v/>
      </c>
      <c r="CX72" s="338">
        <f>IFERROR(Table410[[#This Row],[Sep_2026_Days_Actual]]*Table410[[#This Row],[Cost Boolean]]*(VLOOKUP(Table410[[#This Row],[RATE CONCAT]],Tables!I:N,5,0)),0)</f>
        <v/>
      </c>
      <c r="CY72" s="338">
        <f>Table410[[#This Row],[Sep_2026_F]]-Table410[[#This Row],[Sep_2026_A]]</f>
        <v/>
      </c>
      <c r="DA72" s="338">
        <f>IFERROR(Table410[[#This Row],[Oct_2026_Days_Forecast]]*Table410[[#This Row],[Cost Boolean]]*(VLOOKUP(Table410[[#This Row],[RATE CONCAT]],Tables!I:N,5,0)),0)</f>
        <v/>
      </c>
      <c r="DB72" s="338">
        <f>IFERROR(Table410[[#This Row],[Oct_2026_Days_Actual]]*Table410[[#This Row],[Cost Boolean]]*(VLOOKUP(Table410[[#This Row],[RATE CONCAT]],Tables!I:N,5,0)),0)</f>
        <v/>
      </c>
      <c r="DC72" s="338">
        <f>Table410[[#This Row],[Oct_2026_F]]-Table410[[#This Row],[Oct_2026_A]]</f>
        <v/>
      </c>
      <c r="DE72" s="338">
        <f>IFERROR(Table410[[#This Row],[Nov_2026_Days_Forecast]]*Table410[[#This Row],[Cost Boolean]]*(VLOOKUP(Table410[[#This Row],[RATE CONCAT]],Tables!I:N,5,0)),0)</f>
        <v/>
      </c>
      <c r="DF72" s="338">
        <f>IFERROR(Table410[[#This Row],[Nov_2026_Days_Actual]]*Table410[[#This Row],[Cost Boolean]]*(VLOOKUP(Table410[[#This Row],[RATE CONCAT]],Tables!I:N,5,0)),0)</f>
        <v/>
      </c>
      <c r="DG72" s="338">
        <f>Table410[[#This Row],[Nov_2026_F]]-Table410[[#This Row],[Nov_2026_A]]</f>
        <v/>
      </c>
      <c r="DI72" s="338">
        <f>IFERROR(Table410[[#This Row],[Dec_2026_Days_Forecast]]*Table410[[#This Row],[Cost Boolean]]*(VLOOKUP(Table410[[#This Row],[RATE CONCAT]],Tables!I:N,5,0)),0)</f>
        <v/>
      </c>
      <c r="DJ72" s="338">
        <f>IFERROR(Table410[[#This Row],[Dec_2026_Days_Actual]]*Table410[[#This Row],[Cost Boolean]]*(VLOOKUP(Table410[[#This Row],[RATE CONCAT]],Tables!I:N,5,0)),0)</f>
        <v/>
      </c>
      <c r="DK72" s="338">
        <f>Table410[[#This Row],[Dec_2026_F]]-Table410[[#This Row],[Dec_2026_A]]</f>
        <v/>
      </c>
      <c r="DN72" s="338">
        <f>IFERROR(Table410[[#This Row],[Jan_2027_Days_Forecast]]*Table410[[#This Row],[Cost Boolean]]*(VLOOKUP(Table410[[#This Row],[RATE CONCAT]],Tables!I:N,6,0)),0)</f>
        <v/>
      </c>
      <c r="DP72" s="338">
        <f>Table410[[#This Row],[Jan_2027_F]]-Table410[[#This Row],[Jan_2027_A]]</f>
        <v/>
      </c>
      <c r="DQ72" s="338">
        <f>IFERROR(Table410[[#This Row],[Feb_2027_Days_Forecast]]*Table410[[#This Row],[Cost Boolean]]*(VLOOKUP(Table410[[#This Row],[RATE CONCAT]],Tables!I:N,6,0)),0)</f>
        <v/>
      </c>
      <c r="DS72" s="338">
        <f>Table410[[#This Row],[Feb_2027_F]]-Table410[[#This Row],[Feb_2027_A]]</f>
        <v/>
      </c>
      <c r="DT72" s="338">
        <f>IFERROR(Table410[[#This Row],[Mar_2027_Days_Forecast]]*Table410[[#This Row],[Cost Boolean]]*(VLOOKUP(Table410[[#This Row],[RATE CONCAT]],Tables!I:N,6,0)),0)</f>
        <v/>
      </c>
      <c r="DV72" s="338">
        <f>Table410[[#This Row],[Mar_2027_F]]-Table410[[#This Row],[Mar_2027_A]]</f>
        <v/>
      </c>
      <c r="DW72" s="338">
        <f>IFERROR(Table410[[#This Row],[Apr_2027_Days_Forecast]]*Table410[[#This Row],[Cost Boolean]]*(VLOOKUP(Table410[[#This Row],[RATE CONCAT]],Tables!I:N,6,0)),0)</f>
        <v/>
      </c>
      <c r="DY72" s="338">
        <f>Table410[[#This Row],[Apr_2027_F]]-Table410[[#This Row],[Apr_2027_A]]</f>
        <v/>
      </c>
      <c r="DZ72" s="338">
        <f>IFERROR(Table410[[#This Row],[May_2027_Days_Forecast]]*Table410[[#This Row],[Cost Boolean]]*(VLOOKUP(Table410[[#This Row],[RATE CONCAT]],Tables!I:N,6,0)),0)</f>
        <v/>
      </c>
      <c r="EB72" s="338">
        <f>Table410[[#This Row],[May_2027_F]]-Table410[[#This Row],[May_2027_A]]</f>
        <v/>
      </c>
      <c r="EC72" s="338">
        <f>IFERROR(Table410[[#This Row],[Jun_2027_Days_Forecast]]*Table410[[#This Row],[Cost Boolean]]*(VLOOKUP(Table410[[#This Row],[RATE CONCAT]],Tables!I:N,6,0)),0)</f>
        <v/>
      </c>
      <c r="EE72" s="338">
        <f>Table410[[#This Row],[Jun_2027_F]]-Table410[[#This Row],[Jun_2027_A]]</f>
        <v/>
      </c>
      <c r="EF72" s="338">
        <f>IFERROR(Table410[[#This Row],[Jul_2027_Days_Forecast]]*Table410[[#This Row],[Cost Boolean]]*(VLOOKUP(Table410[[#This Row],[RATE CONCAT]],Tables!I:N,6,0)),0)</f>
        <v/>
      </c>
      <c r="EH72" s="338">
        <f>Table410[[#This Row],[Jul_2027_F]]-Table410[[#This Row],[Jul_2027_A]]</f>
        <v/>
      </c>
      <c r="EI72" s="338">
        <f>IFERROR(Table410[[#This Row],[Aug_2027_Days_Forecast]]*Table410[[#This Row],[Cost Boolean]]*(VLOOKUP(Table410[[#This Row],[RATE CONCAT]],Tables!I:N,6,0)),0)</f>
        <v/>
      </c>
      <c r="EK72" s="338">
        <f>Table410[[#This Row],[Aug_2027_F]]-Table410[[#This Row],[Aug_2027_A]]</f>
        <v/>
      </c>
      <c r="EL72" s="338">
        <f>IFERROR(Table410[[#This Row],[Sep_2027_Days_Forecast]]*Table410[[#This Row],[Cost Boolean]]*(VLOOKUP(Table410[[#This Row],[RATE CONCAT]],Tables!I:N,6,0)),0)</f>
        <v/>
      </c>
      <c r="EN72" s="338">
        <f>Table410[[#This Row],[Sep_2027_F]]-Table410[[#This Row],[Sep_2027_A]]</f>
        <v/>
      </c>
      <c r="EO72" s="338">
        <f>IFERROR(Table410[[#This Row],[Oct_2027_Days_Forecast]]*Table410[[#This Row],[Cost Boolean]]*(VLOOKUP(Table410[[#This Row],[RATE CONCAT]],Tables!I:N,6,0)),0)</f>
        <v/>
      </c>
      <c r="EQ72" s="338">
        <f>Table410[[#This Row],[Oct_2027_F]]-Table410[[#This Row],[Oct_2027_A]]</f>
        <v/>
      </c>
      <c r="ER72" s="338">
        <f>IFERROR(Table410[[#This Row],[Nov_2027_Days_Forecast]]*Table410[[#This Row],[Cost Boolean]]*(VLOOKUP(Table410[[#This Row],[RATE CONCAT]],Tables!I:N,6,0)),0)</f>
        <v/>
      </c>
      <c r="ET72" s="338">
        <f>Table410[[#This Row],[Nov_2027_F]]-Table410[[#This Row],[Nov_2027_A]]</f>
        <v/>
      </c>
      <c r="EU72" s="338">
        <f>IFERROR(Table410[[#This Row],[Dec_2027_Days_Forecast]]*Table410[[#This Row],[Cost Boolean]]*(VLOOKUP(Table410[[#This Row],[RATE CONCAT]],Tables!I:N,6,0)),0)</f>
        <v/>
      </c>
      <c r="EW72" s="338">
        <f>Table410[[#This Row],[Dec_2027_F]]-Table410[[#This Row],[Dec_2027_A]]</f>
        <v/>
      </c>
    </row>
    <row r="73" ht="15" customFormat="1" customHeight="1" s="13">
      <c r="Y73" s="342">
        <f>CONCATENATE(Table410[[#This Row],[JG]],Table410[[#This Row],[Country]],Table410[[#This Row],[Resource Provider]])</f>
        <v/>
      </c>
      <c r="Z73" s="342">
        <f>VLOOKUP(Table410[[#This Row],[RATE CONCAT]],Tables!I:N,5,0)</f>
        <v/>
      </c>
      <c r="AA73" s="52" t="n"/>
      <c r="AB73" s="127" t="n"/>
      <c r="AC73" s="127" t="n"/>
      <c r="AD73" s="127" t="n"/>
      <c r="AE73" s="127" t="n"/>
      <c r="AF73" s="127" t="n"/>
      <c r="AG73" s="127" t="n"/>
      <c r="AH73" s="127" t="n"/>
      <c r="AI73" s="127" t="n"/>
      <c r="AJ73" s="127" t="n"/>
      <c r="AK73" s="127" t="n"/>
      <c r="AL73" s="130" t="n"/>
      <c r="AM73" s="130" t="n"/>
      <c r="AN73" s="341">
        <f>IFERROR(AVERAGE(Table410[[#This Row],[Jan_2026_Days_Forecast]:[Dec_2026_Days_Forecast]]),0)/19</f>
        <v/>
      </c>
      <c r="AO73" s="341">
        <f>IFERROR(AVERAGE(Table410[[#This Row],[Jan_2026_Days_Actual]:[Dec_2026_Days_Actual]]),0)/19</f>
        <v/>
      </c>
      <c r="BB73" s="341">
        <f>IFERROR(AVERAGE(Table410[[#This Row],[Jan_2027_Days_Forecast]:[Dec_2027_Days_Forecast]]),0)</f>
        <v/>
      </c>
      <c r="BC73" s="127" t="n"/>
      <c r="BD73" s="127" t="n"/>
      <c r="BE73" s="127" t="n"/>
      <c r="BF73" s="127" t="n"/>
      <c r="BG73" s="127" t="n"/>
      <c r="BH73" s="127" t="n"/>
      <c r="BI73" s="127" t="n"/>
      <c r="BJ73" s="127" t="n"/>
      <c r="BK73" s="127" t="n"/>
      <c r="BL73" s="127" t="n"/>
      <c r="BM73" s="127" t="n"/>
      <c r="BN73" s="127" t="n"/>
      <c r="BO73" s="176" t="n"/>
      <c r="BP73" s="176" t="n"/>
      <c r="BQ73" s="342">
        <f>IFERROR(Table410[[#This Row],[Jan_2026_Days_Forecast]]*Table410[[#This Row],[Cost Boolean]]*(VLOOKUP(Table410[[#This Row],[RATE CONCAT]],Tables!I:N,5,0)),0)</f>
        <v/>
      </c>
      <c r="BR73" s="342">
        <f>IFERROR(Table410[[#This Row],[Jan_2026_Days_Actual]]*Table410[[#This Row],[Cost Boolean]]*(VLOOKUP(Table410[[#This Row],[RATE CONCAT]],Tables!I:N,5,0)),0)</f>
        <v/>
      </c>
      <c r="BS73" s="342">
        <f>Table410[[#This Row],[Jan_2026_F]]-Table410[[#This Row],[Jan_2026_A]]</f>
        <v/>
      </c>
      <c r="BU73" s="342">
        <f>IFERROR(Table410[[#This Row],[Feb_2026_Days_Forecast]]*Table410[[#This Row],[Cost Boolean]]*(VLOOKUP(Table410[[#This Row],[RATE CONCAT]],Tables!I:N,5,0)),0)</f>
        <v/>
      </c>
      <c r="BV73" s="342">
        <f>IFERROR(Table410[[#This Row],[Feb_2026_Days_Actual]]*Table410[[#This Row],[Cost Boolean]]*(VLOOKUP(Table410[[#This Row],[RATE CONCAT]],Tables!I:N,5,0)),0)</f>
        <v/>
      </c>
      <c r="BW73" s="342">
        <f>Table410[[#This Row],[Feb_2026_F]]-Table410[[#This Row],[Feb_2026_A]]</f>
        <v/>
      </c>
      <c r="BY73" s="342">
        <f>IFERROR(Table410[[#This Row],[Mar_2026_Days_Forecast]]*Table410[[#This Row],[Cost Boolean]]*(VLOOKUP(Table410[[#This Row],[RATE CONCAT]],Tables!I:N,5,0)),0)</f>
        <v/>
      </c>
      <c r="BZ73" s="342">
        <f>IFERROR(Table410[[#This Row],[Mar_2026_Days_Actual]]*Table410[[#This Row],[Cost Boolean]]*(VLOOKUP(Table410[[#This Row],[RATE CONCAT]],Tables!I:N,5,0)),0)</f>
        <v/>
      </c>
      <c r="CA73" s="342">
        <f>Table410[[#This Row],[Mar_2026_F]]-Table410[[#This Row],[Mar_2026_A]]</f>
        <v/>
      </c>
      <c r="CC73" s="342">
        <f>IFERROR(Table410[[#This Row],[Apr_2026_Days_Forecast]]*Table410[[#This Row],[Cost Boolean]]*(VLOOKUP(Table410[[#This Row],[RATE CONCAT]],Tables!I:N,5,0)),0)</f>
        <v/>
      </c>
      <c r="CD73" s="342">
        <f>IFERROR(Table410[[#This Row],[Apr_2026_Days_Actual]]*Table410[[#This Row],[Cost Boolean]]*(VLOOKUP(Table410[[#This Row],[RATE CONCAT]],Tables!I:N,5,0)),0)</f>
        <v/>
      </c>
      <c r="CE73" s="342">
        <f>Table410[[#This Row],[Apr_2026_F]]-Table410[[#This Row],[Apr_2026_A]]</f>
        <v/>
      </c>
      <c r="CG73" s="342">
        <f>IFERROR(Table410[[#This Row],[May_2026_Days_Forecast]] *Table410[[#This Row],[Cost Boolean]]*(VLOOKUP(Table410[[#This Row],[RATE CONCAT]],Tables!I:N,5,0)),0)</f>
        <v/>
      </c>
      <c r="CH73" s="342">
        <f>IFERROR(Table410[[#This Row],[May_2026_Days_Actual]]*Table410[[#This Row],[Cost Boolean]]*(VLOOKUP(Table410[[#This Row],[RATE CONCAT]],Tables!I:N,5,0)),0)</f>
        <v/>
      </c>
      <c r="CI73" s="342">
        <f>Table410[[#This Row],[May_2026_F]]-Table410[[#This Row],[May_2026_A]]</f>
        <v/>
      </c>
      <c r="CK73" s="342">
        <f>IFERROR(Table410[[#This Row],[Jun_2026_Days_Forecast]]*Table410[[#This Row],[Cost Boolean]]*(VLOOKUP(Table410[[#This Row],[RATE CONCAT]],Tables!I:N,5,0)),0)</f>
        <v/>
      </c>
      <c r="CL73" s="342">
        <f>IFERROR(Table410[[#This Row],[Jun_2026_Days_Actual]]*Table410[[#This Row],[Cost Boolean]]*(VLOOKUP(Table410[[#This Row],[RATE CONCAT]],Tables!I:N,5,0)),0)</f>
        <v/>
      </c>
      <c r="CM73" s="342">
        <f>Table410[[#This Row],[Jun_2026_F]]-Table410[[#This Row],[Jun_2026_A]]</f>
        <v/>
      </c>
      <c r="CO73" s="342">
        <f>IFERROR(Table410[[#This Row],[Jul_2026_Days_Forecast]]*Table410[[#This Row],[Cost Boolean]]*(VLOOKUP(Table410[[#This Row],[RATE CONCAT]],Tables!I:N,5,0)),0)</f>
        <v/>
      </c>
      <c r="CP73" s="342">
        <f>IFERROR(Table410[[#This Row],[Jul_2026_Days_Actual]]*Table410[[#This Row],[Cost Boolean]]*(VLOOKUP(Table410[[#This Row],[RATE CONCAT]],Tables!I:N,5,0)),0)</f>
        <v/>
      </c>
      <c r="CQ73" s="342">
        <f>Table410[[#This Row],[Jul_2026_F]]-Table410[[#This Row],[Jul_2026_A]]</f>
        <v/>
      </c>
      <c r="CS73" s="342">
        <f>IFERROR(Table410[[#This Row],[Aug_2026_Days_Forecast]]*Table410[[#This Row],[Cost Boolean]]*(VLOOKUP(Table410[[#This Row],[RATE CONCAT]],Tables!I:N,5,0)),0)</f>
        <v/>
      </c>
      <c r="CT73" s="342">
        <f>IFERROR(Table410[[#This Row],[Aug_2026_Days_Actual]]*Table410[[#This Row],[Cost Boolean]]*(VLOOKUP(Table410[[#This Row],[RATE CONCAT]],Tables!I:N,5,0)),0)</f>
        <v/>
      </c>
      <c r="CU73" s="342">
        <f>Table410[[#This Row],[Aug_2026_F]]-Table410[[#This Row],[Aug_2026_A]]</f>
        <v/>
      </c>
      <c r="CW73" s="342">
        <f>IFERROR(Table410[[#This Row],[Sep_2026_Days_Forecast]]*Table410[[#This Row],[Cost Boolean]]*(VLOOKUP(Table410[[#This Row],[RATE CONCAT]],Tables!I:N,5,0)),0)</f>
        <v/>
      </c>
      <c r="CX73" s="342">
        <f>IFERROR(Table410[[#This Row],[Sep_2026_Days_Actual]]*Table410[[#This Row],[Cost Boolean]]*(VLOOKUP(Table410[[#This Row],[RATE CONCAT]],Tables!I:N,5,0)),0)</f>
        <v/>
      </c>
      <c r="CY73" s="342">
        <f>Table410[[#This Row],[Sep_2026_F]]-Table410[[#This Row],[Sep_2026_A]]</f>
        <v/>
      </c>
      <c r="DA73" s="342">
        <f>IFERROR(Table410[[#This Row],[Oct_2026_Days_Forecast]]*Table410[[#This Row],[Cost Boolean]]*(VLOOKUP(Table410[[#This Row],[RATE CONCAT]],Tables!I:N,5,0)),0)</f>
        <v/>
      </c>
      <c r="DB73" s="342">
        <f>IFERROR(Table410[[#This Row],[Oct_2026_Days_Actual]]*Table410[[#This Row],[Cost Boolean]]*(VLOOKUP(Table410[[#This Row],[RATE CONCAT]],Tables!I:N,5,0)),0)</f>
        <v/>
      </c>
      <c r="DC73" s="342">
        <f>Table410[[#This Row],[Oct_2026_F]]-Table410[[#This Row],[Oct_2026_A]]</f>
        <v/>
      </c>
      <c r="DE73" s="342">
        <f>IFERROR(Table410[[#This Row],[Nov_2026_Days_Forecast]]*Table410[[#This Row],[Cost Boolean]]*(VLOOKUP(Table410[[#This Row],[RATE CONCAT]],Tables!I:N,5,0)),0)</f>
        <v/>
      </c>
      <c r="DF73" s="342">
        <f>IFERROR(Table410[[#This Row],[Nov_2026_Days_Actual]]*Table410[[#This Row],[Cost Boolean]]*(VLOOKUP(Table410[[#This Row],[RATE CONCAT]],Tables!I:N,5,0)),0)</f>
        <v/>
      </c>
      <c r="DG73" s="342">
        <f>Table410[[#This Row],[Nov_2026_F]]-Table410[[#This Row],[Nov_2026_A]]</f>
        <v/>
      </c>
      <c r="DI73" s="342">
        <f>IFERROR(Table410[[#This Row],[Dec_2026_Days_Forecast]]*Table410[[#This Row],[Cost Boolean]]*(VLOOKUP(Table410[[#This Row],[RATE CONCAT]],Tables!I:N,5,0)),0)</f>
        <v/>
      </c>
      <c r="DJ73" s="342">
        <f>IFERROR(Table410[[#This Row],[Dec_2026_Days_Actual]]*Table410[[#This Row],[Cost Boolean]]*(VLOOKUP(Table410[[#This Row],[RATE CONCAT]],Tables!I:N,5,0)),0)</f>
        <v/>
      </c>
      <c r="DK73" s="342">
        <f>Table410[[#This Row],[Dec_2026_F]]-Table410[[#This Row],[Dec_2026_A]]</f>
        <v/>
      </c>
      <c r="DN73" s="342">
        <f>IFERROR(Table410[[#This Row],[Jan_2027_Days_Forecast]]*Table410[[#This Row],[Cost Boolean]]*(VLOOKUP(Table410[[#This Row],[RATE CONCAT]],Tables!I:N,6,0)),0)</f>
        <v/>
      </c>
      <c r="DP73" s="342">
        <f>Table410[[#This Row],[Jan_2027_F]]-Table410[[#This Row],[Jan_2027_A]]</f>
        <v/>
      </c>
      <c r="DQ73" s="342">
        <f>IFERROR(Table410[[#This Row],[Feb_2027_Days_Forecast]]*Table410[[#This Row],[Cost Boolean]]*(VLOOKUP(Table410[[#This Row],[RATE CONCAT]],Tables!I:N,6,0)),0)</f>
        <v/>
      </c>
      <c r="DS73" s="342">
        <f>Table410[[#This Row],[Feb_2027_F]]-Table410[[#This Row],[Feb_2027_A]]</f>
        <v/>
      </c>
      <c r="DT73" s="342">
        <f>IFERROR(Table410[[#This Row],[Mar_2027_Days_Forecast]]*Table410[[#This Row],[Cost Boolean]]*(VLOOKUP(Table410[[#This Row],[RATE CONCAT]],Tables!I:N,6,0)),0)</f>
        <v/>
      </c>
      <c r="DV73" s="342">
        <f>Table410[[#This Row],[Mar_2027_F]]-Table410[[#This Row],[Mar_2027_A]]</f>
        <v/>
      </c>
      <c r="DW73" s="342">
        <f>IFERROR(Table410[[#This Row],[Apr_2027_Days_Forecast]]*Table410[[#This Row],[Cost Boolean]]*(VLOOKUP(Table410[[#This Row],[RATE CONCAT]],Tables!I:N,6,0)),0)</f>
        <v/>
      </c>
      <c r="DY73" s="342">
        <f>Table410[[#This Row],[Apr_2027_F]]-Table410[[#This Row],[Apr_2027_A]]</f>
        <v/>
      </c>
      <c r="DZ73" s="342">
        <f>IFERROR(Table410[[#This Row],[May_2027_Days_Forecast]]*Table410[[#This Row],[Cost Boolean]]*(VLOOKUP(Table410[[#This Row],[RATE CONCAT]],Tables!I:N,6,0)),0)</f>
        <v/>
      </c>
      <c r="EB73" s="342">
        <f>Table410[[#This Row],[May_2027_F]]-Table410[[#This Row],[May_2027_A]]</f>
        <v/>
      </c>
      <c r="EC73" s="342">
        <f>IFERROR(Table410[[#This Row],[Jun_2027_Days_Forecast]]*Table410[[#This Row],[Cost Boolean]]*(VLOOKUP(Table410[[#This Row],[RATE CONCAT]],Tables!I:N,6,0)),0)</f>
        <v/>
      </c>
      <c r="EE73" s="342">
        <f>Table410[[#This Row],[Jun_2027_F]]-Table410[[#This Row],[Jun_2027_A]]</f>
        <v/>
      </c>
      <c r="EF73" s="342">
        <f>IFERROR(Table410[[#This Row],[Jul_2027_Days_Forecast]]*Table410[[#This Row],[Cost Boolean]]*(VLOOKUP(Table410[[#This Row],[RATE CONCAT]],Tables!I:N,6,0)),0)</f>
        <v/>
      </c>
      <c r="EH73" s="342">
        <f>Table410[[#This Row],[Jul_2027_F]]-Table410[[#This Row],[Jul_2027_A]]</f>
        <v/>
      </c>
      <c r="EI73" s="342">
        <f>IFERROR(Table410[[#This Row],[Aug_2027_Days_Forecast]]*Table410[[#This Row],[Cost Boolean]]*(VLOOKUP(Table410[[#This Row],[RATE CONCAT]],Tables!I:N,6,0)),0)</f>
        <v/>
      </c>
      <c r="EK73" s="342">
        <f>Table410[[#This Row],[Aug_2027_F]]-Table410[[#This Row],[Aug_2027_A]]</f>
        <v/>
      </c>
      <c r="EL73" s="342">
        <f>IFERROR(Table410[[#This Row],[Sep_2027_Days_Forecast]]*Table410[[#This Row],[Cost Boolean]]*(VLOOKUP(Table410[[#This Row],[RATE CONCAT]],Tables!I:N,6,0)),0)</f>
        <v/>
      </c>
      <c r="EN73" s="342">
        <f>Table410[[#This Row],[Sep_2027_F]]-Table410[[#This Row],[Sep_2027_A]]</f>
        <v/>
      </c>
      <c r="EO73" s="342">
        <f>IFERROR(Table410[[#This Row],[Oct_2027_Days_Forecast]]*Table410[[#This Row],[Cost Boolean]]*(VLOOKUP(Table410[[#This Row],[RATE CONCAT]],Tables!I:N,6,0)),0)</f>
        <v/>
      </c>
      <c r="EQ73" s="342">
        <f>Table410[[#This Row],[Oct_2027_F]]-Table410[[#This Row],[Oct_2027_A]]</f>
        <v/>
      </c>
      <c r="ER73" s="342">
        <f>IFERROR(Table410[[#This Row],[Nov_2027_Days_Forecast]]*Table410[[#This Row],[Cost Boolean]]*(VLOOKUP(Table410[[#This Row],[RATE CONCAT]],Tables!I:N,6,0)),0)</f>
        <v/>
      </c>
      <c r="ET73" s="342">
        <f>Table410[[#This Row],[Nov_2027_F]]-Table410[[#This Row],[Nov_2027_A]]</f>
        <v/>
      </c>
      <c r="EU73" s="342">
        <f>IFERROR(Table410[[#This Row],[Dec_2027_Days_Forecast]]*Table410[[#This Row],[Cost Boolean]]*(VLOOKUP(Table410[[#This Row],[RATE CONCAT]],Tables!I:N,6,0)),0)</f>
        <v/>
      </c>
      <c r="EW73" s="342">
        <f>Table410[[#This Row],[Dec_2027_F]]-Table410[[#This Row],[Dec_2027_A]]</f>
        <v/>
      </c>
    </row>
    <row r="74" ht="15" customFormat="1" customHeight="1" s="13">
      <c r="Y74" s="338">
        <f>CONCATENATE(Table410[[#This Row],[JG]],Table410[[#This Row],[Country]],Table410[[#This Row],[Resource Provider]])</f>
        <v/>
      </c>
      <c r="Z74" s="338">
        <f>VLOOKUP(Table410[[#This Row],[RATE CONCAT]],Tables!I:N,5,0)</f>
        <v/>
      </c>
      <c r="AA74" s="52" t="n"/>
      <c r="AB74" s="127" t="n"/>
      <c r="AC74" s="127" t="n"/>
      <c r="AD74" s="127" t="n"/>
      <c r="AE74" s="127" t="n"/>
      <c r="AF74" s="130" t="n"/>
      <c r="AG74" s="130" t="n"/>
      <c r="AH74" s="130" t="n"/>
      <c r="AI74" s="130" t="n"/>
      <c r="AJ74" s="130" t="n"/>
      <c r="AK74" s="130" t="n"/>
      <c r="AL74" s="130" t="n"/>
      <c r="AM74" s="130" t="n"/>
      <c r="AN74" s="341">
        <f>IFERROR(AVERAGE(Table410[[#This Row],[Jan_2026_Days_Forecast]:[Dec_2026_Days_Forecast]]),0)/19</f>
        <v/>
      </c>
      <c r="AO74" s="341">
        <f>IFERROR(AVERAGE(Table410[[#This Row],[Jan_2026_Days_Actual]:[Dec_2026_Days_Actual]]),0)/19</f>
        <v/>
      </c>
      <c r="BB74" s="341">
        <f>IFERROR(AVERAGE(Table410[[#This Row],[Jan_2027_Days_Forecast]:[Dec_2027_Days_Forecast]]),0)</f>
        <v/>
      </c>
      <c r="BC74" s="127" t="n"/>
      <c r="BD74" s="127" t="n"/>
      <c r="BE74" s="127" t="n"/>
      <c r="BF74" s="127" t="n"/>
      <c r="BG74" s="127" t="n"/>
      <c r="BH74" s="127" t="n"/>
      <c r="BI74" s="127" t="n"/>
      <c r="BJ74" s="127" t="n"/>
      <c r="BK74" s="127" t="n"/>
      <c r="BL74" s="127" t="n"/>
      <c r="BM74" s="127" t="n"/>
      <c r="BN74" s="127" t="n"/>
      <c r="BO74" s="176" t="n"/>
      <c r="BP74" s="176" t="n"/>
      <c r="BQ74" s="338">
        <f>IFERROR(Table410[[#This Row],[Jan_2026_Days_Forecast]]*Table410[[#This Row],[Cost Boolean]]*(VLOOKUP(Table410[[#This Row],[RATE CONCAT]],Tables!I:N,5,0)),0)</f>
        <v/>
      </c>
      <c r="BR74" s="338">
        <f>IFERROR(Table410[[#This Row],[Jan_2026_Days_Actual]]*Table410[[#This Row],[Cost Boolean]]*(VLOOKUP(Table410[[#This Row],[RATE CONCAT]],Tables!I:N,5,0)),0)</f>
        <v/>
      </c>
      <c r="BS74" s="338">
        <f>Table410[[#This Row],[Jan_2026_F]]-Table410[[#This Row],[Jan_2026_A]]</f>
        <v/>
      </c>
      <c r="BU74" s="338">
        <f>IFERROR(Table410[[#This Row],[Feb_2026_Days_Forecast]]*Table410[[#This Row],[Cost Boolean]]*(VLOOKUP(Table410[[#This Row],[RATE CONCAT]],Tables!I:N,5,0)),0)</f>
        <v/>
      </c>
      <c r="BV74" s="338">
        <f>IFERROR(Table410[[#This Row],[Feb_2026_Days_Actual]]*Table410[[#This Row],[Cost Boolean]]*(VLOOKUP(Table410[[#This Row],[RATE CONCAT]],Tables!I:N,5,0)),0)</f>
        <v/>
      </c>
      <c r="BW74" s="338">
        <f>Table410[[#This Row],[Feb_2026_F]]-Table410[[#This Row],[Feb_2026_A]]</f>
        <v/>
      </c>
      <c r="BY74" s="338">
        <f>IFERROR(Table410[[#This Row],[Mar_2026_Days_Forecast]]*Table410[[#This Row],[Cost Boolean]]*(VLOOKUP(Table410[[#This Row],[RATE CONCAT]],Tables!I:N,5,0)),0)</f>
        <v/>
      </c>
      <c r="BZ74" s="338">
        <f>IFERROR(Table410[[#This Row],[Mar_2026_Days_Actual]]*Table410[[#This Row],[Cost Boolean]]*(VLOOKUP(Table410[[#This Row],[RATE CONCAT]],Tables!I:N,5,0)),0)</f>
        <v/>
      </c>
      <c r="CA74" s="338">
        <f>Table410[[#This Row],[Mar_2026_F]]-Table410[[#This Row],[Mar_2026_A]]</f>
        <v/>
      </c>
      <c r="CC74" s="338">
        <f>IFERROR(Table410[[#This Row],[Apr_2026_Days_Forecast]]*Table410[[#This Row],[Cost Boolean]]*(VLOOKUP(Table410[[#This Row],[RATE CONCAT]],Tables!I:N,5,0)),0)</f>
        <v/>
      </c>
      <c r="CD74" s="338">
        <f>IFERROR(Table410[[#This Row],[Apr_2026_Days_Actual]]*Table410[[#This Row],[Cost Boolean]]*(VLOOKUP(Table410[[#This Row],[RATE CONCAT]],Tables!I:N,5,0)),0)</f>
        <v/>
      </c>
      <c r="CE74" s="338">
        <f>Table410[[#This Row],[Apr_2026_F]]-Table410[[#This Row],[Apr_2026_A]]</f>
        <v/>
      </c>
      <c r="CG74" s="338">
        <f>IFERROR(Table410[[#This Row],[May_2026_Days_Forecast]] *Table410[[#This Row],[Cost Boolean]]*(VLOOKUP(Table410[[#This Row],[RATE CONCAT]],Tables!I:N,5,0)),0)</f>
        <v/>
      </c>
      <c r="CH74" s="338">
        <f>IFERROR(Table410[[#This Row],[May_2026_Days_Actual]]*Table410[[#This Row],[Cost Boolean]]*(VLOOKUP(Table410[[#This Row],[RATE CONCAT]],Tables!I:N,5,0)),0)</f>
        <v/>
      </c>
      <c r="CI74" s="338">
        <f>Table410[[#This Row],[May_2026_F]]-Table410[[#This Row],[May_2026_A]]</f>
        <v/>
      </c>
      <c r="CK74" s="338">
        <f>IFERROR(Table410[[#This Row],[Jun_2026_Days_Forecast]]*Table410[[#This Row],[Cost Boolean]]*(VLOOKUP(Table410[[#This Row],[RATE CONCAT]],Tables!I:N,5,0)),0)</f>
        <v/>
      </c>
      <c r="CL74" s="338">
        <f>IFERROR(Table410[[#This Row],[Jun_2026_Days_Actual]]*Table410[[#This Row],[Cost Boolean]]*(VLOOKUP(Table410[[#This Row],[RATE CONCAT]],Tables!I:N,5,0)),0)</f>
        <v/>
      </c>
      <c r="CM74" s="338">
        <f>Table410[[#This Row],[Jun_2026_F]]-Table410[[#This Row],[Jun_2026_A]]</f>
        <v/>
      </c>
      <c r="CO74" s="338">
        <f>IFERROR(Table410[[#This Row],[Jul_2026_Days_Forecast]]*Table410[[#This Row],[Cost Boolean]]*(VLOOKUP(Table410[[#This Row],[RATE CONCAT]],Tables!I:N,5,0)),0)</f>
        <v/>
      </c>
      <c r="CP74" s="338">
        <f>IFERROR(Table410[[#This Row],[Jul_2026_Days_Actual]]*Table410[[#This Row],[Cost Boolean]]*(VLOOKUP(Table410[[#This Row],[RATE CONCAT]],Tables!I:N,5,0)),0)</f>
        <v/>
      </c>
      <c r="CQ74" s="338">
        <f>Table410[[#This Row],[Jul_2026_F]]-Table410[[#This Row],[Jul_2026_A]]</f>
        <v/>
      </c>
      <c r="CS74" s="338">
        <f>IFERROR(Table410[[#This Row],[Aug_2026_Days_Forecast]]*Table410[[#This Row],[Cost Boolean]]*(VLOOKUP(Table410[[#This Row],[RATE CONCAT]],Tables!I:N,5,0)),0)</f>
        <v/>
      </c>
      <c r="CT74" s="338">
        <f>IFERROR(Table410[[#This Row],[Aug_2026_Days_Actual]]*Table410[[#This Row],[Cost Boolean]]*(VLOOKUP(Table410[[#This Row],[RATE CONCAT]],Tables!I:N,5,0)),0)</f>
        <v/>
      </c>
      <c r="CU74" s="338">
        <f>Table410[[#This Row],[Aug_2026_F]]-Table410[[#This Row],[Aug_2026_A]]</f>
        <v/>
      </c>
      <c r="CW74" s="338">
        <f>IFERROR(Table410[[#This Row],[Sep_2026_Days_Forecast]]*Table410[[#This Row],[Cost Boolean]]*(VLOOKUP(Table410[[#This Row],[RATE CONCAT]],Tables!I:N,5,0)),0)</f>
        <v/>
      </c>
      <c r="CX74" s="338">
        <f>IFERROR(Table410[[#This Row],[Sep_2026_Days_Actual]]*Table410[[#This Row],[Cost Boolean]]*(VLOOKUP(Table410[[#This Row],[RATE CONCAT]],Tables!I:N,5,0)),0)</f>
        <v/>
      </c>
      <c r="CY74" s="338">
        <f>Table410[[#This Row],[Sep_2026_F]]-Table410[[#This Row],[Sep_2026_A]]</f>
        <v/>
      </c>
      <c r="DA74" s="338">
        <f>IFERROR(Table410[[#This Row],[Oct_2026_Days_Forecast]]*Table410[[#This Row],[Cost Boolean]]*(VLOOKUP(Table410[[#This Row],[RATE CONCAT]],Tables!I:N,5,0)),0)</f>
        <v/>
      </c>
      <c r="DB74" s="338">
        <f>IFERROR(Table410[[#This Row],[Oct_2026_Days_Actual]]*Table410[[#This Row],[Cost Boolean]]*(VLOOKUP(Table410[[#This Row],[RATE CONCAT]],Tables!I:N,5,0)),0)</f>
        <v/>
      </c>
      <c r="DC74" s="338">
        <f>Table410[[#This Row],[Oct_2026_F]]-Table410[[#This Row],[Oct_2026_A]]</f>
        <v/>
      </c>
      <c r="DE74" s="338">
        <f>IFERROR(Table410[[#This Row],[Nov_2026_Days_Forecast]]*Table410[[#This Row],[Cost Boolean]]*(VLOOKUP(Table410[[#This Row],[RATE CONCAT]],Tables!I:N,5,0)),0)</f>
        <v/>
      </c>
      <c r="DF74" s="338">
        <f>IFERROR(Table410[[#This Row],[Nov_2026_Days_Actual]]*Table410[[#This Row],[Cost Boolean]]*(VLOOKUP(Table410[[#This Row],[RATE CONCAT]],Tables!I:N,5,0)),0)</f>
        <v/>
      </c>
      <c r="DG74" s="338">
        <f>Table410[[#This Row],[Nov_2026_F]]-Table410[[#This Row],[Nov_2026_A]]</f>
        <v/>
      </c>
      <c r="DI74" s="338">
        <f>IFERROR(Table410[[#This Row],[Dec_2026_Days_Forecast]]*Table410[[#This Row],[Cost Boolean]]*(VLOOKUP(Table410[[#This Row],[RATE CONCAT]],Tables!I:N,5,0)),0)</f>
        <v/>
      </c>
      <c r="DJ74" s="338">
        <f>IFERROR(Table410[[#This Row],[Dec_2026_Days_Actual]]*Table410[[#This Row],[Cost Boolean]]*(VLOOKUP(Table410[[#This Row],[RATE CONCAT]],Tables!I:N,5,0)),0)</f>
        <v/>
      </c>
      <c r="DK74" s="338">
        <f>Table410[[#This Row],[Dec_2026_F]]-Table410[[#This Row],[Dec_2026_A]]</f>
        <v/>
      </c>
      <c r="DN74" s="338">
        <f>IFERROR(Table410[[#This Row],[Jan_2027_Days_Forecast]]*Table410[[#This Row],[Cost Boolean]]*(VLOOKUP(Table410[[#This Row],[RATE CONCAT]],Tables!I:N,6,0)),0)</f>
        <v/>
      </c>
      <c r="DP74" s="338">
        <f>Table410[[#This Row],[Jan_2027_F]]-Table410[[#This Row],[Jan_2027_A]]</f>
        <v/>
      </c>
      <c r="DQ74" s="338">
        <f>IFERROR(Table410[[#This Row],[Feb_2027_Days_Forecast]]*Table410[[#This Row],[Cost Boolean]]*(VLOOKUP(Table410[[#This Row],[RATE CONCAT]],Tables!I:N,6,0)),0)</f>
        <v/>
      </c>
      <c r="DS74" s="338">
        <f>Table410[[#This Row],[Feb_2027_F]]-Table410[[#This Row],[Feb_2027_A]]</f>
        <v/>
      </c>
      <c r="DT74" s="338">
        <f>IFERROR(Table410[[#This Row],[Mar_2027_Days_Forecast]]*Table410[[#This Row],[Cost Boolean]]*(VLOOKUP(Table410[[#This Row],[RATE CONCAT]],Tables!I:N,6,0)),0)</f>
        <v/>
      </c>
      <c r="DV74" s="338">
        <f>Table410[[#This Row],[Mar_2027_F]]-Table410[[#This Row],[Mar_2027_A]]</f>
        <v/>
      </c>
      <c r="DW74" s="338">
        <f>IFERROR(Table410[[#This Row],[Apr_2027_Days_Forecast]]*Table410[[#This Row],[Cost Boolean]]*(VLOOKUP(Table410[[#This Row],[RATE CONCAT]],Tables!I:N,6,0)),0)</f>
        <v/>
      </c>
      <c r="DY74" s="338">
        <f>Table410[[#This Row],[Apr_2027_F]]-Table410[[#This Row],[Apr_2027_A]]</f>
        <v/>
      </c>
      <c r="DZ74" s="338">
        <f>IFERROR(Table410[[#This Row],[May_2027_Days_Forecast]]*Table410[[#This Row],[Cost Boolean]]*(VLOOKUP(Table410[[#This Row],[RATE CONCAT]],Tables!I:N,6,0)),0)</f>
        <v/>
      </c>
      <c r="EB74" s="338">
        <f>Table410[[#This Row],[May_2027_F]]-Table410[[#This Row],[May_2027_A]]</f>
        <v/>
      </c>
      <c r="EC74" s="338">
        <f>IFERROR(Table410[[#This Row],[Jun_2027_Days_Forecast]]*Table410[[#This Row],[Cost Boolean]]*(VLOOKUP(Table410[[#This Row],[RATE CONCAT]],Tables!I:N,6,0)),0)</f>
        <v/>
      </c>
      <c r="EE74" s="338">
        <f>Table410[[#This Row],[Jun_2027_F]]-Table410[[#This Row],[Jun_2027_A]]</f>
        <v/>
      </c>
      <c r="EF74" s="338">
        <f>IFERROR(Table410[[#This Row],[Jul_2027_Days_Forecast]]*Table410[[#This Row],[Cost Boolean]]*(VLOOKUP(Table410[[#This Row],[RATE CONCAT]],Tables!I:N,6,0)),0)</f>
        <v/>
      </c>
      <c r="EH74" s="338">
        <f>Table410[[#This Row],[Jul_2027_F]]-Table410[[#This Row],[Jul_2027_A]]</f>
        <v/>
      </c>
      <c r="EI74" s="338">
        <f>IFERROR(Table410[[#This Row],[Aug_2027_Days_Forecast]]*Table410[[#This Row],[Cost Boolean]]*(VLOOKUP(Table410[[#This Row],[RATE CONCAT]],Tables!I:N,6,0)),0)</f>
        <v/>
      </c>
      <c r="EK74" s="338">
        <f>Table410[[#This Row],[Aug_2027_F]]-Table410[[#This Row],[Aug_2027_A]]</f>
        <v/>
      </c>
      <c r="EL74" s="338">
        <f>IFERROR(Table410[[#This Row],[Sep_2027_Days_Forecast]]*Table410[[#This Row],[Cost Boolean]]*(VLOOKUP(Table410[[#This Row],[RATE CONCAT]],Tables!I:N,6,0)),0)</f>
        <v/>
      </c>
      <c r="EN74" s="338">
        <f>Table410[[#This Row],[Sep_2027_F]]-Table410[[#This Row],[Sep_2027_A]]</f>
        <v/>
      </c>
      <c r="EO74" s="338">
        <f>IFERROR(Table410[[#This Row],[Oct_2027_Days_Forecast]]*Table410[[#This Row],[Cost Boolean]]*(VLOOKUP(Table410[[#This Row],[RATE CONCAT]],Tables!I:N,6,0)),0)</f>
        <v/>
      </c>
      <c r="EQ74" s="338">
        <f>Table410[[#This Row],[Oct_2027_F]]-Table410[[#This Row],[Oct_2027_A]]</f>
        <v/>
      </c>
      <c r="ER74" s="338">
        <f>IFERROR(Table410[[#This Row],[Nov_2027_Days_Forecast]]*Table410[[#This Row],[Cost Boolean]]*(VLOOKUP(Table410[[#This Row],[RATE CONCAT]],Tables!I:N,6,0)),0)</f>
        <v/>
      </c>
      <c r="ET74" s="338">
        <f>Table410[[#This Row],[Nov_2027_F]]-Table410[[#This Row],[Nov_2027_A]]</f>
        <v/>
      </c>
      <c r="EU74" s="338">
        <f>IFERROR(Table410[[#This Row],[Dec_2027_Days_Forecast]]*Table410[[#This Row],[Cost Boolean]]*(VLOOKUP(Table410[[#This Row],[RATE CONCAT]],Tables!I:N,6,0)),0)</f>
        <v/>
      </c>
      <c r="EW74" s="338">
        <f>Table410[[#This Row],[Dec_2027_F]]-Table410[[#This Row],[Dec_2027_A]]</f>
        <v/>
      </c>
    </row>
    <row r="75" ht="15" customFormat="1" customHeight="1" s="13">
      <c r="Y75" s="342">
        <f>CONCATENATE(Table410[[#This Row],[JG]],Table410[[#This Row],[Country]],Table410[[#This Row],[Resource Provider]])</f>
        <v/>
      </c>
      <c r="Z75" s="342">
        <f>VLOOKUP(Table410[[#This Row],[RATE CONCAT]],Tables!I:N,5,0)</f>
        <v/>
      </c>
      <c r="AA75" s="52" t="n"/>
      <c r="AB75" s="127" t="n"/>
      <c r="AC75" s="127" t="n"/>
      <c r="AD75" s="127" t="n"/>
      <c r="AE75" s="127" t="n"/>
      <c r="AF75" s="127" t="n"/>
      <c r="AG75" s="127" t="n"/>
      <c r="AH75" s="127" t="n"/>
      <c r="AI75" s="127" t="n"/>
      <c r="AJ75" s="127" t="n"/>
      <c r="AK75" s="127" t="n"/>
      <c r="AL75" s="127" t="n"/>
      <c r="AM75" s="127" t="n"/>
      <c r="AN75" s="341">
        <f>IFERROR(AVERAGE(Table410[[#This Row],[Jan_2026_Days_Forecast]:[Dec_2026_Days_Forecast]]),0)/19</f>
        <v/>
      </c>
      <c r="AO75" s="341">
        <f>IFERROR(AVERAGE(Table410[[#This Row],[Jan_2026_Days_Actual]:[Dec_2026_Days_Actual]]),0)/19</f>
        <v/>
      </c>
      <c r="BB75" s="341">
        <f>IFERROR(AVERAGE(Table410[[#This Row],[Jan_2027_Days_Forecast]:[Dec_2027_Days_Forecast]]),0)</f>
        <v/>
      </c>
      <c r="BC75" s="127" t="n"/>
      <c r="BD75" s="127" t="n"/>
      <c r="BE75" s="127" t="n"/>
      <c r="BF75" s="127" t="n"/>
      <c r="BG75" s="127" t="n"/>
      <c r="BH75" s="127" t="n"/>
      <c r="BI75" s="127" t="n"/>
      <c r="BJ75" s="127" t="n"/>
      <c r="BK75" s="127" t="n"/>
      <c r="BL75" s="127" t="n"/>
      <c r="BM75" s="127" t="n"/>
      <c r="BN75" s="127" t="n"/>
      <c r="BO75" s="176" t="n"/>
      <c r="BP75" s="176" t="n"/>
      <c r="BQ75" s="342">
        <f>IFERROR(Table410[[#This Row],[Jan_2026_Days_Forecast]]*Table410[[#This Row],[Cost Boolean]]*(VLOOKUP(Table410[[#This Row],[RATE CONCAT]],Tables!I:N,5,0)),0)</f>
        <v/>
      </c>
      <c r="BR75" s="342">
        <f>IFERROR(Table410[[#This Row],[Jan_2026_Days_Actual]]*Table410[[#This Row],[Cost Boolean]]*(VLOOKUP(Table410[[#This Row],[RATE CONCAT]],Tables!I:N,5,0)),0)</f>
        <v/>
      </c>
      <c r="BS75" s="342">
        <f>Table410[[#This Row],[Jan_2026_F]]-Table410[[#This Row],[Jan_2026_A]]</f>
        <v/>
      </c>
      <c r="BU75" s="342">
        <f>IFERROR(Table410[[#This Row],[Feb_2026_Days_Forecast]]*Table410[[#This Row],[Cost Boolean]]*(VLOOKUP(Table410[[#This Row],[RATE CONCAT]],Tables!I:N,5,0)),0)</f>
        <v/>
      </c>
      <c r="BV75" s="342">
        <f>IFERROR(Table410[[#This Row],[Feb_2026_Days_Actual]]*Table410[[#This Row],[Cost Boolean]]*(VLOOKUP(Table410[[#This Row],[RATE CONCAT]],Tables!I:N,5,0)),0)</f>
        <v/>
      </c>
      <c r="BW75" s="342">
        <f>Table410[[#This Row],[Feb_2026_F]]-Table410[[#This Row],[Feb_2026_A]]</f>
        <v/>
      </c>
      <c r="BY75" s="342">
        <f>IFERROR(Table410[[#This Row],[Mar_2026_Days_Forecast]]*Table410[[#This Row],[Cost Boolean]]*(VLOOKUP(Table410[[#This Row],[RATE CONCAT]],Tables!I:N,5,0)),0)</f>
        <v/>
      </c>
      <c r="BZ75" s="342">
        <f>IFERROR(Table410[[#This Row],[Mar_2026_Days_Actual]]*Table410[[#This Row],[Cost Boolean]]*(VLOOKUP(Table410[[#This Row],[RATE CONCAT]],Tables!I:N,5,0)),0)</f>
        <v/>
      </c>
      <c r="CA75" s="342">
        <f>Table410[[#This Row],[Mar_2026_F]]-Table410[[#This Row],[Mar_2026_A]]</f>
        <v/>
      </c>
      <c r="CC75" s="342">
        <f>IFERROR(Table410[[#This Row],[Apr_2026_Days_Forecast]]*Table410[[#This Row],[Cost Boolean]]*(VLOOKUP(Table410[[#This Row],[RATE CONCAT]],Tables!I:N,5,0)),0)</f>
        <v/>
      </c>
      <c r="CD75" s="342">
        <f>IFERROR(Table410[[#This Row],[Apr_2026_Days_Actual]]*Table410[[#This Row],[Cost Boolean]]*(VLOOKUP(Table410[[#This Row],[RATE CONCAT]],Tables!I:N,5,0)),0)</f>
        <v/>
      </c>
      <c r="CE75" s="342">
        <f>Table410[[#This Row],[Apr_2026_F]]-Table410[[#This Row],[Apr_2026_A]]</f>
        <v/>
      </c>
      <c r="CG75" s="342">
        <f>IFERROR(Table410[[#This Row],[May_2026_Days_Forecast]] *Table410[[#This Row],[Cost Boolean]]*(VLOOKUP(Table410[[#This Row],[RATE CONCAT]],Tables!I:N,5,0)),0)</f>
        <v/>
      </c>
      <c r="CH75" s="342">
        <f>IFERROR(Table410[[#This Row],[May_2026_Days_Actual]]*Table410[[#This Row],[Cost Boolean]]*(VLOOKUP(Table410[[#This Row],[RATE CONCAT]],Tables!I:N,5,0)),0)</f>
        <v/>
      </c>
      <c r="CI75" s="342">
        <f>Table410[[#This Row],[May_2026_F]]-Table410[[#This Row],[May_2026_A]]</f>
        <v/>
      </c>
      <c r="CK75" s="342">
        <f>IFERROR(Table410[[#This Row],[Jun_2026_Days_Forecast]]*Table410[[#This Row],[Cost Boolean]]*(VLOOKUP(Table410[[#This Row],[RATE CONCAT]],Tables!I:N,5,0)),0)</f>
        <v/>
      </c>
      <c r="CL75" s="342">
        <f>IFERROR(Table410[[#This Row],[Jun_2026_Days_Actual]]*Table410[[#This Row],[Cost Boolean]]*(VLOOKUP(Table410[[#This Row],[RATE CONCAT]],Tables!I:N,5,0)),0)</f>
        <v/>
      </c>
      <c r="CM75" s="342">
        <f>Table410[[#This Row],[Jun_2026_F]]-Table410[[#This Row],[Jun_2026_A]]</f>
        <v/>
      </c>
      <c r="CO75" s="342">
        <f>IFERROR(Table410[[#This Row],[Jul_2026_Days_Forecast]]*Table410[[#This Row],[Cost Boolean]]*(VLOOKUP(Table410[[#This Row],[RATE CONCAT]],Tables!I:N,5,0)),0)</f>
        <v/>
      </c>
      <c r="CP75" s="342">
        <f>IFERROR(Table410[[#This Row],[Jul_2026_Days_Actual]]*Table410[[#This Row],[Cost Boolean]]*(VLOOKUP(Table410[[#This Row],[RATE CONCAT]],Tables!I:N,5,0)),0)</f>
        <v/>
      </c>
      <c r="CQ75" s="342">
        <f>Table410[[#This Row],[Jul_2026_F]]-Table410[[#This Row],[Jul_2026_A]]</f>
        <v/>
      </c>
      <c r="CS75" s="342">
        <f>IFERROR(Table410[[#This Row],[Aug_2026_Days_Forecast]]*Table410[[#This Row],[Cost Boolean]]*(VLOOKUP(Table410[[#This Row],[RATE CONCAT]],Tables!I:N,5,0)),0)</f>
        <v/>
      </c>
      <c r="CT75" s="342">
        <f>IFERROR(Table410[[#This Row],[Aug_2026_Days_Actual]]*Table410[[#This Row],[Cost Boolean]]*(VLOOKUP(Table410[[#This Row],[RATE CONCAT]],Tables!I:N,5,0)),0)</f>
        <v/>
      </c>
      <c r="CU75" s="342">
        <f>Table410[[#This Row],[Aug_2026_F]]-Table410[[#This Row],[Aug_2026_A]]</f>
        <v/>
      </c>
      <c r="CW75" s="342">
        <f>IFERROR(Table410[[#This Row],[Sep_2026_Days_Forecast]]*Table410[[#This Row],[Cost Boolean]]*(VLOOKUP(Table410[[#This Row],[RATE CONCAT]],Tables!I:N,5,0)),0)</f>
        <v/>
      </c>
      <c r="CX75" s="342">
        <f>IFERROR(Table410[[#This Row],[Sep_2026_Days_Actual]]*Table410[[#This Row],[Cost Boolean]]*(VLOOKUP(Table410[[#This Row],[RATE CONCAT]],Tables!I:N,5,0)),0)</f>
        <v/>
      </c>
      <c r="CY75" s="342">
        <f>Table410[[#This Row],[Sep_2026_F]]-Table410[[#This Row],[Sep_2026_A]]</f>
        <v/>
      </c>
      <c r="DA75" s="342">
        <f>IFERROR(Table410[[#This Row],[Oct_2026_Days_Forecast]]*Table410[[#This Row],[Cost Boolean]]*(VLOOKUP(Table410[[#This Row],[RATE CONCAT]],Tables!I:N,5,0)),0)</f>
        <v/>
      </c>
      <c r="DB75" s="342">
        <f>IFERROR(Table410[[#This Row],[Oct_2026_Days_Actual]]*Table410[[#This Row],[Cost Boolean]]*(VLOOKUP(Table410[[#This Row],[RATE CONCAT]],Tables!I:N,5,0)),0)</f>
        <v/>
      </c>
      <c r="DC75" s="342">
        <f>Table410[[#This Row],[Oct_2026_F]]-Table410[[#This Row],[Oct_2026_A]]</f>
        <v/>
      </c>
      <c r="DE75" s="342">
        <f>IFERROR(Table410[[#This Row],[Nov_2026_Days_Forecast]]*Table410[[#This Row],[Cost Boolean]]*(VLOOKUP(Table410[[#This Row],[RATE CONCAT]],Tables!I:N,5,0)),0)</f>
        <v/>
      </c>
      <c r="DF75" s="342">
        <f>IFERROR(Table410[[#This Row],[Nov_2026_Days_Actual]]*Table410[[#This Row],[Cost Boolean]]*(VLOOKUP(Table410[[#This Row],[RATE CONCAT]],Tables!I:N,5,0)),0)</f>
        <v/>
      </c>
      <c r="DG75" s="342">
        <f>Table410[[#This Row],[Nov_2026_F]]-Table410[[#This Row],[Nov_2026_A]]</f>
        <v/>
      </c>
      <c r="DI75" s="342">
        <f>IFERROR(Table410[[#This Row],[Dec_2026_Days_Forecast]]*Table410[[#This Row],[Cost Boolean]]*(VLOOKUP(Table410[[#This Row],[RATE CONCAT]],Tables!I:N,5,0)),0)</f>
        <v/>
      </c>
      <c r="DJ75" s="342">
        <f>IFERROR(Table410[[#This Row],[Dec_2026_Days_Actual]]*Table410[[#This Row],[Cost Boolean]]*(VLOOKUP(Table410[[#This Row],[RATE CONCAT]],Tables!I:N,5,0)),0)</f>
        <v/>
      </c>
      <c r="DK75" s="342">
        <f>Table410[[#This Row],[Dec_2026_F]]-Table410[[#This Row],[Dec_2026_A]]</f>
        <v/>
      </c>
      <c r="DN75" s="342">
        <f>IFERROR(Table410[[#This Row],[Jan_2027_Days_Forecast]]*Table410[[#This Row],[Cost Boolean]]*(VLOOKUP(Table410[[#This Row],[RATE CONCAT]],Tables!I:N,6,0)),0)</f>
        <v/>
      </c>
      <c r="DP75" s="342">
        <f>Table410[[#This Row],[Jan_2027_F]]-Table410[[#This Row],[Jan_2027_A]]</f>
        <v/>
      </c>
      <c r="DQ75" s="342">
        <f>IFERROR(Table410[[#This Row],[Feb_2027_Days_Forecast]]*Table410[[#This Row],[Cost Boolean]]*(VLOOKUP(Table410[[#This Row],[RATE CONCAT]],Tables!I:N,6,0)),0)</f>
        <v/>
      </c>
      <c r="DS75" s="342">
        <f>Table410[[#This Row],[Feb_2027_F]]-Table410[[#This Row],[Feb_2027_A]]</f>
        <v/>
      </c>
      <c r="DT75" s="342">
        <f>IFERROR(Table410[[#This Row],[Mar_2027_Days_Forecast]]*Table410[[#This Row],[Cost Boolean]]*(VLOOKUP(Table410[[#This Row],[RATE CONCAT]],Tables!I:N,6,0)),0)</f>
        <v/>
      </c>
      <c r="DV75" s="342">
        <f>Table410[[#This Row],[Mar_2027_F]]-Table410[[#This Row],[Mar_2027_A]]</f>
        <v/>
      </c>
      <c r="DW75" s="342">
        <f>IFERROR(Table410[[#This Row],[Apr_2027_Days_Forecast]]*Table410[[#This Row],[Cost Boolean]]*(VLOOKUP(Table410[[#This Row],[RATE CONCAT]],Tables!I:N,6,0)),0)</f>
        <v/>
      </c>
      <c r="DY75" s="342">
        <f>Table410[[#This Row],[Apr_2027_F]]-Table410[[#This Row],[Apr_2027_A]]</f>
        <v/>
      </c>
      <c r="DZ75" s="342">
        <f>IFERROR(Table410[[#This Row],[May_2027_Days_Forecast]]*Table410[[#This Row],[Cost Boolean]]*(VLOOKUP(Table410[[#This Row],[RATE CONCAT]],Tables!I:N,6,0)),0)</f>
        <v/>
      </c>
      <c r="EB75" s="342">
        <f>Table410[[#This Row],[May_2027_F]]-Table410[[#This Row],[May_2027_A]]</f>
        <v/>
      </c>
      <c r="EC75" s="342">
        <f>IFERROR(Table410[[#This Row],[Jun_2027_Days_Forecast]]*Table410[[#This Row],[Cost Boolean]]*(VLOOKUP(Table410[[#This Row],[RATE CONCAT]],Tables!I:N,6,0)),0)</f>
        <v/>
      </c>
      <c r="EE75" s="342">
        <f>Table410[[#This Row],[Jun_2027_F]]-Table410[[#This Row],[Jun_2027_A]]</f>
        <v/>
      </c>
      <c r="EF75" s="342">
        <f>IFERROR(Table410[[#This Row],[Jul_2027_Days_Forecast]]*Table410[[#This Row],[Cost Boolean]]*(VLOOKUP(Table410[[#This Row],[RATE CONCAT]],Tables!I:N,6,0)),0)</f>
        <v/>
      </c>
      <c r="EH75" s="342">
        <f>Table410[[#This Row],[Jul_2027_F]]-Table410[[#This Row],[Jul_2027_A]]</f>
        <v/>
      </c>
      <c r="EI75" s="342">
        <f>IFERROR(Table410[[#This Row],[Aug_2027_Days_Forecast]]*Table410[[#This Row],[Cost Boolean]]*(VLOOKUP(Table410[[#This Row],[RATE CONCAT]],Tables!I:N,6,0)),0)</f>
        <v/>
      </c>
      <c r="EK75" s="342">
        <f>Table410[[#This Row],[Aug_2027_F]]-Table410[[#This Row],[Aug_2027_A]]</f>
        <v/>
      </c>
      <c r="EL75" s="342">
        <f>IFERROR(Table410[[#This Row],[Sep_2027_Days_Forecast]]*Table410[[#This Row],[Cost Boolean]]*(VLOOKUP(Table410[[#This Row],[RATE CONCAT]],Tables!I:N,6,0)),0)</f>
        <v/>
      </c>
      <c r="EN75" s="342">
        <f>Table410[[#This Row],[Sep_2027_F]]-Table410[[#This Row],[Sep_2027_A]]</f>
        <v/>
      </c>
      <c r="EO75" s="342">
        <f>IFERROR(Table410[[#This Row],[Oct_2027_Days_Forecast]]*Table410[[#This Row],[Cost Boolean]]*(VLOOKUP(Table410[[#This Row],[RATE CONCAT]],Tables!I:N,6,0)),0)</f>
        <v/>
      </c>
      <c r="EQ75" s="342">
        <f>Table410[[#This Row],[Oct_2027_F]]-Table410[[#This Row],[Oct_2027_A]]</f>
        <v/>
      </c>
      <c r="ER75" s="342">
        <f>IFERROR(Table410[[#This Row],[Nov_2027_Days_Forecast]]*Table410[[#This Row],[Cost Boolean]]*(VLOOKUP(Table410[[#This Row],[RATE CONCAT]],Tables!I:N,6,0)),0)</f>
        <v/>
      </c>
      <c r="ET75" s="342">
        <f>Table410[[#This Row],[Nov_2027_F]]-Table410[[#This Row],[Nov_2027_A]]</f>
        <v/>
      </c>
      <c r="EU75" s="342">
        <f>IFERROR(Table410[[#This Row],[Dec_2027_Days_Forecast]]*Table410[[#This Row],[Cost Boolean]]*(VLOOKUP(Table410[[#This Row],[RATE CONCAT]],Tables!I:N,6,0)),0)</f>
        <v/>
      </c>
      <c r="EW75" s="342">
        <f>Table410[[#This Row],[Dec_2027_F]]-Table410[[#This Row],[Dec_2027_A]]</f>
        <v/>
      </c>
    </row>
    <row r="76" ht="15" customFormat="1" customHeight="1" s="13">
      <c r="Y76" s="338">
        <f>CONCATENATE(Table410[[#This Row],[JG]],Table410[[#This Row],[Country]],Table410[[#This Row],[Resource Provider]])</f>
        <v/>
      </c>
      <c r="Z76" s="338">
        <f>VLOOKUP(Table410[[#This Row],[RATE CONCAT]],Tables!I:N,5,0)</f>
        <v/>
      </c>
      <c r="AA76" s="52" t="n"/>
      <c r="AB76" s="127" t="n"/>
      <c r="AC76" s="127" t="n"/>
      <c r="AD76" s="127" t="n"/>
      <c r="AE76" s="127" t="n"/>
      <c r="AF76" s="127" t="n"/>
      <c r="AG76" s="127" t="n"/>
      <c r="AH76" s="127" t="n"/>
      <c r="AI76" s="127" t="n"/>
      <c r="AJ76" s="127" t="n"/>
      <c r="AK76" s="127" t="n"/>
      <c r="AL76" s="130" t="n"/>
      <c r="AM76" s="130" t="n"/>
      <c r="AN76" s="341">
        <f>IFERROR(AVERAGE(Table410[[#This Row],[Jan_2026_Days_Forecast]:[Dec_2026_Days_Forecast]]),0)/19</f>
        <v/>
      </c>
      <c r="AO76" s="341">
        <f>IFERROR(AVERAGE(Table410[[#This Row],[Jan_2026_Days_Actual]:[Dec_2026_Days_Actual]]),0)/19</f>
        <v/>
      </c>
      <c r="BB76" s="341">
        <f>IFERROR(AVERAGE(Table410[[#This Row],[Jan_2027_Days_Forecast]:[Dec_2027_Days_Forecast]]),0)</f>
        <v/>
      </c>
      <c r="BC76" s="127" t="n"/>
      <c r="BD76" s="127" t="n"/>
      <c r="BE76" s="127" t="n"/>
      <c r="BF76" s="127" t="n"/>
      <c r="BG76" s="127" t="n"/>
      <c r="BH76" s="127" t="n"/>
      <c r="BI76" s="127" t="n"/>
      <c r="BJ76" s="127" t="n"/>
      <c r="BK76" s="127" t="n"/>
      <c r="BL76" s="127" t="n"/>
      <c r="BM76" s="127" t="n"/>
      <c r="BN76" s="127" t="n"/>
      <c r="BO76" s="176" t="n"/>
      <c r="BP76" s="176" t="n"/>
      <c r="BQ76" s="338">
        <f>IFERROR(Table410[[#This Row],[Jan_2026_Days_Forecast]]*Table410[[#This Row],[Cost Boolean]]*(VLOOKUP(Table410[[#This Row],[RATE CONCAT]],Tables!I:N,5,0)),0)</f>
        <v/>
      </c>
      <c r="BR76" s="338">
        <f>IFERROR(Table410[[#This Row],[Jan_2026_Days_Actual]]*Table410[[#This Row],[Cost Boolean]]*(VLOOKUP(Table410[[#This Row],[RATE CONCAT]],Tables!I:N,5,0)),0)</f>
        <v/>
      </c>
      <c r="BS76" s="338">
        <f>Table410[[#This Row],[Jan_2026_F]]-Table410[[#This Row],[Jan_2026_A]]</f>
        <v/>
      </c>
      <c r="BU76" s="338">
        <f>IFERROR(Table410[[#This Row],[Feb_2026_Days_Forecast]]*Table410[[#This Row],[Cost Boolean]]*(VLOOKUP(Table410[[#This Row],[RATE CONCAT]],Tables!I:N,5,0)),0)</f>
        <v/>
      </c>
      <c r="BV76" s="338">
        <f>IFERROR(Table410[[#This Row],[Feb_2026_Days_Actual]]*Table410[[#This Row],[Cost Boolean]]*(VLOOKUP(Table410[[#This Row],[RATE CONCAT]],Tables!I:N,5,0)),0)</f>
        <v/>
      </c>
      <c r="BW76" s="338">
        <f>Table410[[#This Row],[Feb_2026_F]]-Table410[[#This Row],[Feb_2026_A]]</f>
        <v/>
      </c>
      <c r="BY76" s="338">
        <f>IFERROR(Table410[[#This Row],[Mar_2026_Days_Forecast]]*Table410[[#This Row],[Cost Boolean]]*(VLOOKUP(Table410[[#This Row],[RATE CONCAT]],Tables!I:N,5,0)),0)</f>
        <v/>
      </c>
      <c r="BZ76" s="338">
        <f>IFERROR(Table410[[#This Row],[Mar_2026_Days_Actual]]*Table410[[#This Row],[Cost Boolean]]*(VLOOKUP(Table410[[#This Row],[RATE CONCAT]],Tables!I:N,5,0)),0)</f>
        <v/>
      </c>
      <c r="CA76" s="338">
        <f>Table410[[#This Row],[Mar_2026_F]]-Table410[[#This Row],[Mar_2026_A]]</f>
        <v/>
      </c>
      <c r="CC76" s="338">
        <f>IFERROR(Table410[[#This Row],[Apr_2026_Days_Forecast]]*Table410[[#This Row],[Cost Boolean]]*(VLOOKUP(Table410[[#This Row],[RATE CONCAT]],Tables!I:N,5,0)),0)</f>
        <v/>
      </c>
      <c r="CD76" s="338">
        <f>IFERROR(Table410[[#This Row],[Apr_2026_Days_Actual]]*Table410[[#This Row],[Cost Boolean]]*(VLOOKUP(Table410[[#This Row],[RATE CONCAT]],Tables!I:N,5,0)),0)</f>
        <v/>
      </c>
      <c r="CE76" s="338">
        <f>Table410[[#This Row],[Apr_2026_F]]-Table410[[#This Row],[Apr_2026_A]]</f>
        <v/>
      </c>
      <c r="CG76" s="338">
        <f>IFERROR(Table410[[#This Row],[May_2026_Days_Forecast]] *Table410[[#This Row],[Cost Boolean]]*(VLOOKUP(Table410[[#This Row],[RATE CONCAT]],Tables!I:N,5,0)),0)</f>
        <v/>
      </c>
      <c r="CH76" s="338">
        <f>IFERROR(Table410[[#This Row],[May_2026_Days_Actual]]*Table410[[#This Row],[Cost Boolean]]*(VLOOKUP(Table410[[#This Row],[RATE CONCAT]],Tables!I:N,5,0)),0)</f>
        <v/>
      </c>
      <c r="CI76" s="338">
        <f>Table410[[#This Row],[May_2026_F]]-Table410[[#This Row],[May_2026_A]]</f>
        <v/>
      </c>
      <c r="CK76" s="338">
        <f>IFERROR(Table410[[#This Row],[Jun_2026_Days_Forecast]]*Table410[[#This Row],[Cost Boolean]]*(VLOOKUP(Table410[[#This Row],[RATE CONCAT]],Tables!I:N,5,0)),0)</f>
        <v/>
      </c>
      <c r="CL76" s="338">
        <f>IFERROR(Table410[[#This Row],[Jun_2026_Days_Actual]]*Table410[[#This Row],[Cost Boolean]]*(VLOOKUP(Table410[[#This Row],[RATE CONCAT]],Tables!I:N,5,0)),0)</f>
        <v/>
      </c>
      <c r="CM76" s="338">
        <f>Table410[[#This Row],[Jun_2026_F]]-Table410[[#This Row],[Jun_2026_A]]</f>
        <v/>
      </c>
      <c r="CO76" s="338">
        <f>IFERROR(Table410[[#This Row],[Jul_2026_Days_Forecast]]*Table410[[#This Row],[Cost Boolean]]*(VLOOKUP(Table410[[#This Row],[RATE CONCAT]],Tables!I:N,5,0)),0)</f>
        <v/>
      </c>
      <c r="CP76" s="338">
        <f>IFERROR(Table410[[#This Row],[Jul_2026_Days_Actual]]*Table410[[#This Row],[Cost Boolean]]*(VLOOKUP(Table410[[#This Row],[RATE CONCAT]],Tables!I:N,5,0)),0)</f>
        <v/>
      </c>
      <c r="CQ76" s="338">
        <f>Table410[[#This Row],[Jul_2026_F]]-Table410[[#This Row],[Jul_2026_A]]</f>
        <v/>
      </c>
      <c r="CS76" s="338">
        <f>IFERROR(Table410[[#This Row],[Aug_2026_Days_Forecast]]*Table410[[#This Row],[Cost Boolean]]*(VLOOKUP(Table410[[#This Row],[RATE CONCAT]],Tables!I:N,5,0)),0)</f>
        <v/>
      </c>
      <c r="CT76" s="338">
        <f>IFERROR(Table410[[#This Row],[Aug_2026_Days_Actual]]*Table410[[#This Row],[Cost Boolean]]*(VLOOKUP(Table410[[#This Row],[RATE CONCAT]],Tables!I:N,5,0)),0)</f>
        <v/>
      </c>
      <c r="CU76" s="338">
        <f>Table410[[#This Row],[Aug_2026_F]]-Table410[[#This Row],[Aug_2026_A]]</f>
        <v/>
      </c>
      <c r="CW76" s="338">
        <f>IFERROR(Table410[[#This Row],[Sep_2026_Days_Forecast]]*Table410[[#This Row],[Cost Boolean]]*(VLOOKUP(Table410[[#This Row],[RATE CONCAT]],Tables!I:N,5,0)),0)</f>
        <v/>
      </c>
      <c r="CX76" s="338">
        <f>IFERROR(Table410[[#This Row],[Sep_2026_Days_Actual]]*Table410[[#This Row],[Cost Boolean]]*(VLOOKUP(Table410[[#This Row],[RATE CONCAT]],Tables!I:N,5,0)),0)</f>
        <v/>
      </c>
      <c r="CY76" s="338">
        <f>Table410[[#This Row],[Sep_2026_F]]-Table410[[#This Row],[Sep_2026_A]]</f>
        <v/>
      </c>
      <c r="DA76" s="338">
        <f>IFERROR(Table410[[#This Row],[Oct_2026_Days_Forecast]]*Table410[[#This Row],[Cost Boolean]]*(VLOOKUP(Table410[[#This Row],[RATE CONCAT]],Tables!I:N,5,0)),0)</f>
        <v/>
      </c>
      <c r="DB76" s="338">
        <f>IFERROR(Table410[[#This Row],[Oct_2026_Days_Actual]]*Table410[[#This Row],[Cost Boolean]]*(VLOOKUP(Table410[[#This Row],[RATE CONCAT]],Tables!I:N,5,0)),0)</f>
        <v/>
      </c>
      <c r="DC76" s="338">
        <f>Table410[[#This Row],[Oct_2026_F]]-Table410[[#This Row],[Oct_2026_A]]</f>
        <v/>
      </c>
      <c r="DE76" s="338">
        <f>IFERROR(Table410[[#This Row],[Nov_2026_Days_Forecast]]*Table410[[#This Row],[Cost Boolean]]*(VLOOKUP(Table410[[#This Row],[RATE CONCAT]],Tables!I:N,5,0)),0)</f>
        <v/>
      </c>
      <c r="DF76" s="338">
        <f>IFERROR(Table410[[#This Row],[Nov_2026_Days_Actual]]*Table410[[#This Row],[Cost Boolean]]*(VLOOKUP(Table410[[#This Row],[RATE CONCAT]],Tables!I:N,5,0)),0)</f>
        <v/>
      </c>
      <c r="DG76" s="338">
        <f>Table410[[#This Row],[Nov_2026_F]]-Table410[[#This Row],[Nov_2026_A]]</f>
        <v/>
      </c>
      <c r="DI76" s="338">
        <f>IFERROR(Table410[[#This Row],[Dec_2026_Days_Forecast]]*Table410[[#This Row],[Cost Boolean]]*(VLOOKUP(Table410[[#This Row],[RATE CONCAT]],Tables!I:N,5,0)),0)</f>
        <v/>
      </c>
      <c r="DJ76" s="338">
        <f>IFERROR(Table410[[#This Row],[Dec_2026_Days_Actual]]*Table410[[#This Row],[Cost Boolean]]*(VLOOKUP(Table410[[#This Row],[RATE CONCAT]],Tables!I:N,5,0)),0)</f>
        <v/>
      </c>
      <c r="DK76" s="338">
        <f>Table410[[#This Row],[Dec_2026_F]]-Table410[[#This Row],[Dec_2026_A]]</f>
        <v/>
      </c>
      <c r="DN76" s="338">
        <f>IFERROR(Table410[[#This Row],[Jan_2027_Days_Forecast]]*Table410[[#This Row],[Cost Boolean]]*(VLOOKUP(Table410[[#This Row],[RATE CONCAT]],Tables!I:N,6,0)),0)</f>
        <v/>
      </c>
      <c r="DP76" s="338">
        <f>Table410[[#This Row],[Jan_2027_F]]-Table410[[#This Row],[Jan_2027_A]]</f>
        <v/>
      </c>
      <c r="DQ76" s="338">
        <f>IFERROR(Table410[[#This Row],[Feb_2027_Days_Forecast]]*Table410[[#This Row],[Cost Boolean]]*(VLOOKUP(Table410[[#This Row],[RATE CONCAT]],Tables!I:N,6,0)),0)</f>
        <v/>
      </c>
      <c r="DS76" s="338">
        <f>Table410[[#This Row],[Feb_2027_F]]-Table410[[#This Row],[Feb_2027_A]]</f>
        <v/>
      </c>
      <c r="DT76" s="338">
        <f>IFERROR(Table410[[#This Row],[Mar_2027_Days_Forecast]]*Table410[[#This Row],[Cost Boolean]]*(VLOOKUP(Table410[[#This Row],[RATE CONCAT]],Tables!I:N,6,0)),0)</f>
        <v/>
      </c>
      <c r="DV76" s="338">
        <f>Table410[[#This Row],[Mar_2027_F]]-Table410[[#This Row],[Mar_2027_A]]</f>
        <v/>
      </c>
      <c r="DW76" s="338">
        <f>IFERROR(Table410[[#This Row],[Apr_2027_Days_Forecast]]*Table410[[#This Row],[Cost Boolean]]*(VLOOKUP(Table410[[#This Row],[RATE CONCAT]],Tables!I:N,6,0)),0)</f>
        <v/>
      </c>
      <c r="DY76" s="338">
        <f>Table410[[#This Row],[Apr_2027_F]]-Table410[[#This Row],[Apr_2027_A]]</f>
        <v/>
      </c>
      <c r="DZ76" s="338">
        <f>IFERROR(Table410[[#This Row],[May_2027_Days_Forecast]]*Table410[[#This Row],[Cost Boolean]]*(VLOOKUP(Table410[[#This Row],[RATE CONCAT]],Tables!I:N,6,0)),0)</f>
        <v/>
      </c>
      <c r="EB76" s="338">
        <f>Table410[[#This Row],[May_2027_F]]-Table410[[#This Row],[May_2027_A]]</f>
        <v/>
      </c>
      <c r="EC76" s="338">
        <f>IFERROR(Table410[[#This Row],[Jun_2027_Days_Forecast]]*Table410[[#This Row],[Cost Boolean]]*(VLOOKUP(Table410[[#This Row],[RATE CONCAT]],Tables!I:N,6,0)),0)</f>
        <v/>
      </c>
      <c r="EE76" s="338">
        <f>Table410[[#This Row],[Jun_2027_F]]-Table410[[#This Row],[Jun_2027_A]]</f>
        <v/>
      </c>
      <c r="EF76" s="338">
        <f>IFERROR(Table410[[#This Row],[Jul_2027_Days_Forecast]]*Table410[[#This Row],[Cost Boolean]]*(VLOOKUP(Table410[[#This Row],[RATE CONCAT]],Tables!I:N,6,0)),0)</f>
        <v/>
      </c>
      <c r="EH76" s="338">
        <f>Table410[[#This Row],[Jul_2027_F]]-Table410[[#This Row],[Jul_2027_A]]</f>
        <v/>
      </c>
      <c r="EI76" s="338">
        <f>IFERROR(Table410[[#This Row],[Aug_2027_Days_Forecast]]*Table410[[#This Row],[Cost Boolean]]*(VLOOKUP(Table410[[#This Row],[RATE CONCAT]],Tables!I:N,6,0)),0)</f>
        <v/>
      </c>
      <c r="EK76" s="338">
        <f>Table410[[#This Row],[Aug_2027_F]]-Table410[[#This Row],[Aug_2027_A]]</f>
        <v/>
      </c>
      <c r="EL76" s="338">
        <f>IFERROR(Table410[[#This Row],[Sep_2027_Days_Forecast]]*Table410[[#This Row],[Cost Boolean]]*(VLOOKUP(Table410[[#This Row],[RATE CONCAT]],Tables!I:N,6,0)),0)</f>
        <v/>
      </c>
      <c r="EN76" s="338">
        <f>Table410[[#This Row],[Sep_2027_F]]-Table410[[#This Row],[Sep_2027_A]]</f>
        <v/>
      </c>
      <c r="EO76" s="338">
        <f>IFERROR(Table410[[#This Row],[Oct_2027_Days_Forecast]]*Table410[[#This Row],[Cost Boolean]]*(VLOOKUP(Table410[[#This Row],[RATE CONCAT]],Tables!I:N,6,0)),0)</f>
        <v/>
      </c>
      <c r="EQ76" s="338">
        <f>Table410[[#This Row],[Oct_2027_F]]-Table410[[#This Row],[Oct_2027_A]]</f>
        <v/>
      </c>
      <c r="ER76" s="338">
        <f>IFERROR(Table410[[#This Row],[Nov_2027_Days_Forecast]]*Table410[[#This Row],[Cost Boolean]]*(VLOOKUP(Table410[[#This Row],[RATE CONCAT]],Tables!I:N,6,0)),0)</f>
        <v/>
      </c>
      <c r="ET76" s="338">
        <f>Table410[[#This Row],[Nov_2027_F]]-Table410[[#This Row],[Nov_2027_A]]</f>
        <v/>
      </c>
      <c r="EU76" s="338">
        <f>IFERROR(Table410[[#This Row],[Dec_2027_Days_Forecast]]*Table410[[#This Row],[Cost Boolean]]*(VLOOKUP(Table410[[#This Row],[RATE CONCAT]],Tables!I:N,6,0)),0)</f>
        <v/>
      </c>
      <c r="EW76" s="338">
        <f>Table410[[#This Row],[Dec_2027_F]]-Table410[[#This Row],[Dec_2027_A]]</f>
        <v/>
      </c>
    </row>
    <row r="77" ht="15" customFormat="1" customHeight="1" s="13">
      <c r="Y77" s="342">
        <f>CONCATENATE(Table410[[#This Row],[JG]],Table410[[#This Row],[Country]],Table410[[#This Row],[Resource Provider]])</f>
        <v/>
      </c>
      <c r="Z77" s="342">
        <f>VLOOKUP(Table410[[#This Row],[RATE CONCAT]],Tables!I:N,5,0)</f>
        <v/>
      </c>
      <c r="AA77" s="52" t="n"/>
      <c r="AB77" s="127" t="n"/>
      <c r="AC77" s="127" t="n"/>
      <c r="AD77" s="127" t="n"/>
      <c r="AE77" s="127" t="n"/>
      <c r="AF77" s="127" t="n"/>
      <c r="AG77" s="127" t="n"/>
      <c r="AH77" s="130" t="n"/>
      <c r="AI77" s="130" t="n"/>
      <c r="AJ77" s="130" t="n"/>
      <c r="AK77" s="130" t="n"/>
      <c r="AL77" s="130" t="n"/>
      <c r="AM77" s="130" t="n"/>
      <c r="AN77" s="341">
        <f>IFERROR(AVERAGE(Table410[[#This Row],[Jan_2026_Days_Forecast]:[Dec_2026_Days_Forecast]]),0)/19</f>
        <v/>
      </c>
      <c r="AO77" s="341">
        <f>IFERROR(AVERAGE(Table410[[#This Row],[Jan_2026_Days_Actual]:[Dec_2026_Days_Actual]]),0)/19</f>
        <v/>
      </c>
      <c r="BB77" s="341">
        <f>IFERROR(AVERAGE(Table410[[#This Row],[Jan_2027_Days_Forecast]:[Dec_2027_Days_Forecast]]),0)</f>
        <v/>
      </c>
      <c r="BC77" s="127" t="n"/>
      <c r="BD77" s="127" t="n"/>
      <c r="BE77" s="127" t="n"/>
      <c r="BF77" s="127" t="n"/>
      <c r="BG77" s="127" t="n"/>
      <c r="BH77" s="127" t="n"/>
      <c r="BI77" s="127" t="n"/>
      <c r="BJ77" s="127" t="n"/>
      <c r="BK77" s="127" t="n"/>
      <c r="BL77" s="127" t="n"/>
      <c r="BM77" s="127" t="n"/>
      <c r="BN77" s="127" t="n"/>
      <c r="BO77" s="176" t="n"/>
      <c r="BP77" s="176" t="n"/>
      <c r="BQ77" s="342">
        <f>IFERROR(Table410[[#This Row],[Jan_2026_Days_Forecast]]*Table410[[#This Row],[Cost Boolean]]*(VLOOKUP(Table410[[#This Row],[RATE CONCAT]],Tables!I:N,5,0)),0)</f>
        <v/>
      </c>
      <c r="BR77" s="342">
        <f>IFERROR(Table410[[#This Row],[Jan_2026_Days_Actual]]*Table410[[#This Row],[Cost Boolean]]*(VLOOKUP(Table410[[#This Row],[RATE CONCAT]],Tables!I:N,5,0)),0)</f>
        <v/>
      </c>
      <c r="BS77" s="342">
        <f>Table410[[#This Row],[Jan_2026_F]]-Table410[[#This Row],[Jan_2026_A]]</f>
        <v/>
      </c>
      <c r="BU77" s="342">
        <f>IFERROR(Table410[[#This Row],[Feb_2026_Days_Forecast]]*Table410[[#This Row],[Cost Boolean]]*(VLOOKUP(Table410[[#This Row],[RATE CONCAT]],Tables!I:N,5,0)),0)</f>
        <v/>
      </c>
      <c r="BV77" s="342">
        <f>IFERROR(Table410[[#This Row],[Feb_2026_Days_Actual]]*Table410[[#This Row],[Cost Boolean]]*(VLOOKUP(Table410[[#This Row],[RATE CONCAT]],Tables!I:N,5,0)),0)</f>
        <v/>
      </c>
      <c r="BW77" s="342">
        <f>Table410[[#This Row],[Feb_2026_F]]-Table410[[#This Row],[Feb_2026_A]]</f>
        <v/>
      </c>
      <c r="BY77" s="342">
        <f>IFERROR(Table410[[#This Row],[Mar_2026_Days_Forecast]]*Table410[[#This Row],[Cost Boolean]]*(VLOOKUP(Table410[[#This Row],[RATE CONCAT]],Tables!I:N,5,0)),0)</f>
        <v/>
      </c>
      <c r="BZ77" s="342">
        <f>IFERROR(Table410[[#This Row],[Mar_2026_Days_Actual]]*Table410[[#This Row],[Cost Boolean]]*(VLOOKUP(Table410[[#This Row],[RATE CONCAT]],Tables!I:N,5,0)),0)</f>
        <v/>
      </c>
      <c r="CA77" s="342">
        <f>Table410[[#This Row],[Mar_2026_F]]-Table410[[#This Row],[Mar_2026_A]]</f>
        <v/>
      </c>
      <c r="CC77" s="342">
        <f>IFERROR(Table410[[#This Row],[Apr_2026_Days_Forecast]]*Table410[[#This Row],[Cost Boolean]]*(VLOOKUP(Table410[[#This Row],[RATE CONCAT]],Tables!I:N,5,0)),0)</f>
        <v/>
      </c>
      <c r="CD77" s="342">
        <f>IFERROR(Table410[[#This Row],[Apr_2026_Days_Actual]]*Table410[[#This Row],[Cost Boolean]]*(VLOOKUP(Table410[[#This Row],[RATE CONCAT]],Tables!I:N,5,0)),0)</f>
        <v/>
      </c>
      <c r="CE77" s="342">
        <f>Table410[[#This Row],[Apr_2026_F]]-Table410[[#This Row],[Apr_2026_A]]</f>
        <v/>
      </c>
      <c r="CG77" s="342">
        <f>IFERROR(Table410[[#This Row],[May_2026_Days_Forecast]] *Table410[[#This Row],[Cost Boolean]]*(VLOOKUP(Table410[[#This Row],[RATE CONCAT]],Tables!I:N,5,0)),0)</f>
        <v/>
      </c>
      <c r="CH77" s="342">
        <f>IFERROR(Table410[[#This Row],[May_2026_Days_Actual]]*Table410[[#This Row],[Cost Boolean]]*(VLOOKUP(Table410[[#This Row],[RATE CONCAT]],Tables!I:N,5,0)),0)</f>
        <v/>
      </c>
      <c r="CI77" s="342">
        <f>Table410[[#This Row],[May_2026_F]]-Table410[[#This Row],[May_2026_A]]</f>
        <v/>
      </c>
      <c r="CK77" s="342">
        <f>IFERROR(Table410[[#This Row],[Jun_2026_Days_Forecast]]*Table410[[#This Row],[Cost Boolean]]*(VLOOKUP(Table410[[#This Row],[RATE CONCAT]],Tables!I:N,5,0)),0)</f>
        <v/>
      </c>
      <c r="CL77" s="342">
        <f>IFERROR(Table410[[#This Row],[Jun_2026_Days_Actual]]*Table410[[#This Row],[Cost Boolean]]*(VLOOKUP(Table410[[#This Row],[RATE CONCAT]],Tables!I:N,5,0)),0)</f>
        <v/>
      </c>
      <c r="CM77" s="342">
        <f>Table410[[#This Row],[Jun_2026_F]]-Table410[[#This Row],[Jun_2026_A]]</f>
        <v/>
      </c>
      <c r="CO77" s="342">
        <f>IFERROR(Table410[[#This Row],[Jul_2026_Days_Forecast]]*Table410[[#This Row],[Cost Boolean]]*(VLOOKUP(Table410[[#This Row],[RATE CONCAT]],Tables!I:N,5,0)),0)</f>
        <v/>
      </c>
      <c r="CP77" s="342">
        <f>IFERROR(Table410[[#This Row],[Jul_2026_Days_Actual]]*Table410[[#This Row],[Cost Boolean]]*(VLOOKUP(Table410[[#This Row],[RATE CONCAT]],Tables!I:N,5,0)),0)</f>
        <v/>
      </c>
      <c r="CQ77" s="342">
        <f>Table410[[#This Row],[Jul_2026_F]]-Table410[[#This Row],[Jul_2026_A]]</f>
        <v/>
      </c>
      <c r="CS77" s="342">
        <f>IFERROR(Table410[[#This Row],[Aug_2026_Days_Forecast]]*Table410[[#This Row],[Cost Boolean]]*(VLOOKUP(Table410[[#This Row],[RATE CONCAT]],Tables!I:N,5,0)),0)</f>
        <v/>
      </c>
      <c r="CT77" s="342">
        <f>IFERROR(Table410[[#This Row],[Aug_2026_Days_Actual]]*Table410[[#This Row],[Cost Boolean]]*(VLOOKUP(Table410[[#This Row],[RATE CONCAT]],Tables!I:N,5,0)),0)</f>
        <v/>
      </c>
      <c r="CU77" s="342">
        <f>Table410[[#This Row],[Aug_2026_F]]-Table410[[#This Row],[Aug_2026_A]]</f>
        <v/>
      </c>
      <c r="CW77" s="342">
        <f>IFERROR(Table410[[#This Row],[Sep_2026_Days_Forecast]]*Table410[[#This Row],[Cost Boolean]]*(VLOOKUP(Table410[[#This Row],[RATE CONCAT]],Tables!I:N,5,0)),0)</f>
        <v/>
      </c>
      <c r="CX77" s="342">
        <f>IFERROR(Table410[[#This Row],[Sep_2026_Days_Actual]]*Table410[[#This Row],[Cost Boolean]]*(VLOOKUP(Table410[[#This Row],[RATE CONCAT]],Tables!I:N,5,0)),0)</f>
        <v/>
      </c>
      <c r="CY77" s="342">
        <f>Table410[[#This Row],[Sep_2026_F]]-Table410[[#This Row],[Sep_2026_A]]</f>
        <v/>
      </c>
      <c r="DA77" s="342">
        <f>IFERROR(Table410[[#This Row],[Oct_2026_Days_Forecast]]*Table410[[#This Row],[Cost Boolean]]*(VLOOKUP(Table410[[#This Row],[RATE CONCAT]],Tables!I:N,5,0)),0)</f>
        <v/>
      </c>
      <c r="DB77" s="342">
        <f>IFERROR(Table410[[#This Row],[Oct_2026_Days_Actual]]*Table410[[#This Row],[Cost Boolean]]*(VLOOKUP(Table410[[#This Row],[RATE CONCAT]],Tables!I:N,5,0)),0)</f>
        <v/>
      </c>
      <c r="DC77" s="342">
        <f>Table410[[#This Row],[Oct_2026_F]]-Table410[[#This Row],[Oct_2026_A]]</f>
        <v/>
      </c>
      <c r="DE77" s="342">
        <f>IFERROR(Table410[[#This Row],[Nov_2026_Days_Forecast]]*Table410[[#This Row],[Cost Boolean]]*(VLOOKUP(Table410[[#This Row],[RATE CONCAT]],Tables!I:N,5,0)),0)</f>
        <v/>
      </c>
      <c r="DF77" s="342">
        <f>IFERROR(Table410[[#This Row],[Nov_2026_Days_Actual]]*Table410[[#This Row],[Cost Boolean]]*(VLOOKUP(Table410[[#This Row],[RATE CONCAT]],Tables!I:N,5,0)),0)</f>
        <v/>
      </c>
      <c r="DG77" s="342">
        <f>Table410[[#This Row],[Nov_2026_F]]-Table410[[#This Row],[Nov_2026_A]]</f>
        <v/>
      </c>
      <c r="DI77" s="342">
        <f>IFERROR(Table410[[#This Row],[Dec_2026_Days_Forecast]]*Table410[[#This Row],[Cost Boolean]]*(VLOOKUP(Table410[[#This Row],[RATE CONCAT]],Tables!I:N,5,0)),0)</f>
        <v/>
      </c>
      <c r="DJ77" s="342">
        <f>IFERROR(Table410[[#This Row],[Dec_2026_Days_Actual]]*Table410[[#This Row],[Cost Boolean]]*(VLOOKUP(Table410[[#This Row],[RATE CONCAT]],Tables!I:N,5,0)),0)</f>
        <v/>
      </c>
      <c r="DK77" s="342">
        <f>Table410[[#This Row],[Dec_2026_F]]-Table410[[#This Row],[Dec_2026_A]]</f>
        <v/>
      </c>
      <c r="DN77" s="342">
        <f>IFERROR(Table410[[#This Row],[Jan_2027_Days_Forecast]]*Table410[[#This Row],[Cost Boolean]]*(VLOOKUP(Table410[[#This Row],[RATE CONCAT]],Tables!I:N,6,0)),0)</f>
        <v/>
      </c>
      <c r="DP77" s="342">
        <f>Table410[[#This Row],[Jan_2027_F]]-Table410[[#This Row],[Jan_2027_A]]</f>
        <v/>
      </c>
      <c r="DQ77" s="342">
        <f>IFERROR(Table410[[#This Row],[Feb_2027_Days_Forecast]]*Table410[[#This Row],[Cost Boolean]]*(VLOOKUP(Table410[[#This Row],[RATE CONCAT]],Tables!I:N,6,0)),0)</f>
        <v/>
      </c>
      <c r="DS77" s="342">
        <f>Table410[[#This Row],[Feb_2027_F]]-Table410[[#This Row],[Feb_2027_A]]</f>
        <v/>
      </c>
      <c r="DT77" s="342">
        <f>IFERROR(Table410[[#This Row],[Mar_2027_Days_Forecast]]*Table410[[#This Row],[Cost Boolean]]*(VLOOKUP(Table410[[#This Row],[RATE CONCAT]],Tables!I:N,6,0)),0)</f>
        <v/>
      </c>
      <c r="DV77" s="342">
        <f>Table410[[#This Row],[Mar_2027_F]]-Table410[[#This Row],[Mar_2027_A]]</f>
        <v/>
      </c>
      <c r="DW77" s="342">
        <f>IFERROR(Table410[[#This Row],[Apr_2027_Days_Forecast]]*Table410[[#This Row],[Cost Boolean]]*(VLOOKUP(Table410[[#This Row],[RATE CONCAT]],Tables!I:N,6,0)),0)</f>
        <v/>
      </c>
      <c r="DY77" s="342">
        <f>Table410[[#This Row],[Apr_2027_F]]-Table410[[#This Row],[Apr_2027_A]]</f>
        <v/>
      </c>
      <c r="DZ77" s="342">
        <f>IFERROR(Table410[[#This Row],[May_2027_Days_Forecast]]*Table410[[#This Row],[Cost Boolean]]*(VLOOKUP(Table410[[#This Row],[RATE CONCAT]],Tables!I:N,6,0)),0)</f>
        <v/>
      </c>
      <c r="EB77" s="342">
        <f>Table410[[#This Row],[May_2027_F]]-Table410[[#This Row],[May_2027_A]]</f>
        <v/>
      </c>
      <c r="EC77" s="342">
        <f>IFERROR(Table410[[#This Row],[Jun_2027_Days_Forecast]]*Table410[[#This Row],[Cost Boolean]]*(VLOOKUP(Table410[[#This Row],[RATE CONCAT]],Tables!I:N,6,0)),0)</f>
        <v/>
      </c>
      <c r="EE77" s="342">
        <f>Table410[[#This Row],[Jun_2027_F]]-Table410[[#This Row],[Jun_2027_A]]</f>
        <v/>
      </c>
      <c r="EF77" s="342">
        <f>IFERROR(Table410[[#This Row],[Jul_2027_Days_Forecast]]*Table410[[#This Row],[Cost Boolean]]*(VLOOKUP(Table410[[#This Row],[RATE CONCAT]],Tables!I:N,6,0)),0)</f>
        <v/>
      </c>
      <c r="EH77" s="342">
        <f>Table410[[#This Row],[Jul_2027_F]]-Table410[[#This Row],[Jul_2027_A]]</f>
        <v/>
      </c>
      <c r="EI77" s="342">
        <f>IFERROR(Table410[[#This Row],[Aug_2027_Days_Forecast]]*Table410[[#This Row],[Cost Boolean]]*(VLOOKUP(Table410[[#This Row],[RATE CONCAT]],Tables!I:N,6,0)),0)</f>
        <v/>
      </c>
      <c r="EK77" s="342">
        <f>Table410[[#This Row],[Aug_2027_F]]-Table410[[#This Row],[Aug_2027_A]]</f>
        <v/>
      </c>
      <c r="EL77" s="342">
        <f>IFERROR(Table410[[#This Row],[Sep_2027_Days_Forecast]]*Table410[[#This Row],[Cost Boolean]]*(VLOOKUP(Table410[[#This Row],[RATE CONCAT]],Tables!I:N,6,0)),0)</f>
        <v/>
      </c>
      <c r="EN77" s="342">
        <f>Table410[[#This Row],[Sep_2027_F]]-Table410[[#This Row],[Sep_2027_A]]</f>
        <v/>
      </c>
      <c r="EO77" s="342">
        <f>IFERROR(Table410[[#This Row],[Oct_2027_Days_Forecast]]*Table410[[#This Row],[Cost Boolean]]*(VLOOKUP(Table410[[#This Row],[RATE CONCAT]],Tables!I:N,6,0)),0)</f>
        <v/>
      </c>
      <c r="EQ77" s="342">
        <f>Table410[[#This Row],[Oct_2027_F]]-Table410[[#This Row],[Oct_2027_A]]</f>
        <v/>
      </c>
      <c r="ER77" s="342">
        <f>IFERROR(Table410[[#This Row],[Nov_2027_Days_Forecast]]*Table410[[#This Row],[Cost Boolean]]*(VLOOKUP(Table410[[#This Row],[RATE CONCAT]],Tables!I:N,6,0)),0)</f>
        <v/>
      </c>
      <c r="ET77" s="342">
        <f>Table410[[#This Row],[Nov_2027_F]]-Table410[[#This Row],[Nov_2027_A]]</f>
        <v/>
      </c>
      <c r="EU77" s="342">
        <f>IFERROR(Table410[[#This Row],[Dec_2027_Days_Forecast]]*Table410[[#This Row],[Cost Boolean]]*(VLOOKUP(Table410[[#This Row],[RATE CONCAT]],Tables!I:N,6,0)),0)</f>
        <v/>
      </c>
      <c r="EW77" s="342">
        <f>Table410[[#This Row],[Dec_2027_F]]-Table410[[#This Row],[Dec_2027_A]]</f>
        <v/>
      </c>
    </row>
    <row r="78" ht="15" customFormat="1" customHeight="1" s="13">
      <c r="Y78" s="338">
        <f>CONCATENATE(Table410[[#This Row],[JG]],Table410[[#This Row],[Country]],Table410[[#This Row],[Resource Provider]])</f>
        <v/>
      </c>
      <c r="Z78" s="338">
        <f>VLOOKUP(Table410[[#This Row],[RATE CONCAT]],Tables!I:N,5,0)</f>
        <v/>
      </c>
      <c r="AA78" s="52" t="n"/>
      <c r="AB78" s="127" t="n"/>
      <c r="AC78" s="127" t="n"/>
      <c r="AD78" s="127" t="n"/>
      <c r="AE78" s="127" t="n"/>
      <c r="AF78" s="127" t="n"/>
      <c r="AG78" s="127" t="n"/>
      <c r="AH78" s="130" t="n"/>
      <c r="AI78" s="130" t="n"/>
      <c r="AJ78" s="130" t="n"/>
      <c r="AK78" s="130" t="n"/>
      <c r="AL78" s="130" t="n"/>
      <c r="AM78" s="130" t="n"/>
      <c r="AN78" s="341">
        <f>IFERROR(AVERAGE(Table410[[#This Row],[Jan_2026_Days_Forecast]:[Dec_2026_Days_Forecast]]),0)/19</f>
        <v/>
      </c>
      <c r="AO78" s="341">
        <f>IFERROR(AVERAGE(Table410[[#This Row],[Jan_2026_Days_Actual]:[Dec_2026_Days_Actual]]),0)/19</f>
        <v/>
      </c>
      <c r="BB78" s="341">
        <f>IFERROR(AVERAGE(Table410[[#This Row],[Jan_2027_Days_Forecast]:[Dec_2027_Days_Forecast]]),0)</f>
        <v/>
      </c>
      <c r="BC78" s="127" t="n"/>
      <c r="BD78" s="127" t="n"/>
      <c r="BE78" s="127" t="n"/>
      <c r="BF78" s="127" t="n"/>
      <c r="BG78" s="127" t="n"/>
      <c r="BH78" s="127" t="n"/>
      <c r="BI78" s="127" t="n"/>
      <c r="BJ78" s="127" t="n"/>
      <c r="BK78" s="127" t="n"/>
      <c r="BL78" s="127" t="n"/>
      <c r="BM78" s="127" t="n"/>
      <c r="BN78" s="127" t="n"/>
      <c r="BO78" s="176" t="n"/>
      <c r="BP78" s="176" t="n"/>
      <c r="BQ78" s="338">
        <f>IFERROR(Table410[[#This Row],[Jan_2026_Days_Forecast]]*Table410[[#This Row],[Cost Boolean]]*(VLOOKUP(Table410[[#This Row],[RATE CONCAT]],Tables!I:N,5,0)),0)</f>
        <v/>
      </c>
      <c r="BR78" s="338">
        <f>IFERROR(Table410[[#This Row],[Jan_2026_Days_Actual]]*Table410[[#This Row],[Cost Boolean]]*(VLOOKUP(Table410[[#This Row],[RATE CONCAT]],Tables!I:N,5,0)),0)</f>
        <v/>
      </c>
      <c r="BS78" s="338">
        <f>Table410[[#This Row],[Jan_2026_F]]-Table410[[#This Row],[Jan_2026_A]]</f>
        <v/>
      </c>
      <c r="BU78" s="338">
        <f>IFERROR(Table410[[#This Row],[Feb_2026_Days_Forecast]]*Table410[[#This Row],[Cost Boolean]]*(VLOOKUP(Table410[[#This Row],[RATE CONCAT]],Tables!I:N,5,0)),0)</f>
        <v/>
      </c>
      <c r="BV78" s="338">
        <f>IFERROR(Table410[[#This Row],[Feb_2026_Days_Actual]]*Table410[[#This Row],[Cost Boolean]]*(VLOOKUP(Table410[[#This Row],[RATE CONCAT]],Tables!I:N,5,0)),0)</f>
        <v/>
      </c>
      <c r="BW78" s="338">
        <f>Table410[[#This Row],[Feb_2026_F]]-Table410[[#This Row],[Feb_2026_A]]</f>
        <v/>
      </c>
      <c r="BY78" s="338">
        <f>IFERROR(Table410[[#This Row],[Mar_2026_Days_Forecast]]*Table410[[#This Row],[Cost Boolean]]*(VLOOKUP(Table410[[#This Row],[RATE CONCAT]],Tables!I:N,5,0)),0)</f>
        <v/>
      </c>
      <c r="BZ78" s="338">
        <f>IFERROR(Table410[[#This Row],[Mar_2026_Days_Actual]]*Table410[[#This Row],[Cost Boolean]]*(VLOOKUP(Table410[[#This Row],[RATE CONCAT]],Tables!I:N,5,0)),0)</f>
        <v/>
      </c>
      <c r="CA78" s="338">
        <f>Table410[[#This Row],[Mar_2026_F]]-Table410[[#This Row],[Mar_2026_A]]</f>
        <v/>
      </c>
      <c r="CC78" s="338">
        <f>IFERROR(Table410[[#This Row],[Apr_2026_Days_Forecast]]*Table410[[#This Row],[Cost Boolean]]*(VLOOKUP(Table410[[#This Row],[RATE CONCAT]],Tables!I:N,5,0)),0)</f>
        <v/>
      </c>
      <c r="CD78" s="338">
        <f>IFERROR(Table410[[#This Row],[Apr_2026_Days_Actual]]*Table410[[#This Row],[Cost Boolean]]*(VLOOKUP(Table410[[#This Row],[RATE CONCAT]],Tables!I:N,5,0)),0)</f>
        <v/>
      </c>
      <c r="CE78" s="338">
        <f>Table410[[#This Row],[Apr_2026_F]]-Table410[[#This Row],[Apr_2026_A]]</f>
        <v/>
      </c>
      <c r="CG78" s="338">
        <f>IFERROR(Table410[[#This Row],[May_2026_Days_Forecast]] *Table410[[#This Row],[Cost Boolean]]*(VLOOKUP(Table410[[#This Row],[RATE CONCAT]],Tables!I:N,5,0)),0)</f>
        <v/>
      </c>
      <c r="CH78" s="338">
        <f>IFERROR(Table410[[#This Row],[May_2026_Days_Actual]]*Table410[[#This Row],[Cost Boolean]]*(VLOOKUP(Table410[[#This Row],[RATE CONCAT]],Tables!I:N,5,0)),0)</f>
        <v/>
      </c>
      <c r="CI78" s="338">
        <f>Table410[[#This Row],[May_2026_F]]-Table410[[#This Row],[May_2026_A]]</f>
        <v/>
      </c>
      <c r="CK78" s="338">
        <f>IFERROR(Table410[[#This Row],[Jun_2026_Days_Forecast]]*Table410[[#This Row],[Cost Boolean]]*(VLOOKUP(Table410[[#This Row],[RATE CONCAT]],Tables!I:N,5,0)),0)</f>
        <v/>
      </c>
      <c r="CL78" s="338">
        <f>IFERROR(Table410[[#This Row],[Jun_2026_Days_Actual]]*Table410[[#This Row],[Cost Boolean]]*(VLOOKUP(Table410[[#This Row],[RATE CONCAT]],Tables!I:N,5,0)),0)</f>
        <v/>
      </c>
      <c r="CM78" s="338">
        <f>Table410[[#This Row],[Jun_2026_F]]-Table410[[#This Row],[Jun_2026_A]]</f>
        <v/>
      </c>
      <c r="CO78" s="338">
        <f>IFERROR(Table410[[#This Row],[Jul_2026_Days_Forecast]]*Table410[[#This Row],[Cost Boolean]]*(VLOOKUP(Table410[[#This Row],[RATE CONCAT]],Tables!I:N,5,0)),0)</f>
        <v/>
      </c>
      <c r="CP78" s="338">
        <f>IFERROR(Table410[[#This Row],[Jul_2026_Days_Actual]]*Table410[[#This Row],[Cost Boolean]]*(VLOOKUP(Table410[[#This Row],[RATE CONCAT]],Tables!I:N,5,0)),0)</f>
        <v/>
      </c>
      <c r="CQ78" s="338">
        <f>Table410[[#This Row],[Jul_2026_F]]-Table410[[#This Row],[Jul_2026_A]]</f>
        <v/>
      </c>
      <c r="CS78" s="338">
        <f>IFERROR(Table410[[#This Row],[Aug_2026_Days_Forecast]]*Table410[[#This Row],[Cost Boolean]]*(VLOOKUP(Table410[[#This Row],[RATE CONCAT]],Tables!I:N,5,0)),0)</f>
        <v/>
      </c>
      <c r="CT78" s="338">
        <f>IFERROR(Table410[[#This Row],[Aug_2026_Days_Actual]]*Table410[[#This Row],[Cost Boolean]]*(VLOOKUP(Table410[[#This Row],[RATE CONCAT]],Tables!I:N,5,0)),0)</f>
        <v/>
      </c>
      <c r="CU78" s="338">
        <f>Table410[[#This Row],[Aug_2026_F]]-Table410[[#This Row],[Aug_2026_A]]</f>
        <v/>
      </c>
      <c r="CW78" s="338">
        <f>IFERROR(Table410[[#This Row],[Sep_2026_Days_Forecast]]*Table410[[#This Row],[Cost Boolean]]*(VLOOKUP(Table410[[#This Row],[RATE CONCAT]],Tables!I:N,5,0)),0)</f>
        <v/>
      </c>
      <c r="CX78" s="338">
        <f>IFERROR(Table410[[#This Row],[Sep_2026_Days_Actual]]*Table410[[#This Row],[Cost Boolean]]*(VLOOKUP(Table410[[#This Row],[RATE CONCAT]],Tables!I:N,5,0)),0)</f>
        <v/>
      </c>
      <c r="CY78" s="338">
        <f>Table410[[#This Row],[Sep_2026_F]]-Table410[[#This Row],[Sep_2026_A]]</f>
        <v/>
      </c>
      <c r="DA78" s="338">
        <f>IFERROR(Table410[[#This Row],[Oct_2026_Days_Forecast]]*Table410[[#This Row],[Cost Boolean]]*(VLOOKUP(Table410[[#This Row],[RATE CONCAT]],Tables!I:N,5,0)),0)</f>
        <v/>
      </c>
      <c r="DB78" s="338">
        <f>IFERROR(Table410[[#This Row],[Oct_2026_Days_Actual]]*Table410[[#This Row],[Cost Boolean]]*(VLOOKUP(Table410[[#This Row],[RATE CONCAT]],Tables!I:N,5,0)),0)</f>
        <v/>
      </c>
      <c r="DC78" s="338">
        <f>Table410[[#This Row],[Oct_2026_F]]-Table410[[#This Row],[Oct_2026_A]]</f>
        <v/>
      </c>
      <c r="DE78" s="338">
        <f>IFERROR(Table410[[#This Row],[Nov_2026_Days_Forecast]]*Table410[[#This Row],[Cost Boolean]]*(VLOOKUP(Table410[[#This Row],[RATE CONCAT]],Tables!I:N,5,0)),0)</f>
        <v/>
      </c>
      <c r="DF78" s="338">
        <f>IFERROR(Table410[[#This Row],[Nov_2026_Days_Actual]]*Table410[[#This Row],[Cost Boolean]]*(VLOOKUP(Table410[[#This Row],[RATE CONCAT]],Tables!I:N,5,0)),0)</f>
        <v/>
      </c>
      <c r="DG78" s="338">
        <f>Table410[[#This Row],[Nov_2026_F]]-Table410[[#This Row],[Nov_2026_A]]</f>
        <v/>
      </c>
      <c r="DI78" s="338">
        <f>IFERROR(Table410[[#This Row],[Dec_2026_Days_Forecast]]*Table410[[#This Row],[Cost Boolean]]*(VLOOKUP(Table410[[#This Row],[RATE CONCAT]],Tables!I:N,5,0)),0)</f>
        <v/>
      </c>
      <c r="DJ78" s="338">
        <f>IFERROR(Table410[[#This Row],[Dec_2026_Days_Actual]]*Table410[[#This Row],[Cost Boolean]]*(VLOOKUP(Table410[[#This Row],[RATE CONCAT]],Tables!I:N,5,0)),0)</f>
        <v/>
      </c>
      <c r="DK78" s="338">
        <f>Table410[[#This Row],[Dec_2026_F]]-Table410[[#This Row],[Dec_2026_A]]</f>
        <v/>
      </c>
      <c r="DN78" s="338">
        <f>IFERROR(Table410[[#This Row],[Jan_2027_Days_Forecast]]*Table410[[#This Row],[Cost Boolean]]*(VLOOKUP(Table410[[#This Row],[RATE CONCAT]],Tables!I:N,6,0)),0)</f>
        <v/>
      </c>
      <c r="DP78" s="338">
        <f>Table410[[#This Row],[Jan_2027_F]]-Table410[[#This Row],[Jan_2027_A]]</f>
        <v/>
      </c>
      <c r="DQ78" s="338">
        <f>IFERROR(Table410[[#This Row],[Feb_2027_Days_Forecast]]*Table410[[#This Row],[Cost Boolean]]*(VLOOKUP(Table410[[#This Row],[RATE CONCAT]],Tables!I:N,6,0)),0)</f>
        <v/>
      </c>
      <c r="DS78" s="338">
        <f>Table410[[#This Row],[Feb_2027_F]]-Table410[[#This Row],[Feb_2027_A]]</f>
        <v/>
      </c>
      <c r="DT78" s="338">
        <f>IFERROR(Table410[[#This Row],[Mar_2027_Days_Forecast]]*Table410[[#This Row],[Cost Boolean]]*(VLOOKUP(Table410[[#This Row],[RATE CONCAT]],Tables!I:N,6,0)),0)</f>
        <v/>
      </c>
      <c r="DV78" s="338">
        <f>Table410[[#This Row],[Mar_2027_F]]-Table410[[#This Row],[Mar_2027_A]]</f>
        <v/>
      </c>
      <c r="DW78" s="338">
        <f>IFERROR(Table410[[#This Row],[Apr_2027_Days_Forecast]]*Table410[[#This Row],[Cost Boolean]]*(VLOOKUP(Table410[[#This Row],[RATE CONCAT]],Tables!I:N,6,0)),0)</f>
        <v/>
      </c>
      <c r="DY78" s="338">
        <f>Table410[[#This Row],[Apr_2027_F]]-Table410[[#This Row],[Apr_2027_A]]</f>
        <v/>
      </c>
      <c r="DZ78" s="338">
        <f>IFERROR(Table410[[#This Row],[May_2027_Days_Forecast]]*Table410[[#This Row],[Cost Boolean]]*(VLOOKUP(Table410[[#This Row],[RATE CONCAT]],Tables!I:N,6,0)),0)</f>
        <v/>
      </c>
      <c r="EB78" s="338">
        <f>Table410[[#This Row],[May_2027_F]]-Table410[[#This Row],[May_2027_A]]</f>
        <v/>
      </c>
      <c r="EC78" s="338">
        <f>IFERROR(Table410[[#This Row],[Jun_2027_Days_Forecast]]*Table410[[#This Row],[Cost Boolean]]*(VLOOKUP(Table410[[#This Row],[RATE CONCAT]],Tables!I:N,6,0)),0)</f>
        <v/>
      </c>
      <c r="EE78" s="338">
        <f>Table410[[#This Row],[Jun_2027_F]]-Table410[[#This Row],[Jun_2027_A]]</f>
        <v/>
      </c>
      <c r="EF78" s="338">
        <f>IFERROR(Table410[[#This Row],[Jul_2027_Days_Forecast]]*Table410[[#This Row],[Cost Boolean]]*(VLOOKUP(Table410[[#This Row],[RATE CONCAT]],Tables!I:N,6,0)),0)</f>
        <v/>
      </c>
      <c r="EH78" s="338">
        <f>Table410[[#This Row],[Jul_2027_F]]-Table410[[#This Row],[Jul_2027_A]]</f>
        <v/>
      </c>
      <c r="EI78" s="338">
        <f>IFERROR(Table410[[#This Row],[Aug_2027_Days_Forecast]]*Table410[[#This Row],[Cost Boolean]]*(VLOOKUP(Table410[[#This Row],[RATE CONCAT]],Tables!I:N,6,0)),0)</f>
        <v/>
      </c>
      <c r="EK78" s="338">
        <f>Table410[[#This Row],[Aug_2027_F]]-Table410[[#This Row],[Aug_2027_A]]</f>
        <v/>
      </c>
      <c r="EL78" s="338">
        <f>IFERROR(Table410[[#This Row],[Sep_2027_Days_Forecast]]*Table410[[#This Row],[Cost Boolean]]*(VLOOKUP(Table410[[#This Row],[RATE CONCAT]],Tables!I:N,6,0)),0)</f>
        <v/>
      </c>
      <c r="EN78" s="338">
        <f>Table410[[#This Row],[Sep_2027_F]]-Table410[[#This Row],[Sep_2027_A]]</f>
        <v/>
      </c>
      <c r="EO78" s="338">
        <f>IFERROR(Table410[[#This Row],[Oct_2027_Days_Forecast]]*Table410[[#This Row],[Cost Boolean]]*(VLOOKUP(Table410[[#This Row],[RATE CONCAT]],Tables!I:N,6,0)),0)</f>
        <v/>
      </c>
      <c r="EQ78" s="338">
        <f>Table410[[#This Row],[Oct_2027_F]]-Table410[[#This Row],[Oct_2027_A]]</f>
        <v/>
      </c>
      <c r="ER78" s="338">
        <f>IFERROR(Table410[[#This Row],[Nov_2027_Days_Forecast]]*Table410[[#This Row],[Cost Boolean]]*(VLOOKUP(Table410[[#This Row],[RATE CONCAT]],Tables!I:N,6,0)),0)</f>
        <v/>
      </c>
      <c r="ET78" s="338">
        <f>Table410[[#This Row],[Nov_2027_F]]-Table410[[#This Row],[Nov_2027_A]]</f>
        <v/>
      </c>
      <c r="EU78" s="338">
        <f>IFERROR(Table410[[#This Row],[Dec_2027_Days_Forecast]]*Table410[[#This Row],[Cost Boolean]]*(VLOOKUP(Table410[[#This Row],[RATE CONCAT]],Tables!I:N,6,0)),0)</f>
        <v/>
      </c>
      <c r="EW78" s="338">
        <f>Table410[[#This Row],[Dec_2027_F]]-Table410[[#This Row],[Dec_2027_A]]</f>
        <v/>
      </c>
    </row>
    <row r="79" ht="15" customFormat="1" customHeight="1" s="13">
      <c r="Y79" s="342">
        <f>CONCATENATE(Table410[[#This Row],[JG]],Table410[[#This Row],[Country]],Table410[[#This Row],[Resource Provider]])</f>
        <v/>
      </c>
      <c r="Z79" s="342">
        <f>VLOOKUP(Table410[[#This Row],[RATE CONCAT]],Tables!I:N,5,0)</f>
        <v/>
      </c>
      <c r="AA79" s="52" t="n"/>
      <c r="AB79" s="130" t="n"/>
      <c r="AC79" s="130" t="n"/>
      <c r="AD79" s="130" t="n"/>
      <c r="AE79" s="130" t="n"/>
      <c r="AF79" s="130" t="n"/>
      <c r="AG79" s="130" t="n"/>
      <c r="AH79" s="130" t="n"/>
      <c r="AI79" s="130" t="n"/>
      <c r="AJ79" s="130" t="n"/>
      <c r="AK79" s="130" t="n"/>
      <c r="AL79" s="130" t="n"/>
      <c r="AM79" s="130" t="n"/>
      <c r="AN79" s="341">
        <f>IFERROR(AVERAGE(Table410[[#This Row],[Jan_2026_Days_Forecast]:[Dec_2026_Days_Forecast]]),0)/19</f>
        <v/>
      </c>
      <c r="AO79" s="341">
        <f>IFERROR(AVERAGE(Table410[[#This Row],[Jan_2026_Days_Actual]:[Dec_2026_Days_Actual]]),0)/19</f>
        <v/>
      </c>
      <c r="BB79" s="341">
        <f>IFERROR(AVERAGE(Table410[[#This Row],[Jan_2027_Days_Forecast]:[Dec_2027_Days_Forecast]]),0)</f>
        <v/>
      </c>
      <c r="BC79" s="127" t="n"/>
      <c r="BD79" s="127" t="n"/>
      <c r="BE79" s="127" t="n"/>
      <c r="BF79" s="127" t="n"/>
      <c r="BG79" s="127" t="n"/>
      <c r="BH79" s="127" t="n"/>
      <c r="BI79" s="127" t="n"/>
      <c r="BJ79" s="127" t="n"/>
      <c r="BK79" s="127" t="n"/>
      <c r="BL79" s="127" t="n"/>
      <c r="BM79" s="127" t="n"/>
      <c r="BN79" s="127" t="n"/>
      <c r="BO79" s="176" t="n"/>
      <c r="BP79" s="176" t="n"/>
      <c r="BQ79" s="342">
        <f>IFERROR(Table410[[#This Row],[Jan_2026_Days_Forecast]]*Table410[[#This Row],[Cost Boolean]]*(VLOOKUP(Table410[[#This Row],[RATE CONCAT]],Tables!I:N,5,0)),0)</f>
        <v/>
      </c>
      <c r="BR79" s="342">
        <f>IFERROR(Table410[[#This Row],[Jan_2026_Days_Actual]]*Table410[[#This Row],[Cost Boolean]]*(VLOOKUP(Table410[[#This Row],[RATE CONCAT]],Tables!I:N,5,0)),0)</f>
        <v/>
      </c>
      <c r="BS79" s="342">
        <f>Table410[[#This Row],[Jan_2026_F]]-Table410[[#This Row],[Jan_2026_A]]</f>
        <v/>
      </c>
      <c r="BU79" s="342">
        <f>IFERROR(Table410[[#This Row],[Feb_2026_Days_Forecast]]*Table410[[#This Row],[Cost Boolean]]*(VLOOKUP(Table410[[#This Row],[RATE CONCAT]],Tables!I:N,5,0)),0)</f>
        <v/>
      </c>
      <c r="BV79" s="342">
        <f>IFERROR(Table410[[#This Row],[Feb_2026_Days_Actual]]*Table410[[#This Row],[Cost Boolean]]*(VLOOKUP(Table410[[#This Row],[RATE CONCAT]],Tables!I:N,5,0)),0)</f>
        <v/>
      </c>
      <c r="BW79" s="342">
        <f>Table410[[#This Row],[Feb_2026_F]]-Table410[[#This Row],[Feb_2026_A]]</f>
        <v/>
      </c>
      <c r="BY79" s="342">
        <f>IFERROR(Table410[[#This Row],[Mar_2026_Days_Forecast]]*Table410[[#This Row],[Cost Boolean]]*(VLOOKUP(Table410[[#This Row],[RATE CONCAT]],Tables!I:N,5,0)),0)</f>
        <v/>
      </c>
      <c r="BZ79" s="342">
        <f>IFERROR(Table410[[#This Row],[Mar_2026_Days_Actual]]*Table410[[#This Row],[Cost Boolean]]*(VLOOKUP(Table410[[#This Row],[RATE CONCAT]],Tables!I:N,5,0)),0)</f>
        <v/>
      </c>
      <c r="CA79" s="342">
        <f>Table410[[#This Row],[Mar_2026_F]]-Table410[[#This Row],[Mar_2026_A]]</f>
        <v/>
      </c>
      <c r="CC79" s="342">
        <f>IFERROR(Table410[[#This Row],[Apr_2026_Days_Forecast]]*Table410[[#This Row],[Cost Boolean]]*(VLOOKUP(Table410[[#This Row],[RATE CONCAT]],Tables!I:N,5,0)),0)</f>
        <v/>
      </c>
      <c r="CD79" s="342">
        <f>IFERROR(Table410[[#This Row],[Apr_2026_Days_Actual]]*Table410[[#This Row],[Cost Boolean]]*(VLOOKUP(Table410[[#This Row],[RATE CONCAT]],Tables!I:N,5,0)),0)</f>
        <v/>
      </c>
      <c r="CE79" s="342">
        <f>Table410[[#This Row],[Apr_2026_F]]-Table410[[#This Row],[Apr_2026_A]]</f>
        <v/>
      </c>
      <c r="CG79" s="342">
        <f>IFERROR(Table410[[#This Row],[May_2026_Days_Forecast]] *Table410[[#This Row],[Cost Boolean]]*(VLOOKUP(Table410[[#This Row],[RATE CONCAT]],Tables!I:N,5,0)),0)</f>
        <v/>
      </c>
      <c r="CH79" s="342">
        <f>IFERROR(Table410[[#This Row],[May_2026_Days_Actual]]*Table410[[#This Row],[Cost Boolean]]*(VLOOKUP(Table410[[#This Row],[RATE CONCAT]],Tables!I:N,5,0)),0)</f>
        <v/>
      </c>
      <c r="CI79" s="342">
        <f>Table410[[#This Row],[May_2026_F]]-Table410[[#This Row],[May_2026_A]]</f>
        <v/>
      </c>
      <c r="CK79" s="342">
        <f>IFERROR(Table410[[#This Row],[Jun_2026_Days_Forecast]]*Table410[[#This Row],[Cost Boolean]]*(VLOOKUP(Table410[[#This Row],[RATE CONCAT]],Tables!I:N,5,0)),0)</f>
        <v/>
      </c>
      <c r="CL79" s="342">
        <f>IFERROR(Table410[[#This Row],[Jun_2026_Days_Actual]]*Table410[[#This Row],[Cost Boolean]]*(VLOOKUP(Table410[[#This Row],[RATE CONCAT]],Tables!I:N,5,0)),0)</f>
        <v/>
      </c>
      <c r="CM79" s="342">
        <f>Table410[[#This Row],[Jun_2026_F]]-Table410[[#This Row],[Jun_2026_A]]</f>
        <v/>
      </c>
      <c r="CO79" s="342">
        <f>IFERROR(Table410[[#This Row],[Jul_2026_Days_Forecast]]*Table410[[#This Row],[Cost Boolean]]*(VLOOKUP(Table410[[#This Row],[RATE CONCAT]],Tables!I:N,5,0)),0)</f>
        <v/>
      </c>
      <c r="CP79" s="342">
        <f>IFERROR(Table410[[#This Row],[Jul_2026_Days_Actual]]*Table410[[#This Row],[Cost Boolean]]*(VLOOKUP(Table410[[#This Row],[RATE CONCAT]],Tables!I:N,5,0)),0)</f>
        <v/>
      </c>
      <c r="CQ79" s="342">
        <f>Table410[[#This Row],[Jul_2026_F]]-Table410[[#This Row],[Jul_2026_A]]</f>
        <v/>
      </c>
      <c r="CS79" s="342">
        <f>IFERROR(Table410[[#This Row],[Aug_2026_Days_Forecast]]*Table410[[#This Row],[Cost Boolean]]*(VLOOKUP(Table410[[#This Row],[RATE CONCAT]],Tables!I:N,5,0)),0)</f>
        <v/>
      </c>
      <c r="CT79" s="342">
        <f>IFERROR(Table410[[#This Row],[Aug_2026_Days_Actual]]*Table410[[#This Row],[Cost Boolean]]*(VLOOKUP(Table410[[#This Row],[RATE CONCAT]],Tables!I:N,5,0)),0)</f>
        <v/>
      </c>
      <c r="CU79" s="342">
        <f>Table410[[#This Row],[Aug_2026_F]]-Table410[[#This Row],[Aug_2026_A]]</f>
        <v/>
      </c>
      <c r="CW79" s="342">
        <f>IFERROR(Table410[[#This Row],[Sep_2026_Days_Forecast]]*Table410[[#This Row],[Cost Boolean]]*(VLOOKUP(Table410[[#This Row],[RATE CONCAT]],Tables!I:N,5,0)),0)</f>
        <v/>
      </c>
      <c r="CX79" s="342">
        <f>IFERROR(Table410[[#This Row],[Sep_2026_Days_Actual]]*Table410[[#This Row],[Cost Boolean]]*(VLOOKUP(Table410[[#This Row],[RATE CONCAT]],Tables!I:N,5,0)),0)</f>
        <v/>
      </c>
      <c r="CY79" s="342">
        <f>Table410[[#This Row],[Sep_2026_F]]-Table410[[#This Row],[Sep_2026_A]]</f>
        <v/>
      </c>
      <c r="DA79" s="342">
        <f>IFERROR(Table410[[#This Row],[Oct_2026_Days_Forecast]]*Table410[[#This Row],[Cost Boolean]]*(VLOOKUP(Table410[[#This Row],[RATE CONCAT]],Tables!I:N,5,0)),0)</f>
        <v/>
      </c>
      <c r="DB79" s="342">
        <f>IFERROR(Table410[[#This Row],[Oct_2026_Days_Actual]]*Table410[[#This Row],[Cost Boolean]]*(VLOOKUP(Table410[[#This Row],[RATE CONCAT]],Tables!I:N,5,0)),0)</f>
        <v/>
      </c>
      <c r="DC79" s="342">
        <f>Table410[[#This Row],[Oct_2026_F]]-Table410[[#This Row],[Oct_2026_A]]</f>
        <v/>
      </c>
      <c r="DE79" s="342">
        <f>IFERROR(Table410[[#This Row],[Nov_2026_Days_Forecast]]*Table410[[#This Row],[Cost Boolean]]*(VLOOKUP(Table410[[#This Row],[RATE CONCAT]],Tables!I:N,5,0)),0)</f>
        <v/>
      </c>
      <c r="DF79" s="342">
        <f>IFERROR(Table410[[#This Row],[Nov_2026_Days_Actual]]*Table410[[#This Row],[Cost Boolean]]*(VLOOKUP(Table410[[#This Row],[RATE CONCAT]],Tables!I:N,5,0)),0)</f>
        <v/>
      </c>
      <c r="DG79" s="342">
        <f>Table410[[#This Row],[Nov_2026_F]]-Table410[[#This Row],[Nov_2026_A]]</f>
        <v/>
      </c>
      <c r="DI79" s="342">
        <f>IFERROR(Table410[[#This Row],[Dec_2026_Days_Forecast]]*Table410[[#This Row],[Cost Boolean]]*(VLOOKUP(Table410[[#This Row],[RATE CONCAT]],Tables!I:N,5,0)),0)</f>
        <v/>
      </c>
      <c r="DJ79" s="342">
        <f>IFERROR(Table410[[#This Row],[Dec_2026_Days_Actual]]*Table410[[#This Row],[Cost Boolean]]*(VLOOKUP(Table410[[#This Row],[RATE CONCAT]],Tables!I:N,5,0)),0)</f>
        <v/>
      </c>
      <c r="DK79" s="342">
        <f>Table410[[#This Row],[Dec_2026_F]]-Table410[[#This Row],[Dec_2026_A]]</f>
        <v/>
      </c>
      <c r="DN79" s="342">
        <f>IFERROR(Table410[[#This Row],[Jan_2027_Days_Forecast]]*Table410[[#This Row],[Cost Boolean]]*(VLOOKUP(Table410[[#This Row],[RATE CONCAT]],Tables!I:N,6,0)),0)</f>
        <v/>
      </c>
      <c r="DP79" s="342">
        <f>Table410[[#This Row],[Jan_2027_F]]-Table410[[#This Row],[Jan_2027_A]]</f>
        <v/>
      </c>
      <c r="DQ79" s="342">
        <f>IFERROR(Table410[[#This Row],[Feb_2027_Days_Forecast]]*Table410[[#This Row],[Cost Boolean]]*(VLOOKUP(Table410[[#This Row],[RATE CONCAT]],Tables!I:N,6,0)),0)</f>
        <v/>
      </c>
      <c r="DS79" s="342">
        <f>Table410[[#This Row],[Feb_2027_F]]-Table410[[#This Row],[Feb_2027_A]]</f>
        <v/>
      </c>
      <c r="DT79" s="342">
        <f>IFERROR(Table410[[#This Row],[Mar_2027_Days_Forecast]]*Table410[[#This Row],[Cost Boolean]]*(VLOOKUP(Table410[[#This Row],[RATE CONCAT]],Tables!I:N,6,0)),0)</f>
        <v/>
      </c>
      <c r="DV79" s="342">
        <f>Table410[[#This Row],[Mar_2027_F]]-Table410[[#This Row],[Mar_2027_A]]</f>
        <v/>
      </c>
      <c r="DW79" s="342">
        <f>IFERROR(Table410[[#This Row],[Apr_2027_Days_Forecast]]*Table410[[#This Row],[Cost Boolean]]*(VLOOKUP(Table410[[#This Row],[RATE CONCAT]],Tables!I:N,6,0)),0)</f>
        <v/>
      </c>
      <c r="DY79" s="342">
        <f>Table410[[#This Row],[Apr_2027_F]]-Table410[[#This Row],[Apr_2027_A]]</f>
        <v/>
      </c>
      <c r="DZ79" s="342">
        <f>IFERROR(Table410[[#This Row],[May_2027_Days_Forecast]]*Table410[[#This Row],[Cost Boolean]]*(VLOOKUP(Table410[[#This Row],[RATE CONCAT]],Tables!I:N,6,0)),0)</f>
        <v/>
      </c>
      <c r="EB79" s="342">
        <f>Table410[[#This Row],[May_2027_F]]-Table410[[#This Row],[May_2027_A]]</f>
        <v/>
      </c>
      <c r="EC79" s="342">
        <f>IFERROR(Table410[[#This Row],[Jun_2027_Days_Forecast]]*Table410[[#This Row],[Cost Boolean]]*(VLOOKUP(Table410[[#This Row],[RATE CONCAT]],Tables!I:N,6,0)),0)</f>
        <v/>
      </c>
      <c r="EE79" s="342">
        <f>Table410[[#This Row],[Jun_2027_F]]-Table410[[#This Row],[Jun_2027_A]]</f>
        <v/>
      </c>
      <c r="EF79" s="342">
        <f>IFERROR(Table410[[#This Row],[Jul_2027_Days_Forecast]]*Table410[[#This Row],[Cost Boolean]]*(VLOOKUP(Table410[[#This Row],[RATE CONCAT]],Tables!I:N,6,0)),0)</f>
        <v/>
      </c>
      <c r="EH79" s="342">
        <f>Table410[[#This Row],[Jul_2027_F]]-Table410[[#This Row],[Jul_2027_A]]</f>
        <v/>
      </c>
      <c r="EI79" s="342">
        <f>IFERROR(Table410[[#This Row],[Aug_2027_Days_Forecast]]*Table410[[#This Row],[Cost Boolean]]*(VLOOKUP(Table410[[#This Row],[RATE CONCAT]],Tables!I:N,6,0)),0)</f>
        <v/>
      </c>
      <c r="EK79" s="342">
        <f>Table410[[#This Row],[Aug_2027_F]]-Table410[[#This Row],[Aug_2027_A]]</f>
        <v/>
      </c>
      <c r="EL79" s="342">
        <f>IFERROR(Table410[[#This Row],[Sep_2027_Days_Forecast]]*Table410[[#This Row],[Cost Boolean]]*(VLOOKUP(Table410[[#This Row],[RATE CONCAT]],Tables!I:N,6,0)),0)</f>
        <v/>
      </c>
      <c r="EN79" s="342">
        <f>Table410[[#This Row],[Sep_2027_F]]-Table410[[#This Row],[Sep_2027_A]]</f>
        <v/>
      </c>
      <c r="EO79" s="342">
        <f>IFERROR(Table410[[#This Row],[Oct_2027_Days_Forecast]]*Table410[[#This Row],[Cost Boolean]]*(VLOOKUP(Table410[[#This Row],[RATE CONCAT]],Tables!I:N,6,0)),0)</f>
        <v/>
      </c>
      <c r="EQ79" s="342">
        <f>Table410[[#This Row],[Oct_2027_F]]-Table410[[#This Row],[Oct_2027_A]]</f>
        <v/>
      </c>
      <c r="ER79" s="342">
        <f>IFERROR(Table410[[#This Row],[Nov_2027_Days_Forecast]]*Table410[[#This Row],[Cost Boolean]]*(VLOOKUP(Table410[[#This Row],[RATE CONCAT]],Tables!I:N,6,0)),0)</f>
        <v/>
      </c>
      <c r="ET79" s="342">
        <f>Table410[[#This Row],[Nov_2027_F]]-Table410[[#This Row],[Nov_2027_A]]</f>
        <v/>
      </c>
      <c r="EU79" s="342">
        <f>IFERROR(Table410[[#This Row],[Dec_2027_Days_Forecast]]*Table410[[#This Row],[Cost Boolean]]*(VLOOKUP(Table410[[#This Row],[RATE CONCAT]],Tables!I:N,6,0)),0)</f>
        <v/>
      </c>
      <c r="EW79" s="342">
        <f>Table410[[#This Row],[Dec_2027_F]]-Table410[[#This Row],[Dec_2027_A]]</f>
        <v/>
      </c>
    </row>
    <row r="80" ht="15" customFormat="1" customHeight="1" s="13">
      <c r="Y80" s="338">
        <f>CONCATENATE(Table410[[#This Row],[JG]],Table410[[#This Row],[Country]],Table410[[#This Row],[Resource Provider]])</f>
        <v/>
      </c>
      <c r="Z80" s="338">
        <f>VLOOKUP(Table410[[#This Row],[RATE CONCAT]],Tables!I:N,5,0)</f>
        <v/>
      </c>
      <c r="AA80" s="52" t="n"/>
      <c r="AB80" s="130" t="n"/>
      <c r="AC80" s="130" t="n"/>
      <c r="AD80" s="130" t="n"/>
      <c r="AE80" s="130" t="n"/>
      <c r="AF80" s="130" t="n"/>
      <c r="AG80" s="130" t="n"/>
      <c r="AH80" s="130" t="n"/>
      <c r="AI80" s="130" t="n"/>
      <c r="AJ80" s="130" t="n"/>
      <c r="AK80" s="130" t="n"/>
      <c r="AL80" s="130" t="n"/>
      <c r="AM80" s="130" t="n"/>
      <c r="AN80" s="341">
        <f>IFERROR(AVERAGE(Table410[[#This Row],[Jan_2026_Days_Forecast]:[Dec_2026_Days_Forecast]]),0)/19</f>
        <v/>
      </c>
      <c r="AO80" s="341">
        <f>IFERROR(AVERAGE(Table410[[#This Row],[Jan_2026_Days_Actual]:[Dec_2026_Days_Actual]]),0)/19</f>
        <v/>
      </c>
      <c r="BB80" s="341">
        <f>IFERROR(AVERAGE(Table410[[#This Row],[Jan_2027_Days_Forecast]:[Dec_2027_Days_Forecast]]),0)</f>
        <v/>
      </c>
      <c r="BC80" s="127" t="n"/>
      <c r="BD80" s="127" t="n"/>
      <c r="BE80" s="127" t="n"/>
      <c r="BF80" s="127" t="n"/>
      <c r="BG80" s="127" t="n"/>
      <c r="BH80" s="127" t="n"/>
      <c r="BI80" s="127" t="n"/>
      <c r="BJ80" s="127" t="n"/>
      <c r="BK80" s="127" t="n"/>
      <c r="BL80" s="127" t="n"/>
      <c r="BM80" s="127" t="n"/>
      <c r="BN80" s="127" t="n"/>
      <c r="BO80" s="176" t="n"/>
      <c r="BP80" s="176" t="n"/>
      <c r="BQ80" s="338">
        <f>IFERROR(Table410[[#This Row],[Jan_2026_Days_Forecast]]*Table410[[#This Row],[Cost Boolean]]*(VLOOKUP(Table410[[#This Row],[RATE CONCAT]],Tables!I:N,5,0)),0)</f>
        <v/>
      </c>
      <c r="BR80" s="338">
        <f>IFERROR(Table410[[#This Row],[Jan_2026_Days_Actual]]*Table410[[#This Row],[Cost Boolean]]*(VLOOKUP(Table410[[#This Row],[RATE CONCAT]],Tables!I:N,5,0)),0)</f>
        <v/>
      </c>
      <c r="BS80" s="338">
        <f>Table410[[#This Row],[Jan_2026_F]]-Table410[[#This Row],[Jan_2026_A]]</f>
        <v/>
      </c>
      <c r="BU80" s="338">
        <f>IFERROR(Table410[[#This Row],[Feb_2026_Days_Forecast]]*Table410[[#This Row],[Cost Boolean]]*(VLOOKUP(Table410[[#This Row],[RATE CONCAT]],Tables!I:N,5,0)),0)</f>
        <v/>
      </c>
      <c r="BV80" s="338">
        <f>IFERROR(Table410[[#This Row],[Feb_2026_Days_Actual]]*Table410[[#This Row],[Cost Boolean]]*(VLOOKUP(Table410[[#This Row],[RATE CONCAT]],Tables!I:N,5,0)),0)</f>
        <v/>
      </c>
      <c r="BW80" s="338">
        <f>Table410[[#This Row],[Feb_2026_F]]-Table410[[#This Row],[Feb_2026_A]]</f>
        <v/>
      </c>
      <c r="BY80" s="338">
        <f>IFERROR(Table410[[#This Row],[Mar_2026_Days_Forecast]]*Table410[[#This Row],[Cost Boolean]]*(VLOOKUP(Table410[[#This Row],[RATE CONCAT]],Tables!I:N,5,0)),0)</f>
        <v/>
      </c>
      <c r="BZ80" s="338">
        <f>IFERROR(Table410[[#This Row],[Mar_2026_Days_Actual]]*Table410[[#This Row],[Cost Boolean]]*(VLOOKUP(Table410[[#This Row],[RATE CONCAT]],Tables!I:N,5,0)),0)</f>
        <v/>
      </c>
      <c r="CA80" s="338">
        <f>Table410[[#This Row],[Mar_2026_F]]-Table410[[#This Row],[Mar_2026_A]]</f>
        <v/>
      </c>
      <c r="CC80" s="338">
        <f>IFERROR(Table410[[#This Row],[Apr_2026_Days_Forecast]]*Table410[[#This Row],[Cost Boolean]]*(VLOOKUP(Table410[[#This Row],[RATE CONCAT]],Tables!I:N,5,0)),0)</f>
        <v/>
      </c>
      <c r="CD80" s="338">
        <f>IFERROR(Table410[[#This Row],[Apr_2026_Days_Actual]]*Table410[[#This Row],[Cost Boolean]]*(VLOOKUP(Table410[[#This Row],[RATE CONCAT]],Tables!I:N,5,0)),0)</f>
        <v/>
      </c>
      <c r="CE80" s="338">
        <f>Table410[[#This Row],[Apr_2026_F]]-Table410[[#This Row],[Apr_2026_A]]</f>
        <v/>
      </c>
      <c r="CG80" s="338">
        <f>IFERROR(Table410[[#This Row],[May_2026_Days_Forecast]] *Table410[[#This Row],[Cost Boolean]]*(VLOOKUP(Table410[[#This Row],[RATE CONCAT]],Tables!I:N,5,0)),0)</f>
        <v/>
      </c>
      <c r="CH80" s="338">
        <f>IFERROR(Table410[[#This Row],[May_2026_Days_Actual]]*Table410[[#This Row],[Cost Boolean]]*(VLOOKUP(Table410[[#This Row],[RATE CONCAT]],Tables!I:N,5,0)),0)</f>
        <v/>
      </c>
      <c r="CI80" s="338">
        <f>Table410[[#This Row],[May_2026_F]]-Table410[[#This Row],[May_2026_A]]</f>
        <v/>
      </c>
      <c r="CK80" s="338">
        <f>IFERROR(Table410[[#This Row],[Jun_2026_Days_Forecast]]*Table410[[#This Row],[Cost Boolean]]*(VLOOKUP(Table410[[#This Row],[RATE CONCAT]],Tables!I:N,5,0)),0)</f>
        <v/>
      </c>
      <c r="CL80" s="338">
        <f>IFERROR(Table410[[#This Row],[Jun_2026_Days_Actual]]*Table410[[#This Row],[Cost Boolean]]*(VLOOKUP(Table410[[#This Row],[RATE CONCAT]],Tables!I:N,5,0)),0)</f>
        <v/>
      </c>
      <c r="CM80" s="338">
        <f>Table410[[#This Row],[Jun_2026_F]]-Table410[[#This Row],[Jun_2026_A]]</f>
        <v/>
      </c>
      <c r="CO80" s="338">
        <f>IFERROR(Table410[[#This Row],[Jul_2026_Days_Forecast]]*Table410[[#This Row],[Cost Boolean]]*(VLOOKUP(Table410[[#This Row],[RATE CONCAT]],Tables!I:N,5,0)),0)</f>
        <v/>
      </c>
      <c r="CP80" s="338">
        <f>IFERROR(Table410[[#This Row],[Jul_2026_Days_Actual]]*Table410[[#This Row],[Cost Boolean]]*(VLOOKUP(Table410[[#This Row],[RATE CONCAT]],Tables!I:N,5,0)),0)</f>
        <v/>
      </c>
      <c r="CQ80" s="338">
        <f>Table410[[#This Row],[Jul_2026_F]]-Table410[[#This Row],[Jul_2026_A]]</f>
        <v/>
      </c>
      <c r="CS80" s="338">
        <f>IFERROR(Table410[[#This Row],[Aug_2026_Days_Forecast]]*Table410[[#This Row],[Cost Boolean]]*(VLOOKUP(Table410[[#This Row],[RATE CONCAT]],Tables!I:N,5,0)),0)</f>
        <v/>
      </c>
      <c r="CT80" s="338">
        <f>IFERROR(Table410[[#This Row],[Aug_2026_Days_Actual]]*Table410[[#This Row],[Cost Boolean]]*(VLOOKUP(Table410[[#This Row],[RATE CONCAT]],Tables!I:N,5,0)),0)</f>
        <v/>
      </c>
      <c r="CU80" s="338">
        <f>Table410[[#This Row],[Aug_2026_F]]-Table410[[#This Row],[Aug_2026_A]]</f>
        <v/>
      </c>
      <c r="CW80" s="338">
        <f>IFERROR(Table410[[#This Row],[Sep_2026_Days_Forecast]]*Table410[[#This Row],[Cost Boolean]]*(VLOOKUP(Table410[[#This Row],[RATE CONCAT]],Tables!I:N,5,0)),0)</f>
        <v/>
      </c>
      <c r="CX80" s="338">
        <f>IFERROR(Table410[[#This Row],[Sep_2026_Days_Actual]]*Table410[[#This Row],[Cost Boolean]]*(VLOOKUP(Table410[[#This Row],[RATE CONCAT]],Tables!I:N,5,0)),0)</f>
        <v/>
      </c>
      <c r="CY80" s="338">
        <f>Table410[[#This Row],[Sep_2026_F]]-Table410[[#This Row],[Sep_2026_A]]</f>
        <v/>
      </c>
      <c r="DA80" s="338">
        <f>IFERROR(Table410[[#This Row],[Oct_2026_Days_Forecast]]*Table410[[#This Row],[Cost Boolean]]*(VLOOKUP(Table410[[#This Row],[RATE CONCAT]],Tables!I:N,5,0)),0)</f>
        <v/>
      </c>
      <c r="DB80" s="338">
        <f>IFERROR(Table410[[#This Row],[Oct_2026_Days_Actual]]*Table410[[#This Row],[Cost Boolean]]*(VLOOKUP(Table410[[#This Row],[RATE CONCAT]],Tables!I:N,5,0)),0)</f>
        <v/>
      </c>
      <c r="DC80" s="338">
        <f>Table410[[#This Row],[Oct_2026_F]]-Table410[[#This Row],[Oct_2026_A]]</f>
        <v/>
      </c>
      <c r="DE80" s="338">
        <f>IFERROR(Table410[[#This Row],[Nov_2026_Days_Forecast]]*Table410[[#This Row],[Cost Boolean]]*(VLOOKUP(Table410[[#This Row],[RATE CONCAT]],Tables!I:N,5,0)),0)</f>
        <v/>
      </c>
      <c r="DF80" s="338">
        <f>IFERROR(Table410[[#This Row],[Nov_2026_Days_Actual]]*Table410[[#This Row],[Cost Boolean]]*(VLOOKUP(Table410[[#This Row],[RATE CONCAT]],Tables!I:N,5,0)),0)</f>
        <v/>
      </c>
      <c r="DG80" s="338">
        <f>Table410[[#This Row],[Nov_2026_F]]-Table410[[#This Row],[Nov_2026_A]]</f>
        <v/>
      </c>
      <c r="DI80" s="338">
        <f>IFERROR(Table410[[#This Row],[Dec_2026_Days_Forecast]]*Table410[[#This Row],[Cost Boolean]]*(VLOOKUP(Table410[[#This Row],[RATE CONCAT]],Tables!I:N,5,0)),0)</f>
        <v/>
      </c>
      <c r="DJ80" s="338">
        <f>IFERROR(Table410[[#This Row],[Dec_2026_Days_Actual]]*Table410[[#This Row],[Cost Boolean]]*(VLOOKUP(Table410[[#This Row],[RATE CONCAT]],Tables!I:N,5,0)),0)</f>
        <v/>
      </c>
      <c r="DK80" s="338">
        <f>Table410[[#This Row],[Dec_2026_F]]-Table410[[#This Row],[Dec_2026_A]]</f>
        <v/>
      </c>
      <c r="DN80" s="338">
        <f>IFERROR(Table410[[#This Row],[Jan_2027_Days_Forecast]]*Table410[[#This Row],[Cost Boolean]]*(VLOOKUP(Table410[[#This Row],[RATE CONCAT]],Tables!I:N,6,0)),0)</f>
        <v/>
      </c>
      <c r="DP80" s="338">
        <f>Table410[[#This Row],[Jan_2027_F]]-Table410[[#This Row],[Jan_2027_A]]</f>
        <v/>
      </c>
      <c r="DQ80" s="338">
        <f>IFERROR(Table410[[#This Row],[Feb_2027_Days_Forecast]]*Table410[[#This Row],[Cost Boolean]]*(VLOOKUP(Table410[[#This Row],[RATE CONCAT]],Tables!I:N,6,0)),0)</f>
        <v/>
      </c>
      <c r="DS80" s="338">
        <f>Table410[[#This Row],[Feb_2027_F]]-Table410[[#This Row],[Feb_2027_A]]</f>
        <v/>
      </c>
      <c r="DT80" s="338">
        <f>IFERROR(Table410[[#This Row],[Mar_2027_Days_Forecast]]*Table410[[#This Row],[Cost Boolean]]*(VLOOKUP(Table410[[#This Row],[RATE CONCAT]],Tables!I:N,6,0)),0)</f>
        <v/>
      </c>
      <c r="DV80" s="338">
        <f>Table410[[#This Row],[Mar_2027_F]]-Table410[[#This Row],[Mar_2027_A]]</f>
        <v/>
      </c>
      <c r="DW80" s="338">
        <f>IFERROR(Table410[[#This Row],[Apr_2027_Days_Forecast]]*Table410[[#This Row],[Cost Boolean]]*(VLOOKUP(Table410[[#This Row],[RATE CONCAT]],Tables!I:N,6,0)),0)</f>
        <v/>
      </c>
      <c r="DY80" s="338">
        <f>Table410[[#This Row],[Apr_2027_F]]-Table410[[#This Row],[Apr_2027_A]]</f>
        <v/>
      </c>
      <c r="DZ80" s="338">
        <f>IFERROR(Table410[[#This Row],[May_2027_Days_Forecast]]*Table410[[#This Row],[Cost Boolean]]*(VLOOKUP(Table410[[#This Row],[RATE CONCAT]],Tables!I:N,6,0)),0)</f>
        <v/>
      </c>
      <c r="EB80" s="338">
        <f>Table410[[#This Row],[May_2027_F]]-Table410[[#This Row],[May_2027_A]]</f>
        <v/>
      </c>
      <c r="EC80" s="338">
        <f>IFERROR(Table410[[#This Row],[Jun_2027_Days_Forecast]]*Table410[[#This Row],[Cost Boolean]]*(VLOOKUP(Table410[[#This Row],[RATE CONCAT]],Tables!I:N,6,0)),0)</f>
        <v/>
      </c>
      <c r="EE80" s="338">
        <f>Table410[[#This Row],[Jun_2027_F]]-Table410[[#This Row],[Jun_2027_A]]</f>
        <v/>
      </c>
      <c r="EF80" s="338">
        <f>IFERROR(Table410[[#This Row],[Jul_2027_Days_Forecast]]*Table410[[#This Row],[Cost Boolean]]*(VLOOKUP(Table410[[#This Row],[RATE CONCAT]],Tables!I:N,6,0)),0)</f>
        <v/>
      </c>
      <c r="EH80" s="338">
        <f>Table410[[#This Row],[Jul_2027_F]]-Table410[[#This Row],[Jul_2027_A]]</f>
        <v/>
      </c>
      <c r="EI80" s="338">
        <f>IFERROR(Table410[[#This Row],[Aug_2027_Days_Forecast]]*Table410[[#This Row],[Cost Boolean]]*(VLOOKUP(Table410[[#This Row],[RATE CONCAT]],Tables!I:N,6,0)),0)</f>
        <v/>
      </c>
      <c r="EK80" s="338">
        <f>Table410[[#This Row],[Aug_2027_F]]-Table410[[#This Row],[Aug_2027_A]]</f>
        <v/>
      </c>
      <c r="EL80" s="338">
        <f>IFERROR(Table410[[#This Row],[Sep_2027_Days_Forecast]]*Table410[[#This Row],[Cost Boolean]]*(VLOOKUP(Table410[[#This Row],[RATE CONCAT]],Tables!I:N,6,0)),0)</f>
        <v/>
      </c>
      <c r="EN80" s="338">
        <f>Table410[[#This Row],[Sep_2027_F]]-Table410[[#This Row],[Sep_2027_A]]</f>
        <v/>
      </c>
      <c r="EO80" s="338">
        <f>IFERROR(Table410[[#This Row],[Oct_2027_Days_Forecast]]*Table410[[#This Row],[Cost Boolean]]*(VLOOKUP(Table410[[#This Row],[RATE CONCAT]],Tables!I:N,6,0)),0)</f>
        <v/>
      </c>
      <c r="EQ80" s="338">
        <f>Table410[[#This Row],[Oct_2027_F]]-Table410[[#This Row],[Oct_2027_A]]</f>
        <v/>
      </c>
      <c r="ER80" s="338">
        <f>IFERROR(Table410[[#This Row],[Nov_2027_Days_Forecast]]*Table410[[#This Row],[Cost Boolean]]*(VLOOKUP(Table410[[#This Row],[RATE CONCAT]],Tables!I:N,6,0)),0)</f>
        <v/>
      </c>
      <c r="ET80" s="338">
        <f>Table410[[#This Row],[Nov_2027_F]]-Table410[[#This Row],[Nov_2027_A]]</f>
        <v/>
      </c>
      <c r="EU80" s="338">
        <f>IFERROR(Table410[[#This Row],[Dec_2027_Days_Forecast]]*Table410[[#This Row],[Cost Boolean]]*(VLOOKUP(Table410[[#This Row],[RATE CONCAT]],Tables!I:N,6,0)),0)</f>
        <v/>
      </c>
      <c r="EW80" s="338">
        <f>Table410[[#This Row],[Dec_2027_F]]-Table410[[#This Row],[Dec_2027_A]]</f>
        <v/>
      </c>
    </row>
    <row r="81" ht="15" customFormat="1" customHeight="1" s="13">
      <c r="Y81" s="342">
        <f>CONCATENATE(Table410[[#This Row],[JG]],Table410[[#This Row],[Country]],Table410[[#This Row],[Resource Provider]])</f>
        <v/>
      </c>
      <c r="Z81" s="342">
        <f>VLOOKUP(Table410[[#This Row],[RATE CONCAT]],Tables!I:N,5,0)</f>
        <v/>
      </c>
      <c r="AA81" s="52" t="n"/>
      <c r="AB81" s="130" t="n"/>
      <c r="AC81" s="130" t="n"/>
      <c r="AD81" s="130" t="n"/>
      <c r="AE81" s="130" t="n"/>
      <c r="AF81" s="130" t="n"/>
      <c r="AG81" s="130" t="n"/>
      <c r="AH81" s="130" t="n"/>
      <c r="AI81" s="130" t="n"/>
      <c r="AJ81" s="130" t="n"/>
      <c r="AK81" s="130" t="n"/>
      <c r="AL81" s="130" t="n"/>
      <c r="AM81" s="130" t="n"/>
      <c r="AN81" s="341">
        <f>IFERROR(AVERAGE(Table410[[#This Row],[Jan_2026_Days_Forecast]:[Dec_2026_Days_Forecast]]),0)/19</f>
        <v/>
      </c>
      <c r="AO81" s="341">
        <f>IFERROR(AVERAGE(Table410[[#This Row],[Jan_2026_Days_Actual]:[Dec_2026_Days_Actual]]),0)/19</f>
        <v/>
      </c>
      <c r="BB81" s="341">
        <f>IFERROR(AVERAGE(Table410[[#This Row],[Jan_2027_Days_Forecast]:[Dec_2027_Days_Forecast]]),0)</f>
        <v/>
      </c>
      <c r="BC81" s="127" t="n"/>
      <c r="BD81" s="127" t="n"/>
      <c r="BE81" s="127" t="n"/>
      <c r="BF81" s="127" t="n"/>
      <c r="BG81" s="127" t="n"/>
      <c r="BH81" s="127" t="n"/>
      <c r="BI81" s="127" t="n"/>
      <c r="BJ81" s="127" t="n"/>
      <c r="BK81" s="127" t="n"/>
      <c r="BL81" s="127" t="n"/>
      <c r="BM81" s="127" t="n"/>
      <c r="BN81" s="127" t="n"/>
      <c r="BO81" s="176" t="n"/>
      <c r="BP81" s="176" t="n"/>
      <c r="BQ81" s="342">
        <f>IFERROR(Table410[[#This Row],[Jan_2026_Days_Forecast]]*Table410[[#This Row],[Cost Boolean]]*(VLOOKUP(Table410[[#This Row],[RATE CONCAT]],Tables!I:N,5,0)),0)</f>
        <v/>
      </c>
      <c r="BR81" s="342">
        <f>IFERROR(Table410[[#This Row],[Jan_2026_Days_Actual]]*Table410[[#This Row],[Cost Boolean]]*(VLOOKUP(Table410[[#This Row],[RATE CONCAT]],Tables!I:N,5,0)),0)</f>
        <v/>
      </c>
      <c r="BS81" s="342">
        <f>Table410[[#This Row],[Jan_2026_F]]-Table410[[#This Row],[Jan_2026_A]]</f>
        <v/>
      </c>
      <c r="BU81" s="342">
        <f>IFERROR(Table410[[#This Row],[Feb_2026_Days_Forecast]]*Table410[[#This Row],[Cost Boolean]]*(VLOOKUP(Table410[[#This Row],[RATE CONCAT]],Tables!I:N,5,0)),0)</f>
        <v/>
      </c>
      <c r="BV81" s="342">
        <f>IFERROR(Table410[[#This Row],[Feb_2026_Days_Actual]]*Table410[[#This Row],[Cost Boolean]]*(VLOOKUP(Table410[[#This Row],[RATE CONCAT]],Tables!I:N,5,0)),0)</f>
        <v/>
      </c>
      <c r="BW81" s="342">
        <f>Table410[[#This Row],[Feb_2026_F]]-Table410[[#This Row],[Feb_2026_A]]</f>
        <v/>
      </c>
      <c r="BY81" s="342">
        <f>IFERROR(Table410[[#This Row],[Mar_2026_Days_Forecast]]*Table410[[#This Row],[Cost Boolean]]*(VLOOKUP(Table410[[#This Row],[RATE CONCAT]],Tables!I:N,5,0)),0)</f>
        <v/>
      </c>
      <c r="BZ81" s="342">
        <f>IFERROR(Table410[[#This Row],[Mar_2026_Days_Actual]]*Table410[[#This Row],[Cost Boolean]]*(VLOOKUP(Table410[[#This Row],[RATE CONCAT]],Tables!I:N,5,0)),0)</f>
        <v/>
      </c>
      <c r="CA81" s="342">
        <f>Table410[[#This Row],[Mar_2026_F]]-Table410[[#This Row],[Mar_2026_A]]</f>
        <v/>
      </c>
      <c r="CC81" s="342">
        <f>IFERROR(Table410[[#This Row],[Apr_2026_Days_Forecast]]*Table410[[#This Row],[Cost Boolean]]*(VLOOKUP(Table410[[#This Row],[RATE CONCAT]],Tables!I:N,5,0)),0)</f>
        <v/>
      </c>
      <c r="CD81" s="342">
        <f>IFERROR(Table410[[#This Row],[Apr_2026_Days_Actual]]*Table410[[#This Row],[Cost Boolean]]*(VLOOKUP(Table410[[#This Row],[RATE CONCAT]],Tables!I:N,5,0)),0)</f>
        <v/>
      </c>
      <c r="CE81" s="342">
        <f>Table410[[#This Row],[Apr_2026_F]]-Table410[[#This Row],[Apr_2026_A]]</f>
        <v/>
      </c>
      <c r="CG81" s="342">
        <f>IFERROR(Table410[[#This Row],[May_2026_Days_Forecast]] *Table410[[#This Row],[Cost Boolean]]*(VLOOKUP(Table410[[#This Row],[RATE CONCAT]],Tables!I:N,5,0)),0)</f>
        <v/>
      </c>
      <c r="CH81" s="342">
        <f>IFERROR(Table410[[#This Row],[May_2026_Days_Actual]]*Table410[[#This Row],[Cost Boolean]]*(VLOOKUP(Table410[[#This Row],[RATE CONCAT]],Tables!I:N,5,0)),0)</f>
        <v/>
      </c>
      <c r="CI81" s="342">
        <f>Table410[[#This Row],[May_2026_F]]-Table410[[#This Row],[May_2026_A]]</f>
        <v/>
      </c>
      <c r="CK81" s="342">
        <f>IFERROR(Table410[[#This Row],[Jun_2026_Days_Forecast]]*Table410[[#This Row],[Cost Boolean]]*(VLOOKUP(Table410[[#This Row],[RATE CONCAT]],Tables!I:N,5,0)),0)</f>
        <v/>
      </c>
      <c r="CL81" s="342">
        <f>IFERROR(Table410[[#This Row],[Jun_2026_Days_Actual]]*Table410[[#This Row],[Cost Boolean]]*(VLOOKUP(Table410[[#This Row],[RATE CONCAT]],Tables!I:N,5,0)),0)</f>
        <v/>
      </c>
      <c r="CM81" s="342">
        <f>Table410[[#This Row],[Jun_2026_F]]-Table410[[#This Row],[Jun_2026_A]]</f>
        <v/>
      </c>
      <c r="CO81" s="342">
        <f>IFERROR(Table410[[#This Row],[Jul_2026_Days_Forecast]]*Table410[[#This Row],[Cost Boolean]]*(VLOOKUP(Table410[[#This Row],[RATE CONCAT]],Tables!I:N,5,0)),0)</f>
        <v/>
      </c>
      <c r="CP81" s="342">
        <f>IFERROR(Table410[[#This Row],[Jul_2026_Days_Actual]]*Table410[[#This Row],[Cost Boolean]]*(VLOOKUP(Table410[[#This Row],[RATE CONCAT]],Tables!I:N,5,0)),0)</f>
        <v/>
      </c>
      <c r="CQ81" s="342">
        <f>Table410[[#This Row],[Jul_2026_F]]-Table410[[#This Row],[Jul_2026_A]]</f>
        <v/>
      </c>
      <c r="CS81" s="342">
        <f>IFERROR(Table410[[#This Row],[Aug_2026_Days_Forecast]]*Table410[[#This Row],[Cost Boolean]]*(VLOOKUP(Table410[[#This Row],[RATE CONCAT]],Tables!I:N,5,0)),0)</f>
        <v/>
      </c>
      <c r="CT81" s="342">
        <f>IFERROR(Table410[[#This Row],[Aug_2026_Days_Actual]]*Table410[[#This Row],[Cost Boolean]]*(VLOOKUP(Table410[[#This Row],[RATE CONCAT]],Tables!I:N,5,0)),0)</f>
        <v/>
      </c>
      <c r="CU81" s="342">
        <f>Table410[[#This Row],[Aug_2026_F]]-Table410[[#This Row],[Aug_2026_A]]</f>
        <v/>
      </c>
      <c r="CW81" s="342">
        <f>IFERROR(Table410[[#This Row],[Sep_2026_Days_Forecast]]*Table410[[#This Row],[Cost Boolean]]*(VLOOKUP(Table410[[#This Row],[RATE CONCAT]],Tables!I:N,5,0)),0)</f>
        <v/>
      </c>
      <c r="CX81" s="342">
        <f>IFERROR(Table410[[#This Row],[Sep_2026_Days_Actual]]*Table410[[#This Row],[Cost Boolean]]*(VLOOKUP(Table410[[#This Row],[RATE CONCAT]],Tables!I:N,5,0)),0)</f>
        <v/>
      </c>
      <c r="CY81" s="342">
        <f>Table410[[#This Row],[Sep_2026_F]]-Table410[[#This Row],[Sep_2026_A]]</f>
        <v/>
      </c>
      <c r="DA81" s="342">
        <f>IFERROR(Table410[[#This Row],[Oct_2026_Days_Forecast]]*Table410[[#This Row],[Cost Boolean]]*(VLOOKUP(Table410[[#This Row],[RATE CONCAT]],Tables!I:N,5,0)),0)</f>
        <v/>
      </c>
      <c r="DB81" s="342">
        <f>IFERROR(Table410[[#This Row],[Oct_2026_Days_Actual]]*Table410[[#This Row],[Cost Boolean]]*(VLOOKUP(Table410[[#This Row],[RATE CONCAT]],Tables!I:N,5,0)),0)</f>
        <v/>
      </c>
      <c r="DC81" s="342">
        <f>Table410[[#This Row],[Oct_2026_F]]-Table410[[#This Row],[Oct_2026_A]]</f>
        <v/>
      </c>
      <c r="DE81" s="342">
        <f>IFERROR(Table410[[#This Row],[Nov_2026_Days_Forecast]]*Table410[[#This Row],[Cost Boolean]]*(VLOOKUP(Table410[[#This Row],[RATE CONCAT]],Tables!I:N,5,0)),0)</f>
        <v/>
      </c>
      <c r="DF81" s="342">
        <f>IFERROR(Table410[[#This Row],[Nov_2026_Days_Actual]]*Table410[[#This Row],[Cost Boolean]]*(VLOOKUP(Table410[[#This Row],[RATE CONCAT]],Tables!I:N,5,0)),0)</f>
        <v/>
      </c>
      <c r="DG81" s="342">
        <f>Table410[[#This Row],[Nov_2026_F]]-Table410[[#This Row],[Nov_2026_A]]</f>
        <v/>
      </c>
      <c r="DI81" s="342">
        <f>IFERROR(Table410[[#This Row],[Dec_2026_Days_Forecast]]*Table410[[#This Row],[Cost Boolean]]*(VLOOKUP(Table410[[#This Row],[RATE CONCAT]],Tables!I:N,5,0)),0)</f>
        <v/>
      </c>
      <c r="DJ81" s="342">
        <f>IFERROR(Table410[[#This Row],[Dec_2026_Days_Actual]]*Table410[[#This Row],[Cost Boolean]]*(VLOOKUP(Table410[[#This Row],[RATE CONCAT]],Tables!I:N,5,0)),0)</f>
        <v/>
      </c>
      <c r="DK81" s="342">
        <f>Table410[[#This Row],[Dec_2026_F]]-Table410[[#This Row],[Dec_2026_A]]</f>
        <v/>
      </c>
      <c r="DN81" s="342">
        <f>IFERROR(Table410[[#This Row],[Jan_2027_Days_Forecast]]*Table410[[#This Row],[Cost Boolean]]*(VLOOKUP(Table410[[#This Row],[RATE CONCAT]],Tables!I:N,6,0)),0)</f>
        <v/>
      </c>
      <c r="DP81" s="342">
        <f>Table410[[#This Row],[Jan_2027_F]]-Table410[[#This Row],[Jan_2027_A]]</f>
        <v/>
      </c>
      <c r="DQ81" s="342">
        <f>IFERROR(Table410[[#This Row],[Feb_2027_Days_Forecast]]*Table410[[#This Row],[Cost Boolean]]*(VLOOKUP(Table410[[#This Row],[RATE CONCAT]],Tables!I:N,6,0)),0)</f>
        <v/>
      </c>
      <c r="DS81" s="342">
        <f>Table410[[#This Row],[Feb_2027_F]]-Table410[[#This Row],[Feb_2027_A]]</f>
        <v/>
      </c>
      <c r="DT81" s="342">
        <f>IFERROR(Table410[[#This Row],[Mar_2027_Days_Forecast]]*Table410[[#This Row],[Cost Boolean]]*(VLOOKUP(Table410[[#This Row],[RATE CONCAT]],Tables!I:N,6,0)),0)</f>
        <v/>
      </c>
      <c r="DV81" s="342">
        <f>Table410[[#This Row],[Mar_2027_F]]-Table410[[#This Row],[Mar_2027_A]]</f>
        <v/>
      </c>
      <c r="DW81" s="342">
        <f>IFERROR(Table410[[#This Row],[Apr_2027_Days_Forecast]]*Table410[[#This Row],[Cost Boolean]]*(VLOOKUP(Table410[[#This Row],[RATE CONCAT]],Tables!I:N,6,0)),0)</f>
        <v/>
      </c>
      <c r="DY81" s="342">
        <f>Table410[[#This Row],[Apr_2027_F]]-Table410[[#This Row],[Apr_2027_A]]</f>
        <v/>
      </c>
      <c r="DZ81" s="342">
        <f>IFERROR(Table410[[#This Row],[May_2027_Days_Forecast]]*Table410[[#This Row],[Cost Boolean]]*(VLOOKUP(Table410[[#This Row],[RATE CONCAT]],Tables!I:N,6,0)),0)</f>
        <v/>
      </c>
      <c r="EB81" s="342">
        <f>Table410[[#This Row],[May_2027_F]]-Table410[[#This Row],[May_2027_A]]</f>
        <v/>
      </c>
      <c r="EC81" s="342">
        <f>IFERROR(Table410[[#This Row],[Jun_2027_Days_Forecast]]*Table410[[#This Row],[Cost Boolean]]*(VLOOKUP(Table410[[#This Row],[RATE CONCAT]],Tables!I:N,6,0)),0)</f>
        <v/>
      </c>
      <c r="EE81" s="342">
        <f>Table410[[#This Row],[Jun_2027_F]]-Table410[[#This Row],[Jun_2027_A]]</f>
        <v/>
      </c>
      <c r="EF81" s="342">
        <f>IFERROR(Table410[[#This Row],[Jul_2027_Days_Forecast]]*Table410[[#This Row],[Cost Boolean]]*(VLOOKUP(Table410[[#This Row],[RATE CONCAT]],Tables!I:N,6,0)),0)</f>
        <v/>
      </c>
      <c r="EH81" s="342">
        <f>Table410[[#This Row],[Jul_2027_F]]-Table410[[#This Row],[Jul_2027_A]]</f>
        <v/>
      </c>
      <c r="EI81" s="342">
        <f>IFERROR(Table410[[#This Row],[Aug_2027_Days_Forecast]]*Table410[[#This Row],[Cost Boolean]]*(VLOOKUP(Table410[[#This Row],[RATE CONCAT]],Tables!I:N,6,0)),0)</f>
        <v/>
      </c>
      <c r="EK81" s="342">
        <f>Table410[[#This Row],[Aug_2027_F]]-Table410[[#This Row],[Aug_2027_A]]</f>
        <v/>
      </c>
      <c r="EL81" s="342">
        <f>IFERROR(Table410[[#This Row],[Sep_2027_Days_Forecast]]*Table410[[#This Row],[Cost Boolean]]*(VLOOKUP(Table410[[#This Row],[RATE CONCAT]],Tables!I:N,6,0)),0)</f>
        <v/>
      </c>
      <c r="EN81" s="342">
        <f>Table410[[#This Row],[Sep_2027_F]]-Table410[[#This Row],[Sep_2027_A]]</f>
        <v/>
      </c>
      <c r="EO81" s="342">
        <f>IFERROR(Table410[[#This Row],[Oct_2027_Days_Forecast]]*Table410[[#This Row],[Cost Boolean]]*(VLOOKUP(Table410[[#This Row],[RATE CONCAT]],Tables!I:N,6,0)),0)</f>
        <v/>
      </c>
      <c r="EQ81" s="342">
        <f>Table410[[#This Row],[Oct_2027_F]]-Table410[[#This Row],[Oct_2027_A]]</f>
        <v/>
      </c>
      <c r="ER81" s="342">
        <f>IFERROR(Table410[[#This Row],[Nov_2027_Days_Forecast]]*Table410[[#This Row],[Cost Boolean]]*(VLOOKUP(Table410[[#This Row],[RATE CONCAT]],Tables!I:N,6,0)),0)</f>
        <v/>
      </c>
      <c r="ET81" s="342">
        <f>Table410[[#This Row],[Nov_2027_F]]-Table410[[#This Row],[Nov_2027_A]]</f>
        <v/>
      </c>
      <c r="EU81" s="342">
        <f>IFERROR(Table410[[#This Row],[Dec_2027_Days_Forecast]]*Table410[[#This Row],[Cost Boolean]]*(VLOOKUP(Table410[[#This Row],[RATE CONCAT]],Tables!I:N,6,0)),0)</f>
        <v/>
      </c>
      <c r="EW81" s="342">
        <f>Table410[[#This Row],[Dec_2027_F]]-Table410[[#This Row],[Dec_2027_A]]</f>
        <v/>
      </c>
    </row>
    <row r="82" ht="15" customFormat="1" customHeight="1" s="13">
      <c r="Y82" s="338">
        <f>CONCATENATE(Table410[[#This Row],[JG]],Table410[[#This Row],[Country]],Table410[[#This Row],[Resource Provider]])</f>
        <v/>
      </c>
      <c r="Z82" s="338">
        <f>VLOOKUP(Table410[[#This Row],[RATE CONCAT]],Tables!I:N,5,0)</f>
        <v/>
      </c>
      <c r="AA82" s="52" t="n"/>
      <c r="AB82" s="130" t="n"/>
      <c r="AC82" s="130" t="n"/>
      <c r="AD82" s="130" t="n"/>
      <c r="AE82" s="130" t="n"/>
      <c r="AF82" s="130" t="n"/>
      <c r="AG82" s="130" t="n"/>
      <c r="AH82" s="130" t="n"/>
      <c r="AI82" s="130" t="n"/>
      <c r="AJ82" s="130" t="n"/>
      <c r="AK82" s="130" t="n"/>
      <c r="AL82" s="130" t="n"/>
      <c r="AM82" s="130" t="n"/>
      <c r="AN82" s="341">
        <f>IFERROR(AVERAGE(Table410[[#This Row],[Jan_2026_Days_Forecast]:[Dec_2026_Days_Forecast]]),0)/19</f>
        <v/>
      </c>
      <c r="AO82" s="341">
        <f>IFERROR(AVERAGE(Table410[[#This Row],[Jan_2026_Days_Actual]:[Dec_2026_Days_Actual]]),0)/19</f>
        <v/>
      </c>
      <c r="BB82" s="341">
        <f>IFERROR(AVERAGE(Table410[[#This Row],[Jan_2027_Days_Forecast]:[Dec_2027_Days_Forecast]]),0)</f>
        <v/>
      </c>
      <c r="BC82" s="127" t="n"/>
      <c r="BD82" s="127" t="n"/>
      <c r="BE82" s="127" t="n"/>
      <c r="BF82" s="127" t="n"/>
      <c r="BG82" s="127" t="n"/>
      <c r="BH82" s="127" t="n"/>
      <c r="BI82" s="127" t="n"/>
      <c r="BJ82" s="127" t="n"/>
      <c r="BK82" s="127" t="n"/>
      <c r="BL82" s="127" t="n"/>
      <c r="BM82" s="127" t="n"/>
      <c r="BN82" s="127" t="n"/>
      <c r="BO82" s="176" t="n"/>
      <c r="BP82" s="176" t="n"/>
      <c r="BQ82" s="338">
        <f>IFERROR(Table410[[#This Row],[Jan_2026_Days_Forecast]]*Table410[[#This Row],[Cost Boolean]]*(VLOOKUP(Table410[[#This Row],[RATE CONCAT]],Tables!I:N,5,0)),0)</f>
        <v/>
      </c>
      <c r="BR82" s="338">
        <f>IFERROR(Table410[[#This Row],[Jan_2026_Days_Actual]]*Table410[[#This Row],[Cost Boolean]]*(VLOOKUP(Table410[[#This Row],[RATE CONCAT]],Tables!I:N,5,0)),0)</f>
        <v/>
      </c>
      <c r="BS82" s="338">
        <f>Table410[[#This Row],[Jan_2026_F]]-Table410[[#This Row],[Jan_2026_A]]</f>
        <v/>
      </c>
      <c r="BU82" s="338">
        <f>IFERROR(Table410[[#This Row],[Feb_2026_Days_Forecast]]*Table410[[#This Row],[Cost Boolean]]*(VLOOKUP(Table410[[#This Row],[RATE CONCAT]],Tables!I:N,5,0)),0)</f>
        <v/>
      </c>
      <c r="BV82" s="338">
        <f>IFERROR(Table410[[#This Row],[Feb_2026_Days_Actual]]*Table410[[#This Row],[Cost Boolean]]*(VLOOKUP(Table410[[#This Row],[RATE CONCAT]],Tables!I:N,5,0)),0)</f>
        <v/>
      </c>
      <c r="BW82" s="338">
        <f>Table410[[#This Row],[Feb_2026_F]]-Table410[[#This Row],[Feb_2026_A]]</f>
        <v/>
      </c>
      <c r="BY82" s="338">
        <f>IFERROR(Table410[[#This Row],[Mar_2026_Days_Forecast]]*Table410[[#This Row],[Cost Boolean]]*(VLOOKUP(Table410[[#This Row],[RATE CONCAT]],Tables!I:N,5,0)),0)</f>
        <v/>
      </c>
      <c r="BZ82" s="338">
        <f>IFERROR(Table410[[#This Row],[Mar_2026_Days_Actual]]*Table410[[#This Row],[Cost Boolean]]*(VLOOKUP(Table410[[#This Row],[RATE CONCAT]],Tables!I:N,5,0)),0)</f>
        <v/>
      </c>
      <c r="CA82" s="338">
        <f>Table410[[#This Row],[Mar_2026_F]]-Table410[[#This Row],[Mar_2026_A]]</f>
        <v/>
      </c>
      <c r="CC82" s="338">
        <f>IFERROR(Table410[[#This Row],[Apr_2026_Days_Forecast]]*Table410[[#This Row],[Cost Boolean]]*(VLOOKUP(Table410[[#This Row],[RATE CONCAT]],Tables!I:N,5,0)),0)</f>
        <v/>
      </c>
      <c r="CD82" s="338">
        <f>IFERROR(Table410[[#This Row],[Apr_2026_Days_Actual]]*Table410[[#This Row],[Cost Boolean]]*(VLOOKUP(Table410[[#This Row],[RATE CONCAT]],Tables!I:N,5,0)),0)</f>
        <v/>
      </c>
      <c r="CE82" s="338">
        <f>Table410[[#This Row],[Apr_2026_F]]-Table410[[#This Row],[Apr_2026_A]]</f>
        <v/>
      </c>
      <c r="CG82" s="338">
        <f>IFERROR(Table410[[#This Row],[May_2026_Days_Forecast]] *Table410[[#This Row],[Cost Boolean]]*(VLOOKUP(Table410[[#This Row],[RATE CONCAT]],Tables!I:N,5,0)),0)</f>
        <v/>
      </c>
      <c r="CH82" s="338">
        <f>IFERROR(Table410[[#This Row],[May_2026_Days_Actual]]*Table410[[#This Row],[Cost Boolean]]*(VLOOKUP(Table410[[#This Row],[RATE CONCAT]],Tables!I:N,5,0)),0)</f>
        <v/>
      </c>
      <c r="CI82" s="338">
        <f>Table410[[#This Row],[May_2026_F]]-Table410[[#This Row],[May_2026_A]]</f>
        <v/>
      </c>
      <c r="CK82" s="338">
        <f>IFERROR(Table410[[#This Row],[Jun_2026_Days_Forecast]]*Table410[[#This Row],[Cost Boolean]]*(VLOOKUP(Table410[[#This Row],[RATE CONCAT]],Tables!I:N,5,0)),0)</f>
        <v/>
      </c>
      <c r="CL82" s="338">
        <f>IFERROR(Table410[[#This Row],[Jun_2026_Days_Actual]]*Table410[[#This Row],[Cost Boolean]]*(VLOOKUP(Table410[[#This Row],[RATE CONCAT]],Tables!I:N,5,0)),0)</f>
        <v/>
      </c>
      <c r="CM82" s="338">
        <f>Table410[[#This Row],[Jun_2026_F]]-Table410[[#This Row],[Jun_2026_A]]</f>
        <v/>
      </c>
      <c r="CO82" s="338">
        <f>IFERROR(Table410[[#This Row],[Jul_2026_Days_Forecast]]*Table410[[#This Row],[Cost Boolean]]*(VLOOKUP(Table410[[#This Row],[RATE CONCAT]],Tables!I:N,5,0)),0)</f>
        <v/>
      </c>
      <c r="CP82" s="338">
        <f>IFERROR(Table410[[#This Row],[Jul_2026_Days_Actual]]*Table410[[#This Row],[Cost Boolean]]*(VLOOKUP(Table410[[#This Row],[RATE CONCAT]],Tables!I:N,5,0)),0)</f>
        <v/>
      </c>
      <c r="CQ82" s="338">
        <f>Table410[[#This Row],[Jul_2026_F]]-Table410[[#This Row],[Jul_2026_A]]</f>
        <v/>
      </c>
      <c r="CS82" s="338">
        <f>IFERROR(Table410[[#This Row],[Aug_2026_Days_Forecast]]*Table410[[#This Row],[Cost Boolean]]*(VLOOKUP(Table410[[#This Row],[RATE CONCAT]],Tables!I:N,5,0)),0)</f>
        <v/>
      </c>
      <c r="CT82" s="338">
        <f>IFERROR(Table410[[#This Row],[Aug_2026_Days_Actual]]*Table410[[#This Row],[Cost Boolean]]*(VLOOKUP(Table410[[#This Row],[RATE CONCAT]],Tables!I:N,5,0)),0)</f>
        <v/>
      </c>
      <c r="CU82" s="338">
        <f>Table410[[#This Row],[Aug_2026_F]]-Table410[[#This Row],[Aug_2026_A]]</f>
        <v/>
      </c>
      <c r="CW82" s="338">
        <f>IFERROR(Table410[[#This Row],[Sep_2026_Days_Forecast]]*Table410[[#This Row],[Cost Boolean]]*(VLOOKUP(Table410[[#This Row],[RATE CONCAT]],Tables!I:N,5,0)),0)</f>
        <v/>
      </c>
      <c r="CX82" s="338">
        <f>IFERROR(Table410[[#This Row],[Sep_2026_Days_Actual]]*Table410[[#This Row],[Cost Boolean]]*(VLOOKUP(Table410[[#This Row],[RATE CONCAT]],Tables!I:N,5,0)),0)</f>
        <v/>
      </c>
      <c r="CY82" s="338">
        <f>Table410[[#This Row],[Sep_2026_F]]-Table410[[#This Row],[Sep_2026_A]]</f>
        <v/>
      </c>
      <c r="DA82" s="338">
        <f>IFERROR(Table410[[#This Row],[Oct_2026_Days_Forecast]]*Table410[[#This Row],[Cost Boolean]]*(VLOOKUP(Table410[[#This Row],[RATE CONCAT]],Tables!I:N,5,0)),0)</f>
        <v/>
      </c>
      <c r="DB82" s="338">
        <f>IFERROR(Table410[[#This Row],[Oct_2026_Days_Actual]]*Table410[[#This Row],[Cost Boolean]]*(VLOOKUP(Table410[[#This Row],[RATE CONCAT]],Tables!I:N,5,0)),0)</f>
        <v/>
      </c>
      <c r="DC82" s="338">
        <f>Table410[[#This Row],[Oct_2026_F]]-Table410[[#This Row],[Oct_2026_A]]</f>
        <v/>
      </c>
      <c r="DE82" s="338">
        <f>IFERROR(Table410[[#This Row],[Nov_2026_Days_Forecast]]*Table410[[#This Row],[Cost Boolean]]*(VLOOKUP(Table410[[#This Row],[RATE CONCAT]],Tables!I:N,5,0)),0)</f>
        <v/>
      </c>
      <c r="DF82" s="338">
        <f>IFERROR(Table410[[#This Row],[Nov_2026_Days_Actual]]*Table410[[#This Row],[Cost Boolean]]*(VLOOKUP(Table410[[#This Row],[RATE CONCAT]],Tables!I:N,5,0)),0)</f>
        <v/>
      </c>
      <c r="DG82" s="338">
        <f>Table410[[#This Row],[Nov_2026_F]]-Table410[[#This Row],[Nov_2026_A]]</f>
        <v/>
      </c>
      <c r="DI82" s="338">
        <f>IFERROR(Table410[[#This Row],[Dec_2026_Days_Forecast]]*Table410[[#This Row],[Cost Boolean]]*(VLOOKUP(Table410[[#This Row],[RATE CONCAT]],Tables!I:N,5,0)),0)</f>
        <v/>
      </c>
      <c r="DJ82" s="338">
        <f>IFERROR(Table410[[#This Row],[Dec_2026_Days_Actual]]*Table410[[#This Row],[Cost Boolean]]*(VLOOKUP(Table410[[#This Row],[RATE CONCAT]],Tables!I:N,5,0)),0)</f>
        <v/>
      </c>
      <c r="DK82" s="338">
        <f>Table410[[#This Row],[Dec_2026_F]]-Table410[[#This Row],[Dec_2026_A]]</f>
        <v/>
      </c>
      <c r="DN82" s="338">
        <f>IFERROR(Table410[[#This Row],[Jan_2027_Days_Forecast]]*Table410[[#This Row],[Cost Boolean]]*(VLOOKUP(Table410[[#This Row],[RATE CONCAT]],Tables!I:N,6,0)),0)</f>
        <v/>
      </c>
      <c r="DP82" s="338">
        <f>Table410[[#This Row],[Jan_2027_F]]-Table410[[#This Row],[Jan_2027_A]]</f>
        <v/>
      </c>
      <c r="DQ82" s="338">
        <f>IFERROR(Table410[[#This Row],[Feb_2027_Days_Forecast]]*Table410[[#This Row],[Cost Boolean]]*(VLOOKUP(Table410[[#This Row],[RATE CONCAT]],Tables!I:N,6,0)),0)</f>
        <v/>
      </c>
      <c r="DS82" s="338">
        <f>Table410[[#This Row],[Feb_2027_F]]-Table410[[#This Row],[Feb_2027_A]]</f>
        <v/>
      </c>
      <c r="DT82" s="338">
        <f>IFERROR(Table410[[#This Row],[Mar_2027_Days_Forecast]]*Table410[[#This Row],[Cost Boolean]]*(VLOOKUP(Table410[[#This Row],[RATE CONCAT]],Tables!I:N,6,0)),0)</f>
        <v/>
      </c>
      <c r="DV82" s="338">
        <f>Table410[[#This Row],[Mar_2027_F]]-Table410[[#This Row],[Mar_2027_A]]</f>
        <v/>
      </c>
      <c r="DW82" s="338">
        <f>IFERROR(Table410[[#This Row],[Apr_2027_Days_Forecast]]*Table410[[#This Row],[Cost Boolean]]*(VLOOKUP(Table410[[#This Row],[RATE CONCAT]],Tables!I:N,6,0)),0)</f>
        <v/>
      </c>
      <c r="DY82" s="338">
        <f>Table410[[#This Row],[Apr_2027_F]]-Table410[[#This Row],[Apr_2027_A]]</f>
        <v/>
      </c>
      <c r="DZ82" s="338">
        <f>IFERROR(Table410[[#This Row],[May_2027_Days_Forecast]]*Table410[[#This Row],[Cost Boolean]]*(VLOOKUP(Table410[[#This Row],[RATE CONCAT]],Tables!I:N,6,0)),0)</f>
        <v/>
      </c>
      <c r="EB82" s="338">
        <f>Table410[[#This Row],[May_2027_F]]-Table410[[#This Row],[May_2027_A]]</f>
        <v/>
      </c>
      <c r="EC82" s="338">
        <f>IFERROR(Table410[[#This Row],[Jun_2027_Days_Forecast]]*Table410[[#This Row],[Cost Boolean]]*(VLOOKUP(Table410[[#This Row],[RATE CONCAT]],Tables!I:N,6,0)),0)</f>
        <v/>
      </c>
      <c r="EE82" s="338">
        <f>Table410[[#This Row],[Jun_2027_F]]-Table410[[#This Row],[Jun_2027_A]]</f>
        <v/>
      </c>
      <c r="EF82" s="338">
        <f>IFERROR(Table410[[#This Row],[Jul_2027_Days_Forecast]]*Table410[[#This Row],[Cost Boolean]]*(VLOOKUP(Table410[[#This Row],[RATE CONCAT]],Tables!I:N,6,0)),0)</f>
        <v/>
      </c>
      <c r="EH82" s="338">
        <f>Table410[[#This Row],[Jul_2027_F]]-Table410[[#This Row],[Jul_2027_A]]</f>
        <v/>
      </c>
      <c r="EI82" s="338">
        <f>IFERROR(Table410[[#This Row],[Aug_2027_Days_Forecast]]*Table410[[#This Row],[Cost Boolean]]*(VLOOKUP(Table410[[#This Row],[RATE CONCAT]],Tables!I:N,6,0)),0)</f>
        <v/>
      </c>
      <c r="EK82" s="338">
        <f>Table410[[#This Row],[Aug_2027_F]]-Table410[[#This Row],[Aug_2027_A]]</f>
        <v/>
      </c>
      <c r="EL82" s="338">
        <f>IFERROR(Table410[[#This Row],[Sep_2027_Days_Forecast]]*Table410[[#This Row],[Cost Boolean]]*(VLOOKUP(Table410[[#This Row],[RATE CONCAT]],Tables!I:N,6,0)),0)</f>
        <v/>
      </c>
      <c r="EN82" s="338">
        <f>Table410[[#This Row],[Sep_2027_F]]-Table410[[#This Row],[Sep_2027_A]]</f>
        <v/>
      </c>
      <c r="EO82" s="338">
        <f>IFERROR(Table410[[#This Row],[Oct_2027_Days_Forecast]]*Table410[[#This Row],[Cost Boolean]]*(VLOOKUP(Table410[[#This Row],[RATE CONCAT]],Tables!I:N,6,0)),0)</f>
        <v/>
      </c>
      <c r="EQ82" s="338">
        <f>Table410[[#This Row],[Oct_2027_F]]-Table410[[#This Row],[Oct_2027_A]]</f>
        <v/>
      </c>
      <c r="ER82" s="338">
        <f>IFERROR(Table410[[#This Row],[Nov_2027_Days_Forecast]]*Table410[[#This Row],[Cost Boolean]]*(VLOOKUP(Table410[[#This Row],[RATE CONCAT]],Tables!I:N,6,0)),0)</f>
        <v/>
      </c>
      <c r="ET82" s="338">
        <f>Table410[[#This Row],[Nov_2027_F]]-Table410[[#This Row],[Nov_2027_A]]</f>
        <v/>
      </c>
      <c r="EU82" s="338">
        <f>IFERROR(Table410[[#This Row],[Dec_2027_Days_Forecast]]*Table410[[#This Row],[Cost Boolean]]*(VLOOKUP(Table410[[#This Row],[RATE CONCAT]],Tables!I:N,6,0)),0)</f>
        <v/>
      </c>
      <c r="EW82" s="338">
        <f>Table410[[#This Row],[Dec_2027_F]]-Table410[[#This Row],[Dec_2027_A]]</f>
        <v/>
      </c>
    </row>
    <row r="83" ht="15" customFormat="1" customHeight="1" s="13">
      <c r="Y83" s="342">
        <f>CONCATENATE(Table410[[#This Row],[JG]],Table410[[#This Row],[Country]],Table410[[#This Row],[Resource Provider]])</f>
        <v/>
      </c>
      <c r="Z83" s="342">
        <f>VLOOKUP(Table410[[#This Row],[RATE CONCAT]],Tables!I:N,5,0)</f>
        <v/>
      </c>
      <c r="AA83" s="52" t="n"/>
      <c r="AB83" s="130" t="n"/>
      <c r="AC83" s="130" t="n"/>
      <c r="AD83" s="130" t="n"/>
      <c r="AE83" s="130" t="n"/>
      <c r="AF83" s="130" t="n"/>
      <c r="AG83" s="130" t="n"/>
      <c r="AH83" s="130" t="n"/>
      <c r="AI83" s="130" t="n"/>
      <c r="AJ83" s="130" t="n"/>
      <c r="AK83" s="130" t="n"/>
      <c r="AL83" s="130" t="n"/>
      <c r="AM83" s="130" t="n"/>
      <c r="AN83" s="341">
        <f>IFERROR(AVERAGE(Table410[[#This Row],[Jan_2026_Days_Forecast]:[Dec_2026_Days_Forecast]]),0)/19</f>
        <v/>
      </c>
      <c r="AO83" s="341">
        <f>IFERROR(AVERAGE(Table410[[#This Row],[Jan_2026_Days_Actual]:[Dec_2026_Days_Actual]]),0)/19</f>
        <v/>
      </c>
      <c r="BB83" s="341">
        <f>IFERROR(AVERAGE(Table410[[#This Row],[Jan_2027_Days_Forecast]:[Dec_2027_Days_Forecast]]),0)</f>
        <v/>
      </c>
      <c r="BC83" s="127" t="n"/>
      <c r="BD83" s="127" t="n"/>
      <c r="BE83" s="127" t="n"/>
      <c r="BF83" s="127" t="n"/>
      <c r="BG83" s="127" t="n"/>
      <c r="BH83" s="127" t="n"/>
      <c r="BI83" s="127" t="n"/>
      <c r="BJ83" s="127" t="n"/>
      <c r="BK83" s="127" t="n"/>
      <c r="BL83" s="127" t="n"/>
      <c r="BM83" s="127" t="n"/>
      <c r="BN83" s="127" t="n"/>
      <c r="BO83" s="176" t="n"/>
      <c r="BP83" s="176" t="n"/>
      <c r="BQ83" s="342">
        <f>IFERROR(Table410[[#This Row],[Jan_2026_Days_Forecast]]*Table410[[#This Row],[Cost Boolean]]*(VLOOKUP(Table410[[#This Row],[RATE CONCAT]],Tables!I:N,5,0)),0)</f>
        <v/>
      </c>
      <c r="BR83" s="342">
        <f>IFERROR(Table410[[#This Row],[Jan_2026_Days_Actual]]*Table410[[#This Row],[Cost Boolean]]*(VLOOKUP(Table410[[#This Row],[RATE CONCAT]],Tables!I:N,5,0)),0)</f>
        <v/>
      </c>
      <c r="BS83" s="342">
        <f>Table410[[#This Row],[Jan_2026_F]]-Table410[[#This Row],[Jan_2026_A]]</f>
        <v/>
      </c>
      <c r="BU83" s="342">
        <f>IFERROR(Table410[[#This Row],[Feb_2026_Days_Forecast]]*Table410[[#This Row],[Cost Boolean]]*(VLOOKUP(Table410[[#This Row],[RATE CONCAT]],Tables!I:N,5,0)),0)</f>
        <v/>
      </c>
      <c r="BV83" s="342">
        <f>IFERROR(Table410[[#This Row],[Feb_2026_Days_Actual]]*Table410[[#This Row],[Cost Boolean]]*(VLOOKUP(Table410[[#This Row],[RATE CONCAT]],Tables!I:N,5,0)),0)</f>
        <v/>
      </c>
      <c r="BW83" s="342">
        <f>Table410[[#This Row],[Feb_2026_F]]-Table410[[#This Row],[Feb_2026_A]]</f>
        <v/>
      </c>
      <c r="BY83" s="342">
        <f>IFERROR(Table410[[#This Row],[Mar_2026_Days_Forecast]]*Table410[[#This Row],[Cost Boolean]]*(VLOOKUP(Table410[[#This Row],[RATE CONCAT]],Tables!I:N,5,0)),0)</f>
        <v/>
      </c>
      <c r="BZ83" s="342">
        <f>IFERROR(Table410[[#This Row],[Mar_2026_Days_Actual]]*Table410[[#This Row],[Cost Boolean]]*(VLOOKUP(Table410[[#This Row],[RATE CONCAT]],Tables!I:N,5,0)),0)</f>
        <v/>
      </c>
      <c r="CA83" s="342">
        <f>Table410[[#This Row],[Mar_2026_F]]-Table410[[#This Row],[Mar_2026_A]]</f>
        <v/>
      </c>
      <c r="CC83" s="342">
        <f>IFERROR(Table410[[#This Row],[Apr_2026_Days_Forecast]]*Table410[[#This Row],[Cost Boolean]]*(VLOOKUP(Table410[[#This Row],[RATE CONCAT]],Tables!I:N,5,0)),0)</f>
        <v/>
      </c>
      <c r="CD83" s="342">
        <f>IFERROR(Table410[[#This Row],[Apr_2026_Days_Actual]]*Table410[[#This Row],[Cost Boolean]]*(VLOOKUP(Table410[[#This Row],[RATE CONCAT]],Tables!I:N,5,0)),0)</f>
        <v/>
      </c>
      <c r="CE83" s="342">
        <f>Table410[[#This Row],[Apr_2026_F]]-Table410[[#This Row],[Apr_2026_A]]</f>
        <v/>
      </c>
      <c r="CG83" s="342">
        <f>IFERROR(Table410[[#This Row],[May_2026_Days_Forecast]] *Table410[[#This Row],[Cost Boolean]]*(VLOOKUP(Table410[[#This Row],[RATE CONCAT]],Tables!I:N,5,0)),0)</f>
        <v/>
      </c>
      <c r="CH83" s="342">
        <f>IFERROR(Table410[[#This Row],[May_2026_Days_Actual]]*Table410[[#This Row],[Cost Boolean]]*(VLOOKUP(Table410[[#This Row],[RATE CONCAT]],Tables!I:N,5,0)),0)</f>
        <v/>
      </c>
      <c r="CI83" s="342">
        <f>Table410[[#This Row],[May_2026_F]]-Table410[[#This Row],[May_2026_A]]</f>
        <v/>
      </c>
      <c r="CK83" s="342">
        <f>IFERROR(Table410[[#This Row],[Jun_2026_Days_Forecast]]*Table410[[#This Row],[Cost Boolean]]*(VLOOKUP(Table410[[#This Row],[RATE CONCAT]],Tables!I:N,5,0)),0)</f>
        <v/>
      </c>
      <c r="CL83" s="342">
        <f>IFERROR(Table410[[#This Row],[Jun_2026_Days_Actual]]*Table410[[#This Row],[Cost Boolean]]*(VLOOKUP(Table410[[#This Row],[RATE CONCAT]],Tables!I:N,5,0)),0)</f>
        <v/>
      </c>
      <c r="CM83" s="342">
        <f>Table410[[#This Row],[Jun_2026_F]]-Table410[[#This Row],[Jun_2026_A]]</f>
        <v/>
      </c>
      <c r="CO83" s="342">
        <f>IFERROR(Table410[[#This Row],[Jul_2026_Days_Forecast]]*Table410[[#This Row],[Cost Boolean]]*(VLOOKUP(Table410[[#This Row],[RATE CONCAT]],Tables!I:N,5,0)),0)</f>
        <v/>
      </c>
      <c r="CP83" s="342">
        <f>IFERROR(Table410[[#This Row],[Jul_2026_Days_Actual]]*Table410[[#This Row],[Cost Boolean]]*(VLOOKUP(Table410[[#This Row],[RATE CONCAT]],Tables!I:N,5,0)),0)</f>
        <v/>
      </c>
      <c r="CQ83" s="342">
        <f>Table410[[#This Row],[Jul_2026_F]]-Table410[[#This Row],[Jul_2026_A]]</f>
        <v/>
      </c>
      <c r="CS83" s="342">
        <f>IFERROR(Table410[[#This Row],[Aug_2026_Days_Forecast]]*Table410[[#This Row],[Cost Boolean]]*(VLOOKUP(Table410[[#This Row],[RATE CONCAT]],Tables!I:N,5,0)),0)</f>
        <v/>
      </c>
      <c r="CT83" s="342">
        <f>IFERROR(Table410[[#This Row],[Aug_2026_Days_Actual]]*Table410[[#This Row],[Cost Boolean]]*(VLOOKUP(Table410[[#This Row],[RATE CONCAT]],Tables!I:N,5,0)),0)</f>
        <v/>
      </c>
      <c r="CU83" s="342">
        <f>Table410[[#This Row],[Aug_2026_F]]-Table410[[#This Row],[Aug_2026_A]]</f>
        <v/>
      </c>
      <c r="CW83" s="342">
        <f>IFERROR(Table410[[#This Row],[Sep_2026_Days_Forecast]]*Table410[[#This Row],[Cost Boolean]]*(VLOOKUP(Table410[[#This Row],[RATE CONCAT]],Tables!I:N,5,0)),0)</f>
        <v/>
      </c>
      <c r="CX83" s="342">
        <f>IFERROR(Table410[[#This Row],[Sep_2026_Days_Actual]]*Table410[[#This Row],[Cost Boolean]]*(VLOOKUP(Table410[[#This Row],[RATE CONCAT]],Tables!I:N,5,0)),0)</f>
        <v/>
      </c>
      <c r="CY83" s="342">
        <f>Table410[[#This Row],[Sep_2026_F]]-Table410[[#This Row],[Sep_2026_A]]</f>
        <v/>
      </c>
      <c r="DA83" s="342">
        <f>IFERROR(Table410[[#This Row],[Oct_2026_Days_Forecast]]*Table410[[#This Row],[Cost Boolean]]*(VLOOKUP(Table410[[#This Row],[RATE CONCAT]],Tables!I:N,5,0)),0)</f>
        <v/>
      </c>
      <c r="DB83" s="342">
        <f>IFERROR(Table410[[#This Row],[Oct_2026_Days_Actual]]*Table410[[#This Row],[Cost Boolean]]*(VLOOKUP(Table410[[#This Row],[RATE CONCAT]],Tables!I:N,5,0)),0)</f>
        <v/>
      </c>
      <c r="DC83" s="342">
        <f>Table410[[#This Row],[Oct_2026_F]]-Table410[[#This Row],[Oct_2026_A]]</f>
        <v/>
      </c>
      <c r="DE83" s="342">
        <f>IFERROR(Table410[[#This Row],[Nov_2026_Days_Forecast]]*Table410[[#This Row],[Cost Boolean]]*(VLOOKUP(Table410[[#This Row],[RATE CONCAT]],Tables!I:N,5,0)),0)</f>
        <v/>
      </c>
      <c r="DF83" s="342">
        <f>IFERROR(Table410[[#This Row],[Nov_2026_Days_Actual]]*Table410[[#This Row],[Cost Boolean]]*(VLOOKUP(Table410[[#This Row],[RATE CONCAT]],Tables!I:N,5,0)),0)</f>
        <v/>
      </c>
      <c r="DG83" s="342">
        <f>Table410[[#This Row],[Nov_2026_F]]-Table410[[#This Row],[Nov_2026_A]]</f>
        <v/>
      </c>
      <c r="DI83" s="342">
        <f>IFERROR(Table410[[#This Row],[Dec_2026_Days_Forecast]]*Table410[[#This Row],[Cost Boolean]]*(VLOOKUP(Table410[[#This Row],[RATE CONCAT]],Tables!I:N,5,0)),0)</f>
        <v/>
      </c>
      <c r="DJ83" s="342">
        <f>IFERROR(Table410[[#This Row],[Dec_2026_Days_Actual]]*Table410[[#This Row],[Cost Boolean]]*(VLOOKUP(Table410[[#This Row],[RATE CONCAT]],Tables!I:N,5,0)),0)</f>
        <v/>
      </c>
      <c r="DK83" s="342">
        <f>Table410[[#This Row],[Dec_2026_F]]-Table410[[#This Row],[Dec_2026_A]]</f>
        <v/>
      </c>
      <c r="DN83" s="342">
        <f>IFERROR(Table410[[#This Row],[Jan_2027_Days_Forecast]]*Table410[[#This Row],[Cost Boolean]]*(VLOOKUP(Table410[[#This Row],[RATE CONCAT]],Tables!I:N,6,0)),0)</f>
        <v/>
      </c>
      <c r="DP83" s="342">
        <f>Table410[[#This Row],[Jan_2027_F]]-Table410[[#This Row],[Jan_2027_A]]</f>
        <v/>
      </c>
      <c r="DQ83" s="342">
        <f>IFERROR(Table410[[#This Row],[Feb_2027_Days_Forecast]]*Table410[[#This Row],[Cost Boolean]]*(VLOOKUP(Table410[[#This Row],[RATE CONCAT]],Tables!I:N,6,0)),0)</f>
        <v/>
      </c>
      <c r="DS83" s="342">
        <f>Table410[[#This Row],[Feb_2027_F]]-Table410[[#This Row],[Feb_2027_A]]</f>
        <v/>
      </c>
      <c r="DT83" s="342">
        <f>IFERROR(Table410[[#This Row],[Mar_2027_Days_Forecast]]*Table410[[#This Row],[Cost Boolean]]*(VLOOKUP(Table410[[#This Row],[RATE CONCAT]],Tables!I:N,6,0)),0)</f>
        <v/>
      </c>
      <c r="DV83" s="342">
        <f>Table410[[#This Row],[Mar_2027_F]]-Table410[[#This Row],[Mar_2027_A]]</f>
        <v/>
      </c>
      <c r="DW83" s="342">
        <f>IFERROR(Table410[[#This Row],[Apr_2027_Days_Forecast]]*Table410[[#This Row],[Cost Boolean]]*(VLOOKUP(Table410[[#This Row],[RATE CONCAT]],Tables!I:N,6,0)),0)</f>
        <v/>
      </c>
      <c r="DY83" s="342">
        <f>Table410[[#This Row],[Apr_2027_F]]-Table410[[#This Row],[Apr_2027_A]]</f>
        <v/>
      </c>
      <c r="DZ83" s="342">
        <f>IFERROR(Table410[[#This Row],[May_2027_Days_Forecast]]*Table410[[#This Row],[Cost Boolean]]*(VLOOKUP(Table410[[#This Row],[RATE CONCAT]],Tables!I:N,6,0)),0)</f>
        <v/>
      </c>
      <c r="EB83" s="342">
        <f>Table410[[#This Row],[May_2027_F]]-Table410[[#This Row],[May_2027_A]]</f>
        <v/>
      </c>
      <c r="EC83" s="342">
        <f>IFERROR(Table410[[#This Row],[Jun_2027_Days_Forecast]]*Table410[[#This Row],[Cost Boolean]]*(VLOOKUP(Table410[[#This Row],[RATE CONCAT]],Tables!I:N,6,0)),0)</f>
        <v/>
      </c>
      <c r="EE83" s="342">
        <f>Table410[[#This Row],[Jun_2027_F]]-Table410[[#This Row],[Jun_2027_A]]</f>
        <v/>
      </c>
      <c r="EF83" s="342">
        <f>IFERROR(Table410[[#This Row],[Jul_2027_Days_Forecast]]*Table410[[#This Row],[Cost Boolean]]*(VLOOKUP(Table410[[#This Row],[RATE CONCAT]],Tables!I:N,6,0)),0)</f>
        <v/>
      </c>
      <c r="EH83" s="342">
        <f>Table410[[#This Row],[Jul_2027_F]]-Table410[[#This Row],[Jul_2027_A]]</f>
        <v/>
      </c>
      <c r="EI83" s="342">
        <f>IFERROR(Table410[[#This Row],[Aug_2027_Days_Forecast]]*Table410[[#This Row],[Cost Boolean]]*(VLOOKUP(Table410[[#This Row],[RATE CONCAT]],Tables!I:N,6,0)),0)</f>
        <v/>
      </c>
      <c r="EK83" s="342">
        <f>Table410[[#This Row],[Aug_2027_F]]-Table410[[#This Row],[Aug_2027_A]]</f>
        <v/>
      </c>
      <c r="EL83" s="342">
        <f>IFERROR(Table410[[#This Row],[Sep_2027_Days_Forecast]]*Table410[[#This Row],[Cost Boolean]]*(VLOOKUP(Table410[[#This Row],[RATE CONCAT]],Tables!I:N,6,0)),0)</f>
        <v/>
      </c>
      <c r="EN83" s="342">
        <f>Table410[[#This Row],[Sep_2027_F]]-Table410[[#This Row],[Sep_2027_A]]</f>
        <v/>
      </c>
      <c r="EO83" s="342">
        <f>IFERROR(Table410[[#This Row],[Oct_2027_Days_Forecast]]*Table410[[#This Row],[Cost Boolean]]*(VLOOKUP(Table410[[#This Row],[RATE CONCAT]],Tables!I:N,6,0)),0)</f>
        <v/>
      </c>
      <c r="EQ83" s="342">
        <f>Table410[[#This Row],[Oct_2027_F]]-Table410[[#This Row],[Oct_2027_A]]</f>
        <v/>
      </c>
      <c r="ER83" s="342">
        <f>IFERROR(Table410[[#This Row],[Nov_2027_Days_Forecast]]*Table410[[#This Row],[Cost Boolean]]*(VLOOKUP(Table410[[#This Row],[RATE CONCAT]],Tables!I:N,6,0)),0)</f>
        <v/>
      </c>
      <c r="ET83" s="342">
        <f>Table410[[#This Row],[Nov_2027_F]]-Table410[[#This Row],[Nov_2027_A]]</f>
        <v/>
      </c>
      <c r="EU83" s="342">
        <f>IFERROR(Table410[[#This Row],[Dec_2027_Days_Forecast]]*Table410[[#This Row],[Cost Boolean]]*(VLOOKUP(Table410[[#This Row],[RATE CONCAT]],Tables!I:N,6,0)),0)</f>
        <v/>
      </c>
      <c r="EW83" s="342">
        <f>Table410[[#This Row],[Dec_2027_F]]-Table410[[#This Row],[Dec_2027_A]]</f>
        <v/>
      </c>
    </row>
    <row r="84" ht="15" customFormat="1" customHeight="1" s="13">
      <c r="Y84" s="338">
        <f>CONCATENATE(Table410[[#This Row],[JG]],Table410[[#This Row],[Country]],Table410[[#This Row],[Resource Provider]])</f>
        <v/>
      </c>
      <c r="Z84" s="338">
        <f>VLOOKUP(Table410[[#This Row],[RATE CONCAT]],Tables!I:N,5,0)</f>
        <v/>
      </c>
      <c r="AA84" s="52" t="n"/>
      <c r="AB84" s="130" t="n"/>
      <c r="AC84" s="130" t="n"/>
      <c r="AD84" s="130" t="n"/>
      <c r="AE84" s="130" t="n"/>
      <c r="AF84" s="130" t="n"/>
      <c r="AG84" s="130" t="n"/>
      <c r="AH84" s="130" t="n"/>
      <c r="AI84" s="130" t="n"/>
      <c r="AJ84" s="130" t="n"/>
      <c r="AK84" s="130" t="n"/>
      <c r="AL84" s="130" t="n"/>
      <c r="AM84" s="130" t="n"/>
      <c r="AN84" s="341">
        <f>IFERROR(AVERAGE(Table410[[#This Row],[Jan_2026_Days_Forecast]:[Dec_2026_Days_Forecast]]),0)/19</f>
        <v/>
      </c>
      <c r="AO84" s="341">
        <f>IFERROR(AVERAGE(Table410[[#This Row],[Jan_2026_Days_Actual]:[Dec_2026_Days_Actual]]),0)/19</f>
        <v/>
      </c>
      <c r="BB84" s="341">
        <f>IFERROR(AVERAGE(Table410[[#This Row],[Jan_2027_Days_Forecast]:[Dec_2027_Days_Forecast]]),0)</f>
        <v/>
      </c>
      <c r="BC84" s="127" t="n"/>
      <c r="BD84" s="127" t="n"/>
      <c r="BE84" s="127" t="n"/>
      <c r="BF84" s="127" t="n"/>
      <c r="BG84" s="127" t="n"/>
      <c r="BH84" s="127" t="n"/>
      <c r="BI84" s="127" t="n"/>
      <c r="BJ84" s="127" t="n"/>
      <c r="BK84" s="127" t="n"/>
      <c r="BL84" s="127" t="n"/>
      <c r="BM84" s="127" t="n"/>
      <c r="BN84" s="127" t="n"/>
      <c r="BO84" s="176" t="n"/>
      <c r="BP84" s="176" t="n"/>
      <c r="BQ84" s="338">
        <f>IFERROR(Table410[[#This Row],[Jan_2026_Days_Forecast]]*Table410[[#This Row],[Cost Boolean]]*(VLOOKUP(Table410[[#This Row],[RATE CONCAT]],Tables!I:N,5,0)),0)</f>
        <v/>
      </c>
      <c r="BR84" s="338">
        <f>IFERROR(Table410[[#This Row],[Jan_2026_Days_Actual]]*Table410[[#This Row],[Cost Boolean]]*(VLOOKUP(Table410[[#This Row],[RATE CONCAT]],Tables!I:N,5,0)),0)</f>
        <v/>
      </c>
      <c r="BS84" s="338">
        <f>Table410[[#This Row],[Jan_2026_F]]-Table410[[#This Row],[Jan_2026_A]]</f>
        <v/>
      </c>
      <c r="BU84" s="338">
        <f>IFERROR(Table410[[#This Row],[Feb_2026_Days_Forecast]]*Table410[[#This Row],[Cost Boolean]]*(VLOOKUP(Table410[[#This Row],[RATE CONCAT]],Tables!I:N,5,0)),0)</f>
        <v/>
      </c>
      <c r="BV84" s="338">
        <f>IFERROR(Table410[[#This Row],[Feb_2026_Days_Actual]]*Table410[[#This Row],[Cost Boolean]]*(VLOOKUP(Table410[[#This Row],[RATE CONCAT]],Tables!I:N,5,0)),0)</f>
        <v/>
      </c>
      <c r="BW84" s="338">
        <f>Table410[[#This Row],[Feb_2026_F]]-Table410[[#This Row],[Feb_2026_A]]</f>
        <v/>
      </c>
      <c r="BY84" s="338">
        <f>IFERROR(Table410[[#This Row],[Mar_2026_Days_Forecast]]*Table410[[#This Row],[Cost Boolean]]*(VLOOKUP(Table410[[#This Row],[RATE CONCAT]],Tables!I:N,5,0)),0)</f>
        <v/>
      </c>
      <c r="BZ84" s="338">
        <f>IFERROR(Table410[[#This Row],[Mar_2026_Days_Actual]]*Table410[[#This Row],[Cost Boolean]]*(VLOOKUP(Table410[[#This Row],[RATE CONCAT]],Tables!I:N,5,0)),0)</f>
        <v/>
      </c>
      <c r="CA84" s="338">
        <f>Table410[[#This Row],[Mar_2026_F]]-Table410[[#This Row],[Mar_2026_A]]</f>
        <v/>
      </c>
      <c r="CC84" s="338">
        <f>IFERROR(Table410[[#This Row],[Apr_2026_Days_Forecast]]*Table410[[#This Row],[Cost Boolean]]*(VLOOKUP(Table410[[#This Row],[RATE CONCAT]],Tables!I:N,5,0)),0)</f>
        <v/>
      </c>
      <c r="CD84" s="338">
        <f>IFERROR(Table410[[#This Row],[Apr_2026_Days_Actual]]*Table410[[#This Row],[Cost Boolean]]*(VLOOKUP(Table410[[#This Row],[RATE CONCAT]],Tables!I:N,5,0)),0)</f>
        <v/>
      </c>
      <c r="CE84" s="338">
        <f>Table410[[#This Row],[Apr_2026_F]]-Table410[[#This Row],[Apr_2026_A]]</f>
        <v/>
      </c>
      <c r="CG84" s="338">
        <f>IFERROR(Table410[[#This Row],[May_2026_Days_Forecast]] *Table410[[#This Row],[Cost Boolean]]*(VLOOKUP(Table410[[#This Row],[RATE CONCAT]],Tables!I:N,5,0)),0)</f>
        <v/>
      </c>
      <c r="CH84" s="338">
        <f>IFERROR(Table410[[#This Row],[May_2026_Days_Actual]]*Table410[[#This Row],[Cost Boolean]]*(VLOOKUP(Table410[[#This Row],[RATE CONCAT]],Tables!I:N,5,0)),0)</f>
        <v/>
      </c>
      <c r="CI84" s="338">
        <f>Table410[[#This Row],[May_2026_F]]-Table410[[#This Row],[May_2026_A]]</f>
        <v/>
      </c>
      <c r="CK84" s="338">
        <f>IFERROR(Table410[[#This Row],[Jun_2026_Days_Forecast]]*Table410[[#This Row],[Cost Boolean]]*(VLOOKUP(Table410[[#This Row],[RATE CONCAT]],Tables!I:N,5,0)),0)</f>
        <v/>
      </c>
      <c r="CL84" s="338">
        <f>IFERROR(Table410[[#This Row],[Jun_2026_Days_Actual]]*Table410[[#This Row],[Cost Boolean]]*(VLOOKUP(Table410[[#This Row],[RATE CONCAT]],Tables!I:N,5,0)),0)</f>
        <v/>
      </c>
      <c r="CM84" s="338">
        <f>Table410[[#This Row],[Jun_2026_F]]-Table410[[#This Row],[Jun_2026_A]]</f>
        <v/>
      </c>
      <c r="CO84" s="338">
        <f>IFERROR(Table410[[#This Row],[Jul_2026_Days_Forecast]]*Table410[[#This Row],[Cost Boolean]]*(VLOOKUP(Table410[[#This Row],[RATE CONCAT]],Tables!I:N,5,0)),0)</f>
        <v/>
      </c>
      <c r="CP84" s="338">
        <f>IFERROR(Table410[[#This Row],[Jul_2026_Days_Actual]]*Table410[[#This Row],[Cost Boolean]]*(VLOOKUP(Table410[[#This Row],[RATE CONCAT]],Tables!I:N,5,0)),0)</f>
        <v/>
      </c>
      <c r="CQ84" s="338">
        <f>Table410[[#This Row],[Jul_2026_F]]-Table410[[#This Row],[Jul_2026_A]]</f>
        <v/>
      </c>
      <c r="CS84" s="338">
        <f>IFERROR(Table410[[#This Row],[Aug_2026_Days_Forecast]]*Table410[[#This Row],[Cost Boolean]]*(VLOOKUP(Table410[[#This Row],[RATE CONCAT]],Tables!I:N,5,0)),0)</f>
        <v/>
      </c>
      <c r="CT84" s="338">
        <f>IFERROR(Table410[[#This Row],[Aug_2026_Days_Actual]]*Table410[[#This Row],[Cost Boolean]]*(VLOOKUP(Table410[[#This Row],[RATE CONCAT]],Tables!I:N,5,0)),0)</f>
        <v/>
      </c>
      <c r="CU84" s="338">
        <f>Table410[[#This Row],[Aug_2026_F]]-Table410[[#This Row],[Aug_2026_A]]</f>
        <v/>
      </c>
      <c r="CW84" s="338">
        <f>IFERROR(Table410[[#This Row],[Sep_2026_Days_Forecast]]*Table410[[#This Row],[Cost Boolean]]*(VLOOKUP(Table410[[#This Row],[RATE CONCAT]],Tables!I:N,5,0)),0)</f>
        <v/>
      </c>
      <c r="CX84" s="338">
        <f>IFERROR(Table410[[#This Row],[Sep_2026_Days_Actual]]*Table410[[#This Row],[Cost Boolean]]*(VLOOKUP(Table410[[#This Row],[RATE CONCAT]],Tables!I:N,5,0)),0)</f>
        <v/>
      </c>
      <c r="CY84" s="338">
        <f>Table410[[#This Row],[Sep_2026_F]]-Table410[[#This Row],[Sep_2026_A]]</f>
        <v/>
      </c>
      <c r="DA84" s="338">
        <f>IFERROR(Table410[[#This Row],[Oct_2026_Days_Forecast]]*Table410[[#This Row],[Cost Boolean]]*(VLOOKUP(Table410[[#This Row],[RATE CONCAT]],Tables!I:N,5,0)),0)</f>
        <v/>
      </c>
      <c r="DB84" s="338">
        <f>IFERROR(Table410[[#This Row],[Oct_2026_Days_Actual]]*Table410[[#This Row],[Cost Boolean]]*(VLOOKUP(Table410[[#This Row],[RATE CONCAT]],Tables!I:N,5,0)),0)</f>
        <v/>
      </c>
      <c r="DC84" s="338">
        <f>Table410[[#This Row],[Oct_2026_F]]-Table410[[#This Row],[Oct_2026_A]]</f>
        <v/>
      </c>
      <c r="DE84" s="338">
        <f>IFERROR(Table410[[#This Row],[Nov_2026_Days_Forecast]]*Table410[[#This Row],[Cost Boolean]]*(VLOOKUP(Table410[[#This Row],[RATE CONCAT]],Tables!I:N,5,0)),0)</f>
        <v/>
      </c>
      <c r="DF84" s="338">
        <f>IFERROR(Table410[[#This Row],[Nov_2026_Days_Actual]]*Table410[[#This Row],[Cost Boolean]]*(VLOOKUP(Table410[[#This Row],[RATE CONCAT]],Tables!I:N,5,0)),0)</f>
        <v/>
      </c>
      <c r="DG84" s="338">
        <f>Table410[[#This Row],[Nov_2026_F]]-Table410[[#This Row],[Nov_2026_A]]</f>
        <v/>
      </c>
      <c r="DI84" s="338">
        <f>IFERROR(Table410[[#This Row],[Dec_2026_Days_Forecast]]*Table410[[#This Row],[Cost Boolean]]*(VLOOKUP(Table410[[#This Row],[RATE CONCAT]],Tables!I:N,5,0)),0)</f>
        <v/>
      </c>
      <c r="DJ84" s="338">
        <f>IFERROR(Table410[[#This Row],[Dec_2026_Days_Actual]]*Table410[[#This Row],[Cost Boolean]]*(VLOOKUP(Table410[[#This Row],[RATE CONCAT]],Tables!I:N,5,0)),0)</f>
        <v/>
      </c>
      <c r="DK84" s="338">
        <f>Table410[[#This Row],[Dec_2026_F]]-Table410[[#This Row],[Dec_2026_A]]</f>
        <v/>
      </c>
      <c r="DN84" s="338">
        <f>IFERROR(Table410[[#This Row],[Jan_2027_Days_Forecast]]*Table410[[#This Row],[Cost Boolean]]*(VLOOKUP(Table410[[#This Row],[RATE CONCAT]],Tables!I:N,6,0)),0)</f>
        <v/>
      </c>
      <c r="DP84" s="338">
        <f>Table410[[#This Row],[Jan_2027_F]]-Table410[[#This Row],[Jan_2027_A]]</f>
        <v/>
      </c>
      <c r="DQ84" s="338">
        <f>IFERROR(Table410[[#This Row],[Feb_2027_Days_Forecast]]*Table410[[#This Row],[Cost Boolean]]*(VLOOKUP(Table410[[#This Row],[RATE CONCAT]],Tables!I:N,6,0)),0)</f>
        <v/>
      </c>
      <c r="DS84" s="338">
        <f>Table410[[#This Row],[Feb_2027_F]]-Table410[[#This Row],[Feb_2027_A]]</f>
        <v/>
      </c>
      <c r="DT84" s="338">
        <f>IFERROR(Table410[[#This Row],[Mar_2027_Days_Forecast]]*Table410[[#This Row],[Cost Boolean]]*(VLOOKUP(Table410[[#This Row],[RATE CONCAT]],Tables!I:N,6,0)),0)</f>
        <v/>
      </c>
      <c r="DV84" s="338">
        <f>Table410[[#This Row],[Mar_2027_F]]-Table410[[#This Row],[Mar_2027_A]]</f>
        <v/>
      </c>
      <c r="DW84" s="338">
        <f>IFERROR(Table410[[#This Row],[Apr_2027_Days_Forecast]]*Table410[[#This Row],[Cost Boolean]]*(VLOOKUP(Table410[[#This Row],[RATE CONCAT]],Tables!I:N,6,0)),0)</f>
        <v/>
      </c>
      <c r="DY84" s="338">
        <f>Table410[[#This Row],[Apr_2027_F]]-Table410[[#This Row],[Apr_2027_A]]</f>
        <v/>
      </c>
      <c r="DZ84" s="338">
        <f>IFERROR(Table410[[#This Row],[May_2027_Days_Forecast]]*Table410[[#This Row],[Cost Boolean]]*(VLOOKUP(Table410[[#This Row],[RATE CONCAT]],Tables!I:N,6,0)),0)</f>
        <v/>
      </c>
      <c r="EB84" s="338">
        <f>Table410[[#This Row],[May_2027_F]]-Table410[[#This Row],[May_2027_A]]</f>
        <v/>
      </c>
      <c r="EC84" s="338">
        <f>IFERROR(Table410[[#This Row],[Jun_2027_Days_Forecast]]*Table410[[#This Row],[Cost Boolean]]*(VLOOKUP(Table410[[#This Row],[RATE CONCAT]],Tables!I:N,6,0)),0)</f>
        <v/>
      </c>
      <c r="EE84" s="338">
        <f>Table410[[#This Row],[Jun_2027_F]]-Table410[[#This Row],[Jun_2027_A]]</f>
        <v/>
      </c>
      <c r="EF84" s="338">
        <f>IFERROR(Table410[[#This Row],[Jul_2027_Days_Forecast]]*Table410[[#This Row],[Cost Boolean]]*(VLOOKUP(Table410[[#This Row],[RATE CONCAT]],Tables!I:N,6,0)),0)</f>
        <v/>
      </c>
      <c r="EH84" s="338">
        <f>Table410[[#This Row],[Jul_2027_F]]-Table410[[#This Row],[Jul_2027_A]]</f>
        <v/>
      </c>
      <c r="EI84" s="338">
        <f>IFERROR(Table410[[#This Row],[Aug_2027_Days_Forecast]]*Table410[[#This Row],[Cost Boolean]]*(VLOOKUP(Table410[[#This Row],[RATE CONCAT]],Tables!I:N,6,0)),0)</f>
        <v/>
      </c>
      <c r="EK84" s="338">
        <f>Table410[[#This Row],[Aug_2027_F]]-Table410[[#This Row],[Aug_2027_A]]</f>
        <v/>
      </c>
      <c r="EL84" s="338">
        <f>IFERROR(Table410[[#This Row],[Sep_2027_Days_Forecast]]*Table410[[#This Row],[Cost Boolean]]*(VLOOKUP(Table410[[#This Row],[RATE CONCAT]],Tables!I:N,6,0)),0)</f>
        <v/>
      </c>
      <c r="EN84" s="338">
        <f>Table410[[#This Row],[Sep_2027_F]]-Table410[[#This Row],[Sep_2027_A]]</f>
        <v/>
      </c>
      <c r="EO84" s="338">
        <f>IFERROR(Table410[[#This Row],[Oct_2027_Days_Forecast]]*Table410[[#This Row],[Cost Boolean]]*(VLOOKUP(Table410[[#This Row],[RATE CONCAT]],Tables!I:N,6,0)),0)</f>
        <v/>
      </c>
      <c r="EQ84" s="338">
        <f>Table410[[#This Row],[Oct_2027_F]]-Table410[[#This Row],[Oct_2027_A]]</f>
        <v/>
      </c>
      <c r="ER84" s="338">
        <f>IFERROR(Table410[[#This Row],[Nov_2027_Days_Forecast]]*Table410[[#This Row],[Cost Boolean]]*(VLOOKUP(Table410[[#This Row],[RATE CONCAT]],Tables!I:N,6,0)),0)</f>
        <v/>
      </c>
      <c r="ET84" s="338">
        <f>Table410[[#This Row],[Nov_2027_F]]-Table410[[#This Row],[Nov_2027_A]]</f>
        <v/>
      </c>
      <c r="EU84" s="338">
        <f>IFERROR(Table410[[#This Row],[Dec_2027_Days_Forecast]]*Table410[[#This Row],[Cost Boolean]]*(VLOOKUP(Table410[[#This Row],[RATE CONCAT]],Tables!I:N,6,0)),0)</f>
        <v/>
      </c>
      <c r="EW84" s="338">
        <f>Table410[[#This Row],[Dec_2027_F]]-Table410[[#This Row],[Dec_2027_A]]</f>
        <v/>
      </c>
    </row>
    <row r="85" ht="15" customFormat="1" customHeight="1" s="13">
      <c r="Y85" s="342">
        <f>CONCATENATE(Table410[[#This Row],[JG]],Table410[[#This Row],[Country]],Table410[[#This Row],[Resource Provider]])</f>
        <v/>
      </c>
      <c r="Z85" s="342">
        <f>VLOOKUP(Table410[[#This Row],[RATE CONCAT]],Tables!I:N,5,0)</f>
        <v/>
      </c>
      <c r="AA85" s="52" t="n"/>
      <c r="AB85" s="130" t="n"/>
      <c r="AC85" s="130" t="n"/>
      <c r="AD85" s="130" t="n"/>
      <c r="AE85" s="130" t="n"/>
      <c r="AF85" s="130" t="n"/>
      <c r="AG85" s="130" t="n"/>
      <c r="AH85" s="130" t="n"/>
      <c r="AI85" s="130" t="n"/>
      <c r="AJ85" s="130" t="n"/>
      <c r="AK85" s="130" t="n"/>
      <c r="AL85" s="130" t="n"/>
      <c r="AM85" s="130" t="n"/>
      <c r="AN85" s="341">
        <f>IFERROR(AVERAGE(Table410[[#This Row],[Jan_2026_Days_Forecast]:[Dec_2026_Days_Forecast]]),0)/19</f>
        <v/>
      </c>
      <c r="AO85" s="341">
        <f>IFERROR(AVERAGE(Table410[[#This Row],[Jan_2026_Days_Actual]:[Dec_2026_Days_Actual]]),0)/19</f>
        <v/>
      </c>
      <c r="BB85" s="341">
        <f>IFERROR(AVERAGE(Table410[[#This Row],[Jan_2027_Days_Forecast]:[Dec_2027_Days_Forecast]]),0)</f>
        <v/>
      </c>
      <c r="BC85" s="127" t="n"/>
      <c r="BD85" s="127" t="n"/>
      <c r="BE85" s="127" t="n"/>
      <c r="BF85" s="127" t="n"/>
      <c r="BG85" s="127" t="n"/>
      <c r="BH85" s="127" t="n"/>
      <c r="BI85" s="127" t="n"/>
      <c r="BJ85" s="127" t="n"/>
      <c r="BK85" s="127" t="n"/>
      <c r="BL85" s="127" t="n"/>
      <c r="BM85" s="127" t="n"/>
      <c r="BN85" s="127" t="n"/>
      <c r="BO85" s="176" t="n"/>
      <c r="BP85" s="176" t="n"/>
      <c r="BQ85" s="342">
        <f>IFERROR(Table410[[#This Row],[Jan_2026_Days_Forecast]]*Table410[[#This Row],[Cost Boolean]]*(VLOOKUP(Table410[[#This Row],[RATE CONCAT]],Tables!I:N,5,0)),0)</f>
        <v/>
      </c>
      <c r="BR85" s="342">
        <f>IFERROR(Table410[[#This Row],[Jan_2026_Days_Actual]]*Table410[[#This Row],[Cost Boolean]]*(VLOOKUP(Table410[[#This Row],[RATE CONCAT]],Tables!I:N,5,0)),0)</f>
        <v/>
      </c>
      <c r="BS85" s="342">
        <f>Table410[[#This Row],[Jan_2026_F]]-Table410[[#This Row],[Jan_2026_A]]</f>
        <v/>
      </c>
      <c r="BU85" s="342">
        <f>IFERROR(Table410[[#This Row],[Feb_2026_Days_Forecast]]*Table410[[#This Row],[Cost Boolean]]*(VLOOKUP(Table410[[#This Row],[RATE CONCAT]],Tables!I:N,5,0)),0)</f>
        <v/>
      </c>
      <c r="BV85" s="342">
        <f>IFERROR(Table410[[#This Row],[Feb_2026_Days_Actual]]*Table410[[#This Row],[Cost Boolean]]*(VLOOKUP(Table410[[#This Row],[RATE CONCAT]],Tables!I:N,5,0)),0)</f>
        <v/>
      </c>
      <c r="BW85" s="342">
        <f>Table410[[#This Row],[Feb_2026_F]]-Table410[[#This Row],[Feb_2026_A]]</f>
        <v/>
      </c>
      <c r="BY85" s="342">
        <f>IFERROR(Table410[[#This Row],[Mar_2026_Days_Forecast]]*Table410[[#This Row],[Cost Boolean]]*(VLOOKUP(Table410[[#This Row],[RATE CONCAT]],Tables!I:N,5,0)),0)</f>
        <v/>
      </c>
      <c r="BZ85" s="342">
        <f>IFERROR(Table410[[#This Row],[Mar_2026_Days_Actual]]*Table410[[#This Row],[Cost Boolean]]*(VLOOKUP(Table410[[#This Row],[RATE CONCAT]],Tables!I:N,5,0)),0)</f>
        <v/>
      </c>
      <c r="CA85" s="342">
        <f>Table410[[#This Row],[Mar_2026_F]]-Table410[[#This Row],[Mar_2026_A]]</f>
        <v/>
      </c>
      <c r="CC85" s="342">
        <f>IFERROR(Table410[[#This Row],[Apr_2026_Days_Forecast]]*Table410[[#This Row],[Cost Boolean]]*(VLOOKUP(Table410[[#This Row],[RATE CONCAT]],Tables!I:N,5,0)),0)</f>
        <v/>
      </c>
      <c r="CD85" s="342">
        <f>IFERROR(Table410[[#This Row],[Apr_2026_Days_Actual]]*Table410[[#This Row],[Cost Boolean]]*(VLOOKUP(Table410[[#This Row],[RATE CONCAT]],Tables!I:N,5,0)),0)</f>
        <v/>
      </c>
      <c r="CE85" s="342">
        <f>Table410[[#This Row],[Apr_2026_F]]-Table410[[#This Row],[Apr_2026_A]]</f>
        <v/>
      </c>
      <c r="CG85" s="342">
        <f>IFERROR(Table410[[#This Row],[May_2026_Days_Forecast]] *Table410[[#This Row],[Cost Boolean]]*(VLOOKUP(Table410[[#This Row],[RATE CONCAT]],Tables!I:N,5,0)),0)</f>
        <v/>
      </c>
      <c r="CH85" s="342">
        <f>IFERROR(Table410[[#This Row],[May_2026_Days_Actual]]*Table410[[#This Row],[Cost Boolean]]*(VLOOKUP(Table410[[#This Row],[RATE CONCAT]],Tables!I:N,5,0)),0)</f>
        <v/>
      </c>
      <c r="CI85" s="342">
        <f>Table410[[#This Row],[May_2026_F]]-Table410[[#This Row],[May_2026_A]]</f>
        <v/>
      </c>
      <c r="CK85" s="342">
        <f>IFERROR(Table410[[#This Row],[Jun_2026_Days_Forecast]]*Table410[[#This Row],[Cost Boolean]]*(VLOOKUP(Table410[[#This Row],[RATE CONCAT]],Tables!I:N,5,0)),0)</f>
        <v/>
      </c>
      <c r="CL85" s="342">
        <f>IFERROR(Table410[[#This Row],[Jun_2026_Days_Actual]]*Table410[[#This Row],[Cost Boolean]]*(VLOOKUP(Table410[[#This Row],[RATE CONCAT]],Tables!I:N,5,0)),0)</f>
        <v/>
      </c>
      <c r="CM85" s="342">
        <f>Table410[[#This Row],[Jun_2026_F]]-Table410[[#This Row],[Jun_2026_A]]</f>
        <v/>
      </c>
      <c r="CO85" s="342">
        <f>IFERROR(Table410[[#This Row],[Jul_2026_Days_Forecast]]*Table410[[#This Row],[Cost Boolean]]*(VLOOKUP(Table410[[#This Row],[RATE CONCAT]],Tables!I:N,5,0)),0)</f>
        <v/>
      </c>
      <c r="CP85" s="342">
        <f>IFERROR(Table410[[#This Row],[Jul_2026_Days_Actual]]*Table410[[#This Row],[Cost Boolean]]*(VLOOKUP(Table410[[#This Row],[RATE CONCAT]],Tables!I:N,5,0)),0)</f>
        <v/>
      </c>
      <c r="CQ85" s="342">
        <f>Table410[[#This Row],[Jul_2026_F]]-Table410[[#This Row],[Jul_2026_A]]</f>
        <v/>
      </c>
      <c r="CS85" s="342">
        <f>IFERROR(Table410[[#This Row],[Aug_2026_Days_Forecast]]*Table410[[#This Row],[Cost Boolean]]*(VLOOKUP(Table410[[#This Row],[RATE CONCAT]],Tables!I:N,5,0)),0)</f>
        <v/>
      </c>
      <c r="CT85" s="342">
        <f>IFERROR(Table410[[#This Row],[Aug_2026_Days_Actual]]*Table410[[#This Row],[Cost Boolean]]*(VLOOKUP(Table410[[#This Row],[RATE CONCAT]],Tables!I:N,5,0)),0)</f>
        <v/>
      </c>
      <c r="CU85" s="342">
        <f>Table410[[#This Row],[Aug_2026_F]]-Table410[[#This Row],[Aug_2026_A]]</f>
        <v/>
      </c>
      <c r="CW85" s="342">
        <f>IFERROR(Table410[[#This Row],[Sep_2026_Days_Forecast]]*Table410[[#This Row],[Cost Boolean]]*(VLOOKUP(Table410[[#This Row],[RATE CONCAT]],Tables!I:N,5,0)),0)</f>
        <v/>
      </c>
      <c r="CX85" s="342">
        <f>IFERROR(Table410[[#This Row],[Sep_2026_Days_Actual]]*Table410[[#This Row],[Cost Boolean]]*(VLOOKUP(Table410[[#This Row],[RATE CONCAT]],Tables!I:N,5,0)),0)</f>
        <v/>
      </c>
      <c r="CY85" s="342">
        <f>Table410[[#This Row],[Sep_2026_F]]-Table410[[#This Row],[Sep_2026_A]]</f>
        <v/>
      </c>
      <c r="DA85" s="342">
        <f>IFERROR(Table410[[#This Row],[Oct_2026_Days_Forecast]]*Table410[[#This Row],[Cost Boolean]]*(VLOOKUP(Table410[[#This Row],[RATE CONCAT]],Tables!I:N,5,0)),0)</f>
        <v/>
      </c>
      <c r="DB85" s="342">
        <f>IFERROR(Table410[[#This Row],[Oct_2026_Days_Actual]]*Table410[[#This Row],[Cost Boolean]]*(VLOOKUP(Table410[[#This Row],[RATE CONCAT]],Tables!I:N,5,0)),0)</f>
        <v/>
      </c>
      <c r="DC85" s="342">
        <f>Table410[[#This Row],[Oct_2026_F]]-Table410[[#This Row],[Oct_2026_A]]</f>
        <v/>
      </c>
      <c r="DE85" s="342">
        <f>IFERROR(Table410[[#This Row],[Nov_2026_Days_Forecast]]*Table410[[#This Row],[Cost Boolean]]*(VLOOKUP(Table410[[#This Row],[RATE CONCAT]],Tables!I:N,5,0)),0)</f>
        <v/>
      </c>
      <c r="DF85" s="342">
        <f>IFERROR(Table410[[#This Row],[Nov_2026_Days_Actual]]*Table410[[#This Row],[Cost Boolean]]*(VLOOKUP(Table410[[#This Row],[RATE CONCAT]],Tables!I:N,5,0)),0)</f>
        <v/>
      </c>
      <c r="DG85" s="342">
        <f>Table410[[#This Row],[Nov_2026_F]]-Table410[[#This Row],[Nov_2026_A]]</f>
        <v/>
      </c>
      <c r="DI85" s="342">
        <f>IFERROR(Table410[[#This Row],[Dec_2026_Days_Forecast]]*Table410[[#This Row],[Cost Boolean]]*(VLOOKUP(Table410[[#This Row],[RATE CONCAT]],Tables!I:N,5,0)),0)</f>
        <v/>
      </c>
      <c r="DJ85" s="342">
        <f>IFERROR(Table410[[#This Row],[Dec_2026_Days_Actual]]*Table410[[#This Row],[Cost Boolean]]*(VLOOKUP(Table410[[#This Row],[RATE CONCAT]],Tables!I:N,5,0)),0)</f>
        <v/>
      </c>
      <c r="DK85" s="342">
        <f>Table410[[#This Row],[Dec_2026_F]]-Table410[[#This Row],[Dec_2026_A]]</f>
        <v/>
      </c>
      <c r="DN85" s="342">
        <f>IFERROR(Table410[[#This Row],[Jan_2027_Days_Forecast]]*Table410[[#This Row],[Cost Boolean]]*(VLOOKUP(Table410[[#This Row],[RATE CONCAT]],Tables!I:N,6,0)),0)</f>
        <v/>
      </c>
      <c r="DP85" s="342">
        <f>Table410[[#This Row],[Jan_2027_F]]-Table410[[#This Row],[Jan_2027_A]]</f>
        <v/>
      </c>
      <c r="DQ85" s="342">
        <f>IFERROR(Table410[[#This Row],[Feb_2027_Days_Forecast]]*Table410[[#This Row],[Cost Boolean]]*(VLOOKUP(Table410[[#This Row],[RATE CONCAT]],Tables!I:N,6,0)),0)</f>
        <v/>
      </c>
      <c r="DS85" s="342">
        <f>Table410[[#This Row],[Feb_2027_F]]-Table410[[#This Row],[Feb_2027_A]]</f>
        <v/>
      </c>
      <c r="DT85" s="342">
        <f>IFERROR(Table410[[#This Row],[Mar_2027_Days_Forecast]]*Table410[[#This Row],[Cost Boolean]]*(VLOOKUP(Table410[[#This Row],[RATE CONCAT]],Tables!I:N,6,0)),0)</f>
        <v/>
      </c>
      <c r="DV85" s="342">
        <f>Table410[[#This Row],[Mar_2027_F]]-Table410[[#This Row],[Mar_2027_A]]</f>
        <v/>
      </c>
      <c r="DW85" s="342">
        <f>IFERROR(Table410[[#This Row],[Apr_2027_Days_Forecast]]*Table410[[#This Row],[Cost Boolean]]*(VLOOKUP(Table410[[#This Row],[RATE CONCAT]],Tables!I:N,6,0)),0)</f>
        <v/>
      </c>
      <c r="DY85" s="342">
        <f>Table410[[#This Row],[Apr_2027_F]]-Table410[[#This Row],[Apr_2027_A]]</f>
        <v/>
      </c>
      <c r="DZ85" s="342">
        <f>IFERROR(Table410[[#This Row],[May_2027_Days_Forecast]]*Table410[[#This Row],[Cost Boolean]]*(VLOOKUP(Table410[[#This Row],[RATE CONCAT]],Tables!I:N,6,0)),0)</f>
        <v/>
      </c>
      <c r="EB85" s="342">
        <f>Table410[[#This Row],[May_2027_F]]-Table410[[#This Row],[May_2027_A]]</f>
        <v/>
      </c>
      <c r="EC85" s="342">
        <f>IFERROR(Table410[[#This Row],[Jun_2027_Days_Forecast]]*Table410[[#This Row],[Cost Boolean]]*(VLOOKUP(Table410[[#This Row],[RATE CONCAT]],Tables!I:N,6,0)),0)</f>
        <v/>
      </c>
      <c r="EE85" s="342">
        <f>Table410[[#This Row],[Jun_2027_F]]-Table410[[#This Row],[Jun_2027_A]]</f>
        <v/>
      </c>
      <c r="EF85" s="342">
        <f>IFERROR(Table410[[#This Row],[Jul_2027_Days_Forecast]]*Table410[[#This Row],[Cost Boolean]]*(VLOOKUP(Table410[[#This Row],[RATE CONCAT]],Tables!I:N,6,0)),0)</f>
        <v/>
      </c>
      <c r="EH85" s="342">
        <f>Table410[[#This Row],[Jul_2027_F]]-Table410[[#This Row],[Jul_2027_A]]</f>
        <v/>
      </c>
      <c r="EI85" s="342">
        <f>IFERROR(Table410[[#This Row],[Aug_2027_Days_Forecast]]*Table410[[#This Row],[Cost Boolean]]*(VLOOKUP(Table410[[#This Row],[RATE CONCAT]],Tables!I:N,6,0)),0)</f>
        <v/>
      </c>
      <c r="EK85" s="342">
        <f>Table410[[#This Row],[Aug_2027_F]]-Table410[[#This Row],[Aug_2027_A]]</f>
        <v/>
      </c>
      <c r="EL85" s="342">
        <f>IFERROR(Table410[[#This Row],[Sep_2027_Days_Forecast]]*Table410[[#This Row],[Cost Boolean]]*(VLOOKUP(Table410[[#This Row],[RATE CONCAT]],Tables!I:N,6,0)),0)</f>
        <v/>
      </c>
      <c r="EN85" s="342">
        <f>Table410[[#This Row],[Sep_2027_F]]-Table410[[#This Row],[Sep_2027_A]]</f>
        <v/>
      </c>
      <c r="EO85" s="342">
        <f>IFERROR(Table410[[#This Row],[Oct_2027_Days_Forecast]]*Table410[[#This Row],[Cost Boolean]]*(VLOOKUP(Table410[[#This Row],[RATE CONCAT]],Tables!I:N,6,0)),0)</f>
        <v/>
      </c>
      <c r="EQ85" s="342">
        <f>Table410[[#This Row],[Oct_2027_F]]-Table410[[#This Row],[Oct_2027_A]]</f>
        <v/>
      </c>
      <c r="ER85" s="342">
        <f>IFERROR(Table410[[#This Row],[Nov_2027_Days_Forecast]]*Table410[[#This Row],[Cost Boolean]]*(VLOOKUP(Table410[[#This Row],[RATE CONCAT]],Tables!I:N,6,0)),0)</f>
        <v/>
      </c>
      <c r="ET85" s="342">
        <f>Table410[[#This Row],[Nov_2027_F]]-Table410[[#This Row],[Nov_2027_A]]</f>
        <v/>
      </c>
      <c r="EU85" s="342">
        <f>IFERROR(Table410[[#This Row],[Dec_2027_Days_Forecast]]*Table410[[#This Row],[Cost Boolean]]*(VLOOKUP(Table410[[#This Row],[RATE CONCAT]],Tables!I:N,6,0)),0)</f>
        <v/>
      </c>
      <c r="EW85" s="342">
        <f>Table410[[#This Row],[Dec_2027_F]]-Table410[[#This Row],[Dec_2027_A]]</f>
        <v/>
      </c>
    </row>
    <row r="86" ht="1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338">
        <f>CONCATENATE(Table410[[#This Row],[JG]],Table410[[#This Row],[Country]],Table410[[#This Row],[Resource Provider]])</f>
        <v/>
      </c>
      <c r="Z86" s="338">
        <f>VLOOKUP(Table410[[#This Row],[RATE CONCAT]],Tables!I:N,5,0)</f>
        <v/>
      </c>
      <c r="AA86" s="52" t="n"/>
      <c r="AB86" s="127" t="n"/>
      <c r="AC86" s="127" t="n"/>
      <c r="AD86" s="127" t="n"/>
      <c r="AE86" s="127" t="n"/>
      <c r="AF86" s="130" t="n"/>
      <c r="AG86" s="130" t="n"/>
      <c r="AH86" s="130" t="n"/>
      <c r="AI86" s="130" t="n"/>
      <c r="AJ86" s="130" t="n"/>
      <c r="AK86" s="130" t="n"/>
      <c r="AL86" s="130" t="n"/>
      <c r="AM86" s="130" t="n"/>
      <c r="AN86" s="341">
        <f>IFERROR(AVERAGE(Table410[[#This Row],[Jan_2026_Days_Forecast]:[Dec_2026_Days_Forecast]]),0)/19</f>
        <v/>
      </c>
      <c r="AO86" s="341">
        <f>IFERROR(AVERAGE(Table410[[#This Row],[Jan_2026_Days_Actual]:[Dec_2026_Days_Actual]]),0)/19</f>
        <v/>
      </c>
      <c r="AP86" s="84" t="n"/>
      <c r="AQ86" s="84" t="n"/>
      <c r="AR86" s="84" t="n"/>
      <c r="AS86" s="84" t="n"/>
      <c r="AT86" s="84" t="n"/>
      <c r="AU86" s="84" t="n"/>
      <c r="AV86" s="84" t="n"/>
      <c r="AW86" s="84" t="n"/>
      <c r="AX86" s="84" t="n"/>
      <c r="AY86" s="84" t="n"/>
      <c r="AZ86" s="84" t="n"/>
      <c r="BA86" s="84" t="n"/>
      <c r="BB86" s="341">
        <f>IFERROR(AVERAGE(Table410[[#This Row],[Jan_2027_Days_Forecast]:[Dec_2027_Days_Forecast]]),0)</f>
        <v/>
      </c>
      <c r="BC86" s="127" t="n"/>
      <c r="BD86" s="127" t="n"/>
      <c r="BE86" s="127" t="n"/>
      <c r="BF86" s="127" t="n"/>
      <c r="BG86" s="127" t="n"/>
      <c r="BH86" s="127" t="n"/>
      <c r="BI86" s="127" t="n"/>
      <c r="BJ86" s="127" t="n"/>
      <c r="BK86" s="127" t="n"/>
      <c r="BL86" s="127" t="n"/>
      <c r="BM86" s="127" t="n"/>
      <c r="BN86" s="127" t="n"/>
      <c r="BO86" s="176" t="n"/>
      <c r="BP86" s="176" t="n"/>
      <c r="BQ86" s="345">
        <f>IFERROR(Table410[[#This Row],[Jan_2026_Days_Forecast]]*Table410[[#This Row],[Cost Boolean]]*(VLOOKUP(Table410[[#This Row],[RATE CONCAT]],Tables!I:N,5,0)),0)</f>
        <v/>
      </c>
      <c r="BR86" s="345">
        <f>IFERROR(Table410[[#This Row],[Jan_2026_Days_Actual]]*Table410[[#This Row],[Cost Boolean]]*(VLOOKUP(Table410[[#This Row],[RATE CONCAT]],Tables!I:N,5,0)),0)</f>
        <v/>
      </c>
      <c r="BS86" s="338">
        <f>Table410[[#This Row],[Jan_2026_F]]-Table410[[#This Row],[Jan_2026_A]]</f>
        <v/>
      </c>
      <c r="BT86" s="107" t="n"/>
      <c r="BU86" s="338">
        <f>IFERROR(Table410[[#This Row],[Feb_2026_Days_Forecast]]*Table410[[#This Row],[Cost Boolean]]*(VLOOKUP(Table410[[#This Row],[RATE CONCAT]],Tables!I:N,5,0)),0)</f>
        <v/>
      </c>
      <c r="BV86" s="345">
        <f>IFERROR(Table410[[#This Row],[Feb_2026_Days_Actual]]*Table410[[#This Row],[Cost Boolean]]*(VLOOKUP(Table410[[#This Row],[RATE CONCAT]],Tables!I:N,5,0)),0)</f>
        <v/>
      </c>
      <c r="BW86" s="338">
        <f>Table410[[#This Row],[Feb_2026_F]]-Table410[[#This Row],[Feb_2026_A]]</f>
        <v/>
      </c>
      <c r="BX86" s="103" t="n"/>
      <c r="BY86" s="275" t="n"/>
      <c r="BZ86" s="345">
        <f>IFERROR(Table410[[#This Row],[Mar_2026_Days_Actual]]*Table410[[#This Row],[Cost Boolean]]*(VLOOKUP(Table410[[#This Row],[RATE CONCAT]],Tables!I:N,5,0)),0)</f>
        <v/>
      </c>
      <c r="CA86" s="345">
        <f>Table410[[#This Row],[Mar_2026_F]]-Table410[[#This Row],[Mar_2026_A]]</f>
        <v/>
      </c>
      <c r="CB86" s="103" t="n"/>
      <c r="CC86" s="345">
        <f>IFERROR(Table410[[#This Row],[Apr_2026_Days_Forecast]]*Table410[[#This Row],[Cost Boolean]]*(VLOOKUP(Table410[[#This Row],[RATE CONCAT]],Tables!I:N,5,0)),0)</f>
        <v/>
      </c>
      <c r="CD86" s="345">
        <f>IFERROR(Table410[[#This Row],[Apr_2026_Days_Actual]]*Table410[[#This Row],[Cost Boolean]]*(VLOOKUP(Table410[[#This Row],[RATE CONCAT]],Tables!I:N,5,0)),0)</f>
        <v/>
      </c>
      <c r="CE86" s="345">
        <f>Table410[[#This Row],[Apr_2026_F]]-Table410[[#This Row],[Apr_2026_A]]</f>
        <v/>
      </c>
      <c r="CF86" s="103" t="n"/>
      <c r="CG86" s="345">
        <f>IFERROR(Table410[[#This Row],[May_2026_Days_Forecast]] *Table410[[#This Row],[Cost Boolean]]*(VLOOKUP(Table410[[#This Row],[RATE CONCAT]],Tables!I:N,5,0)),0)</f>
        <v/>
      </c>
      <c r="CH86" s="345">
        <f>IFERROR(Table410[[#This Row],[May_2026_Days_Actual]]*Table410[[#This Row],[Cost Boolean]]*(VLOOKUP(Table410[[#This Row],[RATE CONCAT]],Tables!I:N,5,0)),0)</f>
        <v/>
      </c>
      <c r="CI86" s="345">
        <f>Table410[[#This Row],[May_2026_F]]-Table410[[#This Row],[May_2026_A]]</f>
        <v/>
      </c>
      <c r="CJ86" s="103" t="n"/>
      <c r="CK86" s="345">
        <f>IFERROR(Table410[[#This Row],[Jun_2026_Days_Forecast]]*Table410[[#This Row],[Cost Boolean]]*(VLOOKUP(Table410[[#This Row],[RATE CONCAT]],Tables!I:N,5,0)),0)</f>
        <v/>
      </c>
      <c r="CL86" s="345">
        <f>IFERROR(Table410[[#This Row],[Jun_2026_Days_Actual]]*Table410[[#This Row],[Cost Boolean]]*(VLOOKUP(Table410[[#This Row],[RATE CONCAT]],Tables!I:N,5,0)),0)</f>
        <v/>
      </c>
      <c r="CM86" s="345">
        <f>Table410[[#This Row],[Jun_2026_F]]-Table410[[#This Row],[Jun_2026_A]]</f>
        <v/>
      </c>
      <c r="CN86" s="103" t="n"/>
      <c r="CO86" s="345">
        <f>IFERROR(Table410[[#This Row],[Jul_2026_Days_Forecast]]*Table410[[#This Row],[Cost Boolean]]*(VLOOKUP(Table410[[#This Row],[RATE CONCAT]],Tables!I:N,5,0)),0)</f>
        <v/>
      </c>
      <c r="CP86" s="345">
        <f>IFERROR(Table410[[#This Row],[Jul_2026_Days_Actual]]*Table410[[#This Row],[Cost Boolean]]*(VLOOKUP(Table410[[#This Row],[RATE CONCAT]],Tables!I:N,5,0)),0)</f>
        <v/>
      </c>
      <c r="CQ86" s="345">
        <f>Table410[[#This Row],[Jul_2026_F]]-Table410[[#This Row],[Jul_2026_A]]</f>
        <v/>
      </c>
      <c r="CR86" s="103" t="n"/>
      <c r="CS86" s="345">
        <f>IFERROR(Table410[[#This Row],[Aug_2026_Days_Forecast]]*Table410[[#This Row],[Cost Boolean]]*(VLOOKUP(Table410[[#This Row],[RATE CONCAT]],Tables!I:N,5,0)),0)</f>
        <v/>
      </c>
      <c r="CT86" s="345">
        <f>IFERROR(Table410[[#This Row],[Aug_2026_Days_Actual]]*Table410[[#This Row],[Cost Boolean]]*(VLOOKUP(Table410[[#This Row],[RATE CONCAT]],Tables!I:N,5,0)),0)</f>
        <v/>
      </c>
      <c r="CU86" s="345">
        <f>Table410[[#This Row],[Aug_2026_F]]-Table410[[#This Row],[Aug_2026_A]]</f>
        <v/>
      </c>
      <c r="CV86" s="103" t="n"/>
      <c r="CW86" s="345">
        <f>IFERROR(Table410[[#This Row],[Sep_2026_Days_Forecast]]*Table410[[#This Row],[Cost Boolean]]*(VLOOKUP(Table410[[#This Row],[RATE CONCAT]],Tables!I:N,5,0)),0)</f>
        <v/>
      </c>
      <c r="CX86" s="345">
        <f>IFERROR(Table410[[#This Row],[Sep_2026_Days_Actual]]*Table410[[#This Row],[Cost Boolean]]*(VLOOKUP(Table410[[#This Row],[RATE CONCAT]],Tables!I:N,5,0)),0)</f>
        <v/>
      </c>
      <c r="CY86" s="345">
        <f>Table410[[#This Row],[Sep_2026_F]]-Table410[[#This Row],[Sep_2026_A]]</f>
        <v/>
      </c>
      <c r="CZ86" s="103" t="n"/>
      <c r="DA86" s="345">
        <f>IFERROR(Table410[[#This Row],[Oct_2026_Days_Forecast]]*Table410[[#This Row],[Cost Boolean]]*(VLOOKUP(Table410[[#This Row],[RATE CONCAT]],Tables!I:N,5,0)),0)</f>
        <v/>
      </c>
      <c r="DB86" s="345">
        <f>IFERROR(Table410[[#This Row],[Oct_2026_Days_Actual]]*Table410[[#This Row],[Cost Boolean]]*(VLOOKUP(Table410[[#This Row],[RATE CONCAT]],Tables!I:N,5,0)),0)</f>
        <v/>
      </c>
      <c r="DC86" s="345">
        <f>Table410[[#This Row],[Oct_2026_F]]-Table410[[#This Row],[Oct_2026_A]]</f>
        <v/>
      </c>
      <c r="DD86" s="103" t="n"/>
      <c r="DE86" s="345">
        <f>IFERROR(Table410[[#This Row],[Nov_2026_Days_Forecast]]*Table410[[#This Row],[Cost Boolean]]*(VLOOKUP(Table410[[#This Row],[RATE CONCAT]],Tables!I:N,5,0)),0)</f>
        <v/>
      </c>
      <c r="DF86" s="345">
        <f>IFERROR(Table410[[#This Row],[Nov_2026_Days_Actual]]*Table410[[#This Row],[Cost Boolean]]*(VLOOKUP(Table410[[#This Row],[RATE CONCAT]],Tables!I:N,5,0)),0)</f>
        <v/>
      </c>
      <c r="DG86" s="345">
        <f>Table410[[#This Row],[Nov_2026_F]]-Table410[[#This Row],[Nov_2026_A]]</f>
        <v/>
      </c>
      <c r="DH86" s="103" t="n"/>
      <c r="DI86" s="345">
        <f>IFERROR(Table410[[#This Row],[Dec_2026_Days_Forecast]]*Table410[[#This Row],[Cost Boolean]]*(VLOOKUP(Table410[[#This Row],[RATE CONCAT]],Tables!I:N,5,0)),0)</f>
        <v/>
      </c>
      <c r="DJ86" s="345">
        <f>IFERROR(Table410[[#This Row],[Dec_2026_Days_Actual]]*Table410[[#This Row],[Cost Boolean]]*(VLOOKUP(Table410[[#This Row],[RATE CONCAT]],Tables!I:N,5,0)),0)</f>
        <v/>
      </c>
      <c r="DK86" s="345">
        <f>Table410[[#This Row],[Dec_2026_F]]-Table410[[#This Row],[Dec_2026_A]]</f>
        <v/>
      </c>
      <c r="DL86" s="103" t="n"/>
      <c r="DM86" s="346" t="n"/>
      <c r="DN86" s="345">
        <f>IFERROR(Table410[[#This Row],[Jan_2027_Days_Forecast]]*Table410[[#This Row],[Cost Boolean]]*(VLOOKUP(Table410[[#This Row],[RATE CONCAT]],Tables!I:N,6,0)),0)</f>
        <v/>
      </c>
      <c r="DO86" s="275" t="n"/>
      <c r="DP86" s="345">
        <f>Table410[[#This Row],[Jan_2027_F]]-Table410[[#This Row],[Jan_2027_A]]</f>
        <v/>
      </c>
      <c r="DQ86" s="345">
        <f>IFERROR(Table410[[#This Row],[Feb_2027_Days_Forecast]]*Table410[[#This Row],[Cost Boolean]]*(VLOOKUP(Table410[[#This Row],[RATE CONCAT]],Tables!I:N,6,0)),0)</f>
        <v/>
      </c>
      <c r="DR86" s="275" t="n"/>
      <c r="DS86" s="345">
        <f>Table410[[#This Row],[Feb_2027_F]]-Table410[[#This Row],[Feb_2027_A]]</f>
        <v/>
      </c>
      <c r="DT86" s="345">
        <f>IFERROR(Table410[[#This Row],[Mar_2027_Days_Forecast]]*Table410[[#This Row],[Cost Boolean]]*(VLOOKUP(Table410[[#This Row],[RATE CONCAT]],Tables!I:N,6,0)),0)</f>
        <v/>
      </c>
      <c r="DU86" s="275" t="n"/>
      <c r="DV86" s="345">
        <f>Table410[[#This Row],[Mar_2027_F]]-Table410[[#This Row],[Mar_2027_A]]</f>
        <v/>
      </c>
      <c r="DW86" s="345">
        <f>IFERROR(Table410[[#This Row],[Apr_2027_Days_Forecast]]*Table410[[#This Row],[Cost Boolean]]*(VLOOKUP(Table410[[#This Row],[RATE CONCAT]],Tables!I:N,6,0)),0)</f>
        <v/>
      </c>
      <c r="DX86" s="275" t="n"/>
      <c r="DY86" s="345">
        <f>Table410[[#This Row],[Apr_2027_F]]-Table410[[#This Row],[Apr_2027_A]]</f>
        <v/>
      </c>
      <c r="DZ86" s="345">
        <f>IFERROR(Table410[[#This Row],[May_2027_Days_Forecast]]*Table410[[#This Row],[Cost Boolean]]*(VLOOKUP(Table410[[#This Row],[RATE CONCAT]],Tables!I:N,6,0)),0)</f>
        <v/>
      </c>
      <c r="EA86" s="275" t="n"/>
      <c r="EB86" s="345">
        <f>Table410[[#This Row],[May_2027_F]]-Table410[[#This Row],[May_2027_A]]</f>
        <v/>
      </c>
      <c r="EC86" s="345">
        <f>IFERROR(Table410[[#This Row],[Jun_2027_Days_Forecast]]*Table410[[#This Row],[Cost Boolean]]*(VLOOKUP(Table410[[#This Row],[RATE CONCAT]],Tables!I:N,6,0)),0)</f>
        <v/>
      </c>
      <c r="ED86" s="275" t="n"/>
      <c r="EE86" s="345">
        <f>Table410[[#This Row],[Jun_2027_F]]-Table410[[#This Row],[Jun_2027_A]]</f>
        <v/>
      </c>
      <c r="EF86" s="345">
        <f>IFERROR(Table410[[#This Row],[Jul_2027_Days_Forecast]]*Table410[[#This Row],[Cost Boolean]]*(VLOOKUP(Table410[[#This Row],[RATE CONCAT]],Tables!I:N,6,0)),0)</f>
        <v/>
      </c>
      <c r="EG86" s="275" t="n"/>
      <c r="EH86" s="345">
        <f>Table410[[#This Row],[Jul_2027_F]]-Table410[[#This Row],[Jul_2027_A]]</f>
        <v/>
      </c>
      <c r="EI86" s="345">
        <f>IFERROR(Table410[[#This Row],[Aug_2027_Days_Forecast]]*Table410[[#This Row],[Cost Boolean]]*(VLOOKUP(Table410[[#This Row],[RATE CONCAT]],Tables!I:N,6,0)),0)</f>
        <v/>
      </c>
      <c r="EJ86" s="275" t="n"/>
      <c r="EK86" s="345">
        <f>Table410[[#This Row],[Aug_2027_F]]-Table410[[#This Row],[Aug_2027_A]]</f>
        <v/>
      </c>
      <c r="EL86" s="345">
        <f>IFERROR(Table410[[#This Row],[Sep_2027_Days_Forecast]]*Table410[[#This Row],[Cost Boolean]]*(VLOOKUP(Table410[[#This Row],[RATE CONCAT]],Tables!I:N,6,0)),0)</f>
        <v/>
      </c>
      <c r="EM86" s="275" t="n"/>
      <c r="EN86" s="345">
        <f>Table410[[#This Row],[Sep_2027_F]]-Table410[[#This Row],[Sep_2027_A]]</f>
        <v/>
      </c>
      <c r="EO86" s="345">
        <f>IFERROR(Table410[[#This Row],[Oct_2027_Days_Forecast]]*Table410[[#This Row],[Cost Boolean]]*(VLOOKUP(Table410[[#This Row],[RATE CONCAT]],Tables!I:N,6,0)),0)</f>
        <v/>
      </c>
      <c r="EP86" s="275" t="n"/>
      <c r="EQ86" s="345">
        <f>Table410[[#This Row],[Oct_2027_F]]-Table410[[#This Row],[Oct_2027_A]]</f>
        <v/>
      </c>
      <c r="ER86" s="345">
        <f>IFERROR(Table410[[#This Row],[Nov_2027_Days_Forecast]]*Table410[[#This Row],[Cost Boolean]]*(VLOOKUP(Table410[[#This Row],[RATE CONCAT]],Tables!I:N,6,0)),0)</f>
        <v/>
      </c>
      <c r="ES86" s="275" t="n"/>
      <c r="ET86" s="345">
        <f>Table410[[#This Row],[Nov_2027_F]]-Table410[[#This Row],[Nov_2027_A]]</f>
        <v/>
      </c>
      <c r="EU86" s="345">
        <f>IFERROR(Table410[[#This Row],[Dec_2027_Days_Forecast]]*Table410[[#This Row],[Cost Boolean]]*(VLOOKUP(Table410[[#This Row],[RATE CONCAT]],Tables!I:N,6,0)),0)</f>
        <v/>
      </c>
      <c r="EV86" s="275" t="n"/>
      <c r="EW86" s="345">
        <f>Table410[[#This Row],[Dec_2027_F]]-Table410[[#This Row],[Dec_2027_A]]</f>
        <v/>
      </c>
    </row>
    <row r="87" ht="1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342">
        <f>CONCATENATE(Table410[[#This Row],[JG]],Table410[[#This Row],[Country]],Table410[[#This Row],[Resource Provider]])</f>
        <v/>
      </c>
      <c r="Z87" s="342">
        <f>VLOOKUP(Table410[[#This Row],[RATE CONCAT]],Tables!I:N,5,0)</f>
        <v/>
      </c>
      <c r="AA87" s="123" t="n"/>
      <c r="AB87" s="130" t="n"/>
      <c r="AC87" s="130" t="n"/>
      <c r="AD87" s="130" t="n"/>
      <c r="AE87" s="130" t="n"/>
      <c r="AF87" s="130" t="n"/>
      <c r="AG87" s="130" t="n"/>
      <c r="AH87" s="130" t="n"/>
      <c r="AI87" s="130" t="n"/>
      <c r="AJ87" s="130" t="n"/>
      <c r="AK87" s="130" t="n"/>
      <c r="AL87" s="130" t="n"/>
      <c r="AM87" s="130" t="n"/>
      <c r="AN87" s="341">
        <f>IFERROR(AVERAGE(Table410[[#This Row],[Jan_2026_Days_Forecast]:[Dec_2026_Days_Forecast]]),0)/19</f>
        <v/>
      </c>
      <c r="AO87" s="341">
        <f>IFERROR(AVERAGE(Table410[[#This Row],[Jan_2026_Days_Actual]:[Dec_2026_Days_Actual]]),0)/19</f>
        <v/>
      </c>
      <c r="AP87" s="84" t="n"/>
      <c r="AQ87" s="84" t="n"/>
      <c r="AR87" s="84" t="n"/>
      <c r="AS87" s="84" t="n"/>
      <c r="AT87" s="84" t="n"/>
      <c r="AU87" s="84" t="n"/>
      <c r="AV87" s="84" t="n"/>
      <c r="AW87" s="84" t="n"/>
      <c r="AX87" s="84" t="n"/>
      <c r="AY87" s="84" t="n"/>
      <c r="AZ87" s="84" t="n"/>
      <c r="BA87" s="84" t="n"/>
      <c r="BB87" s="341">
        <f>IFERROR(AVERAGE(Table410[[#This Row],[Jan_2027_Days_Forecast]:[Dec_2027_Days_Forecast]]),0)</f>
        <v/>
      </c>
      <c r="BC87" s="127" t="n"/>
      <c r="BD87" s="127" t="n"/>
      <c r="BE87" s="127" t="n"/>
      <c r="BF87" s="127" t="n"/>
      <c r="BG87" s="127" t="n"/>
      <c r="BH87" s="127" t="n"/>
      <c r="BI87" s="127" t="n"/>
      <c r="BJ87" s="127" t="n"/>
      <c r="BK87" s="127" t="n"/>
      <c r="BL87" s="127" t="n"/>
      <c r="BM87" s="127" t="n"/>
      <c r="BN87" s="127" t="n"/>
      <c r="BO87" s="176" t="n"/>
      <c r="BP87" s="176" t="n"/>
      <c r="BQ87" s="347">
        <f>IFERROR(Table410[[#This Row],[Jan_2026_Days_Forecast]]*Table410[[#This Row],[Cost Boolean]]*(VLOOKUP(Table410[[#This Row],[RATE CONCAT]],Tables!I:N,5,0)),0)</f>
        <v/>
      </c>
      <c r="BR87" s="347">
        <f>IFERROR(Table410[[#This Row],[Jan_2026_Days_Actual]]*Table410[[#This Row],[Cost Boolean]]*(VLOOKUP(Table410[[#This Row],[RATE CONCAT]],Tables!I:N,5,0)),0)</f>
        <v/>
      </c>
      <c r="BS87" s="342">
        <f>Table410[[#This Row],[Jan_2026_F]]-Table410[[#This Row],[Jan_2026_A]]</f>
        <v/>
      </c>
      <c r="BT87" s="114" t="n"/>
      <c r="BU87" s="342">
        <f>IFERROR(Table410[[#This Row],[Feb_2026_Days_Forecast]]*Table410[[#This Row],[Cost Boolean]]*(VLOOKUP(Table410[[#This Row],[RATE CONCAT]],Tables!I:N,5,0)),0)</f>
        <v/>
      </c>
      <c r="BV87" s="347">
        <f>IFERROR(Table410[[#This Row],[Feb_2026_Days_Actual]]*Table410[[#This Row],[Cost Boolean]]*(VLOOKUP(Table410[[#This Row],[RATE CONCAT]],Tables!I:N,5,0)),0)</f>
        <v/>
      </c>
      <c r="BW87" s="342">
        <f>Table410[[#This Row],[Feb_2026_F]]-Table410[[#This Row],[Feb_2026_A]]</f>
        <v/>
      </c>
      <c r="BX87" s="275" t="n"/>
      <c r="BY87" s="347">
        <f>IFERROR(Table410[[#This Row],[Mar_2026_Days_Forecast]]*Table410[[#This Row],[Cost Boolean]]*(VLOOKUP(Table410[[#This Row],[RATE CONCAT]],Tables!I:N,5,0)),0)</f>
        <v/>
      </c>
      <c r="BZ87" s="347">
        <f>IFERROR(Table410[[#This Row],[Mar_2026_Days_Actual]]*Table410[[#This Row],[Cost Boolean]]*(VLOOKUP(Table410[[#This Row],[RATE CONCAT]],Tables!I:N,5,0)),0)</f>
        <v/>
      </c>
      <c r="CA87" s="347">
        <f>Table410[[#This Row],[Mar_2026_F]]-Table410[[#This Row],[Mar_2026_A]]</f>
        <v/>
      </c>
      <c r="CB87" s="103" t="n"/>
      <c r="CC87" s="347">
        <f>IFERROR(Table410[[#This Row],[Apr_2026_Days_Forecast]]*Table410[[#This Row],[Cost Boolean]]*(VLOOKUP(Table410[[#This Row],[RATE CONCAT]],Tables!I:N,5,0)),0)</f>
        <v/>
      </c>
      <c r="CD87" s="347">
        <f>IFERROR(Table410[[#This Row],[Apr_2026_Days_Actual]]*Table410[[#This Row],[Cost Boolean]]*(VLOOKUP(Table410[[#This Row],[RATE CONCAT]],Tables!I:N,5,0)),0)</f>
        <v/>
      </c>
      <c r="CE87" s="347">
        <f>Table410[[#This Row],[Apr_2026_F]]-Table410[[#This Row],[Apr_2026_A]]</f>
        <v/>
      </c>
      <c r="CF87" s="103" t="n"/>
      <c r="CG87" s="347">
        <f>IFERROR(Table410[[#This Row],[May_2026_Days_Forecast]] *Table410[[#This Row],[Cost Boolean]]*(VLOOKUP(Table410[[#This Row],[RATE CONCAT]],Tables!I:N,5,0)),0)</f>
        <v/>
      </c>
      <c r="CH87" s="347">
        <f>IFERROR(Table410[[#This Row],[May_2026_Days_Actual]]*Table410[[#This Row],[Cost Boolean]]*(VLOOKUP(Table410[[#This Row],[RATE CONCAT]],Tables!I:N,5,0)),0)</f>
        <v/>
      </c>
      <c r="CI87" s="347">
        <f>Table410[[#This Row],[May_2026_F]]-Table410[[#This Row],[May_2026_A]]</f>
        <v/>
      </c>
      <c r="CJ87" s="103" t="n"/>
      <c r="CK87" s="347">
        <f>IFERROR(Table410[[#This Row],[Jun_2026_Days_Forecast]]*Table410[[#This Row],[Cost Boolean]]*(VLOOKUP(Table410[[#This Row],[RATE CONCAT]],Tables!I:N,5,0)),0)</f>
        <v/>
      </c>
      <c r="CL87" s="347">
        <f>IFERROR(Table410[[#This Row],[Jun_2026_Days_Actual]]*Table410[[#This Row],[Cost Boolean]]*(VLOOKUP(Table410[[#This Row],[RATE CONCAT]],Tables!I:N,5,0)),0)</f>
        <v/>
      </c>
      <c r="CM87" s="347">
        <f>Table410[[#This Row],[Jun_2026_F]]-Table410[[#This Row],[Jun_2026_A]]</f>
        <v/>
      </c>
      <c r="CN87" s="103" t="n"/>
      <c r="CO87" s="347">
        <f>IFERROR(Table410[[#This Row],[Jul_2026_Days_Forecast]]*Table410[[#This Row],[Cost Boolean]]*(VLOOKUP(Table410[[#This Row],[RATE CONCAT]],Tables!I:N,5,0)),0)</f>
        <v/>
      </c>
      <c r="CP87" s="347">
        <f>IFERROR(Table410[[#This Row],[Jul_2026_Days_Actual]]*Table410[[#This Row],[Cost Boolean]]*(VLOOKUP(Table410[[#This Row],[RATE CONCAT]],Tables!I:N,5,0)),0)</f>
        <v/>
      </c>
      <c r="CQ87" s="347">
        <f>Table410[[#This Row],[Jul_2026_F]]-Table410[[#This Row],[Jul_2026_A]]</f>
        <v/>
      </c>
      <c r="CR87" s="103" t="n"/>
      <c r="CS87" s="347">
        <f>IFERROR(Table410[[#This Row],[Aug_2026_Days_Forecast]]*Table410[[#This Row],[Cost Boolean]]*(VLOOKUP(Table410[[#This Row],[RATE CONCAT]],Tables!I:N,5,0)),0)</f>
        <v/>
      </c>
      <c r="CT87" s="347">
        <f>IFERROR(Table410[[#This Row],[Aug_2026_Days_Actual]]*Table410[[#This Row],[Cost Boolean]]*(VLOOKUP(Table410[[#This Row],[RATE CONCAT]],Tables!I:N,5,0)),0)</f>
        <v/>
      </c>
      <c r="CU87" s="347">
        <f>Table410[[#This Row],[Aug_2026_F]]-Table410[[#This Row],[Aug_2026_A]]</f>
        <v/>
      </c>
      <c r="CV87" s="103" t="n"/>
      <c r="CW87" s="347">
        <f>IFERROR(Table410[[#This Row],[Sep_2026_Days_Forecast]]*Table410[[#This Row],[Cost Boolean]]*(VLOOKUP(Table410[[#This Row],[RATE CONCAT]],Tables!I:N,5,0)),0)</f>
        <v/>
      </c>
      <c r="CX87" s="347">
        <f>IFERROR(Table410[[#This Row],[Sep_2026_Days_Actual]]*Table410[[#This Row],[Cost Boolean]]*(VLOOKUP(Table410[[#This Row],[RATE CONCAT]],Tables!I:N,5,0)),0)</f>
        <v/>
      </c>
      <c r="CY87" s="347">
        <f>Table410[[#This Row],[Sep_2026_F]]-Table410[[#This Row],[Sep_2026_A]]</f>
        <v/>
      </c>
      <c r="CZ87" s="103" t="n"/>
      <c r="DA87" s="347">
        <f>IFERROR(Table410[[#This Row],[Oct_2026_Days_Forecast]]*Table410[[#This Row],[Cost Boolean]]*(VLOOKUP(Table410[[#This Row],[RATE CONCAT]],Tables!I:N,5,0)),0)</f>
        <v/>
      </c>
      <c r="DB87" s="347">
        <f>IFERROR(Table410[[#This Row],[Oct_2026_Days_Actual]]*Table410[[#This Row],[Cost Boolean]]*(VLOOKUP(Table410[[#This Row],[RATE CONCAT]],Tables!I:N,5,0)),0)</f>
        <v/>
      </c>
      <c r="DC87" s="347">
        <f>Table410[[#This Row],[Oct_2026_F]]-Table410[[#This Row],[Oct_2026_A]]</f>
        <v/>
      </c>
      <c r="DD87" s="103" t="n"/>
      <c r="DE87" s="347">
        <f>IFERROR(Table410[[#This Row],[Nov_2026_Days_Forecast]]*Table410[[#This Row],[Cost Boolean]]*(VLOOKUP(Table410[[#This Row],[RATE CONCAT]],Tables!I:N,5,0)),0)</f>
        <v/>
      </c>
      <c r="DF87" s="347">
        <f>IFERROR(Table410[[#This Row],[Nov_2026_Days_Actual]]*Table410[[#This Row],[Cost Boolean]]*(VLOOKUP(Table410[[#This Row],[RATE CONCAT]],Tables!I:N,5,0)),0)</f>
        <v/>
      </c>
      <c r="DG87" s="347">
        <f>Table410[[#This Row],[Nov_2026_F]]-Table410[[#This Row],[Nov_2026_A]]</f>
        <v/>
      </c>
      <c r="DH87" s="103" t="n"/>
      <c r="DI87" s="347">
        <f>IFERROR(Table410[[#This Row],[Dec_2026_Days_Forecast]]*Table410[[#This Row],[Cost Boolean]]*(VLOOKUP(Table410[[#This Row],[RATE CONCAT]],Tables!I:N,5,0)),0)</f>
        <v/>
      </c>
      <c r="DJ87" s="347">
        <f>IFERROR(Table410[[#This Row],[Dec_2026_Days_Actual]]*Table410[[#This Row],[Cost Boolean]]*(VLOOKUP(Table410[[#This Row],[RATE CONCAT]],Tables!I:N,5,0)),0)</f>
        <v/>
      </c>
      <c r="DK87" s="348">
        <f>Table410[[#This Row],[Dec_2026_F]]-Table410[[#This Row],[Dec_2026_A]]</f>
        <v/>
      </c>
      <c r="DL87" s="103" t="n"/>
      <c r="DM87" s="346" t="n"/>
      <c r="DN87" s="347">
        <f>IFERROR(Table410[[#This Row],[Jan_2027_Days_Forecast]]*Table410[[#This Row],[Cost Boolean]]*(VLOOKUP(Table410[[#This Row],[RATE CONCAT]],Tables!I:N,6,0)),0)</f>
        <v/>
      </c>
      <c r="DO87" s="275" t="n"/>
      <c r="DP87" s="347">
        <f>Table410[[#This Row],[Jan_2027_F]]-Table410[[#This Row],[Jan_2027_A]]</f>
        <v/>
      </c>
      <c r="DQ87" s="347">
        <f>IFERROR(Table410[[#This Row],[Feb_2027_Days_Forecast]]*Table410[[#This Row],[Cost Boolean]]*(VLOOKUP(Table410[[#This Row],[RATE CONCAT]],Tables!I:N,6,0)),0)</f>
        <v/>
      </c>
      <c r="DR87" s="275" t="n"/>
      <c r="DS87" s="347">
        <f>Table410[[#This Row],[Feb_2027_F]]-Table410[[#This Row],[Feb_2027_A]]</f>
        <v/>
      </c>
      <c r="DT87" s="347">
        <f>IFERROR(Table410[[#This Row],[Mar_2027_Days_Forecast]]*Table410[[#This Row],[Cost Boolean]]*(VLOOKUP(Table410[[#This Row],[RATE CONCAT]],Tables!I:N,6,0)),0)</f>
        <v/>
      </c>
      <c r="DU87" s="275" t="n"/>
      <c r="DV87" s="347">
        <f>Table410[[#This Row],[Mar_2027_F]]-Table410[[#This Row],[Mar_2027_A]]</f>
        <v/>
      </c>
      <c r="DW87" s="347">
        <f>IFERROR(Table410[[#This Row],[Apr_2027_Days_Forecast]]*Table410[[#This Row],[Cost Boolean]]*(VLOOKUP(Table410[[#This Row],[RATE CONCAT]],Tables!I:N,6,0)),0)</f>
        <v/>
      </c>
      <c r="DX87" s="275" t="n"/>
      <c r="DY87" s="347">
        <f>Table410[[#This Row],[Apr_2027_F]]-Table410[[#This Row],[Apr_2027_A]]</f>
        <v/>
      </c>
      <c r="DZ87" s="347">
        <f>IFERROR(Table410[[#This Row],[May_2027_Days_Forecast]]*Table410[[#This Row],[Cost Boolean]]*(VLOOKUP(Table410[[#This Row],[RATE CONCAT]],Tables!I:N,6,0)),0)</f>
        <v/>
      </c>
      <c r="EA87" s="275" t="n"/>
      <c r="EB87" s="347">
        <f>Table410[[#This Row],[May_2027_F]]-Table410[[#This Row],[May_2027_A]]</f>
        <v/>
      </c>
      <c r="EC87" s="347">
        <f>IFERROR(Table410[[#This Row],[Jun_2027_Days_Forecast]]*Table410[[#This Row],[Cost Boolean]]*(VLOOKUP(Table410[[#This Row],[RATE CONCAT]],Tables!I:N,6,0)),0)</f>
        <v/>
      </c>
      <c r="ED87" s="275" t="n"/>
      <c r="EE87" s="347">
        <f>Table410[[#This Row],[Jun_2027_F]]-Table410[[#This Row],[Jun_2027_A]]</f>
        <v/>
      </c>
      <c r="EF87" s="347">
        <f>IFERROR(Table410[[#This Row],[Jul_2027_Days_Forecast]]*Table410[[#This Row],[Cost Boolean]]*(VLOOKUP(Table410[[#This Row],[RATE CONCAT]],Tables!I:N,6,0)),0)</f>
        <v/>
      </c>
      <c r="EG87" s="275" t="n"/>
      <c r="EH87" s="347">
        <f>Table410[[#This Row],[Jul_2027_F]]-Table410[[#This Row],[Jul_2027_A]]</f>
        <v/>
      </c>
      <c r="EI87" s="347">
        <f>IFERROR(Table410[[#This Row],[Aug_2027_Days_Forecast]]*Table410[[#This Row],[Cost Boolean]]*(VLOOKUP(Table410[[#This Row],[RATE CONCAT]],Tables!I:N,6,0)),0)</f>
        <v/>
      </c>
      <c r="EJ87" s="275" t="n"/>
      <c r="EK87" s="347">
        <f>Table410[[#This Row],[Aug_2027_F]]-Table410[[#This Row],[Aug_2027_A]]</f>
        <v/>
      </c>
      <c r="EL87" s="347">
        <f>IFERROR(Table410[[#This Row],[Sep_2027_Days_Forecast]]*Table410[[#This Row],[Cost Boolean]]*(VLOOKUP(Table410[[#This Row],[RATE CONCAT]],Tables!I:N,6,0)),0)</f>
        <v/>
      </c>
      <c r="EM87" s="275" t="n"/>
      <c r="EN87" s="347">
        <f>Table410[[#This Row],[Sep_2027_F]]-Table410[[#This Row],[Sep_2027_A]]</f>
        <v/>
      </c>
      <c r="EO87" s="347">
        <f>IFERROR(Table410[[#This Row],[Oct_2027_Days_Forecast]]*Table410[[#This Row],[Cost Boolean]]*(VLOOKUP(Table410[[#This Row],[RATE CONCAT]],Tables!I:N,6,0)),0)</f>
        <v/>
      </c>
      <c r="EP87" s="275" t="n"/>
      <c r="EQ87" s="347">
        <f>Table410[[#This Row],[Oct_2027_F]]-Table410[[#This Row],[Oct_2027_A]]</f>
        <v/>
      </c>
      <c r="ER87" s="347">
        <f>IFERROR(Table410[[#This Row],[Nov_2027_Days_Forecast]]*Table410[[#This Row],[Cost Boolean]]*(VLOOKUP(Table410[[#This Row],[RATE CONCAT]],Tables!I:N,6,0)),0)</f>
        <v/>
      </c>
      <c r="ES87" s="275" t="n"/>
      <c r="ET87" s="347">
        <f>Table410[[#This Row],[Nov_2027_F]]-Table410[[#This Row],[Nov_2027_A]]</f>
        <v/>
      </c>
      <c r="EU87" s="347">
        <f>IFERROR(Table410[[#This Row],[Dec_2027_Days_Forecast]]*Table410[[#This Row],[Cost Boolean]]*(VLOOKUP(Table410[[#This Row],[RATE CONCAT]],Tables!I:N,6,0)),0)</f>
        <v/>
      </c>
      <c r="EV87" s="275" t="n"/>
      <c r="EW87" s="347">
        <f>Table410[[#This Row],[Dec_2027_F]]-Table410[[#This Row],[Dec_2027_A]]</f>
        <v/>
      </c>
    </row>
    <row r="88" ht="1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338">
        <f>CONCATENATE(Table410[[#This Row],[JG]],Table410[[#This Row],[Country]],Table410[[#This Row],[Resource Provider]])</f>
        <v/>
      </c>
      <c r="Z88" s="338">
        <f>VLOOKUP(Table410[[#This Row],[RATE CONCAT]],Tables!I:N,5,0)</f>
        <v/>
      </c>
      <c r="AA88" s="123" t="n"/>
      <c r="AB88" s="130" t="n"/>
      <c r="AC88" s="130" t="n"/>
      <c r="AD88" s="130" t="n"/>
      <c r="AE88" s="130" t="n"/>
      <c r="AF88" s="130" t="n"/>
      <c r="AG88" s="130" t="n"/>
      <c r="AH88" s="130" t="n"/>
      <c r="AI88" s="130" t="n"/>
      <c r="AJ88" s="130" t="n"/>
      <c r="AK88" s="130" t="n"/>
      <c r="AL88" s="130" t="n"/>
      <c r="AM88" s="130" t="n"/>
      <c r="AN88" s="341">
        <f>IFERROR(AVERAGE(Table410[[#This Row],[Jan_2026_Days_Forecast]:[Dec_2026_Days_Forecast]]),0)/19</f>
        <v/>
      </c>
      <c r="AO88" s="341">
        <f>IFERROR(AVERAGE(Table410[[#This Row],[Jan_2026_Days_Actual]:[Dec_2026_Days_Actual]]),0)/19</f>
        <v/>
      </c>
      <c r="AP88" s="84" t="n"/>
      <c r="AQ88" s="84" t="n"/>
      <c r="AR88" s="84" t="n"/>
      <c r="AS88" s="84" t="n"/>
      <c r="AT88" s="84" t="n"/>
      <c r="AU88" s="84" t="n"/>
      <c r="AV88" s="84" t="n"/>
      <c r="AW88" s="84" t="n"/>
      <c r="AX88" s="84" t="n"/>
      <c r="AY88" s="84" t="n"/>
      <c r="AZ88" s="84" t="n"/>
      <c r="BA88" s="84" t="n"/>
      <c r="BB88" s="341">
        <f>IFERROR(AVERAGE(Table410[[#This Row],[Jan_2027_Days_Forecast]:[Dec_2027_Days_Forecast]]),0)</f>
        <v/>
      </c>
      <c r="BC88" s="127" t="n"/>
      <c r="BD88" s="127" t="n"/>
      <c r="BE88" s="127" t="n"/>
      <c r="BF88" s="127" t="n"/>
      <c r="BG88" s="127" t="n"/>
      <c r="BH88" s="127" t="n"/>
      <c r="BI88" s="127" t="n"/>
      <c r="BJ88" s="127" t="n"/>
      <c r="BK88" s="127" t="n"/>
      <c r="BL88" s="127" t="n"/>
      <c r="BM88" s="127" t="n"/>
      <c r="BN88" s="127" t="n"/>
      <c r="BO88" s="176" t="n"/>
      <c r="BP88" s="176" t="n"/>
      <c r="BQ88" s="345">
        <f>IFERROR(Table410[[#This Row],[Jan_2026_Days_Forecast]]*Table410[[#This Row],[Cost Boolean]]*(VLOOKUP(Table410[[#This Row],[RATE CONCAT]],Tables!I:N,5,0)),0)</f>
        <v/>
      </c>
      <c r="BR88" s="345">
        <f>IFERROR(Table410[[#This Row],[Jan_2026_Days_Actual]]*Table410[[#This Row],[Cost Boolean]]*(VLOOKUP(Table410[[#This Row],[RATE CONCAT]],Tables!I:N,5,0)),0)</f>
        <v/>
      </c>
      <c r="BS88" s="338">
        <f>Table410[[#This Row],[Jan_2026_F]]-Table410[[#This Row],[Jan_2026_A]]</f>
        <v/>
      </c>
      <c r="BT88" s="114" t="n"/>
      <c r="BU88" s="338">
        <f>IFERROR(Table410[[#This Row],[Feb_2026_Days_Forecast]]*Table410[[#This Row],[Cost Boolean]]*(VLOOKUP(Table410[[#This Row],[RATE CONCAT]],Tables!I:N,5,0)),0)</f>
        <v/>
      </c>
      <c r="BV88" s="345">
        <f>IFERROR(Table410[[#This Row],[Feb_2026_Days_Actual]]*Table410[[#This Row],[Cost Boolean]]*(VLOOKUP(Table410[[#This Row],[RATE CONCAT]],Tables!I:N,5,0)),0)</f>
        <v/>
      </c>
      <c r="BW88" s="338">
        <f>Table410[[#This Row],[Feb_2026_F]]-Table410[[#This Row],[Feb_2026_A]]</f>
        <v/>
      </c>
      <c r="BX88" s="275" t="n"/>
      <c r="BY88" s="345">
        <f>IFERROR(Table410[[#This Row],[Mar_2026_Days_Forecast]]*Table410[[#This Row],[Cost Boolean]]*(VLOOKUP(Table410[[#This Row],[RATE CONCAT]],Tables!I:N,5,0)),0)</f>
        <v/>
      </c>
      <c r="BZ88" s="345">
        <f>IFERROR(Table410[[#This Row],[Mar_2026_Days_Actual]]*Table410[[#This Row],[Cost Boolean]]*(VLOOKUP(Table410[[#This Row],[RATE CONCAT]],Tables!I:N,5,0)),0)</f>
        <v/>
      </c>
      <c r="CA88" s="345">
        <f>Table410[[#This Row],[Mar_2026_F]]-Table410[[#This Row],[Mar_2026_A]]</f>
        <v/>
      </c>
      <c r="CB88" s="103" t="n"/>
      <c r="CC88" s="345">
        <f>IFERROR(Table410[[#This Row],[Apr_2026_Days_Forecast]]*Table410[[#This Row],[Cost Boolean]]*(VLOOKUP(Table410[[#This Row],[RATE CONCAT]],Tables!I:N,5,0)),0)</f>
        <v/>
      </c>
      <c r="CD88" s="345">
        <f>IFERROR(Table410[[#This Row],[Apr_2026_Days_Actual]]*Table410[[#This Row],[Cost Boolean]]*(VLOOKUP(Table410[[#This Row],[RATE CONCAT]],Tables!I:N,5,0)),0)</f>
        <v/>
      </c>
      <c r="CE88" s="345">
        <f>Table410[[#This Row],[Apr_2026_F]]-Table410[[#This Row],[Apr_2026_A]]</f>
        <v/>
      </c>
      <c r="CF88" s="103" t="n"/>
      <c r="CG88" s="345">
        <f>IFERROR(Table410[[#This Row],[May_2026_Days_Forecast]] *Table410[[#This Row],[Cost Boolean]]*(VLOOKUP(Table410[[#This Row],[RATE CONCAT]],Tables!I:N,5,0)),0)</f>
        <v/>
      </c>
      <c r="CH88" s="345">
        <f>IFERROR(Table410[[#This Row],[May_2026_Days_Actual]]*Table410[[#This Row],[Cost Boolean]]*(VLOOKUP(Table410[[#This Row],[RATE CONCAT]],Tables!I:N,5,0)),0)</f>
        <v/>
      </c>
      <c r="CI88" s="345">
        <f>Table410[[#This Row],[May_2026_F]]-Table410[[#This Row],[May_2026_A]]</f>
        <v/>
      </c>
      <c r="CJ88" s="103" t="n"/>
      <c r="CK88" s="345">
        <f>IFERROR(Table410[[#This Row],[Jun_2026_Days_Forecast]]*Table410[[#This Row],[Cost Boolean]]*(VLOOKUP(Table410[[#This Row],[RATE CONCAT]],Tables!I:N,5,0)),0)</f>
        <v/>
      </c>
      <c r="CL88" s="345">
        <f>IFERROR(Table410[[#This Row],[Jun_2026_Days_Actual]]*Table410[[#This Row],[Cost Boolean]]*(VLOOKUP(Table410[[#This Row],[RATE CONCAT]],Tables!I:N,5,0)),0)</f>
        <v/>
      </c>
      <c r="CM88" s="345">
        <f>Table410[[#This Row],[Jun_2026_F]]-Table410[[#This Row],[Jun_2026_A]]</f>
        <v/>
      </c>
      <c r="CN88" s="103" t="n"/>
      <c r="CO88" s="345">
        <f>IFERROR(Table410[[#This Row],[Jul_2026_Days_Forecast]]*Table410[[#This Row],[Cost Boolean]]*(VLOOKUP(Table410[[#This Row],[RATE CONCAT]],Tables!I:N,5,0)),0)</f>
        <v/>
      </c>
      <c r="CP88" s="345">
        <f>IFERROR(Table410[[#This Row],[Jul_2026_Days_Actual]]*Table410[[#This Row],[Cost Boolean]]*(VLOOKUP(Table410[[#This Row],[RATE CONCAT]],Tables!I:N,5,0)),0)</f>
        <v/>
      </c>
      <c r="CQ88" s="345">
        <f>Table410[[#This Row],[Jul_2026_F]]-Table410[[#This Row],[Jul_2026_A]]</f>
        <v/>
      </c>
      <c r="CR88" s="103" t="n"/>
      <c r="CS88" s="345">
        <f>IFERROR(Table410[[#This Row],[Aug_2026_Days_Forecast]]*Table410[[#This Row],[Cost Boolean]]*(VLOOKUP(Table410[[#This Row],[RATE CONCAT]],Tables!I:N,5,0)),0)</f>
        <v/>
      </c>
      <c r="CT88" s="345">
        <f>IFERROR(Table410[[#This Row],[Aug_2026_Days_Actual]]*Table410[[#This Row],[Cost Boolean]]*(VLOOKUP(Table410[[#This Row],[RATE CONCAT]],Tables!I:N,5,0)),0)</f>
        <v/>
      </c>
      <c r="CU88" s="345">
        <f>Table410[[#This Row],[Aug_2026_F]]-Table410[[#This Row],[Aug_2026_A]]</f>
        <v/>
      </c>
      <c r="CV88" s="103" t="n"/>
      <c r="CW88" s="345">
        <f>IFERROR(Table410[[#This Row],[Sep_2026_Days_Forecast]]*Table410[[#This Row],[Cost Boolean]]*(VLOOKUP(Table410[[#This Row],[RATE CONCAT]],Tables!I:N,5,0)),0)</f>
        <v/>
      </c>
      <c r="CX88" s="345">
        <f>IFERROR(Table410[[#This Row],[Sep_2026_Days_Actual]]*Table410[[#This Row],[Cost Boolean]]*(VLOOKUP(Table410[[#This Row],[RATE CONCAT]],Tables!I:N,5,0)),0)</f>
        <v/>
      </c>
      <c r="CY88" s="345">
        <f>Table410[[#This Row],[Sep_2026_F]]-Table410[[#This Row],[Sep_2026_A]]</f>
        <v/>
      </c>
      <c r="CZ88" s="103" t="n"/>
      <c r="DA88" s="345">
        <f>IFERROR(Table410[[#This Row],[Oct_2026_Days_Forecast]]*Table410[[#This Row],[Cost Boolean]]*(VLOOKUP(Table410[[#This Row],[RATE CONCAT]],Tables!I:N,5,0)),0)</f>
        <v/>
      </c>
      <c r="DB88" s="345">
        <f>IFERROR(Table410[[#This Row],[Oct_2026_Days_Actual]]*Table410[[#This Row],[Cost Boolean]]*(VLOOKUP(Table410[[#This Row],[RATE CONCAT]],Tables!I:N,5,0)),0)</f>
        <v/>
      </c>
      <c r="DC88" s="345">
        <f>Table410[[#This Row],[Oct_2026_F]]-Table410[[#This Row],[Oct_2026_A]]</f>
        <v/>
      </c>
      <c r="DD88" s="103" t="n"/>
      <c r="DE88" s="345">
        <f>IFERROR(Table410[[#This Row],[Nov_2026_Days_Forecast]]*Table410[[#This Row],[Cost Boolean]]*(VLOOKUP(Table410[[#This Row],[RATE CONCAT]],Tables!I:N,5,0)),0)</f>
        <v/>
      </c>
      <c r="DF88" s="345">
        <f>IFERROR(Table410[[#This Row],[Nov_2026_Days_Actual]]*Table410[[#This Row],[Cost Boolean]]*(VLOOKUP(Table410[[#This Row],[RATE CONCAT]],Tables!I:N,5,0)),0)</f>
        <v/>
      </c>
      <c r="DG88" s="345">
        <f>Table410[[#This Row],[Nov_2026_F]]-Table410[[#This Row],[Nov_2026_A]]</f>
        <v/>
      </c>
      <c r="DH88" s="103" t="n"/>
      <c r="DI88" s="345">
        <f>IFERROR(Table410[[#This Row],[Dec_2026_Days_Forecast]]*Table410[[#This Row],[Cost Boolean]]*(VLOOKUP(Table410[[#This Row],[RATE CONCAT]],Tables!I:N,5,0)),0)</f>
        <v/>
      </c>
      <c r="DJ88" s="345">
        <f>IFERROR(Table410[[#This Row],[Dec_2026_Days_Actual]]*Table410[[#This Row],[Cost Boolean]]*(VLOOKUP(Table410[[#This Row],[RATE CONCAT]],Tables!I:N,5,0)),0)</f>
        <v/>
      </c>
      <c r="DK88" s="349">
        <f>Table410[[#This Row],[Dec_2026_F]]-Table410[[#This Row],[Dec_2026_A]]</f>
        <v/>
      </c>
      <c r="DL88" s="103" t="n"/>
      <c r="DM88" s="346" t="n"/>
      <c r="DN88" s="345">
        <f>IFERROR(Table410[[#This Row],[Jan_2027_Days_Forecast]]*Table410[[#This Row],[Cost Boolean]]*(VLOOKUP(Table410[[#This Row],[RATE CONCAT]],Tables!I:N,6,0)),0)</f>
        <v/>
      </c>
      <c r="DO88" s="275" t="n"/>
      <c r="DP88" s="345">
        <f>Table410[[#This Row],[Jan_2027_F]]-Table410[[#This Row],[Jan_2027_A]]</f>
        <v/>
      </c>
      <c r="DQ88" s="345">
        <f>IFERROR(Table410[[#This Row],[Feb_2027_Days_Forecast]]*Table410[[#This Row],[Cost Boolean]]*(VLOOKUP(Table410[[#This Row],[RATE CONCAT]],Tables!I:N,6,0)),0)</f>
        <v/>
      </c>
      <c r="DR88" s="275" t="n"/>
      <c r="DS88" s="345">
        <f>Table410[[#This Row],[Feb_2027_F]]-Table410[[#This Row],[Feb_2027_A]]</f>
        <v/>
      </c>
      <c r="DT88" s="345">
        <f>IFERROR(Table410[[#This Row],[Mar_2027_Days_Forecast]]*Table410[[#This Row],[Cost Boolean]]*(VLOOKUP(Table410[[#This Row],[RATE CONCAT]],Tables!I:N,6,0)),0)</f>
        <v/>
      </c>
      <c r="DU88" s="275" t="n"/>
      <c r="DV88" s="345">
        <f>Table410[[#This Row],[Mar_2027_F]]-Table410[[#This Row],[Mar_2027_A]]</f>
        <v/>
      </c>
      <c r="DW88" s="345">
        <f>IFERROR(Table410[[#This Row],[Apr_2027_Days_Forecast]]*Table410[[#This Row],[Cost Boolean]]*(VLOOKUP(Table410[[#This Row],[RATE CONCAT]],Tables!I:N,6,0)),0)</f>
        <v/>
      </c>
      <c r="DX88" s="275" t="n"/>
      <c r="DY88" s="345">
        <f>Table410[[#This Row],[Apr_2027_F]]-Table410[[#This Row],[Apr_2027_A]]</f>
        <v/>
      </c>
      <c r="DZ88" s="345">
        <f>IFERROR(Table410[[#This Row],[May_2027_Days_Forecast]]*Table410[[#This Row],[Cost Boolean]]*(VLOOKUP(Table410[[#This Row],[RATE CONCAT]],Tables!I:N,6,0)),0)</f>
        <v/>
      </c>
      <c r="EA88" s="275" t="n"/>
      <c r="EB88" s="345">
        <f>Table410[[#This Row],[May_2027_F]]-Table410[[#This Row],[May_2027_A]]</f>
        <v/>
      </c>
      <c r="EC88" s="345">
        <f>IFERROR(Table410[[#This Row],[Jun_2027_Days_Forecast]]*Table410[[#This Row],[Cost Boolean]]*(VLOOKUP(Table410[[#This Row],[RATE CONCAT]],Tables!I:N,6,0)),0)</f>
        <v/>
      </c>
      <c r="ED88" s="275" t="n"/>
      <c r="EE88" s="345">
        <f>Table410[[#This Row],[Jun_2027_F]]-Table410[[#This Row],[Jun_2027_A]]</f>
        <v/>
      </c>
      <c r="EF88" s="345">
        <f>IFERROR(Table410[[#This Row],[Jul_2027_Days_Forecast]]*Table410[[#This Row],[Cost Boolean]]*(VLOOKUP(Table410[[#This Row],[RATE CONCAT]],Tables!I:N,6,0)),0)</f>
        <v/>
      </c>
      <c r="EG88" s="275" t="n"/>
      <c r="EH88" s="345">
        <f>Table410[[#This Row],[Jul_2027_F]]-Table410[[#This Row],[Jul_2027_A]]</f>
        <v/>
      </c>
      <c r="EI88" s="345">
        <f>IFERROR(Table410[[#This Row],[Aug_2027_Days_Forecast]]*Table410[[#This Row],[Cost Boolean]]*(VLOOKUP(Table410[[#This Row],[RATE CONCAT]],Tables!I:N,6,0)),0)</f>
        <v/>
      </c>
      <c r="EJ88" s="275" t="n"/>
      <c r="EK88" s="345">
        <f>Table410[[#This Row],[Aug_2027_F]]-Table410[[#This Row],[Aug_2027_A]]</f>
        <v/>
      </c>
      <c r="EL88" s="345">
        <f>IFERROR(Table410[[#This Row],[Sep_2027_Days_Forecast]]*Table410[[#This Row],[Cost Boolean]]*(VLOOKUP(Table410[[#This Row],[RATE CONCAT]],Tables!I:N,6,0)),0)</f>
        <v/>
      </c>
      <c r="EM88" s="275" t="n"/>
      <c r="EN88" s="345">
        <f>Table410[[#This Row],[Sep_2027_F]]-Table410[[#This Row],[Sep_2027_A]]</f>
        <v/>
      </c>
      <c r="EO88" s="345">
        <f>IFERROR(Table410[[#This Row],[Oct_2027_Days_Forecast]]*Table410[[#This Row],[Cost Boolean]]*(VLOOKUP(Table410[[#This Row],[RATE CONCAT]],Tables!I:N,6,0)),0)</f>
        <v/>
      </c>
      <c r="EP88" s="275" t="n"/>
      <c r="EQ88" s="345">
        <f>Table410[[#This Row],[Oct_2027_F]]-Table410[[#This Row],[Oct_2027_A]]</f>
        <v/>
      </c>
      <c r="ER88" s="345">
        <f>IFERROR(Table410[[#This Row],[Nov_2027_Days_Forecast]]*Table410[[#This Row],[Cost Boolean]]*(VLOOKUP(Table410[[#This Row],[RATE CONCAT]],Tables!I:N,6,0)),0)</f>
        <v/>
      </c>
      <c r="ES88" s="275" t="n"/>
      <c r="ET88" s="345">
        <f>Table410[[#This Row],[Nov_2027_F]]-Table410[[#This Row],[Nov_2027_A]]</f>
        <v/>
      </c>
      <c r="EU88" s="345">
        <f>IFERROR(Table410[[#This Row],[Dec_2027_Days_Forecast]]*Table410[[#This Row],[Cost Boolean]]*(VLOOKUP(Table410[[#This Row],[RATE CONCAT]],Tables!I:N,6,0)),0)</f>
        <v/>
      </c>
      <c r="EV88" s="275" t="n"/>
      <c r="EW88" s="345">
        <f>Table410[[#This Row],[Dec_2027_F]]-Table410[[#This Row],[Dec_2027_A]]</f>
        <v/>
      </c>
    </row>
    <row r="89" ht="1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342">
        <f>CONCATENATE(Table410[[#This Row],[JG]],Table410[[#This Row],[Country]],Table410[[#This Row],[Resource Provider]])</f>
        <v/>
      </c>
      <c r="Z89" s="342">
        <f>VLOOKUP(Table410[[#This Row],[RATE CONCAT]],Tables!I:N,5,0)</f>
        <v/>
      </c>
      <c r="AA89" s="123" t="n"/>
      <c r="AB89" s="130" t="n"/>
      <c r="AC89" s="130" t="n"/>
      <c r="AD89" s="130" t="n"/>
      <c r="AE89" s="130" t="n"/>
      <c r="AF89" s="130" t="n"/>
      <c r="AG89" s="130" t="n"/>
      <c r="AH89" s="130" t="n"/>
      <c r="AI89" s="130" t="n"/>
      <c r="AJ89" s="130" t="n"/>
      <c r="AK89" s="130" t="n"/>
      <c r="AL89" s="130" t="n"/>
      <c r="AM89" s="130" t="n"/>
      <c r="AN89" s="341">
        <f>IFERROR(AVERAGE(Table410[[#This Row],[Jan_2026_Days_Forecast]:[Dec_2026_Days_Forecast]]),0)/19</f>
        <v/>
      </c>
      <c r="AO89" s="341">
        <f>IFERROR(AVERAGE(Table410[[#This Row],[Jan_2026_Days_Actual]:[Dec_2026_Days_Actual]]),0)/19</f>
        <v/>
      </c>
      <c r="AP89" s="84" t="n"/>
      <c r="AQ89" s="84" t="n"/>
      <c r="AR89" s="84" t="n"/>
      <c r="AS89" s="84" t="n"/>
      <c r="AT89" s="84" t="n"/>
      <c r="AU89" s="84" t="n"/>
      <c r="AV89" s="84" t="n"/>
      <c r="AW89" s="84" t="n"/>
      <c r="AX89" s="84" t="n"/>
      <c r="AY89" s="84" t="n"/>
      <c r="AZ89" s="84" t="n"/>
      <c r="BA89" s="84" t="n"/>
      <c r="BB89" s="341">
        <f>IFERROR(AVERAGE(Table410[[#This Row],[Jan_2027_Days_Forecast]:[Dec_2027_Days_Forecast]]),0)</f>
        <v/>
      </c>
      <c r="BC89" s="127" t="n"/>
      <c r="BD89" s="127" t="n"/>
      <c r="BE89" s="127" t="n"/>
      <c r="BF89" s="127" t="n"/>
      <c r="BG89" s="127" t="n"/>
      <c r="BH89" s="127" t="n"/>
      <c r="BI89" s="127" t="n"/>
      <c r="BJ89" s="127" t="n"/>
      <c r="BK89" s="127" t="n"/>
      <c r="BL89" s="127" t="n"/>
      <c r="BM89" s="127" t="n"/>
      <c r="BN89" s="127" t="n"/>
      <c r="BO89" s="176" t="n"/>
      <c r="BP89" s="176" t="n"/>
      <c r="BQ89" s="347">
        <f>IFERROR(Table410[[#This Row],[Jan_2026_Days_Forecast]]*Table410[[#This Row],[Cost Boolean]]*(VLOOKUP(Table410[[#This Row],[RATE CONCAT]],Tables!I:N,5,0)),0)</f>
        <v/>
      </c>
      <c r="BR89" s="347">
        <f>IFERROR(Table410[[#This Row],[Jan_2026_Days_Actual]]*Table410[[#This Row],[Cost Boolean]]*(VLOOKUP(Table410[[#This Row],[RATE CONCAT]],Tables!I:N,5,0)),0)</f>
        <v/>
      </c>
      <c r="BS89" s="342">
        <f>Table410[[#This Row],[Jan_2026_F]]-Table410[[#This Row],[Jan_2026_A]]</f>
        <v/>
      </c>
      <c r="BT89" s="114" t="n"/>
      <c r="BU89" s="342">
        <f>IFERROR(Table410[[#This Row],[Feb_2026_Days_Forecast]]*Table410[[#This Row],[Cost Boolean]]*(VLOOKUP(Table410[[#This Row],[RATE CONCAT]],Tables!I:N,5,0)),0)</f>
        <v/>
      </c>
      <c r="BV89" s="347">
        <f>IFERROR(Table410[[#This Row],[Feb_2026_Days_Actual]]*Table410[[#This Row],[Cost Boolean]]*(VLOOKUP(Table410[[#This Row],[RATE CONCAT]],Tables!I:N,5,0)),0)</f>
        <v/>
      </c>
      <c r="BW89" s="342">
        <f>Table410[[#This Row],[Feb_2026_F]]-Table410[[#This Row],[Feb_2026_A]]</f>
        <v/>
      </c>
      <c r="BX89" s="275" t="n"/>
      <c r="BY89" s="347">
        <f>IFERROR(Table410[[#This Row],[Mar_2026_Days_Forecast]]*Table410[[#This Row],[Cost Boolean]]*(VLOOKUP(Table410[[#This Row],[RATE CONCAT]],Tables!I:N,5,0)),0)</f>
        <v/>
      </c>
      <c r="BZ89" s="347">
        <f>IFERROR(Table410[[#This Row],[Mar_2026_Days_Actual]]*Table410[[#This Row],[Cost Boolean]]*(VLOOKUP(Table410[[#This Row],[RATE CONCAT]],Tables!I:N,5,0)),0)</f>
        <v/>
      </c>
      <c r="CA89" s="347">
        <f>Table410[[#This Row],[Mar_2026_F]]-Table410[[#This Row],[Mar_2026_A]]</f>
        <v/>
      </c>
      <c r="CB89" s="103" t="n"/>
      <c r="CC89" s="347">
        <f>IFERROR(Table410[[#This Row],[Apr_2026_Days_Forecast]]*Table410[[#This Row],[Cost Boolean]]*(VLOOKUP(Table410[[#This Row],[RATE CONCAT]],Tables!I:N,5,0)),0)</f>
        <v/>
      </c>
      <c r="CD89" s="347">
        <f>IFERROR(Table410[[#This Row],[Apr_2026_Days_Actual]]*Table410[[#This Row],[Cost Boolean]]*(VLOOKUP(Table410[[#This Row],[RATE CONCAT]],Tables!I:N,5,0)),0)</f>
        <v/>
      </c>
      <c r="CE89" s="347">
        <f>Table410[[#This Row],[Apr_2026_F]]-Table410[[#This Row],[Apr_2026_A]]</f>
        <v/>
      </c>
      <c r="CF89" s="103" t="n"/>
      <c r="CG89" s="347">
        <f>IFERROR(Table410[[#This Row],[May_2026_Days_Forecast]] *Table410[[#This Row],[Cost Boolean]]*(VLOOKUP(Table410[[#This Row],[RATE CONCAT]],Tables!I:N,5,0)),0)</f>
        <v/>
      </c>
      <c r="CH89" s="347">
        <f>IFERROR(Table410[[#This Row],[May_2026_Days_Actual]]*Table410[[#This Row],[Cost Boolean]]*(VLOOKUP(Table410[[#This Row],[RATE CONCAT]],Tables!I:N,5,0)),0)</f>
        <v/>
      </c>
      <c r="CI89" s="347">
        <f>Table410[[#This Row],[May_2026_F]]-Table410[[#This Row],[May_2026_A]]</f>
        <v/>
      </c>
      <c r="CJ89" s="103" t="n"/>
      <c r="CK89" s="347">
        <f>IFERROR(Table410[[#This Row],[Jun_2026_Days_Forecast]]*Table410[[#This Row],[Cost Boolean]]*(VLOOKUP(Table410[[#This Row],[RATE CONCAT]],Tables!I:N,5,0)),0)</f>
        <v/>
      </c>
      <c r="CL89" s="347">
        <f>IFERROR(Table410[[#This Row],[Jun_2026_Days_Actual]]*Table410[[#This Row],[Cost Boolean]]*(VLOOKUP(Table410[[#This Row],[RATE CONCAT]],Tables!I:N,5,0)),0)</f>
        <v/>
      </c>
      <c r="CM89" s="347">
        <f>Table410[[#This Row],[Jun_2026_F]]-Table410[[#This Row],[Jun_2026_A]]</f>
        <v/>
      </c>
      <c r="CN89" s="103" t="n"/>
      <c r="CO89" s="347">
        <f>IFERROR(Table410[[#This Row],[Jul_2026_Days_Forecast]]*Table410[[#This Row],[Cost Boolean]]*(VLOOKUP(Table410[[#This Row],[RATE CONCAT]],Tables!I:N,5,0)),0)</f>
        <v/>
      </c>
      <c r="CP89" s="347">
        <f>IFERROR(Table410[[#This Row],[Jul_2026_Days_Actual]]*Table410[[#This Row],[Cost Boolean]]*(VLOOKUP(Table410[[#This Row],[RATE CONCAT]],Tables!I:N,5,0)),0)</f>
        <v/>
      </c>
      <c r="CQ89" s="347">
        <f>Table410[[#This Row],[Jul_2026_F]]-Table410[[#This Row],[Jul_2026_A]]</f>
        <v/>
      </c>
      <c r="CR89" s="103" t="n"/>
      <c r="CS89" s="347">
        <f>IFERROR(Table410[[#This Row],[Aug_2026_Days_Forecast]]*Table410[[#This Row],[Cost Boolean]]*(VLOOKUP(Table410[[#This Row],[RATE CONCAT]],Tables!I:N,5,0)),0)</f>
        <v/>
      </c>
      <c r="CT89" s="347">
        <f>IFERROR(Table410[[#This Row],[Aug_2026_Days_Actual]]*Table410[[#This Row],[Cost Boolean]]*(VLOOKUP(Table410[[#This Row],[RATE CONCAT]],Tables!I:N,5,0)),0)</f>
        <v/>
      </c>
      <c r="CU89" s="347">
        <f>Table410[[#This Row],[Aug_2026_F]]-Table410[[#This Row],[Aug_2026_A]]</f>
        <v/>
      </c>
      <c r="CV89" s="103" t="n"/>
      <c r="CW89" s="347">
        <f>IFERROR(Table410[[#This Row],[Sep_2026_Days_Forecast]]*Table410[[#This Row],[Cost Boolean]]*(VLOOKUP(Table410[[#This Row],[RATE CONCAT]],Tables!I:N,5,0)),0)</f>
        <v/>
      </c>
      <c r="CX89" s="347">
        <f>IFERROR(Table410[[#This Row],[Sep_2026_Days_Actual]]*Table410[[#This Row],[Cost Boolean]]*(VLOOKUP(Table410[[#This Row],[RATE CONCAT]],Tables!I:N,5,0)),0)</f>
        <v/>
      </c>
      <c r="CY89" s="347">
        <f>Table410[[#This Row],[Sep_2026_F]]-Table410[[#This Row],[Sep_2026_A]]</f>
        <v/>
      </c>
      <c r="CZ89" s="103" t="n"/>
      <c r="DA89" s="347">
        <f>IFERROR(Table410[[#This Row],[Oct_2026_Days_Forecast]]*Table410[[#This Row],[Cost Boolean]]*(VLOOKUP(Table410[[#This Row],[RATE CONCAT]],Tables!I:N,5,0)),0)</f>
        <v/>
      </c>
      <c r="DB89" s="347">
        <f>IFERROR(Table410[[#This Row],[Oct_2026_Days_Actual]]*Table410[[#This Row],[Cost Boolean]]*(VLOOKUP(Table410[[#This Row],[RATE CONCAT]],Tables!I:N,5,0)),0)</f>
        <v/>
      </c>
      <c r="DC89" s="347">
        <f>Table410[[#This Row],[Oct_2026_F]]-Table410[[#This Row],[Oct_2026_A]]</f>
        <v/>
      </c>
      <c r="DD89" s="103" t="n"/>
      <c r="DE89" s="347">
        <f>IFERROR(Table410[[#This Row],[Nov_2026_Days_Forecast]]*Table410[[#This Row],[Cost Boolean]]*(VLOOKUP(Table410[[#This Row],[RATE CONCAT]],Tables!I:N,5,0)),0)</f>
        <v/>
      </c>
      <c r="DF89" s="347">
        <f>IFERROR(Table410[[#This Row],[Nov_2026_Days_Actual]]*Table410[[#This Row],[Cost Boolean]]*(VLOOKUP(Table410[[#This Row],[RATE CONCAT]],Tables!I:N,5,0)),0)</f>
        <v/>
      </c>
      <c r="DG89" s="347">
        <f>Table410[[#This Row],[Nov_2026_F]]-Table410[[#This Row],[Nov_2026_A]]</f>
        <v/>
      </c>
      <c r="DH89" s="103" t="n"/>
      <c r="DI89" s="347">
        <f>IFERROR(Table410[[#This Row],[Dec_2026_Days_Forecast]]*Table410[[#This Row],[Cost Boolean]]*(VLOOKUP(Table410[[#This Row],[RATE CONCAT]],Tables!I:N,5,0)),0)</f>
        <v/>
      </c>
      <c r="DJ89" s="347">
        <f>IFERROR(Table410[[#This Row],[Dec_2026_Days_Actual]]*Table410[[#This Row],[Cost Boolean]]*(VLOOKUP(Table410[[#This Row],[RATE CONCAT]],Tables!I:N,5,0)),0)</f>
        <v/>
      </c>
      <c r="DK89" s="348">
        <f>Table410[[#This Row],[Dec_2026_F]]-Table410[[#This Row],[Dec_2026_A]]</f>
        <v/>
      </c>
      <c r="DL89" s="103" t="n"/>
      <c r="DM89" s="346" t="n"/>
      <c r="DN89" s="347">
        <f>IFERROR(Table410[[#This Row],[Jan_2027_Days_Forecast]]*Table410[[#This Row],[Cost Boolean]]*(VLOOKUP(Table410[[#This Row],[RATE CONCAT]],Tables!I:N,6,0)),0)</f>
        <v/>
      </c>
      <c r="DO89" s="275" t="n"/>
      <c r="DP89" s="347">
        <f>Table410[[#This Row],[Jan_2027_F]]-Table410[[#This Row],[Jan_2027_A]]</f>
        <v/>
      </c>
      <c r="DQ89" s="347">
        <f>IFERROR(Table410[[#This Row],[Feb_2027_Days_Forecast]]*Table410[[#This Row],[Cost Boolean]]*(VLOOKUP(Table410[[#This Row],[RATE CONCAT]],Tables!I:N,6,0)),0)</f>
        <v/>
      </c>
      <c r="DR89" s="275" t="n"/>
      <c r="DS89" s="347">
        <f>Table410[[#This Row],[Feb_2027_F]]-Table410[[#This Row],[Feb_2027_A]]</f>
        <v/>
      </c>
      <c r="DT89" s="347">
        <f>IFERROR(Table410[[#This Row],[Mar_2027_Days_Forecast]]*Table410[[#This Row],[Cost Boolean]]*(VLOOKUP(Table410[[#This Row],[RATE CONCAT]],Tables!I:N,6,0)),0)</f>
        <v/>
      </c>
      <c r="DU89" s="275" t="n"/>
      <c r="DV89" s="347">
        <f>Table410[[#This Row],[Mar_2027_F]]-Table410[[#This Row],[Mar_2027_A]]</f>
        <v/>
      </c>
      <c r="DW89" s="347">
        <f>IFERROR(Table410[[#This Row],[Apr_2027_Days_Forecast]]*Table410[[#This Row],[Cost Boolean]]*(VLOOKUP(Table410[[#This Row],[RATE CONCAT]],Tables!I:N,6,0)),0)</f>
        <v/>
      </c>
      <c r="DX89" s="275" t="n"/>
      <c r="DY89" s="347">
        <f>Table410[[#This Row],[Apr_2027_F]]-Table410[[#This Row],[Apr_2027_A]]</f>
        <v/>
      </c>
      <c r="DZ89" s="347">
        <f>IFERROR(Table410[[#This Row],[May_2027_Days_Forecast]]*Table410[[#This Row],[Cost Boolean]]*(VLOOKUP(Table410[[#This Row],[RATE CONCAT]],Tables!I:N,6,0)),0)</f>
        <v/>
      </c>
      <c r="EA89" s="275" t="n"/>
      <c r="EB89" s="347">
        <f>Table410[[#This Row],[May_2027_F]]-Table410[[#This Row],[May_2027_A]]</f>
        <v/>
      </c>
      <c r="EC89" s="347">
        <f>IFERROR(Table410[[#This Row],[Jun_2027_Days_Forecast]]*Table410[[#This Row],[Cost Boolean]]*(VLOOKUP(Table410[[#This Row],[RATE CONCAT]],Tables!I:N,6,0)),0)</f>
        <v/>
      </c>
      <c r="ED89" s="275" t="n"/>
      <c r="EE89" s="347">
        <f>Table410[[#This Row],[Jun_2027_F]]-Table410[[#This Row],[Jun_2027_A]]</f>
        <v/>
      </c>
      <c r="EF89" s="347">
        <f>IFERROR(Table410[[#This Row],[Jul_2027_Days_Forecast]]*Table410[[#This Row],[Cost Boolean]]*(VLOOKUP(Table410[[#This Row],[RATE CONCAT]],Tables!I:N,6,0)),0)</f>
        <v/>
      </c>
      <c r="EG89" s="275" t="n"/>
      <c r="EH89" s="347">
        <f>Table410[[#This Row],[Jul_2027_F]]-Table410[[#This Row],[Jul_2027_A]]</f>
        <v/>
      </c>
      <c r="EI89" s="347">
        <f>IFERROR(Table410[[#This Row],[Aug_2027_Days_Forecast]]*Table410[[#This Row],[Cost Boolean]]*(VLOOKUP(Table410[[#This Row],[RATE CONCAT]],Tables!I:N,6,0)),0)</f>
        <v/>
      </c>
      <c r="EJ89" s="275" t="n"/>
      <c r="EK89" s="347">
        <f>Table410[[#This Row],[Aug_2027_F]]-Table410[[#This Row],[Aug_2027_A]]</f>
        <v/>
      </c>
      <c r="EL89" s="347">
        <f>IFERROR(Table410[[#This Row],[Sep_2027_Days_Forecast]]*Table410[[#This Row],[Cost Boolean]]*(VLOOKUP(Table410[[#This Row],[RATE CONCAT]],Tables!I:N,6,0)),0)</f>
        <v/>
      </c>
      <c r="EM89" s="275" t="n"/>
      <c r="EN89" s="347">
        <f>Table410[[#This Row],[Sep_2027_F]]-Table410[[#This Row],[Sep_2027_A]]</f>
        <v/>
      </c>
      <c r="EO89" s="347">
        <f>IFERROR(Table410[[#This Row],[Oct_2027_Days_Forecast]]*Table410[[#This Row],[Cost Boolean]]*(VLOOKUP(Table410[[#This Row],[RATE CONCAT]],Tables!I:N,6,0)),0)</f>
        <v/>
      </c>
      <c r="EP89" s="275" t="n"/>
      <c r="EQ89" s="347">
        <f>Table410[[#This Row],[Oct_2027_F]]-Table410[[#This Row],[Oct_2027_A]]</f>
        <v/>
      </c>
      <c r="ER89" s="347">
        <f>IFERROR(Table410[[#This Row],[Nov_2027_Days_Forecast]]*Table410[[#This Row],[Cost Boolean]]*(VLOOKUP(Table410[[#This Row],[RATE CONCAT]],Tables!I:N,6,0)),0)</f>
        <v/>
      </c>
      <c r="ES89" s="275" t="n"/>
      <c r="ET89" s="347">
        <f>Table410[[#This Row],[Nov_2027_F]]-Table410[[#This Row],[Nov_2027_A]]</f>
        <v/>
      </c>
      <c r="EU89" s="347">
        <f>IFERROR(Table410[[#This Row],[Dec_2027_Days_Forecast]]*Table410[[#This Row],[Cost Boolean]]*(VLOOKUP(Table410[[#This Row],[RATE CONCAT]],Tables!I:N,6,0)),0)</f>
        <v/>
      </c>
      <c r="EV89" s="275" t="n"/>
      <c r="EW89" s="347">
        <f>Table410[[#This Row],[Dec_2027_F]]-Table410[[#This Row],[Dec_2027_A]]</f>
        <v/>
      </c>
    </row>
    <row r="90" ht="1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338">
        <f>CONCATENATE(Table410[[#This Row],[JG]],Table410[[#This Row],[Country]],Table410[[#This Row],[Resource Provider]])</f>
        <v/>
      </c>
      <c r="Z90" s="338">
        <f>VLOOKUP(Table410[[#This Row],[RATE CONCAT]],Tables!I:N,5,0)</f>
        <v/>
      </c>
      <c r="AA90" s="123" t="n"/>
      <c r="AB90" s="130" t="n"/>
      <c r="AC90" s="130" t="n"/>
      <c r="AD90" s="130" t="n"/>
      <c r="AE90" s="130" t="n"/>
      <c r="AF90" s="130" t="n"/>
      <c r="AG90" s="130" t="n"/>
      <c r="AH90" s="130" t="n"/>
      <c r="AI90" s="130" t="n"/>
      <c r="AJ90" s="130" t="n"/>
      <c r="AK90" s="130" t="n"/>
      <c r="AL90" s="130" t="n"/>
      <c r="AM90" s="130" t="n"/>
      <c r="AN90" s="341">
        <f>IFERROR(AVERAGE(Table410[[#This Row],[Jan_2026_Days_Forecast]:[Dec_2026_Days_Forecast]]),0)/19</f>
        <v/>
      </c>
      <c r="AO90" s="341">
        <f>IFERROR(AVERAGE(Table410[[#This Row],[Jan_2026_Days_Actual]:[Dec_2026_Days_Actual]]),0)/19</f>
        <v/>
      </c>
      <c r="AP90" s="84" t="n"/>
      <c r="AQ90" s="84" t="n"/>
      <c r="AR90" s="84" t="n"/>
      <c r="AS90" s="84" t="n"/>
      <c r="AT90" s="84" t="n"/>
      <c r="AU90" s="84" t="n"/>
      <c r="AV90" s="84" t="n"/>
      <c r="AW90" s="84" t="n"/>
      <c r="AX90" s="84" t="n"/>
      <c r="AY90" s="84" t="n"/>
      <c r="AZ90" s="84" t="n"/>
      <c r="BA90" s="84" t="n"/>
      <c r="BB90" s="341">
        <f>IFERROR(AVERAGE(Table410[[#This Row],[Jan_2027_Days_Forecast]:[Dec_2027_Days_Forecast]]),0)</f>
        <v/>
      </c>
      <c r="BC90" s="127" t="n"/>
      <c r="BD90" s="127" t="n"/>
      <c r="BE90" s="127" t="n"/>
      <c r="BF90" s="127" t="n"/>
      <c r="BG90" s="127" t="n"/>
      <c r="BH90" s="127" t="n"/>
      <c r="BI90" s="127" t="n"/>
      <c r="BJ90" s="127" t="n"/>
      <c r="BK90" s="127" t="n"/>
      <c r="BL90" s="127" t="n"/>
      <c r="BM90" s="127" t="n"/>
      <c r="BN90" s="127" t="n"/>
      <c r="BO90" s="176" t="n"/>
      <c r="BP90" s="176" t="n"/>
      <c r="BQ90" s="345">
        <f>IFERROR(Table410[[#This Row],[Jan_2026_Days_Forecast]]*Table410[[#This Row],[Cost Boolean]]*(VLOOKUP(Table410[[#This Row],[RATE CONCAT]],Tables!I:N,5,0)),0)</f>
        <v/>
      </c>
      <c r="BR90" s="345">
        <f>IFERROR(Table410[[#This Row],[Jan_2026_Days_Actual]]*Table410[[#This Row],[Cost Boolean]]*(VLOOKUP(Table410[[#This Row],[RATE CONCAT]],Tables!I:N,5,0)),0)</f>
        <v/>
      </c>
      <c r="BS90" s="338">
        <f>Table410[[#This Row],[Jan_2026_F]]-Table410[[#This Row],[Jan_2026_A]]</f>
        <v/>
      </c>
      <c r="BT90" s="114" t="n"/>
      <c r="BU90" s="338">
        <f>IFERROR(Table410[[#This Row],[Feb_2026_Days_Forecast]]*Table410[[#This Row],[Cost Boolean]]*(VLOOKUP(Table410[[#This Row],[RATE CONCAT]],Tables!I:N,5,0)),0)</f>
        <v/>
      </c>
      <c r="BV90" s="345">
        <f>IFERROR(Table410[[#This Row],[Feb_2026_Days_Actual]]*Table410[[#This Row],[Cost Boolean]]*(VLOOKUP(Table410[[#This Row],[RATE CONCAT]],Tables!I:N,5,0)),0)</f>
        <v/>
      </c>
      <c r="BW90" s="338">
        <f>Table410[[#This Row],[Feb_2026_F]]-Table410[[#This Row],[Feb_2026_A]]</f>
        <v/>
      </c>
      <c r="BX90" s="275" t="n"/>
      <c r="BY90" s="345">
        <f>IFERROR(Table410[[#This Row],[Mar_2026_Days_Forecast]]*Table410[[#This Row],[Cost Boolean]]*(VLOOKUP(Table410[[#This Row],[RATE CONCAT]],Tables!I:N,5,0)),0)</f>
        <v/>
      </c>
      <c r="BZ90" s="345">
        <f>IFERROR(Table410[[#This Row],[Mar_2026_Days_Actual]]*Table410[[#This Row],[Cost Boolean]]*(VLOOKUP(Table410[[#This Row],[RATE CONCAT]],Tables!I:N,5,0)),0)</f>
        <v/>
      </c>
      <c r="CA90" s="345">
        <f>Table410[[#This Row],[Mar_2026_F]]-Table410[[#This Row],[Mar_2026_A]]</f>
        <v/>
      </c>
      <c r="CB90" s="103" t="n"/>
      <c r="CC90" s="345">
        <f>IFERROR(Table410[[#This Row],[Apr_2026_Days_Forecast]]*Table410[[#This Row],[Cost Boolean]]*(VLOOKUP(Table410[[#This Row],[RATE CONCAT]],Tables!I:N,5,0)),0)</f>
        <v/>
      </c>
      <c r="CD90" s="345">
        <f>IFERROR(Table410[[#This Row],[Apr_2026_Days_Actual]]*Table410[[#This Row],[Cost Boolean]]*(VLOOKUP(Table410[[#This Row],[RATE CONCAT]],Tables!I:N,5,0)),0)</f>
        <v/>
      </c>
      <c r="CE90" s="345">
        <f>Table410[[#This Row],[Apr_2026_F]]-Table410[[#This Row],[Apr_2026_A]]</f>
        <v/>
      </c>
      <c r="CF90" s="103" t="n"/>
      <c r="CG90" s="345">
        <f>IFERROR(Table410[[#This Row],[May_2026_Days_Forecast]] *Table410[[#This Row],[Cost Boolean]]*(VLOOKUP(Table410[[#This Row],[RATE CONCAT]],Tables!I:N,5,0)),0)</f>
        <v/>
      </c>
      <c r="CH90" s="345">
        <f>IFERROR(Table410[[#This Row],[May_2026_Days_Actual]]*Table410[[#This Row],[Cost Boolean]]*(VLOOKUP(Table410[[#This Row],[RATE CONCAT]],Tables!I:N,5,0)),0)</f>
        <v/>
      </c>
      <c r="CI90" s="345">
        <f>Table410[[#This Row],[May_2026_F]]-Table410[[#This Row],[May_2026_A]]</f>
        <v/>
      </c>
      <c r="CJ90" s="103" t="n"/>
      <c r="CK90" s="345">
        <f>IFERROR(Table410[[#This Row],[Jun_2026_Days_Forecast]]*Table410[[#This Row],[Cost Boolean]]*(VLOOKUP(Table410[[#This Row],[RATE CONCAT]],Tables!I:N,5,0)),0)</f>
        <v/>
      </c>
      <c r="CL90" s="345">
        <f>IFERROR(Table410[[#This Row],[Jun_2026_Days_Actual]]*Table410[[#This Row],[Cost Boolean]]*(VLOOKUP(Table410[[#This Row],[RATE CONCAT]],Tables!I:N,5,0)),0)</f>
        <v/>
      </c>
      <c r="CM90" s="345">
        <f>Table410[[#This Row],[Jun_2026_F]]-Table410[[#This Row],[Jun_2026_A]]</f>
        <v/>
      </c>
      <c r="CN90" s="103" t="n"/>
      <c r="CO90" s="345">
        <f>IFERROR(Table410[[#This Row],[Jul_2026_Days_Forecast]]*Table410[[#This Row],[Cost Boolean]]*(VLOOKUP(Table410[[#This Row],[RATE CONCAT]],Tables!I:N,5,0)),0)</f>
        <v/>
      </c>
      <c r="CP90" s="345">
        <f>IFERROR(Table410[[#This Row],[Jul_2026_Days_Actual]]*Table410[[#This Row],[Cost Boolean]]*(VLOOKUP(Table410[[#This Row],[RATE CONCAT]],Tables!I:N,5,0)),0)</f>
        <v/>
      </c>
      <c r="CQ90" s="345">
        <f>Table410[[#This Row],[Jul_2026_F]]-Table410[[#This Row],[Jul_2026_A]]</f>
        <v/>
      </c>
      <c r="CR90" s="103" t="n"/>
      <c r="CS90" s="345">
        <f>IFERROR(Table410[[#This Row],[Aug_2026_Days_Forecast]]*Table410[[#This Row],[Cost Boolean]]*(VLOOKUP(Table410[[#This Row],[RATE CONCAT]],Tables!I:N,5,0)),0)</f>
        <v/>
      </c>
      <c r="CT90" s="345">
        <f>IFERROR(Table410[[#This Row],[Aug_2026_Days_Actual]]*Table410[[#This Row],[Cost Boolean]]*(VLOOKUP(Table410[[#This Row],[RATE CONCAT]],Tables!I:N,5,0)),0)</f>
        <v/>
      </c>
      <c r="CU90" s="345">
        <f>Table410[[#This Row],[Aug_2026_F]]-Table410[[#This Row],[Aug_2026_A]]</f>
        <v/>
      </c>
      <c r="CV90" s="103" t="n"/>
      <c r="CW90" s="345">
        <f>IFERROR(Table410[[#This Row],[Sep_2026_Days_Forecast]]*Table410[[#This Row],[Cost Boolean]]*(VLOOKUP(Table410[[#This Row],[RATE CONCAT]],Tables!I:N,5,0)),0)</f>
        <v/>
      </c>
      <c r="CX90" s="345">
        <f>IFERROR(Table410[[#This Row],[Sep_2026_Days_Actual]]*Table410[[#This Row],[Cost Boolean]]*(VLOOKUP(Table410[[#This Row],[RATE CONCAT]],Tables!I:N,5,0)),0)</f>
        <v/>
      </c>
      <c r="CY90" s="345">
        <f>Table410[[#This Row],[Sep_2026_F]]-Table410[[#This Row],[Sep_2026_A]]</f>
        <v/>
      </c>
      <c r="CZ90" s="103" t="n"/>
      <c r="DA90" s="345">
        <f>IFERROR(Table410[[#This Row],[Oct_2026_Days_Forecast]]*Table410[[#This Row],[Cost Boolean]]*(VLOOKUP(Table410[[#This Row],[RATE CONCAT]],Tables!I:N,5,0)),0)</f>
        <v/>
      </c>
      <c r="DB90" s="345">
        <f>IFERROR(Table410[[#This Row],[Oct_2026_Days_Actual]]*Table410[[#This Row],[Cost Boolean]]*(VLOOKUP(Table410[[#This Row],[RATE CONCAT]],Tables!I:N,5,0)),0)</f>
        <v/>
      </c>
      <c r="DC90" s="345">
        <f>Table410[[#This Row],[Oct_2026_F]]-Table410[[#This Row],[Oct_2026_A]]</f>
        <v/>
      </c>
      <c r="DD90" s="103" t="n"/>
      <c r="DE90" s="345">
        <f>IFERROR(Table410[[#This Row],[Nov_2026_Days_Forecast]]*Table410[[#This Row],[Cost Boolean]]*(VLOOKUP(Table410[[#This Row],[RATE CONCAT]],Tables!I:N,5,0)),0)</f>
        <v/>
      </c>
      <c r="DF90" s="345">
        <f>IFERROR(Table410[[#This Row],[Nov_2026_Days_Actual]]*Table410[[#This Row],[Cost Boolean]]*(VLOOKUP(Table410[[#This Row],[RATE CONCAT]],Tables!I:N,5,0)),0)</f>
        <v/>
      </c>
      <c r="DG90" s="345">
        <f>Table410[[#This Row],[Nov_2026_F]]-Table410[[#This Row],[Nov_2026_A]]</f>
        <v/>
      </c>
      <c r="DH90" s="103" t="n"/>
      <c r="DI90" s="345">
        <f>IFERROR(Table410[[#This Row],[Dec_2026_Days_Forecast]]*Table410[[#This Row],[Cost Boolean]]*(VLOOKUP(Table410[[#This Row],[RATE CONCAT]],Tables!I:N,5,0)),0)</f>
        <v/>
      </c>
      <c r="DJ90" s="345">
        <f>IFERROR(Table410[[#This Row],[Dec_2026_Days_Actual]]*Table410[[#This Row],[Cost Boolean]]*(VLOOKUP(Table410[[#This Row],[RATE CONCAT]],Tables!I:N,5,0)),0)</f>
        <v/>
      </c>
      <c r="DK90" s="349">
        <f>Table410[[#This Row],[Dec_2026_F]]-Table410[[#This Row],[Dec_2026_A]]</f>
        <v/>
      </c>
      <c r="DL90" s="103" t="n"/>
      <c r="DM90" s="346" t="n"/>
      <c r="DN90" s="345">
        <f>IFERROR(Table410[[#This Row],[Jan_2027_Days_Forecast]]*Table410[[#This Row],[Cost Boolean]]*(VLOOKUP(Table410[[#This Row],[RATE CONCAT]],Tables!I:N,6,0)),0)</f>
        <v/>
      </c>
      <c r="DO90" s="275" t="n"/>
      <c r="DP90" s="345">
        <f>Table410[[#This Row],[Jan_2027_F]]-Table410[[#This Row],[Jan_2027_A]]</f>
        <v/>
      </c>
      <c r="DQ90" s="345">
        <f>IFERROR(Table410[[#This Row],[Feb_2027_Days_Forecast]]*Table410[[#This Row],[Cost Boolean]]*(VLOOKUP(Table410[[#This Row],[RATE CONCAT]],Tables!I:N,6,0)),0)</f>
        <v/>
      </c>
      <c r="DR90" s="275" t="n"/>
      <c r="DS90" s="345">
        <f>Table410[[#This Row],[Feb_2027_F]]-Table410[[#This Row],[Feb_2027_A]]</f>
        <v/>
      </c>
      <c r="DT90" s="345">
        <f>IFERROR(Table410[[#This Row],[Mar_2027_Days_Forecast]]*Table410[[#This Row],[Cost Boolean]]*(VLOOKUP(Table410[[#This Row],[RATE CONCAT]],Tables!I:N,6,0)),0)</f>
        <v/>
      </c>
      <c r="DU90" s="275" t="n"/>
      <c r="DV90" s="345">
        <f>Table410[[#This Row],[Mar_2027_F]]-Table410[[#This Row],[Mar_2027_A]]</f>
        <v/>
      </c>
      <c r="DW90" s="345">
        <f>IFERROR(Table410[[#This Row],[Apr_2027_Days_Forecast]]*Table410[[#This Row],[Cost Boolean]]*(VLOOKUP(Table410[[#This Row],[RATE CONCAT]],Tables!I:N,6,0)),0)</f>
        <v/>
      </c>
      <c r="DX90" s="275" t="n"/>
      <c r="DY90" s="345">
        <f>Table410[[#This Row],[Apr_2027_F]]-Table410[[#This Row],[Apr_2027_A]]</f>
        <v/>
      </c>
      <c r="DZ90" s="345">
        <f>IFERROR(Table410[[#This Row],[May_2027_Days_Forecast]]*Table410[[#This Row],[Cost Boolean]]*(VLOOKUP(Table410[[#This Row],[RATE CONCAT]],Tables!I:N,6,0)),0)</f>
        <v/>
      </c>
      <c r="EA90" s="275" t="n"/>
      <c r="EB90" s="345">
        <f>Table410[[#This Row],[May_2027_F]]-Table410[[#This Row],[May_2027_A]]</f>
        <v/>
      </c>
      <c r="EC90" s="345">
        <f>IFERROR(Table410[[#This Row],[Jun_2027_Days_Forecast]]*Table410[[#This Row],[Cost Boolean]]*(VLOOKUP(Table410[[#This Row],[RATE CONCAT]],Tables!I:N,6,0)),0)</f>
        <v/>
      </c>
      <c r="ED90" s="275" t="n"/>
      <c r="EE90" s="345">
        <f>Table410[[#This Row],[Jun_2027_F]]-Table410[[#This Row],[Jun_2027_A]]</f>
        <v/>
      </c>
      <c r="EF90" s="345">
        <f>IFERROR(Table410[[#This Row],[Jul_2027_Days_Forecast]]*Table410[[#This Row],[Cost Boolean]]*(VLOOKUP(Table410[[#This Row],[RATE CONCAT]],Tables!I:N,6,0)),0)</f>
        <v/>
      </c>
      <c r="EG90" s="275" t="n"/>
      <c r="EH90" s="345">
        <f>Table410[[#This Row],[Jul_2027_F]]-Table410[[#This Row],[Jul_2027_A]]</f>
        <v/>
      </c>
      <c r="EI90" s="345">
        <f>IFERROR(Table410[[#This Row],[Aug_2027_Days_Forecast]]*Table410[[#This Row],[Cost Boolean]]*(VLOOKUP(Table410[[#This Row],[RATE CONCAT]],Tables!I:N,6,0)),0)</f>
        <v/>
      </c>
      <c r="EJ90" s="275" t="n"/>
      <c r="EK90" s="345">
        <f>Table410[[#This Row],[Aug_2027_F]]-Table410[[#This Row],[Aug_2027_A]]</f>
        <v/>
      </c>
      <c r="EL90" s="345">
        <f>IFERROR(Table410[[#This Row],[Sep_2027_Days_Forecast]]*Table410[[#This Row],[Cost Boolean]]*(VLOOKUP(Table410[[#This Row],[RATE CONCAT]],Tables!I:N,6,0)),0)</f>
        <v/>
      </c>
      <c r="EM90" s="275" t="n"/>
      <c r="EN90" s="345">
        <f>Table410[[#This Row],[Sep_2027_F]]-Table410[[#This Row],[Sep_2027_A]]</f>
        <v/>
      </c>
      <c r="EO90" s="345">
        <f>IFERROR(Table410[[#This Row],[Oct_2027_Days_Forecast]]*Table410[[#This Row],[Cost Boolean]]*(VLOOKUP(Table410[[#This Row],[RATE CONCAT]],Tables!I:N,6,0)),0)</f>
        <v/>
      </c>
      <c r="EP90" s="275" t="n"/>
      <c r="EQ90" s="345">
        <f>Table410[[#This Row],[Oct_2027_F]]-Table410[[#This Row],[Oct_2027_A]]</f>
        <v/>
      </c>
      <c r="ER90" s="345">
        <f>IFERROR(Table410[[#This Row],[Nov_2027_Days_Forecast]]*Table410[[#This Row],[Cost Boolean]]*(VLOOKUP(Table410[[#This Row],[RATE CONCAT]],Tables!I:N,6,0)),0)</f>
        <v/>
      </c>
      <c r="ES90" s="275" t="n"/>
      <c r="ET90" s="345">
        <f>Table410[[#This Row],[Nov_2027_F]]-Table410[[#This Row],[Nov_2027_A]]</f>
        <v/>
      </c>
      <c r="EU90" s="345">
        <f>IFERROR(Table410[[#This Row],[Dec_2027_Days_Forecast]]*Table410[[#This Row],[Cost Boolean]]*(VLOOKUP(Table410[[#This Row],[RATE CONCAT]],Tables!I:N,6,0)),0)</f>
        <v/>
      </c>
      <c r="EV90" s="275" t="n"/>
      <c r="EW90" s="345">
        <f>Table410[[#This Row],[Dec_2027_F]]-Table410[[#This Row],[Dec_2027_A]]</f>
        <v/>
      </c>
    </row>
    <row r="91" ht="1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342">
        <f>CONCATENATE(Table410[[#This Row],[JG]],Table410[[#This Row],[Country]],Table410[[#This Row],[Resource Provider]])</f>
        <v/>
      </c>
      <c r="Z91" s="342">
        <f>VLOOKUP(Table410[[#This Row],[RATE CONCAT]],Tables!I:N,5,0)</f>
        <v/>
      </c>
      <c r="AA91" s="123" t="n"/>
      <c r="AB91" s="130" t="n"/>
      <c r="AC91" s="130" t="n"/>
      <c r="AD91" s="130" t="n"/>
      <c r="AE91" s="130" t="n"/>
      <c r="AF91" s="130" t="n"/>
      <c r="AG91" s="130" t="n"/>
      <c r="AH91" s="130" t="n"/>
      <c r="AI91" s="130" t="n"/>
      <c r="AJ91" s="130" t="n"/>
      <c r="AK91" s="130" t="n"/>
      <c r="AL91" s="130" t="n"/>
      <c r="AM91" s="130" t="n"/>
      <c r="AN91" s="341">
        <f>IFERROR(AVERAGE(Table410[[#This Row],[Jan_2026_Days_Forecast]:[Dec_2026_Days_Forecast]]),0)/19</f>
        <v/>
      </c>
      <c r="AO91" s="341">
        <f>IFERROR(AVERAGE(Table410[[#This Row],[Jan_2026_Days_Actual]:[Dec_2026_Days_Actual]]),0)/19</f>
        <v/>
      </c>
      <c r="AP91" s="84" t="n"/>
      <c r="AQ91" s="84" t="n"/>
      <c r="AR91" s="84" t="n"/>
      <c r="AS91" s="84" t="n"/>
      <c r="AT91" s="84" t="n"/>
      <c r="AU91" s="84" t="n"/>
      <c r="AV91" s="84" t="n"/>
      <c r="AW91" s="84" t="n"/>
      <c r="AX91" s="84" t="n"/>
      <c r="AY91" s="84" t="n"/>
      <c r="AZ91" s="84" t="n"/>
      <c r="BA91" s="84" t="n"/>
      <c r="BB91" s="341">
        <f>IFERROR(AVERAGE(Table410[[#This Row],[Jan_2027_Days_Forecast]:[Dec_2027_Days_Forecast]]),0)</f>
        <v/>
      </c>
      <c r="BC91" s="129" t="n"/>
      <c r="BD91" s="129" t="n"/>
      <c r="BE91" s="129" t="n"/>
      <c r="BF91" s="129" t="n"/>
      <c r="BG91" s="129" t="n"/>
      <c r="BH91" s="129" t="n"/>
      <c r="BI91" s="129" t="n"/>
      <c r="BJ91" s="129" t="n"/>
      <c r="BK91" s="129" t="n"/>
      <c r="BL91" s="129" t="n"/>
      <c r="BM91" s="129" t="n"/>
      <c r="BN91" s="129" t="n"/>
      <c r="BO91" s="176" t="n"/>
      <c r="BP91" s="176" t="n"/>
      <c r="BQ91" s="347">
        <f>IFERROR(Table410[[#This Row],[Jan_2026_Days_Forecast]]*Table410[[#This Row],[Cost Boolean]]*(VLOOKUP(Table410[[#This Row],[RATE CONCAT]],Tables!I:N,5,0)),0)</f>
        <v/>
      </c>
      <c r="BR91" s="347">
        <f>IFERROR(Table410[[#This Row],[Jan_2026_Days_Actual]]*Table410[[#This Row],[Cost Boolean]]*(VLOOKUP(Table410[[#This Row],[RATE CONCAT]],Tables!I:N,5,0)),0)</f>
        <v/>
      </c>
      <c r="BS91" s="342">
        <f>Table410[[#This Row],[Jan_2026_F]]-Table410[[#This Row],[Jan_2026_A]]</f>
        <v/>
      </c>
      <c r="BT91" s="114" t="n"/>
      <c r="BU91" s="342">
        <f>IFERROR(Table410[[#This Row],[Feb_2026_Days_Forecast]]*Table410[[#This Row],[Cost Boolean]]*(VLOOKUP(Table410[[#This Row],[RATE CONCAT]],Tables!I:N,5,0)),0)</f>
        <v/>
      </c>
      <c r="BV91" s="347">
        <f>IFERROR(Table410[[#This Row],[Feb_2026_Days_Actual]]*Table410[[#This Row],[Cost Boolean]]*(VLOOKUP(Table410[[#This Row],[RATE CONCAT]],Tables!I:N,5,0)),0)</f>
        <v/>
      </c>
      <c r="BW91" s="342">
        <f>Table410[[#This Row],[Feb_2026_F]]-Table410[[#This Row],[Feb_2026_A]]</f>
        <v/>
      </c>
      <c r="BX91" s="275" t="n"/>
      <c r="BY91" s="347">
        <f>IFERROR(Table410[[#This Row],[Mar_2026_Days_Forecast]]*Table410[[#This Row],[Cost Boolean]]*(VLOOKUP(Table410[[#This Row],[RATE CONCAT]],Tables!I:N,5,0)),0)</f>
        <v/>
      </c>
      <c r="BZ91" s="347">
        <f>IFERROR(Table410[[#This Row],[Mar_2026_Days_Actual]]*Table410[[#This Row],[Cost Boolean]]*(VLOOKUP(Table410[[#This Row],[RATE CONCAT]],Tables!I:N,5,0)),0)</f>
        <v/>
      </c>
      <c r="CA91" s="347">
        <f>Table410[[#This Row],[Mar_2026_F]]-Table410[[#This Row],[Mar_2026_A]]</f>
        <v/>
      </c>
      <c r="CB91" s="103" t="n"/>
      <c r="CC91" s="347">
        <f>IFERROR(Table410[[#This Row],[Apr_2026_Days_Forecast]]*Table410[[#This Row],[Cost Boolean]]*(VLOOKUP(Table410[[#This Row],[RATE CONCAT]],Tables!I:N,5,0)),0)</f>
        <v/>
      </c>
      <c r="CD91" s="347">
        <f>IFERROR(Table410[[#This Row],[Apr_2026_Days_Actual]]*Table410[[#This Row],[Cost Boolean]]*(VLOOKUP(Table410[[#This Row],[RATE CONCAT]],Tables!I:N,5,0)),0)</f>
        <v/>
      </c>
      <c r="CE91" s="347">
        <f>Table410[[#This Row],[Apr_2026_F]]-Table410[[#This Row],[Apr_2026_A]]</f>
        <v/>
      </c>
      <c r="CF91" s="103" t="n"/>
      <c r="CG91" s="347">
        <f>IFERROR(Table410[[#This Row],[May_2026_Days_Forecast]] *Table410[[#This Row],[Cost Boolean]]*(VLOOKUP(Table410[[#This Row],[RATE CONCAT]],Tables!I:N,5,0)),0)</f>
        <v/>
      </c>
      <c r="CH91" s="347">
        <f>IFERROR(Table410[[#This Row],[May_2026_Days_Actual]]*Table410[[#This Row],[Cost Boolean]]*(VLOOKUP(Table410[[#This Row],[RATE CONCAT]],Tables!I:N,5,0)),0)</f>
        <v/>
      </c>
      <c r="CI91" s="347">
        <f>Table410[[#This Row],[May_2026_F]]-Table410[[#This Row],[May_2026_A]]</f>
        <v/>
      </c>
      <c r="CJ91" s="103" t="n"/>
      <c r="CK91" s="347">
        <f>IFERROR(Table410[[#This Row],[Jun_2026_Days_Forecast]]*Table410[[#This Row],[Cost Boolean]]*(VLOOKUP(Table410[[#This Row],[RATE CONCAT]],Tables!I:N,5,0)),0)</f>
        <v/>
      </c>
      <c r="CL91" s="347">
        <f>IFERROR(Table410[[#This Row],[Jun_2026_Days_Actual]]*Table410[[#This Row],[Cost Boolean]]*(VLOOKUP(Table410[[#This Row],[RATE CONCAT]],Tables!I:N,5,0)),0)</f>
        <v/>
      </c>
      <c r="CM91" s="347">
        <f>Table410[[#This Row],[Jun_2026_F]]-Table410[[#This Row],[Jun_2026_A]]</f>
        <v/>
      </c>
      <c r="CN91" s="103" t="n"/>
      <c r="CO91" s="347">
        <f>IFERROR(Table410[[#This Row],[Jul_2026_Days_Forecast]]*Table410[[#This Row],[Cost Boolean]]*(VLOOKUP(Table410[[#This Row],[RATE CONCAT]],Tables!I:N,5,0)),0)</f>
        <v/>
      </c>
      <c r="CP91" s="347">
        <f>IFERROR(Table410[[#This Row],[Jul_2026_Days_Actual]]*Table410[[#This Row],[Cost Boolean]]*(VLOOKUP(Table410[[#This Row],[RATE CONCAT]],Tables!I:N,5,0)),0)</f>
        <v/>
      </c>
      <c r="CQ91" s="347">
        <f>Table410[[#This Row],[Jul_2026_F]]-Table410[[#This Row],[Jul_2026_A]]</f>
        <v/>
      </c>
      <c r="CR91" s="103" t="n"/>
      <c r="CS91" s="347">
        <f>IFERROR(Table410[[#This Row],[Aug_2026_Days_Forecast]]*Table410[[#This Row],[Cost Boolean]]*(VLOOKUP(Table410[[#This Row],[RATE CONCAT]],Tables!I:N,5,0)),0)</f>
        <v/>
      </c>
      <c r="CT91" s="347">
        <f>IFERROR(Table410[[#This Row],[Aug_2026_Days_Actual]]*Table410[[#This Row],[Cost Boolean]]*(VLOOKUP(Table410[[#This Row],[RATE CONCAT]],Tables!I:N,5,0)),0)</f>
        <v/>
      </c>
      <c r="CU91" s="347">
        <f>Table410[[#This Row],[Aug_2026_F]]-Table410[[#This Row],[Aug_2026_A]]</f>
        <v/>
      </c>
      <c r="CV91" s="103" t="n"/>
      <c r="CW91" s="347">
        <f>IFERROR(Table410[[#This Row],[Sep_2026_Days_Forecast]]*Table410[[#This Row],[Cost Boolean]]*(VLOOKUP(Table410[[#This Row],[RATE CONCAT]],Tables!I:N,5,0)),0)</f>
        <v/>
      </c>
      <c r="CX91" s="347">
        <f>IFERROR(Table410[[#This Row],[Sep_2026_Days_Actual]]*Table410[[#This Row],[Cost Boolean]]*(VLOOKUP(Table410[[#This Row],[RATE CONCAT]],Tables!I:N,5,0)),0)</f>
        <v/>
      </c>
      <c r="CY91" s="347">
        <f>Table410[[#This Row],[Sep_2026_F]]-Table410[[#This Row],[Sep_2026_A]]</f>
        <v/>
      </c>
      <c r="CZ91" s="103" t="n"/>
      <c r="DA91" s="347">
        <f>IFERROR(Table410[[#This Row],[Oct_2026_Days_Forecast]]*Table410[[#This Row],[Cost Boolean]]*(VLOOKUP(Table410[[#This Row],[RATE CONCAT]],Tables!I:N,5,0)),0)</f>
        <v/>
      </c>
      <c r="DB91" s="347">
        <f>IFERROR(Table410[[#This Row],[Oct_2026_Days_Actual]]*Table410[[#This Row],[Cost Boolean]]*(VLOOKUP(Table410[[#This Row],[RATE CONCAT]],Tables!I:N,5,0)),0)</f>
        <v/>
      </c>
      <c r="DC91" s="347">
        <f>Table410[[#This Row],[Oct_2026_F]]-Table410[[#This Row],[Oct_2026_A]]</f>
        <v/>
      </c>
      <c r="DD91" s="103" t="n"/>
      <c r="DE91" s="347">
        <f>IFERROR(Table410[[#This Row],[Nov_2026_Days_Forecast]]*Table410[[#This Row],[Cost Boolean]]*(VLOOKUP(Table410[[#This Row],[RATE CONCAT]],Tables!I:N,5,0)),0)</f>
        <v/>
      </c>
      <c r="DF91" s="347">
        <f>IFERROR(Table410[[#This Row],[Nov_2026_Days_Actual]]*Table410[[#This Row],[Cost Boolean]]*(VLOOKUP(Table410[[#This Row],[RATE CONCAT]],Tables!I:N,5,0)),0)</f>
        <v/>
      </c>
      <c r="DG91" s="347">
        <f>Table410[[#This Row],[Nov_2026_F]]-Table410[[#This Row],[Nov_2026_A]]</f>
        <v/>
      </c>
      <c r="DH91" s="103" t="n"/>
      <c r="DI91" s="347">
        <f>IFERROR(Table410[[#This Row],[Dec_2026_Days_Forecast]]*Table410[[#This Row],[Cost Boolean]]*(VLOOKUP(Table410[[#This Row],[RATE CONCAT]],Tables!I:N,5,0)),0)</f>
        <v/>
      </c>
      <c r="DJ91" s="347">
        <f>IFERROR(Table410[[#This Row],[Dec_2026_Days_Actual]]*Table410[[#This Row],[Cost Boolean]]*(VLOOKUP(Table410[[#This Row],[RATE CONCAT]],Tables!I:N,5,0)),0)</f>
        <v/>
      </c>
      <c r="DK91" s="348">
        <f>Table410[[#This Row],[Dec_2026_F]]-Table410[[#This Row],[Dec_2026_A]]</f>
        <v/>
      </c>
      <c r="DL91" s="103" t="n"/>
      <c r="DM91" s="346" t="n"/>
      <c r="DN91" s="347">
        <f>IFERROR(Table410[[#This Row],[Jan_2027_Days_Forecast]]*Table410[[#This Row],[Cost Boolean]]*(VLOOKUP(Table410[[#This Row],[RATE CONCAT]],Tables!I:N,6,0)),0)</f>
        <v/>
      </c>
      <c r="DO91" s="275" t="n"/>
      <c r="DP91" s="347">
        <f>Table410[[#This Row],[Jan_2027_F]]-Table410[[#This Row],[Jan_2027_A]]</f>
        <v/>
      </c>
      <c r="DQ91" s="347">
        <f>IFERROR(Table410[[#This Row],[Feb_2027_Days_Forecast]]*Table410[[#This Row],[Cost Boolean]]*(VLOOKUP(Table410[[#This Row],[RATE CONCAT]],Tables!I:N,6,0)),0)</f>
        <v/>
      </c>
      <c r="DR91" s="275" t="n"/>
      <c r="DS91" s="347">
        <f>Table410[[#This Row],[Feb_2027_F]]-Table410[[#This Row],[Feb_2027_A]]</f>
        <v/>
      </c>
      <c r="DT91" s="347">
        <f>IFERROR(Table410[[#This Row],[Mar_2027_Days_Forecast]]*Table410[[#This Row],[Cost Boolean]]*(VLOOKUP(Table410[[#This Row],[RATE CONCAT]],Tables!I:N,6,0)),0)</f>
        <v/>
      </c>
      <c r="DU91" s="275" t="n"/>
      <c r="DV91" s="347">
        <f>Table410[[#This Row],[Mar_2027_F]]-Table410[[#This Row],[Mar_2027_A]]</f>
        <v/>
      </c>
      <c r="DW91" s="347">
        <f>IFERROR(Table410[[#This Row],[Apr_2027_Days_Forecast]]*Table410[[#This Row],[Cost Boolean]]*(VLOOKUP(Table410[[#This Row],[RATE CONCAT]],Tables!I:N,6,0)),0)</f>
        <v/>
      </c>
      <c r="DX91" s="275" t="n"/>
      <c r="DY91" s="347">
        <f>Table410[[#This Row],[Apr_2027_F]]-Table410[[#This Row],[Apr_2027_A]]</f>
        <v/>
      </c>
      <c r="DZ91" s="347">
        <f>IFERROR(Table410[[#This Row],[May_2027_Days_Forecast]]*Table410[[#This Row],[Cost Boolean]]*(VLOOKUP(Table410[[#This Row],[RATE CONCAT]],Tables!I:N,6,0)),0)</f>
        <v/>
      </c>
      <c r="EA91" s="275" t="n"/>
      <c r="EB91" s="347">
        <f>Table410[[#This Row],[May_2027_F]]-Table410[[#This Row],[May_2027_A]]</f>
        <v/>
      </c>
      <c r="EC91" s="347">
        <f>IFERROR(Table410[[#This Row],[Jun_2027_Days_Forecast]]*Table410[[#This Row],[Cost Boolean]]*(VLOOKUP(Table410[[#This Row],[RATE CONCAT]],Tables!I:N,6,0)),0)</f>
        <v/>
      </c>
      <c r="ED91" s="275" t="n"/>
      <c r="EE91" s="347">
        <f>Table410[[#This Row],[Jun_2027_F]]-Table410[[#This Row],[Jun_2027_A]]</f>
        <v/>
      </c>
      <c r="EF91" s="347">
        <f>IFERROR(Table410[[#This Row],[Jul_2027_Days_Forecast]]*Table410[[#This Row],[Cost Boolean]]*(VLOOKUP(Table410[[#This Row],[RATE CONCAT]],Tables!I:N,6,0)),0)</f>
        <v/>
      </c>
      <c r="EG91" s="275" t="n"/>
      <c r="EH91" s="347">
        <f>Table410[[#This Row],[Jul_2027_F]]-Table410[[#This Row],[Jul_2027_A]]</f>
        <v/>
      </c>
      <c r="EI91" s="347">
        <f>IFERROR(Table410[[#This Row],[Aug_2027_Days_Forecast]]*Table410[[#This Row],[Cost Boolean]]*(VLOOKUP(Table410[[#This Row],[RATE CONCAT]],Tables!I:N,6,0)),0)</f>
        <v/>
      </c>
      <c r="EJ91" s="275" t="n"/>
      <c r="EK91" s="347">
        <f>Table410[[#This Row],[Aug_2027_F]]-Table410[[#This Row],[Aug_2027_A]]</f>
        <v/>
      </c>
      <c r="EL91" s="347">
        <f>IFERROR(Table410[[#This Row],[Sep_2027_Days_Forecast]]*Table410[[#This Row],[Cost Boolean]]*(VLOOKUP(Table410[[#This Row],[RATE CONCAT]],Tables!I:N,6,0)),0)</f>
        <v/>
      </c>
      <c r="EM91" s="275" t="n"/>
      <c r="EN91" s="347">
        <f>Table410[[#This Row],[Sep_2027_F]]-Table410[[#This Row],[Sep_2027_A]]</f>
        <v/>
      </c>
      <c r="EO91" s="347">
        <f>IFERROR(Table410[[#This Row],[Oct_2027_Days_Forecast]]*Table410[[#This Row],[Cost Boolean]]*(VLOOKUP(Table410[[#This Row],[RATE CONCAT]],Tables!I:N,6,0)),0)</f>
        <v/>
      </c>
      <c r="EP91" s="275" t="n"/>
      <c r="EQ91" s="347">
        <f>Table410[[#This Row],[Oct_2027_F]]-Table410[[#This Row],[Oct_2027_A]]</f>
        <v/>
      </c>
      <c r="ER91" s="347">
        <f>IFERROR(Table410[[#This Row],[Nov_2027_Days_Forecast]]*Table410[[#This Row],[Cost Boolean]]*(VLOOKUP(Table410[[#This Row],[RATE CONCAT]],Tables!I:N,6,0)),0)</f>
        <v/>
      </c>
      <c r="ES91" s="275" t="n"/>
      <c r="ET91" s="347">
        <f>Table410[[#This Row],[Nov_2027_F]]-Table410[[#This Row],[Nov_2027_A]]</f>
        <v/>
      </c>
      <c r="EU91" s="347">
        <f>IFERROR(Table410[[#This Row],[Dec_2027_Days_Forecast]]*Table410[[#This Row],[Cost Boolean]]*(VLOOKUP(Table410[[#This Row],[RATE CONCAT]],Tables!I:N,6,0)),0)</f>
        <v/>
      </c>
      <c r="EV91" s="275" t="n"/>
      <c r="EW91" s="347">
        <f>Table410[[#This Row],[Dec_2027_F]]-Table410[[#This Row],[Dec_2027_A]]</f>
        <v/>
      </c>
    </row>
    <row r="92" ht="1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338">
        <f>CONCATENATE(Table410[[#This Row],[JG]],Table410[[#This Row],[Country]],Table410[[#This Row],[Resource Provider]])</f>
        <v/>
      </c>
      <c r="Z92" s="338">
        <f>VLOOKUP(Table410[[#This Row],[RATE CONCAT]],Tables!I:N,5,0)</f>
        <v/>
      </c>
      <c r="AA92" s="123" t="n"/>
      <c r="AB92" s="127" t="n"/>
      <c r="AC92" s="127" t="n"/>
      <c r="AD92" s="127" t="n"/>
      <c r="AE92" s="130" t="n"/>
      <c r="AF92" s="130" t="n"/>
      <c r="AG92" s="130" t="n"/>
      <c r="AH92" s="130" t="n"/>
      <c r="AI92" s="130" t="n"/>
      <c r="AJ92" s="130" t="n"/>
      <c r="AK92" s="130" t="n"/>
      <c r="AL92" s="130" t="n"/>
      <c r="AM92" s="130" t="n"/>
      <c r="AN92" s="341">
        <f>IFERROR(AVERAGE(Table410[[#This Row],[Jan_2026_Days_Forecast]:[Dec_2026_Days_Forecast]]),0)/19</f>
        <v/>
      </c>
      <c r="AO92" s="341">
        <f>IFERROR(AVERAGE(Table410[[#This Row],[Jan_2026_Days_Actual]:[Dec_2026_Days_Actual]]),0)/19</f>
        <v/>
      </c>
      <c r="AP92" s="84" t="n"/>
      <c r="AQ92" s="84" t="n"/>
      <c r="AR92" s="84" t="n"/>
      <c r="AS92" s="84" t="n"/>
      <c r="AT92" s="84" t="n"/>
      <c r="AU92" s="84" t="n"/>
      <c r="AV92" s="84" t="n"/>
      <c r="AW92" s="84" t="n"/>
      <c r="AX92" s="84" t="n"/>
      <c r="AY92" s="84" t="n"/>
      <c r="AZ92" s="84" t="n"/>
      <c r="BA92" s="84" t="n"/>
      <c r="BB92" s="341">
        <f>IFERROR(AVERAGE(Table410[[#This Row],[Jan_2027_Days_Forecast]:[Dec_2027_Days_Forecast]]),0)</f>
        <v/>
      </c>
      <c r="BC92" s="129" t="n"/>
      <c r="BD92" s="129" t="n"/>
      <c r="BE92" s="129" t="n"/>
      <c r="BF92" s="129" t="n"/>
      <c r="BG92" s="129" t="n"/>
      <c r="BH92" s="129" t="n"/>
      <c r="BI92" s="129" t="n"/>
      <c r="BJ92" s="129" t="n"/>
      <c r="BK92" s="129" t="n"/>
      <c r="BL92" s="129" t="n"/>
      <c r="BM92" s="129" t="n"/>
      <c r="BN92" s="129" t="n"/>
      <c r="BO92" s="176" t="n"/>
      <c r="BP92" s="176" t="n"/>
      <c r="BQ92" s="345">
        <f>IFERROR(Table410[[#This Row],[Jan_2026_Days_Forecast]]*Table410[[#This Row],[Cost Boolean]]*(VLOOKUP(Table410[[#This Row],[RATE CONCAT]],Tables!I:N,5,0)),0)</f>
        <v/>
      </c>
      <c r="BR92" s="345">
        <f>IFERROR(Table410[[#This Row],[Jan_2026_Days_Actual]]*Table410[[#This Row],[Cost Boolean]]*(VLOOKUP(Table410[[#This Row],[RATE CONCAT]],Tables!I:N,5,0)),0)</f>
        <v/>
      </c>
      <c r="BS92" s="338">
        <f>Table410[[#This Row],[Jan_2026_F]]-Table410[[#This Row],[Jan_2026_A]]</f>
        <v/>
      </c>
      <c r="BT92" s="114" t="n"/>
      <c r="BU92" s="338">
        <f>IFERROR(Table410[[#This Row],[Feb_2026_Days_Forecast]]*Table410[[#This Row],[Cost Boolean]]*(VLOOKUP(Table410[[#This Row],[RATE CONCAT]],Tables!I:N,5,0)),0)</f>
        <v/>
      </c>
      <c r="BV92" s="345">
        <f>IFERROR(Table410[[#This Row],[Feb_2026_Days_Actual]]*Table410[[#This Row],[Cost Boolean]]*(VLOOKUP(Table410[[#This Row],[RATE CONCAT]],Tables!I:N,5,0)),0)</f>
        <v/>
      </c>
      <c r="BW92" s="338">
        <f>Table410[[#This Row],[Feb_2026_F]]-Table410[[#This Row],[Feb_2026_A]]</f>
        <v/>
      </c>
      <c r="BX92" s="275" t="n"/>
      <c r="BY92" s="345">
        <f>IFERROR(Table410[[#This Row],[Mar_2026_Days_Forecast]]*Table410[[#This Row],[Cost Boolean]]*(VLOOKUP(Table410[[#This Row],[RATE CONCAT]],Tables!I:N,5,0)),0)</f>
        <v/>
      </c>
      <c r="BZ92" s="345">
        <f>IFERROR(Table410[[#This Row],[Mar_2026_Days_Actual]]*Table410[[#This Row],[Cost Boolean]]*(VLOOKUP(Table410[[#This Row],[RATE CONCAT]],Tables!I:N,5,0)),0)</f>
        <v/>
      </c>
      <c r="CA92" s="345">
        <f>Table410[[#This Row],[Mar_2026_F]]-Table410[[#This Row],[Mar_2026_A]]</f>
        <v/>
      </c>
      <c r="CB92" s="103" t="n"/>
      <c r="CC92" s="345">
        <f>IFERROR(Table410[[#This Row],[Apr_2026_Days_Forecast]]*Table410[[#This Row],[Cost Boolean]]*(VLOOKUP(Table410[[#This Row],[RATE CONCAT]],Tables!I:N,5,0)),0)</f>
        <v/>
      </c>
      <c r="CD92" s="345">
        <f>IFERROR(Table410[[#This Row],[Apr_2026_Days_Actual]]*Table410[[#This Row],[Cost Boolean]]*(VLOOKUP(Table410[[#This Row],[RATE CONCAT]],Tables!I:N,5,0)),0)</f>
        <v/>
      </c>
      <c r="CE92" s="345">
        <f>Table410[[#This Row],[Apr_2026_F]]-Table410[[#This Row],[Apr_2026_A]]</f>
        <v/>
      </c>
      <c r="CF92" s="103" t="n"/>
      <c r="CG92" s="345">
        <f>IFERROR(Table410[[#This Row],[May_2026_Days_Forecast]] *Table410[[#This Row],[Cost Boolean]]*(VLOOKUP(Table410[[#This Row],[RATE CONCAT]],Tables!I:N,5,0)),0)</f>
        <v/>
      </c>
      <c r="CH92" s="345">
        <f>IFERROR(Table410[[#This Row],[May_2026_Days_Actual]]*Table410[[#This Row],[Cost Boolean]]*(VLOOKUP(Table410[[#This Row],[RATE CONCAT]],Tables!I:N,5,0)),0)</f>
        <v/>
      </c>
      <c r="CI92" s="345">
        <f>Table410[[#This Row],[May_2026_F]]-Table410[[#This Row],[May_2026_A]]</f>
        <v/>
      </c>
      <c r="CJ92" s="103" t="n"/>
      <c r="CK92" s="345">
        <f>IFERROR(Table410[[#This Row],[Jun_2026_Days_Forecast]]*Table410[[#This Row],[Cost Boolean]]*(VLOOKUP(Table410[[#This Row],[RATE CONCAT]],Tables!I:N,5,0)),0)</f>
        <v/>
      </c>
      <c r="CL92" s="345">
        <f>IFERROR(Table410[[#This Row],[Jun_2026_Days_Actual]]*Table410[[#This Row],[Cost Boolean]]*(VLOOKUP(Table410[[#This Row],[RATE CONCAT]],Tables!I:N,5,0)),0)</f>
        <v/>
      </c>
      <c r="CM92" s="345">
        <f>Table410[[#This Row],[Jun_2026_F]]-Table410[[#This Row],[Jun_2026_A]]</f>
        <v/>
      </c>
      <c r="CN92" s="103" t="n"/>
      <c r="CO92" s="345">
        <f>IFERROR(Table410[[#This Row],[Jul_2026_Days_Forecast]]*Table410[[#This Row],[Cost Boolean]]*(VLOOKUP(Table410[[#This Row],[RATE CONCAT]],Tables!I:N,5,0)),0)</f>
        <v/>
      </c>
      <c r="CP92" s="345">
        <f>IFERROR(Table410[[#This Row],[Jul_2026_Days_Actual]]*Table410[[#This Row],[Cost Boolean]]*(VLOOKUP(Table410[[#This Row],[RATE CONCAT]],Tables!I:N,5,0)),0)</f>
        <v/>
      </c>
      <c r="CQ92" s="345">
        <f>Table410[[#This Row],[Jul_2026_F]]-Table410[[#This Row],[Jul_2026_A]]</f>
        <v/>
      </c>
      <c r="CR92" s="103" t="n"/>
      <c r="CS92" s="345">
        <f>IFERROR(Table410[[#This Row],[Aug_2026_Days_Forecast]]*Table410[[#This Row],[Cost Boolean]]*(VLOOKUP(Table410[[#This Row],[RATE CONCAT]],Tables!I:N,5,0)),0)</f>
        <v/>
      </c>
      <c r="CT92" s="345">
        <f>IFERROR(Table410[[#This Row],[Aug_2026_Days_Actual]]*Table410[[#This Row],[Cost Boolean]]*(VLOOKUP(Table410[[#This Row],[RATE CONCAT]],Tables!I:N,5,0)),0)</f>
        <v/>
      </c>
      <c r="CU92" s="345">
        <f>Table410[[#This Row],[Aug_2026_F]]-Table410[[#This Row],[Aug_2026_A]]</f>
        <v/>
      </c>
      <c r="CV92" s="103" t="n"/>
      <c r="CW92" s="345">
        <f>IFERROR(Table410[[#This Row],[Sep_2026_Days_Forecast]]*Table410[[#This Row],[Cost Boolean]]*(VLOOKUP(Table410[[#This Row],[RATE CONCAT]],Tables!I:N,5,0)),0)</f>
        <v/>
      </c>
      <c r="CX92" s="345">
        <f>IFERROR(Table410[[#This Row],[Sep_2026_Days_Actual]]*Table410[[#This Row],[Cost Boolean]]*(VLOOKUP(Table410[[#This Row],[RATE CONCAT]],Tables!I:N,5,0)),0)</f>
        <v/>
      </c>
      <c r="CY92" s="345">
        <f>Table410[[#This Row],[Sep_2026_F]]-Table410[[#This Row],[Sep_2026_A]]</f>
        <v/>
      </c>
      <c r="CZ92" s="103" t="n"/>
      <c r="DA92" s="345">
        <f>IFERROR(Table410[[#This Row],[Oct_2026_Days_Forecast]]*Table410[[#This Row],[Cost Boolean]]*(VLOOKUP(Table410[[#This Row],[RATE CONCAT]],Tables!I:N,5,0)),0)</f>
        <v/>
      </c>
      <c r="DB92" s="345">
        <f>IFERROR(Table410[[#This Row],[Oct_2026_Days_Actual]]*Table410[[#This Row],[Cost Boolean]]*(VLOOKUP(Table410[[#This Row],[RATE CONCAT]],Tables!I:N,5,0)),0)</f>
        <v/>
      </c>
      <c r="DC92" s="345">
        <f>Table410[[#This Row],[Oct_2026_F]]-Table410[[#This Row],[Oct_2026_A]]</f>
        <v/>
      </c>
      <c r="DD92" s="103" t="n"/>
      <c r="DE92" s="345">
        <f>IFERROR(Table410[[#This Row],[Nov_2026_Days_Forecast]]*Table410[[#This Row],[Cost Boolean]]*(VLOOKUP(Table410[[#This Row],[RATE CONCAT]],Tables!I:N,5,0)),0)</f>
        <v/>
      </c>
      <c r="DF92" s="345">
        <f>IFERROR(Table410[[#This Row],[Nov_2026_Days_Actual]]*Table410[[#This Row],[Cost Boolean]]*(VLOOKUP(Table410[[#This Row],[RATE CONCAT]],Tables!I:N,5,0)),0)</f>
        <v/>
      </c>
      <c r="DG92" s="345">
        <f>Table410[[#This Row],[Nov_2026_F]]-Table410[[#This Row],[Nov_2026_A]]</f>
        <v/>
      </c>
      <c r="DH92" s="103" t="n"/>
      <c r="DI92" s="345">
        <f>IFERROR(Table410[[#This Row],[Dec_2026_Days_Forecast]]*Table410[[#This Row],[Cost Boolean]]*(VLOOKUP(Table410[[#This Row],[RATE CONCAT]],Tables!I:N,5,0)),0)</f>
        <v/>
      </c>
      <c r="DJ92" s="345">
        <f>IFERROR(Table410[[#This Row],[Dec_2026_Days_Actual]]*Table410[[#This Row],[Cost Boolean]]*(VLOOKUP(Table410[[#This Row],[RATE CONCAT]],Tables!I:N,5,0)),0)</f>
        <v/>
      </c>
      <c r="DK92" s="349">
        <f>Table410[[#This Row],[Dec_2026_F]]-Table410[[#This Row],[Dec_2026_A]]</f>
        <v/>
      </c>
      <c r="DL92" s="103" t="n"/>
      <c r="DM92" s="346" t="n"/>
      <c r="DN92" s="345">
        <f>IFERROR(Table410[[#This Row],[Jan_2027_Days_Forecast]]*Table410[[#This Row],[Cost Boolean]]*(VLOOKUP(Table410[[#This Row],[RATE CONCAT]],Tables!I:N,6,0)),0)</f>
        <v/>
      </c>
      <c r="DO92" s="275" t="n"/>
      <c r="DP92" s="345">
        <f>Table410[[#This Row],[Jan_2027_F]]-Table410[[#This Row],[Jan_2027_A]]</f>
        <v/>
      </c>
      <c r="DQ92" s="345">
        <f>IFERROR(Table410[[#This Row],[Feb_2027_Days_Forecast]]*Table410[[#This Row],[Cost Boolean]]*(VLOOKUP(Table410[[#This Row],[RATE CONCAT]],Tables!I:N,6,0)),0)</f>
        <v/>
      </c>
      <c r="DR92" s="275" t="n"/>
      <c r="DS92" s="345">
        <f>Table410[[#This Row],[Feb_2027_F]]-Table410[[#This Row],[Feb_2027_A]]</f>
        <v/>
      </c>
      <c r="DT92" s="345">
        <f>IFERROR(Table410[[#This Row],[Mar_2027_Days_Forecast]]*Table410[[#This Row],[Cost Boolean]]*(VLOOKUP(Table410[[#This Row],[RATE CONCAT]],Tables!I:N,6,0)),0)</f>
        <v/>
      </c>
      <c r="DU92" s="275" t="n"/>
      <c r="DV92" s="345">
        <f>Table410[[#This Row],[Mar_2027_F]]-Table410[[#This Row],[Mar_2027_A]]</f>
        <v/>
      </c>
      <c r="DW92" s="345">
        <f>IFERROR(Table410[[#This Row],[Apr_2027_Days_Forecast]]*Table410[[#This Row],[Cost Boolean]]*(VLOOKUP(Table410[[#This Row],[RATE CONCAT]],Tables!I:N,6,0)),0)</f>
        <v/>
      </c>
      <c r="DX92" s="275" t="n"/>
      <c r="DY92" s="345">
        <f>Table410[[#This Row],[Apr_2027_F]]-Table410[[#This Row],[Apr_2027_A]]</f>
        <v/>
      </c>
      <c r="DZ92" s="345">
        <f>IFERROR(Table410[[#This Row],[May_2027_Days_Forecast]]*Table410[[#This Row],[Cost Boolean]]*(VLOOKUP(Table410[[#This Row],[RATE CONCAT]],Tables!I:N,6,0)),0)</f>
        <v/>
      </c>
      <c r="EA92" s="275" t="n"/>
      <c r="EB92" s="345">
        <f>Table410[[#This Row],[May_2027_F]]-Table410[[#This Row],[May_2027_A]]</f>
        <v/>
      </c>
      <c r="EC92" s="345">
        <f>IFERROR(Table410[[#This Row],[Jun_2027_Days_Forecast]]*Table410[[#This Row],[Cost Boolean]]*(VLOOKUP(Table410[[#This Row],[RATE CONCAT]],Tables!I:N,6,0)),0)</f>
        <v/>
      </c>
      <c r="ED92" s="275" t="n"/>
      <c r="EE92" s="345">
        <f>Table410[[#This Row],[Jun_2027_F]]-Table410[[#This Row],[Jun_2027_A]]</f>
        <v/>
      </c>
      <c r="EF92" s="345">
        <f>IFERROR(Table410[[#This Row],[Jul_2027_Days_Forecast]]*Table410[[#This Row],[Cost Boolean]]*(VLOOKUP(Table410[[#This Row],[RATE CONCAT]],Tables!I:N,6,0)),0)</f>
        <v/>
      </c>
      <c r="EG92" s="275" t="n"/>
      <c r="EH92" s="345">
        <f>Table410[[#This Row],[Jul_2027_F]]-Table410[[#This Row],[Jul_2027_A]]</f>
        <v/>
      </c>
      <c r="EI92" s="345">
        <f>IFERROR(Table410[[#This Row],[Aug_2027_Days_Forecast]]*Table410[[#This Row],[Cost Boolean]]*(VLOOKUP(Table410[[#This Row],[RATE CONCAT]],Tables!I:N,6,0)),0)</f>
        <v/>
      </c>
      <c r="EJ92" s="275" t="n"/>
      <c r="EK92" s="345">
        <f>Table410[[#This Row],[Aug_2027_F]]-Table410[[#This Row],[Aug_2027_A]]</f>
        <v/>
      </c>
      <c r="EL92" s="345">
        <f>IFERROR(Table410[[#This Row],[Sep_2027_Days_Forecast]]*Table410[[#This Row],[Cost Boolean]]*(VLOOKUP(Table410[[#This Row],[RATE CONCAT]],Tables!I:N,6,0)),0)</f>
        <v/>
      </c>
      <c r="EM92" s="275" t="n"/>
      <c r="EN92" s="345">
        <f>Table410[[#This Row],[Sep_2027_F]]-Table410[[#This Row],[Sep_2027_A]]</f>
        <v/>
      </c>
      <c r="EO92" s="345">
        <f>IFERROR(Table410[[#This Row],[Oct_2027_Days_Forecast]]*Table410[[#This Row],[Cost Boolean]]*(VLOOKUP(Table410[[#This Row],[RATE CONCAT]],Tables!I:N,6,0)),0)</f>
        <v/>
      </c>
      <c r="EP92" s="275" t="n"/>
      <c r="EQ92" s="345">
        <f>Table410[[#This Row],[Oct_2027_F]]-Table410[[#This Row],[Oct_2027_A]]</f>
        <v/>
      </c>
      <c r="ER92" s="345">
        <f>IFERROR(Table410[[#This Row],[Nov_2027_Days_Forecast]]*Table410[[#This Row],[Cost Boolean]]*(VLOOKUP(Table410[[#This Row],[RATE CONCAT]],Tables!I:N,6,0)),0)</f>
        <v/>
      </c>
      <c r="ES92" s="275" t="n"/>
      <c r="ET92" s="345">
        <f>Table410[[#This Row],[Nov_2027_F]]-Table410[[#This Row],[Nov_2027_A]]</f>
        <v/>
      </c>
      <c r="EU92" s="345">
        <f>IFERROR(Table410[[#This Row],[Dec_2027_Days_Forecast]]*Table410[[#This Row],[Cost Boolean]]*(VLOOKUP(Table410[[#This Row],[RATE CONCAT]],Tables!I:N,6,0)),0)</f>
        <v/>
      </c>
      <c r="EV92" s="275" t="n"/>
      <c r="EW92" s="345">
        <f>Table410[[#This Row],[Dec_2027_F]]-Table410[[#This Row],[Dec_2027_A]]</f>
        <v/>
      </c>
    </row>
    <row r="93" ht="1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342">
        <f>CONCATENATE(Table410[[#This Row],[JG]],Table410[[#This Row],[Country]],Table410[[#This Row],[Resource Provider]])</f>
        <v/>
      </c>
      <c r="Z93" s="342">
        <f>VLOOKUP(Table410[[#This Row],[RATE CONCAT]],Tables!I:N,5,0)</f>
        <v/>
      </c>
      <c r="AA93" s="123" t="n"/>
      <c r="AB93" s="127" t="n"/>
      <c r="AC93" s="127" t="n"/>
      <c r="AD93" s="127" t="n"/>
      <c r="AE93" s="130" t="n"/>
      <c r="AF93" s="130" t="n"/>
      <c r="AG93" s="130" t="n"/>
      <c r="AH93" s="130" t="n"/>
      <c r="AI93" s="130" t="n"/>
      <c r="AJ93" s="130" t="n"/>
      <c r="AK93" s="130" t="n"/>
      <c r="AL93" s="130" t="n"/>
      <c r="AM93" s="130" t="n"/>
      <c r="AN93" s="341">
        <f>IFERROR(AVERAGE(Table410[[#This Row],[Jan_2026_Days_Forecast]:[Dec_2026_Days_Forecast]]),0)/19</f>
        <v/>
      </c>
      <c r="AO93" s="341">
        <f>IFERROR(AVERAGE(Table410[[#This Row],[Jan_2026_Days_Actual]:[Dec_2026_Days_Actual]]),0)/19</f>
        <v/>
      </c>
      <c r="AP93" s="84" t="n"/>
      <c r="AQ93" s="84" t="n"/>
      <c r="AR93" s="84" t="n"/>
      <c r="AS93" s="84" t="n"/>
      <c r="AT93" s="84" t="n"/>
      <c r="AU93" s="84" t="n"/>
      <c r="AV93" s="84" t="n"/>
      <c r="AW93" s="84" t="n"/>
      <c r="AX93" s="84" t="n"/>
      <c r="AY93" s="84" t="n"/>
      <c r="AZ93" s="84" t="n"/>
      <c r="BA93" s="84" t="n"/>
      <c r="BB93" s="341">
        <f>IFERROR(AVERAGE(Table410[[#This Row],[Jan_2027_Days_Forecast]:[Dec_2027_Days_Forecast]]),0)</f>
        <v/>
      </c>
      <c r="BC93" s="129" t="n"/>
      <c r="BD93" s="129" t="n"/>
      <c r="BE93" s="129" t="n"/>
      <c r="BF93" s="129" t="n"/>
      <c r="BG93" s="129" t="n"/>
      <c r="BH93" s="129" t="n"/>
      <c r="BI93" s="129" t="n"/>
      <c r="BJ93" s="129" t="n"/>
      <c r="BK93" s="129" t="n"/>
      <c r="BL93" s="129" t="n"/>
      <c r="BM93" s="129" t="n"/>
      <c r="BN93" s="129" t="n"/>
      <c r="BO93" s="176" t="n"/>
      <c r="BP93" s="176" t="n"/>
      <c r="BQ93" s="347">
        <f>IFERROR(Table410[[#This Row],[Jan_2026_Days_Forecast]]*Table410[[#This Row],[Cost Boolean]]*(VLOOKUP(Table410[[#This Row],[RATE CONCAT]],Tables!I:N,5,0)),0)</f>
        <v/>
      </c>
      <c r="BR93" s="347">
        <f>IFERROR(Table410[[#This Row],[Jan_2026_Days_Actual]]*Table410[[#This Row],[Cost Boolean]]*(VLOOKUP(Table410[[#This Row],[RATE CONCAT]],Tables!I:N,5,0)),0)</f>
        <v/>
      </c>
      <c r="BS93" s="342">
        <f>Table410[[#This Row],[Jan_2026_F]]-Table410[[#This Row],[Jan_2026_A]]</f>
        <v/>
      </c>
      <c r="BT93" s="114" t="n"/>
      <c r="BU93" s="342">
        <f>IFERROR(Table410[[#This Row],[Feb_2026_Days_Forecast]]*Table410[[#This Row],[Cost Boolean]]*(VLOOKUP(Table410[[#This Row],[RATE CONCAT]],Tables!I:N,5,0)),0)</f>
        <v/>
      </c>
      <c r="BV93" s="347">
        <f>IFERROR(Table410[[#This Row],[Feb_2026_Days_Actual]]*Table410[[#This Row],[Cost Boolean]]*(VLOOKUP(Table410[[#This Row],[RATE CONCAT]],Tables!I:N,5,0)),0)</f>
        <v/>
      </c>
      <c r="BW93" s="342">
        <f>Table410[[#This Row],[Feb_2026_F]]-Table410[[#This Row],[Feb_2026_A]]</f>
        <v/>
      </c>
      <c r="BX93" s="275" t="n"/>
      <c r="BY93" s="347">
        <f>IFERROR(Table410[[#This Row],[Mar_2026_Days_Forecast]]*Table410[[#This Row],[Cost Boolean]]*(VLOOKUP(Table410[[#This Row],[RATE CONCAT]],Tables!I:N,5,0)),0)</f>
        <v/>
      </c>
      <c r="BZ93" s="347">
        <f>IFERROR(Table410[[#This Row],[Mar_2026_Days_Actual]]*Table410[[#This Row],[Cost Boolean]]*(VLOOKUP(Table410[[#This Row],[RATE CONCAT]],Tables!I:N,5,0)),0)</f>
        <v/>
      </c>
      <c r="CA93" s="347">
        <f>Table410[[#This Row],[Mar_2026_F]]-Table410[[#This Row],[Mar_2026_A]]</f>
        <v/>
      </c>
      <c r="CB93" s="103" t="n"/>
      <c r="CC93" s="347">
        <f>IFERROR(Table410[[#This Row],[Apr_2026_Days_Forecast]]*Table410[[#This Row],[Cost Boolean]]*(VLOOKUP(Table410[[#This Row],[RATE CONCAT]],Tables!I:N,5,0)),0)</f>
        <v/>
      </c>
      <c r="CD93" s="347">
        <f>IFERROR(Table410[[#This Row],[Apr_2026_Days_Actual]]*Table410[[#This Row],[Cost Boolean]]*(VLOOKUP(Table410[[#This Row],[RATE CONCAT]],Tables!I:N,5,0)),0)</f>
        <v/>
      </c>
      <c r="CE93" s="347">
        <f>Table410[[#This Row],[Apr_2026_F]]-Table410[[#This Row],[Apr_2026_A]]</f>
        <v/>
      </c>
      <c r="CF93" s="103" t="n"/>
      <c r="CG93" s="347">
        <f>IFERROR(Table410[[#This Row],[May_2026_Days_Forecast]] *Table410[[#This Row],[Cost Boolean]]*(VLOOKUP(Table410[[#This Row],[RATE CONCAT]],Tables!I:N,5,0)),0)</f>
        <v/>
      </c>
      <c r="CH93" s="347">
        <f>IFERROR(Table410[[#This Row],[May_2026_Days_Actual]]*Table410[[#This Row],[Cost Boolean]]*(VLOOKUP(Table410[[#This Row],[RATE CONCAT]],Tables!I:N,5,0)),0)</f>
        <v/>
      </c>
      <c r="CI93" s="347">
        <f>Table410[[#This Row],[May_2026_F]]-Table410[[#This Row],[May_2026_A]]</f>
        <v/>
      </c>
      <c r="CJ93" s="103" t="n"/>
      <c r="CK93" s="347">
        <f>IFERROR(Table410[[#This Row],[Jun_2026_Days_Forecast]]*Table410[[#This Row],[Cost Boolean]]*(VLOOKUP(Table410[[#This Row],[RATE CONCAT]],Tables!I:N,5,0)),0)</f>
        <v/>
      </c>
      <c r="CL93" s="347">
        <f>IFERROR(Table410[[#This Row],[Jun_2026_Days_Actual]]*Table410[[#This Row],[Cost Boolean]]*(VLOOKUP(Table410[[#This Row],[RATE CONCAT]],Tables!I:N,5,0)),0)</f>
        <v/>
      </c>
      <c r="CM93" s="347">
        <f>Table410[[#This Row],[Jun_2026_F]]-Table410[[#This Row],[Jun_2026_A]]</f>
        <v/>
      </c>
      <c r="CN93" s="103" t="n"/>
      <c r="CO93" s="347">
        <f>IFERROR(Table410[[#This Row],[Jul_2026_Days_Forecast]]*Table410[[#This Row],[Cost Boolean]]*(VLOOKUP(Table410[[#This Row],[RATE CONCAT]],Tables!I:N,5,0)),0)</f>
        <v/>
      </c>
      <c r="CP93" s="347">
        <f>IFERROR(Table410[[#This Row],[Jul_2026_Days_Actual]]*Table410[[#This Row],[Cost Boolean]]*(VLOOKUP(Table410[[#This Row],[RATE CONCAT]],Tables!I:N,5,0)),0)</f>
        <v/>
      </c>
      <c r="CQ93" s="347">
        <f>Table410[[#This Row],[Jul_2026_F]]-Table410[[#This Row],[Jul_2026_A]]</f>
        <v/>
      </c>
      <c r="CR93" s="103" t="n"/>
      <c r="CS93" s="347">
        <f>IFERROR(Table410[[#This Row],[Aug_2026_Days_Forecast]]*Table410[[#This Row],[Cost Boolean]]*(VLOOKUP(Table410[[#This Row],[RATE CONCAT]],Tables!I:N,5,0)),0)</f>
        <v/>
      </c>
      <c r="CT93" s="347">
        <f>IFERROR(Table410[[#This Row],[Aug_2026_Days_Actual]]*Table410[[#This Row],[Cost Boolean]]*(VLOOKUP(Table410[[#This Row],[RATE CONCAT]],Tables!I:N,5,0)),0)</f>
        <v/>
      </c>
      <c r="CU93" s="347">
        <f>Table410[[#This Row],[Aug_2026_F]]-Table410[[#This Row],[Aug_2026_A]]</f>
        <v/>
      </c>
      <c r="CV93" s="103" t="n"/>
      <c r="CW93" s="347">
        <f>IFERROR(Table410[[#This Row],[Sep_2026_Days_Forecast]]*Table410[[#This Row],[Cost Boolean]]*(VLOOKUP(Table410[[#This Row],[RATE CONCAT]],Tables!I:N,5,0)),0)</f>
        <v/>
      </c>
      <c r="CX93" s="347">
        <f>IFERROR(Table410[[#This Row],[Sep_2026_Days_Actual]]*Table410[[#This Row],[Cost Boolean]]*(VLOOKUP(Table410[[#This Row],[RATE CONCAT]],Tables!I:N,5,0)),0)</f>
        <v/>
      </c>
      <c r="CY93" s="347">
        <f>Table410[[#This Row],[Sep_2026_F]]-Table410[[#This Row],[Sep_2026_A]]</f>
        <v/>
      </c>
      <c r="CZ93" s="103" t="n"/>
      <c r="DA93" s="347">
        <f>IFERROR(Table410[[#This Row],[Oct_2026_Days_Forecast]]*Table410[[#This Row],[Cost Boolean]]*(VLOOKUP(Table410[[#This Row],[RATE CONCAT]],Tables!I:N,5,0)),0)</f>
        <v/>
      </c>
      <c r="DB93" s="347">
        <f>IFERROR(Table410[[#This Row],[Oct_2026_Days_Actual]]*Table410[[#This Row],[Cost Boolean]]*(VLOOKUP(Table410[[#This Row],[RATE CONCAT]],Tables!I:N,5,0)),0)</f>
        <v/>
      </c>
      <c r="DC93" s="347">
        <f>Table410[[#This Row],[Oct_2026_F]]-Table410[[#This Row],[Oct_2026_A]]</f>
        <v/>
      </c>
      <c r="DD93" s="103" t="n"/>
      <c r="DE93" s="347">
        <f>IFERROR(Table410[[#This Row],[Nov_2026_Days_Forecast]]*Table410[[#This Row],[Cost Boolean]]*(VLOOKUP(Table410[[#This Row],[RATE CONCAT]],Tables!I:N,5,0)),0)</f>
        <v/>
      </c>
      <c r="DF93" s="347">
        <f>IFERROR(Table410[[#This Row],[Nov_2026_Days_Actual]]*Table410[[#This Row],[Cost Boolean]]*(VLOOKUP(Table410[[#This Row],[RATE CONCAT]],Tables!I:N,5,0)),0)</f>
        <v/>
      </c>
      <c r="DG93" s="347">
        <f>Table410[[#This Row],[Nov_2026_F]]-Table410[[#This Row],[Nov_2026_A]]</f>
        <v/>
      </c>
      <c r="DH93" s="103" t="n"/>
      <c r="DI93" s="347">
        <f>IFERROR(Table410[[#This Row],[Dec_2026_Days_Forecast]]*Table410[[#This Row],[Cost Boolean]]*(VLOOKUP(Table410[[#This Row],[RATE CONCAT]],Tables!I:N,5,0)),0)</f>
        <v/>
      </c>
      <c r="DJ93" s="347">
        <f>IFERROR(Table410[[#This Row],[Dec_2026_Days_Actual]]*Table410[[#This Row],[Cost Boolean]]*(VLOOKUP(Table410[[#This Row],[RATE CONCAT]],Tables!I:N,5,0)),0)</f>
        <v/>
      </c>
      <c r="DK93" s="348">
        <f>Table410[[#This Row],[Dec_2026_F]]-Table410[[#This Row],[Dec_2026_A]]</f>
        <v/>
      </c>
      <c r="DL93" s="103" t="n"/>
      <c r="DM93" s="346" t="n"/>
      <c r="DN93" s="347">
        <f>IFERROR(Table410[[#This Row],[Jan_2027_Days_Forecast]]*Table410[[#This Row],[Cost Boolean]]*(VLOOKUP(Table410[[#This Row],[RATE CONCAT]],Tables!I:N,6,0)),0)</f>
        <v/>
      </c>
      <c r="DO93" s="275" t="n"/>
      <c r="DP93" s="347">
        <f>Table410[[#This Row],[Jan_2027_F]]-Table410[[#This Row],[Jan_2027_A]]</f>
        <v/>
      </c>
      <c r="DQ93" s="347">
        <f>IFERROR(Table410[[#This Row],[Feb_2027_Days_Forecast]]*Table410[[#This Row],[Cost Boolean]]*(VLOOKUP(Table410[[#This Row],[RATE CONCAT]],Tables!I:N,6,0)),0)</f>
        <v/>
      </c>
      <c r="DR93" s="275" t="n"/>
      <c r="DS93" s="347">
        <f>Table410[[#This Row],[Feb_2027_F]]-Table410[[#This Row],[Feb_2027_A]]</f>
        <v/>
      </c>
      <c r="DT93" s="347">
        <f>IFERROR(Table410[[#This Row],[Mar_2027_Days_Forecast]]*Table410[[#This Row],[Cost Boolean]]*(VLOOKUP(Table410[[#This Row],[RATE CONCAT]],Tables!I:N,6,0)),0)</f>
        <v/>
      </c>
      <c r="DU93" s="275" t="n"/>
      <c r="DV93" s="347">
        <f>Table410[[#This Row],[Mar_2027_F]]-Table410[[#This Row],[Mar_2027_A]]</f>
        <v/>
      </c>
      <c r="DW93" s="347">
        <f>IFERROR(Table410[[#This Row],[Apr_2027_Days_Forecast]]*Table410[[#This Row],[Cost Boolean]]*(VLOOKUP(Table410[[#This Row],[RATE CONCAT]],Tables!I:N,6,0)),0)</f>
        <v/>
      </c>
      <c r="DX93" s="275" t="n"/>
      <c r="DY93" s="347">
        <f>Table410[[#This Row],[Apr_2027_F]]-Table410[[#This Row],[Apr_2027_A]]</f>
        <v/>
      </c>
      <c r="DZ93" s="347">
        <f>IFERROR(Table410[[#This Row],[May_2027_Days_Forecast]]*Table410[[#This Row],[Cost Boolean]]*(VLOOKUP(Table410[[#This Row],[RATE CONCAT]],Tables!I:N,6,0)),0)</f>
        <v/>
      </c>
      <c r="EA93" s="275" t="n"/>
      <c r="EB93" s="347">
        <f>Table410[[#This Row],[May_2027_F]]-Table410[[#This Row],[May_2027_A]]</f>
        <v/>
      </c>
      <c r="EC93" s="347">
        <f>IFERROR(Table410[[#This Row],[Jun_2027_Days_Forecast]]*Table410[[#This Row],[Cost Boolean]]*(VLOOKUP(Table410[[#This Row],[RATE CONCAT]],Tables!I:N,6,0)),0)</f>
        <v/>
      </c>
      <c r="ED93" s="275" t="n"/>
      <c r="EE93" s="347">
        <f>Table410[[#This Row],[Jun_2027_F]]-Table410[[#This Row],[Jun_2027_A]]</f>
        <v/>
      </c>
      <c r="EF93" s="347">
        <f>IFERROR(Table410[[#This Row],[Jul_2027_Days_Forecast]]*Table410[[#This Row],[Cost Boolean]]*(VLOOKUP(Table410[[#This Row],[RATE CONCAT]],Tables!I:N,6,0)),0)</f>
        <v/>
      </c>
      <c r="EG93" s="275" t="n"/>
      <c r="EH93" s="347">
        <f>Table410[[#This Row],[Jul_2027_F]]-Table410[[#This Row],[Jul_2027_A]]</f>
        <v/>
      </c>
      <c r="EI93" s="347">
        <f>IFERROR(Table410[[#This Row],[Aug_2027_Days_Forecast]]*Table410[[#This Row],[Cost Boolean]]*(VLOOKUP(Table410[[#This Row],[RATE CONCAT]],Tables!I:N,6,0)),0)</f>
        <v/>
      </c>
      <c r="EJ93" s="275" t="n"/>
      <c r="EK93" s="347">
        <f>Table410[[#This Row],[Aug_2027_F]]-Table410[[#This Row],[Aug_2027_A]]</f>
        <v/>
      </c>
      <c r="EL93" s="347">
        <f>IFERROR(Table410[[#This Row],[Sep_2027_Days_Forecast]]*Table410[[#This Row],[Cost Boolean]]*(VLOOKUP(Table410[[#This Row],[RATE CONCAT]],Tables!I:N,6,0)),0)</f>
        <v/>
      </c>
      <c r="EM93" s="275" t="n"/>
      <c r="EN93" s="347">
        <f>Table410[[#This Row],[Sep_2027_F]]-Table410[[#This Row],[Sep_2027_A]]</f>
        <v/>
      </c>
      <c r="EO93" s="347">
        <f>IFERROR(Table410[[#This Row],[Oct_2027_Days_Forecast]]*Table410[[#This Row],[Cost Boolean]]*(VLOOKUP(Table410[[#This Row],[RATE CONCAT]],Tables!I:N,6,0)),0)</f>
        <v/>
      </c>
      <c r="EP93" s="275" t="n"/>
      <c r="EQ93" s="347">
        <f>Table410[[#This Row],[Oct_2027_F]]-Table410[[#This Row],[Oct_2027_A]]</f>
        <v/>
      </c>
      <c r="ER93" s="347">
        <f>IFERROR(Table410[[#This Row],[Nov_2027_Days_Forecast]]*Table410[[#This Row],[Cost Boolean]]*(VLOOKUP(Table410[[#This Row],[RATE CONCAT]],Tables!I:N,6,0)),0)</f>
        <v/>
      </c>
      <c r="ES93" s="275" t="n"/>
      <c r="ET93" s="347">
        <f>Table410[[#This Row],[Nov_2027_F]]-Table410[[#This Row],[Nov_2027_A]]</f>
        <v/>
      </c>
      <c r="EU93" s="347">
        <f>IFERROR(Table410[[#This Row],[Dec_2027_Days_Forecast]]*Table410[[#This Row],[Cost Boolean]]*(VLOOKUP(Table410[[#This Row],[RATE CONCAT]],Tables!I:N,6,0)),0)</f>
        <v/>
      </c>
      <c r="EV93" s="275" t="n"/>
      <c r="EW93" s="347">
        <f>Table410[[#This Row],[Dec_2027_F]]-Table410[[#This Row],[Dec_2027_A]]</f>
        <v/>
      </c>
    </row>
    <row r="94" ht="1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338">
        <f>CONCATENATE(Table410[[#This Row],[JG]],Table410[[#This Row],[Country]],Table410[[#This Row],[Resource Provider]])</f>
        <v/>
      </c>
      <c r="Z94" s="338">
        <f>VLOOKUP(Table410[[#This Row],[RATE CONCAT]],Tables!I:N,5,0)</f>
        <v/>
      </c>
      <c r="AA94" s="123" t="n"/>
      <c r="AB94" s="130" t="n"/>
      <c r="AC94" s="130" t="n"/>
      <c r="AD94" s="130" t="n"/>
      <c r="AE94" s="130" t="n"/>
      <c r="AF94" s="130" t="n"/>
      <c r="AG94" s="130" t="n"/>
      <c r="AH94" s="130" t="n"/>
      <c r="AI94" s="130" t="n"/>
      <c r="AJ94" s="130" t="n"/>
      <c r="AK94" s="130" t="n"/>
      <c r="AL94" s="130" t="n"/>
      <c r="AM94" s="130" t="n"/>
      <c r="AN94" s="341">
        <f>IFERROR(AVERAGE(Table410[[#This Row],[Jan_2026_Days_Forecast]:[Dec_2026_Days_Forecast]]),0)/19</f>
        <v/>
      </c>
      <c r="AO94" s="341">
        <f>IFERROR(AVERAGE(Table410[[#This Row],[Jan_2026_Days_Actual]:[Dec_2026_Days_Actual]]),0)/19</f>
        <v/>
      </c>
      <c r="AP94" s="84" t="n"/>
      <c r="AQ94" s="84" t="n"/>
      <c r="AR94" s="84" t="n"/>
      <c r="AS94" s="84" t="n"/>
      <c r="AT94" s="84" t="n"/>
      <c r="AU94" s="84" t="n"/>
      <c r="AV94" s="84" t="n"/>
      <c r="AW94" s="84" t="n"/>
      <c r="AX94" s="84" t="n"/>
      <c r="AY94" s="84" t="n"/>
      <c r="AZ94" s="84" t="n"/>
      <c r="BA94" s="84" t="n"/>
      <c r="BB94" s="341">
        <f>IFERROR(AVERAGE(Table410[[#This Row],[Jan_2027_Days_Forecast]:[Dec_2027_Days_Forecast]]),0)</f>
        <v/>
      </c>
      <c r="BC94" s="129" t="n"/>
      <c r="BD94" s="129" t="n"/>
      <c r="BE94" s="129" t="n"/>
      <c r="BF94" s="129" t="n"/>
      <c r="BG94" s="129" t="n"/>
      <c r="BH94" s="129" t="n"/>
      <c r="BI94" s="129" t="n"/>
      <c r="BJ94" s="129" t="n"/>
      <c r="BK94" s="129" t="n"/>
      <c r="BL94" s="129" t="n"/>
      <c r="BM94" s="129" t="n"/>
      <c r="BN94" s="129" t="n"/>
      <c r="BO94" s="176" t="n"/>
      <c r="BP94" s="176" t="n"/>
      <c r="BQ94" s="345">
        <f>IFERROR(Table410[[#This Row],[Jan_2026_Days_Forecast]]*Table410[[#This Row],[Cost Boolean]]*(VLOOKUP(Table410[[#This Row],[RATE CONCAT]],Tables!I:N,5,0)),0)</f>
        <v/>
      </c>
      <c r="BR94" s="345">
        <f>IFERROR(Table410[[#This Row],[Jan_2026_Days_Actual]]*Table410[[#This Row],[Cost Boolean]]*(VLOOKUP(Table410[[#This Row],[RATE CONCAT]],Tables!I:N,5,0)),0)</f>
        <v/>
      </c>
      <c r="BS94" s="338">
        <f>Table410[[#This Row],[Jan_2026_F]]-Table410[[#This Row],[Jan_2026_A]]</f>
        <v/>
      </c>
      <c r="BT94" s="114" t="n"/>
      <c r="BU94" s="338">
        <f>IFERROR(Table410[[#This Row],[Feb_2026_Days_Forecast]]*Table410[[#This Row],[Cost Boolean]]*(VLOOKUP(Table410[[#This Row],[RATE CONCAT]],Tables!I:N,5,0)),0)</f>
        <v/>
      </c>
      <c r="BV94" s="345">
        <f>IFERROR(Table410[[#This Row],[Feb_2026_Days_Actual]]*Table410[[#This Row],[Cost Boolean]]*(VLOOKUP(Table410[[#This Row],[RATE CONCAT]],Tables!I:N,5,0)),0)</f>
        <v/>
      </c>
      <c r="BW94" s="338">
        <f>Table410[[#This Row],[Feb_2026_F]]-Table410[[#This Row],[Feb_2026_A]]</f>
        <v/>
      </c>
      <c r="BX94" s="275" t="n"/>
      <c r="BY94" s="345">
        <f>IFERROR(Table410[[#This Row],[Mar_2026_Days_Forecast]]*Table410[[#This Row],[Cost Boolean]]*(VLOOKUP(Table410[[#This Row],[RATE CONCAT]],Tables!I:N,5,0)),0)</f>
        <v/>
      </c>
      <c r="BZ94" s="345">
        <f>IFERROR(Table410[[#This Row],[Mar_2026_Days_Actual]]*Table410[[#This Row],[Cost Boolean]]*(VLOOKUP(Table410[[#This Row],[RATE CONCAT]],Tables!I:N,5,0)),0)</f>
        <v/>
      </c>
      <c r="CA94" s="345">
        <f>Table410[[#This Row],[Mar_2026_F]]-Table410[[#This Row],[Mar_2026_A]]</f>
        <v/>
      </c>
      <c r="CB94" s="103" t="n"/>
      <c r="CC94" s="345">
        <f>IFERROR(Table410[[#This Row],[Apr_2026_Days_Forecast]]*Table410[[#This Row],[Cost Boolean]]*(VLOOKUP(Table410[[#This Row],[RATE CONCAT]],Tables!I:N,5,0)),0)</f>
        <v/>
      </c>
      <c r="CD94" s="345">
        <f>IFERROR(Table410[[#This Row],[Apr_2026_Days_Actual]]*Table410[[#This Row],[Cost Boolean]]*(VLOOKUP(Table410[[#This Row],[RATE CONCAT]],Tables!I:N,5,0)),0)</f>
        <v/>
      </c>
      <c r="CE94" s="345">
        <f>Table410[[#This Row],[Apr_2026_F]]-Table410[[#This Row],[Apr_2026_A]]</f>
        <v/>
      </c>
      <c r="CF94" s="103" t="n"/>
      <c r="CG94" s="345">
        <f>IFERROR(Table410[[#This Row],[May_2026_Days_Forecast]] *Table410[[#This Row],[Cost Boolean]]*(VLOOKUP(Table410[[#This Row],[RATE CONCAT]],Tables!I:N,5,0)),0)</f>
        <v/>
      </c>
      <c r="CH94" s="345">
        <f>IFERROR(Table410[[#This Row],[May_2026_Days_Actual]]*Table410[[#This Row],[Cost Boolean]]*(VLOOKUP(Table410[[#This Row],[RATE CONCAT]],Tables!I:N,5,0)),0)</f>
        <v/>
      </c>
      <c r="CI94" s="345">
        <f>Table410[[#This Row],[May_2026_F]]-Table410[[#This Row],[May_2026_A]]</f>
        <v/>
      </c>
      <c r="CJ94" s="103" t="n"/>
      <c r="CK94" s="345">
        <f>IFERROR(Table410[[#This Row],[Jun_2026_Days_Forecast]]*Table410[[#This Row],[Cost Boolean]]*(VLOOKUP(Table410[[#This Row],[RATE CONCAT]],Tables!I:N,5,0)),0)</f>
        <v/>
      </c>
      <c r="CL94" s="345">
        <f>IFERROR(Table410[[#This Row],[Jun_2026_Days_Actual]]*Table410[[#This Row],[Cost Boolean]]*(VLOOKUP(Table410[[#This Row],[RATE CONCAT]],Tables!I:N,5,0)),0)</f>
        <v/>
      </c>
      <c r="CM94" s="345">
        <f>Table410[[#This Row],[Jun_2026_F]]-Table410[[#This Row],[Jun_2026_A]]</f>
        <v/>
      </c>
      <c r="CN94" s="103" t="n"/>
      <c r="CO94" s="345">
        <f>IFERROR(Table410[[#This Row],[Jul_2026_Days_Forecast]]*Table410[[#This Row],[Cost Boolean]]*(VLOOKUP(Table410[[#This Row],[RATE CONCAT]],Tables!I:N,5,0)),0)</f>
        <v/>
      </c>
      <c r="CP94" s="345">
        <f>IFERROR(Table410[[#This Row],[Jul_2026_Days_Actual]]*Table410[[#This Row],[Cost Boolean]]*(VLOOKUP(Table410[[#This Row],[RATE CONCAT]],Tables!I:N,5,0)),0)</f>
        <v/>
      </c>
      <c r="CQ94" s="345">
        <f>Table410[[#This Row],[Jul_2026_F]]-Table410[[#This Row],[Jul_2026_A]]</f>
        <v/>
      </c>
      <c r="CR94" s="103" t="n"/>
      <c r="CS94" s="345">
        <f>IFERROR(Table410[[#This Row],[Aug_2026_Days_Forecast]]*Table410[[#This Row],[Cost Boolean]]*(VLOOKUP(Table410[[#This Row],[RATE CONCAT]],Tables!I:N,5,0)),0)</f>
        <v/>
      </c>
      <c r="CT94" s="345">
        <f>IFERROR(Table410[[#This Row],[Aug_2026_Days_Actual]]*Table410[[#This Row],[Cost Boolean]]*(VLOOKUP(Table410[[#This Row],[RATE CONCAT]],Tables!I:N,5,0)),0)</f>
        <v/>
      </c>
      <c r="CU94" s="345">
        <f>Table410[[#This Row],[Aug_2026_F]]-Table410[[#This Row],[Aug_2026_A]]</f>
        <v/>
      </c>
      <c r="CV94" s="103" t="n"/>
      <c r="CW94" s="345">
        <f>IFERROR(Table410[[#This Row],[Sep_2026_Days_Forecast]]*Table410[[#This Row],[Cost Boolean]]*(VLOOKUP(Table410[[#This Row],[RATE CONCAT]],Tables!I:N,5,0)),0)</f>
        <v/>
      </c>
      <c r="CX94" s="345">
        <f>IFERROR(Table410[[#This Row],[Sep_2026_Days_Actual]]*Table410[[#This Row],[Cost Boolean]]*(VLOOKUP(Table410[[#This Row],[RATE CONCAT]],Tables!I:N,5,0)),0)</f>
        <v/>
      </c>
      <c r="CY94" s="345">
        <f>Table410[[#This Row],[Sep_2026_F]]-Table410[[#This Row],[Sep_2026_A]]</f>
        <v/>
      </c>
      <c r="CZ94" s="103" t="n"/>
      <c r="DA94" s="345">
        <f>IFERROR(Table410[[#This Row],[Oct_2026_Days_Forecast]]*Table410[[#This Row],[Cost Boolean]]*(VLOOKUP(Table410[[#This Row],[RATE CONCAT]],Tables!I:N,5,0)),0)</f>
        <v/>
      </c>
      <c r="DB94" s="345">
        <f>IFERROR(Table410[[#This Row],[Oct_2026_Days_Actual]]*Table410[[#This Row],[Cost Boolean]]*(VLOOKUP(Table410[[#This Row],[RATE CONCAT]],Tables!I:N,5,0)),0)</f>
        <v/>
      </c>
      <c r="DC94" s="345">
        <f>Table410[[#This Row],[Oct_2026_F]]-Table410[[#This Row],[Oct_2026_A]]</f>
        <v/>
      </c>
      <c r="DD94" s="103" t="n"/>
      <c r="DE94" s="345">
        <f>IFERROR(Table410[[#This Row],[Nov_2026_Days_Forecast]]*Table410[[#This Row],[Cost Boolean]]*(VLOOKUP(Table410[[#This Row],[RATE CONCAT]],Tables!I:N,5,0)),0)</f>
        <v/>
      </c>
      <c r="DF94" s="345">
        <f>IFERROR(Table410[[#This Row],[Nov_2026_Days_Actual]]*Table410[[#This Row],[Cost Boolean]]*(VLOOKUP(Table410[[#This Row],[RATE CONCAT]],Tables!I:N,5,0)),0)</f>
        <v/>
      </c>
      <c r="DG94" s="345">
        <f>Table410[[#This Row],[Nov_2026_F]]-Table410[[#This Row],[Nov_2026_A]]</f>
        <v/>
      </c>
      <c r="DH94" s="103" t="n"/>
      <c r="DI94" s="345">
        <f>IFERROR(Table410[[#This Row],[Dec_2026_Days_Forecast]]*Table410[[#This Row],[Cost Boolean]]*(VLOOKUP(Table410[[#This Row],[RATE CONCAT]],Tables!I:N,5,0)),0)</f>
        <v/>
      </c>
      <c r="DJ94" s="345">
        <f>IFERROR(Table410[[#This Row],[Dec_2026_Days_Actual]]*Table410[[#This Row],[Cost Boolean]]*(VLOOKUP(Table410[[#This Row],[RATE CONCAT]],Tables!I:N,5,0)),0)</f>
        <v/>
      </c>
      <c r="DK94" s="349">
        <f>Table410[[#This Row],[Dec_2026_F]]-Table410[[#This Row],[Dec_2026_A]]</f>
        <v/>
      </c>
      <c r="DL94" s="103" t="n"/>
      <c r="DM94" s="346" t="n"/>
      <c r="DN94" s="345">
        <f>IFERROR(Table410[[#This Row],[Jan_2027_Days_Forecast]]*Table410[[#This Row],[Cost Boolean]]*(VLOOKUP(Table410[[#This Row],[RATE CONCAT]],Tables!I:N,6,0)),0)</f>
        <v/>
      </c>
      <c r="DO94" s="275" t="n"/>
      <c r="DP94" s="345">
        <f>Table410[[#This Row],[Jan_2027_F]]-Table410[[#This Row],[Jan_2027_A]]</f>
        <v/>
      </c>
      <c r="DQ94" s="345">
        <f>IFERROR(Table410[[#This Row],[Feb_2027_Days_Forecast]]*Table410[[#This Row],[Cost Boolean]]*(VLOOKUP(Table410[[#This Row],[RATE CONCAT]],Tables!I:N,6,0)),0)</f>
        <v/>
      </c>
      <c r="DR94" s="275" t="n"/>
      <c r="DS94" s="345">
        <f>Table410[[#This Row],[Feb_2027_F]]-Table410[[#This Row],[Feb_2027_A]]</f>
        <v/>
      </c>
      <c r="DT94" s="345">
        <f>IFERROR(Table410[[#This Row],[Mar_2027_Days_Forecast]]*Table410[[#This Row],[Cost Boolean]]*(VLOOKUP(Table410[[#This Row],[RATE CONCAT]],Tables!I:N,6,0)),0)</f>
        <v/>
      </c>
      <c r="DU94" s="275" t="n"/>
      <c r="DV94" s="345">
        <f>Table410[[#This Row],[Mar_2027_F]]-Table410[[#This Row],[Mar_2027_A]]</f>
        <v/>
      </c>
      <c r="DW94" s="345">
        <f>IFERROR(Table410[[#This Row],[Apr_2027_Days_Forecast]]*Table410[[#This Row],[Cost Boolean]]*(VLOOKUP(Table410[[#This Row],[RATE CONCAT]],Tables!I:N,6,0)),0)</f>
        <v/>
      </c>
      <c r="DX94" s="275" t="n"/>
      <c r="DY94" s="345">
        <f>Table410[[#This Row],[Apr_2027_F]]-Table410[[#This Row],[Apr_2027_A]]</f>
        <v/>
      </c>
      <c r="DZ94" s="345">
        <f>IFERROR(Table410[[#This Row],[May_2027_Days_Forecast]]*Table410[[#This Row],[Cost Boolean]]*(VLOOKUP(Table410[[#This Row],[RATE CONCAT]],Tables!I:N,6,0)),0)</f>
        <v/>
      </c>
      <c r="EA94" s="275" t="n"/>
      <c r="EB94" s="345">
        <f>Table410[[#This Row],[May_2027_F]]-Table410[[#This Row],[May_2027_A]]</f>
        <v/>
      </c>
      <c r="EC94" s="345">
        <f>IFERROR(Table410[[#This Row],[Jun_2027_Days_Forecast]]*Table410[[#This Row],[Cost Boolean]]*(VLOOKUP(Table410[[#This Row],[RATE CONCAT]],Tables!I:N,6,0)),0)</f>
        <v/>
      </c>
      <c r="ED94" s="275" t="n"/>
      <c r="EE94" s="345">
        <f>Table410[[#This Row],[Jun_2027_F]]-Table410[[#This Row],[Jun_2027_A]]</f>
        <v/>
      </c>
      <c r="EF94" s="345">
        <f>IFERROR(Table410[[#This Row],[Jul_2027_Days_Forecast]]*Table410[[#This Row],[Cost Boolean]]*(VLOOKUP(Table410[[#This Row],[RATE CONCAT]],Tables!I:N,6,0)),0)</f>
        <v/>
      </c>
      <c r="EG94" s="275" t="n"/>
      <c r="EH94" s="345">
        <f>Table410[[#This Row],[Jul_2027_F]]-Table410[[#This Row],[Jul_2027_A]]</f>
        <v/>
      </c>
      <c r="EI94" s="345">
        <f>IFERROR(Table410[[#This Row],[Aug_2027_Days_Forecast]]*Table410[[#This Row],[Cost Boolean]]*(VLOOKUP(Table410[[#This Row],[RATE CONCAT]],Tables!I:N,6,0)),0)</f>
        <v/>
      </c>
      <c r="EJ94" s="275" t="n"/>
      <c r="EK94" s="345">
        <f>Table410[[#This Row],[Aug_2027_F]]-Table410[[#This Row],[Aug_2027_A]]</f>
        <v/>
      </c>
      <c r="EL94" s="345">
        <f>IFERROR(Table410[[#This Row],[Sep_2027_Days_Forecast]]*Table410[[#This Row],[Cost Boolean]]*(VLOOKUP(Table410[[#This Row],[RATE CONCAT]],Tables!I:N,6,0)),0)</f>
        <v/>
      </c>
      <c r="EM94" s="275" t="n"/>
      <c r="EN94" s="345">
        <f>Table410[[#This Row],[Sep_2027_F]]-Table410[[#This Row],[Sep_2027_A]]</f>
        <v/>
      </c>
      <c r="EO94" s="345">
        <f>IFERROR(Table410[[#This Row],[Oct_2027_Days_Forecast]]*Table410[[#This Row],[Cost Boolean]]*(VLOOKUP(Table410[[#This Row],[RATE CONCAT]],Tables!I:N,6,0)),0)</f>
        <v/>
      </c>
      <c r="EP94" s="275" t="n"/>
      <c r="EQ94" s="345">
        <f>Table410[[#This Row],[Oct_2027_F]]-Table410[[#This Row],[Oct_2027_A]]</f>
        <v/>
      </c>
      <c r="ER94" s="345">
        <f>IFERROR(Table410[[#This Row],[Nov_2027_Days_Forecast]]*Table410[[#This Row],[Cost Boolean]]*(VLOOKUP(Table410[[#This Row],[RATE CONCAT]],Tables!I:N,6,0)),0)</f>
        <v/>
      </c>
      <c r="ES94" s="275" t="n"/>
      <c r="ET94" s="345">
        <f>Table410[[#This Row],[Nov_2027_F]]-Table410[[#This Row],[Nov_2027_A]]</f>
        <v/>
      </c>
      <c r="EU94" s="345">
        <f>IFERROR(Table410[[#This Row],[Dec_2027_Days_Forecast]]*Table410[[#This Row],[Cost Boolean]]*(VLOOKUP(Table410[[#This Row],[RATE CONCAT]],Tables!I:N,6,0)),0)</f>
        <v/>
      </c>
      <c r="EV94" s="275" t="n"/>
      <c r="EW94" s="345">
        <f>Table410[[#This Row],[Dec_2027_F]]-Table410[[#This Row],[Dec_2027_A]]</f>
        <v/>
      </c>
    </row>
    <row r="95" ht="1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342">
        <f>CONCATENATE(Table410[[#This Row],[JG]],Table410[[#This Row],[Country]],Table410[[#This Row],[Resource Provider]])</f>
        <v/>
      </c>
      <c r="Z95" s="342">
        <f>VLOOKUP(Table410[[#This Row],[RATE CONCAT]],Tables!I:N,5,0)</f>
        <v/>
      </c>
      <c r="AA95" s="123" t="n"/>
      <c r="AB95" s="130" t="n"/>
      <c r="AC95" s="130" t="n"/>
      <c r="AD95" s="130" t="n"/>
      <c r="AE95" s="130" t="n"/>
      <c r="AF95" s="130" t="n"/>
      <c r="AG95" s="130" t="n"/>
      <c r="AH95" s="130" t="n"/>
      <c r="AI95" s="130" t="n"/>
      <c r="AJ95" s="130" t="n"/>
      <c r="AK95" s="130" t="n"/>
      <c r="AL95" s="130" t="n"/>
      <c r="AM95" s="130" t="n"/>
      <c r="AN95" s="341">
        <f>IFERROR(AVERAGE(Table410[[#This Row],[Jan_2026_Days_Forecast]:[Dec_2026_Days_Forecast]]),0)/19</f>
        <v/>
      </c>
      <c r="AO95" s="341">
        <f>IFERROR(AVERAGE(Table410[[#This Row],[Jan_2026_Days_Actual]:[Dec_2026_Days_Actual]]),0)/19</f>
        <v/>
      </c>
      <c r="AP95" s="84" t="n"/>
      <c r="AQ95" s="84" t="n"/>
      <c r="AR95" s="84" t="n"/>
      <c r="AS95" s="84" t="n"/>
      <c r="AT95" s="84" t="n"/>
      <c r="AU95" s="84" t="n"/>
      <c r="AV95" s="84" t="n"/>
      <c r="AW95" s="84" t="n"/>
      <c r="AX95" s="84" t="n"/>
      <c r="AY95" s="84" t="n"/>
      <c r="AZ95" s="84" t="n"/>
      <c r="BA95" s="84" t="n"/>
      <c r="BB95" s="341">
        <f>IFERROR(AVERAGE(Table410[[#This Row],[Jan_2027_Days_Forecast]:[Dec_2027_Days_Forecast]]),0)</f>
        <v/>
      </c>
      <c r="BC95" s="129" t="n"/>
      <c r="BD95" s="129" t="n"/>
      <c r="BE95" s="129" t="n"/>
      <c r="BF95" s="129" t="n"/>
      <c r="BG95" s="129" t="n"/>
      <c r="BH95" s="129" t="n"/>
      <c r="BI95" s="129" t="n"/>
      <c r="BJ95" s="129" t="n"/>
      <c r="BK95" s="129" t="n"/>
      <c r="BL95" s="129" t="n"/>
      <c r="BM95" s="129" t="n"/>
      <c r="BN95" s="129" t="n"/>
      <c r="BO95" s="176" t="n"/>
      <c r="BP95" s="176" t="n"/>
      <c r="BQ95" s="347">
        <f>IFERROR(Table410[[#This Row],[Jan_2026_Days_Forecast]]*Table410[[#This Row],[Cost Boolean]]*(VLOOKUP(Table410[[#This Row],[RATE CONCAT]],Tables!I:N,5,0)),0)</f>
        <v/>
      </c>
      <c r="BR95" s="347">
        <f>IFERROR(Table410[[#This Row],[Jan_2026_Days_Actual]]*Table410[[#This Row],[Cost Boolean]]*(VLOOKUP(Table410[[#This Row],[RATE CONCAT]],Tables!I:N,5,0)),0)</f>
        <v/>
      </c>
      <c r="BS95" s="342">
        <f>Table410[[#This Row],[Jan_2026_F]]-Table410[[#This Row],[Jan_2026_A]]</f>
        <v/>
      </c>
      <c r="BT95" s="114" t="n"/>
      <c r="BU95" s="342">
        <f>IFERROR(Table410[[#This Row],[Feb_2026_Days_Forecast]]*Table410[[#This Row],[Cost Boolean]]*(VLOOKUP(Table410[[#This Row],[RATE CONCAT]],Tables!I:N,5,0)),0)</f>
        <v/>
      </c>
      <c r="BV95" s="347">
        <f>IFERROR(Table410[[#This Row],[Feb_2026_Days_Actual]]*Table410[[#This Row],[Cost Boolean]]*(VLOOKUP(Table410[[#This Row],[RATE CONCAT]],Tables!I:N,5,0)),0)</f>
        <v/>
      </c>
      <c r="BW95" s="342">
        <f>Table410[[#This Row],[Feb_2026_F]]-Table410[[#This Row],[Feb_2026_A]]</f>
        <v/>
      </c>
      <c r="BX95" s="275" t="n"/>
      <c r="BY95" s="347">
        <f>IFERROR(Table410[[#This Row],[Mar_2026_Days_Forecast]]*Table410[[#This Row],[Cost Boolean]]*(VLOOKUP(Table410[[#This Row],[RATE CONCAT]],Tables!I:N,5,0)),0)</f>
        <v/>
      </c>
      <c r="BZ95" s="347">
        <f>IFERROR(Table410[[#This Row],[Mar_2026_Days_Actual]]*Table410[[#This Row],[Cost Boolean]]*(VLOOKUP(Table410[[#This Row],[RATE CONCAT]],Tables!I:N,5,0)),0)</f>
        <v/>
      </c>
      <c r="CA95" s="347">
        <f>Table410[[#This Row],[Mar_2026_F]]-Table410[[#This Row],[Mar_2026_A]]</f>
        <v/>
      </c>
      <c r="CB95" s="103" t="n"/>
      <c r="CC95" s="347">
        <f>IFERROR(Table410[[#This Row],[Apr_2026_Days_Forecast]]*Table410[[#This Row],[Cost Boolean]]*(VLOOKUP(Table410[[#This Row],[RATE CONCAT]],Tables!I:N,5,0)),0)</f>
        <v/>
      </c>
      <c r="CD95" s="347">
        <f>IFERROR(Table410[[#This Row],[Apr_2026_Days_Actual]]*Table410[[#This Row],[Cost Boolean]]*(VLOOKUP(Table410[[#This Row],[RATE CONCAT]],Tables!I:N,5,0)),0)</f>
        <v/>
      </c>
      <c r="CE95" s="347">
        <f>Table410[[#This Row],[Apr_2026_F]]-Table410[[#This Row],[Apr_2026_A]]</f>
        <v/>
      </c>
      <c r="CF95" s="103" t="n"/>
      <c r="CG95" s="347">
        <f>IFERROR(Table410[[#This Row],[May_2026_Days_Forecast]] *Table410[[#This Row],[Cost Boolean]]*(VLOOKUP(Table410[[#This Row],[RATE CONCAT]],Tables!I:N,5,0)),0)</f>
        <v/>
      </c>
      <c r="CH95" s="347">
        <f>IFERROR(Table410[[#This Row],[May_2026_Days_Actual]]*Table410[[#This Row],[Cost Boolean]]*(VLOOKUP(Table410[[#This Row],[RATE CONCAT]],Tables!I:N,5,0)),0)</f>
        <v/>
      </c>
      <c r="CI95" s="347">
        <f>Table410[[#This Row],[May_2026_F]]-Table410[[#This Row],[May_2026_A]]</f>
        <v/>
      </c>
      <c r="CJ95" s="103" t="n"/>
      <c r="CK95" s="347">
        <f>IFERROR(Table410[[#This Row],[Jun_2026_Days_Forecast]]*Table410[[#This Row],[Cost Boolean]]*(VLOOKUP(Table410[[#This Row],[RATE CONCAT]],Tables!I:N,5,0)),0)</f>
        <v/>
      </c>
      <c r="CL95" s="347">
        <f>IFERROR(Table410[[#This Row],[Jun_2026_Days_Actual]]*Table410[[#This Row],[Cost Boolean]]*(VLOOKUP(Table410[[#This Row],[RATE CONCAT]],Tables!I:N,5,0)),0)</f>
        <v/>
      </c>
      <c r="CM95" s="347">
        <f>Table410[[#This Row],[Jun_2026_F]]-Table410[[#This Row],[Jun_2026_A]]</f>
        <v/>
      </c>
      <c r="CN95" s="103" t="n"/>
      <c r="CO95" s="347">
        <f>IFERROR(Table410[[#This Row],[Jul_2026_Days_Forecast]]*Table410[[#This Row],[Cost Boolean]]*(VLOOKUP(Table410[[#This Row],[RATE CONCAT]],Tables!I:N,5,0)),0)</f>
        <v/>
      </c>
      <c r="CP95" s="347">
        <f>IFERROR(Table410[[#This Row],[Jul_2026_Days_Actual]]*Table410[[#This Row],[Cost Boolean]]*(VLOOKUP(Table410[[#This Row],[RATE CONCAT]],Tables!I:N,5,0)),0)</f>
        <v/>
      </c>
      <c r="CQ95" s="347">
        <f>Table410[[#This Row],[Jul_2026_F]]-Table410[[#This Row],[Jul_2026_A]]</f>
        <v/>
      </c>
      <c r="CR95" s="103" t="n"/>
      <c r="CS95" s="347">
        <f>IFERROR(Table410[[#This Row],[Aug_2026_Days_Forecast]]*Table410[[#This Row],[Cost Boolean]]*(VLOOKUP(Table410[[#This Row],[RATE CONCAT]],Tables!I:N,5,0)),0)</f>
        <v/>
      </c>
      <c r="CT95" s="347">
        <f>IFERROR(Table410[[#This Row],[Aug_2026_Days_Actual]]*Table410[[#This Row],[Cost Boolean]]*(VLOOKUP(Table410[[#This Row],[RATE CONCAT]],Tables!I:N,5,0)),0)</f>
        <v/>
      </c>
      <c r="CU95" s="347">
        <f>Table410[[#This Row],[Aug_2026_F]]-Table410[[#This Row],[Aug_2026_A]]</f>
        <v/>
      </c>
      <c r="CV95" s="103" t="n"/>
      <c r="CW95" s="347">
        <f>IFERROR(Table410[[#This Row],[Sep_2026_Days_Forecast]]*Table410[[#This Row],[Cost Boolean]]*(VLOOKUP(Table410[[#This Row],[RATE CONCAT]],Tables!I:N,5,0)),0)</f>
        <v/>
      </c>
      <c r="CX95" s="347">
        <f>IFERROR(Table410[[#This Row],[Sep_2026_Days_Actual]]*Table410[[#This Row],[Cost Boolean]]*(VLOOKUP(Table410[[#This Row],[RATE CONCAT]],Tables!I:N,5,0)),0)</f>
        <v/>
      </c>
      <c r="CY95" s="347">
        <f>Table410[[#This Row],[Sep_2026_F]]-Table410[[#This Row],[Sep_2026_A]]</f>
        <v/>
      </c>
      <c r="CZ95" s="103" t="n"/>
      <c r="DA95" s="347">
        <f>IFERROR(Table410[[#This Row],[Oct_2026_Days_Forecast]]*Table410[[#This Row],[Cost Boolean]]*(VLOOKUP(Table410[[#This Row],[RATE CONCAT]],Tables!I:N,5,0)),0)</f>
        <v/>
      </c>
      <c r="DB95" s="347">
        <f>IFERROR(Table410[[#This Row],[Oct_2026_Days_Actual]]*Table410[[#This Row],[Cost Boolean]]*(VLOOKUP(Table410[[#This Row],[RATE CONCAT]],Tables!I:N,5,0)),0)</f>
        <v/>
      </c>
      <c r="DC95" s="347">
        <f>Table410[[#This Row],[Oct_2026_F]]-Table410[[#This Row],[Oct_2026_A]]</f>
        <v/>
      </c>
      <c r="DD95" s="103" t="n"/>
      <c r="DE95" s="347">
        <f>IFERROR(Table410[[#This Row],[Nov_2026_Days_Forecast]]*Table410[[#This Row],[Cost Boolean]]*(VLOOKUP(Table410[[#This Row],[RATE CONCAT]],Tables!I:N,5,0)),0)</f>
        <v/>
      </c>
      <c r="DF95" s="347">
        <f>IFERROR(Table410[[#This Row],[Nov_2026_Days_Actual]]*Table410[[#This Row],[Cost Boolean]]*(VLOOKUP(Table410[[#This Row],[RATE CONCAT]],Tables!I:N,5,0)),0)</f>
        <v/>
      </c>
      <c r="DG95" s="347">
        <f>Table410[[#This Row],[Nov_2026_F]]-Table410[[#This Row],[Nov_2026_A]]</f>
        <v/>
      </c>
      <c r="DH95" s="103" t="n"/>
      <c r="DI95" s="347">
        <f>IFERROR(Table410[[#This Row],[Dec_2026_Days_Forecast]]*Table410[[#This Row],[Cost Boolean]]*(VLOOKUP(Table410[[#This Row],[RATE CONCAT]],Tables!I:N,5,0)),0)</f>
        <v/>
      </c>
      <c r="DJ95" s="347">
        <f>IFERROR(Table410[[#This Row],[Dec_2026_Days_Actual]]*Table410[[#This Row],[Cost Boolean]]*(VLOOKUP(Table410[[#This Row],[RATE CONCAT]],Tables!I:N,5,0)),0)</f>
        <v/>
      </c>
      <c r="DK95" s="348">
        <f>Table410[[#This Row],[Dec_2026_F]]-Table410[[#This Row],[Dec_2026_A]]</f>
        <v/>
      </c>
      <c r="DL95" s="103" t="n"/>
      <c r="DM95" s="346" t="n"/>
      <c r="DN95" s="347">
        <f>IFERROR(Table410[[#This Row],[Jan_2027_Days_Forecast]]*Table410[[#This Row],[Cost Boolean]]*(VLOOKUP(Table410[[#This Row],[RATE CONCAT]],Tables!I:N,6,0)),0)</f>
        <v/>
      </c>
      <c r="DO95" s="275" t="n"/>
      <c r="DP95" s="347">
        <f>Table410[[#This Row],[Jan_2027_F]]-Table410[[#This Row],[Jan_2027_A]]</f>
        <v/>
      </c>
      <c r="DQ95" s="347">
        <f>IFERROR(Table410[[#This Row],[Feb_2027_Days_Forecast]]*Table410[[#This Row],[Cost Boolean]]*(VLOOKUP(Table410[[#This Row],[RATE CONCAT]],Tables!I:N,6,0)),0)</f>
        <v/>
      </c>
      <c r="DR95" s="275" t="n"/>
      <c r="DS95" s="347">
        <f>Table410[[#This Row],[Feb_2027_F]]-Table410[[#This Row],[Feb_2027_A]]</f>
        <v/>
      </c>
      <c r="DT95" s="347">
        <f>IFERROR(Table410[[#This Row],[Mar_2027_Days_Forecast]]*Table410[[#This Row],[Cost Boolean]]*(VLOOKUP(Table410[[#This Row],[RATE CONCAT]],Tables!I:N,6,0)),0)</f>
        <v/>
      </c>
      <c r="DU95" s="275" t="n"/>
      <c r="DV95" s="347">
        <f>Table410[[#This Row],[Mar_2027_F]]-Table410[[#This Row],[Mar_2027_A]]</f>
        <v/>
      </c>
      <c r="DW95" s="347">
        <f>IFERROR(Table410[[#This Row],[Apr_2027_Days_Forecast]]*Table410[[#This Row],[Cost Boolean]]*(VLOOKUP(Table410[[#This Row],[RATE CONCAT]],Tables!I:N,6,0)),0)</f>
        <v/>
      </c>
      <c r="DX95" s="275" t="n"/>
      <c r="DY95" s="347">
        <f>Table410[[#This Row],[Apr_2027_F]]-Table410[[#This Row],[Apr_2027_A]]</f>
        <v/>
      </c>
      <c r="DZ95" s="347">
        <f>IFERROR(Table410[[#This Row],[May_2027_Days_Forecast]]*Table410[[#This Row],[Cost Boolean]]*(VLOOKUP(Table410[[#This Row],[RATE CONCAT]],Tables!I:N,6,0)),0)</f>
        <v/>
      </c>
      <c r="EA95" s="275" t="n"/>
      <c r="EB95" s="347">
        <f>Table410[[#This Row],[May_2027_F]]-Table410[[#This Row],[May_2027_A]]</f>
        <v/>
      </c>
      <c r="EC95" s="347">
        <f>IFERROR(Table410[[#This Row],[Jun_2027_Days_Forecast]]*Table410[[#This Row],[Cost Boolean]]*(VLOOKUP(Table410[[#This Row],[RATE CONCAT]],Tables!I:N,6,0)),0)</f>
        <v/>
      </c>
      <c r="ED95" s="275" t="n"/>
      <c r="EE95" s="347">
        <f>Table410[[#This Row],[Jun_2027_F]]-Table410[[#This Row],[Jun_2027_A]]</f>
        <v/>
      </c>
      <c r="EF95" s="347">
        <f>IFERROR(Table410[[#This Row],[Jul_2027_Days_Forecast]]*Table410[[#This Row],[Cost Boolean]]*(VLOOKUP(Table410[[#This Row],[RATE CONCAT]],Tables!I:N,6,0)),0)</f>
        <v/>
      </c>
      <c r="EG95" s="275" t="n"/>
      <c r="EH95" s="347">
        <f>Table410[[#This Row],[Jul_2027_F]]-Table410[[#This Row],[Jul_2027_A]]</f>
        <v/>
      </c>
      <c r="EI95" s="347">
        <f>IFERROR(Table410[[#This Row],[Aug_2027_Days_Forecast]]*Table410[[#This Row],[Cost Boolean]]*(VLOOKUP(Table410[[#This Row],[RATE CONCAT]],Tables!I:N,6,0)),0)</f>
        <v/>
      </c>
      <c r="EJ95" s="275" t="n"/>
      <c r="EK95" s="347">
        <f>Table410[[#This Row],[Aug_2027_F]]-Table410[[#This Row],[Aug_2027_A]]</f>
        <v/>
      </c>
      <c r="EL95" s="347">
        <f>IFERROR(Table410[[#This Row],[Sep_2027_Days_Forecast]]*Table410[[#This Row],[Cost Boolean]]*(VLOOKUP(Table410[[#This Row],[RATE CONCAT]],Tables!I:N,6,0)),0)</f>
        <v/>
      </c>
      <c r="EM95" s="275" t="n"/>
      <c r="EN95" s="347">
        <f>Table410[[#This Row],[Sep_2027_F]]-Table410[[#This Row],[Sep_2027_A]]</f>
        <v/>
      </c>
      <c r="EO95" s="347">
        <f>IFERROR(Table410[[#This Row],[Oct_2027_Days_Forecast]]*Table410[[#This Row],[Cost Boolean]]*(VLOOKUP(Table410[[#This Row],[RATE CONCAT]],Tables!I:N,6,0)),0)</f>
        <v/>
      </c>
      <c r="EP95" s="275" t="n"/>
      <c r="EQ95" s="347">
        <f>Table410[[#This Row],[Oct_2027_F]]-Table410[[#This Row],[Oct_2027_A]]</f>
        <v/>
      </c>
      <c r="ER95" s="347">
        <f>IFERROR(Table410[[#This Row],[Nov_2027_Days_Forecast]]*Table410[[#This Row],[Cost Boolean]]*(VLOOKUP(Table410[[#This Row],[RATE CONCAT]],Tables!I:N,6,0)),0)</f>
        <v/>
      </c>
      <c r="ES95" s="275" t="n"/>
      <c r="ET95" s="347">
        <f>Table410[[#This Row],[Nov_2027_F]]-Table410[[#This Row],[Nov_2027_A]]</f>
        <v/>
      </c>
      <c r="EU95" s="347">
        <f>IFERROR(Table410[[#This Row],[Dec_2027_Days_Forecast]]*Table410[[#This Row],[Cost Boolean]]*(VLOOKUP(Table410[[#This Row],[RATE CONCAT]],Tables!I:N,6,0)),0)</f>
        <v/>
      </c>
      <c r="EV95" s="275" t="n"/>
      <c r="EW95" s="347">
        <f>Table410[[#This Row],[Dec_2027_F]]-Table410[[#This Row],[Dec_2027_A]]</f>
        <v/>
      </c>
    </row>
    <row r="96" ht="1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338">
        <f>CONCATENATE(Table410[[#This Row],[JG]],Table410[[#This Row],[Country]],Table410[[#This Row],[Resource Provider]])</f>
        <v/>
      </c>
      <c r="Z96" s="338">
        <f>VLOOKUP(Table410[[#This Row],[RATE CONCAT]],Tables!I:N,5,0)</f>
        <v/>
      </c>
      <c r="AA96" s="123" t="n"/>
      <c r="AB96" s="127" t="n"/>
      <c r="AC96" s="127" t="n"/>
      <c r="AD96" s="127" t="n"/>
      <c r="AE96" s="130" t="n"/>
      <c r="AF96" s="130" t="n"/>
      <c r="AG96" s="130" t="n"/>
      <c r="AH96" s="130" t="n"/>
      <c r="AI96" s="130" t="n"/>
      <c r="AJ96" s="130" t="n"/>
      <c r="AK96" s="130" t="n"/>
      <c r="AL96" s="130" t="n"/>
      <c r="AM96" s="130" t="n"/>
      <c r="AN96" s="341">
        <f>IFERROR(AVERAGE(Table410[[#This Row],[Jan_2026_Days_Forecast]:[Dec_2026_Days_Forecast]]),0)/19</f>
        <v/>
      </c>
      <c r="AO96" s="341">
        <f>IFERROR(AVERAGE(Table410[[#This Row],[Jan_2026_Days_Actual]:[Dec_2026_Days_Actual]]),0)/19</f>
        <v/>
      </c>
      <c r="AP96" s="84" t="n"/>
      <c r="AQ96" s="84" t="n"/>
      <c r="AR96" s="84" t="n"/>
      <c r="AS96" s="84" t="n"/>
      <c r="AT96" s="84" t="n"/>
      <c r="AU96" s="84" t="n"/>
      <c r="AV96" s="84" t="n"/>
      <c r="AW96" s="84" t="n"/>
      <c r="AX96" s="84" t="n"/>
      <c r="AY96" s="84" t="n"/>
      <c r="AZ96" s="84" t="n"/>
      <c r="BA96" s="84" t="n"/>
      <c r="BB96" s="341">
        <f>IFERROR(AVERAGE(Table410[[#This Row],[Jan_2027_Days_Forecast]:[Dec_2027_Days_Forecast]]),0)</f>
        <v/>
      </c>
      <c r="BC96" s="129" t="n"/>
      <c r="BD96" s="129" t="n"/>
      <c r="BE96" s="129" t="n"/>
      <c r="BF96" s="129" t="n"/>
      <c r="BG96" s="129" t="n"/>
      <c r="BH96" s="129" t="n"/>
      <c r="BI96" s="129" t="n"/>
      <c r="BJ96" s="129" t="n"/>
      <c r="BK96" s="129" t="n"/>
      <c r="BL96" s="129" t="n"/>
      <c r="BM96" s="129" t="n"/>
      <c r="BN96" s="129" t="n"/>
      <c r="BO96" s="176" t="n"/>
      <c r="BP96" s="176" t="n"/>
      <c r="BQ96" s="345">
        <f>IFERROR(Table410[[#This Row],[Jan_2026_Days_Forecast]]*Table410[[#This Row],[Cost Boolean]]*(VLOOKUP(Table410[[#This Row],[RATE CONCAT]],Tables!I:N,5,0)),0)</f>
        <v/>
      </c>
      <c r="BR96" s="345">
        <f>IFERROR(Table410[[#This Row],[Jan_2026_Days_Actual]]*Table410[[#This Row],[Cost Boolean]]*(VLOOKUP(Table410[[#This Row],[RATE CONCAT]],Tables!I:N,5,0)),0)</f>
        <v/>
      </c>
      <c r="BS96" s="338">
        <f>Table410[[#This Row],[Jan_2026_F]]-Table410[[#This Row],[Jan_2026_A]]</f>
        <v/>
      </c>
      <c r="BT96" s="114" t="n"/>
      <c r="BU96" s="338">
        <f>IFERROR(Table410[[#This Row],[Feb_2026_Days_Forecast]]*Table410[[#This Row],[Cost Boolean]]*(VLOOKUP(Table410[[#This Row],[RATE CONCAT]],Tables!I:N,5,0)),0)</f>
        <v/>
      </c>
      <c r="BV96" s="345">
        <f>IFERROR(Table410[[#This Row],[Feb_2026_Days_Actual]]*Table410[[#This Row],[Cost Boolean]]*(VLOOKUP(Table410[[#This Row],[RATE CONCAT]],Tables!I:N,5,0)),0)</f>
        <v/>
      </c>
      <c r="BW96" s="338">
        <f>Table410[[#This Row],[Feb_2026_F]]-Table410[[#This Row],[Feb_2026_A]]</f>
        <v/>
      </c>
      <c r="BX96" s="275" t="n"/>
      <c r="BY96" s="345">
        <f>IFERROR(Table410[[#This Row],[Mar_2026_Days_Forecast]]*Table410[[#This Row],[Cost Boolean]]*(VLOOKUP(Table410[[#This Row],[RATE CONCAT]],Tables!I:N,5,0)),0)</f>
        <v/>
      </c>
      <c r="BZ96" s="345">
        <f>IFERROR(Table410[[#This Row],[Mar_2026_Days_Actual]]*Table410[[#This Row],[Cost Boolean]]*(VLOOKUP(Table410[[#This Row],[RATE CONCAT]],Tables!I:N,5,0)),0)</f>
        <v/>
      </c>
      <c r="CA96" s="345">
        <f>Table410[[#This Row],[Mar_2026_F]]-Table410[[#This Row],[Mar_2026_A]]</f>
        <v/>
      </c>
      <c r="CB96" s="103" t="n"/>
      <c r="CC96" s="345">
        <f>IFERROR(Table410[[#This Row],[Apr_2026_Days_Forecast]]*Table410[[#This Row],[Cost Boolean]]*(VLOOKUP(Table410[[#This Row],[RATE CONCAT]],Tables!I:N,5,0)),0)</f>
        <v/>
      </c>
      <c r="CD96" s="345">
        <f>IFERROR(Table410[[#This Row],[Apr_2026_Days_Actual]]*Table410[[#This Row],[Cost Boolean]]*(VLOOKUP(Table410[[#This Row],[RATE CONCAT]],Tables!I:N,5,0)),0)</f>
        <v/>
      </c>
      <c r="CE96" s="345">
        <f>Table410[[#This Row],[Apr_2026_F]]-Table410[[#This Row],[Apr_2026_A]]</f>
        <v/>
      </c>
      <c r="CF96" s="103" t="n"/>
      <c r="CG96" s="345">
        <f>IFERROR(Table410[[#This Row],[May_2026_Days_Forecast]] *Table410[[#This Row],[Cost Boolean]]*(VLOOKUP(Table410[[#This Row],[RATE CONCAT]],Tables!I:N,5,0)),0)</f>
        <v/>
      </c>
      <c r="CH96" s="345">
        <f>IFERROR(Table410[[#This Row],[May_2026_Days_Actual]]*Table410[[#This Row],[Cost Boolean]]*(VLOOKUP(Table410[[#This Row],[RATE CONCAT]],Tables!I:N,5,0)),0)</f>
        <v/>
      </c>
      <c r="CI96" s="345">
        <f>Table410[[#This Row],[May_2026_F]]-Table410[[#This Row],[May_2026_A]]</f>
        <v/>
      </c>
      <c r="CJ96" s="103" t="n"/>
      <c r="CK96" s="345">
        <f>IFERROR(Table410[[#This Row],[Jun_2026_Days_Forecast]]*Table410[[#This Row],[Cost Boolean]]*(VLOOKUP(Table410[[#This Row],[RATE CONCAT]],Tables!I:N,5,0)),0)</f>
        <v/>
      </c>
      <c r="CL96" s="345">
        <f>IFERROR(Table410[[#This Row],[Jun_2026_Days_Actual]]*Table410[[#This Row],[Cost Boolean]]*(VLOOKUP(Table410[[#This Row],[RATE CONCAT]],Tables!I:N,5,0)),0)</f>
        <v/>
      </c>
      <c r="CM96" s="345">
        <f>Table410[[#This Row],[Jun_2026_F]]-Table410[[#This Row],[Jun_2026_A]]</f>
        <v/>
      </c>
      <c r="CN96" s="103" t="n"/>
      <c r="CO96" s="345">
        <f>IFERROR(Table410[[#This Row],[Jul_2026_Days_Forecast]]*Table410[[#This Row],[Cost Boolean]]*(VLOOKUP(Table410[[#This Row],[RATE CONCAT]],Tables!I:N,5,0)),0)</f>
        <v/>
      </c>
      <c r="CP96" s="345">
        <f>IFERROR(Table410[[#This Row],[Jul_2026_Days_Actual]]*Table410[[#This Row],[Cost Boolean]]*(VLOOKUP(Table410[[#This Row],[RATE CONCAT]],Tables!I:N,5,0)),0)</f>
        <v/>
      </c>
      <c r="CQ96" s="345">
        <f>Table410[[#This Row],[Jul_2026_F]]-Table410[[#This Row],[Jul_2026_A]]</f>
        <v/>
      </c>
      <c r="CR96" s="103" t="n"/>
      <c r="CS96" s="345">
        <f>IFERROR(Table410[[#This Row],[Aug_2026_Days_Forecast]]*Table410[[#This Row],[Cost Boolean]]*(VLOOKUP(Table410[[#This Row],[RATE CONCAT]],Tables!I:N,5,0)),0)</f>
        <v/>
      </c>
      <c r="CT96" s="345">
        <f>IFERROR(Table410[[#This Row],[Aug_2026_Days_Actual]]*Table410[[#This Row],[Cost Boolean]]*(VLOOKUP(Table410[[#This Row],[RATE CONCAT]],Tables!I:N,5,0)),0)</f>
        <v/>
      </c>
      <c r="CU96" s="345">
        <f>Table410[[#This Row],[Aug_2026_F]]-Table410[[#This Row],[Aug_2026_A]]</f>
        <v/>
      </c>
      <c r="CV96" s="103" t="n"/>
      <c r="CW96" s="345">
        <f>IFERROR(Table410[[#This Row],[Sep_2026_Days_Forecast]]*Table410[[#This Row],[Cost Boolean]]*(VLOOKUP(Table410[[#This Row],[RATE CONCAT]],Tables!I:N,5,0)),0)</f>
        <v/>
      </c>
      <c r="CX96" s="345">
        <f>IFERROR(Table410[[#This Row],[Sep_2026_Days_Actual]]*Table410[[#This Row],[Cost Boolean]]*(VLOOKUP(Table410[[#This Row],[RATE CONCAT]],Tables!I:N,5,0)),0)</f>
        <v/>
      </c>
      <c r="CY96" s="345">
        <f>Table410[[#This Row],[Sep_2026_F]]-Table410[[#This Row],[Sep_2026_A]]</f>
        <v/>
      </c>
      <c r="CZ96" s="103" t="n"/>
      <c r="DA96" s="345">
        <f>IFERROR(Table410[[#This Row],[Oct_2026_Days_Forecast]]*Table410[[#This Row],[Cost Boolean]]*(VLOOKUP(Table410[[#This Row],[RATE CONCAT]],Tables!I:N,5,0)),0)</f>
        <v/>
      </c>
      <c r="DB96" s="345">
        <f>IFERROR(Table410[[#This Row],[Oct_2026_Days_Actual]]*Table410[[#This Row],[Cost Boolean]]*(VLOOKUP(Table410[[#This Row],[RATE CONCAT]],Tables!I:N,5,0)),0)</f>
        <v/>
      </c>
      <c r="DC96" s="345">
        <f>Table410[[#This Row],[Oct_2026_F]]-Table410[[#This Row],[Oct_2026_A]]</f>
        <v/>
      </c>
      <c r="DD96" s="103" t="n"/>
      <c r="DE96" s="345">
        <f>IFERROR(Table410[[#This Row],[Nov_2026_Days_Forecast]]*Table410[[#This Row],[Cost Boolean]]*(VLOOKUP(Table410[[#This Row],[RATE CONCAT]],Tables!I:N,5,0)),0)</f>
        <v/>
      </c>
      <c r="DF96" s="345">
        <f>IFERROR(Table410[[#This Row],[Nov_2026_Days_Actual]]*Table410[[#This Row],[Cost Boolean]]*(VLOOKUP(Table410[[#This Row],[RATE CONCAT]],Tables!I:N,5,0)),0)</f>
        <v/>
      </c>
      <c r="DG96" s="345">
        <f>Table410[[#This Row],[Nov_2026_F]]-Table410[[#This Row],[Nov_2026_A]]</f>
        <v/>
      </c>
      <c r="DH96" s="103" t="n"/>
      <c r="DI96" s="345">
        <f>IFERROR(Table410[[#This Row],[Dec_2026_Days_Forecast]]*Table410[[#This Row],[Cost Boolean]]*(VLOOKUP(Table410[[#This Row],[RATE CONCAT]],Tables!I:N,5,0)),0)</f>
        <v/>
      </c>
      <c r="DJ96" s="345">
        <f>IFERROR(Table410[[#This Row],[Dec_2026_Days_Actual]]*Table410[[#This Row],[Cost Boolean]]*(VLOOKUP(Table410[[#This Row],[RATE CONCAT]],Tables!I:N,5,0)),0)</f>
        <v/>
      </c>
      <c r="DK96" s="349">
        <f>Table410[[#This Row],[Dec_2026_F]]-Table410[[#This Row],[Dec_2026_A]]</f>
        <v/>
      </c>
      <c r="DL96" s="103" t="n"/>
      <c r="DM96" s="346" t="n"/>
      <c r="DN96" s="345">
        <f>IFERROR(Table410[[#This Row],[Jan_2027_Days_Forecast]]*Table410[[#This Row],[Cost Boolean]]*(VLOOKUP(Table410[[#This Row],[RATE CONCAT]],Tables!I:N,6,0)),0)</f>
        <v/>
      </c>
      <c r="DO96" s="275" t="n"/>
      <c r="DP96" s="345">
        <f>Table410[[#This Row],[Jan_2027_F]]-Table410[[#This Row],[Jan_2027_A]]</f>
        <v/>
      </c>
      <c r="DQ96" s="345">
        <f>IFERROR(Table410[[#This Row],[Feb_2027_Days_Forecast]]*Table410[[#This Row],[Cost Boolean]]*(VLOOKUP(Table410[[#This Row],[RATE CONCAT]],Tables!I:N,6,0)),0)</f>
        <v/>
      </c>
      <c r="DR96" s="275" t="n"/>
      <c r="DS96" s="345">
        <f>Table410[[#This Row],[Feb_2027_F]]-Table410[[#This Row],[Feb_2027_A]]</f>
        <v/>
      </c>
      <c r="DT96" s="345">
        <f>IFERROR(Table410[[#This Row],[Mar_2027_Days_Forecast]]*Table410[[#This Row],[Cost Boolean]]*(VLOOKUP(Table410[[#This Row],[RATE CONCAT]],Tables!I:N,6,0)),0)</f>
        <v/>
      </c>
      <c r="DU96" s="275" t="n"/>
      <c r="DV96" s="345">
        <f>Table410[[#This Row],[Mar_2027_F]]-Table410[[#This Row],[Mar_2027_A]]</f>
        <v/>
      </c>
      <c r="DW96" s="345">
        <f>IFERROR(Table410[[#This Row],[Apr_2027_Days_Forecast]]*Table410[[#This Row],[Cost Boolean]]*(VLOOKUP(Table410[[#This Row],[RATE CONCAT]],Tables!I:N,6,0)),0)</f>
        <v/>
      </c>
      <c r="DX96" s="275" t="n"/>
      <c r="DY96" s="345">
        <f>Table410[[#This Row],[Apr_2027_F]]-Table410[[#This Row],[Apr_2027_A]]</f>
        <v/>
      </c>
      <c r="DZ96" s="345">
        <f>IFERROR(Table410[[#This Row],[May_2027_Days_Forecast]]*Table410[[#This Row],[Cost Boolean]]*(VLOOKUP(Table410[[#This Row],[RATE CONCAT]],Tables!I:N,6,0)),0)</f>
        <v/>
      </c>
      <c r="EA96" s="275" t="n"/>
      <c r="EB96" s="345">
        <f>Table410[[#This Row],[May_2027_F]]-Table410[[#This Row],[May_2027_A]]</f>
        <v/>
      </c>
      <c r="EC96" s="345">
        <f>IFERROR(Table410[[#This Row],[Jun_2027_Days_Forecast]]*Table410[[#This Row],[Cost Boolean]]*(VLOOKUP(Table410[[#This Row],[RATE CONCAT]],Tables!I:N,6,0)),0)</f>
        <v/>
      </c>
      <c r="ED96" s="275" t="n"/>
      <c r="EE96" s="345">
        <f>Table410[[#This Row],[Jun_2027_F]]-Table410[[#This Row],[Jun_2027_A]]</f>
        <v/>
      </c>
      <c r="EF96" s="345">
        <f>IFERROR(Table410[[#This Row],[Jul_2027_Days_Forecast]]*Table410[[#This Row],[Cost Boolean]]*(VLOOKUP(Table410[[#This Row],[RATE CONCAT]],Tables!I:N,6,0)),0)</f>
        <v/>
      </c>
      <c r="EG96" s="275" t="n"/>
      <c r="EH96" s="345">
        <f>Table410[[#This Row],[Jul_2027_F]]-Table410[[#This Row],[Jul_2027_A]]</f>
        <v/>
      </c>
      <c r="EI96" s="345">
        <f>IFERROR(Table410[[#This Row],[Aug_2027_Days_Forecast]]*Table410[[#This Row],[Cost Boolean]]*(VLOOKUP(Table410[[#This Row],[RATE CONCAT]],Tables!I:N,6,0)),0)</f>
        <v/>
      </c>
      <c r="EJ96" s="275" t="n"/>
      <c r="EK96" s="345">
        <f>Table410[[#This Row],[Aug_2027_F]]-Table410[[#This Row],[Aug_2027_A]]</f>
        <v/>
      </c>
      <c r="EL96" s="345">
        <f>IFERROR(Table410[[#This Row],[Sep_2027_Days_Forecast]]*Table410[[#This Row],[Cost Boolean]]*(VLOOKUP(Table410[[#This Row],[RATE CONCAT]],Tables!I:N,6,0)),0)</f>
        <v/>
      </c>
      <c r="EM96" s="275" t="n"/>
      <c r="EN96" s="345">
        <f>Table410[[#This Row],[Sep_2027_F]]-Table410[[#This Row],[Sep_2027_A]]</f>
        <v/>
      </c>
      <c r="EO96" s="345">
        <f>IFERROR(Table410[[#This Row],[Oct_2027_Days_Forecast]]*Table410[[#This Row],[Cost Boolean]]*(VLOOKUP(Table410[[#This Row],[RATE CONCAT]],Tables!I:N,6,0)),0)</f>
        <v/>
      </c>
      <c r="EP96" s="275" t="n"/>
      <c r="EQ96" s="345">
        <f>Table410[[#This Row],[Oct_2027_F]]-Table410[[#This Row],[Oct_2027_A]]</f>
        <v/>
      </c>
      <c r="ER96" s="345">
        <f>IFERROR(Table410[[#This Row],[Nov_2027_Days_Forecast]]*Table410[[#This Row],[Cost Boolean]]*(VLOOKUP(Table410[[#This Row],[RATE CONCAT]],Tables!I:N,6,0)),0)</f>
        <v/>
      </c>
      <c r="ES96" s="275" t="n"/>
      <c r="ET96" s="345">
        <f>Table410[[#This Row],[Nov_2027_F]]-Table410[[#This Row],[Nov_2027_A]]</f>
        <v/>
      </c>
      <c r="EU96" s="345">
        <f>IFERROR(Table410[[#This Row],[Dec_2027_Days_Forecast]]*Table410[[#This Row],[Cost Boolean]]*(VLOOKUP(Table410[[#This Row],[RATE CONCAT]],Tables!I:N,6,0)),0)</f>
        <v/>
      </c>
      <c r="EV96" s="275" t="n"/>
      <c r="EW96" s="345">
        <f>Table410[[#This Row],[Dec_2027_F]]-Table410[[#This Row],[Dec_2027_A]]</f>
        <v/>
      </c>
    </row>
    <row r="97" ht="1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342">
        <f>CONCATENATE(Table410[[#This Row],[JG]],Table410[[#This Row],[Country]],Table410[[#This Row],[Resource Provider]])</f>
        <v/>
      </c>
      <c r="Z97" s="342">
        <f>VLOOKUP(Table410[[#This Row],[RATE CONCAT]],Tables!I:N,5,0)</f>
        <v/>
      </c>
      <c r="AA97" s="123" t="n"/>
      <c r="AB97" s="127" t="n"/>
      <c r="AC97" s="127" t="n"/>
      <c r="AD97" s="127" t="n"/>
      <c r="AE97" s="127" t="n"/>
      <c r="AF97" s="127" t="n"/>
      <c r="AG97" s="127" t="n"/>
      <c r="AH97" s="127" t="n"/>
      <c r="AI97" s="127" t="n"/>
      <c r="AJ97" s="127" t="n"/>
      <c r="AK97" s="127" t="n"/>
      <c r="AL97" s="131" t="n"/>
      <c r="AM97" s="131" t="n"/>
      <c r="AN97" s="341">
        <f>IFERROR(AVERAGE(Table410[[#This Row],[Jan_2026_Days_Forecast]:[Dec_2026_Days_Forecast]]),0)/19</f>
        <v/>
      </c>
      <c r="AO97" s="341">
        <f>IFERROR(AVERAGE(Table410[[#This Row],[Jan_2026_Days_Actual]:[Dec_2026_Days_Actual]]),0)/19</f>
        <v/>
      </c>
      <c r="AP97" s="84" t="n"/>
      <c r="AQ97" s="84" t="n"/>
      <c r="AR97" s="84" t="n"/>
      <c r="AS97" s="84" t="n"/>
      <c r="AT97" s="84" t="n"/>
      <c r="AU97" s="84" t="n"/>
      <c r="AV97" s="84" t="n"/>
      <c r="AW97" s="84" t="n"/>
      <c r="AX97" s="84" t="n"/>
      <c r="AY97" s="84" t="n"/>
      <c r="AZ97" s="84" t="n"/>
      <c r="BA97" s="84" t="n"/>
      <c r="BB97" s="341">
        <f>IFERROR(AVERAGE(Table410[[#This Row],[Jan_2027_Days_Forecast]:[Dec_2027_Days_Forecast]]),0)</f>
        <v/>
      </c>
      <c r="BC97" s="129" t="n"/>
      <c r="BD97" s="129" t="n"/>
      <c r="BE97" s="129" t="n"/>
      <c r="BF97" s="129" t="n"/>
      <c r="BG97" s="129" t="n"/>
      <c r="BH97" s="129" t="n"/>
      <c r="BI97" s="129" t="n"/>
      <c r="BJ97" s="129" t="n"/>
      <c r="BK97" s="129" t="n"/>
      <c r="BL97" s="129" t="n"/>
      <c r="BM97" s="129" t="n"/>
      <c r="BN97" s="129" t="n"/>
      <c r="BO97" s="176" t="n"/>
      <c r="BP97" s="176" t="n"/>
      <c r="BQ97" s="347">
        <f>IFERROR(Table410[[#This Row],[Jan_2026_Days_Forecast]]*Table410[[#This Row],[Cost Boolean]]*(VLOOKUP(Table410[[#This Row],[RATE CONCAT]],Tables!I:N,5,0)),0)</f>
        <v/>
      </c>
      <c r="BR97" s="347">
        <f>IFERROR(Table410[[#This Row],[Jan_2026_Days_Actual]]*Table410[[#This Row],[Cost Boolean]]*(VLOOKUP(Table410[[#This Row],[RATE CONCAT]],Tables!I:N,5,0)),0)</f>
        <v/>
      </c>
      <c r="BS97" s="342">
        <f>Table410[[#This Row],[Jan_2026_F]]-Table410[[#This Row],[Jan_2026_A]]</f>
        <v/>
      </c>
      <c r="BT97" s="114" t="n"/>
      <c r="BU97" s="342">
        <f>IFERROR(Table410[[#This Row],[Feb_2026_Days_Forecast]]*Table410[[#This Row],[Cost Boolean]]*(VLOOKUP(Table410[[#This Row],[RATE CONCAT]],Tables!I:N,5,0)),0)</f>
        <v/>
      </c>
      <c r="BV97" s="347">
        <f>IFERROR(Table410[[#This Row],[Feb_2026_Days_Actual]]*Table410[[#This Row],[Cost Boolean]]*(VLOOKUP(Table410[[#This Row],[RATE CONCAT]],Tables!I:N,5,0)),0)</f>
        <v/>
      </c>
      <c r="BW97" s="342">
        <f>Table410[[#This Row],[Feb_2026_F]]-Table410[[#This Row],[Feb_2026_A]]</f>
        <v/>
      </c>
      <c r="BX97" s="275" t="n"/>
      <c r="BY97" s="347">
        <f>IFERROR(Table410[[#This Row],[Mar_2026_Days_Forecast]]*Table410[[#This Row],[Cost Boolean]]*(VLOOKUP(Table410[[#This Row],[RATE CONCAT]],Tables!I:N,5,0)),0)</f>
        <v/>
      </c>
      <c r="BZ97" s="347">
        <f>IFERROR(Table410[[#This Row],[Mar_2026_Days_Actual]]*Table410[[#This Row],[Cost Boolean]]*(VLOOKUP(Table410[[#This Row],[RATE CONCAT]],Tables!I:N,5,0)),0)</f>
        <v/>
      </c>
      <c r="CA97" s="347">
        <f>Table410[[#This Row],[Mar_2026_F]]-Table410[[#This Row],[Mar_2026_A]]</f>
        <v/>
      </c>
      <c r="CB97" s="103" t="n"/>
      <c r="CC97" s="347">
        <f>IFERROR(Table410[[#This Row],[Apr_2026_Days_Forecast]]*Table410[[#This Row],[Cost Boolean]]*(VLOOKUP(Table410[[#This Row],[RATE CONCAT]],Tables!I:N,5,0)),0)</f>
        <v/>
      </c>
      <c r="CD97" s="347">
        <f>IFERROR(Table410[[#This Row],[Apr_2026_Days_Actual]]*Table410[[#This Row],[Cost Boolean]]*(VLOOKUP(Table410[[#This Row],[RATE CONCAT]],Tables!I:N,5,0)),0)</f>
        <v/>
      </c>
      <c r="CE97" s="347">
        <f>Table410[[#This Row],[Apr_2026_F]]-Table410[[#This Row],[Apr_2026_A]]</f>
        <v/>
      </c>
      <c r="CF97" s="103" t="n"/>
      <c r="CG97" s="347">
        <f>IFERROR(Table410[[#This Row],[May_2026_Days_Forecast]] *Table410[[#This Row],[Cost Boolean]]*(VLOOKUP(Table410[[#This Row],[RATE CONCAT]],Tables!I:N,5,0)),0)</f>
        <v/>
      </c>
      <c r="CH97" s="347">
        <f>IFERROR(Table410[[#This Row],[May_2026_Days_Actual]]*Table410[[#This Row],[Cost Boolean]]*(VLOOKUP(Table410[[#This Row],[RATE CONCAT]],Tables!I:N,5,0)),0)</f>
        <v/>
      </c>
      <c r="CI97" s="347">
        <f>Table410[[#This Row],[May_2026_F]]-Table410[[#This Row],[May_2026_A]]</f>
        <v/>
      </c>
      <c r="CJ97" s="103" t="n"/>
      <c r="CK97" s="347">
        <f>IFERROR(Table410[[#This Row],[Jun_2026_Days_Forecast]]*Table410[[#This Row],[Cost Boolean]]*(VLOOKUP(Table410[[#This Row],[RATE CONCAT]],Tables!I:N,5,0)),0)</f>
        <v/>
      </c>
      <c r="CL97" s="347">
        <f>IFERROR(Table410[[#This Row],[Jun_2026_Days_Actual]]*Table410[[#This Row],[Cost Boolean]]*(VLOOKUP(Table410[[#This Row],[RATE CONCAT]],Tables!I:N,5,0)),0)</f>
        <v/>
      </c>
      <c r="CM97" s="347">
        <f>Table410[[#This Row],[Jun_2026_F]]-Table410[[#This Row],[Jun_2026_A]]</f>
        <v/>
      </c>
      <c r="CN97" s="103" t="n"/>
      <c r="CO97" s="347">
        <f>IFERROR(Table410[[#This Row],[Jul_2026_Days_Forecast]]*Table410[[#This Row],[Cost Boolean]]*(VLOOKUP(Table410[[#This Row],[RATE CONCAT]],Tables!I:N,5,0)),0)</f>
        <v/>
      </c>
      <c r="CP97" s="347">
        <f>IFERROR(Table410[[#This Row],[Jul_2026_Days_Actual]]*Table410[[#This Row],[Cost Boolean]]*(VLOOKUP(Table410[[#This Row],[RATE CONCAT]],Tables!I:N,5,0)),0)</f>
        <v/>
      </c>
      <c r="CQ97" s="347">
        <f>Table410[[#This Row],[Jul_2026_F]]-Table410[[#This Row],[Jul_2026_A]]</f>
        <v/>
      </c>
      <c r="CR97" s="103" t="n"/>
      <c r="CS97" s="347">
        <f>IFERROR(Table410[[#This Row],[Aug_2026_Days_Forecast]]*Table410[[#This Row],[Cost Boolean]]*(VLOOKUP(Table410[[#This Row],[RATE CONCAT]],Tables!I:N,5,0)),0)</f>
        <v/>
      </c>
      <c r="CT97" s="347">
        <f>IFERROR(Table410[[#This Row],[Aug_2026_Days_Actual]]*Table410[[#This Row],[Cost Boolean]]*(VLOOKUP(Table410[[#This Row],[RATE CONCAT]],Tables!I:N,5,0)),0)</f>
        <v/>
      </c>
      <c r="CU97" s="347">
        <f>Table410[[#This Row],[Aug_2026_F]]-Table410[[#This Row],[Aug_2026_A]]</f>
        <v/>
      </c>
      <c r="CV97" s="103" t="n"/>
      <c r="CW97" s="347">
        <f>IFERROR(Table410[[#This Row],[Sep_2026_Days_Forecast]]*Table410[[#This Row],[Cost Boolean]]*(VLOOKUP(Table410[[#This Row],[RATE CONCAT]],Tables!I:N,5,0)),0)</f>
        <v/>
      </c>
      <c r="CX97" s="347">
        <f>IFERROR(Table410[[#This Row],[Sep_2026_Days_Actual]]*Table410[[#This Row],[Cost Boolean]]*(VLOOKUP(Table410[[#This Row],[RATE CONCAT]],Tables!I:N,5,0)),0)</f>
        <v/>
      </c>
      <c r="CY97" s="347">
        <f>Table410[[#This Row],[Sep_2026_F]]-Table410[[#This Row],[Sep_2026_A]]</f>
        <v/>
      </c>
      <c r="CZ97" s="103" t="n"/>
      <c r="DA97" s="347">
        <f>IFERROR(Table410[[#This Row],[Oct_2026_Days_Forecast]]*Table410[[#This Row],[Cost Boolean]]*(VLOOKUP(Table410[[#This Row],[RATE CONCAT]],Tables!I:N,5,0)),0)</f>
        <v/>
      </c>
      <c r="DB97" s="347">
        <f>IFERROR(Table410[[#This Row],[Oct_2026_Days_Actual]]*Table410[[#This Row],[Cost Boolean]]*(VLOOKUP(Table410[[#This Row],[RATE CONCAT]],Tables!I:N,5,0)),0)</f>
        <v/>
      </c>
      <c r="DC97" s="347">
        <f>Table410[[#This Row],[Oct_2026_F]]-Table410[[#This Row],[Oct_2026_A]]</f>
        <v/>
      </c>
      <c r="DD97" s="103" t="n"/>
      <c r="DE97" s="347">
        <f>IFERROR(Table410[[#This Row],[Nov_2026_Days_Forecast]]*Table410[[#This Row],[Cost Boolean]]*(VLOOKUP(Table410[[#This Row],[RATE CONCAT]],Tables!I:N,5,0)),0)</f>
        <v/>
      </c>
      <c r="DF97" s="347">
        <f>IFERROR(Table410[[#This Row],[Nov_2026_Days_Actual]]*Table410[[#This Row],[Cost Boolean]]*(VLOOKUP(Table410[[#This Row],[RATE CONCAT]],Tables!I:N,5,0)),0)</f>
        <v/>
      </c>
      <c r="DG97" s="347">
        <f>Table410[[#This Row],[Nov_2026_F]]-Table410[[#This Row],[Nov_2026_A]]</f>
        <v/>
      </c>
      <c r="DH97" s="103" t="n"/>
      <c r="DI97" s="347">
        <f>IFERROR(Table410[[#This Row],[Dec_2026_Days_Forecast]]*Table410[[#This Row],[Cost Boolean]]*(VLOOKUP(Table410[[#This Row],[RATE CONCAT]],Tables!I:N,5,0)),0)</f>
        <v/>
      </c>
      <c r="DJ97" s="347">
        <f>IFERROR(Table410[[#This Row],[Dec_2026_Days_Actual]]*Table410[[#This Row],[Cost Boolean]]*(VLOOKUP(Table410[[#This Row],[RATE CONCAT]],Tables!I:N,5,0)),0)</f>
        <v/>
      </c>
      <c r="DK97" s="348">
        <f>Table410[[#This Row],[Dec_2026_F]]-Table410[[#This Row],[Dec_2026_A]]</f>
        <v/>
      </c>
      <c r="DL97" s="103" t="n"/>
      <c r="DM97" s="346" t="n"/>
      <c r="DN97" s="347">
        <f>IFERROR(Table410[[#This Row],[Jan_2027_Days_Forecast]]*Table410[[#This Row],[Cost Boolean]]*(VLOOKUP(Table410[[#This Row],[RATE CONCAT]],Tables!I:N,6,0)),0)</f>
        <v/>
      </c>
      <c r="DO97" s="275" t="n"/>
      <c r="DP97" s="347">
        <f>Table410[[#This Row],[Jan_2027_F]]-Table410[[#This Row],[Jan_2027_A]]</f>
        <v/>
      </c>
      <c r="DQ97" s="347">
        <f>IFERROR(Table410[[#This Row],[Feb_2027_Days_Forecast]]*Table410[[#This Row],[Cost Boolean]]*(VLOOKUP(Table410[[#This Row],[RATE CONCAT]],Tables!I:N,6,0)),0)</f>
        <v/>
      </c>
      <c r="DR97" s="275" t="n"/>
      <c r="DS97" s="347">
        <f>Table410[[#This Row],[Feb_2027_F]]-Table410[[#This Row],[Feb_2027_A]]</f>
        <v/>
      </c>
      <c r="DT97" s="347">
        <f>IFERROR(Table410[[#This Row],[Mar_2027_Days_Forecast]]*Table410[[#This Row],[Cost Boolean]]*(VLOOKUP(Table410[[#This Row],[RATE CONCAT]],Tables!I:N,6,0)),0)</f>
        <v/>
      </c>
      <c r="DU97" s="275" t="n"/>
      <c r="DV97" s="347">
        <f>Table410[[#This Row],[Mar_2027_F]]-Table410[[#This Row],[Mar_2027_A]]</f>
        <v/>
      </c>
      <c r="DW97" s="347">
        <f>IFERROR(Table410[[#This Row],[Apr_2027_Days_Forecast]]*Table410[[#This Row],[Cost Boolean]]*(VLOOKUP(Table410[[#This Row],[RATE CONCAT]],Tables!I:N,6,0)),0)</f>
        <v/>
      </c>
      <c r="DX97" s="275" t="n"/>
      <c r="DY97" s="347">
        <f>Table410[[#This Row],[Apr_2027_F]]-Table410[[#This Row],[Apr_2027_A]]</f>
        <v/>
      </c>
      <c r="DZ97" s="347">
        <f>IFERROR(Table410[[#This Row],[May_2027_Days_Forecast]]*Table410[[#This Row],[Cost Boolean]]*(VLOOKUP(Table410[[#This Row],[RATE CONCAT]],Tables!I:N,6,0)),0)</f>
        <v/>
      </c>
      <c r="EA97" s="275" t="n"/>
      <c r="EB97" s="347">
        <f>Table410[[#This Row],[May_2027_F]]-Table410[[#This Row],[May_2027_A]]</f>
        <v/>
      </c>
      <c r="EC97" s="347">
        <f>IFERROR(Table410[[#This Row],[Jun_2027_Days_Forecast]]*Table410[[#This Row],[Cost Boolean]]*(VLOOKUP(Table410[[#This Row],[RATE CONCAT]],Tables!I:N,6,0)),0)</f>
        <v/>
      </c>
      <c r="ED97" s="275" t="n"/>
      <c r="EE97" s="347">
        <f>Table410[[#This Row],[Jun_2027_F]]-Table410[[#This Row],[Jun_2027_A]]</f>
        <v/>
      </c>
      <c r="EF97" s="347">
        <f>IFERROR(Table410[[#This Row],[Jul_2027_Days_Forecast]]*Table410[[#This Row],[Cost Boolean]]*(VLOOKUP(Table410[[#This Row],[RATE CONCAT]],Tables!I:N,6,0)),0)</f>
        <v/>
      </c>
      <c r="EG97" s="275" t="n"/>
      <c r="EH97" s="347">
        <f>Table410[[#This Row],[Jul_2027_F]]-Table410[[#This Row],[Jul_2027_A]]</f>
        <v/>
      </c>
      <c r="EI97" s="347">
        <f>IFERROR(Table410[[#This Row],[Aug_2027_Days_Forecast]]*Table410[[#This Row],[Cost Boolean]]*(VLOOKUP(Table410[[#This Row],[RATE CONCAT]],Tables!I:N,6,0)),0)</f>
        <v/>
      </c>
      <c r="EJ97" s="275" t="n"/>
      <c r="EK97" s="347">
        <f>Table410[[#This Row],[Aug_2027_F]]-Table410[[#This Row],[Aug_2027_A]]</f>
        <v/>
      </c>
      <c r="EL97" s="347">
        <f>IFERROR(Table410[[#This Row],[Sep_2027_Days_Forecast]]*Table410[[#This Row],[Cost Boolean]]*(VLOOKUP(Table410[[#This Row],[RATE CONCAT]],Tables!I:N,6,0)),0)</f>
        <v/>
      </c>
      <c r="EM97" s="275" t="n"/>
      <c r="EN97" s="347">
        <f>Table410[[#This Row],[Sep_2027_F]]-Table410[[#This Row],[Sep_2027_A]]</f>
        <v/>
      </c>
      <c r="EO97" s="347">
        <f>IFERROR(Table410[[#This Row],[Oct_2027_Days_Forecast]]*Table410[[#This Row],[Cost Boolean]]*(VLOOKUP(Table410[[#This Row],[RATE CONCAT]],Tables!I:N,6,0)),0)</f>
        <v/>
      </c>
      <c r="EP97" s="275" t="n"/>
      <c r="EQ97" s="347">
        <f>Table410[[#This Row],[Oct_2027_F]]-Table410[[#This Row],[Oct_2027_A]]</f>
        <v/>
      </c>
      <c r="ER97" s="347">
        <f>IFERROR(Table410[[#This Row],[Nov_2027_Days_Forecast]]*Table410[[#This Row],[Cost Boolean]]*(VLOOKUP(Table410[[#This Row],[RATE CONCAT]],Tables!I:N,6,0)),0)</f>
        <v/>
      </c>
      <c r="ES97" s="275" t="n"/>
      <c r="ET97" s="347">
        <f>Table410[[#This Row],[Nov_2027_F]]-Table410[[#This Row],[Nov_2027_A]]</f>
        <v/>
      </c>
      <c r="EU97" s="347">
        <f>IFERROR(Table410[[#This Row],[Dec_2027_Days_Forecast]]*Table410[[#This Row],[Cost Boolean]]*(VLOOKUP(Table410[[#This Row],[RATE CONCAT]],Tables!I:N,6,0)),0)</f>
        <v/>
      </c>
      <c r="EV97" s="275" t="n"/>
      <c r="EW97" s="347">
        <f>Table410[[#This Row],[Dec_2027_F]]-Table410[[#This Row],[Dec_2027_A]]</f>
        <v/>
      </c>
    </row>
    <row r="98" ht="1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338">
        <f>CONCATENATE(Table410[[#This Row],[JG]],Table410[[#This Row],[Country]],Table410[[#This Row],[Resource Provider]])</f>
        <v/>
      </c>
      <c r="Z98" s="338">
        <f>VLOOKUP(Table410[[#This Row],[RATE CONCAT]],Tables!I:N,5,0)</f>
        <v/>
      </c>
      <c r="AA98" s="123" t="n"/>
      <c r="AB98" s="130" t="n"/>
      <c r="AC98" s="130" t="n"/>
      <c r="AD98" s="130" t="n"/>
      <c r="AE98" s="130" t="n"/>
      <c r="AF98" s="130" t="n"/>
      <c r="AG98" s="131" t="n"/>
      <c r="AH98" s="131" t="n"/>
      <c r="AI98" s="131" t="n"/>
      <c r="AJ98" s="131" t="n"/>
      <c r="AK98" s="131" t="n"/>
      <c r="AL98" s="130" t="n"/>
      <c r="AM98" s="130" t="n"/>
      <c r="AN98" s="341">
        <f>IFERROR(AVERAGE(Table410[[#This Row],[Jan_2026_Days_Forecast]:[Dec_2026_Days_Forecast]]),0)/19</f>
        <v/>
      </c>
      <c r="AO98" s="341">
        <f>IFERROR(AVERAGE(Table410[[#This Row],[Jan_2026_Days_Actual]:[Dec_2026_Days_Actual]]),0)/19</f>
        <v/>
      </c>
      <c r="AP98" s="84" t="n"/>
      <c r="AQ98" s="84" t="n"/>
      <c r="AR98" s="84" t="n"/>
      <c r="AS98" s="84" t="n"/>
      <c r="AT98" s="84" t="n"/>
      <c r="AU98" s="84" t="n"/>
      <c r="AV98" s="84" t="n"/>
      <c r="AW98" s="84" t="n"/>
      <c r="AX98" s="84" t="n"/>
      <c r="AY98" s="84" t="n"/>
      <c r="AZ98" s="84" t="n"/>
      <c r="BA98" s="84" t="n"/>
      <c r="BB98" s="341">
        <f>IFERROR(AVERAGE(Table410[[#This Row],[Jan_2027_Days_Forecast]:[Dec_2027_Days_Forecast]]),0)</f>
        <v/>
      </c>
      <c r="BC98" s="127" t="n"/>
      <c r="BD98" s="127" t="n"/>
      <c r="BE98" s="127" t="n"/>
      <c r="BF98" s="127" t="n"/>
      <c r="BG98" s="127" t="n"/>
      <c r="BH98" s="127" t="n"/>
      <c r="BI98" s="127" t="n"/>
      <c r="BJ98" s="127" t="n"/>
      <c r="BK98" s="127" t="n"/>
      <c r="BL98" s="127" t="n"/>
      <c r="BM98" s="127" t="n"/>
      <c r="BN98" s="127" t="n"/>
      <c r="BO98" s="176" t="n"/>
      <c r="BP98" s="176" t="n"/>
      <c r="BQ98" s="345">
        <f>IFERROR(Table410[[#This Row],[Jan_2026_Days_Forecast]]*Table410[[#This Row],[Cost Boolean]]*(VLOOKUP(Table410[[#This Row],[RATE CONCAT]],Tables!I:N,5,0)),0)</f>
        <v/>
      </c>
      <c r="BR98" s="345">
        <f>IFERROR(Table410[[#This Row],[Jan_2026_Days_Actual]]*Table410[[#This Row],[Cost Boolean]]*(VLOOKUP(Table410[[#This Row],[RATE CONCAT]],Tables!I:N,5,0)),0)</f>
        <v/>
      </c>
      <c r="BS98" s="338">
        <f>Table410[[#This Row],[Jan_2026_F]]-Table410[[#This Row],[Jan_2026_A]]</f>
        <v/>
      </c>
      <c r="BT98" s="114" t="n"/>
      <c r="BU98" s="338">
        <f>IFERROR(Table410[[#This Row],[Feb_2026_Days_Forecast]]*Table410[[#This Row],[Cost Boolean]]*(VLOOKUP(Table410[[#This Row],[RATE CONCAT]],Tables!I:N,5,0)),0)</f>
        <v/>
      </c>
      <c r="BV98" s="345">
        <f>IFERROR(Table410[[#This Row],[Feb_2026_Days_Actual]]*Table410[[#This Row],[Cost Boolean]]*(VLOOKUP(Table410[[#This Row],[RATE CONCAT]],Tables!I:N,5,0)),0)</f>
        <v/>
      </c>
      <c r="BW98" s="338">
        <f>Table410[[#This Row],[Feb_2026_F]]-Table410[[#This Row],[Feb_2026_A]]</f>
        <v/>
      </c>
      <c r="BX98" s="275" t="n"/>
      <c r="BY98" s="345">
        <f>IFERROR(Table410[[#This Row],[Mar_2026_Days_Forecast]]*Table410[[#This Row],[Cost Boolean]]*(VLOOKUP(Table410[[#This Row],[RATE CONCAT]],Tables!I:N,5,0)),0)</f>
        <v/>
      </c>
      <c r="BZ98" s="345">
        <f>IFERROR(Table410[[#This Row],[Mar_2026_Days_Actual]]*Table410[[#This Row],[Cost Boolean]]*(VLOOKUP(Table410[[#This Row],[RATE CONCAT]],Tables!I:N,5,0)),0)</f>
        <v/>
      </c>
      <c r="CA98" s="345">
        <f>Table410[[#This Row],[Mar_2026_F]]-Table410[[#This Row],[Mar_2026_A]]</f>
        <v/>
      </c>
      <c r="CB98" s="103" t="n"/>
      <c r="CC98" s="345">
        <f>IFERROR(Table410[[#This Row],[Apr_2026_Days_Forecast]]*Table410[[#This Row],[Cost Boolean]]*(VLOOKUP(Table410[[#This Row],[RATE CONCAT]],Tables!I:N,5,0)),0)</f>
        <v/>
      </c>
      <c r="CD98" s="345">
        <f>IFERROR(Table410[[#This Row],[Apr_2026_Days_Actual]]*Table410[[#This Row],[Cost Boolean]]*(VLOOKUP(Table410[[#This Row],[RATE CONCAT]],Tables!I:N,5,0)),0)</f>
        <v/>
      </c>
      <c r="CE98" s="345">
        <f>Table410[[#This Row],[Apr_2026_F]]-Table410[[#This Row],[Apr_2026_A]]</f>
        <v/>
      </c>
      <c r="CF98" s="103" t="n"/>
      <c r="CG98" s="345">
        <f>IFERROR(Table410[[#This Row],[May_2026_Days_Forecast]] *Table410[[#This Row],[Cost Boolean]]*(VLOOKUP(Table410[[#This Row],[RATE CONCAT]],Tables!I:N,5,0)),0)</f>
        <v/>
      </c>
      <c r="CH98" s="345">
        <f>IFERROR(Table410[[#This Row],[May_2026_Days_Actual]]*Table410[[#This Row],[Cost Boolean]]*(VLOOKUP(Table410[[#This Row],[RATE CONCAT]],Tables!I:N,5,0)),0)</f>
        <v/>
      </c>
      <c r="CI98" s="345">
        <f>Table410[[#This Row],[May_2026_F]]-Table410[[#This Row],[May_2026_A]]</f>
        <v/>
      </c>
      <c r="CJ98" s="103" t="n"/>
      <c r="CK98" s="345">
        <f>IFERROR(Table410[[#This Row],[Jun_2026_Days_Forecast]]*Table410[[#This Row],[Cost Boolean]]*(VLOOKUP(Table410[[#This Row],[RATE CONCAT]],Tables!I:N,5,0)),0)</f>
        <v/>
      </c>
      <c r="CL98" s="345">
        <f>IFERROR(Table410[[#This Row],[Jun_2026_Days_Actual]]*Table410[[#This Row],[Cost Boolean]]*(VLOOKUP(Table410[[#This Row],[RATE CONCAT]],Tables!I:N,5,0)),0)</f>
        <v/>
      </c>
      <c r="CM98" s="345">
        <f>Table410[[#This Row],[Jun_2026_F]]-Table410[[#This Row],[Jun_2026_A]]</f>
        <v/>
      </c>
      <c r="CN98" s="103" t="n"/>
      <c r="CO98" s="345">
        <f>IFERROR(Table410[[#This Row],[Jul_2026_Days_Forecast]]*Table410[[#This Row],[Cost Boolean]]*(VLOOKUP(Table410[[#This Row],[RATE CONCAT]],Tables!I:N,5,0)),0)</f>
        <v/>
      </c>
      <c r="CP98" s="345">
        <f>IFERROR(Table410[[#This Row],[Jul_2026_Days_Actual]]*Table410[[#This Row],[Cost Boolean]]*(VLOOKUP(Table410[[#This Row],[RATE CONCAT]],Tables!I:N,5,0)),0)</f>
        <v/>
      </c>
      <c r="CQ98" s="345">
        <f>Table410[[#This Row],[Jul_2026_F]]-Table410[[#This Row],[Jul_2026_A]]</f>
        <v/>
      </c>
      <c r="CR98" s="103" t="n"/>
      <c r="CS98" s="345">
        <f>IFERROR(Table410[[#This Row],[Aug_2026_Days_Forecast]]*Table410[[#This Row],[Cost Boolean]]*(VLOOKUP(Table410[[#This Row],[RATE CONCAT]],Tables!I:N,5,0)),0)</f>
        <v/>
      </c>
      <c r="CT98" s="345">
        <f>IFERROR(Table410[[#This Row],[Aug_2026_Days_Actual]]*Table410[[#This Row],[Cost Boolean]]*(VLOOKUP(Table410[[#This Row],[RATE CONCAT]],Tables!I:N,5,0)),0)</f>
        <v/>
      </c>
      <c r="CU98" s="345">
        <f>Table410[[#This Row],[Aug_2026_F]]-Table410[[#This Row],[Aug_2026_A]]</f>
        <v/>
      </c>
      <c r="CV98" s="103" t="n"/>
      <c r="CW98" s="345">
        <f>IFERROR(Table410[[#This Row],[Sep_2026_Days_Forecast]]*Table410[[#This Row],[Cost Boolean]]*(VLOOKUP(Table410[[#This Row],[RATE CONCAT]],Tables!I:N,5,0)),0)</f>
        <v/>
      </c>
      <c r="CX98" s="345">
        <f>IFERROR(Table410[[#This Row],[Sep_2026_Days_Actual]]*Table410[[#This Row],[Cost Boolean]]*(VLOOKUP(Table410[[#This Row],[RATE CONCAT]],Tables!I:N,5,0)),0)</f>
        <v/>
      </c>
      <c r="CY98" s="345">
        <f>Table410[[#This Row],[Sep_2026_F]]-Table410[[#This Row],[Sep_2026_A]]</f>
        <v/>
      </c>
      <c r="CZ98" s="103" t="n"/>
      <c r="DA98" s="345">
        <f>IFERROR(Table410[[#This Row],[Oct_2026_Days_Forecast]]*Table410[[#This Row],[Cost Boolean]]*(VLOOKUP(Table410[[#This Row],[RATE CONCAT]],Tables!I:N,5,0)),0)</f>
        <v/>
      </c>
      <c r="DB98" s="345">
        <f>IFERROR(Table410[[#This Row],[Oct_2026_Days_Actual]]*Table410[[#This Row],[Cost Boolean]]*(VLOOKUP(Table410[[#This Row],[RATE CONCAT]],Tables!I:N,5,0)),0)</f>
        <v/>
      </c>
      <c r="DC98" s="345">
        <f>Table410[[#This Row],[Oct_2026_F]]-Table410[[#This Row],[Oct_2026_A]]</f>
        <v/>
      </c>
      <c r="DD98" s="103" t="n"/>
      <c r="DE98" s="345">
        <f>IFERROR(Table410[[#This Row],[Nov_2026_Days_Forecast]]*Table410[[#This Row],[Cost Boolean]]*(VLOOKUP(Table410[[#This Row],[RATE CONCAT]],Tables!I:N,5,0)),0)</f>
        <v/>
      </c>
      <c r="DF98" s="345">
        <f>IFERROR(Table410[[#This Row],[Nov_2026_Days_Actual]]*Table410[[#This Row],[Cost Boolean]]*(VLOOKUP(Table410[[#This Row],[RATE CONCAT]],Tables!I:N,5,0)),0)</f>
        <v/>
      </c>
      <c r="DG98" s="345">
        <f>Table410[[#This Row],[Nov_2026_F]]-Table410[[#This Row],[Nov_2026_A]]</f>
        <v/>
      </c>
      <c r="DH98" s="103" t="n"/>
      <c r="DI98" s="345">
        <f>IFERROR(Table410[[#This Row],[Dec_2026_Days_Forecast]]*Table410[[#This Row],[Cost Boolean]]*(VLOOKUP(Table410[[#This Row],[RATE CONCAT]],Tables!I:N,5,0)),0)</f>
        <v/>
      </c>
      <c r="DJ98" s="345">
        <f>IFERROR(Table410[[#This Row],[Dec_2026_Days_Actual]]*Table410[[#This Row],[Cost Boolean]]*(VLOOKUP(Table410[[#This Row],[RATE CONCAT]],Tables!I:N,5,0)),0)</f>
        <v/>
      </c>
      <c r="DK98" s="349">
        <f>Table410[[#This Row],[Dec_2026_F]]-Table410[[#This Row],[Dec_2026_A]]</f>
        <v/>
      </c>
      <c r="DL98" s="103" t="n"/>
      <c r="DM98" s="346" t="n"/>
      <c r="DN98" s="345">
        <f>IFERROR(Table410[[#This Row],[Jan_2027_Days_Forecast]]*Table410[[#This Row],[Cost Boolean]]*(VLOOKUP(Table410[[#This Row],[RATE CONCAT]],Tables!I:N,6,0)),0)</f>
        <v/>
      </c>
      <c r="DO98" s="275" t="n"/>
      <c r="DP98" s="345">
        <f>Table410[[#This Row],[Jan_2027_F]]-Table410[[#This Row],[Jan_2027_A]]</f>
        <v/>
      </c>
      <c r="DQ98" s="345">
        <f>IFERROR(Table410[[#This Row],[Feb_2027_Days_Forecast]]*Table410[[#This Row],[Cost Boolean]]*(VLOOKUP(Table410[[#This Row],[RATE CONCAT]],Tables!I:N,6,0)),0)</f>
        <v/>
      </c>
      <c r="DR98" s="275" t="n"/>
      <c r="DS98" s="345">
        <f>Table410[[#This Row],[Feb_2027_F]]-Table410[[#This Row],[Feb_2027_A]]</f>
        <v/>
      </c>
      <c r="DT98" s="345">
        <f>IFERROR(Table410[[#This Row],[Mar_2027_Days_Forecast]]*Table410[[#This Row],[Cost Boolean]]*(VLOOKUP(Table410[[#This Row],[RATE CONCAT]],Tables!I:N,6,0)),0)</f>
        <v/>
      </c>
      <c r="DU98" s="275" t="n"/>
      <c r="DV98" s="345">
        <f>Table410[[#This Row],[Mar_2027_F]]-Table410[[#This Row],[Mar_2027_A]]</f>
        <v/>
      </c>
      <c r="DW98" s="345">
        <f>IFERROR(Table410[[#This Row],[Apr_2027_Days_Forecast]]*Table410[[#This Row],[Cost Boolean]]*(VLOOKUP(Table410[[#This Row],[RATE CONCAT]],Tables!I:N,6,0)),0)</f>
        <v/>
      </c>
      <c r="DX98" s="275" t="n"/>
      <c r="DY98" s="345">
        <f>Table410[[#This Row],[Apr_2027_F]]-Table410[[#This Row],[Apr_2027_A]]</f>
        <v/>
      </c>
      <c r="DZ98" s="345">
        <f>IFERROR(Table410[[#This Row],[May_2027_Days_Forecast]]*Table410[[#This Row],[Cost Boolean]]*(VLOOKUP(Table410[[#This Row],[RATE CONCAT]],Tables!I:N,6,0)),0)</f>
        <v/>
      </c>
      <c r="EA98" s="275" t="n"/>
      <c r="EB98" s="345">
        <f>Table410[[#This Row],[May_2027_F]]-Table410[[#This Row],[May_2027_A]]</f>
        <v/>
      </c>
      <c r="EC98" s="345">
        <f>IFERROR(Table410[[#This Row],[Jun_2027_Days_Forecast]]*Table410[[#This Row],[Cost Boolean]]*(VLOOKUP(Table410[[#This Row],[RATE CONCAT]],Tables!I:N,6,0)),0)</f>
        <v/>
      </c>
      <c r="ED98" s="275" t="n"/>
      <c r="EE98" s="345">
        <f>Table410[[#This Row],[Jun_2027_F]]-Table410[[#This Row],[Jun_2027_A]]</f>
        <v/>
      </c>
      <c r="EF98" s="345">
        <f>IFERROR(Table410[[#This Row],[Jul_2027_Days_Forecast]]*Table410[[#This Row],[Cost Boolean]]*(VLOOKUP(Table410[[#This Row],[RATE CONCAT]],Tables!I:N,6,0)),0)</f>
        <v/>
      </c>
      <c r="EG98" s="275" t="n"/>
      <c r="EH98" s="345">
        <f>Table410[[#This Row],[Jul_2027_F]]-Table410[[#This Row],[Jul_2027_A]]</f>
        <v/>
      </c>
      <c r="EI98" s="345">
        <f>IFERROR(Table410[[#This Row],[Aug_2027_Days_Forecast]]*Table410[[#This Row],[Cost Boolean]]*(VLOOKUP(Table410[[#This Row],[RATE CONCAT]],Tables!I:N,6,0)),0)</f>
        <v/>
      </c>
      <c r="EJ98" s="275" t="n"/>
      <c r="EK98" s="345">
        <f>Table410[[#This Row],[Aug_2027_F]]-Table410[[#This Row],[Aug_2027_A]]</f>
        <v/>
      </c>
      <c r="EL98" s="345">
        <f>IFERROR(Table410[[#This Row],[Sep_2027_Days_Forecast]]*Table410[[#This Row],[Cost Boolean]]*(VLOOKUP(Table410[[#This Row],[RATE CONCAT]],Tables!I:N,6,0)),0)</f>
        <v/>
      </c>
      <c r="EM98" s="275" t="n"/>
      <c r="EN98" s="345">
        <f>Table410[[#This Row],[Sep_2027_F]]-Table410[[#This Row],[Sep_2027_A]]</f>
        <v/>
      </c>
      <c r="EO98" s="345">
        <f>IFERROR(Table410[[#This Row],[Oct_2027_Days_Forecast]]*Table410[[#This Row],[Cost Boolean]]*(VLOOKUP(Table410[[#This Row],[RATE CONCAT]],Tables!I:N,6,0)),0)</f>
        <v/>
      </c>
      <c r="EP98" s="275" t="n"/>
      <c r="EQ98" s="345">
        <f>Table410[[#This Row],[Oct_2027_F]]-Table410[[#This Row],[Oct_2027_A]]</f>
        <v/>
      </c>
      <c r="ER98" s="345">
        <f>IFERROR(Table410[[#This Row],[Nov_2027_Days_Forecast]]*Table410[[#This Row],[Cost Boolean]]*(VLOOKUP(Table410[[#This Row],[RATE CONCAT]],Tables!I:N,6,0)),0)</f>
        <v/>
      </c>
      <c r="ES98" s="275" t="n"/>
      <c r="ET98" s="345">
        <f>Table410[[#This Row],[Nov_2027_F]]-Table410[[#This Row],[Nov_2027_A]]</f>
        <v/>
      </c>
      <c r="EU98" s="345">
        <f>IFERROR(Table410[[#This Row],[Dec_2027_Days_Forecast]]*Table410[[#This Row],[Cost Boolean]]*(VLOOKUP(Table410[[#This Row],[RATE CONCAT]],Tables!I:N,6,0)),0)</f>
        <v/>
      </c>
      <c r="EV98" s="275" t="n"/>
      <c r="EW98" s="345">
        <f>Table410[[#This Row],[Dec_2027_F]]-Table410[[#This Row],[Dec_2027_A]]</f>
        <v/>
      </c>
    </row>
    <row r="99" ht="1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342">
        <f>CONCATENATE(Table410[[#This Row],[JG]],Table410[[#This Row],[Country]],Table410[[#This Row],[Resource Provider]])</f>
        <v/>
      </c>
      <c r="Z99" s="342">
        <f>VLOOKUP(Table410[[#This Row],[RATE CONCAT]],Tables!I:N,5,0)</f>
        <v/>
      </c>
      <c r="AA99" s="123" t="n"/>
      <c r="AB99" s="129" t="n"/>
      <c r="AC99" s="129" t="n"/>
      <c r="AD99" s="129" t="n"/>
      <c r="AE99" s="129" t="n"/>
      <c r="AF99" s="129" t="n"/>
      <c r="AG99" s="131" t="n"/>
      <c r="AH99" s="131" t="n"/>
      <c r="AI99" s="131" t="n"/>
      <c r="AJ99" s="131" t="n"/>
      <c r="AK99" s="131" t="n"/>
      <c r="AL99" s="131" t="n"/>
      <c r="AM99" s="131" t="n"/>
      <c r="AN99" s="341">
        <f>IFERROR(AVERAGE(Table410[[#This Row],[Jan_2026_Days_Forecast]:[Dec_2026_Days_Forecast]]),0)/19</f>
        <v/>
      </c>
      <c r="AO99" s="341">
        <f>IFERROR(AVERAGE(Table410[[#This Row],[Jan_2026_Days_Actual]:[Dec_2026_Days_Actual]]),0)/19</f>
        <v/>
      </c>
      <c r="AP99" s="84" t="n"/>
      <c r="AQ99" s="84" t="n"/>
      <c r="AR99" s="84" t="n"/>
      <c r="AS99" s="84" t="n"/>
      <c r="AT99" s="84" t="n"/>
      <c r="AU99" s="84" t="n"/>
      <c r="AV99" s="84" t="n"/>
      <c r="AW99" s="84" t="n"/>
      <c r="AX99" s="84" t="n"/>
      <c r="AY99" s="84" t="n"/>
      <c r="AZ99" s="84" t="n"/>
      <c r="BA99" s="84" t="n"/>
      <c r="BB99" s="341">
        <f>IFERROR(AVERAGE(Table410[[#This Row],[Jan_2027_Days_Forecast]:[Dec_2027_Days_Forecast]]),0)</f>
        <v/>
      </c>
      <c r="BC99" s="129" t="n"/>
      <c r="BD99" s="129" t="n"/>
      <c r="BE99" s="129" t="n"/>
      <c r="BF99" s="129" t="n"/>
      <c r="BG99" s="129" t="n"/>
      <c r="BH99" s="129" t="n"/>
      <c r="BI99" s="129" t="n"/>
      <c r="BJ99" s="129" t="n"/>
      <c r="BK99" s="129" t="n"/>
      <c r="BL99" s="129" t="n"/>
      <c r="BM99" s="129" t="n"/>
      <c r="BN99" s="129" t="n"/>
      <c r="BO99" s="176" t="n"/>
      <c r="BP99" s="176" t="n"/>
      <c r="BQ99" s="347">
        <f>IFERROR(Table410[[#This Row],[Jan_2026_Days_Forecast]]*Table410[[#This Row],[Cost Boolean]]*(VLOOKUP(Table410[[#This Row],[RATE CONCAT]],Tables!I:N,5,0)),0)</f>
        <v/>
      </c>
      <c r="BR99" s="347">
        <f>IFERROR(Table410[[#This Row],[Jan_2026_Days_Actual]]*Table410[[#This Row],[Cost Boolean]]*(VLOOKUP(Table410[[#This Row],[RATE CONCAT]],Tables!I:N,5,0)),0)</f>
        <v/>
      </c>
      <c r="BS99" s="342">
        <f>Table410[[#This Row],[Jan_2026_F]]-Table410[[#This Row],[Jan_2026_A]]</f>
        <v/>
      </c>
      <c r="BT99" s="114" t="n"/>
      <c r="BU99" s="342">
        <f>IFERROR(Table410[[#This Row],[Feb_2026_Days_Forecast]]*Table410[[#This Row],[Cost Boolean]]*(VLOOKUP(Table410[[#This Row],[RATE CONCAT]],Tables!I:N,5,0)),0)</f>
        <v/>
      </c>
      <c r="BV99" s="347">
        <f>IFERROR(Table410[[#This Row],[Feb_2026_Days_Actual]]*Table410[[#This Row],[Cost Boolean]]*(VLOOKUP(Table410[[#This Row],[RATE CONCAT]],Tables!I:N,5,0)),0)</f>
        <v/>
      </c>
      <c r="BW99" s="342">
        <f>Table410[[#This Row],[Feb_2026_F]]-Table410[[#This Row],[Feb_2026_A]]</f>
        <v/>
      </c>
      <c r="BX99" s="275" t="n"/>
      <c r="BY99" s="347">
        <f>IFERROR(Table410[[#This Row],[Mar_2026_Days_Forecast]]*Table410[[#This Row],[Cost Boolean]]*(VLOOKUP(Table410[[#This Row],[RATE CONCAT]],Tables!I:N,5,0)),0)</f>
        <v/>
      </c>
      <c r="BZ99" s="347">
        <f>IFERROR(Table410[[#This Row],[Mar_2026_Days_Actual]]*Table410[[#This Row],[Cost Boolean]]*(VLOOKUP(Table410[[#This Row],[RATE CONCAT]],Tables!I:N,5,0)),0)</f>
        <v/>
      </c>
      <c r="CA99" s="347">
        <f>Table410[[#This Row],[Mar_2026_F]]-Table410[[#This Row],[Mar_2026_A]]</f>
        <v/>
      </c>
      <c r="CB99" s="103" t="n"/>
      <c r="CC99" s="347">
        <f>IFERROR(Table410[[#This Row],[Apr_2026_Days_Forecast]]*Table410[[#This Row],[Cost Boolean]]*(VLOOKUP(Table410[[#This Row],[RATE CONCAT]],Tables!I:N,5,0)),0)</f>
        <v/>
      </c>
      <c r="CD99" s="347">
        <f>IFERROR(Table410[[#This Row],[Apr_2026_Days_Actual]]*Table410[[#This Row],[Cost Boolean]]*(VLOOKUP(Table410[[#This Row],[RATE CONCAT]],Tables!I:N,5,0)),0)</f>
        <v/>
      </c>
      <c r="CE99" s="347">
        <f>Table410[[#This Row],[Apr_2026_F]]-Table410[[#This Row],[Apr_2026_A]]</f>
        <v/>
      </c>
      <c r="CF99" s="103" t="n"/>
      <c r="CG99" s="347">
        <f>IFERROR(Table410[[#This Row],[May_2026_Days_Forecast]] *Table410[[#This Row],[Cost Boolean]]*(VLOOKUP(Table410[[#This Row],[RATE CONCAT]],Tables!I:N,5,0)),0)</f>
        <v/>
      </c>
      <c r="CH99" s="347">
        <f>IFERROR(Table410[[#This Row],[May_2026_Days_Actual]]*Table410[[#This Row],[Cost Boolean]]*(VLOOKUP(Table410[[#This Row],[RATE CONCAT]],Tables!I:N,5,0)),0)</f>
        <v/>
      </c>
      <c r="CI99" s="347">
        <f>Table410[[#This Row],[May_2026_F]]-Table410[[#This Row],[May_2026_A]]</f>
        <v/>
      </c>
      <c r="CJ99" s="103" t="n"/>
      <c r="CK99" s="347">
        <f>IFERROR(Table410[[#This Row],[Jun_2026_Days_Forecast]]*Table410[[#This Row],[Cost Boolean]]*(VLOOKUP(Table410[[#This Row],[RATE CONCAT]],Tables!I:N,5,0)),0)</f>
        <v/>
      </c>
      <c r="CL99" s="347">
        <f>IFERROR(Table410[[#This Row],[Jun_2026_Days_Actual]]*Table410[[#This Row],[Cost Boolean]]*(VLOOKUP(Table410[[#This Row],[RATE CONCAT]],Tables!I:N,5,0)),0)</f>
        <v/>
      </c>
      <c r="CM99" s="347">
        <f>Table410[[#This Row],[Jun_2026_F]]-Table410[[#This Row],[Jun_2026_A]]</f>
        <v/>
      </c>
      <c r="CN99" s="103" t="n"/>
      <c r="CO99" s="347">
        <f>IFERROR(Table410[[#This Row],[Jul_2026_Days_Forecast]]*Table410[[#This Row],[Cost Boolean]]*(VLOOKUP(Table410[[#This Row],[RATE CONCAT]],Tables!I:N,5,0)),0)</f>
        <v/>
      </c>
      <c r="CP99" s="347">
        <f>IFERROR(Table410[[#This Row],[Jul_2026_Days_Actual]]*Table410[[#This Row],[Cost Boolean]]*(VLOOKUP(Table410[[#This Row],[RATE CONCAT]],Tables!I:N,5,0)),0)</f>
        <v/>
      </c>
      <c r="CQ99" s="347">
        <f>Table410[[#This Row],[Jul_2026_F]]-Table410[[#This Row],[Jul_2026_A]]</f>
        <v/>
      </c>
      <c r="CR99" s="103" t="n"/>
      <c r="CS99" s="347">
        <f>IFERROR(Table410[[#This Row],[Aug_2026_Days_Forecast]]*Table410[[#This Row],[Cost Boolean]]*(VLOOKUP(Table410[[#This Row],[RATE CONCAT]],Tables!I:N,5,0)),0)</f>
        <v/>
      </c>
      <c r="CT99" s="347">
        <f>IFERROR(Table410[[#This Row],[Aug_2026_Days_Actual]]*Table410[[#This Row],[Cost Boolean]]*(VLOOKUP(Table410[[#This Row],[RATE CONCAT]],Tables!I:N,5,0)),0)</f>
        <v/>
      </c>
      <c r="CU99" s="347">
        <f>Table410[[#This Row],[Aug_2026_F]]-Table410[[#This Row],[Aug_2026_A]]</f>
        <v/>
      </c>
      <c r="CV99" s="103" t="n"/>
      <c r="CW99" s="347">
        <f>IFERROR(Table410[[#This Row],[Sep_2026_Days_Forecast]]*Table410[[#This Row],[Cost Boolean]]*(VLOOKUP(Table410[[#This Row],[RATE CONCAT]],Tables!I:N,5,0)),0)</f>
        <v/>
      </c>
      <c r="CX99" s="347">
        <f>IFERROR(Table410[[#This Row],[Sep_2026_Days_Actual]]*Table410[[#This Row],[Cost Boolean]]*(VLOOKUP(Table410[[#This Row],[RATE CONCAT]],Tables!I:N,5,0)),0)</f>
        <v/>
      </c>
      <c r="CY99" s="347">
        <f>Table410[[#This Row],[Sep_2026_F]]-Table410[[#This Row],[Sep_2026_A]]</f>
        <v/>
      </c>
      <c r="CZ99" s="103" t="n"/>
      <c r="DA99" s="347">
        <f>IFERROR(Table410[[#This Row],[Oct_2026_Days_Forecast]]*Table410[[#This Row],[Cost Boolean]]*(VLOOKUP(Table410[[#This Row],[RATE CONCAT]],Tables!I:N,5,0)),0)</f>
        <v/>
      </c>
      <c r="DB99" s="347">
        <f>IFERROR(Table410[[#This Row],[Oct_2026_Days_Actual]]*Table410[[#This Row],[Cost Boolean]]*(VLOOKUP(Table410[[#This Row],[RATE CONCAT]],Tables!I:N,5,0)),0)</f>
        <v/>
      </c>
      <c r="DC99" s="347">
        <f>Table410[[#This Row],[Oct_2026_F]]-Table410[[#This Row],[Oct_2026_A]]</f>
        <v/>
      </c>
      <c r="DD99" s="103" t="n"/>
      <c r="DE99" s="347">
        <f>IFERROR(Table410[[#This Row],[Nov_2026_Days_Forecast]]*Table410[[#This Row],[Cost Boolean]]*(VLOOKUP(Table410[[#This Row],[RATE CONCAT]],Tables!I:N,5,0)),0)</f>
        <v/>
      </c>
      <c r="DF99" s="347">
        <f>IFERROR(Table410[[#This Row],[Nov_2026_Days_Actual]]*Table410[[#This Row],[Cost Boolean]]*(VLOOKUP(Table410[[#This Row],[RATE CONCAT]],Tables!I:N,5,0)),0)</f>
        <v/>
      </c>
      <c r="DG99" s="347">
        <f>Table410[[#This Row],[Nov_2026_F]]-Table410[[#This Row],[Nov_2026_A]]</f>
        <v/>
      </c>
      <c r="DH99" s="103" t="n"/>
      <c r="DI99" s="347">
        <f>IFERROR(Table410[[#This Row],[Dec_2026_Days_Forecast]]*Table410[[#This Row],[Cost Boolean]]*(VLOOKUP(Table410[[#This Row],[RATE CONCAT]],Tables!I:N,5,0)),0)</f>
        <v/>
      </c>
      <c r="DJ99" s="347">
        <f>IFERROR(Table410[[#This Row],[Dec_2026_Days_Actual]]*Table410[[#This Row],[Cost Boolean]]*(VLOOKUP(Table410[[#This Row],[RATE CONCAT]],Tables!I:N,5,0)),0)</f>
        <v/>
      </c>
      <c r="DK99" s="348">
        <f>Table410[[#This Row],[Dec_2026_F]]-Table410[[#This Row],[Dec_2026_A]]</f>
        <v/>
      </c>
      <c r="DL99" s="103" t="n"/>
      <c r="DM99" s="346" t="n"/>
      <c r="DN99" s="347">
        <f>IFERROR(Table410[[#This Row],[Jan_2027_Days_Forecast]]*Table410[[#This Row],[Cost Boolean]]*(VLOOKUP(Table410[[#This Row],[RATE CONCAT]],Tables!I:N,6,0)),0)</f>
        <v/>
      </c>
      <c r="DO99" s="275" t="n"/>
      <c r="DP99" s="347">
        <f>Table410[[#This Row],[Jan_2027_F]]-Table410[[#This Row],[Jan_2027_A]]</f>
        <v/>
      </c>
      <c r="DQ99" s="347">
        <f>IFERROR(Table410[[#This Row],[Feb_2027_Days_Forecast]]*Table410[[#This Row],[Cost Boolean]]*(VLOOKUP(Table410[[#This Row],[RATE CONCAT]],Tables!I:N,6,0)),0)</f>
        <v/>
      </c>
      <c r="DR99" s="275" t="n"/>
      <c r="DS99" s="347">
        <f>Table410[[#This Row],[Feb_2027_F]]-Table410[[#This Row],[Feb_2027_A]]</f>
        <v/>
      </c>
      <c r="DT99" s="347">
        <f>IFERROR(Table410[[#This Row],[Mar_2027_Days_Forecast]]*Table410[[#This Row],[Cost Boolean]]*(VLOOKUP(Table410[[#This Row],[RATE CONCAT]],Tables!I:N,6,0)),0)</f>
        <v/>
      </c>
      <c r="DU99" s="275" t="n"/>
      <c r="DV99" s="347">
        <f>Table410[[#This Row],[Mar_2027_F]]-Table410[[#This Row],[Mar_2027_A]]</f>
        <v/>
      </c>
      <c r="DW99" s="347">
        <f>IFERROR(Table410[[#This Row],[Apr_2027_Days_Forecast]]*Table410[[#This Row],[Cost Boolean]]*(VLOOKUP(Table410[[#This Row],[RATE CONCAT]],Tables!I:N,6,0)),0)</f>
        <v/>
      </c>
      <c r="DX99" s="275" t="n"/>
      <c r="DY99" s="347">
        <f>Table410[[#This Row],[Apr_2027_F]]-Table410[[#This Row],[Apr_2027_A]]</f>
        <v/>
      </c>
      <c r="DZ99" s="347">
        <f>IFERROR(Table410[[#This Row],[May_2027_Days_Forecast]]*Table410[[#This Row],[Cost Boolean]]*(VLOOKUP(Table410[[#This Row],[RATE CONCAT]],Tables!I:N,6,0)),0)</f>
        <v/>
      </c>
      <c r="EA99" s="275" t="n"/>
      <c r="EB99" s="347">
        <f>Table410[[#This Row],[May_2027_F]]-Table410[[#This Row],[May_2027_A]]</f>
        <v/>
      </c>
      <c r="EC99" s="347">
        <f>IFERROR(Table410[[#This Row],[Jun_2027_Days_Forecast]]*Table410[[#This Row],[Cost Boolean]]*(VLOOKUP(Table410[[#This Row],[RATE CONCAT]],Tables!I:N,6,0)),0)</f>
        <v/>
      </c>
      <c r="ED99" s="275" t="n"/>
      <c r="EE99" s="347">
        <f>Table410[[#This Row],[Jun_2027_F]]-Table410[[#This Row],[Jun_2027_A]]</f>
        <v/>
      </c>
      <c r="EF99" s="347">
        <f>IFERROR(Table410[[#This Row],[Jul_2027_Days_Forecast]]*Table410[[#This Row],[Cost Boolean]]*(VLOOKUP(Table410[[#This Row],[RATE CONCAT]],Tables!I:N,6,0)),0)</f>
        <v/>
      </c>
      <c r="EG99" s="275" t="n"/>
      <c r="EH99" s="347">
        <f>Table410[[#This Row],[Jul_2027_F]]-Table410[[#This Row],[Jul_2027_A]]</f>
        <v/>
      </c>
      <c r="EI99" s="347">
        <f>IFERROR(Table410[[#This Row],[Aug_2027_Days_Forecast]]*Table410[[#This Row],[Cost Boolean]]*(VLOOKUP(Table410[[#This Row],[RATE CONCAT]],Tables!I:N,6,0)),0)</f>
        <v/>
      </c>
      <c r="EJ99" s="275" t="n"/>
      <c r="EK99" s="347">
        <f>Table410[[#This Row],[Aug_2027_F]]-Table410[[#This Row],[Aug_2027_A]]</f>
        <v/>
      </c>
      <c r="EL99" s="347">
        <f>IFERROR(Table410[[#This Row],[Sep_2027_Days_Forecast]]*Table410[[#This Row],[Cost Boolean]]*(VLOOKUP(Table410[[#This Row],[RATE CONCAT]],Tables!I:N,6,0)),0)</f>
        <v/>
      </c>
      <c r="EM99" s="275" t="n"/>
      <c r="EN99" s="347">
        <f>Table410[[#This Row],[Sep_2027_F]]-Table410[[#This Row],[Sep_2027_A]]</f>
        <v/>
      </c>
      <c r="EO99" s="347">
        <f>IFERROR(Table410[[#This Row],[Oct_2027_Days_Forecast]]*Table410[[#This Row],[Cost Boolean]]*(VLOOKUP(Table410[[#This Row],[RATE CONCAT]],Tables!I:N,6,0)),0)</f>
        <v/>
      </c>
      <c r="EP99" s="275" t="n"/>
      <c r="EQ99" s="347">
        <f>Table410[[#This Row],[Oct_2027_F]]-Table410[[#This Row],[Oct_2027_A]]</f>
        <v/>
      </c>
      <c r="ER99" s="347">
        <f>IFERROR(Table410[[#This Row],[Nov_2027_Days_Forecast]]*Table410[[#This Row],[Cost Boolean]]*(VLOOKUP(Table410[[#This Row],[RATE CONCAT]],Tables!I:N,6,0)),0)</f>
        <v/>
      </c>
      <c r="ES99" s="275" t="n"/>
      <c r="ET99" s="347">
        <f>Table410[[#This Row],[Nov_2027_F]]-Table410[[#This Row],[Nov_2027_A]]</f>
        <v/>
      </c>
      <c r="EU99" s="347">
        <f>IFERROR(Table410[[#This Row],[Dec_2027_Days_Forecast]]*Table410[[#This Row],[Cost Boolean]]*(VLOOKUP(Table410[[#This Row],[RATE CONCAT]],Tables!I:N,6,0)),0)</f>
        <v/>
      </c>
      <c r="EV99" s="275" t="n"/>
      <c r="EW99" s="347">
        <f>Table410[[#This Row],[Dec_2027_F]]-Table410[[#This Row],[Dec_2027_A]]</f>
        <v/>
      </c>
    </row>
    <row r="100" ht="1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338">
        <f>CONCATENATE(Table410[[#This Row],[JG]],Table410[[#This Row],[Country]],Table410[[#This Row],[Resource Provider]])</f>
        <v/>
      </c>
      <c r="Z100" s="338">
        <f>VLOOKUP(Table410[[#This Row],[RATE CONCAT]],Tables!I:N,5,0)</f>
        <v/>
      </c>
      <c r="AA100" s="123" t="n"/>
      <c r="AB100" s="129" t="n"/>
      <c r="AC100" s="129" t="n"/>
      <c r="AD100" s="129" t="n"/>
      <c r="AE100" s="131" t="n"/>
      <c r="AF100" s="131" t="n"/>
      <c r="AG100" s="131" t="n"/>
      <c r="AH100" s="131" t="n"/>
      <c r="AI100" s="131" t="n"/>
      <c r="AJ100" s="131" t="n"/>
      <c r="AK100" s="131" t="n"/>
      <c r="AL100" s="131" t="n"/>
      <c r="AM100" s="131" t="n"/>
      <c r="AN100" s="341">
        <f>IFERROR(AVERAGE(Table410[[#This Row],[Jan_2026_Days_Forecast]:[Dec_2026_Days_Forecast]]),0)/19</f>
        <v/>
      </c>
      <c r="AO100" s="341">
        <f>IFERROR(AVERAGE(Table410[[#This Row],[Jan_2026_Days_Actual]:[Dec_2026_Days_Actual]]),0)/19</f>
        <v/>
      </c>
      <c r="AP100" s="84" t="n"/>
      <c r="AQ100" s="84" t="n"/>
      <c r="AR100" s="84" t="n"/>
      <c r="AS100" s="84" t="n"/>
      <c r="AT100" s="84" t="n"/>
      <c r="AU100" s="84" t="n"/>
      <c r="AV100" s="84" t="n"/>
      <c r="AW100" s="84" t="n"/>
      <c r="AX100" s="84" t="n"/>
      <c r="AY100" s="84" t="n"/>
      <c r="AZ100" s="84" t="n"/>
      <c r="BA100" s="84" t="n"/>
      <c r="BB100" s="341">
        <f>IFERROR(AVERAGE(Table410[[#This Row],[Jan_2027_Days_Forecast]:[Dec_2027_Days_Forecast]]),0)</f>
        <v/>
      </c>
      <c r="BC100" s="129" t="n"/>
      <c r="BD100" s="129" t="n"/>
      <c r="BE100" s="129" t="n"/>
      <c r="BF100" s="129" t="n"/>
      <c r="BG100" s="129" t="n"/>
      <c r="BH100" s="129" t="n"/>
      <c r="BI100" s="129" t="n"/>
      <c r="BJ100" s="129" t="n"/>
      <c r="BK100" s="129" t="n"/>
      <c r="BL100" s="129" t="n"/>
      <c r="BM100" s="129" t="n"/>
      <c r="BN100" s="129" t="n"/>
      <c r="BO100" s="176" t="n"/>
      <c r="BP100" s="176" t="n"/>
      <c r="BQ100" s="345">
        <f>IFERROR(Table410[[#This Row],[Jan_2026_Days_Forecast]]*Table410[[#This Row],[Cost Boolean]]*(VLOOKUP(Table410[[#This Row],[RATE CONCAT]],Tables!I:N,5,0)),0)</f>
        <v/>
      </c>
      <c r="BR100" s="345">
        <f>IFERROR(Table410[[#This Row],[Jan_2026_Days_Actual]]*Table410[[#This Row],[Cost Boolean]]*(VLOOKUP(Table410[[#This Row],[RATE CONCAT]],Tables!I:N,5,0)),0)</f>
        <v/>
      </c>
      <c r="BS100" s="338">
        <f>Table410[[#This Row],[Jan_2026_F]]-Table410[[#This Row],[Jan_2026_A]]</f>
        <v/>
      </c>
      <c r="BT100" s="114" t="n"/>
      <c r="BU100" s="338">
        <f>IFERROR(Table410[[#This Row],[Feb_2026_Days_Forecast]]*Table410[[#This Row],[Cost Boolean]]*(VLOOKUP(Table410[[#This Row],[RATE CONCAT]],Tables!I:N,5,0)),0)</f>
        <v/>
      </c>
      <c r="BV100" s="345">
        <f>IFERROR(Table410[[#This Row],[Feb_2026_Days_Actual]]*Table410[[#This Row],[Cost Boolean]]*(VLOOKUP(Table410[[#This Row],[RATE CONCAT]],Tables!I:N,5,0)),0)</f>
        <v/>
      </c>
      <c r="BW100" s="338">
        <f>Table410[[#This Row],[Feb_2026_F]]-Table410[[#This Row],[Feb_2026_A]]</f>
        <v/>
      </c>
      <c r="BX100" s="275" t="n"/>
      <c r="BY100" s="345">
        <f>IFERROR(Table410[[#This Row],[Mar_2026_Days_Forecast]]*Table410[[#This Row],[Cost Boolean]]*(VLOOKUP(Table410[[#This Row],[RATE CONCAT]],Tables!I:N,5,0)),0)</f>
        <v/>
      </c>
      <c r="BZ100" s="345">
        <f>IFERROR(Table410[[#This Row],[Mar_2026_Days_Actual]]*Table410[[#This Row],[Cost Boolean]]*(VLOOKUP(Table410[[#This Row],[RATE CONCAT]],Tables!I:N,5,0)),0)</f>
        <v/>
      </c>
      <c r="CA100" s="345">
        <f>Table410[[#This Row],[Mar_2026_F]]-Table410[[#This Row],[Mar_2026_A]]</f>
        <v/>
      </c>
      <c r="CB100" s="103" t="n"/>
      <c r="CC100" s="345">
        <f>IFERROR(Table410[[#This Row],[Apr_2026_Days_Forecast]]*Table410[[#This Row],[Cost Boolean]]*(VLOOKUP(Table410[[#This Row],[RATE CONCAT]],Tables!I:N,5,0)),0)</f>
        <v/>
      </c>
      <c r="CD100" s="345">
        <f>IFERROR(Table410[[#This Row],[Apr_2026_Days_Actual]]*Table410[[#This Row],[Cost Boolean]]*(VLOOKUP(Table410[[#This Row],[RATE CONCAT]],Tables!I:N,5,0)),0)</f>
        <v/>
      </c>
      <c r="CE100" s="345">
        <f>Table410[[#This Row],[Apr_2026_F]]-Table410[[#This Row],[Apr_2026_A]]</f>
        <v/>
      </c>
      <c r="CF100" s="103" t="n"/>
      <c r="CG100" s="345">
        <f>IFERROR(Table410[[#This Row],[May_2026_Days_Forecast]] *Table410[[#This Row],[Cost Boolean]]*(VLOOKUP(Table410[[#This Row],[RATE CONCAT]],Tables!I:N,5,0)),0)</f>
        <v/>
      </c>
      <c r="CH100" s="345">
        <f>IFERROR(Table410[[#This Row],[May_2026_Days_Actual]]*Table410[[#This Row],[Cost Boolean]]*(VLOOKUP(Table410[[#This Row],[RATE CONCAT]],Tables!I:N,5,0)),0)</f>
        <v/>
      </c>
      <c r="CI100" s="345">
        <f>Table410[[#This Row],[May_2026_F]]-Table410[[#This Row],[May_2026_A]]</f>
        <v/>
      </c>
      <c r="CJ100" s="103" t="n"/>
      <c r="CK100" s="345">
        <f>IFERROR(Table410[[#This Row],[Jun_2026_Days_Forecast]]*Table410[[#This Row],[Cost Boolean]]*(VLOOKUP(Table410[[#This Row],[RATE CONCAT]],Tables!I:N,5,0)),0)</f>
        <v/>
      </c>
      <c r="CL100" s="345">
        <f>IFERROR(Table410[[#This Row],[Jun_2026_Days_Actual]]*Table410[[#This Row],[Cost Boolean]]*(VLOOKUP(Table410[[#This Row],[RATE CONCAT]],Tables!I:N,5,0)),0)</f>
        <v/>
      </c>
      <c r="CM100" s="345">
        <f>Table410[[#This Row],[Jun_2026_F]]-Table410[[#This Row],[Jun_2026_A]]</f>
        <v/>
      </c>
      <c r="CN100" s="103" t="n"/>
      <c r="CO100" s="345">
        <f>IFERROR(Table410[[#This Row],[Jul_2026_Days_Forecast]]*Table410[[#This Row],[Cost Boolean]]*(VLOOKUP(Table410[[#This Row],[RATE CONCAT]],Tables!I:N,5,0)),0)</f>
        <v/>
      </c>
      <c r="CP100" s="345">
        <f>IFERROR(Table410[[#This Row],[Jul_2026_Days_Actual]]*Table410[[#This Row],[Cost Boolean]]*(VLOOKUP(Table410[[#This Row],[RATE CONCAT]],Tables!I:N,5,0)),0)</f>
        <v/>
      </c>
      <c r="CQ100" s="345">
        <f>Table410[[#This Row],[Jul_2026_F]]-Table410[[#This Row],[Jul_2026_A]]</f>
        <v/>
      </c>
      <c r="CR100" s="103" t="n"/>
      <c r="CS100" s="345">
        <f>IFERROR(Table410[[#This Row],[Aug_2026_Days_Forecast]]*Table410[[#This Row],[Cost Boolean]]*(VLOOKUP(Table410[[#This Row],[RATE CONCAT]],Tables!I:N,5,0)),0)</f>
        <v/>
      </c>
      <c r="CT100" s="345">
        <f>IFERROR(Table410[[#This Row],[Aug_2026_Days_Actual]]*Table410[[#This Row],[Cost Boolean]]*(VLOOKUP(Table410[[#This Row],[RATE CONCAT]],Tables!I:N,5,0)),0)</f>
        <v/>
      </c>
      <c r="CU100" s="345">
        <f>Table410[[#This Row],[Aug_2026_F]]-Table410[[#This Row],[Aug_2026_A]]</f>
        <v/>
      </c>
      <c r="CV100" s="103" t="n"/>
      <c r="CW100" s="345">
        <f>IFERROR(Table410[[#This Row],[Sep_2026_Days_Forecast]]*Table410[[#This Row],[Cost Boolean]]*(VLOOKUP(Table410[[#This Row],[RATE CONCAT]],Tables!I:N,5,0)),0)</f>
        <v/>
      </c>
      <c r="CX100" s="345">
        <f>IFERROR(Table410[[#This Row],[Sep_2026_Days_Actual]]*Table410[[#This Row],[Cost Boolean]]*(VLOOKUP(Table410[[#This Row],[RATE CONCAT]],Tables!I:N,5,0)),0)</f>
        <v/>
      </c>
      <c r="CY100" s="345">
        <f>Table410[[#This Row],[Sep_2026_F]]-Table410[[#This Row],[Sep_2026_A]]</f>
        <v/>
      </c>
      <c r="CZ100" s="103" t="n"/>
      <c r="DA100" s="345">
        <f>IFERROR(Table410[[#This Row],[Oct_2026_Days_Forecast]]*Table410[[#This Row],[Cost Boolean]]*(VLOOKUP(Table410[[#This Row],[RATE CONCAT]],Tables!I:N,5,0)),0)</f>
        <v/>
      </c>
      <c r="DB100" s="345">
        <f>IFERROR(Table410[[#This Row],[Oct_2026_Days_Actual]]*Table410[[#This Row],[Cost Boolean]]*(VLOOKUP(Table410[[#This Row],[RATE CONCAT]],Tables!I:N,5,0)),0)</f>
        <v/>
      </c>
      <c r="DC100" s="345">
        <f>Table410[[#This Row],[Oct_2026_F]]-Table410[[#This Row],[Oct_2026_A]]</f>
        <v/>
      </c>
      <c r="DD100" s="103" t="n"/>
      <c r="DE100" s="345">
        <f>IFERROR(Table410[[#This Row],[Nov_2026_Days_Forecast]]*Table410[[#This Row],[Cost Boolean]]*(VLOOKUP(Table410[[#This Row],[RATE CONCAT]],Tables!I:N,5,0)),0)</f>
        <v/>
      </c>
      <c r="DF100" s="345">
        <f>IFERROR(Table410[[#This Row],[Nov_2026_Days_Actual]]*Table410[[#This Row],[Cost Boolean]]*(VLOOKUP(Table410[[#This Row],[RATE CONCAT]],Tables!I:N,5,0)),0)</f>
        <v/>
      </c>
      <c r="DG100" s="345">
        <f>Table410[[#This Row],[Nov_2026_F]]-Table410[[#This Row],[Nov_2026_A]]</f>
        <v/>
      </c>
      <c r="DH100" s="103" t="n"/>
      <c r="DI100" s="345">
        <f>IFERROR(Table410[[#This Row],[Dec_2026_Days_Forecast]]*Table410[[#This Row],[Cost Boolean]]*(VLOOKUP(Table410[[#This Row],[RATE CONCAT]],Tables!I:N,5,0)),0)</f>
        <v/>
      </c>
      <c r="DJ100" s="345">
        <f>IFERROR(Table410[[#This Row],[Dec_2026_Days_Actual]]*Table410[[#This Row],[Cost Boolean]]*(VLOOKUP(Table410[[#This Row],[RATE CONCAT]],Tables!I:N,5,0)),0)</f>
        <v/>
      </c>
      <c r="DK100" s="349">
        <f>Table410[[#This Row],[Dec_2026_F]]-Table410[[#This Row],[Dec_2026_A]]</f>
        <v/>
      </c>
      <c r="DL100" s="103" t="n"/>
      <c r="DM100" s="346" t="n"/>
      <c r="DN100" s="345">
        <f>IFERROR(Table410[[#This Row],[Jan_2027_Days_Forecast]]*Table410[[#This Row],[Cost Boolean]]*(VLOOKUP(Table410[[#This Row],[RATE CONCAT]],Tables!I:N,6,0)),0)</f>
        <v/>
      </c>
      <c r="DO100" s="275" t="n"/>
      <c r="DP100" s="345">
        <f>Table410[[#This Row],[Jan_2027_F]]-Table410[[#This Row],[Jan_2027_A]]</f>
        <v/>
      </c>
      <c r="DQ100" s="345">
        <f>IFERROR(Table410[[#This Row],[Feb_2027_Days_Forecast]]*Table410[[#This Row],[Cost Boolean]]*(VLOOKUP(Table410[[#This Row],[RATE CONCAT]],Tables!I:N,6,0)),0)</f>
        <v/>
      </c>
      <c r="DR100" s="275" t="n"/>
      <c r="DS100" s="345">
        <f>Table410[[#This Row],[Feb_2027_F]]-Table410[[#This Row],[Feb_2027_A]]</f>
        <v/>
      </c>
      <c r="DT100" s="345">
        <f>IFERROR(Table410[[#This Row],[Mar_2027_Days_Forecast]]*Table410[[#This Row],[Cost Boolean]]*(VLOOKUP(Table410[[#This Row],[RATE CONCAT]],Tables!I:N,6,0)),0)</f>
        <v/>
      </c>
      <c r="DU100" s="275" t="n"/>
      <c r="DV100" s="345">
        <f>Table410[[#This Row],[Mar_2027_F]]-Table410[[#This Row],[Mar_2027_A]]</f>
        <v/>
      </c>
      <c r="DW100" s="345">
        <f>IFERROR(Table410[[#This Row],[Apr_2027_Days_Forecast]]*Table410[[#This Row],[Cost Boolean]]*(VLOOKUP(Table410[[#This Row],[RATE CONCAT]],Tables!I:N,6,0)),0)</f>
        <v/>
      </c>
      <c r="DX100" s="275" t="n"/>
      <c r="DY100" s="345">
        <f>Table410[[#This Row],[Apr_2027_F]]-Table410[[#This Row],[Apr_2027_A]]</f>
        <v/>
      </c>
      <c r="DZ100" s="345">
        <f>IFERROR(Table410[[#This Row],[May_2027_Days_Forecast]]*Table410[[#This Row],[Cost Boolean]]*(VLOOKUP(Table410[[#This Row],[RATE CONCAT]],Tables!I:N,6,0)),0)</f>
        <v/>
      </c>
      <c r="EA100" s="275" t="n"/>
      <c r="EB100" s="345">
        <f>Table410[[#This Row],[May_2027_F]]-Table410[[#This Row],[May_2027_A]]</f>
        <v/>
      </c>
      <c r="EC100" s="345">
        <f>IFERROR(Table410[[#This Row],[Jun_2027_Days_Forecast]]*Table410[[#This Row],[Cost Boolean]]*(VLOOKUP(Table410[[#This Row],[RATE CONCAT]],Tables!I:N,6,0)),0)</f>
        <v/>
      </c>
      <c r="ED100" s="275" t="n"/>
      <c r="EE100" s="345">
        <f>Table410[[#This Row],[Jun_2027_F]]-Table410[[#This Row],[Jun_2027_A]]</f>
        <v/>
      </c>
      <c r="EF100" s="345">
        <f>IFERROR(Table410[[#This Row],[Jul_2027_Days_Forecast]]*Table410[[#This Row],[Cost Boolean]]*(VLOOKUP(Table410[[#This Row],[RATE CONCAT]],Tables!I:N,6,0)),0)</f>
        <v/>
      </c>
      <c r="EG100" s="275" t="n"/>
      <c r="EH100" s="345">
        <f>Table410[[#This Row],[Jul_2027_F]]-Table410[[#This Row],[Jul_2027_A]]</f>
        <v/>
      </c>
      <c r="EI100" s="345">
        <f>IFERROR(Table410[[#This Row],[Aug_2027_Days_Forecast]]*Table410[[#This Row],[Cost Boolean]]*(VLOOKUP(Table410[[#This Row],[RATE CONCAT]],Tables!I:N,6,0)),0)</f>
        <v/>
      </c>
      <c r="EJ100" s="275" t="n"/>
      <c r="EK100" s="345">
        <f>Table410[[#This Row],[Aug_2027_F]]-Table410[[#This Row],[Aug_2027_A]]</f>
        <v/>
      </c>
      <c r="EL100" s="345">
        <f>IFERROR(Table410[[#This Row],[Sep_2027_Days_Forecast]]*Table410[[#This Row],[Cost Boolean]]*(VLOOKUP(Table410[[#This Row],[RATE CONCAT]],Tables!I:N,6,0)),0)</f>
        <v/>
      </c>
      <c r="EM100" s="275" t="n"/>
      <c r="EN100" s="345">
        <f>Table410[[#This Row],[Sep_2027_F]]-Table410[[#This Row],[Sep_2027_A]]</f>
        <v/>
      </c>
      <c r="EO100" s="345">
        <f>IFERROR(Table410[[#This Row],[Oct_2027_Days_Forecast]]*Table410[[#This Row],[Cost Boolean]]*(VLOOKUP(Table410[[#This Row],[RATE CONCAT]],Tables!I:N,6,0)),0)</f>
        <v/>
      </c>
      <c r="EP100" s="275" t="n"/>
      <c r="EQ100" s="345">
        <f>Table410[[#This Row],[Oct_2027_F]]-Table410[[#This Row],[Oct_2027_A]]</f>
        <v/>
      </c>
      <c r="ER100" s="345">
        <f>IFERROR(Table410[[#This Row],[Nov_2027_Days_Forecast]]*Table410[[#This Row],[Cost Boolean]]*(VLOOKUP(Table410[[#This Row],[RATE CONCAT]],Tables!I:N,6,0)),0)</f>
        <v/>
      </c>
      <c r="ES100" s="275" t="n"/>
      <c r="ET100" s="345">
        <f>Table410[[#This Row],[Nov_2027_F]]-Table410[[#This Row],[Nov_2027_A]]</f>
        <v/>
      </c>
      <c r="EU100" s="345">
        <f>IFERROR(Table410[[#This Row],[Dec_2027_Days_Forecast]]*Table410[[#This Row],[Cost Boolean]]*(VLOOKUP(Table410[[#This Row],[RATE CONCAT]],Tables!I:N,6,0)),0)</f>
        <v/>
      </c>
      <c r="EV100" s="275" t="n"/>
      <c r="EW100" s="345">
        <f>Table410[[#This Row],[Dec_2027_F]]-Table410[[#This Row],[Dec_2027_A]]</f>
        <v/>
      </c>
    </row>
    <row r="101" ht="1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342">
        <f>CONCATENATE(Table410[[#This Row],[JG]],Table410[[#This Row],[Country]],Table410[[#This Row],[Resource Provider]])</f>
        <v/>
      </c>
      <c r="Z101" s="342">
        <f>VLOOKUP(Table410[[#This Row],[RATE CONCAT]],Tables!I:N,5,0)</f>
        <v/>
      </c>
      <c r="AA101" s="123" t="n"/>
      <c r="AB101" s="129" t="n"/>
      <c r="AC101" s="129" t="n"/>
      <c r="AD101" s="129" t="n"/>
      <c r="AE101" s="131" t="n"/>
      <c r="AF101" s="131" t="n"/>
      <c r="AG101" s="131" t="n"/>
      <c r="AH101" s="131" t="n"/>
      <c r="AI101" s="131" t="n"/>
      <c r="AJ101" s="131" t="n"/>
      <c r="AK101" s="131" t="n"/>
      <c r="AL101" s="131" t="n"/>
      <c r="AM101" s="131" t="n"/>
      <c r="AN101" s="341">
        <f>IFERROR(AVERAGE(Table410[[#This Row],[Jan_2026_Days_Forecast]:[Dec_2026_Days_Forecast]]),0)/19</f>
        <v/>
      </c>
      <c r="AO101" s="341">
        <f>IFERROR(AVERAGE(Table410[[#This Row],[Jan_2026_Days_Actual]:[Dec_2026_Days_Actual]]),0)/19</f>
        <v/>
      </c>
      <c r="AP101" s="84" t="n"/>
      <c r="AQ101" s="84" t="n"/>
      <c r="AR101" s="84" t="n"/>
      <c r="AS101" s="84" t="n"/>
      <c r="AT101" s="84" t="n"/>
      <c r="AU101" s="84" t="n"/>
      <c r="AV101" s="84" t="n"/>
      <c r="AW101" s="84" t="n"/>
      <c r="AX101" s="84" t="n"/>
      <c r="AY101" s="84" t="n"/>
      <c r="AZ101" s="84" t="n"/>
      <c r="BA101" s="84" t="n"/>
      <c r="BB101" s="341">
        <f>IFERROR(AVERAGE(Table410[[#This Row],[Jan_2027_Days_Forecast]:[Dec_2027_Days_Forecast]]),0)</f>
        <v/>
      </c>
      <c r="BC101" s="129" t="n"/>
      <c r="BD101" s="129" t="n"/>
      <c r="BE101" s="129" t="n"/>
      <c r="BF101" s="129" t="n"/>
      <c r="BG101" s="129" t="n"/>
      <c r="BH101" s="129" t="n"/>
      <c r="BI101" s="129" t="n"/>
      <c r="BJ101" s="129" t="n"/>
      <c r="BK101" s="129" t="n"/>
      <c r="BL101" s="129" t="n"/>
      <c r="BM101" s="129" t="n"/>
      <c r="BN101" s="129" t="n"/>
      <c r="BO101" s="176" t="n"/>
      <c r="BP101" s="176" t="n"/>
      <c r="BQ101" s="347">
        <f>IFERROR(Table410[[#This Row],[Jan_2026_Days_Forecast]]*Table410[[#This Row],[Cost Boolean]]*(VLOOKUP(Table410[[#This Row],[RATE CONCAT]],Tables!I:N,5,0)),0)</f>
        <v/>
      </c>
      <c r="BR101" s="347">
        <f>IFERROR(Table410[[#This Row],[Jan_2026_Days_Actual]]*Table410[[#This Row],[Cost Boolean]]*(VLOOKUP(Table410[[#This Row],[RATE CONCAT]],Tables!I:N,5,0)),0)</f>
        <v/>
      </c>
      <c r="BS101" s="342">
        <f>Table410[[#This Row],[Jan_2026_F]]-Table410[[#This Row],[Jan_2026_A]]</f>
        <v/>
      </c>
      <c r="BT101" s="114" t="n"/>
      <c r="BU101" s="342">
        <f>IFERROR(Table410[[#This Row],[Feb_2026_Days_Forecast]]*Table410[[#This Row],[Cost Boolean]]*(VLOOKUP(Table410[[#This Row],[RATE CONCAT]],Tables!I:N,5,0)),0)</f>
        <v/>
      </c>
      <c r="BV101" s="347">
        <f>IFERROR(Table410[[#This Row],[Feb_2026_Days_Actual]]*Table410[[#This Row],[Cost Boolean]]*(VLOOKUP(Table410[[#This Row],[RATE CONCAT]],Tables!I:N,5,0)),0)</f>
        <v/>
      </c>
      <c r="BW101" s="342">
        <f>Table410[[#This Row],[Feb_2026_F]]-Table410[[#This Row],[Feb_2026_A]]</f>
        <v/>
      </c>
      <c r="BX101" s="275" t="n"/>
      <c r="BY101" s="347">
        <f>IFERROR(Table410[[#This Row],[Mar_2026_Days_Forecast]]*Table410[[#This Row],[Cost Boolean]]*(VLOOKUP(Table410[[#This Row],[RATE CONCAT]],Tables!I:N,5,0)),0)</f>
        <v/>
      </c>
      <c r="BZ101" s="347">
        <f>IFERROR(Table410[[#This Row],[Mar_2026_Days_Actual]]*Table410[[#This Row],[Cost Boolean]]*(VLOOKUP(Table410[[#This Row],[RATE CONCAT]],Tables!I:N,5,0)),0)</f>
        <v/>
      </c>
      <c r="CA101" s="347">
        <f>Table410[[#This Row],[Mar_2026_F]]-Table410[[#This Row],[Mar_2026_A]]</f>
        <v/>
      </c>
      <c r="CB101" s="103" t="n"/>
      <c r="CC101" s="347">
        <f>IFERROR(Table410[[#This Row],[Apr_2026_Days_Forecast]]*Table410[[#This Row],[Cost Boolean]]*(VLOOKUP(Table410[[#This Row],[RATE CONCAT]],Tables!I:N,5,0)),0)</f>
        <v/>
      </c>
      <c r="CD101" s="347">
        <f>IFERROR(Table410[[#This Row],[Apr_2026_Days_Actual]]*Table410[[#This Row],[Cost Boolean]]*(VLOOKUP(Table410[[#This Row],[RATE CONCAT]],Tables!I:N,5,0)),0)</f>
        <v/>
      </c>
      <c r="CE101" s="347">
        <f>Table410[[#This Row],[Apr_2026_F]]-Table410[[#This Row],[Apr_2026_A]]</f>
        <v/>
      </c>
      <c r="CF101" s="103" t="n"/>
      <c r="CG101" s="347">
        <f>IFERROR(Table410[[#This Row],[May_2026_Days_Forecast]] *Table410[[#This Row],[Cost Boolean]]*(VLOOKUP(Table410[[#This Row],[RATE CONCAT]],Tables!I:N,5,0)),0)</f>
        <v/>
      </c>
      <c r="CH101" s="347">
        <f>IFERROR(Table410[[#This Row],[May_2026_Days_Actual]]*Table410[[#This Row],[Cost Boolean]]*(VLOOKUP(Table410[[#This Row],[RATE CONCAT]],Tables!I:N,5,0)),0)</f>
        <v/>
      </c>
      <c r="CI101" s="347">
        <f>Table410[[#This Row],[May_2026_F]]-Table410[[#This Row],[May_2026_A]]</f>
        <v/>
      </c>
      <c r="CJ101" s="103" t="n"/>
      <c r="CK101" s="347">
        <f>IFERROR(Table410[[#This Row],[Jun_2026_Days_Forecast]]*Table410[[#This Row],[Cost Boolean]]*(VLOOKUP(Table410[[#This Row],[RATE CONCAT]],Tables!I:N,5,0)),0)</f>
        <v/>
      </c>
      <c r="CL101" s="347">
        <f>IFERROR(Table410[[#This Row],[Jun_2026_Days_Actual]]*Table410[[#This Row],[Cost Boolean]]*(VLOOKUP(Table410[[#This Row],[RATE CONCAT]],Tables!I:N,5,0)),0)</f>
        <v/>
      </c>
      <c r="CM101" s="347">
        <f>Table410[[#This Row],[Jun_2026_F]]-Table410[[#This Row],[Jun_2026_A]]</f>
        <v/>
      </c>
      <c r="CN101" s="103" t="n"/>
      <c r="CO101" s="347">
        <f>IFERROR(Table410[[#This Row],[Jul_2026_Days_Forecast]]*Table410[[#This Row],[Cost Boolean]]*(VLOOKUP(Table410[[#This Row],[RATE CONCAT]],Tables!I:N,5,0)),0)</f>
        <v/>
      </c>
      <c r="CP101" s="347">
        <f>IFERROR(Table410[[#This Row],[Jul_2026_Days_Actual]]*Table410[[#This Row],[Cost Boolean]]*(VLOOKUP(Table410[[#This Row],[RATE CONCAT]],Tables!I:N,5,0)),0)</f>
        <v/>
      </c>
      <c r="CQ101" s="347">
        <f>Table410[[#This Row],[Jul_2026_F]]-Table410[[#This Row],[Jul_2026_A]]</f>
        <v/>
      </c>
      <c r="CR101" s="103" t="n"/>
      <c r="CS101" s="347">
        <f>IFERROR(Table410[[#This Row],[Aug_2026_Days_Forecast]]*Table410[[#This Row],[Cost Boolean]]*(VLOOKUP(Table410[[#This Row],[RATE CONCAT]],Tables!I:N,5,0)),0)</f>
        <v/>
      </c>
      <c r="CT101" s="347">
        <f>IFERROR(Table410[[#This Row],[Aug_2026_Days_Actual]]*Table410[[#This Row],[Cost Boolean]]*(VLOOKUP(Table410[[#This Row],[RATE CONCAT]],Tables!I:N,5,0)),0)</f>
        <v/>
      </c>
      <c r="CU101" s="347">
        <f>Table410[[#This Row],[Aug_2026_F]]-Table410[[#This Row],[Aug_2026_A]]</f>
        <v/>
      </c>
      <c r="CV101" s="103" t="n"/>
      <c r="CW101" s="347">
        <f>IFERROR(Table410[[#This Row],[Sep_2026_Days_Forecast]]*Table410[[#This Row],[Cost Boolean]]*(VLOOKUP(Table410[[#This Row],[RATE CONCAT]],Tables!I:N,5,0)),0)</f>
        <v/>
      </c>
      <c r="CX101" s="347">
        <f>IFERROR(Table410[[#This Row],[Sep_2026_Days_Actual]]*Table410[[#This Row],[Cost Boolean]]*(VLOOKUP(Table410[[#This Row],[RATE CONCAT]],Tables!I:N,5,0)),0)</f>
        <v/>
      </c>
      <c r="CY101" s="347">
        <f>Table410[[#This Row],[Sep_2026_F]]-Table410[[#This Row],[Sep_2026_A]]</f>
        <v/>
      </c>
      <c r="CZ101" s="103" t="n"/>
      <c r="DA101" s="347">
        <f>IFERROR(Table410[[#This Row],[Oct_2026_Days_Forecast]]*Table410[[#This Row],[Cost Boolean]]*(VLOOKUP(Table410[[#This Row],[RATE CONCAT]],Tables!I:N,5,0)),0)</f>
        <v/>
      </c>
      <c r="DB101" s="347">
        <f>IFERROR(Table410[[#This Row],[Oct_2026_Days_Actual]]*Table410[[#This Row],[Cost Boolean]]*(VLOOKUP(Table410[[#This Row],[RATE CONCAT]],Tables!I:N,5,0)),0)</f>
        <v/>
      </c>
      <c r="DC101" s="347">
        <f>Table410[[#This Row],[Oct_2026_F]]-Table410[[#This Row],[Oct_2026_A]]</f>
        <v/>
      </c>
      <c r="DD101" s="103" t="n"/>
      <c r="DE101" s="347">
        <f>IFERROR(Table410[[#This Row],[Nov_2026_Days_Forecast]]*Table410[[#This Row],[Cost Boolean]]*(VLOOKUP(Table410[[#This Row],[RATE CONCAT]],Tables!I:N,5,0)),0)</f>
        <v/>
      </c>
      <c r="DF101" s="347">
        <f>IFERROR(Table410[[#This Row],[Nov_2026_Days_Actual]]*Table410[[#This Row],[Cost Boolean]]*(VLOOKUP(Table410[[#This Row],[RATE CONCAT]],Tables!I:N,5,0)),0)</f>
        <v/>
      </c>
      <c r="DG101" s="347">
        <f>Table410[[#This Row],[Nov_2026_F]]-Table410[[#This Row],[Nov_2026_A]]</f>
        <v/>
      </c>
      <c r="DH101" s="103" t="n"/>
      <c r="DI101" s="347">
        <f>IFERROR(Table410[[#This Row],[Dec_2026_Days_Forecast]]*Table410[[#This Row],[Cost Boolean]]*(VLOOKUP(Table410[[#This Row],[RATE CONCAT]],Tables!I:N,5,0)),0)</f>
        <v/>
      </c>
      <c r="DJ101" s="347">
        <f>IFERROR(Table410[[#This Row],[Dec_2026_Days_Actual]]*Table410[[#This Row],[Cost Boolean]]*(VLOOKUP(Table410[[#This Row],[RATE CONCAT]],Tables!I:N,5,0)),0)</f>
        <v/>
      </c>
      <c r="DK101" s="348">
        <f>Table410[[#This Row],[Dec_2026_F]]-Table410[[#This Row],[Dec_2026_A]]</f>
        <v/>
      </c>
      <c r="DL101" s="103" t="n"/>
      <c r="DM101" s="346" t="n"/>
      <c r="DN101" s="347">
        <f>IFERROR(Table410[[#This Row],[Jan_2027_Days_Forecast]]*Table410[[#This Row],[Cost Boolean]]*(VLOOKUP(Table410[[#This Row],[RATE CONCAT]],Tables!I:N,6,0)),0)</f>
        <v/>
      </c>
      <c r="DO101" s="275" t="n"/>
      <c r="DP101" s="347">
        <f>Table410[[#This Row],[Jan_2027_F]]-Table410[[#This Row],[Jan_2027_A]]</f>
        <v/>
      </c>
      <c r="DQ101" s="347">
        <f>IFERROR(Table410[[#This Row],[Feb_2027_Days_Forecast]]*Table410[[#This Row],[Cost Boolean]]*(VLOOKUP(Table410[[#This Row],[RATE CONCAT]],Tables!I:N,6,0)),0)</f>
        <v/>
      </c>
      <c r="DR101" s="275" t="n"/>
      <c r="DS101" s="347">
        <f>Table410[[#This Row],[Feb_2027_F]]-Table410[[#This Row],[Feb_2027_A]]</f>
        <v/>
      </c>
      <c r="DT101" s="347">
        <f>IFERROR(Table410[[#This Row],[Mar_2027_Days_Forecast]]*Table410[[#This Row],[Cost Boolean]]*(VLOOKUP(Table410[[#This Row],[RATE CONCAT]],Tables!I:N,6,0)),0)</f>
        <v/>
      </c>
      <c r="DU101" s="275" t="n"/>
      <c r="DV101" s="347">
        <f>Table410[[#This Row],[Mar_2027_F]]-Table410[[#This Row],[Mar_2027_A]]</f>
        <v/>
      </c>
      <c r="DW101" s="347">
        <f>IFERROR(Table410[[#This Row],[Apr_2027_Days_Forecast]]*Table410[[#This Row],[Cost Boolean]]*(VLOOKUP(Table410[[#This Row],[RATE CONCAT]],Tables!I:N,6,0)),0)</f>
        <v/>
      </c>
      <c r="DX101" s="275" t="n"/>
      <c r="DY101" s="347">
        <f>Table410[[#This Row],[Apr_2027_F]]-Table410[[#This Row],[Apr_2027_A]]</f>
        <v/>
      </c>
      <c r="DZ101" s="347">
        <f>IFERROR(Table410[[#This Row],[May_2027_Days_Forecast]]*Table410[[#This Row],[Cost Boolean]]*(VLOOKUP(Table410[[#This Row],[RATE CONCAT]],Tables!I:N,6,0)),0)</f>
        <v/>
      </c>
      <c r="EA101" s="275" t="n"/>
      <c r="EB101" s="347">
        <f>Table410[[#This Row],[May_2027_F]]-Table410[[#This Row],[May_2027_A]]</f>
        <v/>
      </c>
      <c r="EC101" s="347">
        <f>IFERROR(Table410[[#This Row],[Jun_2027_Days_Forecast]]*Table410[[#This Row],[Cost Boolean]]*(VLOOKUP(Table410[[#This Row],[RATE CONCAT]],Tables!I:N,6,0)),0)</f>
        <v/>
      </c>
      <c r="ED101" s="275" t="n"/>
      <c r="EE101" s="347">
        <f>Table410[[#This Row],[Jun_2027_F]]-Table410[[#This Row],[Jun_2027_A]]</f>
        <v/>
      </c>
      <c r="EF101" s="347">
        <f>IFERROR(Table410[[#This Row],[Jul_2027_Days_Forecast]]*Table410[[#This Row],[Cost Boolean]]*(VLOOKUP(Table410[[#This Row],[RATE CONCAT]],Tables!I:N,6,0)),0)</f>
        <v/>
      </c>
      <c r="EG101" s="275" t="n"/>
      <c r="EH101" s="347">
        <f>Table410[[#This Row],[Jul_2027_F]]-Table410[[#This Row],[Jul_2027_A]]</f>
        <v/>
      </c>
      <c r="EI101" s="347">
        <f>IFERROR(Table410[[#This Row],[Aug_2027_Days_Forecast]]*Table410[[#This Row],[Cost Boolean]]*(VLOOKUP(Table410[[#This Row],[RATE CONCAT]],Tables!I:N,6,0)),0)</f>
        <v/>
      </c>
      <c r="EJ101" s="275" t="n"/>
      <c r="EK101" s="347">
        <f>Table410[[#This Row],[Aug_2027_F]]-Table410[[#This Row],[Aug_2027_A]]</f>
        <v/>
      </c>
      <c r="EL101" s="347">
        <f>IFERROR(Table410[[#This Row],[Sep_2027_Days_Forecast]]*Table410[[#This Row],[Cost Boolean]]*(VLOOKUP(Table410[[#This Row],[RATE CONCAT]],Tables!I:N,6,0)),0)</f>
        <v/>
      </c>
      <c r="EM101" s="275" t="n"/>
      <c r="EN101" s="347">
        <f>Table410[[#This Row],[Sep_2027_F]]-Table410[[#This Row],[Sep_2027_A]]</f>
        <v/>
      </c>
      <c r="EO101" s="347">
        <f>IFERROR(Table410[[#This Row],[Oct_2027_Days_Forecast]]*Table410[[#This Row],[Cost Boolean]]*(VLOOKUP(Table410[[#This Row],[RATE CONCAT]],Tables!I:N,6,0)),0)</f>
        <v/>
      </c>
      <c r="EP101" s="275" t="n"/>
      <c r="EQ101" s="347">
        <f>Table410[[#This Row],[Oct_2027_F]]-Table410[[#This Row],[Oct_2027_A]]</f>
        <v/>
      </c>
      <c r="ER101" s="347">
        <f>IFERROR(Table410[[#This Row],[Nov_2027_Days_Forecast]]*Table410[[#This Row],[Cost Boolean]]*(VLOOKUP(Table410[[#This Row],[RATE CONCAT]],Tables!I:N,6,0)),0)</f>
        <v/>
      </c>
      <c r="ES101" s="275" t="n"/>
      <c r="ET101" s="347">
        <f>Table410[[#This Row],[Nov_2027_F]]-Table410[[#This Row],[Nov_2027_A]]</f>
        <v/>
      </c>
      <c r="EU101" s="347">
        <f>IFERROR(Table410[[#This Row],[Dec_2027_Days_Forecast]]*Table410[[#This Row],[Cost Boolean]]*(VLOOKUP(Table410[[#This Row],[RATE CONCAT]],Tables!I:N,6,0)),0)</f>
        <v/>
      </c>
      <c r="EV101" s="275" t="n"/>
      <c r="EW101" s="347">
        <f>Table410[[#This Row],[Dec_2027_F]]-Table410[[#This Row],[Dec_2027_A]]</f>
        <v/>
      </c>
    </row>
    <row r="102" ht="1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338">
        <f>CONCATENATE(Table410[[#This Row],[JG]],Table410[[#This Row],[Country]],Table410[[#This Row],[Resource Provider]])</f>
        <v/>
      </c>
      <c r="Z102" s="338">
        <f>VLOOKUP(Table410[[#This Row],[RATE CONCAT]],Tables!I:N,5,0)</f>
        <v/>
      </c>
      <c r="AA102" s="123" t="n"/>
      <c r="AB102" s="130" t="n"/>
      <c r="AC102" s="130" t="n"/>
      <c r="AD102" s="130" t="n"/>
      <c r="AE102" s="131" t="n"/>
      <c r="AF102" s="131" t="n"/>
      <c r="AG102" s="131" t="n"/>
      <c r="AH102" s="131" t="n"/>
      <c r="AI102" s="131" t="n"/>
      <c r="AJ102" s="131" t="n"/>
      <c r="AK102" s="131" t="n"/>
      <c r="AL102" s="131" t="n"/>
      <c r="AM102" s="131" t="n"/>
      <c r="AN102" s="341">
        <f>IFERROR(AVERAGE(Table410[[#This Row],[Jan_2026_Days_Forecast]:[Dec_2026_Days_Forecast]]),0)/19</f>
        <v/>
      </c>
      <c r="AO102" s="341">
        <f>IFERROR(AVERAGE(Table410[[#This Row],[Jan_2026_Days_Actual]:[Dec_2026_Days_Actual]]),0)/19</f>
        <v/>
      </c>
      <c r="AP102" s="84" t="n"/>
      <c r="AQ102" s="84" t="n"/>
      <c r="AR102" s="84" t="n"/>
      <c r="AS102" s="84" t="n"/>
      <c r="AT102" s="84" t="n"/>
      <c r="AU102" s="84" t="n"/>
      <c r="AV102" s="84" t="n"/>
      <c r="AW102" s="84" t="n"/>
      <c r="AX102" s="84" t="n"/>
      <c r="AY102" s="84" t="n"/>
      <c r="AZ102" s="84" t="n"/>
      <c r="BA102" s="84" t="n"/>
      <c r="BB102" s="341">
        <f>IFERROR(AVERAGE(Table410[[#This Row],[Jan_2027_Days_Forecast]:[Dec_2027_Days_Forecast]]),0)</f>
        <v/>
      </c>
      <c r="BC102" s="129" t="n"/>
      <c r="BD102" s="129" t="n"/>
      <c r="BE102" s="129" t="n"/>
      <c r="BF102" s="129" t="n"/>
      <c r="BG102" s="129" t="n"/>
      <c r="BH102" s="129" t="n"/>
      <c r="BI102" s="129" t="n"/>
      <c r="BJ102" s="129" t="n"/>
      <c r="BK102" s="129" t="n"/>
      <c r="BL102" s="129" t="n"/>
      <c r="BM102" s="129" t="n"/>
      <c r="BN102" s="129" t="n"/>
      <c r="BO102" s="176" t="n"/>
      <c r="BP102" s="176" t="n"/>
      <c r="BQ102" s="345">
        <f>IFERROR(Table410[[#This Row],[Jan_2026_Days_Forecast]]*Table410[[#This Row],[Cost Boolean]]*(VLOOKUP(Table410[[#This Row],[RATE CONCAT]],Tables!I:N,5,0)),0)</f>
        <v/>
      </c>
      <c r="BR102" s="345">
        <f>IFERROR(Table410[[#This Row],[Jan_2026_Days_Actual]]*Table410[[#This Row],[Cost Boolean]]*(VLOOKUP(Table410[[#This Row],[RATE CONCAT]],Tables!I:N,5,0)),0)</f>
        <v/>
      </c>
      <c r="BS102" s="338">
        <f>Table410[[#This Row],[Jan_2026_F]]-Table410[[#This Row],[Jan_2026_A]]</f>
        <v/>
      </c>
      <c r="BT102" s="114" t="n"/>
      <c r="BU102" s="338">
        <f>IFERROR(Table410[[#This Row],[Feb_2026_Days_Forecast]]*Table410[[#This Row],[Cost Boolean]]*(VLOOKUP(Table410[[#This Row],[RATE CONCAT]],Tables!I:N,5,0)),0)</f>
        <v/>
      </c>
      <c r="BV102" s="345">
        <f>IFERROR(Table410[[#This Row],[Feb_2026_Days_Actual]]*Table410[[#This Row],[Cost Boolean]]*(VLOOKUP(Table410[[#This Row],[RATE CONCAT]],Tables!I:N,5,0)),0)</f>
        <v/>
      </c>
      <c r="BW102" s="338">
        <f>Table410[[#This Row],[Feb_2026_F]]-Table410[[#This Row],[Feb_2026_A]]</f>
        <v/>
      </c>
      <c r="BX102" s="275" t="n"/>
      <c r="BY102" s="345">
        <f>IFERROR(Table410[[#This Row],[Mar_2026_Days_Forecast]]*Table410[[#This Row],[Cost Boolean]]*(VLOOKUP(Table410[[#This Row],[RATE CONCAT]],Tables!I:N,5,0)),0)</f>
        <v/>
      </c>
      <c r="BZ102" s="345">
        <f>IFERROR(Table410[[#This Row],[Mar_2026_Days_Actual]]*Table410[[#This Row],[Cost Boolean]]*(VLOOKUP(Table410[[#This Row],[RATE CONCAT]],Tables!I:N,5,0)),0)</f>
        <v/>
      </c>
      <c r="CA102" s="345">
        <f>Table410[[#This Row],[Mar_2026_F]]-Table410[[#This Row],[Mar_2026_A]]</f>
        <v/>
      </c>
      <c r="CB102" s="103" t="n"/>
      <c r="CC102" s="345">
        <f>IFERROR(Table410[[#This Row],[Apr_2026_Days_Forecast]]*Table410[[#This Row],[Cost Boolean]]*(VLOOKUP(Table410[[#This Row],[RATE CONCAT]],Tables!I:N,5,0)),0)</f>
        <v/>
      </c>
      <c r="CD102" s="345">
        <f>IFERROR(Table410[[#This Row],[Apr_2026_Days_Actual]]*Table410[[#This Row],[Cost Boolean]]*(VLOOKUP(Table410[[#This Row],[RATE CONCAT]],Tables!I:N,5,0)),0)</f>
        <v/>
      </c>
      <c r="CE102" s="345">
        <f>Table410[[#This Row],[Apr_2026_F]]-Table410[[#This Row],[Apr_2026_A]]</f>
        <v/>
      </c>
      <c r="CF102" s="103" t="n"/>
      <c r="CG102" s="345">
        <f>IFERROR(Table410[[#This Row],[May_2026_Days_Forecast]] *Table410[[#This Row],[Cost Boolean]]*(VLOOKUP(Table410[[#This Row],[RATE CONCAT]],Tables!I:N,5,0)),0)</f>
        <v/>
      </c>
      <c r="CH102" s="345">
        <f>IFERROR(Table410[[#This Row],[May_2026_Days_Actual]]*Table410[[#This Row],[Cost Boolean]]*(VLOOKUP(Table410[[#This Row],[RATE CONCAT]],Tables!I:N,5,0)),0)</f>
        <v/>
      </c>
      <c r="CI102" s="345">
        <f>Table410[[#This Row],[May_2026_F]]-Table410[[#This Row],[May_2026_A]]</f>
        <v/>
      </c>
      <c r="CJ102" s="103" t="n"/>
      <c r="CK102" s="345">
        <f>IFERROR(Table410[[#This Row],[Jun_2026_Days_Forecast]]*Table410[[#This Row],[Cost Boolean]]*(VLOOKUP(Table410[[#This Row],[RATE CONCAT]],Tables!I:N,5,0)),0)</f>
        <v/>
      </c>
      <c r="CL102" s="345">
        <f>IFERROR(Table410[[#This Row],[Jun_2026_Days_Actual]]*Table410[[#This Row],[Cost Boolean]]*(VLOOKUP(Table410[[#This Row],[RATE CONCAT]],Tables!I:N,5,0)),0)</f>
        <v/>
      </c>
      <c r="CM102" s="345">
        <f>Table410[[#This Row],[Jun_2026_F]]-Table410[[#This Row],[Jun_2026_A]]</f>
        <v/>
      </c>
      <c r="CN102" s="103" t="n"/>
      <c r="CO102" s="345">
        <f>IFERROR(Table410[[#This Row],[Jul_2026_Days_Forecast]]*Table410[[#This Row],[Cost Boolean]]*(VLOOKUP(Table410[[#This Row],[RATE CONCAT]],Tables!I:N,5,0)),0)</f>
        <v/>
      </c>
      <c r="CP102" s="345">
        <f>IFERROR(Table410[[#This Row],[Jul_2026_Days_Actual]]*Table410[[#This Row],[Cost Boolean]]*(VLOOKUP(Table410[[#This Row],[RATE CONCAT]],Tables!I:N,5,0)),0)</f>
        <v/>
      </c>
      <c r="CQ102" s="345">
        <f>Table410[[#This Row],[Jul_2026_F]]-Table410[[#This Row],[Jul_2026_A]]</f>
        <v/>
      </c>
      <c r="CR102" s="103" t="n"/>
      <c r="CS102" s="345">
        <f>IFERROR(Table410[[#This Row],[Aug_2026_Days_Forecast]]*Table410[[#This Row],[Cost Boolean]]*(VLOOKUP(Table410[[#This Row],[RATE CONCAT]],Tables!I:N,5,0)),0)</f>
        <v/>
      </c>
      <c r="CT102" s="345">
        <f>IFERROR(Table410[[#This Row],[Aug_2026_Days_Actual]]*Table410[[#This Row],[Cost Boolean]]*(VLOOKUP(Table410[[#This Row],[RATE CONCAT]],Tables!I:N,5,0)),0)</f>
        <v/>
      </c>
      <c r="CU102" s="345">
        <f>Table410[[#This Row],[Aug_2026_F]]-Table410[[#This Row],[Aug_2026_A]]</f>
        <v/>
      </c>
      <c r="CV102" s="103" t="n"/>
      <c r="CW102" s="345">
        <f>IFERROR(Table410[[#This Row],[Sep_2026_Days_Forecast]]*Table410[[#This Row],[Cost Boolean]]*(VLOOKUP(Table410[[#This Row],[RATE CONCAT]],Tables!I:N,5,0)),0)</f>
        <v/>
      </c>
      <c r="CX102" s="345">
        <f>IFERROR(Table410[[#This Row],[Sep_2026_Days_Actual]]*Table410[[#This Row],[Cost Boolean]]*(VLOOKUP(Table410[[#This Row],[RATE CONCAT]],Tables!I:N,5,0)),0)</f>
        <v/>
      </c>
      <c r="CY102" s="345">
        <f>Table410[[#This Row],[Sep_2026_F]]-Table410[[#This Row],[Sep_2026_A]]</f>
        <v/>
      </c>
      <c r="CZ102" s="103" t="n"/>
      <c r="DA102" s="345">
        <f>IFERROR(Table410[[#This Row],[Oct_2026_Days_Forecast]]*Table410[[#This Row],[Cost Boolean]]*(VLOOKUP(Table410[[#This Row],[RATE CONCAT]],Tables!I:N,5,0)),0)</f>
        <v/>
      </c>
      <c r="DB102" s="345">
        <f>IFERROR(Table410[[#This Row],[Oct_2026_Days_Actual]]*Table410[[#This Row],[Cost Boolean]]*(VLOOKUP(Table410[[#This Row],[RATE CONCAT]],Tables!I:N,5,0)),0)</f>
        <v/>
      </c>
      <c r="DC102" s="345">
        <f>Table410[[#This Row],[Oct_2026_F]]-Table410[[#This Row],[Oct_2026_A]]</f>
        <v/>
      </c>
      <c r="DD102" s="103" t="n"/>
      <c r="DE102" s="345">
        <f>IFERROR(Table410[[#This Row],[Nov_2026_Days_Forecast]]*Table410[[#This Row],[Cost Boolean]]*(VLOOKUP(Table410[[#This Row],[RATE CONCAT]],Tables!I:N,5,0)),0)</f>
        <v/>
      </c>
      <c r="DF102" s="345">
        <f>IFERROR(Table410[[#This Row],[Nov_2026_Days_Actual]]*Table410[[#This Row],[Cost Boolean]]*(VLOOKUP(Table410[[#This Row],[RATE CONCAT]],Tables!I:N,5,0)),0)</f>
        <v/>
      </c>
      <c r="DG102" s="345">
        <f>Table410[[#This Row],[Nov_2026_F]]-Table410[[#This Row],[Nov_2026_A]]</f>
        <v/>
      </c>
      <c r="DH102" s="103" t="n"/>
      <c r="DI102" s="345">
        <f>IFERROR(Table410[[#This Row],[Dec_2026_Days_Forecast]]*Table410[[#This Row],[Cost Boolean]]*(VLOOKUP(Table410[[#This Row],[RATE CONCAT]],Tables!I:N,5,0)),0)</f>
        <v/>
      </c>
      <c r="DJ102" s="345">
        <f>IFERROR(Table410[[#This Row],[Dec_2026_Days_Actual]]*Table410[[#This Row],[Cost Boolean]]*(VLOOKUP(Table410[[#This Row],[RATE CONCAT]],Tables!I:N,5,0)),0)</f>
        <v/>
      </c>
      <c r="DK102" s="349">
        <f>Table410[[#This Row],[Dec_2026_F]]-Table410[[#This Row],[Dec_2026_A]]</f>
        <v/>
      </c>
      <c r="DL102" s="103" t="n"/>
      <c r="DM102" s="346" t="n"/>
      <c r="DN102" s="345">
        <f>IFERROR(Table410[[#This Row],[Jan_2027_Days_Forecast]]*Table410[[#This Row],[Cost Boolean]]*(VLOOKUP(Table410[[#This Row],[RATE CONCAT]],Tables!I:N,6,0)),0)</f>
        <v/>
      </c>
      <c r="DO102" s="275" t="n"/>
      <c r="DP102" s="345">
        <f>Table410[[#This Row],[Jan_2027_F]]-Table410[[#This Row],[Jan_2027_A]]</f>
        <v/>
      </c>
      <c r="DQ102" s="345">
        <f>IFERROR(Table410[[#This Row],[Feb_2027_Days_Forecast]]*Table410[[#This Row],[Cost Boolean]]*(VLOOKUP(Table410[[#This Row],[RATE CONCAT]],Tables!I:N,6,0)),0)</f>
        <v/>
      </c>
      <c r="DR102" s="275" t="n"/>
      <c r="DS102" s="345">
        <f>Table410[[#This Row],[Feb_2027_F]]-Table410[[#This Row],[Feb_2027_A]]</f>
        <v/>
      </c>
      <c r="DT102" s="345">
        <f>IFERROR(Table410[[#This Row],[Mar_2027_Days_Forecast]]*Table410[[#This Row],[Cost Boolean]]*(VLOOKUP(Table410[[#This Row],[RATE CONCAT]],Tables!I:N,6,0)),0)</f>
        <v/>
      </c>
      <c r="DU102" s="275" t="n"/>
      <c r="DV102" s="345">
        <f>Table410[[#This Row],[Mar_2027_F]]-Table410[[#This Row],[Mar_2027_A]]</f>
        <v/>
      </c>
      <c r="DW102" s="345">
        <f>IFERROR(Table410[[#This Row],[Apr_2027_Days_Forecast]]*Table410[[#This Row],[Cost Boolean]]*(VLOOKUP(Table410[[#This Row],[RATE CONCAT]],Tables!I:N,6,0)),0)</f>
        <v/>
      </c>
      <c r="DX102" s="275" t="n"/>
      <c r="DY102" s="345">
        <f>Table410[[#This Row],[Apr_2027_F]]-Table410[[#This Row],[Apr_2027_A]]</f>
        <v/>
      </c>
      <c r="DZ102" s="345">
        <f>IFERROR(Table410[[#This Row],[May_2027_Days_Forecast]]*Table410[[#This Row],[Cost Boolean]]*(VLOOKUP(Table410[[#This Row],[RATE CONCAT]],Tables!I:N,6,0)),0)</f>
        <v/>
      </c>
      <c r="EA102" s="275" t="n"/>
      <c r="EB102" s="345">
        <f>Table410[[#This Row],[May_2027_F]]-Table410[[#This Row],[May_2027_A]]</f>
        <v/>
      </c>
      <c r="EC102" s="345">
        <f>IFERROR(Table410[[#This Row],[Jun_2027_Days_Forecast]]*Table410[[#This Row],[Cost Boolean]]*(VLOOKUP(Table410[[#This Row],[RATE CONCAT]],Tables!I:N,6,0)),0)</f>
        <v/>
      </c>
      <c r="ED102" s="275" t="n"/>
      <c r="EE102" s="345">
        <f>Table410[[#This Row],[Jun_2027_F]]-Table410[[#This Row],[Jun_2027_A]]</f>
        <v/>
      </c>
      <c r="EF102" s="345">
        <f>IFERROR(Table410[[#This Row],[Jul_2027_Days_Forecast]]*Table410[[#This Row],[Cost Boolean]]*(VLOOKUP(Table410[[#This Row],[RATE CONCAT]],Tables!I:N,6,0)),0)</f>
        <v/>
      </c>
      <c r="EG102" s="275" t="n"/>
      <c r="EH102" s="345">
        <f>Table410[[#This Row],[Jul_2027_F]]-Table410[[#This Row],[Jul_2027_A]]</f>
        <v/>
      </c>
      <c r="EI102" s="345">
        <f>IFERROR(Table410[[#This Row],[Aug_2027_Days_Forecast]]*Table410[[#This Row],[Cost Boolean]]*(VLOOKUP(Table410[[#This Row],[RATE CONCAT]],Tables!I:N,6,0)),0)</f>
        <v/>
      </c>
      <c r="EJ102" s="275" t="n"/>
      <c r="EK102" s="345">
        <f>Table410[[#This Row],[Aug_2027_F]]-Table410[[#This Row],[Aug_2027_A]]</f>
        <v/>
      </c>
      <c r="EL102" s="345">
        <f>IFERROR(Table410[[#This Row],[Sep_2027_Days_Forecast]]*Table410[[#This Row],[Cost Boolean]]*(VLOOKUP(Table410[[#This Row],[RATE CONCAT]],Tables!I:N,6,0)),0)</f>
        <v/>
      </c>
      <c r="EM102" s="275" t="n"/>
      <c r="EN102" s="345">
        <f>Table410[[#This Row],[Sep_2027_F]]-Table410[[#This Row],[Sep_2027_A]]</f>
        <v/>
      </c>
      <c r="EO102" s="345">
        <f>IFERROR(Table410[[#This Row],[Oct_2027_Days_Forecast]]*Table410[[#This Row],[Cost Boolean]]*(VLOOKUP(Table410[[#This Row],[RATE CONCAT]],Tables!I:N,6,0)),0)</f>
        <v/>
      </c>
      <c r="EP102" s="275" t="n"/>
      <c r="EQ102" s="345">
        <f>Table410[[#This Row],[Oct_2027_F]]-Table410[[#This Row],[Oct_2027_A]]</f>
        <v/>
      </c>
      <c r="ER102" s="345">
        <f>IFERROR(Table410[[#This Row],[Nov_2027_Days_Forecast]]*Table410[[#This Row],[Cost Boolean]]*(VLOOKUP(Table410[[#This Row],[RATE CONCAT]],Tables!I:N,6,0)),0)</f>
        <v/>
      </c>
      <c r="ES102" s="275" t="n"/>
      <c r="ET102" s="345">
        <f>Table410[[#This Row],[Nov_2027_F]]-Table410[[#This Row],[Nov_2027_A]]</f>
        <v/>
      </c>
      <c r="EU102" s="345">
        <f>IFERROR(Table410[[#This Row],[Dec_2027_Days_Forecast]]*Table410[[#This Row],[Cost Boolean]]*(VLOOKUP(Table410[[#This Row],[RATE CONCAT]],Tables!I:N,6,0)),0)</f>
        <v/>
      </c>
      <c r="EV102" s="275" t="n"/>
      <c r="EW102" s="345">
        <f>Table410[[#This Row],[Dec_2027_F]]-Table410[[#This Row],[Dec_2027_A]]</f>
        <v/>
      </c>
    </row>
    <row r="103" ht="1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342">
        <f>CONCATENATE(Table410[[#This Row],[JG]],Table410[[#This Row],[Country]],Table410[[#This Row],[Resource Provider]])</f>
        <v/>
      </c>
      <c r="Z103" s="342">
        <f>VLOOKUP(Table410[[#This Row],[RATE CONCAT]],Tables!I:N,5,0)</f>
        <v/>
      </c>
      <c r="AA103" s="123" t="n"/>
      <c r="AB103" s="130" t="n"/>
      <c r="AC103" s="130" t="n"/>
      <c r="AD103" s="130" t="n"/>
      <c r="AE103" s="131" t="n"/>
      <c r="AF103" s="131" t="n"/>
      <c r="AG103" s="131" t="n"/>
      <c r="AH103" s="131" t="n"/>
      <c r="AI103" s="131" t="n"/>
      <c r="AJ103" s="131" t="n"/>
      <c r="AK103" s="131" t="n"/>
      <c r="AL103" s="131" t="n"/>
      <c r="AM103" s="131" t="n"/>
      <c r="AN103" s="341">
        <f>IFERROR(AVERAGE(Table410[[#This Row],[Jan_2026_Days_Forecast]:[Dec_2026_Days_Forecast]]),0)/19</f>
        <v/>
      </c>
      <c r="AO103" s="341">
        <f>IFERROR(AVERAGE(Table410[[#This Row],[Jan_2026_Days_Actual]:[Dec_2026_Days_Actual]]),0)/19</f>
        <v/>
      </c>
      <c r="AP103" s="84" t="n"/>
      <c r="AQ103" s="84" t="n"/>
      <c r="AR103" s="84" t="n"/>
      <c r="AS103" s="84" t="n"/>
      <c r="AT103" s="84" t="n"/>
      <c r="AU103" s="84" t="n"/>
      <c r="AV103" s="84" t="n"/>
      <c r="AW103" s="84" t="n"/>
      <c r="AX103" s="84" t="n"/>
      <c r="AY103" s="84" t="n"/>
      <c r="AZ103" s="84" t="n"/>
      <c r="BA103" s="84" t="n"/>
      <c r="BB103" s="341">
        <f>IFERROR(AVERAGE(Table410[[#This Row],[Jan_2027_Days_Forecast]:[Dec_2027_Days_Forecast]]),0)</f>
        <v/>
      </c>
      <c r="BC103" s="129" t="n"/>
      <c r="BD103" s="129" t="n"/>
      <c r="BE103" s="129" t="n"/>
      <c r="BF103" s="129" t="n"/>
      <c r="BG103" s="129" t="n"/>
      <c r="BH103" s="129" t="n"/>
      <c r="BI103" s="129" t="n"/>
      <c r="BJ103" s="129" t="n"/>
      <c r="BK103" s="129" t="n"/>
      <c r="BL103" s="129" t="n"/>
      <c r="BM103" s="129" t="n"/>
      <c r="BN103" s="129" t="n"/>
      <c r="BO103" s="176" t="n"/>
      <c r="BP103" s="176" t="n"/>
      <c r="BQ103" s="347">
        <f>IFERROR(Table410[[#This Row],[Jan_2026_Days_Forecast]]*Table410[[#This Row],[Cost Boolean]]*(VLOOKUP(Table410[[#This Row],[RATE CONCAT]],Tables!I:N,5,0)),0)</f>
        <v/>
      </c>
      <c r="BR103" s="347">
        <f>IFERROR(Table410[[#This Row],[Jan_2026_Days_Actual]]*Table410[[#This Row],[Cost Boolean]]*(VLOOKUP(Table410[[#This Row],[RATE CONCAT]],Tables!I:N,5,0)),0)</f>
        <v/>
      </c>
      <c r="BS103" s="342">
        <f>Table410[[#This Row],[Jan_2026_F]]-Table410[[#This Row],[Jan_2026_A]]</f>
        <v/>
      </c>
      <c r="BT103" s="114" t="n"/>
      <c r="BU103" s="342">
        <f>IFERROR(Table410[[#This Row],[Feb_2026_Days_Forecast]]*Table410[[#This Row],[Cost Boolean]]*(VLOOKUP(Table410[[#This Row],[RATE CONCAT]],Tables!I:N,5,0)),0)</f>
        <v/>
      </c>
      <c r="BV103" s="347">
        <f>IFERROR(Table410[[#This Row],[Feb_2026_Days_Actual]]*Table410[[#This Row],[Cost Boolean]]*(VLOOKUP(Table410[[#This Row],[RATE CONCAT]],Tables!I:N,5,0)),0)</f>
        <v/>
      </c>
      <c r="BW103" s="342">
        <f>Table410[[#This Row],[Feb_2026_F]]-Table410[[#This Row],[Feb_2026_A]]</f>
        <v/>
      </c>
      <c r="BX103" s="275" t="n"/>
      <c r="BY103" s="347">
        <f>IFERROR(Table410[[#This Row],[Mar_2026_Days_Forecast]]*Table410[[#This Row],[Cost Boolean]]*(VLOOKUP(Table410[[#This Row],[RATE CONCAT]],Tables!I:N,5,0)),0)</f>
        <v/>
      </c>
      <c r="BZ103" s="347">
        <f>IFERROR(Table410[[#This Row],[Mar_2026_Days_Actual]]*Table410[[#This Row],[Cost Boolean]]*(VLOOKUP(Table410[[#This Row],[RATE CONCAT]],Tables!I:N,5,0)),0)</f>
        <v/>
      </c>
      <c r="CA103" s="347">
        <f>Table410[[#This Row],[Mar_2026_F]]-Table410[[#This Row],[Mar_2026_A]]</f>
        <v/>
      </c>
      <c r="CB103" s="103" t="n"/>
      <c r="CC103" s="347">
        <f>IFERROR(Table410[[#This Row],[Apr_2026_Days_Forecast]]*Table410[[#This Row],[Cost Boolean]]*(VLOOKUP(Table410[[#This Row],[RATE CONCAT]],Tables!I:N,5,0)),0)</f>
        <v/>
      </c>
      <c r="CD103" s="347">
        <f>IFERROR(Table410[[#This Row],[Apr_2026_Days_Actual]]*Table410[[#This Row],[Cost Boolean]]*(VLOOKUP(Table410[[#This Row],[RATE CONCAT]],Tables!I:N,5,0)),0)</f>
        <v/>
      </c>
      <c r="CE103" s="347">
        <f>Table410[[#This Row],[Apr_2026_F]]-Table410[[#This Row],[Apr_2026_A]]</f>
        <v/>
      </c>
      <c r="CF103" s="103" t="n"/>
      <c r="CG103" s="347">
        <f>IFERROR(Table410[[#This Row],[May_2026_Days_Forecast]] *Table410[[#This Row],[Cost Boolean]]*(VLOOKUP(Table410[[#This Row],[RATE CONCAT]],Tables!I:N,5,0)),0)</f>
        <v/>
      </c>
      <c r="CH103" s="347">
        <f>IFERROR(Table410[[#This Row],[May_2026_Days_Actual]]*Table410[[#This Row],[Cost Boolean]]*(VLOOKUP(Table410[[#This Row],[RATE CONCAT]],Tables!I:N,5,0)),0)</f>
        <v/>
      </c>
      <c r="CI103" s="347">
        <f>Table410[[#This Row],[May_2026_F]]-Table410[[#This Row],[May_2026_A]]</f>
        <v/>
      </c>
      <c r="CJ103" s="103" t="n"/>
      <c r="CK103" s="347">
        <f>IFERROR(Table410[[#This Row],[Jun_2026_Days_Forecast]]*Table410[[#This Row],[Cost Boolean]]*(VLOOKUP(Table410[[#This Row],[RATE CONCAT]],Tables!I:N,5,0)),0)</f>
        <v/>
      </c>
      <c r="CL103" s="347">
        <f>IFERROR(Table410[[#This Row],[Jun_2026_Days_Actual]]*Table410[[#This Row],[Cost Boolean]]*(VLOOKUP(Table410[[#This Row],[RATE CONCAT]],Tables!I:N,5,0)),0)</f>
        <v/>
      </c>
      <c r="CM103" s="347">
        <f>Table410[[#This Row],[Jun_2026_F]]-Table410[[#This Row],[Jun_2026_A]]</f>
        <v/>
      </c>
      <c r="CN103" s="103" t="n"/>
      <c r="CO103" s="347">
        <f>IFERROR(Table410[[#This Row],[Jul_2026_Days_Forecast]]*Table410[[#This Row],[Cost Boolean]]*(VLOOKUP(Table410[[#This Row],[RATE CONCAT]],Tables!I:N,5,0)),0)</f>
        <v/>
      </c>
      <c r="CP103" s="347">
        <f>IFERROR(Table410[[#This Row],[Jul_2026_Days_Actual]]*Table410[[#This Row],[Cost Boolean]]*(VLOOKUP(Table410[[#This Row],[RATE CONCAT]],Tables!I:N,5,0)),0)</f>
        <v/>
      </c>
      <c r="CQ103" s="347">
        <f>Table410[[#This Row],[Jul_2026_F]]-Table410[[#This Row],[Jul_2026_A]]</f>
        <v/>
      </c>
      <c r="CR103" s="103" t="n"/>
      <c r="CS103" s="347">
        <f>IFERROR(Table410[[#This Row],[Aug_2026_Days_Forecast]]*Table410[[#This Row],[Cost Boolean]]*(VLOOKUP(Table410[[#This Row],[RATE CONCAT]],Tables!I:N,5,0)),0)</f>
        <v/>
      </c>
      <c r="CT103" s="347">
        <f>IFERROR(Table410[[#This Row],[Aug_2026_Days_Actual]]*Table410[[#This Row],[Cost Boolean]]*(VLOOKUP(Table410[[#This Row],[RATE CONCAT]],Tables!I:N,5,0)),0)</f>
        <v/>
      </c>
      <c r="CU103" s="347">
        <f>Table410[[#This Row],[Aug_2026_F]]-Table410[[#This Row],[Aug_2026_A]]</f>
        <v/>
      </c>
      <c r="CV103" s="103" t="n"/>
      <c r="CW103" s="347">
        <f>IFERROR(Table410[[#This Row],[Sep_2026_Days_Forecast]]*Table410[[#This Row],[Cost Boolean]]*(VLOOKUP(Table410[[#This Row],[RATE CONCAT]],Tables!I:N,5,0)),0)</f>
        <v/>
      </c>
      <c r="CX103" s="347">
        <f>IFERROR(Table410[[#This Row],[Sep_2026_Days_Actual]]*Table410[[#This Row],[Cost Boolean]]*(VLOOKUP(Table410[[#This Row],[RATE CONCAT]],Tables!I:N,5,0)),0)</f>
        <v/>
      </c>
      <c r="CY103" s="347">
        <f>Table410[[#This Row],[Sep_2026_F]]-Table410[[#This Row],[Sep_2026_A]]</f>
        <v/>
      </c>
      <c r="CZ103" s="103" t="n"/>
      <c r="DA103" s="347">
        <f>IFERROR(Table410[[#This Row],[Oct_2026_Days_Forecast]]*Table410[[#This Row],[Cost Boolean]]*(VLOOKUP(Table410[[#This Row],[RATE CONCAT]],Tables!I:N,5,0)),0)</f>
        <v/>
      </c>
      <c r="DB103" s="347">
        <f>IFERROR(Table410[[#This Row],[Oct_2026_Days_Actual]]*Table410[[#This Row],[Cost Boolean]]*(VLOOKUP(Table410[[#This Row],[RATE CONCAT]],Tables!I:N,5,0)),0)</f>
        <v/>
      </c>
      <c r="DC103" s="347">
        <f>Table410[[#This Row],[Oct_2026_F]]-Table410[[#This Row],[Oct_2026_A]]</f>
        <v/>
      </c>
      <c r="DD103" s="103" t="n"/>
      <c r="DE103" s="347">
        <f>IFERROR(Table410[[#This Row],[Nov_2026_Days_Forecast]]*Table410[[#This Row],[Cost Boolean]]*(VLOOKUP(Table410[[#This Row],[RATE CONCAT]],Tables!I:N,5,0)),0)</f>
        <v/>
      </c>
      <c r="DF103" s="347">
        <f>IFERROR(Table410[[#This Row],[Nov_2026_Days_Actual]]*Table410[[#This Row],[Cost Boolean]]*(VLOOKUP(Table410[[#This Row],[RATE CONCAT]],Tables!I:N,5,0)),0)</f>
        <v/>
      </c>
      <c r="DG103" s="347">
        <f>Table410[[#This Row],[Nov_2026_F]]-Table410[[#This Row],[Nov_2026_A]]</f>
        <v/>
      </c>
      <c r="DH103" s="103" t="n"/>
      <c r="DI103" s="347">
        <f>IFERROR(Table410[[#This Row],[Dec_2026_Days_Forecast]]*Table410[[#This Row],[Cost Boolean]]*(VLOOKUP(Table410[[#This Row],[RATE CONCAT]],Tables!I:N,5,0)),0)</f>
        <v/>
      </c>
      <c r="DJ103" s="347">
        <f>IFERROR(Table410[[#This Row],[Dec_2026_Days_Actual]]*Table410[[#This Row],[Cost Boolean]]*(VLOOKUP(Table410[[#This Row],[RATE CONCAT]],Tables!I:N,5,0)),0)</f>
        <v/>
      </c>
      <c r="DK103" s="348">
        <f>Table410[[#This Row],[Dec_2026_F]]-Table410[[#This Row],[Dec_2026_A]]</f>
        <v/>
      </c>
      <c r="DL103" s="103" t="n"/>
      <c r="DM103" s="346" t="n"/>
      <c r="DN103" s="347">
        <f>IFERROR(Table410[[#This Row],[Jan_2027_Days_Forecast]]*Table410[[#This Row],[Cost Boolean]]*(VLOOKUP(Table410[[#This Row],[RATE CONCAT]],Tables!I:N,6,0)),0)</f>
        <v/>
      </c>
      <c r="DO103" s="275" t="n"/>
      <c r="DP103" s="347">
        <f>Table410[[#This Row],[Jan_2027_F]]-Table410[[#This Row],[Jan_2027_A]]</f>
        <v/>
      </c>
      <c r="DQ103" s="347">
        <f>IFERROR(Table410[[#This Row],[Feb_2027_Days_Forecast]]*Table410[[#This Row],[Cost Boolean]]*(VLOOKUP(Table410[[#This Row],[RATE CONCAT]],Tables!I:N,6,0)),0)</f>
        <v/>
      </c>
      <c r="DR103" s="275" t="n"/>
      <c r="DS103" s="347">
        <f>Table410[[#This Row],[Feb_2027_F]]-Table410[[#This Row],[Feb_2027_A]]</f>
        <v/>
      </c>
      <c r="DT103" s="347">
        <f>IFERROR(Table410[[#This Row],[Mar_2027_Days_Forecast]]*Table410[[#This Row],[Cost Boolean]]*(VLOOKUP(Table410[[#This Row],[RATE CONCAT]],Tables!I:N,6,0)),0)</f>
        <v/>
      </c>
      <c r="DU103" s="275" t="n"/>
      <c r="DV103" s="347">
        <f>Table410[[#This Row],[Mar_2027_F]]-Table410[[#This Row],[Mar_2027_A]]</f>
        <v/>
      </c>
      <c r="DW103" s="347">
        <f>IFERROR(Table410[[#This Row],[Apr_2027_Days_Forecast]]*Table410[[#This Row],[Cost Boolean]]*(VLOOKUP(Table410[[#This Row],[RATE CONCAT]],Tables!I:N,6,0)),0)</f>
        <v/>
      </c>
      <c r="DX103" s="275" t="n"/>
      <c r="DY103" s="347">
        <f>Table410[[#This Row],[Apr_2027_F]]-Table410[[#This Row],[Apr_2027_A]]</f>
        <v/>
      </c>
      <c r="DZ103" s="347">
        <f>IFERROR(Table410[[#This Row],[May_2027_Days_Forecast]]*Table410[[#This Row],[Cost Boolean]]*(VLOOKUP(Table410[[#This Row],[RATE CONCAT]],Tables!I:N,6,0)),0)</f>
        <v/>
      </c>
      <c r="EA103" s="275" t="n"/>
      <c r="EB103" s="347">
        <f>Table410[[#This Row],[May_2027_F]]-Table410[[#This Row],[May_2027_A]]</f>
        <v/>
      </c>
      <c r="EC103" s="347">
        <f>IFERROR(Table410[[#This Row],[Jun_2027_Days_Forecast]]*Table410[[#This Row],[Cost Boolean]]*(VLOOKUP(Table410[[#This Row],[RATE CONCAT]],Tables!I:N,6,0)),0)</f>
        <v/>
      </c>
      <c r="ED103" s="275" t="n"/>
      <c r="EE103" s="347">
        <f>Table410[[#This Row],[Jun_2027_F]]-Table410[[#This Row],[Jun_2027_A]]</f>
        <v/>
      </c>
      <c r="EF103" s="347">
        <f>IFERROR(Table410[[#This Row],[Jul_2027_Days_Forecast]]*Table410[[#This Row],[Cost Boolean]]*(VLOOKUP(Table410[[#This Row],[RATE CONCAT]],Tables!I:N,6,0)),0)</f>
        <v/>
      </c>
      <c r="EG103" s="275" t="n"/>
      <c r="EH103" s="347">
        <f>Table410[[#This Row],[Jul_2027_F]]-Table410[[#This Row],[Jul_2027_A]]</f>
        <v/>
      </c>
      <c r="EI103" s="347">
        <f>IFERROR(Table410[[#This Row],[Aug_2027_Days_Forecast]]*Table410[[#This Row],[Cost Boolean]]*(VLOOKUP(Table410[[#This Row],[RATE CONCAT]],Tables!I:N,6,0)),0)</f>
        <v/>
      </c>
      <c r="EJ103" s="275" t="n"/>
      <c r="EK103" s="347">
        <f>Table410[[#This Row],[Aug_2027_F]]-Table410[[#This Row],[Aug_2027_A]]</f>
        <v/>
      </c>
      <c r="EL103" s="347">
        <f>IFERROR(Table410[[#This Row],[Sep_2027_Days_Forecast]]*Table410[[#This Row],[Cost Boolean]]*(VLOOKUP(Table410[[#This Row],[RATE CONCAT]],Tables!I:N,6,0)),0)</f>
        <v/>
      </c>
      <c r="EM103" s="275" t="n"/>
      <c r="EN103" s="347">
        <f>Table410[[#This Row],[Sep_2027_F]]-Table410[[#This Row],[Sep_2027_A]]</f>
        <v/>
      </c>
      <c r="EO103" s="347">
        <f>IFERROR(Table410[[#This Row],[Oct_2027_Days_Forecast]]*Table410[[#This Row],[Cost Boolean]]*(VLOOKUP(Table410[[#This Row],[RATE CONCAT]],Tables!I:N,6,0)),0)</f>
        <v/>
      </c>
      <c r="EP103" s="275" t="n"/>
      <c r="EQ103" s="347">
        <f>Table410[[#This Row],[Oct_2027_F]]-Table410[[#This Row],[Oct_2027_A]]</f>
        <v/>
      </c>
      <c r="ER103" s="347">
        <f>IFERROR(Table410[[#This Row],[Nov_2027_Days_Forecast]]*Table410[[#This Row],[Cost Boolean]]*(VLOOKUP(Table410[[#This Row],[RATE CONCAT]],Tables!I:N,6,0)),0)</f>
        <v/>
      </c>
      <c r="ES103" s="275" t="n"/>
      <c r="ET103" s="347">
        <f>Table410[[#This Row],[Nov_2027_F]]-Table410[[#This Row],[Nov_2027_A]]</f>
        <v/>
      </c>
      <c r="EU103" s="347">
        <f>IFERROR(Table410[[#This Row],[Dec_2027_Days_Forecast]]*Table410[[#This Row],[Cost Boolean]]*(VLOOKUP(Table410[[#This Row],[RATE CONCAT]],Tables!I:N,6,0)),0)</f>
        <v/>
      </c>
      <c r="EV103" s="275" t="n"/>
      <c r="EW103" s="347">
        <f>Table410[[#This Row],[Dec_2027_F]]-Table410[[#This Row],[Dec_2027_A]]</f>
        <v/>
      </c>
    </row>
    <row r="104" ht="1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338">
        <f>CONCATENATE(Table410[[#This Row],[JG]],Table410[[#This Row],[Country]],Table410[[#This Row],[Resource Provider]])</f>
        <v/>
      </c>
      <c r="Z104" s="338">
        <f>VLOOKUP(Table410[[#This Row],[RATE CONCAT]],Tables!I:N,5,0)</f>
        <v/>
      </c>
      <c r="AA104" s="123" t="n"/>
      <c r="AB104" s="129" t="n"/>
      <c r="AC104" s="129" t="n"/>
      <c r="AD104" s="129" t="n"/>
      <c r="AE104" s="129" t="n"/>
      <c r="AF104" s="129" t="n"/>
      <c r="AG104" s="129" t="n"/>
      <c r="AH104" s="131" t="n"/>
      <c r="AI104" s="131" t="n"/>
      <c r="AJ104" s="131" t="n"/>
      <c r="AK104" s="131" t="n"/>
      <c r="AL104" s="131" t="n"/>
      <c r="AM104" s="131" t="n"/>
      <c r="AN104" s="341">
        <f>IFERROR(AVERAGE(Table410[[#This Row],[Jan_2026_Days_Forecast]:[Dec_2026_Days_Forecast]]),0)/19</f>
        <v/>
      </c>
      <c r="AO104" s="341">
        <f>IFERROR(AVERAGE(Table410[[#This Row],[Jan_2026_Days_Actual]:[Dec_2026_Days_Actual]]),0)/19</f>
        <v/>
      </c>
      <c r="AP104" s="84" t="n"/>
      <c r="AQ104" s="84" t="n"/>
      <c r="AR104" s="84" t="n"/>
      <c r="AS104" s="84" t="n"/>
      <c r="AT104" s="84" t="n"/>
      <c r="AU104" s="84" t="n"/>
      <c r="AV104" s="84" t="n"/>
      <c r="AW104" s="84" t="n"/>
      <c r="AX104" s="84" t="n"/>
      <c r="AY104" s="84" t="n"/>
      <c r="AZ104" s="84" t="n"/>
      <c r="BA104" s="84" t="n"/>
      <c r="BB104" s="341">
        <f>IFERROR(AVERAGE(Table410[[#This Row],[Jan_2027_Days_Forecast]:[Dec_2027_Days_Forecast]]),0)</f>
        <v/>
      </c>
      <c r="BC104" s="129" t="n"/>
      <c r="BD104" s="129" t="n"/>
      <c r="BE104" s="129" t="n"/>
      <c r="BF104" s="129" t="n"/>
      <c r="BG104" s="129" t="n"/>
      <c r="BH104" s="129" t="n"/>
      <c r="BI104" s="129" t="n"/>
      <c r="BJ104" s="129" t="n"/>
      <c r="BK104" s="129" t="n"/>
      <c r="BL104" s="129" t="n"/>
      <c r="BM104" s="129" t="n"/>
      <c r="BN104" s="129" t="n"/>
      <c r="BO104" s="176" t="n"/>
      <c r="BP104" s="176" t="n"/>
      <c r="BQ104" s="345">
        <f>IFERROR(Table410[[#This Row],[Jan_2026_Days_Forecast]]*Table410[[#This Row],[Cost Boolean]]*(VLOOKUP(Table410[[#This Row],[RATE CONCAT]],Tables!I:N,5,0)),0)</f>
        <v/>
      </c>
      <c r="BR104" s="345">
        <f>IFERROR(Table410[[#This Row],[Jan_2026_Days_Actual]]*Table410[[#This Row],[Cost Boolean]]*(VLOOKUP(Table410[[#This Row],[RATE CONCAT]],Tables!I:N,5,0)),0)</f>
        <v/>
      </c>
      <c r="BS104" s="338">
        <f>Table410[[#This Row],[Jan_2026_F]]-Table410[[#This Row],[Jan_2026_A]]</f>
        <v/>
      </c>
      <c r="BT104" s="114" t="n"/>
      <c r="BU104" s="338">
        <f>IFERROR(Table410[[#This Row],[Feb_2026_Days_Forecast]]*Table410[[#This Row],[Cost Boolean]]*(VLOOKUP(Table410[[#This Row],[RATE CONCAT]],Tables!I:N,5,0)),0)</f>
        <v/>
      </c>
      <c r="BV104" s="345">
        <f>IFERROR(Table410[[#This Row],[Feb_2026_Days_Actual]]*Table410[[#This Row],[Cost Boolean]]*(VLOOKUP(Table410[[#This Row],[RATE CONCAT]],Tables!I:N,5,0)),0)</f>
        <v/>
      </c>
      <c r="BW104" s="338">
        <f>Table410[[#This Row],[Feb_2026_F]]-Table410[[#This Row],[Feb_2026_A]]</f>
        <v/>
      </c>
      <c r="BX104" s="275" t="n"/>
      <c r="BY104" s="345">
        <f>IFERROR(Table410[[#This Row],[Mar_2026_Days_Forecast]]*Table410[[#This Row],[Cost Boolean]]*(VLOOKUP(Table410[[#This Row],[RATE CONCAT]],Tables!I:N,5,0)),0)</f>
        <v/>
      </c>
      <c r="BZ104" s="345">
        <f>IFERROR(Table410[[#This Row],[Mar_2026_Days_Actual]]*Table410[[#This Row],[Cost Boolean]]*(VLOOKUP(Table410[[#This Row],[RATE CONCAT]],Tables!I:N,5,0)),0)</f>
        <v/>
      </c>
      <c r="CA104" s="345">
        <f>Table410[[#This Row],[Mar_2026_F]]-Table410[[#This Row],[Mar_2026_A]]</f>
        <v/>
      </c>
      <c r="CB104" s="103" t="n"/>
      <c r="CC104" s="345">
        <f>IFERROR(Table410[[#This Row],[Apr_2026_Days_Forecast]]*Table410[[#This Row],[Cost Boolean]]*(VLOOKUP(Table410[[#This Row],[RATE CONCAT]],Tables!I:N,5,0)),0)</f>
        <v/>
      </c>
      <c r="CD104" s="345">
        <f>IFERROR(Table410[[#This Row],[Apr_2026_Days_Actual]]*Table410[[#This Row],[Cost Boolean]]*(VLOOKUP(Table410[[#This Row],[RATE CONCAT]],Tables!I:N,5,0)),0)</f>
        <v/>
      </c>
      <c r="CE104" s="345">
        <f>Table410[[#This Row],[Apr_2026_F]]-Table410[[#This Row],[Apr_2026_A]]</f>
        <v/>
      </c>
      <c r="CF104" s="103" t="n"/>
      <c r="CG104" s="345">
        <f>IFERROR(Table410[[#This Row],[May_2026_Days_Forecast]] *Table410[[#This Row],[Cost Boolean]]*(VLOOKUP(Table410[[#This Row],[RATE CONCAT]],Tables!I:N,5,0)),0)</f>
        <v/>
      </c>
      <c r="CH104" s="345">
        <f>IFERROR(Table410[[#This Row],[May_2026_Days_Actual]]*Table410[[#This Row],[Cost Boolean]]*(VLOOKUP(Table410[[#This Row],[RATE CONCAT]],Tables!I:N,5,0)),0)</f>
        <v/>
      </c>
      <c r="CI104" s="345">
        <f>Table410[[#This Row],[May_2026_F]]-Table410[[#This Row],[May_2026_A]]</f>
        <v/>
      </c>
      <c r="CJ104" s="103" t="n"/>
      <c r="CK104" s="345">
        <f>IFERROR(Table410[[#This Row],[Jun_2026_Days_Forecast]]*Table410[[#This Row],[Cost Boolean]]*(VLOOKUP(Table410[[#This Row],[RATE CONCAT]],Tables!I:N,5,0)),0)</f>
        <v/>
      </c>
      <c r="CL104" s="345">
        <f>IFERROR(Table410[[#This Row],[Jun_2026_Days_Actual]]*Table410[[#This Row],[Cost Boolean]]*(VLOOKUP(Table410[[#This Row],[RATE CONCAT]],Tables!I:N,5,0)),0)</f>
        <v/>
      </c>
      <c r="CM104" s="345">
        <f>Table410[[#This Row],[Jun_2026_F]]-Table410[[#This Row],[Jun_2026_A]]</f>
        <v/>
      </c>
      <c r="CN104" s="103" t="n"/>
      <c r="CO104" s="345">
        <f>IFERROR(Table410[[#This Row],[Jul_2026_Days_Forecast]]*Table410[[#This Row],[Cost Boolean]]*(VLOOKUP(Table410[[#This Row],[RATE CONCAT]],Tables!I:N,5,0)),0)</f>
        <v/>
      </c>
      <c r="CP104" s="345">
        <f>IFERROR(Table410[[#This Row],[Jul_2026_Days_Actual]]*Table410[[#This Row],[Cost Boolean]]*(VLOOKUP(Table410[[#This Row],[RATE CONCAT]],Tables!I:N,5,0)),0)</f>
        <v/>
      </c>
      <c r="CQ104" s="345">
        <f>Table410[[#This Row],[Jul_2026_F]]-Table410[[#This Row],[Jul_2026_A]]</f>
        <v/>
      </c>
      <c r="CR104" s="103" t="n"/>
      <c r="CS104" s="345">
        <f>IFERROR(Table410[[#This Row],[Aug_2026_Days_Forecast]]*Table410[[#This Row],[Cost Boolean]]*(VLOOKUP(Table410[[#This Row],[RATE CONCAT]],Tables!I:N,5,0)),0)</f>
        <v/>
      </c>
      <c r="CT104" s="345">
        <f>IFERROR(Table410[[#This Row],[Aug_2026_Days_Actual]]*Table410[[#This Row],[Cost Boolean]]*(VLOOKUP(Table410[[#This Row],[RATE CONCAT]],Tables!I:N,5,0)),0)</f>
        <v/>
      </c>
      <c r="CU104" s="345">
        <f>Table410[[#This Row],[Aug_2026_F]]-Table410[[#This Row],[Aug_2026_A]]</f>
        <v/>
      </c>
      <c r="CV104" s="103" t="n"/>
      <c r="CW104" s="345">
        <f>IFERROR(Table410[[#This Row],[Sep_2026_Days_Forecast]]*Table410[[#This Row],[Cost Boolean]]*(VLOOKUP(Table410[[#This Row],[RATE CONCAT]],Tables!I:N,5,0)),0)</f>
        <v/>
      </c>
      <c r="CX104" s="345">
        <f>IFERROR(Table410[[#This Row],[Sep_2026_Days_Actual]]*Table410[[#This Row],[Cost Boolean]]*(VLOOKUP(Table410[[#This Row],[RATE CONCAT]],Tables!I:N,5,0)),0)</f>
        <v/>
      </c>
      <c r="CY104" s="345">
        <f>Table410[[#This Row],[Sep_2026_F]]-Table410[[#This Row],[Sep_2026_A]]</f>
        <v/>
      </c>
      <c r="CZ104" s="103" t="n"/>
      <c r="DA104" s="345">
        <f>IFERROR(Table410[[#This Row],[Oct_2026_Days_Forecast]]*Table410[[#This Row],[Cost Boolean]]*(VLOOKUP(Table410[[#This Row],[RATE CONCAT]],Tables!I:N,5,0)),0)</f>
        <v/>
      </c>
      <c r="DB104" s="345">
        <f>IFERROR(Table410[[#This Row],[Oct_2026_Days_Actual]]*Table410[[#This Row],[Cost Boolean]]*(VLOOKUP(Table410[[#This Row],[RATE CONCAT]],Tables!I:N,5,0)),0)</f>
        <v/>
      </c>
      <c r="DC104" s="345">
        <f>Table410[[#This Row],[Oct_2026_F]]-Table410[[#This Row],[Oct_2026_A]]</f>
        <v/>
      </c>
      <c r="DD104" s="103" t="n"/>
      <c r="DE104" s="345">
        <f>IFERROR(Table410[[#This Row],[Nov_2026_Days_Forecast]]*Table410[[#This Row],[Cost Boolean]]*(VLOOKUP(Table410[[#This Row],[RATE CONCAT]],Tables!I:N,5,0)),0)</f>
        <v/>
      </c>
      <c r="DF104" s="345">
        <f>IFERROR(Table410[[#This Row],[Nov_2026_Days_Actual]]*Table410[[#This Row],[Cost Boolean]]*(VLOOKUP(Table410[[#This Row],[RATE CONCAT]],Tables!I:N,5,0)),0)</f>
        <v/>
      </c>
      <c r="DG104" s="345">
        <f>Table410[[#This Row],[Nov_2026_F]]-Table410[[#This Row],[Nov_2026_A]]</f>
        <v/>
      </c>
      <c r="DH104" s="103" t="n"/>
      <c r="DI104" s="345">
        <f>IFERROR(Table410[[#This Row],[Dec_2026_Days_Forecast]]*Table410[[#This Row],[Cost Boolean]]*(VLOOKUP(Table410[[#This Row],[RATE CONCAT]],Tables!I:N,5,0)),0)</f>
        <v/>
      </c>
      <c r="DJ104" s="345">
        <f>IFERROR(Table410[[#This Row],[Dec_2026_Days_Actual]]*Table410[[#This Row],[Cost Boolean]]*(VLOOKUP(Table410[[#This Row],[RATE CONCAT]],Tables!I:N,5,0)),0)</f>
        <v/>
      </c>
      <c r="DK104" s="349">
        <f>Table410[[#This Row],[Dec_2026_F]]-Table410[[#This Row],[Dec_2026_A]]</f>
        <v/>
      </c>
      <c r="DL104" s="103" t="n"/>
      <c r="DM104" s="346" t="n"/>
      <c r="DN104" s="345">
        <f>IFERROR(Table410[[#This Row],[Jan_2027_Days_Forecast]]*Table410[[#This Row],[Cost Boolean]]*(VLOOKUP(Table410[[#This Row],[RATE CONCAT]],Tables!I:N,6,0)),0)</f>
        <v/>
      </c>
      <c r="DO104" s="275" t="n"/>
      <c r="DP104" s="345">
        <f>Table410[[#This Row],[Jan_2027_F]]-Table410[[#This Row],[Jan_2027_A]]</f>
        <v/>
      </c>
      <c r="DQ104" s="345">
        <f>IFERROR(Table410[[#This Row],[Feb_2027_Days_Forecast]]*Table410[[#This Row],[Cost Boolean]]*(VLOOKUP(Table410[[#This Row],[RATE CONCAT]],Tables!I:N,6,0)),0)</f>
        <v/>
      </c>
      <c r="DR104" s="275" t="n"/>
      <c r="DS104" s="345">
        <f>Table410[[#This Row],[Feb_2027_F]]-Table410[[#This Row],[Feb_2027_A]]</f>
        <v/>
      </c>
      <c r="DT104" s="345">
        <f>IFERROR(Table410[[#This Row],[Mar_2027_Days_Forecast]]*Table410[[#This Row],[Cost Boolean]]*(VLOOKUP(Table410[[#This Row],[RATE CONCAT]],Tables!I:N,6,0)),0)</f>
        <v/>
      </c>
      <c r="DU104" s="275" t="n"/>
      <c r="DV104" s="345">
        <f>Table410[[#This Row],[Mar_2027_F]]-Table410[[#This Row],[Mar_2027_A]]</f>
        <v/>
      </c>
      <c r="DW104" s="345">
        <f>IFERROR(Table410[[#This Row],[Apr_2027_Days_Forecast]]*Table410[[#This Row],[Cost Boolean]]*(VLOOKUP(Table410[[#This Row],[RATE CONCAT]],Tables!I:N,6,0)),0)</f>
        <v/>
      </c>
      <c r="DX104" s="275" t="n"/>
      <c r="DY104" s="345">
        <f>Table410[[#This Row],[Apr_2027_F]]-Table410[[#This Row],[Apr_2027_A]]</f>
        <v/>
      </c>
      <c r="DZ104" s="345">
        <f>IFERROR(Table410[[#This Row],[May_2027_Days_Forecast]]*Table410[[#This Row],[Cost Boolean]]*(VLOOKUP(Table410[[#This Row],[RATE CONCAT]],Tables!I:N,6,0)),0)</f>
        <v/>
      </c>
      <c r="EA104" s="275" t="n"/>
      <c r="EB104" s="345">
        <f>Table410[[#This Row],[May_2027_F]]-Table410[[#This Row],[May_2027_A]]</f>
        <v/>
      </c>
      <c r="EC104" s="345">
        <f>IFERROR(Table410[[#This Row],[Jun_2027_Days_Forecast]]*Table410[[#This Row],[Cost Boolean]]*(VLOOKUP(Table410[[#This Row],[RATE CONCAT]],Tables!I:N,6,0)),0)</f>
        <v/>
      </c>
      <c r="ED104" s="275" t="n"/>
      <c r="EE104" s="345">
        <f>Table410[[#This Row],[Jun_2027_F]]-Table410[[#This Row],[Jun_2027_A]]</f>
        <v/>
      </c>
      <c r="EF104" s="345">
        <f>IFERROR(Table410[[#This Row],[Jul_2027_Days_Forecast]]*Table410[[#This Row],[Cost Boolean]]*(VLOOKUP(Table410[[#This Row],[RATE CONCAT]],Tables!I:N,6,0)),0)</f>
        <v/>
      </c>
      <c r="EG104" s="275" t="n"/>
      <c r="EH104" s="345">
        <f>Table410[[#This Row],[Jul_2027_F]]-Table410[[#This Row],[Jul_2027_A]]</f>
        <v/>
      </c>
      <c r="EI104" s="345">
        <f>IFERROR(Table410[[#This Row],[Aug_2027_Days_Forecast]]*Table410[[#This Row],[Cost Boolean]]*(VLOOKUP(Table410[[#This Row],[RATE CONCAT]],Tables!I:N,6,0)),0)</f>
        <v/>
      </c>
      <c r="EJ104" s="275" t="n"/>
      <c r="EK104" s="345">
        <f>Table410[[#This Row],[Aug_2027_F]]-Table410[[#This Row],[Aug_2027_A]]</f>
        <v/>
      </c>
      <c r="EL104" s="345">
        <f>IFERROR(Table410[[#This Row],[Sep_2027_Days_Forecast]]*Table410[[#This Row],[Cost Boolean]]*(VLOOKUP(Table410[[#This Row],[RATE CONCAT]],Tables!I:N,6,0)),0)</f>
        <v/>
      </c>
      <c r="EM104" s="275" t="n"/>
      <c r="EN104" s="345">
        <f>Table410[[#This Row],[Sep_2027_F]]-Table410[[#This Row],[Sep_2027_A]]</f>
        <v/>
      </c>
      <c r="EO104" s="345">
        <f>IFERROR(Table410[[#This Row],[Oct_2027_Days_Forecast]]*Table410[[#This Row],[Cost Boolean]]*(VLOOKUP(Table410[[#This Row],[RATE CONCAT]],Tables!I:N,6,0)),0)</f>
        <v/>
      </c>
      <c r="EP104" s="275" t="n"/>
      <c r="EQ104" s="345">
        <f>Table410[[#This Row],[Oct_2027_F]]-Table410[[#This Row],[Oct_2027_A]]</f>
        <v/>
      </c>
      <c r="ER104" s="345">
        <f>IFERROR(Table410[[#This Row],[Nov_2027_Days_Forecast]]*Table410[[#This Row],[Cost Boolean]]*(VLOOKUP(Table410[[#This Row],[RATE CONCAT]],Tables!I:N,6,0)),0)</f>
        <v/>
      </c>
      <c r="ES104" s="275" t="n"/>
      <c r="ET104" s="345">
        <f>Table410[[#This Row],[Nov_2027_F]]-Table410[[#This Row],[Nov_2027_A]]</f>
        <v/>
      </c>
      <c r="EU104" s="345">
        <f>IFERROR(Table410[[#This Row],[Dec_2027_Days_Forecast]]*Table410[[#This Row],[Cost Boolean]]*(VLOOKUP(Table410[[#This Row],[RATE CONCAT]],Tables!I:N,6,0)),0)</f>
        <v/>
      </c>
      <c r="EV104" s="275" t="n"/>
      <c r="EW104" s="345">
        <f>Table410[[#This Row],[Dec_2027_F]]-Table410[[#This Row],[Dec_2027_A]]</f>
        <v/>
      </c>
    </row>
    <row r="105" ht="1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342">
        <f>CONCATENATE(Table410[[#This Row],[JG]],Table410[[#This Row],[Country]],Table410[[#This Row],[Resource Provider]])</f>
        <v/>
      </c>
      <c r="Z105" s="342">
        <f>VLOOKUP(Table410[[#This Row],[RATE CONCAT]],Tables!I:N,5,0)</f>
        <v/>
      </c>
      <c r="AA105" s="123" t="n"/>
      <c r="AB105" s="129" t="n"/>
      <c r="AC105" s="129" t="n"/>
      <c r="AD105" s="129" t="n"/>
      <c r="AE105" s="129" t="n"/>
      <c r="AF105" s="129" t="n"/>
      <c r="AG105" s="129" t="n"/>
      <c r="AH105" s="131" t="n"/>
      <c r="AI105" s="131" t="n"/>
      <c r="AJ105" s="131" t="n"/>
      <c r="AK105" s="131" t="n"/>
      <c r="AL105" s="131" t="n"/>
      <c r="AM105" s="131" t="n"/>
      <c r="AN105" s="341">
        <f>IFERROR(AVERAGE(Table410[[#This Row],[Jan_2026_Days_Forecast]:[Dec_2026_Days_Forecast]]),0)/19</f>
        <v/>
      </c>
      <c r="AO105" s="341">
        <f>IFERROR(AVERAGE(Table410[[#This Row],[Jan_2026_Days_Actual]:[Dec_2026_Days_Actual]]),0)/19</f>
        <v/>
      </c>
      <c r="AP105" s="84" t="n"/>
      <c r="AQ105" s="84" t="n"/>
      <c r="AR105" s="84" t="n"/>
      <c r="AS105" s="84" t="n"/>
      <c r="AT105" s="84" t="n"/>
      <c r="AU105" s="84" t="n"/>
      <c r="AV105" s="84" t="n"/>
      <c r="AW105" s="84" t="n"/>
      <c r="AX105" s="84" t="n"/>
      <c r="AY105" s="84" t="n"/>
      <c r="AZ105" s="84" t="n"/>
      <c r="BA105" s="84" t="n"/>
      <c r="BB105" s="341">
        <f>IFERROR(AVERAGE(Table410[[#This Row],[Jan_2027_Days_Forecast]:[Dec_2027_Days_Forecast]]),0)</f>
        <v/>
      </c>
      <c r="BC105" s="129" t="n"/>
      <c r="BD105" s="129" t="n"/>
      <c r="BE105" s="129" t="n"/>
      <c r="BF105" s="129" t="n"/>
      <c r="BG105" s="129" t="n"/>
      <c r="BH105" s="129" t="n"/>
      <c r="BI105" s="129" t="n"/>
      <c r="BJ105" s="129" t="n"/>
      <c r="BK105" s="129" t="n"/>
      <c r="BL105" s="129" t="n"/>
      <c r="BM105" s="129" t="n"/>
      <c r="BN105" s="129" t="n"/>
      <c r="BO105" s="176" t="n"/>
      <c r="BP105" s="176" t="n"/>
      <c r="BQ105" s="347">
        <f>IFERROR(Table410[[#This Row],[Jan_2026_Days_Forecast]]*Table410[[#This Row],[Cost Boolean]]*(VLOOKUP(Table410[[#This Row],[RATE CONCAT]],Tables!I:N,5,0)),0)</f>
        <v/>
      </c>
      <c r="BR105" s="347">
        <f>IFERROR(Table410[[#This Row],[Jan_2026_Days_Actual]]*Table410[[#This Row],[Cost Boolean]]*(VLOOKUP(Table410[[#This Row],[RATE CONCAT]],Tables!I:N,5,0)),0)</f>
        <v/>
      </c>
      <c r="BS105" s="342">
        <f>Table410[[#This Row],[Jan_2026_F]]-Table410[[#This Row],[Jan_2026_A]]</f>
        <v/>
      </c>
      <c r="BT105" s="114" t="n"/>
      <c r="BU105" s="342">
        <f>IFERROR(Table410[[#This Row],[Feb_2026_Days_Forecast]]*Table410[[#This Row],[Cost Boolean]]*(VLOOKUP(Table410[[#This Row],[RATE CONCAT]],Tables!I:N,5,0)),0)</f>
        <v/>
      </c>
      <c r="BV105" s="347">
        <f>IFERROR(Table410[[#This Row],[Feb_2026_Days_Actual]]*Table410[[#This Row],[Cost Boolean]]*(VLOOKUP(Table410[[#This Row],[RATE CONCAT]],Tables!I:N,5,0)),0)</f>
        <v/>
      </c>
      <c r="BW105" s="342">
        <f>Table410[[#This Row],[Feb_2026_F]]-Table410[[#This Row],[Feb_2026_A]]</f>
        <v/>
      </c>
      <c r="BX105" s="275" t="n"/>
      <c r="BY105" s="347">
        <f>IFERROR(Table410[[#This Row],[Mar_2026_Days_Forecast]]*Table410[[#This Row],[Cost Boolean]]*(VLOOKUP(Table410[[#This Row],[RATE CONCAT]],Tables!I:N,5,0)),0)</f>
        <v/>
      </c>
      <c r="BZ105" s="347">
        <f>IFERROR(Table410[[#This Row],[Mar_2026_Days_Actual]]*Table410[[#This Row],[Cost Boolean]]*(VLOOKUP(Table410[[#This Row],[RATE CONCAT]],Tables!I:N,5,0)),0)</f>
        <v/>
      </c>
      <c r="CA105" s="347">
        <f>Table410[[#This Row],[Mar_2026_F]]-Table410[[#This Row],[Mar_2026_A]]</f>
        <v/>
      </c>
      <c r="CB105" s="103" t="n"/>
      <c r="CC105" s="347">
        <f>IFERROR(Table410[[#This Row],[Apr_2026_Days_Forecast]]*Table410[[#This Row],[Cost Boolean]]*(VLOOKUP(Table410[[#This Row],[RATE CONCAT]],Tables!I:N,5,0)),0)</f>
        <v/>
      </c>
      <c r="CD105" s="347">
        <f>IFERROR(Table410[[#This Row],[Apr_2026_Days_Actual]]*Table410[[#This Row],[Cost Boolean]]*(VLOOKUP(Table410[[#This Row],[RATE CONCAT]],Tables!I:N,5,0)),0)</f>
        <v/>
      </c>
      <c r="CE105" s="347">
        <f>Table410[[#This Row],[Apr_2026_F]]-Table410[[#This Row],[Apr_2026_A]]</f>
        <v/>
      </c>
      <c r="CF105" s="103" t="n"/>
      <c r="CG105" s="347">
        <f>IFERROR(Table410[[#This Row],[May_2026_Days_Forecast]] *Table410[[#This Row],[Cost Boolean]]*(VLOOKUP(Table410[[#This Row],[RATE CONCAT]],Tables!I:N,5,0)),0)</f>
        <v/>
      </c>
      <c r="CH105" s="347">
        <f>IFERROR(Table410[[#This Row],[May_2026_Days_Actual]]*Table410[[#This Row],[Cost Boolean]]*(VLOOKUP(Table410[[#This Row],[RATE CONCAT]],Tables!I:N,5,0)),0)</f>
        <v/>
      </c>
      <c r="CI105" s="347">
        <f>Table410[[#This Row],[May_2026_F]]-Table410[[#This Row],[May_2026_A]]</f>
        <v/>
      </c>
      <c r="CJ105" s="103" t="n"/>
      <c r="CK105" s="347">
        <f>IFERROR(Table410[[#This Row],[Jun_2026_Days_Forecast]]*Table410[[#This Row],[Cost Boolean]]*(VLOOKUP(Table410[[#This Row],[RATE CONCAT]],Tables!I:N,5,0)),0)</f>
        <v/>
      </c>
      <c r="CL105" s="347">
        <f>IFERROR(Table410[[#This Row],[Jun_2026_Days_Actual]]*Table410[[#This Row],[Cost Boolean]]*(VLOOKUP(Table410[[#This Row],[RATE CONCAT]],Tables!I:N,5,0)),0)</f>
        <v/>
      </c>
      <c r="CM105" s="347">
        <f>Table410[[#This Row],[Jun_2026_F]]-Table410[[#This Row],[Jun_2026_A]]</f>
        <v/>
      </c>
      <c r="CN105" s="103" t="n"/>
      <c r="CO105" s="347">
        <f>IFERROR(Table410[[#This Row],[Jul_2026_Days_Forecast]]*Table410[[#This Row],[Cost Boolean]]*(VLOOKUP(Table410[[#This Row],[RATE CONCAT]],Tables!I:N,5,0)),0)</f>
        <v/>
      </c>
      <c r="CP105" s="347">
        <f>IFERROR(Table410[[#This Row],[Jul_2026_Days_Actual]]*Table410[[#This Row],[Cost Boolean]]*(VLOOKUP(Table410[[#This Row],[RATE CONCAT]],Tables!I:N,5,0)),0)</f>
        <v/>
      </c>
      <c r="CQ105" s="347">
        <f>Table410[[#This Row],[Jul_2026_F]]-Table410[[#This Row],[Jul_2026_A]]</f>
        <v/>
      </c>
      <c r="CR105" s="103" t="n"/>
      <c r="CS105" s="347">
        <f>IFERROR(Table410[[#This Row],[Aug_2026_Days_Forecast]]*Table410[[#This Row],[Cost Boolean]]*(VLOOKUP(Table410[[#This Row],[RATE CONCAT]],Tables!I:N,5,0)),0)</f>
        <v/>
      </c>
      <c r="CT105" s="347">
        <f>IFERROR(Table410[[#This Row],[Aug_2026_Days_Actual]]*Table410[[#This Row],[Cost Boolean]]*(VLOOKUP(Table410[[#This Row],[RATE CONCAT]],Tables!I:N,5,0)),0)</f>
        <v/>
      </c>
      <c r="CU105" s="347">
        <f>Table410[[#This Row],[Aug_2026_F]]-Table410[[#This Row],[Aug_2026_A]]</f>
        <v/>
      </c>
      <c r="CV105" s="103" t="n"/>
      <c r="CW105" s="347">
        <f>IFERROR(Table410[[#This Row],[Sep_2026_Days_Forecast]]*Table410[[#This Row],[Cost Boolean]]*(VLOOKUP(Table410[[#This Row],[RATE CONCAT]],Tables!I:N,5,0)),0)</f>
        <v/>
      </c>
      <c r="CX105" s="347">
        <f>IFERROR(Table410[[#This Row],[Sep_2026_Days_Actual]]*Table410[[#This Row],[Cost Boolean]]*(VLOOKUP(Table410[[#This Row],[RATE CONCAT]],Tables!I:N,5,0)),0)</f>
        <v/>
      </c>
      <c r="CY105" s="347">
        <f>Table410[[#This Row],[Sep_2026_F]]-Table410[[#This Row],[Sep_2026_A]]</f>
        <v/>
      </c>
      <c r="CZ105" s="103" t="n"/>
      <c r="DA105" s="347">
        <f>IFERROR(Table410[[#This Row],[Oct_2026_Days_Forecast]]*Table410[[#This Row],[Cost Boolean]]*(VLOOKUP(Table410[[#This Row],[RATE CONCAT]],Tables!I:N,5,0)),0)</f>
        <v/>
      </c>
      <c r="DB105" s="347">
        <f>IFERROR(Table410[[#This Row],[Oct_2026_Days_Actual]]*Table410[[#This Row],[Cost Boolean]]*(VLOOKUP(Table410[[#This Row],[RATE CONCAT]],Tables!I:N,5,0)),0)</f>
        <v/>
      </c>
      <c r="DC105" s="347">
        <f>Table410[[#This Row],[Oct_2026_F]]-Table410[[#This Row],[Oct_2026_A]]</f>
        <v/>
      </c>
      <c r="DD105" s="103" t="n"/>
      <c r="DE105" s="347">
        <f>IFERROR(Table410[[#This Row],[Nov_2026_Days_Forecast]]*Table410[[#This Row],[Cost Boolean]]*(VLOOKUP(Table410[[#This Row],[RATE CONCAT]],Tables!I:N,5,0)),0)</f>
        <v/>
      </c>
      <c r="DF105" s="347">
        <f>IFERROR(Table410[[#This Row],[Nov_2026_Days_Actual]]*Table410[[#This Row],[Cost Boolean]]*(VLOOKUP(Table410[[#This Row],[RATE CONCAT]],Tables!I:N,5,0)),0)</f>
        <v/>
      </c>
      <c r="DG105" s="347">
        <f>Table410[[#This Row],[Nov_2026_F]]-Table410[[#This Row],[Nov_2026_A]]</f>
        <v/>
      </c>
      <c r="DH105" s="103" t="n"/>
      <c r="DI105" s="347">
        <f>IFERROR(Table410[[#This Row],[Dec_2026_Days_Forecast]]*Table410[[#This Row],[Cost Boolean]]*(VLOOKUP(Table410[[#This Row],[RATE CONCAT]],Tables!I:N,5,0)),0)</f>
        <v/>
      </c>
      <c r="DJ105" s="347">
        <f>IFERROR(Table410[[#This Row],[Dec_2026_Days_Actual]]*Table410[[#This Row],[Cost Boolean]]*(VLOOKUP(Table410[[#This Row],[RATE CONCAT]],Tables!I:N,5,0)),0)</f>
        <v/>
      </c>
      <c r="DK105" s="348">
        <f>Table410[[#This Row],[Dec_2026_F]]-Table410[[#This Row],[Dec_2026_A]]</f>
        <v/>
      </c>
      <c r="DL105" s="103" t="n"/>
      <c r="DM105" s="346" t="n"/>
      <c r="DN105" s="347">
        <f>IFERROR(Table410[[#This Row],[Jan_2027_Days_Forecast]]*Table410[[#This Row],[Cost Boolean]]*(VLOOKUP(Table410[[#This Row],[RATE CONCAT]],Tables!I:N,6,0)),0)</f>
        <v/>
      </c>
      <c r="DO105" s="275" t="n"/>
      <c r="DP105" s="347">
        <f>Table410[[#This Row],[Jan_2027_F]]-Table410[[#This Row],[Jan_2027_A]]</f>
        <v/>
      </c>
      <c r="DQ105" s="347">
        <f>IFERROR(Table410[[#This Row],[Feb_2027_Days_Forecast]]*Table410[[#This Row],[Cost Boolean]]*(VLOOKUP(Table410[[#This Row],[RATE CONCAT]],Tables!I:N,6,0)),0)</f>
        <v/>
      </c>
      <c r="DR105" s="275" t="n"/>
      <c r="DS105" s="347">
        <f>Table410[[#This Row],[Feb_2027_F]]-Table410[[#This Row],[Feb_2027_A]]</f>
        <v/>
      </c>
      <c r="DT105" s="347">
        <f>IFERROR(Table410[[#This Row],[Mar_2027_Days_Forecast]]*Table410[[#This Row],[Cost Boolean]]*(VLOOKUP(Table410[[#This Row],[RATE CONCAT]],Tables!I:N,6,0)),0)</f>
        <v/>
      </c>
      <c r="DU105" s="275" t="n"/>
      <c r="DV105" s="347">
        <f>Table410[[#This Row],[Mar_2027_F]]-Table410[[#This Row],[Mar_2027_A]]</f>
        <v/>
      </c>
      <c r="DW105" s="347">
        <f>IFERROR(Table410[[#This Row],[Apr_2027_Days_Forecast]]*Table410[[#This Row],[Cost Boolean]]*(VLOOKUP(Table410[[#This Row],[RATE CONCAT]],Tables!I:N,6,0)),0)</f>
        <v/>
      </c>
      <c r="DX105" s="275" t="n"/>
      <c r="DY105" s="347">
        <f>Table410[[#This Row],[Apr_2027_F]]-Table410[[#This Row],[Apr_2027_A]]</f>
        <v/>
      </c>
      <c r="DZ105" s="347">
        <f>IFERROR(Table410[[#This Row],[May_2027_Days_Forecast]]*Table410[[#This Row],[Cost Boolean]]*(VLOOKUP(Table410[[#This Row],[RATE CONCAT]],Tables!I:N,6,0)),0)</f>
        <v/>
      </c>
      <c r="EA105" s="275" t="n"/>
      <c r="EB105" s="347">
        <f>Table410[[#This Row],[May_2027_F]]-Table410[[#This Row],[May_2027_A]]</f>
        <v/>
      </c>
      <c r="EC105" s="347">
        <f>IFERROR(Table410[[#This Row],[Jun_2027_Days_Forecast]]*Table410[[#This Row],[Cost Boolean]]*(VLOOKUP(Table410[[#This Row],[RATE CONCAT]],Tables!I:N,6,0)),0)</f>
        <v/>
      </c>
      <c r="ED105" s="275" t="n"/>
      <c r="EE105" s="347">
        <f>Table410[[#This Row],[Jun_2027_F]]-Table410[[#This Row],[Jun_2027_A]]</f>
        <v/>
      </c>
      <c r="EF105" s="347">
        <f>IFERROR(Table410[[#This Row],[Jul_2027_Days_Forecast]]*Table410[[#This Row],[Cost Boolean]]*(VLOOKUP(Table410[[#This Row],[RATE CONCAT]],Tables!I:N,6,0)),0)</f>
        <v/>
      </c>
      <c r="EG105" s="275" t="n"/>
      <c r="EH105" s="347">
        <f>Table410[[#This Row],[Jul_2027_F]]-Table410[[#This Row],[Jul_2027_A]]</f>
        <v/>
      </c>
      <c r="EI105" s="347">
        <f>IFERROR(Table410[[#This Row],[Aug_2027_Days_Forecast]]*Table410[[#This Row],[Cost Boolean]]*(VLOOKUP(Table410[[#This Row],[RATE CONCAT]],Tables!I:N,6,0)),0)</f>
        <v/>
      </c>
      <c r="EJ105" s="275" t="n"/>
      <c r="EK105" s="347">
        <f>Table410[[#This Row],[Aug_2027_F]]-Table410[[#This Row],[Aug_2027_A]]</f>
        <v/>
      </c>
      <c r="EL105" s="347">
        <f>IFERROR(Table410[[#This Row],[Sep_2027_Days_Forecast]]*Table410[[#This Row],[Cost Boolean]]*(VLOOKUP(Table410[[#This Row],[RATE CONCAT]],Tables!I:N,6,0)),0)</f>
        <v/>
      </c>
      <c r="EM105" s="275" t="n"/>
      <c r="EN105" s="347">
        <f>Table410[[#This Row],[Sep_2027_F]]-Table410[[#This Row],[Sep_2027_A]]</f>
        <v/>
      </c>
      <c r="EO105" s="347">
        <f>IFERROR(Table410[[#This Row],[Oct_2027_Days_Forecast]]*Table410[[#This Row],[Cost Boolean]]*(VLOOKUP(Table410[[#This Row],[RATE CONCAT]],Tables!I:N,6,0)),0)</f>
        <v/>
      </c>
      <c r="EP105" s="275" t="n"/>
      <c r="EQ105" s="347">
        <f>Table410[[#This Row],[Oct_2027_F]]-Table410[[#This Row],[Oct_2027_A]]</f>
        <v/>
      </c>
      <c r="ER105" s="347">
        <f>IFERROR(Table410[[#This Row],[Nov_2027_Days_Forecast]]*Table410[[#This Row],[Cost Boolean]]*(VLOOKUP(Table410[[#This Row],[RATE CONCAT]],Tables!I:N,6,0)),0)</f>
        <v/>
      </c>
      <c r="ES105" s="275" t="n"/>
      <c r="ET105" s="347">
        <f>Table410[[#This Row],[Nov_2027_F]]-Table410[[#This Row],[Nov_2027_A]]</f>
        <v/>
      </c>
      <c r="EU105" s="347">
        <f>IFERROR(Table410[[#This Row],[Dec_2027_Days_Forecast]]*Table410[[#This Row],[Cost Boolean]]*(VLOOKUP(Table410[[#This Row],[RATE CONCAT]],Tables!I:N,6,0)),0)</f>
        <v/>
      </c>
      <c r="EV105" s="275" t="n"/>
      <c r="EW105" s="347">
        <f>Table410[[#This Row],[Dec_2027_F]]-Table410[[#This Row],[Dec_2027_A]]</f>
        <v/>
      </c>
    </row>
    <row r="106" ht="1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338">
        <f>CONCATENATE(Table410[[#This Row],[JG]],Table410[[#This Row],[Country]],Table410[[#This Row],[Resource Provider]])</f>
        <v/>
      </c>
      <c r="Z106" s="338">
        <f>VLOOKUP(Table410[[#This Row],[RATE CONCAT]],Tables!I:N,5,0)</f>
        <v/>
      </c>
      <c r="AA106" s="123" t="n"/>
      <c r="AB106" s="129" t="n"/>
      <c r="AC106" s="129" t="n"/>
      <c r="AD106" s="129" t="n"/>
      <c r="AE106" s="129" t="n"/>
      <c r="AF106" s="129" t="n"/>
      <c r="AG106" s="129" t="n"/>
      <c r="AH106" s="129" t="n"/>
      <c r="AI106" s="129" t="n"/>
      <c r="AJ106" s="129" t="n"/>
      <c r="AK106" s="131" t="n"/>
      <c r="AL106" s="131" t="n"/>
      <c r="AM106" s="131" t="n"/>
      <c r="AN106" s="341">
        <f>IFERROR(AVERAGE(Table410[[#This Row],[Jan_2026_Days_Forecast]:[Dec_2026_Days_Forecast]]),0)/19</f>
        <v/>
      </c>
      <c r="AO106" s="341">
        <f>IFERROR(AVERAGE(Table410[[#This Row],[Jan_2026_Days_Actual]:[Dec_2026_Days_Actual]]),0)/19</f>
        <v/>
      </c>
      <c r="AP106" s="84" t="n"/>
      <c r="AQ106" s="84" t="n"/>
      <c r="AR106" s="84" t="n"/>
      <c r="AS106" s="84" t="n"/>
      <c r="AT106" s="84" t="n"/>
      <c r="AU106" s="84" t="n"/>
      <c r="AV106" s="84" t="n"/>
      <c r="AW106" s="84" t="n"/>
      <c r="AX106" s="84" t="n"/>
      <c r="AY106" s="84" t="n"/>
      <c r="AZ106" s="84" t="n"/>
      <c r="BA106" s="84" t="n"/>
      <c r="BB106" s="341">
        <f>IFERROR(AVERAGE(Table410[[#This Row],[Jan_2027_Days_Forecast]:[Dec_2027_Days_Forecast]]),0)</f>
        <v/>
      </c>
      <c r="BC106" s="129" t="n"/>
      <c r="BD106" s="129" t="n"/>
      <c r="BE106" s="129" t="n"/>
      <c r="BF106" s="129" t="n"/>
      <c r="BG106" s="129" t="n"/>
      <c r="BH106" s="129" t="n"/>
      <c r="BI106" s="129" t="n"/>
      <c r="BJ106" s="129" t="n"/>
      <c r="BK106" s="129" t="n"/>
      <c r="BL106" s="129" t="n"/>
      <c r="BM106" s="129" t="n"/>
      <c r="BN106" s="129" t="n"/>
      <c r="BO106" s="176" t="n"/>
      <c r="BP106" s="176" t="n"/>
      <c r="BQ106" s="345">
        <f>IFERROR(Table410[[#This Row],[Jan_2026_Days_Forecast]]*Table410[[#This Row],[Cost Boolean]]*(VLOOKUP(Table410[[#This Row],[RATE CONCAT]],Tables!I:N,5,0)),0)</f>
        <v/>
      </c>
      <c r="BR106" s="345">
        <f>IFERROR(Table410[[#This Row],[Jan_2026_Days_Actual]]*Table410[[#This Row],[Cost Boolean]]*(VLOOKUP(Table410[[#This Row],[RATE CONCAT]],Tables!I:N,5,0)),0)</f>
        <v/>
      </c>
      <c r="BS106" s="338">
        <f>Table410[[#This Row],[Jan_2026_F]]-Table410[[#This Row],[Jan_2026_A]]</f>
        <v/>
      </c>
      <c r="BT106" s="114" t="n"/>
      <c r="BU106" s="338">
        <f>IFERROR(Table410[[#This Row],[Feb_2026_Days_Forecast]]*Table410[[#This Row],[Cost Boolean]]*(VLOOKUP(Table410[[#This Row],[RATE CONCAT]],Tables!I:N,5,0)),0)</f>
        <v/>
      </c>
      <c r="BV106" s="345">
        <f>IFERROR(Table410[[#This Row],[Feb_2026_Days_Actual]]*Table410[[#This Row],[Cost Boolean]]*(VLOOKUP(Table410[[#This Row],[RATE CONCAT]],Tables!I:N,5,0)),0)</f>
        <v/>
      </c>
      <c r="BW106" s="338">
        <f>Table410[[#This Row],[Feb_2026_F]]-Table410[[#This Row],[Feb_2026_A]]</f>
        <v/>
      </c>
      <c r="BX106" s="275" t="n"/>
      <c r="BY106" s="345">
        <f>IFERROR(Table410[[#This Row],[Mar_2026_Days_Forecast]]*Table410[[#This Row],[Cost Boolean]]*(VLOOKUP(Table410[[#This Row],[RATE CONCAT]],Tables!I:N,5,0)),0)</f>
        <v/>
      </c>
      <c r="BZ106" s="345">
        <f>IFERROR(Table410[[#This Row],[Mar_2026_Days_Actual]]*Table410[[#This Row],[Cost Boolean]]*(VLOOKUP(Table410[[#This Row],[RATE CONCAT]],Tables!I:N,5,0)),0)</f>
        <v/>
      </c>
      <c r="CA106" s="345">
        <f>Table410[[#This Row],[Mar_2026_F]]-Table410[[#This Row],[Mar_2026_A]]</f>
        <v/>
      </c>
      <c r="CB106" s="103" t="n"/>
      <c r="CC106" s="345">
        <f>IFERROR(Table410[[#This Row],[Apr_2026_Days_Forecast]]*Table410[[#This Row],[Cost Boolean]]*(VLOOKUP(Table410[[#This Row],[RATE CONCAT]],Tables!I:N,5,0)),0)</f>
        <v/>
      </c>
      <c r="CD106" s="345">
        <f>IFERROR(Table410[[#This Row],[Apr_2026_Days_Actual]]*Table410[[#This Row],[Cost Boolean]]*(VLOOKUP(Table410[[#This Row],[RATE CONCAT]],Tables!I:N,5,0)),0)</f>
        <v/>
      </c>
      <c r="CE106" s="345">
        <f>Table410[[#This Row],[Apr_2026_F]]-Table410[[#This Row],[Apr_2026_A]]</f>
        <v/>
      </c>
      <c r="CF106" s="103" t="n"/>
      <c r="CG106" s="345">
        <f>IFERROR(Table410[[#This Row],[May_2026_Days_Forecast]] *Table410[[#This Row],[Cost Boolean]]*(VLOOKUP(Table410[[#This Row],[RATE CONCAT]],Tables!I:N,5,0)),0)</f>
        <v/>
      </c>
      <c r="CH106" s="345">
        <f>IFERROR(Table410[[#This Row],[May_2026_Days_Actual]]*Table410[[#This Row],[Cost Boolean]]*(VLOOKUP(Table410[[#This Row],[RATE CONCAT]],Tables!I:N,5,0)),0)</f>
        <v/>
      </c>
      <c r="CI106" s="345">
        <f>Table410[[#This Row],[May_2026_F]]-Table410[[#This Row],[May_2026_A]]</f>
        <v/>
      </c>
      <c r="CJ106" s="103" t="n"/>
      <c r="CK106" s="345">
        <f>IFERROR(Table410[[#This Row],[Jun_2026_Days_Forecast]]*Table410[[#This Row],[Cost Boolean]]*(VLOOKUP(Table410[[#This Row],[RATE CONCAT]],Tables!I:N,5,0)),0)</f>
        <v/>
      </c>
      <c r="CL106" s="345">
        <f>IFERROR(Table410[[#This Row],[Jun_2026_Days_Actual]]*Table410[[#This Row],[Cost Boolean]]*(VLOOKUP(Table410[[#This Row],[RATE CONCAT]],Tables!I:N,5,0)),0)</f>
        <v/>
      </c>
      <c r="CM106" s="345">
        <f>Table410[[#This Row],[Jun_2026_F]]-Table410[[#This Row],[Jun_2026_A]]</f>
        <v/>
      </c>
      <c r="CN106" s="103" t="n"/>
      <c r="CO106" s="345">
        <f>IFERROR(Table410[[#This Row],[Jul_2026_Days_Forecast]]*Table410[[#This Row],[Cost Boolean]]*(VLOOKUP(Table410[[#This Row],[RATE CONCAT]],Tables!I:N,5,0)),0)</f>
        <v/>
      </c>
      <c r="CP106" s="345">
        <f>IFERROR(Table410[[#This Row],[Jul_2026_Days_Actual]]*Table410[[#This Row],[Cost Boolean]]*(VLOOKUP(Table410[[#This Row],[RATE CONCAT]],Tables!I:N,5,0)),0)</f>
        <v/>
      </c>
      <c r="CQ106" s="345">
        <f>Table410[[#This Row],[Jul_2026_F]]-Table410[[#This Row],[Jul_2026_A]]</f>
        <v/>
      </c>
      <c r="CR106" s="103" t="n"/>
      <c r="CS106" s="345">
        <f>IFERROR(Table410[[#This Row],[Aug_2026_Days_Forecast]]*Table410[[#This Row],[Cost Boolean]]*(VLOOKUP(Table410[[#This Row],[RATE CONCAT]],Tables!I:N,5,0)),0)</f>
        <v/>
      </c>
      <c r="CT106" s="345">
        <f>IFERROR(Table410[[#This Row],[Aug_2026_Days_Actual]]*Table410[[#This Row],[Cost Boolean]]*(VLOOKUP(Table410[[#This Row],[RATE CONCAT]],Tables!I:N,5,0)),0)</f>
        <v/>
      </c>
      <c r="CU106" s="345">
        <f>Table410[[#This Row],[Aug_2026_F]]-Table410[[#This Row],[Aug_2026_A]]</f>
        <v/>
      </c>
      <c r="CV106" s="103" t="n"/>
      <c r="CW106" s="345">
        <f>IFERROR(Table410[[#This Row],[Sep_2026_Days_Forecast]]*Table410[[#This Row],[Cost Boolean]]*(VLOOKUP(Table410[[#This Row],[RATE CONCAT]],Tables!I:N,5,0)),0)</f>
        <v/>
      </c>
      <c r="CX106" s="345">
        <f>IFERROR(Table410[[#This Row],[Sep_2026_Days_Actual]]*Table410[[#This Row],[Cost Boolean]]*(VLOOKUP(Table410[[#This Row],[RATE CONCAT]],Tables!I:N,5,0)),0)</f>
        <v/>
      </c>
      <c r="CY106" s="345">
        <f>Table410[[#This Row],[Sep_2026_F]]-Table410[[#This Row],[Sep_2026_A]]</f>
        <v/>
      </c>
      <c r="CZ106" s="103" t="n"/>
      <c r="DA106" s="345">
        <f>IFERROR(Table410[[#This Row],[Oct_2026_Days_Forecast]]*Table410[[#This Row],[Cost Boolean]]*(VLOOKUP(Table410[[#This Row],[RATE CONCAT]],Tables!I:N,5,0)),0)</f>
        <v/>
      </c>
      <c r="DB106" s="345">
        <f>IFERROR(Table410[[#This Row],[Oct_2026_Days_Actual]]*Table410[[#This Row],[Cost Boolean]]*(VLOOKUP(Table410[[#This Row],[RATE CONCAT]],Tables!I:N,5,0)),0)</f>
        <v/>
      </c>
      <c r="DC106" s="345">
        <f>Table410[[#This Row],[Oct_2026_F]]-Table410[[#This Row],[Oct_2026_A]]</f>
        <v/>
      </c>
      <c r="DD106" s="103" t="n"/>
      <c r="DE106" s="345">
        <f>IFERROR(Table410[[#This Row],[Nov_2026_Days_Forecast]]*Table410[[#This Row],[Cost Boolean]]*(VLOOKUP(Table410[[#This Row],[RATE CONCAT]],Tables!I:N,5,0)),0)</f>
        <v/>
      </c>
      <c r="DF106" s="345">
        <f>IFERROR(Table410[[#This Row],[Nov_2026_Days_Actual]]*Table410[[#This Row],[Cost Boolean]]*(VLOOKUP(Table410[[#This Row],[RATE CONCAT]],Tables!I:N,5,0)),0)</f>
        <v/>
      </c>
      <c r="DG106" s="345">
        <f>Table410[[#This Row],[Nov_2026_F]]-Table410[[#This Row],[Nov_2026_A]]</f>
        <v/>
      </c>
      <c r="DH106" s="103" t="n"/>
      <c r="DI106" s="345">
        <f>IFERROR(Table410[[#This Row],[Dec_2026_Days_Forecast]]*Table410[[#This Row],[Cost Boolean]]*(VLOOKUP(Table410[[#This Row],[RATE CONCAT]],Tables!I:N,5,0)),0)</f>
        <v/>
      </c>
      <c r="DJ106" s="345">
        <f>IFERROR(Table410[[#This Row],[Dec_2026_Days_Actual]]*Table410[[#This Row],[Cost Boolean]]*(VLOOKUP(Table410[[#This Row],[RATE CONCAT]],Tables!I:N,5,0)),0)</f>
        <v/>
      </c>
      <c r="DK106" s="349">
        <f>Table410[[#This Row],[Dec_2026_F]]-Table410[[#This Row],[Dec_2026_A]]</f>
        <v/>
      </c>
      <c r="DL106" s="103" t="n"/>
      <c r="DM106" s="346" t="n"/>
      <c r="DN106" s="345">
        <f>IFERROR(Table410[[#This Row],[Jan_2027_Days_Forecast]]*Table410[[#This Row],[Cost Boolean]]*(VLOOKUP(Table410[[#This Row],[RATE CONCAT]],Tables!I:N,6,0)),0)</f>
        <v/>
      </c>
      <c r="DO106" s="275" t="n"/>
      <c r="DP106" s="345">
        <f>Table410[[#This Row],[Jan_2027_F]]-Table410[[#This Row],[Jan_2027_A]]</f>
        <v/>
      </c>
      <c r="DQ106" s="345">
        <f>IFERROR(Table410[[#This Row],[Feb_2027_Days_Forecast]]*Table410[[#This Row],[Cost Boolean]]*(VLOOKUP(Table410[[#This Row],[RATE CONCAT]],Tables!I:N,6,0)),0)</f>
        <v/>
      </c>
      <c r="DR106" s="275" t="n"/>
      <c r="DS106" s="345">
        <f>Table410[[#This Row],[Feb_2027_F]]-Table410[[#This Row],[Feb_2027_A]]</f>
        <v/>
      </c>
      <c r="DT106" s="345">
        <f>IFERROR(Table410[[#This Row],[Mar_2027_Days_Forecast]]*Table410[[#This Row],[Cost Boolean]]*(VLOOKUP(Table410[[#This Row],[RATE CONCAT]],Tables!I:N,6,0)),0)</f>
        <v/>
      </c>
      <c r="DU106" s="275" t="n"/>
      <c r="DV106" s="345">
        <f>Table410[[#This Row],[Mar_2027_F]]-Table410[[#This Row],[Mar_2027_A]]</f>
        <v/>
      </c>
      <c r="DW106" s="345">
        <f>IFERROR(Table410[[#This Row],[Apr_2027_Days_Forecast]]*Table410[[#This Row],[Cost Boolean]]*(VLOOKUP(Table410[[#This Row],[RATE CONCAT]],Tables!I:N,6,0)),0)</f>
        <v/>
      </c>
      <c r="DX106" s="275" t="n"/>
      <c r="DY106" s="345">
        <f>Table410[[#This Row],[Apr_2027_F]]-Table410[[#This Row],[Apr_2027_A]]</f>
        <v/>
      </c>
      <c r="DZ106" s="345">
        <f>IFERROR(Table410[[#This Row],[May_2027_Days_Forecast]]*Table410[[#This Row],[Cost Boolean]]*(VLOOKUP(Table410[[#This Row],[RATE CONCAT]],Tables!I:N,6,0)),0)</f>
        <v/>
      </c>
      <c r="EA106" s="275" t="n"/>
      <c r="EB106" s="345">
        <f>Table410[[#This Row],[May_2027_F]]-Table410[[#This Row],[May_2027_A]]</f>
        <v/>
      </c>
      <c r="EC106" s="345">
        <f>IFERROR(Table410[[#This Row],[Jun_2027_Days_Forecast]]*Table410[[#This Row],[Cost Boolean]]*(VLOOKUP(Table410[[#This Row],[RATE CONCAT]],Tables!I:N,6,0)),0)</f>
        <v/>
      </c>
      <c r="ED106" s="275" t="n"/>
      <c r="EE106" s="345">
        <f>Table410[[#This Row],[Jun_2027_F]]-Table410[[#This Row],[Jun_2027_A]]</f>
        <v/>
      </c>
      <c r="EF106" s="345">
        <f>IFERROR(Table410[[#This Row],[Jul_2027_Days_Forecast]]*Table410[[#This Row],[Cost Boolean]]*(VLOOKUP(Table410[[#This Row],[RATE CONCAT]],Tables!I:N,6,0)),0)</f>
        <v/>
      </c>
      <c r="EG106" s="275" t="n"/>
      <c r="EH106" s="345">
        <f>Table410[[#This Row],[Jul_2027_F]]-Table410[[#This Row],[Jul_2027_A]]</f>
        <v/>
      </c>
      <c r="EI106" s="345">
        <f>IFERROR(Table410[[#This Row],[Aug_2027_Days_Forecast]]*Table410[[#This Row],[Cost Boolean]]*(VLOOKUP(Table410[[#This Row],[RATE CONCAT]],Tables!I:N,6,0)),0)</f>
        <v/>
      </c>
      <c r="EJ106" s="275" t="n"/>
      <c r="EK106" s="345">
        <f>Table410[[#This Row],[Aug_2027_F]]-Table410[[#This Row],[Aug_2027_A]]</f>
        <v/>
      </c>
      <c r="EL106" s="345">
        <f>IFERROR(Table410[[#This Row],[Sep_2027_Days_Forecast]]*Table410[[#This Row],[Cost Boolean]]*(VLOOKUP(Table410[[#This Row],[RATE CONCAT]],Tables!I:N,6,0)),0)</f>
        <v/>
      </c>
      <c r="EM106" s="275" t="n"/>
      <c r="EN106" s="345">
        <f>Table410[[#This Row],[Sep_2027_F]]-Table410[[#This Row],[Sep_2027_A]]</f>
        <v/>
      </c>
      <c r="EO106" s="345">
        <f>IFERROR(Table410[[#This Row],[Oct_2027_Days_Forecast]]*Table410[[#This Row],[Cost Boolean]]*(VLOOKUP(Table410[[#This Row],[RATE CONCAT]],Tables!I:N,6,0)),0)</f>
        <v/>
      </c>
      <c r="EP106" s="275" t="n"/>
      <c r="EQ106" s="345">
        <f>Table410[[#This Row],[Oct_2027_F]]-Table410[[#This Row],[Oct_2027_A]]</f>
        <v/>
      </c>
      <c r="ER106" s="345">
        <f>IFERROR(Table410[[#This Row],[Nov_2027_Days_Forecast]]*Table410[[#This Row],[Cost Boolean]]*(VLOOKUP(Table410[[#This Row],[RATE CONCAT]],Tables!I:N,6,0)),0)</f>
        <v/>
      </c>
      <c r="ES106" s="275" t="n"/>
      <c r="ET106" s="345">
        <f>Table410[[#This Row],[Nov_2027_F]]-Table410[[#This Row],[Nov_2027_A]]</f>
        <v/>
      </c>
      <c r="EU106" s="345">
        <f>IFERROR(Table410[[#This Row],[Dec_2027_Days_Forecast]]*Table410[[#This Row],[Cost Boolean]]*(VLOOKUP(Table410[[#This Row],[RATE CONCAT]],Tables!I:N,6,0)),0)</f>
        <v/>
      </c>
      <c r="EV106" s="275" t="n"/>
      <c r="EW106" s="345">
        <f>Table410[[#This Row],[Dec_2027_F]]-Table410[[#This Row],[Dec_2027_A]]</f>
        <v/>
      </c>
    </row>
    <row r="107" ht="1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342">
        <f>CONCATENATE(Table410[[#This Row],[JG]],Table410[[#This Row],[Country]],Table410[[#This Row],[Resource Provider]])</f>
        <v/>
      </c>
      <c r="Z107" s="342">
        <f>VLOOKUP(Table410[[#This Row],[RATE CONCAT]],Tables!I:N,5,0)</f>
        <v/>
      </c>
      <c r="AA107" s="123" t="n"/>
      <c r="AB107" s="129" t="n"/>
      <c r="AC107" s="129" t="n"/>
      <c r="AD107" s="129" t="n"/>
      <c r="AE107" s="129" t="n"/>
      <c r="AF107" s="129" t="n"/>
      <c r="AG107" s="129" t="n"/>
      <c r="AH107" s="129" t="n"/>
      <c r="AI107" s="129" t="n"/>
      <c r="AJ107" s="131" t="n"/>
      <c r="AK107" s="131" t="n"/>
      <c r="AL107" s="131" t="n"/>
      <c r="AM107" s="131" t="n"/>
      <c r="AN107" s="341">
        <f>IFERROR(AVERAGE(Table410[[#This Row],[Jan_2026_Days_Forecast]:[Dec_2026_Days_Forecast]]),0)/19</f>
        <v/>
      </c>
      <c r="AO107" s="341">
        <f>IFERROR(AVERAGE(Table410[[#This Row],[Jan_2026_Days_Actual]:[Dec_2026_Days_Actual]]),0)/19</f>
        <v/>
      </c>
      <c r="AP107" s="84" t="n"/>
      <c r="AQ107" s="84" t="n"/>
      <c r="AR107" s="84" t="n"/>
      <c r="AS107" s="84" t="n"/>
      <c r="AT107" s="84" t="n"/>
      <c r="AU107" s="84" t="n"/>
      <c r="AV107" s="84" t="n"/>
      <c r="AW107" s="84" t="n"/>
      <c r="AX107" s="84" t="n"/>
      <c r="AY107" s="84" t="n"/>
      <c r="AZ107" s="84" t="n"/>
      <c r="BA107" s="84" t="n"/>
      <c r="BB107" s="341">
        <f>IFERROR(AVERAGE(Table410[[#This Row],[Jan_2027_Days_Forecast]:[Dec_2027_Days_Forecast]]),0)</f>
        <v/>
      </c>
      <c r="BC107" s="129" t="n"/>
      <c r="BD107" s="129" t="n"/>
      <c r="BE107" s="129" t="n"/>
      <c r="BF107" s="129" t="n"/>
      <c r="BG107" s="129" t="n"/>
      <c r="BH107" s="129" t="n"/>
      <c r="BI107" s="129" t="n"/>
      <c r="BJ107" s="129" t="n"/>
      <c r="BK107" s="129" t="n"/>
      <c r="BL107" s="129" t="n"/>
      <c r="BM107" s="129" t="n"/>
      <c r="BN107" s="129" t="n"/>
      <c r="BO107" s="176" t="n"/>
      <c r="BP107" s="176" t="n"/>
      <c r="BQ107" s="347">
        <f>IFERROR(Table410[[#This Row],[Jan_2026_Days_Forecast]]*Table410[[#This Row],[Cost Boolean]]*(VLOOKUP(Table410[[#This Row],[RATE CONCAT]],Tables!I:N,5,0)),0)</f>
        <v/>
      </c>
      <c r="BR107" s="347">
        <f>IFERROR(Table410[[#This Row],[Jan_2026_Days_Actual]]*Table410[[#This Row],[Cost Boolean]]*(VLOOKUP(Table410[[#This Row],[RATE CONCAT]],Tables!I:N,5,0)),0)</f>
        <v/>
      </c>
      <c r="BS107" s="342">
        <f>Table410[[#This Row],[Jan_2026_F]]-Table410[[#This Row],[Jan_2026_A]]</f>
        <v/>
      </c>
      <c r="BT107" s="114" t="n"/>
      <c r="BU107" s="342">
        <f>IFERROR(Table410[[#This Row],[Feb_2026_Days_Forecast]]*Table410[[#This Row],[Cost Boolean]]*(VLOOKUP(Table410[[#This Row],[RATE CONCAT]],Tables!I:N,5,0)),0)</f>
        <v/>
      </c>
      <c r="BV107" s="347">
        <f>IFERROR(Table410[[#This Row],[Feb_2026_Days_Actual]]*Table410[[#This Row],[Cost Boolean]]*(VLOOKUP(Table410[[#This Row],[RATE CONCAT]],Tables!I:N,5,0)),0)</f>
        <v/>
      </c>
      <c r="BW107" s="342">
        <f>Table410[[#This Row],[Feb_2026_F]]-Table410[[#This Row],[Feb_2026_A]]</f>
        <v/>
      </c>
      <c r="BX107" s="275" t="n"/>
      <c r="BY107" s="347">
        <f>IFERROR(Table410[[#This Row],[Mar_2026_Days_Forecast]]*Table410[[#This Row],[Cost Boolean]]*(VLOOKUP(Table410[[#This Row],[RATE CONCAT]],Tables!I:N,5,0)),0)</f>
        <v/>
      </c>
      <c r="BZ107" s="347">
        <f>IFERROR(Table410[[#This Row],[Mar_2026_Days_Actual]]*Table410[[#This Row],[Cost Boolean]]*(VLOOKUP(Table410[[#This Row],[RATE CONCAT]],Tables!I:N,5,0)),0)</f>
        <v/>
      </c>
      <c r="CA107" s="347">
        <f>Table410[[#This Row],[Mar_2026_F]]-Table410[[#This Row],[Mar_2026_A]]</f>
        <v/>
      </c>
      <c r="CB107" s="103" t="n"/>
      <c r="CC107" s="347">
        <f>IFERROR(Table410[[#This Row],[Apr_2026_Days_Forecast]]*Table410[[#This Row],[Cost Boolean]]*(VLOOKUP(Table410[[#This Row],[RATE CONCAT]],Tables!I:N,5,0)),0)</f>
        <v/>
      </c>
      <c r="CD107" s="347">
        <f>IFERROR(Table410[[#This Row],[Apr_2026_Days_Actual]]*Table410[[#This Row],[Cost Boolean]]*(VLOOKUP(Table410[[#This Row],[RATE CONCAT]],Tables!I:N,5,0)),0)</f>
        <v/>
      </c>
      <c r="CE107" s="347">
        <f>Table410[[#This Row],[Apr_2026_F]]-Table410[[#This Row],[Apr_2026_A]]</f>
        <v/>
      </c>
      <c r="CF107" s="103" t="n"/>
      <c r="CG107" s="347">
        <f>IFERROR(Table410[[#This Row],[May_2026_Days_Forecast]] *Table410[[#This Row],[Cost Boolean]]*(VLOOKUP(Table410[[#This Row],[RATE CONCAT]],Tables!I:N,5,0)),0)</f>
        <v/>
      </c>
      <c r="CH107" s="347">
        <f>IFERROR(Table410[[#This Row],[May_2026_Days_Actual]]*Table410[[#This Row],[Cost Boolean]]*(VLOOKUP(Table410[[#This Row],[RATE CONCAT]],Tables!I:N,5,0)),0)</f>
        <v/>
      </c>
      <c r="CI107" s="347">
        <f>Table410[[#This Row],[May_2026_F]]-Table410[[#This Row],[May_2026_A]]</f>
        <v/>
      </c>
      <c r="CJ107" s="103" t="n"/>
      <c r="CK107" s="347">
        <f>IFERROR(Table410[[#This Row],[Jun_2026_Days_Forecast]]*Table410[[#This Row],[Cost Boolean]]*(VLOOKUP(Table410[[#This Row],[RATE CONCAT]],Tables!I:N,5,0)),0)</f>
        <v/>
      </c>
      <c r="CL107" s="347">
        <f>IFERROR(Table410[[#This Row],[Jun_2026_Days_Actual]]*Table410[[#This Row],[Cost Boolean]]*(VLOOKUP(Table410[[#This Row],[RATE CONCAT]],Tables!I:N,5,0)),0)</f>
        <v/>
      </c>
      <c r="CM107" s="347">
        <f>Table410[[#This Row],[Jun_2026_F]]-Table410[[#This Row],[Jun_2026_A]]</f>
        <v/>
      </c>
      <c r="CN107" s="103" t="n"/>
      <c r="CO107" s="347">
        <f>IFERROR(Table410[[#This Row],[Jul_2026_Days_Forecast]]*Table410[[#This Row],[Cost Boolean]]*(VLOOKUP(Table410[[#This Row],[RATE CONCAT]],Tables!I:N,5,0)),0)</f>
        <v/>
      </c>
      <c r="CP107" s="347">
        <f>IFERROR(Table410[[#This Row],[Jul_2026_Days_Actual]]*Table410[[#This Row],[Cost Boolean]]*(VLOOKUP(Table410[[#This Row],[RATE CONCAT]],Tables!I:N,5,0)),0)</f>
        <v/>
      </c>
      <c r="CQ107" s="347">
        <f>Table410[[#This Row],[Jul_2026_F]]-Table410[[#This Row],[Jul_2026_A]]</f>
        <v/>
      </c>
      <c r="CR107" s="103" t="n"/>
      <c r="CS107" s="347">
        <f>IFERROR(Table410[[#This Row],[Aug_2026_Days_Forecast]]*Table410[[#This Row],[Cost Boolean]]*(VLOOKUP(Table410[[#This Row],[RATE CONCAT]],Tables!I:N,5,0)),0)</f>
        <v/>
      </c>
      <c r="CT107" s="347">
        <f>IFERROR(Table410[[#This Row],[Aug_2026_Days_Actual]]*Table410[[#This Row],[Cost Boolean]]*(VLOOKUP(Table410[[#This Row],[RATE CONCAT]],Tables!I:N,5,0)),0)</f>
        <v/>
      </c>
      <c r="CU107" s="347">
        <f>Table410[[#This Row],[Aug_2026_F]]-Table410[[#This Row],[Aug_2026_A]]</f>
        <v/>
      </c>
      <c r="CV107" s="103" t="n"/>
      <c r="CW107" s="347">
        <f>IFERROR(Table410[[#This Row],[Sep_2026_Days_Forecast]]*Table410[[#This Row],[Cost Boolean]]*(VLOOKUP(Table410[[#This Row],[RATE CONCAT]],Tables!I:N,5,0)),0)</f>
        <v/>
      </c>
      <c r="CX107" s="347">
        <f>IFERROR(Table410[[#This Row],[Sep_2026_Days_Actual]]*Table410[[#This Row],[Cost Boolean]]*(VLOOKUP(Table410[[#This Row],[RATE CONCAT]],Tables!I:N,5,0)),0)</f>
        <v/>
      </c>
      <c r="CY107" s="347">
        <f>Table410[[#This Row],[Sep_2026_F]]-Table410[[#This Row],[Sep_2026_A]]</f>
        <v/>
      </c>
      <c r="CZ107" s="103" t="n"/>
      <c r="DA107" s="347">
        <f>IFERROR(Table410[[#This Row],[Oct_2026_Days_Forecast]]*Table410[[#This Row],[Cost Boolean]]*(VLOOKUP(Table410[[#This Row],[RATE CONCAT]],Tables!I:N,5,0)),0)</f>
        <v/>
      </c>
      <c r="DB107" s="347">
        <f>IFERROR(Table410[[#This Row],[Oct_2026_Days_Actual]]*Table410[[#This Row],[Cost Boolean]]*(VLOOKUP(Table410[[#This Row],[RATE CONCAT]],Tables!I:N,5,0)),0)</f>
        <v/>
      </c>
      <c r="DC107" s="347">
        <f>Table410[[#This Row],[Oct_2026_F]]-Table410[[#This Row],[Oct_2026_A]]</f>
        <v/>
      </c>
      <c r="DD107" s="103" t="n"/>
      <c r="DE107" s="347">
        <f>IFERROR(Table410[[#This Row],[Nov_2026_Days_Forecast]]*Table410[[#This Row],[Cost Boolean]]*(VLOOKUP(Table410[[#This Row],[RATE CONCAT]],Tables!I:N,5,0)),0)</f>
        <v/>
      </c>
      <c r="DF107" s="347">
        <f>IFERROR(Table410[[#This Row],[Nov_2026_Days_Actual]]*Table410[[#This Row],[Cost Boolean]]*(VLOOKUP(Table410[[#This Row],[RATE CONCAT]],Tables!I:N,5,0)),0)</f>
        <v/>
      </c>
      <c r="DG107" s="347">
        <f>Table410[[#This Row],[Nov_2026_F]]-Table410[[#This Row],[Nov_2026_A]]</f>
        <v/>
      </c>
      <c r="DH107" s="103" t="n"/>
      <c r="DI107" s="347">
        <f>IFERROR(Table410[[#This Row],[Dec_2026_Days_Forecast]]*Table410[[#This Row],[Cost Boolean]]*(VLOOKUP(Table410[[#This Row],[RATE CONCAT]],Tables!I:N,5,0)),0)</f>
        <v/>
      </c>
      <c r="DJ107" s="347">
        <f>IFERROR(Table410[[#This Row],[Dec_2026_Days_Actual]]*Table410[[#This Row],[Cost Boolean]]*(VLOOKUP(Table410[[#This Row],[RATE CONCAT]],Tables!I:N,5,0)),0)</f>
        <v/>
      </c>
      <c r="DK107" s="348">
        <f>Table410[[#This Row],[Dec_2026_F]]-Table410[[#This Row],[Dec_2026_A]]</f>
        <v/>
      </c>
      <c r="DL107" s="103" t="n"/>
      <c r="DM107" s="346" t="n"/>
      <c r="DN107" s="347">
        <f>IFERROR(Table410[[#This Row],[Jan_2027_Days_Forecast]]*Table410[[#This Row],[Cost Boolean]]*(VLOOKUP(Table410[[#This Row],[RATE CONCAT]],Tables!I:N,6,0)),0)</f>
        <v/>
      </c>
      <c r="DO107" s="275" t="n"/>
      <c r="DP107" s="347">
        <f>Table410[[#This Row],[Jan_2027_F]]-Table410[[#This Row],[Jan_2027_A]]</f>
        <v/>
      </c>
      <c r="DQ107" s="347">
        <f>IFERROR(Table410[[#This Row],[Feb_2027_Days_Forecast]]*Table410[[#This Row],[Cost Boolean]]*(VLOOKUP(Table410[[#This Row],[RATE CONCAT]],Tables!I:N,6,0)),0)</f>
        <v/>
      </c>
      <c r="DR107" s="275" t="n"/>
      <c r="DS107" s="347">
        <f>Table410[[#This Row],[Feb_2027_F]]-Table410[[#This Row],[Feb_2027_A]]</f>
        <v/>
      </c>
      <c r="DT107" s="347">
        <f>IFERROR(Table410[[#This Row],[Mar_2027_Days_Forecast]]*Table410[[#This Row],[Cost Boolean]]*(VLOOKUP(Table410[[#This Row],[RATE CONCAT]],Tables!I:N,6,0)),0)</f>
        <v/>
      </c>
      <c r="DU107" s="275" t="n"/>
      <c r="DV107" s="347">
        <f>Table410[[#This Row],[Mar_2027_F]]-Table410[[#This Row],[Mar_2027_A]]</f>
        <v/>
      </c>
      <c r="DW107" s="347">
        <f>IFERROR(Table410[[#This Row],[Apr_2027_Days_Forecast]]*Table410[[#This Row],[Cost Boolean]]*(VLOOKUP(Table410[[#This Row],[RATE CONCAT]],Tables!I:N,6,0)),0)</f>
        <v/>
      </c>
      <c r="DX107" s="275" t="n"/>
      <c r="DY107" s="347">
        <f>Table410[[#This Row],[Apr_2027_F]]-Table410[[#This Row],[Apr_2027_A]]</f>
        <v/>
      </c>
      <c r="DZ107" s="347">
        <f>IFERROR(Table410[[#This Row],[May_2027_Days_Forecast]]*Table410[[#This Row],[Cost Boolean]]*(VLOOKUP(Table410[[#This Row],[RATE CONCAT]],Tables!I:N,6,0)),0)</f>
        <v/>
      </c>
      <c r="EA107" s="275" t="n"/>
      <c r="EB107" s="347">
        <f>Table410[[#This Row],[May_2027_F]]-Table410[[#This Row],[May_2027_A]]</f>
        <v/>
      </c>
      <c r="EC107" s="347">
        <f>IFERROR(Table410[[#This Row],[Jun_2027_Days_Forecast]]*Table410[[#This Row],[Cost Boolean]]*(VLOOKUP(Table410[[#This Row],[RATE CONCAT]],Tables!I:N,6,0)),0)</f>
        <v/>
      </c>
      <c r="ED107" s="275" t="n"/>
      <c r="EE107" s="347">
        <f>Table410[[#This Row],[Jun_2027_F]]-Table410[[#This Row],[Jun_2027_A]]</f>
        <v/>
      </c>
      <c r="EF107" s="347">
        <f>IFERROR(Table410[[#This Row],[Jul_2027_Days_Forecast]]*Table410[[#This Row],[Cost Boolean]]*(VLOOKUP(Table410[[#This Row],[RATE CONCAT]],Tables!I:N,6,0)),0)</f>
        <v/>
      </c>
      <c r="EG107" s="275" t="n"/>
      <c r="EH107" s="347">
        <f>Table410[[#This Row],[Jul_2027_F]]-Table410[[#This Row],[Jul_2027_A]]</f>
        <v/>
      </c>
      <c r="EI107" s="347">
        <f>IFERROR(Table410[[#This Row],[Aug_2027_Days_Forecast]]*Table410[[#This Row],[Cost Boolean]]*(VLOOKUP(Table410[[#This Row],[RATE CONCAT]],Tables!I:N,6,0)),0)</f>
        <v/>
      </c>
      <c r="EJ107" s="275" t="n"/>
      <c r="EK107" s="347">
        <f>Table410[[#This Row],[Aug_2027_F]]-Table410[[#This Row],[Aug_2027_A]]</f>
        <v/>
      </c>
      <c r="EL107" s="347">
        <f>IFERROR(Table410[[#This Row],[Sep_2027_Days_Forecast]]*Table410[[#This Row],[Cost Boolean]]*(VLOOKUP(Table410[[#This Row],[RATE CONCAT]],Tables!I:N,6,0)),0)</f>
        <v/>
      </c>
      <c r="EM107" s="275" t="n"/>
      <c r="EN107" s="347">
        <f>Table410[[#This Row],[Sep_2027_F]]-Table410[[#This Row],[Sep_2027_A]]</f>
        <v/>
      </c>
      <c r="EO107" s="347">
        <f>IFERROR(Table410[[#This Row],[Oct_2027_Days_Forecast]]*Table410[[#This Row],[Cost Boolean]]*(VLOOKUP(Table410[[#This Row],[RATE CONCAT]],Tables!I:N,6,0)),0)</f>
        <v/>
      </c>
      <c r="EP107" s="275" t="n"/>
      <c r="EQ107" s="347">
        <f>Table410[[#This Row],[Oct_2027_F]]-Table410[[#This Row],[Oct_2027_A]]</f>
        <v/>
      </c>
      <c r="ER107" s="347">
        <f>IFERROR(Table410[[#This Row],[Nov_2027_Days_Forecast]]*Table410[[#This Row],[Cost Boolean]]*(VLOOKUP(Table410[[#This Row],[RATE CONCAT]],Tables!I:N,6,0)),0)</f>
        <v/>
      </c>
      <c r="ES107" s="275" t="n"/>
      <c r="ET107" s="347">
        <f>Table410[[#This Row],[Nov_2027_F]]-Table410[[#This Row],[Nov_2027_A]]</f>
        <v/>
      </c>
      <c r="EU107" s="347">
        <f>IFERROR(Table410[[#This Row],[Dec_2027_Days_Forecast]]*Table410[[#This Row],[Cost Boolean]]*(VLOOKUP(Table410[[#This Row],[RATE CONCAT]],Tables!I:N,6,0)),0)</f>
        <v/>
      </c>
      <c r="EV107" s="275" t="n"/>
      <c r="EW107" s="347">
        <f>Table410[[#This Row],[Dec_2027_F]]-Table410[[#This Row],[Dec_2027_A]]</f>
        <v/>
      </c>
    </row>
    <row r="108" ht="1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338">
        <f>CONCATENATE(Table410[[#This Row],[JG]],Table410[[#This Row],[Country]],Table410[[#This Row],[Resource Provider]])</f>
        <v/>
      </c>
      <c r="Z108" s="338">
        <f>VLOOKUP(Table410[[#This Row],[RATE CONCAT]],Tables!I:N,5,0)</f>
        <v/>
      </c>
      <c r="AA108" s="123" t="n"/>
      <c r="AB108" s="129" t="n"/>
      <c r="AC108" s="129" t="n"/>
      <c r="AD108" s="129" t="n"/>
      <c r="AE108" s="129" t="n"/>
      <c r="AF108" s="129" t="n"/>
      <c r="AG108" s="129" t="n"/>
      <c r="AH108" s="129" t="n"/>
      <c r="AI108" s="129" t="n"/>
      <c r="AJ108" s="129" t="n"/>
      <c r="AK108" s="129" t="n"/>
      <c r="AL108" s="129" t="n"/>
      <c r="AM108" s="131" t="n"/>
      <c r="AN108" s="341">
        <f>IFERROR(AVERAGE(Table410[[#This Row],[Jan_2026_Days_Forecast]:[Dec_2026_Days_Forecast]]),0)/19</f>
        <v/>
      </c>
      <c r="AO108" s="341">
        <f>IFERROR(AVERAGE(Table410[[#This Row],[Jan_2026_Days_Actual]:[Dec_2026_Days_Actual]]),0)/19</f>
        <v/>
      </c>
      <c r="AP108" s="84" t="n"/>
      <c r="AQ108" s="84" t="n"/>
      <c r="AR108" s="84" t="n"/>
      <c r="AS108" s="84" t="n"/>
      <c r="AT108" s="84" t="n"/>
      <c r="AU108" s="84" t="n"/>
      <c r="AV108" s="84" t="n"/>
      <c r="AW108" s="84" t="n"/>
      <c r="AX108" s="84" t="n"/>
      <c r="AY108" s="84" t="n"/>
      <c r="AZ108" s="84" t="n"/>
      <c r="BA108" s="84" t="n"/>
      <c r="BB108" s="341">
        <f>IFERROR(AVERAGE(Table410[[#This Row],[Jan_2027_Days_Forecast]:[Dec_2027_Days_Forecast]]),0)</f>
        <v/>
      </c>
      <c r="BC108" s="129" t="n"/>
      <c r="BD108" s="129" t="n"/>
      <c r="BE108" s="129" t="n"/>
      <c r="BF108" s="129" t="n"/>
      <c r="BG108" s="129" t="n"/>
      <c r="BH108" s="129" t="n"/>
      <c r="BI108" s="129" t="n"/>
      <c r="BJ108" s="129" t="n"/>
      <c r="BK108" s="129" t="n"/>
      <c r="BL108" s="129" t="n"/>
      <c r="BM108" s="129" t="n"/>
      <c r="BN108" s="129" t="n"/>
      <c r="BO108" s="176" t="n"/>
      <c r="BP108" s="176" t="n"/>
      <c r="BQ108" s="345">
        <f>IFERROR(Table410[[#This Row],[Jan_2026_Days_Forecast]]*Table410[[#This Row],[Cost Boolean]]*(VLOOKUP(Table410[[#This Row],[RATE CONCAT]],Tables!I:N,5,0)),0)</f>
        <v/>
      </c>
      <c r="BR108" s="345">
        <f>IFERROR(Table410[[#This Row],[Jan_2026_Days_Actual]]*Table410[[#This Row],[Cost Boolean]]*(VLOOKUP(Table410[[#This Row],[RATE CONCAT]],Tables!I:N,5,0)),0)</f>
        <v/>
      </c>
      <c r="BS108" s="338">
        <f>Table410[[#This Row],[Jan_2026_F]]-Table410[[#This Row],[Jan_2026_A]]</f>
        <v/>
      </c>
      <c r="BT108" s="114" t="n"/>
      <c r="BU108" s="338">
        <f>IFERROR(Table410[[#This Row],[Feb_2026_Days_Forecast]]*Table410[[#This Row],[Cost Boolean]]*(VLOOKUP(Table410[[#This Row],[RATE CONCAT]],Tables!I:N,5,0)),0)</f>
        <v/>
      </c>
      <c r="BV108" s="345">
        <f>IFERROR(Table410[[#This Row],[Feb_2026_Days_Actual]]*Table410[[#This Row],[Cost Boolean]]*(VLOOKUP(Table410[[#This Row],[RATE CONCAT]],Tables!I:N,5,0)),0)</f>
        <v/>
      </c>
      <c r="BW108" s="338">
        <f>Table410[[#This Row],[Feb_2026_F]]-Table410[[#This Row],[Feb_2026_A]]</f>
        <v/>
      </c>
      <c r="BX108" s="275" t="n"/>
      <c r="BY108" s="345">
        <f>IFERROR(Table410[[#This Row],[Mar_2026_Days_Forecast]]*Table410[[#This Row],[Cost Boolean]]*(VLOOKUP(Table410[[#This Row],[RATE CONCAT]],Tables!I:N,5,0)),0)</f>
        <v/>
      </c>
      <c r="BZ108" s="345">
        <f>IFERROR(Table410[[#This Row],[Mar_2026_Days_Actual]]*Table410[[#This Row],[Cost Boolean]]*(VLOOKUP(Table410[[#This Row],[RATE CONCAT]],Tables!I:N,5,0)),0)</f>
        <v/>
      </c>
      <c r="CA108" s="345">
        <f>Table410[[#This Row],[Mar_2026_F]]-Table410[[#This Row],[Mar_2026_A]]</f>
        <v/>
      </c>
      <c r="CB108" s="103" t="n"/>
      <c r="CC108" s="345">
        <f>IFERROR(Table410[[#This Row],[Apr_2026_Days_Forecast]]*Table410[[#This Row],[Cost Boolean]]*(VLOOKUP(Table410[[#This Row],[RATE CONCAT]],Tables!I:N,5,0)),0)</f>
        <v/>
      </c>
      <c r="CD108" s="345">
        <f>IFERROR(Table410[[#This Row],[Apr_2026_Days_Actual]]*Table410[[#This Row],[Cost Boolean]]*(VLOOKUP(Table410[[#This Row],[RATE CONCAT]],Tables!I:N,5,0)),0)</f>
        <v/>
      </c>
      <c r="CE108" s="345">
        <f>Table410[[#This Row],[Apr_2026_F]]-Table410[[#This Row],[Apr_2026_A]]</f>
        <v/>
      </c>
      <c r="CF108" s="103" t="n"/>
      <c r="CG108" s="345">
        <f>IFERROR(Table410[[#This Row],[May_2026_Days_Forecast]] *Table410[[#This Row],[Cost Boolean]]*(VLOOKUP(Table410[[#This Row],[RATE CONCAT]],Tables!I:N,5,0)),0)</f>
        <v/>
      </c>
      <c r="CH108" s="345">
        <f>IFERROR(Table410[[#This Row],[May_2026_Days_Actual]]*Table410[[#This Row],[Cost Boolean]]*(VLOOKUP(Table410[[#This Row],[RATE CONCAT]],Tables!I:N,5,0)),0)</f>
        <v/>
      </c>
      <c r="CI108" s="345">
        <f>Table410[[#This Row],[May_2026_F]]-Table410[[#This Row],[May_2026_A]]</f>
        <v/>
      </c>
      <c r="CJ108" s="103" t="n"/>
      <c r="CK108" s="345">
        <f>IFERROR(Table410[[#This Row],[Jun_2026_Days_Forecast]]*Table410[[#This Row],[Cost Boolean]]*(VLOOKUP(Table410[[#This Row],[RATE CONCAT]],Tables!I:N,5,0)),0)</f>
        <v/>
      </c>
      <c r="CL108" s="345">
        <f>IFERROR(Table410[[#This Row],[Jun_2026_Days_Actual]]*Table410[[#This Row],[Cost Boolean]]*(VLOOKUP(Table410[[#This Row],[RATE CONCAT]],Tables!I:N,5,0)),0)</f>
        <v/>
      </c>
      <c r="CM108" s="345">
        <f>Table410[[#This Row],[Jun_2026_F]]-Table410[[#This Row],[Jun_2026_A]]</f>
        <v/>
      </c>
      <c r="CN108" s="103" t="n"/>
      <c r="CO108" s="345">
        <f>IFERROR(Table410[[#This Row],[Jul_2026_Days_Forecast]]*Table410[[#This Row],[Cost Boolean]]*(VLOOKUP(Table410[[#This Row],[RATE CONCAT]],Tables!I:N,5,0)),0)</f>
        <v/>
      </c>
      <c r="CP108" s="345">
        <f>IFERROR(Table410[[#This Row],[Jul_2026_Days_Actual]]*Table410[[#This Row],[Cost Boolean]]*(VLOOKUP(Table410[[#This Row],[RATE CONCAT]],Tables!I:N,5,0)),0)</f>
        <v/>
      </c>
      <c r="CQ108" s="345">
        <f>Table410[[#This Row],[Jul_2026_F]]-Table410[[#This Row],[Jul_2026_A]]</f>
        <v/>
      </c>
      <c r="CR108" s="103" t="n"/>
      <c r="CS108" s="345">
        <f>IFERROR(Table410[[#This Row],[Aug_2026_Days_Forecast]]*Table410[[#This Row],[Cost Boolean]]*(VLOOKUP(Table410[[#This Row],[RATE CONCAT]],Tables!I:N,5,0)),0)</f>
        <v/>
      </c>
      <c r="CT108" s="345">
        <f>IFERROR(Table410[[#This Row],[Aug_2026_Days_Actual]]*Table410[[#This Row],[Cost Boolean]]*(VLOOKUP(Table410[[#This Row],[RATE CONCAT]],Tables!I:N,5,0)),0)</f>
        <v/>
      </c>
      <c r="CU108" s="345">
        <f>Table410[[#This Row],[Aug_2026_F]]-Table410[[#This Row],[Aug_2026_A]]</f>
        <v/>
      </c>
      <c r="CV108" s="103" t="n"/>
      <c r="CW108" s="345">
        <f>IFERROR(Table410[[#This Row],[Sep_2026_Days_Forecast]]*Table410[[#This Row],[Cost Boolean]]*(VLOOKUP(Table410[[#This Row],[RATE CONCAT]],Tables!I:N,5,0)),0)</f>
        <v/>
      </c>
      <c r="CX108" s="345">
        <f>IFERROR(Table410[[#This Row],[Sep_2026_Days_Actual]]*Table410[[#This Row],[Cost Boolean]]*(VLOOKUP(Table410[[#This Row],[RATE CONCAT]],Tables!I:N,5,0)),0)</f>
        <v/>
      </c>
      <c r="CY108" s="345">
        <f>Table410[[#This Row],[Sep_2026_F]]-Table410[[#This Row],[Sep_2026_A]]</f>
        <v/>
      </c>
      <c r="CZ108" s="103" t="n"/>
      <c r="DA108" s="345">
        <f>IFERROR(Table410[[#This Row],[Oct_2026_Days_Forecast]]*Table410[[#This Row],[Cost Boolean]]*(VLOOKUP(Table410[[#This Row],[RATE CONCAT]],Tables!I:N,5,0)),0)</f>
        <v/>
      </c>
      <c r="DB108" s="345">
        <f>IFERROR(Table410[[#This Row],[Oct_2026_Days_Actual]]*Table410[[#This Row],[Cost Boolean]]*(VLOOKUP(Table410[[#This Row],[RATE CONCAT]],Tables!I:N,5,0)),0)</f>
        <v/>
      </c>
      <c r="DC108" s="345">
        <f>Table410[[#This Row],[Oct_2026_F]]-Table410[[#This Row],[Oct_2026_A]]</f>
        <v/>
      </c>
      <c r="DD108" s="103" t="n"/>
      <c r="DE108" s="345">
        <f>IFERROR(Table410[[#This Row],[Nov_2026_Days_Forecast]]*Table410[[#This Row],[Cost Boolean]]*(VLOOKUP(Table410[[#This Row],[RATE CONCAT]],Tables!I:N,5,0)),0)</f>
        <v/>
      </c>
      <c r="DF108" s="345">
        <f>IFERROR(Table410[[#This Row],[Nov_2026_Days_Actual]]*Table410[[#This Row],[Cost Boolean]]*(VLOOKUP(Table410[[#This Row],[RATE CONCAT]],Tables!I:N,5,0)),0)</f>
        <v/>
      </c>
      <c r="DG108" s="345">
        <f>Table410[[#This Row],[Nov_2026_F]]-Table410[[#This Row],[Nov_2026_A]]</f>
        <v/>
      </c>
      <c r="DH108" s="103" t="n"/>
      <c r="DI108" s="345">
        <f>IFERROR(Table410[[#This Row],[Dec_2026_Days_Forecast]]*Table410[[#This Row],[Cost Boolean]]*(VLOOKUP(Table410[[#This Row],[RATE CONCAT]],Tables!I:N,5,0)),0)</f>
        <v/>
      </c>
      <c r="DJ108" s="345">
        <f>IFERROR(Table410[[#This Row],[Dec_2026_Days_Actual]]*Table410[[#This Row],[Cost Boolean]]*(VLOOKUP(Table410[[#This Row],[RATE CONCAT]],Tables!I:N,5,0)),0)</f>
        <v/>
      </c>
      <c r="DK108" s="349">
        <f>Table410[[#This Row],[Dec_2026_F]]-Table410[[#This Row],[Dec_2026_A]]</f>
        <v/>
      </c>
      <c r="DL108" s="103" t="n"/>
      <c r="DM108" s="346" t="n"/>
      <c r="DN108" s="345">
        <f>IFERROR(Table410[[#This Row],[Jan_2027_Days_Forecast]]*Table410[[#This Row],[Cost Boolean]]*(VLOOKUP(Table410[[#This Row],[RATE CONCAT]],Tables!I:N,6,0)),0)</f>
        <v/>
      </c>
      <c r="DO108" s="275" t="n"/>
      <c r="DP108" s="345">
        <f>Table410[[#This Row],[Jan_2027_F]]-Table410[[#This Row],[Jan_2027_A]]</f>
        <v/>
      </c>
      <c r="DQ108" s="345">
        <f>IFERROR(Table410[[#This Row],[Feb_2027_Days_Forecast]]*Table410[[#This Row],[Cost Boolean]]*(VLOOKUP(Table410[[#This Row],[RATE CONCAT]],Tables!I:N,6,0)),0)</f>
        <v/>
      </c>
      <c r="DR108" s="275" t="n"/>
      <c r="DS108" s="345">
        <f>Table410[[#This Row],[Feb_2027_F]]-Table410[[#This Row],[Feb_2027_A]]</f>
        <v/>
      </c>
      <c r="DT108" s="345">
        <f>IFERROR(Table410[[#This Row],[Mar_2027_Days_Forecast]]*Table410[[#This Row],[Cost Boolean]]*(VLOOKUP(Table410[[#This Row],[RATE CONCAT]],Tables!I:N,6,0)),0)</f>
        <v/>
      </c>
      <c r="DU108" s="275" t="n"/>
      <c r="DV108" s="345">
        <f>Table410[[#This Row],[Mar_2027_F]]-Table410[[#This Row],[Mar_2027_A]]</f>
        <v/>
      </c>
      <c r="DW108" s="345">
        <f>IFERROR(Table410[[#This Row],[Apr_2027_Days_Forecast]]*Table410[[#This Row],[Cost Boolean]]*(VLOOKUP(Table410[[#This Row],[RATE CONCAT]],Tables!I:N,6,0)),0)</f>
        <v/>
      </c>
      <c r="DX108" s="275" t="n"/>
      <c r="DY108" s="345">
        <f>Table410[[#This Row],[Apr_2027_F]]-Table410[[#This Row],[Apr_2027_A]]</f>
        <v/>
      </c>
      <c r="DZ108" s="345">
        <f>IFERROR(Table410[[#This Row],[May_2027_Days_Forecast]]*Table410[[#This Row],[Cost Boolean]]*(VLOOKUP(Table410[[#This Row],[RATE CONCAT]],Tables!I:N,6,0)),0)</f>
        <v/>
      </c>
      <c r="EA108" s="275" t="n"/>
      <c r="EB108" s="345">
        <f>Table410[[#This Row],[May_2027_F]]-Table410[[#This Row],[May_2027_A]]</f>
        <v/>
      </c>
      <c r="EC108" s="345">
        <f>IFERROR(Table410[[#This Row],[Jun_2027_Days_Forecast]]*Table410[[#This Row],[Cost Boolean]]*(VLOOKUP(Table410[[#This Row],[RATE CONCAT]],Tables!I:N,6,0)),0)</f>
        <v/>
      </c>
      <c r="ED108" s="275" t="n"/>
      <c r="EE108" s="345">
        <f>Table410[[#This Row],[Jun_2027_F]]-Table410[[#This Row],[Jun_2027_A]]</f>
        <v/>
      </c>
      <c r="EF108" s="345">
        <f>IFERROR(Table410[[#This Row],[Jul_2027_Days_Forecast]]*Table410[[#This Row],[Cost Boolean]]*(VLOOKUP(Table410[[#This Row],[RATE CONCAT]],Tables!I:N,6,0)),0)</f>
        <v/>
      </c>
      <c r="EG108" s="275" t="n"/>
      <c r="EH108" s="345">
        <f>Table410[[#This Row],[Jul_2027_F]]-Table410[[#This Row],[Jul_2027_A]]</f>
        <v/>
      </c>
      <c r="EI108" s="345">
        <f>IFERROR(Table410[[#This Row],[Aug_2027_Days_Forecast]]*Table410[[#This Row],[Cost Boolean]]*(VLOOKUP(Table410[[#This Row],[RATE CONCAT]],Tables!I:N,6,0)),0)</f>
        <v/>
      </c>
      <c r="EJ108" s="275" t="n"/>
      <c r="EK108" s="345">
        <f>Table410[[#This Row],[Aug_2027_F]]-Table410[[#This Row],[Aug_2027_A]]</f>
        <v/>
      </c>
      <c r="EL108" s="345">
        <f>IFERROR(Table410[[#This Row],[Sep_2027_Days_Forecast]]*Table410[[#This Row],[Cost Boolean]]*(VLOOKUP(Table410[[#This Row],[RATE CONCAT]],Tables!I:N,6,0)),0)</f>
        <v/>
      </c>
      <c r="EM108" s="275" t="n"/>
      <c r="EN108" s="345">
        <f>Table410[[#This Row],[Sep_2027_F]]-Table410[[#This Row],[Sep_2027_A]]</f>
        <v/>
      </c>
      <c r="EO108" s="345">
        <f>IFERROR(Table410[[#This Row],[Oct_2027_Days_Forecast]]*Table410[[#This Row],[Cost Boolean]]*(VLOOKUP(Table410[[#This Row],[RATE CONCAT]],Tables!I:N,6,0)),0)</f>
        <v/>
      </c>
      <c r="EP108" s="275" t="n"/>
      <c r="EQ108" s="345">
        <f>Table410[[#This Row],[Oct_2027_F]]-Table410[[#This Row],[Oct_2027_A]]</f>
        <v/>
      </c>
      <c r="ER108" s="345">
        <f>IFERROR(Table410[[#This Row],[Nov_2027_Days_Forecast]]*Table410[[#This Row],[Cost Boolean]]*(VLOOKUP(Table410[[#This Row],[RATE CONCAT]],Tables!I:N,6,0)),0)</f>
        <v/>
      </c>
      <c r="ES108" s="275" t="n"/>
      <c r="ET108" s="345">
        <f>Table410[[#This Row],[Nov_2027_F]]-Table410[[#This Row],[Nov_2027_A]]</f>
        <v/>
      </c>
      <c r="EU108" s="345">
        <f>IFERROR(Table410[[#This Row],[Dec_2027_Days_Forecast]]*Table410[[#This Row],[Cost Boolean]]*(VLOOKUP(Table410[[#This Row],[RATE CONCAT]],Tables!I:N,6,0)),0)</f>
        <v/>
      </c>
      <c r="EV108" s="275" t="n"/>
      <c r="EW108" s="345">
        <f>Table410[[#This Row],[Dec_2027_F]]-Table410[[#This Row],[Dec_2027_A]]</f>
        <v/>
      </c>
    </row>
    <row r="109" ht="1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342">
        <f>CONCATENATE(Table410[[#This Row],[JG]],Table410[[#This Row],[Country]],Table410[[#This Row],[Resource Provider]])</f>
        <v/>
      </c>
      <c r="Z109" s="342">
        <f>VLOOKUP(Table410[[#This Row],[RATE CONCAT]],Tables!I:N,5,0)</f>
        <v/>
      </c>
      <c r="AA109" s="123" t="n"/>
      <c r="AB109" s="129" t="n"/>
      <c r="AC109" s="129" t="n"/>
      <c r="AD109" s="129" t="n"/>
      <c r="AE109" s="129" t="n"/>
      <c r="AF109" s="129" t="n"/>
      <c r="AG109" s="129" t="n"/>
      <c r="AH109" s="129" t="n"/>
      <c r="AI109" s="129" t="n"/>
      <c r="AJ109" s="129" t="n"/>
      <c r="AK109" s="129" t="n"/>
      <c r="AL109" s="129" t="n"/>
      <c r="AM109" s="129" t="n"/>
      <c r="AN109" s="341">
        <f>IFERROR(AVERAGE(Table410[[#This Row],[Jan_2026_Days_Forecast]:[Dec_2026_Days_Forecast]]),0)/19</f>
        <v/>
      </c>
      <c r="AO109" s="341">
        <f>IFERROR(AVERAGE(Table410[[#This Row],[Jan_2026_Days_Actual]:[Dec_2026_Days_Actual]]),0)/19</f>
        <v/>
      </c>
      <c r="AP109" s="84" t="n"/>
      <c r="AQ109" s="84" t="n"/>
      <c r="AR109" s="84" t="n"/>
      <c r="AS109" s="84" t="n"/>
      <c r="AT109" s="84" t="n"/>
      <c r="AU109" s="84" t="n"/>
      <c r="AV109" s="84" t="n"/>
      <c r="AW109" s="84" t="n"/>
      <c r="AX109" s="84" t="n"/>
      <c r="AY109" s="84" t="n"/>
      <c r="AZ109" s="84" t="n"/>
      <c r="BA109" s="84" t="n"/>
      <c r="BB109" s="341">
        <f>IFERROR(AVERAGE(Table410[[#This Row],[Jan_2027_Days_Forecast]:[Dec_2027_Days_Forecast]]),0)</f>
        <v/>
      </c>
      <c r="BC109" s="129" t="n"/>
      <c r="BD109" s="129" t="n"/>
      <c r="BE109" s="129" t="n"/>
      <c r="BF109" s="129" t="n"/>
      <c r="BG109" s="129" t="n"/>
      <c r="BH109" s="129" t="n"/>
      <c r="BI109" s="129" t="n"/>
      <c r="BJ109" s="129" t="n"/>
      <c r="BK109" s="129" t="n"/>
      <c r="BL109" s="129" t="n"/>
      <c r="BM109" s="129" t="n"/>
      <c r="BN109" s="129" t="n"/>
      <c r="BO109" s="176" t="n"/>
      <c r="BP109" s="176" t="n"/>
      <c r="BQ109" s="347">
        <f>IFERROR(Table410[[#This Row],[Jan_2026_Days_Forecast]]*Table410[[#This Row],[Cost Boolean]]*(VLOOKUP(Table410[[#This Row],[RATE CONCAT]],Tables!I:N,5,0)),0)</f>
        <v/>
      </c>
      <c r="BR109" s="347">
        <f>IFERROR(Table410[[#This Row],[Jan_2026_Days_Actual]]*Table410[[#This Row],[Cost Boolean]]*(VLOOKUP(Table410[[#This Row],[RATE CONCAT]],Tables!I:N,5,0)),0)</f>
        <v/>
      </c>
      <c r="BS109" s="342">
        <f>Table410[[#This Row],[Jan_2026_F]]-Table410[[#This Row],[Jan_2026_A]]</f>
        <v/>
      </c>
      <c r="BT109" s="114" t="n"/>
      <c r="BU109" s="342">
        <f>IFERROR(Table410[[#This Row],[Feb_2026_Days_Forecast]]*Table410[[#This Row],[Cost Boolean]]*(VLOOKUP(Table410[[#This Row],[RATE CONCAT]],Tables!I:N,5,0)),0)</f>
        <v/>
      </c>
      <c r="BV109" s="347">
        <f>IFERROR(Table410[[#This Row],[Feb_2026_Days_Actual]]*Table410[[#This Row],[Cost Boolean]]*(VLOOKUP(Table410[[#This Row],[RATE CONCAT]],Tables!I:N,5,0)),0)</f>
        <v/>
      </c>
      <c r="BW109" s="342">
        <f>Table410[[#This Row],[Feb_2026_F]]-Table410[[#This Row],[Feb_2026_A]]</f>
        <v/>
      </c>
      <c r="BX109" s="275" t="n"/>
      <c r="BY109" s="347">
        <f>IFERROR(Table410[[#This Row],[Mar_2026_Days_Forecast]]*Table410[[#This Row],[Cost Boolean]]*(VLOOKUP(Table410[[#This Row],[RATE CONCAT]],Tables!I:N,5,0)),0)</f>
        <v/>
      </c>
      <c r="BZ109" s="347">
        <f>IFERROR(Table410[[#This Row],[Mar_2026_Days_Actual]]*Table410[[#This Row],[Cost Boolean]]*(VLOOKUP(Table410[[#This Row],[RATE CONCAT]],Tables!I:N,5,0)),0)</f>
        <v/>
      </c>
      <c r="CA109" s="347">
        <f>Table410[[#This Row],[Mar_2026_F]]-Table410[[#This Row],[Mar_2026_A]]</f>
        <v/>
      </c>
      <c r="CB109" s="103" t="n"/>
      <c r="CC109" s="347">
        <f>IFERROR(Table410[[#This Row],[Apr_2026_Days_Forecast]]*Table410[[#This Row],[Cost Boolean]]*(VLOOKUP(Table410[[#This Row],[RATE CONCAT]],Tables!I:N,5,0)),0)</f>
        <v/>
      </c>
      <c r="CD109" s="347">
        <f>IFERROR(Table410[[#This Row],[Apr_2026_Days_Actual]]*Table410[[#This Row],[Cost Boolean]]*(VLOOKUP(Table410[[#This Row],[RATE CONCAT]],Tables!I:N,5,0)),0)</f>
        <v/>
      </c>
      <c r="CE109" s="347">
        <f>Table410[[#This Row],[Apr_2026_F]]-Table410[[#This Row],[Apr_2026_A]]</f>
        <v/>
      </c>
      <c r="CF109" s="103" t="n"/>
      <c r="CG109" s="347">
        <f>IFERROR(Table410[[#This Row],[May_2026_Days_Forecast]] *Table410[[#This Row],[Cost Boolean]]*(VLOOKUP(Table410[[#This Row],[RATE CONCAT]],Tables!I:N,5,0)),0)</f>
        <v/>
      </c>
      <c r="CH109" s="347">
        <f>IFERROR(Table410[[#This Row],[May_2026_Days_Actual]]*Table410[[#This Row],[Cost Boolean]]*(VLOOKUP(Table410[[#This Row],[RATE CONCAT]],Tables!I:N,5,0)),0)</f>
        <v/>
      </c>
      <c r="CI109" s="347">
        <f>Table410[[#This Row],[May_2026_F]]-Table410[[#This Row],[May_2026_A]]</f>
        <v/>
      </c>
      <c r="CJ109" s="103" t="n"/>
      <c r="CK109" s="347">
        <f>IFERROR(Table410[[#This Row],[Jun_2026_Days_Forecast]]*Table410[[#This Row],[Cost Boolean]]*(VLOOKUP(Table410[[#This Row],[RATE CONCAT]],Tables!I:N,5,0)),0)</f>
        <v/>
      </c>
      <c r="CL109" s="347">
        <f>IFERROR(Table410[[#This Row],[Jun_2026_Days_Actual]]*Table410[[#This Row],[Cost Boolean]]*(VLOOKUP(Table410[[#This Row],[RATE CONCAT]],Tables!I:N,5,0)),0)</f>
        <v/>
      </c>
      <c r="CM109" s="347">
        <f>Table410[[#This Row],[Jun_2026_F]]-Table410[[#This Row],[Jun_2026_A]]</f>
        <v/>
      </c>
      <c r="CN109" s="103" t="n"/>
      <c r="CO109" s="347">
        <f>IFERROR(Table410[[#This Row],[Jul_2026_Days_Forecast]]*Table410[[#This Row],[Cost Boolean]]*(VLOOKUP(Table410[[#This Row],[RATE CONCAT]],Tables!I:N,5,0)),0)</f>
        <v/>
      </c>
      <c r="CP109" s="347">
        <f>IFERROR(Table410[[#This Row],[Jul_2026_Days_Actual]]*Table410[[#This Row],[Cost Boolean]]*(VLOOKUP(Table410[[#This Row],[RATE CONCAT]],Tables!I:N,5,0)),0)</f>
        <v/>
      </c>
      <c r="CQ109" s="347">
        <f>Table410[[#This Row],[Jul_2026_F]]-Table410[[#This Row],[Jul_2026_A]]</f>
        <v/>
      </c>
      <c r="CR109" s="103" t="n"/>
      <c r="CS109" s="347">
        <f>IFERROR(Table410[[#This Row],[Aug_2026_Days_Forecast]]*Table410[[#This Row],[Cost Boolean]]*(VLOOKUP(Table410[[#This Row],[RATE CONCAT]],Tables!I:N,5,0)),0)</f>
        <v/>
      </c>
      <c r="CT109" s="347">
        <f>IFERROR(Table410[[#This Row],[Aug_2026_Days_Actual]]*Table410[[#This Row],[Cost Boolean]]*(VLOOKUP(Table410[[#This Row],[RATE CONCAT]],Tables!I:N,5,0)),0)</f>
        <v/>
      </c>
      <c r="CU109" s="347">
        <f>Table410[[#This Row],[Aug_2026_F]]-Table410[[#This Row],[Aug_2026_A]]</f>
        <v/>
      </c>
      <c r="CV109" s="103" t="n"/>
      <c r="CW109" s="347">
        <f>IFERROR(Table410[[#This Row],[Sep_2026_Days_Forecast]]*Table410[[#This Row],[Cost Boolean]]*(VLOOKUP(Table410[[#This Row],[RATE CONCAT]],Tables!I:N,5,0)),0)</f>
        <v/>
      </c>
      <c r="CX109" s="347">
        <f>IFERROR(Table410[[#This Row],[Sep_2026_Days_Actual]]*Table410[[#This Row],[Cost Boolean]]*(VLOOKUP(Table410[[#This Row],[RATE CONCAT]],Tables!I:N,5,0)),0)</f>
        <v/>
      </c>
      <c r="CY109" s="347">
        <f>Table410[[#This Row],[Sep_2026_F]]-Table410[[#This Row],[Sep_2026_A]]</f>
        <v/>
      </c>
      <c r="CZ109" s="103" t="n"/>
      <c r="DA109" s="347">
        <f>IFERROR(Table410[[#This Row],[Oct_2026_Days_Forecast]]*Table410[[#This Row],[Cost Boolean]]*(VLOOKUP(Table410[[#This Row],[RATE CONCAT]],Tables!I:N,5,0)),0)</f>
        <v/>
      </c>
      <c r="DB109" s="347">
        <f>IFERROR(Table410[[#This Row],[Oct_2026_Days_Actual]]*Table410[[#This Row],[Cost Boolean]]*(VLOOKUP(Table410[[#This Row],[RATE CONCAT]],Tables!I:N,5,0)),0)</f>
        <v/>
      </c>
      <c r="DC109" s="347">
        <f>Table410[[#This Row],[Oct_2026_F]]-Table410[[#This Row],[Oct_2026_A]]</f>
        <v/>
      </c>
      <c r="DD109" s="103" t="n"/>
      <c r="DE109" s="347">
        <f>IFERROR(Table410[[#This Row],[Nov_2026_Days_Forecast]]*Table410[[#This Row],[Cost Boolean]]*(VLOOKUP(Table410[[#This Row],[RATE CONCAT]],Tables!I:N,5,0)),0)</f>
        <v/>
      </c>
      <c r="DF109" s="347">
        <f>IFERROR(Table410[[#This Row],[Nov_2026_Days_Actual]]*Table410[[#This Row],[Cost Boolean]]*(VLOOKUP(Table410[[#This Row],[RATE CONCAT]],Tables!I:N,5,0)),0)</f>
        <v/>
      </c>
      <c r="DG109" s="347">
        <f>Table410[[#This Row],[Nov_2026_F]]-Table410[[#This Row],[Nov_2026_A]]</f>
        <v/>
      </c>
      <c r="DH109" s="103" t="n"/>
      <c r="DI109" s="347">
        <f>IFERROR(Table410[[#This Row],[Dec_2026_Days_Forecast]]*Table410[[#This Row],[Cost Boolean]]*(VLOOKUP(Table410[[#This Row],[RATE CONCAT]],Tables!I:N,5,0)),0)</f>
        <v/>
      </c>
      <c r="DJ109" s="347">
        <f>IFERROR(Table410[[#This Row],[Dec_2026_Days_Actual]]*Table410[[#This Row],[Cost Boolean]]*(VLOOKUP(Table410[[#This Row],[RATE CONCAT]],Tables!I:N,5,0)),0)</f>
        <v/>
      </c>
      <c r="DK109" s="348">
        <f>Table410[[#This Row],[Dec_2026_F]]-Table410[[#This Row],[Dec_2026_A]]</f>
        <v/>
      </c>
      <c r="DL109" s="103" t="n"/>
      <c r="DM109" s="346" t="n"/>
      <c r="DN109" s="347">
        <f>IFERROR(Table410[[#This Row],[Jan_2027_Days_Forecast]]*Table410[[#This Row],[Cost Boolean]]*(VLOOKUP(Table410[[#This Row],[RATE CONCAT]],Tables!I:N,6,0)),0)</f>
        <v/>
      </c>
      <c r="DO109" s="275" t="n"/>
      <c r="DP109" s="347">
        <f>Table410[[#This Row],[Jan_2027_F]]-Table410[[#This Row],[Jan_2027_A]]</f>
        <v/>
      </c>
      <c r="DQ109" s="347">
        <f>IFERROR(Table410[[#This Row],[Feb_2027_Days_Forecast]]*Table410[[#This Row],[Cost Boolean]]*(VLOOKUP(Table410[[#This Row],[RATE CONCAT]],Tables!I:N,6,0)),0)</f>
        <v/>
      </c>
      <c r="DR109" s="275" t="n"/>
      <c r="DS109" s="347">
        <f>Table410[[#This Row],[Feb_2027_F]]-Table410[[#This Row],[Feb_2027_A]]</f>
        <v/>
      </c>
      <c r="DT109" s="347">
        <f>IFERROR(Table410[[#This Row],[Mar_2027_Days_Forecast]]*Table410[[#This Row],[Cost Boolean]]*(VLOOKUP(Table410[[#This Row],[RATE CONCAT]],Tables!I:N,6,0)),0)</f>
        <v/>
      </c>
      <c r="DU109" s="275" t="n"/>
      <c r="DV109" s="347">
        <f>Table410[[#This Row],[Mar_2027_F]]-Table410[[#This Row],[Mar_2027_A]]</f>
        <v/>
      </c>
      <c r="DW109" s="347">
        <f>IFERROR(Table410[[#This Row],[Apr_2027_Days_Forecast]]*Table410[[#This Row],[Cost Boolean]]*(VLOOKUP(Table410[[#This Row],[RATE CONCAT]],Tables!I:N,6,0)),0)</f>
        <v/>
      </c>
      <c r="DX109" s="275" t="n"/>
      <c r="DY109" s="347">
        <f>Table410[[#This Row],[Apr_2027_F]]-Table410[[#This Row],[Apr_2027_A]]</f>
        <v/>
      </c>
      <c r="DZ109" s="347">
        <f>IFERROR(Table410[[#This Row],[May_2027_Days_Forecast]]*Table410[[#This Row],[Cost Boolean]]*(VLOOKUP(Table410[[#This Row],[RATE CONCAT]],Tables!I:N,6,0)),0)</f>
        <v/>
      </c>
      <c r="EA109" s="275" t="n"/>
      <c r="EB109" s="347">
        <f>Table410[[#This Row],[May_2027_F]]-Table410[[#This Row],[May_2027_A]]</f>
        <v/>
      </c>
      <c r="EC109" s="347">
        <f>IFERROR(Table410[[#This Row],[Jun_2027_Days_Forecast]]*Table410[[#This Row],[Cost Boolean]]*(VLOOKUP(Table410[[#This Row],[RATE CONCAT]],Tables!I:N,6,0)),0)</f>
        <v/>
      </c>
      <c r="ED109" s="275" t="n"/>
      <c r="EE109" s="347">
        <f>Table410[[#This Row],[Jun_2027_F]]-Table410[[#This Row],[Jun_2027_A]]</f>
        <v/>
      </c>
      <c r="EF109" s="347">
        <f>IFERROR(Table410[[#This Row],[Jul_2027_Days_Forecast]]*Table410[[#This Row],[Cost Boolean]]*(VLOOKUP(Table410[[#This Row],[RATE CONCAT]],Tables!I:N,6,0)),0)</f>
        <v/>
      </c>
      <c r="EG109" s="275" t="n"/>
      <c r="EH109" s="347">
        <f>Table410[[#This Row],[Jul_2027_F]]-Table410[[#This Row],[Jul_2027_A]]</f>
        <v/>
      </c>
      <c r="EI109" s="347">
        <f>IFERROR(Table410[[#This Row],[Aug_2027_Days_Forecast]]*Table410[[#This Row],[Cost Boolean]]*(VLOOKUP(Table410[[#This Row],[RATE CONCAT]],Tables!I:N,6,0)),0)</f>
        <v/>
      </c>
      <c r="EJ109" s="275" t="n"/>
      <c r="EK109" s="347">
        <f>Table410[[#This Row],[Aug_2027_F]]-Table410[[#This Row],[Aug_2027_A]]</f>
        <v/>
      </c>
      <c r="EL109" s="347">
        <f>IFERROR(Table410[[#This Row],[Sep_2027_Days_Forecast]]*Table410[[#This Row],[Cost Boolean]]*(VLOOKUP(Table410[[#This Row],[RATE CONCAT]],Tables!I:N,6,0)),0)</f>
        <v/>
      </c>
      <c r="EM109" s="275" t="n"/>
      <c r="EN109" s="347">
        <f>Table410[[#This Row],[Sep_2027_F]]-Table410[[#This Row],[Sep_2027_A]]</f>
        <v/>
      </c>
      <c r="EO109" s="347">
        <f>IFERROR(Table410[[#This Row],[Oct_2027_Days_Forecast]]*Table410[[#This Row],[Cost Boolean]]*(VLOOKUP(Table410[[#This Row],[RATE CONCAT]],Tables!I:N,6,0)),0)</f>
        <v/>
      </c>
      <c r="EP109" s="275" t="n"/>
      <c r="EQ109" s="347">
        <f>Table410[[#This Row],[Oct_2027_F]]-Table410[[#This Row],[Oct_2027_A]]</f>
        <v/>
      </c>
      <c r="ER109" s="347">
        <f>IFERROR(Table410[[#This Row],[Nov_2027_Days_Forecast]]*Table410[[#This Row],[Cost Boolean]]*(VLOOKUP(Table410[[#This Row],[RATE CONCAT]],Tables!I:N,6,0)),0)</f>
        <v/>
      </c>
      <c r="ES109" s="275" t="n"/>
      <c r="ET109" s="347">
        <f>Table410[[#This Row],[Nov_2027_F]]-Table410[[#This Row],[Nov_2027_A]]</f>
        <v/>
      </c>
      <c r="EU109" s="347">
        <f>IFERROR(Table410[[#This Row],[Dec_2027_Days_Forecast]]*Table410[[#This Row],[Cost Boolean]]*(VLOOKUP(Table410[[#This Row],[RATE CONCAT]],Tables!I:N,6,0)),0)</f>
        <v/>
      </c>
      <c r="EV109" s="275" t="n"/>
      <c r="EW109" s="347">
        <f>Table410[[#This Row],[Dec_2027_F]]-Table410[[#This Row],[Dec_2027_A]]</f>
        <v/>
      </c>
    </row>
    <row r="110" ht="1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338">
        <f>CONCATENATE(Table410[[#This Row],[JG]],Table410[[#This Row],[Country]],Table410[[#This Row],[Resource Provider]])</f>
        <v/>
      </c>
      <c r="Z110" s="338">
        <f>VLOOKUP(Table410[[#This Row],[RATE CONCAT]],Tables!I:N,5,0)</f>
        <v/>
      </c>
      <c r="AA110" s="123" t="n"/>
      <c r="AB110" s="129" t="n"/>
      <c r="AC110" s="129" t="n"/>
      <c r="AD110" s="129" t="n"/>
      <c r="AE110" s="129" t="n"/>
      <c r="AF110" s="129" t="n"/>
      <c r="AG110" s="129" t="n"/>
      <c r="AH110" s="129" t="n"/>
      <c r="AI110" s="129" t="n"/>
      <c r="AJ110" s="129" t="n"/>
      <c r="AK110" s="129" t="n"/>
      <c r="AL110" s="129" t="n"/>
      <c r="AM110" s="129" t="n"/>
      <c r="AN110" s="341">
        <f>IFERROR(AVERAGE(Table410[[#This Row],[Jan_2026_Days_Forecast]:[Dec_2026_Days_Forecast]]),0)/19</f>
        <v/>
      </c>
      <c r="AO110" s="341">
        <f>IFERROR(AVERAGE(Table410[[#This Row],[Jan_2026_Days_Actual]:[Dec_2026_Days_Actual]]),0)/19</f>
        <v/>
      </c>
      <c r="AP110" s="84" t="n"/>
      <c r="AQ110" s="84" t="n"/>
      <c r="AR110" s="84" t="n"/>
      <c r="AS110" s="84" t="n"/>
      <c r="AT110" s="84" t="n"/>
      <c r="AU110" s="84" t="n"/>
      <c r="AV110" s="84" t="n"/>
      <c r="AW110" s="84" t="n"/>
      <c r="AX110" s="84" t="n"/>
      <c r="AY110" s="84" t="n"/>
      <c r="AZ110" s="84" t="n"/>
      <c r="BA110" s="84" t="n"/>
      <c r="BB110" s="341">
        <f>IFERROR(AVERAGE(Table410[[#This Row],[Jan_2027_Days_Forecast]:[Dec_2027_Days_Forecast]]),0)</f>
        <v/>
      </c>
      <c r="BC110" s="129" t="n"/>
      <c r="BD110" s="129" t="n"/>
      <c r="BE110" s="129" t="n"/>
      <c r="BF110" s="129" t="n"/>
      <c r="BG110" s="129" t="n"/>
      <c r="BH110" s="129" t="n"/>
      <c r="BI110" s="129" t="n"/>
      <c r="BJ110" s="129" t="n"/>
      <c r="BK110" s="129" t="n"/>
      <c r="BL110" s="129" t="n"/>
      <c r="BM110" s="129" t="n"/>
      <c r="BN110" s="129" t="n"/>
      <c r="BO110" s="176" t="n"/>
      <c r="BP110" s="176" t="n"/>
      <c r="BQ110" s="345">
        <f>IFERROR(Table410[[#This Row],[Jan_2026_Days_Forecast]]*Table410[[#This Row],[Cost Boolean]]*(VLOOKUP(Table410[[#This Row],[RATE CONCAT]],Tables!I:N,5,0)),0)</f>
        <v/>
      </c>
      <c r="BR110" s="345">
        <f>IFERROR(Table410[[#This Row],[Jan_2026_Days_Actual]]*Table410[[#This Row],[Cost Boolean]]*(VLOOKUP(Table410[[#This Row],[RATE CONCAT]],Tables!I:N,5,0)),0)</f>
        <v/>
      </c>
      <c r="BS110" s="338">
        <f>Table410[[#This Row],[Jan_2026_F]]-Table410[[#This Row],[Jan_2026_A]]</f>
        <v/>
      </c>
      <c r="BT110" s="114" t="n"/>
      <c r="BU110" s="338">
        <f>IFERROR(Table410[[#This Row],[Feb_2026_Days_Forecast]]*Table410[[#This Row],[Cost Boolean]]*(VLOOKUP(Table410[[#This Row],[RATE CONCAT]],Tables!I:N,5,0)),0)</f>
        <v/>
      </c>
      <c r="BV110" s="345">
        <f>IFERROR(Table410[[#This Row],[Feb_2026_Days_Actual]]*Table410[[#This Row],[Cost Boolean]]*(VLOOKUP(Table410[[#This Row],[RATE CONCAT]],Tables!I:N,5,0)),0)</f>
        <v/>
      </c>
      <c r="BW110" s="338">
        <f>Table410[[#This Row],[Feb_2026_F]]-Table410[[#This Row],[Feb_2026_A]]</f>
        <v/>
      </c>
      <c r="BX110" s="275" t="n"/>
      <c r="BY110" s="345">
        <f>IFERROR(Table410[[#This Row],[Mar_2026_Days_Forecast]]*Table410[[#This Row],[Cost Boolean]]*(VLOOKUP(Table410[[#This Row],[RATE CONCAT]],Tables!I:N,5,0)),0)</f>
        <v/>
      </c>
      <c r="BZ110" s="345">
        <f>IFERROR(Table410[[#This Row],[Mar_2026_Days_Actual]]*Table410[[#This Row],[Cost Boolean]]*(VLOOKUP(Table410[[#This Row],[RATE CONCAT]],Tables!I:N,5,0)),0)</f>
        <v/>
      </c>
      <c r="CA110" s="345">
        <f>Table410[[#This Row],[Mar_2026_F]]-Table410[[#This Row],[Mar_2026_A]]</f>
        <v/>
      </c>
      <c r="CB110" s="103" t="n"/>
      <c r="CC110" s="345">
        <f>IFERROR(Table410[[#This Row],[Apr_2026_Days_Forecast]]*Table410[[#This Row],[Cost Boolean]]*(VLOOKUP(Table410[[#This Row],[RATE CONCAT]],Tables!I:N,5,0)),0)</f>
        <v/>
      </c>
      <c r="CD110" s="345">
        <f>IFERROR(Table410[[#This Row],[Apr_2026_Days_Actual]]*Table410[[#This Row],[Cost Boolean]]*(VLOOKUP(Table410[[#This Row],[RATE CONCAT]],Tables!I:N,5,0)),0)</f>
        <v/>
      </c>
      <c r="CE110" s="345">
        <f>Table410[[#This Row],[Apr_2026_F]]-Table410[[#This Row],[Apr_2026_A]]</f>
        <v/>
      </c>
      <c r="CF110" s="103" t="n"/>
      <c r="CG110" s="345">
        <f>IFERROR(Table410[[#This Row],[May_2026_Days_Forecast]] *Table410[[#This Row],[Cost Boolean]]*(VLOOKUP(Table410[[#This Row],[RATE CONCAT]],Tables!I:N,5,0)),0)</f>
        <v/>
      </c>
      <c r="CH110" s="345">
        <f>IFERROR(Table410[[#This Row],[May_2026_Days_Actual]]*Table410[[#This Row],[Cost Boolean]]*(VLOOKUP(Table410[[#This Row],[RATE CONCAT]],Tables!I:N,5,0)),0)</f>
        <v/>
      </c>
      <c r="CI110" s="345">
        <f>Table410[[#This Row],[May_2026_F]]-Table410[[#This Row],[May_2026_A]]</f>
        <v/>
      </c>
      <c r="CJ110" s="103" t="n"/>
      <c r="CK110" s="345">
        <f>IFERROR(Table410[[#This Row],[Jun_2026_Days_Forecast]]*Table410[[#This Row],[Cost Boolean]]*(VLOOKUP(Table410[[#This Row],[RATE CONCAT]],Tables!I:N,5,0)),0)</f>
        <v/>
      </c>
      <c r="CL110" s="345">
        <f>IFERROR(Table410[[#This Row],[Jun_2026_Days_Actual]]*Table410[[#This Row],[Cost Boolean]]*(VLOOKUP(Table410[[#This Row],[RATE CONCAT]],Tables!I:N,5,0)),0)</f>
        <v/>
      </c>
      <c r="CM110" s="345">
        <f>Table410[[#This Row],[Jun_2026_F]]-Table410[[#This Row],[Jun_2026_A]]</f>
        <v/>
      </c>
      <c r="CN110" s="103" t="n"/>
      <c r="CO110" s="345">
        <f>IFERROR(Table410[[#This Row],[Jul_2026_Days_Forecast]]*Table410[[#This Row],[Cost Boolean]]*(VLOOKUP(Table410[[#This Row],[RATE CONCAT]],Tables!I:N,5,0)),0)</f>
        <v/>
      </c>
      <c r="CP110" s="345">
        <f>IFERROR(Table410[[#This Row],[Jul_2026_Days_Actual]]*Table410[[#This Row],[Cost Boolean]]*(VLOOKUP(Table410[[#This Row],[RATE CONCAT]],Tables!I:N,5,0)),0)</f>
        <v/>
      </c>
      <c r="CQ110" s="345">
        <f>Table410[[#This Row],[Jul_2026_F]]-Table410[[#This Row],[Jul_2026_A]]</f>
        <v/>
      </c>
      <c r="CR110" s="103" t="n"/>
      <c r="CS110" s="345">
        <f>IFERROR(Table410[[#This Row],[Aug_2026_Days_Forecast]]*Table410[[#This Row],[Cost Boolean]]*(VLOOKUP(Table410[[#This Row],[RATE CONCAT]],Tables!I:N,5,0)),0)</f>
        <v/>
      </c>
      <c r="CT110" s="345">
        <f>IFERROR(Table410[[#This Row],[Aug_2026_Days_Actual]]*Table410[[#This Row],[Cost Boolean]]*(VLOOKUP(Table410[[#This Row],[RATE CONCAT]],Tables!I:N,5,0)),0)</f>
        <v/>
      </c>
      <c r="CU110" s="345">
        <f>Table410[[#This Row],[Aug_2026_F]]-Table410[[#This Row],[Aug_2026_A]]</f>
        <v/>
      </c>
      <c r="CV110" s="103" t="n"/>
      <c r="CW110" s="345">
        <f>IFERROR(Table410[[#This Row],[Sep_2026_Days_Forecast]]*Table410[[#This Row],[Cost Boolean]]*(VLOOKUP(Table410[[#This Row],[RATE CONCAT]],Tables!I:N,5,0)),0)</f>
        <v/>
      </c>
      <c r="CX110" s="345">
        <f>IFERROR(Table410[[#This Row],[Sep_2026_Days_Actual]]*Table410[[#This Row],[Cost Boolean]]*(VLOOKUP(Table410[[#This Row],[RATE CONCAT]],Tables!I:N,5,0)),0)</f>
        <v/>
      </c>
      <c r="CY110" s="345">
        <f>Table410[[#This Row],[Sep_2026_F]]-Table410[[#This Row],[Sep_2026_A]]</f>
        <v/>
      </c>
      <c r="CZ110" s="103" t="n"/>
      <c r="DA110" s="345">
        <f>IFERROR(Table410[[#This Row],[Oct_2026_Days_Forecast]]*Table410[[#This Row],[Cost Boolean]]*(VLOOKUP(Table410[[#This Row],[RATE CONCAT]],Tables!I:N,5,0)),0)</f>
        <v/>
      </c>
      <c r="DB110" s="345">
        <f>IFERROR(Table410[[#This Row],[Oct_2026_Days_Actual]]*Table410[[#This Row],[Cost Boolean]]*(VLOOKUP(Table410[[#This Row],[RATE CONCAT]],Tables!I:N,5,0)),0)</f>
        <v/>
      </c>
      <c r="DC110" s="345">
        <f>Table410[[#This Row],[Oct_2026_F]]-Table410[[#This Row],[Oct_2026_A]]</f>
        <v/>
      </c>
      <c r="DD110" s="103" t="n"/>
      <c r="DE110" s="345">
        <f>IFERROR(Table410[[#This Row],[Nov_2026_Days_Forecast]]*Table410[[#This Row],[Cost Boolean]]*(VLOOKUP(Table410[[#This Row],[RATE CONCAT]],Tables!I:N,5,0)),0)</f>
        <v/>
      </c>
      <c r="DF110" s="345">
        <f>IFERROR(Table410[[#This Row],[Nov_2026_Days_Actual]]*Table410[[#This Row],[Cost Boolean]]*(VLOOKUP(Table410[[#This Row],[RATE CONCAT]],Tables!I:N,5,0)),0)</f>
        <v/>
      </c>
      <c r="DG110" s="345">
        <f>Table410[[#This Row],[Nov_2026_F]]-Table410[[#This Row],[Nov_2026_A]]</f>
        <v/>
      </c>
      <c r="DH110" s="103" t="n"/>
      <c r="DI110" s="345">
        <f>IFERROR(Table410[[#This Row],[Dec_2026_Days_Forecast]]*Table410[[#This Row],[Cost Boolean]]*(VLOOKUP(Table410[[#This Row],[RATE CONCAT]],Tables!I:N,5,0)),0)</f>
        <v/>
      </c>
      <c r="DJ110" s="345">
        <f>IFERROR(Table410[[#This Row],[Dec_2026_Days_Actual]]*Table410[[#This Row],[Cost Boolean]]*(VLOOKUP(Table410[[#This Row],[RATE CONCAT]],Tables!I:N,5,0)),0)</f>
        <v/>
      </c>
      <c r="DK110" s="349">
        <f>Table410[[#This Row],[Dec_2026_F]]-Table410[[#This Row],[Dec_2026_A]]</f>
        <v/>
      </c>
      <c r="DL110" s="103" t="n"/>
      <c r="DM110" s="346" t="n"/>
      <c r="DN110" s="345">
        <f>IFERROR(Table410[[#This Row],[Jan_2027_Days_Forecast]]*Table410[[#This Row],[Cost Boolean]]*(VLOOKUP(Table410[[#This Row],[RATE CONCAT]],Tables!I:N,6,0)),0)</f>
        <v/>
      </c>
      <c r="DO110" s="275" t="n"/>
      <c r="DP110" s="345">
        <f>Table410[[#This Row],[Jan_2027_F]]-Table410[[#This Row],[Jan_2027_A]]</f>
        <v/>
      </c>
      <c r="DQ110" s="345">
        <f>IFERROR(Table410[[#This Row],[Feb_2027_Days_Forecast]]*Table410[[#This Row],[Cost Boolean]]*(VLOOKUP(Table410[[#This Row],[RATE CONCAT]],Tables!I:N,6,0)),0)</f>
        <v/>
      </c>
      <c r="DR110" s="275" t="n"/>
      <c r="DS110" s="345">
        <f>Table410[[#This Row],[Feb_2027_F]]-Table410[[#This Row],[Feb_2027_A]]</f>
        <v/>
      </c>
      <c r="DT110" s="345">
        <f>IFERROR(Table410[[#This Row],[Mar_2027_Days_Forecast]]*Table410[[#This Row],[Cost Boolean]]*(VLOOKUP(Table410[[#This Row],[RATE CONCAT]],Tables!I:N,6,0)),0)</f>
        <v/>
      </c>
      <c r="DU110" s="275" t="n"/>
      <c r="DV110" s="345">
        <f>Table410[[#This Row],[Mar_2027_F]]-Table410[[#This Row],[Mar_2027_A]]</f>
        <v/>
      </c>
      <c r="DW110" s="345">
        <f>IFERROR(Table410[[#This Row],[Apr_2027_Days_Forecast]]*Table410[[#This Row],[Cost Boolean]]*(VLOOKUP(Table410[[#This Row],[RATE CONCAT]],Tables!I:N,6,0)),0)</f>
        <v/>
      </c>
      <c r="DX110" s="275" t="n"/>
      <c r="DY110" s="345">
        <f>Table410[[#This Row],[Apr_2027_F]]-Table410[[#This Row],[Apr_2027_A]]</f>
        <v/>
      </c>
      <c r="DZ110" s="345">
        <f>IFERROR(Table410[[#This Row],[May_2027_Days_Forecast]]*Table410[[#This Row],[Cost Boolean]]*(VLOOKUP(Table410[[#This Row],[RATE CONCAT]],Tables!I:N,6,0)),0)</f>
        <v/>
      </c>
      <c r="EA110" s="275" t="n"/>
      <c r="EB110" s="345">
        <f>Table410[[#This Row],[May_2027_F]]-Table410[[#This Row],[May_2027_A]]</f>
        <v/>
      </c>
      <c r="EC110" s="345">
        <f>IFERROR(Table410[[#This Row],[Jun_2027_Days_Forecast]]*Table410[[#This Row],[Cost Boolean]]*(VLOOKUP(Table410[[#This Row],[RATE CONCAT]],Tables!I:N,6,0)),0)</f>
        <v/>
      </c>
      <c r="ED110" s="275" t="n"/>
      <c r="EE110" s="345">
        <f>Table410[[#This Row],[Jun_2027_F]]-Table410[[#This Row],[Jun_2027_A]]</f>
        <v/>
      </c>
      <c r="EF110" s="345">
        <f>IFERROR(Table410[[#This Row],[Jul_2027_Days_Forecast]]*Table410[[#This Row],[Cost Boolean]]*(VLOOKUP(Table410[[#This Row],[RATE CONCAT]],Tables!I:N,6,0)),0)</f>
        <v/>
      </c>
      <c r="EG110" s="275" t="n"/>
      <c r="EH110" s="345">
        <f>Table410[[#This Row],[Jul_2027_F]]-Table410[[#This Row],[Jul_2027_A]]</f>
        <v/>
      </c>
      <c r="EI110" s="345">
        <f>IFERROR(Table410[[#This Row],[Aug_2027_Days_Forecast]]*Table410[[#This Row],[Cost Boolean]]*(VLOOKUP(Table410[[#This Row],[RATE CONCAT]],Tables!I:N,6,0)),0)</f>
        <v/>
      </c>
      <c r="EJ110" s="275" t="n"/>
      <c r="EK110" s="345">
        <f>Table410[[#This Row],[Aug_2027_F]]-Table410[[#This Row],[Aug_2027_A]]</f>
        <v/>
      </c>
      <c r="EL110" s="345">
        <f>IFERROR(Table410[[#This Row],[Sep_2027_Days_Forecast]]*Table410[[#This Row],[Cost Boolean]]*(VLOOKUP(Table410[[#This Row],[RATE CONCAT]],Tables!I:N,6,0)),0)</f>
        <v/>
      </c>
      <c r="EM110" s="275" t="n"/>
      <c r="EN110" s="345">
        <f>Table410[[#This Row],[Sep_2027_F]]-Table410[[#This Row],[Sep_2027_A]]</f>
        <v/>
      </c>
      <c r="EO110" s="345">
        <f>IFERROR(Table410[[#This Row],[Oct_2027_Days_Forecast]]*Table410[[#This Row],[Cost Boolean]]*(VLOOKUP(Table410[[#This Row],[RATE CONCAT]],Tables!I:N,6,0)),0)</f>
        <v/>
      </c>
      <c r="EP110" s="275" t="n"/>
      <c r="EQ110" s="345">
        <f>Table410[[#This Row],[Oct_2027_F]]-Table410[[#This Row],[Oct_2027_A]]</f>
        <v/>
      </c>
      <c r="ER110" s="345">
        <f>IFERROR(Table410[[#This Row],[Nov_2027_Days_Forecast]]*Table410[[#This Row],[Cost Boolean]]*(VLOOKUP(Table410[[#This Row],[RATE CONCAT]],Tables!I:N,6,0)),0)</f>
        <v/>
      </c>
      <c r="ES110" s="275" t="n"/>
      <c r="ET110" s="345">
        <f>Table410[[#This Row],[Nov_2027_F]]-Table410[[#This Row],[Nov_2027_A]]</f>
        <v/>
      </c>
      <c r="EU110" s="345">
        <f>IFERROR(Table410[[#This Row],[Dec_2027_Days_Forecast]]*Table410[[#This Row],[Cost Boolean]]*(VLOOKUP(Table410[[#This Row],[RATE CONCAT]],Tables!I:N,6,0)),0)</f>
        <v/>
      </c>
      <c r="EV110" s="275" t="n"/>
      <c r="EW110" s="345">
        <f>Table410[[#This Row],[Dec_2027_F]]-Table410[[#This Row],[Dec_2027_A]]</f>
        <v/>
      </c>
    </row>
    <row r="111" ht="1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342">
        <f>CONCATENATE(Table410[[#This Row],[JG]],Table410[[#This Row],[Country]],Table410[[#This Row],[Resource Provider]])</f>
        <v/>
      </c>
      <c r="Z111" s="342">
        <f>VLOOKUP(Table410[[#This Row],[RATE CONCAT]],Tables!I:N,5,0)</f>
        <v/>
      </c>
      <c r="AA111" s="123" t="n"/>
      <c r="AB111" s="129" t="n"/>
      <c r="AC111" s="129" t="n"/>
      <c r="AD111" s="129" t="n"/>
      <c r="AE111" s="129" t="n"/>
      <c r="AF111" s="129" t="n"/>
      <c r="AG111" s="129" t="n"/>
      <c r="AH111" s="129" t="n"/>
      <c r="AI111" s="129" t="n"/>
      <c r="AJ111" s="129" t="n"/>
      <c r="AK111" s="129" t="n"/>
      <c r="AL111" s="129" t="n"/>
      <c r="AM111" s="129" t="n"/>
      <c r="AN111" s="341">
        <f>IFERROR(AVERAGE(Table410[[#This Row],[Jan_2026_Days_Forecast]:[Dec_2026_Days_Forecast]]),0)/19</f>
        <v/>
      </c>
      <c r="AO111" s="341">
        <f>IFERROR(AVERAGE(Table410[[#This Row],[Jan_2026_Days_Actual]:[Dec_2026_Days_Actual]]),0)/19</f>
        <v/>
      </c>
      <c r="AP111" s="84" t="n"/>
      <c r="AQ111" s="84" t="n"/>
      <c r="AR111" s="84" t="n"/>
      <c r="AS111" s="84" t="n"/>
      <c r="AT111" s="84" t="n"/>
      <c r="AU111" s="84" t="n"/>
      <c r="AV111" s="84" t="n"/>
      <c r="AW111" s="84" t="n"/>
      <c r="AX111" s="84" t="n"/>
      <c r="AY111" s="84" t="n"/>
      <c r="AZ111" s="84" t="n"/>
      <c r="BA111" s="84" t="n"/>
      <c r="BB111" s="341">
        <f>IFERROR(AVERAGE(Table410[[#This Row],[Jan_2027_Days_Forecast]:[Dec_2027_Days_Forecast]]),0)</f>
        <v/>
      </c>
      <c r="BC111" s="129" t="n"/>
      <c r="BD111" s="129" t="n"/>
      <c r="BE111" s="129" t="n"/>
      <c r="BF111" s="129" t="n"/>
      <c r="BG111" s="129" t="n"/>
      <c r="BH111" s="129" t="n"/>
      <c r="BI111" s="129" t="n"/>
      <c r="BJ111" s="129" t="n"/>
      <c r="BK111" s="129" t="n"/>
      <c r="BL111" s="129" t="n"/>
      <c r="BM111" s="129" t="n"/>
      <c r="BN111" s="129" t="n"/>
      <c r="BO111" s="176" t="n"/>
      <c r="BP111" s="176" t="n"/>
      <c r="BQ111" s="347">
        <f>IFERROR(Table410[[#This Row],[Jan_2026_Days_Forecast]]*Table410[[#This Row],[Cost Boolean]]*(VLOOKUP(Table410[[#This Row],[RATE CONCAT]],Tables!I:N,5,0)),0)</f>
        <v/>
      </c>
      <c r="BR111" s="347">
        <f>IFERROR(Table410[[#This Row],[Jan_2026_Days_Actual]]*Table410[[#This Row],[Cost Boolean]]*(VLOOKUP(Table410[[#This Row],[RATE CONCAT]],Tables!I:N,5,0)),0)</f>
        <v/>
      </c>
      <c r="BS111" s="342">
        <f>Table410[[#This Row],[Jan_2026_F]]-Table410[[#This Row],[Jan_2026_A]]</f>
        <v/>
      </c>
      <c r="BT111" s="114" t="n"/>
      <c r="BU111" s="342">
        <f>IFERROR(Table410[[#This Row],[Feb_2026_Days_Forecast]]*Table410[[#This Row],[Cost Boolean]]*(VLOOKUP(Table410[[#This Row],[RATE CONCAT]],Tables!I:N,5,0)),0)</f>
        <v/>
      </c>
      <c r="BV111" s="347">
        <f>IFERROR(Table410[[#This Row],[Feb_2026_Days_Actual]]*Table410[[#This Row],[Cost Boolean]]*(VLOOKUP(Table410[[#This Row],[RATE CONCAT]],Tables!I:N,5,0)),0)</f>
        <v/>
      </c>
      <c r="BW111" s="342">
        <f>Table410[[#This Row],[Feb_2026_F]]-Table410[[#This Row],[Feb_2026_A]]</f>
        <v/>
      </c>
      <c r="BX111" s="275" t="n"/>
      <c r="BY111" s="347">
        <f>IFERROR(Table410[[#This Row],[Mar_2026_Days_Forecast]]*Table410[[#This Row],[Cost Boolean]]*(VLOOKUP(Table410[[#This Row],[RATE CONCAT]],Tables!I:N,5,0)),0)</f>
        <v/>
      </c>
      <c r="BZ111" s="347">
        <f>IFERROR(Table410[[#This Row],[Mar_2026_Days_Actual]]*Table410[[#This Row],[Cost Boolean]]*(VLOOKUP(Table410[[#This Row],[RATE CONCAT]],Tables!I:N,5,0)),0)</f>
        <v/>
      </c>
      <c r="CA111" s="347">
        <f>Table410[[#This Row],[Mar_2026_F]]-Table410[[#This Row],[Mar_2026_A]]</f>
        <v/>
      </c>
      <c r="CB111" s="103" t="n"/>
      <c r="CC111" s="347">
        <f>IFERROR(Table410[[#This Row],[Apr_2026_Days_Forecast]]*Table410[[#This Row],[Cost Boolean]]*(VLOOKUP(Table410[[#This Row],[RATE CONCAT]],Tables!I:N,5,0)),0)</f>
        <v/>
      </c>
      <c r="CD111" s="347">
        <f>IFERROR(Table410[[#This Row],[Apr_2026_Days_Actual]]*Table410[[#This Row],[Cost Boolean]]*(VLOOKUP(Table410[[#This Row],[RATE CONCAT]],Tables!I:N,5,0)),0)</f>
        <v/>
      </c>
      <c r="CE111" s="347">
        <f>Table410[[#This Row],[Apr_2026_F]]-Table410[[#This Row],[Apr_2026_A]]</f>
        <v/>
      </c>
      <c r="CF111" s="103" t="n"/>
      <c r="CG111" s="347">
        <f>IFERROR(Table410[[#This Row],[May_2026_Days_Forecast]] *Table410[[#This Row],[Cost Boolean]]*(VLOOKUP(Table410[[#This Row],[RATE CONCAT]],Tables!I:N,5,0)),0)</f>
        <v/>
      </c>
      <c r="CH111" s="347">
        <f>IFERROR(Table410[[#This Row],[May_2026_Days_Actual]]*Table410[[#This Row],[Cost Boolean]]*(VLOOKUP(Table410[[#This Row],[RATE CONCAT]],Tables!I:N,5,0)),0)</f>
        <v/>
      </c>
      <c r="CI111" s="347">
        <f>Table410[[#This Row],[May_2026_F]]-Table410[[#This Row],[May_2026_A]]</f>
        <v/>
      </c>
      <c r="CJ111" s="103" t="n"/>
      <c r="CK111" s="347">
        <f>IFERROR(Table410[[#This Row],[Jun_2026_Days_Forecast]]*Table410[[#This Row],[Cost Boolean]]*(VLOOKUP(Table410[[#This Row],[RATE CONCAT]],Tables!I:N,5,0)),0)</f>
        <v/>
      </c>
      <c r="CL111" s="347">
        <f>IFERROR(Table410[[#This Row],[Jun_2026_Days_Actual]]*Table410[[#This Row],[Cost Boolean]]*(VLOOKUP(Table410[[#This Row],[RATE CONCAT]],Tables!I:N,5,0)),0)</f>
        <v/>
      </c>
      <c r="CM111" s="347">
        <f>Table410[[#This Row],[Jun_2026_F]]-Table410[[#This Row],[Jun_2026_A]]</f>
        <v/>
      </c>
      <c r="CN111" s="103" t="n"/>
      <c r="CO111" s="347">
        <f>IFERROR(Table410[[#This Row],[Jul_2026_Days_Forecast]]*Table410[[#This Row],[Cost Boolean]]*(VLOOKUP(Table410[[#This Row],[RATE CONCAT]],Tables!I:N,5,0)),0)</f>
        <v/>
      </c>
      <c r="CP111" s="347">
        <f>IFERROR(Table410[[#This Row],[Jul_2026_Days_Actual]]*Table410[[#This Row],[Cost Boolean]]*(VLOOKUP(Table410[[#This Row],[RATE CONCAT]],Tables!I:N,5,0)),0)</f>
        <v/>
      </c>
      <c r="CQ111" s="347">
        <f>Table410[[#This Row],[Jul_2026_F]]-Table410[[#This Row],[Jul_2026_A]]</f>
        <v/>
      </c>
      <c r="CR111" s="103" t="n"/>
      <c r="CS111" s="347">
        <f>IFERROR(Table410[[#This Row],[Aug_2026_Days_Forecast]]*Table410[[#This Row],[Cost Boolean]]*(VLOOKUP(Table410[[#This Row],[RATE CONCAT]],Tables!I:N,5,0)),0)</f>
        <v/>
      </c>
      <c r="CT111" s="347">
        <f>IFERROR(Table410[[#This Row],[Aug_2026_Days_Actual]]*Table410[[#This Row],[Cost Boolean]]*(VLOOKUP(Table410[[#This Row],[RATE CONCAT]],Tables!I:N,5,0)),0)</f>
        <v/>
      </c>
      <c r="CU111" s="347">
        <f>Table410[[#This Row],[Aug_2026_F]]-Table410[[#This Row],[Aug_2026_A]]</f>
        <v/>
      </c>
      <c r="CV111" s="103" t="n"/>
      <c r="CW111" s="347">
        <f>IFERROR(Table410[[#This Row],[Sep_2026_Days_Forecast]]*Table410[[#This Row],[Cost Boolean]]*(VLOOKUP(Table410[[#This Row],[RATE CONCAT]],Tables!I:N,5,0)),0)</f>
        <v/>
      </c>
      <c r="CX111" s="347">
        <f>IFERROR(Table410[[#This Row],[Sep_2026_Days_Actual]]*Table410[[#This Row],[Cost Boolean]]*(VLOOKUP(Table410[[#This Row],[RATE CONCAT]],Tables!I:N,5,0)),0)</f>
        <v/>
      </c>
      <c r="CY111" s="347">
        <f>Table410[[#This Row],[Sep_2026_F]]-Table410[[#This Row],[Sep_2026_A]]</f>
        <v/>
      </c>
      <c r="CZ111" s="103" t="n"/>
      <c r="DA111" s="347">
        <f>IFERROR(Table410[[#This Row],[Oct_2026_Days_Forecast]]*Table410[[#This Row],[Cost Boolean]]*(VLOOKUP(Table410[[#This Row],[RATE CONCAT]],Tables!I:N,5,0)),0)</f>
        <v/>
      </c>
      <c r="DB111" s="347">
        <f>IFERROR(Table410[[#This Row],[Oct_2026_Days_Actual]]*Table410[[#This Row],[Cost Boolean]]*(VLOOKUP(Table410[[#This Row],[RATE CONCAT]],Tables!I:N,5,0)),0)</f>
        <v/>
      </c>
      <c r="DC111" s="347">
        <f>Table410[[#This Row],[Oct_2026_F]]-Table410[[#This Row],[Oct_2026_A]]</f>
        <v/>
      </c>
      <c r="DD111" s="103" t="n"/>
      <c r="DE111" s="347">
        <f>IFERROR(Table410[[#This Row],[Nov_2026_Days_Forecast]]*Table410[[#This Row],[Cost Boolean]]*(VLOOKUP(Table410[[#This Row],[RATE CONCAT]],Tables!I:N,5,0)),0)</f>
        <v/>
      </c>
      <c r="DF111" s="347">
        <f>IFERROR(Table410[[#This Row],[Nov_2026_Days_Actual]]*Table410[[#This Row],[Cost Boolean]]*(VLOOKUP(Table410[[#This Row],[RATE CONCAT]],Tables!I:N,5,0)),0)</f>
        <v/>
      </c>
      <c r="DG111" s="347">
        <f>Table410[[#This Row],[Nov_2026_F]]-Table410[[#This Row],[Nov_2026_A]]</f>
        <v/>
      </c>
      <c r="DH111" s="103" t="n"/>
      <c r="DI111" s="347">
        <f>IFERROR(Table410[[#This Row],[Dec_2026_Days_Forecast]]*Table410[[#This Row],[Cost Boolean]]*(VLOOKUP(Table410[[#This Row],[RATE CONCAT]],Tables!I:N,5,0)),0)</f>
        <v/>
      </c>
      <c r="DJ111" s="347">
        <f>IFERROR(Table410[[#This Row],[Dec_2026_Days_Actual]]*Table410[[#This Row],[Cost Boolean]]*(VLOOKUP(Table410[[#This Row],[RATE CONCAT]],Tables!I:N,5,0)),0)</f>
        <v/>
      </c>
      <c r="DK111" s="348">
        <f>Table410[[#This Row],[Dec_2026_F]]-Table410[[#This Row],[Dec_2026_A]]</f>
        <v/>
      </c>
      <c r="DL111" s="103" t="n"/>
      <c r="DM111" s="346" t="n"/>
      <c r="DN111" s="347">
        <f>IFERROR(Table410[[#This Row],[Jan_2027_Days_Forecast]]*Table410[[#This Row],[Cost Boolean]]*(VLOOKUP(Table410[[#This Row],[RATE CONCAT]],Tables!I:N,6,0)),0)</f>
        <v/>
      </c>
      <c r="DO111" s="275" t="n"/>
      <c r="DP111" s="347">
        <f>Table410[[#This Row],[Jan_2027_F]]-Table410[[#This Row],[Jan_2027_A]]</f>
        <v/>
      </c>
      <c r="DQ111" s="347">
        <f>IFERROR(Table410[[#This Row],[Feb_2027_Days_Forecast]]*Table410[[#This Row],[Cost Boolean]]*(VLOOKUP(Table410[[#This Row],[RATE CONCAT]],Tables!I:N,6,0)),0)</f>
        <v/>
      </c>
      <c r="DR111" s="275" t="n"/>
      <c r="DS111" s="347">
        <f>Table410[[#This Row],[Feb_2027_F]]-Table410[[#This Row],[Feb_2027_A]]</f>
        <v/>
      </c>
      <c r="DT111" s="347">
        <f>IFERROR(Table410[[#This Row],[Mar_2027_Days_Forecast]]*Table410[[#This Row],[Cost Boolean]]*(VLOOKUP(Table410[[#This Row],[RATE CONCAT]],Tables!I:N,6,0)),0)</f>
        <v/>
      </c>
      <c r="DU111" s="275" t="n"/>
      <c r="DV111" s="347">
        <f>Table410[[#This Row],[Mar_2027_F]]-Table410[[#This Row],[Mar_2027_A]]</f>
        <v/>
      </c>
      <c r="DW111" s="347">
        <f>IFERROR(Table410[[#This Row],[Apr_2027_Days_Forecast]]*Table410[[#This Row],[Cost Boolean]]*(VLOOKUP(Table410[[#This Row],[RATE CONCAT]],Tables!I:N,6,0)),0)</f>
        <v/>
      </c>
      <c r="DX111" s="275" t="n"/>
      <c r="DY111" s="347">
        <f>Table410[[#This Row],[Apr_2027_F]]-Table410[[#This Row],[Apr_2027_A]]</f>
        <v/>
      </c>
      <c r="DZ111" s="347">
        <f>IFERROR(Table410[[#This Row],[May_2027_Days_Forecast]]*Table410[[#This Row],[Cost Boolean]]*(VLOOKUP(Table410[[#This Row],[RATE CONCAT]],Tables!I:N,6,0)),0)</f>
        <v/>
      </c>
      <c r="EA111" s="275" t="n"/>
      <c r="EB111" s="347">
        <f>Table410[[#This Row],[May_2027_F]]-Table410[[#This Row],[May_2027_A]]</f>
        <v/>
      </c>
      <c r="EC111" s="347">
        <f>IFERROR(Table410[[#This Row],[Jun_2027_Days_Forecast]]*Table410[[#This Row],[Cost Boolean]]*(VLOOKUP(Table410[[#This Row],[RATE CONCAT]],Tables!I:N,6,0)),0)</f>
        <v/>
      </c>
      <c r="ED111" s="275" t="n"/>
      <c r="EE111" s="347">
        <f>Table410[[#This Row],[Jun_2027_F]]-Table410[[#This Row],[Jun_2027_A]]</f>
        <v/>
      </c>
      <c r="EF111" s="347">
        <f>IFERROR(Table410[[#This Row],[Jul_2027_Days_Forecast]]*Table410[[#This Row],[Cost Boolean]]*(VLOOKUP(Table410[[#This Row],[RATE CONCAT]],Tables!I:N,6,0)),0)</f>
        <v/>
      </c>
      <c r="EG111" s="275" t="n"/>
      <c r="EH111" s="347">
        <f>Table410[[#This Row],[Jul_2027_F]]-Table410[[#This Row],[Jul_2027_A]]</f>
        <v/>
      </c>
      <c r="EI111" s="347">
        <f>IFERROR(Table410[[#This Row],[Aug_2027_Days_Forecast]]*Table410[[#This Row],[Cost Boolean]]*(VLOOKUP(Table410[[#This Row],[RATE CONCAT]],Tables!I:N,6,0)),0)</f>
        <v/>
      </c>
      <c r="EJ111" s="275" t="n"/>
      <c r="EK111" s="347">
        <f>Table410[[#This Row],[Aug_2027_F]]-Table410[[#This Row],[Aug_2027_A]]</f>
        <v/>
      </c>
      <c r="EL111" s="347">
        <f>IFERROR(Table410[[#This Row],[Sep_2027_Days_Forecast]]*Table410[[#This Row],[Cost Boolean]]*(VLOOKUP(Table410[[#This Row],[RATE CONCAT]],Tables!I:N,6,0)),0)</f>
        <v/>
      </c>
      <c r="EM111" s="275" t="n"/>
      <c r="EN111" s="347">
        <f>Table410[[#This Row],[Sep_2027_F]]-Table410[[#This Row],[Sep_2027_A]]</f>
        <v/>
      </c>
      <c r="EO111" s="347">
        <f>IFERROR(Table410[[#This Row],[Oct_2027_Days_Forecast]]*Table410[[#This Row],[Cost Boolean]]*(VLOOKUP(Table410[[#This Row],[RATE CONCAT]],Tables!I:N,6,0)),0)</f>
        <v/>
      </c>
      <c r="EP111" s="275" t="n"/>
      <c r="EQ111" s="347">
        <f>Table410[[#This Row],[Oct_2027_F]]-Table410[[#This Row],[Oct_2027_A]]</f>
        <v/>
      </c>
      <c r="ER111" s="347">
        <f>IFERROR(Table410[[#This Row],[Nov_2027_Days_Forecast]]*Table410[[#This Row],[Cost Boolean]]*(VLOOKUP(Table410[[#This Row],[RATE CONCAT]],Tables!I:N,6,0)),0)</f>
        <v/>
      </c>
      <c r="ES111" s="275" t="n"/>
      <c r="ET111" s="347">
        <f>Table410[[#This Row],[Nov_2027_F]]-Table410[[#This Row],[Nov_2027_A]]</f>
        <v/>
      </c>
      <c r="EU111" s="347">
        <f>IFERROR(Table410[[#This Row],[Dec_2027_Days_Forecast]]*Table410[[#This Row],[Cost Boolean]]*(VLOOKUP(Table410[[#This Row],[RATE CONCAT]],Tables!I:N,6,0)),0)</f>
        <v/>
      </c>
      <c r="EV111" s="275" t="n"/>
      <c r="EW111" s="347">
        <f>Table410[[#This Row],[Dec_2027_F]]-Table410[[#This Row],[Dec_2027_A]]</f>
        <v/>
      </c>
    </row>
    <row r="112" ht="1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338">
        <f>CONCATENATE(Table410[[#This Row],[JG]],Table410[[#This Row],[Country]],Table410[[#This Row],[Resource Provider]])</f>
        <v/>
      </c>
      <c r="Z112" s="338">
        <f>VLOOKUP(Table410[[#This Row],[RATE CONCAT]],Tables!I:N,5,0)</f>
        <v/>
      </c>
      <c r="AA112" s="123" t="n"/>
      <c r="AB112" s="129" t="n"/>
      <c r="AC112" s="129" t="n"/>
      <c r="AD112" s="129" t="n"/>
      <c r="AE112" s="129" t="n"/>
      <c r="AF112" s="129" t="n"/>
      <c r="AG112" s="129" t="n"/>
      <c r="AH112" s="129" t="n"/>
      <c r="AI112" s="129" t="n"/>
      <c r="AJ112" s="129" t="n"/>
      <c r="AK112" s="129" t="n"/>
      <c r="AL112" s="129" t="n"/>
      <c r="AM112" s="129" t="n"/>
      <c r="AN112" s="341">
        <f>IFERROR(AVERAGE(Table410[[#This Row],[Jan_2026_Days_Forecast]:[Dec_2026_Days_Forecast]]),0)/19</f>
        <v/>
      </c>
      <c r="AO112" s="341">
        <f>IFERROR(AVERAGE(Table410[[#This Row],[Jan_2026_Days_Actual]:[Dec_2026_Days_Actual]]),0)/19</f>
        <v/>
      </c>
      <c r="AP112" s="84" t="n"/>
      <c r="AQ112" s="84" t="n"/>
      <c r="AR112" s="84" t="n"/>
      <c r="AS112" s="84" t="n"/>
      <c r="AT112" s="84" t="n"/>
      <c r="AU112" s="84" t="n"/>
      <c r="AV112" s="84" t="n"/>
      <c r="AW112" s="84" t="n"/>
      <c r="AX112" s="84" t="n"/>
      <c r="AY112" s="84" t="n"/>
      <c r="AZ112" s="84" t="n"/>
      <c r="BA112" s="84" t="n"/>
      <c r="BB112" s="341">
        <f>IFERROR(AVERAGE(Table410[[#This Row],[Jan_2027_Days_Forecast]:[Dec_2027_Days_Forecast]]),0)</f>
        <v/>
      </c>
      <c r="BC112" s="129" t="n"/>
      <c r="BD112" s="129" t="n"/>
      <c r="BE112" s="129" t="n"/>
      <c r="BF112" s="129" t="n"/>
      <c r="BG112" s="129" t="n"/>
      <c r="BH112" s="129" t="n"/>
      <c r="BI112" s="129" t="n"/>
      <c r="BJ112" s="129" t="n"/>
      <c r="BK112" s="129" t="n"/>
      <c r="BL112" s="129" t="n"/>
      <c r="BM112" s="129" t="n"/>
      <c r="BN112" s="129" t="n"/>
      <c r="BO112" s="176" t="n"/>
      <c r="BP112" s="176" t="n"/>
      <c r="BQ112" s="345">
        <f>IFERROR(Table410[[#This Row],[Jan_2026_Days_Forecast]]*Table410[[#This Row],[Cost Boolean]]*(VLOOKUP(Table410[[#This Row],[RATE CONCAT]],Tables!I:N,5,0)),0)</f>
        <v/>
      </c>
      <c r="BR112" s="345">
        <f>IFERROR(Table410[[#This Row],[Jan_2026_Days_Actual]]*Table410[[#This Row],[Cost Boolean]]*(VLOOKUP(Table410[[#This Row],[RATE CONCAT]],Tables!I:N,5,0)),0)</f>
        <v/>
      </c>
      <c r="BS112" s="338">
        <f>Table410[[#This Row],[Jan_2026_F]]-Table410[[#This Row],[Jan_2026_A]]</f>
        <v/>
      </c>
      <c r="BT112" s="114" t="n"/>
      <c r="BU112" s="338">
        <f>IFERROR(Table410[[#This Row],[Feb_2026_Days_Forecast]]*Table410[[#This Row],[Cost Boolean]]*(VLOOKUP(Table410[[#This Row],[RATE CONCAT]],Tables!I:N,5,0)),0)</f>
        <v/>
      </c>
      <c r="BV112" s="345">
        <f>IFERROR(Table410[[#This Row],[Feb_2026_Days_Actual]]*Table410[[#This Row],[Cost Boolean]]*(VLOOKUP(Table410[[#This Row],[RATE CONCAT]],Tables!I:N,5,0)),0)</f>
        <v/>
      </c>
      <c r="BW112" s="338">
        <f>Table410[[#This Row],[Feb_2026_F]]-Table410[[#This Row],[Feb_2026_A]]</f>
        <v/>
      </c>
      <c r="BX112" s="275" t="n"/>
      <c r="BY112" s="345">
        <f>IFERROR(Table410[[#This Row],[Mar_2026_Days_Forecast]]*Table410[[#This Row],[Cost Boolean]]*(VLOOKUP(Table410[[#This Row],[RATE CONCAT]],Tables!I:N,5,0)),0)</f>
        <v/>
      </c>
      <c r="BZ112" s="345">
        <f>IFERROR(Table410[[#This Row],[Mar_2026_Days_Actual]]*Table410[[#This Row],[Cost Boolean]]*(VLOOKUP(Table410[[#This Row],[RATE CONCAT]],Tables!I:N,5,0)),0)</f>
        <v/>
      </c>
      <c r="CA112" s="345">
        <f>Table410[[#This Row],[Mar_2026_F]]-Table410[[#This Row],[Mar_2026_A]]</f>
        <v/>
      </c>
      <c r="CB112" s="103" t="n"/>
      <c r="CC112" s="345">
        <f>IFERROR(Table410[[#This Row],[Apr_2026_Days_Forecast]]*Table410[[#This Row],[Cost Boolean]]*(VLOOKUP(Table410[[#This Row],[RATE CONCAT]],Tables!I:N,5,0)),0)</f>
        <v/>
      </c>
      <c r="CD112" s="345">
        <f>IFERROR(Table410[[#This Row],[Apr_2026_Days_Actual]]*Table410[[#This Row],[Cost Boolean]]*(VLOOKUP(Table410[[#This Row],[RATE CONCAT]],Tables!I:N,5,0)),0)</f>
        <v/>
      </c>
      <c r="CE112" s="345">
        <f>Table410[[#This Row],[Apr_2026_F]]-Table410[[#This Row],[Apr_2026_A]]</f>
        <v/>
      </c>
      <c r="CF112" s="103" t="n"/>
      <c r="CG112" s="345">
        <f>IFERROR(Table410[[#This Row],[May_2026_Days_Forecast]] *Table410[[#This Row],[Cost Boolean]]*(VLOOKUP(Table410[[#This Row],[RATE CONCAT]],Tables!I:N,5,0)),0)</f>
        <v/>
      </c>
      <c r="CH112" s="345">
        <f>IFERROR(Table410[[#This Row],[May_2026_Days_Actual]]*Table410[[#This Row],[Cost Boolean]]*(VLOOKUP(Table410[[#This Row],[RATE CONCAT]],Tables!I:N,5,0)),0)</f>
        <v/>
      </c>
      <c r="CI112" s="345">
        <f>Table410[[#This Row],[May_2026_F]]-Table410[[#This Row],[May_2026_A]]</f>
        <v/>
      </c>
      <c r="CJ112" s="103" t="n"/>
      <c r="CK112" s="345">
        <f>IFERROR(Table410[[#This Row],[Jun_2026_Days_Forecast]]*Table410[[#This Row],[Cost Boolean]]*(VLOOKUP(Table410[[#This Row],[RATE CONCAT]],Tables!I:N,5,0)),0)</f>
        <v/>
      </c>
      <c r="CL112" s="345">
        <f>IFERROR(Table410[[#This Row],[Jun_2026_Days_Actual]]*Table410[[#This Row],[Cost Boolean]]*(VLOOKUP(Table410[[#This Row],[RATE CONCAT]],Tables!I:N,5,0)),0)</f>
        <v/>
      </c>
      <c r="CM112" s="345">
        <f>Table410[[#This Row],[Jun_2026_F]]-Table410[[#This Row],[Jun_2026_A]]</f>
        <v/>
      </c>
      <c r="CN112" s="103" t="n"/>
      <c r="CO112" s="345">
        <f>IFERROR(Table410[[#This Row],[Jul_2026_Days_Forecast]]*Table410[[#This Row],[Cost Boolean]]*(VLOOKUP(Table410[[#This Row],[RATE CONCAT]],Tables!I:N,5,0)),0)</f>
        <v/>
      </c>
      <c r="CP112" s="345">
        <f>IFERROR(Table410[[#This Row],[Jul_2026_Days_Actual]]*Table410[[#This Row],[Cost Boolean]]*(VLOOKUP(Table410[[#This Row],[RATE CONCAT]],Tables!I:N,5,0)),0)</f>
        <v/>
      </c>
      <c r="CQ112" s="345">
        <f>Table410[[#This Row],[Jul_2026_F]]-Table410[[#This Row],[Jul_2026_A]]</f>
        <v/>
      </c>
      <c r="CR112" s="103" t="n"/>
      <c r="CS112" s="345">
        <f>IFERROR(Table410[[#This Row],[Aug_2026_Days_Forecast]]*Table410[[#This Row],[Cost Boolean]]*(VLOOKUP(Table410[[#This Row],[RATE CONCAT]],Tables!I:N,5,0)),0)</f>
        <v/>
      </c>
      <c r="CT112" s="345">
        <f>IFERROR(Table410[[#This Row],[Aug_2026_Days_Actual]]*Table410[[#This Row],[Cost Boolean]]*(VLOOKUP(Table410[[#This Row],[RATE CONCAT]],Tables!I:N,5,0)),0)</f>
        <v/>
      </c>
      <c r="CU112" s="345">
        <f>Table410[[#This Row],[Aug_2026_F]]-Table410[[#This Row],[Aug_2026_A]]</f>
        <v/>
      </c>
      <c r="CV112" s="103" t="n"/>
      <c r="CW112" s="345">
        <f>IFERROR(Table410[[#This Row],[Sep_2026_Days_Forecast]]*Table410[[#This Row],[Cost Boolean]]*(VLOOKUP(Table410[[#This Row],[RATE CONCAT]],Tables!I:N,5,0)),0)</f>
        <v/>
      </c>
      <c r="CX112" s="345">
        <f>IFERROR(Table410[[#This Row],[Sep_2026_Days_Actual]]*Table410[[#This Row],[Cost Boolean]]*(VLOOKUP(Table410[[#This Row],[RATE CONCAT]],Tables!I:N,5,0)),0)</f>
        <v/>
      </c>
      <c r="CY112" s="345">
        <f>Table410[[#This Row],[Sep_2026_F]]-Table410[[#This Row],[Sep_2026_A]]</f>
        <v/>
      </c>
      <c r="CZ112" s="103" t="n"/>
      <c r="DA112" s="345">
        <f>IFERROR(Table410[[#This Row],[Oct_2026_Days_Forecast]]*Table410[[#This Row],[Cost Boolean]]*(VLOOKUP(Table410[[#This Row],[RATE CONCAT]],Tables!I:N,5,0)),0)</f>
        <v/>
      </c>
      <c r="DB112" s="345">
        <f>IFERROR(Table410[[#This Row],[Oct_2026_Days_Actual]]*Table410[[#This Row],[Cost Boolean]]*(VLOOKUP(Table410[[#This Row],[RATE CONCAT]],Tables!I:N,5,0)),0)</f>
        <v/>
      </c>
      <c r="DC112" s="345">
        <f>Table410[[#This Row],[Oct_2026_F]]-Table410[[#This Row],[Oct_2026_A]]</f>
        <v/>
      </c>
      <c r="DD112" s="103" t="n"/>
      <c r="DE112" s="345">
        <f>IFERROR(Table410[[#This Row],[Nov_2026_Days_Forecast]]*Table410[[#This Row],[Cost Boolean]]*(VLOOKUP(Table410[[#This Row],[RATE CONCAT]],Tables!I:N,5,0)),0)</f>
        <v/>
      </c>
      <c r="DF112" s="345">
        <f>IFERROR(Table410[[#This Row],[Nov_2026_Days_Actual]]*Table410[[#This Row],[Cost Boolean]]*(VLOOKUP(Table410[[#This Row],[RATE CONCAT]],Tables!I:N,5,0)),0)</f>
        <v/>
      </c>
      <c r="DG112" s="345">
        <f>Table410[[#This Row],[Nov_2026_F]]-Table410[[#This Row],[Nov_2026_A]]</f>
        <v/>
      </c>
      <c r="DH112" s="103" t="n"/>
      <c r="DI112" s="345">
        <f>IFERROR(Table410[[#This Row],[Dec_2026_Days_Forecast]]*Table410[[#This Row],[Cost Boolean]]*(VLOOKUP(Table410[[#This Row],[RATE CONCAT]],Tables!I:N,5,0)),0)</f>
        <v/>
      </c>
      <c r="DJ112" s="345">
        <f>IFERROR(Table410[[#This Row],[Dec_2026_Days_Actual]]*Table410[[#This Row],[Cost Boolean]]*(VLOOKUP(Table410[[#This Row],[RATE CONCAT]],Tables!I:N,5,0)),0)</f>
        <v/>
      </c>
      <c r="DK112" s="349">
        <f>Table410[[#This Row],[Dec_2026_F]]-Table410[[#This Row],[Dec_2026_A]]</f>
        <v/>
      </c>
      <c r="DL112" s="103" t="n"/>
      <c r="DM112" s="346" t="n"/>
      <c r="DN112" s="345">
        <f>IFERROR(Table410[[#This Row],[Jan_2027_Days_Forecast]]*Table410[[#This Row],[Cost Boolean]]*(VLOOKUP(Table410[[#This Row],[RATE CONCAT]],Tables!I:N,6,0)),0)</f>
        <v/>
      </c>
      <c r="DO112" s="275" t="n"/>
      <c r="DP112" s="345">
        <f>Table410[[#This Row],[Jan_2027_F]]-Table410[[#This Row],[Jan_2027_A]]</f>
        <v/>
      </c>
      <c r="DQ112" s="345">
        <f>IFERROR(Table410[[#This Row],[Feb_2027_Days_Forecast]]*Table410[[#This Row],[Cost Boolean]]*(VLOOKUP(Table410[[#This Row],[RATE CONCAT]],Tables!I:N,6,0)),0)</f>
        <v/>
      </c>
      <c r="DR112" s="275" t="n"/>
      <c r="DS112" s="345">
        <f>Table410[[#This Row],[Feb_2027_F]]-Table410[[#This Row],[Feb_2027_A]]</f>
        <v/>
      </c>
      <c r="DT112" s="345">
        <f>IFERROR(Table410[[#This Row],[Mar_2027_Days_Forecast]]*Table410[[#This Row],[Cost Boolean]]*(VLOOKUP(Table410[[#This Row],[RATE CONCAT]],Tables!I:N,6,0)),0)</f>
        <v/>
      </c>
      <c r="DU112" s="275" t="n"/>
      <c r="DV112" s="345">
        <f>Table410[[#This Row],[Mar_2027_F]]-Table410[[#This Row],[Mar_2027_A]]</f>
        <v/>
      </c>
      <c r="DW112" s="345">
        <f>IFERROR(Table410[[#This Row],[Apr_2027_Days_Forecast]]*Table410[[#This Row],[Cost Boolean]]*(VLOOKUP(Table410[[#This Row],[RATE CONCAT]],Tables!I:N,6,0)),0)</f>
        <v/>
      </c>
      <c r="DX112" s="275" t="n"/>
      <c r="DY112" s="345">
        <f>Table410[[#This Row],[Apr_2027_F]]-Table410[[#This Row],[Apr_2027_A]]</f>
        <v/>
      </c>
      <c r="DZ112" s="345">
        <f>IFERROR(Table410[[#This Row],[May_2027_Days_Forecast]]*Table410[[#This Row],[Cost Boolean]]*(VLOOKUP(Table410[[#This Row],[RATE CONCAT]],Tables!I:N,6,0)),0)</f>
        <v/>
      </c>
      <c r="EA112" s="275" t="n"/>
      <c r="EB112" s="345">
        <f>Table410[[#This Row],[May_2027_F]]-Table410[[#This Row],[May_2027_A]]</f>
        <v/>
      </c>
      <c r="EC112" s="345">
        <f>IFERROR(Table410[[#This Row],[Jun_2027_Days_Forecast]]*Table410[[#This Row],[Cost Boolean]]*(VLOOKUP(Table410[[#This Row],[RATE CONCAT]],Tables!I:N,6,0)),0)</f>
        <v/>
      </c>
      <c r="ED112" s="275" t="n"/>
      <c r="EE112" s="345">
        <f>Table410[[#This Row],[Jun_2027_F]]-Table410[[#This Row],[Jun_2027_A]]</f>
        <v/>
      </c>
      <c r="EF112" s="345">
        <f>IFERROR(Table410[[#This Row],[Jul_2027_Days_Forecast]]*Table410[[#This Row],[Cost Boolean]]*(VLOOKUP(Table410[[#This Row],[RATE CONCAT]],Tables!I:N,6,0)),0)</f>
        <v/>
      </c>
      <c r="EG112" s="275" t="n"/>
      <c r="EH112" s="345">
        <f>Table410[[#This Row],[Jul_2027_F]]-Table410[[#This Row],[Jul_2027_A]]</f>
        <v/>
      </c>
      <c r="EI112" s="345">
        <f>IFERROR(Table410[[#This Row],[Aug_2027_Days_Forecast]]*Table410[[#This Row],[Cost Boolean]]*(VLOOKUP(Table410[[#This Row],[RATE CONCAT]],Tables!I:N,6,0)),0)</f>
        <v/>
      </c>
      <c r="EJ112" s="275" t="n"/>
      <c r="EK112" s="345">
        <f>Table410[[#This Row],[Aug_2027_F]]-Table410[[#This Row],[Aug_2027_A]]</f>
        <v/>
      </c>
      <c r="EL112" s="345">
        <f>IFERROR(Table410[[#This Row],[Sep_2027_Days_Forecast]]*Table410[[#This Row],[Cost Boolean]]*(VLOOKUP(Table410[[#This Row],[RATE CONCAT]],Tables!I:N,6,0)),0)</f>
        <v/>
      </c>
      <c r="EM112" s="275" t="n"/>
      <c r="EN112" s="345">
        <f>Table410[[#This Row],[Sep_2027_F]]-Table410[[#This Row],[Sep_2027_A]]</f>
        <v/>
      </c>
      <c r="EO112" s="345">
        <f>IFERROR(Table410[[#This Row],[Oct_2027_Days_Forecast]]*Table410[[#This Row],[Cost Boolean]]*(VLOOKUP(Table410[[#This Row],[RATE CONCAT]],Tables!I:N,6,0)),0)</f>
        <v/>
      </c>
      <c r="EP112" s="275" t="n"/>
      <c r="EQ112" s="345">
        <f>Table410[[#This Row],[Oct_2027_F]]-Table410[[#This Row],[Oct_2027_A]]</f>
        <v/>
      </c>
      <c r="ER112" s="345">
        <f>IFERROR(Table410[[#This Row],[Nov_2027_Days_Forecast]]*Table410[[#This Row],[Cost Boolean]]*(VLOOKUP(Table410[[#This Row],[RATE CONCAT]],Tables!I:N,6,0)),0)</f>
        <v/>
      </c>
      <c r="ES112" s="275" t="n"/>
      <c r="ET112" s="345">
        <f>Table410[[#This Row],[Nov_2027_F]]-Table410[[#This Row],[Nov_2027_A]]</f>
        <v/>
      </c>
      <c r="EU112" s="345">
        <f>IFERROR(Table410[[#This Row],[Dec_2027_Days_Forecast]]*Table410[[#This Row],[Cost Boolean]]*(VLOOKUP(Table410[[#This Row],[RATE CONCAT]],Tables!I:N,6,0)),0)</f>
        <v/>
      </c>
      <c r="EV112" s="275" t="n"/>
      <c r="EW112" s="345">
        <f>Table410[[#This Row],[Dec_2027_F]]-Table410[[#This Row],[Dec_2027_A]]</f>
        <v/>
      </c>
    </row>
    <row r="113" ht="1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342">
        <f>CONCATENATE(Table410[[#This Row],[JG]],Table410[[#This Row],[Country]],Table410[[#This Row],[Resource Provider]])</f>
        <v/>
      </c>
      <c r="Z113" s="342">
        <f>VLOOKUP(Table410[[#This Row],[RATE CONCAT]],Tables!I:N,5,0)</f>
        <v/>
      </c>
      <c r="AA113" s="123" t="n"/>
      <c r="AB113" s="129" t="n"/>
      <c r="AC113" s="129" t="n"/>
      <c r="AD113" s="129" t="n"/>
      <c r="AE113" s="129" t="n"/>
      <c r="AF113" s="129" t="n"/>
      <c r="AG113" s="129" t="n"/>
      <c r="AH113" s="129" t="n"/>
      <c r="AI113" s="129" t="n"/>
      <c r="AJ113" s="129" t="n"/>
      <c r="AK113" s="129" t="n"/>
      <c r="AL113" s="129" t="n"/>
      <c r="AM113" s="129" t="n"/>
      <c r="AN113" s="341">
        <f>IFERROR(AVERAGE(Table410[[#This Row],[Jan_2026_Days_Forecast]:[Dec_2026_Days_Forecast]]),0)/19</f>
        <v/>
      </c>
      <c r="AO113" s="341">
        <f>IFERROR(AVERAGE(Table410[[#This Row],[Jan_2026_Days_Actual]:[Dec_2026_Days_Actual]]),0)/19</f>
        <v/>
      </c>
      <c r="AP113" s="84" t="n"/>
      <c r="AQ113" s="84" t="n"/>
      <c r="AR113" s="84" t="n"/>
      <c r="AS113" s="84" t="n"/>
      <c r="AT113" s="84" t="n"/>
      <c r="AU113" s="84" t="n"/>
      <c r="AV113" s="84" t="n"/>
      <c r="AW113" s="84" t="n"/>
      <c r="AX113" s="84" t="n"/>
      <c r="AY113" s="84" t="n"/>
      <c r="AZ113" s="84" t="n"/>
      <c r="BA113" s="84" t="n"/>
      <c r="BB113" s="341">
        <f>IFERROR(AVERAGE(Table410[[#This Row],[Jan_2027_Days_Forecast]:[Dec_2027_Days_Forecast]]),0)</f>
        <v/>
      </c>
      <c r="BC113" s="129" t="n"/>
      <c r="BD113" s="129" t="n"/>
      <c r="BE113" s="129" t="n"/>
      <c r="BF113" s="129" t="n"/>
      <c r="BG113" s="129" t="n"/>
      <c r="BH113" s="129" t="n"/>
      <c r="BI113" s="129" t="n"/>
      <c r="BJ113" s="129" t="n"/>
      <c r="BK113" s="129" t="n"/>
      <c r="BL113" s="129" t="n"/>
      <c r="BM113" s="129" t="n"/>
      <c r="BN113" s="129" t="n"/>
      <c r="BO113" s="176" t="n"/>
      <c r="BP113" s="176" t="n"/>
      <c r="BQ113" s="347">
        <f>IFERROR(Table410[[#This Row],[Jan_2026_Days_Forecast]]*Table410[[#This Row],[Cost Boolean]]*(VLOOKUP(Table410[[#This Row],[RATE CONCAT]],Tables!I:N,5,0)),0)</f>
        <v/>
      </c>
      <c r="BR113" s="347">
        <f>IFERROR(Table410[[#This Row],[Jan_2026_Days_Actual]]*Table410[[#This Row],[Cost Boolean]]*(VLOOKUP(Table410[[#This Row],[RATE CONCAT]],Tables!I:N,5,0)),0)</f>
        <v/>
      </c>
      <c r="BS113" s="342">
        <f>Table410[[#This Row],[Jan_2026_F]]-Table410[[#This Row],[Jan_2026_A]]</f>
        <v/>
      </c>
      <c r="BT113" s="114" t="n"/>
      <c r="BU113" s="342">
        <f>IFERROR(Table410[[#This Row],[Feb_2026_Days_Forecast]]*Table410[[#This Row],[Cost Boolean]]*(VLOOKUP(Table410[[#This Row],[RATE CONCAT]],Tables!I:N,5,0)),0)</f>
        <v/>
      </c>
      <c r="BV113" s="347">
        <f>IFERROR(Table410[[#This Row],[Feb_2026_Days_Actual]]*Table410[[#This Row],[Cost Boolean]]*(VLOOKUP(Table410[[#This Row],[RATE CONCAT]],Tables!I:N,5,0)),0)</f>
        <v/>
      </c>
      <c r="BW113" s="342">
        <f>Table410[[#This Row],[Feb_2026_F]]-Table410[[#This Row],[Feb_2026_A]]</f>
        <v/>
      </c>
      <c r="BX113" s="275" t="n"/>
      <c r="BY113" s="347">
        <f>IFERROR(Table410[[#This Row],[Mar_2026_Days_Forecast]]*Table410[[#This Row],[Cost Boolean]]*(VLOOKUP(Table410[[#This Row],[RATE CONCAT]],Tables!I:N,5,0)),0)</f>
        <v/>
      </c>
      <c r="BZ113" s="347">
        <f>IFERROR(Table410[[#This Row],[Mar_2026_Days_Actual]]*Table410[[#This Row],[Cost Boolean]]*(VLOOKUP(Table410[[#This Row],[RATE CONCAT]],Tables!I:N,5,0)),0)</f>
        <v/>
      </c>
      <c r="CA113" s="347">
        <f>Table410[[#This Row],[Mar_2026_F]]-Table410[[#This Row],[Mar_2026_A]]</f>
        <v/>
      </c>
      <c r="CB113" s="103" t="n"/>
      <c r="CC113" s="347">
        <f>IFERROR(Table410[[#This Row],[Apr_2026_Days_Forecast]]*Table410[[#This Row],[Cost Boolean]]*(VLOOKUP(Table410[[#This Row],[RATE CONCAT]],Tables!I:N,5,0)),0)</f>
        <v/>
      </c>
      <c r="CD113" s="347">
        <f>IFERROR(Table410[[#This Row],[Apr_2026_Days_Actual]]*Table410[[#This Row],[Cost Boolean]]*(VLOOKUP(Table410[[#This Row],[RATE CONCAT]],Tables!I:N,5,0)),0)</f>
        <v/>
      </c>
      <c r="CE113" s="347">
        <f>Table410[[#This Row],[Apr_2026_F]]-Table410[[#This Row],[Apr_2026_A]]</f>
        <v/>
      </c>
      <c r="CF113" s="103" t="n"/>
      <c r="CG113" s="347">
        <f>IFERROR(Table410[[#This Row],[May_2026_Days_Forecast]] *Table410[[#This Row],[Cost Boolean]]*(VLOOKUP(Table410[[#This Row],[RATE CONCAT]],Tables!I:N,5,0)),0)</f>
        <v/>
      </c>
      <c r="CH113" s="347">
        <f>IFERROR(Table410[[#This Row],[May_2026_Days_Actual]]*Table410[[#This Row],[Cost Boolean]]*(VLOOKUP(Table410[[#This Row],[RATE CONCAT]],Tables!I:N,5,0)),0)</f>
        <v/>
      </c>
      <c r="CI113" s="347">
        <f>Table410[[#This Row],[May_2026_F]]-Table410[[#This Row],[May_2026_A]]</f>
        <v/>
      </c>
      <c r="CJ113" s="103" t="n"/>
      <c r="CK113" s="347">
        <f>IFERROR(Table410[[#This Row],[Jun_2026_Days_Forecast]]*Table410[[#This Row],[Cost Boolean]]*(VLOOKUP(Table410[[#This Row],[RATE CONCAT]],Tables!I:N,5,0)),0)</f>
        <v/>
      </c>
      <c r="CL113" s="347">
        <f>IFERROR(Table410[[#This Row],[Jun_2026_Days_Actual]]*Table410[[#This Row],[Cost Boolean]]*(VLOOKUP(Table410[[#This Row],[RATE CONCAT]],Tables!I:N,5,0)),0)</f>
        <v/>
      </c>
      <c r="CM113" s="347">
        <f>Table410[[#This Row],[Jun_2026_F]]-Table410[[#This Row],[Jun_2026_A]]</f>
        <v/>
      </c>
      <c r="CN113" s="103" t="n"/>
      <c r="CO113" s="347">
        <f>IFERROR(Table410[[#This Row],[Jul_2026_Days_Forecast]]*Table410[[#This Row],[Cost Boolean]]*(VLOOKUP(Table410[[#This Row],[RATE CONCAT]],Tables!I:N,5,0)),0)</f>
        <v/>
      </c>
      <c r="CP113" s="347">
        <f>IFERROR(Table410[[#This Row],[Jul_2026_Days_Actual]]*Table410[[#This Row],[Cost Boolean]]*(VLOOKUP(Table410[[#This Row],[RATE CONCAT]],Tables!I:N,5,0)),0)</f>
        <v/>
      </c>
      <c r="CQ113" s="347">
        <f>Table410[[#This Row],[Jul_2026_F]]-Table410[[#This Row],[Jul_2026_A]]</f>
        <v/>
      </c>
      <c r="CR113" s="103" t="n"/>
      <c r="CS113" s="347">
        <f>IFERROR(Table410[[#This Row],[Aug_2026_Days_Forecast]]*Table410[[#This Row],[Cost Boolean]]*(VLOOKUP(Table410[[#This Row],[RATE CONCAT]],Tables!I:N,5,0)),0)</f>
        <v/>
      </c>
      <c r="CT113" s="347">
        <f>IFERROR(Table410[[#This Row],[Aug_2026_Days_Actual]]*Table410[[#This Row],[Cost Boolean]]*(VLOOKUP(Table410[[#This Row],[RATE CONCAT]],Tables!I:N,5,0)),0)</f>
        <v/>
      </c>
      <c r="CU113" s="347">
        <f>Table410[[#This Row],[Aug_2026_F]]-Table410[[#This Row],[Aug_2026_A]]</f>
        <v/>
      </c>
      <c r="CV113" s="103" t="n"/>
      <c r="CW113" s="347">
        <f>IFERROR(Table410[[#This Row],[Sep_2026_Days_Forecast]]*Table410[[#This Row],[Cost Boolean]]*(VLOOKUP(Table410[[#This Row],[RATE CONCAT]],Tables!I:N,5,0)),0)</f>
        <v/>
      </c>
      <c r="CX113" s="347">
        <f>IFERROR(Table410[[#This Row],[Sep_2026_Days_Actual]]*Table410[[#This Row],[Cost Boolean]]*(VLOOKUP(Table410[[#This Row],[RATE CONCAT]],Tables!I:N,5,0)),0)</f>
        <v/>
      </c>
      <c r="CY113" s="347">
        <f>Table410[[#This Row],[Sep_2026_F]]-Table410[[#This Row],[Sep_2026_A]]</f>
        <v/>
      </c>
      <c r="CZ113" s="103" t="n"/>
      <c r="DA113" s="347">
        <f>IFERROR(Table410[[#This Row],[Oct_2026_Days_Forecast]]*Table410[[#This Row],[Cost Boolean]]*(VLOOKUP(Table410[[#This Row],[RATE CONCAT]],Tables!I:N,5,0)),0)</f>
        <v/>
      </c>
      <c r="DB113" s="347">
        <f>IFERROR(Table410[[#This Row],[Oct_2026_Days_Actual]]*Table410[[#This Row],[Cost Boolean]]*(VLOOKUP(Table410[[#This Row],[RATE CONCAT]],Tables!I:N,5,0)),0)</f>
        <v/>
      </c>
      <c r="DC113" s="347">
        <f>Table410[[#This Row],[Oct_2026_F]]-Table410[[#This Row],[Oct_2026_A]]</f>
        <v/>
      </c>
      <c r="DD113" s="103" t="n"/>
      <c r="DE113" s="347">
        <f>IFERROR(Table410[[#This Row],[Nov_2026_Days_Forecast]]*Table410[[#This Row],[Cost Boolean]]*(VLOOKUP(Table410[[#This Row],[RATE CONCAT]],Tables!I:N,5,0)),0)</f>
        <v/>
      </c>
      <c r="DF113" s="347">
        <f>IFERROR(Table410[[#This Row],[Nov_2026_Days_Actual]]*Table410[[#This Row],[Cost Boolean]]*(VLOOKUP(Table410[[#This Row],[RATE CONCAT]],Tables!I:N,5,0)),0)</f>
        <v/>
      </c>
      <c r="DG113" s="347">
        <f>Table410[[#This Row],[Nov_2026_F]]-Table410[[#This Row],[Nov_2026_A]]</f>
        <v/>
      </c>
      <c r="DH113" s="103" t="n"/>
      <c r="DI113" s="347">
        <f>IFERROR(Table410[[#This Row],[Dec_2026_Days_Forecast]]*Table410[[#This Row],[Cost Boolean]]*(VLOOKUP(Table410[[#This Row],[RATE CONCAT]],Tables!I:N,5,0)),0)</f>
        <v/>
      </c>
      <c r="DJ113" s="347">
        <f>IFERROR(Table410[[#This Row],[Dec_2026_Days_Actual]]*Table410[[#This Row],[Cost Boolean]]*(VLOOKUP(Table410[[#This Row],[RATE CONCAT]],Tables!I:N,5,0)),0)</f>
        <v/>
      </c>
      <c r="DK113" s="348">
        <f>Table410[[#This Row],[Dec_2026_F]]-Table410[[#This Row],[Dec_2026_A]]</f>
        <v/>
      </c>
      <c r="DL113" s="103" t="n"/>
      <c r="DM113" s="346" t="n"/>
      <c r="DN113" s="347">
        <f>IFERROR(Table410[[#This Row],[Jan_2027_Days_Forecast]]*Table410[[#This Row],[Cost Boolean]]*(VLOOKUP(Table410[[#This Row],[RATE CONCAT]],Tables!I:N,6,0)),0)</f>
        <v/>
      </c>
      <c r="DO113" s="275" t="n"/>
      <c r="DP113" s="347">
        <f>Table410[[#This Row],[Jan_2027_F]]-Table410[[#This Row],[Jan_2027_A]]</f>
        <v/>
      </c>
      <c r="DQ113" s="347">
        <f>IFERROR(Table410[[#This Row],[Feb_2027_Days_Forecast]]*Table410[[#This Row],[Cost Boolean]]*(VLOOKUP(Table410[[#This Row],[RATE CONCAT]],Tables!I:N,6,0)),0)</f>
        <v/>
      </c>
      <c r="DR113" s="275" t="n"/>
      <c r="DS113" s="347">
        <f>Table410[[#This Row],[Feb_2027_F]]-Table410[[#This Row],[Feb_2027_A]]</f>
        <v/>
      </c>
      <c r="DT113" s="347">
        <f>IFERROR(Table410[[#This Row],[Mar_2027_Days_Forecast]]*Table410[[#This Row],[Cost Boolean]]*(VLOOKUP(Table410[[#This Row],[RATE CONCAT]],Tables!I:N,6,0)),0)</f>
        <v/>
      </c>
      <c r="DU113" s="275" t="n"/>
      <c r="DV113" s="347">
        <f>Table410[[#This Row],[Mar_2027_F]]-Table410[[#This Row],[Mar_2027_A]]</f>
        <v/>
      </c>
      <c r="DW113" s="347">
        <f>IFERROR(Table410[[#This Row],[Apr_2027_Days_Forecast]]*Table410[[#This Row],[Cost Boolean]]*(VLOOKUP(Table410[[#This Row],[RATE CONCAT]],Tables!I:N,6,0)),0)</f>
        <v/>
      </c>
      <c r="DX113" s="275" t="n"/>
      <c r="DY113" s="347">
        <f>Table410[[#This Row],[Apr_2027_F]]-Table410[[#This Row],[Apr_2027_A]]</f>
        <v/>
      </c>
      <c r="DZ113" s="347">
        <f>IFERROR(Table410[[#This Row],[May_2027_Days_Forecast]]*Table410[[#This Row],[Cost Boolean]]*(VLOOKUP(Table410[[#This Row],[RATE CONCAT]],Tables!I:N,6,0)),0)</f>
        <v/>
      </c>
      <c r="EA113" s="275" t="n"/>
      <c r="EB113" s="347">
        <f>Table410[[#This Row],[May_2027_F]]-Table410[[#This Row],[May_2027_A]]</f>
        <v/>
      </c>
      <c r="EC113" s="347">
        <f>IFERROR(Table410[[#This Row],[Jun_2027_Days_Forecast]]*Table410[[#This Row],[Cost Boolean]]*(VLOOKUP(Table410[[#This Row],[RATE CONCAT]],Tables!I:N,6,0)),0)</f>
        <v/>
      </c>
      <c r="ED113" s="275" t="n"/>
      <c r="EE113" s="347">
        <f>Table410[[#This Row],[Jun_2027_F]]-Table410[[#This Row],[Jun_2027_A]]</f>
        <v/>
      </c>
      <c r="EF113" s="347">
        <f>IFERROR(Table410[[#This Row],[Jul_2027_Days_Forecast]]*Table410[[#This Row],[Cost Boolean]]*(VLOOKUP(Table410[[#This Row],[RATE CONCAT]],Tables!I:N,6,0)),0)</f>
        <v/>
      </c>
      <c r="EG113" s="275" t="n"/>
      <c r="EH113" s="347">
        <f>Table410[[#This Row],[Jul_2027_F]]-Table410[[#This Row],[Jul_2027_A]]</f>
        <v/>
      </c>
      <c r="EI113" s="347">
        <f>IFERROR(Table410[[#This Row],[Aug_2027_Days_Forecast]]*Table410[[#This Row],[Cost Boolean]]*(VLOOKUP(Table410[[#This Row],[RATE CONCAT]],Tables!I:N,6,0)),0)</f>
        <v/>
      </c>
      <c r="EJ113" s="275" t="n"/>
      <c r="EK113" s="347">
        <f>Table410[[#This Row],[Aug_2027_F]]-Table410[[#This Row],[Aug_2027_A]]</f>
        <v/>
      </c>
      <c r="EL113" s="347">
        <f>IFERROR(Table410[[#This Row],[Sep_2027_Days_Forecast]]*Table410[[#This Row],[Cost Boolean]]*(VLOOKUP(Table410[[#This Row],[RATE CONCAT]],Tables!I:N,6,0)),0)</f>
        <v/>
      </c>
      <c r="EM113" s="275" t="n"/>
      <c r="EN113" s="347">
        <f>Table410[[#This Row],[Sep_2027_F]]-Table410[[#This Row],[Sep_2027_A]]</f>
        <v/>
      </c>
      <c r="EO113" s="347">
        <f>IFERROR(Table410[[#This Row],[Oct_2027_Days_Forecast]]*Table410[[#This Row],[Cost Boolean]]*(VLOOKUP(Table410[[#This Row],[RATE CONCAT]],Tables!I:N,6,0)),0)</f>
        <v/>
      </c>
      <c r="EP113" s="275" t="n"/>
      <c r="EQ113" s="347">
        <f>Table410[[#This Row],[Oct_2027_F]]-Table410[[#This Row],[Oct_2027_A]]</f>
        <v/>
      </c>
      <c r="ER113" s="347">
        <f>IFERROR(Table410[[#This Row],[Nov_2027_Days_Forecast]]*Table410[[#This Row],[Cost Boolean]]*(VLOOKUP(Table410[[#This Row],[RATE CONCAT]],Tables!I:N,6,0)),0)</f>
        <v/>
      </c>
      <c r="ES113" s="275" t="n"/>
      <c r="ET113" s="347">
        <f>Table410[[#This Row],[Nov_2027_F]]-Table410[[#This Row],[Nov_2027_A]]</f>
        <v/>
      </c>
      <c r="EU113" s="347">
        <f>IFERROR(Table410[[#This Row],[Dec_2027_Days_Forecast]]*Table410[[#This Row],[Cost Boolean]]*(VLOOKUP(Table410[[#This Row],[RATE CONCAT]],Tables!I:N,6,0)),0)</f>
        <v/>
      </c>
      <c r="EV113" s="275" t="n"/>
      <c r="EW113" s="347">
        <f>Table410[[#This Row],[Dec_2027_F]]-Table410[[#This Row],[Dec_2027_A]]</f>
        <v/>
      </c>
    </row>
    <row r="114" ht="1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338">
        <f>CONCATENATE(Table410[[#This Row],[JG]],Table410[[#This Row],[Country]],Table410[[#This Row],[Resource Provider]])</f>
        <v/>
      </c>
      <c r="Z114" s="338">
        <f>VLOOKUP(Table410[[#This Row],[RATE CONCAT]],Tables!I:N,5,0)</f>
        <v/>
      </c>
      <c r="AA114" s="123" t="n"/>
      <c r="AB114" s="129" t="n"/>
      <c r="AC114" s="129" t="n"/>
      <c r="AD114" s="129" t="n"/>
      <c r="AE114" s="129" t="n"/>
      <c r="AF114" s="129" t="n"/>
      <c r="AG114" s="129" t="n"/>
      <c r="AH114" s="129" t="n"/>
      <c r="AI114" s="129" t="n"/>
      <c r="AJ114" s="129" t="n"/>
      <c r="AK114" s="129" t="n"/>
      <c r="AL114" s="129" t="n"/>
      <c r="AM114" s="129" t="n"/>
      <c r="AN114" s="341">
        <f>IFERROR(AVERAGE(Table410[[#This Row],[Jan_2026_Days_Forecast]:[Dec_2026_Days_Forecast]]),0)/19</f>
        <v/>
      </c>
      <c r="AO114" s="341">
        <f>IFERROR(AVERAGE(Table410[[#This Row],[Jan_2026_Days_Actual]:[Dec_2026_Days_Actual]]),0)/19</f>
        <v/>
      </c>
      <c r="AP114" s="84" t="n"/>
      <c r="AQ114" s="84" t="n"/>
      <c r="AR114" s="84" t="n"/>
      <c r="AS114" s="84" t="n"/>
      <c r="AT114" s="84" t="n"/>
      <c r="AU114" s="84" t="n"/>
      <c r="AV114" s="84" t="n"/>
      <c r="AW114" s="84" t="n"/>
      <c r="AX114" s="84" t="n"/>
      <c r="AY114" s="84" t="n"/>
      <c r="AZ114" s="84" t="n"/>
      <c r="BA114" s="84" t="n"/>
      <c r="BB114" s="341">
        <f>IFERROR(AVERAGE(Table410[[#This Row],[Jan_2027_Days_Forecast]:[Dec_2027_Days_Forecast]]),0)</f>
        <v/>
      </c>
      <c r="BC114" s="129" t="n"/>
      <c r="BD114" s="129" t="n"/>
      <c r="BE114" s="129" t="n"/>
      <c r="BF114" s="129" t="n"/>
      <c r="BG114" s="129" t="n"/>
      <c r="BH114" s="129" t="n"/>
      <c r="BI114" s="129" t="n"/>
      <c r="BJ114" s="129" t="n"/>
      <c r="BK114" s="129" t="n"/>
      <c r="BL114" s="129" t="n"/>
      <c r="BM114" s="129" t="n"/>
      <c r="BN114" s="129" t="n"/>
      <c r="BO114" s="176" t="n"/>
      <c r="BP114" s="176" t="n"/>
      <c r="BQ114" s="345">
        <f>IFERROR(Table410[[#This Row],[Jan_2026_Days_Forecast]]*Table410[[#This Row],[Cost Boolean]]*(VLOOKUP(Table410[[#This Row],[RATE CONCAT]],Tables!I:N,5,0)),0)</f>
        <v/>
      </c>
      <c r="BR114" s="345">
        <f>IFERROR(Table410[[#This Row],[Jan_2026_Days_Actual]]*Table410[[#This Row],[Cost Boolean]]*(VLOOKUP(Table410[[#This Row],[RATE CONCAT]],Tables!I:N,5,0)),0)</f>
        <v/>
      </c>
      <c r="BS114" s="338">
        <f>Table410[[#This Row],[Jan_2026_F]]-Table410[[#This Row],[Jan_2026_A]]</f>
        <v/>
      </c>
      <c r="BT114" s="114" t="n"/>
      <c r="BU114" s="338">
        <f>IFERROR(Table410[[#This Row],[Feb_2026_Days_Forecast]]*Table410[[#This Row],[Cost Boolean]]*(VLOOKUP(Table410[[#This Row],[RATE CONCAT]],Tables!I:N,5,0)),0)</f>
        <v/>
      </c>
      <c r="BV114" s="345">
        <f>IFERROR(Table410[[#This Row],[Feb_2026_Days_Actual]]*Table410[[#This Row],[Cost Boolean]]*(VLOOKUP(Table410[[#This Row],[RATE CONCAT]],Tables!I:N,5,0)),0)</f>
        <v/>
      </c>
      <c r="BW114" s="338">
        <f>Table410[[#This Row],[Feb_2026_F]]-Table410[[#This Row],[Feb_2026_A]]</f>
        <v/>
      </c>
      <c r="BX114" s="275" t="n"/>
      <c r="BY114" s="345">
        <f>IFERROR(Table410[[#This Row],[Mar_2026_Days_Forecast]]*Table410[[#This Row],[Cost Boolean]]*(VLOOKUP(Table410[[#This Row],[RATE CONCAT]],Tables!I:N,5,0)),0)</f>
        <v/>
      </c>
      <c r="BZ114" s="345">
        <f>IFERROR(Table410[[#This Row],[Mar_2026_Days_Actual]]*Table410[[#This Row],[Cost Boolean]]*(VLOOKUP(Table410[[#This Row],[RATE CONCAT]],Tables!I:N,5,0)),0)</f>
        <v/>
      </c>
      <c r="CA114" s="345">
        <f>Table410[[#This Row],[Mar_2026_F]]-Table410[[#This Row],[Mar_2026_A]]</f>
        <v/>
      </c>
      <c r="CB114" s="103" t="n"/>
      <c r="CC114" s="345">
        <f>IFERROR(Table410[[#This Row],[Apr_2026_Days_Forecast]]*Table410[[#This Row],[Cost Boolean]]*(VLOOKUP(Table410[[#This Row],[RATE CONCAT]],Tables!I:N,5,0)),0)</f>
        <v/>
      </c>
      <c r="CD114" s="345">
        <f>IFERROR(Table410[[#This Row],[Apr_2026_Days_Actual]]*Table410[[#This Row],[Cost Boolean]]*(VLOOKUP(Table410[[#This Row],[RATE CONCAT]],Tables!I:N,5,0)),0)</f>
        <v/>
      </c>
      <c r="CE114" s="345">
        <f>Table410[[#This Row],[Apr_2026_F]]-Table410[[#This Row],[Apr_2026_A]]</f>
        <v/>
      </c>
      <c r="CF114" s="103" t="n"/>
      <c r="CG114" s="345">
        <f>IFERROR(Table410[[#This Row],[May_2026_Days_Forecast]] *Table410[[#This Row],[Cost Boolean]]*(VLOOKUP(Table410[[#This Row],[RATE CONCAT]],Tables!I:N,5,0)),0)</f>
        <v/>
      </c>
      <c r="CH114" s="345">
        <f>IFERROR(Table410[[#This Row],[May_2026_Days_Actual]]*Table410[[#This Row],[Cost Boolean]]*(VLOOKUP(Table410[[#This Row],[RATE CONCAT]],Tables!I:N,5,0)),0)</f>
        <v/>
      </c>
      <c r="CI114" s="345">
        <f>Table410[[#This Row],[May_2026_F]]-Table410[[#This Row],[May_2026_A]]</f>
        <v/>
      </c>
      <c r="CJ114" s="103" t="n"/>
      <c r="CK114" s="345">
        <f>IFERROR(Table410[[#This Row],[Jun_2026_Days_Forecast]]*Table410[[#This Row],[Cost Boolean]]*(VLOOKUP(Table410[[#This Row],[RATE CONCAT]],Tables!I:N,5,0)),0)</f>
        <v/>
      </c>
      <c r="CL114" s="345">
        <f>IFERROR(Table410[[#This Row],[Jun_2026_Days_Actual]]*Table410[[#This Row],[Cost Boolean]]*(VLOOKUP(Table410[[#This Row],[RATE CONCAT]],Tables!I:N,5,0)),0)</f>
        <v/>
      </c>
      <c r="CM114" s="345">
        <f>Table410[[#This Row],[Jun_2026_F]]-Table410[[#This Row],[Jun_2026_A]]</f>
        <v/>
      </c>
      <c r="CN114" s="103" t="n"/>
      <c r="CO114" s="345">
        <f>IFERROR(Table410[[#This Row],[Jul_2026_Days_Forecast]]*Table410[[#This Row],[Cost Boolean]]*(VLOOKUP(Table410[[#This Row],[RATE CONCAT]],Tables!I:N,5,0)),0)</f>
        <v/>
      </c>
      <c r="CP114" s="345">
        <f>IFERROR(Table410[[#This Row],[Jul_2026_Days_Actual]]*Table410[[#This Row],[Cost Boolean]]*(VLOOKUP(Table410[[#This Row],[RATE CONCAT]],Tables!I:N,5,0)),0)</f>
        <v/>
      </c>
      <c r="CQ114" s="345">
        <f>Table410[[#This Row],[Jul_2026_F]]-Table410[[#This Row],[Jul_2026_A]]</f>
        <v/>
      </c>
      <c r="CR114" s="103" t="n"/>
      <c r="CS114" s="345">
        <f>IFERROR(Table410[[#This Row],[Aug_2026_Days_Forecast]]*Table410[[#This Row],[Cost Boolean]]*(VLOOKUP(Table410[[#This Row],[RATE CONCAT]],Tables!I:N,5,0)),0)</f>
        <v/>
      </c>
      <c r="CT114" s="345">
        <f>IFERROR(Table410[[#This Row],[Aug_2026_Days_Actual]]*Table410[[#This Row],[Cost Boolean]]*(VLOOKUP(Table410[[#This Row],[RATE CONCAT]],Tables!I:N,5,0)),0)</f>
        <v/>
      </c>
      <c r="CU114" s="345">
        <f>Table410[[#This Row],[Aug_2026_F]]-Table410[[#This Row],[Aug_2026_A]]</f>
        <v/>
      </c>
      <c r="CV114" s="103" t="n"/>
      <c r="CW114" s="345">
        <f>IFERROR(Table410[[#This Row],[Sep_2026_Days_Forecast]]*Table410[[#This Row],[Cost Boolean]]*(VLOOKUP(Table410[[#This Row],[RATE CONCAT]],Tables!I:N,5,0)),0)</f>
        <v/>
      </c>
      <c r="CX114" s="345">
        <f>IFERROR(Table410[[#This Row],[Sep_2026_Days_Actual]]*Table410[[#This Row],[Cost Boolean]]*(VLOOKUP(Table410[[#This Row],[RATE CONCAT]],Tables!I:N,5,0)),0)</f>
        <v/>
      </c>
      <c r="CY114" s="345">
        <f>Table410[[#This Row],[Sep_2026_F]]-Table410[[#This Row],[Sep_2026_A]]</f>
        <v/>
      </c>
      <c r="CZ114" s="103" t="n"/>
      <c r="DA114" s="345">
        <f>IFERROR(Table410[[#This Row],[Oct_2026_Days_Forecast]]*Table410[[#This Row],[Cost Boolean]]*(VLOOKUP(Table410[[#This Row],[RATE CONCAT]],Tables!I:N,5,0)),0)</f>
        <v/>
      </c>
      <c r="DB114" s="345">
        <f>IFERROR(Table410[[#This Row],[Oct_2026_Days_Actual]]*Table410[[#This Row],[Cost Boolean]]*(VLOOKUP(Table410[[#This Row],[RATE CONCAT]],Tables!I:N,5,0)),0)</f>
        <v/>
      </c>
      <c r="DC114" s="345">
        <f>Table410[[#This Row],[Oct_2026_F]]-Table410[[#This Row],[Oct_2026_A]]</f>
        <v/>
      </c>
      <c r="DD114" s="103" t="n"/>
      <c r="DE114" s="345">
        <f>IFERROR(Table410[[#This Row],[Nov_2026_Days_Forecast]]*Table410[[#This Row],[Cost Boolean]]*(VLOOKUP(Table410[[#This Row],[RATE CONCAT]],Tables!I:N,5,0)),0)</f>
        <v/>
      </c>
      <c r="DF114" s="345">
        <f>IFERROR(Table410[[#This Row],[Nov_2026_Days_Actual]]*Table410[[#This Row],[Cost Boolean]]*(VLOOKUP(Table410[[#This Row],[RATE CONCAT]],Tables!I:N,5,0)),0)</f>
        <v/>
      </c>
      <c r="DG114" s="345">
        <f>Table410[[#This Row],[Nov_2026_F]]-Table410[[#This Row],[Nov_2026_A]]</f>
        <v/>
      </c>
      <c r="DH114" s="103" t="n"/>
      <c r="DI114" s="345">
        <f>IFERROR(Table410[[#This Row],[Dec_2026_Days_Forecast]]*Table410[[#This Row],[Cost Boolean]]*(VLOOKUP(Table410[[#This Row],[RATE CONCAT]],Tables!I:N,5,0)),0)</f>
        <v/>
      </c>
      <c r="DJ114" s="345">
        <f>IFERROR(Table410[[#This Row],[Dec_2026_Days_Actual]]*Table410[[#This Row],[Cost Boolean]]*(VLOOKUP(Table410[[#This Row],[RATE CONCAT]],Tables!I:N,5,0)),0)</f>
        <v/>
      </c>
      <c r="DK114" s="349">
        <f>Table410[[#This Row],[Dec_2026_F]]-Table410[[#This Row],[Dec_2026_A]]</f>
        <v/>
      </c>
      <c r="DL114" s="103" t="n"/>
      <c r="DM114" s="346" t="n"/>
      <c r="DN114" s="345">
        <f>IFERROR(Table410[[#This Row],[Jan_2027_Days_Forecast]]*Table410[[#This Row],[Cost Boolean]]*(VLOOKUP(Table410[[#This Row],[RATE CONCAT]],Tables!I:N,6,0)),0)</f>
        <v/>
      </c>
      <c r="DO114" s="275" t="n"/>
      <c r="DP114" s="345">
        <f>Table410[[#This Row],[Jan_2027_F]]-Table410[[#This Row],[Jan_2027_A]]</f>
        <v/>
      </c>
      <c r="DQ114" s="345">
        <f>IFERROR(Table410[[#This Row],[Feb_2027_Days_Forecast]]*Table410[[#This Row],[Cost Boolean]]*(VLOOKUP(Table410[[#This Row],[RATE CONCAT]],Tables!I:N,6,0)),0)</f>
        <v/>
      </c>
      <c r="DR114" s="275" t="n"/>
      <c r="DS114" s="345">
        <f>Table410[[#This Row],[Feb_2027_F]]-Table410[[#This Row],[Feb_2027_A]]</f>
        <v/>
      </c>
      <c r="DT114" s="345">
        <f>IFERROR(Table410[[#This Row],[Mar_2027_Days_Forecast]]*Table410[[#This Row],[Cost Boolean]]*(VLOOKUP(Table410[[#This Row],[RATE CONCAT]],Tables!I:N,6,0)),0)</f>
        <v/>
      </c>
      <c r="DU114" s="275" t="n"/>
      <c r="DV114" s="345">
        <f>Table410[[#This Row],[Mar_2027_F]]-Table410[[#This Row],[Mar_2027_A]]</f>
        <v/>
      </c>
      <c r="DW114" s="345">
        <f>IFERROR(Table410[[#This Row],[Apr_2027_Days_Forecast]]*Table410[[#This Row],[Cost Boolean]]*(VLOOKUP(Table410[[#This Row],[RATE CONCAT]],Tables!I:N,6,0)),0)</f>
        <v/>
      </c>
      <c r="DX114" s="275" t="n"/>
      <c r="DY114" s="345">
        <f>Table410[[#This Row],[Apr_2027_F]]-Table410[[#This Row],[Apr_2027_A]]</f>
        <v/>
      </c>
      <c r="DZ114" s="345">
        <f>IFERROR(Table410[[#This Row],[May_2027_Days_Forecast]]*Table410[[#This Row],[Cost Boolean]]*(VLOOKUP(Table410[[#This Row],[RATE CONCAT]],Tables!I:N,6,0)),0)</f>
        <v/>
      </c>
      <c r="EA114" s="275" t="n"/>
      <c r="EB114" s="345">
        <f>Table410[[#This Row],[May_2027_F]]-Table410[[#This Row],[May_2027_A]]</f>
        <v/>
      </c>
      <c r="EC114" s="345">
        <f>IFERROR(Table410[[#This Row],[Jun_2027_Days_Forecast]]*Table410[[#This Row],[Cost Boolean]]*(VLOOKUP(Table410[[#This Row],[RATE CONCAT]],Tables!I:N,6,0)),0)</f>
        <v/>
      </c>
      <c r="ED114" s="275" t="n"/>
      <c r="EE114" s="345">
        <f>Table410[[#This Row],[Jun_2027_F]]-Table410[[#This Row],[Jun_2027_A]]</f>
        <v/>
      </c>
      <c r="EF114" s="345">
        <f>IFERROR(Table410[[#This Row],[Jul_2027_Days_Forecast]]*Table410[[#This Row],[Cost Boolean]]*(VLOOKUP(Table410[[#This Row],[RATE CONCAT]],Tables!I:N,6,0)),0)</f>
        <v/>
      </c>
      <c r="EG114" s="275" t="n"/>
      <c r="EH114" s="345">
        <f>Table410[[#This Row],[Jul_2027_F]]-Table410[[#This Row],[Jul_2027_A]]</f>
        <v/>
      </c>
      <c r="EI114" s="345">
        <f>IFERROR(Table410[[#This Row],[Aug_2027_Days_Forecast]]*Table410[[#This Row],[Cost Boolean]]*(VLOOKUP(Table410[[#This Row],[RATE CONCAT]],Tables!I:N,6,0)),0)</f>
        <v/>
      </c>
      <c r="EJ114" s="275" t="n"/>
      <c r="EK114" s="345">
        <f>Table410[[#This Row],[Aug_2027_F]]-Table410[[#This Row],[Aug_2027_A]]</f>
        <v/>
      </c>
      <c r="EL114" s="345">
        <f>IFERROR(Table410[[#This Row],[Sep_2027_Days_Forecast]]*Table410[[#This Row],[Cost Boolean]]*(VLOOKUP(Table410[[#This Row],[RATE CONCAT]],Tables!I:N,6,0)),0)</f>
        <v/>
      </c>
      <c r="EM114" s="275" t="n"/>
      <c r="EN114" s="345">
        <f>Table410[[#This Row],[Sep_2027_F]]-Table410[[#This Row],[Sep_2027_A]]</f>
        <v/>
      </c>
      <c r="EO114" s="345">
        <f>IFERROR(Table410[[#This Row],[Oct_2027_Days_Forecast]]*Table410[[#This Row],[Cost Boolean]]*(VLOOKUP(Table410[[#This Row],[RATE CONCAT]],Tables!I:N,6,0)),0)</f>
        <v/>
      </c>
      <c r="EP114" s="275" t="n"/>
      <c r="EQ114" s="345">
        <f>Table410[[#This Row],[Oct_2027_F]]-Table410[[#This Row],[Oct_2027_A]]</f>
        <v/>
      </c>
      <c r="ER114" s="345">
        <f>IFERROR(Table410[[#This Row],[Nov_2027_Days_Forecast]]*Table410[[#This Row],[Cost Boolean]]*(VLOOKUP(Table410[[#This Row],[RATE CONCAT]],Tables!I:N,6,0)),0)</f>
        <v/>
      </c>
      <c r="ES114" s="275" t="n"/>
      <c r="ET114" s="345">
        <f>Table410[[#This Row],[Nov_2027_F]]-Table410[[#This Row],[Nov_2027_A]]</f>
        <v/>
      </c>
      <c r="EU114" s="345">
        <f>IFERROR(Table410[[#This Row],[Dec_2027_Days_Forecast]]*Table410[[#This Row],[Cost Boolean]]*(VLOOKUP(Table410[[#This Row],[RATE CONCAT]],Tables!I:N,6,0)),0)</f>
        <v/>
      </c>
      <c r="EV114" s="275" t="n"/>
      <c r="EW114" s="345">
        <f>Table410[[#This Row],[Dec_2027_F]]-Table410[[#This Row],[Dec_2027_A]]</f>
        <v/>
      </c>
    </row>
    <row r="115" ht="1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342">
        <f>CONCATENATE(Table410[[#This Row],[JG]],Table410[[#This Row],[Country]],Table410[[#This Row],[Resource Provider]])</f>
        <v/>
      </c>
      <c r="Z115" s="342">
        <f>VLOOKUP(Table410[[#This Row],[RATE CONCAT]],Tables!I:N,5,0)</f>
        <v/>
      </c>
      <c r="AA115" s="123" t="n"/>
      <c r="AB115" s="129" t="n"/>
      <c r="AC115" s="129" t="n"/>
      <c r="AD115" s="129" t="n"/>
      <c r="AE115" s="129" t="n"/>
      <c r="AF115" s="129" t="n"/>
      <c r="AG115" s="129" t="n"/>
      <c r="AH115" s="129" t="n"/>
      <c r="AI115" s="129" t="n"/>
      <c r="AJ115" s="129" t="n"/>
      <c r="AK115" s="129" t="n"/>
      <c r="AL115" s="129" t="n"/>
      <c r="AM115" s="129" t="n"/>
      <c r="AN115" s="341">
        <f>IFERROR(AVERAGE(Table410[[#This Row],[Jan_2026_Days_Forecast]:[Dec_2026_Days_Forecast]]),0)/19</f>
        <v/>
      </c>
      <c r="AO115" s="341">
        <f>IFERROR(AVERAGE(Table410[[#This Row],[Jan_2026_Days_Actual]:[Dec_2026_Days_Actual]]),0)/19</f>
        <v/>
      </c>
      <c r="AP115" s="84" t="n"/>
      <c r="AQ115" s="84" t="n"/>
      <c r="AR115" s="84" t="n"/>
      <c r="AS115" s="84" t="n"/>
      <c r="AT115" s="84" t="n"/>
      <c r="AU115" s="84" t="n"/>
      <c r="AV115" s="84" t="n"/>
      <c r="AW115" s="84" t="n"/>
      <c r="AX115" s="84" t="n"/>
      <c r="AY115" s="84" t="n"/>
      <c r="AZ115" s="84" t="n"/>
      <c r="BA115" s="84" t="n"/>
      <c r="BB115" s="341">
        <f>IFERROR(AVERAGE(Table410[[#This Row],[Jan_2027_Days_Forecast]:[Dec_2027_Days_Forecast]]),0)</f>
        <v/>
      </c>
      <c r="BC115" s="129" t="n"/>
      <c r="BD115" s="129" t="n"/>
      <c r="BE115" s="129" t="n"/>
      <c r="BF115" s="129" t="n"/>
      <c r="BG115" s="129" t="n"/>
      <c r="BH115" s="129" t="n"/>
      <c r="BI115" s="129" t="n"/>
      <c r="BJ115" s="129" t="n"/>
      <c r="BK115" s="129" t="n"/>
      <c r="BL115" s="129" t="n"/>
      <c r="BM115" s="129" t="n"/>
      <c r="BN115" s="129" t="n"/>
      <c r="BO115" s="176" t="n"/>
      <c r="BP115" s="176" t="n"/>
      <c r="BQ115" s="347">
        <f>IFERROR(Table410[[#This Row],[Jan_2026_Days_Forecast]]*Table410[[#This Row],[Cost Boolean]]*(VLOOKUP(Table410[[#This Row],[RATE CONCAT]],Tables!I:N,5,0)),0)</f>
        <v/>
      </c>
      <c r="BR115" s="347">
        <f>IFERROR(Table410[[#This Row],[Jan_2026_Days_Actual]]*Table410[[#This Row],[Cost Boolean]]*(VLOOKUP(Table410[[#This Row],[RATE CONCAT]],Tables!I:N,5,0)),0)</f>
        <v/>
      </c>
      <c r="BS115" s="342">
        <f>Table410[[#This Row],[Jan_2026_F]]-Table410[[#This Row],[Jan_2026_A]]</f>
        <v/>
      </c>
      <c r="BT115" s="114" t="n"/>
      <c r="BU115" s="342">
        <f>IFERROR(Table410[[#This Row],[Feb_2026_Days_Forecast]]*Table410[[#This Row],[Cost Boolean]]*(VLOOKUP(Table410[[#This Row],[RATE CONCAT]],Tables!I:N,5,0)),0)</f>
        <v/>
      </c>
      <c r="BV115" s="347">
        <f>IFERROR(Table410[[#This Row],[Feb_2026_Days_Actual]]*Table410[[#This Row],[Cost Boolean]]*(VLOOKUP(Table410[[#This Row],[RATE CONCAT]],Tables!I:N,5,0)),0)</f>
        <v/>
      </c>
      <c r="BW115" s="342">
        <f>Table410[[#This Row],[Feb_2026_F]]-Table410[[#This Row],[Feb_2026_A]]</f>
        <v/>
      </c>
      <c r="BX115" s="275" t="n"/>
      <c r="BY115" s="347">
        <f>IFERROR(Table410[[#This Row],[Mar_2026_Days_Forecast]]*Table410[[#This Row],[Cost Boolean]]*(VLOOKUP(Table410[[#This Row],[RATE CONCAT]],Tables!I:N,5,0)),0)</f>
        <v/>
      </c>
      <c r="BZ115" s="347">
        <f>IFERROR(Table410[[#This Row],[Mar_2026_Days_Actual]]*Table410[[#This Row],[Cost Boolean]]*(VLOOKUP(Table410[[#This Row],[RATE CONCAT]],Tables!I:N,5,0)),0)</f>
        <v/>
      </c>
      <c r="CA115" s="347">
        <f>Table410[[#This Row],[Mar_2026_F]]-Table410[[#This Row],[Mar_2026_A]]</f>
        <v/>
      </c>
      <c r="CB115" s="103" t="n"/>
      <c r="CC115" s="347">
        <f>IFERROR(Table410[[#This Row],[Apr_2026_Days_Forecast]]*Table410[[#This Row],[Cost Boolean]]*(VLOOKUP(Table410[[#This Row],[RATE CONCAT]],Tables!I:N,5,0)),0)</f>
        <v/>
      </c>
      <c r="CD115" s="347">
        <f>IFERROR(Table410[[#This Row],[Apr_2026_Days_Actual]]*Table410[[#This Row],[Cost Boolean]]*(VLOOKUP(Table410[[#This Row],[RATE CONCAT]],Tables!I:N,5,0)),0)</f>
        <v/>
      </c>
      <c r="CE115" s="347">
        <f>Table410[[#This Row],[Apr_2026_F]]-Table410[[#This Row],[Apr_2026_A]]</f>
        <v/>
      </c>
      <c r="CF115" s="103" t="n"/>
      <c r="CG115" s="347">
        <f>IFERROR(Table410[[#This Row],[May_2026_Days_Forecast]] *Table410[[#This Row],[Cost Boolean]]*(VLOOKUP(Table410[[#This Row],[RATE CONCAT]],Tables!I:N,5,0)),0)</f>
        <v/>
      </c>
      <c r="CH115" s="347">
        <f>IFERROR(Table410[[#This Row],[May_2026_Days_Actual]]*Table410[[#This Row],[Cost Boolean]]*(VLOOKUP(Table410[[#This Row],[RATE CONCAT]],Tables!I:N,5,0)),0)</f>
        <v/>
      </c>
      <c r="CI115" s="347">
        <f>Table410[[#This Row],[May_2026_F]]-Table410[[#This Row],[May_2026_A]]</f>
        <v/>
      </c>
      <c r="CJ115" s="103" t="n"/>
      <c r="CK115" s="347">
        <f>IFERROR(Table410[[#This Row],[Jun_2026_Days_Forecast]]*Table410[[#This Row],[Cost Boolean]]*(VLOOKUP(Table410[[#This Row],[RATE CONCAT]],Tables!I:N,5,0)),0)</f>
        <v/>
      </c>
      <c r="CL115" s="347">
        <f>IFERROR(Table410[[#This Row],[Jun_2026_Days_Actual]]*Table410[[#This Row],[Cost Boolean]]*(VLOOKUP(Table410[[#This Row],[RATE CONCAT]],Tables!I:N,5,0)),0)</f>
        <v/>
      </c>
      <c r="CM115" s="347">
        <f>Table410[[#This Row],[Jun_2026_F]]-Table410[[#This Row],[Jun_2026_A]]</f>
        <v/>
      </c>
      <c r="CN115" s="103" t="n"/>
      <c r="CO115" s="347">
        <f>IFERROR(Table410[[#This Row],[Jul_2026_Days_Forecast]]*Table410[[#This Row],[Cost Boolean]]*(VLOOKUP(Table410[[#This Row],[RATE CONCAT]],Tables!I:N,5,0)),0)</f>
        <v/>
      </c>
      <c r="CP115" s="347">
        <f>IFERROR(Table410[[#This Row],[Jul_2026_Days_Actual]]*Table410[[#This Row],[Cost Boolean]]*(VLOOKUP(Table410[[#This Row],[RATE CONCAT]],Tables!I:N,5,0)),0)</f>
        <v/>
      </c>
      <c r="CQ115" s="347">
        <f>Table410[[#This Row],[Jul_2026_F]]-Table410[[#This Row],[Jul_2026_A]]</f>
        <v/>
      </c>
      <c r="CR115" s="103" t="n"/>
      <c r="CS115" s="347">
        <f>IFERROR(Table410[[#This Row],[Aug_2026_Days_Forecast]]*Table410[[#This Row],[Cost Boolean]]*(VLOOKUP(Table410[[#This Row],[RATE CONCAT]],Tables!I:N,5,0)),0)</f>
        <v/>
      </c>
      <c r="CT115" s="347">
        <f>IFERROR(Table410[[#This Row],[Aug_2026_Days_Actual]]*Table410[[#This Row],[Cost Boolean]]*(VLOOKUP(Table410[[#This Row],[RATE CONCAT]],Tables!I:N,5,0)),0)</f>
        <v/>
      </c>
      <c r="CU115" s="347">
        <f>Table410[[#This Row],[Aug_2026_F]]-Table410[[#This Row],[Aug_2026_A]]</f>
        <v/>
      </c>
      <c r="CV115" s="103" t="n"/>
      <c r="CW115" s="347">
        <f>IFERROR(Table410[[#This Row],[Sep_2026_Days_Forecast]]*Table410[[#This Row],[Cost Boolean]]*(VLOOKUP(Table410[[#This Row],[RATE CONCAT]],Tables!I:N,5,0)),0)</f>
        <v/>
      </c>
      <c r="CX115" s="347">
        <f>IFERROR(Table410[[#This Row],[Sep_2026_Days_Actual]]*Table410[[#This Row],[Cost Boolean]]*(VLOOKUP(Table410[[#This Row],[RATE CONCAT]],Tables!I:N,5,0)),0)</f>
        <v/>
      </c>
      <c r="CY115" s="347">
        <f>Table410[[#This Row],[Sep_2026_F]]-Table410[[#This Row],[Sep_2026_A]]</f>
        <v/>
      </c>
      <c r="CZ115" s="103" t="n"/>
      <c r="DA115" s="347">
        <f>IFERROR(Table410[[#This Row],[Oct_2026_Days_Forecast]]*Table410[[#This Row],[Cost Boolean]]*(VLOOKUP(Table410[[#This Row],[RATE CONCAT]],Tables!I:N,5,0)),0)</f>
        <v/>
      </c>
      <c r="DB115" s="347">
        <f>IFERROR(Table410[[#This Row],[Oct_2026_Days_Actual]]*Table410[[#This Row],[Cost Boolean]]*(VLOOKUP(Table410[[#This Row],[RATE CONCAT]],Tables!I:N,5,0)),0)</f>
        <v/>
      </c>
      <c r="DC115" s="347">
        <f>Table410[[#This Row],[Oct_2026_F]]-Table410[[#This Row],[Oct_2026_A]]</f>
        <v/>
      </c>
      <c r="DD115" s="103" t="n"/>
      <c r="DE115" s="347">
        <f>IFERROR(Table410[[#This Row],[Nov_2026_Days_Forecast]]*Table410[[#This Row],[Cost Boolean]]*(VLOOKUP(Table410[[#This Row],[RATE CONCAT]],Tables!I:N,5,0)),0)</f>
        <v/>
      </c>
      <c r="DF115" s="347">
        <f>IFERROR(Table410[[#This Row],[Nov_2026_Days_Actual]]*Table410[[#This Row],[Cost Boolean]]*(VLOOKUP(Table410[[#This Row],[RATE CONCAT]],Tables!I:N,5,0)),0)</f>
        <v/>
      </c>
      <c r="DG115" s="347">
        <f>Table410[[#This Row],[Nov_2026_F]]-Table410[[#This Row],[Nov_2026_A]]</f>
        <v/>
      </c>
      <c r="DH115" s="103" t="n"/>
      <c r="DI115" s="347">
        <f>IFERROR(Table410[[#This Row],[Dec_2026_Days_Forecast]]*Table410[[#This Row],[Cost Boolean]]*(VLOOKUP(Table410[[#This Row],[RATE CONCAT]],Tables!I:N,5,0)),0)</f>
        <v/>
      </c>
      <c r="DJ115" s="347">
        <f>IFERROR(Table410[[#This Row],[Dec_2026_Days_Actual]]*Table410[[#This Row],[Cost Boolean]]*(VLOOKUP(Table410[[#This Row],[RATE CONCAT]],Tables!I:N,5,0)),0)</f>
        <v/>
      </c>
      <c r="DK115" s="348">
        <f>Table410[[#This Row],[Dec_2026_F]]-Table410[[#This Row],[Dec_2026_A]]</f>
        <v/>
      </c>
      <c r="DL115" s="103" t="n"/>
      <c r="DM115" s="346" t="n"/>
      <c r="DN115" s="347">
        <f>IFERROR(Table410[[#This Row],[Jan_2027_Days_Forecast]]*Table410[[#This Row],[Cost Boolean]]*(VLOOKUP(Table410[[#This Row],[RATE CONCAT]],Tables!I:N,6,0)),0)</f>
        <v/>
      </c>
      <c r="DO115" s="275" t="n"/>
      <c r="DP115" s="347">
        <f>Table410[[#This Row],[Jan_2027_F]]-Table410[[#This Row],[Jan_2027_A]]</f>
        <v/>
      </c>
      <c r="DQ115" s="347">
        <f>IFERROR(Table410[[#This Row],[Feb_2027_Days_Forecast]]*Table410[[#This Row],[Cost Boolean]]*(VLOOKUP(Table410[[#This Row],[RATE CONCAT]],Tables!I:N,6,0)),0)</f>
        <v/>
      </c>
      <c r="DR115" s="275" t="n"/>
      <c r="DS115" s="347">
        <f>Table410[[#This Row],[Feb_2027_F]]-Table410[[#This Row],[Feb_2027_A]]</f>
        <v/>
      </c>
      <c r="DT115" s="347">
        <f>IFERROR(Table410[[#This Row],[Mar_2027_Days_Forecast]]*Table410[[#This Row],[Cost Boolean]]*(VLOOKUP(Table410[[#This Row],[RATE CONCAT]],Tables!I:N,6,0)),0)</f>
        <v/>
      </c>
      <c r="DU115" s="275" t="n"/>
      <c r="DV115" s="347">
        <f>Table410[[#This Row],[Mar_2027_F]]-Table410[[#This Row],[Mar_2027_A]]</f>
        <v/>
      </c>
      <c r="DW115" s="347">
        <f>IFERROR(Table410[[#This Row],[Apr_2027_Days_Forecast]]*Table410[[#This Row],[Cost Boolean]]*(VLOOKUP(Table410[[#This Row],[RATE CONCAT]],Tables!I:N,6,0)),0)</f>
        <v/>
      </c>
      <c r="DX115" s="275" t="n"/>
      <c r="DY115" s="347">
        <f>Table410[[#This Row],[Apr_2027_F]]-Table410[[#This Row],[Apr_2027_A]]</f>
        <v/>
      </c>
      <c r="DZ115" s="347">
        <f>IFERROR(Table410[[#This Row],[May_2027_Days_Forecast]]*Table410[[#This Row],[Cost Boolean]]*(VLOOKUP(Table410[[#This Row],[RATE CONCAT]],Tables!I:N,6,0)),0)</f>
        <v/>
      </c>
      <c r="EA115" s="275" t="n"/>
      <c r="EB115" s="347">
        <f>Table410[[#This Row],[May_2027_F]]-Table410[[#This Row],[May_2027_A]]</f>
        <v/>
      </c>
      <c r="EC115" s="347">
        <f>IFERROR(Table410[[#This Row],[Jun_2027_Days_Forecast]]*Table410[[#This Row],[Cost Boolean]]*(VLOOKUP(Table410[[#This Row],[RATE CONCAT]],Tables!I:N,6,0)),0)</f>
        <v/>
      </c>
      <c r="ED115" s="275" t="n"/>
      <c r="EE115" s="347">
        <f>Table410[[#This Row],[Jun_2027_F]]-Table410[[#This Row],[Jun_2027_A]]</f>
        <v/>
      </c>
      <c r="EF115" s="347">
        <f>IFERROR(Table410[[#This Row],[Jul_2027_Days_Forecast]]*Table410[[#This Row],[Cost Boolean]]*(VLOOKUP(Table410[[#This Row],[RATE CONCAT]],Tables!I:N,6,0)),0)</f>
        <v/>
      </c>
      <c r="EG115" s="275" t="n"/>
      <c r="EH115" s="347">
        <f>Table410[[#This Row],[Jul_2027_F]]-Table410[[#This Row],[Jul_2027_A]]</f>
        <v/>
      </c>
      <c r="EI115" s="347">
        <f>IFERROR(Table410[[#This Row],[Aug_2027_Days_Forecast]]*Table410[[#This Row],[Cost Boolean]]*(VLOOKUP(Table410[[#This Row],[RATE CONCAT]],Tables!I:N,6,0)),0)</f>
        <v/>
      </c>
      <c r="EJ115" s="275" t="n"/>
      <c r="EK115" s="347">
        <f>Table410[[#This Row],[Aug_2027_F]]-Table410[[#This Row],[Aug_2027_A]]</f>
        <v/>
      </c>
      <c r="EL115" s="347">
        <f>IFERROR(Table410[[#This Row],[Sep_2027_Days_Forecast]]*Table410[[#This Row],[Cost Boolean]]*(VLOOKUP(Table410[[#This Row],[RATE CONCAT]],Tables!I:N,6,0)),0)</f>
        <v/>
      </c>
      <c r="EM115" s="275" t="n"/>
      <c r="EN115" s="347">
        <f>Table410[[#This Row],[Sep_2027_F]]-Table410[[#This Row],[Sep_2027_A]]</f>
        <v/>
      </c>
      <c r="EO115" s="347">
        <f>IFERROR(Table410[[#This Row],[Oct_2027_Days_Forecast]]*Table410[[#This Row],[Cost Boolean]]*(VLOOKUP(Table410[[#This Row],[RATE CONCAT]],Tables!I:N,6,0)),0)</f>
        <v/>
      </c>
      <c r="EP115" s="275" t="n"/>
      <c r="EQ115" s="347">
        <f>Table410[[#This Row],[Oct_2027_F]]-Table410[[#This Row],[Oct_2027_A]]</f>
        <v/>
      </c>
      <c r="ER115" s="347">
        <f>IFERROR(Table410[[#This Row],[Nov_2027_Days_Forecast]]*Table410[[#This Row],[Cost Boolean]]*(VLOOKUP(Table410[[#This Row],[RATE CONCAT]],Tables!I:N,6,0)),0)</f>
        <v/>
      </c>
      <c r="ES115" s="275" t="n"/>
      <c r="ET115" s="347">
        <f>Table410[[#This Row],[Nov_2027_F]]-Table410[[#This Row],[Nov_2027_A]]</f>
        <v/>
      </c>
      <c r="EU115" s="347">
        <f>IFERROR(Table410[[#This Row],[Dec_2027_Days_Forecast]]*Table410[[#This Row],[Cost Boolean]]*(VLOOKUP(Table410[[#This Row],[RATE CONCAT]],Tables!I:N,6,0)),0)</f>
        <v/>
      </c>
      <c r="EV115" s="275" t="n"/>
      <c r="EW115" s="347">
        <f>Table410[[#This Row],[Dec_2027_F]]-Table410[[#This Row],[Dec_2027_A]]</f>
        <v/>
      </c>
    </row>
    <row r="116" ht="1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338">
        <f>CONCATENATE(Table410[[#This Row],[JG]],Table410[[#This Row],[Country]],Table410[[#This Row],[Resource Provider]])</f>
        <v/>
      </c>
      <c r="Z116" s="338">
        <f>VLOOKUP(Table410[[#This Row],[RATE CONCAT]],Tables!I:N,5,0)</f>
        <v/>
      </c>
      <c r="AA116" s="123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124" t="n"/>
      <c r="AN116" s="341">
        <f>IFERROR(AVERAGE(Table410[[#This Row],[Jan_2026_Days_Forecast]:[Dec_2026_Days_Forecast]]),0)/19</f>
        <v/>
      </c>
      <c r="AO116" s="341">
        <f>IFERROR(AVERAGE(Table410[[#This Row],[Jan_2026_Days_Actual]:[Dec_2026_Days_Actual]]),0)/19</f>
        <v/>
      </c>
      <c r="AP116" s="84" t="n"/>
      <c r="AQ116" s="84" t="n"/>
      <c r="AR116" s="84" t="n"/>
      <c r="AS116" s="84" t="n"/>
      <c r="AT116" s="84" t="n"/>
      <c r="AU116" s="84" t="n"/>
      <c r="AV116" s="84" t="n"/>
      <c r="AW116" s="84" t="n"/>
      <c r="AX116" s="84" t="n"/>
      <c r="AY116" s="84" t="n"/>
      <c r="AZ116" s="84" t="n"/>
      <c r="BA116" s="84" t="n"/>
      <c r="BB116" s="341">
        <f>IFERROR(AVERAGE(Table410[[#This Row],[Jan_2027_Days_Forecast]:[Dec_2027_Days_Forecast]]),0)</f>
        <v/>
      </c>
      <c r="BC116" s="127" t="n"/>
      <c r="BD116" s="127" t="n"/>
      <c r="BE116" s="127" t="n"/>
      <c r="BF116" s="127" t="n"/>
      <c r="BG116" s="127" t="n"/>
      <c r="BH116" s="127" t="n"/>
      <c r="BI116" s="127" t="n"/>
      <c r="BJ116" s="127" t="n"/>
      <c r="BK116" s="127" t="n"/>
      <c r="BL116" s="127" t="n"/>
      <c r="BM116" s="127" t="n"/>
      <c r="BN116" s="127" t="n"/>
      <c r="BO116" s="176" t="n"/>
      <c r="BP116" s="176" t="n"/>
      <c r="BQ116" s="345">
        <f>IFERROR(Table410[[#This Row],[Jan_2026_Days_Forecast]]*Table410[[#This Row],[Cost Boolean]]*(VLOOKUP(Table410[[#This Row],[RATE CONCAT]],Tables!I:N,5,0)),0)</f>
        <v/>
      </c>
      <c r="BR116" s="345">
        <f>IFERROR(Table410[[#This Row],[Jan_2026_Days_Actual]]*Table410[[#This Row],[Cost Boolean]]*(VLOOKUP(Table410[[#This Row],[RATE CONCAT]],Tables!I:N,5,0)),0)</f>
        <v/>
      </c>
      <c r="BS116" s="338">
        <f>Table410[[#This Row],[Jan_2026_F]]-Table410[[#This Row],[Jan_2026_A]]</f>
        <v/>
      </c>
      <c r="BT116" s="114" t="n"/>
      <c r="BU116" s="338">
        <f>IFERROR(Table410[[#This Row],[Feb_2026_Days_Forecast]]*Table410[[#This Row],[Cost Boolean]]*(VLOOKUP(Table410[[#This Row],[RATE CONCAT]],Tables!I:N,5,0)),0)</f>
        <v/>
      </c>
      <c r="BV116" s="345">
        <f>IFERROR(Table410[[#This Row],[Feb_2026_Days_Actual]]*Table410[[#This Row],[Cost Boolean]]*(VLOOKUP(Table410[[#This Row],[RATE CONCAT]],Tables!I:N,5,0)),0)</f>
        <v/>
      </c>
      <c r="BW116" s="338">
        <f>Table410[[#This Row],[Feb_2026_F]]-Table410[[#This Row],[Feb_2026_A]]</f>
        <v/>
      </c>
      <c r="BX116" s="275" t="n"/>
      <c r="BY116" s="345">
        <f>IFERROR(Table410[[#This Row],[Mar_2026_Days_Forecast]]*Table410[[#This Row],[Cost Boolean]]*(VLOOKUP(Table410[[#This Row],[RATE CONCAT]],Tables!I:N,5,0)),0)</f>
        <v/>
      </c>
      <c r="BZ116" s="345">
        <f>IFERROR(Table410[[#This Row],[Mar_2026_Days_Actual]]*Table410[[#This Row],[Cost Boolean]]*(VLOOKUP(Table410[[#This Row],[RATE CONCAT]],Tables!I:N,5,0)),0)</f>
        <v/>
      </c>
      <c r="CA116" s="345">
        <f>Table410[[#This Row],[Mar_2026_F]]-Table410[[#This Row],[Mar_2026_A]]</f>
        <v/>
      </c>
      <c r="CB116" s="103" t="n"/>
      <c r="CC116" s="345">
        <f>IFERROR(Table410[[#This Row],[Apr_2026_Days_Forecast]]*Table410[[#This Row],[Cost Boolean]]*(VLOOKUP(Table410[[#This Row],[RATE CONCAT]],Tables!I:N,5,0)),0)</f>
        <v/>
      </c>
      <c r="CD116" s="345">
        <f>IFERROR(Table410[[#This Row],[Apr_2026_Days_Actual]]*Table410[[#This Row],[Cost Boolean]]*(VLOOKUP(Table410[[#This Row],[RATE CONCAT]],Tables!I:N,5,0)),0)</f>
        <v/>
      </c>
      <c r="CE116" s="345">
        <f>Table410[[#This Row],[Apr_2026_F]]-Table410[[#This Row],[Apr_2026_A]]</f>
        <v/>
      </c>
      <c r="CF116" s="103" t="n"/>
      <c r="CG116" s="345">
        <f>IFERROR(Table410[[#This Row],[May_2026_Days_Forecast]] *Table410[[#This Row],[Cost Boolean]]*(VLOOKUP(Table410[[#This Row],[RATE CONCAT]],Tables!I:N,5,0)),0)</f>
        <v/>
      </c>
      <c r="CH116" s="345">
        <f>IFERROR(Table410[[#This Row],[May_2026_Days_Actual]]*Table410[[#This Row],[Cost Boolean]]*(VLOOKUP(Table410[[#This Row],[RATE CONCAT]],Tables!I:N,5,0)),0)</f>
        <v/>
      </c>
      <c r="CI116" s="345">
        <f>Table410[[#This Row],[May_2026_F]]-Table410[[#This Row],[May_2026_A]]</f>
        <v/>
      </c>
      <c r="CJ116" s="103" t="n"/>
      <c r="CK116" s="345">
        <f>IFERROR(Table410[[#This Row],[Jun_2026_Days_Forecast]]*Table410[[#This Row],[Cost Boolean]]*(VLOOKUP(Table410[[#This Row],[RATE CONCAT]],Tables!I:N,5,0)),0)</f>
        <v/>
      </c>
      <c r="CL116" s="345">
        <f>IFERROR(Table410[[#This Row],[Jun_2026_Days_Actual]]*Table410[[#This Row],[Cost Boolean]]*(VLOOKUP(Table410[[#This Row],[RATE CONCAT]],Tables!I:N,5,0)),0)</f>
        <v/>
      </c>
      <c r="CM116" s="345">
        <f>Table410[[#This Row],[Jun_2026_F]]-Table410[[#This Row],[Jun_2026_A]]</f>
        <v/>
      </c>
      <c r="CN116" s="103" t="n"/>
      <c r="CO116" s="345">
        <f>IFERROR(Table410[[#This Row],[Jul_2026_Days_Forecast]]*Table410[[#This Row],[Cost Boolean]]*(VLOOKUP(Table410[[#This Row],[RATE CONCAT]],Tables!I:N,5,0)),0)</f>
        <v/>
      </c>
      <c r="CP116" s="345">
        <f>IFERROR(Table410[[#This Row],[Jul_2026_Days_Actual]]*Table410[[#This Row],[Cost Boolean]]*(VLOOKUP(Table410[[#This Row],[RATE CONCAT]],Tables!I:N,5,0)),0)</f>
        <v/>
      </c>
      <c r="CQ116" s="345">
        <f>Table410[[#This Row],[Jul_2026_F]]-Table410[[#This Row],[Jul_2026_A]]</f>
        <v/>
      </c>
      <c r="CR116" s="103" t="n"/>
      <c r="CS116" s="345">
        <f>IFERROR(Table410[[#This Row],[Aug_2026_Days_Forecast]]*Table410[[#This Row],[Cost Boolean]]*(VLOOKUP(Table410[[#This Row],[RATE CONCAT]],Tables!I:N,5,0)),0)</f>
        <v/>
      </c>
      <c r="CT116" s="345">
        <f>IFERROR(Table410[[#This Row],[Aug_2026_Days_Actual]]*Table410[[#This Row],[Cost Boolean]]*(VLOOKUP(Table410[[#This Row],[RATE CONCAT]],Tables!I:N,5,0)),0)</f>
        <v/>
      </c>
      <c r="CU116" s="345">
        <f>Table410[[#This Row],[Aug_2026_F]]-Table410[[#This Row],[Aug_2026_A]]</f>
        <v/>
      </c>
      <c r="CV116" s="103" t="n"/>
      <c r="CW116" s="345">
        <f>IFERROR(Table410[[#This Row],[Sep_2026_Days_Forecast]]*Table410[[#This Row],[Cost Boolean]]*(VLOOKUP(Table410[[#This Row],[RATE CONCAT]],Tables!I:N,5,0)),0)</f>
        <v/>
      </c>
      <c r="CX116" s="345">
        <f>IFERROR(Table410[[#This Row],[Sep_2026_Days_Actual]]*Table410[[#This Row],[Cost Boolean]]*(VLOOKUP(Table410[[#This Row],[RATE CONCAT]],Tables!I:N,5,0)),0)</f>
        <v/>
      </c>
      <c r="CY116" s="345">
        <f>Table410[[#This Row],[Sep_2026_F]]-Table410[[#This Row],[Sep_2026_A]]</f>
        <v/>
      </c>
      <c r="CZ116" s="103" t="n"/>
      <c r="DA116" s="345">
        <f>IFERROR(Table410[[#This Row],[Oct_2026_Days_Forecast]]*Table410[[#This Row],[Cost Boolean]]*(VLOOKUP(Table410[[#This Row],[RATE CONCAT]],Tables!I:N,5,0)),0)</f>
        <v/>
      </c>
      <c r="DB116" s="345">
        <f>IFERROR(Table410[[#This Row],[Oct_2026_Days_Actual]]*Table410[[#This Row],[Cost Boolean]]*(VLOOKUP(Table410[[#This Row],[RATE CONCAT]],Tables!I:N,5,0)),0)</f>
        <v/>
      </c>
      <c r="DC116" s="345">
        <f>Table410[[#This Row],[Oct_2026_F]]-Table410[[#This Row],[Oct_2026_A]]</f>
        <v/>
      </c>
      <c r="DD116" s="103" t="n"/>
      <c r="DE116" s="345">
        <f>IFERROR(Table410[[#This Row],[Nov_2026_Days_Forecast]]*Table410[[#This Row],[Cost Boolean]]*(VLOOKUP(Table410[[#This Row],[RATE CONCAT]],Tables!I:N,5,0)),0)</f>
        <v/>
      </c>
      <c r="DF116" s="345">
        <f>IFERROR(Table410[[#This Row],[Nov_2026_Days_Actual]]*Table410[[#This Row],[Cost Boolean]]*(VLOOKUP(Table410[[#This Row],[RATE CONCAT]],Tables!I:N,5,0)),0)</f>
        <v/>
      </c>
      <c r="DG116" s="345">
        <f>Table410[[#This Row],[Nov_2026_F]]-Table410[[#This Row],[Nov_2026_A]]</f>
        <v/>
      </c>
      <c r="DH116" s="103" t="n"/>
      <c r="DI116" s="345">
        <f>IFERROR(Table410[[#This Row],[Dec_2026_Days_Forecast]]*Table410[[#This Row],[Cost Boolean]]*(VLOOKUP(Table410[[#This Row],[RATE CONCAT]],Tables!I:N,5,0)),0)</f>
        <v/>
      </c>
      <c r="DJ116" s="345">
        <f>IFERROR(Table410[[#This Row],[Dec_2026_Days_Actual]]*Table410[[#This Row],[Cost Boolean]]*(VLOOKUP(Table410[[#This Row],[RATE CONCAT]],Tables!I:N,5,0)),0)</f>
        <v/>
      </c>
      <c r="DK116" s="349">
        <f>Table410[[#This Row],[Dec_2026_F]]-Table410[[#This Row],[Dec_2026_A]]</f>
        <v/>
      </c>
      <c r="DL116" s="103" t="n"/>
      <c r="DM116" s="346" t="n"/>
      <c r="DN116" s="345">
        <f>IFERROR(Table410[[#This Row],[Jan_2027_Days_Forecast]]*Table410[[#This Row],[Cost Boolean]]*(VLOOKUP(Table410[[#This Row],[RATE CONCAT]],Tables!I:N,6,0)),0)</f>
        <v/>
      </c>
      <c r="DO116" s="275" t="n"/>
      <c r="DP116" s="345">
        <f>Table410[[#This Row],[Jan_2027_F]]-Table410[[#This Row],[Jan_2027_A]]</f>
        <v/>
      </c>
      <c r="DQ116" s="345">
        <f>IFERROR(Table410[[#This Row],[Feb_2027_Days_Forecast]]*Table410[[#This Row],[Cost Boolean]]*(VLOOKUP(Table410[[#This Row],[RATE CONCAT]],Tables!I:N,6,0)),0)</f>
        <v/>
      </c>
      <c r="DR116" s="275" t="n"/>
      <c r="DS116" s="345">
        <f>Table410[[#This Row],[Feb_2027_F]]-Table410[[#This Row],[Feb_2027_A]]</f>
        <v/>
      </c>
      <c r="DT116" s="345">
        <f>IFERROR(Table410[[#This Row],[Mar_2027_Days_Forecast]]*Table410[[#This Row],[Cost Boolean]]*(VLOOKUP(Table410[[#This Row],[RATE CONCAT]],Tables!I:N,6,0)),0)</f>
        <v/>
      </c>
      <c r="DU116" s="275" t="n"/>
      <c r="DV116" s="345">
        <f>Table410[[#This Row],[Mar_2027_F]]-Table410[[#This Row],[Mar_2027_A]]</f>
        <v/>
      </c>
      <c r="DW116" s="345">
        <f>IFERROR(Table410[[#This Row],[Apr_2027_Days_Forecast]]*Table410[[#This Row],[Cost Boolean]]*(VLOOKUP(Table410[[#This Row],[RATE CONCAT]],Tables!I:N,6,0)),0)</f>
        <v/>
      </c>
      <c r="DX116" s="275" t="n"/>
      <c r="DY116" s="345">
        <f>Table410[[#This Row],[Apr_2027_F]]-Table410[[#This Row],[Apr_2027_A]]</f>
        <v/>
      </c>
      <c r="DZ116" s="345">
        <f>IFERROR(Table410[[#This Row],[May_2027_Days_Forecast]]*Table410[[#This Row],[Cost Boolean]]*(VLOOKUP(Table410[[#This Row],[RATE CONCAT]],Tables!I:N,6,0)),0)</f>
        <v/>
      </c>
      <c r="EA116" s="275" t="n"/>
      <c r="EB116" s="345">
        <f>Table410[[#This Row],[May_2027_F]]-Table410[[#This Row],[May_2027_A]]</f>
        <v/>
      </c>
      <c r="EC116" s="345">
        <f>IFERROR(Table410[[#This Row],[Jun_2027_Days_Forecast]]*Table410[[#This Row],[Cost Boolean]]*(VLOOKUP(Table410[[#This Row],[RATE CONCAT]],Tables!I:N,6,0)),0)</f>
        <v/>
      </c>
      <c r="ED116" s="275" t="n"/>
      <c r="EE116" s="345">
        <f>Table410[[#This Row],[Jun_2027_F]]-Table410[[#This Row],[Jun_2027_A]]</f>
        <v/>
      </c>
      <c r="EF116" s="345">
        <f>IFERROR(Table410[[#This Row],[Jul_2027_Days_Forecast]]*Table410[[#This Row],[Cost Boolean]]*(VLOOKUP(Table410[[#This Row],[RATE CONCAT]],Tables!I:N,6,0)),0)</f>
        <v/>
      </c>
      <c r="EG116" s="275" t="n"/>
      <c r="EH116" s="345">
        <f>Table410[[#This Row],[Jul_2027_F]]-Table410[[#This Row],[Jul_2027_A]]</f>
        <v/>
      </c>
      <c r="EI116" s="345">
        <f>IFERROR(Table410[[#This Row],[Aug_2027_Days_Forecast]]*Table410[[#This Row],[Cost Boolean]]*(VLOOKUP(Table410[[#This Row],[RATE CONCAT]],Tables!I:N,6,0)),0)</f>
        <v/>
      </c>
      <c r="EJ116" s="275" t="n"/>
      <c r="EK116" s="345">
        <f>Table410[[#This Row],[Aug_2027_F]]-Table410[[#This Row],[Aug_2027_A]]</f>
        <v/>
      </c>
      <c r="EL116" s="345">
        <f>IFERROR(Table410[[#This Row],[Sep_2027_Days_Forecast]]*Table410[[#This Row],[Cost Boolean]]*(VLOOKUP(Table410[[#This Row],[RATE CONCAT]],Tables!I:N,6,0)),0)</f>
        <v/>
      </c>
      <c r="EM116" s="275" t="n"/>
      <c r="EN116" s="345">
        <f>Table410[[#This Row],[Sep_2027_F]]-Table410[[#This Row],[Sep_2027_A]]</f>
        <v/>
      </c>
      <c r="EO116" s="345">
        <f>IFERROR(Table410[[#This Row],[Oct_2027_Days_Forecast]]*Table410[[#This Row],[Cost Boolean]]*(VLOOKUP(Table410[[#This Row],[RATE CONCAT]],Tables!I:N,6,0)),0)</f>
        <v/>
      </c>
      <c r="EP116" s="275" t="n"/>
      <c r="EQ116" s="345">
        <f>Table410[[#This Row],[Oct_2027_F]]-Table410[[#This Row],[Oct_2027_A]]</f>
        <v/>
      </c>
      <c r="ER116" s="345">
        <f>IFERROR(Table410[[#This Row],[Nov_2027_Days_Forecast]]*Table410[[#This Row],[Cost Boolean]]*(VLOOKUP(Table410[[#This Row],[RATE CONCAT]],Tables!I:N,6,0)),0)</f>
        <v/>
      </c>
      <c r="ES116" s="275" t="n"/>
      <c r="ET116" s="345">
        <f>Table410[[#This Row],[Nov_2027_F]]-Table410[[#This Row],[Nov_2027_A]]</f>
        <v/>
      </c>
      <c r="EU116" s="345">
        <f>IFERROR(Table410[[#This Row],[Dec_2027_Days_Forecast]]*Table410[[#This Row],[Cost Boolean]]*(VLOOKUP(Table410[[#This Row],[RATE CONCAT]],Tables!I:N,6,0)),0)</f>
        <v/>
      </c>
      <c r="EV116" s="275" t="n"/>
      <c r="EW116" s="345">
        <f>Table410[[#This Row],[Dec_2027_F]]-Table410[[#This Row],[Dec_2027_A]]</f>
        <v/>
      </c>
    </row>
    <row r="117" ht="1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342">
        <f>CONCATENATE(Table410[[#This Row],[JG]],Table410[[#This Row],[Country]],Table410[[#This Row],[Resource Provider]])</f>
        <v/>
      </c>
      <c r="Z117" s="342">
        <f>VLOOKUP(Table410[[#This Row],[RATE CONCAT]],Tables!I:N,5,0)</f>
        <v/>
      </c>
      <c r="AA117" s="123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124" t="n"/>
      <c r="AN117" s="341">
        <f>IFERROR(AVERAGE(Table410[[#This Row],[Jan_2026_Days_Forecast]:[Dec_2026_Days_Forecast]]),0)/19</f>
        <v/>
      </c>
      <c r="AO117" s="341">
        <f>IFERROR(AVERAGE(Table410[[#This Row],[Jan_2026_Days_Actual]:[Dec_2026_Days_Actual]]),0)/19</f>
        <v/>
      </c>
      <c r="AP117" s="84" t="n"/>
      <c r="AQ117" s="84" t="n"/>
      <c r="AR117" s="84" t="n"/>
      <c r="AS117" s="84" t="n"/>
      <c r="AT117" s="84" t="n"/>
      <c r="AU117" s="84" t="n"/>
      <c r="AV117" s="84" t="n"/>
      <c r="AW117" s="84" t="n"/>
      <c r="AX117" s="84" t="n"/>
      <c r="AY117" s="84" t="n"/>
      <c r="AZ117" s="84" t="n"/>
      <c r="BA117" s="84" t="n"/>
      <c r="BB117" s="341">
        <f>IFERROR(AVERAGE(Table410[[#This Row],[Jan_2027_Days_Forecast]:[Dec_2027_Days_Forecast]]),0)</f>
        <v/>
      </c>
      <c r="BC117" s="129" t="n"/>
      <c r="BD117" s="129" t="n"/>
      <c r="BE117" s="129" t="n"/>
      <c r="BF117" s="129" t="n"/>
      <c r="BG117" s="129" t="n"/>
      <c r="BH117" s="129" t="n"/>
      <c r="BI117" s="16" t="n"/>
      <c r="BJ117" s="16" t="n"/>
      <c r="BK117" s="16" t="n"/>
      <c r="BL117" s="16" t="n"/>
      <c r="BM117" s="16" t="n"/>
      <c r="BN117" s="125" t="n"/>
      <c r="BO117" s="176" t="n"/>
      <c r="BP117" s="176" t="n"/>
      <c r="BQ117" s="347">
        <f>IFERROR(Table410[[#This Row],[Jan_2026_Days_Forecast]]*Table410[[#This Row],[Cost Boolean]]*(VLOOKUP(Table410[[#This Row],[RATE CONCAT]],Tables!I:N,5,0)),0)</f>
        <v/>
      </c>
      <c r="BR117" s="347">
        <f>IFERROR(Table410[[#This Row],[Jan_2026_Days_Actual]]*Table410[[#This Row],[Cost Boolean]]*(VLOOKUP(Table410[[#This Row],[RATE CONCAT]],Tables!I:N,5,0)),0)</f>
        <v/>
      </c>
      <c r="BS117" s="342">
        <f>Table410[[#This Row],[Jan_2026_F]]-Table410[[#This Row],[Jan_2026_A]]</f>
        <v/>
      </c>
      <c r="BT117" s="114" t="n"/>
      <c r="BU117" s="342">
        <f>IFERROR(Table410[[#This Row],[Feb_2026_Days_Forecast]]*Table410[[#This Row],[Cost Boolean]]*(VLOOKUP(Table410[[#This Row],[RATE CONCAT]],Tables!I:N,5,0)),0)</f>
        <v/>
      </c>
      <c r="BV117" s="347">
        <f>IFERROR(Table410[[#This Row],[Feb_2026_Days_Actual]]*Table410[[#This Row],[Cost Boolean]]*(VLOOKUP(Table410[[#This Row],[RATE CONCAT]],Tables!I:N,5,0)),0)</f>
        <v/>
      </c>
      <c r="BW117" s="342">
        <f>Table410[[#This Row],[Feb_2026_F]]-Table410[[#This Row],[Feb_2026_A]]</f>
        <v/>
      </c>
      <c r="BX117" s="275" t="n"/>
      <c r="BY117" s="347">
        <f>IFERROR(Table410[[#This Row],[Mar_2026_Days_Forecast]]*Table410[[#This Row],[Cost Boolean]]*(VLOOKUP(Table410[[#This Row],[RATE CONCAT]],Tables!I:N,5,0)),0)</f>
        <v/>
      </c>
      <c r="BZ117" s="347">
        <f>IFERROR(Table410[[#This Row],[Mar_2026_Days_Actual]]*Table410[[#This Row],[Cost Boolean]]*(VLOOKUP(Table410[[#This Row],[RATE CONCAT]],Tables!I:N,5,0)),0)</f>
        <v/>
      </c>
      <c r="CA117" s="347">
        <f>Table410[[#This Row],[Mar_2026_F]]-Table410[[#This Row],[Mar_2026_A]]</f>
        <v/>
      </c>
      <c r="CB117" s="103" t="n"/>
      <c r="CC117" s="347">
        <f>IFERROR(Table410[[#This Row],[Apr_2026_Days_Forecast]]*Table410[[#This Row],[Cost Boolean]]*(VLOOKUP(Table410[[#This Row],[RATE CONCAT]],Tables!I:N,5,0)),0)</f>
        <v/>
      </c>
      <c r="CD117" s="347">
        <f>IFERROR(Table410[[#This Row],[Apr_2026_Days_Actual]]*Table410[[#This Row],[Cost Boolean]]*(VLOOKUP(Table410[[#This Row],[RATE CONCAT]],Tables!I:N,5,0)),0)</f>
        <v/>
      </c>
      <c r="CE117" s="347">
        <f>Table410[[#This Row],[Apr_2026_F]]-Table410[[#This Row],[Apr_2026_A]]</f>
        <v/>
      </c>
      <c r="CF117" s="103" t="n"/>
      <c r="CG117" s="347">
        <f>IFERROR(Table410[[#This Row],[May_2026_Days_Forecast]] *Table410[[#This Row],[Cost Boolean]]*(VLOOKUP(Table410[[#This Row],[RATE CONCAT]],Tables!I:N,5,0)),0)</f>
        <v/>
      </c>
      <c r="CH117" s="347">
        <f>IFERROR(Table410[[#This Row],[May_2026_Days_Actual]]*Table410[[#This Row],[Cost Boolean]]*(VLOOKUP(Table410[[#This Row],[RATE CONCAT]],Tables!I:N,5,0)),0)</f>
        <v/>
      </c>
      <c r="CI117" s="347">
        <f>Table410[[#This Row],[May_2026_F]]-Table410[[#This Row],[May_2026_A]]</f>
        <v/>
      </c>
      <c r="CJ117" s="103" t="n"/>
      <c r="CK117" s="347">
        <f>IFERROR(Table410[[#This Row],[Jun_2026_Days_Forecast]]*Table410[[#This Row],[Cost Boolean]]*(VLOOKUP(Table410[[#This Row],[RATE CONCAT]],Tables!I:N,5,0)),0)</f>
        <v/>
      </c>
      <c r="CL117" s="347">
        <f>IFERROR(Table410[[#This Row],[Jun_2026_Days_Actual]]*Table410[[#This Row],[Cost Boolean]]*(VLOOKUP(Table410[[#This Row],[RATE CONCAT]],Tables!I:N,5,0)),0)</f>
        <v/>
      </c>
      <c r="CM117" s="347">
        <f>Table410[[#This Row],[Jun_2026_F]]-Table410[[#This Row],[Jun_2026_A]]</f>
        <v/>
      </c>
      <c r="CN117" s="103" t="n"/>
      <c r="CO117" s="347">
        <f>IFERROR(Table410[[#This Row],[Jul_2026_Days_Forecast]]*Table410[[#This Row],[Cost Boolean]]*(VLOOKUP(Table410[[#This Row],[RATE CONCAT]],Tables!I:N,5,0)),0)</f>
        <v/>
      </c>
      <c r="CP117" s="347">
        <f>IFERROR(Table410[[#This Row],[Jul_2026_Days_Actual]]*Table410[[#This Row],[Cost Boolean]]*(VLOOKUP(Table410[[#This Row],[RATE CONCAT]],Tables!I:N,5,0)),0)</f>
        <v/>
      </c>
      <c r="CQ117" s="347">
        <f>Table410[[#This Row],[Jul_2026_F]]-Table410[[#This Row],[Jul_2026_A]]</f>
        <v/>
      </c>
      <c r="CR117" s="103" t="n"/>
      <c r="CS117" s="347">
        <f>IFERROR(Table410[[#This Row],[Aug_2026_Days_Forecast]]*Table410[[#This Row],[Cost Boolean]]*(VLOOKUP(Table410[[#This Row],[RATE CONCAT]],Tables!I:N,5,0)),0)</f>
        <v/>
      </c>
      <c r="CT117" s="347">
        <f>IFERROR(Table410[[#This Row],[Aug_2026_Days_Actual]]*Table410[[#This Row],[Cost Boolean]]*(VLOOKUP(Table410[[#This Row],[RATE CONCAT]],Tables!I:N,5,0)),0)</f>
        <v/>
      </c>
      <c r="CU117" s="347">
        <f>Table410[[#This Row],[Aug_2026_F]]-Table410[[#This Row],[Aug_2026_A]]</f>
        <v/>
      </c>
      <c r="CV117" s="103" t="n"/>
      <c r="CW117" s="347">
        <f>IFERROR(Table410[[#This Row],[Sep_2026_Days_Forecast]]*Table410[[#This Row],[Cost Boolean]]*(VLOOKUP(Table410[[#This Row],[RATE CONCAT]],Tables!I:N,5,0)),0)</f>
        <v/>
      </c>
      <c r="CX117" s="347">
        <f>IFERROR(Table410[[#This Row],[Sep_2026_Days_Actual]]*Table410[[#This Row],[Cost Boolean]]*(VLOOKUP(Table410[[#This Row],[RATE CONCAT]],Tables!I:N,5,0)),0)</f>
        <v/>
      </c>
      <c r="CY117" s="347">
        <f>Table410[[#This Row],[Sep_2026_F]]-Table410[[#This Row],[Sep_2026_A]]</f>
        <v/>
      </c>
      <c r="CZ117" s="103" t="n"/>
      <c r="DA117" s="347">
        <f>IFERROR(Table410[[#This Row],[Oct_2026_Days_Forecast]]*Table410[[#This Row],[Cost Boolean]]*(VLOOKUP(Table410[[#This Row],[RATE CONCAT]],Tables!I:N,5,0)),0)</f>
        <v/>
      </c>
      <c r="DB117" s="347">
        <f>IFERROR(Table410[[#This Row],[Oct_2026_Days_Actual]]*Table410[[#This Row],[Cost Boolean]]*(VLOOKUP(Table410[[#This Row],[RATE CONCAT]],Tables!I:N,5,0)),0)</f>
        <v/>
      </c>
      <c r="DC117" s="347">
        <f>Table410[[#This Row],[Oct_2026_F]]-Table410[[#This Row],[Oct_2026_A]]</f>
        <v/>
      </c>
      <c r="DD117" s="103" t="n"/>
      <c r="DE117" s="347">
        <f>IFERROR(Table410[[#This Row],[Nov_2026_Days_Forecast]]*Table410[[#This Row],[Cost Boolean]]*(VLOOKUP(Table410[[#This Row],[RATE CONCAT]],Tables!I:N,5,0)),0)</f>
        <v/>
      </c>
      <c r="DF117" s="347">
        <f>IFERROR(Table410[[#This Row],[Nov_2026_Days_Actual]]*Table410[[#This Row],[Cost Boolean]]*(VLOOKUP(Table410[[#This Row],[RATE CONCAT]],Tables!I:N,5,0)),0)</f>
        <v/>
      </c>
      <c r="DG117" s="347">
        <f>Table410[[#This Row],[Nov_2026_F]]-Table410[[#This Row],[Nov_2026_A]]</f>
        <v/>
      </c>
      <c r="DH117" s="103" t="n"/>
      <c r="DI117" s="347">
        <f>IFERROR(Table410[[#This Row],[Dec_2026_Days_Forecast]]*Table410[[#This Row],[Cost Boolean]]*(VLOOKUP(Table410[[#This Row],[RATE CONCAT]],Tables!I:N,5,0)),0)</f>
        <v/>
      </c>
      <c r="DJ117" s="347">
        <f>IFERROR(Table410[[#This Row],[Dec_2026_Days_Actual]]*Table410[[#This Row],[Cost Boolean]]*(VLOOKUP(Table410[[#This Row],[RATE CONCAT]],Tables!I:N,5,0)),0)</f>
        <v/>
      </c>
      <c r="DK117" s="348">
        <f>Table410[[#This Row],[Dec_2026_F]]-Table410[[#This Row],[Dec_2026_A]]</f>
        <v/>
      </c>
      <c r="DL117" s="103" t="n"/>
      <c r="DM117" s="346" t="n"/>
      <c r="DN117" s="347">
        <f>IFERROR(Table410[[#This Row],[Jan_2027_Days_Forecast]]*Table410[[#This Row],[Cost Boolean]]*(VLOOKUP(Table410[[#This Row],[RATE CONCAT]],Tables!I:N,6,0)),0)</f>
        <v/>
      </c>
      <c r="DO117" s="275" t="n"/>
      <c r="DP117" s="347">
        <f>Table410[[#This Row],[Jan_2027_F]]-Table410[[#This Row],[Jan_2027_A]]</f>
        <v/>
      </c>
      <c r="DQ117" s="347">
        <f>IFERROR(Table410[[#This Row],[Feb_2027_Days_Forecast]]*Table410[[#This Row],[Cost Boolean]]*(VLOOKUP(Table410[[#This Row],[RATE CONCAT]],Tables!I:N,6,0)),0)</f>
        <v/>
      </c>
      <c r="DR117" s="275" t="n"/>
      <c r="DS117" s="347">
        <f>Table410[[#This Row],[Feb_2027_F]]-Table410[[#This Row],[Feb_2027_A]]</f>
        <v/>
      </c>
      <c r="DT117" s="347">
        <f>IFERROR(Table410[[#This Row],[Mar_2027_Days_Forecast]]*Table410[[#This Row],[Cost Boolean]]*(VLOOKUP(Table410[[#This Row],[RATE CONCAT]],Tables!I:N,6,0)),0)</f>
        <v/>
      </c>
      <c r="DU117" s="275" t="n"/>
      <c r="DV117" s="347">
        <f>Table410[[#This Row],[Mar_2027_F]]-Table410[[#This Row],[Mar_2027_A]]</f>
        <v/>
      </c>
      <c r="DW117" s="347">
        <f>IFERROR(Table410[[#This Row],[Apr_2027_Days_Forecast]]*Table410[[#This Row],[Cost Boolean]]*(VLOOKUP(Table410[[#This Row],[RATE CONCAT]],Tables!I:N,6,0)),0)</f>
        <v/>
      </c>
      <c r="DX117" s="275" t="n"/>
      <c r="DY117" s="347">
        <f>Table410[[#This Row],[Apr_2027_F]]-Table410[[#This Row],[Apr_2027_A]]</f>
        <v/>
      </c>
      <c r="DZ117" s="347">
        <f>IFERROR(Table410[[#This Row],[May_2027_Days_Forecast]]*Table410[[#This Row],[Cost Boolean]]*(VLOOKUP(Table410[[#This Row],[RATE CONCAT]],Tables!I:N,6,0)),0)</f>
        <v/>
      </c>
      <c r="EA117" s="275" t="n"/>
      <c r="EB117" s="347">
        <f>Table410[[#This Row],[May_2027_F]]-Table410[[#This Row],[May_2027_A]]</f>
        <v/>
      </c>
      <c r="EC117" s="347">
        <f>IFERROR(Table410[[#This Row],[Jun_2027_Days_Forecast]]*Table410[[#This Row],[Cost Boolean]]*(VLOOKUP(Table410[[#This Row],[RATE CONCAT]],Tables!I:N,6,0)),0)</f>
        <v/>
      </c>
      <c r="ED117" s="275" t="n"/>
      <c r="EE117" s="347">
        <f>Table410[[#This Row],[Jun_2027_F]]-Table410[[#This Row],[Jun_2027_A]]</f>
        <v/>
      </c>
      <c r="EF117" s="347">
        <f>IFERROR(Table410[[#This Row],[Jul_2027_Days_Forecast]]*Table410[[#This Row],[Cost Boolean]]*(VLOOKUP(Table410[[#This Row],[RATE CONCAT]],Tables!I:N,6,0)),0)</f>
        <v/>
      </c>
      <c r="EG117" s="275" t="n"/>
      <c r="EH117" s="347">
        <f>Table410[[#This Row],[Jul_2027_F]]-Table410[[#This Row],[Jul_2027_A]]</f>
        <v/>
      </c>
      <c r="EI117" s="347">
        <f>IFERROR(Table410[[#This Row],[Aug_2027_Days_Forecast]]*Table410[[#This Row],[Cost Boolean]]*(VLOOKUP(Table410[[#This Row],[RATE CONCAT]],Tables!I:N,6,0)),0)</f>
        <v/>
      </c>
      <c r="EJ117" s="275" t="n"/>
      <c r="EK117" s="347">
        <f>Table410[[#This Row],[Aug_2027_F]]-Table410[[#This Row],[Aug_2027_A]]</f>
        <v/>
      </c>
      <c r="EL117" s="347">
        <f>IFERROR(Table410[[#This Row],[Sep_2027_Days_Forecast]]*Table410[[#This Row],[Cost Boolean]]*(VLOOKUP(Table410[[#This Row],[RATE CONCAT]],Tables!I:N,6,0)),0)</f>
        <v/>
      </c>
      <c r="EM117" s="275" t="n"/>
      <c r="EN117" s="347">
        <f>Table410[[#This Row],[Sep_2027_F]]-Table410[[#This Row],[Sep_2027_A]]</f>
        <v/>
      </c>
      <c r="EO117" s="347">
        <f>IFERROR(Table410[[#This Row],[Oct_2027_Days_Forecast]]*Table410[[#This Row],[Cost Boolean]]*(VLOOKUP(Table410[[#This Row],[RATE CONCAT]],Tables!I:N,6,0)),0)</f>
        <v/>
      </c>
      <c r="EP117" s="275" t="n"/>
      <c r="EQ117" s="347">
        <f>Table410[[#This Row],[Oct_2027_F]]-Table410[[#This Row],[Oct_2027_A]]</f>
        <v/>
      </c>
      <c r="ER117" s="347">
        <f>IFERROR(Table410[[#This Row],[Nov_2027_Days_Forecast]]*Table410[[#This Row],[Cost Boolean]]*(VLOOKUP(Table410[[#This Row],[RATE CONCAT]],Tables!I:N,6,0)),0)</f>
        <v/>
      </c>
      <c r="ES117" s="275" t="n"/>
      <c r="ET117" s="347">
        <f>Table410[[#This Row],[Nov_2027_F]]-Table410[[#This Row],[Nov_2027_A]]</f>
        <v/>
      </c>
      <c r="EU117" s="347">
        <f>IFERROR(Table410[[#This Row],[Dec_2027_Days_Forecast]]*Table410[[#This Row],[Cost Boolean]]*(VLOOKUP(Table410[[#This Row],[RATE CONCAT]],Tables!I:N,6,0)),0)</f>
        <v/>
      </c>
      <c r="EV117" s="275" t="n"/>
      <c r="EW117" s="347">
        <f>Table410[[#This Row],[Dec_2027_F]]-Table410[[#This Row],[Dec_2027_A]]</f>
        <v/>
      </c>
    </row>
    <row r="118" ht="1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338">
        <f>CONCATENATE(Table410[[#This Row],[JG]],Table410[[#This Row],[Country]],Table410[[#This Row],[Resource Provider]])</f>
        <v/>
      </c>
      <c r="Z118" s="338">
        <f>VLOOKUP(Table410[[#This Row],[RATE CONCAT]],Tables!I:N,5,0)</f>
        <v/>
      </c>
      <c r="AA118" s="123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124" t="n"/>
      <c r="AN118" s="341">
        <f>IFERROR(AVERAGE(Table410[[#This Row],[Jan_2026_Days_Forecast]:[Dec_2026_Days_Forecast]]),0)/19</f>
        <v/>
      </c>
      <c r="AO118" s="341">
        <f>IFERROR(AVERAGE(Table410[[#This Row],[Jan_2026_Days_Actual]:[Dec_2026_Days_Actual]]),0)/19</f>
        <v/>
      </c>
      <c r="AP118" s="84" t="n"/>
      <c r="AQ118" s="84" t="n"/>
      <c r="AR118" s="84" t="n"/>
      <c r="AS118" s="84" t="n"/>
      <c r="AT118" s="84" t="n"/>
      <c r="AU118" s="84" t="n"/>
      <c r="AV118" s="84" t="n"/>
      <c r="AW118" s="84" t="n"/>
      <c r="AX118" s="84" t="n"/>
      <c r="AY118" s="84" t="n"/>
      <c r="AZ118" s="84" t="n"/>
      <c r="BA118" s="84" t="n"/>
      <c r="BB118" s="341">
        <f>IFERROR(AVERAGE(Table410[[#This Row],[Jan_2027_Days_Forecast]:[Dec_2027_Days_Forecast]]),0)</f>
        <v/>
      </c>
      <c r="BC118" s="129" t="n"/>
      <c r="BD118" s="129" t="n"/>
      <c r="BE118" s="129" t="n"/>
      <c r="BF118" s="129" t="n"/>
      <c r="BG118" s="129" t="n"/>
      <c r="BH118" s="129" t="n"/>
      <c r="BI118" s="16" t="n"/>
      <c r="BJ118" s="16" t="n"/>
      <c r="BK118" s="16" t="n"/>
      <c r="BL118" s="16" t="n"/>
      <c r="BM118" s="16" t="n"/>
      <c r="BN118" s="125" t="n"/>
      <c r="BO118" s="176" t="n"/>
      <c r="BP118" s="176" t="n"/>
      <c r="BQ118" s="345">
        <f>IFERROR(Table410[[#This Row],[Jan_2026_Days_Forecast]]*Table410[[#This Row],[Cost Boolean]]*(VLOOKUP(Table410[[#This Row],[RATE CONCAT]],Tables!I:N,5,0)),0)</f>
        <v/>
      </c>
      <c r="BR118" s="345">
        <f>IFERROR(Table410[[#This Row],[Jan_2026_Days_Actual]]*Table410[[#This Row],[Cost Boolean]]*(VLOOKUP(Table410[[#This Row],[RATE CONCAT]],Tables!I:N,5,0)),0)</f>
        <v/>
      </c>
      <c r="BS118" s="338">
        <f>Table410[[#This Row],[Jan_2026_F]]-Table410[[#This Row],[Jan_2026_A]]</f>
        <v/>
      </c>
      <c r="BT118" s="114" t="n"/>
      <c r="BU118" s="338">
        <f>IFERROR(Table410[[#This Row],[Feb_2026_Days_Forecast]]*Table410[[#This Row],[Cost Boolean]]*(VLOOKUP(Table410[[#This Row],[RATE CONCAT]],Tables!I:N,5,0)),0)</f>
        <v/>
      </c>
      <c r="BV118" s="345">
        <f>IFERROR(Table410[[#This Row],[Feb_2026_Days_Actual]]*Table410[[#This Row],[Cost Boolean]]*(VLOOKUP(Table410[[#This Row],[RATE CONCAT]],Tables!I:N,5,0)),0)</f>
        <v/>
      </c>
      <c r="BW118" s="338">
        <f>Table410[[#This Row],[Feb_2026_F]]-Table410[[#This Row],[Feb_2026_A]]</f>
        <v/>
      </c>
      <c r="BX118" s="275" t="n"/>
      <c r="BY118" s="345">
        <f>IFERROR(Table410[[#This Row],[Mar_2026_Days_Forecast]]*Table410[[#This Row],[Cost Boolean]]*(VLOOKUP(Table410[[#This Row],[RATE CONCAT]],Tables!I:N,5,0)),0)</f>
        <v/>
      </c>
      <c r="BZ118" s="345">
        <f>IFERROR(Table410[[#This Row],[Mar_2026_Days_Actual]]*Table410[[#This Row],[Cost Boolean]]*(VLOOKUP(Table410[[#This Row],[RATE CONCAT]],Tables!I:N,5,0)),0)</f>
        <v/>
      </c>
      <c r="CA118" s="345">
        <f>Table410[[#This Row],[Mar_2026_F]]-Table410[[#This Row],[Mar_2026_A]]</f>
        <v/>
      </c>
      <c r="CB118" s="103" t="n"/>
      <c r="CC118" s="345">
        <f>IFERROR(Table410[[#This Row],[Apr_2026_Days_Forecast]]*Table410[[#This Row],[Cost Boolean]]*(VLOOKUP(Table410[[#This Row],[RATE CONCAT]],Tables!I:N,5,0)),0)</f>
        <v/>
      </c>
      <c r="CD118" s="345">
        <f>IFERROR(Table410[[#This Row],[Apr_2026_Days_Actual]]*Table410[[#This Row],[Cost Boolean]]*(VLOOKUP(Table410[[#This Row],[RATE CONCAT]],Tables!I:N,5,0)),0)</f>
        <v/>
      </c>
      <c r="CE118" s="345">
        <f>Table410[[#This Row],[Apr_2026_F]]-Table410[[#This Row],[Apr_2026_A]]</f>
        <v/>
      </c>
      <c r="CF118" s="103" t="n"/>
      <c r="CG118" s="345">
        <f>IFERROR(Table410[[#This Row],[May_2026_Days_Forecast]] *Table410[[#This Row],[Cost Boolean]]*(VLOOKUP(Table410[[#This Row],[RATE CONCAT]],Tables!I:N,5,0)),0)</f>
        <v/>
      </c>
      <c r="CH118" s="345">
        <f>IFERROR(Table410[[#This Row],[May_2026_Days_Actual]]*Table410[[#This Row],[Cost Boolean]]*(VLOOKUP(Table410[[#This Row],[RATE CONCAT]],Tables!I:N,5,0)),0)</f>
        <v/>
      </c>
      <c r="CI118" s="345">
        <f>Table410[[#This Row],[May_2026_F]]-Table410[[#This Row],[May_2026_A]]</f>
        <v/>
      </c>
      <c r="CJ118" s="103" t="n"/>
      <c r="CK118" s="345">
        <f>IFERROR(Table410[[#This Row],[Jun_2026_Days_Forecast]]*Table410[[#This Row],[Cost Boolean]]*(VLOOKUP(Table410[[#This Row],[RATE CONCAT]],Tables!I:N,5,0)),0)</f>
        <v/>
      </c>
      <c r="CL118" s="345">
        <f>IFERROR(Table410[[#This Row],[Jun_2026_Days_Actual]]*Table410[[#This Row],[Cost Boolean]]*(VLOOKUP(Table410[[#This Row],[RATE CONCAT]],Tables!I:N,5,0)),0)</f>
        <v/>
      </c>
      <c r="CM118" s="345">
        <f>Table410[[#This Row],[Jun_2026_F]]-Table410[[#This Row],[Jun_2026_A]]</f>
        <v/>
      </c>
      <c r="CN118" s="103" t="n"/>
      <c r="CO118" s="345">
        <f>IFERROR(Table410[[#This Row],[Jul_2026_Days_Forecast]]*Table410[[#This Row],[Cost Boolean]]*(VLOOKUP(Table410[[#This Row],[RATE CONCAT]],Tables!I:N,5,0)),0)</f>
        <v/>
      </c>
      <c r="CP118" s="345">
        <f>IFERROR(Table410[[#This Row],[Jul_2026_Days_Actual]]*Table410[[#This Row],[Cost Boolean]]*(VLOOKUP(Table410[[#This Row],[RATE CONCAT]],Tables!I:N,5,0)),0)</f>
        <v/>
      </c>
      <c r="CQ118" s="345">
        <f>Table410[[#This Row],[Jul_2026_F]]-Table410[[#This Row],[Jul_2026_A]]</f>
        <v/>
      </c>
      <c r="CR118" s="103" t="n"/>
      <c r="CS118" s="345">
        <f>IFERROR(Table410[[#This Row],[Aug_2026_Days_Forecast]]*Table410[[#This Row],[Cost Boolean]]*(VLOOKUP(Table410[[#This Row],[RATE CONCAT]],Tables!I:N,5,0)),0)</f>
        <v/>
      </c>
      <c r="CT118" s="345">
        <f>IFERROR(Table410[[#This Row],[Aug_2026_Days_Actual]]*Table410[[#This Row],[Cost Boolean]]*(VLOOKUP(Table410[[#This Row],[RATE CONCAT]],Tables!I:N,5,0)),0)</f>
        <v/>
      </c>
      <c r="CU118" s="345">
        <f>Table410[[#This Row],[Aug_2026_F]]-Table410[[#This Row],[Aug_2026_A]]</f>
        <v/>
      </c>
      <c r="CV118" s="103" t="n"/>
      <c r="CW118" s="345">
        <f>IFERROR(Table410[[#This Row],[Sep_2026_Days_Forecast]]*Table410[[#This Row],[Cost Boolean]]*(VLOOKUP(Table410[[#This Row],[RATE CONCAT]],Tables!I:N,5,0)),0)</f>
        <v/>
      </c>
      <c r="CX118" s="345">
        <f>IFERROR(Table410[[#This Row],[Sep_2026_Days_Actual]]*Table410[[#This Row],[Cost Boolean]]*(VLOOKUP(Table410[[#This Row],[RATE CONCAT]],Tables!I:N,5,0)),0)</f>
        <v/>
      </c>
      <c r="CY118" s="345">
        <f>Table410[[#This Row],[Sep_2026_F]]-Table410[[#This Row],[Sep_2026_A]]</f>
        <v/>
      </c>
      <c r="CZ118" s="103" t="n"/>
      <c r="DA118" s="345">
        <f>IFERROR(Table410[[#This Row],[Oct_2026_Days_Forecast]]*Table410[[#This Row],[Cost Boolean]]*(VLOOKUP(Table410[[#This Row],[RATE CONCAT]],Tables!I:N,5,0)),0)</f>
        <v/>
      </c>
      <c r="DB118" s="345">
        <f>IFERROR(Table410[[#This Row],[Oct_2026_Days_Actual]]*Table410[[#This Row],[Cost Boolean]]*(VLOOKUP(Table410[[#This Row],[RATE CONCAT]],Tables!I:N,5,0)),0)</f>
        <v/>
      </c>
      <c r="DC118" s="345">
        <f>Table410[[#This Row],[Oct_2026_F]]-Table410[[#This Row],[Oct_2026_A]]</f>
        <v/>
      </c>
      <c r="DD118" s="103" t="n"/>
      <c r="DE118" s="345">
        <f>IFERROR(Table410[[#This Row],[Nov_2026_Days_Forecast]]*Table410[[#This Row],[Cost Boolean]]*(VLOOKUP(Table410[[#This Row],[RATE CONCAT]],Tables!I:N,5,0)),0)</f>
        <v/>
      </c>
      <c r="DF118" s="345">
        <f>IFERROR(Table410[[#This Row],[Nov_2026_Days_Actual]]*Table410[[#This Row],[Cost Boolean]]*(VLOOKUP(Table410[[#This Row],[RATE CONCAT]],Tables!I:N,5,0)),0)</f>
        <v/>
      </c>
      <c r="DG118" s="345">
        <f>Table410[[#This Row],[Nov_2026_F]]-Table410[[#This Row],[Nov_2026_A]]</f>
        <v/>
      </c>
      <c r="DH118" s="103" t="n"/>
      <c r="DI118" s="345">
        <f>IFERROR(Table410[[#This Row],[Dec_2026_Days_Forecast]]*Table410[[#This Row],[Cost Boolean]]*(VLOOKUP(Table410[[#This Row],[RATE CONCAT]],Tables!I:N,5,0)),0)</f>
        <v/>
      </c>
      <c r="DJ118" s="345">
        <f>IFERROR(Table410[[#This Row],[Dec_2026_Days_Actual]]*Table410[[#This Row],[Cost Boolean]]*(VLOOKUP(Table410[[#This Row],[RATE CONCAT]],Tables!I:N,5,0)),0)</f>
        <v/>
      </c>
      <c r="DK118" s="349">
        <f>Table410[[#This Row],[Dec_2026_F]]-Table410[[#This Row],[Dec_2026_A]]</f>
        <v/>
      </c>
      <c r="DL118" s="103" t="n"/>
      <c r="DM118" s="346" t="n"/>
      <c r="DN118" s="345">
        <f>IFERROR(Table410[[#This Row],[Jan_2027_Days_Forecast]]*Table410[[#This Row],[Cost Boolean]]*(VLOOKUP(Table410[[#This Row],[RATE CONCAT]],Tables!I:N,6,0)),0)</f>
        <v/>
      </c>
      <c r="DO118" s="275" t="n"/>
      <c r="DP118" s="345">
        <f>Table410[[#This Row],[Jan_2027_F]]-Table410[[#This Row],[Jan_2027_A]]</f>
        <v/>
      </c>
      <c r="DQ118" s="345">
        <f>IFERROR(Table410[[#This Row],[Feb_2027_Days_Forecast]]*Table410[[#This Row],[Cost Boolean]]*(VLOOKUP(Table410[[#This Row],[RATE CONCAT]],Tables!I:N,6,0)),0)</f>
        <v/>
      </c>
      <c r="DR118" s="275" t="n"/>
      <c r="DS118" s="345">
        <f>Table410[[#This Row],[Feb_2027_F]]-Table410[[#This Row],[Feb_2027_A]]</f>
        <v/>
      </c>
      <c r="DT118" s="345">
        <f>IFERROR(Table410[[#This Row],[Mar_2027_Days_Forecast]]*Table410[[#This Row],[Cost Boolean]]*(VLOOKUP(Table410[[#This Row],[RATE CONCAT]],Tables!I:N,6,0)),0)</f>
        <v/>
      </c>
      <c r="DU118" s="275" t="n"/>
      <c r="DV118" s="345">
        <f>Table410[[#This Row],[Mar_2027_F]]-Table410[[#This Row],[Mar_2027_A]]</f>
        <v/>
      </c>
      <c r="DW118" s="345">
        <f>IFERROR(Table410[[#This Row],[Apr_2027_Days_Forecast]]*Table410[[#This Row],[Cost Boolean]]*(VLOOKUP(Table410[[#This Row],[RATE CONCAT]],Tables!I:N,6,0)),0)</f>
        <v/>
      </c>
      <c r="DX118" s="275" t="n"/>
      <c r="DY118" s="345">
        <f>Table410[[#This Row],[Apr_2027_F]]-Table410[[#This Row],[Apr_2027_A]]</f>
        <v/>
      </c>
      <c r="DZ118" s="345">
        <f>IFERROR(Table410[[#This Row],[May_2027_Days_Forecast]]*Table410[[#This Row],[Cost Boolean]]*(VLOOKUP(Table410[[#This Row],[RATE CONCAT]],Tables!I:N,6,0)),0)</f>
        <v/>
      </c>
      <c r="EA118" s="275" t="n"/>
      <c r="EB118" s="345">
        <f>Table410[[#This Row],[May_2027_F]]-Table410[[#This Row],[May_2027_A]]</f>
        <v/>
      </c>
      <c r="EC118" s="345">
        <f>IFERROR(Table410[[#This Row],[Jun_2027_Days_Forecast]]*Table410[[#This Row],[Cost Boolean]]*(VLOOKUP(Table410[[#This Row],[RATE CONCAT]],Tables!I:N,6,0)),0)</f>
        <v/>
      </c>
      <c r="ED118" s="275" t="n"/>
      <c r="EE118" s="345">
        <f>Table410[[#This Row],[Jun_2027_F]]-Table410[[#This Row],[Jun_2027_A]]</f>
        <v/>
      </c>
      <c r="EF118" s="345">
        <f>IFERROR(Table410[[#This Row],[Jul_2027_Days_Forecast]]*Table410[[#This Row],[Cost Boolean]]*(VLOOKUP(Table410[[#This Row],[RATE CONCAT]],Tables!I:N,6,0)),0)</f>
        <v/>
      </c>
      <c r="EG118" s="275" t="n"/>
      <c r="EH118" s="345">
        <f>Table410[[#This Row],[Jul_2027_F]]-Table410[[#This Row],[Jul_2027_A]]</f>
        <v/>
      </c>
      <c r="EI118" s="345">
        <f>IFERROR(Table410[[#This Row],[Aug_2027_Days_Forecast]]*Table410[[#This Row],[Cost Boolean]]*(VLOOKUP(Table410[[#This Row],[RATE CONCAT]],Tables!I:N,6,0)),0)</f>
        <v/>
      </c>
      <c r="EJ118" s="275" t="n"/>
      <c r="EK118" s="345">
        <f>Table410[[#This Row],[Aug_2027_F]]-Table410[[#This Row],[Aug_2027_A]]</f>
        <v/>
      </c>
      <c r="EL118" s="345">
        <f>IFERROR(Table410[[#This Row],[Sep_2027_Days_Forecast]]*Table410[[#This Row],[Cost Boolean]]*(VLOOKUP(Table410[[#This Row],[RATE CONCAT]],Tables!I:N,6,0)),0)</f>
        <v/>
      </c>
      <c r="EM118" s="275" t="n"/>
      <c r="EN118" s="345">
        <f>Table410[[#This Row],[Sep_2027_F]]-Table410[[#This Row],[Sep_2027_A]]</f>
        <v/>
      </c>
      <c r="EO118" s="345">
        <f>IFERROR(Table410[[#This Row],[Oct_2027_Days_Forecast]]*Table410[[#This Row],[Cost Boolean]]*(VLOOKUP(Table410[[#This Row],[RATE CONCAT]],Tables!I:N,6,0)),0)</f>
        <v/>
      </c>
      <c r="EP118" s="275" t="n"/>
      <c r="EQ118" s="345">
        <f>Table410[[#This Row],[Oct_2027_F]]-Table410[[#This Row],[Oct_2027_A]]</f>
        <v/>
      </c>
      <c r="ER118" s="345">
        <f>IFERROR(Table410[[#This Row],[Nov_2027_Days_Forecast]]*Table410[[#This Row],[Cost Boolean]]*(VLOOKUP(Table410[[#This Row],[RATE CONCAT]],Tables!I:N,6,0)),0)</f>
        <v/>
      </c>
      <c r="ES118" s="275" t="n"/>
      <c r="ET118" s="345">
        <f>Table410[[#This Row],[Nov_2027_F]]-Table410[[#This Row],[Nov_2027_A]]</f>
        <v/>
      </c>
      <c r="EU118" s="345">
        <f>IFERROR(Table410[[#This Row],[Dec_2027_Days_Forecast]]*Table410[[#This Row],[Cost Boolean]]*(VLOOKUP(Table410[[#This Row],[RATE CONCAT]],Tables!I:N,6,0)),0)</f>
        <v/>
      </c>
      <c r="EV118" s="275" t="n"/>
      <c r="EW118" s="345">
        <f>Table410[[#This Row],[Dec_2027_F]]-Table410[[#This Row],[Dec_2027_A]]</f>
        <v/>
      </c>
    </row>
    <row r="119" ht="1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342">
        <f>CONCATENATE(Table410[[#This Row],[JG]],Table410[[#This Row],[Country]],Table410[[#This Row],[Resource Provider]])</f>
        <v/>
      </c>
      <c r="Z119" s="342">
        <f>VLOOKUP(Table410[[#This Row],[RATE CONCAT]],Tables!I:N,5,0)</f>
        <v/>
      </c>
      <c r="AA119" s="123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124" t="n"/>
      <c r="AN119" s="341">
        <f>IFERROR(AVERAGE(Table410[[#This Row],[Jan_2026_Days_Forecast]:[Dec_2026_Days_Forecast]]),0)/19</f>
        <v/>
      </c>
      <c r="AO119" s="341">
        <f>IFERROR(AVERAGE(Table410[[#This Row],[Jan_2026_Days_Actual]:[Dec_2026_Days_Actual]]),0)/19</f>
        <v/>
      </c>
      <c r="AP119" s="84" t="n"/>
      <c r="AQ119" s="84" t="n"/>
      <c r="AR119" s="84" t="n"/>
      <c r="AS119" s="84" t="n"/>
      <c r="AT119" s="84" t="n"/>
      <c r="AU119" s="84" t="n"/>
      <c r="AV119" s="84" t="n"/>
      <c r="AW119" s="84" t="n"/>
      <c r="AX119" s="84" t="n"/>
      <c r="AY119" s="84" t="n"/>
      <c r="AZ119" s="84" t="n"/>
      <c r="BA119" s="84" t="n"/>
      <c r="BB119" s="341">
        <f>IFERROR(AVERAGE(Table410[[#This Row],[Jan_2027_Days_Forecast]:[Dec_2027_Days_Forecast]]),0)</f>
        <v/>
      </c>
      <c r="BC119" s="129" t="n"/>
      <c r="BD119" s="129" t="n"/>
      <c r="BE119" s="129" t="n"/>
      <c r="BF119" s="129" t="n"/>
      <c r="BG119" s="129" t="n"/>
      <c r="BH119" s="129" t="n"/>
      <c r="BI119" s="16" t="n"/>
      <c r="BJ119" s="16" t="n"/>
      <c r="BK119" s="16" t="n"/>
      <c r="BL119" s="16" t="n"/>
      <c r="BM119" s="16" t="n"/>
      <c r="BN119" s="125" t="n"/>
      <c r="BO119" s="176" t="n"/>
      <c r="BP119" s="176" t="n"/>
      <c r="BQ119" s="347">
        <f>IFERROR(Table410[[#This Row],[Jan_2026_Days_Forecast]]*Table410[[#This Row],[Cost Boolean]]*(VLOOKUP(Table410[[#This Row],[RATE CONCAT]],Tables!I:N,5,0)),0)</f>
        <v/>
      </c>
      <c r="BR119" s="347">
        <f>IFERROR(Table410[[#This Row],[Jan_2026_Days_Actual]]*Table410[[#This Row],[Cost Boolean]]*(VLOOKUP(Table410[[#This Row],[RATE CONCAT]],Tables!I:N,5,0)),0)</f>
        <v/>
      </c>
      <c r="BS119" s="342">
        <f>Table410[[#This Row],[Jan_2026_F]]-Table410[[#This Row],[Jan_2026_A]]</f>
        <v/>
      </c>
      <c r="BT119" s="114" t="n"/>
      <c r="BU119" s="342">
        <f>IFERROR(Table410[[#This Row],[Feb_2026_Days_Forecast]]*Table410[[#This Row],[Cost Boolean]]*(VLOOKUP(Table410[[#This Row],[RATE CONCAT]],Tables!I:N,5,0)),0)</f>
        <v/>
      </c>
      <c r="BV119" s="347">
        <f>IFERROR(Table410[[#This Row],[Feb_2026_Days_Actual]]*Table410[[#This Row],[Cost Boolean]]*(VLOOKUP(Table410[[#This Row],[RATE CONCAT]],Tables!I:N,5,0)),0)</f>
        <v/>
      </c>
      <c r="BW119" s="342">
        <f>Table410[[#This Row],[Feb_2026_F]]-Table410[[#This Row],[Feb_2026_A]]</f>
        <v/>
      </c>
      <c r="BX119" s="275" t="n"/>
      <c r="BY119" s="347">
        <f>IFERROR(Table410[[#This Row],[Mar_2026_Days_Forecast]]*Table410[[#This Row],[Cost Boolean]]*(VLOOKUP(Table410[[#This Row],[RATE CONCAT]],Tables!I:N,5,0)),0)</f>
        <v/>
      </c>
      <c r="BZ119" s="347">
        <f>IFERROR(Table410[[#This Row],[Mar_2026_Days_Actual]]*Table410[[#This Row],[Cost Boolean]]*(VLOOKUP(Table410[[#This Row],[RATE CONCAT]],Tables!I:N,5,0)),0)</f>
        <v/>
      </c>
      <c r="CA119" s="347">
        <f>Table410[[#This Row],[Mar_2026_F]]-Table410[[#This Row],[Mar_2026_A]]</f>
        <v/>
      </c>
      <c r="CB119" s="103" t="n"/>
      <c r="CC119" s="347">
        <f>IFERROR(Table410[[#This Row],[Apr_2026_Days_Forecast]]*Table410[[#This Row],[Cost Boolean]]*(VLOOKUP(Table410[[#This Row],[RATE CONCAT]],Tables!I:N,5,0)),0)</f>
        <v/>
      </c>
      <c r="CD119" s="347">
        <f>IFERROR(Table410[[#This Row],[Apr_2026_Days_Actual]]*Table410[[#This Row],[Cost Boolean]]*(VLOOKUP(Table410[[#This Row],[RATE CONCAT]],Tables!I:N,5,0)),0)</f>
        <v/>
      </c>
      <c r="CE119" s="347">
        <f>Table410[[#This Row],[Apr_2026_F]]-Table410[[#This Row],[Apr_2026_A]]</f>
        <v/>
      </c>
      <c r="CF119" s="103" t="n"/>
      <c r="CG119" s="347">
        <f>IFERROR(Table410[[#This Row],[May_2026_Days_Forecast]] *Table410[[#This Row],[Cost Boolean]]*(VLOOKUP(Table410[[#This Row],[RATE CONCAT]],Tables!I:N,5,0)),0)</f>
        <v/>
      </c>
      <c r="CH119" s="347">
        <f>IFERROR(Table410[[#This Row],[May_2026_Days_Actual]]*Table410[[#This Row],[Cost Boolean]]*(VLOOKUP(Table410[[#This Row],[RATE CONCAT]],Tables!I:N,5,0)),0)</f>
        <v/>
      </c>
      <c r="CI119" s="347">
        <f>Table410[[#This Row],[May_2026_F]]-Table410[[#This Row],[May_2026_A]]</f>
        <v/>
      </c>
      <c r="CJ119" s="103" t="n"/>
      <c r="CK119" s="347">
        <f>IFERROR(Table410[[#This Row],[Jun_2026_Days_Forecast]]*Table410[[#This Row],[Cost Boolean]]*(VLOOKUP(Table410[[#This Row],[RATE CONCAT]],Tables!I:N,5,0)),0)</f>
        <v/>
      </c>
      <c r="CL119" s="347">
        <f>IFERROR(Table410[[#This Row],[Jun_2026_Days_Actual]]*Table410[[#This Row],[Cost Boolean]]*(VLOOKUP(Table410[[#This Row],[RATE CONCAT]],Tables!I:N,5,0)),0)</f>
        <v/>
      </c>
      <c r="CM119" s="347">
        <f>Table410[[#This Row],[Jun_2026_F]]-Table410[[#This Row],[Jun_2026_A]]</f>
        <v/>
      </c>
      <c r="CN119" s="103" t="n"/>
      <c r="CO119" s="347">
        <f>IFERROR(Table410[[#This Row],[Jul_2026_Days_Forecast]]*Table410[[#This Row],[Cost Boolean]]*(VLOOKUP(Table410[[#This Row],[RATE CONCAT]],Tables!I:N,5,0)),0)</f>
        <v/>
      </c>
      <c r="CP119" s="347">
        <f>IFERROR(Table410[[#This Row],[Jul_2026_Days_Actual]]*Table410[[#This Row],[Cost Boolean]]*(VLOOKUP(Table410[[#This Row],[RATE CONCAT]],Tables!I:N,5,0)),0)</f>
        <v/>
      </c>
      <c r="CQ119" s="347">
        <f>Table410[[#This Row],[Jul_2026_F]]-Table410[[#This Row],[Jul_2026_A]]</f>
        <v/>
      </c>
      <c r="CR119" s="103" t="n"/>
      <c r="CS119" s="347">
        <f>IFERROR(Table410[[#This Row],[Aug_2026_Days_Forecast]]*Table410[[#This Row],[Cost Boolean]]*(VLOOKUP(Table410[[#This Row],[RATE CONCAT]],Tables!I:N,5,0)),0)</f>
        <v/>
      </c>
      <c r="CT119" s="347">
        <f>IFERROR(Table410[[#This Row],[Aug_2026_Days_Actual]]*Table410[[#This Row],[Cost Boolean]]*(VLOOKUP(Table410[[#This Row],[RATE CONCAT]],Tables!I:N,5,0)),0)</f>
        <v/>
      </c>
      <c r="CU119" s="347">
        <f>Table410[[#This Row],[Aug_2026_F]]-Table410[[#This Row],[Aug_2026_A]]</f>
        <v/>
      </c>
      <c r="CV119" s="103" t="n"/>
      <c r="CW119" s="347">
        <f>IFERROR(Table410[[#This Row],[Sep_2026_Days_Forecast]]*Table410[[#This Row],[Cost Boolean]]*(VLOOKUP(Table410[[#This Row],[RATE CONCAT]],Tables!I:N,5,0)),0)</f>
        <v/>
      </c>
      <c r="CX119" s="347">
        <f>IFERROR(Table410[[#This Row],[Sep_2026_Days_Actual]]*Table410[[#This Row],[Cost Boolean]]*(VLOOKUP(Table410[[#This Row],[RATE CONCAT]],Tables!I:N,5,0)),0)</f>
        <v/>
      </c>
      <c r="CY119" s="347">
        <f>Table410[[#This Row],[Sep_2026_F]]-Table410[[#This Row],[Sep_2026_A]]</f>
        <v/>
      </c>
      <c r="CZ119" s="103" t="n"/>
      <c r="DA119" s="347">
        <f>IFERROR(Table410[[#This Row],[Oct_2026_Days_Forecast]]*Table410[[#This Row],[Cost Boolean]]*(VLOOKUP(Table410[[#This Row],[RATE CONCAT]],Tables!I:N,5,0)),0)</f>
        <v/>
      </c>
      <c r="DB119" s="347">
        <f>IFERROR(Table410[[#This Row],[Oct_2026_Days_Actual]]*Table410[[#This Row],[Cost Boolean]]*(VLOOKUP(Table410[[#This Row],[RATE CONCAT]],Tables!I:N,5,0)),0)</f>
        <v/>
      </c>
      <c r="DC119" s="347">
        <f>Table410[[#This Row],[Oct_2026_F]]-Table410[[#This Row],[Oct_2026_A]]</f>
        <v/>
      </c>
      <c r="DD119" s="103" t="n"/>
      <c r="DE119" s="347">
        <f>IFERROR(Table410[[#This Row],[Nov_2026_Days_Forecast]]*Table410[[#This Row],[Cost Boolean]]*(VLOOKUP(Table410[[#This Row],[RATE CONCAT]],Tables!I:N,5,0)),0)</f>
        <v/>
      </c>
      <c r="DF119" s="347">
        <f>IFERROR(Table410[[#This Row],[Nov_2026_Days_Actual]]*Table410[[#This Row],[Cost Boolean]]*(VLOOKUP(Table410[[#This Row],[RATE CONCAT]],Tables!I:N,5,0)),0)</f>
        <v/>
      </c>
      <c r="DG119" s="347">
        <f>Table410[[#This Row],[Nov_2026_F]]-Table410[[#This Row],[Nov_2026_A]]</f>
        <v/>
      </c>
      <c r="DH119" s="103" t="n"/>
      <c r="DI119" s="347">
        <f>IFERROR(Table410[[#This Row],[Dec_2026_Days_Forecast]]*Table410[[#This Row],[Cost Boolean]]*(VLOOKUP(Table410[[#This Row],[RATE CONCAT]],Tables!I:N,5,0)),0)</f>
        <v/>
      </c>
      <c r="DJ119" s="347">
        <f>IFERROR(Table410[[#This Row],[Dec_2026_Days_Actual]]*Table410[[#This Row],[Cost Boolean]]*(VLOOKUP(Table410[[#This Row],[RATE CONCAT]],Tables!I:N,5,0)),0)</f>
        <v/>
      </c>
      <c r="DK119" s="348">
        <f>Table410[[#This Row],[Dec_2026_F]]-Table410[[#This Row],[Dec_2026_A]]</f>
        <v/>
      </c>
      <c r="DL119" s="103" t="n"/>
      <c r="DM119" s="346" t="n"/>
      <c r="DN119" s="347">
        <f>IFERROR(Table410[[#This Row],[Jan_2027_Days_Forecast]]*Table410[[#This Row],[Cost Boolean]]*(VLOOKUP(Table410[[#This Row],[RATE CONCAT]],Tables!I:N,6,0)),0)</f>
        <v/>
      </c>
      <c r="DO119" s="275" t="n"/>
      <c r="DP119" s="347">
        <f>Table410[[#This Row],[Jan_2027_F]]-Table410[[#This Row],[Jan_2027_A]]</f>
        <v/>
      </c>
      <c r="DQ119" s="347">
        <f>IFERROR(Table410[[#This Row],[Feb_2027_Days_Forecast]]*Table410[[#This Row],[Cost Boolean]]*(VLOOKUP(Table410[[#This Row],[RATE CONCAT]],Tables!I:N,6,0)),0)</f>
        <v/>
      </c>
      <c r="DR119" s="275" t="n"/>
      <c r="DS119" s="347">
        <f>Table410[[#This Row],[Feb_2027_F]]-Table410[[#This Row],[Feb_2027_A]]</f>
        <v/>
      </c>
      <c r="DT119" s="347">
        <f>IFERROR(Table410[[#This Row],[Mar_2027_Days_Forecast]]*Table410[[#This Row],[Cost Boolean]]*(VLOOKUP(Table410[[#This Row],[RATE CONCAT]],Tables!I:N,6,0)),0)</f>
        <v/>
      </c>
      <c r="DU119" s="275" t="n"/>
      <c r="DV119" s="347">
        <f>Table410[[#This Row],[Mar_2027_F]]-Table410[[#This Row],[Mar_2027_A]]</f>
        <v/>
      </c>
      <c r="DW119" s="347">
        <f>IFERROR(Table410[[#This Row],[Apr_2027_Days_Forecast]]*Table410[[#This Row],[Cost Boolean]]*(VLOOKUP(Table410[[#This Row],[RATE CONCAT]],Tables!I:N,6,0)),0)</f>
        <v/>
      </c>
      <c r="DX119" s="275" t="n"/>
      <c r="DY119" s="347">
        <f>Table410[[#This Row],[Apr_2027_F]]-Table410[[#This Row],[Apr_2027_A]]</f>
        <v/>
      </c>
      <c r="DZ119" s="347">
        <f>IFERROR(Table410[[#This Row],[May_2027_Days_Forecast]]*Table410[[#This Row],[Cost Boolean]]*(VLOOKUP(Table410[[#This Row],[RATE CONCAT]],Tables!I:N,6,0)),0)</f>
        <v/>
      </c>
      <c r="EA119" s="275" t="n"/>
      <c r="EB119" s="347">
        <f>Table410[[#This Row],[May_2027_F]]-Table410[[#This Row],[May_2027_A]]</f>
        <v/>
      </c>
      <c r="EC119" s="347">
        <f>IFERROR(Table410[[#This Row],[Jun_2027_Days_Forecast]]*Table410[[#This Row],[Cost Boolean]]*(VLOOKUP(Table410[[#This Row],[RATE CONCAT]],Tables!I:N,6,0)),0)</f>
        <v/>
      </c>
      <c r="ED119" s="275" t="n"/>
      <c r="EE119" s="347">
        <f>Table410[[#This Row],[Jun_2027_F]]-Table410[[#This Row],[Jun_2027_A]]</f>
        <v/>
      </c>
      <c r="EF119" s="347">
        <f>IFERROR(Table410[[#This Row],[Jul_2027_Days_Forecast]]*Table410[[#This Row],[Cost Boolean]]*(VLOOKUP(Table410[[#This Row],[RATE CONCAT]],Tables!I:N,6,0)),0)</f>
        <v/>
      </c>
      <c r="EG119" s="275" t="n"/>
      <c r="EH119" s="347">
        <f>Table410[[#This Row],[Jul_2027_F]]-Table410[[#This Row],[Jul_2027_A]]</f>
        <v/>
      </c>
      <c r="EI119" s="347">
        <f>IFERROR(Table410[[#This Row],[Aug_2027_Days_Forecast]]*Table410[[#This Row],[Cost Boolean]]*(VLOOKUP(Table410[[#This Row],[RATE CONCAT]],Tables!I:N,6,0)),0)</f>
        <v/>
      </c>
      <c r="EJ119" s="275" t="n"/>
      <c r="EK119" s="347">
        <f>Table410[[#This Row],[Aug_2027_F]]-Table410[[#This Row],[Aug_2027_A]]</f>
        <v/>
      </c>
      <c r="EL119" s="347">
        <f>IFERROR(Table410[[#This Row],[Sep_2027_Days_Forecast]]*Table410[[#This Row],[Cost Boolean]]*(VLOOKUP(Table410[[#This Row],[RATE CONCAT]],Tables!I:N,6,0)),0)</f>
        <v/>
      </c>
      <c r="EM119" s="275" t="n"/>
      <c r="EN119" s="347">
        <f>Table410[[#This Row],[Sep_2027_F]]-Table410[[#This Row],[Sep_2027_A]]</f>
        <v/>
      </c>
      <c r="EO119" s="347">
        <f>IFERROR(Table410[[#This Row],[Oct_2027_Days_Forecast]]*Table410[[#This Row],[Cost Boolean]]*(VLOOKUP(Table410[[#This Row],[RATE CONCAT]],Tables!I:N,6,0)),0)</f>
        <v/>
      </c>
      <c r="EP119" s="275" t="n"/>
      <c r="EQ119" s="347">
        <f>Table410[[#This Row],[Oct_2027_F]]-Table410[[#This Row],[Oct_2027_A]]</f>
        <v/>
      </c>
      <c r="ER119" s="347">
        <f>IFERROR(Table410[[#This Row],[Nov_2027_Days_Forecast]]*Table410[[#This Row],[Cost Boolean]]*(VLOOKUP(Table410[[#This Row],[RATE CONCAT]],Tables!I:N,6,0)),0)</f>
        <v/>
      </c>
      <c r="ES119" s="275" t="n"/>
      <c r="ET119" s="347">
        <f>Table410[[#This Row],[Nov_2027_F]]-Table410[[#This Row],[Nov_2027_A]]</f>
        <v/>
      </c>
      <c r="EU119" s="347">
        <f>IFERROR(Table410[[#This Row],[Dec_2027_Days_Forecast]]*Table410[[#This Row],[Cost Boolean]]*(VLOOKUP(Table410[[#This Row],[RATE CONCAT]],Tables!I:N,6,0)),0)</f>
        <v/>
      </c>
      <c r="EV119" s="275" t="n"/>
      <c r="EW119" s="347">
        <f>Table410[[#This Row],[Dec_2027_F]]-Table410[[#This Row],[Dec_2027_A]]</f>
        <v/>
      </c>
    </row>
    <row r="120" ht="1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338">
        <f>CONCATENATE(Table410[[#This Row],[JG]],Table410[[#This Row],[Country]],Table410[[#This Row],[Resource Provider]])</f>
        <v/>
      </c>
      <c r="Z120" s="338">
        <f>VLOOKUP(Table410[[#This Row],[RATE CONCAT]],Tables!I:N,5,0)</f>
        <v/>
      </c>
      <c r="AA120" s="123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124" t="n"/>
      <c r="AN120" s="341">
        <f>IFERROR(AVERAGE(Table410[[#This Row],[Jan_2026_Days_Forecast]:[Dec_2026_Days_Forecast]]),0)/19</f>
        <v/>
      </c>
      <c r="AO120" s="341">
        <f>IFERROR(AVERAGE(Table410[[#This Row],[Jan_2026_Days_Actual]:[Dec_2026_Days_Actual]]),0)/19</f>
        <v/>
      </c>
      <c r="AP120" s="84" t="n"/>
      <c r="AQ120" s="84" t="n"/>
      <c r="AR120" s="84" t="n"/>
      <c r="AS120" s="84" t="n"/>
      <c r="AT120" s="84" t="n"/>
      <c r="AU120" s="84" t="n"/>
      <c r="AV120" s="84" t="n"/>
      <c r="AW120" s="84" t="n"/>
      <c r="AX120" s="84" t="n"/>
      <c r="AY120" s="84" t="n"/>
      <c r="AZ120" s="84" t="n"/>
      <c r="BA120" s="84" t="n"/>
      <c r="BB120" s="341">
        <f>IFERROR(AVERAGE(Table410[[#This Row],[Jan_2027_Days_Forecast]:[Dec_2027_Days_Forecast]]),0)</f>
        <v/>
      </c>
      <c r="BC120" s="129" t="n"/>
      <c r="BD120" s="129" t="n"/>
      <c r="BE120" s="129" t="n"/>
      <c r="BF120" s="129" t="n"/>
      <c r="BG120" s="129" t="n"/>
      <c r="BH120" s="129" t="n"/>
      <c r="BI120" s="16" t="n"/>
      <c r="BJ120" s="16" t="n"/>
      <c r="BK120" s="16" t="n"/>
      <c r="BL120" s="16" t="n"/>
      <c r="BM120" s="16" t="n"/>
      <c r="BN120" s="125" t="n"/>
      <c r="BO120" s="176" t="n"/>
      <c r="BP120" s="176" t="n"/>
      <c r="BQ120" s="345">
        <f>IFERROR(Table410[[#This Row],[Jan_2026_Days_Forecast]]*Table410[[#This Row],[Cost Boolean]]*(VLOOKUP(Table410[[#This Row],[RATE CONCAT]],Tables!I:N,5,0)),0)</f>
        <v/>
      </c>
      <c r="BR120" s="345">
        <f>IFERROR(Table410[[#This Row],[Jan_2026_Days_Actual]]*Table410[[#This Row],[Cost Boolean]]*(VLOOKUP(Table410[[#This Row],[RATE CONCAT]],Tables!I:N,5,0)),0)</f>
        <v/>
      </c>
      <c r="BS120" s="338">
        <f>Table410[[#This Row],[Jan_2026_F]]-Table410[[#This Row],[Jan_2026_A]]</f>
        <v/>
      </c>
      <c r="BT120" s="114" t="n"/>
      <c r="BU120" s="338">
        <f>IFERROR(Table410[[#This Row],[Feb_2026_Days_Forecast]]*Table410[[#This Row],[Cost Boolean]]*(VLOOKUP(Table410[[#This Row],[RATE CONCAT]],Tables!I:N,5,0)),0)</f>
        <v/>
      </c>
      <c r="BV120" s="345">
        <f>IFERROR(Table410[[#This Row],[Feb_2026_Days_Actual]]*Table410[[#This Row],[Cost Boolean]]*(VLOOKUP(Table410[[#This Row],[RATE CONCAT]],Tables!I:N,5,0)),0)</f>
        <v/>
      </c>
      <c r="BW120" s="338">
        <f>Table410[[#This Row],[Feb_2026_F]]-Table410[[#This Row],[Feb_2026_A]]</f>
        <v/>
      </c>
      <c r="BX120" s="275" t="n"/>
      <c r="BY120" s="345">
        <f>IFERROR(Table410[[#This Row],[Mar_2026_Days_Forecast]]*Table410[[#This Row],[Cost Boolean]]*(VLOOKUP(Table410[[#This Row],[RATE CONCAT]],Tables!I:N,5,0)),0)</f>
        <v/>
      </c>
      <c r="BZ120" s="345">
        <f>IFERROR(Table410[[#This Row],[Mar_2026_Days_Actual]]*Table410[[#This Row],[Cost Boolean]]*(VLOOKUP(Table410[[#This Row],[RATE CONCAT]],Tables!I:N,5,0)),0)</f>
        <v/>
      </c>
      <c r="CA120" s="345">
        <f>Table410[[#This Row],[Mar_2026_F]]-Table410[[#This Row],[Mar_2026_A]]</f>
        <v/>
      </c>
      <c r="CB120" s="103" t="n"/>
      <c r="CC120" s="345">
        <f>IFERROR(Table410[[#This Row],[Apr_2026_Days_Forecast]]*Table410[[#This Row],[Cost Boolean]]*(VLOOKUP(Table410[[#This Row],[RATE CONCAT]],Tables!I:N,5,0)),0)</f>
        <v/>
      </c>
      <c r="CD120" s="345">
        <f>IFERROR(Table410[[#This Row],[Apr_2026_Days_Actual]]*Table410[[#This Row],[Cost Boolean]]*(VLOOKUP(Table410[[#This Row],[RATE CONCAT]],Tables!I:N,5,0)),0)</f>
        <v/>
      </c>
      <c r="CE120" s="345">
        <f>Table410[[#This Row],[Apr_2026_F]]-Table410[[#This Row],[Apr_2026_A]]</f>
        <v/>
      </c>
      <c r="CF120" s="103" t="n"/>
      <c r="CG120" s="345">
        <f>IFERROR(Table410[[#This Row],[May_2026_Days_Forecast]] *Table410[[#This Row],[Cost Boolean]]*(VLOOKUP(Table410[[#This Row],[RATE CONCAT]],Tables!I:N,5,0)),0)</f>
        <v/>
      </c>
      <c r="CH120" s="345">
        <f>IFERROR(Table410[[#This Row],[May_2026_Days_Actual]]*Table410[[#This Row],[Cost Boolean]]*(VLOOKUP(Table410[[#This Row],[RATE CONCAT]],Tables!I:N,5,0)),0)</f>
        <v/>
      </c>
      <c r="CI120" s="345">
        <f>Table410[[#This Row],[May_2026_F]]-Table410[[#This Row],[May_2026_A]]</f>
        <v/>
      </c>
      <c r="CJ120" s="103" t="n"/>
      <c r="CK120" s="345">
        <f>IFERROR(Table410[[#This Row],[Jun_2026_Days_Forecast]]*Table410[[#This Row],[Cost Boolean]]*(VLOOKUP(Table410[[#This Row],[RATE CONCAT]],Tables!I:N,5,0)),0)</f>
        <v/>
      </c>
      <c r="CL120" s="345">
        <f>IFERROR(Table410[[#This Row],[Jun_2026_Days_Actual]]*Table410[[#This Row],[Cost Boolean]]*(VLOOKUP(Table410[[#This Row],[RATE CONCAT]],Tables!I:N,5,0)),0)</f>
        <v/>
      </c>
      <c r="CM120" s="345">
        <f>Table410[[#This Row],[Jun_2026_F]]-Table410[[#This Row],[Jun_2026_A]]</f>
        <v/>
      </c>
      <c r="CN120" s="103" t="n"/>
      <c r="CO120" s="345">
        <f>IFERROR(Table410[[#This Row],[Jul_2026_Days_Forecast]]*Table410[[#This Row],[Cost Boolean]]*(VLOOKUP(Table410[[#This Row],[RATE CONCAT]],Tables!I:N,5,0)),0)</f>
        <v/>
      </c>
      <c r="CP120" s="345">
        <f>IFERROR(Table410[[#This Row],[Jul_2026_Days_Actual]]*Table410[[#This Row],[Cost Boolean]]*(VLOOKUP(Table410[[#This Row],[RATE CONCAT]],Tables!I:N,5,0)),0)</f>
        <v/>
      </c>
      <c r="CQ120" s="345">
        <f>Table410[[#This Row],[Jul_2026_F]]-Table410[[#This Row],[Jul_2026_A]]</f>
        <v/>
      </c>
      <c r="CR120" s="103" t="n"/>
      <c r="CS120" s="345">
        <f>IFERROR(Table410[[#This Row],[Aug_2026_Days_Forecast]]*Table410[[#This Row],[Cost Boolean]]*(VLOOKUP(Table410[[#This Row],[RATE CONCAT]],Tables!I:N,5,0)),0)</f>
        <v/>
      </c>
      <c r="CT120" s="345">
        <f>IFERROR(Table410[[#This Row],[Aug_2026_Days_Actual]]*Table410[[#This Row],[Cost Boolean]]*(VLOOKUP(Table410[[#This Row],[RATE CONCAT]],Tables!I:N,5,0)),0)</f>
        <v/>
      </c>
      <c r="CU120" s="345">
        <f>Table410[[#This Row],[Aug_2026_F]]-Table410[[#This Row],[Aug_2026_A]]</f>
        <v/>
      </c>
      <c r="CV120" s="103" t="n"/>
      <c r="CW120" s="345">
        <f>IFERROR(Table410[[#This Row],[Sep_2026_Days_Forecast]]*Table410[[#This Row],[Cost Boolean]]*(VLOOKUP(Table410[[#This Row],[RATE CONCAT]],Tables!I:N,5,0)),0)</f>
        <v/>
      </c>
      <c r="CX120" s="345">
        <f>IFERROR(Table410[[#This Row],[Sep_2026_Days_Actual]]*Table410[[#This Row],[Cost Boolean]]*(VLOOKUP(Table410[[#This Row],[RATE CONCAT]],Tables!I:N,5,0)),0)</f>
        <v/>
      </c>
      <c r="CY120" s="345">
        <f>Table410[[#This Row],[Sep_2026_F]]-Table410[[#This Row],[Sep_2026_A]]</f>
        <v/>
      </c>
      <c r="CZ120" s="103" t="n"/>
      <c r="DA120" s="345">
        <f>IFERROR(Table410[[#This Row],[Oct_2026_Days_Forecast]]*Table410[[#This Row],[Cost Boolean]]*(VLOOKUP(Table410[[#This Row],[RATE CONCAT]],Tables!I:N,5,0)),0)</f>
        <v/>
      </c>
      <c r="DB120" s="345">
        <f>IFERROR(Table410[[#This Row],[Oct_2026_Days_Actual]]*Table410[[#This Row],[Cost Boolean]]*(VLOOKUP(Table410[[#This Row],[RATE CONCAT]],Tables!I:N,5,0)),0)</f>
        <v/>
      </c>
      <c r="DC120" s="345">
        <f>Table410[[#This Row],[Oct_2026_F]]-Table410[[#This Row],[Oct_2026_A]]</f>
        <v/>
      </c>
      <c r="DD120" s="103" t="n"/>
      <c r="DE120" s="345">
        <f>IFERROR(Table410[[#This Row],[Nov_2026_Days_Forecast]]*Table410[[#This Row],[Cost Boolean]]*(VLOOKUP(Table410[[#This Row],[RATE CONCAT]],Tables!I:N,5,0)),0)</f>
        <v/>
      </c>
      <c r="DF120" s="345">
        <f>IFERROR(Table410[[#This Row],[Nov_2026_Days_Actual]]*Table410[[#This Row],[Cost Boolean]]*(VLOOKUP(Table410[[#This Row],[RATE CONCAT]],Tables!I:N,5,0)),0)</f>
        <v/>
      </c>
      <c r="DG120" s="345">
        <f>Table410[[#This Row],[Nov_2026_F]]-Table410[[#This Row],[Nov_2026_A]]</f>
        <v/>
      </c>
      <c r="DH120" s="103" t="n"/>
      <c r="DI120" s="345">
        <f>IFERROR(Table410[[#This Row],[Dec_2026_Days_Forecast]]*Table410[[#This Row],[Cost Boolean]]*(VLOOKUP(Table410[[#This Row],[RATE CONCAT]],Tables!I:N,5,0)),0)</f>
        <v/>
      </c>
      <c r="DJ120" s="345">
        <f>IFERROR(Table410[[#This Row],[Dec_2026_Days_Actual]]*Table410[[#This Row],[Cost Boolean]]*(VLOOKUP(Table410[[#This Row],[RATE CONCAT]],Tables!I:N,5,0)),0)</f>
        <v/>
      </c>
      <c r="DK120" s="349">
        <f>Table410[[#This Row],[Dec_2026_F]]-Table410[[#This Row],[Dec_2026_A]]</f>
        <v/>
      </c>
      <c r="DL120" s="103" t="n"/>
      <c r="DM120" s="346" t="n"/>
      <c r="DN120" s="345">
        <f>IFERROR(Table410[[#This Row],[Jan_2027_Days_Forecast]]*Table410[[#This Row],[Cost Boolean]]*(VLOOKUP(Table410[[#This Row],[RATE CONCAT]],Tables!I:N,6,0)),0)</f>
        <v/>
      </c>
      <c r="DO120" s="275" t="n"/>
      <c r="DP120" s="345">
        <f>Table410[[#This Row],[Jan_2027_F]]-Table410[[#This Row],[Jan_2027_A]]</f>
        <v/>
      </c>
      <c r="DQ120" s="345">
        <f>IFERROR(Table410[[#This Row],[Feb_2027_Days_Forecast]]*Table410[[#This Row],[Cost Boolean]]*(VLOOKUP(Table410[[#This Row],[RATE CONCAT]],Tables!I:N,6,0)),0)</f>
        <v/>
      </c>
      <c r="DR120" s="275" t="n"/>
      <c r="DS120" s="345">
        <f>Table410[[#This Row],[Feb_2027_F]]-Table410[[#This Row],[Feb_2027_A]]</f>
        <v/>
      </c>
      <c r="DT120" s="345">
        <f>IFERROR(Table410[[#This Row],[Mar_2027_Days_Forecast]]*Table410[[#This Row],[Cost Boolean]]*(VLOOKUP(Table410[[#This Row],[RATE CONCAT]],Tables!I:N,6,0)),0)</f>
        <v/>
      </c>
      <c r="DU120" s="275" t="n"/>
      <c r="DV120" s="345">
        <f>Table410[[#This Row],[Mar_2027_F]]-Table410[[#This Row],[Mar_2027_A]]</f>
        <v/>
      </c>
      <c r="DW120" s="345">
        <f>IFERROR(Table410[[#This Row],[Apr_2027_Days_Forecast]]*Table410[[#This Row],[Cost Boolean]]*(VLOOKUP(Table410[[#This Row],[RATE CONCAT]],Tables!I:N,6,0)),0)</f>
        <v/>
      </c>
      <c r="DX120" s="275" t="n"/>
      <c r="DY120" s="345">
        <f>Table410[[#This Row],[Apr_2027_F]]-Table410[[#This Row],[Apr_2027_A]]</f>
        <v/>
      </c>
      <c r="DZ120" s="345">
        <f>IFERROR(Table410[[#This Row],[May_2027_Days_Forecast]]*Table410[[#This Row],[Cost Boolean]]*(VLOOKUP(Table410[[#This Row],[RATE CONCAT]],Tables!I:N,6,0)),0)</f>
        <v/>
      </c>
      <c r="EA120" s="275" t="n"/>
      <c r="EB120" s="345">
        <f>Table410[[#This Row],[May_2027_F]]-Table410[[#This Row],[May_2027_A]]</f>
        <v/>
      </c>
      <c r="EC120" s="345">
        <f>IFERROR(Table410[[#This Row],[Jun_2027_Days_Forecast]]*Table410[[#This Row],[Cost Boolean]]*(VLOOKUP(Table410[[#This Row],[RATE CONCAT]],Tables!I:N,6,0)),0)</f>
        <v/>
      </c>
      <c r="ED120" s="275" t="n"/>
      <c r="EE120" s="345">
        <f>Table410[[#This Row],[Jun_2027_F]]-Table410[[#This Row],[Jun_2027_A]]</f>
        <v/>
      </c>
      <c r="EF120" s="345">
        <f>IFERROR(Table410[[#This Row],[Jul_2027_Days_Forecast]]*Table410[[#This Row],[Cost Boolean]]*(VLOOKUP(Table410[[#This Row],[RATE CONCAT]],Tables!I:N,6,0)),0)</f>
        <v/>
      </c>
      <c r="EG120" s="275" t="n"/>
      <c r="EH120" s="345">
        <f>Table410[[#This Row],[Jul_2027_F]]-Table410[[#This Row],[Jul_2027_A]]</f>
        <v/>
      </c>
      <c r="EI120" s="345">
        <f>IFERROR(Table410[[#This Row],[Aug_2027_Days_Forecast]]*Table410[[#This Row],[Cost Boolean]]*(VLOOKUP(Table410[[#This Row],[RATE CONCAT]],Tables!I:N,6,0)),0)</f>
        <v/>
      </c>
      <c r="EJ120" s="275" t="n"/>
      <c r="EK120" s="345">
        <f>Table410[[#This Row],[Aug_2027_F]]-Table410[[#This Row],[Aug_2027_A]]</f>
        <v/>
      </c>
      <c r="EL120" s="345">
        <f>IFERROR(Table410[[#This Row],[Sep_2027_Days_Forecast]]*Table410[[#This Row],[Cost Boolean]]*(VLOOKUP(Table410[[#This Row],[RATE CONCAT]],Tables!I:N,6,0)),0)</f>
        <v/>
      </c>
      <c r="EM120" s="275" t="n"/>
      <c r="EN120" s="345">
        <f>Table410[[#This Row],[Sep_2027_F]]-Table410[[#This Row],[Sep_2027_A]]</f>
        <v/>
      </c>
      <c r="EO120" s="345">
        <f>IFERROR(Table410[[#This Row],[Oct_2027_Days_Forecast]]*Table410[[#This Row],[Cost Boolean]]*(VLOOKUP(Table410[[#This Row],[RATE CONCAT]],Tables!I:N,6,0)),0)</f>
        <v/>
      </c>
      <c r="EP120" s="275" t="n"/>
      <c r="EQ120" s="345">
        <f>Table410[[#This Row],[Oct_2027_F]]-Table410[[#This Row],[Oct_2027_A]]</f>
        <v/>
      </c>
      <c r="ER120" s="345">
        <f>IFERROR(Table410[[#This Row],[Nov_2027_Days_Forecast]]*Table410[[#This Row],[Cost Boolean]]*(VLOOKUP(Table410[[#This Row],[RATE CONCAT]],Tables!I:N,6,0)),0)</f>
        <v/>
      </c>
      <c r="ES120" s="275" t="n"/>
      <c r="ET120" s="345">
        <f>Table410[[#This Row],[Nov_2027_F]]-Table410[[#This Row],[Nov_2027_A]]</f>
        <v/>
      </c>
      <c r="EU120" s="345">
        <f>IFERROR(Table410[[#This Row],[Dec_2027_Days_Forecast]]*Table410[[#This Row],[Cost Boolean]]*(VLOOKUP(Table410[[#This Row],[RATE CONCAT]],Tables!I:N,6,0)),0)</f>
        <v/>
      </c>
      <c r="EV120" s="275" t="n"/>
      <c r="EW120" s="345">
        <f>Table410[[#This Row],[Dec_2027_F]]-Table410[[#This Row],[Dec_2027_A]]</f>
        <v/>
      </c>
    </row>
    <row r="121" ht="1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342">
        <f>CONCATENATE(Table410[[#This Row],[JG]],Table410[[#This Row],[Country]],Table410[[#This Row],[Resource Provider]])</f>
        <v/>
      </c>
      <c r="Z121" s="342">
        <f>VLOOKUP(Table410[[#This Row],[RATE CONCAT]],Tables!I:N,5,0)</f>
        <v/>
      </c>
      <c r="AA121" s="123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124" t="n"/>
      <c r="AN121" s="341">
        <f>IFERROR(AVERAGE(Table410[[#This Row],[Jan_2026_Days_Forecast]:[Dec_2026_Days_Forecast]]),0)/19</f>
        <v/>
      </c>
      <c r="AO121" s="341">
        <f>IFERROR(AVERAGE(Table410[[#This Row],[Jan_2026_Days_Actual]:[Dec_2026_Days_Actual]]),0)/19</f>
        <v/>
      </c>
      <c r="AP121" s="84" t="n"/>
      <c r="AQ121" s="84" t="n"/>
      <c r="AR121" s="84" t="n"/>
      <c r="AS121" s="84" t="n"/>
      <c r="AT121" s="84" t="n"/>
      <c r="AU121" s="84" t="n"/>
      <c r="AV121" s="84" t="n"/>
      <c r="AW121" s="84" t="n"/>
      <c r="AX121" s="84" t="n"/>
      <c r="AY121" s="84" t="n"/>
      <c r="AZ121" s="84" t="n"/>
      <c r="BA121" s="84" t="n"/>
      <c r="BB121" s="341">
        <f>IFERROR(AVERAGE(Table410[[#This Row],[Jan_2027_Days_Forecast]:[Dec_2027_Days_Forecast]]),0)</f>
        <v/>
      </c>
      <c r="BC121" s="129" t="n"/>
      <c r="BD121" s="129" t="n"/>
      <c r="BE121" s="129" t="n"/>
      <c r="BF121" s="129" t="n"/>
      <c r="BG121" s="129" t="n"/>
      <c r="BH121" s="129" t="n"/>
      <c r="BI121" s="16" t="n"/>
      <c r="BJ121" s="16" t="n"/>
      <c r="BK121" s="16" t="n"/>
      <c r="BL121" s="16" t="n"/>
      <c r="BM121" s="16" t="n"/>
      <c r="BN121" s="125" t="n"/>
      <c r="BO121" s="176" t="n"/>
      <c r="BP121" s="176" t="n"/>
      <c r="BQ121" s="347">
        <f>IFERROR(Table410[[#This Row],[Jan_2026_Days_Forecast]]*Table410[[#This Row],[Cost Boolean]]*(VLOOKUP(Table410[[#This Row],[RATE CONCAT]],Tables!I:N,5,0)),0)</f>
        <v/>
      </c>
      <c r="BR121" s="347">
        <f>IFERROR(Table410[[#This Row],[Jan_2026_Days_Actual]]*Table410[[#This Row],[Cost Boolean]]*(VLOOKUP(Table410[[#This Row],[RATE CONCAT]],Tables!I:N,5,0)),0)</f>
        <v/>
      </c>
      <c r="BS121" s="342">
        <f>Table410[[#This Row],[Jan_2026_F]]-Table410[[#This Row],[Jan_2026_A]]</f>
        <v/>
      </c>
      <c r="BT121" s="114" t="n"/>
      <c r="BU121" s="342">
        <f>IFERROR(Table410[[#This Row],[Feb_2026_Days_Forecast]]*Table410[[#This Row],[Cost Boolean]]*(VLOOKUP(Table410[[#This Row],[RATE CONCAT]],Tables!I:N,5,0)),0)</f>
        <v/>
      </c>
      <c r="BV121" s="347">
        <f>IFERROR(Table410[[#This Row],[Feb_2026_Days_Actual]]*Table410[[#This Row],[Cost Boolean]]*(VLOOKUP(Table410[[#This Row],[RATE CONCAT]],Tables!I:N,5,0)),0)</f>
        <v/>
      </c>
      <c r="BW121" s="342">
        <f>Table410[[#This Row],[Feb_2026_F]]-Table410[[#This Row],[Feb_2026_A]]</f>
        <v/>
      </c>
      <c r="BX121" s="275" t="n"/>
      <c r="BY121" s="347">
        <f>IFERROR(Table410[[#This Row],[Mar_2026_Days_Forecast]]*Table410[[#This Row],[Cost Boolean]]*(VLOOKUP(Table410[[#This Row],[RATE CONCAT]],Tables!I:N,5,0)),0)</f>
        <v/>
      </c>
      <c r="BZ121" s="347">
        <f>IFERROR(Table410[[#This Row],[Mar_2026_Days_Actual]]*Table410[[#This Row],[Cost Boolean]]*(VLOOKUP(Table410[[#This Row],[RATE CONCAT]],Tables!I:N,5,0)),0)</f>
        <v/>
      </c>
      <c r="CA121" s="347">
        <f>Table410[[#This Row],[Mar_2026_F]]-Table410[[#This Row],[Mar_2026_A]]</f>
        <v/>
      </c>
      <c r="CB121" s="103" t="n"/>
      <c r="CC121" s="347">
        <f>IFERROR(Table410[[#This Row],[Apr_2026_Days_Forecast]]*Table410[[#This Row],[Cost Boolean]]*(VLOOKUP(Table410[[#This Row],[RATE CONCAT]],Tables!I:N,5,0)),0)</f>
        <v/>
      </c>
      <c r="CD121" s="347">
        <f>IFERROR(Table410[[#This Row],[Apr_2026_Days_Actual]]*Table410[[#This Row],[Cost Boolean]]*(VLOOKUP(Table410[[#This Row],[RATE CONCAT]],Tables!I:N,5,0)),0)</f>
        <v/>
      </c>
      <c r="CE121" s="347">
        <f>Table410[[#This Row],[Apr_2026_F]]-Table410[[#This Row],[Apr_2026_A]]</f>
        <v/>
      </c>
      <c r="CF121" s="103" t="n"/>
      <c r="CG121" s="347">
        <f>IFERROR(Table410[[#This Row],[May_2026_Days_Forecast]] *Table410[[#This Row],[Cost Boolean]]*(VLOOKUP(Table410[[#This Row],[RATE CONCAT]],Tables!I:N,5,0)),0)</f>
        <v/>
      </c>
      <c r="CH121" s="347">
        <f>IFERROR(Table410[[#This Row],[May_2026_Days_Actual]]*Table410[[#This Row],[Cost Boolean]]*(VLOOKUP(Table410[[#This Row],[RATE CONCAT]],Tables!I:N,5,0)),0)</f>
        <v/>
      </c>
      <c r="CI121" s="347">
        <f>Table410[[#This Row],[May_2026_F]]-Table410[[#This Row],[May_2026_A]]</f>
        <v/>
      </c>
      <c r="CJ121" s="103" t="n"/>
      <c r="CK121" s="347">
        <f>IFERROR(Table410[[#This Row],[Jun_2026_Days_Forecast]]*Table410[[#This Row],[Cost Boolean]]*(VLOOKUP(Table410[[#This Row],[RATE CONCAT]],Tables!I:N,5,0)),0)</f>
        <v/>
      </c>
      <c r="CL121" s="347">
        <f>IFERROR(Table410[[#This Row],[Jun_2026_Days_Actual]]*Table410[[#This Row],[Cost Boolean]]*(VLOOKUP(Table410[[#This Row],[RATE CONCAT]],Tables!I:N,5,0)),0)</f>
        <v/>
      </c>
      <c r="CM121" s="347">
        <f>Table410[[#This Row],[Jun_2026_F]]-Table410[[#This Row],[Jun_2026_A]]</f>
        <v/>
      </c>
      <c r="CN121" s="103" t="n"/>
      <c r="CO121" s="347">
        <f>IFERROR(Table410[[#This Row],[Jul_2026_Days_Forecast]]*Table410[[#This Row],[Cost Boolean]]*(VLOOKUP(Table410[[#This Row],[RATE CONCAT]],Tables!I:N,5,0)),0)</f>
        <v/>
      </c>
      <c r="CP121" s="347">
        <f>IFERROR(Table410[[#This Row],[Jul_2026_Days_Actual]]*Table410[[#This Row],[Cost Boolean]]*(VLOOKUP(Table410[[#This Row],[RATE CONCAT]],Tables!I:N,5,0)),0)</f>
        <v/>
      </c>
      <c r="CQ121" s="347">
        <f>Table410[[#This Row],[Jul_2026_F]]-Table410[[#This Row],[Jul_2026_A]]</f>
        <v/>
      </c>
      <c r="CR121" s="103" t="n"/>
      <c r="CS121" s="347">
        <f>IFERROR(Table410[[#This Row],[Aug_2026_Days_Forecast]]*Table410[[#This Row],[Cost Boolean]]*(VLOOKUP(Table410[[#This Row],[RATE CONCAT]],Tables!I:N,5,0)),0)</f>
        <v/>
      </c>
      <c r="CT121" s="347">
        <f>IFERROR(Table410[[#This Row],[Aug_2026_Days_Actual]]*Table410[[#This Row],[Cost Boolean]]*(VLOOKUP(Table410[[#This Row],[RATE CONCAT]],Tables!I:N,5,0)),0)</f>
        <v/>
      </c>
      <c r="CU121" s="347">
        <f>Table410[[#This Row],[Aug_2026_F]]-Table410[[#This Row],[Aug_2026_A]]</f>
        <v/>
      </c>
      <c r="CV121" s="103" t="n"/>
      <c r="CW121" s="347">
        <f>IFERROR(Table410[[#This Row],[Sep_2026_Days_Forecast]]*Table410[[#This Row],[Cost Boolean]]*(VLOOKUP(Table410[[#This Row],[RATE CONCAT]],Tables!I:N,5,0)),0)</f>
        <v/>
      </c>
      <c r="CX121" s="347">
        <f>IFERROR(Table410[[#This Row],[Sep_2026_Days_Actual]]*Table410[[#This Row],[Cost Boolean]]*(VLOOKUP(Table410[[#This Row],[RATE CONCAT]],Tables!I:N,5,0)),0)</f>
        <v/>
      </c>
      <c r="CY121" s="347">
        <f>Table410[[#This Row],[Sep_2026_F]]-Table410[[#This Row],[Sep_2026_A]]</f>
        <v/>
      </c>
      <c r="CZ121" s="103" t="n"/>
      <c r="DA121" s="347">
        <f>IFERROR(Table410[[#This Row],[Oct_2026_Days_Forecast]]*Table410[[#This Row],[Cost Boolean]]*(VLOOKUP(Table410[[#This Row],[RATE CONCAT]],Tables!I:N,5,0)),0)</f>
        <v/>
      </c>
      <c r="DB121" s="347">
        <f>IFERROR(Table410[[#This Row],[Oct_2026_Days_Actual]]*Table410[[#This Row],[Cost Boolean]]*(VLOOKUP(Table410[[#This Row],[RATE CONCAT]],Tables!I:N,5,0)),0)</f>
        <v/>
      </c>
      <c r="DC121" s="347">
        <f>Table410[[#This Row],[Oct_2026_F]]-Table410[[#This Row],[Oct_2026_A]]</f>
        <v/>
      </c>
      <c r="DD121" s="103" t="n"/>
      <c r="DE121" s="347">
        <f>IFERROR(Table410[[#This Row],[Nov_2026_Days_Forecast]]*Table410[[#This Row],[Cost Boolean]]*(VLOOKUP(Table410[[#This Row],[RATE CONCAT]],Tables!I:N,5,0)),0)</f>
        <v/>
      </c>
      <c r="DF121" s="347">
        <f>IFERROR(Table410[[#This Row],[Nov_2026_Days_Actual]]*Table410[[#This Row],[Cost Boolean]]*(VLOOKUP(Table410[[#This Row],[RATE CONCAT]],Tables!I:N,5,0)),0)</f>
        <v/>
      </c>
      <c r="DG121" s="347">
        <f>Table410[[#This Row],[Nov_2026_F]]-Table410[[#This Row],[Nov_2026_A]]</f>
        <v/>
      </c>
      <c r="DH121" s="103" t="n"/>
      <c r="DI121" s="347">
        <f>IFERROR(Table410[[#This Row],[Dec_2026_Days_Forecast]]*Table410[[#This Row],[Cost Boolean]]*(VLOOKUP(Table410[[#This Row],[RATE CONCAT]],Tables!I:N,5,0)),0)</f>
        <v/>
      </c>
      <c r="DJ121" s="347">
        <f>IFERROR(Table410[[#This Row],[Dec_2026_Days_Actual]]*Table410[[#This Row],[Cost Boolean]]*(VLOOKUP(Table410[[#This Row],[RATE CONCAT]],Tables!I:N,5,0)),0)</f>
        <v/>
      </c>
      <c r="DK121" s="348">
        <f>Table410[[#This Row],[Dec_2026_F]]-Table410[[#This Row],[Dec_2026_A]]</f>
        <v/>
      </c>
      <c r="DL121" s="103" t="n"/>
      <c r="DM121" s="346" t="n"/>
      <c r="DN121" s="347">
        <f>IFERROR(Table410[[#This Row],[Jan_2027_Days_Forecast]]*Table410[[#This Row],[Cost Boolean]]*(VLOOKUP(Table410[[#This Row],[RATE CONCAT]],Tables!I:N,6,0)),0)</f>
        <v/>
      </c>
      <c r="DO121" s="275" t="n"/>
      <c r="DP121" s="347">
        <f>Table410[[#This Row],[Jan_2027_F]]-Table410[[#This Row],[Jan_2027_A]]</f>
        <v/>
      </c>
      <c r="DQ121" s="347">
        <f>IFERROR(Table410[[#This Row],[Feb_2027_Days_Forecast]]*Table410[[#This Row],[Cost Boolean]]*(VLOOKUP(Table410[[#This Row],[RATE CONCAT]],Tables!I:N,6,0)),0)</f>
        <v/>
      </c>
      <c r="DR121" s="275" t="n"/>
      <c r="DS121" s="347">
        <f>Table410[[#This Row],[Feb_2027_F]]-Table410[[#This Row],[Feb_2027_A]]</f>
        <v/>
      </c>
      <c r="DT121" s="347">
        <f>IFERROR(Table410[[#This Row],[Mar_2027_Days_Forecast]]*Table410[[#This Row],[Cost Boolean]]*(VLOOKUP(Table410[[#This Row],[RATE CONCAT]],Tables!I:N,6,0)),0)</f>
        <v/>
      </c>
      <c r="DU121" s="275" t="n"/>
      <c r="DV121" s="347">
        <f>Table410[[#This Row],[Mar_2027_F]]-Table410[[#This Row],[Mar_2027_A]]</f>
        <v/>
      </c>
      <c r="DW121" s="347">
        <f>IFERROR(Table410[[#This Row],[Apr_2027_Days_Forecast]]*Table410[[#This Row],[Cost Boolean]]*(VLOOKUP(Table410[[#This Row],[RATE CONCAT]],Tables!I:N,6,0)),0)</f>
        <v/>
      </c>
      <c r="DX121" s="275" t="n"/>
      <c r="DY121" s="347">
        <f>Table410[[#This Row],[Apr_2027_F]]-Table410[[#This Row],[Apr_2027_A]]</f>
        <v/>
      </c>
      <c r="DZ121" s="347">
        <f>IFERROR(Table410[[#This Row],[May_2027_Days_Forecast]]*Table410[[#This Row],[Cost Boolean]]*(VLOOKUP(Table410[[#This Row],[RATE CONCAT]],Tables!I:N,6,0)),0)</f>
        <v/>
      </c>
      <c r="EA121" s="275" t="n"/>
      <c r="EB121" s="347">
        <f>Table410[[#This Row],[May_2027_F]]-Table410[[#This Row],[May_2027_A]]</f>
        <v/>
      </c>
      <c r="EC121" s="347">
        <f>IFERROR(Table410[[#This Row],[Jun_2027_Days_Forecast]]*Table410[[#This Row],[Cost Boolean]]*(VLOOKUP(Table410[[#This Row],[RATE CONCAT]],Tables!I:N,6,0)),0)</f>
        <v/>
      </c>
      <c r="ED121" s="275" t="n"/>
      <c r="EE121" s="347">
        <f>Table410[[#This Row],[Jun_2027_F]]-Table410[[#This Row],[Jun_2027_A]]</f>
        <v/>
      </c>
      <c r="EF121" s="347">
        <f>IFERROR(Table410[[#This Row],[Jul_2027_Days_Forecast]]*Table410[[#This Row],[Cost Boolean]]*(VLOOKUP(Table410[[#This Row],[RATE CONCAT]],Tables!I:N,6,0)),0)</f>
        <v/>
      </c>
      <c r="EG121" s="275" t="n"/>
      <c r="EH121" s="347">
        <f>Table410[[#This Row],[Jul_2027_F]]-Table410[[#This Row],[Jul_2027_A]]</f>
        <v/>
      </c>
      <c r="EI121" s="347">
        <f>IFERROR(Table410[[#This Row],[Aug_2027_Days_Forecast]]*Table410[[#This Row],[Cost Boolean]]*(VLOOKUP(Table410[[#This Row],[RATE CONCAT]],Tables!I:N,6,0)),0)</f>
        <v/>
      </c>
      <c r="EJ121" s="275" t="n"/>
      <c r="EK121" s="347">
        <f>Table410[[#This Row],[Aug_2027_F]]-Table410[[#This Row],[Aug_2027_A]]</f>
        <v/>
      </c>
      <c r="EL121" s="347">
        <f>IFERROR(Table410[[#This Row],[Sep_2027_Days_Forecast]]*Table410[[#This Row],[Cost Boolean]]*(VLOOKUP(Table410[[#This Row],[RATE CONCAT]],Tables!I:N,6,0)),0)</f>
        <v/>
      </c>
      <c r="EM121" s="275" t="n"/>
      <c r="EN121" s="347">
        <f>Table410[[#This Row],[Sep_2027_F]]-Table410[[#This Row],[Sep_2027_A]]</f>
        <v/>
      </c>
      <c r="EO121" s="347">
        <f>IFERROR(Table410[[#This Row],[Oct_2027_Days_Forecast]]*Table410[[#This Row],[Cost Boolean]]*(VLOOKUP(Table410[[#This Row],[RATE CONCAT]],Tables!I:N,6,0)),0)</f>
        <v/>
      </c>
      <c r="EP121" s="275" t="n"/>
      <c r="EQ121" s="347">
        <f>Table410[[#This Row],[Oct_2027_F]]-Table410[[#This Row],[Oct_2027_A]]</f>
        <v/>
      </c>
      <c r="ER121" s="347">
        <f>IFERROR(Table410[[#This Row],[Nov_2027_Days_Forecast]]*Table410[[#This Row],[Cost Boolean]]*(VLOOKUP(Table410[[#This Row],[RATE CONCAT]],Tables!I:N,6,0)),0)</f>
        <v/>
      </c>
      <c r="ES121" s="275" t="n"/>
      <c r="ET121" s="347">
        <f>Table410[[#This Row],[Nov_2027_F]]-Table410[[#This Row],[Nov_2027_A]]</f>
        <v/>
      </c>
      <c r="EU121" s="347">
        <f>IFERROR(Table410[[#This Row],[Dec_2027_Days_Forecast]]*Table410[[#This Row],[Cost Boolean]]*(VLOOKUP(Table410[[#This Row],[RATE CONCAT]],Tables!I:N,6,0)),0)</f>
        <v/>
      </c>
      <c r="EV121" s="275" t="n"/>
      <c r="EW121" s="347">
        <f>Table410[[#This Row],[Dec_2027_F]]-Table410[[#This Row],[Dec_2027_A]]</f>
        <v/>
      </c>
    </row>
    <row r="122" ht="1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338">
        <f>CONCATENATE(Table410[[#This Row],[JG]],Table410[[#This Row],[Country]],Table410[[#This Row],[Resource Provider]])</f>
        <v/>
      </c>
      <c r="Z122" s="338">
        <f>VLOOKUP(Table410[[#This Row],[RATE CONCAT]],Tables!I:N,5,0)</f>
        <v/>
      </c>
      <c r="AA122" s="123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124" t="n"/>
      <c r="AN122" s="341">
        <f>IFERROR(AVERAGE(Table410[[#This Row],[Jan_2026_Days_Forecast]:[Dec_2026_Days_Forecast]]),0)/19</f>
        <v/>
      </c>
      <c r="AO122" s="341">
        <f>IFERROR(AVERAGE(Table410[[#This Row],[Jan_2026_Days_Actual]:[Dec_2026_Days_Actual]]),0)/19</f>
        <v/>
      </c>
      <c r="AP122" s="84" t="n"/>
      <c r="AQ122" s="84" t="n"/>
      <c r="AR122" s="84" t="n"/>
      <c r="AS122" s="84" t="n"/>
      <c r="AT122" s="84" t="n"/>
      <c r="AU122" s="84" t="n"/>
      <c r="AV122" s="84" t="n"/>
      <c r="AW122" s="84" t="n"/>
      <c r="AX122" s="84" t="n"/>
      <c r="AY122" s="84" t="n"/>
      <c r="AZ122" s="84" t="n"/>
      <c r="BA122" s="84" t="n"/>
      <c r="BB122" s="341">
        <f>IFERROR(AVERAGE(Table410[[#This Row],[Jan_2027_Days_Forecast]:[Dec_2027_Days_Forecast]]),0)</f>
        <v/>
      </c>
      <c r="BC122" s="129" t="n"/>
      <c r="BD122" s="129" t="n"/>
      <c r="BE122" s="129" t="n"/>
      <c r="BF122" s="129" t="n"/>
      <c r="BG122" s="129" t="n"/>
      <c r="BH122" s="129" t="n"/>
      <c r="BI122" s="16" t="n"/>
      <c r="BJ122" s="16" t="n"/>
      <c r="BK122" s="16" t="n"/>
      <c r="BL122" s="16" t="n"/>
      <c r="BM122" s="16" t="n"/>
      <c r="BN122" s="125" t="n"/>
      <c r="BO122" s="176" t="n"/>
      <c r="BP122" s="176" t="n"/>
      <c r="BQ122" s="345">
        <f>IFERROR(Table410[[#This Row],[Jan_2026_Days_Forecast]]*Table410[[#This Row],[Cost Boolean]]*(VLOOKUP(Table410[[#This Row],[RATE CONCAT]],Tables!I:N,5,0)),0)</f>
        <v/>
      </c>
      <c r="BR122" s="345">
        <f>IFERROR(Table410[[#This Row],[Jan_2026_Days_Actual]]*Table410[[#This Row],[Cost Boolean]]*(VLOOKUP(Table410[[#This Row],[RATE CONCAT]],Tables!I:N,5,0)),0)</f>
        <v/>
      </c>
      <c r="BS122" s="338">
        <f>Table410[[#This Row],[Jan_2026_F]]-Table410[[#This Row],[Jan_2026_A]]</f>
        <v/>
      </c>
      <c r="BT122" s="114" t="n"/>
      <c r="BU122" s="338">
        <f>IFERROR(Table410[[#This Row],[Feb_2026_Days_Forecast]]*Table410[[#This Row],[Cost Boolean]]*(VLOOKUP(Table410[[#This Row],[RATE CONCAT]],Tables!I:N,5,0)),0)</f>
        <v/>
      </c>
      <c r="BV122" s="345">
        <f>IFERROR(Table410[[#This Row],[Feb_2026_Days_Actual]]*Table410[[#This Row],[Cost Boolean]]*(VLOOKUP(Table410[[#This Row],[RATE CONCAT]],Tables!I:N,5,0)),0)</f>
        <v/>
      </c>
      <c r="BW122" s="338">
        <f>Table410[[#This Row],[Feb_2026_F]]-Table410[[#This Row],[Feb_2026_A]]</f>
        <v/>
      </c>
      <c r="BX122" s="275" t="n"/>
      <c r="BY122" s="345">
        <f>IFERROR(Table410[[#This Row],[Mar_2026_Days_Forecast]]*Table410[[#This Row],[Cost Boolean]]*(VLOOKUP(Table410[[#This Row],[RATE CONCAT]],Tables!I:N,5,0)),0)</f>
        <v/>
      </c>
      <c r="BZ122" s="345">
        <f>IFERROR(Table410[[#This Row],[Mar_2026_Days_Actual]]*Table410[[#This Row],[Cost Boolean]]*(VLOOKUP(Table410[[#This Row],[RATE CONCAT]],Tables!I:N,5,0)),0)</f>
        <v/>
      </c>
      <c r="CA122" s="345">
        <f>Table410[[#This Row],[Mar_2026_F]]-Table410[[#This Row],[Mar_2026_A]]</f>
        <v/>
      </c>
      <c r="CB122" s="103" t="n"/>
      <c r="CC122" s="345">
        <f>IFERROR(Table410[[#This Row],[Apr_2026_Days_Forecast]]*Table410[[#This Row],[Cost Boolean]]*(VLOOKUP(Table410[[#This Row],[RATE CONCAT]],Tables!I:N,5,0)),0)</f>
        <v/>
      </c>
      <c r="CD122" s="345">
        <f>IFERROR(Table410[[#This Row],[Apr_2026_Days_Actual]]*Table410[[#This Row],[Cost Boolean]]*(VLOOKUP(Table410[[#This Row],[RATE CONCAT]],Tables!I:N,5,0)),0)</f>
        <v/>
      </c>
      <c r="CE122" s="345">
        <f>Table410[[#This Row],[Apr_2026_F]]-Table410[[#This Row],[Apr_2026_A]]</f>
        <v/>
      </c>
      <c r="CF122" s="103" t="n"/>
      <c r="CG122" s="345">
        <f>IFERROR(Table410[[#This Row],[May_2026_Days_Forecast]] *Table410[[#This Row],[Cost Boolean]]*(VLOOKUP(Table410[[#This Row],[RATE CONCAT]],Tables!I:N,5,0)),0)</f>
        <v/>
      </c>
      <c r="CH122" s="345">
        <f>IFERROR(Table410[[#This Row],[May_2026_Days_Actual]]*Table410[[#This Row],[Cost Boolean]]*(VLOOKUP(Table410[[#This Row],[RATE CONCAT]],Tables!I:N,5,0)),0)</f>
        <v/>
      </c>
      <c r="CI122" s="345">
        <f>Table410[[#This Row],[May_2026_F]]-Table410[[#This Row],[May_2026_A]]</f>
        <v/>
      </c>
      <c r="CJ122" s="103" t="n"/>
      <c r="CK122" s="345">
        <f>IFERROR(Table410[[#This Row],[Jun_2026_Days_Forecast]]*Table410[[#This Row],[Cost Boolean]]*(VLOOKUP(Table410[[#This Row],[RATE CONCAT]],Tables!I:N,5,0)),0)</f>
        <v/>
      </c>
      <c r="CL122" s="345">
        <f>IFERROR(Table410[[#This Row],[Jun_2026_Days_Actual]]*Table410[[#This Row],[Cost Boolean]]*(VLOOKUP(Table410[[#This Row],[RATE CONCAT]],Tables!I:N,5,0)),0)</f>
        <v/>
      </c>
      <c r="CM122" s="345">
        <f>Table410[[#This Row],[Jun_2026_F]]-Table410[[#This Row],[Jun_2026_A]]</f>
        <v/>
      </c>
      <c r="CN122" s="103" t="n"/>
      <c r="CO122" s="345">
        <f>IFERROR(Table410[[#This Row],[Jul_2026_Days_Forecast]]*Table410[[#This Row],[Cost Boolean]]*(VLOOKUP(Table410[[#This Row],[RATE CONCAT]],Tables!I:N,5,0)),0)</f>
        <v/>
      </c>
      <c r="CP122" s="345">
        <f>IFERROR(Table410[[#This Row],[Jul_2026_Days_Actual]]*Table410[[#This Row],[Cost Boolean]]*(VLOOKUP(Table410[[#This Row],[RATE CONCAT]],Tables!I:N,5,0)),0)</f>
        <v/>
      </c>
      <c r="CQ122" s="345">
        <f>Table410[[#This Row],[Jul_2026_F]]-Table410[[#This Row],[Jul_2026_A]]</f>
        <v/>
      </c>
      <c r="CR122" s="103" t="n"/>
      <c r="CS122" s="345">
        <f>IFERROR(Table410[[#This Row],[Aug_2026_Days_Forecast]]*Table410[[#This Row],[Cost Boolean]]*(VLOOKUP(Table410[[#This Row],[RATE CONCAT]],Tables!I:N,5,0)),0)</f>
        <v/>
      </c>
      <c r="CT122" s="345">
        <f>IFERROR(Table410[[#This Row],[Aug_2026_Days_Actual]]*Table410[[#This Row],[Cost Boolean]]*(VLOOKUP(Table410[[#This Row],[RATE CONCAT]],Tables!I:N,5,0)),0)</f>
        <v/>
      </c>
      <c r="CU122" s="345">
        <f>Table410[[#This Row],[Aug_2026_F]]-Table410[[#This Row],[Aug_2026_A]]</f>
        <v/>
      </c>
      <c r="CV122" s="103" t="n"/>
      <c r="CW122" s="345">
        <f>IFERROR(Table410[[#This Row],[Sep_2026_Days_Forecast]]*Table410[[#This Row],[Cost Boolean]]*(VLOOKUP(Table410[[#This Row],[RATE CONCAT]],Tables!I:N,5,0)),0)</f>
        <v/>
      </c>
      <c r="CX122" s="345">
        <f>IFERROR(Table410[[#This Row],[Sep_2026_Days_Actual]]*Table410[[#This Row],[Cost Boolean]]*(VLOOKUP(Table410[[#This Row],[RATE CONCAT]],Tables!I:N,5,0)),0)</f>
        <v/>
      </c>
      <c r="CY122" s="345">
        <f>Table410[[#This Row],[Sep_2026_F]]-Table410[[#This Row],[Sep_2026_A]]</f>
        <v/>
      </c>
      <c r="CZ122" s="103" t="n"/>
      <c r="DA122" s="345">
        <f>IFERROR(Table410[[#This Row],[Oct_2026_Days_Forecast]]*Table410[[#This Row],[Cost Boolean]]*(VLOOKUP(Table410[[#This Row],[RATE CONCAT]],Tables!I:N,5,0)),0)</f>
        <v/>
      </c>
      <c r="DB122" s="345">
        <f>IFERROR(Table410[[#This Row],[Oct_2026_Days_Actual]]*Table410[[#This Row],[Cost Boolean]]*(VLOOKUP(Table410[[#This Row],[RATE CONCAT]],Tables!I:N,5,0)),0)</f>
        <v/>
      </c>
      <c r="DC122" s="345">
        <f>Table410[[#This Row],[Oct_2026_F]]-Table410[[#This Row],[Oct_2026_A]]</f>
        <v/>
      </c>
      <c r="DD122" s="103" t="n"/>
      <c r="DE122" s="345">
        <f>IFERROR(Table410[[#This Row],[Nov_2026_Days_Forecast]]*Table410[[#This Row],[Cost Boolean]]*(VLOOKUP(Table410[[#This Row],[RATE CONCAT]],Tables!I:N,5,0)),0)</f>
        <v/>
      </c>
      <c r="DF122" s="345">
        <f>IFERROR(Table410[[#This Row],[Nov_2026_Days_Actual]]*Table410[[#This Row],[Cost Boolean]]*(VLOOKUP(Table410[[#This Row],[RATE CONCAT]],Tables!I:N,5,0)),0)</f>
        <v/>
      </c>
      <c r="DG122" s="345">
        <f>Table410[[#This Row],[Nov_2026_F]]-Table410[[#This Row],[Nov_2026_A]]</f>
        <v/>
      </c>
      <c r="DH122" s="103" t="n"/>
      <c r="DI122" s="345">
        <f>IFERROR(Table410[[#This Row],[Dec_2026_Days_Forecast]]*Table410[[#This Row],[Cost Boolean]]*(VLOOKUP(Table410[[#This Row],[RATE CONCAT]],Tables!I:N,5,0)),0)</f>
        <v/>
      </c>
      <c r="DJ122" s="345">
        <f>IFERROR(Table410[[#This Row],[Dec_2026_Days_Actual]]*Table410[[#This Row],[Cost Boolean]]*(VLOOKUP(Table410[[#This Row],[RATE CONCAT]],Tables!I:N,5,0)),0)</f>
        <v/>
      </c>
      <c r="DK122" s="349">
        <f>Table410[[#This Row],[Dec_2026_F]]-Table410[[#This Row],[Dec_2026_A]]</f>
        <v/>
      </c>
      <c r="DL122" s="103" t="n"/>
      <c r="DM122" s="346" t="n"/>
      <c r="DN122" s="345">
        <f>IFERROR(Table410[[#This Row],[Jan_2027_Days_Forecast]]*Table410[[#This Row],[Cost Boolean]]*(VLOOKUP(Table410[[#This Row],[RATE CONCAT]],Tables!I:N,6,0)),0)</f>
        <v/>
      </c>
      <c r="DO122" s="275" t="n"/>
      <c r="DP122" s="345">
        <f>Table410[[#This Row],[Jan_2027_F]]-Table410[[#This Row],[Jan_2027_A]]</f>
        <v/>
      </c>
      <c r="DQ122" s="345">
        <f>IFERROR(Table410[[#This Row],[Feb_2027_Days_Forecast]]*Table410[[#This Row],[Cost Boolean]]*(VLOOKUP(Table410[[#This Row],[RATE CONCAT]],Tables!I:N,6,0)),0)</f>
        <v/>
      </c>
      <c r="DR122" s="275" t="n"/>
      <c r="DS122" s="345">
        <f>Table410[[#This Row],[Feb_2027_F]]-Table410[[#This Row],[Feb_2027_A]]</f>
        <v/>
      </c>
      <c r="DT122" s="345">
        <f>IFERROR(Table410[[#This Row],[Mar_2027_Days_Forecast]]*Table410[[#This Row],[Cost Boolean]]*(VLOOKUP(Table410[[#This Row],[RATE CONCAT]],Tables!I:N,6,0)),0)</f>
        <v/>
      </c>
      <c r="DU122" s="275" t="n"/>
      <c r="DV122" s="345">
        <f>Table410[[#This Row],[Mar_2027_F]]-Table410[[#This Row],[Mar_2027_A]]</f>
        <v/>
      </c>
      <c r="DW122" s="345">
        <f>IFERROR(Table410[[#This Row],[Apr_2027_Days_Forecast]]*Table410[[#This Row],[Cost Boolean]]*(VLOOKUP(Table410[[#This Row],[RATE CONCAT]],Tables!I:N,6,0)),0)</f>
        <v/>
      </c>
      <c r="DX122" s="275" t="n"/>
      <c r="DY122" s="345">
        <f>Table410[[#This Row],[Apr_2027_F]]-Table410[[#This Row],[Apr_2027_A]]</f>
        <v/>
      </c>
      <c r="DZ122" s="345">
        <f>IFERROR(Table410[[#This Row],[May_2027_Days_Forecast]]*Table410[[#This Row],[Cost Boolean]]*(VLOOKUP(Table410[[#This Row],[RATE CONCAT]],Tables!I:N,6,0)),0)</f>
        <v/>
      </c>
      <c r="EA122" s="275" t="n"/>
      <c r="EB122" s="345">
        <f>Table410[[#This Row],[May_2027_F]]-Table410[[#This Row],[May_2027_A]]</f>
        <v/>
      </c>
      <c r="EC122" s="345">
        <f>IFERROR(Table410[[#This Row],[Jun_2027_Days_Forecast]]*Table410[[#This Row],[Cost Boolean]]*(VLOOKUP(Table410[[#This Row],[RATE CONCAT]],Tables!I:N,6,0)),0)</f>
        <v/>
      </c>
      <c r="ED122" s="275" t="n"/>
      <c r="EE122" s="345">
        <f>Table410[[#This Row],[Jun_2027_F]]-Table410[[#This Row],[Jun_2027_A]]</f>
        <v/>
      </c>
      <c r="EF122" s="345">
        <f>IFERROR(Table410[[#This Row],[Jul_2027_Days_Forecast]]*Table410[[#This Row],[Cost Boolean]]*(VLOOKUP(Table410[[#This Row],[RATE CONCAT]],Tables!I:N,6,0)),0)</f>
        <v/>
      </c>
      <c r="EG122" s="275" t="n"/>
      <c r="EH122" s="345">
        <f>Table410[[#This Row],[Jul_2027_F]]-Table410[[#This Row],[Jul_2027_A]]</f>
        <v/>
      </c>
      <c r="EI122" s="345">
        <f>IFERROR(Table410[[#This Row],[Aug_2027_Days_Forecast]]*Table410[[#This Row],[Cost Boolean]]*(VLOOKUP(Table410[[#This Row],[RATE CONCAT]],Tables!I:N,6,0)),0)</f>
        <v/>
      </c>
      <c r="EJ122" s="275" t="n"/>
      <c r="EK122" s="345">
        <f>Table410[[#This Row],[Aug_2027_F]]-Table410[[#This Row],[Aug_2027_A]]</f>
        <v/>
      </c>
      <c r="EL122" s="345">
        <f>IFERROR(Table410[[#This Row],[Sep_2027_Days_Forecast]]*Table410[[#This Row],[Cost Boolean]]*(VLOOKUP(Table410[[#This Row],[RATE CONCAT]],Tables!I:N,6,0)),0)</f>
        <v/>
      </c>
      <c r="EM122" s="275" t="n"/>
      <c r="EN122" s="345">
        <f>Table410[[#This Row],[Sep_2027_F]]-Table410[[#This Row],[Sep_2027_A]]</f>
        <v/>
      </c>
      <c r="EO122" s="345">
        <f>IFERROR(Table410[[#This Row],[Oct_2027_Days_Forecast]]*Table410[[#This Row],[Cost Boolean]]*(VLOOKUP(Table410[[#This Row],[RATE CONCAT]],Tables!I:N,6,0)),0)</f>
        <v/>
      </c>
      <c r="EP122" s="275" t="n"/>
      <c r="EQ122" s="345">
        <f>Table410[[#This Row],[Oct_2027_F]]-Table410[[#This Row],[Oct_2027_A]]</f>
        <v/>
      </c>
      <c r="ER122" s="345">
        <f>IFERROR(Table410[[#This Row],[Nov_2027_Days_Forecast]]*Table410[[#This Row],[Cost Boolean]]*(VLOOKUP(Table410[[#This Row],[RATE CONCAT]],Tables!I:N,6,0)),0)</f>
        <v/>
      </c>
      <c r="ES122" s="275" t="n"/>
      <c r="ET122" s="345">
        <f>Table410[[#This Row],[Nov_2027_F]]-Table410[[#This Row],[Nov_2027_A]]</f>
        <v/>
      </c>
      <c r="EU122" s="345">
        <f>IFERROR(Table410[[#This Row],[Dec_2027_Days_Forecast]]*Table410[[#This Row],[Cost Boolean]]*(VLOOKUP(Table410[[#This Row],[RATE CONCAT]],Tables!I:N,6,0)),0)</f>
        <v/>
      </c>
      <c r="EV122" s="275" t="n"/>
      <c r="EW122" s="345">
        <f>Table410[[#This Row],[Dec_2027_F]]-Table410[[#This Row],[Dec_2027_A]]</f>
        <v/>
      </c>
    </row>
    <row r="123" ht="1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342">
        <f>CONCATENATE(Table410[[#This Row],[JG]],Table410[[#This Row],[Country]],Table410[[#This Row],[Resource Provider]])</f>
        <v/>
      </c>
      <c r="Z123" s="342">
        <f>VLOOKUP(Table410[[#This Row],[RATE CONCAT]],Tables!I:N,5,0)</f>
        <v/>
      </c>
      <c r="AA123" s="123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124" t="n"/>
      <c r="AN123" s="341">
        <f>IFERROR(AVERAGE(Table410[[#This Row],[Jan_2026_Days_Forecast]:[Dec_2026_Days_Forecast]]),0)/19</f>
        <v/>
      </c>
      <c r="AO123" s="341">
        <f>IFERROR(AVERAGE(Table410[[#This Row],[Jan_2026_Days_Actual]:[Dec_2026_Days_Actual]]),0)/19</f>
        <v/>
      </c>
      <c r="AP123" s="84" t="n"/>
      <c r="AQ123" s="84" t="n"/>
      <c r="AR123" s="84" t="n"/>
      <c r="AS123" s="84" t="n"/>
      <c r="AT123" s="84" t="n"/>
      <c r="AU123" s="84" t="n"/>
      <c r="AV123" s="84" t="n"/>
      <c r="AW123" s="84" t="n"/>
      <c r="AX123" s="84" t="n"/>
      <c r="AY123" s="84" t="n"/>
      <c r="AZ123" s="84" t="n"/>
      <c r="BA123" s="84" t="n"/>
      <c r="BB123" s="341">
        <f>IFERROR(AVERAGE(Table410[[#This Row],[Jan_2027_Days_Forecast]:[Dec_2027_Days_Forecast]]),0)</f>
        <v/>
      </c>
      <c r="BC123" s="129" t="n"/>
      <c r="BD123" s="129" t="n"/>
      <c r="BE123" s="129" t="n"/>
      <c r="BF123" s="129" t="n"/>
      <c r="BG123" s="129" t="n"/>
      <c r="BH123" s="129" t="n"/>
      <c r="BI123" s="16" t="n"/>
      <c r="BJ123" s="16" t="n"/>
      <c r="BK123" s="16" t="n"/>
      <c r="BL123" s="16" t="n"/>
      <c r="BM123" s="16" t="n"/>
      <c r="BN123" s="125" t="n"/>
      <c r="BO123" s="176" t="n"/>
      <c r="BP123" s="176" t="n"/>
      <c r="BQ123" s="347">
        <f>IFERROR(Table410[[#This Row],[Jan_2026_Days_Forecast]]*Table410[[#This Row],[Cost Boolean]]*(VLOOKUP(Table410[[#This Row],[RATE CONCAT]],Tables!I:N,5,0)),0)</f>
        <v/>
      </c>
      <c r="BR123" s="347">
        <f>IFERROR(Table410[[#This Row],[Jan_2026_Days_Actual]]*Table410[[#This Row],[Cost Boolean]]*(VLOOKUP(Table410[[#This Row],[RATE CONCAT]],Tables!I:N,5,0)),0)</f>
        <v/>
      </c>
      <c r="BS123" s="342">
        <f>Table410[[#This Row],[Jan_2026_F]]-Table410[[#This Row],[Jan_2026_A]]</f>
        <v/>
      </c>
      <c r="BT123" s="114" t="n"/>
      <c r="BU123" s="342">
        <f>IFERROR(Table410[[#This Row],[Feb_2026_Days_Forecast]]*Table410[[#This Row],[Cost Boolean]]*(VLOOKUP(Table410[[#This Row],[RATE CONCAT]],Tables!I:N,5,0)),0)</f>
        <v/>
      </c>
      <c r="BV123" s="347">
        <f>IFERROR(Table410[[#This Row],[Feb_2026_Days_Actual]]*Table410[[#This Row],[Cost Boolean]]*(VLOOKUP(Table410[[#This Row],[RATE CONCAT]],Tables!I:N,5,0)),0)</f>
        <v/>
      </c>
      <c r="BW123" s="342">
        <f>Table410[[#This Row],[Feb_2026_F]]-Table410[[#This Row],[Feb_2026_A]]</f>
        <v/>
      </c>
      <c r="BX123" s="275" t="n"/>
      <c r="BY123" s="347">
        <f>IFERROR(Table410[[#This Row],[Mar_2026_Days_Forecast]]*Table410[[#This Row],[Cost Boolean]]*(VLOOKUP(Table410[[#This Row],[RATE CONCAT]],Tables!I:N,5,0)),0)</f>
        <v/>
      </c>
      <c r="BZ123" s="347">
        <f>IFERROR(Table410[[#This Row],[Mar_2026_Days_Actual]]*Table410[[#This Row],[Cost Boolean]]*(VLOOKUP(Table410[[#This Row],[RATE CONCAT]],Tables!I:N,5,0)),0)</f>
        <v/>
      </c>
      <c r="CA123" s="347">
        <f>Table410[[#This Row],[Mar_2026_F]]-Table410[[#This Row],[Mar_2026_A]]</f>
        <v/>
      </c>
      <c r="CB123" s="103" t="n"/>
      <c r="CC123" s="347">
        <f>IFERROR(Table410[[#This Row],[Apr_2026_Days_Forecast]]*Table410[[#This Row],[Cost Boolean]]*(VLOOKUP(Table410[[#This Row],[RATE CONCAT]],Tables!I:N,5,0)),0)</f>
        <v/>
      </c>
      <c r="CD123" s="347">
        <f>IFERROR(Table410[[#This Row],[Apr_2026_Days_Actual]]*Table410[[#This Row],[Cost Boolean]]*(VLOOKUP(Table410[[#This Row],[RATE CONCAT]],Tables!I:N,5,0)),0)</f>
        <v/>
      </c>
      <c r="CE123" s="347">
        <f>Table410[[#This Row],[Apr_2026_F]]-Table410[[#This Row],[Apr_2026_A]]</f>
        <v/>
      </c>
      <c r="CF123" s="103" t="n"/>
      <c r="CG123" s="347">
        <f>IFERROR(Table410[[#This Row],[May_2026_Days_Forecast]] *Table410[[#This Row],[Cost Boolean]]*(VLOOKUP(Table410[[#This Row],[RATE CONCAT]],Tables!I:N,5,0)),0)</f>
        <v/>
      </c>
      <c r="CH123" s="347">
        <f>IFERROR(Table410[[#This Row],[May_2026_Days_Actual]]*Table410[[#This Row],[Cost Boolean]]*(VLOOKUP(Table410[[#This Row],[RATE CONCAT]],Tables!I:N,5,0)),0)</f>
        <v/>
      </c>
      <c r="CI123" s="347">
        <f>Table410[[#This Row],[May_2026_F]]-Table410[[#This Row],[May_2026_A]]</f>
        <v/>
      </c>
      <c r="CJ123" s="103" t="n"/>
      <c r="CK123" s="347">
        <f>IFERROR(Table410[[#This Row],[Jun_2026_Days_Forecast]]*Table410[[#This Row],[Cost Boolean]]*(VLOOKUP(Table410[[#This Row],[RATE CONCAT]],Tables!I:N,5,0)),0)</f>
        <v/>
      </c>
      <c r="CL123" s="347">
        <f>IFERROR(Table410[[#This Row],[Jun_2026_Days_Actual]]*Table410[[#This Row],[Cost Boolean]]*(VLOOKUP(Table410[[#This Row],[RATE CONCAT]],Tables!I:N,5,0)),0)</f>
        <v/>
      </c>
      <c r="CM123" s="347">
        <f>Table410[[#This Row],[Jun_2026_F]]-Table410[[#This Row],[Jun_2026_A]]</f>
        <v/>
      </c>
      <c r="CN123" s="103" t="n"/>
      <c r="CO123" s="347">
        <f>IFERROR(Table410[[#This Row],[Jul_2026_Days_Forecast]]*Table410[[#This Row],[Cost Boolean]]*(VLOOKUP(Table410[[#This Row],[RATE CONCAT]],Tables!I:N,5,0)),0)</f>
        <v/>
      </c>
      <c r="CP123" s="347">
        <f>IFERROR(Table410[[#This Row],[Jul_2026_Days_Actual]]*Table410[[#This Row],[Cost Boolean]]*(VLOOKUP(Table410[[#This Row],[RATE CONCAT]],Tables!I:N,5,0)),0)</f>
        <v/>
      </c>
      <c r="CQ123" s="347">
        <f>Table410[[#This Row],[Jul_2026_F]]-Table410[[#This Row],[Jul_2026_A]]</f>
        <v/>
      </c>
      <c r="CR123" s="103" t="n"/>
      <c r="CS123" s="347">
        <f>IFERROR(Table410[[#This Row],[Aug_2026_Days_Forecast]]*Table410[[#This Row],[Cost Boolean]]*(VLOOKUP(Table410[[#This Row],[RATE CONCAT]],Tables!I:N,5,0)),0)</f>
        <v/>
      </c>
      <c r="CT123" s="347">
        <f>IFERROR(Table410[[#This Row],[Aug_2026_Days_Actual]]*Table410[[#This Row],[Cost Boolean]]*(VLOOKUP(Table410[[#This Row],[RATE CONCAT]],Tables!I:N,5,0)),0)</f>
        <v/>
      </c>
      <c r="CU123" s="347">
        <f>Table410[[#This Row],[Aug_2026_F]]-Table410[[#This Row],[Aug_2026_A]]</f>
        <v/>
      </c>
      <c r="CV123" s="103" t="n"/>
      <c r="CW123" s="347">
        <f>IFERROR(Table410[[#This Row],[Sep_2026_Days_Forecast]]*Table410[[#This Row],[Cost Boolean]]*(VLOOKUP(Table410[[#This Row],[RATE CONCAT]],Tables!I:N,5,0)),0)</f>
        <v/>
      </c>
      <c r="CX123" s="347">
        <f>IFERROR(Table410[[#This Row],[Sep_2026_Days_Actual]]*Table410[[#This Row],[Cost Boolean]]*(VLOOKUP(Table410[[#This Row],[RATE CONCAT]],Tables!I:N,5,0)),0)</f>
        <v/>
      </c>
      <c r="CY123" s="347">
        <f>Table410[[#This Row],[Sep_2026_F]]-Table410[[#This Row],[Sep_2026_A]]</f>
        <v/>
      </c>
      <c r="CZ123" s="103" t="n"/>
      <c r="DA123" s="347">
        <f>IFERROR(Table410[[#This Row],[Oct_2026_Days_Forecast]]*Table410[[#This Row],[Cost Boolean]]*(VLOOKUP(Table410[[#This Row],[RATE CONCAT]],Tables!I:N,5,0)),0)</f>
        <v/>
      </c>
      <c r="DB123" s="347">
        <f>IFERROR(Table410[[#This Row],[Oct_2026_Days_Actual]]*Table410[[#This Row],[Cost Boolean]]*(VLOOKUP(Table410[[#This Row],[RATE CONCAT]],Tables!I:N,5,0)),0)</f>
        <v/>
      </c>
      <c r="DC123" s="347">
        <f>Table410[[#This Row],[Oct_2026_F]]-Table410[[#This Row],[Oct_2026_A]]</f>
        <v/>
      </c>
      <c r="DD123" s="103" t="n"/>
      <c r="DE123" s="347">
        <f>IFERROR(Table410[[#This Row],[Nov_2026_Days_Forecast]]*Table410[[#This Row],[Cost Boolean]]*(VLOOKUP(Table410[[#This Row],[RATE CONCAT]],Tables!I:N,5,0)),0)</f>
        <v/>
      </c>
      <c r="DF123" s="347">
        <f>IFERROR(Table410[[#This Row],[Nov_2026_Days_Actual]]*Table410[[#This Row],[Cost Boolean]]*(VLOOKUP(Table410[[#This Row],[RATE CONCAT]],Tables!I:N,5,0)),0)</f>
        <v/>
      </c>
      <c r="DG123" s="347">
        <f>Table410[[#This Row],[Nov_2026_F]]-Table410[[#This Row],[Nov_2026_A]]</f>
        <v/>
      </c>
      <c r="DH123" s="103" t="n"/>
      <c r="DI123" s="347">
        <f>IFERROR(Table410[[#This Row],[Dec_2026_Days_Forecast]]*Table410[[#This Row],[Cost Boolean]]*(VLOOKUP(Table410[[#This Row],[RATE CONCAT]],Tables!I:N,5,0)),0)</f>
        <v/>
      </c>
      <c r="DJ123" s="347">
        <f>IFERROR(Table410[[#This Row],[Dec_2026_Days_Actual]]*Table410[[#This Row],[Cost Boolean]]*(VLOOKUP(Table410[[#This Row],[RATE CONCAT]],Tables!I:N,5,0)),0)</f>
        <v/>
      </c>
      <c r="DK123" s="348">
        <f>Table410[[#This Row],[Dec_2026_F]]-Table410[[#This Row],[Dec_2026_A]]</f>
        <v/>
      </c>
      <c r="DL123" s="103" t="n"/>
      <c r="DM123" s="346" t="n"/>
      <c r="DN123" s="347">
        <f>IFERROR(Table410[[#This Row],[Jan_2027_Days_Forecast]]*Table410[[#This Row],[Cost Boolean]]*(VLOOKUP(Table410[[#This Row],[RATE CONCAT]],Tables!I:N,6,0)),0)</f>
        <v/>
      </c>
      <c r="DO123" s="275" t="n"/>
      <c r="DP123" s="347">
        <f>Table410[[#This Row],[Jan_2027_F]]-Table410[[#This Row],[Jan_2027_A]]</f>
        <v/>
      </c>
      <c r="DQ123" s="347">
        <f>IFERROR(Table410[[#This Row],[Feb_2027_Days_Forecast]]*Table410[[#This Row],[Cost Boolean]]*(VLOOKUP(Table410[[#This Row],[RATE CONCAT]],Tables!I:N,6,0)),0)</f>
        <v/>
      </c>
      <c r="DR123" s="275" t="n"/>
      <c r="DS123" s="347">
        <f>Table410[[#This Row],[Feb_2027_F]]-Table410[[#This Row],[Feb_2027_A]]</f>
        <v/>
      </c>
      <c r="DT123" s="347">
        <f>IFERROR(Table410[[#This Row],[Mar_2027_Days_Forecast]]*Table410[[#This Row],[Cost Boolean]]*(VLOOKUP(Table410[[#This Row],[RATE CONCAT]],Tables!I:N,6,0)),0)</f>
        <v/>
      </c>
      <c r="DU123" s="275" t="n"/>
      <c r="DV123" s="347">
        <f>Table410[[#This Row],[Mar_2027_F]]-Table410[[#This Row],[Mar_2027_A]]</f>
        <v/>
      </c>
      <c r="DW123" s="347">
        <f>IFERROR(Table410[[#This Row],[Apr_2027_Days_Forecast]]*Table410[[#This Row],[Cost Boolean]]*(VLOOKUP(Table410[[#This Row],[RATE CONCAT]],Tables!I:N,6,0)),0)</f>
        <v/>
      </c>
      <c r="DX123" s="275" t="n"/>
      <c r="DY123" s="347">
        <f>Table410[[#This Row],[Apr_2027_F]]-Table410[[#This Row],[Apr_2027_A]]</f>
        <v/>
      </c>
      <c r="DZ123" s="347">
        <f>IFERROR(Table410[[#This Row],[May_2027_Days_Forecast]]*Table410[[#This Row],[Cost Boolean]]*(VLOOKUP(Table410[[#This Row],[RATE CONCAT]],Tables!I:N,6,0)),0)</f>
        <v/>
      </c>
      <c r="EA123" s="275" t="n"/>
      <c r="EB123" s="347">
        <f>Table410[[#This Row],[May_2027_F]]-Table410[[#This Row],[May_2027_A]]</f>
        <v/>
      </c>
      <c r="EC123" s="347">
        <f>IFERROR(Table410[[#This Row],[Jun_2027_Days_Forecast]]*Table410[[#This Row],[Cost Boolean]]*(VLOOKUP(Table410[[#This Row],[RATE CONCAT]],Tables!I:N,6,0)),0)</f>
        <v/>
      </c>
      <c r="ED123" s="275" t="n"/>
      <c r="EE123" s="347">
        <f>Table410[[#This Row],[Jun_2027_F]]-Table410[[#This Row],[Jun_2027_A]]</f>
        <v/>
      </c>
      <c r="EF123" s="347">
        <f>IFERROR(Table410[[#This Row],[Jul_2027_Days_Forecast]]*Table410[[#This Row],[Cost Boolean]]*(VLOOKUP(Table410[[#This Row],[RATE CONCAT]],Tables!I:N,6,0)),0)</f>
        <v/>
      </c>
      <c r="EG123" s="275" t="n"/>
      <c r="EH123" s="347">
        <f>Table410[[#This Row],[Jul_2027_F]]-Table410[[#This Row],[Jul_2027_A]]</f>
        <v/>
      </c>
      <c r="EI123" s="347">
        <f>IFERROR(Table410[[#This Row],[Aug_2027_Days_Forecast]]*Table410[[#This Row],[Cost Boolean]]*(VLOOKUP(Table410[[#This Row],[RATE CONCAT]],Tables!I:N,6,0)),0)</f>
        <v/>
      </c>
      <c r="EJ123" s="275" t="n"/>
      <c r="EK123" s="347">
        <f>Table410[[#This Row],[Aug_2027_F]]-Table410[[#This Row],[Aug_2027_A]]</f>
        <v/>
      </c>
      <c r="EL123" s="347">
        <f>IFERROR(Table410[[#This Row],[Sep_2027_Days_Forecast]]*Table410[[#This Row],[Cost Boolean]]*(VLOOKUP(Table410[[#This Row],[RATE CONCAT]],Tables!I:N,6,0)),0)</f>
        <v/>
      </c>
      <c r="EM123" s="275" t="n"/>
      <c r="EN123" s="347">
        <f>Table410[[#This Row],[Sep_2027_F]]-Table410[[#This Row],[Sep_2027_A]]</f>
        <v/>
      </c>
      <c r="EO123" s="347">
        <f>IFERROR(Table410[[#This Row],[Oct_2027_Days_Forecast]]*Table410[[#This Row],[Cost Boolean]]*(VLOOKUP(Table410[[#This Row],[RATE CONCAT]],Tables!I:N,6,0)),0)</f>
        <v/>
      </c>
      <c r="EP123" s="275" t="n"/>
      <c r="EQ123" s="347">
        <f>Table410[[#This Row],[Oct_2027_F]]-Table410[[#This Row],[Oct_2027_A]]</f>
        <v/>
      </c>
      <c r="ER123" s="347">
        <f>IFERROR(Table410[[#This Row],[Nov_2027_Days_Forecast]]*Table410[[#This Row],[Cost Boolean]]*(VLOOKUP(Table410[[#This Row],[RATE CONCAT]],Tables!I:N,6,0)),0)</f>
        <v/>
      </c>
      <c r="ES123" s="275" t="n"/>
      <c r="ET123" s="347">
        <f>Table410[[#This Row],[Nov_2027_F]]-Table410[[#This Row],[Nov_2027_A]]</f>
        <v/>
      </c>
      <c r="EU123" s="347">
        <f>IFERROR(Table410[[#This Row],[Dec_2027_Days_Forecast]]*Table410[[#This Row],[Cost Boolean]]*(VLOOKUP(Table410[[#This Row],[RATE CONCAT]],Tables!I:N,6,0)),0)</f>
        <v/>
      </c>
      <c r="EV123" s="275" t="n"/>
      <c r="EW123" s="347">
        <f>Table410[[#This Row],[Dec_2027_F]]-Table410[[#This Row],[Dec_2027_A]]</f>
        <v/>
      </c>
    </row>
    <row r="124" ht="1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338">
        <f>CONCATENATE(Table410[[#This Row],[JG]],Table410[[#This Row],[Country]],Table410[[#This Row],[Resource Provider]])</f>
        <v/>
      </c>
      <c r="Z124" s="338">
        <f>VLOOKUP(Table410[[#This Row],[RATE CONCAT]],Tables!I:N,5,0)</f>
        <v/>
      </c>
      <c r="AA124" s="123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124" t="n"/>
      <c r="AN124" s="341">
        <f>IFERROR(AVERAGE(Table410[[#This Row],[Jan_2026_Days_Forecast]:[Dec_2026_Days_Forecast]]),0)/19</f>
        <v/>
      </c>
      <c r="AO124" s="341">
        <f>IFERROR(AVERAGE(Table410[[#This Row],[Jan_2026_Days_Actual]:[Dec_2026_Days_Actual]]),0)/19</f>
        <v/>
      </c>
      <c r="AP124" s="84" t="n"/>
      <c r="AQ124" s="84" t="n"/>
      <c r="AR124" s="84" t="n"/>
      <c r="AS124" s="84" t="n"/>
      <c r="AT124" s="84" t="n"/>
      <c r="AU124" s="84" t="n"/>
      <c r="AV124" s="84" t="n"/>
      <c r="AW124" s="84" t="n"/>
      <c r="AX124" s="84" t="n"/>
      <c r="AY124" s="84" t="n"/>
      <c r="AZ124" s="84" t="n"/>
      <c r="BA124" s="84" t="n"/>
      <c r="BB124" s="341">
        <f>IFERROR(AVERAGE(Table410[[#This Row],[Jan_2027_Days_Forecast]:[Dec_2027_Days_Forecast]]),0)</f>
        <v/>
      </c>
      <c r="BC124" s="129" t="n"/>
      <c r="BD124" s="129" t="n"/>
      <c r="BE124" s="129" t="n"/>
      <c r="BF124" s="129" t="n"/>
      <c r="BG124" s="129" t="n"/>
      <c r="BH124" s="129" t="n"/>
      <c r="BI124" s="16" t="n"/>
      <c r="BJ124" s="16" t="n"/>
      <c r="BK124" s="16" t="n"/>
      <c r="BL124" s="16" t="n"/>
      <c r="BM124" s="16" t="n"/>
      <c r="BN124" s="125" t="n"/>
      <c r="BO124" s="176" t="n"/>
      <c r="BP124" s="176" t="n"/>
      <c r="BQ124" s="345">
        <f>IFERROR(Table410[[#This Row],[Jan_2026_Days_Forecast]]*Table410[[#This Row],[Cost Boolean]]*(VLOOKUP(Table410[[#This Row],[RATE CONCAT]],Tables!I:N,5,0)),0)</f>
        <v/>
      </c>
      <c r="BR124" s="345">
        <f>IFERROR(Table410[[#This Row],[Jan_2026_Days_Actual]]*Table410[[#This Row],[Cost Boolean]]*(VLOOKUP(Table410[[#This Row],[RATE CONCAT]],Tables!I:N,5,0)),0)</f>
        <v/>
      </c>
      <c r="BS124" s="338">
        <f>Table410[[#This Row],[Jan_2026_F]]-Table410[[#This Row],[Jan_2026_A]]</f>
        <v/>
      </c>
      <c r="BT124" s="114" t="n"/>
      <c r="BU124" s="338">
        <f>IFERROR(Table410[[#This Row],[Feb_2026_Days_Forecast]]*Table410[[#This Row],[Cost Boolean]]*(VLOOKUP(Table410[[#This Row],[RATE CONCAT]],Tables!I:N,5,0)),0)</f>
        <v/>
      </c>
      <c r="BV124" s="345">
        <f>IFERROR(Table410[[#This Row],[Feb_2026_Days_Actual]]*Table410[[#This Row],[Cost Boolean]]*(VLOOKUP(Table410[[#This Row],[RATE CONCAT]],Tables!I:N,5,0)),0)</f>
        <v/>
      </c>
      <c r="BW124" s="338">
        <f>Table410[[#This Row],[Feb_2026_F]]-Table410[[#This Row],[Feb_2026_A]]</f>
        <v/>
      </c>
      <c r="BX124" s="275" t="n"/>
      <c r="BY124" s="345">
        <f>IFERROR(Table410[[#This Row],[Mar_2026_Days_Forecast]]*Table410[[#This Row],[Cost Boolean]]*(VLOOKUP(Table410[[#This Row],[RATE CONCAT]],Tables!I:N,5,0)),0)</f>
        <v/>
      </c>
      <c r="BZ124" s="345">
        <f>IFERROR(Table410[[#This Row],[Mar_2026_Days_Actual]]*Table410[[#This Row],[Cost Boolean]]*(VLOOKUP(Table410[[#This Row],[RATE CONCAT]],Tables!I:N,5,0)),0)</f>
        <v/>
      </c>
      <c r="CA124" s="345">
        <f>Table410[[#This Row],[Mar_2026_F]]-Table410[[#This Row],[Mar_2026_A]]</f>
        <v/>
      </c>
      <c r="CB124" s="103" t="n"/>
      <c r="CC124" s="345">
        <f>IFERROR(Table410[[#This Row],[Apr_2026_Days_Forecast]]*Table410[[#This Row],[Cost Boolean]]*(VLOOKUP(Table410[[#This Row],[RATE CONCAT]],Tables!I:N,5,0)),0)</f>
        <v/>
      </c>
      <c r="CD124" s="345">
        <f>IFERROR(Table410[[#This Row],[Apr_2026_Days_Actual]]*Table410[[#This Row],[Cost Boolean]]*(VLOOKUP(Table410[[#This Row],[RATE CONCAT]],Tables!I:N,5,0)),0)</f>
        <v/>
      </c>
      <c r="CE124" s="345">
        <f>Table410[[#This Row],[Apr_2026_F]]-Table410[[#This Row],[Apr_2026_A]]</f>
        <v/>
      </c>
      <c r="CF124" s="103" t="n"/>
      <c r="CG124" s="345">
        <f>IFERROR(Table410[[#This Row],[May_2026_Days_Forecast]] *Table410[[#This Row],[Cost Boolean]]*(VLOOKUP(Table410[[#This Row],[RATE CONCAT]],Tables!I:N,5,0)),0)</f>
        <v/>
      </c>
      <c r="CH124" s="345">
        <f>IFERROR(Table410[[#This Row],[May_2026_Days_Actual]]*Table410[[#This Row],[Cost Boolean]]*(VLOOKUP(Table410[[#This Row],[RATE CONCAT]],Tables!I:N,5,0)),0)</f>
        <v/>
      </c>
      <c r="CI124" s="345">
        <f>Table410[[#This Row],[May_2026_F]]-Table410[[#This Row],[May_2026_A]]</f>
        <v/>
      </c>
      <c r="CJ124" s="103" t="n"/>
      <c r="CK124" s="345">
        <f>IFERROR(Table410[[#This Row],[Jun_2026_Days_Forecast]]*Table410[[#This Row],[Cost Boolean]]*(VLOOKUP(Table410[[#This Row],[RATE CONCAT]],Tables!I:N,5,0)),0)</f>
        <v/>
      </c>
      <c r="CL124" s="345">
        <f>IFERROR(Table410[[#This Row],[Jun_2026_Days_Actual]]*Table410[[#This Row],[Cost Boolean]]*(VLOOKUP(Table410[[#This Row],[RATE CONCAT]],Tables!I:N,5,0)),0)</f>
        <v/>
      </c>
      <c r="CM124" s="345">
        <f>Table410[[#This Row],[Jun_2026_F]]-Table410[[#This Row],[Jun_2026_A]]</f>
        <v/>
      </c>
      <c r="CN124" s="103" t="n"/>
      <c r="CO124" s="345">
        <f>IFERROR(Table410[[#This Row],[Jul_2026_Days_Forecast]]*Table410[[#This Row],[Cost Boolean]]*(VLOOKUP(Table410[[#This Row],[RATE CONCAT]],Tables!I:N,5,0)),0)</f>
        <v/>
      </c>
      <c r="CP124" s="345">
        <f>IFERROR(Table410[[#This Row],[Jul_2026_Days_Actual]]*Table410[[#This Row],[Cost Boolean]]*(VLOOKUP(Table410[[#This Row],[RATE CONCAT]],Tables!I:N,5,0)),0)</f>
        <v/>
      </c>
      <c r="CQ124" s="345">
        <f>Table410[[#This Row],[Jul_2026_F]]-Table410[[#This Row],[Jul_2026_A]]</f>
        <v/>
      </c>
      <c r="CR124" s="103" t="n"/>
      <c r="CS124" s="345">
        <f>IFERROR(Table410[[#This Row],[Aug_2026_Days_Forecast]]*Table410[[#This Row],[Cost Boolean]]*(VLOOKUP(Table410[[#This Row],[RATE CONCAT]],Tables!I:N,5,0)),0)</f>
        <v/>
      </c>
      <c r="CT124" s="345">
        <f>IFERROR(Table410[[#This Row],[Aug_2026_Days_Actual]]*Table410[[#This Row],[Cost Boolean]]*(VLOOKUP(Table410[[#This Row],[RATE CONCAT]],Tables!I:N,5,0)),0)</f>
        <v/>
      </c>
      <c r="CU124" s="345">
        <f>Table410[[#This Row],[Aug_2026_F]]-Table410[[#This Row],[Aug_2026_A]]</f>
        <v/>
      </c>
      <c r="CV124" s="103" t="n"/>
      <c r="CW124" s="345">
        <f>IFERROR(Table410[[#This Row],[Sep_2026_Days_Forecast]]*Table410[[#This Row],[Cost Boolean]]*(VLOOKUP(Table410[[#This Row],[RATE CONCAT]],Tables!I:N,5,0)),0)</f>
        <v/>
      </c>
      <c r="CX124" s="345">
        <f>IFERROR(Table410[[#This Row],[Sep_2026_Days_Actual]]*Table410[[#This Row],[Cost Boolean]]*(VLOOKUP(Table410[[#This Row],[RATE CONCAT]],Tables!I:N,5,0)),0)</f>
        <v/>
      </c>
      <c r="CY124" s="345">
        <f>Table410[[#This Row],[Sep_2026_F]]-Table410[[#This Row],[Sep_2026_A]]</f>
        <v/>
      </c>
      <c r="CZ124" s="103" t="n"/>
      <c r="DA124" s="345">
        <f>IFERROR(Table410[[#This Row],[Oct_2026_Days_Forecast]]*Table410[[#This Row],[Cost Boolean]]*(VLOOKUP(Table410[[#This Row],[RATE CONCAT]],Tables!I:N,5,0)),0)</f>
        <v/>
      </c>
      <c r="DB124" s="345">
        <f>IFERROR(Table410[[#This Row],[Oct_2026_Days_Actual]]*Table410[[#This Row],[Cost Boolean]]*(VLOOKUP(Table410[[#This Row],[RATE CONCAT]],Tables!I:N,5,0)),0)</f>
        <v/>
      </c>
      <c r="DC124" s="345">
        <f>Table410[[#This Row],[Oct_2026_F]]-Table410[[#This Row],[Oct_2026_A]]</f>
        <v/>
      </c>
      <c r="DD124" s="103" t="n"/>
      <c r="DE124" s="345">
        <f>IFERROR(Table410[[#This Row],[Nov_2026_Days_Forecast]]*Table410[[#This Row],[Cost Boolean]]*(VLOOKUP(Table410[[#This Row],[RATE CONCAT]],Tables!I:N,5,0)),0)</f>
        <v/>
      </c>
      <c r="DF124" s="345">
        <f>IFERROR(Table410[[#This Row],[Nov_2026_Days_Actual]]*Table410[[#This Row],[Cost Boolean]]*(VLOOKUP(Table410[[#This Row],[RATE CONCAT]],Tables!I:N,5,0)),0)</f>
        <v/>
      </c>
      <c r="DG124" s="345">
        <f>Table410[[#This Row],[Nov_2026_F]]-Table410[[#This Row],[Nov_2026_A]]</f>
        <v/>
      </c>
      <c r="DH124" s="103" t="n"/>
      <c r="DI124" s="345">
        <f>IFERROR(Table410[[#This Row],[Dec_2026_Days_Forecast]]*Table410[[#This Row],[Cost Boolean]]*(VLOOKUP(Table410[[#This Row],[RATE CONCAT]],Tables!I:N,5,0)),0)</f>
        <v/>
      </c>
      <c r="DJ124" s="345">
        <f>IFERROR(Table410[[#This Row],[Dec_2026_Days_Actual]]*Table410[[#This Row],[Cost Boolean]]*(VLOOKUP(Table410[[#This Row],[RATE CONCAT]],Tables!I:N,5,0)),0)</f>
        <v/>
      </c>
      <c r="DK124" s="349">
        <f>Table410[[#This Row],[Dec_2026_F]]-Table410[[#This Row],[Dec_2026_A]]</f>
        <v/>
      </c>
      <c r="DL124" s="103" t="n"/>
      <c r="DM124" s="346" t="n"/>
      <c r="DN124" s="345">
        <f>IFERROR(Table410[[#This Row],[Jan_2027_Days_Forecast]]*Table410[[#This Row],[Cost Boolean]]*(VLOOKUP(Table410[[#This Row],[RATE CONCAT]],Tables!I:N,6,0)),0)</f>
        <v/>
      </c>
      <c r="DO124" s="275" t="n"/>
      <c r="DP124" s="345">
        <f>Table410[[#This Row],[Jan_2027_F]]-Table410[[#This Row],[Jan_2027_A]]</f>
        <v/>
      </c>
      <c r="DQ124" s="345">
        <f>IFERROR(Table410[[#This Row],[Feb_2027_Days_Forecast]]*Table410[[#This Row],[Cost Boolean]]*(VLOOKUP(Table410[[#This Row],[RATE CONCAT]],Tables!I:N,6,0)),0)</f>
        <v/>
      </c>
      <c r="DR124" s="275" t="n"/>
      <c r="DS124" s="345">
        <f>Table410[[#This Row],[Feb_2027_F]]-Table410[[#This Row],[Feb_2027_A]]</f>
        <v/>
      </c>
      <c r="DT124" s="345">
        <f>IFERROR(Table410[[#This Row],[Mar_2027_Days_Forecast]]*Table410[[#This Row],[Cost Boolean]]*(VLOOKUP(Table410[[#This Row],[RATE CONCAT]],Tables!I:N,6,0)),0)</f>
        <v/>
      </c>
      <c r="DU124" s="275" t="n"/>
      <c r="DV124" s="345">
        <f>Table410[[#This Row],[Mar_2027_F]]-Table410[[#This Row],[Mar_2027_A]]</f>
        <v/>
      </c>
      <c r="DW124" s="345">
        <f>IFERROR(Table410[[#This Row],[Apr_2027_Days_Forecast]]*Table410[[#This Row],[Cost Boolean]]*(VLOOKUP(Table410[[#This Row],[RATE CONCAT]],Tables!I:N,6,0)),0)</f>
        <v/>
      </c>
      <c r="DX124" s="275" t="n"/>
      <c r="DY124" s="345">
        <f>Table410[[#This Row],[Apr_2027_F]]-Table410[[#This Row],[Apr_2027_A]]</f>
        <v/>
      </c>
      <c r="DZ124" s="345">
        <f>IFERROR(Table410[[#This Row],[May_2027_Days_Forecast]]*Table410[[#This Row],[Cost Boolean]]*(VLOOKUP(Table410[[#This Row],[RATE CONCAT]],Tables!I:N,6,0)),0)</f>
        <v/>
      </c>
      <c r="EA124" s="275" t="n"/>
      <c r="EB124" s="345">
        <f>Table410[[#This Row],[May_2027_F]]-Table410[[#This Row],[May_2027_A]]</f>
        <v/>
      </c>
      <c r="EC124" s="345">
        <f>IFERROR(Table410[[#This Row],[Jun_2027_Days_Forecast]]*Table410[[#This Row],[Cost Boolean]]*(VLOOKUP(Table410[[#This Row],[RATE CONCAT]],Tables!I:N,6,0)),0)</f>
        <v/>
      </c>
      <c r="ED124" s="275" t="n"/>
      <c r="EE124" s="345">
        <f>Table410[[#This Row],[Jun_2027_F]]-Table410[[#This Row],[Jun_2027_A]]</f>
        <v/>
      </c>
      <c r="EF124" s="345">
        <f>IFERROR(Table410[[#This Row],[Jul_2027_Days_Forecast]]*Table410[[#This Row],[Cost Boolean]]*(VLOOKUP(Table410[[#This Row],[RATE CONCAT]],Tables!I:N,6,0)),0)</f>
        <v/>
      </c>
      <c r="EG124" s="275" t="n"/>
      <c r="EH124" s="345">
        <f>Table410[[#This Row],[Jul_2027_F]]-Table410[[#This Row],[Jul_2027_A]]</f>
        <v/>
      </c>
      <c r="EI124" s="345">
        <f>IFERROR(Table410[[#This Row],[Aug_2027_Days_Forecast]]*Table410[[#This Row],[Cost Boolean]]*(VLOOKUP(Table410[[#This Row],[RATE CONCAT]],Tables!I:N,6,0)),0)</f>
        <v/>
      </c>
      <c r="EJ124" s="275" t="n"/>
      <c r="EK124" s="345">
        <f>Table410[[#This Row],[Aug_2027_F]]-Table410[[#This Row],[Aug_2027_A]]</f>
        <v/>
      </c>
      <c r="EL124" s="345">
        <f>IFERROR(Table410[[#This Row],[Sep_2027_Days_Forecast]]*Table410[[#This Row],[Cost Boolean]]*(VLOOKUP(Table410[[#This Row],[RATE CONCAT]],Tables!I:N,6,0)),0)</f>
        <v/>
      </c>
      <c r="EM124" s="275" t="n"/>
      <c r="EN124" s="345">
        <f>Table410[[#This Row],[Sep_2027_F]]-Table410[[#This Row],[Sep_2027_A]]</f>
        <v/>
      </c>
      <c r="EO124" s="345">
        <f>IFERROR(Table410[[#This Row],[Oct_2027_Days_Forecast]]*Table410[[#This Row],[Cost Boolean]]*(VLOOKUP(Table410[[#This Row],[RATE CONCAT]],Tables!I:N,6,0)),0)</f>
        <v/>
      </c>
      <c r="EP124" s="275" t="n"/>
      <c r="EQ124" s="345">
        <f>Table410[[#This Row],[Oct_2027_F]]-Table410[[#This Row],[Oct_2027_A]]</f>
        <v/>
      </c>
      <c r="ER124" s="345">
        <f>IFERROR(Table410[[#This Row],[Nov_2027_Days_Forecast]]*Table410[[#This Row],[Cost Boolean]]*(VLOOKUP(Table410[[#This Row],[RATE CONCAT]],Tables!I:N,6,0)),0)</f>
        <v/>
      </c>
      <c r="ES124" s="275" t="n"/>
      <c r="ET124" s="345">
        <f>Table410[[#This Row],[Nov_2027_F]]-Table410[[#This Row],[Nov_2027_A]]</f>
        <v/>
      </c>
      <c r="EU124" s="345">
        <f>IFERROR(Table410[[#This Row],[Dec_2027_Days_Forecast]]*Table410[[#This Row],[Cost Boolean]]*(VLOOKUP(Table410[[#This Row],[RATE CONCAT]],Tables!I:N,6,0)),0)</f>
        <v/>
      </c>
      <c r="EV124" s="275" t="n"/>
      <c r="EW124" s="345">
        <f>Table410[[#This Row],[Dec_2027_F]]-Table410[[#This Row],[Dec_2027_A]]</f>
        <v/>
      </c>
    </row>
    <row r="125" ht="1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342">
        <f>CONCATENATE(Table410[[#This Row],[JG]],Table410[[#This Row],[Country]],Table410[[#This Row],[Resource Provider]])</f>
        <v/>
      </c>
      <c r="Z125" s="342">
        <f>VLOOKUP(Table410[[#This Row],[RATE CONCAT]],Tables!I:N,5,0)</f>
        <v/>
      </c>
      <c r="AA125" s="123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124" t="n"/>
      <c r="AN125" s="341">
        <f>IFERROR(AVERAGE(Table410[[#This Row],[Jan_2026_Days_Forecast]:[Dec_2026_Days_Forecast]]),0)/19</f>
        <v/>
      </c>
      <c r="AO125" s="341">
        <f>IFERROR(AVERAGE(Table410[[#This Row],[Jan_2026_Days_Actual]:[Dec_2026_Days_Actual]]),0)/19</f>
        <v/>
      </c>
      <c r="AP125" s="84" t="n"/>
      <c r="AQ125" s="84" t="n"/>
      <c r="AR125" s="84" t="n"/>
      <c r="AS125" s="84" t="n"/>
      <c r="AT125" s="84" t="n"/>
      <c r="AU125" s="84" t="n"/>
      <c r="AV125" s="84" t="n"/>
      <c r="AW125" s="84" t="n"/>
      <c r="AX125" s="84" t="n"/>
      <c r="AY125" s="84" t="n"/>
      <c r="AZ125" s="84" t="n"/>
      <c r="BA125" s="84" t="n"/>
      <c r="BB125" s="341">
        <f>IFERROR(AVERAGE(Table410[[#This Row],[Jan_2027_Days_Forecast]:[Dec_2027_Days_Forecast]]),0)</f>
        <v/>
      </c>
      <c r="BC125" s="129" t="n"/>
      <c r="BD125" s="129" t="n"/>
      <c r="BE125" s="129" t="n"/>
      <c r="BF125" s="129" t="n"/>
      <c r="BG125" s="129" t="n"/>
      <c r="BH125" s="129" t="n"/>
      <c r="BI125" s="16" t="n"/>
      <c r="BJ125" s="16" t="n"/>
      <c r="BK125" s="16" t="n"/>
      <c r="BL125" s="16" t="n"/>
      <c r="BM125" s="16" t="n"/>
      <c r="BN125" s="125" t="n"/>
      <c r="BO125" s="176" t="n"/>
      <c r="BP125" s="176" t="n"/>
      <c r="BQ125" s="347">
        <f>IFERROR(Table410[[#This Row],[Jan_2026_Days_Forecast]]*Table410[[#This Row],[Cost Boolean]]*(VLOOKUP(Table410[[#This Row],[RATE CONCAT]],Tables!I:N,5,0)),0)</f>
        <v/>
      </c>
      <c r="BR125" s="347">
        <f>IFERROR(Table410[[#This Row],[Jan_2026_Days_Actual]]*Table410[[#This Row],[Cost Boolean]]*(VLOOKUP(Table410[[#This Row],[RATE CONCAT]],Tables!I:N,5,0)),0)</f>
        <v/>
      </c>
      <c r="BS125" s="342">
        <f>Table410[[#This Row],[Jan_2026_F]]-Table410[[#This Row],[Jan_2026_A]]</f>
        <v/>
      </c>
      <c r="BT125" s="114" t="n"/>
      <c r="BU125" s="342">
        <f>IFERROR(Table410[[#This Row],[Feb_2026_Days_Forecast]]*Table410[[#This Row],[Cost Boolean]]*(VLOOKUP(Table410[[#This Row],[RATE CONCAT]],Tables!I:N,5,0)),0)</f>
        <v/>
      </c>
      <c r="BV125" s="347">
        <f>IFERROR(Table410[[#This Row],[Feb_2026_Days_Actual]]*Table410[[#This Row],[Cost Boolean]]*(VLOOKUP(Table410[[#This Row],[RATE CONCAT]],Tables!I:N,5,0)),0)</f>
        <v/>
      </c>
      <c r="BW125" s="342">
        <f>Table410[[#This Row],[Feb_2026_F]]-Table410[[#This Row],[Feb_2026_A]]</f>
        <v/>
      </c>
      <c r="BX125" s="275" t="n"/>
      <c r="BY125" s="347">
        <f>IFERROR(Table410[[#This Row],[Mar_2026_Days_Forecast]]*Table410[[#This Row],[Cost Boolean]]*(VLOOKUP(Table410[[#This Row],[RATE CONCAT]],Tables!I:N,5,0)),0)</f>
        <v/>
      </c>
      <c r="BZ125" s="347">
        <f>IFERROR(Table410[[#This Row],[Mar_2026_Days_Actual]]*Table410[[#This Row],[Cost Boolean]]*(VLOOKUP(Table410[[#This Row],[RATE CONCAT]],Tables!I:N,5,0)),0)</f>
        <v/>
      </c>
      <c r="CA125" s="347">
        <f>Table410[[#This Row],[Mar_2026_F]]-Table410[[#This Row],[Mar_2026_A]]</f>
        <v/>
      </c>
      <c r="CB125" s="103" t="n"/>
      <c r="CC125" s="347">
        <f>IFERROR(Table410[[#This Row],[Apr_2026_Days_Forecast]]*Table410[[#This Row],[Cost Boolean]]*(VLOOKUP(Table410[[#This Row],[RATE CONCAT]],Tables!I:N,5,0)),0)</f>
        <v/>
      </c>
      <c r="CD125" s="347">
        <f>IFERROR(Table410[[#This Row],[Apr_2026_Days_Actual]]*Table410[[#This Row],[Cost Boolean]]*(VLOOKUP(Table410[[#This Row],[RATE CONCAT]],Tables!I:N,5,0)),0)</f>
        <v/>
      </c>
      <c r="CE125" s="347">
        <f>Table410[[#This Row],[Apr_2026_F]]-Table410[[#This Row],[Apr_2026_A]]</f>
        <v/>
      </c>
      <c r="CF125" s="103" t="n"/>
      <c r="CG125" s="347">
        <f>IFERROR(Table410[[#This Row],[May_2026_Days_Forecast]] *Table410[[#This Row],[Cost Boolean]]*(VLOOKUP(Table410[[#This Row],[RATE CONCAT]],Tables!I:N,5,0)),0)</f>
        <v/>
      </c>
      <c r="CH125" s="347">
        <f>IFERROR(Table410[[#This Row],[May_2026_Days_Actual]]*Table410[[#This Row],[Cost Boolean]]*(VLOOKUP(Table410[[#This Row],[RATE CONCAT]],Tables!I:N,5,0)),0)</f>
        <v/>
      </c>
      <c r="CI125" s="347">
        <f>Table410[[#This Row],[May_2026_F]]-Table410[[#This Row],[May_2026_A]]</f>
        <v/>
      </c>
      <c r="CJ125" s="103" t="n"/>
      <c r="CK125" s="347">
        <f>IFERROR(Table410[[#This Row],[Jun_2026_Days_Forecast]]*Table410[[#This Row],[Cost Boolean]]*(VLOOKUP(Table410[[#This Row],[RATE CONCAT]],Tables!I:N,5,0)),0)</f>
        <v/>
      </c>
      <c r="CL125" s="347">
        <f>IFERROR(Table410[[#This Row],[Jun_2026_Days_Actual]]*Table410[[#This Row],[Cost Boolean]]*(VLOOKUP(Table410[[#This Row],[RATE CONCAT]],Tables!I:N,5,0)),0)</f>
        <v/>
      </c>
      <c r="CM125" s="347">
        <f>Table410[[#This Row],[Jun_2026_F]]-Table410[[#This Row],[Jun_2026_A]]</f>
        <v/>
      </c>
      <c r="CN125" s="103" t="n"/>
      <c r="CO125" s="347">
        <f>IFERROR(Table410[[#This Row],[Jul_2026_Days_Forecast]]*Table410[[#This Row],[Cost Boolean]]*(VLOOKUP(Table410[[#This Row],[RATE CONCAT]],Tables!I:N,5,0)),0)</f>
        <v/>
      </c>
      <c r="CP125" s="347">
        <f>IFERROR(Table410[[#This Row],[Jul_2026_Days_Actual]]*Table410[[#This Row],[Cost Boolean]]*(VLOOKUP(Table410[[#This Row],[RATE CONCAT]],Tables!I:N,5,0)),0)</f>
        <v/>
      </c>
      <c r="CQ125" s="347">
        <f>Table410[[#This Row],[Jul_2026_F]]-Table410[[#This Row],[Jul_2026_A]]</f>
        <v/>
      </c>
      <c r="CR125" s="103" t="n"/>
      <c r="CS125" s="347">
        <f>IFERROR(Table410[[#This Row],[Aug_2026_Days_Forecast]]*Table410[[#This Row],[Cost Boolean]]*(VLOOKUP(Table410[[#This Row],[RATE CONCAT]],Tables!I:N,5,0)),0)</f>
        <v/>
      </c>
      <c r="CT125" s="347">
        <f>IFERROR(Table410[[#This Row],[Aug_2026_Days_Actual]]*Table410[[#This Row],[Cost Boolean]]*(VLOOKUP(Table410[[#This Row],[RATE CONCAT]],Tables!I:N,5,0)),0)</f>
        <v/>
      </c>
      <c r="CU125" s="347">
        <f>Table410[[#This Row],[Aug_2026_F]]-Table410[[#This Row],[Aug_2026_A]]</f>
        <v/>
      </c>
      <c r="CV125" s="103" t="n"/>
      <c r="CW125" s="347">
        <f>IFERROR(Table410[[#This Row],[Sep_2026_Days_Forecast]]*Table410[[#This Row],[Cost Boolean]]*(VLOOKUP(Table410[[#This Row],[RATE CONCAT]],Tables!I:N,5,0)),0)</f>
        <v/>
      </c>
      <c r="CX125" s="347">
        <f>IFERROR(Table410[[#This Row],[Sep_2026_Days_Actual]]*Table410[[#This Row],[Cost Boolean]]*(VLOOKUP(Table410[[#This Row],[RATE CONCAT]],Tables!I:N,5,0)),0)</f>
        <v/>
      </c>
      <c r="CY125" s="347">
        <f>Table410[[#This Row],[Sep_2026_F]]-Table410[[#This Row],[Sep_2026_A]]</f>
        <v/>
      </c>
      <c r="CZ125" s="103" t="n"/>
      <c r="DA125" s="347">
        <f>IFERROR(Table410[[#This Row],[Oct_2026_Days_Forecast]]*Table410[[#This Row],[Cost Boolean]]*(VLOOKUP(Table410[[#This Row],[RATE CONCAT]],Tables!I:N,5,0)),0)</f>
        <v/>
      </c>
      <c r="DB125" s="347">
        <f>IFERROR(Table410[[#This Row],[Oct_2026_Days_Actual]]*Table410[[#This Row],[Cost Boolean]]*(VLOOKUP(Table410[[#This Row],[RATE CONCAT]],Tables!I:N,5,0)),0)</f>
        <v/>
      </c>
      <c r="DC125" s="347">
        <f>Table410[[#This Row],[Oct_2026_F]]-Table410[[#This Row],[Oct_2026_A]]</f>
        <v/>
      </c>
      <c r="DD125" s="103" t="n"/>
      <c r="DE125" s="347">
        <f>IFERROR(Table410[[#This Row],[Nov_2026_Days_Forecast]]*Table410[[#This Row],[Cost Boolean]]*(VLOOKUP(Table410[[#This Row],[RATE CONCAT]],Tables!I:N,5,0)),0)</f>
        <v/>
      </c>
      <c r="DF125" s="347">
        <f>IFERROR(Table410[[#This Row],[Nov_2026_Days_Actual]]*Table410[[#This Row],[Cost Boolean]]*(VLOOKUP(Table410[[#This Row],[RATE CONCAT]],Tables!I:N,5,0)),0)</f>
        <v/>
      </c>
      <c r="DG125" s="347">
        <f>Table410[[#This Row],[Nov_2026_F]]-Table410[[#This Row],[Nov_2026_A]]</f>
        <v/>
      </c>
      <c r="DH125" s="103" t="n"/>
      <c r="DI125" s="347">
        <f>IFERROR(Table410[[#This Row],[Dec_2026_Days_Forecast]]*Table410[[#This Row],[Cost Boolean]]*(VLOOKUP(Table410[[#This Row],[RATE CONCAT]],Tables!I:N,5,0)),0)</f>
        <v/>
      </c>
      <c r="DJ125" s="347">
        <f>IFERROR(Table410[[#This Row],[Dec_2026_Days_Actual]]*Table410[[#This Row],[Cost Boolean]]*(VLOOKUP(Table410[[#This Row],[RATE CONCAT]],Tables!I:N,5,0)),0)</f>
        <v/>
      </c>
      <c r="DK125" s="348">
        <f>Table410[[#This Row],[Dec_2026_F]]-Table410[[#This Row],[Dec_2026_A]]</f>
        <v/>
      </c>
      <c r="DL125" s="103" t="n"/>
      <c r="DM125" s="346" t="n"/>
      <c r="DN125" s="347">
        <f>IFERROR(Table410[[#This Row],[Jan_2027_Days_Forecast]]*Table410[[#This Row],[Cost Boolean]]*(VLOOKUP(Table410[[#This Row],[RATE CONCAT]],Tables!I:N,6,0)),0)</f>
        <v/>
      </c>
      <c r="DO125" s="275" t="n"/>
      <c r="DP125" s="347">
        <f>Table410[[#This Row],[Jan_2027_F]]-Table410[[#This Row],[Jan_2027_A]]</f>
        <v/>
      </c>
      <c r="DQ125" s="347">
        <f>IFERROR(Table410[[#This Row],[Feb_2027_Days_Forecast]]*Table410[[#This Row],[Cost Boolean]]*(VLOOKUP(Table410[[#This Row],[RATE CONCAT]],Tables!I:N,6,0)),0)</f>
        <v/>
      </c>
      <c r="DR125" s="275" t="n"/>
      <c r="DS125" s="347">
        <f>Table410[[#This Row],[Feb_2027_F]]-Table410[[#This Row],[Feb_2027_A]]</f>
        <v/>
      </c>
      <c r="DT125" s="347">
        <f>IFERROR(Table410[[#This Row],[Mar_2027_Days_Forecast]]*Table410[[#This Row],[Cost Boolean]]*(VLOOKUP(Table410[[#This Row],[RATE CONCAT]],Tables!I:N,6,0)),0)</f>
        <v/>
      </c>
      <c r="DU125" s="275" t="n"/>
      <c r="DV125" s="347">
        <f>Table410[[#This Row],[Mar_2027_F]]-Table410[[#This Row],[Mar_2027_A]]</f>
        <v/>
      </c>
      <c r="DW125" s="347">
        <f>IFERROR(Table410[[#This Row],[Apr_2027_Days_Forecast]]*Table410[[#This Row],[Cost Boolean]]*(VLOOKUP(Table410[[#This Row],[RATE CONCAT]],Tables!I:N,6,0)),0)</f>
        <v/>
      </c>
      <c r="DX125" s="275" t="n"/>
      <c r="DY125" s="347">
        <f>Table410[[#This Row],[Apr_2027_F]]-Table410[[#This Row],[Apr_2027_A]]</f>
        <v/>
      </c>
      <c r="DZ125" s="347">
        <f>IFERROR(Table410[[#This Row],[May_2027_Days_Forecast]]*Table410[[#This Row],[Cost Boolean]]*(VLOOKUP(Table410[[#This Row],[RATE CONCAT]],Tables!I:N,6,0)),0)</f>
        <v/>
      </c>
      <c r="EA125" s="275" t="n"/>
      <c r="EB125" s="347">
        <f>Table410[[#This Row],[May_2027_F]]-Table410[[#This Row],[May_2027_A]]</f>
        <v/>
      </c>
      <c r="EC125" s="347">
        <f>IFERROR(Table410[[#This Row],[Jun_2027_Days_Forecast]]*Table410[[#This Row],[Cost Boolean]]*(VLOOKUP(Table410[[#This Row],[RATE CONCAT]],Tables!I:N,6,0)),0)</f>
        <v/>
      </c>
      <c r="ED125" s="275" t="n"/>
      <c r="EE125" s="347">
        <f>Table410[[#This Row],[Jun_2027_F]]-Table410[[#This Row],[Jun_2027_A]]</f>
        <v/>
      </c>
      <c r="EF125" s="347">
        <f>IFERROR(Table410[[#This Row],[Jul_2027_Days_Forecast]]*Table410[[#This Row],[Cost Boolean]]*(VLOOKUP(Table410[[#This Row],[RATE CONCAT]],Tables!I:N,6,0)),0)</f>
        <v/>
      </c>
      <c r="EG125" s="275" t="n"/>
      <c r="EH125" s="347">
        <f>Table410[[#This Row],[Jul_2027_F]]-Table410[[#This Row],[Jul_2027_A]]</f>
        <v/>
      </c>
      <c r="EI125" s="347">
        <f>IFERROR(Table410[[#This Row],[Aug_2027_Days_Forecast]]*Table410[[#This Row],[Cost Boolean]]*(VLOOKUP(Table410[[#This Row],[RATE CONCAT]],Tables!I:N,6,0)),0)</f>
        <v/>
      </c>
      <c r="EJ125" s="275" t="n"/>
      <c r="EK125" s="347">
        <f>Table410[[#This Row],[Aug_2027_F]]-Table410[[#This Row],[Aug_2027_A]]</f>
        <v/>
      </c>
      <c r="EL125" s="347">
        <f>IFERROR(Table410[[#This Row],[Sep_2027_Days_Forecast]]*Table410[[#This Row],[Cost Boolean]]*(VLOOKUP(Table410[[#This Row],[RATE CONCAT]],Tables!I:N,6,0)),0)</f>
        <v/>
      </c>
      <c r="EM125" s="275" t="n"/>
      <c r="EN125" s="347">
        <f>Table410[[#This Row],[Sep_2027_F]]-Table410[[#This Row],[Sep_2027_A]]</f>
        <v/>
      </c>
      <c r="EO125" s="347">
        <f>IFERROR(Table410[[#This Row],[Oct_2027_Days_Forecast]]*Table410[[#This Row],[Cost Boolean]]*(VLOOKUP(Table410[[#This Row],[RATE CONCAT]],Tables!I:N,6,0)),0)</f>
        <v/>
      </c>
      <c r="EP125" s="275" t="n"/>
      <c r="EQ125" s="347">
        <f>Table410[[#This Row],[Oct_2027_F]]-Table410[[#This Row],[Oct_2027_A]]</f>
        <v/>
      </c>
      <c r="ER125" s="347">
        <f>IFERROR(Table410[[#This Row],[Nov_2027_Days_Forecast]]*Table410[[#This Row],[Cost Boolean]]*(VLOOKUP(Table410[[#This Row],[RATE CONCAT]],Tables!I:N,6,0)),0)</f>
        <v/>
      </c>
      <c r="ES125" s="275" t="n"/>
      <c r="ET125" s="347">
        <f>Table410[[#This Row],[Nov_2027_F]]-Table410[[#This Row],[Nov_2027_A]]</f>
        <v/>
      </c>
      <c r="EU125" s="347">
        <f>IFERROR(Table410[[#This Row],[Dec_2027_Days_Forecast]]*Table410[[#This Row],[Cost Boolean]]*(VLOOKUP(Table410[[#This Row],[RATE CONCAT]],Tables!I:N,6,0)),0)</f>
        <v/>
      </c>
      <c r="EV125" s="275" t="n"/>
      <c r="EW125" s="347">
        <f>Table410[[#This Row],[Dec_2027_F]]-Table410[[#This Row],[Dec_2027_A]]</f>
        <v/>
      </c>
    </row>
    <row r="126" ht="1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Z126" s="338">
        <f>VLOOKUP(Table410[[#This Row],[RATE CONCAT]],Tables!I:N,5,0)</f>
        <v/>
      </c>
      <c r="AA126" s="123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124" t="n"/>
      <c r="AN126" s="341">
        <f>IFERROR(AVERAGE(Table410[[#This Row],[Jan_2026_Days_Forecast]:[Dec_2026_Days_Forecast]]),0)/19</f>
        <v/>
      </c>
      <c r="AO126" s="341">
        <f>IFERROR(AVERAGE(Table410[[#This Row],[Jan_2026_Days_Actual]:[Dec_2026_Days_Actual]]),0)/19</f>
        <v/>
      </c>
      <c r="AP126" s="84" t="n"/>
      <c r="AQ126" s="84" t="n"/>
      <c r="AR126" s="84" t="n"/>
      <c r="AS126" s="84" t="n"/>
      <c r="AT126" s="84" t="n"/>
      <c r="AU126" s="84" t="n"/>
      <c r="AV126" s="84" t="n"/>
      <c r="AW126" s="84" t="n"/>
      <c r="AX126" s="84" t="n"/>
      <c r="AY126" s="84" t="n"/>
      <c r="AZ126" s="84" t="n"/>
      <c r="BA126" s="84" t="n"/>
      <c r="BB126" s="341">
        <f>IFERROR(AVERAGE(Table410[[#This Row],[Jan_2027_Days_Forecast]:[Dec_2027_Days_Forecast]]),0)</f>
        <v/>
      </c>
      <c r="BC126" s="129" t="n"/>
      <c r="BD126" s="129" t="n"/>
      <c r="BE126" s="129" t="n"/>
      <c r="BF126" s="129" t="n"/>
      <c r="BG126" s="129" t="n"/>
      <c r="BH126" s="129" t="n"/>
      <c r="BI126" s="16" t="n"/>
      <c r="BJ126" s="16" t="n"/>
      <c r="BK126" s="16" t="n"/>
      <c r="BL126" s="16" t="n"/>
      <c r="BM126" s="16" t="n"/>
      <c r="BN126" s="125" t="n"/>
      <c r="BO126" s="176" t="n"/>
      <c r="BP126" s="176" t="n"/>
      <c r="BQ126" s="345">
        <f>IFERROR(Table410[[#This Row],[Jan_2026_Days_Forecast]]*Table410[[#This Row],[Cost Boolean]]*(VLOOKUP(Table410[[#This Row],[RATE CONCAT]],Tables!I:N,5,0)),0)</f>
        <v/>
      </c>
      <c r="BR126" s="345">
        <f>IFERROR(Table410[[#This Row],[Jan_2026_Days_Actual]]*Table410[[#This Row],[Cost Boolean]]*(VLOOKUP(Table410[[#This Row],[RATE CONCAT]],Tables!I:N,5,0)),0)</f>
        <v/>
      </c>
      <c r="BS126" s="338">
        <f>Table410[[#This Row],[Jan_2026_F]]-Table410[[#This Row],[Jan_2026_A]]</f>
        <v/>
      </c>
      <c r="BT126" s="114" t="n"/>
      <c r="BU126" s="338">
        <f>IFERROR(Table410[[#This Row],[Feb_2026_Days_Forecast]]*Table410[[#This Row],[Cost Boolean]]*(VLOOKUP(Table410[[#This Row],[RATE CONCAT]],Tables!I:N,5,0)),0)</f>
        <v/>
      </c>
      <c r="BV126" s="345">
        <f>IFERROR(Table410[[#This Row],[Feb_2026_Days_Actual]]*Table410[[#This Row],[Cost Boolean]]*(VLOOKUP(Table410[[#This Row],[RATE CONCAT]],Tables!I:N,5,0)),0)</f>
        <v/>
      </c>
      <c r="BW126" s="338">
        <f>Table410[[#This Row],[Feb_2026_F]]-Table410[[#This Row],[Feb_2026_A]]</f>
        <v/>
      </c>
      <c r="BX126" s="275" t="n"/>
      <c r="BY126" s="345">
        <f>IFERROR(Table410[[#This Row],[Mar_2026_Days_Forecast]]*Table410[[#This Row],[Cost Boolean]]*(VLOOKUP(Table410[[#This Row],[RATE CONCAT]],Tables!I:N,5,0)),0)</f>
        <v/>
      </c>
      <c r="BZ126" s="345">
        <f>IFERROR(Table410[[#This Row],[Mar_2026_Days_Actual]]*Table410[[#This Row],[Cost Boolean]]*(VLOOKUP(Table410[[#This Row],[RATE CONCAT]],Tables!I:N,5,0)),0)</f>
        <v/>
      </c>
      <c r="CA126" s="345">
        <f>Table410[[#This Row],[Mar_2026_F]]-Table410[[#This Row],[Mar_2026_A]]</f>
        <v/>
      </c>
      <c r="CB126" s="103" t="n"/>
      <c r="CC126" s="345">
        <f>IFERROR(Table410[[#This Row],[Apr_2026_Days_Forecast]]*Table410[[#This Row],[Cost Boolean]]*(VLOOKUP(Table410[[#This Row],[RATE CONCAT]],Tables!I:N,5,0)),0)</f>
        <v/>
      </c>
      <c r="CD126" s="345">
        <f>IFERROR(Table410[[#This Row],[Apr_2026_Days_Actual]]*Table410[[#This Row],[Cost Boolean]]*(VLOOKUP(Table410[[#This Row],[RATE CONCAT]],Tables!I:N,5,0)),0)</f>
        <v/>
      </c>
      <c r="CE126" s="345">
        <f>Table410[[#This Row],[Apr_2026_F]]-Table410[[#This Row],[Apr_2026_A]]</f>
        <v/>
      </c>
      <c r="CF126" s="103" t="n"/>
      <c r="CG126" s="345">
        <f>IFERROR(Table410[[#This Row],[May_2026_Days_Forecast]] *Table410[[#This Row],[Cost Boolean]]*(VLOOKUP(Table410[[#This Row],[RATE CONCAT]],Tables!I:N,5,0)),0)</f>
        <v/>
      </c>
      <c r="CH126" s="345">
        <f>IFERROR(Table410[[#This Row],[May_2026_Days_Actual]]*Table410[[#This Row],[Cost Boolean]]*(VLOOKUP(Table410[[#This Row],[RATE CONCAT]],Tables!I:N,5,0)),0)</f>
        <v/>
      </c>
      <c r="CI126" s="345">
        <f>Table410[[#This Row],[May_2026_F]]-Table410[[#This Row],[May_2026_A]]</f>
        <v/>
      </c>
      <c r="CJ126" s="103" t="n"/>
      <c r="CK126" s="345">
        <f>IFERROR(Table410[[#This Row],[Jun_2026_Days_Forecast]]*Table410[[#This Row],[Cost Boolean]]*(VLOOKUP(Table410[[#This Row],[RATE CONCAT]],Tables!I:N,5,0)),0)</f>
        <v/>
      </c>
      <c r="CL126" s="345">
        <f>IFERROR(Table410[[#This Row],[Jun_2026_Days_Actual]]*Table410[[#This Row],[Cost Boolean]]*(VLOOKUP(Table410[[#This Row],[RATE CONCAT]],Tables!I:N,5,0)),0)</f>
        <v/>
      </c>
      <c r="CM126" s="345">
        <f>Table410[[#This Row],[Jun_2026_F]]-Table410[[#This Row],[Jun_2026_A]]</f>
        <v/>
      </c>
      <c r="CN126" s="103" t="n"/>
      <c r="CO126" s="345">
        <f>IFERROR(Table410[[#This Row],[Jul_2026_Days_Forecast]]*Table410[[#This Row],[Cost Boolean]]*(VLOOKUP(Table410[[#This Row],[RATE CONCAT]],Tables!I:N,5,0)),0)</f>
        <v/>
      </c>
      <c r="CP126" s="345">
        <f>IFERROR(Table410[[#This Row],[Jul_2026_Days_Actual]]*Table410[[#This Row],[Cost Boolean]]*(VLOOKUP(Table410[[#This Row],[RATE CONCAT]],Tables!I:N,5,0)),0)</f>
        <v/>
      </c>
      <c r="CQ126" s="345">
        <f>Table410[[#This Row],[Jul_2026_F]]-Table410[[#This Row],[Jul_2026_A]]</f>
        <v/>
      </c>
      <c r="CR126" s="103" t="n"/>
      <c r="CS126" s="345">
        <f>IFERROR(Table410[[#This Row],[Aug_2026_Days_Forecast]]*Table410[[#This Row],[Cost Boolean]]*(VLOOKUP(Table410[[#This Row],[RATE CONCAT]],Tables!I:N,5,0)),0)</f>
        <v/>
      </c>
      <c r="CT126" s="345">
        <f>IFERROR(Table410[[#This Row],[Aug_2026_Days_Actual]]*Table410[[#This Row],[Cost Boolean]]*(VLOOKUP(Table410[[#This Row],[RATE CONCAT]],Tables!I:N,5,0)),0)</f>
        <v/>
      </c>
      <c r="CU126" s="345">
        <f>Table410[[#This Row],[Aug_2026_F]]-Table410[[#This Row],[Aug_2026_A]]</f>
        <v/>
      </c>
      <c r="CV126" s="103" t="n"/>
      <c r="CW126" s="345">
        <f>IFERROR(Table410[[#This Row],[Sep_2026_Days_Forecast]]*Table410[[#This Row],[Cost Boolean]]*(VLOOKUP(Table410[[#This Row],[RATE CONCAT]],Tables!I:N,5,0)),0)</f>
        <v/>
      </c>
      <c r="CX126" s="345">
        <f>IFERROR(Table410[[#This Row],[Sep_2026_Days_Actual]]*Table410[[#This Row],[Cost Boolean]]*(VLOOKUP(Table410[[#This Row],[RATE CONCAT]],Tables!I:N,5,0)),0)</f>
        <v/>
      </c>
      <c r="CY126" s="345">
        <f>Table410[[#This Row],[Sep_2026_F]]-Table410[[#This Row],[Sep_2026_A]]</f>
        <v/>
      </c>
      <c r="CZ126" s="103" t="n"/>
      <c r="DA126" s="345">
        <f>IFERROR(Table410[[#This Row],[Oct_2026_Days_Forecast]]*Table410[[#This Row],[Cost Boolean]]*(VLOOKUP(Table410[[#This Row],[RATE CONCAT]],Tables!I:N,5,0)),0)</f>
        <v/>
      </c>
      <c r="DB126" s="345">
        <f>IFERROR(Table410[[#This Row],[Oct_2026_Days_Actual]]*Table410[[#This Row],[Cost Boolean]]*(VLOOKUP(Table410[[#This Row],[RATE CONCAT]],Tables!I:N,5,0)),0)</f>
        <v/>
      </c>
      <c r="DC126" s="345">
        <f>Table410[[#This Row],[Oct_2026_F]]-Table410[[#This Row],[Oct_2026_A]]</f>
        <v/>
      </c>
      <c r="DD126" s="103" t="n"/>
      <c r="DE126" s="345">
        <f>IFERROR(Table410[[#This Row],[Nov_2026_Days_Forecast]]*Table410[[#This Row],[Cost Boolean]]*(VLOOKUP(Table410[[#This Row],[RATE CONCAT]],Tables!I:N,5,0)),0)</f>
        <v/>
      </c>
      <c r="DF126" s="345">
        <f>IFERROR(Table410[[#This Row],[Nov_2026_Days_Actual]]*Table410[[#This Row],[Cost Boolean]]*(VLOOKUP(Table410[[#This Row],[RATE CONCAT]],Tables!I:N,5,0)),0)</f>
        <v/>
      </c>
      <c r="DG126" s="345">
        <f>Table410[[#This Row],[Nov_2026_F]]-Table410[[#This Row],[Nov_2026_A]]</f>
        <v/>
      </c>
      <c r="DH126" s="103" t="n"/>
      <c r="DI126" s="345">
        <f>IFERROR(Table410[[#This Row],[Dec_2026_Days_Forecast]]*Table410[[#This Row],[Cost Boolean]]*(VLOOKUP(Table410[[#This Row],[RATE CONCAT]],Tables!I:N,5,0)),0)</f>
        <v/>
      </c>
      <c r="DJ126" s="345">
        <f>IFERROR(Table410[[#This Row],[Dec_2026_Days_Actual]]*Table410[[#This Row],[Cost Boolean]]*(VLOOKUP(Table410[[#This Row],[RATE CONCAT]],Tables!I:N,5,0)),0)</f>
        <v/>
      </c>
      <c r="DK126" s="349">
        <f>Table410[[#This Row],[Dec_2026_F]]-Table410[[#This Row],[Dec_2026_A]]</f>
        <v/>
      </c>
      <c r="DL126" s="103" t="n"/>
      <c r="DM126" s="346" t="n"/>
      <c r="DN126" s="345">
        <f>IFERROR(Table410[[#This Row],[Jan_2027_Days_Forecast]]*Table410[[#This Row],[Cost Boolean]]*(VLOOKUP(Table410[[#This Row],[RATE CONCAT]],Tables!I:N,6,0)),0)</f>
        <v/>
      </c>
      <c r="DO126" s="275" t="n"/>
      <c r="DP126" s="345">
        <f>Table410[[#This Row],[Jan_2027_F]]-Table410[[#This Row],[Jan_2027_A]]</f>
        <v/>
      </c>
      <c r="DQ126" s="345">
        <f>IFERROR(Table410[[#This Row],[Feb_2027_Days_Forecast]]*Table410[[#This Row],[Cost Boolean]]*(VLOOKUP(Table410[[#This Row],[RATE CONCAT]],Tables!I:N,6,0)),0)</f>
        <v/>
      </c>
      <c r="DR126" s="275" t="n"/>
      <c r="DS126" s="345">
        <f>Table410[[#This Row],[Feb_2027_F]]-Table410[[#This Row],[Feb_2027_A]]</f>
        <v/>
      </c>
      <c r="DT126" s="345">
        <f>IFERROR(Table410[[#This Row],[Mar_2027_Days_Forecast]]*Table410[[#This Row],[Cost Boolean]]*(VLOOKUP(Table410[[#This Row],[RATE CONCAT]],Tables!I:N,6,0)),0)</f>
        <v/>
      </c>
      <c r="DU126" s="275" t="n"/>
      <c r="DV126" s="345">
        <f>Table410[[#This Row],[Mar_2027_F]]-Table410[[#This Row],[Mar_2027_A]]</f>
        <v/>
      </c>
      <c r="DW126" s="345">
        <f>IFERROR(Table410[[#This Row],[Apr_2027_Days_Forecast]]*Table410[[#This Row],[Cost Boolean]]*(VLOOKUP(Table410[[#This Row],[RATE CONCAT]],Tables!I:N,6,0)),0)</f>
        <v/>
      </c>
      <c r="DX126" s="275" t="n"/>
      <c r="DY126" s="345">
        <f>Table410[[#This Row],[Apr_2027_F]]-Table410[[#This Row],[Apr_2027_A]]</f>
        <v/>
      </c>
      <c r="DZ126" s="345">
        <f>IFERROR(Table410[[#This Row],[May_2027_Days_Forecast]]*Table410[[#This Row],[Cost Boolean]]*(VLOOKUP(Table410[[#This Row],[RATE CONCAT]],Tables!I:N,6,0)),0)</f>
        <v/>
      </c>
      <c r="EA126" s="275" t="n"/>
      <c r="EB126" s="345">
        <f>Table410[[#This Row],[May_2027_F]]-Table410[[#This Row],[May_2027_A]]</f>
        <v/>
      </c>
      <c r="EC126" s="345">
        <f>IFERROR(Table410[[#This Row],[Jun_2027_Days_Forecast]]*Table410[[#This Row],[Cost Boolean]]*(VLOOKUP(Table410[[#This Row],[RATE CONCAT]],Tables!I:N,6,0)),0)</f>
        <v/>
      </c>
      <c r="ED126" s="275" t="n"/>
      <c r="EE126" s="345">
        <f>Table410[[#This Row],[Jun_2027_F]]-Table410[[#This Row],[Jun_2027_A]]</f>
        <v/>
      </c>
      <c r="EF126" s="345">
        <f>IFERROR(Table410[[#This Row],[Jul_2027_Days_Forecast]]*Table410[[#This Row],[Cost Boolean]]*(VLOOKUP(Table410[[#This Row],[RATE CONCAT]],Tables!I:N,6,0)),0)</f>
        <v/>
      </c>
      <c r="EG126" s="275" t="n"/>
      <c r="EH126" s="345">
        <f>Table410[[#This Row],[Jul_2027_F]]-Table410[[#This Row],[Jul_2027_A]]</f>
        <v/>
      </c>
      <c r="EI126" s="345">
        <f>IFERROR(Table410[[#This Row],[Aug_2027_Days_Forecast]]*Table410[[#This Row],[Cost Boolean]]*(VLOOKUP(Table410[[#This Row],[RATE CONCAT]],Tables!I:N,6,0)),0)</f>
        <v/>
      </c>
      <c r="EJ126" s="275" t="n"/>
      <c r="EK126" s="345">
        <f>Table410[[#This Row],[Aug_2027_F]]-Table410[[#This Row],[Aug_2027_A]]</f>
        <v/>
      </c>
      <c r="EL126" s="345">
        <f>IFERROR(Table410[[#This Row],[Sep_2027_Days_Forecast]]*Table410[[#This Row],[Cost Boolean]]*(VLOOKUP(Table410[[#This Row],[RATE CONCAT]],Tables!I:N,6,0)),0)</f>
        <v/>
      </c>
      <c r="EM126" s="275" t="n"/>
      <c r="EN126" s="345">
        <f>Table410[[#This Row],[Sep_2027_F]]-Table410[[#This Row],[Sep_2027_A]]</f>
        <v/>
      </c>
      <c r="EO126" s="345">
        <f>IFERROR(Table410[[#This Row],[Oct_2027_Days_Forecast]]*Table410[[#This Row],[Cost Boolean]]*(VLOOKUP(Table410[[#This Row],[RATE CONCAT]],Tables!I:N,6,0)),0)</f>
        <v/>
      </c>
      <c r="EP126" s="275" t="n"/>
      <c r="EQ126" s="345">
        <f>Table410[[#This Row],[Oct_2027_F]]-Table410[[#This Row],[Oct_2027_A]]</f>
        <v/>
      </c>
      <c r="ER126" s="345">
        <f>IFERROR(Table410[[#This Row],[Nov_2027_Days_Forecast]]*Table410[[#This Row],[Cost Boolean]]*(VLOOKUP(Table410[[#This Row],[RATE CONCAT]],Tables!I:N,6,0)),0)</f>
        <v/>
      </c>
      <c r="ES126" s="275" t="n"/>
      <c r="ET126" s="345">
        <f>Table410[[#This Row],[Nov_2027_F]]-Table410[[#This Row],[Nov_2027_A]]</f>
        <v/>
      </c>
      <c r="EU126" s="345">
        <f>IFERROR(Table410[[#This Row],[Dec_2027_Days_Forecast]]*Table410[[#This Row],[Cost Boolean]]*(VLOOKUP(Table410[[#This Row],[RATE CONCAT]],Tables!I:N,6,0)),0)</f>
        <v/>
      </c>
      <c r="EV126" s="275" t="n"/>
      <c r="EW126" s="345">
        <f>Table410[[#This Row],[Dec_2027_F]]-Table410[[#This Row],[Dec_2027_A]]</f>
        <v/>
      </c>
    </row>
    <row r="127" ht="1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Z127" s="342">
        <f>VLOOKUP(Table410[[#This Row],[RATE CONCAT]],Tables!I:N,5,0)</f>
        <v/>
      </c>
      <c r="AA127" s="123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124" t="n"/>
      <c r="AN127" s="341">
        <f>IFERROR(AVERAGE(Table410[[#This Row],[Jan_2026_Days_Forecast]:[Dec_2026_Days_Forecast]]),0)/19</f>
        <v/>
      </c>
      <c r="AO127" s="341">
        <f>IFERROR(AVERAGE(Table410[[#This Row],[Jan_2026_Days_Actual]:[Dec_2026_Days_Actual]]),0)/19</f>
        <v/>
      </c>
      <c r="AP127" s="84" t="n"/>
      <c r="AQ127" s="84" t="n"/>
      <c r="AR127" s="84" t="n"/>
      <c r="AS127" s="84" t="n"/>
      <c r="AT127" s="84" t="n"/>
      <c r="AU127" s="84" t="n"/>
      <c r="AV127" s="84" t="n"/>
      <c r="AW127" s="84" t="n"/>
      <c r="AX127" s="84" t="n"/>
      <c r="AY127" s="84" t="n"/>
      <c r="AZ127" s="84" t="n"/>
      <c r="BA127" s="84" t="n"/>
      <c r="BB127" s="341">
        <f>IFERROR(AVERAGE(Table410[[#This Row],[Jan_2027_Days_Forecast]:[Dec_2027_Days_Forecast]]),0)</f>
        <v/>
      </c>
      <c r="BC127" s="129" t="n"/>
      <c r="BD127" s="129" t="n"/>
      <c r="BE127" s="129" t="n"/>
      <c r="BF127" s="129" t="n"/>
      <c r="BG127" s="129" t="n"/>
      <c r="BH127" s="129" t="n"/>
      <c r="BI127" s="16" t="n"/>
      <c r="BJ127" s="16" t="n"/>
      <c r="BK127" s="16" t="n"/>
      <c r="BL127" s="16" t="n"/>
      <c r="BM127" s="16" t="n"/>
      <c r="BN127" s="125" t="n"/>
      <c r="BO127" s="176" t="n"/>
      <c r="BP127" s="176" t="n"/>
      <c r="BQ127" s="347">
        <f>IFERROR(Table410[[#This Row],[Jan_2026_Days_Forecast]]*Table410[[#This Row],[Cost Boolean]]*(VLOOKUP(Table410[[#This Row],[RATE CONCAT]],Tables!I:N,5,0)),0)</f>
        <v/>
      </c>
      <c r="BR127" s="347">
        <f>IFERROR(Table410[[#This Row],[Jan_2026_Days_Actual]]*Table410[[#This Row],[Cost Boolean]]*(VLOOKUP(Table410[[#This Row],[RATE CONCAT]],Tables!I:N,5,0)),0)</f>
        <v/>
      </c>
      <c r="BS127" s="342">
        <f>Table410[[#This Row],[Jan_2026_F]]-Table410[[#This Row],[Jan_2026_A]]</f>
        <v/>
      </c>
      <c r="BT127" s="114" t="n"/>
      <c r="BU127" s="342">
        <f>IFERROR(Table410[[#This Row],[Feb_2026_Days_Forecast]]*Table410[[#This Row],[Cost Boolean]]*(VLOOKUP(Table410[[#This Row],[RATE CONCAT]],Tables!I:N,5,0)),0)</f>
        <v/>
      </c>
      <c r="BV127" s="347">
        <f>IFERROR(Table410[[#This Row],[Feb_2026_Days_Actual]]*Table410[[#This Row],[Cost Boolean]]*(VLOOKUP(Table410[[#This Row],[RATE CONCAT]],Tables!I:N,5,0)),0)</f>
        <v/>
      </c>
      <c r="BW127" s="342">
        <f>Table410[[#This Row],[Feb_2026_F]]-Table410[[#This Row],[Feb_2026_A]]</f>
        <v/>
      </c>
      <c r="BX127" s="275" t="n"/>
      <c r="BY127" s="347">
        <f>IFERROR(Table410[[#This Row],[Mar_2026_Days_Forecast]]*Table410[[#This Row],[Cost Boolean]]*(VLOOKUP(Table410[[#This Row],[RATE CONCAT]],Tables!I:N,5,0)),0)</f>
        <v/>
      </c>
      <c r="BZ127" s="347">
        <f>IFERROR(Table410[[#This Row],[Mar_2026_Days_Actual]]*Table410[[#This Row],[Cost Boolean]]*(VLOOKUP(Table410[[#This Row],[RATE CONCAT]],Tables!I:N,5,0)),0)</f>
        <v/>
      </c>
      <c r="CA127" s="347">
        <f>Table410[[#This Row],[Mar_2026_F]]-Table410[[#This Row],[Mar_2026_A]]</f>
        <v/>
      </c>
      <c r="CB127" s="103" t="n"/>
      <c r="CC127" s="347">
        <f>IFERROR(Table410[[#This Row],[Apr_2026_Days_Forecast]]*Table410[[#This Row],[Cost Boolean]]*(VLOOKUP(Table410[[#This Row],[RATE CONCAT]],Tables!I:N,5,0)),0)</f>
        <v/>
      </c>
      <c r="CD127" s="347">
        <f>IFERROR(Table410[[#This Row],[Apr_2026_Days_Actual]]*Table410[[#This Row],[Cost Boolean]]*(VLOOKUP(Table410[[#This Row],[RATE CONCAT]],Tables!I:N,5,0)),0)</f>
        <v/>
      </c>
      <c r="CE127" s="347">
        <f>Table410[[#This Row],[Apr_2026_F]]-Table410[[#This Row],[Apr_2026_A]]</f>
        <v/>
      </c>
      <c r="CF127" s="103" t="n"/>
      <c r="CG127" s="347">
        <f>IFERROR(Table410[[#This Row],[May_2026_Days_Forecast]] *Table410[[#This Row],[Cost Boolean]]*(VLOOKUP(Table410[[#This Row],[RATE CONCAT]],Tables!I:N,5,0)),0)</f>
        <v/>
      </c>
      <c r="CH127" s="347">
        <f>IFERROR(Table410[[#This Row],[May_2026_Days_Actual]]*Table410[[#This Row],[Cost Boolean]]*(VLOOKUP(Table410[[#This Row],[RATE CONCAT]],Tables!I:N,5,0)),0)</f>
        <v/>
      </c>
      <c r="CI127" s="347">
        <f>Table410[[#This Row],[May_2026_F]]-Table410[[#This Row],[May_2026_A]]</f>
        <v/>
      </c>
      <c r="CJ127" s="103" t="n"/>
      <c r="CK127" s="347">
        <f>IFERROR(Table410[[#This Row],[Jun_2026_Days_Forecast]]*Table410[[#This Row],[Cost Boolean]]*(VLOOKUP(Table410[[#This Row],[RATE CONCAT]],Tables!I:N,5,0)),0)</f>
        <v/>
      </c>
      <c r="CL127" s="347">
        <f>IFERROR(Table410[[#This Row],[Jun_2026_Days_Actual]]*Table410[[#This Row],[Cost Boolean]]*(VLOOKUP(Table410[[#This Row],[RATE CONCAT]],Tables!I:N,5,0)),0)</f>
        <v/>
      </c>
      <c r="CM127" s="347">
        <f>Table410[[#This Row],[Jun_2026_F]]-Table410[[#This Row],[Jun_2026_A]]</f>
        <v/>
      </c>
      <c r="CN127" s="103" t="n"/>
      <c r="CO127" s="347">
        <f>IFERROR(Table410[[#This Row],[Jul_2026_Days_Forecast]]*Table410[[#This Row],[Cost Boolean]]*(VLOOKUP(Table410[[#This Row],[RATE CONCAT]],Tables!I:N,5,0)),0)</f>
        <v/>
      </c>
      <c r="CP127" s="347">
        <f>IFERROR(Table410[[#This Row],[Jul_2026_Days_Actual]]*Table410[[#This Row],[Cost Boolean]]*(VLOOKUP(Table410[[#This Row],[RATE CONCAT]],Tables!I:N,5,0)),0)</f>
        <v/>
      </c>
      <c r="CQ127" s="347">
        <f>Table410[[#This Row],[Jul_2026_F]]-Table410[[#This Row],[Jul_2026_A]]</f>
        <v/>
      </c>
      <c r="CR127" s="103" t="n"/>
      <c r="CS127" s="347">
        <f>IFERROR(Table410[[#This Row],[Aug_2026_Days_Forecast]]*Table410[[#This Row],[Cost Boolean]]*(VLOOKUP(Table410[[#This Row],[RATE CONCAT]],Tables!I:N,5,0)),0)</f>
        <v/>
      </c>
      <c r="CT127" s="347">
        <f>IFERROR(Table410[[#This Row],[Aug_2026_Days_Actual]]*Table410[[#This Row],[Cost Boolean]]*(VLOOKUP(Table410[[#This Row],[RATE CONCAT]],Tables!I:N,5,0)),0)</f>
        <v/>
      </c>
      <c r="CU127" s="347">
        <f>Table410[[#This Row],[Aug_2026_F]]-Table410[[#This Row],[Aug_2026_A]]</f>
        <v/>
      </c>
      <c r="CV127" s="103" t="n"/>
      <c r="CW127" s="347">
        <f>IFERROR(Table410[[#This Row],[Sep_2026_Days_Forecast]]*Table410[[#This Row],[Cost Boolean]]*(VLOOKUP(Table410[[#This Row],[RATE CONCAT]],Tables!I:N,5,0)),0)</f>
        <v/>
      </c>
      <c r="CX127" s="347">
        <f>IFERROR(Table410[[#This Row],[Sep_2026_Days_Actual]]*Table410[[#This Row],[Cost Boolean]]*(VLOOKUP(Table410[[#This Row],[RATE CONCAT]],Tables!I:N,5,0)),0)</f>
        <v/>
      </c>
      <c r="CY127" s="347">
        <f>Table410[[#This Row],[Sep_2026_F]]-Table410[[#This Row],[Sep_2026_A]]</f>
        <v/>
      </c>
      <c r="CZ127" s="103" t="n"/>
      <c r="DA127" s="347">
        <f>IFERROR(Table410[[#This Row],[Oct_2026_Days_Forecast]]*Table410[[#This Row],[Cost Boolean]]*(VLOOKUP(Table410[[#This Row],[RATE CONCAT]],Tables!I:N,5,0)),0)</f>
        <v/>
      </c>
      <c r="DB127" s="347">
        <f>IFERROR(Table410[[#This Row],[Oct_2026_Days_Actual]]*Table410[[#This Row],[Cost Boolean]]*(VLOOKUP(Table410[[#This Row],[RATE CONCAT]],Tables!I:N,5,0)),0)</f>
        <v/>
      </c>
      <c r="DC127" s="347">
        <f>Table410[[#This Row],[Oct_2026_F]]-Table410[[#This Row],[Oct_2026_A]]</f>
        <v/>
      </c>
      <c r="DD127" s="103" t="n"/>
      <c r="DE127" s="347">
        <f>IFERROR(Table410[[#This Row],[Nov_2026_Days_Forecast]]*Table410[[#This Row],[Cost Boolean]]*(VLOOKUP(Table410[[#This Row],[RATE CONCAT]],Tables!I:N,5,0)),0)</f>
        <v/>
      </c>
      <c r="DF127" s="347">
        <f>IFERROR(Table410[[#This Row],[Nov_2026_Days_Actual]]*Table410[[#This Row],[Cost Boolean]]*(VLOOKUP(Table410[[#This Row],[RATE CONCAT]],Tables!I:N,5,0)),0)</f>
        <v/>
      </c>
      <c r="DG127" s="347">
        <f>Table410[[#This Row],[Nov_2026_F]]-Table410[[#This Row],[Nov_2026_A]]</f>
        <v/>
      </c>
      <c r="DH127" s="103" t="n"/>
      <c r="DI127" s="347">
        <f>IFERROR(Table410[[#This Row],[Dec_2026_Days_Forecast]]*Table410[[#This Row],[Cost Boolean]]*(VLOOKUP(Table410[[#This Row],[RATE CONCAT]],Tables!I:N,5,0)),0)</f>
        <v/>
      </c>
      <c r="DJ127" s="347">
        <f>IFERROR(Table410[[#This Row],[Dec_2026_Days_Actual]]*Table410[[#This Row],[Cost Boolean]]*(VLOOKUP(Table410[[#This Row],[RATE CONCAT]],Tables!I:N,5,0)),0)</f>
        <v/>
      </c>
      <c r="DK127" s="348">
        <f>Table410[[#This Row],[Dec_2026_F]]-Table410[[#This Row],[Dec_2026_A]]</f>
        <v/>
      </c>
      <c r="DL127" s="103" t="n"/>
      <c r="DM127" s="346" t="n"/>
      <c r="DN127" s="347">
        <f>IFERROR(Table410[[#This Row],[Jan_2027_Days_Forecast]]*Table410[[#This Row],[Cost Boolean]]*(VLOOKUP(Table410[[#This Row],[RATE CONCAT]],Tables!I:N,6,0)),0)</f>
        <v/>
      </c>
      <c r="DO127" s="275" t="n"/>
      <c r="DP127" s="347">
        <f>Table410[[#This Row],[Jan_2027_F]]-Table410[[#This Row],[Jan_2027_A]]</f>
        <v/>
      </c>
      <c r="DQ127" s="347">
        <f>IFERROR(Table410[[#This Row],[Feb_2027_Days_Forecast]]*Table410[[#This Row],[Cost Boolean]]*(VLOOKUP(Table410[[#This Row],[RATE CONCAT]],Tables!I:N,6,0)),0)</f>
        <v/>
      </c>
      <c r="DR127" s="275" t="n"/>
      <c r="DS127" s="347">
        <f>Table410[[#This Row],[Feb_2027_F]]-Table410[[#This Row],[Feb_2027_A]]</f>
        <v/>
      </c>
      <c r="DT127" s="347">
        <f>IFERROR(Table410[[#This Row],[Mar_2027_Days_Forecast]]*Table410[[#This Row],[Cost Boolean]]*(VLOOKUP(Table410[[#This Row],[RATE CONCAT]],Tables!I:N,6,0)),0)</f>
        <v/>
      </c>
      <c r="DU127" s="275" t="n"/>
      <c r="DV127" s="347">
        <f>Table410[[#This Row],[Mar_2027_F]]-Table410[[#This Row],[Mar_2027_A]]</f>
        <v/>
      </c>
      <c r="DW127" s="347">
        <f>IFERROR(Table410[[#This Row],[Apr_2027_Days_Forecast]]*Table410[[#This Row],[Cost Boolean]]*(VLOOKUP(Table410[[#This Row],[RATE CONCAT]],Tables!I:N,6,0)),0)</f>
        <v/>
      </c>
      <c r="DX127" s="275" t="n"/>
      <c r="DY127" s="347">
        <f>Table410[[#This Row],[Apr_2027_F]]-Table410[[#This Row],[Apr_2027_A]]</f>
        <v/>
      </c>
      <c r="DZ127" s="347">
        <f>IFERROR(Table410[[#This Row],[May_2027_Days_Forecast]]*Table410[[#This Row],[Cost Boolean]]*(VLOOKUP(Table410[[#This Row],[RATE CONCAT]],Tables!I:N,6,0)),0)</f>
        <v/>
      </c>
      <c r="EA127" s="275" t="n"/>
      <c r="EB127" s="347">
        <f>Table410[[#This Row],[May_2027_F]]-Table410[[#This Row],[May_2027_A]]</f>
        <v/>
      </c>
      <c r="EC127" s="347">
        <f>IFERROR(Table410[[#This Row],[Jun_2027_Days_Forecast]]*Table410[[#This Row],[Cost Boolean]]*(VLOOKUP(Table410[[#This Row],[RATE CONCAT]],Tables!I:N,6,0)),0)</f>
        <v/>
      </c>
      <c r="ED127" s="275" t="n"/>
      <c r="EE127" s="347">
        <f>Table410[[#This Row],[Jun_2027_F]]-Table410[[#This Row],[Jun_2027_A]]</f>
        <v/>
      </c>
      <c r="EF127" s="347">
        <f>IFERROR(Table410[[#This Row],[Jul_2027_Days_Forecast]]*Table410[[#This Row],[Cost Boolean]]*(VLOOKUP(Table410[[#This Row],[RATE CONCAT]],Tables!I:N,6,0)),0)</f>
        <v/>
      </c>
      <c r="EG127" s="275" t="n"/>
      <c r="EH127" s="347">
        <f>Table410[[#This Row],[Jul_2027_F]]-Table410[[#This Row],[Jul_2027_A]]</f>
        <v/>
      </c>
      <c r="EI127" s="347">
        <f>IFERROR(Table410[[#This Row],[Aug_2027_Days_Forecast]]*Table410[[#This Row],[Cost Boolean]]*(VLOOKUP(Table410[[#This Row],[RATE CONCAT]],Tables!I:N,6,0)),0)</f>
        <v/>
      </c>
      <c r="EJ127" s="275" t="n"/>
      <c r="EK127" s="347">
        <f>Table410[[#This Row],[Aug_2027_F]]-Table410[[#This Row],[Aug_2027_A]]</f>
        <v/>
      </c>
      <c r="EL127" s="347">
        <f>IFERROR(Table410[[#This Row],[Sep_2027_Days_Forecast]]*Table410[[#This Row],[Cost Boolean]]*(VLOOKUP(Table410[[#This Row],[RATE CONCAT]],Tables!I:N,6,0)),0)</f>
        <v/>
      </c>
      <c r="EM127" s="275" t="n"/>
      <c r="EN127" s="347">
        <f>Table410[[#This Row],[Sep_2027_F]]-Table410[[#This Row],[Sep_2027_A]]</f>
        <v/>
      </c>
      <c r="EO127" s="347">
        <f>IFERROR(Table410[[#This Row],[Oct_2027_Days_Forecast]]*Table410[[#This Row],[Cost Boolean]]*(VLOOKUP(Table410[[#This Row],[RATE CONCAT]],Tables!I:N,6,0)),0)</f>
        <v/>
      </c>
      <c r="EP127" s="275" t="n"/>
      <c r="EQ127" s="347">
        <f>Table410[[#This Row],[Oct_2027_F]]-Table410[[#This Row],[Oct_2027_A]]</f>
        <v/>
      </c>
      <c r="ER127" s="347">
        <f>IFERROR(Table410[[#This Row],[Nov_2027_Days_Forecast]]*Table410[[#This Row],[Cost Boolean]]*(VLOOKUP(Table410[[#This Row],[RATE CONCAT]],Tables!I:N,6,0)),0)</f>
        <v/>
      </c>
      <c r="ES127" s="275" t="n"/>
      <c r="ET127" s="347">
        <f>Table410[[#This Row],[Nov_2027_F]]-Table410[[#This Row],[Nov_2027_A]]</f>
        <v/>
      </c>
      <c r="EU127" s="347">
        <f>IFERROR(Table410[[#This Row],[Dec_2027_Days_Forecast]]*Table410[[#This Row],[Cost Boolean]]*(VLOOKUP(Table410[[#This Row],[RATE CONCAT]],Tables!I:N,6,0)),0)</f>
        <v/>
      </c>
      <c r="EV127" s="275" t="n"/>
      <c r="EW127" s="347">
        <f>Table410[[#This Row],[Dec_2027_F]]-Table410[[#This Row],[Dec_2027_A]]</f>
        <v/>
      </c>
    </row>
    <row r="128" ht="1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Z128" s="338">
        <f>VLOOKUP(Table410[[#This Row],[RATE CONCAT]],Tables!I:N,5,0)</f>
        <v/>
      </c>
      <c r="AA128" s="123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124" t="n"/>
      <c r="AN128" s="341">
        <f>IFERROR(AVERAGE(Table410[[#This Row],[Jan_2026_Days_Forecast]:[Dec_2026_Days_Forecast]]),0)/19</f>
        <v/>
      </c>
      <c r="AO128" s="341">
        <f>IFERROR(AVERAGE(Table410[[#This Row],[Jan_2026_Days_Actual]:[Dec_2026_Days_Actual]]),0)/19</f>
        <v/>
      </c>
      <c r="AP128" s="84" t="n"/>
      <c r="AQ128" s="84" t="n"/>
      <c r="AR128" s="84" t="n"/>
      <c r="AS128" s="84" t="n"/>
      <c r="AT128" s="84" t="n"/>
      <c r="AU128" s="84" t="n"/>
      <c r="AV128" s="84" t="n"/>
      <c r="AW128" s="84" t="n"/>
      <c r="AX128" s="84" t="n"/>
      <c r="AY128" s="84" t="n"/>
      <c r="AZ128" s="84" t="n"/>
      <c r="BA128" s="84" t="n"/>
      <c r="BB128" s="341">
        <f>IFERROR(AVERAGE(Table410[[#This Row],[Jan_2027_Days_Forecast]:[Dec_2027_Days_Forecast]]),0)</f>
        <v/>
      </c>
      <c r="BC128" s="129" t="n"/>
      <c r="BD128" s="129" t="n"/>
      <c r="BE128" s="129" t="n"/>
      <c r="BF128" s="129" t="n"/>
      <c r="BG128" s="129" t="n"/>
      <c r="BH128" s="129" t="n"/>
      <c r="BI128" s="16" t="n"/>
      <c r="BJ128" s="16" t="n"/>
      <c r="BK128" s="16" t="n"/>
      <c r="BL128" s="16" t="n"/>
      <c r="BM128" s="16" t="n"/>
      <c r="BN128" s="125" t="n"/>
      <c r="BO128" s="176" t="n"/>
      <c r="BP128" s="176" t="n"/>
      <c r="BQ128" s="345">
        <f>IFERROR(Table410[[#This Row],[Jan_2026_Days_Forecast]]*Table410[[#This Row],[Cost Boolean]]*(VLOOKUP(Table410[[#This Row],[RATE CONCAT]],Tables!I:N,5,0)),0)</f>
        <v/>
      </c>
      <c r="BR128" s="345">
        <f>IFERROR(Table410[[#This Row],[Jan_2026_Days_Actual]]*Table410[[#This Row],[Cost Boolean]]*(VLOOKUP(Table410[[#This Row],[RATE CONCAT]],Tables!I:N,5,0)),0)</f>
        <v/>
      </c>
      <c r="BS128" s="338">
        <f>Table410[[#This Row],[Jan_2026_F]]-Table410[[#This Row],[Jan_2026_A]]</f>
        <v/>
      </c>
      <c r="BT128" s="114" t="n"/>
      <c r="BU128" s="338">
        <f>IFERROR(Table410[[#This Row],[Feb_2026_Days_Forecast]]*Table410[[#This Row],[Cost Boolean]]*(VLOOKUP(Table410[[#This Row],[RATE CONCAT]],Tables!I:N,5,0)),0)</f>
        <v/>
      </c>
      <c r="BV128" s="345">
        <f>IFERROR(Table410[[#This Row],[Feb_2026_Days_Actual]]*Table410[[#This Row],[Cost Boolean]]*(VLOOKUP(Table410[[#This Row],[RATE CONCAT]],Tables!I:N,5,0)),0)</f>
        <v/>
      </c>
      <c r="BW128" s="338">
        <f>Table410[[#This Row],[Feb_2026_F]]-Table410[[#This Row],[Feb_2026_A]]</f>
        <v/>
      </c>
      <c r="BX128" s="275" t="n"/>
      <c r="BY128" s="345">
        <f>IFERROR(Table410[[#This Row],[Mar_2026_Days_Forecast]]*Table410[[#This Row],[Cost Boolean]]*(VLOOKUP(Table410[[#This Row],[RATE CONCAT]],Tables!I:N,5,0)),0)</f>
        <v/>
      </c>
      <c r="BZ128" s="345">
        <f>IFERROR(Table410[[#This Row],[Mar_2026_Days_Actual]]*Table410[[#This Row],[Cost Boolean]]*(VLOOKUP(Table410[[#This Row],[RATE CONCAT]],Tables!I:N,5,0)),0)</f>
        <v/>
      </c>
      <c r="CA128" s="345">
        <f>Table410[[#This Row],[Mar_2026_F]]-Table410[[#This Row],[Mar_2026_A]]</f>
        <v/>
      </c>
      <c r="CB128" s="103" t="n"/>
      <c r="CC128" s="345">
        <f>IFERROR(Table410[[#This Row],[Apr_2026_Days_Forecast]]*Table410[[#This Row],[Cost Boolean]]*(VLOOKUP(Table410[[#This Row],[RATE CONCAT]],Tables!I:N,5,0)),0)</f>
        <v/>
      </c>
      <c r="CD128" s="345">
        <f>IFERROR(Table410[[#This Row],[Apr_2026_Days_Actual]]*Table410[[#This Row],[Cost Boolean]]*(VLOOKUP(Table410[[#This Row],[RATE CONCAT]],Tables!I:N,5,0)),0)</f>
        <v/>
      </c>
      <c r="CE128" s="345">
        <f>Table410[[#This Row],[Apr_2026_F]]-Table410[[#This Row],[Apr_2026_A]]</f>
        <v/>
      </c>
      <c r="CF128" s="103" t="n"/>
      <c r="CG128" s="345">
        <f>IFERROR(Table410[[#This Row],[May_2026_Days_Forecast]] *Table410[[#This Row],[Cost Boolean]]*(VLOOKUP(Table410[[#This Row],[RATE CONCAT]],Tables!I:N,5,0)),0)</f>
        <v/>
      </c>
      <c r="CH128" s="345">
        <f>IFERROR(Table410[[#This Row],[May_2026_Days_Actual]]*Table410[[#This Row],[Cost Boolean]]*(VLOOKUP(Table410[[#This Row],[RATE CONCAT]],Tables!I:N,5,0)),0)</f>
        <v/>
      </c>
      <c r="CI128" s="345">
        <f>Table410[[#This Row],[May_2026_F]]-Table410[[#This Row],[May_2026_A]]</f>
        <v/>
      </c>
      <c r="CJ128" s="103" t="n"/>
      <c r="CK128" s="345">
        <f>IFERROR(Table410[[#This Row],[Jun_2026_Days_Forecast]]*Table410[[#This Row],[Cost Boolean]]*(VLOOKUP(Table410[[#This Row],[RATE CONCAT]],Tables!I:N,5,0)),0)</f>
        <v/>
      </c>
      <c r="CL128" s="345">
        <f>IFERROR(Table410[[#This Row],[Jun_2026_Days_Actual]]*Table410[[#This Row],[Cost Boolean]]*(VLOOKUP(Table410[[#This Row],[RATE CONCAT]],Tables!I:N,5,0)),0)</f>
        <v/>
      </c>
      <c r="CM128" s="345">
        <f>Table410[[#This Row],[Jun_2026_F]]-Table410[[#This Row],[Jun_2026_A]]</f>
        <v/>
      </c>
      <c r="CN128" s="103" t="n"/>
      <c r="CO128" s="345">
        <f>IFERROR(Table410[[#This Row],[Jul_2026_Days_Forecast]]*Table410[[#This Row],[Cost Boolean]]*(VLOOKUP(Table410[[#This Row],[RATE CONCAT]],Tables!I:N,5,0)),0)</f>
        <v/>
      </c>
      <c r="CP128" s="345">
        <f>IFERROR(Table410[[#This Row],[Jul_2026_Days_Actual]]*Table410[[#This Row],[Cost Boolean]]*(VLOOKUP(Table410[[#This Row],[RATE CONCAT]],Tables!I:N,5,0)),0)</f>
        <v/>
      </c>
      <c r="CQ128" s="345">
        <f>Table410[[#This Row],[Jul_2026_F]]-Table410[[#This Row],[Jul_2026_A]]</f>
        <v/>
      </c>
      <c r="CR128" s="103" t="n"/>
      <c r="CS128" s="345">
        <f>IFERROR(Table410[[#This Row],[Aug_2026_Days_Forecast]]*Table410[[#This Row],[Cost Boolean]]*(VLOOKUP(Table410[[#This Row],[RATE CONCAT]],Tables!I:N,5,0)),0)</f>
        <v/>
      </c>
      <c r="CT128" s="345">
        <f>IFERROR(Table410[[#This Row],[Aug_2026_Days_Actual]]*Table410[[#This Row],[Cost Boolean]]*(VLOOKUP(Table410[[#This Row],[RATE CONCAT]],Tables!I:N,5,0)),0)</f>
        <v/>
      </c>
      <c r="CU128" s="345">
        <f>Table410[[#This Row],[Aug_2026_F]]-Table410[[#This Row],[Aug_2026_A]]</f>
        <v/>
      </c>
      <c r="CV128" s="103" t="n"/>
      <c r="CW128" s="345">
        <f>IFERROR(Table410[[#This Row],[Sep_2026_Days_Forecast]]*Table410[[#This Row],[Cost Boolean]]*(VLOOKUP(Table410[[#This Row],[RATE CONCAT]],Tables!I:N,5,0)),0)</f>
        <v/>
      </c>
      <c r="CX128" s="345">
        <f>IFERROR(Table410[[#This Row],[Sep_2026_Days_Actual]]*Table410[[#This Row],[Cost Boolean]]*(VLOOKUP(Table410[[#This Row],[RATE CONCAT]],Tables!I:N,5,0)),0)</f>
        <v/>
      </c>
      <c r="CY128" s="345">
        <f>Table410[[#This Row],[Sep_2026_F]]-Table410[[#This Row],[Sep_2026_A]]</f>
        <v/>
      </c>
      <c r="CZ128" s="103" t="n"/>
      <c r="DA128" s="345">
        <f>IFERROR(Table410[[#This Row],[Oct_2026_Days_Forecast]]*Table410[[#This Row],[Cost Boolean]]*(VLOOKUP(Table410[[#This Row],[RATE CONCAT]],Tables!I:N,5,0)),0)</f>
        <v/>
      </c>
      <c r="DB128" s="345">
        <f>IFERROR(Table410[[#This Row],[Oct_2026_Days_Actual]]*Table410[[#This Row],[Cost Boolean]]*(VLOOKUP(Table410[[#This Row],[RATE CONCAT]],Tables!I:N,5,0)),0)</f>
        <v/>
      </c>
      <c r="DC128" s="345">
        <f>Table410[[#This Row],[Oct_2026_F]]-Table410[[#This Row],[Oct_2026_A]]</f>
        <v/>
      </c>
      <c r="DD128" s="103" t="n"/>
      <c r="DE128" s="345">
        <f>IFERROR(Table410[[#This Row],[Nov_2026_Days_Forecast]]*Table410[[#This Row],[Cost Boolean]]*(VLOOKUP(Table410[[#This Row],[RATE CONCAT]],Tables!I:N,5,0)),0)</f>
        <v/>
      </c>
      <c r="DF128" s="345">
        <f>IFERROR(Table410[[#This Row],[Nov_2026_Days_Actual]]*Table410[[#This Row],[Cost Boolean]]*(VLOOKUP(Table410[[#This Row],[RATE CONCAT]],Tables!I:N,5,0)),0)</f>
        <v/>
      </c>
      <c r="DG128" s="345">
        <f>Table410[[#This Row],[Nov_2026_F]]-Table410[[#This Row],[Nov_2026_A]]</f>
        <v/>
      </c>
      <c r="DH128" s="103" t="n"/>
      <c r="DI128" s="345">
        <f>IFERROR(Table410[[#This Row],[Dec_2026_Days_Forecast]]*Table410[[#This Row],[Cost Boolean]]*(VLOOKUP(Table410[[#This Row],[RATE CONCAT]],Tables!I:N,5,0)),0)</f>
        <v/>
      </c>
      <c r="DJ128" s="345">
        <f>IFERROR(Table410[[#This Row],[Dec_2026_Days_Actual]]*Table410[[#This Row],[Cost Boolean]]*(VLOOKUP(Table410[[#This Row],[RATE CONCAT]],Tables!I:N,5,0)),0)</f>
        <v/>
      </c>
      <c r="DK128" s="349">
        <f>Table410[[#This Row],[Dec_2026_F]]-Table410[[#This Row],[Dec_2026_A]]</f>
        <v/>
      </c>
      <c r="DL128" s="103" t="n"/>
      <c r="DM128" s="346" t="n"/>
      <c r="DN128" s="345">
        <f>IFERROR(Table410[[#This Row],[Jan_2027_Days_Forecast]]*Table410[[#This Row],[Cost Boolean]]*(VLOOKUP(Table410[[#This Row],[RATE CONCAT]],Tables!I:N,6,0)),0)</f>
        <v/>
      </c>
      <c r="DO128" s="275" t="n"/>
      <c r="DP128" s="345">
        <f>Table410[[#This Row],[Jan_2027_F]]-Table410[[#This Row],[Jan_2027_A]]</f>
        <v/>
      </c>
      <c r="DQ128" s="345">
        <f>IFERROR(Table410[[#This Row],[Feb_2027_Days_Forecast]]*Table410[[#This Row],[Cost Boolean]]*(VLOOKUP(Table410[[#This Row],[RATE CONCAT]],Tables!I:N,6,0)),0)</f>
        <v/>
      </c>
      <c r="DR128" s="275" t="n"/>
      <c r="DS128" s="345">
        <f>Table410[[#This Row],[Feb_2027_F]]-Table410[[#This Row],[Feb_2027_A]]</f>
        <v/>
      </c>
      <c r="DT128" s="345">
        <f>IFERROR(Table410[[#This Row],[Mar_2027_Days_Forecast]]*Table410[[#This Row],[Cost Boolean]]*(VLOOKUP(Table410[[#This Row],[RATE CONCAT]],Tables!I:N,6,0)),0)</f>
        <v/>
      </c>
      <c r="DU128" s="275" t="n"/>
      <c r="DV128" s="345">
        <f>Table410[[#This Row],[Mar_2027_F]]-Table410[[#This Row],[Mar_2027_A]]</f>
        <v/>
      </c>
      <c r="DW128" s="345">
        <f>IFERROR(Table410[[#This Row],[Apr_2027_Days_Forecast]]*Table410[[#This Row],[Cost Boolean]]*(VLOOKUP(Table410[[#This Row],[RATE CONCAT]],Tables!I:N,6,0)),0)</f>
        <v/>
      </c>
      <c r="DX128" s="275" t="n"/>
      <c r="DY128" s="345">
        <f>Table410[[#This Row],[Apr_2027_F]]-Table410[[#This Row],[Apr_2027_A]]</f>
        <v/>
      </c>
      <c r="DZ128" s="345">
        <f>IFERROR(Table410[[#This Row],[May_2027_Days_Forecast]]*Table410[[#This Row],[Cost Boolean]]*(VLOOKUP(Table410[[#This Row],[RATE CONCAT]],Tables!I:N,6,0)),0)</f>
        <v/>
      </c>
      <c r="EA128" s="275" t="n"/>
      <c r="EB128" s="345">
        <f>Table410[[#This Row],[May_2027_F]]-Table410[[#This Row],[May_2027_A]]</f>
        <v/>
      </c>
      <c r="EC128" s="345">
        <f>IFERROR(Table410[[#This Row],[Jun_2027_Days_Forecast]]*Table410[[#This Row],[Cost Boolean]]*(VLOOKUP(Table410[[#This Row],[RATE CONCAT]],Tables!I:N,6,0)),0)</f>
        <v/>
      </c>
      <c r="ED128" s="275" t="n"/>
      <c r="EE128" s="345">
        <f>Table410[[#This Row],[Jun_2027_F]]-Table410[[#This Row],[Jun_2027_A]]</f>
        <v/>
      </c>
      <c r="EF128" s="345">
        <f>IFERROR(Table410[[#This Row],[Jul_2027_Days_Forecast]]*Table410[[#This Row],[Cost Boolean]]*(VLOOKUP(Table410[[#This Row],[RATE CONCAT]],Tables!I:N,6,0)),0)</f>
        <v/>
      </c>
      <c r="EG128" s="275" t="n"/>
      <c r="EH128" s="345">
        <f>Table410[[#This Row],[Jul_2027_F]]-Table410[[#This Row],[Jul_2027_A]]</f>
        <v/>
      </c>
      <c r="EI128" s="345">
        <f>IFERROR(Table410[[#This Row],[Aug_2027_Days_Forecast]]*Table410[[#This Row],[Cost Boolean]]*(VLOOKUP(Table410[[#This Row],[RATE CONCAT]],Tables!I:N,6,0)),0)</f>
        <v/>
      </c>
      <c r="EJ128" s="275" t="n"/>
      <c r="EK128" s="345">
        <f>Table410[[#This Row],[Aug_2027_F]]-Table410[[#This Row],[Aug_2027_A]]</f>
        <v/>
      </c>
      <c r="EL128" s="345">
        <f>IFERROR(Table410[[#This Row],[Sep_2027_Days_Forecast]]*Table410[[#This Row],[Cost Boolean]]*(VLOOKUP(Table410[[#This Row],[RATE CONCAT]],Tables!I:N,6,0)),0)</f>
        <v/>
      </c>
      <c r="EM128" s="275" t="n"/>
      <c r="EN128" s="345">
        <f>Table410[[#This Row],[Sep_2027_F]]-Table410[[#This Row],[Sep_2027_A]]</f>
        <v/>
      </c>
      <c r="EO128" s="345">
        <f>IFERROR(Table410[[#This Row],[Oct_2027_Days_Forecast]]*Table410[[#This Row],[Cost Boolean]]*(VLOOKUP(Table410[[#This Row],[RATE CONCAT]],Tables!I:N,6,0)),0)</f>
        <v/>
      </c>
      <c r="EP128" s="275" t="n"/>
      <c r="EQ128" s="345">
        <f>Table410[[#This Row],[Oct_2027_F]]-Table410[[#This Row],[Oct_2027_A]]</f>
        <v/>
      </c>
      <c r="ER128" s="345">
        <f>IFERROR(Table410[[#This Row],[Nov_2027_Days_Forecast]]*Table410[[#This Row],[Cost Boolean]]*(VLOOKUP(Table410[[#This Row],[RATE CONCAT]],Tables!I:N,6,0)),0)</f>
        <v/>
      </c>
      <c r="ES128" s="275" t="n"/>
      <c r="ET128" s="345">
        <f>Table410[[#This Row],[Nov_2027_F]]-Table410[[#This Row],[Nov_2027_A]]</f>
        <v/>
      </c>
      <c r="EU128" s="345">
        <f>IFERROR(Table410[[#This Row],[Dec_2027_Days_Forecast]]*Table410[[#This Row],[Cost Boolean]]*(VLOOKUP(Table410[[#This Row],[RATE CONCAT]],Tables!I:N,6,0)),0)</f>
        <v/>
      </c>
      <c r="EV128" s="275" t="n"/>
      <c r="EW128" s="345">
        <f>Table410[[#This Row],[Dec_2027_F]]-Table410[[#This Row],[Dec_2027_A]]</f>
        <v/>
      </c>
    </row>
    <row r="129" ht="1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Z129" s="342">
        <f>VLOOKUP(Table410[[#This Row],[RATE CONCAT]],Tables!I:N,5,0)</f>
        <v/>
      </c>
      <c r="AA129" s="123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124" t="n"/>
      <c r="AN129" s="341">
        <f>IFERROR(AVERAGE(Table410[[#This Row],[Jan_2026_Days_Forecast]:[Dec_2026_Days_Forecast]]),0)/19</f>
        <v/>
      </c>
      <c r="AO129" s="341">
        <f>IFERROR(AVERAGE(Table410[[#This Row],[Jan_2026_Days_Actual]:[Dec_2026_Days_Actual]]),0)/19</f>
        <v/>
      </c>
      <c r="AP129" s="84" t="n"/>
      <c r="AQ129" s="84" t="n"/>
      <c r="AR129" s="84" t="n"/>
      <c r="AS129" s="84" t="n"/>
      <c r="AT129" s="84" t="n"/>
      <c r="AU129" s="84" t="n"/>
      <c r="AV129" s="84" t="n"/>
      <c r="AW129" s="84" t="n"/>
      <c r="AX129" s="84" t="n"/>
      <c r="AY129" s="84" t="n"/>
      <c r="AZ129" s="84" t="n"/>
      <c r="BA129" s="84" t="n"/>
      <c r="BB129" s="341">
        <f>IFERROR(AVERAGE(Table410[[#This Row],[Jan_2027_Days_Forecast]:[Dec_2027_Days_Forecast]]),0)</f>
        <v/>
      </c>
      <c r="BC129" s="129" t="n"/>
      <c r="BD129" s="129" t="n"/>
      <c r="BE129" s="129" t="n"/>
      <c r="BF129" s="129" t="n"/>
      <c r="BG129" s="129" t="n"/>
      <c r="BH129" s="129" t="n"/>
      <c r="BI129" s="16" t="n"/>
      <c r="BJ129" s="16" t="n"/>
      <c r="BK129" s="16" t="n"/>
      <c r="BL129" s="16" t="n"/>
      <c r="BM129" s="16" t="n"/>
      <c r="BN129" s="125" t="n"/>
      <c r="BO129" s="176" t="n"/>
      <c r="BP129" s="176" t="n"/>
      <c r="BQ129" s="347">
        <f>IFERROR(Table410[[#This Row],[Jan_2026_Days_Forecast]]*Table410[[#This Row],[Cost Boolean]]*(VLOOKUP(Table410[[#This Row],[RATE CONCAT]],Tables!I:N,5,0)),0)</f>
        <v/>
      </c>
      <c r="BR129" s="347">
        <f>IFERROR(Table410[[#This Row],[Jan_2026_Days_Actual]]*Table410[[#This Row],[Cost Boolean]]*(VLOOKUP(Table410[[#This Row],[RATE CONCAT]],Tables!I:N,5,0)),0)</f>
        <v/>
      </c>
      <c r="BS129" s="342">
        <f>Table410[[#This Row],[Jan_2026_F]]-Table410[[#This Row],[Jan_2026_A]]</f>
        <v/>
      </c>
      <c r="BT129" s="114" t="n"/>
      <c r="BU129" s="342">
        <f>IFERROR(Table410[[#This Row],[Feb_2026_Days_Forecast]]*Table410[[#This Row],[Cost Boolean]]*(VLOOKUP(Table410[[#This Row],[RATE CONCAT]],Tables!I:N,5,0)),0)</f>
        <v/>
      </c>
      <c r="BV129" s="347">
        <f>IFERROR(Table410[[#This Row],[Feb_2026_Days_Actual]]*Table410[[#This Row],[Cost Boolean]]*(VLOOKUP(Table410[[#This Row],[RATE CONCAT]],Tables!I:N,5,0)),0)</f>
        <v/>
      </c>
      <c r="BW129" s="342">
        <f>Table410[[#This Row],[Feb_2026_F]]-Table410[[#This Row],[Feb_2026_A]]</f>
        <v/>
      </c>
      <c r="BX129" s="275" t="n"/>
      <c r="BY129" s="347">
        <f>IFERROR(Table410[[#This Row],[Mar_2026_Days_Forecast]]*Table410[[#This Row],[Cost Boolean]]*(VLOOKUP(Table410[[#This Row],[RATE CONCAT]],Tables!I:N,5,0)),0)</f>
        <v/>
      </c>
      <c r="BZ129" s="347">
        <f>IFERROR(Table410[[#This Row],[Mar_2026_Days_Actual]]*Table410[[#This Row],[Cost Boolean]]*(VLOOKUP(Table410[[#This Row],[RATE CONCAT]],Tables!I:N,5,0)),0)</f>
        <v/>
      </c>
      <c r="CA129" s="347">
        <f>Table410[[#This Row],[Mar_2026_F]]-Table410[[#This Row],[Mar_2026_A]]</f>
        <v/>
      </c>
      <c r="CB129" s="103" t="n"/>
      <c r="CC129" s="347">
        <f>IFERROR(Table410[[#This Row],[Apr_2026_Days_Forecast]]*Table410[[#This Row],[Cost Boolean]]*(VLOOKUP(Table410[[#This Row],[RATE CONCAT]],Tables!I:N,5,0)),0)</f>
        <v/>
      </c>
      <c r="CD129" s="347">
        <f>IFERROR(Table410[[#This Row],[Apr_2026_Days_Actual]]*Table410[[#This Row],[Cost Boolean]]*(VLOOKUP(Table410[[#This Row],[RATE CONCAT]],Tables!I:N,5,0)),0)</f>
        <v/>
      </c>
      <c r="CE129" s="347">
        <f>Table410[[#This Row],[Apr_2026_F]]-Table410[[#This Row],[Apr_2026_A]]</f>
        <v/>
      </c>
      <c r="CF129" s="103" t="n"/>
      <c r="CG129" s="347">
        <f>IFERROR(Table410[[#This Row],[May_2026_Days_Forecast]] *Table410[[#This Row],[Cost Boolean]]*(VLOOKUP(Table410[[#This Row],[RATE CONCAT]],Tables!I:N,5,0)),0)</f>
        <v/>
      </c>
      <c r="CH129" s="347">
        <f>IFERROR(Table410[[#This Row],[May_2026_Days_Actual]]*Table410[[#This Row],[Cost Boolean]]*(VLOOKUP(Table410[[#This Row],[RATE CONCAT]],Tables!I:N,5,0)),0)</f>
        <v/>
      </c>
      <c r="CI129" s="347">
        <f>Table410[[#This Row],[May_2026_F]]-Table410[[#This Row],[May_2026_A]]</f>
        <v/>
      </c>
      <c r="CJ129" s="103" t="n"/>
      <c r="CK129" s="347">
        <f>IFERROR(Table410[[#This Row],[Jun_2026_Days_Forecast]]*Table410[[#This Row],[Cost Boolean]]*(VLOOKUP(Table410[[#This Row],[RATE CONCAT]],Tables!I:N,5,0)),0)</f>
        <v/>
      </c>
      <c r="CL129" s="347">
        <f>IFERROR(Table410[[#This Row],[Jun_2026_Days_Actual]]*Table410[[#This Row],[Cost Boolean]]*(VLOOKUP(Table410[[#This Row],[RATE CONCAT]],Tables!I:N,5,0)),0)</f>
        <v/>
      </c>
      <c r="CM129" s="347">
        <f>Table410[[#This Row],[Jun_2026_F]]-Table410[[#This Row],[Jun_2026_A]]</f>
        <v/>
      </c>
      <c r="CN129" s="103" t="n"/>
      <c r="CO129" s="347">
        <f>IFERROR(Table410[[#This Row],[Jul_2026_Days_Forecast]]*Table410[[#This Row],[Cost Boolean]]*(VLOOKUP(Table410[[#This Row],[RATE CONCAT]],Tables!I:N,5,0)),0)</f>
        <v/>
      </c>
      <c r="CP129" s="347">
        <f>IFERROR(Table410[[#This Row],[Jul_2026_Days_Actual]]*Table410[[#This Row],[Cost Boolean]]*(VLOOKUP(Table410[[#This Row],[RATE CONCAT]],Tables!I:N,5,0)),0)</f>
        <v/>
      </c>
      <c r="CQ129" s="347">
        <f>Table410[[#This Row],[Jul_2026_F]]-Table410[[#This Row],[Jul_2026_A]]</f>
        <v/>
      </c>
      <c r="CR129" s="103" t="n"/>
      <c r="CS129" s="347">
        <f>IFERROR(Table410[[#This Row],[Aug_2026_Days_Forecast]]*Table410[[#This Row],[Cost Boolean]]*(VLOOKUP(Table410[[#This Row],[RATE CONCAT]],Tables!I:N,5,0)),0)</f>
        <v/>
      </c>
      <c r="CT129" s="347">
        <f>IFERROR(Table410[[#This Row],[Aug_2026_Days_Actual]]*Table410[[#This Row],[Cost Boolean]]*(VLOOKUP(Table410[[#This Row],[RATE CONCAT]],Tables!I:N,5,0)),0)</f>
        <v/>
      </c>
      <c r="CU129" s="347">
        <f>Table410[[#This Row],[Aug_2026_F]]-Table410[[#This Row],[Aug_2026_A]]</f>
        <v/>
      </c>
      <c r="CV129" s="103" t="n"/>
      <c r="CW129" s="347">
        <f>IFERROR(Table410[[#This Row],[Sep_2026_Days_Forecast]]*Table410[[#This Row],[Cost Boolean]]*(VLOOKUP(Table410[[#This Row],[RATE CONCAT]],Tables!I:N,5,0)),0)</f>
        <v/>
      </c>
      <c r="CX129" s="347">
        <f>IFERROR(Table410[[#This Row],[Sep_2026_Days_Actual]]*Table410[[#This Row],[Cost Boolean]]*(VLOOKUP(Table410[[#This Row],[RATE CONCAT]],Tables!I:N,5,0)),0)</f>
        <v/>
      </c>
      <c r="CY129" s="347">
        <f>Table410[[#This Row],[Sep_2026_F]]-Table410[[#This Row],[Sep_2026_A]]</f>
        <v/>
      </c>
      <c r="CZ129" s="103" t="n"/>
      <c r="DA129" s="347">
        <f>IFERROR(Table410[[#This Row],[Oct_2026_Days_Forecast]]*Table410[[#This Row],[Cost Boolean]]*(VLOOKUP(Table410[[#This Row],[RATE CONCAT]],Tables!I:N,5,0)),0)</f>
        <v/>
      </c>
      <c r="DB129" s="347">
        <f>IFERROR(Table410[[#This Row],[Oct_2026_Days_Actual]]*Table410[[#This Row],[Cost Boolean]]*(VLOOKUP(Table410[[#This Row],[RATE CONCAT]],Tables!I:N,5,0)),0)</f>
        <v/>
      </c>
      <c r="DC129" s="347">
        <f>Table410[[#This Row],[Oct_2026_F]]-Table410[[#This Row],[Oct_2026_A]]</f>
        <v/>
      </c>
      <c r="DD129" s="103" t="n"/>
      <c r="DE129" s="347">
        <f>IFERROR(Table410[[#This Row],[Nov_2026_Days_Forecast]]*Table410[[#This Row],[Cost Boolean]]*(VLOOKUP(Table410[[#This Row],[RATE CONCAT]],Tables!I:N,5,0)),0)</f>
        <v/>
      </c>
      <c r="DF129" s="347">
        <f>IFERROR(Table410[[#This Row],[Nov_2026_Days_Actual]]*Table410[[#This Row],[Cost Boolean]]*(VLOOKUP(Table410[[#This Row],[RATE CONCAT]],Tables!I:N,5,0)),0)</f>
        <v/>
      </c>
      <c r="DG129" s="347">
        <f>Table410[[#This Row],[Nov_2026_F]]-Table410[[#This Row],[Nov_2026_A]]</f>
        <v/>
      </c>
      <c r="DH129" s="103" t="n"/>
      <c r="DI129" s="347">
        <f>IFERROR(Table410[[#This Row],[Dec_2026_Days_Forecast]]*Table410[[#This Row],[Cost Boolean]]*(VLOOKUP(Table410[[#This Row],[RATE CONCAT]],Tables!I:N,5,0)),0)</f>
        <v/>
      </c>
      <c r="DJ129" s="347">
        <f>IFERROR(Table410[[#This Row],[Dec_2026_Days_Actual]]*Table410[[#This Row],[Cost Boolean]]*(VLOOKUP(Table410[[#This Row],[RATE CONCAT]],Tables!I:N,5,0)),0)</f>
        <v/>
      </c>
      <c r="DK129" s="348">
        <f>Table410[[#This Row],[Dec_2026_F]]-Table410[[#This Row],[Dec_2026_A]]</f>
        <v/>
      </c>
      <c r="DL129" s="103" t="n"/>
      <c r="DM129" s="346" t="n"/>
      <c r="DN129" s="347">
        <f>IFERROR(Table410[[#This Row],[Jan_2027_Days_Forecast]]*Table410[[#This Row],[Cost Boolean]]*(VLOOKUP(Table410[[#This Row],[RATE CONCAT]],Tables!I:N,6,0)),0)</f>
        <v/>
      </c>
      <c r="DO129" s="275" t="n"/>
      <c r="DP129" s="347">
        <f>Table410[[#This Row],[Jan_2027_F]]-Table410[[#This Row],[Jan_2027_A]]</f>
        <v/>
      </c>
      <c r="DQ129" s="347">
        <f>IFERROR(Table410[[#This Row],[Feb_2027_Days_Forecast]]*Table410[[#This Row],[Cost Boolean]]*(VLOOKUP(Table410[[#This Row],[RATE CONCAT]],Tables!I:N,6,0)),0)</f>
        <v/>
      </c>
      <c r="DR129" s="275" t="n"/>
      <c r="DS129" s="347">
        <f>Table410[[#This Row],[Feb_2027_F]]-Table410[[#This Row],[Feb_2027_A]]</f>
        <v/>
      </c>
      <c r="DT129" s="347">
        <f>IFERROR(Table410[[#This Row],[Mar_2027_Days_Forecast]]*Table410[[#This Row],[Cost Boolean]]*(VLOOKUP(Table410[[#This Row],[RATE CONCAT]],Tables!I:N,6,0)),0)</f>
        <v/>
      </c>
      <c r="DU129" s="275" t="n"/>
      <c r="DV129" s="347">
        <f>Table410[[#This Row],[Mar_2027_F]]-Table410[[#This Row],[Mar_2027_A]]</f>
        <v/>
      </c>
      <c r="DW129" s="347">
        <f>IFERROR(Table410[[#This Row],[Apr_2027_Days_Forecast]]*Table410[[#This Row],[Cost Boolean]]*(VLOOKUP(Table410[[#This Row],[RATE CONCAT]],Tables!I:N,6,0)),0)</f>
        <v/>
      </c>
      <c r="DX129" s="275" t="n"/>
      <c r="DY129" s="347">
        <f>Table410[[#This Row],[Apr_2027_F]]-Table410[[#This Row],[Apr_2027_A]]</f>
        <v/>
      </c>
      <c r="DZ129" s="347">
        <f>IFERROR(Table410[[#This Row],[May_2027_Days_Forecast]]*Table410[[#This Row],[Cost Boolean]]*(VLOOKUP(Table410[[#This Row],[RATE CONCAT]],Tables!I:N,6,0)),0)</f>
        <v/>
      </c>
      <c r="EA129" s="275" t="n"/>
      <c r="EB129" s="347">
        <f>Table410[[#This Row],[May_2027_F]]-Table410[[#This Row],[May_2027_A]]</f>
        <v/>
      </c>
      <c r="EC129" s="347">
        <f>IFERROR(Table410[[#This Row],[Jun_2027_Days_Forecast]]*Table410[[#This Row],[Cost Boolean]]*(VLOOKUP(Table410[[#This Row],[RATE CONCAT]],Tables!I:N,6,0)),0)</f>
        <v/>
      </c>
      <c r="ED129" s="275" t="n"/>
      <c r="EE129" s="347">
        <f>Table410[[#This Row],[Jun_2027_F]]-Table410[[#This Row],[Jun_2027_A]]</f>
        <v/>
      </c>
      <c r="EF129" s="347">
        <f>IFERROR(Table410[[#This Row],[Jul_2027_Days_Forecast]]*Table410[[#This Row],[Cost Boolean]]*(VLOOKUP(Table410[[#This Row],[RATE CONCAT]],Tables!I:N,6,0)),0)</f>
        <v/>
      </c>
      <c r="EG129" s="275" t="n"/>
      <c r="EH129" s="347">
        <f>Table410[[#This Row],[Jul_2027_F]]-Table410[[#This Row],[Jul_2027_A]]</f>
        <v/>
      </c>
      <c r="EI129" s="347">
        <f>IFERROR(Table410[[#This Row],[Aug_2027_Days_Forecast]]*Table410[[#This Row],[Cost Boolean]]*(VLOOKUP(Table410[[#This Row],[RATE CONCAT]],Tables!I:N,6,0)),0)</f>
        <v/>
      </c>
      <c r="EJ129" s="275" t="n"/>
      <c r="EK129" s="347">
        <f>Table410[[#This Row],[Aug_2027_F]]-Table410[[#This Row],[Aug_2027_A]]</f>
        <v/>
      </c>
      <c r="EL129" s="347">
        <f>IFERROR(Table410[[#This Row],[Sep_2027_Days_Forecast]]*Table410[[#This Row],[Cost Boolean]]*(VLOOKUP(Table410[[#This Row],[RATE CONCAT]],Tables!I:N,6,0)),0)</f>
        <v/>
      </c>
      <c r="EM129" s="275" t="n"/>
      <c r="EN129" s="347">
        <f>Table410[[#This Row],[Sep_2027_F]]-Table410[[#This Row],[Sep_2027_A]]</f>
        <v/>
      </c>
      <c r="EO129" s="347">
        <f>IFERROR(Table410[[#This Row],[Oct_2027_Days_Forecast]]*Table410[[#This Row],[Cost Boolean]]*(VLOOKUP(Table410[[#This Row],[RATE CONCAT]],Tables!I:N,6,0)),0)</f>
        <v/>
      </c>
      <c r="EP129" s="275" t="n"/>
      <c r="EQ129" s="347">
        <f>Table410[[#This Row],[Oct_2027_F]]-Table410[[#This Row],[Oct_2027_A]]</f>
        <v/>
      </c>
      <c r="ER129" s="347">
        <f>IFERROR(Table410[[#This Row],[Nov_2027_Days_Forecast]]*Table410[[#This Row],[Cost Boolean]]*(VLOOKUP(Table410[[#This Row],[RATE CONCAT]],Tables!I:N,6,0)),0)</f>
        <v/>
      </c>
      <c r="ES129" s="275" t="n"/>
      <c r="ET129" s="347">
        <f>Table410[[#This Row],[Nov_2027_F]]-Table410[[#This Row],[Nov_2027_A]]</f>
        <v/>
      </c>
      <c r="EU129" s="347">
        <f>IFERROR(Table410[[#This Row],[Dec_2027_Days_Forecast]]*Table410[[#This Row],[Cost Boolean]]*(VLOOKUP(Table410[[#This Row],[RATE CONCAT]],Tables!I:N,6,0)),0)</f>
        <v/>
      </c>
      <c r="EV129" s="275" t="n"/>
      <c r="EW129" s="347">
        <f>Table410[[#This Row],[Dec_2027_F]]-Table410[[#This Row],[Dec_2027_A]]</f>
        <v/>
      </c>
    </row>
    <row r="130" ht="1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Z130" s="338">
        <f>VLOOKUP(Table410[[#This Row],[RATE CONCAT]],Tables!I:N,5,0)</f>
        <v/>
      </c>
      <c r="AA130" s="123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124" t="n"/>
      <c r="AN130" s="341">
        <f>IFERROR(AVERAGE(Table410[[#This Row],[Jan_2026_Days_Forecast]:[Dec_2026_Days_Forecast]]),0)/19</f>
        <v/>
      </c>
      <c r="AO130" s="341">
        <f>IFERROR(AVERAGE(Table410[[#This Row],[Jan_2026_Days_Actual]:[Dec_2026_Days_Actual]]),0)/19</f>
        <v/>
      </c>
      <c r="AP130" s="84" t="n"/>
      <c r="AQ130" s="84" t="n"/>
      <c r="AR130" s="84" t="n"/>
      <c r="AS130" s="84" t="n"/>
      <c r="AT130" s="84" t="n"/>
      <c r="AU130" s="84" t="n"/>
      <c r="AV130" s="84" t="n"/>
      <c r="AW130" s="84" t="n"/>
      <c r="AX130" s="84" t="n"/>
      <c r="AY130" s="84" t="n"/>
      <c r="AZ130" s="84" t="n"/>
      <c r="BA130" s="84" t="n"/>
      <c r="BB130" s="341">
        <f>IFERROR(AVERAGE(Table410[[#This Row],[Jan_2027_Days_Forecast]:[Dec_2027_Days_Forecast]]),0)</f>
        <v/>
      </c>
      <c r="BC130" s="129" t="n"/>
      <c r="BD130" s="129" t="n"/>
      <c r="BE130" s="129" t="n"/>
      <c r="BF130" s="129" t="n"/>
      <c r="BG130" s="129" t="n"/>
      <c r="BH130" s="129" t="n"/>
      <c r="BI130" s="16" t="n"/>
      <c r="BJ130" s="16" t="n"/>
      <c r="BK130" s="16" t="n"/>
      <c r="BL130" s="16" t="n"/>
      <c r="BM130" s="16" t="n"/>
      <c r="BN130" s="125" t="n"/>
      <c r="BO130" s="176" t="n"/>
      <c r="BP130" s="176" t="n"/>
      <c r="BQ130" s="345">
        <f>IFERROR(Table410[[#This Row],[Jan_2026_Days_Forecast]]*Table410[[#This Row],[Cost Boolean]]*(VLOOKUP(Table410[[#This Row],[RATE CONCAT]],Tables!I:N,5,0)),0)</f>
        <v/>
      </c>
      <c r="BR130" s="345">
        <f>IFERROR(Table410[[#This Row],[Jan_2026_Days_Actual]]*Table410[[#This Row],[Cost Boolean]]*(VLOOKUP(Table410[[#This Row],[RATE CONCAT]],Tables!I:N,5,0)),0)</f>
        <v/>
      </c>
      <c r="BS130" s="338">
        <f>Table410[[#This Row],[Jan_2026_F]]-Table410[[#This Row],[Jan_2026_A]]</f>
        <v/>
      </c>
      <c r="BT130" s="114" t="n"/>
      <c r="BU130" s="338">
        <f>IFERROR(Table410[[#This Row],[Feb_2026_Days_Forecast]]*Table410[[#This Row],[Cost Boolean]]*(VLOOKUP(Table410[[#This Row],[RATE CONCAT]],Tables!I:N,5,0)),0)</f>
        <v/>
      </c>
      <c r="BV130" s="345">
        <f>IFERROR(Table410[[#This Row],[Feb_2026_Days_Actual]]*Table410[[#This Row],[Cost Boolean]]*(VLOOKUP(Table410[[#This Row],[RATE CONCAT]],Tables!I:N,5,0)),0)</f>
        <v/>
      </c>
      <c r="BW130" s="338">
        <f>Table410[[#This Row],[Feb_2026_F]]-Table410[[#This Row],[Feb_2026_A]]</f>
        <v/>
      </c>
      <c r="BX130" s="275" t="n"/>
      <c r="BY130" s="345">
        <f>IFERROR(Table410[[#This Row],[Mar_2026_Days_Forecast]]*Table410[[#This Row],[Cost Boolean]]*(VLOOKUP(Table410[[#This Row],[RATE CONCAT]],Tables!I:N,5,0)),0)</f>
        <v/>
      </c>
      <c r="BZ130" s="345">
        <f>IFERROR(Table410[[#This Row],[Mar_2026_Days_Actual]]*Table410[[#This Row],[Cost Boolean]]*(VLOOKUP(Table410[[#This Row],[RATE CONCAT]],Tables!I:N,5,0)),0)</f>
        <v/>
      </c>
      <c r="CA130" s="345">
        <f>Table410[[#This Row],[Mar_2026_F]]-Table410[[#This Row],[Mar_2026_A]]</f>
        <v/>
      </c>
      <c r="CB130" s="103" t="n"/>
      <c r="CC130" s="345">
        <f>IFERROR(Table410[[#This Row],[Apr_2026_Days_Forecast]]*Table410[[#This Row],[Cost Boolean]]*(VLOOKUP(Table410[[#This Row],[RATE CONCAT]],Tables!I:N,5,0)),0)</f>
        <v/>
      </c>
      <c r="CD130" s="345">
        <f>IFERROR(Table410[[#This Row],[Apr_2026_Days_Actual]]*Table410[[#This Row],[Cost Boolean]]*(VLOOKUP(Table410[[#This Row],[RATE CONCAT]],Tables!I:N,5,0)),0)</f>
        <v/>
      </c>
      <c r="CE130" s="345">
        <f>Table410[[#This Row],[Apr_2026_F]]-Table410[[#This Row],[Apr_2026_A]]</f>
        <v/>
      </c>
      <c r="CF130" s="103" t="n"/>
      <c r="CG130" s="345">
        <f>IFERROR(Table410[[#This Row],[May_2026_Days_Forecast]] *Table410[[#This Row],[Cost Boolean]]*(VLOOKUP(Table410[[#This Row],[RATE CONCAT]],Tables!I:N,5,0)),0)</f>
        <v/>
      </c>
      <c r="CH130" s="345">
        <f>IFERROR(Table410[[#This Row],[May_2026_Days_Actual]]*Table410[[#This Row],[Cost Boolean]]*(VLOOKUP(Table410[[#This Row],[RATE CONCAT]],Tables!I:N,5,0)),0)</f>
        <v/>
      </c>
      <c r="CI130" s="345">
        <f>Table410[[#This Row],[May_2026_F]]-Table410[[#This Row],[May_2026_A]]</f>
        <v/>
      </c>
      <c r="CJ130" s="103" t="n"/>
      <c r="CK130" s="345">
        <f>IFERROR(Table410[[#This Row],[Jun_2026_Days_Forecast]]*Table410[[#This Row],[Cost Boolean]]*(VLOOKUP(Table410[[#This Row],[RATE CONCAT]],Tables!I:N,5,0)),0)</f>
        <v/>
      </c>
      <c r="CL130" s="345">
        <f>IFERROR(Table410[[#This Row],[Jun_2026_Days_Actual]]*Table410[[#This Row],[Cost Boolean]]*(VLOOKUP(Table410[[#This Row],[RATE CONCAT]],Tables!I:N,5,0)),0)</f>
        <v/>
      </c>
      <c r="CM130" s="345">
        <f>Table410[[#This Row],[Jun_2026_F]]-Table410[[#This Row],[Jun_2026_A]]</f>
        <v/>
      </c>
      <c r="CN130" s="103" t="n"/>
      <c r="CO130" s="345">
        <f>IFERROR(Table410[[#This Row],[Jul_2026_Days_Forecast]]*Table410[[#This Row],[Cost Boolean]]*(VLOOKUP(Table410[[#This Row],[RATE CONCAT]],Tables!I:N,5,0)),0)</f>
        <v/>
      </c>
      <c r="CP130" s="345">
        <f>IFERROR(Table410[[#This Row],[Jul_2026_Days_Actual]]*Table410[[#This Row],[Cost Boolean]]*(VLOOKUP(Table410[[#This Row],[RATE CONCAT]],Tables!I:N,5,0)),0)</f>
        <v/>
      </c>
      <c r="CQ130" s="345">
        <f>Table410[[#This Row],[Jul_2026_F]]-Table410[[#This Row],[Jul_2026_A]]</f>
        <v/>
      </c>
      <c r="CR130" s="103" t="n"/>
      <c r="CS130" s="345">
        <f>IFERROR(Table410[[#This Row],[Aug_2026_Days_Forecast]]*Table410[[#This Row],[Cost Boolean]]*(VLOOKUP(Table410[[#This Row],[RATE CONCAT]],Tables!I:N,5,0)),0)</f>
        <v/>
      </c>
      <c r="CT130" s="345">
        <f>IFERROR(Table410[[#This Row],[Aug_2026_Days_Actual]]*Table410[[#This Row],[Cost Boolean]]*(VLOOKUP(Table410[[#This Row],[RATE CONCAT]],Tables!I:N,5,0)),0)</f>
        <v/>
      </c>
      <c r="CU130" s="345">
        <f>Table410[[#This Row],[Aug_2026_F]]-Table410[[#This Row],[Aug_2026_A]]</f>
        <v/>
      </c>
      <c r="CV130" s="103" t="n"/>
      <c r="CW130" s="345">
        <f>IFERROR(Table410[[#This Row],[Sep_2026_Days_Forecast]]*Table410[[#This Row],[Cost Boolean]]*(VLOOKUP(Table410[[#This Row],[RATE CONCAT]],Tables!I:N,5,0)),0)</f>
        <v/>
      </c>
      <c r="CX130" s="345">
        <f>IFERROR(Table410[[#This Row],[Sep_2026_Days_Actual]]*Table410[[#This Row],[Cost Boolean]]*(VLOOKUP(Table410[[#This Row],[RATE CONCAT]],Tables!I:N,5,0)),0)</f>
        <v/>
      </c>
      <c r="CY130" s="345">
        <f>Table410[[#This Row],[Sep_2026_F]]-Table410[[#This Row],[Sep_2026_A]]</f>
        <v/>
      </c>
      <c r="CZ130" s="103" t="n"/>
      <c r="DA130" s="345">
        <f>IFERROR(Table410[[#This Row],[Oct_2026_Days_Forecast]]*Table410[[#This Row],[Cost Boolean]]*(VLOOKUP(Table410[[#This Row],[RATE CONCAT]],Tables!I:N,5,0)),0)</f>
        <v/>
      </c>
      <c r="DB130" s="345">
        <f>IFERROR(Table410[[#This Row],[Oct_2026_Days_Actual]]*Table410[[#This Row],[Cost Boolean]]*(VLOOKUP(Table410[[#This Row],[RATE CONCAT]],Tables!I:N,5,0)),0)</f>
        <v/>
      </c>
      <c r="DC130" s="345">
        <f>Table410[[#This Row],[Oct_2026_F]]-Table410[[#This Row],[Oct_2026_A]]</f>
        <v/>
      </c>
      <c r="DD130" s="103" t="n"/>
      <c r="DE130" s="345">
        <f>IFERROR(Table410[[#This Row],[Nov_2026_Days_Forecast]]*Table410[[#This Row],[Cost Boolean]]*(VLOOKUP(Table410[[#This Row],[RATE CONCAT]],Tables!I:N,5,0)),0)</f>
        <v/>
      </c>
      <c r="DF130" s="345">
        <f>IFERROR(Table410[[#This Row],[Nov_2026_Days_Actual]]*Table410[[#This Row],[Cost Boolean]]*(VLOOKUP(Table410[[#This Row],[RATE CONCAT]],Tables!I:N,5,0)),0)</f>
        <v/>
      </c>
      <c r="DG130" s="345">
        <f>Table410[[#This Row],[Nov_2026_F]]-Table410[[#This Row],[Nov_2026_A]]</f>
        <v/>
      </c>
      <c r="DH130" s="103" t="n"/>
      <c r="DI130" s="345">
        <f>IFERROR(Table410[[#This Row],[Dec_2026_Days_Forecast]]*Table410[[#This Row],[Cost Boolean]]*(VLOOKUP(Table410[[#This Row],[RATE CONCAT]],Tables!I:N,5,0)),0)</f>
        <v/>
      </c>
      <c r="DJ130" s="345">
        <f>IFERROR(Table410[[#This Row],[Dec_2026_Days_Actual]]*Table410[[#This Row],[Cost Boolean]]*(VLOOKUP(Table410[[#This Row],[RATE CONCAT]],Tables!I:N,5,0)),0)</f>
        <v/>
      </c>
      <c r="DK130" s="349">
        <f>Table410[[#This Row],[Dec_2026_F]]-Table410[[#This Row],[Dec_2026_A]]</f>
        <v/>
      </c>
      <c r="DL130" s="103" t="n"/>
      <c r="DM130" s="346" t="n"/>
      <c r="DN130" s="345">
        <f>IFERROR(Table410[[#This Row],[Jan_2027_Days_Forecast]]*Table410[[#This Row],[Cost Boolean]]*(VLOOKUP(Table410[[#This Row],[RATE CONCAT]],Tables!I:N,6,0)),0)</f>
        <v/>
      </c>
      <c r="DO130" s="275" t="n"/>
      <c r="DP130" s="345">
        <f>Table410[[#This Row],[Jan_2027_F]]-Table410[[#This Row],[Jan_2027_A]]</f>
        <v/>
      </c>
      <c r="DQ130" s="345">
        <f>IFERROR(Table410[[#This Row],[Feb_2027_Days_Forecast]]*Table410[[#This Row],[Cost Boolean]]*(VLOOKUP(Table410[[#This Row],[RATE CONCAT]],Tables!I:N,6,0)),0)</f>
        <v/>
      </c>
      <c r="DR130" s="275" t="n"/>
      <c r="DS130" s="345">
        <f>Table410[[#This Row],[Feb_2027_F]]-Table410[[#This Row],[Feb_2027_A]]</f>
        <v/>
      </c>
      <c r="DT130" s="345">
        <f>IFERROR(Table410[[#This Row],[Mar_2027_Days_Forecast]]*Table410[[#This Row],[Cost Boolean]]*(VLOOKUP(Table410[[#This Row],[RATE CONCAT]],Tables!I:N,6,0)),0)</f>
        <v/>
      </c>
      <c r="DU130" s="275" t="n"/>
      <c r="DV130" s="345">
        <f>Table410[[#This Row],[Mar_2027_F]]-Table410[[#This Row],[Mar_2027_A]]</f>
        <v/>
      </c>
      <c r="DW130" s="345">
        <f>IFERROR(Table410[[#This Row],[Apr_2027_Days_Forecast]]*Table410[[#This Row],[Cost Boolean]]*(VLOOKUP(Table410[[#This Row],[RATE CONCAT]],Tables!I:N,6,0)),0)</f>
        <v/>
      </c>
      <c r="DX130" s="275" t="n"/>
      <c r="DY130" s="345">
        <f>Table410[[#This Row],[Apr_2027_F]]-Table410[[#This Row],[Apr_2027_A]]</f>
        <v/>
      </c>
      <c r="DZ130" s="345">
        <f>IFERROR(Table410[[#This Row],[May_2027_Days_Forecast]]*Table410[[#This Row],[Cost Boolean]]*(VLOOKUP(Table410[[#This Row],[RATE CONCAT]],Tables!I:N,6,0)),0)</f>
        <v/>
      </c>
      <c r="EA130" s="275" t="n"/>
      <c r="EB130" s="345">
        <f>Table410[[#This Row],[May_2027_F]]-Table410[[#This Row],[May_2027_A]]</f>
        <v/>
      </c>
      <c r="EC130" s="345">
        <f>IFERROR(Table410[[#This Row],[Jun_2027_Days_Forecast]]*Table410[[#This Row],[Cost Boolean]]*(VLOOKUP(Table410[[#This Row],[RATE CONCAT]],Tables!I:N,6,0)),0)</f>
        <v/>
      </c>
      <c r="ED130" s="275" t="n"/>
      <c r="EE130" s="345">
        <f>Table410[[#This Row],[Jun_2027_F]]-Table410[[#This Row],[Jun_2027_A]]</f>
        <v/>
      </c>
      <c r="EF130" s="345">
        <f>IFERROR(Table410[[#This Row],[Jul_2027_Days_Forecast]]*Table410[[#This Row],[Cost Boolean]]*(VLOOKUP(Table410[[#This Row],[RATE CONCAT]],Tables!I:N,6,0)),0)</f>
        <v/>
      </c>
      <c r="EG130" s="275" t="n"/>
      <c r="EH130" s="345">
        <f>Table410[[#This Row],[Jul_2027_F]]-Table410[[#This Row],[Jul_2027_A]]</f>
        <v/>
      </c>
      <c r="EI130" s="345">
        <f>IFERROR(Table410[[#This Row],[Aug_2027_Days_Forecast]]*Table410[[#This Row],[Cost Boolean]]*(VLOOKUP(Table410[[#This Row],[RATE CONCAT]],Tables!I:N,6,0)),0)</f>
        <v/>
      </c>
      <c r="EJ130" s="275" t="n"/>
      <c r="EK130" s="345">
        <f>Table410[[#This Row],[Aug_2027_F]]-Table410[[#This Row],[Aug_2027_A]]</f>
        <v/>
      </c>
      <c r="EL130" s="345">
        <f>IFERROR(Table410[[#This Row],[Sep_2027_Days_Forecast]]*Table410[[#This Row],[Cost Boolean]]*(VLOOKUP(Table410[[#This Row],[RATE CONCAT]],Tables!I:N,6,0)),0)</f>
        <v/>
      </c>
      <c r="EM130" s="275" t="n"/>
      <c r="EN130" s="345">
        <f>Table410[[#This Row],[Sep_2027_F]]-Table410[[#This Row],[Sep_2027_A]]</f>
        <v/>
      </c>
      <c r="EO130" s="345">
        <f>IFERROR(Table410[[#This Row],[Oct_2027_Days_Forecast]]*Table410[[#This Row],[Cost Boolean]]*(VLOOKUP(Table410[[#This Row],[RATE CONCAT]],Tables!I:N,6,0)),0)</f>
        <v/>
      </c>
      <c r="EP130" s="275" t="n"/>
      <c r="EQ130" s="345">
        <f>Table410[[#This Row],[Oct_2027_F]]-Table410[[#This Row],[Oct_2027_A]]</f>
        <v/>
      </c>
      <c r="ER130" s="345">
        <f>IFERROR(Table410[[#This Row],[Nov_2027_Days_Forecast]]*Table410[[#This Row],[Cost Boolean]]*(VLOOKUP(Table410[[#This Row],[RATE CONCAT]],Tables!I:N,6,0)),0)</f>
        <v/>
      </c>
      <c r="ES130" s="275" t="n"/>
      <c r="ET130" s="345">
        <f>Table410[[#This Row],[Nov_2027_F]]-Table410[[#This Row],[Nov_2027_A]]</f>
        <v/>
      </c>
      <c r="EU130" s="345">
        <f>IFERROR(Table410[[#This Row],[Dec_2027_Days_Forecast]]*Table410[[#This Row],[Cost Boolean]]*(VLOOKUP(Table410[[#This Row],[RATE CONCAT]],Tables!I:N,6,0)),0)</f>
        <v/>
      </c>
      <c r="EV130" s="275" t="n"/>
      <c r="EW130" s="345">
        <f>Table410[[#This Row],[Dec_2027_F]]-Table410[[#This Row],[Dec_2027_A]]</f>
        <v/>
      </c>
    </row>
    <row r="131" ht="1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Z131" s="342">
        <f>VLOOKUP(Table410[[#This Row],[RATE CONCAT]],Tables!I:N,5,0)</f>
        <v/>
      </c>
      <c r="AA131" s="123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124" t="n"/>
      <c r="AN131" s="341">
        <f>IFERROR(AVERAGE(Table410[[#This Row],[Jan_2026_Days_Forecast]:[Dec_2026_Days_Forecast]]),0)/19</f>
        <v/>
      </c>
      <c r="AO131" s="341">
        <f>IFERROR(AVERAGE(Table410[[#This Row],[Jan_2026_Days_Actual]:[Dec_2026_Days_Actual]]),0)/19</f>
        <v/>
      </c>
      <c r="AP131" s="84" t="n"/>
      <c r="AQ131" s="84" t="n"/>
      <c r="AR131" s="84" t="n"/>
      <c r="AS131" s="84" t="n"/>
      <c r="AT131" s="84" t="n"/>
      <c r="AU131" s="84" t="n"/>
      <c r="AV131" s="84" t="n"/>
      <c r="AW131" s="84" t="n"/>
      <c r="AX131" s="84" t="n"/>
      <c r="AY131" s="84" t="n"/>
      <c r="AZ131" s="84" t="n"/>
      <c r="BA131" s="84" t="n"/>
      <c r="BB131" s="341">
        <f>IFERROR(AVERAGE(Table410[[#This Row],[Jan_2027_Days_Forecast]:[Dec_2027_Days_Forecast]]),0)</f>
        <v/>
      </c>
      <c r="BC131" s="129" t="n"/>
      <c r="BD131" s="129" t="n"/>
      <c r="BE131" s="129" t="n"/>
      <c r="BF131" s="129" t="n"/>
      <c r="BG131" s="129" t="n"/>
      <c r="BH131" s="129" t="n"/>
      <c r="BI131" s="16" t="n"/>
      <c r="BJ131" s="16" t="n"/>
      <c r="BK131" s="16" t="n"/>
      <c r="BL131" s="16" t="n"/>
      <c r="BM131" s="16" t="n"/>
      <c r="BN131" s="125" t="n"/>
      <c r="BO131" s="176" t="n"/>
      <c r="BP131" s="176" t="n"/>
      <c r="BQ131" s="347">
        <f>IFERROR(Table410[[#This Row],[Jan_2026_Days_Forecast]]*Table410[[#This Row],[Cost Boolean]]*(VLOOKUP(Table410[[#This Row],[RATE CONCAT]],Tables!I:N,5,0)),0)</f>
        <v/>
      </c>
      <c r="BR131" s="347">
        <f>IFERROR(Table410[[#This Row],[Jan_2026_Days_Actual]]*Table410[[#This Row],[Cost Boolean]]*(VLOOKUP(Table410[[#This Row],[RATE CONCAT]],Tables!I:N,5,0)),0)</f>
        <v/>
      </c>
      <c r="BS131" s="342">
        <f>Table410[[#This Row],[Jan_2026_F]]-Table410[[#This Row],[Jan_2026_A]]</f>
        <v/>
      </c>
      <c r="BT131" s="114" t="n"/>
      <c r="BU131" s="342">
        <f>IFERROR(Table410[[#This Row],[Feb_2026_Days_Forecast]]*Table410[[#This Row],[Cost Boolean]]*(VLOOKUP(Table410[[#This Row],[RATE CONCAT]],Tables!I:N,5,0)),0)</f>
        <v/>
      </c>
      <c r="BV131" s="347">
        <f>IFERROR(Table410[[#This Row],[Feb_2026_Days_Actual]]*Table410[[#This Row],[Cost Boolean]]*(VLOOKUP(Table410[[#This Row],[RATE CONCAT]],Tables!I:N,5,0)),0)</f>
        <v/>
      </c>
      <c r="BW131" s="342">
        <f>Table410[[#This Row],[Feb_2026_F]]-Table410[[#This Row],[Feb_2026_A]]</f>
        <v/>
      </c>
      <c r="BX131" s="275" t="n"/>
      <c r="BY131" s="347">
        <f>IFERROR(Table410[[#This Row],[Mar_2026_Days_Forecast]]*Table410[[#This Row],[Cost Boolean]]*(VLOOKUP(Table410[[#This Row],[RATE CONCAT]],Tables!I:N,5,0)),0)</f>
        <v/>
      </c>
      <c r="BZ131" s="347">
        <f>IFERROR(Table410[[#This Row],[Mar_2026_Days_Actual]]*Table410[[#This Row],[Cost Boolean]]*(VLOOKUP(Table410[[#This Row],[RATE CONCAT]],Tables!I:N,5,0)),0)</f>
        <v/>
      </c>
      <c r="CA131" s="347">
        <f>Table410[[#This Row],[Mar_2026_F]]-Table410[[#This Row],[Mar_2026_A]]</f>
        <v/>
      </c>
      <c r="CB131" s="103" t="n"/>
      <c r="CC131" s="347">
        <f>IFERROR(Table410[[#This Row],[Apr_2026_Days_Forecast]]*Table410[[#This Row],[Cost Boolean]]*(VLOOKUP(Table410[[#This Row],[RATE CONCAT]],Tables!I:N,5,0)),0)</f>
        <v/>
      </c>
      <c r="CD131" s="347">
        <f>IFERROR(Table410[[#This Row],[Apr_2026_Days_Actual]]*Table410[[#This Row],[Cost Boolean]]*(VLOOKUP(Table410[[#This Row],[RATE CONCAT]],Tables!I:N,5,0)),0)</f>
        <v/>
      </c>
      <c r="CE131" s="347">
        <f>Table410[[#This Row],[Apr_2026_F]]-Table410[[#This Row],[Apr_2026_A]]</f>
        <v/>
      </c>
      <c r="CF131" s="103" t="n"/>
      <c r="CG131" s="347">
        <f>IFERROR(Table410[[#This Row],[May_2026_Days_Forecast]] *Table410[[#This Row],[Cost Boolean]]*(VLOOKUP(Table410[[#This Row],[RATE CONCAT]],Tables!I:N,5,0)),0)</f>
        <v/>
      </c>
      <c r="CH131" s="347">
        <f>IFERROR(Table410[[#This Row],[May_2026_Days_Actual]]*Table410[[#This Row],[Cost Boolean]]*(VLOOKUP(Table410[[#This Row],[RATE CONCAT]],Tables!I:N,5,0)),0)</f>
        <v/>
      </c>
      <c r="CI131" s="347">
        <f>Table410[[#This Row],[May_2026_F]]-Table410[[#This Row],[May_2026_A]]</f>
        <v/>
      </c>
      <c r="CJ131" s="103" t="n"/>
      <c r="CK131" s="347">
        <f>IFERROR(Table410[[#This Row],[Jun_2026_Days_Forecast]]*Table410[[#This Row],[Cost Boolean]]*(VLOOKUP(Table410[[#This Row],[RATE CONCAT]],Tables!I:N,5,0)),0)</f>
        <v/>
      </c>
      <c r="CL131" s="347">
        <f>IFERROR(Table410[[#This Row],[Jun_2026_Days_Actual]]*Table410[[#This Row],[Cost Boolean]]*(VLOOKUP(Table410[[#This Row],[RATE CONCAT]],Tables!I:N,5,0)),0)</f>
        <v/>
      </c>
      <c r="CM131" s="347">
        <f>Table410[[#This Row],[Jun_2026_F]]-Table410[[#This Row],[Jun_2026_A]]</f>
        <v/>
      </c>
      <c r="CN131" s="103" t="n"/>
      <c r="CO131" s="347">
        <f>IFERROR(Table410[[#This Row],[Jul_2026_Days_Forecast]]*Table410[[#This Row],[Cost Boolean]]*(VLOOKUP(Table410[[#This Row],[RATE CONCAT]],Tables!I:N,5,0)),0)</f>
        <v/>
      </c>
      <c r="CP131" s="347">
        <f>IFERROR(Table410[[#This Row],[Jul_2026_Days_Actual]]*Table410[[#This Row],[Cost Boolean]]*(VLOOKUP(Table410[[#This Row],[RATE CONCAT]],Tables!I:N,5,0)),0)</f>
        <v/>
      </c>
      <c r="CQ131" s="347">
        <f>Table410[[#This Row],[Jul_2026_F]]-Table410[[#This Row],[Jul_2026_A]]</f>
        <v/>
      </c>
      <c r="CR131" s="103" t="n"/>
      <c r="CS131" s="347">
        <f>IFERROR(Table410[[#This Row],[Aug_2026_Days_Forecast]]*Table410[[#This Row],[Cost Boolean]]*(VLOOKUP(Table410[[#This Row],[RATE CONCAT]],Tables!I:N,5,0)),0)</f>
        <v/>
      </c>
      <c r="CT131" s="347">
        <f>IFERROR(Table410[[#This Row],[Aug_2026_Days_Actual]]*Table410[[#This Row],[Cost Boolean]]*(VLOOKUP(Table410[[#This Row],[RATE CONCAT]],Tables!I:N,5,0)),0)</f>
        <v/>
      </c>
      <c r="CU131" s="347">
        <f>Table410[[#This Row],[Aug_2026_F]]-Table410[[#This Row],[Aug_2026_A]]</f>
        <v/>
      </c>
      <c r="CV131" s="103" t="n"/>
      <c r="CW131" s="347">
        <f>IFERROR(Table410[[#This Row],[Sep_2026_Days_Forecast]]*Table410[[#This Row],[Cost Boolean]]*(VLOOKUP(Table410[[#This Row],[RATE CONCAT]],Tables!I:N,5,0)),0)</f>
        <v/>
      </c>
      <c r="CX131" s="347">
        <f>IFERROR(Table410[[#This Row],[Sep_2026_Days_Actual]]*Table410[[#This Row],[Cost Boolean]]*(VLOOKUP(Table410[[#This Row],[RATE CONCAT]],Tables!I:N,5,0)),0)</f>
        <v/>
      </c>
      <c r="CY131" s="347">
        <f>Table410[[#This Row],[Sep_2026_F]]-Table410[[#This Row],[Sep_2026_A]]</f>
        <v/>
      </c>
      <c r="CZ131" s="103" t="n"/>
      <c r="DA131" s="347">
        <f>IFERROR(Table410[[#This Row],[Oct_2026_Days_Forecast]]*Table410[[#This Row],[Cost Boolean]]*(VLOOKUP(Table410[[#This Row],[RATE CONCAT]],Tables!I:N,5,0)),0)</f>
        <v/>
      </c>
      <c r="DB131" s="347">
        <f>IFERROR(Table410[[#This Row],[Oct_2026_Days_Actual]]*Table410[[#This Row],[Cost Boolean]]*(VLOOKUP(Table410[[#This Row],[RATE CONCAT]],Tables!I:N,5,0)),0)</f>
        <v/>
      </c>
      <c r="DC131" s="347">
        <f>Table410[[#This Row],[Oct_2026_F]]-Table410[[#This Row],[Oct_2026_A]]</f>
        <v/>
      </c>
      <c r="DD131" s="103" t="n"/>
      <c r="DE131" s="347">
        <f>IFERROR(Table410[[#This Row],[Nov_2026_Days_Forecast]]*Table410[[#This Row],[Cost Boolean]]*(VLOOKUP(Table410[[#This Row],[RATE CONCAT]],Tables!I:N,5,0)),0)</f>
        <v/>
      </c>
      <c r="DF131" s="347">
        <f>IFERROR(Table410[[#This Row],[Nov_2026_Days_Actual]]*Table410[[#This Row],[Cost Boolean]]*(VLOOKUP(Table410[[#This Row],[RATE CONCAT]],Tables!I:N,5,0)),0)</f>
        <v/>
      </c>
      <c r="DG131" s="347">
        <f>Table410[[#This Row],[Nov_2026_F]]-Table410[[#This Row],[Nov_2026_A]]</f>
        <v/>
      </c>
      <c r="DH131" s="103" t="n"/>
      <c r="DI131" s="347">
        <f>IFERROR(Table410[[#This Row],[Dec_2026_Days_Forecast]]*Table410[[#This Row],[Cost Boolean]]*(VLOOKUP(Table410[[#This Row],[RATE CONCAT]],Tables!I:N,5,0)),0)</f>
        <v/>
      </c>
      <c r="DJ131" s="347">
        <f>IFERROR(Table410[[#This Row],[Dec_2026_Days_Actual]]*Table410[[#This Row],[Cost Boolean]]*(VLOOKUP(Table410[[#This Row],[RATE CONCAT]],Tables!I:N,5,0)),0)</f>
        <v/>
      </c>
      <c r="DK131" s="348">
        <f>Table410[[#This Row],[Dec_2026_F]]-Table410[[#This Row],[Dec_2026_A]]</f>
        <v/>
      </c>
      <c r="DL131" s="103" t="n"/>
      <c r="DM131" s="346" t="n"/>
      <c r="DN131" s="347">
        <f>IFERROR(Table410[[#This Row],[Jan_2027_Days_Forecast]]*Table410[[#This Row],[Cost Boolean]]*(VLOOKUP(Table410[[#This Row],[RATE CONCAT]],Tables!I:N,6,0)),0)</f>
        <v/>
      </c>
      <c r="DO131" s="275" t="n"/>
      <c r="DP131" s="347">
        <f>Table410[[#This Row],[Jan_2027_F]]-Table410[[#This Row],[Jan_2027_A]]</f>
        <v/>
      </c>
      <c r="DQ131" s="347">
        <f>IFERROR(Table410[[#This Row],[Feb_2027_Days_Forecast]]*Table410[[#This Row],[Cost Boolean]]*(VLOOKUP(Table410[[#This Row],[RATE CONCAT]],Tables!I:N,6,0)),0)</f>
        <v/>
      </c>
      <c r="DR131" s="275" t="n"/>
      <c r="DS131" s="347">
        <f>Table410[[#This Row],[Feb_2027_F]]-Table410[[#This Row],[Feb_2027_A]]</f>
        <v/>
      </c>
      <c r="DT131" s="347">
        <f>IFERROR(Table410[[#This Row],[Mar_2027_Days_Forecast]]*Table410[[#This Row],[Cost Boolean]]*(VLOOKUP(Table410[[#This Row],[RATE CONCAT]],Tables!I:N,6,0)),0)</f>
        <v/>
      </c>
      <c r="DU131" s="275" t="n"/>
      <c r="DV131" s="347">
        <f>Table410[[#This Row],[Mar_2027_F]]-Table410[[#This Row],[Mar_2027_A]]</f>
        <v/>
      </c>
      <c r="DW131" s="347">
        <f>IFERROR(Table410[[#This Row],[Apr_2027_Days_Forecast]]*Table410[[#This Row],[Cost Boolean]]*(VLOOKUP(Table410[[#This Row],[RATE CONCAT]],Tables!I:N,6,0)),0)</f>
        <v/>
      </c>
      <c r="DX131" s="275" t="n"/>
      <c r="DY131" s="347">
        <f>Table410[[#This Row],[Apr_2027_F]]-Table410[[#This Row],[Apr_2027_A]]</f>
        <v/>
      </c>
      <c r="DZ131" s="347">
        <f>IFERROR(Table410[[#This Row],[May_2027_Days_Forecast]]*Table410[[#This Row],[Cost Boolean]]*(VLOOKUP(Table410[[#This Row],[RATE CONCAT]],Tables!I:N,6,0)),0)</f>
        <v/>
      </c>
      <c r="EA131" s="275" t="n"/>
      <c r="EB131" s="347">
        <f>Table410[[#This Row],[May_2027_F]]-Table410[[#This Row],[May_2027_A]]</f>
        <v/>
      </c>
      <c r="EC131" s="347">
        <f>IFERROR(Table410[[#This Row],[Jun_2027_Days_Forecast]]*Table410[[#This Row],[Cost Boolean]]*(VLOOKUP(Table410[[#This Row],[RATE CONCAT]],Tables!I:N,6,0)),0)</f>
        <v/>
      </c>
      <c r="ED131" s="275" t="n"/>
      <c r="EE131" s="347">
        <f>Table410[[#This Row],[Jun_2027_F]]-Table410[[#This Row],[Jun_2027_A]]</f>
        <v/>
      </c>
      <c r="EF131" s="347">
        <f>IFERROR(Table410[[#This Row],[Jul_2027_Days_Forecast]]*Table410[[#This Row],[Cost Boolean]]*(VLOOKUP(Table410[[#This Row],[RATE CONCAT]],Tables!I:N,6,0)),0)</f>
        <v/>
      </c>
      <c r="EG131" s="275" t="n"/>
      <c r="EH131" s="347">
        <f>Table410[[#This Row],[Jul_2027_F]]-Table410[[#This Row],[Jul_2027_A]]</f>
        <v/>
      </c>
      <c r="EI131" s="347">
        <f>IFERROR(Table410[[#This Row],[Aug_2027_Days_Forecast]]*Table410[[#This Row],[Cost Boolean]]*(VLOOKUP(Table410[[#This Row],[RATE CONCAT]],Tables!I:N,6,0)),0)</f>
        <v/>
      </c>
      <c r="EJ131" s="275" t="n"/>
      <c r="EK131" s="347">
        <f>Table410[[#This Row],[Aug_2027_F]]-Table410[[#This Row],[Aug_2027_A]]</f>
        <v/>
      </c>
      <c r="EL131" s="347">
        <f>IFERROR(Table410[[#This Row],[Sep_2027_Days_Forecast]]*Table410[[#This Row],[Cost Boolean]]*(VLOOKUP(Table410[[#This Row],[RATE CONCAT]],Tables!I:N,6,0)),0)</f>
        <v/>
      </c>
      <c r="EM131" s="275" t="n"/>
      <c r="EN131" s="347">
        <f>Table410[[#This Row],[Sep_2027_F]]-Table410[[#This Row],[Sep_2027_A]]</f>
        <v/>
      </c>
      <c r="EO131" s="347">
        <f>IFERROR(Table410[[#This Row],[Oct_2027_Days_Forecast]]*Table410[[#This Row],[Cost Boolean]]*(VLOOKUP(Table410[[#This Row],[RATE CONCAT]],Tables!I:N,6,0)),0)</f>
        <v/>
      </c>
      <c r="EP131" s="275" t="n"/>
      <c r="EQ131" s="347">
        <f>Table410[[#This Row],[Oct_2027_F]]-Table410[[#This Row],[Oct_2027_A]]</f>
        <v/>
      </c>
      <c r="ER131" s="347">
        <f>IFERROR(Table410[[#This Row],[Nov_2027_Days_Forecast]]*Table410[[#This Row],[Cost Boolean]]*(VLOOKUP(Table410[[#This Row],[RATE CONCAT]],Tables!I:N,6,0)),0)</f>
        <v/>
      </c>
      <c r="ES131" s="275" t="n"/>
      <c r="ET131" s="347">
        <f>Table410[[#This Row],[Nov_2027_F]]-Table410[[#This Row],[Nov_2027_A]]</f>
        <v/>
      </c>
      <c r="EU131" s="347">
        <f>IFERROR(Table410[[#This Row],[Dec_2027_Days_Forecast]]*Table410[[#This Row],[Cost Boolean]]*(VLOOKUP(Table410[[#This Row],[RATE CONCAT]],Tables!I:N,6,0)),0)</f>
        <v/>
      </c>
      <c r="EV131" s="275" t="n"/>
      <c r="EW131" s="347">
        <f>Table410[[#This Row],[Dec_2027_F]]-Table410[[#This Row],[Dec_2027_A]]</f>
        <v/>
      </c>
    </row>
    <row r="132" ht="1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Z132" s="338">
        <f>VLOOKUP(Table410[[#This Row],[RATE CONCAT]],Tables!I:N,5,0)</f>
        <v/>
      </c>
      <c r="AA132" s="123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124" t="n"/>
      <c r="AN132" s="341">
        <f>IFERROR(AVERAGE(Table410[[#This Row],[Jan_2026_Days_Forecast]:[Dec_2026_Days_Forecast]]),0)/19</f>
        <v/>
      </c>
      <c r="AO132" s="341">
        <f>IFERROR(AVERAGE(Table410[[#This Row],[Jan_2026_Days_Actual]:[Dec_2026_Days_Actual]]),0)/19</f>
        <v/>
      </c>
      <c r="AP132" s="84" t="n"/>
      <c r="AQ132" s="84" t="n"/>
      <c r="AR132" s="84" t="n"/>
      <c r="AS132" s="84" t="n"/>
      <c r="AT132" s="84" t="n"/>
      <c r="AU132" s="84" t="n"/>
      <c r="AV132" s="84" t="n"/>
      <c r="AW132" s="84" t="n"/>
      <c r="AX132" s="84" t="n"/>
      <c r="AY132" s="84" t="n"/>
      <c r="AZ132" s="84" t="n"/>
      <c r="BA132" s="84" t="n"/>
      <c r="BB132" s="341">
        <f>IFERROR(AVERAGE(Table410[[#This Row],[Jan_2027_Days_Forecast]:[Dec_2027_Days_Forecast]]),0)</f>
        <v/>
      </c>
      <c r="BC132" s="129" t="n"/>
      <c r="BD132" s="129" t="n"/>
      <c r="BE132" s="129" t="n"/>
      <c r="BF132" s="129" t="n"/>
      <c r="BG132" s="129" t="n"/>
      <c r="BH132" s="129" t="n"/>
      <c r="BI132" s="16" t="n"/>
      <c r="BJ132" s="16" t="n"/>
      <c r="BK132" s="16" t="n"/>
      <c r="BL132" s="16" t="n"/>
      <c r="BM132" s="16" t="n"/>
      <c r="BN132" s="125" t="n"/>
      <c r="BO132" s="176" t="n"/>
      <c r="BP132" s="176" t="n"/>
      <c r="BQ132" s="345">
        <f>IFERROR(Table410[[#This Row],[Jan_2026_Days_Forecast]]*Table410[[#This Row],[Cost Boolean]]*(VLOOKUP(Table410[[#This Row],[RATE CONCAT]],Tables!I:N,5,0)),0)</f>
        <v/>
      </c>
      <c r="BR132" s="345">
        <f>IFERROR(Table410[[#This Row],[Jan_2026_Days_Actual]]*Table410[[#This Row],[Cost Boolean]]*(VLOOKUP(Table410[[#This Row],[RATE CONCAT]],Tables!I:N,5,0)),0)</f>
        <v/>
      </c>
      <c r="BS132" s="338">
        <f>Table410[[#This Row],[Jan_2026_F]]-Table410[[#This Row],[Jan_2026_A]]</f>
        <v/>
      </c>
      <c r="BT132" s="114" t="n"/>
      <c r="BU132" s="338">
        <f>IFERROR(Table410[[#This Row],[Feb_2026_Days_Forecast]]*Table410[[#This Row],[Cost Boolean]]*(VLOOKUP(Table410[[#This Row],[RATE CONCAT]],Tables!I:N,5,0)),0)</f>
        <v/>
      </c>
      <c r="BV132" s="345">
        <f>IFERROR(Table410[[#This Row],[Feb_2026_Days_Actual]]*Table410[[#This Row],[Cost Boolean]]*(VLOOKUP(Table410[[#This Row],[RATE CONCAT]],Tables!I:N,5,0)),0)</f>
        <v/>
      </c>
      <c r="BW132" s="338">
        <f>Table410[[#This Row],[Feb_2026_F]]-Table410[[#This Row],[Feb_2026_A]]</f>
        <v/>
      </c>
      <c r="BX132" s="275" t="n"/>
      <c r="BY132" s="345">
        <f>IFERROR(Table410[[#This Row],[Mar_2026_Days_Forecast]]*Table410[[#This Row],[Cost Boolean]]*(VLOOKUP(Table410[[#This Row],[RATE CONCAT]],Tables!I:N,5,0)),0)</f>
        <v/>
      </c>
      <c r="BZ132" s="345">
        <f>IFERROR(Table410[[#This Row],[Mar_2026_Days_Actual]]*Table410[[#This Row],[Cost Boolean]]*(VLOOKUP(Table410[[#This Row],[RATE CONCAT]],Tables!I:N,5,0)),0)</f>
        <v/>
      </c>
      <c r="CA132" s="345">
        <f>Table410[[#This Row],[Mar_2026_F]]-Table410[[#This Row],[Mar_2026_A]]</f>
        <v/>
      </c>
      <c r="CB132" s="103" t="n"/>
      <c r="CC132" s="345">
        <f>IFERROR(Table410[[#This Row],[Apr_2026_Days_Forecast]]*Table410[[#This Row],[Cost Boolean]]*(VLOOKUP(Table410[[#This Row],[RATE CONCAT]],Tables!I:N,5,0)),0)</f>
        <v/>
      </c>
      <c r="CD132" s="345">
        <f>IFERROR(Table410[[#This Row],[Apr_2026_Days_Actual]]*Table410[[#This Row],[Cost Boolean]]*(VLOOKUP(Table410[[#This Row],[RATE CONCAT]],Tables!I:N,5,0)),0)</f>
        <v/>
      </c>
      <c r="CE132" s="345">
        <f>Table410[[#This Row],[Apr_2026_F]]-Table410[[#This Row],[Apr_2026_A]]</f>
        <v/>
      </c>
      <c r="CF132" s="103" t="n"/>
      <c r="CG132" s="345">
        <f>IFERROR(Table410[[#This Row],[May_2026_Days_Forecast]] *Table410[[#This Row],[Cost Boolean]]*(VLOOKUP(Table410[[#This Row],[RATE CONCAT]],Tables!I:N,5,0)),0)</f>
        <v/>
      </c>
      <c r="CH132" s="345">
        <f>IFERROR(Table410[[#This Row],[May_2026_Days_Actual]]*Table410[[#This Row],[Cost Boolean]]*(VLOOKUP(Table410[[#This Row],[RATE CONCAT]],Tables!I:N,5,0)),0)</f>
        <v/>
      </c>
      <c r="CI132" s="345">
        <f>Table410[[#This Row],[May_2026_F]]-Table410[[#This Row],[May_2026_A]]</f>
        <v/>
      </c>
      <c r="CJ132" s="103" t="n"/>
      <c r="CK132" s="345">
        <f>IFERROR(Table410[[#This Row],[Jun_2026_Days_Forecast]]*Table410[[#This Row],[Cost Boolean]]*(VLOOKUP(Table410[[#This Row],[RATE CONCAT]],Tables!I:N,5,0)),0)</f>
        <v/>
      </c>
      <c r="CL132" s="345">
        <f>IFERROR(Table410[[#This Row],[Jun_2026_Days_Actual]]*Table410[[#This Row],[Cost Boolean]]*(VLOOKUP(Table410[[#This Row],[RATE CONCAT]],Tables!I:N,5,0)),0)</f>
        <v/>
      </c>
      <c r="CM132" s="345">
        <f>Table410[[#This Row],[Jun_2026_F]]-Table410[[#This Row],[Jun_2026_A]]</f>
        <v/>
      </c>
      <c r="CN132" s="103" t="n"/>
      <c r="CO132" s="345">
        <f>IFERROR(Table410[[#This Row],[Jul_2026_Days_Forecast]]*Table410[[#This Row],[Cost Boolean]]*(VLOOKUP(Table410[[#This Row],[RATE CONCAT]],Tables!I:N,5,0)),0)</f>
        <v/>
      </c>
      <c r="CP132" s="345">
        <f>IFERROR(Table410[[#This Row],[Jul_2026_Days_Actual]]*Table410[[#This Row],[Cost Boolean]]*(VLOOKUP(Table410[[#This Row],[RATE CONCAT]],Tables!I:N,5,0)),0)</f>
        <v/>
      </c>
      <c r="CQ132" s="345">
        <f>Table410[[#This Row],[Jul_2026_F]]-Table410[[#This Row],[Jul_2026_A]]</f>
        <v/>
      </c>
      <c r="CR132" s="103" t="n"/>
      <c r="CS132" s="345">
        <f>IFERROR(Table410[[#This Row],[Aug_2026_Days_Forecast]]*Table410[[#This Row],[Cost Boolean]]*(VLOOKUP(Table410[[#This Row],[RATE CONCAT]],Tables!I:N,5,0)),0)</f>
        <v/>
      </c>
      <c r="CT132" s="345">
        <f>IFERROR(Table410[[#This Row],[Aug_2026_Days_Actual]]*Table410[[#This Row],[Cost Boolean]]*(VLOOKUP(Table410[[#This Row],[RATE CONCAT]],Tables!I:N,5,0)),0)</f>
        <v/>
      </c>
      <c r="CU132" s="345">
        <f>Table410[[#This Row],[Aug_2026_F]]-Table410[[#This Row],[Aug_2026_A]]</f>
        <v/>
      </c>
      <c r="CV132" s="103" t="n"/>
      <c r="CW132" s="345">
        <f>IFERROR(Table410[[#This Row],[Sep_2026_Days_Forecast]]*Table410[[#This Row],[Cost Boolean]]*(VLOOKUP(Table410[[#This Row],[RATE CONCAT]],Tables!I:N,5,0)),0)</f>
        <v/>
      </c>
      <c r="CX132" s="345">
        <f>IFERROR(Table410[[#This Row],[Sep_2026_Days_Actual]]*Table410[[#This Row],[Cost Boolean]]*(VLOOKUP(Table410[[#This Row],[RATE CONCAT]],Tables!I:N,5,0)),0)</f>
        <v/>
      </c>
      <c r="CY132" s="345">
        <f>Table410[[#This Row],[Sep_2026_F]]-Table410[[#This Row],[Sep_2026_A]]</f>
        <v/>
      </c>
      <c r="CZ132" s="103" t="n"/>
      <c r="DA132" s="345">
        <f>IFERROR(Table410[[#This Row],[Oct_2026_Days_Forecast]]*Table410[[#This Row],[Cost Boolean]]*(VLOOKUP(Table410[[#This Row],[RATE CONCAT]],Tables!I:N,5,0)),0)</f>
        <v/>
      </c>
      <c r="DB132" s="345">
        <f>IFERROR(Table410[[#This Row],[Oct_2026_Days_Actual]]*Table410[[#This Row],[Cost Boolean]]*(VLOOKUP(Table410[[#This Row],[RATE CONCAT]],Tables!I:N,5,0)),0)</f>
        <v/>
      </c>
      <c r="DC132" s="345">
        <f>Table410[[#This Row],[Oct_2026_F]]-Table410[[#This Row],[Oct_2026_A]]</f>
        <v/>
      </c>
      <c r="DD132" s="103" t="n"/>
      <c r="DE132" s="345">
        <f>IFERROR(Table410[[#This Row],[Nov_2026_Days_Forecast]]*Table410[[#This Row],[Cost Boolean]]*(VLOOKUP(Table410[[#This Row],[RATE CONCAT]],Tables!I:N,5,0)),0)</f>
        <v/>
      </c>
      <c r="DF132" s="345">
        <f>IFERROR(Table410[[#This Row],[Nov_2026_Days_Actual]]*Table410[[#This Row],[Cost Boolean]]*(VLOOKUP(Table410[[#This Row],[RATE CONCAT]],Tables!I:N,5,0)),0)</f>
        <v/>
      </c>
      <c r="DG132" s="345">
        <f>Table410[[#This Row],[Nov_2026_F]]-Table410[[#This Row],[Nov_2026_A]]</f>
        <v/>
      </c>
      <c r="DH132" s="103" t="n"/>
      <c r="DI132" s="345">
        <f>IFERROR(Table410[[#This Row],[Dec_2026_Days_Forecast]]*Table410[[#This Row],[Cost Boolean]]*(VLOOKUP(Table410[[#This Row],[RATE CONCAT]],Tables!I:N,5,0)),0)</f>
        <v/>
      </c>
      <c r="DJ132" s="345">
        <f>IFERROR(Table410[[#This Row],[Dec_2026_Days_Actual]]*Table410[[#This Row],[Cost Boolean]]*(VLOOKUP(Table410[[#This Row],[RATE CONCAT]],Tables!I:N,5,0)),0)</f>
        <v/>
      </c>
      <c r="DK132" s="349">
        <f>Table410[[#This Row],[Dec_2026_F]]-Table410[[#This Row],[Dec_2026_A]]</f>
        <v/>
      </c>
      <c r="DL132" s="103" t="n"/>
      <c r="DM132" s="346" t="n"/>
      <c r="DN132" s="345">
        <f>IFERROR(Table410[[#This Row],[Jan_2027_Days_Forecast]]*Table410[[#This Row],[Cost Boolean]]*(VLOOKUP(Table410[[#This Row],[RATE CONCAT]],Tables!I:N,6,0)),0)</f>
        <v/>
      </c>
      <c r="DO132" s="275" t="n"/>
      <c r="DP132" s="345">
        <f>Table410[[#This Row],[Jan_2027_F]]-Table410[[#This Row],[Jan_2027_A]]</f>
        <v/>
      </c>
      <c r="DQ132" s="345">
        <f>IFERROR(Table410[[#This Row],[Feb_2027_Days_Forecast]]*Table410[[#This Row],[Cost Boolean]]*(VLOOKUP(Table410[[#This Row],[RATE CONCAT]],Tables!I:N,6,0)),0)</f>
        <v/>
      </c>
      <c r="DR132" s="275" t="n"/>
      <c r="DS132" s="345">
        <f>Table410[[#This Row],[Feb_2027_F]]-Table410[[#This Row],[Feb_2027_A]]</f>
        <v/>
      </c>
      <c r="DT132" s="345">
        <f>IFERROR(Table410[[#This Row],[Mar_2027_Days_Forecast]]*Table410[[#This Row],[Cost Boolean]]*(VLOOKUP(Table410[[#This Row],[RATE CONCAT]],Tables!I:N,6,0)),0)</f>
        <v/>
      </c>
      <c r="DU132" s="275" t="n"/>
      <c r="DV132" s="345">
        <f>Table410[[#This Row],[Mar_2027_F]]-Table410[[#This Row],[Mar_2027_A]]</f>
        <v/>
      </c>
      <c r="DW132" s="345">
        <f>IFERROR(Table410[[#This Row],[Apr_2027_Days_Forecast]]*Table410[[#This Row],[Cost Boolean]]*(VLOOKUP(Table410[[#This Row],[RATE CONCAT]],Tables!I:N,6,0)),0)</f>
        <v/>
      </c>
      <c r="DX132" s="275" t="n"/>
      <c r="DY132" s="345">
        <f>Table410[[#This Row],[Apr_2027_F]]-Table410[[#This Row],[Apr_2027_A]]</f>
        <v/>
      </c>
      <c r="DZ132" s="345">
        <f>IFERROR(Table410[[#This Row],[May_2027_Days_Forecast]]*Table410[[#This Row],[Cost Boolean]]*(VLOOKUP(Table410[[#This Row],[RATE CONCAT]],Tables!I:N,6,0)),0)</f>
        <v/>
      </c>
      <c r="EA132" s="275" t="n"/>
      <c r="EB132" s="345">
        <f>Table410[[#This Row],[May_2027_F]]-Table410[[#This Row],[May_2027_A]]</f>
        <v/>
      </c>
      <c r="EC132" s="345">
        <f>IFERROR(Table410[[#This Row],[Jun_2027_Days_Forecast]]*Table410[[#This Row],[Cost Boolean]]*(VLOOKUP(Table410[[#This Row],[RATE CONCAT]],Tables!I:N,6,0)),0)</f>
        <v/>
      </c>
      <c r="ED132" s="275" t="n"/>
      <c r="EE132" s="345">
        <f>Table410[[#This Row],[Jun_2027_F]]-Table410[[#This Row],[Jun_2027_A]]</f>
        <v/>
      </c>
      <c r="EF132" s="345">
        <f>IFERROR(Table410[[#This Row],[Jul_2027_Days_Forecast]]*Table410[[#This Row],[Cost Boolean]]*(VLOOKUP(Table410[[#This Row],[RATE CONCAT]],Tables!I:N,6,0)),0)</f>
        <v/>
      </c>
      <c r="EG132" s="275" t="n"/>
      <c r="EH132" s="345">
        <f>Table410[[#This Row],[Jul_2027_F]]-Table410[[#This Row],[Jul_2027_A]]</f>
        <v/>
      </c>
      <c r="EI132" s="345">
        <f>IFERROR(Table410[[#This Row],[Aug_2027_Days_Forecast]]*Table410[[#This Row],[Cost Boolean]]*(VLOOKUP(Table410[[#This Row],[RATE CONCAT]],Tables!I:N,6,0)),0)</f>
        <v/>
      </c>
      <c r="EJ132" s="275" t="n"/>
      <c r="EK132" s="345">
        <f>Table410[[#This Row],[Aug_2027_F]]-Table410[[#This Row],[Aug_2027_A]]</f>
        <v/>
      </c>
      <c r="EL132" s="345">
        <f>IFERROR(Table410[[#This Row],[Sep_2027_Days_Forecast]]*Table410[[#This Row],[Cost Boolean]]*(VLOOKUP(Table410[[#This Row],[RATE CONCAT]],Tables!I:N,6,0)),0)</f>
        <v/>
      </c>
      <c r="EM132" s="275" t="n"/>
      <c r="EN132" s="345">
        <f>Table410[[#This Row],[Sep_2027_F]]-Table410[[#This Row],[Sep_2027_A]]</f>
        <v/>
      </c>
      <c r="EO132" s="345">
        <f>IFERROR(Table410[[#This Row],[Oct_2027_Days_Forecast]]*Table410[[#This Row],[Cost Boolean]]*(VLOOKUP(Table410[[#This Row],[RATE CONCAT]],Tables!I:N,6,0)),0)</f>
        <v/>
      </c>
      <c r="EP132" s="275" t="n"/>
      <c r="EQ132" s="345">
        <f>Table410[[#This Row],[Oct_2027_F]]-Table410[[#This Row],[Oct_2027_A]]</f>
        <v/>
      </c>
      <c r="ER132" s="345">
        <f>IFERROR(Table410[[#This Row],[Nov_2027_Days_Forecast]]*Table410[[#This Row],[Cost Boolean]]*(VLOOKUP(Table410[[#This Row],[RATE CONCAT]],Tables!I:N,6,0)),0)</f>
        <v/>
      </c>
      <c r="ES132" s="275" t="n"/>
      <c r="ET132" s="345">
        <f>Table410[[#This Row],[Nov_2027_F]]-Table410[[#This Row],[Nov_2027_A]]</f>
        <v/>
      </c>
      <c r="EU132" s="345">
        <f>IFERROR(Table410[[#This Row],[Dec_2027_Days_Forecast]]*Table410[[#This Row],[Cost Boolean]]*(VLOOKUP(Table410[[#This Row],[RATE CONCAT]],Tables!I:N,6,0)),0)</f>
        <v/>
      </c>
      <c r="EV132" s="275" t="n"/>
      <c r="EW132" s="345">
        <f>Table410[[#This Row],[Dec_2027_F]]-Table410[[#This Row],[Dec_2027_A]]</f>
        <v/>
      </c>
    </row>
    <row r="133" ht="1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Z133" s="342">
        <f>VLOOKUP(Table410[[#This Row],[RATE CONCAT]],Tables!I:N,5,0)</f>
        <v/>
      </c>
      <c r="AA133" s="123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124" t="n"/>
      <c r="AN133" s="341">
        <f>IFERROR(AVERAGE(Table410[[#This Row],[Jan_2026_Days_Forecast]:[Dec_2026_Days_Forecast]]),0)/19</f>
        <v/>
      </c>
      <c r="AO133" s="341">
        <f>IFERROR(AVERAGE(Table410[[#This Row],[Jan_2026_Days_Actual]:[Dec_2026_Days_Actual]]),0)/19</f>
        <v/>
      </c>
      <c r="AP133" s="84" t="n"/>
      <c r="AQ133" s="84" t="n"/>
      <c r="AR133" s="84" t="n"/>
      <c r="AS133" s="84" t="n"/>
      <c r="AT133" s="84" t="n"/>
      <c r="AU133" s="84" t="n"/>
      <c r="AV133" s="84" t="n"/>
      <c r="AW133" s="84" t="n"/>
      <c r="AX133" s="84" t="n"/>
      <c r="AY133" s="84" t="n"/>
      <c r="AZ133" s="84" t="n"/>
      <c r="BA133" s="84" t="n"/>
      <c r="BB133" s="341">
        <f>IFERROR(AVERAGE(Table410[[#This Row],[Jan_2027_Days_Forecast]:[Dec_2027_Days_Forecast]]),0)</f>
        <v/>
      </c>
      <c r="BC133" s="129" t="n"/>
      <c r="BD133" s="129" t="n"/>
      <c r="BE133" s="129" t="n"/>
      <c r="BF133" s="129" t="n"/>
      <c r="BG133" s="129" t="n"/>
      <c r="BH133" s="129" t="n"/>
      <c r="BI133" s="16" t="n"/>
      <c r="BJ133" s="16" t="n"/>
      <c r="BK133" s="16" t="n"/>
      <c r="BL133" s="16" t="n"/>
      <c r="BM133" s="16" t="n"/>
      <c r="BN133" s="125" t="n"/>
      <c r="BO133" s="176" t="n"/>
      <c r="BP133" s="176" t="n"/>
      <c r="BQ133" s="347">
        <f>IFERROR(Table410[[#This Row],[Jan_2026_Days_Forecast]]*Table410[[#This Row],[Cost Boolean]]*(VLOOKUP(Table410[[#This Row],[RATE CONCAT]],Tables!I:N,5,0)),0)</f>
        <v/>
      </c>
      <c r="BR133" s="347">
        <f>IFERROR(Table410[[#This Row],[Jan_2026_Days_Actual]]*Table410[[#This Row],[Cost Boolean]]*(VLOOKUP(Table410[[#This Row],[RATE CONCAT]],Tables!I:N,5,0)),0)</f>
        <v/>
      </c>
      <c r="BS133" s="342">
        <f>Table410[[#This Row],[Jan_2026_F]]-Table410[[#This Row],[Jan_2026_A]]</f>
        <v/>
      </c>
      <c r="BT133" s="114" t="n"/>
      <c r="BU133" s="342">
        <f>IFERROR(Table410[[#This Row],[Feb_2026_Days_Forecast]]*Table410[[#This Row],[Cost Boolean]]*(VLOOKUP(Table410[[#This Row],[RATE CONCAT]],Tables!I:N,5,0)),0)</f>
        <v/>
      </c>
      <c r="BV133" s="347">
        <f>IFERROR(Table410[[#This Row],[Feb_2026_Days_Actual]]*Table410[[#This Row],[Cost Boolean]]*(VLOOKUP(Table410[[#This Row],[RATE CONCAT]],Tables!I:N,5,0)),0)</f>
        <v/>
      </c>
      <c r="BW133" s="342">
        <f>Table410[[#This Row],[Feb_2026_F]]-Table410[[#This Row],[Feb_2026_A]]</f>
        <v/>
      </c>
      <c r="BX133" s="275" t="n"/>
      <c r="BY133" s="347">
        <f>IFERROR(Table410[[#This Row],[Mar_2026_Days_Forecast]]*Table410[[#This Row],[Cost Boolean]]*(VLOOKUP(Table410[[#This Row],[RATE CONCAT]],Tables!I:N,5,0)),0)</f>
        <v/>
      </c>
      <c r="BZ133" s="347">
        <f>IFERROR(Table410[[#This Row],[Mar_2026_Days_Actual]]*Table410[[#This Row],[Cost Boolean]]*(VLOOKUP(Table410[[#This Row],[RATE CONCAT]],Tables!I:N,5,0)),0)</f>
        <v/>
      </c>
      <c r="CA133" s="347">
        <f>Table410[[#This Row],[Mar_2026_F]]-Table410[[#This Row],[Mar_2026_A]]</f>
        <v/>
      </c>
      <c r="CB133" s="103" t="n"/>
      <c r="CC133" s="347">
        <f>IFERROR(Table410[[#This Row],[Apr_2026_Days_Forecast]]*Table410[[#This Row],[Cost Boolean]]*(VLOOKUP(Table410[[#This Row],[RATE CONCAT]],Tables!I:N,5,0)),0)</f>
        <v/>
      </c>
      <c r="CD133" s="347">
        <f>IFERROR(Table410[[#This Row],[Apr_2026_Days_Actual]]*Table410[[#This Row],[Cost Boolean]]*(VLOOKUP(Table410[[#This Row],[RATE CONCAT]],Tables!I:N,5,0)),0)</f>
        <v/>
      </c>
      <c r="CE133" s="347">
        <f>Table410[[#This Row],[Apr_2026_F]]-Table410[[#This Row],[Apr_2026_A]]</f>
        <v/>
      </c>
      <c r="CF133" s="103" t="n"/>
      <c r="CG133" s="347">
        <f>IFERROR(Table410[[#This Row],[May_2026_Days_Forecast]] *Table410[[#This Row],[Cost Boolean]]*(VLOOKUP(Table410[[#This Row],[RATE CONCAT]],Tables!I:N,5,0)),0)</f>
        <v/>
      </c>
      <c r="CH133" s="347">
        <f>IFERROR(Table410[[#This Row],[May_2026_Days_Actual]]*Table410[[#This Row],[Cost Boolean]]*(VLOOKUP(Table410[[#This Row],[RATE CONCAT]],Tables!I:N,5,0)),0)</f>
        <v/>
      </c>
      <c r="CI133" s="347">
        <f>Table410[[#This Row],[May_2026_F]]-Table410[[#This Row],[May_2026_A]]</f>
        <v/>
      </c>
      <c r="CJ133" s="103" t="n"/>
      <c r="CK133" s="347">
        <f>IFERROR(Table410[[#This Row],[Jun_2026_Days_Forecast]]*Table410[[#This Row],[Cost Boolean]]*(VLOOKUP(Table410[[#This Row],[RATE CONCAT]],Tables!I:N,5,0)),0)</f>
        <v/>
      </c>
      <c r="CL133" s="347">
        <f>IFERROR(Table410[[#This Row],[Jun_2026_Days_Actual]]*Table410[[#This Row],[Cost Boolean]]*(VLOOKUP(Table410[[#This Row],[RATE CONCAT]],Tables!I:N,5,0)),0)</f>
        <v/>
      </c>
      <c r="CM133" s="347">
        <f>Table410[[#This Row],[Jun_2026_F]]-Table410[[#This Row],[Jun_2026_A]]</f>
        <v/>
      </c>
      <c r="CN133" s="103" t="n"/>
      <c r="CO133" s="347">
        <f>IFERROR(Table410[[#This Row],[Jul_2026_Days_Forecast]]*Table410[[#This Row],[Cost Boolean]]*(VLOOKUP(Table410[[#This Row],[RATE CONCAT]],Tables!I:N,5,0)),0)</f>
        <v/>
      </c>
      <c r="CP133" s="347">
        <f>IFERROR(Table410[[#This Row],[Jul_2026_Days_Actual]]*Table410[[#This Row],[Cost Boolean]]*(VLOOKUP(Table410[[#This Row],[RATE CONCAT]],Tables!I:N,5,0)),0)</f>
        <v/>
      </c>
      <c r="CQ133" s="347">
        <f>Table410[[#This Row],[Jul_2026_F]]-Table410[[#This Row],[Jul_2026_A]]</f>
        <v/>
      </c>
      <c r="CR133" s="103" t="n"/>
      <c r="CS133" s="347">
        <f>IFERROR(Table410[[#This Row],[Aug_2026_Days_Forecast]]*Table410[[#This Row],[Cost Boolean]]*(VLOOKUP(Table410[[#This Row],[RATE CONCAT]],Tables!I:N,5,0)),0)</f>
        <v/>
      </c>
      <c r="CT133" s="347">
        <f>IFERROR(Table410[[#This Row],[Aug_2026_Days_Actual]]*Table410[[#This Row],[Cost Boolean]]*(VLOOKUP(Table410[[#This Row],[RATE CONCAT]],Tables!I:N,5,0)),0)</f>
        <v/>
      </c>
      <c r="CU133" s="347">
        <f>Table410[[#This Row],[Aug_2026_F]]-Table410[[#This Row],[Aug_2026_A]]</f>
        <v/>
      </c>
      <c r="CV133" s="103" t="n"/>
      <c r="CW133" s="347">
        <f>IFERROR(Table410[[#This Row],[Sep_2026_Days_Forecast]]*Table410[[#This Row],[Cost Boolean]]*(VLOOKUP(Table410[[#This Row],[RATE CONCAT]],Tables!I:N,5,0)),0)</f>
        <v/>
      </c>
      <c r="CX133" s="347">
        <f>IFERROR(Table410[[#This Row],[Sep_2026_Days_Actual]]*Table410[[#This Row],[Cost Boolean]]*(VLOOKUP(Table410[[#This Row],[RATE CONCAT]],Tables!I:N,5,0)),0)</f>
        <v/>
      </c>
      <c r="CY133" s="347">
        <f>Table410[[#This Row],[Sep_2026_F]]-Table410[[#This Row],[Sep_2026_A]]</f>
        <v/>
      </c>
      <c r="CZ133" s="103" t="n"/>
      <c r="DA133" s="347">
        <f>IFERROR(Table410[[#This Row],[Oct_2026_Days_Forecast]]*Table410[[#This Row],[Cost Boolean]]*(VLOOKUP(Table410[[#This Row],[RATE CONCAT]],Tables!I:N,5,0)),0)</f>
        <v/>
      </c>
      <c r="DB133" s="347">
        <f>IFERROR(Table410[[#This Row],[Oct_2026_Days_Actual]]*Table410[[#This Row],[Cost Boolean]]*(VLOOKUP(Table410[[#This Row],[RATE CONCAT]],Tables!I:N,5,0)),0)</f>
        <v/>
      </c>
      <c r="DC133" s="347">
        <f>Table410[[#This Row],[Oct_2026_F]]-Table410[[#This Row],[Oct_2026_A]]</f>
        <v/>
      </c>
      <c r="DD133" s="103" t="n"/>
      <c r="DE133" s="347">
        <f>IFERROR(Table410[[#This Row],[Nov_2026_Days_Forecast]]*Table410[[#This Row],[Cost Boolean]]*(VLOOKUP(Table410[[#This Row],[RATE CONCAT]],Tables!I:N,5,0)),0)</f>
        <v/>
      </c>
      <c r="DF133" s="347">
        <f>IFERROR(Table410[[#This Row],[Nov_2026_Days_Actual]]*Table410[[#This Row],[Cost Boolean]]*(VLOOKUP(Table410[[#This Row],[RATE CONCAT]],Tables!I:N,5,0)),0)</f>
        <v/>
      </c>
      <c r="DG133" s="347">
        <f>Table410[[#This Row],[Nov_2026_F]]-Table410[[#This Row],[Nov_2026_A]]</f>
        <v/>
      </c>
      <c r="DH133" s="103" t="n"/>
      <c r="DI133" s="347">
        <f>IFERROR(Table410[[#This Row],[Dec_2026_Days_Forecast]]*Table410[[#This Row],[Cost Boolean]]*(VLOOKUP(Table410[[#This Row],[RATE CONCAT]],Tables!I:N,5,0)),0)</f>
        <v/>
      </c>
      <c r="DJ133" s="347">
        <f>IFERROR(Table410[[#This Row],[Dec_2026_Days_Actual]]*Table410[[#This Row],[Cost Boolean]]*(VLOOKUP(Table410[[#This Row],[RATE CONCAT]],Tables!I:N,5,0)),0)</f>
        <v/>
      </c>
      <c r="DK133" s="348">
        <f>Table410[[#This Row],[Dec_2026_F]]-Table410[[#This Row],[Dec_2026_A]]</f>
        <v/>
      </c>
      <c r="DL133" s="103" t="n"/>
      <c r="DM133" s="346" t="n"/>
      <c r="DN133" s="347">
        <f>IFERROR(Table410[[#This Row],[Jan_2027_Days_Forecast]]*Table410[[#This Row],[Cost Boolean]]*(VLOOKUP(Table410[[#This Row],[RATE CONCAT]],Tables!I:N,6,0)),0)</f>
        <v/>
      </c>
      <c r="DO133" s="275" t="n"/>
      <c r="DP133" s="347">
        <f>Table410[[#This Row],[Jan_2027_F]]-Table410[[#This Row],[Jan_2027_A]]</f>
        <v/>
      </c>
      <c r="DQ133" s="347">
        <f>IFERROR(Table410[[#This Row],[Feb_2027_Days_Forecast]]*Table410[[#This Row],[Cost Boolean]]*(VLOOKUP(Table410[[#This Row],[RATE CONCAT]],Tables!I:N,6,0)),0)</f>
        <v/>
      </c>
      <c r="DR133" s="275" t="n"/>
      <c r="DS133" s="347">
        <f>Table410[[#This Row],[Feb_2027_F]]-Table410[[#This Row],[Feb_2027_A]]</f>
        <v/>
      </c>
      <c r="DT133" s="347">
        <f>IFERROR(Table410[[#This Row],[Mar_2027_Days_Forecast]]*Table410[[#This Row],[Cost Boolean]]*(VLOOKUP(Table410[[#This Row],[RATE CONCAT]],Tables!I:N,6,0)),0)</f>
        <v/>
      </c>
      <c r="DU133" s="275" t="n"/>
      <c r="DV133" s="347">
        <f>Table410[[#This Row],[Mar_2027_F]]-Table410[[#This Row],[Mar_2027_A]]</f>
        <v/>
      </c>
      <c r="DW133" s="347">
        <f>IFERROR(Table410[[#This Row],[Apr_2027_Days_Forecast]]*Table410[[#This Row],[Cost Boolean]]*(VLOOKUP(Table410[[#This Row],[RATE CONCAT]],Tables!I:N,6,0)),0)</f>
        <v/>
      </c>
      <c r="DX133" s="275" t="n"/>
      <c r="DY133" s="347">
        <f>Table410[[#This Row],[Apr_2027_F]]-Table410[[#This Row],[Apr_2027_A]]</f>
        <v/>
      </c>
      <c r="DZ133" s="347">
        <f>IFERROR(Table410[[#This Row],[May_2027_Days_Forecast]]*Table410[[#This Row],[Cost Boolean]]*(VLOOKUP(Table410[[#This Row],[RATE CONCAT]],Tables!I:N,6,0)),0)</f>
        <v/>
      </c>
      <c r="EA133" s="275" t="n"/>
      <c r="EB133" s="347">
        <f>Table410[[#This Row],[May_2027_F]]-Table410[[#This Row],[May_2027_A]]</f>
        <v/>
      </c>
      <c r="EC133" s="347">
        <f>IFERROR(Table410[[#This Row],[Jun_2027_Days_Forecast]]*Table410[[#This Row],[Cost Boolean]]*(VLOOKUP(Table410[[#This Row],[RATE CONCAT]],Tables!I:N,6,0)),0)</f>
        <v/>
      </c>
      <c r="ED133" s="275" t="n"/>
      <c r="EE133" s="347">
        <f>Table410[[#This Row],[Jun_2027_F]]-Table410[[#This Row],[Jun_2027_A]]</f>
        <v/>
      </c>
      <c r="EF133" s="347">
        <f>IFERROR(Table410[[#This Row],[Jul_2027_Days_Forecast]]*Table410[[#This Row],[Cost Boolean]]*(VLOOKUP(Table410[[#This Row],[RATE CONCAT]],Tables!I:N,6,0)),0)</f>
        <v/>
      </c>
      <c r="EG133" s="275" t="n"/>
      <c r="EH133" s="347">
        <f>Table410[[#This Row],[Jul_2027_F]]-Table410[[#This Row],[Jul_2027_A]]</f>
        <v/>
      </c>
      <c r="EI133" s="347">
        <f>IFERROR(Table410[[#This Row],[Aug_2027_Days_Forecast]]*Table410[[#This Row],[Cost Boolean]]*(VLOOKUP(Table410[[#This Row],[RATE CONCAT]],Tables!I:N,6,0)),0)</f>
        <v/>
      </c>
      <c r="EJ133" s="275" t="n"/>
      <c r="EK133" s="347">
        <f>Table410[[#This Row],[Aug_2027_F]]-Table410[[#This Row],[Aug_2027_A]]</f>
        <v/>
      </c>
      <c r="EL133" s="347">
        <f>IFERROR(Table410[[#This Row],[Sep_2027_Days_Forecast]]*Table410[[#This Row],[Cost Boolean]]*(VLOOKUP(Table410[[#This Row],[RATE CONCAT]],Tables!I:N,6,0)),0)</f>
        <v/>
      </c>
      <c r="EM133" s="275" t="n"/>
      <c r="EN133" s="347">
        <f>Table410[[#This Row],[Sep_2027_F]]-Table410[[#This Row],[Sep_2027_A]]</f>
        <v/>
      </c>
      <c r="EO133" s="347">
        <f>IFERROR(Table410[[#This Row],[Oct_2027_Days_Forecast]]*Table410[[#This Row],[Cost Boolean]]*(VLOOKUP(Table410[[#This Row],[RATE CONCAT]],Tables!I:N,6,0)),0)</f>
        <v/>
      </c>
      <c r="EP133" s="275" t="n"/>
      <c r="EQ133" s="347">
        <f>Table410[[#This Row],[Oct_2027_F]]-Table410[[#This Row],[Oct_2027_A]]</f>
        <v/>
      </c>
      <c r="ER133" s="347">
        <f>IFERROR(Table410[[#This Row],[Nov_2027_Days_Forecast]]*Table410[[#This Row],[Cost Boolean]]*(VLOOKUP(Table410[[#This Row],[RATE CONCAT]],Tables!I:N,6,0)),0)</f>
        <v/>
      </c>
      <c r="ES133" s="275" t="n"/>
      <c r="ET133" s="347">
        <f>Table410[[#This Row],[Nov_2027_F]]-Table410[[#This Row],[Nov_2027_A]]</f>
        <v/>
      </c>
      <c r="EU133" s="347">
        <f>IFERROR(Table410[[#This Row],[Dec_2027_Days_Forecast]]*Table410[[#This Row],[Cost Boolean]]*(VLOOKUP(Table410[[#This Row],[RATE CONCAT]],Tables!I:N,6,0)),0)</f>
        <v/>
      </c>
      <c r="EV133" s="275" t="n"/>
      <c r="EW133" s="347">
        <f>Table410[[#This Row],[Dec_2027_F]]-Table410[[#This Row],[Dec_2027_A]]</f>
        <v/>
      </c>
    </row>
  </sheetData>
  <mergeCells count="27">
    <mergeCell ref="AP8:BA8"/>
    <mergeCell ref="BU8:BW8"/>
    <mergeCell ref="EF8:EH8"/>
    <mergeCell ref="DW8:DY8"/>
    <mergeCell ref="ER8:ET8"/>
    <mergeCell ref="EC8:EE8"/>
    <mergeCell ref="EI8:EK8"/>
    <mergeCell ref="BY8:CA8"/>
    <mergeCell ref="CG8:CI8"/>
    <mergeCell ref="CS8:CU8"/>
    <mergeCell ref="DE8:DG8"/>
    <mergeCell ref="EO8:EQ8"/>
    <mergeCell ref="EU8:EW8"/>
    <mergeCell ref="AB8:AM8"/>
    <mergeCell ref="BQ8:BS8"/>
    <mergeCell ref="BC8:BN8"/>
    <mergeCell ref="DQ8:DS8"/>
    <mergeCell ref="CK8:CM8"/>
    <mergeCell ref="CC8:CE8"/>
    <mergeCell ref="CW8:CY8"/>
    <mergeCell ref="DN8:DP8"/>
    <mergeCell ref="CO8:CQ8"/>
    <mergeCell ref="DA8:DC8"/>
    <mergeCell ref="DT8:DV8"/>
    <mergeCell ref="DZ8:EB8"/>
    <mergeCell ref="DI8:DK8"/>
    <mergeCell ref="EL8:EN8"/>
  </mergeCells>
  <conditionalFormatting sqref="K86">
    <cfRule type="cellIs" priority="5" operator="equal" dxfId="114">
      <formula>"NB-Offboarded"</formula>
    </cfRule>
    <cfRule type="cellIs" priority="6" operator="equal" dxfId="115">
      <formula>"NB-In-seat"</formula>
    </cfRule>
    <cfRule type="cellIs" priority="7" operator="equal" dxfId="116">
      <formula>"NB-Ready"</formula>
    </cfRule>
    <cfRule type="cellIs" priority="8" operator="equal" dxfId="119">
      <formula>"Cancelled"</formula>
    </cfRule>
    <cfRule type="cellIs" priority="9" operator="equal" dxfId="118">
      <formula>"Hold"</formula>
    </cfRule>
    <cfRule type="cellIs" priority="10" operator="equal" dxfId="117">
      <formula>"Sourcing"</formula>
    </cfRule>
    <cfRule type="cellIs" priority="11" operator="equal" dxfId="116">
      <formula>"Ready"</formula>
    </cfRule>
    <cfRule type="cellIs" priority="12" operator="equal" dxfId="115">
      <formula>"In-seat"</formula>
    </cfRule>
    <cfRule type="cellIs" priority="13" operator="equal" dxfId="114">
      <formula>"Offboarded"</formula>
    </cfRule>
  </conditionalFormatting>
  <conditionalFormatting sqref="AB86:AE86">
    <cfRule type="expression" priority="3" dxfId="281">
      <formula>$G86="Offshore"</formula>
    </cfRule>
    <cfRule type="expression" priority="4" dxfId="280">
      <formula>$G86="Onshore"</formula>
    </cfRule>
  </conditionalFormatting>
  <conditionalFormatting sqref="AP6:BA6 BC6:BN6">
    <cfRule type="colorScale" priority="15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AP7:BA7 BC7:BN7">
    <cfRule type="colorScale" priority="14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BQ6:DL6 DN6:EW6">
    <cfRule type="colorScale" priority="17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BQ7:DL7">
    <cfRule type="colorScale" priority="16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DN7:EW7">
    <cfRule type="colorScale" priority="18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dataValidations count="3">
    <dataValidation sqref="L10:L133" showDropDown="0" showInputMessage="1" showErrorMessage="1" allowBlank="1" type="list">
      <formula1>"1,0"</formula1>
    </dataValidation>
    <dataValidation sqref="K10:K133" showDropDown="0" showInputMessage="1" showErrorMessage="1" allowBlank="1" type="list">
      <formula1>"Planned,Approved,Sourcing,NB-Ready,Ready,NB-In-seat,In-seat,Offboarded,Cancelled,Hold"</formula1>
    </dataValidation>
    <dataValidation sqref="C10:C133" showDropDown="0" showInputMessage="1" showErrorMessage="1" allowBlank="1" type="list">
      <formula1>"Staff,Contractor"</formula1>
    </dataValidation>
  </dataValidations>
  <pageMargins left="0.5" right="0.5" top="0.75" bottom="0.75" header="0.3" footer="0.3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W98"/>
  <sheetViews>
    <sheetView showGridLines="0" topLeftCell="A3" zoomScale="68" zoomScaleNormal="55" workbookViewId="0">
      <pane ySplit="9" topLeftCell="A10" activePane="bottomLeft" state="frozen"/>
      <selection activeCell="B13" sqref="B13"/>
    </sheetView>
  </sheetViews>
  <sheetFormatPr baseColWidth="8" defaultColWidth="9.140625" defaultRowHeight="15" customHeight="1"/>
  <cols>
    <col width="15.140625" bestFit="1" customWidth="1" style="14" min="1" max="1"/>
    <col width="17.85546875" bestFit="1" customWidth="1" style="14" min="2" max="2"/>
    <col width="15.7109375" bestFit="1" customWidth="1" style="14" min="3" max="3"/>
    <col width="30" bestFit="1" customWidth="1" style="14" min="4" max="4"/>
    <col width="9.140625" customWidth="1" style="14" min="5" max="5"/>
    <col width="19.5703125" customWidth="1" style="14" min="6" max="6"/>
    <col width="14.140625" customWidth="1" style="14" min="7" max="7"/>
    <col outlineLevel="1" width="9.85546875" customWidth="1" style="116" min="8" max="8"/>
    <col width="44.85546875" customWidth="1" style="14" min="9" max="9"/>
    <col width="29.7109375" customWidth="1" style="14" min="10" max="10"/>
    <col width="13" customWidth="1" style="14" min="11" max="11"/>
    <col width="18.5703125" customWidth="1" min="12" max="12"/>
    <col outlineLevel="1" width="14.85546875" customWidth="1" style="14" min="13" max="13"/>
    <col outlineLevel="1" width="19.140625" customWidth="1" style="14" min="14" max="14"/>
    <col outlineLevel="1" width="18.7109375" customWidth="1" style="14" min="15" max="15"/>
    <col width="10.5703125" customWidth="1" style="14" min="16" max="16"/>
    <col width="14.42578125" customWidth="1" style="14" min="17" max="17"/>
    <col width="18.85546875" customWidth="1" style="14" min="18" max="18"/>
    <col width="17.85546875" customWidth="1" style="14" min="19" max="19"/>
    <col width="18.5703125" customWidth="1" style="14" min="20" max="20"/>
    <col width="17.5703125" customWidth="1" style="14" min="21" max="21"/>
    <col width="17.42578125" customWidth="1" style="14" min="22" max="22"/>
    <col width="16.42578125" customWidth="1" style="78" min="23" max="23"/>
    <col width="16.5703125" customWidth="1" style="14" min="24" max="24"/>
    <col width="50.5703125" customWidth="1" style="14" min="25" max="25"/>
    <col width="10.7109375" customWidth="1" style="14" min="26" max="26"/>
    <col outlineLevel="1" width="9.140625" customWidth="1" style="14" min="27" max="27"/>
    <col outlineLevel="1" width="11.85546875" customWidth="1" style="14" min="28" max="37"/>
    <col outlineLevel="1" width="11.85546875" customWidth="1" style="79" min="38" max="38"/>
    <col width="10.42578125" bestFit="1" customWidth="1" style="79" min="39" max="39"/>
    <col width="10.42578125" bestFit="1" customWidth="1" style="14" min="40" max="40"/>
    <col outlineLevel="1" width="13.140625" customWidth="1" style="14" min="41" max="51"/>
    <col outlineLevel="1" width="13.140625" customWidth="1" style="79" min="52" max="52"/>
    <col width="10.42578125" bestFit="1" customWidth="1" style="14" min="53" max="53"/>
    <col outlineLevel="1" width="13.140625" customWidth="1" style="14" min="54" max="64"/>
    <col outlineLevel="1" width="13.140625" customWidth="1" style="77" min="65" max="65"/>
    <col width="10.42578125" bestFit="1" customWidth="1" style="77" min="66" max="66"/>
    <col width="10.42578125" bestFit="1" customWidth="1" min="67" max="67"/>
    <col outlineLevel="1" width="12.85546875" customWidth="1" min="68" max="70"/>
    <col outlineLevel="1" width="12.85546875" bestFit="1" customWidth="1" min="71" max="71"/>
    <col outlineLevel="1" width="42.42578125" customWidth="1" min="72" max="72"/>
    <col outlineLevel="1" width="12.85546875" customWidth="1" min="73" max="73"/>
    <col outlineLevel="1" width="12.85546875" bestFit="1" customWidth="1" min="74" max="74"/>
    <col outlineLevel="1" width="12.7109375" bestFit="1" customWidth="1" min="75" max="75"/>
    <col outlineLevel="1" width="12.85546875" customWidth="1" min="76" max="78"/>
    <col outlineLevel="1" width="12.85546875" bestFit="1" customWidth="1" min="79" max="79"/>
    <col outlineLevel="1" width="12.85546875" customWidth="1" min="80" max="82"/>
    <col outlineLevel="1" width="15.5703125" customWidth="1" min="83" max="83"/>
    <col outlineLevel="1" width="12.85546875" customWidth="1" min="84" max="86"/>
    <col outlineLevel="1" width="16.85546875" customWidth="1" min="87" max="87"/>
    <col outlineLevel="1" width="12.85546875" customWidth="1" min="88" max="88"/>
    <col outlineLevel="1" width="10.42578125" customWidth="1" min="89" max="89"/>
    <col outlineLevel="1" width="12.85546875" customWidth="1" min="90" max="90"/>
    <col outlineLevel="1" width="10.42578125" customWidth="1" min="91" max="91"/>
    <col outlineLevel="1" width="12.85546875" customWidth="1" min="92" max="92"/>
    <col outlineLevel="1" width="18.5703125" customWidth="1" min="93" max="93"/>
    <col outlineLevel="1" width="12.85546875" customWidth="1" min="94" max="94"/>
    <col outlineLevel="1" width="21.7109375" customWidth="1" min="95" max="95"/>
    <col outlineLevel="1" width="12.85546875" customWidth="1" min="96" max="96"/>
    <col outlineLevel="1" width="17.85546875" customWidth="1" min="97" max="97"/>
    <col outlineLevel="1" width="12.85546875" customWidth="1" min="98" max="98"/>
    <col outlineLevel="1" width="16.85546875" customWidth="1" min="99" max="99"/>
    <col outlineLevel="1" width="14.42578125" customWidth="1" min="100" max="100"/>
    <col outlineLevel="1" width="10.42578125" customWidth="1" min="101" max="101"/>
    <col outlineLevel="1" width="14.42578125" customWidth="1" min="102" max="102"/>
    <col outlineLevel="1" width="10.42578125" customWidth="1" min="103" max="103"/>
    <col outlineLevel="1" width="14.42578125" customWidth="1" min="104" max="104"/>
    <col outlineLevel="1" width="10.42578125" customWidth="1" min="105" max="105"/>
    <col outlineLevel="1" width="14.42578125" customWidth="1" min="106" max="106"/>
    <col outlineLevel="1" width="10.42578125" customWidth="1" min="107" max="107"/>
    <col outlineLevel="1" width="14.42578125" customWidth="1" min="108" max="108"/>
    <col outlineLevel="1" width="10.42578125" customWidth="1" min="109" max="109"/>
    <col outlineLevel="1" width="14.42578125" customWidth="1" min="110" max="110"/>
    <col outlineLevel="1" width="10.42578125" customWidth="1" min="111" max="111"/>
    <col outlineLevel="1" width="14.42578125" customWidth="1" min="112" max="112"/>
    <col outlineLevel="1" width="14.42578125" bestFit="1" customWidth="1" min="113" max="113"/>
    <col outlineLevel="1" width="14.42578125" customWidth="1" style="77" min="114" max="114"/>
    <col outlineLevel="1" width="14.42578125" bestFit="1" customWidth="1" min="115" max="115"/>
    <col width="12.85546875" bestFit="1" customWidth="1" min="116" max="116"/>
    <col outlineLevel="1" width="10.42578125" customWidth="1" min="117" max="152"/>
  </cols>
  <sheetData>
    <row r="1" ht="14.45" customHeight="1">
      <c r="L1" s="14" t="n"/>
      <c r="W1" s="14" t="n"/>
      <c r="AA1" s="51" t="n"/>
      <c r="AL1" s="14" t="n"/>
      <c r="AM1" s="14" t="n"/>
      <c r="AN1" s="51" t="n"/>
      <c r="AO1" s="51" t="n"/>
      <c r="AZ1" s="14" t="n"/>
      <c r="BB1" s="51" t="n"/>
      <c r="BM1" s="14" t="n"/>
      <c r="BN1" s="14" t="n"/>
      <c r="BO1" s="54" t="n"/>
      <c r="BP1" s="51" t="n"/>
      <c r="DM1" s="51" t="n"/>
    </row>
    <row r="2" ht="52.5" customHeight="1">
      <c r="K2" s="91" t="n"/>
      <c r="L2" s="91" t="n"/>
      <c r="W2" s="14" t="n"/>
      <c r="AA2" s="50" t="n"/>
      <c r="AL2" s="14" t="n"/>
      <c r="AM2" s="14" t="n"/>
      <c r="AN2" s="50" t="n"/>
      <c r="AO2" s="50" t="n"/>
      <c r="AZ2" s="14" t="n"/>
      <c r="BB2" s="50" t="n"/>
      <c r="BM2" s="14" t="n"/>
      <c r="BN2" s="14" t="n"/>
      <c r="BO2" s="55" t="n"/>
      <c r="BP2" s="50" t="n"/>
      <c r="DM2" s="50" t="n"/>
    </row>
    <row r="3" ht="14.45" customHeight="1">
      <c r="K3" s="91" t="n"/>
      <c r="L3" s="91" t="n"/>
      <c r="W3" s="14" t="n"/>
      <c r="AA3" s="50" t="n"/>
      <c r="AB3" s="314" t="inlineStr">
        <is>
          <t>Hub days [excluding public holidays]</t>
        </is>
      </c>
      <c r="AL3" s="14" t="n"/>
      <c r="AM3" s="14" t="n"/>
      <c r="AN3" s="50" t="n"/>
      <c r="AO3" s="50" t="n"/>
      <c r="AZ3" s="14" t="n"/>
      <c r="BB3" s="50" t="n"/>
      <c r="BM3" s="14" t="n"/>
      <c r="BN3" s="14" t="n"/>
      <c r="BO3" s="55" t="n"/>
      <c r="BP3" s="50" t="n"/>
      <c r="DM3" s="50" t="n"/>
    </row>
    <row r="4" ht="14.45" customHeight="1">
      <c r="K4" s="91" t="n"/>
      <c r="L4" s="91" t="n"/>
      <c r="W4" s="14" t="n"/>
      <c r="AA4" s="50" t="n"/>
      <c r="AB4" s="83" t="n"/>
      <c r="AC4" s="314" t="inlineStr">
        <is>
          <t>Service Center days [excluding public holidays]</t>
        </is>
      </c>
      <c r="AL4" s="14" t="n"/>
      <c r="AM4" s="14" t="n"/>
      <c r="AN4" s="50" t="n"/>
      <c r="AO4" s="50" t="n"/>
      <c r="AZ4" s="14" t="n"/>
      <c r="BB4" s="50" t="n"/>
      <c r="BM4" s="14" t="n"/>
      <c r="BN4" s="14" t="n"/>
      <c r="BO4" s="55" t="n"/>
      <c r="BP4" s="50" t="n"/>
      <c r="DM4" s="50" t="n"/>
    </row>
    <row r="5" ht="14.45" customHeight="1">
      <c r="D5" s="314" t="inlineStr">
        <is>
          <t>geoff</t>
        </is>
      </c>
      <c r="K5" s="91" t="n"/>
      <c r="L5" s="91" t="n"/>
      <c r="V5" s="315" t="n"/>
      <c r="W5" s="14" t="n"/>
      <c r="AA5" s="50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50" t="n"/>
      <c r="AO5" s="50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50" t="n"/>
      <c r="BC5" s="314" t="n">
        <v>21</v>
      </c>
      <c r="BD5" s="314" t="n">
        <v>20</v>
      </c>
      <c r="BE5" s="314" t="n">
        <v>23</v>
      </c>
      <c r="BF5" s="314" t="n">
        <v>22</v>
      </c>
      <c r="BG5" s="314" t="n">
        <v>21</v>
      </c>
      <c r="BH5" s="314" t="n">
        <v>22</v>
      </c>
      <c r="BI5" s="314" t="n">
        <v>22</v>
      </c>
      <c r="BJ5" s="314" t="n">
        <v>22</v>
      </c>
      <c r="BK5" s="314" t="n">
        <v>22</v>
      </c>
      <c r="BL5" s="314" t="n">
        <v>21</v>
      </c>
      <c r="BM5" s="314" t="n">
        <v>22</v>
      </c>
      <c r="BN5" s="314" t="n">
        <v>23</v>
      </c>
      <c r="BO5" s="55" t="n"/>
      <c r="BP5" s="50" t="n"/>
      <c r="DM5" s="50" t="n"/>
    </row>
    <row r="6" ht="19.9" customHeight="1">
      <c r="K6" s="91" t="n"/>
      <c r="L6" s="91" t="n"/>
      <c r="W6" s="14" t="n"/>
      <c r="AA6" s="50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  <c r="AL6" s="82" t="n"/>
      <c r="AM6" s="82" t="n"/>
      <c r="AN6" s="50" t="n"/>
      <c r="AO6" s="50" t="n"/>
      <c r="AP6" s="316">
        <f>SUM(Table4[Jan_2026_Days_Actual])</f>
        <v/>
      </c>
      <c r="AQ6" s="316">
        <f>SUM(Table4[Feb_2026_Days_Actual])</f>
        <v/>
      </c>
      <c r="AR6" s="316">
        <f>SUM(Table4[Mar_2026_Days_Actual])</f>
        <v/>
      </c>
      <c r="AS6" s="316">
        <f>SUM(Table4[Apr_2026_Days_Actual])</f>
        <v/>
      </c>
      <c r="AT6" s="316">
        <f>SUM(Table4[May_2026_Days_Actual])</f>
        <v/>
      </c>
      <c r="AU6" s="316">
        <f>SUM(Table4[Jun_2026_Days_Actual])</f>
        <v/>
      </c>
      <c r="AV6" s="316">
        <f>SUM(Table4[Jul_2026_Days_Actual])</f>
        <v/>
      </c>
      <c r="AW6" s="316">
        <f>SUM(Table4[Aug_2026_Days_Actual])</f>
        <v/>
      </c>
      <c r="AX6" s="316">
        <f>SUM(Table4[Sep_2026_Days_Actual])</f>
        <v/>
      </c>
      <c r="AY6" s="316">
        <f>SUM(Table4[Oct_2026_Days_Actual])</f>
        <v/>
      </c>
      <c r="AZ6" s="316">
        <f>SUM(Table4[Nov_2026_Days_Actual])</f>
        <v/>
      </c>
      <c r="BA6" s="316">
        <f>SUM(Table4[Dec_2026_Days_Actual])</f>
        <v/>
      </c>
      <c r="BB6" s="50" t="n"/>
      <c r="BC6" s="316">
        <f>SUM(Table4[Jan_2027_Days_Forecast])</f>
        <v/>
      </c>
      <c r="BD6" s="316">
        <f>SUM(Table4[Feb_2027_Days_Forecast])</f>
        <v/>
      </c>
      <c r="BE6" s="316">
        <f>SUM(Table4[Mar_2027_Days_Forecast])</f>
        <v/>
      </c>
      <c r="BF6" s="316">
        <f>SUM(Table4[Apr_2027_Days_Forecast])</f>
        <v/>
      </c>
      <c r="BG6" s="316">
        <f>SUM(Table4[May_2027_Days_Forecast])</f>
        <v/>
      </c>
      <c r="BH6" s="316">
        <f>SUM(Table4[Jun_2027_Days_Forecast])</f>
        <v/>
      </c>
      <c r="BI6" s="316">
        <f>SUM(Table4[Jul_2027_Days_Forecast])</f>
        <v/>
      </c>
      <c r="BJ6" s="316">
        <f>SUM(Table4[Aug_2027_Days_Forecast])</f>
        <v/>
      </c>
      <c r="BK6" s="316">
        <f>SUM(Table4[Sep_2027_Days_Forecast])</f>
        <v/>
      </c>
      <c r="BL6" s="316">
        <f>SUM(Table4[Oct_2027_Days_Forecast])</f>
        <v/>
      </c>
      <c r="BM6" s="316">
        <f>SUM(Table4[Nov_2027_Days_Forecast])</f>
        <v/>
      </c>
      <c r="BN6" s="316">
        <f>SUM(Table4[Dec_2027_Days_Forecast])</f>
        <v/>
      </c>
      <c r="BO6" s="56" t="n"/>
      <c r="BP6" s="320" t="n"/>
      <c r="BQ6" s="317">
        <f>SUM(Table4[Jan_2026_F])</f>
        <v/>
      </c>
      <c r="BR6" s="317">
        <f>SUM(Table4[Jan_2026_A])</f>
        <v/>
      </c>
      <c r="BS6" s="317">
        <f>SUM(Table4[Jan_2026_V])</f>
        <v/>
      </c>
      <c r="BT6" s="318" t="n"/>
      <c r="BU6" s="317">
        <f>SUM(Table4[Feb_2026_F])</f>
        <v/>
      </c>
      <c r="BV6" s="317">
        <f>SUM(Table4[Feb_2026_A])</f>
        <v/>
      </c>
      <c r="BW6" s="317">
        <f>SUM(Table4[Feb_2026_D])</f>
        <v/>
      </c>
      <c r="BX6" s="318" t="n"/>
      <c r="BY6" s="317">
        <f>SUM(Table4[Mar_2026_F])</f>
        <v/>
      </c>
      <c r="BZ6" s="317">
        <f>SUM(Table4[Mar_2026_A])</f>
        <v/>
      </c>
      <c r="CA6" s="317">
        <f>SUM(Table4[Mar_2026_D])</f>
        <v/>
      </c>
      <c r="CB6" s="318" t="n"/>
      <c r="CC6" s="317">
        <f>SUM(Table4[Apr_2026_F])</f>
        <v/>
      </c>
      <c r="CD6" s="317">
        <f>SUM(Table4[Apr_2026_A])</f>
        <v/>
      </c>
      <c r="CE6" s="317">
        <f>SUM(Table4[Apr_2026_D])</f>
        <v/>
      </c>
      <c r="CF6" s="318" t="n"/>
      <c r="CG6" s="317">
        <f>SUM(Table4[May_2026_F])</f>
        <v/>
      </c>
      <c r="CH6" s="317">
        <f>SUM(Table4[May_2026_A])</f>
        <v/>
      </c>
      <c r="CI6" s="317">
        <f>SUM(Table4[May_2026_D])</f>
        <v/>
      </c>
      <c r="CJ6" s="318" t="n"/>
      <c r="CK6" s="317">
        <f>SUM(Table4[Jun_2026_F])</f>
        <v/>
      </c>
      <c r="CL6" s="317">
        <f>SUM(Table4[Jun_2026_A])</f>
        <v/>
      </c>
      <c r="CM6" s="317">
        <f>SUM(Table4[Jun_2026_D])</f>
        <v/>
      </c>
      <c r="CN6" s="318" t="n"/>
      <c r="CO6" s="317">
        <f>SUM(Table4[Jul_2026_F])</f>
        <v/>
      </c>
      <c r="CP6" s="317">
        <f>SUM(Table4[Jul_2026_A])</f>
        <v/>
      </c>
      <c r="CQ6" s="317">
        <f>SUM(Table4[Jul_2026_D])</f>
        <v/>
      </c>
      <c r="CR6" s="318" t="n"/>
      <c r="CS6" s="317">
        <f>SUM(Table4[Aug_2026_F])</f>
        <v/>
      </c>
      <c r="CT6" s="317">
        <f>SUM(Table4[Aug_2026_A])</f>
        <v/>
      </c>
      <c r="CU6" s="317">
        <f>SUM(Table4[Aug_2026_D])</f>
        <v/>
      </c>
      <c r="CV6" s="318" t="n"/>
      <c r="CW6" s="317">
        <f>SUM(Table4[Sep_2026_F])</f>
        <v/>
      </c>
      <c r="CX6" s="317">
        <f>SUM(Table4[Sep_2026_A])</f>
        <v/>
      </c>
      <c r="CY6" s="317">
        <f>SUM(Table4[Sep_2026_D])</f>
        <v/>
      </c>
      <c r="CZ6" s="318" t="n"/>
      <c r="DA6" s="317">
        <f>SUM(Table4[Oct_2026_F])</f>
        <v/>
      </c>
      <c r="DB6" s="317">
        <f>SUM(Table4[Oct_2026_A])</f>
        <v/>
      </c>
      <c r="DC6" s="317">
        <f>SUM(Table4[Oct_2026_D])</f>
        <v/>
      </c>
      <c r="DD6" s="318" t="n"/>
      <c r="DE6" s="317">
        <f>SUM(Table4[Nov_2026_F])</f>
        <v/>
      </c>
      <c r="DF6" s="317">
        <f>SUM(Table4[Nov_2026_A])</f>
        <v/>
      </c>
      <c r="DG6" s="317">
        <f>SUM(Table4[Nov_2026_D])</f>
        <v/>
      </c>
      <c r="DH6" s="318" t="n"/>
      <c r="DI6" s="317">
        <f>SUM(Table4[Dec_2026_F])</f>
        <v/>
      </c>
      <c r="DJ6" s="317">
        <f>SUM(Table4[Dec_2026_A])</f>
        <v/>
      </c>
      <c r="DK6" s="317">
        <f>SUM(Table4[Dec_2026_D])</f>
        <v/>
      </c>
      <c r="DL6" s="319" t="n"/>
      <c r="DM6" s="320" t="n"/>
      <c r="DN6" s="317">
        <f>SUM(Table4[Jan_2027_F])</f>
        <v/>
      </c>
      <c r="DO6" s="317">
        <f>SUM(Table4[Jan_2027_A])</f>
        <v/>
      </c>
      <c r="DP6" s="317">
        <f>SUM(Table4[Jan_2027_D])</f>
        <v/>
      </c>
      <c r="DQ6" s="317">
        <f>SUM(Table4[Feb_2027_F])</f>
        <v/>
      </c>
      <c r="DR6" s="317">
        <f>SUM(Table4[Feb_2027_A])</f>
        <v/>
      </c>
      <c r="DS6" s="317">
        <f>SUM(Table4[Feb_2027_D])</f>
        <v/>
      </c>
      <c r="DT6" s="317">
        <f>SUM(Table4[Mar_2027_F])</f>
        <v/>
      </c>
      <c r="DU6" s="317">
        <f>SUM(Table4[Mar_2027_A])</f>
        <v/>
      </c>
      <c r="DV6" s="317">
        <f>SUM(Table4[Mar_2027_D])</f>
        <v/>
      </c>
      <c r="DW6" s="317">
        <f>SUM(Table4[Apr_2027_F])</f>
        <v/>
      </c>
      <c r="DX6" s="317">
        <f>SUM(Table4[Apr_2027_A])</f>
        <v/>
      </c>
      <c r="DY6" s="317">
        <f>SUM(Table4[Apr_2027_D])</f>
        <v/>
      </c>
      <c r="DZ6" s="317">
        <f>SUM(Table4[May_2027_F])</f>
        <v/>
      </c>
      <c r="EA6" s="317">
        <f>SUM(Table4[May_2027_A])</f>
        <v/>
      </c>
      <c r="EB6" s="317">
        <f>SUM(Table4[May_2027_D])</f>
        <v/>
      </c>
      <c r="EC6" s="317">
        <f>SUM(Table4[Jun_2027_F])</f>
        <v/>
      </c>
      <c r="ED6" s="317">
        <f>SUM(Table4[Jun_2027_A])</f>
        <v/>
      </c>
      <c r="EE6" s="317">
        <f>SUM(Table4[Jun_2027_D])</f>
        <v/>
      </c>
      <c r="EF6" s="317">
        <f>SUM(Table4[Jul_2027_F])</f>
        <v/>
      </c>
      <c r="EG6" s="317">
        <f>SUM(Table4[Jul_2027_A])</f>
        <v/>
      </c>
      <c r="EH6" s="317">
        <f>SUM(Table4[Jul_2027_D])</f>
        <v/>
      </c>
      <c r="EI6" s="317">
        <f>SUM(Table4[Aug_2027_F])</f>
        <v/>
      </c>
      <c r="EJ6" s="317">
        <f>SUM(Table4[Aug_2027_A])</f>
        <v/>
      </c>
      <c r="EK6" s="317">
        <f>SUM(Table4[Aug_2027_D])</f>
        <v/>
      </c>
      <c r="EL6" s="317">
        <f>SUM(Table4[Sep_2027_F])</f>
        <v/>
      </c>
      <c r="EM6" s="317">
        <f>SUM(Table4[Sep_2027_A])</f>
        <v/>
      </c>
      <c r="EN6" s="317">
        <f>SUM(Table4[Sep_2027_D])</f>
        <v/>
      </c>
      <c r="EO6" s="317">
        <f>SUM(Table4[Oct_2027_F])</f>
        <v/>
      </c>
      <c r="EP6" s="317">
        <f>SUM(Table4[Oct_2027_A])</f>
        <v/>
      </c>
      <c r="EQ6" s="317">
        <f>SUM(Table4[Oct_2027_D])</f>
        <v/>
      </c>
      <c r="ER6" s="317">
        <f>SUM(Table4[Nov_2027_F])</f>
        <v/>
      </c>
      <c r="ES6" s="317">
        <f>SUM(Table4[Nov_2027_A])</f>
        <v/>
      </c>
      <c r="ET6" s="317">
        <f>SUM(Table4[Nov_2027_D])</f>
        <v/>
      </c>
      <c r="EU6" s="317">
        <f>SUM(Table4[Dec_2027_F])</f>
        <v/>
      </c>
      <c r="EV6" s="317">
        <f>SUM(Table4[Dec_2027_A])</f>
        <v/>
      </c>
      <c r="EW6" s="317">
        <f>SUM(Table4[Dec_2027_D])</f>
        <v/>
      </c>
    </row>
    <row r="7" ht="19.9" customHeight="1">
      <c r="K7" s="91" t="n"/>
      <c r="L7" s="91" t="n"/>
      <c r="W7" s="14" t="n"/>
      <c r="AA7" s="50" t="n"/>
      <c r="AB7" s="83" t="n"/>
      <c r="AC7" s="83" t="n"/>
      <c r="AD7" s="83" t="n"/>
      <c r="AE7" s="83" t="n"/>
      <c r="AF7" s="83" t="n"/>
      <c r="AG7" s="83" t="n"/>
      <c r="AH7" s="83" t="n"/>
      <c r="AI7" s="83" t="n"/>
      <c r="AJ7" s="83" t="n"/>
      <c r="AK7" s="83" t="n"/>
      <c r="AL7" s="83" t="n"/>
      <c r="AM7" s="83" t="n"/>
      <c r="AN7" s="50" t="n"/>
      <c r="AO7" s="50" t="n"/>
      <c r="AP7" s="316">
        <f>SUBTOTAL(9,Table4[Jan_2026_Days_Actual])</f>
        <v/>
      </c>
      <c r="AQ7" s="316">
        <f>SUBTOTAL(9,Table4[Feb_2026_Days_Actual])</f>
        <v/>
      </c>
      <c r="AR7" s="316">
        <f>SUBTOTAL(9,Table4[Mar_2026_Days_Actual])</f>
        <v/>
      </c>
      <c r="AS7" s="316">
        <f>SUBTOTAL(9,Table4[Apr_2026_Days_Actual])</f>
        <v/>
      </c>
      <c r="AT7" s="316">
        <f>SUBTOTAL(9,Table4[May_2026_Days_Actual])</f>
        <v/>
      </c>
      <c r="AU7" s="316">
        <f>SUBTOTAL(9,Table4[Jun_2026_Days_Actual])</f>
        <v/>
      </c>
      <c r="AV7" s="316">
        <f>SUBTOTAL(9,Table4[Jul_2026_Days_Actual])</f>
        <v/>
      </c>
      <c r="AW7" s="316">
        <f>SUBTOTAL(9,Table4[Aug_2026_Days_Actual])</f>
        <v/>
      </c>
      <c r="AX7" s="316">
        <f>SUBTOTAL(9,Table4[Sep_2026_Days_Actual])</f>
        <v/>
      </c>
      <c r="AY7" s="316">
        <f>SUBTOTAL(9,Table4[Oct_2026_Days_Actual])</f>
        <v/>
      </c>
      <c r="AZ7" s="316">
        <f>SUBTOTAL(9,Table4[Nov_2026_Days_Actual])</f>
        <v/>
      </c>
      <c r="BA7" s="316">
        <f>SUBTOTAL(9,Table4[Dec_2026_Days_Actual])</f>
        <v/>
      </c>
      <c r="BB7" s="50" t="n"/>
      <c r="BC7" s="316">
        <f>SUBTOTAL(9,Table4[Jan_2027_Days_Forecast])</f>
        <v/>
      </c>
      <c r="BD7" s="316">
        <f>SUBTOTAL(9,Table4[Feb_2027_Days_Forecast])</f>
        <v/>
      </c>
      <c r="BE7" s="316">
        <f>SUBTOTAL(9,Table4[Mar_2027_Days_Forecast])</f>
        <v/>
      </c>
      <c r="BF7" s="316">
        <f>SUBTOTAL(9,Table4[Apr_2027_Days_Forecast])</f>
        <v/>
      </c>
      <c r="BG7" s="316">
        <f>SUBTOTAL(9,Table4[May_2027_Days_Forecast])</f>
        <v/>
      </c>
      <c r="BH7" s="316">
        <f>SUBTOTAL(9,Table4[Jun_2027_Days_Forecast])</f>
        <v/>
      </c>
      <c r="BI7" s="316">
        <f>SUBTOTAL(9,Table4[Jul_2027_Days_Forecast])</f>
        <v/>
      </c>
      <c r="BJ7" s="316">
        <f>SUBTOTAL(9,Table4[Aug_2027_Days_Forecast])</f>
        <v/>
      </c>
      <c r="BK7" s="316">
        <f>SUBTOTAL(9,Table4[Sep_2027_Days_Forecast])</f>
        <v/>
      </c>
      <c r="BL7" s="316">
        <f>SUBTOTAL(9,Table4[Oct_2027_Days_Forecast])</f>
        <v/>
      </c>
      <c r="BM7" s="316">
        <f>SUBTOTAL(9,Table4[Nov_2027_Days_Forecast])</f>
        <v/>
      </c>
      <c r="BN7" s="316">
        <f>SUBTOTAL(9,Table4[Dec_2027_Days_Forecast])</f>
        <v/>
      </c>
      <c r="BO7" s="56" t="n"/>
      <c r="BP7" s="321" t="n"/>
      <c r="BQ7" s="317">
        <f>SUBTOTAL(9,Table4[Jan_2026_F])</f>
        <v/>
      </c>
      <c r="BR7" s="317">
        <f>SUBTOTAL(9,Table4[Jan_2026_A])</f>
        <v/>
      </c>
      <c r="BS7" s="317">
        <f>SUBTOTAL(9,Table4[Jan_2026_V])</f>
        <v/>
      </c>
      <c r="BT7" s="318" t="n"/>
      <c r="BU7" s="317">
        <f>SUBTOTAL(9,Table4[Feb_2026_F])</f>
        <v/>
      </c>
      <c r="BV7" s="317">
        <f>SUBTOTAL(9,Table4[Feb_2026_A])</f>
        <v/>
      </c>
      <c r="BW7" s="317">
        <f>SUBTOTAL(9,Table4[Feb_2026_D])</f>
        <v/>
      </c>
      <c r="BX7" s="318" t="n"/>
      <c r="BY7" s="317">
        <f>SUBTOTAL(9,Table4[Mar_2026_F])</f>
        <v/>
      </c>
      <c r="BZ7" s="317">
        <f>SUBTOTAL(9,Table4[Mar_2026_A])</f>
        <v/>
      </c>
      <c r="CA7" s="317">
        <f>SUBTOTAL(9,Table4[Mar_2026_D])</f>
        <v/>
      </c>
      <c r="CB7" s="318" t="n"/>
      <c r="CC7" s="317">
        <f>SUBTOTAL(9,Table4[Apr_2026_F])</f>
        <v/>
      </c>
      <c r="CD7" s="317">
        <f>SUBTOTAL(9,Table4[Apr_2026_A])</f>
        <v/>
      </c>
      <c r="CE7" s="317">
        <f>SUBTOTAL(9,Table4[Apr_2026_D])</f>
        <v/>
      </c>
      <c r="CF7" s="318" t="n"/>
      <c r="CG7" s="317">
        <f>SUBTOTAL(9,Table4[May_2026_F])</f>
        <v/>
      </c>
      <c r="CH7" s="317">
        <f>SUBTOTAL(9,Table4[May_2026_A])</f>
        <v/>
      </c>
      <c r="CI7" s="317">
        <f>SUBTOTAL(9,Table4[May_2026_D])</f>
        <v/>
      </c>
      <c r="CJ7" s="318" t="n"/>
      <c r="CK7" s="317">
        <f>SUBTOTAL(9,Table4[Jun_2026_F])</f>
        <v/>
      </c>
      <c r="CL7" s="317">
        <f>SUBTOTAL(9,Table4[Jun_2026_A])</f>
        <v/>
      </c>
      <c r="CM7" s="317">
        <f>SUBTOTAL(9,Table4[Jun_2026_D])</f>
        <v/>
      </c>
      <c r="CN7" s="318" t="n"/>
      <c r="CO7" s="317">
        <f>SUBTOTAL(9,Table4[Jul_2026_F])</f>
        <v/>
      </c>
      <c r="CP7" s="317">
        <f>SUBTOTAL(9,Table4[Jul_2026_A])</f>
        <v/>
      </c>
      <c r="CQ7" s="317">
        <f>SUBTOTAL(9,Table4[Jul_2026_D])</f>
        <v/>
      </c>
      <c r="CR7" s="318" t="n"/>
      <c r="CS7" s="317">
        <f>SUBTOTAL(9,Table4[Aug_2026_F])</f>
        <v/>
      </c>
      <c r="CT7" s="317">
        <f>SUBTOTAL(9,Table4[Aug_2026_A])</f>
        <v/>
      </c>
      <c r="CU7" s="317">
        <f>SUBTOTAL(9,Table4[Aug_2026_D])</f>
        <v/>
      </c>
      <c r="CV7" s="318" t="n"/>
      <c r="CW7" s="317">
        <f>SUBTOTAL(9,Table4[Sep_2026_F])</f>
        <v/>
      </c>
      <c r="CX7" s="317">
        <f>SUBTOTAL(9,Table4[Sep_2026_A])</f>
        <v/>
      </c>
      <c r="CY7" s="317">
        <f>SUBTOTAL(9,Table4[Sep_2026_D])</f>
        <v/>
      </c>
      <c r="CZ7" s="318" t="n"/>
      <c r="DA7" s="317">
        <f>SUBTOTAL(9,Table4[Oct_2026_F])</f>
        <v/>
      </c>
      <c r="DB7" s="317">
        <f>SUBTOTAL(9,Table4[Oct_2026_A])</f>
        <v/>
      </c>
      <c r="DC7" s="317">
        <f>SUBTOTAL(9,Table4[Oct_2026_D])</f>
        <v/>
      </c>
      <c r="DD7" s="318" t="n"/>
      <c r="DE7" s="317">
        <f>SUBTOTAL(9,Table4[Nov_2026_F])</f>
        <v/>
      </c>
      <c r="DF7" s="317">
        <f>SUBTOTAL(9,Table4[Nov_2026_A])</f>
        <v/>
      </c>
      <c r="DG7" s="317">
        <f>SUBTOTAL(9,Table4[Nov_2026_D])</f>
        <v/>
      </c>
      <c r="DH7" s="318" t="n"/>
      <c r="DI7" s="317">
        <f>SUBTOTAL(9,Table4[Dec_2026_F])</f>
        <v/>
      </c>
      <c r="DJ7" s="317">
        <f>SUBTOTAL(9,Table4[Dec_2026_A])</f>
        <v/>
      </c>
      <c r="DK7" s="317">
        <f>SUBTOTAL(9,Table4[Dec_2026_D])</f>
        <v/>
      </c>
      <c r="DL7" s="319" t="n"/>
      <c r="DM7" s="321" t="n"/>
      <c r="DN7" s="317">
        <f>SUBTOTAL(9,Table4[Jan_2027_F])</f>
        <v/>
      </c>
      <c r="DO7" s="317">
        <f>SUBTOTAL(9,Table4[Jan_2027_A])</f>
        <v/>
      </c>
      <c r="DP7" s="317">
        <f>SUBTOTAL(9,Table4[Jan_2027_D])</f>
        <v/>
      </c>
      <c r="DQ7" s="317">
        <f>SUBTOTAL(9,Table4[Feb_2027_F])</f>
        <v/>
      </c>
      <c r="DR7" s="317">
        <f>SUBTOTAL(9,Table4[Feb_2027_A])</f>
        <v/>
      </c>
      <c r="DS7" s="317">
        <f>SUBTOTAL(9,Table4[Feb_2027_D])</f>
        <v/>
      </c>
      <c r="DT7" s="317">
        <f>SUBTOTAL(9,Table4[Mar_2027_F])</f>
        <v/>
      </c>
      <c r="DU7" s="317">
        <f>SUBTOTAL(9,Table4[Mar_2027_A])</f>
        <v/>
      </c>
      <c r="DV7" s="317">
        <f>SUBTOTAL(9,Table4[Mar_2027_D])</f>
        <v/>
      </c>
      <c r="DW7" s="317">
        <f>SUBTOTAL(9,Table4[Apr_2027_F])</f>
        <v/>
      </c>
      <c r="DX7" s="317">
        <f>SUBTOTAL(9,Table4[Apr_2027_A])</f>
        <v/>
      </c>
      <c r="DY7" s="317">
        <f>SUBTOTAL(9,Table4[Apr_2027_D])</f>
        <v/>
      </c>
      <c r="DZ7" s="317">
        <f>SUBTOTAL(9,Table4[May_2027_F])</f>
        <v/>
      </c>
      <c r="EA7" s="317">
        <f>SUBTOTAL(9,Table4[May_2027_A])</f>
        <v/>
      </c>
      <c r="EB7" s="317">
        <f>SUBTOTAL(9,Table4[May_2027_D])</f>
        <v/>
      </c>
      <c r="EC7" s="317">
        <f>SUBTOTAL(9,Table4[Jun_2027_F])</f>
        <v/>
      </c>
      <c r="ED7" s="317">
        <f>SUBTOTAL(9,Table4[Jun_2027_A])</f>
        <v/>
      </c>
      <c r="EE7" s="317">
        <f>SUBTOTAL(9,Table4[Jun_2027_D])</f>
        <v/>
      </c>
      <c r="EF7" s="317">
        <f>SUBTOTAL(9,Table4[Jul_2027_F])</f>
        <v/>
      </c>
      <c r="EG7" s="317">
        <f>SUBTOTAL(9,Table4[Jul_2027_A])</f>
        <v/>
      </c>
      <c r="EH7" s="317">
        <f>SUBTOTAL(9,Table4[Jul_2027_D])</f>
        <v/>
      </c>
      <c r="EI7" s="317">
        <f>SUBTOTAL(9,Table4[Aug_2027_F])</f>
        <v/>
      </c>
      <c r="EJ7" s="317">
        <f>SUBTOTAL(9,Table4[Aug_2027_A])</f>
        <v/>
      </c>
      <c r="EK7" s="317">
        <f>SUBTOTAL(9,Table4[Aug_2027_D])</f>
        <v/>
      </c>
      <c r="EL7" s="317">
        <f>SUBTOTAL(9,Table4[Sep_2027_F])</f>
        <v/>
      </c>
      <c r="EM7" s="317">
        <f>SUBTOTAL(9,Table4[Sep_2027_A])</f>
        <v/>
      </c>
      <c r="EN7" s="317">
        <f>SUBTOTAL(9,Table4[Sep_2027_D])</f>
        <v/>
      </c>
      <c r="EO7" s="317">
        <f>SUBTOTAL(9,Table4[Oct_2027_F])</f>
        <v/>
      </c>
      <c r="EP7" s="317">
        <f>SUBTOTAL(9,Table4[Oct_2027_A])</f>
        <v/>
      </c>
      <c r="EQ7" s="317">
        <f>SUBTOTAL(9,Table4[Oct_2027_D])</f>
        <v/>
      </c>
      <c r="ER7" s="317">
        <f>SUBTOTAL(9,Table4[Nov_2027_F])</f>
        <v/>
      </c>
      <c r="ES7" s="317">
        <f>SUBTOTAL(9,Table4[Nov_2027_A])</f>
        <v/>
      </c>
      <c r="ET7" s="317">
        <f>SUBTOTAL(9,Table4[Nov_2027_D])</f>
        <v/>
      </c>
      <c r="EU7" s="317">
        <f>SUBTOTAL(9,Table4[Dec_2027_F])</f>
        <v/>
      </c>
      <c r="EV7" s="317">
        <f>SUBTOTAL(9,Table4[Dec_2027_A])</f>
        <v/>
      </c>
      <c r="EW7" s="317">
        <f>SUBTOTAL(9,Table4[Dec_2027_D])</f>
        <v/>
      </c>
    </row>
    <row r="8" hidden="1" ht="14.45" customHeight="1">
      <c r="L8" s="14" t="n"/>
      <c r="W8" s="14" t="n"/>
      <c r="AA8" s="50" t="n"/>
      <c r="AB8" s="322" t="n">
        <v>2026</v>
      </c>
      <c r="AC8" s="323" t="n"/>
      <c r="AD8" s="323" t="n"/>
      <c r="AE8" s="323" t="n"/>
      <c r="AF8" s="323" t="n"/>
      <c r="AG8" s="323" t="n"/>
      <c r="AH8" s="323" t="n"/>
      <c r="AI8" s="323" t="n"/>
      <c r="AJ8" s="323" t="n"/>
      <c r="AK8" s="323" t="n"/>
      <c r="AL8" s="323" t="n"/>
      <c r="AM8" s="324" t="n"/>
      <c r="AN8" s="50" t="n"/>
      <c r="AO8" s="50" t="n"/>
      <c r="AP8" s="322" t="n">
        <v>2026</v>
      </c>
      <c r="AQ8" s="323" t="n"/>
      <c r="AR8" s="323" t="n"/>
      <c r="AS8" s="323" t="n"/>
      <c r="AT8" s="323" t="n"/>
      <c r="AU8" s="323" t="n"/>
      <c r="AV8" s="323" t="n"/>
      <c r="AW8" s="323" t="n"/>
      <c r="AX8" s="323" t="n"/>
      <c r="AY8" s="323" t="n"/>
      <c r="AZ8" s="323" t="n"/>
      <c r="BA8" s="324" t="n"/>
      <c r="BB8" s="50" t="n"/>
      <c r="BC8" s="325" t="n">
        <v>2027</v>
      </c>
      <c r="BD8" s="326" t="n"/>
      <c r="BE8" s="326" t="n"/>
      <c r="BF8" s="326" t="n"/>
      <c r="BG8" s="326" t="n"/>
      <c r="BH8" s="326" t="n"/>
      <c r="BI8" s="326" t="n"/>
      <c r="BJ8" s="326" t="n"/>
      <c r="BK8" s="326" t="n"/>
      <c r="BL8" s="326" t="n"/>
      <c r="BM8" s="326" t="n"/>
      <c r="BN8" s="327" t="n"/>
      <c r="BO8" s="55" t="n"/>
      <c r="BP8" s="55" t="n"/>
      <c r="BQ8" s="328" t="n">
        <v>46047</v>
      </c>
      <c r="BR8" s="329" t="n"/>
      <c r="BS8" s="330" t="n"/>
      <c r="BT8" s="220" t="n"/>
      <c r="BU8" s="328" t="n">
        <v>46078</v>
      </c>
      <c r="BV8" s="329" t="n"/>
      <c r="BW8" s="330" t="n"/>
      <c r="BX8" s="220" t="n"/>
      <c r="BY8" s="328" t="n">
        <v>46106</v>
      </c>
      <c r="BZ8" s="329" t="n"/>
      <c r="CA8" s="330" t="n"/>
      <c r="CB8" s="220" t="n"/>
      <c r="CC8" s="328" t="n">
        <v>46137</v>
      </c>
      <c r="CD8" s="329" t="n"/>
      <c r="CE8" s="330" t="n"/>
      <c r="CF8" s="220" t="n"/>
      <c r="CG8" s="328" t="n">
        <v>46167</v>
      </c>
      <c r="CH8" s="329" t="n"/>
      <c r="CI8" s="330" t="n"/>
      <c r="CJ8" s="220" t="n"/>
      <c r="CK8" s="328" t="n">
        <v>46198</v>
      </c>
      <c r="CL8" s="329" t="n"/>
      <c r="CM8" s="330" t="n"/>
      <c r="CN8" s="220" t="n"/>
      <c r="CO8" s="328" t="n">
        <v>46228</v>
      </c>
      <c r="CP8" s="329" t="n"/>
      <c r="CQ8" s="330" t="n"/>
      <c r="CR8" s="220" t="n"/>
      <c r="CS8" s="328" t="n">
        <v>46259</v>
      </c>
      <c r="CT8" s="329" t="n"/>
      <c r="CU8" s="330" t="n"/>
      <c r="CV8" s="220" t="n"/>
      <c r="CW8" s="328" t="n">
        <v>46290</v>
      </c>
      <c r="CX8" s="329" t="n"/>
      <c r="CY8" s="330" t="n"/>
      <c r="CZ8" s="220" t="n"/>
      <c r="DA8" s="328" t="n">
        <v>46320</v>
      </c>
      <c r="DB8" s="329" t="n"/>
      <c r="DC8" s="330" t="n"/>
      <c r="DD8" s="220" t="n"/>
      <c r="DE8" s="328" t="n">
        <v>46351</v>
      </c>
      <c r="DF8" s="329" t="n"/>
      <c r="DG8" s="330" t="n"/>
      <c r="DH8" s="220" t="n"/>
      <c r="DI8" s="328" t="n">
        <v>46381</v>
      </c>
      <c r="DJ8" s="329" t="n"/>
      <c r="DK8" s="330" t="n"/>
      <c r="DL8" s="102" t="n"/>
      <c r="DM8" s="55" t="n"/>
      <c r="DN8" s="328" t="n">
        <v>46412</v>
      </c>
      <c r="DO8" s="329" t="n"/>
      <c r="DP8" s="330" t="n"/>
      <c r="DQ8" s="331" t="n">
        <v>46443</v>
      </c>
      <c r="DR8" s="329" t="n"/>
      <c r="DS8" s="330" t="n"/>
      <c r="DT8" s="331" t="n">
        <v>46471</v>
      </c>
      <c r="DU8" s="329" t="n"/>
      <c r="DV8" s="330" t="n"/>
      <c r="DW8" s="331" t="n">
        <v>46502</v>
      </c>
      <c r="DX8" s="329" t="n"/>
      <c r="DY8" s="330" t="n"/>
      <c r="DZ8" s="331" t="n">
        <v>46532</v>
      </c>
      <c r="EA8" s="329" t="n"/>
      <c r="EB8" s="330" t="n"/>
      <c r="EC8" s="331" t="n">
        <v>46563</v>
      </c>
      <c r="ED8" s="329" t="n"/>
      <c r="EE8" s="330" t="n"/>
      <c r="EF8" s="331" t="n">
        <v>46593</v>
      </c>
      <c r="EG8" s="329" t="n"/>
      <c r="EH8" s="330" t="n"/>
      <c r="EI8" s="331" t="n">
        <v>46624</v>
      </c>
      <c r="EJ8" s="329" t="n"/>
      <c r="EK8" s="330" t="n"/>
      <c r="EL8" s="331" t="n">
        <v>46655</v>
      </c>
      <c r="EM8" s="329" t="n"/>
      <c r="EN8" s="330" t="n"/>
      <c r="EO8" s="331" t="n">
        <v>46685</v>
      </c>
      <c r="EP8" s="329" t="n"/>
      <c r="EQ8" s="330" t="n"/>
      <c r="ER8" s="331" t="n">
        <v>46716</v>
      </c>
      <c r="ES8" s="329" t="n"/>
      <c r="ET8" s="330" t="n"/>
      <c r="EU8" s="331" t="n">
        <v>46746</v>
      </c>
      <c r="EV8" s="329" t="n"/>
      <c r="EW8" s="330" t="n"/>
    </row>
    <row r="9" ht="131.25" customFormat="1" customHeight="1" s="48">
      <c r="A9" s="332" t="inlineStr">
        <is>
          <t>Personal Number</t>
        </is>
      </c>
      <c r="B9" s="332" t="inlineStr">
        <is>
          <t>Workstream</t>
        </is>
      </c>
      <c r="C9" s="332" t="inlineStr">
        <is>
          <t>Staff Type</t>
        </is>
      </c>
      <c r="D9" s="332" t="inlineStr">
        <is>
          <t>Resource Name</t>
        </is>
      </c>
      <c r="E9" s="332" t="inlineStr">
        <is>
          <t>Resource Provider</t>
        </is>
      </c>
      <c r="F9" s="332" t="inlineStr">
        <is>
          <t>Resource Plan Number</t>
        </is>
      </c>
      <c r="G9" s="332" t="inlineStr">
        <is>
          <t>Country</t>
        </is>
      </c>
      <c r="H9" s="332" t="inlineStr">
        <is>
          <t>JG</t>
        </is>
      </c>
      <c r="I9" s="332" t="inlineStr">
        <is>
          <t>Resource Group / Team</t>
        </is>
      </c>
      <c r="J9" s="332" t="inlineStr">
        <is>
          <t>Project Role</t>
        </is>
      </c>
      <c r="K9" s="332" t="inlineStr">
        <is>
          <t>Status</t>
        </is>
      </c>
      <c r="L9" s="332" t="inlineStr">
        <is>
          <t>Cost Boolean</t>
        </is>
      </c>
      <c r="M9" s="332" t="inlineStr">
        <is>
          <t>Location</t>
        </is>
      </c>
      <c r="N9" s="332" t="inlineStr">
        <is>
          <t>Capability</t>
        </is>
      </c>
      <c r="O9" s="332" t="inlineStr">
        <is>
          <t>OPEX/CAPEX</t>
        </is>
      </c>
      <c r="P9" s="332" t="inlineStr">
        <is>
          <t>Tag</t>
        </is>
      </c>
      <c r="Q9" s="332" t="inlineStr">
        <is>
          <t>WBSE</t>
        </is>
      </c>
      <c r="R9" s="332" t="inlineStr">
        <is>
          <t>Planned Start Date</t>
        </is>
      </c>
      <c r="S9" s="332" t="inlineStr">
        <is>
          <t>Planned End Date</t>
        </is>
      </c>
      <c r="T9" s="332" t="inlineStr">
        <is>
          <t>Revised Start Date</t>
        </is>
      </c>
      <c r="U9" s="332" t="inlineStr">
        <is>
          <t>Revised End Date</t>
        </is>
      </c>
      <c r="V9" s="332" t="inlineStr">
        <is>
          <t>Actual Start Date</t>
        </is>
      </c>
      <c r="W9" s="332" t="inlineStr">
        <is>
          <t>Actual End Date</t>
        </is>
      </c>
      <c r="X9" s="332" t="inlineStr">
        <is>
          <t>Comments</t>
        </is>
      </c>
      <c r="Y9" s="332" t="inlineStr">
        <is>
          <t>RATE CONCAT</t>
        </is>
      </c>
      <c r="Z9" s="332" t="inlineStr">
        <is>
          <t>Rate</t>
        </is>
      </c>
      <c r="AA9" s="333" t="inlineStr">
        <is>
          <t>DAYS</t>
        </is>
      </c>
      <c r="AB9" s="334" t="inlineStr">
        <is>
          <t>Jan_2026_Days_Forecast</t>
        </is>
      </c>
      <c r="AC9" s="334" t="inlineStr">
        <is>
          <t>Feb_2026_Days_Forecast</t>
        </is>
      </c>
      <c r="AD9" s="334" t="inlineStr">
        <is>
          <t>Mar_2026_Days_Forecast</t>
        </is>
      </c>
      <c r="AE9" s="334" t="inlineStr">
        <is>
          <t>Apr_2026_Days_Forecast</t>
        </is>
      </c>
      <c r="AF9" s="334" t="inlineStr">
        <is>
          <t>May_2026_Days_Forecast</t>
        </is>
      </c>
      <c r="AG9" s="334" t="inlineStr">
        <is>
          <t>Jun_2026_Days_Forecast</t>
        </is>
      </c>
      <c r="AH9" s="334" t="inlineStr">
        <is>
          <t>Jul_2026_Days_Forecast</t>
        </is>
      </c>
      <c r="AI9" s="334" t="inlineStr">
        <is>
          <t>Aug_2026_Days_Forecast</t>
        </is>
      </c>
      <c r="AJ9" s="334" t="inlineStr">
        <is>
          <t>Sep_2026_Days_Forecast</t>
        </is>
      </c>
      <c r="AK9" s="334" t="inlineStr">
        <is>
          <t>Oct_2026_Days_Forecast</t>
        </is>
      </c>
      <c r="AL9" s="334" t="inlineStr">
        <is>
          <t>Nov_2026_Days_Forecast</t>
        </is>
      </c>
      <c r="AM9" s="334" t="inlineStr">
        <is>
          <t>Dec_2026_Days_Forecast</t>
        </is>
      </c>
      <c r="AN9" s="333" t="inlineStr">
        <is>
          <t>FTE</t>
        </is>
      </c>
      <c r="AO9" s="333" t="inlineStr">
        <is>
          <t>2026_FTE</t>
        </is>
      </c>
      <c r="AP9" s="334" t="inlineStr">
        <is>
          <t>Jan_2026_Days_Actual</t>
        </is>
      </c>
      <c r="AQ9" s="334" t="inlineStr">
        <is>
          <t>Feb_2026_Days_Actual</t>
        </is>
      </c>
      <c r="AR9" s="334" t="inlineStr">
        <is>
          <t>Mar_2026_Days_Actual</t>
        </is>
      </c>
      <c r="AS9" s="334" t="inlineStr">
        <is>
          <t>Apr_2026_Days_Actual</t>
        </is>
      </c>
      <c r="AT9" s="334" t="inlineStr">
        <is>
          <t>May_2026_Days_Actual</t>
        </is>
      </c>
      <c r="AU9" s="334" t="inlineStr">
        <is>
          <t>Jun_2026_Days_Actual</t>
        </is>
      </c>
      <c r="AV9" s="334" t="inlineStr">
        <is>
          <t>Jul_2026_Days_Actual</t>
        </is>
      </c>
      <c r="AW9" s="334" t="inlineStr">
        <is>
          <t>Aug_2026_Days_Actual</t>
        </is>
      </c>
      <c r="AX9" s="334" t="inlineStr">
        <is>
          <t>Sep_2026_Days_Actual</t>
        </is>
      </c>
      <c r="AY9" s="334" t="inlineStr">
        <is>
          <t>Oct_2026_Days_Actual</t>
        </is>
      </c>
      <c r="AZ9" s="334" t="inlineStr">
        <is>
          <t>Nov_2026_Days_Actual</t>
        </is>
      </c>
      <c r="BA9" s="334" t="inlineStr">
        <is>
          <t>Dec_2026_Days_Actual</t>
        </is>
      </c>
      <c r="BB9" s="333" t="inlineStr">
        <is>
          <t>2027_FTE</t>
        </is>
      </c>
      <c r="BC9" s="334" t="inlineStr">
        <is>
          <t>Jan_2027_Days_Forecast</t>
        </is>
      </c>
      <c r="BD9" s="334" t="inlineStr">
        <is>
          <t>Feb_2027_Days_Forecast</t>
        </is>
      </c>
      <c r="BE9" s="334" t="inlineStr">
        <is>
          <t>Mar_2027_Days_Forecast</t>
        </is>
      </c>
      <c r="BF9" s="334" t="inlineStr">
        <is>
          <t>Apr_2027_Days_Forecast</t>
        </is>
      </c>
      <c r="BG9" s="334" t="inlineStr">
        <is>
          <t>May_2027_Days_Forecast</t>
        </is>
      </c>
      <c r="BH9" s="334" t="inlineStr">
        <is>
          <t>Jun_2027_Days_Forecast</t>
        </is>
      </c>
      <c r="BI9" s="334" t="inlineStr">
        <is>
          <t>Jul_2027_Days_Forecast</t>
        </is>
      </c>
      <c r="BJ9" s="334" t="inlineStr">
        <is>
          <t>Aug_2027_Days_Forecast</t>
        </is>
      </c>
      <c r="BK9" s="334" t="inlineStr">
        <is>
          <t>Sep_2027_Days_Forecast</t>
        </is>
      </c>
      <c r="BL9" s="334" t="inlineStr">
        <is>
          <t>Oct_2027_Days_Forecast</t>
        </is>
      </c>
      <c r="BM9" s="334" t="inlineStr">
        <is>
          <t>Nov_2027_Days_Forecast</t>
        </is>
      </c>
      <c r="BN9" s="334" t="inlineStr">
        <is>
          <t>Dec_2027_Days_Forecast</t>
        </is>
      </c>
      <c r="BO9" s="337" t="inlineStr">
        <is>
          <t>COSTS</t>
        </is>
      </c>
      <c r="BP9" s="337" t="inlineStr">
        <is>
          <t>2026_C</t>
        </is>
      </c>
      <c r="BQ9" s="335" t="inlineStr">
        <is>
          <t>Jan_2026_F</t>
        </is>
      </c>
      <c r="BR9" s="335" t="inlineStr">
        <is>
          <t>Jan_2026_A</t>
        </is>
      </c>
      <c r="BS9" s="335" t="inlineStr">
        <is>
          <t>Jan_2026_V</t>
        </is>
      </c>
      <c r="BT9" s="335" t="inlineStr">
        <is>
          <t>Jan_2026_V_Reason</t>
        </is>
      </c>
      <c r="BU9" s="336" t="inlineStr">
        <is>
          <t>Feb_2026_F</t>
        </is>
      </c>
      <c r="BV9" s="335" t="inlineStr">
        <is>
          <t>Feb_2026_A</t>
        </is>
      </c>
      <c r="BW9" s="336" t="inlineStr">
        <is>
          <t>Feb_2026_D</t>
        </is>
      </c>
      <c r="BX9" s="336" t="inlineStr">
        <is>
          <t>Feb_2026_V_Reason</t>
        </is>
      </c>
      <c r="BY9" s="336" t="inlineStr">
        <is>
          <t>Mar_2026_F</t>
        </is>
      </c>
      <c r="BZ9" s="335" t="inlineStr">
        <is>
          <t>Mar_2026_A</t>
        </is>
      </c>
      <c r="CA9" s="336" t="inlineStr">
        <is>
          <t>Mar_2026_D</t>
        </is>
      </c>
      <c r="CB9" s="336" t="inlineStr">
        <is>
          <t>Mar_2026_V_Reason</t>
        </is>
      </c>
      <c r="CC9" s="336" t="inlineStr">
        <is>
          <t>Apr_2026_F</t>
        </is>
      </c>
      <c r="CD9" s="335" t="inlineStr">
        <is>
          <t>Apr_2026_A</t>
        </is>
      </c>
      <c r="CE9" s="336" t="inlineStr">
        <is>
          <t>Apr_2026_D</t>
        </is>
      </c>
      <c r="CF9" s="336" t="inlineStr">
        <is>
          <t>Apr_2026_V_Reason</t>
        </is>
      </c>
      <c r="CG9" s="336" t="inlineStr">
        <is>
          <t>May_2026_F</t>
        </is>
      </c>
      <c r="CH9" s="335" t="inlineStr">
        <is>
          <t>May_2026_A</t>
        </is>
      </c>
      <c r="CI9" s="336" t="inlineStr">
        <is>
          <t>May_2026_D</t>
        </is>
      </c>
      <c r="CJ9" s="336" t="inlineStr">
        <is>
          <t>May_2026_V_Reason</t>
        </is>
      </c>
      <c r="CK9" s="336" t="inlineStr">
        <is>
          <t>Jun_2026_F</t>
        </is>
      </c>
      <c r="CL9" s="335" t="inlineStr">
        <is>
          <t>Jun_2026_A</t>
        </is>
      </c>
      <c r="CM9" s="336" t="inlineStr">
        <is>
          <t>Jun_2026_D</t>
        </is>
      </c>
      <c r="CN9" s="336" t="inlineStr">
        <is>
          <t>Jun_2026_V_Reason</t>
        </is>
      </c>
      <c r="CO9" s="336" t="inlineStr">
        <is>
          <t>Jul_2026_F</t>
        </is>
      </c>
      <c r="CP9" s="335" t="inlineStr">
        <is>
          <t>Jul_2026_A</t>
        </is>
      </c>
      <c r="CQ9" s="336" t="inlineStr">
        <is>
          <t>Jul_2026_D</t>
        </is>
      </c>
      <c r="CR9" s="336" t="inlineStr">
        <is>
          <t>Jul_2026_V_Reason</t>
        </is>
      </c>
      <c r="CS9" s="336" t="inlineStr">
        <is>
          <t>Aug_2026_F</t>
        </is>
      </c>
      <c r="CT9" s="335" t="inlineStr">
        <is>
          <t>Aug_2026_A</t>
        </is>
      </c>
      <c r="CU9" s="336" t="inlineStr">
        <is>
          <t>Aug_2026_D</t>
        </is>
      </c>
      <c r="CV9" s="336" t="inlineStr">
        <is>
          <t>Aug_2026_V_Reason</t>
        </is>
      </c>
      <c r="CW9" s="336" t="inlineStr">
        <is>
          <t>Sep_2026_F</t>
        </is>
      </c>
      <c r="CX9" s="335" t="inlineStr">
        <is>
          <t>Sep_2026_A</t>
        </is>
      </c>
      <c r="CY9" s="336" t="inlineStr">
        <is>
          <t>Sep_2026_D</t>
        </is>
      </c>
      <c r="CZ9" s="336" t="inlineStr">
        <is>
          <t>Sep_2026_V_Reason</t>
        </is>
      </c>
      <c r="DA9" s="336" t="inlineStr">
        <is>
          <t>Oct_2026_F</t>
        </is>
      </c>
      <c r="DB9" s="335" t="inlineStr">
        <is>
          <t>Oct_2026_A</t>
        </is>
      </c>
      <c r="DC9" s="336" t="inlineStr">
        <is>
          <t>Oct_2026_D</t>
        </is>
      </c>
      <c r="DD9" s="336" t="inlineStr">
        <is>
          <t>Oct_2026_V_Reason</t>
        </is>
      </c>
      <c r="DE9" s="336" t="inlineStr">
        <is>
          <t>Nov_2026_F</t>
        </is>
      </c>
      <c r="DF9" s="335" t="inlineStr">
        <is>
          <t>Nov_2026_A</t>
        </is>
      </c>
      <c r="DG9" s="336" t="inlineStr">
        <is>
          <t>Nov_2026_D</t>
        </is>
      </c>
      <c r="DH9" s="336" t="inlineStr">
        <is>
          <t>Nov_2026_V_Reason</t>
        </is>
      </c>
      <c r="DI9" s="336" t="inlineStr">
        <is>
          <t>Dec_2026_F</t>
        </is>
      </c>
      <c r="DJ9" s="335" t="inlineStr">
        <is>
          <t>Dec_2026_A</t>
        </is>
      </c>
      <c r="DK9" s="336" t="inlineStr">
        <is>
          <t>Dec_2026_D</t>
        </is>
      </c>
      <c r="DL9" s="336" t="inlineStr">
        <is>
          <t>Dec_2026_V_Reason</t>
        </is>
      </c>
      <c r="DM9" s="337" t="inlineStr">
        <is>
          <t>2027_C</t>
        </is>
      </c>
      <c r="DN9" s="335" t="inlineStr">
        <is>
          <t>Jan_2027_F</t>
        </is>
      </c>
      <c r="DO9" s="335" t="inlineStr">
        <is>
          <t>Jan_2027_A</t>
        </is>
      </c>
      <c r="DP9" s="335" t="inlineStr">
        <is>
          <t>Jan_2027_D</t>
        </is>
      </c>
      <c r="DQ9" s="336" t="inlineStr">
        <is>
          <t>Feb_2027_F</t>
        </is>
      </c>
      <c r="DR9" s="335" t="inlineStr">
        <is>
          <t>Feb_2027_A</t>
        </is>
      </c>
      <c r="DS9" s="336" t="inlineStr">
        <is>
          <t>Feb_2027_D</t>
        </is>
      </c>
      <c r="DT9" s="336" t="inlineStr">
        <is>
          <t>Mar_2027_F</t>
        </is>
      </c>
      <c r="DU9" s="335" t="inlineStr">
        <is>
          <t>Mar_2027_A</t>
        </is>
      </c>
      <c r="DV9" s="336" t="inlineStr">
        <is>
          <t>Mar_2027_D</t>
        </is>
      </c>
      <c r="DW9" s="336" t="inlineStr">
        <is>
          <t>Apr_2027_F</t>
        </is>
      </c>
      <c r="DX9" s="335" t="inlineStr">
        <is>
          <t>Apr_2027_A</t>
        </is>
      </c>
      <c r="DY9" s="336" t="inlineStr">
        <is>
          <t>Apr_2027_D</t>
        </is>
      </c>
      <c r="DZ9" s="336" t="inlineStr">
        <is>
          <t>May_2027_F</t>
        </is>
      </c>
      <c r="EA9" s="335" t="inlineStr">
        <is>
          <t>May_2027_A</t>
        </is>
      </c>
      <c r="EB9" s="336" t="inlineStr">
        <is>
          <t>May_2027_D</t>
        </is>
      </c>
      <c r="EC9" s="336" t="inlineStr">
        <is>
          <t>Jun_2027_F</t>
        </is>
      </c>
      <c r="ED9" s="335" t="inlineStr">
        <is>
          <t>Jun_2027_A</t>
        </is>
      </c>
      <c r="EE9" s="336" t="inlineStr">
        <is>
          <t>Jun_2027_D</t>
        </is>
      </c>
      <c r="EF9" s="336" t="inlineStr">
        <is>
          <t>Jul_2027_F</t>
        </is>
      </c>
      <c r="EG9" s="335" t="inlineStr">
        <is>
          <t>Jul_2027_A</t>
        </is>
      </c>
      <c r="EH9" s="336" t="inlineStr">
        <is>
          <t>Jul_2027_D</t>
        </is>
      </c>
      <c r="EI9" s="336" t="inlineStr">
        <is>
          <t>Aug_2027_F</t>
        </is>
      </c>
      <c r="EJ9" s="335" t="inlineStr">
        <is>
          <t>Aug_2027_A</t>
        </is>
      </c>
      <c r="EK9" s="336" t="inlineStr">
        <is>
          <t>Aug_2027_D</t>
        </is>
      </c>
      <c r="EL9" s="336" t="inlineStr">
        <is>
          <t>Sep_2027_F</t>
        </is>
      </c>
      <c r="EM9" s="335" t="inlineStr">
        <is>
          <t>Sep_2027_A</t>
        </is>
      </c>
      <c r="EN9" s="336" t="inlineStr">
        <is>
          <t>Sep_2027_D</t>
        </is>
      </c>
      <c r="EO9" s="336" t="inlineStr">
        <is>
          <t>Oct_2027_F</t>
        </is>
      </c>
      <c r="EP9" s="335" t="inlineStr">
        <is>
          <t>Oct_2027_A</t>
        </is>
      </c>
      <c r="EQ9" s="336" t="inlineStr">
        <is>
          <t>Oct_2027_D</t>
        </is>
      </c>
      <c r="ER9" s="336" t="inlineStr">
        <is>
          <t>Nov_2027_F</t>
        </is>
      </c>
      <c r="ES9" s="335" t="inlineStr">
        <is>
          <t>Nov_2027_A</t>
        </is>
      </c>
      <c r="ET9" s="336" t="inlineStr">
        <is>
          <t>Nov_2027_D</t>
        </is>
      </c>
      <c r="EU9" s="336" t="inlineStr">
        <is>
          <t>Dec_2027_F</t>
        </is>
      </c>
      <c r="EV9" s="335" t="inlineStr">
        <is>
          <t>Dec_2027_A</t>
        </is>
      </c>
      <c r="EW9" s="336" t="inlineStr">
        <is>
          <t>Dec_2027_D</t>
        </is>
      </c>
    </row>
    <row r="10" ht="15" customHeight="1">
      <c r="A10" s="350" t="inlineStr">
        <is>
          <t>PDSFS1008</t>
        </is>
      </c>
      <c r="B10" s="350" t="inlineStr">
        <is>
          <t>VPD</t>
        </is>
      </c>
      <c r="C10" s="350" t="inlineStr">
        <is>
          <t>Contractor</t>
        </is>
      </c>
      <c r="D10" s="350" t="inlineStr">
        <is>
          <t>Sourabh Kaintura</t>
        </is>
      </c>
      <c r="E10" s="350" t="inlineStr">
        <is>
          <t>Shell IDT</t>
        </is>
      </c>
      <c r="F10" s="132" t="n"/>
      <c r="G10" s="350" t="inlineStr">
        <is>
          <t>India</t>
        </is>
      </c>
      <c r="H10" s="350" t="n">
        <v>4</v>
      </c>
      <c r="I10" s="132" t="n"/>
      <c r="J10" s="350" t="inlineStr">
        <is>
          <t>Developer</t>
        </is>
      </c>
      <c r="K10" s="350" t="inlineStr">
        <is>
          <t>In-seat</t>
        </is>
      </c>
      <c r="L10" s="350" t="n">
        <v>0</v>
      </c>
      <c r="M10" s="350" t="inlineStr">
        <is>
          <t>BNG</t>
        </is>
      </c>
      <c r="N10" s="350" t="inlineStr">
        <is>
          <t>Software Development</t>
        </is>
      </c>
      <c r="O10" s="350" t="inlineStr">
        <is>
          <t>Opex</t>
        </is>
      </c>
      <c r="P10" s="350" t="inlineStr">
        <is>
          <t>IT</t>
        </is>
      </c>
      <c r="Q10" s="350" t="inlineStr">
        <is>
          <t>TBD</t>
        </is>
      </c>
      <c r="R10" s="351" t="n">
        <v>46023</v>
      </c>
      <c r="S10" s="351" t="n">
        <v>46387</v>
      </c>
      <c r="T10" s="351" t="n">
        <v>46023</v>
      </c>
      <c r="U10" s="351" t="n">
        <v>46387</v>
      </c>
      <c r="V10" s="351" t="n">
        <v>46023</v>
      </c>
      <c r="W10" s="351" t="n">
        <v>46387</v>
      </c>
      <c r="X10" s="132" t="n"/>
      <c r="Y10" s="350">
        <f>CONCATENATE(Table4[[#This Row],[JG]],Table4[[#This Row],[Country]],Table4[[#This Row],[Resource Provider]])</f>
        <v/>
      </c>
      <c r="Z10" s="350">
        <f>VLOOKUP(Table4[[#This Row],[RATE CONCAT]],Tables!I:N,5,0)</f>
        <v/>
      </c>
      <c r="AA10" s="53" t="n"/>
      <c r="AB10" s="352" t="n">
        <v>5</v>
      </c>
      <c r="AC10" s="352" t="n">
        <v>5</v>
      </c>
      <c r="AD10" s="352" t="n">
        <v>5</v>
      </c>
      <c r="AE10" s="352" t="n">
        <v>5</v>
      </c>
      <c r="AF10" s="352" t="n">
        <v>5</v>
      </c>
      <c r="AG10" s="352" t="n">
        <v>4</v>
      </c>
      <c r="AH10" s="352" t="n">
        <v>5</v>
      </c>
      <c r="AI10" s="352" t="n">
        <v>5</v>
      </c>
      <c r="AJ10" s="352" t="n">
        <v>5</v>
      </c>
      <c r="AK10" s="352" t="n">
        <v>5</v>
      </c>
      <c r="AL10" s="352" t="n">
        <v>5</v>
      </c>
      <c r="AM10" s="352" t="n">
        <v>4</v>
      </c>
      <c r="AN10" s="353">
        <f>IFERROR(AVERAGE(Table4[[#This Row],[Jan_2026_Days_Forecast]:[Dec_2026_Days_Forecast]]),0)/19</f>
        <v/>
      </c>
      <c r="AO10" s="353">
        <f>IFERROR(AVERAGE(Table4[[#This Row],[Jan_2026_Days_Actual]:[Dec_2026_Days_Actual]]),0)/19</f>
        <v/>
      </c>
      <c r="AP10" s="352" t="n">
        <v>5</v>
      </c>
      <c r="AQ10" s="352" t="n">
        <v>5</v>
      </c>
      <c r="AR10" s="352" t="n">
        <v>5</v>
      </c>
      <c r="AS10" s="352" t="n">
        <v>5</v>
      </c>
      <c r="AT10" s="352" t="n">
        <v>5</v>
      </c>
      <c r="AU10" s="352" t="n">
        <v>4</v>
      </c>
      <c r="AV10" s="352" t="n">
        <v>5</v>
      </c>
      <c r="AW10" s="352" t="n">
        <v>5</v>
      </c>
      <c r="AX10" s="352" t="n">
        <v>5</v>
      </c>
      <c r="AY10" s="352" t="n">
        <v>5</v>
      </c>
      <c r="AZ10" s="352" t="n">
        <v>5</v>
      </c>
      <c r="BA10" s="352" t="n">
        <v>4</v>
      </c>
      <c r="BB10" s="353">
        <f>IFERROR(AVERAGE(Table4[[#This Row],[Jan_2027_Days_Forecast]:[Dec_2027_Days_Forecast]]),0)</f>
        <v/>
      </c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55" t="n"/>
      <c r="BP10" s="346" t="n"/>
      <c r="BQ10" s="345">
        <f>Table4[[#This Row],[Jan_2026_Days_Forecast]]*Table4[[#This Row],[Cost Boolean]]*VLOOKUP(Table4[[#This Row],[RATE CONCAT]],Tables!I:N,5,0)</f>
        <v/>
      </c>
      <c r="BR10" s="345">
        <f>IFERROR(Table4[[#This Row],[Jan_2026_Days_Actual]]*Table4[[#This Row],[Cost Boolean]]*(VLOOKUP(Table4[[#This Row],[RATE CONCAT]],Tables!I:N,5,0)),0)</f>
        <v/>
      </c>
      <c r="BS10" s="345">
        <f>Table4[[#This Row],[Jan_2026_F]]-Table4[[#This Row],[Jan_2026_A]]</f>
        <v/>
      </c>
      <c r="BT10" s="107" t="n"/>
      <c r="BU10" s="345">
        <f>IFERROR(Table4[[#This Row],[Feb_2026_Days_Forecast]]*Table4[[#This Row],[Cost Boolean]]*(VLOOKUP(Table4[[#This Row],[RATE CONCAT]],Tables!I:N,5,0)),0)</f>
        <v/>
      </c>
      <c r="BV10" s="345">
        <f>IFERROR(Table4[[#This Row],[Feb_2026_Days_Actual]]*Table4[[#This Row],[Cost Boolean]]*(VLOOKUP(Table4[[#This Row],[RATE CONCAT]],Tables!I:N,5,0)),0)</f>
        <v/>
      </c>
      <c r="BW10" s="345">
        <f>Table4[[#This Row],[Feb_2026_F]]-Table4[[#This Row],[Feb_2026_A]]</f>
        <v/>
      </c>
      <c r="BX10" s="103" t="n"/>
      <c r="BY10" s="345">
        <f>IFERROR(Table4[[#This Row],[Mar_2026_Days_Forecast]]*Table4[[#This Row],[Cost Boolean]]*(VLOOKUP(Table4[[#This Row],[RATE CONCAT]],Tables!I:N,5,0)),0)</f>
        <v/>
      </c>
      <c r="BZ10" s="345">
        <f>IFERROR(Table4[[#This Row],[Mar_2026_Days_Actual]]*Table4[[#This Row],[Cost Boolean]]*(VLOOKUP(Table4[[#This Row],[RATE CONCAT]],Tables!I:N,5,0)),0)</f>
        <v/>
      </c>
      <c r="CA10" s="345">
        <f>Table4[[#This Row],[Mar_2026_F]]-Table4[[#This Row],[Mar_2026_A]]</f>
        <v/>
      </c>
      <c r="CB10" s="103" t="n"/>
      <c r="CC10" s="345">
        <f>IFERROR(Table4[[#This Row],[Apr_2026_Days_Forecast]]*Table4[[#This Row],[Cost Boolean]]*(VLOOKUP(Table4[[#This Row],[RATE CONCAT]],Tables!I:N,5,0)),0)</f>
        <v/>
      </c>
      <c r="CD10" s="345">
        <f>IFERROR(Table4[[#This Row],[Apr_2026_Days_Actual]]*Table4[[#This Row],[Cost Boolean]]*(VLOOKUP(Table4[[#This Row],[RATE CONCAT]],Tables!I:N,5,0)),0)</f>
        <v/>
      </c>
      <c r="CE10" s="345">
        <f>Table4[[#This Row],[Apr_2026_F]]-Table4[[#This Row],[Apr_2026_A]]</f>
        <v/>
      </c>
      <c r="CF10" s="103" t="n"/>
      <c r="CG10" s="345">
        <f>IFERROR(Table4[[#This Row],[May_2026_Days_Forecast]] *Table4[[#This Row],[Cost Boolean]]*(VLOOKUP(Table4[[#This Row],[RATE CONCAT]],Tables!I:N,5,0)),0)</f>
        <v/>
      </c>
      <c r="CH10" s="345">
        <f>IFERROR(Table4[[#This Row],[May_2026_Days_Actual]]*Table4[[#This Row],[Cost Boolean]]*(VLOOKUP(Table4[[#This Row],[RATE CONCAT]],Tables!I:N,5,0)),0)</f>
        <v/>
      </c>
      <c r="CI10" s="345">
        <f>Table4[[#This Row],[May_2026_F]]-Table4[[#This Row],[May_2026_A]]</f>
        <v/>
      </c>
      <c r="CJ10" s="103" t="n"/>
      <c r="CK10" s="345">
        <f>IFERROR(Table4[[#This Row],[Jun_2026_Days_Forecast]]*Table4[[#This Row],[Cost Boolean]]*(VLOOKUP(Table4[[#This Row],[RATE CONCAT]],Tables!I:N,5,0)),0)</f>
        <v/>
      </c>
      <c r="CL10" s="345">
        <f>IFERROR(Table4[[#This Row],[Jun_2026_Days_Actual]]*Table4[[#This Row],[Cost Boolean]]*(VLOOKUP(Table4[[#This Row],[RATE CONCAT]],Tables!I:N,5,0)),0)</f>
        <v/>
      </c>
      <c r="CM10" s="345">
        <f>Table4[[#This Row],[Jun_2026_F]]-Table4[[#This Row],[Jun_2026_A]]</f>
        <v/>
      </c>
      <c r="CN10" s="103" t="n"/>
      <c r="CO10" s="345">
        <f>IFERROR(Table4[[#This Row],[Jul_2026_Days_Forecast]]*Table4[[#This Row],[Cost Boolean]]*(VLOOKUP(Table4[[#This Row],[RATE CONCAT]],Tables!I:N,5,0)),0)</f>
        <v/>
      </c>
      <c r="CP10" s="345">
        <f>IFERROR(Table4[[#This Row],[Aug_2026_Days_Forecast]]*Table4[[#This Row],[Location]]*(VLOOKUP(Table4[[#This Row],[Rate]],Tables!J:O,5,0)),0)</f>
        <v/>
      </c>
      <c r="CQ10" s="345">
        <f>Table4[[#This Row],[Jul_2026_F]]-Table4[[#This Row],[Jul_2026_A]]</f>
        <v/>
      </c>
      <c r="CR10" s="103" t="n"/>
      <c r="CS10" s="345">
        <f>IFERROR(Table4[[#This Row],[Aug_2026_Days_Forecast]]*Table4[[#This Row],[Cost Boolean]]*(VLOOKUP(Table4[[#This Row],[RATE CONCAT]],Tables!I:N,5,0)),0)</f>
        <v/>
      </c>
      <c r="CT10" s="345">
        <f>IFERROR(Table4[[#This Row],[Aug_2026_Days_Actual]]*Table4[[#This Row],[Cost Boolean]]*(VLOOKUP(Table4[[#This Row],[RATE CONCAT]],Tables!I:N,5,0)),0)</f>
        <v/>
      </c>
      <c r="CU10" s="345">
        <f>Table4[[#This Row],[Aug_2026_F]]-Table4[[#This Row],[Aug_2026_A]]</f>
        <v/>
      </c>
      <c r="CV10" s="103" t="n"/>
      <c r="CW10" s="345">
        <f>IFERROR(Table4[[#This Row],[Sep_2026_Days_Forecast]]*Table4[[#This Row],[Cost Boolean]]*(VLOOKUP(Table4[[#This Row],[RATE CONCAT]],Tables!I:N,5,0)),0)</f>
        <v/>
      </c>
      <c r="CX10" s="345">
        <f>IFERROR(Table4[[#This Row],[Sep_2026_Days_Actual]]*Table4[[#This Row],[Cost Boolean]]*(VLOOKUP(Table4[[#This Row],[RATE CONCAT]],Tables!I:N,5,0)),0)</f>
        <v/>
      </c>
      <c r="CY10" s="345">
        <f>Table4[[#This Row],[Sep_2026_F]]-Table4[[#This Row],[Sep_2026_A]]</f>
        <v/>
      </c>
      <c r="CZ10" s="103" t="n"/>
      <c r="DA10" s="345">
        <f>IFERROR(Table4[[#This Row],[Oct_2026_Days_Forecast]]*Table4[[#This Row],[Cost Boolean]]*(VLOOKUP(Table4[[#This Row],[RATE CONCAT]],Tables!I:N,5,0)),0)</f>
        <v/>
      </c>
      <c r="DB10" s="345">
        <f>IFERROR(Table4[[#This Row],[Oct_2026_Days_Actual]]*Table4[[#This Row],[Cost Boolean]]*(VLOOKUP(Table4[[#This Row],[RATE CONCAT]],Tables!I:N,5,0)),0)</f>
        <v/>
      </c>
      <c r="DC10" s="345">
        <f>Table4[[#This Row],[Oct_2026_F]]-Table4[[#This Row],[Oct_2026_A]]</f>
        <v/>
      </c>
      <c r="DD10" s="103" t="n"/>
      <c r="DE10" s="345">
        <f>IFERROR(Table4[[#This Row],[Nov_2026_Days_Forecast]]*Table4[[#This Row],[Cost Boolean]]*(VLOOKUP(Table4[[#This Row],[RATE CONCAT]],Tables!I:N,5,0)),0)</f>
        <v/>
      </c>
      <c r="DF10" s="345">
        <f>IFERROR(Table4[[#This Row],[Nov_2026_Days_Actual]]*Table4[[#This Row],[Cost Boolean]]*(VLOOKUP(Table4[[#This Row],[RATE CONCAT]],Tables!I:N,5,0)),0)</f>
        <v/>
      </c>
      <c r="DG10" s="345">
        <f>Table4[[#This Row],[Nov_2026_F]]-Table4[[#This Row],[Nov_2026_A]]</f>
        <v/>
      </c>
      <c r="DH10" s="103" t="n"/>
      <c r="DI10" s="345">
        <f>IFERROR(Table4[[#This Row],[Dec_2026_Days_Forecast]]*Table4[[#This Row],[Cost Boolean]]*(VLOOKUP(Table4[[#This Row],[RATE CONCAT]],Tables!I:N,5,0)),0)</f>
        <v/>
      </c>
      <c r="DJ10" s="345">
        <f>IFERROR(Table4[[#This Row],[Dec_2026_Days_Actual]]*Table4[[#This Row],[Cost Boolean]]*(VLOOKUP(Table4[[#This Row],[RATE CONCAT]],Tables!I:N,5,0)),0)</f>
        <v/>
      </c>
      <c r="DK10" s="345">
        <f>Table4[[#This Row],[Dec_2026_F]]-Table4[[#This Row],[Dec_2026_A]]</f>
        <v/>
      </c>
      <c r="DL10" s="103" t="n"/>
      <c r="DM10" s="346" t="n"/>
      <c r="DN10" s="345">
        <f>IFERROR(Table4[[#This Row],[Jan_2027_Days_Forecast]]*Table4[[#This Row],[Cost Boolean]]*(VLOOKUP(Table4[[#This Row],[RATE CONCAT]],Tables!I:N,6,0)),0)</f>
        <v/>
      </c>
      <c r="DO10" s="345" t="n">
        <v>0</v>
      </c>
      <c r="DP10" s="345">
        <f>Table4[[#This Row],[Jan_2027_F]]-Table4[[#This Row],[Jan_2027_A]]</f>
        <v/>
      </c>
      <c r="DQ10" s="345">
        <f>IFERROR(Table4[[#This Row],[Feb_2027_Days_Forecast]]*Table4[[#This Row],[Cost Boolean]]*(VLOOKUP(Table4[[#This Row],[RATE CONCAT]],Tables!I:N,6,0)),0)</f>
        <v/>
      </c>
      <c r="DR10" s="345" t="n">
        <v>0</v>
      </c>
      <c r="DS10" s="345">
        <f>Table4[[#This Row],[Feb_2027_F]]-Table4[[#This Row],[Feb_2027_A]]</f>
        <v/>
      </c>
      <c r="DT10" s="345">
        <f>IFERROR(Table4[[#This Row],[Mar_2027_Days_Forecast]]*Table4[[#This Row],[Cost Boolean]]*(VLOOKUP(Table4[[#This Row],[RATE CONCAT]],Tables!I:N,6,0)),0)</f>
        <v/>
      </c>
      <c r="DU10" s="345" t="n">
        <v>0</v>
      </c>
      <c r="DV10" s="345">
        <f>Table4[[#This Row],[Mar_2027_F]]-Table4[[#This Row],[Mar_2027_A]]</f>
        <v/>
      </c>
      <c r="DW10" s="345">
        <f>IFERROR(Table4[[#This Row],[Apr_2027_Days_Forecast]]*Table4[[#This Row],[Cost Boolean]]*(VLOOKUP(Table4[[#This Row],[RATE CONCAT]],Tables!I:N,6,0)),0)</f>
        <v/>
      </c>
      <c r="DX10" s="345" t="n">
        <v>0</v>
      </c>
      <c r="DY10" s="345">
        <f>Table4[[#This Row],[Apr_2027_F]]-Table4[[#This Row],[Apr_2027_A]]</f>
        <v/>
      </c>
      <c r="DZ10" s="345">
        <f>IFERROR(Table4[[#This Row],[May_2027_Days_Forecast]]*Table4[[#This Row],[Cost Boolean]]*(VLOOKUP(Table4[[#This Row],[RATE CONCAT]],Tables!I:N,6,0)),0)</f>
        <v/>
      </c>
      <c r="EA10" s="345" t="n">
        <v>0</v>
      </c>
      <c r="EB10" s="345">
        <f>Table4[[#This Row],[May_2027_F]]-Table4[[#This Row],[May_2027_A]]</f>
        <v/>
      </c>
      <c r="EC10" s="345">
        <f>IFERROR(Table4[[#This Row],[Jun_2027_Days_Forecast]]*Table4[[#This Row],[Cost Boolean]]*(VLOOKUP(Table4[[#This Row],[RATE CONCAT]],Tables!I:N,6,0)),0)</f>
        <v/>
      </c>
      <c r="ED10" s="345" t="n">
        <v>0</v>
      </c>
      <c r="EE10" s="345">
        <f>Table4[[#This Row],[Jun_2027_F]]-Table4[[#This Row],[Jun_2027_A]]</f>
        <v/>
      </c>
      <c r="EF10" s="345">
        <f>IFERROR(Table4[[#This Row],[Jul_2027_Days_Forecast]]*Table4[[#This Row],[Cost Boolean]]*(VLOOKUP(Table4[[#This Row],[RATE CONCAT]],Tables!I:N,6,0)),0)</f>
        <v/>
      </c>
      <c r="EG10" s="345" t="n">
        <v>0</v>
      </c>
      <c r="EH10" s="345">
        <f>Table4[[#This Row],[Jul_2027_F]]-Table4[[#This Row],[Jul_2027_A]]</f>
        <v/>
      </c>
      <c r="EI10" s="345">
        <f>IFERROR(Table4[[#This Row],[Aug_2027_Days_Forecast]]*Table4[[#This Row],[Cost Boolean]]*(VLOOKUP(Table4[[#This Row],[RATE CONCAT]],Tables!I:N,6,0)),0)</f>
        <v/>
      </c>
      <c r="EJ10" s="345" t="n">
        <v>0</v>
      </c>
      <c r="EK10" s="345">
        <f>Table4[[#This Row],[Aug_2027_F]]-Table4[[#This Row],[Aug_2027_A]]</f>
        <v/>
      </c>
      <c r="EL10" s="345">
        <f>IFERROR(Table4[[#This Row],[Sep_2027_Days_Forecast]]*Table4[[#This Row],[Cost Boolean]]*(VLOOKUP(Table4[[#This Row],[RATE CONCAT]],Tables!I:N,6,0)),0)</f>
        <v/>
      </c>
      <c r="EM10" s="345" t="n">
        <v>0</v>
      </c>
      <c r="EN10" s="345">
        <f>Table4[[#This Row],[Sep_2027_F]]-Table4[[#This Row],[Sep_2027_A]]</f>
        <v/>
      </c>
      <c r="EO10" s="345">
        <f>IFERROR(Table4[[#This Row],[Oct_2027_Days_Forecast]]*Table4[[#This Row],[Cost Boolean]]*(VLOOKUP(Table4[[#This Row],[RATE CONCAT]],Tables!I:N,6,0)),0)</f>
        <v/>
      </c>
      <c r="EP10" s="345" t="n">
        <v>0</v>
      </c>
      <c r="EQ10" s="345">
        <f>Table4[[#This Row],[Oct_2027_F]]-Table4[[#This Row],[Oct_2027_A]]</f>
        <v/>
      </c>
      <c r="ER10" s="345">
        <f>IFERROR(Table4[[#This Row],[Nov_2027_Days_Forecast]]*Table4[[#This Row],[Cost Boolean]]*(VLOOKUP(Table4[[#This Row],[RATE CONCAT]],Tables!I:N,6,0)),0)</f>
        <v/>
      </c>
      <c r="ES10" s="345">
        <f>IFERROR(Table4[[#This Row],[Dec_2027_Days_Forecast]]*Table4[[#This Row],[Location]]*(VLOOKUP(Table4[[#This Row],[DAYS]],Tables!J:P,6,0)),0)</f>
        <v/>
      </c>
      <c r="ET10" s="345">
        <f>Table4[[#This Row],[Nov_2027_F]]-Table4[[#This Row],[Nov_2027_A]]</f>
        <v/>
      </c>
      <c r="EU10" s="345">
        <f>IFERROR(Table4[[#This Row],[Dec_2027_Days_Forecast]]*Table4[[#This Row],[Cost Boolean]]*(VLOOKUP(Table4[[#This Row],[RATE CONCAT]],Tables!I:N,6,0)),0)</f>
        <v/>
      </c>
      <c r="EV10" s="345" t="n">
        <v>0</v>
      </c>
      <c r="EW10" s="345">
        <f>Table4[[#This Row],[Dec_2027_F]]-Table4[[#This Row],[Dec_2027_A]]</f>
        <v/>
      </c>
    </row>
    <row r="11" ht="15" customHeight="1">
      <c r="A11" s="350" t="inlineStr">
        <is>
          <t>PDSFS1011</t>
        </is>
      </c>
      <c r="B11" s="350" t="inlineStr">
        <is>
          <t>Prosmar Crude</t>
        </is>
      </c>
      <c r="C11" s="350" t="inlineStr">
        <is>
          <t>Staff</t>
        </is>
      </c>
      <c r="D11" s="350" t="inlineStr">
        <is>
          <t>Jocelyn Patenia</t>
        </is>
      </c>
      <c r="E11" s="350" t="inlineStr">
        <is>
          <t>Shell IDT</t>
        </is>
      </c>
      <c r="F11" s="132" t="n"/>
      <c r="G11" s="350" t="inlineStr">
        <is>
          <t>United States</t>
        </is>
      </c>
      <c r="H11" s="350" t="n">
        <v>3</v>
      </c>
      <c r="I11" s="132" t="n"/>
      <c r="J11" s="350" t="inlineStr">
        <is>
          <t>IDT Advisor</t>
        </is>
      </c>
      <c r="K11" s="350" t="inlineStr">
        <is>
          <t>In-seat</t>
        </is>
      </c>
      <c r="L11" s="350" t="n">
        <v>1</v>
      </c>
      <c r="M11" s="350" t="inlineStr">
        <is>
          <t>HOU</t>
        </is>
      </c>
      <c r="N11" s="350" t="inlineStr">
        <is>
          <t>IDT Portfolio Management</t>
        </is>
      </c>
      <c r="O11" s="350" t="inlineStr">
        <is>
          <t>Capex</t>
        </is>
      </c>
      <c r="P11" s="350" t="inlineStr">
        <is>
          <t>IT</t>
        </is>
      </c>
      <c r="Q11" s="350" t="inlineStr">
        <is>
          <t>TBD</t>
        </is>
      </c>
      <c r="R11" s="351" t="n">
        <v>46023</v>
      </c>
      <c r="S11" s="351" t="n">
        <v>46387</v>
      </c>
      <c r="T11" s="351" t="n">
        <v>46023</v>
      </c>
      <c r="U11" s="351" t="n">
        <v>46387</v>
      </c>
      <c r="V11" s="351" t="n">
        <v>46023</v>
      </c>
      <c r="W11" s="351" t="n">
        <v>46387</v>
      </c>
      <c r="X11" s="132" t="n"/>
      <c r="Y11" s="350">
        <f>CONCATENATE(Table4[[#This Row],[JG]],Table4[[#This Row],[Country]],Table4[[#This Row],[Resource Provider]])</f>
        <v/>
      </c>
      <c r="Z11" s="350">
        <f>VLOOKUP(Table4[[#This Row],[RATE CONCAT]],Tables!I:N,5,0)</f>
        <v/>
      </c>
      <c r="AA11" s="53" t="n"/>
      <c r="AB11" s="352" t="n">
        <v>5</v>
      </c>
      <c r="AC11" s="352" t="n">
        <v>5</v>
      </c>
      <c r="AD11" s="352" t="n">
        <v>5</v>
      </c>
      <c r="AE11" s="352" t="n">
        <v>5</v>
      </c>
      <c r="AF11" s="352" t="n">
        <v>5</v>
      </c>
      <c r="AG11" s="352" t="n">
        <v>4</v>
      </c>
      <c r="AH11" s="352" t="n">
        <v>5</v>
      </c>
      <c r="AI11" s="352" t="n">
        <v>5</v>
      </c>
      <c r="AJ11" s="352" t="n">
        <v>5</v>
      </c>
      <c r="AK11" s="352" t="n">
        <v>5</v>
      </c>
      <c r="AL11" s="352" t="n">
        <v>5</v>
      </c>
      <c r="AM11" s="352" t="n">
        <v>4</v>
      </c>
      <c r="AN11" s="353">
        <f>IFERROR(AVERAGE(Table4[[#This Row],[Jan_2026_Days_Forecast]:[Dec_2026_Days_Forecast]]),0)/19</f>
        <v/>
      </c>
      <c r="AO11" s="353">
        <f>IFERROR(AVERAGE(Table4[[#This Row],[Jan_2026_Days_Actual]:[Dec_2026_Days_Actual]]),0)/19</f>
        <v/>
      </c>
      <c r="AP11" s="352" t="n">
        <v>5</v>
      </c>
      <c r="AQ11" s="352" t="n">
        <v>5</v>
      </c>
      <c r="AR11" s="352" t="n">
        <v>5</v>
      </c>
      <c r="AS11" s="352" t="n">
        <v>5</v>
      </c>
      <c r="AT11" s="352" t="n">
        <v>5</v>
      </c>
      <c r="AU11" s="352" t="n">
        <v>4</v>
      </c>
      <c r="AV11" s="352" t="n">
        <v>5</v>
      </c>
      <c r="AW11" s="352" t="n">
        <v>5</v>
      </c>
      <c r="AX11" s="352" t="n">
        <v>5</v>
      </c>
      <c r="AY11" s="352" t="n">
        <v>5</v>
      </c>
      <c r="AZ11" s="352" t="n">
        <v>5</v>
      </c>
      <c r="BA11" s="352" t="n">
        <v>4</v>
      </c>
      <c r="BB11" s="353">
        <f>IFERROR(AVERAGE(Table4[[#This Row],[Jan_2027_Days_Forecast]:[Dec_2027_Days_Forecast]]),0)</f>
        <v/>
      </c>
      <c r="BC11" s="16" t="n"/>
      <c r="BD11" s="16" t="n"/>
      <c r="BE11" s="16" t="n"/>
      <c r="BF11" s="16" t="n"/>
      <c r="BG11" s="16" t="n"/>
      <c r="BH11" s="16" t="n"/>
      <c r="BI11" s="16" t="n"/>
      <c r="BJ11" s="16" t="n"/>
      <c r="BK11" s="16" t="n"/>
      <c r="BL11" s="16" t="n"/>
      <c r="BM11" s="16" t="n"/>
      <c r="BN11" s="16" t="n"/>
      <c r="BO11" s="55" t="n"/>
      <c r="BP11" s="346" t="n"/>
      <c r="BQ11" s="347">
        <f>Table4[[#This Row],[Jan_2026_Days_Forecast]]*Table4[[#This Row],[Cost Boolean]]*VLOOKUP(Table4[[#This Row],[RATE CONCAT]],Tables!I:N,5,0)</f>
        <v/>
      </c>
      <c r="BR11" s="347">
        <f>IFERROR(Table4[[#This Row],[Jan_2026_Days_Actual]]*Table4[[#This Row],[Cost Boolean]]*(VLOOKUP(Table4[[#This Row],[RATE CONCAT]],Tables!I:N,5,0)),0)</f>
        <v/>
      </c>
      <c r="BS11" s="347">
        <f>Table4[[#This Row],[Jan_2026_F]]-Table4[[#This Row],[Jan_2026_A]]</f>
        <v/>
      </c>
      <c r="BT11" s="107" t="n"/>
      <c r="BU11" s="347">
        <f>IFERROR(Table4[[#This Row],[Feb_2026_Days_Forecast]]*Table4[[#This Row],[Cost Boolean]]*(VLOOKUP(Table4[[#This Row],[RATE CONCAT]],Tables!I:N,5,0)),0)</f>
        <v/>
      </c>
      <c r="BV11" s="347">
        <f>IFERROR(Table4[[#This Row],[Feb_2026_Days_Actual]]*Table4[[#This Row],[Cost Boolean]]*(VLOOKUP(Table4[[#This Row],[RATE CONCAT]],Tables!I:N,5,0)),0)</f>
        <v/>
      </c>
      <c r="BW11" s="347">
        <f>Table4[[#This Row],[Feb_2026_F]]-Table4[[#This Row],[Feb_2026_A]]</f>
        <v/>
      </c>
      <c r="BX11" s="103" t="n"/>
      <c r="BY11" s="347">
        <f>IFERROR(Table4[[#This Row],[Mar_2026_Days_Forecast]]*Table4[[#This Row],[Cost Boolean]]*(VLOOKUP(Table4[[#This Row],[RATE CONCAT]],Tables!I:N,5,0)),0)</f>
        <v/>
      </c>
      <c r="BZ11" s="347">
        <f>IFERROR(Table4[[#This Row],[Mar_2026_Days_Actual]]*Table4[[#This Row],[Cost Boolean]]*(VLOOKUP(Table4[[#This Row],[RATE CONCAT]],Tables!I:N,5,0)),0)</f>
        <v/>
      </c>
      <c r="CA11" s="347">
        <f>Table4[[#This Row],[Mar_2026_F]]-Table4[[#This Row],[Mar_2026_A]]</f>
        <v/>
      </c>
      <c r="CB11" s="103" t="n"/>
      <c r="CC11" s="347">
        <f>IFERROR(Table4[[#This Row],[Apr_2026_Days_Forecast]]*Table4[[#This Row],[Cost Boolean]]*(VLOOKUP(Table4[[#This Row],[RATE CONCAT]],Tables!I:N,5,0)),0)</f>
        <v/>
      </c>
      <c r="CD11" s="347">
        <f>IFERROR(Table4[[#This Row],[Apr_2026_Days_Actual]]*Table4[[#This Row],[Cost Boolean]]*(VLOOKUP(Table4[[#This Row],[RATE CONCAT]],Tables!I:N,5,0)),0)</f>
        <v/>
      </c>
      <c r="CE11" s="347">
        <f>Table4[[#This Row],[Apr_2026_F]]-Table4[[#This Row],[Apr_2026_A]]</f>
        <v/>
      </c>
      <c r="CF11" s="103" t="n"/>
      <c r="CG11" s="347">
        <f>IFERROR(Table4[[#This Row],[May_2026_Days_Forecast]] *Table4[[#This Row],[Cost Boolean]]*(VLOOKUP(Table4[[#This Row],[RATE CONCAT]],Tables!I:N,5,0)),0)</f>
        <v/>
      </c>
      <c r="CH11" s="347">
        <f>IFERROR(Table4[[#This Row],[May_2026_Days_Actual]]*Table4[[#This Row],[Cost Boolean]]*(VLOOKUP(Table4[[#This Row],[RATE CONCAT]],Tables!I:N,5,0)),0)</f>
        <v/>
      </c>
      <c r="CI11" s="347">
        <f>Table4[[#This Row],[May_2026_F]]-Table4[[#This Row],[May_2026_A]]</f>
        <v/>
      </c>
      <c r="CJ11" s="103" t="n"/>
      <c r="CK11" s="347">
        <f>IFERROR(Table4[[#This Row],[Jun_2026_Days_Forecast]]*Table4[[#This Row],[Cost Boolean]]*(VLOOKUP(Table4[[#This Row],[RATE CONCAT]],Tables!I:N,5,0)),0)</f>
        <v/>
      </c>
      <c r="CL11" s="347">
        <f>IFERROR(Table4[[#This Row],[Jun_2026_Days_Actual]]*Table4[[#This Row],[Cost Boolean]]*(VLOOKUP(Table4[[#This Row],[RATE CONCAT]],Tables!I:N,5,0)),0)</f>
        <v/>
      </c>
      <c r="CM11" s="347">
        <f>Table4[[#This Row],[Jun_2026_F]]-Table4[[#This Row],[Jun_2026_A]]</f>
        <v/>
      </c>
      <c r="CN11" s="103" t="n"/>
      <c r="CO11" s="347">
        <f>IFERROR(Table4[[#This Row],[Jul_2026_Days_Forecast]]*Table4[[#This Row],[Cost Boolean]]*(VLOOKUP(Table4[[#This Row],[RATE CONCAT]],Tables!I:N,5,0)),0)</f>
        <v/>
      </c>
      <c r="CP11" s="347">
        <f>IFERROR(Table4[[#This Row],[Aug_2026_Days_Forecast]]*Table4[[#This Row],[Location]]*(VLOOKUP(Table4[[#This Row],[Rate]],Tables!J:O,5,0)),0)</f>
        <v/>
      </c>
      <c r="CQ11" s="347">
        <f>Table4[[#This Row],[Jul_2026_F]]-Table4[[#This Row],[Jul_2026_A]]</f>
        <v/>
      </c>
      <c r="CR11" s="103" t="n"/>
      <c r="CS11" s="347">
        <f>IFERROR(Table4[[#This Row],[Aug_2026_Days_Forecast]]*Table4[[#This Row],[Cost Boolean]]*(VLOOKUP(Table4[[#This Row],[RATE CONCAT]],Tables!I:N,5,0)),0)</f>
        <v/>
      </c>
      <c r="CT11" s="347">
        <f>IFERROR(Table4[[#This Row],[Aug_2026_Days_Actual]]*Table4[[#This Row],[Cost Boolean]]*(VLOOKUP(Table4[[#This Row],[RATE CONCAT]],Tables!I:N,5,0)),0)</f>
        <v/>
      </c>
      <c r="CU11" s="347">
        <f>Table4[[#This Row],[Aug_2026_F]]-Table4[[#This Row],[Aug_2026_A]]</f>
        <v/>
      </c>
      <c r="CV11" s="103" t="n"/>
      <c r="CW11" s="347">
        <f>IFERROR(Table4[[#This Row],[Sep_2026_Days_Forecast]]*Table4[[#This Row],[Cost Boolean]]*(VLOOKUP(Table4[[#This Row],[RATE CONCAT]],Tables!I:N,5,0)),0)</f>
        <v/>
      </c>
      <c r="CX11" s="347">
        <f>IFERROR(Table4[[#This Row],[Sep_2026_Days_Actual]]*Table4[[#This Row],[Cost Boolean]]*(VLOOKUP(Table4[[#This Row],[RATE CONCAT]],Tables!I:N,5,0)),0)</f>
        <v/>
      </c>
      <c r="CY11" s="347">
        <f>Table4[[#This Row],[Sep_2026_F]]-Table4[[#This Row],[Sep_2026_A]]</f>
        <v/>
      </c>
      <c r="CZ11" s="103" t="n"/>
      <c r="DA11" s="347">
        <f>IFERROR(Table4[[#This Row],[Oct_2026_Days_Forecast]]*Table4[[#This Row],[Cost Boolean]]*(VLOOKUP(Table4[[#This Row],[RATE CONCAT]],Tables!I:N,5,0)),0)</f>
        <v/>
      </c>
      <c r="DB11" s="347">
        <f>IFERROR(Table4[[#This Row],[Oct_2026_Days_Actual]]*Table4[[#This Row],[Cost Boolean]]*(VLOOKUP(Table4[[#This Row],[RATE CONCAT]],Tables!I:N,5,0)),0)</f>
        <v/>
      </c>
      <c r="DC11" s="347">
        <f>Table4[[#This Row],[Oct_2026_F]]-Table4[[#This Row],[Oct_2026_A]]</f>
        <v/>
      </c>
      <c r="DD11" s="103" t="n"/>
      <c r="DE11" s="347">
        <f>IFERROR(Table4[[#This Row],[Nov_2026_Days_Forecast]]*Table4[[#This Row],[Cost Boolean]]*(VLOOKUP(Table4[[#This Row],[RATE CONCAT]],Tables!I:N,5,0)),0)</f>
        <v/>
      </c>
      <c r="DF11" s="347">
        <f>IFERROR(Table4[[#This Row],[Nov_2026_Days_Actual]]*Table4[[#This Row],[Cost Boolean]]*(VLOOKUP(Table4[[#This Row],[RATE CONCAT]],Tables!I:N,5,0)),0)</f>
        <v/>
      </c>
      <c r="DG11" s="347">
        <f>Table4[[#This Row],[Nov_2026_F]]-Table4[[#This Row],[Nov_2026_A]]</f>
        <v/>
      </c>
      <c r="DH11" s="103" t="n"/>
      <c r="DI11" s="347">
        <f>IFERROR(Table4[[#This Row],[Dec_2026_Days_Forecast]]*Table4[[#This Row],[Cost Boolean]]*(VLOOKUP(Table4[[#This Row],[RATE CONCAT]],Tables!I:N,5,0)),0)</f>
        <v/>
      </c>
      <c r="DJ11" s="347">
        <f>IFERROR(Table4[[#This Row],[Dec_2026_Days_Actual]]*Table4[[#This Row],[Cost Boolean]]*(VLOOKUP(Table4[[#This Row],[RATE CONCAT]],Tables!I:N,5,0)),0)</f>
        <v/>
      </c>
      <c r="DK11" s="347">
        <f>Table4[[#This Row],[Dec_2026_F]]-Table4[[#This Row],[Dec_2026_A]]</f>
        <v/>
      </c>
      <c r="DL11" s="103" t="n"/>
      <c r="DM11" s="346" t="n"/>
      <c r="DN11" s="347">
        <f>IFERROR(Table4[[#This Row],[Jan_2027_Days_Forecast]]*Table4[[#This Row],[Cost Boolean]]*(VLOOKUP(Table4[[#This Row],[RATE CONCAT]],Tables!I:N,6,0)),0)</f>
        <v/>
      </c>
      <c r="DO11" s="347" t="n">
        <v>0</v>
      </c>
      <c r="DP11" s="347">
        <f>Table4[[#This Row],[Jan_2027_F]]-Table4[[#This Row],[Jan_2027_A]]</f>
        <v/>
      </c>
      <c r="DQ11" s="347">
        <f>IFERROR(Table4[[#This Row],[Feb_2027_Days_Forecast]]*Table4[[#This Row],[Cost Boolean]]*(VLOOKUP(Table4[[#This Row],[RATE CONCAT]],Tables!I:N,6,0)),0)</f>
        <v/>
      </c>
      <c r="DR11" s="347" t="n">
        <v>0</v>
      </c>
      <c r="DS11" s="347">
        <f>Table4[[#This Row],[Feb_2027_F]]-Table4[[#This Row],[Feb_2027_A]]</f>
        <v/>
      </c>
      <c r="DT11" s="347">
        <f>IFERROR(Table4[[#This Row],[Mar_2027_Days_Forecast]]*Table4[[#This Row],[Cost Boolean]]*(VLOOKUP(Table4[[#This Row],[RATE CONCAT]],Tables!I:N,6,0)),0)</f>
        <v/>
      </c>
      <c r="DU11" s="347" t="n">
        <v>0</v>
      </c>
      <c r="DV11" s="347">
        <f>Table4[[#This Row],[Mar_2027_F]]-Table4[[#This Row],[Mar_2027_A]]</f>
        <v/>
      </c>
      <c r="DW11" s="347">
        <f>IFERROR(Table4[[#This Row],[Apr_2027_Days_Forecast]]*Table4[[#This Row],[Cost Boolean]]*(VLOOKUP(Table4[[#This Row],[RATE CONCAT]],Tables!I:N,6,0)),0)</f>
        <v/>
      </c>
      <c r="DX11" s="347" t="n">
        <v>0</v>
      </c>
      <c r="DY11" s="347">
        <f>Table4[[#This Row],[Apr_2027_F]]-Table4[[#This Row],[Apr_2027_A]]</f>
        <v/>
      </c>
      <c r="DZ11" s="347">
        <f>IFERROR(Table4[[#This Row],[May_2027_Days_Forecast]]*Table4[[#This Row],[Cost Boolean]]*(VLOOKUP(Table4[[#This Row],[RATE CONCAT]],Tables!I:N,6,0)),0)</f>
        <v/>
      </c>
      <c r="EA11" s="347" t="n">
        <v>0</v>
      </c>
      <c r="EB11" s="347">
        <f>Table4[[#This Row],[May_2027_F]]-Table4[[#This Row],[May_2027_A]]</f>
        <v/>
      </c>
      <c r="EC11" s="347">
        <f>IFERROR(Table4[[#This Row],[Jun_2027_Days_Forecast]]*Table4[[#This Row],[Cost Boolean]]*(VLOOKUP(Table4[[#This Row],[RATE CONCAT]],Tables!I:N,6,0)),0)</f>
        <v/>
      </c>
      <c r="ED11" s="347" t="n">
        <v>0</v>
      </c>
      <c r="EE11" s="347">
        <f>Table4[[#This Row],[Jun_2027_F]]-Table4[[#This Row],[Jun_2027_A]]</f>
        <v/>
      </c>
      <c r="EF11" s="347">
        <f>IFERROR(Table4[[#This Row],[Jul_2027_Days_Forecast]]*Table4[[#This Row],[Cost Boolean]]*(VLOOKUP(Table4[[#This Row],[RATE CONCAT]],Tables!I:N,6,0)),0)</f>
        <v/>
      </c>
      <c r="EG11" s="347" t="n">
        <v>0</v>
      </c>
      <c r="EH11" s="347">
        <f>Table4[[#This Row],[Jul_2027_F]]-Table4[[#This Row],[Jul_2027_A]]</f>
        <v/>
      </c>
      <c r="EI11" s="347">
        <f>IFERROR(Table4[[#This Row],[Aug_2027_Days_Forecast]]*Table4[[#This Row],[Cost Boolean]]*(VLOOKUP(Table4[[#This Row],[RATE CONCAT]],Tables!I:N,6,0)),0)</f>
        <v/>
      </c>
      <c r="EJ11" s="347" t="n">
        <v>0</v>
      </c>
      <c r="EK11" s="347">
        <f>Table4[[#This Row],[Aug_2027_F]]-Table4[[#This Row],[Aug_2027_A]]</f>
        <v/>
      </c>
      <c r="EL11" s="347">
        <f>IFERROR(Table4[[#This Row],[Sep_2027_Days_Forecast]]*Table4[[#This Row],[Cost Boolean]]*(VLOOKUP(Table4[[#This Row],[RATE CONCAT]],Tables!I:N,6,0)),0)</f>
        <v/>
      </c>
      <c r="EM11" s="347" t="n">
        <v>0</v>
      </c>
      <c r="EN11" s="347">
        <f>Table4[[#This Row],[Sep_2027_F]]-Table4[[#This Row],[Sep_2027_A]]</f>
        <v/>
      </c>
      <c r="EO11" s="347">
        <f>IFERROR(Table4[[#This Row],[Oct_2027_Days_Forecast]]*Table4[[#This Row],[Cost Boolean]]*(VLOOKUP(Table4[[#This Row],[RATE CONCAT]],Tables!I:N,6,0)),0)</f>
        <v/>
      </c>
      <c r="EP11" s="347" t="n">
        <v>0</v>
      </c>
      <c r="EQ11" s="347">
        <f>Table4[[#This Row],[Oct_2027_F]]-Table4[[#This Row],[Oct_2027_A]]</f>
        <v/>
      </c>
      <c r="ER11" s="347">
        <f>IFERROR(Table4[[#This Row],[Nov_2027_Days_Forecast]]*Table4[[#This Row],[Cost Boolean]]*(VLOOKUP(Table4[[#This Row],[RATE CONCAT]],Tables!I:N,6,0)),0)</f>
        <v/>
      </c>
      <c r="ES11" s="347" t="n">
        <v>0</v>
      </c>
      <c r="ET11" s="347">
        <f>Table4[[#This Row],[Nov_2027_F]]-Table4[[#This Row],[Nov_2027_A]]</f>
        <v/>
      </c>
      <c r="EU11" s="347">
        <f>IFERROR(Table4[[#This Row],[Dec_2027_Days_Forecast]]*Table4[[#This Row],[Cost Boolean]]*(VLOOKUP(Table4[[#This Row],[RATE CONCAT]],Tables!I:N,6,0)),0)</f>
        <v/>
      </c>
      <c r="EV11" s="347" t="n">
        <v>0</v>
      </c>
      <c r="EW11" s="347">
        <f>Table4[[#This Row],[Dec_2027_F]]-Table4[[#This Row],[Dec_2027_A]]</f>
        <v/>
      </c>
    </row>
    <row r="12" ht="15" customHeight="1">
      <c r="A12" s="350" t="inlineStr">
        <is>
          <t>PDSFS1013</t>
        </is>
      </c>
      <c r="B12" s="350" t="inlineStr">
        <is>
          <t>IDT</t>
        </is>
      </c>
      <c r="C12" s="350" t="inlineStr">
        <is>
          <t>Staff</t>
        </is>
      </c>
      <c r="D12" s="350" t="inlineStr">
        <is>
          <t>Peter Williams</t>
        </is>
      </c>
      <c r="E12" s="350" t="inlineStr">
        <is>
          <t>Shell IDT</t>
        </is>
      </c>
      <c r="F12" s="132" t="n"/>
      <c r="G12" s="350" t="inlineStr">
        <is>
          <t>United Kingdom</t>
        </is>
      </c>
      <c r="H12" s="350" t="n">
        <v>2</v>
      </c>
      <c r="I12" s="132" t="n"/>
      <c r="J12" s="350" t="inlineStr">
        <is>
          <t>IDT Advisor</t>
        </is>
      </c>
      <c r="K12" s="350" t="inlineStr">
        <is>
          <t>In-seat</t>
        </is>
      </c>
      <c r="L12" s="350" t="n">
        <v>1</v>
      </c>
      <c r="M12" s="350" t="inlineStr">
        <is>
          <t>LON</t>
        </is>
      </c>
      <c r="N12" s="350" t="inlineStr">
        <is>
          <t>IDT Portfolio Management</t>
        </is>
      </c>
      <c r="O12" s="350" t="inlineStr">
        <is>
          <t>Capex</t>
        </is>
      </c>
      <c r="P12" s="350" t="inlineStr">
        <is>
          <t>IT</t>
        </is>
      </c>
      <c r="Q12" s="350" t="inlineStr">
        <is>
          <t>TBD</t>
        </is>
      </c>
      <c r="R12" s="351" t="n">
        <v>46023</v>
      </c>
      <c r="S12" s="351" t="n">
        <v>46387</v>
      </c>
      <c r="T12" s="351" t="n">
        <v>46023</v>
      </c>
      <c r="U12" s="351" t="n">
        <v>46387</v>
      </c>
      <c r="V12" s="351" t="n">
        <v>46023</v>
      </c>
      <c r="W12" s="351" t="n">
        <v>46387</v>
      </c>
      <c r="X12" s="132" t="n"/>
      <c r="Y12" s="350">
        <f>CONCATENATE(Table4[[#This Row],[JG]],Table4[[#This Row],[Country]],Table4[[#This Row],[Resource Provider]])</f>
        <v/>
      </c>
      <c r="Z12" s="350">
        <f>VLOOKUP(Table4[[#This Row],[RATE CONCAT]],Tables!I:N,5,0)</f>
        <v/>
      </c>
      <c r="AA12" s="53" t="n"/>
      <c r="AB12" s="352" t="n">
        <v>10</v>
      </c>
      <c r="AC12" s="352" t="n">
        <v>10</v>
      </c>
      <c r="AD12" s="352" t="n">
        <v>10</v>
      </c>
      <c r="AE12" s="352" t="n">
        <v>10</v>
      </c>
      <c r="AF12" s="352" t="n">
        <v>9</v>
      </c>
      <c r="AG12" s="352" t="n">
        <v>9</v>
      </c>
      <c r="AH12" s="352" t="n">
        <v>9</v>
      </c>
      <c r="AI12" s="352" t="n">
        <v>10</v>
      </c>
      <c r="AJ12" s="352" t="n">
        <v>10</v>
      </c>
      <c r="AK12" s="352" t="n">
        <v>10</v>
      </c>
      <c r="AL12" s="352" t="n">
        <v>9</v>
      </c>
      <c r="AM12" s="352" t="n">
        <v>9</v>
      </c>
      <c r="AN12" s="353">
        <f>IFERROR(AVERAGE(Table4[[#This Row],[Jan_2026_Days_Forecast]:[Dec_2026_Days_Forecast]]),0)/19</f>
        <v/>
      </c>
      <c r="AO12" s="353">
        <f>IFERROR(AVERAGE(Table4[[#This Row],[Jan_2026_Days_Actual]:[Dec_2026_Days_Actual]]),0)/19</f>
        <v/>
      </c>
      <c r="AP12" s="352" t="n">
        <v>10</v>
      </c>
      <c r="AQ12" s="352" t="n">
        <v>10</v>
      </c>
      <c r="AR12" s="352" t="n">
        <v>10</v>
      </c>
      <c r="AS12" s="352" t="n">
        <v>10</v>
      </c>
      <c r="AT12" s="352" t="n">
        <v>9</v>
      </c>
      <c r="AU12" s="352" t="n">
        <v>9</v>
      </c>
      <c r="AV12" s="352" t="n">
        <v>9</v>
      </c>
      <c r="AW12" s="352" t="n">
        <v>10</v>
      </c>
      <c r="AX12" s="352" t="n">
        <v>10</v>
      </c>
      <c r="AY12" s="352" t="n">
        <v>10</v>
      </c>
      <c r="AZ12" s="352" t="n">
        <v>9</v>
      </c>
      <c r="BA12" s="352" t="n">
        <v>9</v>
      </c>
      <c r="BB12" s="353">
        <f>IFERROR(AVERAGE(Table4[[#This Row],[Jan_2027_Days_Forecast]:[Dec_2027_Days_Forecast]]),0)</f>
        <v/>
      </c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55" t="n"/>
      <c r="BP12" s="346" t="n"/>
      <c r="BQ12" s="345">
        <f>Table4[[#This Row],[Jan_2026_Days_Forecast]]*Table4[[#This Row],[Cost Boolean]]*VLOOKUP(Table4[[#This Row],[RATE CONCAT]],Tables!I:N,5,0)</f>
        <v/>
      </c>
      <c r="BR12" s="345">
        <f>IFERROR(Table4[[#This Row],[Jan_2026_Days_Actual]]*Table4[[#This Row],[Cost Boolean]]*(VLOOKUP(Table4[[#This Row],[RATE CONCAT]],Tables!I:N,5,0)),0)</f>
        <v/>
      </c>
      <c r="BS12" s="345">
        <f>Table4[[#This Row],[Jan_2026_F]]-Table4[[#This Row],[Jan_2026_A]]</f>
        <v/>
      </c>
      <c r="BT12" s="107" t="n"/>
      <c r="BU12" s="345">
        <f>IFERROR(Table4[[#This Row],[Feb_2026_Days_Forecast]]*Table4[[#This Row],[Cost Boolean]]*(VLOOKUP(Table4[[#This Row],[RATE CONCAT]],Tables!I:N,5,0)),0)</f>
        <v/>
      </c>
      <c r="BV12" s="345">
        <f>IFERROR(Table4[[#This Row],[Feb_2026_Days_Actual]]*Table4[[#This Row],[Cost Boolean]]*(VLOOKUP(Table4[[#This Row],[RATE CONCAT]],Tables!I:N,5,0)),0)</f>
        <v/>
      </c>
      <c r="BW12" s="345">
        <f>Table4[[#This Row],[Feb_2026_F]]-Table4[[#This Row],[Feb_2026_A]]</f>
        <v/>
      </c>
      <c r="BX12" s="103" t="n"/>
      <c r="BY12" s="345">
        <f>IFERROR(Table4[[#This Row],[Mar_2026_Days_Forecast]]*Table4[[#This Row],[Cost Boolean]]*(VLOOKUP(Table4[[#This Row],[RATE CONCAT]],Tables!I:N,5,0)),0)</f>
        <v/>
      </c>
      <c r="BZ12" s="345">
        <f>IFERROR(Table4[[#This Row],[Mar_2026_Days_Actual]]*Table4[[#This Row],[Cost Boolean]]*(VLOOKUP(Table4[[#This Row],[RATE CONCAT]],Tables!I:N,5,0)),0)</f>
        <v/>
      </c>
      <c r="CA12" s="345">
        <f>Table4[[#This Row],[Mar_2026_F]]-Table4[[#This Row],[Mar_2026_A]]</f>
        <v/>
      </c>
      <c r="CB12" s="103" t="n"/>
      <c r="CC12" s="345">
        <f>IFERROR(Table4[[#This Row],[Apr_2026_Days_Forecast]]*Table4[[#This Row],[Cost Boolean]]*(VLOOKUP(Table4[[#This Row],[RATE CONCAT]],Tables!I:N,5,0)),0)</f>
        <v/>
      </c>
      <c r="CD12" s="345">
        <f>IFERROR(Table4[[#This Row],[Apr_2026_Days_Actual]]*Table4[[#This Row],[Cost Boolean]]*(VLOOKUP(Table4[[#This Row],[RATE CONCAT]],Tables!I:N,5,0)),0)</f>
        <v/>
      </c>
      <c r="CE12" s="345">
        <f>Table4[[#This Row],[Apr_2026_F]]-Table4[[#This Row],[Apr_2026_A]]</f>
        <v/>
      </c>
      <c r="CF12" s="103" t="n"/>
      <c r="CG12" s="345">
        <f>IFERROR(Table4[[#This Row],[May_2026_Days_Forecast]] *Table4[[#This Row],[Cost Boolean]]*(VLOOKUP(Table4[[#This Row],[RATE CONCAT]],Tables!I:N,5,0)),0)</f>
        <v/>
      </c>
      <c r="CH12" s="345">
        <f>IFERROR(Table4[[#This Row],[May_2026_Days_Actual]]*Table4[[#This Row],[Cost Boolean]]*(VLOOKUP(Table4[[#This Row],[RATE CONCAT]],Tables!I:N,5,0)),0)</f>
        <v/>
      </c>
      <c r="CI12" s="345">
        <f>Table4[[#This Row],[May_2026_F]]-Table4[[#This Row],[May_2026_A]]</f>
        <v/>
      </c>
      <c r="CJ12" s="103" t="n"/>
      <c r="CK12" s="345">
        <f>IFERROR(Table4[[#This Row],[Jun_2026_Days_Forecast]]*Table4[[#This Row],[Cost Boolean]]*(VLOOKUP(Table4[[#This Row],[RATE CONCAT]],Tables!I:N,5,0)),0)</f>
        <v/>
      </c>
      <c r="CL12" s="345">
        <f>IFERROR(Table4[[#This Row],[Jun_2026_Days_Actual]]*Table4[[#This Row],[Cost Boolean]]*(VLOOKUP(Table4[[#This Row],[RATE CONCAT]],Tables!I:N,5,0)),0)</f>
        <v/>
      </c>
      <c r="CM12" s="345">
        <f>Table4[[#This Row],[Jun_2026_F]]-Table4[[#This Row],[Jun_2026_A]]</f>
        <v/>
      </c>
      <c r="CN12" s="103" t="n"/>
      <c r="CO12" s="345">
        <f>IFERROR(Table4[[#This Row],[Jul_2026_Days_Forecast]]*Table4[[#This Row],[Cost Boolean]]*(VLOOKUP(Table4[[#This Row],[RATE CONCAT]],Tables!I:N,5,0)),0)</f>
        <v/>
      </c>
      <c r="CP12" s="345">
        <f>IFERROR(Table4[[#This Row],[Aug_2026_Days_Forecast]]*Table4[[#This Row],[Location]]*(VLOOKUP(Table4[[#This Row],[Rate]],Tables!J:O,5,0)),0)</f>
        <v/>
      </c>
      <c r="CQ12" s="345">
        <f>Table4[[#This Row],[Jul_2026_F]]-Table4[[#This Row],[Jul_2026_A]]</f>
        <v/>
      </c>
      <c r="CR12" s="103" t="n"/>
      <c r="CS12" s="345">
        <f>IFERROR(Table4[[#This Row],[Aug_2026_Days_Forecast]]*Table4[[#This Row],[Cost Boolean]]*(VLOOKUP(Table4[[#This Row],[RATE CONCAT]],Tables!I:N,5,0)),0)</f>
        <v/>
      </c>
      <c r="CT12" s="345">
        <f>IFERROR(Table4[[#This Row],[Aug_2026_Days_Actual]]*Table4[[#This Row],[Cost Boolean]]*(VLOOKUP(Table4[[#This Row],[RATE CONCAT]],Tables!I:N,5,0)),0)</f>
        <v/>
      </c>
      <c r="CU12" s="345">
        <f>Table4[[#This Row],[Aug_2026_F]]-Table4[[#This Row],[Aug_2026_A]]</f>
        <v/>
      </c>
      <c r="CV12" s="103" t="n"/>
      <c r="CW12" s="345">
        <f>IFERROR(Table4[[#This Row],[Sep_2026_Days_Forecast]]*Table4[[#This Row],[Cost Boolean]]*(VLOOKUP(Table4[[#This Row],[RATE CONCAT]],Tables!I:N,5,0)),0)</f>
        <v/>
      </c>
      <c r="CX12" s="345">
        <f>IFERROR(Table4[[#This Row],[Sep_2026_Days_Actual]]*Table4[[#This Row],[Cost Boolean]]*(VLOOKUP(Table4[[#This Row],[RATE CONCAT]],Tables!I:N,5,0)),0)</f>
        <v/>
      </c>
      <c r="CY12" s="345">
        <f>Table4[[#This Row],[Sep_2026_F]]-Table4[[#This Row],[Sep_2026_A]]</f>
        <v/>
      </c>
      <c r="CZ12" s="103" t="n"/>
      <c r="DA12" s="345">
        <f>IFERROR(Table4[[#This Row],[Oct_2026_Days_Forecast]]*Table4[[#This Row],[Cost Boolean]]*(VLOOKUP(Table4[[#This Row],[RATE CONCAT]],Tables!I:N,5,0)),0)</f>
        <v/>
      </c>
      <c r="DB12" s="345">
        <f>IFERROR(Table4[[#This Row],[Oct_2026_Days_Actual]]*Table4[[#This Row],[Cost Boolean]]*(VLOOKUP(Table4[[#This Row],[RATE CONCAT]],Tables!I:N,5,0)),0)</f>
        <v/>
      </c>
      <c r="DC12" s="345">
        <f>Table4[[#This Row],[Oct_2026_F]]-Table4[[#This Row],[Oct_2026_A]]</f>
        <v/>
      </c>
      <c r="DD12" s="103" t="n"/>
      <c r="DE12" s="345">
        <f>IFERROR(Table4[[#This Row],[Nov_2026_Days_Forecast]]*Table4[[#This Row],[Cost Boolean]]*(VLOOKUP(Table4[[#This Row],[RATE CONCAT]],Tables!I:N,5,0)),0)</f>
        <v/>
      </c>
      <c r="DF12" s="345">
        <f>IFERROR(Table4[[#This Row],[Nov_2026_Days_Actual]]*Table4[[#This Row],[Cost Boolean]]*(VLOOKUP(Table4[[#This Row],[RATE CONCAT]],Tables!I:N,5,0)),0)</f>
        <v/>
      </c>
      <c r="DG12" s="345">
        <f>Table4[[#This Row],[Nov_2026_F]]-Table4[[#This Row],[Nov_2026_A]]</f>
        <v/>
      </c>
      <c r="DH12" s="103" t="n"/>
      <c r="DI12" s="345">
        <f>IFERROR(Table4[[#This Row],[Dec_2026_Days_Forecast]]*Table4[[#This Row],[Cost Boolean]]*(VLOOKUP(Table4[[#This Row],[RATE CONCAT]],Tables!I:N,5,0)),0)</f>
        <v/>
      </c>
      <c r="DJ12" s="345">
        <f>IFERROR(Table4[[#This Row],[Dec_2026_Days_Actual]]*Table4[[#This Row],[Cost Boolean]]*(VLOOKUP(Table4[[#This Row],[RATE CONCAT]],Tables!I:N,5,0)),0)</f>
        <v/>
      </c>
      <c r="DK12" s="345">
        <f>Table4[[#This Row],[Dec_2026_F]]-Table4[[#This Row],[Dec_2026_A]]</f>
        <v/>
      </c>
      <c r="DL12" s="103" t="n"/>
      <c r="DM12" s="346" t="n"/>
      <c r="DN12" s="345">
        <f>IFERROR(Table4[[#This Row],[Jan_2027_Days_Forecast]]*Table4[[#This Row],[Cost Boolean]]*(VLOOKUP(Table4[[#This Row],[RATE CONCAT]],Tables!I:N,6,0)),0)</f>
        <v/>
      </c>
      <c r="DO12" s="345" t="n">
        <v>0</v>
      </c>
      <c r="DP12" s="345">
        <f>Table4[[#This Row],[Jan_2027_F]]-Table4[[#This Row],[Jan_2027_A]]</f>
        <v/>
      </c>
      <c r="DQ12" s="345">
        <f>IFERROR(Table4[[#This Row],[Feb_2027_Days_Forecast]]*Table4[[#This Row],[Cost Boolean]]*(VLOOKUP(Table4[[#This Row],[RATE CONCAT]],Tables!I:N,6,0)),0)</f>
        <v/>
      </c>
      <c r="DR12" s="345" t="n">
        <v>0</v>
      </c>
      <c r="DS12" s="345">
        <f>Table4[[#This Row],[Feb_2027_F]]-Table4[[#This Row],[Feb_2027_A]]</f>
        <v/>
      </c>
      <c r="DT12" s="345">
        <f>IFERROR(Table4[[#This Row],[Mar_2027_Days_Forecast]]*Table4[[#This Row],[Cost Boolean]]*(VLOOKUP(Table4[[#This Row],[RATE CONCAT]],Tables!I:N,6,0)),0)</f>
        <v/>
      </c>
      <c r="DU12" s="345" t="n">
        <v>0</v>
      </c>
      <c r="DV12" s="345">
        <f>Table4[[#This Row],[Mar_2027_F]]-Table4[[#This Row],[Mar_2027_A]]</f>
        <v/>
      </c>
      <c r="DW12" s="345">
        <f>IFERROR(Table4[[#This Row],[Apr_2027_Days_Forecast]]*Table4[[#This Row],[Cost Boolean]]*(VLOOKUP(Table4[[#This Row],[RATE CONCAT]],Tables!I:N,6,0)),0)</f>
        <v/>
      </c>
      <c r="DX12" s="345" t="n">
        <v>0</v>
      </c>
      <c r="DY12" s="345">
        <f>Table4[[#This Row],[Apr_2027_F]]-Table4[[#This Row],[Apr_2027_A]]</f>
        <v/>
      </c>
      <c r="DZ12" s="345">
        <f>IFERROR(Table4[[#This Row],[May_2027_Days_Forecast]]*Table4[[#This Row],[Cost Boolean]]*(VLOOKUP(Table4[[#This Row],[RATE CONCAT]],Tables!I:N,6,0)),0)</f>
        <v/>
      </c>
      <c r="EA12" s="345" t="n">
        <v>0</v>
      </c>
      <c r="EB12" s="345">
        <f>Table4[[#This Row],[May_2027_F]]-Table4[[#This Row],[May_2027_A]]</f>
        <v/>
      </c>
      <c r="EC12" s="345">
        <f>IFERROR(Table4[[#This Row],[Jun_2027_Days_Forecast]]*Table4[[#This Row],[Cost Boolean]]*(VLOOKUP(Table4[[#This Row],[RATE CONCAT]],Tables!I:N,6,0)),0)</f>
        <v/>
      </c>
      <c r="ED12" s="345" t="n">
        <v>0</v>
      </c>
      <c r="EE12" s="345">
        <f>Table4[[#This Row],[Jun_2027_F]]-Table4[[#This Row],[Jun_2027_A]]</f>
        <v/>
      </c>
      <c r="EF12" s="345">
        <f>IFERROR(Table4[[#This Row],[Jul_2027_Days_Forecast]]*Table4[[#This Row],[Cost Boolean]]*(VLOOKUP(Table4[[#This Row],[RATE CONCAT]],Tables!I:N,6,0)),0)</f>
        <v/>
      </c>
      <c r="EG12" s="345" t="n">
        <v>0</v>
      </c>
      <c r="EH12" s="345">
        <f>Table4[[#This Row],[Jul_2027_F]]-Table4[[#This Row],[Jul_2027_A]]</f>
        <v/>
      </c>
      <c r="EI12" s="345">
        <f>IFERROR(Table4[[#This Row],[Aug_2027_Days_Forecast]]*Table4[[#This Row],[Cost Boolean]]*(VLOOKUP(Table4[[#This Row],[RATE CONCAT]],Tables!I:N,6,0)),0)</f>
        <v/>
      </c>
      <c r="EJ12" s="345" t="n">
        <v>0</v>
      </c>
      <c r="EK12" s="345">
        <f>Table4[[#This Row],[Aug_2027_F]]-Table4[[#This Row],[Aug_2027_A]]</f>
        <v/>
      </c>
      <c r="EL12" s="345">
        <f>IFERROR(Table4[[#This Row],[Sep_2027_Days_Forecast]]*Table4[[#This Row],[Cost Boolean]]*(VLOOKUP(Table4[[#This Row],[RATE CONCAT]],Tables!I:N,6,0)),0)</f>
        <v/>
      </c>
      <c r="EM12" s="345" t="n">
        <v>0</v>
      </c>
      <c r="EN12" s="345">
        <f>Table4[[#This Row],[Sep_2027_F]]-Table4[[#This Row],[Sep_2027_A]]</f>
        <v/>
      </c>
      <c r="EO12" s="345">
        <f>IFERROR(Table4[[#This Row],[Oct_2027_Days_Forecast]]*Table4[[#This Row],[Cost Boolean]]*(VLOOKUP(Table4[[#This Row],[RATE CONCAT]],Tables!I:N,6,0)),0)</f>
        <v/>
      </c>
      <c r="EP12" s="345" t="n">
        <v>0</v>
      </c>
      <c r="EQ12" s="345">
        <f>Table4[[#This Row],[Oct_2027_F]]-Table4[[#This Row],[Oct_2027_A]]</f>
        <v/>
      </c>
      <c r="ER12" s="345">
        <f>IFERROR(Table4[[#This Row],[Nov_2027_Days_Forecast]]*Table4[[#This Row],[Cost Boolean]]*(VLOOKUP(Table4[[#This Row],[RATE CONCAT]],Tables!I:N,6,0)),0)</f>
        <v/>
      </c>
      <c r="ES12" s="345" t="n">
        <v>0</v>
      </c>
      <c r="ET12" s="345">
        <f>Table4[[#This Row],[Nov_2027_F]]-Table4[[#This Row],[Nov_2027_A]]</f>
        <v/>
      </c>
      <c r="EU12" s="345">
        <f>IFERROR(Table4[[#This Row],[Dec_2027_Days_Forecast]]*Table4[[#This Row],[Cost Boolean]]*(VLOOKUP(Table4[[#This Row],[RATE CONCAT]],Tables!I:N,6,0)),0)</f>
        <v/>
      </c>
      <c r="EV12" s="345" t="n">
        <v>0</v>
      </c>
      <c r="EW12" s="345">
        <f>Table4[[#This Row],[Dec_2027_F]]-Table4[[#This Row],[Dec_2027_A]]</f>
        <v/>
      </c>
    </row>
    <row r="13" ht="15" customHeight="1">
      <c r="A13" s="350" t="inlineStr">
        <is>
          <t>PDSFS1014</t>
        </is>
      </c>
      <c r="B13" s="350" t="inlineStr">
        <is>
          <t>IDT</t>
        </is>
      </c>
      <c r="C13" s="350" t="inlineStr">
        <is>
          <t>Staff</t>
        </is>
      </c>
      <c r="D13" s="350" t="inlineStr">
        <is>
          <t>Smrithi Gade</t>
        </is>
      </c>
      <c r="E13" s="350" t="inlineStr">
        <is>
          <t>Shell IDT</t>
        </is>
      </c>
      <c r="F13" s="132" t="n"/>
      <c r="G13" s="350" t="inlineStr">
        <is>
          <t>India</t>
        </is>
      </c>
      <c r="H13" s="350" t="n">
        <v>4</v>
      </c>
      <c r="I13" s="132" t="n"/>
      <c r="J13" s="350" t="inlineStr">
        <is>
          <t>IT SME</t>
        </is>
      </c>
      <c r="K13" s="350" t="inlineStr">
        <is>
          <t>In-seat</t>
        </is>
      </c>
      <c r="L13" s="350" t="n">
        <v>1</v>
      </c>
      <c r="M13" s="350" t="inlineStr">
        <is>
          <t>BNG</t>
        </is>
      </c>
      <c r="N13" s="350" t="inlineStr">
        <is>
          <t>IDT Business Analysis</t>
        </is>
      </c>
      <c r="O13" s="350" t="inlineStr">
        <is>
          <t>Capex</t>
        </is>
      </c>
      <c r="P13" s="350" t="inlineStr">
        <is>
          <t>IT</t>
        </is>
      </c>
      <c r="Q13" s="350" t="inlineStr">
        <is>
          <t>TBD</t>
        </is>
      </c>
      <c r="R13" s="351" t="n">
        <v>46023</v>
      </c>
      <c r="S13" s="351" t="n">
        <v>46387</v>
      </c>
      <c r="T13" s="351" t="n">
        <v>46023</v>
      </c>
      <c r="U13" s="351" t="n">
        <v>46387</v>
      </c>
      <c r="V13" s="351" t="n">
        <v>46023</v>
      </c>
      <c r="W13" s="351" t="n">
        <v>46387</v>
      </c>
      <c r="X13" s="132" t="n"/>
      <c r="Y13" s="350">
        <f>CONCATENATE(Table4[[#This Row],[JG]],Table4[[#This Row],[Country]],Table4[[#This Row],[Resource Provider]])</f>
        <v/>
      </c>
      <c r="Z13" s="350">
        <f>VLOOKUP(Table4[[#This Row],[RATE CONCAT]],Tables!I:N,5,0)</f>
        <v/>
      </c>
      <c r="AA13" s="53" t="n"/>
      <c r="AB13" s="352" t="n">
        <v>10</v>
      </c>
      <c r="AC13" s="352" t="n">
        <v>10</v>
      </c>
      <c r="AD13" s="352" t="n">
        <v>10</v>
      </c>
      <c r="AE13" s="352" t="n">
        <v>10</v>
      </c>
      <c r="AF13" s="352" t="n">
        <v>9</v>
      </c>
      <c r="AG13" s="352" t="n">
        <v>9</v>
      </c>
      <c r="AH13" s="352" t="n">
        <v>9</v>
      </c>
      <c r="AI13" s="352" t="n">
        <v>10</v>
      </c>
      <c r="AJ13" s="352" t="n">
        <v>10</v>
      </c>
      <c r="AK13" s="352" t="n">
        <v>10</v>
      </c>
      <c r="AL13" s="352" t="n">
        <v>9</v>
      </c>
      <c r="AM13" s="352" t="n">
        <v>9</v>
      </c>
      <c r="AN13" s="353">
        <f>IFERROR(AVERAGE(Table4[[#This Row],[Jan_2026_Days_Forecast]:[Dec_2026_Days_Forecast]]),0)/19</f>
        <v/>
      </c>
      <c r="AO13" s="353">
        <f>IFERROR(AVERAGE(Table4[[#This Row],[Jan_2026_Days_Actual]:[Dec_2026_Days_Actual]]),0)/19</f>
        <v/>
      </c>
      <c r="AP13" s="352" t="n">
        <v>10</v>
      </c>
      <c r="AQ13" s="352" t="n">
        <v>10</v>
      </c>
      <c r="AR13" s="352" t="n">
        <v>10</v>
      </c>
      <c r="AS13" s="352" t="n">
        <v>10</v>
      </c>
      <c r="AT13" s="352" t="n">
        <v>9</v>
      </c>
      <c r="AU13" s="352" t="n">
        <v>9</v>
      </c>
      <c r="AV13" s="352" t="n">
        <v>9</v>
      </c>
      <c r="AW13" s="352" t="n">
        <v>10</v>
      </c>
      <c r="AX13" s="352" t="n">
        <v>10</v>
      </c>
      <c r="AY13" s="352" t="n">
        <v>10</v>
      </c>
      <c r="AZ13" s="352" t="n">
        <v>9</v>
      </c>
      <c r="BA13" s="352" t="n">
        <v>9</v>
      </c>
      <c r="BB13" s="353">
        <f>IFERROR(AVERAGE(Table4[[#This Row],[Jan_2027_Days_Forecast]:[Dec_2027_Days_Forecast]]),0)</f>
        <v/>
      </c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55" t="n"/>
      <c r="BP13" s="346" t="n"/>
      <c r="BQ13" s="347">
        <f>Table4[[#This Row],[Jan_2026_Days_Forecast]]*Table4[[#This Row],[Cost Boolean]]*VLOOKUP(Table4[[#This Row],[RATE CONCAT]],Tables!I:N,5,0)</f>
        <v/>
      </c>
      <c r="BR13" s="347">
        <f>IFERROR(Table4[[#This Row],[Jan_2026_Days_Actual]]*Table4[[#This Row],[Cost Boolean]]*(VLOOKUP(Table4[[#This Row],[RATE CONCAT]],Tables!I:N,5,0)),0)</f>
        <v/>
      </c>
      <c r="BS13" s="347">
        <f>Table4[[#This Row],[Jan_2026_F]]-Table4[[#This Row],[Jan_2026_A]]</f>
        <v/>
      </c>
      <c r="BT13" s="107" t="n"/>
      <c r="BU13" s="347">
        <f>IFERROR(Table4[[#This Row],[Feb_2026_Days_Forecast]]*Table4[[#This Row],[Cost Boolean]]*(VLOOKUP(Table4[[#This Row],[RATE CONCAT]],Tables!I:N,5,0)),0)</f>
        <v/>
      </c>
      <c r="BV13" s="347">
        <f>IFERROR(Table4[[#This Row],[Feb_2026_Days_Actual]]*Table4[[#This Row],[Cost Boolean]]*(VLOOKUP(Table4[[#This Row],[RATE CONCAT]],Tables!I:N,5,0)),0)</f>
        <v/>
      </c>
      <c r="BW13" s="347">
        <f>Table4[[#This Row],[Feb_2026_F]]-Table4[[#This Row],[Feb_2026_A]]</f>
        <v/>
      </c>
      <c r="BX13" s="103" t="n"/>
      <c r="BY13" s="347">
        <f>IFERROR(Table4[[#This Row],[Mar_2026_Days_Forecast]]*Table4[[#This Row],[Cost Boolean]]*(VLOOKUP(Table4[[#This Row],[RATE CONCAT]],Tables!I:N,5,0)),0)</f>
        <v/>
      </c>
      <c r="BZ13" s="347">
        <f>IFERROR(Table4[[#This Row],[Mar_2026_Days_Actual]]*Table4[[#This Row],[Cost Boolean]]*(VLOOKUP(Table4[[#This Row],[RATE CONCAT]],Tables!I:N,5,0)),0)</f>
        <v/>
      </c>
      <c r="CA13" s="347">
        <f>Table4[[#This Row],[Mar_2026_F]]-Table4[[#This Row],[Mar_2026_A]]</f>
        <v/>
      </c>
      <c r="CB13" s="103" t="n"/>
      <c r="CC13" s="347">
        <f>IFERROR(Table4[[#This Row],[Apr_2026_Days_Forecast]]*Table4[[#This Row],[Cost Boolean]]*(VLOOKUP(Table4[[#This Row],[RATE CONCAT]],Tables!I:N,5,0)),0)</f>
        <v/>
      </c>
      <c r="CD13" s="347">
        <f>IFERROR(Table4[[#This Row],[Apr_2026_Days_Actual]]*Table4[[#This Row],[Cost Boolean]]*(VLOOKUP(Table4[[#This Row],[RATE CONCAT]],Tables!I:N,5,0)),0)</f>
        <v/>
      </c>
      <c r="CE13" s="347">
        <f>Table4[[#This Row],[Apr_2026_F]]-Table4[[#This Row],[Apr_2026_A]]</f>
        <v/>
      </c>
      <c r="CF13" s="103" t="n"/>
      <c r="CG13" s="347">
        <f>IFERROR(Table4[[#This Row],[May_2026_Days_Forecast]] *Table4[[#This Row],[Cost Boolean]]*(VLOOKUP(Table4[[#This Row],[RATE CONCAT]],Tables!I:N,5,0)),0)</f>
        <v/>
      </c>
      <c r="CH13" s="347">
        <f>IFERROR(Table4[[#This Row],[May_2026_Days_Actual]]*Table4[[#This Row],[Cost Boolean]]*(VLOOKUP(Table4[[#This Row],[RATE CONCAT]],Tables!I:N,5,0)),0)</f>
        <v/>
      </c>
      <c r="CI13" s="347">
        <f>Table4[[#This Row],[May_2026_F]]-Table4[[#This Row],[May_2026_A]]</f>
        <v/>
      </c>
      <c r="CJ13" s="103" t="n"/>
      <c r="CK13" s="347">
        <f>IFERROR(Table4[[#This Row],[Jun_2026_Days_Forecast]]*Table4[[#This Row],[Cost Boolean]]*(VLOOKUP(Table4[[#This Row],[RATE CONCAT]],Tables!I:N,5,0)),0)</f>
        <v/>
      </c>
      <c r="CL13" s="347">
        <f>IFERROR(Table4[[#This Row],[Jun_2026_Days_Actual]]*Table4[[#This Row],[Cost Boolean]]*(VLOOKUP(Table4[[#This Row],[RATE CONCAT]],Tables!I:N,5,0)),0)</f>
        <v/>
      </c>
      <c r="CM13" s="347">
        <f>Table4[[#This Row],[Jun_2026_F]]-Table4[[#This Row],[Jun_2026_A]]</f>
        <v/>
      </c>
      <c r="CN13" s="103" t="n"/>
      <c r="CO13" s="347">
        <f>IFERROR(Table4[[#This Row],[Jul_2026_Days_Forecast]]*Table4[[#This Row],[Cost Boolean]]*(VLOOKUP(Table4[[#This Row],[RATE CONCAT]],Tables!I:N,5,0)),0)</f>
        <v/>
      </c>
      <c r="CP13" s="347">
        <f>IFERROR(Table4[[#This Row],[Aug_2026_Days_Forecast]]*Table4[[#This Row],[Location]]*(VLOOKUP(Table4[[#This Row],[Rate]],Tables!J:O,5,0)),0)</f>
        <v/>
      </c>
      <c r="CQ13" s="347">
        <f>Table4[[#This Row],[Jul_2026_F]]-Table4[[#This Row],[Jul_2026_A]]</f>
        <v/>
      </c>
      <c r="CR13" s="103" t="n"/>
      <c r="CS13" s="347">
        <f>IFERROR(Table4[[#This Row],[Aug_2026_Days_Forecast]]*Table4[[#This Row],[Cost Boolean]]*(VLOOKUP(Table4[[#This Row],[RATE CONCAT]],Tables!I:N,5,0)),0)</f>
        <v/>
      </c>
      <c r="CT13" s="347">
        <f>IFERROR(Table4[[#This Row],[Aug_2026_Days_Actual]]*Table4[[#This Row],[Cost Boolean]]*(VLOOKUP(Table4[[#This Row],[RATE CONCAT]],Tables!I:N,5,0)),0)</f>
        <v/>
      </c>
      <c r="CU13" s="347">
        <f>Table4[[#This Row],[Aug_2026_F]]-Table4[[#This Row],[Aug_2026_A]]</f>
        <v/>
      </c>
      <c r="CV13" s="103" t="n"/>
      <c r="CW13" s="347">
        <f>IFERROR(Table4[[#This Row],[Sep_2026_Days_Forecast]]*Table4[[#This Row],[Cost Boolean]]*(VLOOKUP(Table4[[#This Row],[RATE CONCAT]],Tables!I:N,5,0)),0)</f>
        <v/>
      </c>
      <c r="CX13" s="347">
        <f>IFERROR(Table4[[#This Row],[Sep_2026_Days_Actual]]*Table4[[#This Row],[Cost Boolean]]*(VLOOKUP(Table4[[#This Row],[RATE CONCAT]],Tables!I:N,5,0)),0)</f>
        <v/>
      </c>
      <c r="CY13" s="347">
        <f>Table4[[#This Row],[Sep_2026_F]]-Table4[[#This Row],[Sep_2026_A]]</f>
        <v/>
      </c>
      <c r="CZ13" s="103" t="n"/>
      <c r="DA13" s="347">
        <f>IFERROR(Table4[[#This Row],[Oct_2026_Days_Forecast]]*Table4[[#This Row],[Cost Boolean]]*(VLOOKUP(Table4[[#This Row],[RATE CONCAT]],Tables!I:N,5,0)),0)</f>
        <v/>
      </c>
      <c r="DB13" s="347">
        <f>IFERROR(Table4[[#This Row],[Oct_2026_Days_Actual]]*Table4[[#This Row],[Cost Boolean]]*(VLOOKUP(Table4[[#This Row],[RATE CONCAT]],Tables!I:N,5,0)),0)</f>
        <v/>
      </c>
      <c r="DC13" s="347">
        <f>Table4[[#This Row],[Oct_2026_F]]-Table4[[#This Row],[Oct_2026_A]]</f>
        <v/>
      </c>
      <c r="DD13" s="103" t="n"/>
      <c r="DE13" s="347">
        <f>IFERROR(Table4[[#This Row],[Nov_2026_Days_Forecast]]*Table4[[#This Row],[Cost Boolean]]*(VLOOKUP(Table4[[#This Row],[RATE CONCAT]],Tables!I:N,5,0)),0)</f>
        <v/>
      </c>
      <c r="DF13" s="347">
        <f>IFERROR(Table4[[#This Row],[Nov_2026_Days_Actual]]*Table4[[#This Row],[Cost Boolean]]*(VLOOKUP(Table4[[#This Row],[RATE CONCAT]],Tables!I:N,5,0)),0)</f>
        <v/>
      </c>
      <c r="DG13" s="347">
        <f>Table4[[#This Row],[Nov_2026_F]]-Table4[[#This Row],[Nov_2026_A]]</f>
        <v/>
      </c>
      <c r="DH13" s="103" t="n"/>
      <c r="DI13" s="347">
        <f>IFERROR(Table4[[#This Row],[Dec_2026_Days_Forecast]]*Table4[[#This Row],[Cost Boolean]]*(VLOOKUP(Table4[[#This Row],[RATE CONCAT]],Tables!I:N,5,0)),0)</f>
        <v/>
      </c>
      <c r="DJ13" s="347">
        <f>IFERROR(Table4[[#This Row],[Dec_2026_Days_Actual]]*Table4[[#This Row],[Cost Boolean]]*(VLOOKUP(Table4[[#This Row],[RATE CONCAT]],Tables!I:N,5,0)),0)</f>
        <v/>
      </c>
      <c r="DK13" s="347">
        <f>Table4[[#This Row],[Dec_2026_F]]-Table4[[#This Row],[Dec_2026_A]]</f>
        <v/>
      </c>
      <c r="DL13" s="103" t="n"/>
      <c r="DM13" s="346" t="n"/>
      <c r="DN13" s="347">
        <f>IFERROR(Table4[[#This Row],[Jan_2027_Days_Forecast]]*Table4[[#This Row],[Cost Boolean]]*(VLOOKUP(Table4[[#This Row],[RATE CONCAT]],Tables!I:N,6,0)),0)</f>
        <v/>
      </c>
      <c r="DO13" s="347" t="n">
        <v>0</v>
      </c>
      <c r="DP13" s="347">
        <f>Table4[[#This Row],[Jan_2027_F]]-Table4[[#This Row],[Jan_2027_A]]</f>
        <v/>
      </c>
      <c r="DQ13" s="347">
        <f>IFERROR(Table4[[#This Row],[Feb_2027_Days_Forecast]]*Table4[[#This Row],[Cost Boolean]]*(VLOOKUP(Table4[[#This Row],[RATE CONCAT]],Tables!I:N,6,0)),0)</f>
        <v/>
      </c>
      <c r="DR13" s="347" t="n">
        <v>0</v>
      </c>
      <c r="DS13" s="347">
        <f>Table4[[#This Row],[Feb_2027_F]]-Table4[[#This Row],[Feb_2027_A]]</f>
        <v/>
      </c>
      <c r="DT13" s="347">
        <f>IFERROR(Table4[[#This Row],[Mar_2027_Days_Forecast]]*Table4[[#This Row],[Cost Boolean]]*(VLOOKUP(Table4[[#This Row],[RATE CONCAT]],Tables!I:N,6,0)),0)</f>
        <v/>
      </c>
      <c r="DU13" s="347" t="n">
        <v>0</v>
      </c>
      <c r="DV13" s="347">
        <f>Table4[[#This Row],[Mar_2027_F]]-Table4[[#This Row],[Mar_2027_A]]</f>
        <v/>
      </c>
      <c r="DW13" s="347">
        <f>IFERROR(Table4[[#This Row],[Apr_2027_Days_Forecast]]*Table4[[#This Row],[Cost Boolean]]*(VLOOKUP(Table4[[#This Row],[RATE CONCAT]],Tables!I:N,6,0)),0)</f>
        <v/>
      </c>
      <c r="DX13" s="347" t="n">
        <v>0</v>
      </c>
      <c r="DY13" s="347">
        <f>Table4[[#This Row],[Apr_2027_F]]-Table4[[#This Row],[Apr_2027_A]]</f>
        <v/>
      </c>
      <c r="DZ13" s="347">
        <f>IFERROR(Table4[[#This Row],[May_2027_Days_Forecast]]*Table4[[#This Row],[Cost Boolean]]*(VLOOKUP(Table4[[#This Row],[RATE CONCAT]],Tables!I:N,6,0)),0)</f>
        <v/>
      </c>
      <c r="EA13" s="347" t="n">
        <v>0</v>
      </c>
      <c r="EB13" s="347">
        <f>Table4[[#This Row],[May_2027_F]]-Table4[[#This Row],[May_2027_A]]</f>
        <v/>
      </c>
      <c r="EC13" s="347">
        <f>IFERROR(Table4[[#This Row],[Jun_2027_Days_Forecast]]*Table4[[#This Row],[Cost Boolean]]*(VLOOKUP(Table4[[#This Row],[RATE CONCAT]],Tables!I:N,6,0)),0)</f>
        <v/>
      </c>
      <c r="ED13" s="347" t="n">
        <v>0</v>
      </c>
      <c r="EE13" s="347">
        <f>Table4[[#This Row],[Jun_2027_F]]-Table4[[#This Row],[Jun_2027_A]]</f>
        <v/>
      </c>
      <c r="EF13" s="347">
        <f>IFERROR(Table4[[#This Row],[Jul_2027_Days_Forecast]]*Table4[[#This Row],[Cost Boolean]]*(VLOOKUP(Table4[[#This Row],[RATE CONCAT]],Tables!I:N,6,0)),0)</f>
        <v/>
      </c>
      <c r="EG13" s="347" t="n">
        <v>0</v>
      </c>
      <c r="EH13" s="347">
        <f>Table4[[#This Row],[Jul_2027_F]]-Table4[[#This Row],[Jul_2027_A]]</f>
        <v/>
      </c>
      <c r="EI13" s="347">
        <f>IFERROR(Table4[[#This Row],[Aug_2027_Days_Forecast]]*Table4[[#This Row],[Cost Boolean]]*(VLOOKUP(Table4[[#This Row],[RATE CONCAT]],Tables!I:N,6,0)),0)</f>
        <v/>
      </c>
      <c r="EJ13" s="347" t="n">
        <v>0</v>
      </c>
      <c r="EK13" s="347">
        <f>Table4[[#This Row],[Aug_2027_F]]-Table4[[#This Row],[Aug_2027_A]]</f>
        <v/>
      </c>
      <c r="EL13" s="347">
        <f>IFERROR(Table4[[#This Row],[Sep_2027_Days_Forecast]]*Table4[[#This Row],[Cost Boolean]]*(VLOOKUP(Table4[[#This Row],[RATE CONCAT]],Tables!I:N,6,0)),0)</f>
        <v/>
      </c>
      <c r="EM13" s="347" t="n">
        <v>0</v>
      </c>
      <c r="EN13" s="347">
        <f>Table4[[#This Row],[Sep_2027_F]]-Table4[[#This Row],[Sep_2027_A]]</f>
        <v/>
      </c>
      <c r="EO13" s="347">
        <f>IFERROR(Table4[[#This Row],[Oct_2027_Days_Forecast]]*Table4[[#This Row],[Cost Boolean]]*(VLOOKUP(Table4[[#This Row],[RATE CONCAT]],Tables!I:N,6,0)),0)</f>
        <v/>
      </c>
      <c r="EP13" s="347" t="n">
        <v>0</v>
      </c>
      <c r="EQ13" s="347">
        <f>Table4[[#This Row],[Oct_2027_F]]-Table4[[#This Row],[Oct_2027_A]]</f>
        <v/>
      </c>
      <c r="ER13" s="347">
        <f>IFERROR(Table4[[#This Row],[Nov_2027_Days_Forecast]]*Table4[[#This Row],[Cost Boolean]]*(VLOOKUP(Table4[[#This Row],[RATE CONCAT]],Tables!I:N,6,0)),0)</f>
        <v/>
      </c>
      <c r="ES13" s="347" t="n">
        <v>0</v>
      </c>
      <c r="ET13" s="347">
        <f>Table4[[#This Row],[Nov_2027_F]]-Table4[[#This Row],[Nov_2027_A]]</f>
        <v/>
      </c>
      <c r="EU13" s="347">
        <f>IFERROR(Table4[[#This Row],[Dec_2027_Days_Forecast]]*Table4[[#This Row],[Cost Boolean]]*(VLOOKUP(Table4[[#This Row],[RATE CONCAT]],Tables!I:N,6,0)),0)</f>
        <v/>
      </c>
      <c r="EV13" s="347" t="n">
        <v>0</v>
      </c>
      <c r="EW13" s="347">
        <f>Table4[[#This Row],[Dec_2027_F]]-Table4[[#This Row],[Dec_2027_A]]</f>
        <v/>
      </c>
    </row>
    <row r="14" ht="15" customHeight="1">
      <c r="A14" s="350" t="inlineStr">
        <is>
          <t>PDSFS1015</t>
        </is>
      </c>
      <c r="B14" s="350" t="inlineStr">
        <is>
          <t>IDT</t>
        </is>
      </c>
      <c r="C14" s="350" t="inlineStr">
        <is>
          <t>Staff</t>
        </is>
      </c>
      <c r="D14" s="350" t="inlineStr">
        <is>
          <t>Vinayak Chinchkar</t>
        </is>
      </c>
      <c r="E14" s="350" t="inlineStr">
        <is>
          <t>Shell IDT</t>
        </is>
      </c>
      <c r="F14" s="132" t="n"/>
      <c r="G14" s="350" t="inlineStr">
        <is>
          <t>India</t>
        </is>
      </c>
      <c r="H14" s="350" t="n">
        <v>4</v>
      </c>
      <c r="I14" s="132" t="n"/>
      <c r="J14" s="350" t="inlineStr">
        <is>
          <t>IT PM</t>
        </is>
      </c>
      <c r="K14" s="350" t="inlineStr">
        <is>
          <t>In-seat</t>
        </is>
      </c>
      <c r="L14" s="350" t="n">
        <v>1</v>
      </c>
      <c r="M14" s="350" t="inlineStr">
        <is>
          <t>BNG</t>
        </is>
      </c>
      <c r="N14" s="350" t="inlineStr">
        <is>
          <t>IT Project Management</t>
        </is>
      </c>
      <c r="O14" s="350" t="inlineStr">
        <is>
          <t>Capex</t>
        </is>
      </c>
      <c r="P14" s="350" t="inlineStr">
        <is>
          <t>IT</t>
        </is>
      </c>
      <c r="Q14" s="350" t="inlineStr">
        <is>
          <t>TBD</t>
        </is>
      </c>
      <c r="R14" s="351" t="n">
        <v>46023</v>
      </c>
      <c r="S14" s="351" t="n">
        <v>46387</v>
      </c>
      <c r="T14" s="351" t="n">
        <v>46023</v>
      </c>
      <c r="U14" s="351" t="n">
        <v>46387</v>
      </c>
      <c r="V14" s="351" t="n">
        <v>46023</v>
      </c>
      <c r="W14" s="351" t="n">
        <v>46387</v>
      </c>
      <c r="X14" s="132" t="n"/>
      <c r="Y14" s="350">
        <f>CONCATENATE(Table4[[#This Row],[JG]],Table4[[#This Row],[Country]],Table4[[#This Row],[Resource Provider]])</f>
        <v/>
      </c>
      <c r="Z14" s="350">
        <f>VLOOKUP(Table4[[#This Row],[RATE CONCAT]],Tables!I:N,5,0)</f>
        <v/>
      </c>
      <c r="AA14" s="53" t="n"/>
      <c r="AB14" s="352" t="n">
        <v>10</v>
      </c>
      <c r="AC14" s="352" t="n">
        <v>10</v>
      </c>
      <c r="AD14" s="352" t="n">
        <v>10</v>
      </c>
      <c r="AE14" s="352" t="n">
        <v>10</v>
      </c>
      <c r="AF14" s="352" t="n">
        <v>9</v>
      </c>
      <c r="AG14" s="352" t="n">
        <v>9</v>
      </c>
      <c r="AH14" s="352" t="n">
        <v>9</v>
      </c>
      <c r="AI14" s="352" t="n">
        <v>10</v>
      </c>
      <c r="AJ14" s="352" t="n">
        <v>10</v>
      </c>
      <c r="AK14" s="352" t="n">
        <v>10</v>
      </c>
      <c r="AL14" s="352" t="n">
        <v>9</v>
      </c>
      <c r="AM14" s="352" t="n">
        <v>9</v>
      </c>
      <c r="AN14" s="353">
        <f>IFERROR(AVERAGE(Table4[[#This Row],[Jan_2026_Days_Forecast]:[Dec_2026_Days_Forecast]]),0)/19</f>
        <v/>
      </c>
      <c r="AO14" s="353">
        <f>IFERROR(AVERAGE(Table4[[#This Row],[Jan_2026_Days_Actual]:[Dec_2026_Days_Actual]]),0)/19</f>
        <v/>
      </c>
      <c r="AP14" s="352" t="n">
        <v>10</v>
      </c>
      <c r="AQ14" s="352" t="n">
        <v>10</v>
      </c>
      <c r="AR14" s="352" t="n">
        <v>10</v>
      </c>
      <c r="AS14" s="352" t="n">
        <v>10</v>
      </c>
      <c r="AT14" s="352" t="n">
        <v>9</v>
      </c>
      <c r="AU14" s="352" t="n">
        <v>9</v>
      </c>
      <c r="AV14" s="352" t="n">
        <v>9</v>
      </c>
      <c r="AW14" s="352" t="n">
        <v>10</v>
      </c>
      <c r="AX14" s="352" t="n">
        <v>10</v>
      </c>
      <c r="AY14" s="352" t="n">
        <v>10</v>
      </c>
      <c r="AZ14" s="352" t="n">
        <v>9</v>
      </c>
      <c r="BA14" s="352" t="n">
        <v>9</v>
      </c>
      <c r="BB14" s="353">
        <f>IFERROR(AVERAGE(Table4[[#This Row],[Jan_2027_Days_Forecast]:[Dec_2027_Days_Forecast]]),0)</f>
        <v/>
      </c>
      <c r="BC14" s="16" t="n"/>
      <c r="BD14" s="16" t="n"/>
      <c r="BE14" s="16" t="n"/>
      <c r="BF14" s="16" t="n"/>
      <c r="BG14" s="16" t="n"/>
      <c r="BH14" s="16" t="n"/>
      <c r="BI14" s="16" t="n"/>
      <c r="BJ14" s="16" t="n"/>
      <c r="BK14" s="16" t="n"/>
      <c r="BL14" s="16" t="n"/>
      <c r="BM14" s="16" t="n"/>
      <c r="BN14" s="16" t="n"/>
      <c r="BO14" s="55" t="n"/>
      <c r="BP14" s="346" t="n"/>
      <c r="BQ14" s="345">
        <f>Table4[[#This Row],[Jan_2026_Days_Forecast]]*Table4[[#This Row],[Cost Boolean]]*VLOOKUP(Table4[[#This Row],[RATE CONCAT]],Tables!I:N,5,0)</f>
        <v/>
      </c>
      <c r="BR14" s="345">
        <f>IFERROR(Table4[[#This Row],[Jan_2026_Days_Actual]]*Table4[[#This Row],[Cost Boolean]]*(VLOOKUP(Table4[[#This Row],[RATE CONCAT]],Tables!I:N,5,0)),0)</f>
        <v/>
      </c>
      <c r="BS14" s="345">
        <f>Table4[[#This Row],[Jan_2026_F]]-Table4[[#This Row],[Jan_2026_A]]</f>
        <v/>
      </c>
      <c r="BT14" s="107" t="n"/>
      <c r="BU14" s="345">
        <f>IFERROR(Table4[[#This Row],[Feb_2026_Days_Forecast]]*Table4[[#This Row],[Cost Boolean]]*(VLOOKUP(Table4[[#This Row],[RATE CONCAT]],Tables!I:N,5,0)),0)</f>
        <v/>
      </c>
      <c r="BV14" s="345">
        <f>IFERROR(Table4[[#This Row],[Feb_2026_Days_Actual]]*Table4[[#This Row],[Cost Boolean]]*(VLOOKUP(Table4[[#This Row],[RATE CONCAT]],Tables!I:N,5,0)),0)</f>
        <v/>
      </c>
      <c r="BW14" s="345">
        <f>Table4[[#This Row],[Feb_2026_F]]-Table4[[#This Row],[Feb_2026_A]]</f>
        <v/>
      </c>
      <c r="BX14" s="103" t="n"/>
      <c r="BY14" s="345">
        <f>IFERROR(Table4[[#This Row],[Mar_2026_Days_Forecast]]*Table4[[#This Row],[Cost Boolean]]*(VLOOKUP(Table4[[#This Row],[RATE CONCAT]],Tables!I:N,5,0)),0)</f>
        <v/>
      </c>
      <c r="BZ14" s="345">
        <f>IFERROR(Table4[[#This Row],[Mar_2026_Days_Actual]]*Table4[[#This Row],[Cost Boolean]]*(VLOOKUP(Table4[[#This Row],[RATE CONCAT]],Tables!I:N,5,0)),0)</f>
        <v/>
      </c>
      <c r="CA14" s="345">
        <f>Table4[[#This Row],[Mar_2026_F]]-Table4[[#This Row],[Mar_2026_A]]</f>
        <v/>
      </c>
      <c r="CB14" s="103" t="n"/>
      <c r="CC14" s="345">
        <f>IFERROR(Table4[[#This Row],[Apr_2026_Days_Forecast]]*Table4[[#This Row],[Cost Boolean]]*(VLOOKUP(Table4[[#This Row],[RATE CONCAT]],Tables!I:N,5,0)),0)</f>
        <v/>
      </c>
      <c r="CD14" s="345">
        <f>IFERROR(Table4[[#This Row],[Apr_2026_Days_Actual]]*Table4[[#This Row],[Cost Boolean]]*(VLOOKUP(Table4[[#This Row],[RATE CONCAT]],Tables!I:N,5,0)),0)</f>
        <v/>
      </c>
      <c r="CE14" s="345">
        <f>Table4[[#This Row],[Apr_2026_F]]-Table4[[#This Row],[Apr_2026_A]]</f>
        <v/>
      </c>
      <c r="CF14" s="103" t="n"/>
      <c r="CG14" s="345">
        <f>IFERROR(Table4[[#This Row],[May_2026_Days_Forecast]] *Table4[[#This Row],[Cost Boolean]]*(VLOOKUP(Table4[[#This Row],[RATE CONCAT]],Tables!I:N,5,0)),0)</f>
        <v/>
      </c>
      <c r="CH14" s="345">
        <f>IFERROR(Table4[[#This Row],[May_2026_Days_Actual]]*Table4[[#This Row],[Cost Boolean]]*(VLOOKUP(Table4[[#This Row],[RATE CONCAT]],Tables!I:N,5,0)),0)</f>
        <v/>
      </c>
      <c r="CI14" s="345">
        <f>Table4[[#This Row],[May_2026_F]]-Table4[[#This Row],[May_2026_A]]</f>
        <v/>
      </c>
      <c r="CJ14" s="103" t="n"/>
      <c r="CK14" s="345">
        <f>IFERROR(Table4[[#This Row],[Jun_2026_Days_Forecast]]*Table4[[#This Row],[Cost Boolean]]*(VLOOKUP(Table4[[#This Row],[RATE CONCAT]],Tables!I:N,5,0)),0)</f>
        <v/>
      </c>
      <c r="CL14" s="345">
        <f>IFERROR(Table4[[#This Row],[Jun_2026_Days_Actual]]*Table4[[#This Row],[Cost Boolean]]*(VLOOKUP(Table4[[#This Row],[RATE CONCAT]],Tables!I:N,5,0)),0)</f>
        <v/>
      </c>
      <c r="CM14" s="345">
        <f>Table4[[#This Row],[Jun_2026_F]]-Table4[[#This Row],[Jun_2026_A]]</f>
        <v/>
      </c>
      <c r="CN14" s="103" t="n"/>
      <c r="CO14" s="345">
        <f>IFERROR(Table4[[#This Row],[Jul_2026_Days_Forecast]]*Table4[[#This Row],[Cost Boolean]]*(VLOOKUP(Table4[[#This Row],[RATE CONCAT]],Tables!I:N,5,0)),0)</f>
        <v/>
      </c>
      <c r="CP14" s="345">
        <f>IFERROR(Table4[[#This Row],[Aug_2026_Days_Forecast]]*Table4[[#This Row],[Location]]*(VLOOKUP(Table4[[#This Row],[Rate]],Tables!J:O,5,0)),0)</f>
        <v/>
      </c>
      <c r="CQ14" s="345">
        <f>Table4[[#This Row],[Jul_2026_F]]-Table4[[#This Row],[Jul_2026_A]]</f>
        <v/>
      </c>
      <c r="CR14" s="103" t="n"/>
      <c r="CS14" s="345">
        <f>IFERROR(Table4[[#This Row],[Aug_2026_Days_Forecast]]*Table4[[#This Row],[Cost Boolean]]*(VLOOKUP(Table4[[#This Row],[RATE CONCAT]],Tables!I:N,5,0)),0)</f>
        <v/>
      </c>
      <c r="CT14" s="345">
        <f>IFERROR(Table4[[#This Row],[Aug_2026_Days_Actual]]*Table4[[#This Row],[Cost Boolean]]*(VLOOKUP(Table4[[#This Row],[RATE CONCAT]],Tables!I:N,5,0)),0)</f>
        <v/>
      </c>
      <c r="CU14" s="345">
        <f>Table4[[#This Row],[Aug_2026_F]]-Table4[[#This Row],[Aug_2026_A]]</f>
        <v/>
      </c>
      <c r="CV14" s="103" t="n"/>
      <c r="CW14" s="345">
        <f>IFERROR(Table4[[#This Row],[Sep_2026_Days_Forecast]]*Table4[[#This Row],[Cost Boolean]]*(VLOOKUP(Table4[[#This Row],[RATE CONCAT]],Tables!I:N,5,0)),0)</f>
        <v/>
      </c>
      <c r="CX14" s="345">
        <f>IFERROR(Table4[[#This Row],[Sep_2026_Days_Actual]]*Table4[[#This Row],[Cost Boolean]]*(VLOOKUP(Table4[[#This Row],[RATE CONCAT]],Tables!I:N,5,0)),0)</f>
        <v/>
      </c>
      <c r="CY14" s="345">
        <f>Table4[[#This Row],[Sep_2026_F]]-Table4[[#This Row],[Sep_2026_A]]</f>
        <v/>
      </c>
      <c r="CZ14" s="103" t="n"/>
      <c r="DA14" s="345">
        <f>IFERROR(Table4[[#This Row],[Oct_2026_Days_Forecast]]*Table4[[#This Row],[Cost Boolean]]*(VLOOKUP(Table4[[#This Row],[RATE CONCAT]],Tables!I:N,5,0)),0)</f>
        <v/>
      </c>
      <c r="DB14" s="345">
        <f>IFERROR(Table4[[#This Row],[Oct_2026_Days_Actual]]*Table4[[#This Row],[Cost Boolean]]*(VLOOKUP(Table4[[#This Row],[RATE CONCAT]],Tables!I:N,5,0)),0)</f>
        <v/>
      </c>
      <c r="DC14" s="345">
        <f>Table4[[#This Row],[Oct_2026_F]]-Table4[[#This Row],[Oct_2026_A]]</f>
        <v/>
      </c>
      <c r="DD14" s="103" t="n"/>
      <c r="DE14" s="345">
        <f>IFERROR(Table4[[#This Row],[Nov_2026_Days_Forecast]]*Table4[[#This Row],[Cost Boolean]]*(VLOOKUP(Table4[[#This Row],[RATE CONCAT]],Tables!I:N,5,0)),0)</f>
        <v/>
      </c>
      <c r="DF14" s="345">
        <f>IFERROR(Table4[[#This Row],[Nov_2026_Days_Actual]]*Table4[[#This Row],[Cost Boolean]]*(VLOOKUP(Table4[[#This Row],[RATE CONCAT]],Tables!I:N,5,0)),0)</f>
        <v/>
      </c>
      <c r="DG14" s="345">
        <f>Table4[[#This Row],[Nov_2026_F]]-Table4[[#This Row],[Nov_2026_A]]</f>
        <v/>
      </c>
      <c r="DH14" s="103" t="n"/>
      <c r="DI14" s="345">
        <f>IFERROR(Table4[[#This Row],[Dec_2026_Days_Forecast]]*Table4[[#This Row],[Cost Boolean]]*(VLOOKUP(Table4[[#This Row],[RATE CONCAT]],Tables!I:N,5,0)),0)</f>
        <v/>
      </c>
      <c r="DJ14" s="345">
        <f>IFERROR(Table4[[#This Row],[Dec_2026_Days_Actual]]*Table4[[#This Row],[Cost Boolean]]*(VLOOKUP(Table4[[#This Row],[RATE CONCAT]],Tables!I:N,5,0)),0)</f>
        <v/>
      </c>
      <c r="DK14" s="345">
        <f>Table4[[#This Row],[Dec_2026_F]]-Table4[[#This Row],[Dec_2026_A]]</f>
        <v/>
      </c>
      <c r="DL14" s="103" t="n"/>
      <c r="DM14" s="346" t="n"/>
      <c r="DN14" s="345">
        <f>IFERROR(Table4[[#This Row],[Jan_2027_Days_Forecast]]*Table4[[#This Row],[Cost Boolean]]*(VLOOKUP(Table4[[#This Row],[RATE CONCAT]],Tables!I:N,6,0)),0)</f>
        <v/>
      </c>
      <c r="DO14" s="345" t="n">
        <v>0</v>
      </c>
      <c r="DP14" s="345">
        <f>Table4[[#This Row],[Jan_2027_F]]-Table4[[#This Row],[Jan_2027_A]]</f>
        <v/>
      </c>
      <c r="DQ14" s="345">
        <f>IFERROR(Table4[[#This Row],[Feb_2027_Days_Forecast]]*Table4[[#This Row],[Cost Boolean]]*(VLOOKUP(Table4[[#This Row],[RATE CONCAT]],Tables!I:N,6,0)),0)</f>
        <v/>
      </c>
      <c r="DR14" s="345" t="n">
        <v>0</v>
      </c>
      <c r="DS14" s="345">
        <f>Table4[[#This Row],[Feb_2027_F]]-Table4[[#This Row],[Feb_2027_A]]</f>
        <v/>
      </c>
      <c r="DT14" s="345">
        <f>IFERROR(Table4[[#This Row],[Mar_2027_Days_Forecast]]*Table4[[#This Row],[Cost Boolean]]*(VLOOKUP(Table4[[#This Row],[RATE CONCAT]],Tables!I:N,6,0)),0)</f>
        <v/>
      </c>
      <c r="DU14" s="345" t="n">
        <v>0</v>
      </c>
      <c r="DV14" s="345">
        <f>Table4[[#This Row],[Mar_2027_F]]-Table4[[#This Row],[Mar_2027_A]]</f>
        <v/>
      </c>
      <c r="DW14" s="345">
        <f>IFERROR(Table4[[#This Row],[Apr_2027_Days_Forecast]]*Table4[[#This Row],[Cost Boolean]]*(VLOOKUP(Table4[[#This Row],[RATE CONCAT]],Tables!I:N,6,0)),0)</f>
        <v/>
      </c>
      <c r="DX14" s="345" t="n">
        <v>0</v>
      </c>
      <c r="DY14" s="345">
        <f>Table4[[#This Row],[Apr_2027_F]]-Table4[[#This Row],[Apr_2027_A]]</f>
        <v/>
      </c>
      <c r="DZ14" s="345">
        <f>IFERROR(Table4[[#This Row],[May_2027_Days_Forecast]]*Table4[[#This Row],[Cost Boolean]]*(VLOOKUP(Table4[[#This Row],[RATE CONCAT]],Tables!I:N,6,0)),0)</f>
        <v/>
      </c>
      <c r="EA14" s="345" t="n">
        <v>0</v>
      </c>
      <c r="EB14" s="345">
        <f>Table4[[#This Row],[May_2027_F]]-Table4[[#This Row],[May_2027_A]]</f>
        <v/>
      </c>
      <c r="EC14" s="345">
        <f>IFERROR(Table4[[#This Row],[Jun_2027_Days_Forecast]]*Table4[[#This Row],[Cost Boolean]]*(VLOOKUP(Table4[[#This Row],[RATE CONCAT]],Tables!I:N,6,0)),0)</f>
        <v/>
      </c>
      <c r="ED14" s="345" t="n">
        <v>0</v>
      </c>
      <c r="EE14" s="345">
        <f>Table4[[#This Row],[Jun_2027_F]]-Table4[[#This Row],[Jun_2027_A]]</f>
        <v/>
      </c>
      <c r="EF14" s="345">
        <f>IFERROR(Table4[[#This Row],[Jul_2027_Days_Forecast]]*Table4[[#This Row],[Cost Boolean]]*(VLOOKUP(Table4[[#This Row],[RATE CONCAT]],Tables!I:N,6,0)),0)</f>
        <v/>
      </c>
      <c r="EG14" s="345" t="n">
        <v>0</v>
      </c>
      <c r="EH14" s="345">
        <f>Table4[[#This Row],[Jul_2027_F]]-Table4[[#This Row],[Jul_2027_A]]</f>
        <v/>
      </c>
      <c r="EI14" s="345">
        <f>IFERROR(Table4[[#This Row],[Aug_2027_Days_Forecast]]*Table4[[#This Row],[Cost Boolean]]*(VLOOKUP(Table4[[#This Row],[RATE CONCAT]],Tables!I:N,6,0)),0)</f>
        <v/>
      </c>
      <c r="EJ14" s="345" t="n">
        <v>0</v>
      </c>
      <c r="EK14" s="345">
        <f>Table4[[#This Row],[Aug_2027_F]]-Table4[[#This Row],[Aug_2027_A]]</f>
        <v/>
      </c>
      <c r="EL14" s="345">
        <f>IFERROR(Table4[[#This Row],[Sep_2027_Days_Forecast]]*Table4[[#This Row],[Cost Boolean]]*(VLOOKUP(Table4[[#This Row],[RATE CONCAT]],Tables!I:N,6,0)),0)</f>
        <v/>
      </c>
      <c r="EM14" s="345" t="n">
        <v>0</v>
      </c>
      <c r="EN14" s="345">
        <f>Table4[[#This Row],[Sep_2027_F]]-Table4[[#This Row],[Sep_2027_A]]</f>
        <v/>
      </c>
      <c r="EO14" s="345">
        <f>IFERROR(Table4[[#This Row],[Oct_2027_Days_Forecast]]*Table4[[#This Row],[Cost Boolean]]*(VLOOKUP(Table4[[#This Row],[RATE CONCAT]],Tables!I:N,6,0)),0)</f>
        <v/>
      </c>
      <c r="EP14" s="345" t="n">
        <v>0</v>
      </c>
      <c r="EQ14" s="345">
        <f>Table4[[#This Row],[Oct_2027_F]]-Table4[[#This Row],[Oct_2027_A]]</f>
        <v/>
      </c>
      <c r="ER14" s="345">
        <f>IFERROR(Table4[[#This Row],[Nov_2027_Days_Forecast]]*Table4[[#This Row],[Cost Boolean]]*(VLOOKUP(Table4[[#This Row],[RATE CONCAT]],Tables!I:N,6,0)),0)</f>
        <v/>
      </c>
      <c r="ES14" s="345" t="n">
        <v>0</v>
      </c>
      <c r="ET14" s="345">
        <f>Table4[[#This Row],[Nov_2027_F]]-Table4[[#This Row],[Nov_2027_A]]</f>
        <v/>
      </c>
      <c r="EU14" s="345">
        <f>IFERROR(Table4[[#This Row],[Dec_2027_Days_Forecast]]*Table4[[#This Row],[Cost Boolean]]*(VLOOKUP(Table4[[#This Row],[RATE CONCAT]],Tables!I:N,6,0)),0)</f>
        <v/>
      </c>
      <c r="EV14" s="345" t="n">
        <v>0</v>
      </c>
      <c r="EW14" s="345">
        <f>Table4[[#This Row],[Dec_2027_F]]-Table4[[#This Row],[Dec_2027_A]]</f>
        <v/>
      </c>
    </row>
    <row r="15" ht="15" customHeight="1">
      <c r="A15" s="350" t="inlineStr">
        <is>
          <t>PDSFS1033</t>
        </is>
      </c>
      <c r="B15" s="350" t="inlineStr">
        <is>
          <t>USDF</t>
        </is>
      </c>
      <c r="C15" s="350" t="inlineStr">
        <is>
          <t>Staff</t>
        </is>
      </c>
      <c r="D15" s="350" t="inlineStr">
        <is>
          <t>Jay Campbell</t>
        </is>
      </c>
      <c r="E15" s="350" t="inlineStr">
        <is>
          <t>Veson</t>
        </is>
      </c>
      <c r="F15" s="132" t="n"/>
      <c r="G15" s="350" t="inlineStr">
        <is>
          <t>United States</t>
        </is>
      </c>
      <c r="H15" s="350" t="n">
        <v>3</v>
      </c>
      <c r="I15" s="132" t="n"/>
      <c r="J15" s="350" t="inlineStr">
        <is>
          <t>FO VESON Lead</t>
        </is>
      </c>
      <c r="K15" s="350" t="inlineStr">
        <is>
          <t>In-seat</t>
        </is>
      </c>
      <c r="L15" s="350" t="n">
        <v>0</v>
      </c>
      <c r="M15" s="350" t="inlineStr">
        <is>
          <t>HOU</t>
        </is>
      </c>
      <c r="N15" s="350" t="inlineStr">
        <is>
          <t>Veson Software SME</t>
        </is>
      </c>
      <c r="O15" s="350" t="inlineStr">
        <is>
          <t>Opex</t>
        </is>
      </c>
      <c r="P15" s="350" t="inlineStr">
        <is>
          <t>IT</t>
        </is>
      </c>
      <c r="Q15" s="350" t="inlineStr">
        <is>
          <t>TBD</t>
        </is>
      </c>
      <c r="R15" s="351" t="n">
        <v>46023</v>
      </c>
      <c r="S15" s="351" t="n">
        <v>46387</v>
      </c>
      <c r="T15" s="351" t="n">
        <v>46023</v>
      </c>
      <c r="U15" s="351" t="n">
        <v>46387</v>
      </c>
      <c r="V15" s="351" t="n">
        <v>46023</v>
      </c>
      <c r="W15" s="351" t="n">
        <v>46387</v>
      </c>
      <c r="X15" s="132" t="n"/>
      <c r="Y15" s="350">
        <f>CONCATENATE(Table4[[#This Row],[JG]],Table4[[#This Row],[Country]],Table4[[#This Row],[Resource Provider]])</f>
        <v/>
      </c>
      <c r="Z15" s="350">
        <f>VLOOKUP(Table4[[#This Row],[RATE CONCAT]],Tables!I:N,5,0)</f>
        <v/>
      </c>
      <c r="AA15" s="53" t="n"/>
      <c r="AB15" s="192" t="n"/>
      <c r="AC15" s="352" t="n">
        <v>2</v>
      </c>
      <c r="AD15" s="352" t="n">
        <v>2</v>
      </c>
      <c r="AE15" s="352" t="n">
        <v>2</v>
      </c>
      <c r="AF15" s="352" t="n">
        <v>2</v>
      </c>
      <c r="AG15" s="352" t="n">
        <v>2</v>
      </c>
      <c r="AH15" s="352" t="n">
        <v>1</v>
      </c>
      <c r="AI15" s="352" t="n">
        <v>2</v>
      </c>
      <c r="AJ15" s="352" t="n">
        <v>2</v>
      </c>
      <c r="AK15" s="352" t="n">
        <v>2</v>
      </c>
      <c r="AL15" s="192" t="n"/>
      <c r="AM15" s="192" t="n"/>
      <c r="AN15" s="353">
        <f>IFERROR(AVERAGE(Table4[[#This Row],[Jan_2026_Days_Forecast]:[Dec_2026_Days_Forecast]]),0)/19</f>
        <v/>
      </c>
      <c r="AO15" s="353">
        <f>IFERROR(AVERAGE(Table4[[#This Row],[Jan_2026_Days_Actual]:[Dec_2026_Days_Actual]]),0)/19</f>
        <v/>
      </c>
      <c r="AP15" s="192" t="n"/>
      <c r="AQ15" s="352" t="n">
        <v>2</v>
      </c>
      <c r="AR15" s="352" t="n">
        <v>2</v>
      </c>
      <c r="AS15" s="352" t="n">
        <v>2</v>
      </c>
      <c r="AT15" s="352" t="n">
        <v>2</v>
      </c>
      <c r="AU15" s="352" t="n">
        <v>2</v>
      </c>
      <c r="AV15" s="352" t="n">
        <v>1</v>
      </c>
      <c r="AW15" s="352" t="n">
        <v>2</v>
      </c>
      <c r="AX15" s="352" t="n">
        <v>2</v>
      </c>
      <c r="AY15" s="352" t="n">
        <v>2</v>
      </c>
      <c r="AZ15" s="192" t="n"/>
      <c r="BA15" s="192" t="n"/>
      <c r="BB15" s="353">
        <f>IFERROR(AVERAGE(Table4[[#This Row],[Jan_2027_Days_Forecast]:[Dec_2027_Days_Forecast]]),0)</f>
        <v/>
      </c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6" t="n"/>
      <c r="BM15" s="16" t="n"/>
      <c r="BN15" s="16" t="n"/>
      <c r="BO15" s="55" t="n"/>
      <c r="BP15" s="346" t="n"/>
      <c r="BQ15" s="347">
        <f>Table4[[#This Row],[Jan_2026_Days_Forecast]]*Table4[[#This Row],[Cost Boolean]]*VLOOKUP(Table4[[#This Row],[RATE CONCAT]],Tables!I:N,5,0)</f>
        <v/>
      </c>
      <c r="BR15" s="347">
        <f>IFERROR(Table4[[#This Row],[Jan_2026_Days_Actual]]*Table4[[#This Row],[Cost Boolean]]*(VLOOKUP(Table4[[#This Row],[RATE CONCAT]],Tables!I:N,5,0)),0)</f>
        <v/>
      </c>
      <c r="BS15" s="347">
        <f>Table4[[#This Row],[Jan_2026_F]]-Table4[[#This Row],[Jan_2026_A]]</f>
        <v/>
      </c>
      <c r="BT15" s="107" t="n"/>
      <c r="BU15" s="347">
        <f>IFERROR(Table4[[#This Row],[Feb_2026_Days_Forecast]]*Table4[[#This Row],[Cost Boolean]]*(VLOOKUP(Table4[[#This Row],[RATE CONCAT]],Tables!I:N,5,0)),0)</f>
        <v/>
      </c>
      <c r="BV15" s="347">
        <f>IFERROR(Table4[[#This Row],[Feb_2026_Days_Actual]]*Table4[[#This Row],[Cost Boolean]]*(VLOOKUP(Table4[[#This Row],[RATE CONCAT]],Tables!I:N,5,0)),0)</f>
        <v/>
      </c>
      <c r="BW15" s="347">
        <f>Table4[[#This Row],[Feb_2026_F]]-Table4[[#This Row],[Feb_2026_A]]</f>
        <v/>
      </c>
      <c r="BX15" s="103" t="n"/>
      <c r="BY15" s="347">
        <f>IFERROR(Table4[[#This Row],[Mar_2026_Days_Forecast]]*Table4[[#This Row],[Cost Boolean]]*(VLOOKUP(Table4[[#This Row],[RATE CONCAT]],Tables!I:N,5,0)),0)</f>
        <v/>
      </c>
      <c r="BZ15" s="347">
        <f>IFERROR(Table4[[#This Row],[Mar_2026_Days_Actual]]*Table4[[#This Row],[Cost Boolean]]*(VLOOKUP(Table4[[#This Row],[RATE CONCAT]],Tables!I:N,5,0)),0)</f>
        <v/>
      </c>
      <c r="CA15" s="347">
        <f>Table4[[#This Row],[Mar_2026_F]]-Table4[[#This Row],[Mar_2026_A]]</f>
        <v/>
      </c>
      <c r="CB15" s="103" t="n"/>
      <c r="CC15" s="347">
        <f>IFERROR(Table4[[#This Row],[Apr_2026_Days_Forecast]]*Table4[[#This Row],[Cost Boolean]]*(VLOOKUP(Table4[[#This Row],[RATE CONCAT]],Tables!I:N,5,0)),0)</f>
        <v/>
      </c>
      <c r="CD15" s="347">
        <f>IFERROR(Table4[[#This Row],[Apr_2026_Days_Actual]]*Table4[[#This Row],[Cost Boolean]]*(VLOOKUP(Table4[[#This Row],[RATE CONCAT]],Tables!I:N,5,0)),0)</f>
        <v/>
      </c>
      <c r="CE15" s="347">
        <f>Table4[[#This Row],[Apr_2026_F]]-Table4[[#This Row],[Apr_2026_A]]</f>
        <v/>
      </c>
      <c r="CF15" s="103" t="n"/>
      <c r="CG15" s="347">
        <f>IFERROR(Table4[[#This Row],[May_2026_Days_Forecast]] *Table4[[#This Row],[Cost Boolean]]*(VLOOKUP(Table4[[#This Row],[RATE CONCAT]],Tables!I:N,5,0)),0)</f>
        <v/>
      </c>
      <c r="CH15" s="347">
        <f>IFERROR(Table4[[#This Row],[May_2026_Days_Actual]]*Table4[[#This Row],[Cost Boolean]]*(VLOOKUP(Table4[[#This Row],[RATE CONCAT]],Tables!I:N,5,0)),0)</f>
        <v/>
      </c>
      <c r="CI15" s="347">
        <f>Table4[[#This Row],[May_2026_F]]-Table4[[#This Row],[May_2026_A]]</f>
        <v/>
      </c>
      <c r="CJ15" s="103" t="n"/>
      <c r="CK15" s="347">
        <f>IFERROR(Table4[[#This Row],[Jun_2026_Days_Forecast]]*Table4[[#This Row],[Cost Boolean]]*(VLOOKUP(Table4[[#This Row],[RATE CONCAT]],Tables!I:N,5,0)),0)</f>
        <v/>
      </c>
      <c r="CL15" s="347">
        <f>IFERROR(Table4[[#This Row],[Jun_2026_Days_Actual]]*Table4[[#This Row],[Cost Boolean]]*(VLOOKUP(Table4[[#This Row],[RATE CONCAT]],Tables!I:N,5,0)),0)</f>
        <v/>
      </c>
      <c r="CM15" s="347">
        <f>Table4[[#This Row],[Jun_2026_F]]-Table4[[#This Row],[Jun_2026_A]]</f>
        <v/>
      </c>
      <c r="CN15" s="103" t="n"/>
      <c r="CO15" s="347">
        <f>IFERROR(Table4[[#This Row],[Jul_2026_Days_Forecast]]*Table4[[#This Row],[Cost Boolean]]*(VLOOKUP(Table4[[#This Row],[RATE CONCAT]],Tables!I:N,5,0)),0)</f>
        <v/>
      </c>
      <c r="CP15" s="347">
        <f>IFERROR(Table4[[#This Row],[Aug_2026_Days_Forecast]]*Table4[[#This Row],[Location]]*(VLOOKUP(Table4[[#This Row],[Rate]],Tables!J:O,5,0)),0)</f>
        <v/>
      </c>
      <c r="CQ15" s="347">
        <f>Table4[[#This Row],[Jul_2026_F]]-Table4[[#This Row],[Jul_2026_A]]</f>
        <v/>
      </c>
      <c r="CR15" s="103" t="n"/>
      <c r="CS15" s="347">
        <f>IFERROR(Table4[[#This Row],[Aug_2026_Days_Forecast]]*Table4[[#This Row],[Cost Boolean]]*(VLOOKUP(Table4[[#This Row],[RATE CONCAT]],Tables!I:N,5,0)),0)</f>
        <v/>
      </c>
      <c r="CT15" s="347">
        <f>IFERROR(Table4[[#This Row],[Aug_2026_Days_Actual]]*Table4[[#This Row],[Cost Boolean]]*(VLOOKUP(Table4[[#This Row],[RATE CONCAT]],Tables!I:N,5,0)),0)</f>
        <v/>
      </c>
      <c r="CU15" s="347">
        <f>Table4[[#This Row],[Aug_2026_F]]-Table4[[#This Row],[Aug_2026_A]]</f>
        <v/>
      </c>
      <c r="CV15" s="103" t="n"/>
      <c r="CW15" s="347">
        <f>IFERROR(Table4[[#This Row],[Sep_2026_Days_Forecast]]*Table4[[#This Row],[Cost Boolean]]*(VLOOKUP(Table4[[#This Row],[RATE CONCAT]],Tables!I:N,5,0)),0)</f>
        <v/>
      </c>
      <c r="CX15" s="347">
        <f>IFERROR(Table4[[#This Row],[Sep_2026_Days_Actual]]*Table4[[#This Row],[Cost Boolean]]*(VLOOKUP(Table4[[#This Row],[RATE CONCAT]],Tables!I:N,5,0)),0)</f>
        <v/>
      </c>
      <c r="CY15" s="347">
        <f>Table4[[#This Row],[Sep_2026_F]]-Table4[[#This Row],[Sep_2026_A]]</f>
        <v/>
      </c>
      <c r="CZ15" s="103" t="n"/>
      <c r="DA15" s="347">
        <f>IFERROR(Table4[[#This Row],[Oct_2026_Days_Forecast]]*Table4[[#This Row],[Cost Boolean]]*(VLOOKUP(Table4[[#This Row],[RATE CONCAT]],Tables!I:N,5,0)),0)</f>
        <v/>
      </c>
      <c r="DB15" s="347">
        <f>IFERROR(Table4[[#This Row],[Oct_2026_Days_Actual]]*Table4[[#This Row],[Cost Boolean]]*(VLOOKUP(Table4[[#This Row],[RATE CONCAT]],Tables!I:N,5,0)),0)</f>
        <v/>
      </c>
      <c r="DC15" s="347">
        <f>Table4[[#This Row],[Oct_2026_F]]-Table4[[#This Row],[Oct_2026_A]]</f>
        <v/>
      </c>
      <c r="DD15" s="103" t="n"/>
      <c r="DE15" s="347">
        <f>IFERROR(Table4[[#This Row],[Nov_2026_Days_Forecast]]*Table4[[#This Row],[Cost Boolean]]*(VLOOKUP(Table4[[#This Row],[RATE CONCAT]],Tables!I:N,5,0)),0)</f>
        <v/>
      </c>
      <c r="DF15" s="347">
        <f>IFERROR(Table4[[#This Row],[Nov_2026_Days_Actual]]*Table4[[#This Row],[Cost Boolean]]*(VLOOKUP(Table4[[#This Row],[RATE CONCAT]],Tables!I:N,5,0)),0)</f>
        <v/>
      </c>
      <c r="DG15" s="347">
        <f>Table4[[#This Row],[Nov_2026_F]]-Table4[[#This Row],[Nov_2026_A]]</f>
        <v/>
      </c>
      <c r="DH15" s="103" t="n"/>
      <c r="DI15" s="347">
        <f>IFERROR(Table4[[#This Row],[Dec_2026_Days_Forecast]]*Table4[[#This Row],[Cost Boolean]]*(VLOOKUP(Table4[[#This Row],[RATE CONCAT]],Tables!I:N,5,0)),0)</f>
        <v/>
      </c>
      <c r="DJ15" s="347">
        <f>IFERROR(Table4[[#This Row],[Dec_2026_Days_Actual]]*Table4[[#This Row],[Cost Boolean]]*(VLOOKUP(Table4[[#This Row],[RATE CONCAT]],Tables!I:N,5,0)),0)</f>
        <v/>
      </c>
      <c r="DK15" s="347">
        <f>Table4[[#This Row],[Dec_2026_F]]-Table4[[#This Row],[Dec_2026_A]]</f>
        <v/>
      </c>
      <c r="DL15" s="103" t="n"/>
      <c r="DM15" s="346" t="n"/>
      <c r="DN15" s="347">
        <f>IFERROR(Table4[[#This Row],[Jan_2027_Days_Forecast]]*Table4[[#This Row],[Cost Boolean]]*(VLOOKUP(Table4[[#This Row],[RATE CONCAT]],Tables!I:N,6,0)),0)</f>
        <v/>
      </c>
      <c r="DO15" s="347" t="n">
        <v>0</v>
      </c>
      <c r="DP15" s="347">
        <f>Table4[[#This Row],[Jan_2027_F]]-Table4[[#This Row],[Jan_2027_A]]</f>
        <v/>
      </c>
      <c r="DQ15" s="347">
        <f>IFERROR(Table4[[#This Row],[Feb_2027_Days_Forecast]]*Table4[[#This Row],[Cost Boolean]]*(VLOOKUP(Table4[[#This Row],[RATE CONCAT]],Tables!I:N,6,0)),0)</f>
        <v/>
      </c>
      <c r="DR15" s="347" t="n">
        <v>0</v>
      </c>
      <c r="DS15" s="347">
        <f>Table4[[#This Row],[Feb_2027_F]]-Table4[[#This Row],[Feb_2027_A]]</f>
        <v/>
      </c>
      <c r="DT15" s="347">
        <f>IFERROR(Table4[[#This Row],[Mar_2027_Days_Forecast]]*Table4[[#This Row],[Cost Boolean]]*(VLOOKUP(Table4[[#This Row],[RATE CONCAT]],Tables!I:N,6,0)),0)</f>
        <v/>
      </c>
      <c r="DU15" s="347" t="n">
        <v>0</v>
      </c>
      <c r="DV15" s="347">
        <f>Table4[[#This Row],[Mar_2027_F]]-Table4[[#This Row],[Mar_2027_A]]</f>
        <v/>
      </c>
      <c r="DW15" s="347">
        <f>IFERROR(Table4[[#This Row],[Apr_2027_Days_Forecast]]*Table4[[#This Row],[Cost Boolean]]*(VLOOKUP(Table4[[#This Row],[RATE CONCAT]],Tables!I:N,6,0)),0)</f>
        <v/>
      </c>
      <c r="DX15" s="347" t="n">
        <v>0</v>
      </c>
      <c r="DY15" s="347">
        <f>Table4[[#This Row],[Apr_2027_F]]-Table4[[#This Row],[Apr_2027_A]]</f>
        <v/>
      </c>
      <c r="DZ15" s="347">
        <f>IFERROR(Table4[[#This Row],[May_2027_Days_Forecast]]*Table4[[#This Row],[Cost Boolean]]*(VLOOKUP(Table4[[#This Row],[RATE CONCAT]],Tables!I:N,6,0)),0)</f>
        <v/>
      </c>
      <c r="EA15" s="347" t="n">
        <v>0</v>
      </c>
      <c r="EB15" s="347">
        <f>Table4[[#This Row],[May_2027_F]]-Table4[[#This Row],[May_2027_A]]</f>
        <v/>
      </c>
      <c r="EC15" s="347">
        <f>IFERROR(Table4[[#This Row],[Jun_2027_Days_Forecast]]*Table4[[#This Row],[Cost Boolean]]*(VLOOKUP(Table4[[#This Row],[RATE CONCAT]],Tables!I:N,6,0)),0)</f>
        <v/>
      </c>
      <c r="ED15" s="347" t="n">
        <v>0</v>
      </c>
      <c r="EE15" s="347">
        <f>Table4[[#This Row],[Jun_2027_F]]-Table4[[#This Row],[Jun_2027_A]]</f>
        <v/>
      </c>
      <c r="EF15" s="347">
        <f>IFERROR(Table4[[#This Row],[Jul_2027_Days_Forecast]]*Table4[[#This Row],[Cost Boolean]]*(VLOOKUP(Table4[[#This Row],[RATE CONCAT]],Tables!I:N,6,0)),0)</f>
        <v/>
      </c>
      <c r="EG15" s="347" t="n">
        <v>0</v>
      </c>
      <c r="EH15" s="347">
        <f>Table4[[#This Row],[Jul_2027_F]]-Table4[[#This Row],[Jul_2027_A]]</f>
        <v/>
      </c>
      <c r="EI15" s="347">
        <f>IFERROR(Table4[[#This Row],[Aug_2027_Days_Forecast]]*Table4[[#This Row],[Cost Boolean]]*(VLOOKUP(Table4[[#This Row],[RATE CONCAT]],Tables!I:N,6,0)),0)</f>
        <v/>
      </c>
      <c r="EJ15" s="347" t="n">
        <v>0</v>
      </c>
      <c r="EK15" s="347">
        <f>Table4[[#This Row],[Aug_2027_F]]-Table4[[#This Row],[Aug_2027_A]]</f>
        <v/>
      </c>
      <c r="EL15" s="347">
        <f>IFERROR(Table4[[#This Row],[Sep_2027_Days_Forecast]]*Table4[[#This Row],[Cost Boolean]]*(VLOOKUP(Table4[[#This Row],[RATE CONCAT]],Tables!I:N,6,0)),0)</f>
        <v/>
      </c>
      <c r="EM15" s="347" t="n">
        <v>0</v>
      </c>
      <c r="EN15" s="347">
        <f>Table4[[#This Row],[Sep_2027_F]]-Table4[[#This Row],[Sep_2027_A]]</f>
        <v/>
      </c>
      <c r="EO15" s="347">
        <f>IFERROR(Table4[[#This Row],[Oct_2027_Days_Forecast]]*Table4[[#This Row],[Cost Boolean]]*(VLOOKUP(Table4[[#This Row],[RATE CONCAT]],Tables!I:N,6,0)),0)</f>
        <v/>
      </c>
      <c r="EP15" s="347" t="n">
        <v>0</v>
      </c>
      <c r="EQ15" s="347">
        <f>Table4[[#This Row],[Oct_2027_F]]-Table4[[#This Row],[Oct_2027_A]]</f>
        <v/>
      </c>
      <c r="ER15" s="347">
        <f>IFERROR(Table4[[#This Row],[Nov_2027_Days_Forecast]]*Table4[[#This Row],[Cost Boolean]]*(VLOOKUP(Table4[[#This Row],[RATE CONCAT]],Tables!I:N,6,0)),0)</f>
        <v/>
      </c>
      <c r="ES15" s="347" t="n">
        <v>0</v>
      </c>
      <c r="ET15" s="347">
        <f>Table4[[#This Row],[Nov_2027_F]]-Table4[[#This Row],[Nov_2027_A]]</f>
        <v/>
      </c>
      <c r="EU15" s="347">
        <f>IFERROR(Table4[[#This Row],[Dec_2027_Days_Forecast]]*Table4[[#This Row],[Cost Boolean]]*(VLOOKUP(Table4[[#This Row],[RATE CONCAT]],Tables!I:N,6,0)),0)</f>
        <v/>
      </c>
      <c r="EV15" s="347" t="n">
        <v>0</v>
      </c>
      <c r="EW15" s="347">
        <f>Table4[[#This Row],[Dec_2027_F]]-Table4[[#This Row],[Dec_2027_A]]</f>
        <v/>
      </c>
    </row>
    <row r="16" ht="15" customHeight="1">
      <c r="A16" s="350" t="inlineStr">
        <is>
          <t>PDSFS1034</t>
        </is>
      </c>
      <c r="B16" s="350" t="inlineStr">
        <is>
          <t>USDF</t>
        </is>
      </c>
      <c r="C16" s="350" t="inlineStr">
        <is>
          <t>Staff</t>
        </is>
      </c>
      <c r="D16" s="350" t="inlineStr">
        <is>
          <t>Gavin Hamilton</t>
        </is>
      </c>
      <c r="E16" s="350" t="inlineStr">
        <is>
          <t>Shell Business</t>
        </is>
      </c>
      <c r="F16" s="132" t="n"/>
      <c r="G16" s="350" t="inlineStr">
        <is>
          <t>United States</t>
        </is>
      </c>
      <c r="H16" s="350" t="n">
        <v>2</v>
      </c>
      <c r="I16" s="132" t="n"/>
      <c r="J16" s="350" t="inlineStr">
        <is>
          <t>VESON Account Manager</t>
        </is>
      </c>
      <c r="K16" s="350" t="inlineStr">
        <is>
          <t>In-seat</t>
        </is>
      </c>
      <c r="L16" s="350" t="n">
        <v>0</v>
      </c>
      <c r="M16" s="350" t="inlineStr">
        <is>
          <t>HOU</t>
        </is>
      </c>
      <c r="N16" s="350" t="inlineStr">
        <is>
          <t>VESON Account Manager</t>
        </is>
      </c>
      <c r="O16" s="350" t="inlineStr">
        <is>
          <t>Opex</t>
        </is>
      </c>
      <c r="P16" s="350" t="inlineStr">
        <is>
          <t>IT</t>
        </is>
      </c>
      <c r="Q16" s="350" t="inlineStr">
        <is>
          <t>TBD</t>
        </is>
      </c>
      <c r="R16" s="351" t="n">
        <v>46023</v>
      </c>
      <c r="S16" s="351" t="n">
        <v>46387</v>
      </c>
      <c r="T16" s="351" t="n">
        <v>46023</v>
      </c>
      <c r="U16" s="351" t="n">
        <v>46387</v>
      </c>
      <c r="V16" s="351" t="n">
        <v>46023</v>
      </c>
      <c r="W16" s="351" t="n">
        <v>46387</v>
      </c>
      <c r="X16" s="132" t="n"/>
      <c r="Y16" s="350">
        <f>CONCATENATE(Table4[[#This Row],[JG]],Table4[[#This Row],[Country]],Table4[[#This Row],[Resource Provider]])</f>
        <v/>
      </c>
      <c r="Z16" s="350">
        <f>VLOOKUP(Table4[[#This Row],[RATE CONCAT]],Tables!I:N,5,0)</f>
        <v/>
      </c>
      <c r="AA16" s="53" t="n"/>
      <c r="AB16" s="192" t="n"/>
      <c r="AC16" s="352" t="n">
        <v>2</v>
      </c>
      <c r="AD16" s="352" t="n">
        <v>2</v>
      </c>
      <c r="AE16" s="352" t="n">
        <v>2</v>
      </c>
      <c r="AF16" s="352" t="n">
        <v>2</v>
      </c>
      <c r="AG16" s="352" t="n">
        <v>2</v>
      </c>
      <c r="AH16" s="352" t="n">
        <v>1</v>
      </c>
      <c r="AI16" s="352" t="n">
        <v>2</v>
      </c>
      <c r="AJ16" s="352" t="n">
        <v>2</v>
      </c>
      <c r="AK16" s="352" t="n">
        <v>2</v>
      </c>
      <c r="AL16" s="192" t="n"/>
      <c r="AM16" s="192" t="n"/>
      <c r="AN16" s="353">
        <f>IFERROR(AVERAGE(Table4[[#This Row],[Jan_2026_Days_Forecast]:[Dec_2026_Days_Forecast]]),0)/19</f>
        <v/>
      </c>
      <c r="AO16" s="353">
        <f>IFERROR(AVERAGE(Table4[[#This Row],[Jan_2026_Days_Actual]:[Dec_2026_Days_Actual]]),0)/19</f>
        <v/>
      </c>
      <c r="AP16" s="192" t="n"/>
      <c r="AQ16" s="352" t="n">
        <v>2</v>
      </c>
      <c r="AR16" s="352" t="n">
        <v>2</v>
      </c>
      <c r="AS16" s="352" t="n">
        <v>2</v>
      </c>
      <c r="AT16" s="352" t="n">
        <v>2</v>
      </c>
      <c r="AU16" s="352" t="n">
        <v>2</v>
      </c>
      <c r="AV16" s="352" t="n">
        <v>1</v>
      </c>
      <c r="AW16" s="352" t="n">
        <v>2</v>
      </c>
      <c r="AX16" s="352" t="n">
        <v>2</v>
      </c>
      <c r="AY16" s="352" t="n">
        <v>2</v>
      </c>
      <c r="AZ16" s="192" t="n"/>
      <c r="BA16" s="192" t="n"/>
      <c r="BB16" s="353">
        <f>IFERROR(AVERAGE(Table4[[#This Row],[Jan_2027_Days_Forecast]:[Dec_2027_Days_Forecast]]),0)</f>
        <v/>
      </c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6" t="n"/>
      <c r="BL16" s="16" t="n"/>
      <c r="BM16" s="16" t="n"/>
      <c r="BN16" s="16" t="n"/>
      <c r="BO16" s="55" t="n"/>
      <c r="BP16" s="346" t="n"/>
      <c r="BQ16" s="345">
        <f>Table4[[#This Row],[Jan_2026_Days_Forecast]]*Table4[[#This Row],[Cost Boolean]]*VLOOKUP(Table4[[#This Row],[RATE CONCAT]],Tables!I:N,5,0)</f>
        <v/>
      </c>
      <c r="BR16" s="345">
        <f>IFERROR(Table4[[#This Row],[Jan_2026_Days_Actual]]*Table4[[#This Row],[Cost Boolean]]*(VLOOKUP(Table4[[#This Row],[RATE CONCAT]],Tables!I:N,5,0)),0)</f>
        <v/>
      </c>
      <c r="BS16" s="345">
        <f>Table4[[#This Row],[Jan_2026_F]]-Table4[[#This Row],[Jan_2026_A]]</f>
        <v/>
      </c>
      <c r="BT16" s="107" t="n"/>
      <c r="BU16" s="345">
        <f>IFERROR(Table4[[#This Row],[Feb_2026_Days_Forecast]]*Table4[[#This Row],[Cost Boolean]]*(VLOOKUP(Table4[[#This Row],[RATE CONCAT]],Tables!I:N,5,0)),0)</f>
        <v/>
      </c>
      <c r="BV16" s="345">
        <f>IFERROR(Table4[[#This Row],[Feb_2026_Days_Actual]]*Table4[[#This Row],[Cost Boolean]]*(VLOOKUP(Table4[[#This Row],[RATE CONCAT]],Tables!I:N,5,0)),0)</f>
        <v/>
      </c>
      <c r="BW16" s="345">
        <f>Table4[[#This Row],[Feb_2026_F]]-Table4[[#This Row],[Feb_2026_A]]</f>
        <v/>
      </c>
      <c r="BX16" s="103" t="n"/>
      <c r="BY16" s="345">
        <f>IFERROR(Table4[[#This Row],[Mar_2026_Days_Forecast]]*Table4[[#This Row],[Cost Boolean]]*(VLOOKUP(Table4[[#This Row],[RATE CONCAT]],Tables!I:N,5,0)),0)</f>
        <v/>
      </c>
      <c r="BZ16" s="345">
        <f>IFERROR(Table4[[#This Row],[Mar_2026_Days_Actual]]*Table4[[#This Row],[Cost Boolean]]*(VLOOKUP(Table4[[#This Row],[RATE CONCAT]],Tables!I:N,5,0)),0)</f>
        <v/>
      </c>
      <c r="CA16" s="345">
        <f>Table4[[#This Row],[Mar_2026_F]]-Table4[[#This Row],[Mar_2026_A]]</f>
        <v/>
      </c>
      <c r="CB16" s="103" t="n"/>
      <c r="CC16" s="345">
        <f>IFERROR(Table4[[#This Row],[Apr_2026_Days_Forecast]]*Table4[[#This Row],[Cost Boolean]]*(VLOOKUP(Table4[[#This Row],[RATE CONCAT]],Tables!I:N,5,0)),0)</f>
        <v/>
      </c>
      <c r="CD16" s="345">
        <f>IFERROR(Table4[[#This Row],[Apr_2026_Days_Actual]]*Table4[[#This Row],[Cost Boolean]]*(VLOOKUP(Table4[[#This Row],[RATE CONCAT]],Tables!I:N,5,0)),0)</f>
        <v/>
      </c>
      <c r="CE16" s="345">
        <f>Table4[[#This Row],[Apr_2026_F]]-Table4[[#This Row],[Apr_2026_A]]</f>
        <v/>
      </c>
      <c r="CF16" s="103" t="n"/>
      <c r="CG16" s="345">
        <f>IFERROR(Table4[[#This Row],[May_2026_Days_Forecast]] *Table4[[#This Row],[Cost Boolean]]*(VLOOKUP(Table4[[#This Row],[RATE CONCAT]],Tables!I:N,5,0)),0)</f>
        <v/>
      </c>
      <c r="CH16" s="345">
        <f>IFERROR(Table4[[#This Row],[May_2026_Days_Actual]]*Table4[[#This Row],[Cost Boolean]]*(VLOOKUP(Table4[[#This Row],[RATE CONCAT]],Tables!I:N,5,0)),0)</f>
        <v/>
      </c>
      <c r="CI16" s="345">
        <f>Table4[[#This Row],[May_2026_F]]-Table4[[#This Row],[May_2026_A]]</f>
        <v/>
      </c>
      <c r="CJ16" s="103" t="n"/>
      <c r="CK16" s="345">
        <f>IFERROR(Table4[[#This Row],[Jun_2026_Days_Forecast]]*Table4[[#This Row],[Cost Boolean]]*(VLOOKUP(Table4[[#This Row],[RATE CONCAT]],Tables!I:N,5,0)),0)</f>
        <v/>
      </c>
      <c r="CL16" s="345">
        <f>IFERROR(Table4[[#This Row],[Jun_2026_Days_Actual]]*Table4[[#This Row],[Cost Boolean]]*(VLOOKUP(Table4[[#This Row],[RATE CONCAT]],Tables!I:N,5,0)),0)</f>
        <v/>
      </c>
      <c r="CM16" s="345">
        <f>Table4[[#This Row],[Jun_2026_F]]-Table4[[#This Row],[Jun_2026_A]]</f>
        <v/>
      </c>
      <c r="CN16" s="103" t="n"/>
      <c r="CO16" s="345">
        <f>IFERROR(Table4[[#This Row],[Jul_2026_Days_Forecast]]*Table4[[#This Row],[Cost Boolean]]*(VLOOKUP(Table4[[#This Row],[RATE CONCAT]],Tables!I:N,5,0)),0)</f>
        <v/>
      </c>
      <c r="CP16" s="345">
        <f>IFERROR(Table4[[#This Row],[Aug_2026_Days_Forecast]]*Table4[[#This Row],[Location]]*(VLOOKUP(Table4[[#This Row],[Rate]],Tables!J:O,5,0)),0)</f>
        <v/>
      </c>
      <c r="CQ16" s="345">
        <f>Table4[[#This Row],[Jul_2026_F]]-Table4[[#This Row],[Jul_2026_A]]</f>
        <v/>
      </c>
      <c r="CR16" s="103" t="n"/>
      <c r="CS16" s="345">
        <f>IFERROR(Table4[[#This Row],[Aug_2026_Days_Forecast]]*Table4[[#This Row],[Cost Boolean]]*(VLOOKUP(Table4[[#This Row],[RATE CONCAT]],Tables!I:N,5,0)),0)</f>
        <v/>
      </c>
      <c r="CT16" s="345">
        <f>IFERROR(Table4[[#This Row],[Aug_2026_Days_Actual]]*Table4[[#This Row],[Cost Boolean]]*(VLOOKUP(Table4[[#This Row],[RATE CONCAT]],Tables!I:N,5,0)),0)</f>
        <v/>
      </c>
      <c r="CU16" s="345">
        <f>Table4[[#This Row],[Aug_2026_F]]-Table4[[#This Row],[Aug_2026_A]]</f>
        <v/>
      </c>
      <c r="CV16" s="103" t="n"/>
      <c r="CW16" s="345">
        <f>IFERROR(Table4[[#This Row],[Sep_2026_Days_Forecast]]*Table4[[#This Row],[Cost Boolean]]*(VLOOKUP(Table4[[#This Row],[RATE CONCAT]],Tables!I:N,5,0)),0)</f>
        <v/>
      </c>
      <c r="CX16" s="345">
        <f>IFERROR(Table4[[#This Row],[Sep_2026_Days_Actual]]*Table4[[#This Row],[Cost Boolean]]*(VLOOKUP(Table4[[#This Row],[RATE CONCAT]],Tables!I:N,5,0)),0)</f>
        <v/>
      </c>
      <c r="CY16" s="345">
        <f>Table4[[#This Row],[Sep_2026_F]]-Table4[[#This Row],[Sep_2026_A]]</f>
        <v/>
      </c>
      <c r="CZ16" s="103" t="n"/>
      <c r="DA16" s="345">
        <f>IFERROR(Table4[[#This Row],[Oct_2026_Days_Forecast]]*Table4[[#This Row],[Cost Boolean]]*(VLOOKUP(Table4[[#This Row],[RATE CONCAT]],Tables!I:N,5,0)),0)</f>
        <v/>
      </c>
      <c r="DB16" s="345">
        <f>IFERROR(Table4[[#This Row],[Oct_2026_Days_Actual]]*Table4[[#This Row],[Cost Boolean]]*(VLOOKUP(Table4[[#This Row],[RATE CONCAT]],Tables!I:N,5,0)),0)</f>
        <v/>
      </c>
      <c r="DC16" s="345">
        <f>Table4[[#This Row],[Oct_2026_F]]-Table4[[#This Row],[Oct_2026_A]]</f>
        <v/>
      </c>
      <c r="DD16" s="103" t="n"/>
      <c r="DE16" s="345">
        <f>IFERROR(Table4[[#This Row],[Nov_2026_Days_Forecast]]*Table4[[#This Row],[Cost Boolean]]*(VLOOKUP(Table4[[#This Row],[RATE CONCAT]],Tables!I:N,5,0)),0)</f>
        <v/>
      </c>
      <c r="DF16" s="345">
        <f>IFERROR(Table4[[#This Row],[Nov_2026_Days_Actual]]*Table4[[#This Row],[Cost Boolean]]*(VLOOKUP(Table4[[#This Row],[RATE CONCAT]],Tables!I:N,5,0)),0)</f>
        <v/>
      </c>
      <c r="DG16" s="345">
        <f>Table4[[#This Row],[Nov_2026_F]]-Table4[[#This Row],[Nov_2026_A]]</f>
        <v/>
      </c>
      <c r="DH16" s="103" t="n"/>
      <c r="DI16" s="345">
        <f>IFERROR(Table4[[#This Row],[Dec_2026_Days_Forecast]]*Table4[[#This Row],[Cost Boolean]]*(VLOOKUP(Table4[[#This Row],[RATE CONCAT]],Tables!I:N,5,0)),0)</f>
        <v/>
      </c>
      <c r="DJ16" s="345">
        <f>IFERROR(Table4[[#This Row],[Dec_2026_Days_Actual]]*Table4[[#This Row],[Cost Boolean]]*(VLOOKUP(Table4[[#This Row],[RATE CONCAT]],Tables!I:N,5,0)),0)</f>
        <v/>
      </c>
      <c r="DK16" s="345">
        <f>Table4[[#This Row],[Dec_2026_F]]-Table4[[#This Row],[Dec_2026_A]]</f>
        <v/>
      </c>
      <c r="DL16" s="103" t="n"/>
      <c r="DM16" s="346" t="n"/>
      <c r="DN16" s="345">
        <f>IFERROR(Table4[[#This Row],[Jan_2027_Days_Forecast]]*Table4[[#This Row],[Cost Boolean]]*(VLOOKUP(Table4[[#This Row],[RATE CONCAT]],Tables!I:N,6,0)),0)</f>
        <v/>
      </c>
      <c r="DO16" s="345" t="n">
        <v>0</v>
      </c>
      <c r="DP16" s="345">
        <f>Table4[[#This Row],[Jan_2027_F]]-Table4[[#This Row],[Jan_2027_A]]</f>
        <v/>
      </c>
      <c r="DQ16" s="345">
        <f>IFERROR(Table4[[#This Row],[Feb_2027_Days_Forecast]]*Table4[[#This Row],[Cost Boolean]]*(VLOOKUP(Table4[[#This Row],[RATE CONCAT]],Tables!I:N,6,0)),0)</f>
        <v/>
      </c>
      <c r="DR16" s="345" t="n">
        <v>0</v>
      </c>
      <c r="DS16" s="345">
        <f>Table4[[#This Row],[Feb_2027_F]]-Table4[[#This Row],[Feb_2027_A]]</f>
        <v/>
      </c>
      <c r="DT16" s="345">
        <f>IFERROR(Table4[[#This Row],[Mar_2027_Days_Forecast]]*Table4[[#This Row],[Cost Boolean]]*(VLOOKUP(Table4[[#This Row],[RATE CONCAT]],Tables!I:N,6,0)),0)</f>
        <v/>
      </c>
      <c r="DU16" s="345" t="n">
        <v>0</v>
      </c>
      <c r="DV16" s="345">
        <f>Table4[[#This Row],[Mar_2027_F]]-Table4[[#This Row],[Mar_2027_A]]</f>
        <v/>
      </c>
      <c r="DW16" s="345">
        <f>IFERROR(Table4[[#This Row],[Apr_2027_Days_Forecast]]*Table4[[#This Row],[Cost Boolean]]*(VLOOKUP(Table4[[#This Row],[RATE CONCAT]],Tables!I:N,6,0)),0)</f>
        <v/>
      </c>
      <c r="DX16" s="345" t="n">
        <v>0</v>
      </c>
      <c r="DY16" s="345">
        <f>Table4[[#This Row],[Apr_2027_F]]-Table4[[#This Row],[Apr_2027_A]]</f>
        <v/>
      </c>
      <c r="DZ16" s="345">
        <f>IFERROR(Table4[[#This Row],[May_2027_Days_Forecast]]*Table4[[#This Row],[Cost Boolean]]*(VLOOKUP(Table4[[#This Row],[RATE CONCAT]],Tables!I:N,6,0)),0)</f>
        <v/>
      </c>
      <c r="EA16" s="345" t="n">
        <v>0</v>
      </c>
      <c r="EB16" s="345">
        <f>Table4[[#This Row],[May_2027_F]]-Table4[[#This Row],[May_2027_A]]</f>
        <v/>
      </c>
      <c r="EC16" s="345">
        <f>IFERROR(Table4[[#This Row],[Jun_2027_Days_Forecast]]*Table4[[#This Row],[Cost Boolean]]*(VLOOKUP(Table4[[#This Row],[RATE CONCAT]],Tables!I:N,6,0)),0)</f>
        <v/>
      </c>
      <c r="ED16" s="345" t="n">
        <v>0</v>
      </c>
      <c r="EE16" s="345">
        <f>Table4[[#This Row],[Jun_2027_F]]-Table4[[#This Row],[Jun_2027_A]]</f>
        <v/>
      </c>
      <c r="EF16" s="345">
        <f>IFERROR(Table4[[#This Row],[Jul_2027_Days_Forecast]]*Table4[[#This Row],[Cost Boolean]]*(VLOOKUP(Table4[[#This Row],[RATE CONCAT]],Tables!I:N,6,0)),0)</f>
        <v/>
      </c>
      <c r="EG16" s="345" t="n">
        <v>0</v>
      </c>
      <c r="EH16" s="345">
        <f>Table4[[#This Row],[Jul_2027_F]]-Table4[[#This Row],[Jul_2027_A]]</f>
        <v/>
      </c>
      <c r="EI16" s="345">
        <f>IFERROR(Table4[[#This Row],[Aug_2027_Days_Forecast]]*Table4[[#This Row],[Cost Boolean]]*(VLOOKUP(Table4[[#This Row],[RATE CONCAT]],Tables!I:N,6,0)),0)</f>
        <v/>
      </c>
      <c r="EJ16" s="345" t="n">
        <v>0</v>
      </c>
      <c r="EK16" s="345">
        <f>Table4[[#This Row],[Aug_2027_F]]-Table4[[#This Row],[Aug_2027_A]]</f>
        <v/>
      </c>
      <c r="EL16" s="345">
        <f>IFERROR(Table4[[#This Row],[Sep_2027_Days_Forecast]]*Table4[[#This Row],[Cost Boolean]]*(VLOOKUP(Table4[[#This Row],[RATE CONCAT]],Tables!I:N,6,0)),0)</f>
        <v/>
      </c>
      <c r="EM16" s="345" t="n">
        <v>0</v>
      </c>
      <c r="EN16" s="345">
        <f>Table4[[#This Row],[Sep_2027_F]]-Table4[[#This Row],[Sep_2027_A]]</f>
        <v/>
      </c>
      <c r="EO16" s="345">
        <f>IFERROR(Table4[[#This Row],[Oct_2027_Days_Forecast]]*Table4[[#This Row],[Cost Boolean]]*(VLOOKUP(Table4[[#This Row],[RATE CONCAT]],Tables!I:N,6,0)),0)</f>
        <v/>
      </c>
      <c r="EP16" s="345" t="n">
        <v>0</v>
      </c>
      <c r="EQ16" s="345">
        <f>Table4[[#This Row],[Oct_2027_F]]-Table4[[#This Row],[Oct_2027_A]]</f>
        <v/>
      </c>
      <c r="ER16" s="345">
        <f>IFERROR(Table4[[#This Row],[Nov_2027_Days_Forecast]]*Table4[[#This Row],[Cost Boolean]]*(VLOOKUP(Table4[[#This Row],[RATE CONCAT]],Tables!I:N,6,0)),0)</f>
        <v/>
      </c>
      <c r="ES16" s="345" t="n">
        <v>0</v>
      </c>
      <c r="ET16" s="345">
        <f>Table4[[#This Row],[Nov_2027_F]]-Table4[[#This Row],[Nov_2027_A]]</f>
        <v/>
      </c>
      <c r="EU16" s="345">
        <f>IFERROR(Table4[[#This Row],[Dec_2027_Days_Forecast]]*Table4[[#This Row],[Cost Boolean]]*(VLOOKUP(Table4[[#This Row],[RATE CONCAT]],Tables!I:N,6,0)),0)</f>
        <v/>
      </c>
      <c r="EV16" s="345" t="n">
        <v>0</v>
      </c>
      <c r="EW16" s="345">
        <f>Table4[[#This Row],[Dec_2027_F]]-Table4[[#This Row],[Dec_2027_A]]</f>
        <v/>
      </c>
    </row>
    <row r="17" ht="15" customHeight="1">
      <c r="A17" s="132" t="n"/>
      <c r="B17" s="132" t="n"/>
      <c r="C17" s="132" t="n"/>
      <c r="D17" s="132" t="n"/>
      <c r="E17" s="132" t="n"/>
      <c r="F17" s="132" t="n"/>
      <c r="G17" s="132" t="n"/>
      <c r="H17" s="132" t="n"/>
      <c r="I17" s="132" t="n"/>
      <c r="J17" s="132" t="n"/>
      <c r="K17" s="132" t="n"/>
      <c r="L17" s="132" t="n"/>
      <c r="M17" s="132" t="n"/>
      <c r="N17" s="132" t="n"/>
      <c r="O17" s="132" t="n"/>
      <c r="P17" s="132" t="n"/>
      <c r="Q17" s="132" t="n"/>
      <c r="R17" s="354" t="n"/>
      <c r="S17" s="354" t="n"/>
      <c r="T17" s="354" t="n"/>
      <c r="U17" s="354" t="n"/>
      <c r="V17" s="354" t="n"/>
      <c r="W17" s="354" t="n"/>
      <c r="X17" s="13" t="n"/>
      <c r="Y17" s="350">
        <f>CONCATENATE(Table4[[#This Row],[JG]],Table4[[#This Row],[Country]],Table4[[#This Row],[Resource Provider]])</f>
        <v/>
      </c>
      <c r="Z17" s="350">
        <f>VLOOKUP(Table4[[#This Row],[RATE CONCAT]],Tables!I:N,5,0)</f>
        <v/>
      </c>
      <c r="AA17" s="53" t="n"/>
      <c r="AB17" s="192" t="n"/>
      <c r="AC17" s="192" t="n"/>
      <c r="AD17" s="192" t="n"/>
      <c r="AE17" s="192" t="n"/>
      <c r="AF17" s="192" t="n"/>
      <c r="AG17" s="192" t="n"/>
      <c r="AH17" s="192" t="n"/>
      <c r="AI17" s="192" t="n"/>
      <c r="AJ17" s="192" t="n"/>
      <c r="AK17" s="16" t="n"/>
      <c r="AL17" s="16" t="n"/>
      <c r="AM17" s="16" t="n"/>
      <c r="AN17" s="353">
        <f>IFERROR(AVERAGE(Table4[[#This Row],[Jan_2026_Days_Forecast]:[Dec_2026_Days_Forecast]]),0)/19</f>
        <v/>
      </c>
      <c r="AO17" s="353">
        <f>IFERROR(AVERAGE(Table4[[#This Row],[Jan_2026_Days_Actual]:[Dec_2026_Days_Actual]]),0)/19</f>
        <v/>
      </c>
      <c r="AP17" s="84" t="n"/>
      <c r="AQ17" s="84" t="n"/>
      <c r="AR17" s="84" t="n"/>
      <c r="AS17" s="84" t="n"/>
      <c r="AT17" s="84" t="n"/>
      <c r="AU17" s="84" t="n"/>
      <c r="AV17" s="84" t="n"/>
      <c r="AW17" s="84" t="n"/>
      <c r="AX17" s="84" t="n"/>
      <c r="AY17" s="84" t="n"/>
      <c r="AZ17" s="84" t="n"/>
      <c r="BA17" s="84" t="n"/>
      <c r="BB17" s="353">
        <f>IFERROR(AVERAGE(Table4[[#This Row],[Jan_2027_Days_Forecast]:[Dec_2027_Days_Forecast]]),0)</f>
        <v/>
      </c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6" t="n"/>
      <c r="BM17" s="16" t="n"/>
      <c r="BN17" s="16" t="n"/>
      <c r="BO17" s="55" t="n"/>
      <c r="BP17" s="346" t="n"/>
      <c r="BQ17" s="347">
        <f>Table4[[#This Row],[Jan_2026_Days_Forecast]]*Table4[[#This Row],[Cost Boolean]]*VLOOKUP(Table4[[#This Row],[RATE CONCAT]],Tables!I:N,5,0)</f>
        <v/>
      </c>
      <c r="BR17" s="347">
        <f>IFERROR(Table4[[#This Row],[Jan_2026_Days_Actual]]*Table4[[#This Row],[Cost Boolean]]*(VLOOKUP(Table4[[#This Row],[RATE CONCAT]],Tables!I:N,5,0)),0)</f>
        <v/>
      </c>
      <c r="BS17" s="347">
        <f>Table4[[#This Row],[Jan_2026_F]]-Table4[[#This Row],[Jan_2026_A]]</f>
        <v/>
      </c>
      <c r="BT17" s="107" t="n"/>
      <c r="BU17" s="347">
        <f>IFERROR(Table4[[#This Row],[Feb_2026_Days_Forecast]]*Table4[[#This Row],[Cost Boolean]]*(VLOOKUP(Table4[[#This Row],[RATE CONCAT]],Tables!I:N,5,0)),0)</f>
        <v/>
      </c>
      <c r="BV17" s="347">
        <f>IFERROR(Table4[[#This Row],[Feb_2026_Days_Actual]]*Table4[[#This Row],[Cost Boolean]]*(VLOOKUP(Table4[[#This Row],[RATE CONCAT]],Tables!I:N,5,0)),0)</f>
        <v/>
      </c>
      <c r="BW17" s="347">
        <f>Table4[[#This Row],[Feb_2026_F]]-Table4[[#This Row],[Feb_2026_A]]</f>
        <v/>
      </c>
      <c r="BX17" s="103" t="n"/>
      <c r="BY17" s="347">
        <f>IFERROR(Table4[[#This Row],[Mar_2026_Days_Forecast]]*Table4[[#This Row],[Cost Boolean]]*(VLOOKUP(Table4[[#This Row],[RATE CONCAT]],Tables!I:N,5,0)),0)</f>
        <v/>
      </c>
      <c r="BZ17" s="347">
        <f>IFERROR(Table4[[#This Row],[Mar_2026_Days_Actual]]*Table4[[#This Row],[Cost Boolean]]*(VLOOKUP(Table4[[#This Row],[RATE CONCAT]],Tables!I:N,5,0)),0)</f>
        <v/>
      </c>
      <c r="CA17" s="347">
        <f>Table4[[#This Row],[Mar_2026_F]]-Table4[[#This Row],[Mar_2026_A]]</f>
        <v/>
      </c>
      <c r="CB17" s="103" t="n"/>
      <c r="CC17" s="347">
        <f>IFERROR(Table4[[#This Row],[Apr_2026_Days_Forecast]]*Table4[[#This Row],[Cost Boolean]]*(VLOOKUP(Table4[[#This Row],[RATE CONCAT]],Tables!I:N,5,0)),0)</f>
        <v/>
      </c>
      <c r="CD17" s="347">
        <f>IFERROR(Table4[[#This Row],[Apr_2026_Days_Actual]]*Table4[[#This Row],[Cost Boolean]]*(VLOOKUP(Table4[[#This Row],[RATE CONCAT]],Tables!I:N,5,0)),0)</f>
        <v/>
      </c>
      <c r="CE17" s="347">
        <f>Table4[[#This Row],[Apr_2026_F]]-Table4[[#This Row],[Apr_2026_A]]</f>
        <v/>
      </c>
      <c r="CF17" s="103" t="n"/>
      <c r="CG17" s="347">
        <f>IFERROR(Table4[[#This Row],[May_2026_Days_Forecast]] *Table4[[#This Row],[Cost Boolean]]*(VLOOKUP(Table4[[#This Row],[RATE CONCAT]],Tables!I:N,5,0)),0)</f>
        <v/>
      </c>
      <c r="CH17" s="347">
        <f>IFERROR(Table4[[#This Row],[May_2026_Days_Actual]]*Table4[[#This Row],[Cost Boolean]]*(VLOOKUP(Table4[[#This Row],[RATE CONCAT]],Tables!I:N,5,0)),0)</f>
        <v/>
      </c>
      <c r="CI17" s="347">
        <f>Table4[[#This Row],[May_2026_F]]-Table4[[#This Row],[May_2026_A]]</f>
        <v/>
      </c>
      <c r="CJ17" s="103" t="n"/>
      <c r="CK17" s="347">
        <f>IFERROR(Table4[[#This Row],[Jun_2026_Days_Forecast]]*Table4[[#This Row],[Cost Boolean]]*(VLOOKUP(Table4[[#This Row],[RATE CONCAT]],Tables!I:N,5,0)),0)</f>
        <v/>
      </c>
      <c r="CL17" s="347">
        <f>IFERROR(Table4[[#This Row],[Jun_2026_Days_Actual]]*Table4[[#This Row],[Cost Boolean]]*(VLOOKUP(Table4[[#This Row],[RATE CONCAT]],Tables!I:N,5,0)),0)</f>
        <v/>
      </c>
      <c r="CM17" s="347">
        <f>Table4[[#This Row],[Jun_2026_F]]-Table4[[#This Row],[Jun_2026_A]]</f>
        <v/>
      </c>
      <c r="CN17" s="103" t="n"/>
      <c r="CO17" s="347">
        <f>IFERROR(Table4[[#This Row],[Jul_2026_Days_Forecast]]*Table4[[#This Row],[Cost Boolean]]*(VLOOKUP(Table4[[#This Row],[RATE CONCAT]],Tables!I:N,5,0)),0)</f>
        <v/>
      </c>
      <c r="CP17" s="347">
        <f>IFERROR(Table4[[#This Row],[Aug_2026_Days_Forecast]]*Table4[[#This Row],[Location]]*(VLOOKUP(Table4[[#This Row],[Rate]],Tables!J:O,5,0)),0)</f>
        <v/>
      </c>
      <c r="CQ17" s="347">
        <f>Table4[[#This Row],[Jul_2026_F]]-Table4[[#This Row],[Jul_2026_A]]</f>
        <v/>
      </c>
      <c r="CR17" s="103" t="n"/>
      <c r="CS17" s="347">
        <f>IFERROR(Table4[[#This Row],[Aug_2026_Days_Forecast]]*Table4[[#This Row],[Cost Boolean]]*(VLOOKUP(Table4[[#This Row],[RATE CONCAT]],Tables!I:N,5,0)),0)</f>
        <v/>
      </c>
      <c r="CT17" s="347">
        <f>IFERROR(Table4[[#This Row],[Aug_2026_Days_Actual]]*Table4[[#This Row],[Cost Boolean]]*(VLOOKUP(Table4[[#This Row],[RATE CONCAT]],Tables!I:N,5,0)),0)</f>
        <v/>
      </c>
      <c r="CU17" s="347">
        <f>Table4[[#This Row],[Aug_2026_F]]-Table4[[#This Row],[Aug_2026_A]]</f>
        <v/>
      </c>
      <c r="CV17" s="103" t="n"/>
      <c r="CW17" s="347">
        <f>IFERROR(Table4[[#This Row],[Sep_2026_Days_Forecast]]*Table4[[#This Row],[Cost Boolean]]*(VLOOKUP(Table4[[#This Row],[RATE CONCAT]],Tables!I:N,5,0)),0)</f>
        <v/>
      </c>
      <c r="CX17" s="347">
        <f>IFERROR(Table4[[#This Row],[Sep_2026_Days_Actual]]*Table4[[#This Row],[Cost Boolean]]*(VLOOKUP(Table4[[#This Row],[RATE CONCAT]],Tables!I:N,5,0)),0)</f>
        <v/>
      </c>
      <c r="CY17" s="347">
        <f>Table4[[#This Row],[Sep_2026_F]]-Table4[[#This Row],[Sep_2026_A]]</f>
        <v/>
      </c>
      <c r="CZ17" s="103" t="n"/>
      <c r="DA17" s="347">
        <f>IFERROR(Table4[[#This Row],[Oct_2026_Days_Forecast]]*Table4[[#This Row],[Cost Boolean]]*(VLOOKUP(Table4[[#This Row],[RATE CONCAT]],Tables!I:N,5,0)),0)</f>
        <v/>
      </c>
      <c r="DB17" s="347">
        <f>IFERROR(Table4[[#This Row],[Oct_2026_Days_Actual]]*Table4[[#This Row],[Cost Boolean]]*(VLOOKUP(Table4[[#This Row],[RATE CONCAT]],Tables!I:N,5,0)),0)</f>
        <v/>
      </c>
      <c r="DC17" s="347">
        <f>Table4[[#This Row],[Oct_2026_F]]-Table4[[#This Row],[Oct_2026_A]]</f>
        <v/>
      </c>
      <c r="DD17" s="103" t="n"/>
      <c r="DE17" s="347">
        <f>IFERROR(Table4[[#This Row],[Nov_2026_Days_Forecast]]*Table4[[#This Row],[Cost Boolean]]*(VLOOKUP(Table4[[#This Row],[RATE CONCAT]],Tables!I:N,5,0)),0)</f>
        <v/>
      </c>
      <c r="DF17" s="347">
        <f>IFERROR(Table4[[#This Row],[Nov_2026_Days_Actual]]*Table4[[#This Row],[Cost Boolean]]*(VLOOKUP(Table4[[#This Row],[RATE CONCAT]],Tables!I:N,5,0)),0)</f>
        <v/>
      </c>
      <c r="DG17" s="347">
        <f>Table4[[#This Row],[Nov_2026_F]]-Table4[[#This Row],[Nov_2026_A]]</f>
        <v/>
      </c>
      <c r="DH17" s="103" t="n"/>
      <c r="DI17" s="347">
        <f>IFERROR(Table4[[#This Row],[Dec_2026_Days_Forecast]]*Table4[[#This Row],[Cost Boolean]]*(VLOOKUP(Table4[[#This Row],[RATE CONCAT]],Tables!I:N,5,0)),0)</f>
        <v/>
      </c>
      <c r="DJ17" s="347">
        <f>IFERROR(Table4[[#This Row],[Dec_2026_Days_Actual]]*Table4[[#This Row],[Cost Boolean]]*(VLOOKUP(Table4[[#This Row],[RATE CONCAT]],Tables!I:N,5,0)),0)</f>
        <v/>
      </c>
      <c r="DK17" s="347">
        <f>Table4[[#This Row],[Dec_2026_F]]-Table4[[#This Row],[Dec_2026_A]]</f>
        <v/>
      </c>
      <c r="DL17" s="103" t="n"/>
      <c r="DM17" s="346" t="n"/>
      <c r="DN17" s="347">
        <f>IFERROR(Table4[[#This Row],[Jan_2027_Days_Forecast]]*Table4[[#This Row],[Cost Boolean]]*(VLOOKUP(Table4[[#This Row],[RATE CONCAT]],Tables!I:N,6,0)),0)</f>
        <v/>
      </c>
      <c r="DO17" s="347" t="n">
        <v>0</v>
      </c>
      <c r="DP17" s="347">
        <f>Table4[[#This Row],[Jan_2027_F]]-Table4[[#This Row],[Jan_2027_A]]</f>
        <v/>
      </c>
      <c r="DQ17" s="347">
        <f>IFERROR(Table4[[#This Row],[Feb_2027_Days_Forecast]]*Table4[[#This Row],[Cost Boolean]]*(VLOOKUP(Table4[[#This Row],[RATE CONCAT]],Tables!I:N,6,0)),0)</f>
        <v/>
      </c>
      <c r="DR17" s="347" t="n">
        <v>0</v>
      </c>
      <c r="DS17" s="347">
        <f>Table4[[#This Row],[Feb_2027_F]]-Table4[[#This Row],[Feb_2027_A]]</f>
        <v/>
      </c>
      <c r="DT17" s="347">
        <f>IFERROR(Table4[[#This Row],[Mar_2027_Days_Forecast]]*Table4[[#This Row],[Cost Boolean]]*(VLOOKUP(Table4[[#This Row],[RATE CONCAT]],Tables!I:N,6,0)),0)</f>
        <v/>
      </c>
      <c r="DU17" s="347" t="n">
        <v>0</v>
      </c>
      <c r="DV17" s="347">
        <f>Table4[[#This Row],[Mar_2027_F]]-Table4[[#This Row],[Mar_2027_A]]</f>
        <v/>
      </c>
      <c r="DW17" s="347">
        <f>IFERROR(Table4[[#This Row],[Apr_2027_Days_Forecast]]*Table4[[#This Row],[Cost Boolean]]*(VLOOKUP(Table4[[#This Row],[RATE CONCAT]],Tables!I:N,6,0)),0)</f>
        <v/>
      </c>
      <c r="DX17" s="347" t="n">
        <v>0</v>
      </c>
      <c r="DY17" s="347">
        <f>Table4[[#This Row],[Apr_2027_F]]-Table4[[#This Row],[Apr_2027_A]]</f>
        <v/>
      </c>
      <c r="DZ17" s="347">
        <f>IFERROR(Table4[[#This Row],[May_2027_Days_Forecast]]*Table4[[#This Row],[Cost Boolean]]*(VLOOKUP(Table4[[#This Row],[RATE CONCAT]],Tables!I:N,6,0)),0)</f>
        <v/>
      </c>
      <c r="EA17" s="347" t="n">
        <v>0</v>
      </c>
      <c r="EB17" s="347">
        <f>Table4[[#This Row],[May_2027_F]]-Table4[[#This Row],[May_2027_A]]</f>
        <v/>
      </c>
      <c r="EC17" s="347">
        <f>IFERROR(Table4[[#This Row],[Jun_2027_Days_Forecast]]*Table4[[#This Row],[Cost Boolean]]*(VLOOKUP(Table4[[#This Row],[RATE CONCAT]],Tables!I:N,6,0)),0)</f>
        <v/>
      </c>
      <c r="ED17" s="347" t="n">
        <v>0</v>
      </c>
      <c r="EE17" s="347">
        <f>Table4[[#This Row],[Jun_2027_F]]-Table4[[#This Row],[Jun_2027_A]]</f>
        <v/>
      </c>
      <c r="EF17" s="347">
        <f>IFERROR(Table4[[#This Row],[Jul_2027_Days_Forecast]]*Table4[[#This Row],[Cost Boolean]]*(VLOOKUP(Table4[[#This Row],[RATE CONCAT]],Tables!I:N,6,0)),0)</f>
        <v/>
      </c>
      <c r="EG17" s="347" t="n">
        <v>0</v>
      </c>
      <c r="EH17" s="347">
        <f>Table4[[#This Row],[Jul_2027_F]]-Table4[[#This Row],[Jul_2027_A]]</f>
        <v/>
      </c>
      <c r="EI17" s="347">
        <f>IFERROR(Table4[[#This Row],[Aug_2027_Days_Forecast]]*Table4[[#This Row],[Cost Boolean]]*(VLOOKUP(Table4[[#This Row],[RATE CONCAT]],Tables!I:N,6,0)),0)</f>
        <v/>
      </c>
      <c r="EJ17" s="347" t="n">
        <v>0</v>
      </c>
      <c r="EK17" s="347">
        <f>Table4[[#This Row],[Aug_2027_F]]-Table4[[#This Row],[Aug_2027_A]]</f>
        <v/>
      </c>
      <c r="EL17" s="347">
        <f>IFERROR(Table4[[#This Row],[Sep_2027_Days_Forecast]]*Table4[[#This Row],[Cost Boolean]]*(VLOOKUP(Table4[[#This Row],[RATE CONCAT]],Tables!I:N,6,0)),0)</f>
        <v/>
      </c>
      <c r="EM17" s="347" t="n">
        <v>0</v>
      </c>
      <c r="EN17" s="347">
        <f>Table4[[#This Row],[Sep_2027_F]]-Table4[[#This Row],[Sep_2027_A]]</f>
        <v/>
      </c>
      <c r="EO17" s="347">
        <f>IFERROR(Table4[[#This Row],[Oct_2027_Days_Forecast]]*Table4[[#This Row],[Cost Boolean]]*(VLOOKUP(Table4[[#This Row],[RATE CONCAT]],Tables!I:N,6,0)),0)</f>
        <v/>
      </c>
      <c r="EP17" s="347" t="n">
        <v>0</v>
      </c>
      <c r="EQ17" s="347">
        <f>Table4[[#This Row],[Oct_2027_F]]-Table4[[#This Row],[Oct_2027_A]]</f>
        <v/>
      </c>
      <c r="ER17" s="347">
        <f>IFERROR(Table4[[#This Row],[Nov_2027_Days_Forecast]]*Table4[[#This Row],[Cost Boolean]]*(VLOOKUP(Table4[[#This Row],[RATE CONCAT]],Tables!I:N,6,0)),0)</f>
        <v/>
      </c>
      <c r="ES17" s="347" t="n">
        <v>0</v>
      </c>
      <c r="ET17" s="347">
        <f>Table4[[#This Row],[Nov_2027_F]]-Table4[[#This Row],[Nov_2027_A]]</f>
        <v/>
      </c>
      <c r="EU17" s="347">
        <f>IFERROR(Table4[[#This Row],[Dec_2027_Days_Forecast]]*Table4[[#This Row],[Cost Boolean]]*(VLOOKUP(Table4[[#This Row],[RATE CONCAT]],Tables!I:N,6,0)),0)</f>
        <v/>
      </c>
      <c r="EV17" s="347" t="n">
        <v>0</v>
      </c>
      <c r="EW17" s="347">
        <f>Table4[[#This Row],[Dec_2027_F]]-Table4[[#This Row],[Dec_2027_A]]</f>
        <v/>
      </c>
    </row>
    <row r="18" ht="15" customHeight="1">
      <c r="A18" s="132" t="n"/>
      <c r="B18" s="132" t="n"/>
      <c r="C18" s="132" t="n"/>
      <c r="D18" s="132" t="n"/>
      <c r="E18" s="132" t="n"/>
      <c r="F18" s="132" t="n"/>
      <c r="G18" s="132" t="n"/>
      <c r="H18" s="132" t="n"/>
      <c r="I18" s="132" t="n"/>
      <c r="J18" s="132" t="n"/>
      <c r="K18" s="132" t="n"/>
      <c r="L18" s="132" t="n"/>
      <c r="M18" s="132" t="n"/>
      <c r="N18" s="132" t="n"/>
      <c r="O18" s="132" t="n"/>
      <c r="P18" s="132" t="n"/>
      <c r="Q18" s="132" t="n"/>
      <c r="R18" s="354" t="n"/>
      <c r="S18" s="354" t="n"/>
      <c r="T18" s="354" t="n"/>
      <c r="U18" s="354" t="n"/>
      <c r="V18" s="354" t="n"/>
      <c r="W18" s="354" t="n"/>
      <c r="X18" s="13" t="n"/>
      <c r="Y18" s="350">
        <f>CONCATENATE(Table4[[#This Row],[JG]],Table4[[#This Row],[Country]],Table4[[#This Row],[Resource Provider]])</f>
        <v/>
      </c>
      <c r="Z18" s="350">
        <f>VLOOKUP(Table4[[#This Row],[RATE CONCAT]],Tables!I:N,5,0)</f>
        <v/>
      </c>
      <c r="AA18" s="53" t="n"/>
      <c r="AB18" s="192" t="n"/>
      <c r="AC18" s="192" t="n"/>
      <c r="AD18" s="192" t="n"/>
      <c r="AE18" s="192" t="n"/>
      <c r="AF18" s="192" t="n"/>
      <c r="AG18" s="192" t="n"/>
      <c r="AH18" s="192" t="n"/>
      <c r="AI18" s="192" t="n"/>
      <c r="AJ18" s="192" t="n"/>
      <c r="AK18" s="16" t="n"/>
      <c r="AL18" s="16" t="n"/>
      <c r="AM18" s="16" t="n"/>
      <c r="AN18" s="353">
        <f>IFERROR(AVERAGE(Table4[[#This Row],[Jan_2026_Days_Forecast]:[Dec_2026_Days_Forecast]]),0)/19</f>
        <v/>
      </c>
      <c r="AO18" s="353">
        <f>IFERROR(AVERAGE(Table4[[#This Row],[Jan_2026_Days_Actual]:[Dec_2026_Days_Actual]]),0)/19</f>
        <v/>
      </c>
      <c r="AP18" s="84" t="n"/>
      <c r="AQ18" s="84" t="n"/>
      <c r="AR18" s="84" t="n"/>
      <c r="AS18" s="84" t="n"/>
      <c r="AT18" s="84" t="n"/>
      <c r="AU18" s="84" t="n"/>
      <c r="AV18" s="84" t="n"/>
      <c r="AW18" s="84" t="n"/>
      <c r="AX18" s="84" t="n"/>
      <c r="AY18" s="84" t="n"/>
      <c r="AZ18" s="84" t="n"/>
      <c r="BA18" s="84" t="n"/>
      <c r="BB18" s="353">
        <f>IFERROR(AVERAGE(Table4[[#This Row],[Jan_2027_Days_Forecast]:[Dec_2027_Days_Forecast]]),0)</f>
        <v/>
      </c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  <c r="BL18" s="16" t="n"/>
      <c r="BM18" s="16" t="n"/>
      <c r="BN18" s="16" t="n"/>
      <c r="BO18" s="55" t="n"/>
      <c r="BP18" s="346" t="n"/>
      <c r="BQ18" s="345">
        <f>Table4[[#This Row],[Jan_2026_Days_Forecast]]*Table4[[#This Row],[Cost Boolean]]*VLOOKUP(Table4[[#This Row],[RATE CONCAT]],Tables!I:N,5,0)</f>
        <v/>
      </c>
      <c r="BR18" s="345">
        <f>IFERROR(Table4[[#This Row],[Jan_2026_Days_Actual]]*Table4[[#This Row],[Cost Boolean]]*(VLOOKUP(Table4[[#This Row],[RATE CONCAT]],Tables!I:N,5,0)),0)</f>
        <v/>
      </c>
      <c r="BS18" s="345">
        <f>Table4[[#This Row],[Jan_2026_F]]-Table4[[#This Row],[Jan_2026_A]]</f>
        <v/>
      </c>
      <c r="BT18" s="107" t="n"/>
      <c r="BU18" s="345">
        <f>IFERROR(Table4[[#This Row],[Feb_2026_Days_Forecast]]*Table4[[#This Row],[Cost Boolean]]*(VLOOKUP(Table4[[#This Row],[RATE CONCAT]],Tables!I:N,5,0)),0)</f>
        <v/>
      </c>
      <c r="BV18" s="345">
        <f>IFERROR(Table4[[#This Row],[Feb_2026_Days_Actual]]*Table4[[#This Row],[Cost Boolean]]*(VLOOKUP(Table4[[#This Row],[RATE CONCAT]],Tables!I:N,5,0)),0)</f>
        <v/>
      </c>
      <c r="BW18" s="345">
        <f>Table4[[#This Row],[Feb_2026_F]]-Table4[[#This Row],[Feb_2026_A]]</f>
        <v/>
      </c>
      <c r="BX18" s="103" t="n"/>
      <c r="BY18" s="345">
        <f>IFERROR(Table4[[#This Row],[Mar_2026_Days_Forecast]]*Table4[[#This Row],[Cost Boolean]]*(VLOOKUP(Table4[[#This Row],[RATE CONCAT]],Tables!I:N,5,0)),0)</f>
        <v/>
      </c>
      <c r="BZ18" s="345">
        <f>IFERROR(Table4[[#This Row],[Mar_2026_Days_Actual]]*Table4[[#This Row],[Cost Boolean]]*(VLOOKUP(Table4[[#This Row],[RATE CONCAT]],Tables!I:N,5,0)),0)</f>
        <v/>
      </c>
      <c r="CA18" s="345">
        <f>Table4[[#This Row],[Mar_2026_F]]-Table4[[#This Row],[Mar_2026_A]]</f>
        <v/>
      </c>
      <c r="CB18" s="103" t="n"/>
      <c r="CC18" s="345">
        <f>IFERROR(Table4[[#This Row],[Apr_2026_Days_Forecast]]*Table4[[#This Row],[Cost Boolean]]*(VLOOKUP(Table4[[#This Row],[RATE CONCAT]],Tables!I:N,5,0)),0)</f>
        <v/>
      </c>
      <c r="CD18" s="345">
        <f>IFERROR(Table4[[#This Row],[Apr_2026_Days_Actual]]*Table4[[#This Row],[Cost Boolean]]*(VLOOKUP(Table4[[#This Row],[RATE CONCAT]],Tables!I:N,5,0)),0)</f>
        <v/>
      </c>
      <c r="CE18" s="345">
        <f>Table4[[#This Row],[Apr_2026_F]]-Table4[[#This Row],[Apr_2026_A]]</f>
        <v/>
      </c>
      <c r="CF18" s="103" t="n"/>
      <c r="CG18" s="345">
        <f>IFERROR(Table4[[#This Row],[May_2026_Days_Forecast]] *Table4[[#This Row],[Cost Boolean]]*(VLOOKUP(Table4[[#This Row],[RATE CONCAT]],Tables!I:N,5,0)),0)</f>
        <v/>
      </c>
      <c r="CH18" s="345">
        <f>IFERROR(Table4[[#This Row],[May_2026_Days_Actual]]*Table4[[#This Row],[Cost Boolean]]*(VLOOKUP(Table4[[#This Row],[RATE CONCAT]],Tables!I:N,5,0)),0)</f>
        <v/>
      </c>
      <c r="CI18" s="345">
        <f>Table4[[#This Row],[May_2026_F]]-Table4[[#This Row],[May_2026_A]]</f>
        <v/>
      </c>
      <c r="CJ18" s="103" t="n"/>
      <c r="CK18" s="345">
        <f>IFERROR(Table4[[#This Row],[Jun_2026_Days_Forecast]]*Table4[[#This Row],[Cost Boolean]]*(VLOOKUP(Table4[[#This Row],[RATE CONCAT]],Tables!I:N,5,0)),0)</f>
        <v/>
      </c>
      <c r="CL18" s="345">
        <f>IFERROR(Table4[[#This Row],[Jun_2026_Days_Actual]]*Table4[[#This Row],[Cost Boolean]]*(VLOOKUP(Table4[[#This Row],[RATE CONCAT]],Tables!I:N,5,0)),0)</f>
        <v/>
      </c>
      <c r="CM18" s="345">
        <f>Table4[[#This Row],[Jun_2026_F]]-Table4[[#This Row],[Jun_2026_A]]</f>
        <v/>
      </c>
      <c r="CN18" s="103" t="n"/>
      <c r="CO18" s="345">
        <f>IFERROR(Table4[[#This Row],[Jul_2026_Days_Forecast]]*Table4[[#This Row],[Cost Boolean]]*(VLOOKUP(Table4[[#This Row],[RATE CONCAT]],Tables!I:N,5,0)),0)</f>
        <v/>
      </c>
      <c r="CP18" s="345">
        <f>IFERROR(Table4[[#This Row],[Aug_2026_Days_Forecast]]*Table4[[#This Row],[Location]]*(VLOOKUP(Table4[[#This Row],[Rate]],Tables!J:O,5,0)),0)</f>
        <v/>
      </c>
      <c r="CQ18" s="345">
        <f>Table4[[#This Row],[Jul_2026_F]]-Table4[[#This Row],[Jul_2026_A]]</f>
        <v/>
      </c>
      <c r="CR18" s="103" t="n"/>
      <c r="CS18" s="345">
        <f>IFERROR(Table4[[#This Row],[Aug_2026_Days_Forecast]]*Table4[[#This Row],[Cost Boolean]]*(VLOOKUP(Table4[[#This Row],[RATE CONCAT]],Tables!I:N,5,0)),0)</f>
        <v/>
      </c>
      <c r="CT18" s="345">
        <f>IFERROR(Table4[[#This Row],[Aug_2026_Days_Actual]]*Table4[[#This Row],[Cost Boolean]]*(VLOOKUP(Table4[[#This Row],[RATE CONCAT]],Tables!I:N,5,0)),0)</f>
        <v/>
      </c>
      <c r="CU18" s="345">
        <f>Table4[[#This Row],[Aug_2026_F]]-Table4[[#This Row],[Aug_2026_A]]</f>
        <v/>
      </c>
      <c r="CV18" s="103" t="n"/>
      <c r="CW18" s="345">
        <f>IFERROR(Table4[[#This Row],[Sep_2026_Days_Forecast]]*Table4[[#This Row],[Cost Boolean]]*(VLOOKUP(Table4[[#This Row],[RATE CONCAT]],Tables!I:N,5,0)),0)</f>
        <v/>
      </c>
      <c r="CX18" s="345">
        <f>IFERROR(Table4[[#This Row],[Sep_2026_Days_Actual]]*Table4[[#This Row],[Cost Boolean]]*(VLOOKUP(Table4[[#This Row],[RATE CONCAT]],Tables!I:N,5,0)),0)</f>
        <v/>
      </c>
      <c r="CY18" s="345">
        <f>Table4[[#This Row],[Sep_2026_F]]-Table4[[#This Row],[Sep_2026_A]]</f>
        <v/>
      </c>
      <c r="CZ18" s="103" t="n"/>
      <c r="DA18" s="345">
        <f>IFERROR(Table4[[#This Row],[Oct_2026_Days_Forecast]]*Table4[[#This Row],[Cost Boolean]]*(VLOOKUP(Table4[[#This Row],[RATE CONCAT]],Tables!I:N,5,0)),0)</f>
        <v/>
      </c>
      <c r="DB18" s="345">
        <f>IFERROR(Table4[[#This Row],[Oct_2026_Days_Actual]]*Table4[[#This Row],[Cost Boolean]]*(VLOOKUP(Table4[[#This Row],[RATE CONCAT]],Tables!I:N,5,0)),0)</f>
        <v/>
      </c>
      <c r="DC18" s="345">
        <f>Table4[[#This Row],[Oct_2026_F]]-Table4[[#This Row],[Oct_2026_A]]</f>
        <v/>
      </c>
      <c r="DD18" s="103" t="n"/>
      <c r="DE18" s="345">
        <f>IFERROR(Table4[[#This Row],[Nov_2026_Days_Forecast]]*Table4[[#This Row],[Cost Boolean]]*(VLOOKUP(Table4[[#This Row],[RATE CONCAT]],Tables!I:N,5,0)),0)</f>
        <v/>
      </c>
      <c r="DF18" s="345">
        <f>IFERROR(Table4[[#This Row],[Nov_2026_Days_Actual]]*Table4[[#This Row],[Cost Boolean]]*(VLOOKUP(Table4[[#This Row],[RATE CONCAT]],Tables!I:N,5,0)),0)</f>
        <v/>
      </c>
      <c r="DG18" s="345">
        <f>Table4[[#This Row],[Nov_2026_F]]-Table4[[#This Row],[Nov_2026_A]]</f>
        <v/>
      </c>
      <c r="DH18" s="103" t="n"/>
      <c r="DI18" s="345">
        <f>IFERROR(Table4[[#This Row],[Dec_2026_Days_Forecast]]*Table4[[#This Row],[Cost Boolean]]*(VLOOKUP(Table4[[#This Row],[RATE CONCAT]],Tables!I:N,5,0)),0)</f>
        <v/>
      </c>
      <c r="DJ18" s="345">
        <f>IFERROR(Table4[[#This Row],[Dec_2026_Days_Actual]]*Table4[[#This Row],[Cost Boolean]]*(VLOOKUP(Table4[[#This Row],[RATE CONCAT]],Tables!I:N,5,0)),0)</f>
        <v/>
      </c>
      <c r="DK18" s="345">
        <f>Table4[[#This Row],[Dec_2026_F]]-Table4[[#This Row],[Dec_2026_A]]</f>
        <v/>
      </c>
      <c r="DL18" s="103" t="n"/>
      <c r="DM18" s="346" t="n"/>
      <c r="DN18" s="345">
        <f>IFERROR(Table4[[#This Row],[Jan_2027_Days_Forecast]]*Table4[[#This Row],[Cost Boolean]]*(VLOOKUP(Table4[[#This Row],[RATE CONCAT]],Tables!I:N,6,0)),0)</f>
        <v/>
      </c>
      <c r="DO18" s="345" t="n">
        <v>0</v>
      </c>
      <c r="DP18" s="345">
        <f>Table4[[#This Row],[Jan_2027_F]]-Table4[[#This Row],[Jan_2027_A]]</f>
        <v/>
      </c>
      <c r="DQ18" s="345">
        <f>IFERROR(Table4[[#This Row],[Feb_2027_Days_Forecast]]*Table4[[#This Row],[Cost Boolean]]*(VLOOKUP(Table4[[#This Row],[RATE CONCAT]],Tables!I:N,6,0)),0)</f>
        <v/>
      </c>
      <c r="DR18" s="345" t="n">
        <v>0</v>
      </c>
      <c r="DS18" s="345">
        <f>Table4[[#This Row],[Feb_2027_F]]-Table4[[#This Row],[Feb_2027_A]]</f>
        <v/>
      </c>
      <c r="DT18" s="345">
        <f>IFERROR(Table4[[#This Row],[Mar_2027_Days_Forecast]]*Table4[[#This Row],[Cost Boolean]]*(VLOOKUP(Table4[[#This Row],[RATE CONCAT]],Tables!I:N,6,0)),0)</f>
        <v/>
      </c>
      <c r="DU18" s="345" t="n">
        <v>0</v>
      </c>
      <c r="DV18" s="345">
        <f>Table4[[#This Row],[Mar_2027_F]]-Table4[[#This Row],[Mar_2027_A]]</f>
        <v/>
      </c>
      <c r="DW18" s="345">
        <f>IFERROR(Table4[[#This Row],[Apr_2027_Days_Forecast]]*Table4[[#This Row],[Cost Boolean]]*(VLOOKUP(Table4[[#This Row],[RATE CONCAT]],Tables!I:N,6,0)),0)</f>
        <v/>
      </c>
      <c r="DX18" s="345" t="n">
        <v>0</v>
      </c>
      <c r="DY18" s="345">
        <f>Table4[[#This Row],[Apr_2027_F]]-Table4[[#This Row],[Apr_2027_A]]</f>
        <v/>
      </c>
      <c r="DZ18" s="345">
        <f>IFERROR(Table4[[#This Row],[May_2027_Days_Forecast]]*Table4[[#This Row],[Cost Boolean]]*(VLOOKUP(Table4[[#This Row],[RATE CONCAT]],Tables!I:N,6,0)),0)</f>
        <v/>
      </c>
      <c r="EA18" s="345" t="n">
        <v>0</v>
      </c>
      <c r="EB18" s="345">
        <f>Table4[[#This Row],[May_2027_F]]-Table4[[#This Row],[May_2027_A]]</f>
        <v/>
      </c>
      <c r="EC18" s="345">
        <f>IFERROR(Table4[[#This Row],[Jun_2027_Days_Forecast]]*Table4[[#This Row],[Cost Boolean]]*(VLOOKUP(Table4[[#This Row],[RATE CONCAT]],Tables!I:N,6,0)),0)</f>
        <v/>
      </c>
      <c r="ED18" s="345" t="n">
        <v>0</v>
      </c>
      <c r="EE18" s="345">
        <f>Table4[[#This Row],[Jun_2027_F]]-Table4[[#This Row],[Jun_2027_A]]</f>
        <v/>
      </c>
      <c r="EF18" s="345">
        <f>IFERROR(Table4[[#This Row],[Jul_2027_Days_Forecast]]*Table4[[#This Row],[Cost Boolean]]*(VLOOKUP(Table4[[#This Row],[RATE CONCAT]],Tables!I:N,6,0)),0)</f>
        <v/>
      </c>
      <c r="EG18" s="345" t="n">
        <v>0</v>
      </c>
      <c r="EH18" s="345">
        <f>Table4[[#This Row],[Jul_2027_F]]-Table4[[#This Row],[Jul_2027_A]]</f>
        <v/>
      </c>
      <c r="EI18" s="345">
        <f>IFERROR(Table4[[#This Row],[Aug_2027_Days_Forecast]]*Table4[[#This Row],[Cost Boolean]]*(VLOOKUP(Table4[[#This Row],[RATE CONCAT]],Tables!I:N,6,0)),0)</f>
        <v/>
      </c>
      <c r="EJ18" s="345" t="n">
        <v>0</v>
      </c>
      <c r="EK18" s="345">
        <f>Table4[[#This Row],[Aug_2027_F]]-Table4[[#This Row],[Aug_2027_A]]</f>
        <v/>
      </c>
      <c r="EL18" s="345">
        <f>IFERROR(Table4[[#This Row],[Sep_2027_Days_Forecast]]*Table4[[#This Row],[Cost Boolean]]*(VLOOKUP(Table4[[#This Row],[RATE CONCAT]],Tables!I:N,6,0)),0)</f>
        <v/>
      </c>
      <c r="EM18" s="345" t="n">
        <v>0</v>
      </c>
      <c r="EN18" s="345">
        <f>Table4[[#This Row],[Sep_2027_F]]-Table4[[#This Row],[Sep_2027_A]]</f>
        <v/>
      </c>
      <c r="EO18" s="345">
        <f>IFERROR(Table4[[#This Row],[Oct_2027_Days_Forecast]]*Table4[[#This Row],[Cost Boolean]]*(VLOOKUP(Table4[[#This Row],[RATE CONCAT]],Tables!I:N,6,0)),0)</f>
        <v/>
      </c>
      <c r="EP18" s="345" t="n">
        <v>0</v>
      </c>
      <c r="EQ18" s="345">
        <f>Table4[[#This Row],[Oct_2027_F]]-Table4[[#This Row],[Oct_2027_A]]</f>
        <v/>
      </c>
      <c r="ER18" s="345">
        <f>IFERROR(Table4[[#This Row],[Nov_2027_Days_Forecast]]*Table4[[#This Row],[Cost Boolean]]*(VLOOKUP(Table4[[#This Row],[RATE CONCAT]],Tables!I:N,6,0)),0)</f>
        <v/>
      </c>
      <c r="ES18" s="345" t="n">
        <v>0</v>
      </c>
      <c r="ET18" s="345">
        <f>Table4[[#This Row],[Nov_2027_F]]-Table4[[#This Row],[Nov_2027_A]]</f>
        <v/>
      </c>
      <c r="EU18" s="345">
        <f>IFERROR(Table4[[#This Row],[Dec_2027_Days_Forecast]]*Table4[[#This Row],[Cost Boolean]]*(VLOOKUP(Table4[[#This Row],[RATE CONCAT]],Tables!I:N,6,0)),0)</f>
        <v/>
      </c>
      <c r="EV18" s="345" t="n">
        <v>0</v>
      </c>
      <c r="EW18" s="345">
        <f>Table4[[#This Row],[Dec_2027_F]]-Table4[[#This Row],[Dec_2027_A]]</f>
        <v/>
      </c>
    </row>
    <row r="19" ht="15" customHeight="1">
      <c r="A19" s="132" t="n"/>
      <c r="B19" s="132" t="n"/>
      <c r="C19" s="132" t="n"/>
      <c r="D19" s="132" t="n"/>
      <c r="E19" s="132" t="n"/>
      <c r="F19" s="132" t="n"/>
      <c r="G19" s="132" t="n"/>
      <c r="H19" s="132" t="n"/>
      <c r="I19" s="132" t="n"/>
      <c r="J19" s="132" t="n"/>
      <c r="K19" s="132" t="n"/>
      <c r="L19" s="132" t="n"/>
      <c r="M19" s="132" t="n"/>
      <c r="N19" s="132" t="n"/>
      <c r="O19" s="132" t="n"/>
      <c r="P19" s="132" t="n"/>
      <c r="Q19" s="132" t="n"/>
      <c r="R19" s="354" t="n"/>
      <c r="S19" s="354" t="n"/>
      <c r="T19" s="354" t="n"/>
      <c r="U19" s="354" t="n"/>
      <c r="V19" s="354" t="n"/>
      <c r="W19" s="354" t="n"/>
      <c r="X19" s="13" t="n"/>
      <c r="Y19" s="350">
        <f>CONCATENATE(Table4[[#This Row],[JG]],Table4[[#This Row],[Country]],Table4[[#This Row],[Resource Provider]])</f>
        <v/>
      </c>
      <c r="Z19" s="350">
        <f>VLOOKUP(Table4[[#This Row],[RATE CONCAT]],Tables!I:N,5,0)</f>
        <v/>
      </c>
      <c r="AA19" s="53" t="n"/>
      <c r="AB19" s="192" t="n"/>
      <c r="AC19" s="192" t="n"/>
      <c r="AD19" s="192" t="n"/>
      <c r="AE19" s="192" t="n"/>
      <c r="AF19" s="192" t="n"/>
      <c r="AG19" s="192" t="n"/>
      <c r="AH19" s="192" t="n"/>
      <c r="AI19" s="192" t="n"/>
      <c r="AJ19" s="192" t="n"/>
      <c r="AK19" s="16" t="n"/>
      <c r="AL19" s="16" t="n"/>
      <c r="AM19" s="16" t="n"/>
      <c r="AN19" s="353">
        <f>IFERROR(AVERAGE(Table4[[#This Row],[Jan_2026_Days_Forecast]:[Dec_2026_Days_Forecast]]),0)/19</f>
        <v/>
      </c>
      <c r="AO19" s="353">
        <f>IFERROR(AVERAGE(Table4[[#This Row],[Jan_2026_Days_Actual]:[Dec_2026_Days_Actual]]),0)/19</f>
        <v/>
      </c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353">
        <f>IFERROR(AVERAGE(Table4[[#This Row],[Jan_2027_Days_Forecast]:[Dec_2027_Days_Forecast]]),0)</f>
        <v/>
      </c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55" t="n"/>
      <c r="BP19" s="346" t="n"/>
      <c r="BQ19" s="347">
        <f>Table4[[#This Row],[Jan_2026_Days_Forecast]]*Table4[[#This Row],[Cost Boolean]]*VLOOKUP(Table4[[#This Row],[RATE CONCAT]],Tables!I:N,5,0)</f>
        <v/>
      </c>
      <c r="BR19" s="347">
        <f>IFERROR(Table4[[#This Row],[Jan_2026_Days_Actual]]*Table4[[#This Row],[Cost Boolean]]*(VLOOKUP(Table4[[#This Row],[RATE CONCAT]],Tables!I:N,5,0)),0)</f>
        <v/>
      </c>
      <c r="BS19" s="347">
        <f>Table4[[#This Row],[Jan_2026_F]]-Table4[[#This Row],[Jan_2026_A]]</f>
        <v/>
      </c>
      <c r="BT19" s="107" t="n"/>
      <c r="BU19" s="347">
        <f>IFERROR(Table4[[#This Row],[Feb_2026_Days_Forecast]]*Table4[[#This Row],[Cost Boolean]]*(VLOOKUP(Table4[[#This Row],[RATE CONCAT]],Tables!I:N,5,0)),0)</f>
        <v/>
      </c>
      <c r="BV19" s="347">
        <f>IFERROR(Table4[[#This Row],[Feb_2026_Days_Actual]]*Table4[[#This Row],[Cost Boolean]]*(VLOOKUP(Table4[[#This Row],[RATE CONCAT]],Tables!I:N,5,0)),0)</f>
        <v/>
      </c>
      <c r="BW19" s="347">
        <f>Table4[[#This Row],[Feb_2026_F]]-Table4[[#This Row],[Feb_2026_A]]</f>
        <v/>
      </c>
      <c r="BX19" s="103" t="n"/>
      <c r="BY19" s="347">
        <f>IFERROR(Table4[[#This Row],[Mar_2026_Days_Forecast]]*Table4[[#This Row],[Cost Boolean]]*(VLOOKUP(Table4[[#This Row],[RATE CONCAT]],Tables!I:N,5,0)),0)</f>
        <v/>
      </c>
      <c r="BZ19" s="347">
        <f>IFERROR(Table4[[#This Row],[Mar_2026_Days_Actual]]*Table4[[#This Row],[Cost Boolean]]*(VLOOKUP(Table4[[#This Row],[RATE CONCAT]],Tables!I:N,5,0)),0)</f>
        <v/>
      </c>
      <c r="CA19" s="347">
        <f>Table4[[#This Row],[Mar_2026_F]]-Table4[[#This Row],[Mar_2026_A]]</f>
        <v/>
      </c>
      <c r="CB19" s="103" t="n"/>
      <c r="CC19" s="347">
        <f>IFERROR(Table4[[#This Row],[Apr_2026_Days_Forecast]]*Table4[[#This Row],[Cost Boolean]]*(VLOOKUP(Table4[[#This Row],[RATE CONCAT]],Tables!I:N,5,0)),0)</f>
        <v/>
      </c>
      <c r="CD19" s="347">
        <f>IFERROR(Table4[[#This Row],[Apr_2026_Days_Actual]]*Table4[[#This Row],[Cost Boolean]]*(VLOOKUP(Table4[[#This Row],[RATE CONCAT]],Tables!I:N,5,0)),0)</f>
        <v/>
      </c>
      <c r="CE19" s="347">
        <f>Table4[[#This Row],[Apr_2026_F]]-Table4[[#This Row],[Apr_2026_A]]</f>
        <v/>
      </c>
      <c r="CF19" s="103" t="n"/>
      <c r="CG19" s="347">
        <f>IFERROR(Table4[[#This Row],[May_2026_Days_Forecast]] *Table4[[#This Row],[Cost Boolean]]*(VLOOKUP(Table4[[#This Row],[RATE CONCAT]],Tables!I:N,5,0)),0)</f>
        <v/>
      </c>
      <c r="CH19" s="347">
        <f>IFERROR(Table4[[#This Row],[May_2026_Days_Actual]]*Table4[[#This Row],[Cost Boolean]]*(VLOOKUP(Table4[[#This Row],[RATE CONCAT]],Tables!I:N,5,0)),0)</f>
        <v/>
      </c>
      <c r="CI19" s="347">
        <f>Table4[[#This Row],[May_2026_F]]-Table4[[#This Row],[May_2026_A]]</f>
        <v/>
      </c>
      <c r="CJ19" s="103" t="n"/>
      <c r="CK19" s="347">
        <f>IFERROR(Table4[[#This Row],[Jun_2026_Days_Forecast]]*Table4[[#This Row],[Cost Boolean]]*(VLOOKUP(Table4[[#This Row],[RATE CONCAT]],Tables!I:N,5,0)),0)</f>
        <v/>
      </c>
      <c r="CL19" s="347">
        <f>IFERROR(Table4[[#This Row],[Jun_2026_Days_Actual]]*Table4[[#This Row],[Cost Boolean]]*(VLOOKUP(Table4[[#This Row],[RATE CONCAT]],Tables!I:N,5,0)),0)</f>
        <v/>
      </c>
      <c r="CM19" s="347">
        <f>Table4[[#This Row],[Jun_2026_F]]-Table4[[#This Row],[Jun_2026_A]]</f>
        <v/>
      </c>
      <c r="CN19" s="103" t="n"/>
      <c r="CO19" s="347">
        <f>IFERROR(Table4[[#This Row],[Jul_2026_Days_Forecast]]*Table4[[#This Row],[Cost Boolean]]*(VLOOKUP(Table4[[#This Row],[RATE CONCAT]],Tables!I:N,5,0)),0)</f>
        <v/>
      </c>
      <c r="CP19" s="347">
        <f>IFERROR(Table4[[#This Row],[Aug_2026_Days_Forecast]]*Table4[[#This Row],[Location]]*(VLOOKUP(Table4[[#This Row],[Rate]],Tables!J:O,5,0)),0)</f>
        <v/>
      </c>
      <c r="CQ19" s="347">
        <f>Table4[[#This Row],[Jul_2026_F]]-Table4[[#This Row],[Jul_2026_A]]</f>
        <v/>
      </c>
      <c r="CR19" s="103" t="n"/>
      <c r="CS19" s="347">
        <f>IFERROR(Table4[[#This Row],[Aug_2026_Days_Forecast]]*Table4[[#This Row],[Cost Boolean]]*(VLOOKUP(Table4[[#This Row],[RATE CONCAT]],Tables!I:N,5,0)),0)</f>
        <v/>
      </c>
      <c r="CT19" s="347">
        <f>IFERROR(Table4[[#This Row],[Aug_2026_Days_Actual]]*Table4[[#This Row],[Cost Boolean]]*(VLOOKUP(Table4[[#This Row],[RATE CONCAT]],Tables!I:N,5,0)),0)</f>
        <v/>
      </c>
      <c r="CU19" s="347">
        <f>Table4[[#This Row],[Aug_2026_F]]-Table4[[#This Row],[Aug_2026_A]]</f>
        <v/>
      </c>
      <c r="CV19" s="103" t="n"/>
      <c r="CW19" s="347">
        <f>IFERROR(Table4[[#This Row],[Sep_2026_Days_Forecast]]*Table4[[#This Row],[Cost Boolean]]*(VLOOKUP(Table4[[#This Row],[RATE CONCAT]],Tables!I:N,5,0)),0)</f>
        <v/>
      </c>
      <c r="CX19" s="347">
        <f>IFERROR(Table4[[#This Row],[Sep_2026_Days_Actual]]*Table4[[#This Row],[Cost Boolean]]*(VLOOKUP(Table4[[#This Row],[RATE CONCAT]],Tables!I:N,5,0)),0)</f>
        <v/>
      </c>
      <c r="CY19" s="347">
        <f>Table4[[#This Row],[Sep_2026_F]]-Table4[[#This Row],[Sep_2026_A]]</f>
        <v/>
      </c>
      <c r="CZ19" s="103" t="n"/>
      <c r="DA19" s="347">
        <f>IFERROR(Table4[[#This Row],[Oct_2026_Days_Forecast]]*Table4[[#This Row],[Cost Boolean]]*(VLOOKUP(Table4[[#This Row],[RATE CONCAT]],Tables!I:N,5,0)),0)</f>
        <v/>
      </c>
      <c r="DB19" s="347">
        <f>IFERROR(Table4[[#This Row],[Oct_2026_Days_Actual]]*Table4[[#This Row],[Cost Boolean]]*(VLOOKUP(Table4[[#This Row],[RATE CONCAT]],Tables!I:N,5,0)),0)</f>
        <v/>
      </c>
      <c r="DC19" s="347">
        <f>Table4[[#This Row],[Oct_2026_F]]-Table4[[#This Row],[Oct_2026_A]]</f>
        <v/>
      </c>
      <c r="DD19" s="103" t="n"/>
      <c r="DE19" s="347">
        <f>IFERROR(Table4[[#This Row],[Nov_2026_Days_Forecast]]*Table4[[#This Row],[Cost Boolean]]*(VLOOKUP(Table4[[#This Row],[RATE CONCAT]],Tables!I:N,5,0)),0)</f>
        <v/>
      </c>
      <c r="DF19" s="347">
        <f>IFERROR(Table4[[#This Row],[Nov_2026_Days_Actual]]*Table4[[#This Row],[Cost Boolean]]*(VLOOKUP(Table4[[#This Row],[RATE CONCAT]],Tables!I:N,5,0)),0)</f>
        <v/>
      </c>
      <c r="DG19" s="347">
        <f>Table4[[#This Row],[Nov_2026_F]]-Table4[[#This Row],[Nov_2026_A]]</f>
        <v/>
      </c>
      <c r="DH19" s="103" t="n"/>
      <c r="DI19" s="347">
        <f>IFERROR(Table4[[#This Row],[Dec_2026_Days_Forecast]]*Table4[[#This Row],[Cost Boolean]]*(VLOOKUP(Table4[[#This Row],[RATE CONCAT]],Tables!I:N,5,0)),0)</f>
        <v/>
      </c>
      <c r="DJ19" s="347">
        <f>IFERROR(Table4[[#This Row],[Dec_2026_Days_Actual]]*Table4[[#This Row],[Cost Boolean]]*(VLOOKUP(Table4[[#This Row],[RATE CONCAT]],Tables!I:N,5,0)),0)</f>
        <v/>
      </c>
      <c r="DK19" s="347">
        <f>Table4[[#This Row],[Dec_2026_F]]-Table4[[#This Row],[Dec_2026_A]]</f>
        <v/>
      </c>
      <c r="DL19" s="103" t="n"/>
      <c r="DM19" s="346" t="n"/>
      <c r="DN19" s="347">
        <f>IFERROR(Table4[[#This Row],[Jan_2027_Days_Forecast]]*Table4[[#This Row],[Cost Boolean]]*(VLOOKUP(Table4[[#This Row],[RATE CONCAT]],Tables!I:N,6,0)),0)</f>
        <v/>
      </c>
      <c r="DO19" s="347" t="n">
        <v>0</v>
      </c>
      <c r="DP19" s="347">
        <f>Table4[[#This Row],[Jan_2027_F]]-Table4[[#This Row],[Jan_2027_A]]</f>
        <v/>
      </c>
      <c r="DQ19" s="347">
        <f>IFERROR(Table4[[#This Row],[Feb_2027_Days_Forecast]]*Table4[[#This Row],[Cost Boolean]]*(VLOOKUP(Table4[[#This Row],[RATE CONCAT]],Tables!I:N,6,0)),0)</f>
        <v/>
      </c>
      <c r="DR19" s="347" t="n">
        <v>0</v>
      </c>
      <c r="DS19" s="347">
        <f>Table4[[#This Row],[Feb_2027_F]]-Table4[[#This Row],[Feb_2027_A]]</f>
        <v/>
      </c>
      <c r="DT19" s="347">
        <f>IFERROR(Table4[[#This Row],[Mar_2027_Days_Forecast]]*Table4[[#This Row],[Cost Boolean]]*(VLOOKUP(Table4[[#This Row],[RATE CONCAT]],Tables!I:N,6,0)),0)</f>
        <v/>
      </c>
      <c r="DU19" s="347" t="n">
        <v>0</v>
      </c>
      <c r="DV19" s="347">
        <f>Table4[[#This Row],[Mar_2027_F]]-Table4[[#This Row],[Mar_2027_A]]</f>
        <v/>
      </c>
      <c r="DW19" s="347">
        <f>IFERROR(Table4[[#This Row],[Apr_2027_Days_Forecast]]*Table4[[#This Row],[Cost Boolean]]*(VLOOKUP(Table4[[#This Row],[RATE CONCAT]],Tables!I:N,6,0)),0)</f>
        <v/>
      </c>
      <c r="DX19" s="347" t="n">
        <v>0</v>
      </c>
      <c r="DY19" s="347">
        <f>Table4[[#This Row],[Apr_2027_F]]-Table4[[#This Row],[Apr_2027_A]]</f>
        <v/>
      </c>
      <c r="DZ19" s="347">
        <f>IFERROR(Table4[[#This Row],[May_2027_Days_Forecast]]*Table4[[#This Row],[Cost Boolean]]*(VLOOKUP(Table4[[#This Row],[RATE CONCAT]],Tables!I:N,6,0)),0)</f>
        <v/>
      </c>
      <c r="EA19" s="347" t="n">
        <v>0</v>
      </c>
      <c r="EB19" s="347">
        <f>Table4[[#This Row],[May_2027_F]]-Table4[[#This Row],[May_2027_A]]</f>
        <v/>
      </c>
      <c r="EC19" s="347">
        <f>IFERROR(Table4[[#This Row],[Jun_2027_Days_Forecast]]*Table4[[#This Row],[Cost Boolean]]*(VLOOKUP(Table4[[#This Row],[RATE CONCAT]],Tables!I:N,6,0)),0)</f>
        <v/>
      </c>
      <c r="ED19" s="347" t="n">
        <v>0</v>
      </c>
      <c r="EE19" s="347">
        <f>Table4[[#This Row],[Jun_2027_F]]-Table4[[#This Row],[Jun_2027_A]]</f>
        <v/>
      </c>
      <c r="EF19" s="347">
        <f>IFERROR(Table4[[#This Row],[Jul_2027_Days_Forecast]]*Table4[[#This Row],[Cost Boolean]]*(VLOOKUP(Table4[[#This Row],[RATE CONCAT]],Tables!I:N,6,0)),0)</f>
        <v/>
      </c>
      <c r="EG19" s="347" t="n">
        <v>0</v>
      </c>
      <c r="EH19" s="347">
        <f>Table4[[#This Row],[Jul_2027_F]]-Table4[[#This Row],[Jul_2027_A]]</f>
        <v/>
      </c>
      <c r="EI19" s="347">
        <f>IFERROR(Table4[[#This Row],[Aug_2027_Days_Forecast]]*Table4[[#This Row],[Cost Boolean]]*(VLOOKUP(Table4[[#This Row],[RATE CONCAT]],Tables!I:N,6,0)),0)</f>
        <v/>
      </c>
      <c r="EJ19" s="347" t="n">
        <v>0</v>
      </c>
      <c r="EK19" s="347">
        <f>Table4[[#This Row],[Aug_2027_F]]-Table4[[#This Row],[Aug_2027_A]]</f>
        <v/>
      </c>
      <c r="EL19" s="347">
        <f>IFERROR(Table4[[#This Row],[Sep_2027_Days_Forecast]]*Table4[[#This Row],[Cost Boolean]]*(VLOOKUP(Table4[[#This Row],[RATE CONCAT]],Tables!I:N,6,0)),0)</f>
        <v/>
      </c>
      <c r="EM19" s="347" t="n">
        <v>0</v>
      </c>
      <c r="EN19" s="347">
        <f>Table4[[#This Row],[Sep_2027_F]]-Table4[[#This Row],[Sep_2027_A]]</f>
        <v/>
      </c>
      <c r="EO19" s="347">
        <f>IFERROR(Table4[[#This Row],[Oct_2027_Days_Forecast]]*Table4[[#This Row],[Cost Boolean]]*(VLOOKUP(Table4[[#This Row],[RATE CONCAT]],Tables!I:N,6,0)),0)</f>
        <v/>
      </c>
      <c r="EP19" s="347" t="n">
        <v>0</v>
      </c>
      <c r="EQ19" s="347">
        <f>Table4[[#This Row],[Oct_2027_F]]-Table4[[#This Row],[Oct_2027_A]]</f>
        <v/>
      </c>
      <c r="ER19" s="347">
        <f>IFERROR(Table4[[#This Row],[Nov_2027_Days_Forecast]]*Table4[[#This Row],[Cost Boolean]]*(VLOOKUP(Table4[[#This Row],[RATE CONCAT]],Tables!I:N,6,0)),0)</f>
        <v/>
      </c>
      <c r="ES19" s="347" t="n">
        <v>0</v>
      </c>
      <c r="ET19" s="347">
        <f>Table4[[#This Row],[Nov_2027_F]]-Table4[[#This Row],[Nov_2027_A]]</f>
        <v/>
      </c>
      <c r="EU19" s="347">
        <f>IFERROR(Table4[[#This Row],[Dec_2027_Days_Forecast]]*Table4[[#This Row],[Cost Boolean]]*(VLOOKUP(Table4[[#This Row],[RATE CONCAT]],Tables!I:N,6,0)),0)</f>
        <v/>
      </c>
      <c r="EV19" s="347" t="n">
        <v>0</v>
      </c>
      <c r="EW19" s="347">
        <f>Table4[[#This Row],[Dec_2027_F]]-Table4[[#This Row],[Dec_2027_A]]</f>
        <v/>
      </c>
    </row>
    <row r="20" ht="15" customHeight="1">
      <c r="A20" s="132" t="n"/>
      <c r="B20" s="132" t="n"/>
      <c r="C20" s="132" t="n"/>
      <c r="D20" s="132" t="n"/>
      <c r="E20" s="132" t="n"/>
      <c r="F20" s="132" t="n"/>
      <c r="G20" s="132" t="n"/>
      <c r="H20" s="132" t="n"/>
      <c r="I20" s="132" t="n"/>
      <c r="J20" s="132" t="n"/>
      <c r="K20" s="132" t="n"/>
      <c r="L20" s="132" t="n"/>
      <c r="M20" s="132" t="n"/>
      <c r="N20" s="132" t="n"/>
      <c r="O20" s="132" t="n"/>
      <c r="P20" s="132" t="n"/>
      <c r="Q20" s="132" t="n"/>
      <c r="R20" s="354" t="n"/>
      <c r="S20" s="354" t="n"/>
      <c r="T20" s="354" t="n"/>
      <c r="U20" s="354" t="n"/>
      <c r="V20" s="354" t="n"/>
      <c r="W20" s="354" t="n"/>
      <c r="X20" s="13" t="n"/>
      <c r="Y20" s="350">
        <f>CONCATENATE(Table4[[#This Row],[JG]],Table4[[#This Row],[Country]],Table4[[#This Row],[Resource Provider]])</f>
        <v/>
      </c>
      <c r="Z20" s="350">
        <f>VLOOKUP(Table4[[#This Row],[RATE CONCAT]],Tables!I:N,5,0)</f>
        <v/>
      </c>
      <c r="AA20" s="53" t="n"/>
      <c r="AB20" s="192" t="n"/>
      <c r="AC20" s="192" t="n"/>
      <c r="AD20" s="192" t="n"/>
      <c r="AE20" s="192" t="n"/>
      <c r="AF20" s="192" t="n"/>
      <c r="AG20" s="192" t="n"/>
      <c r="AH20" s="192" t="n"/>
      <c r="AI20" s="192" t="n"/>
      <c r="AJ20" s="192" t="n"/>
      <c r="AK20" s="16" t="n"/>
      <c r="AL20" s="16" t="n"/>
      <c r="AM20" s="16" t="n"/>
      <c r="AN20" s="353">
        <f>IFERROR(AVERAGE(Table4[[#This Row],[Jan_2026_Days_Forecast]:[Dec_2026_Days_Forecast]]),0)/19</f>
        <v/>
      </c>
      <c r="AO20" s="353">
        <f>IFERROR(AVERAGE(Table4[[#This Row],[Jan_2026_Days_Actual]:[Dec_2026_Days_Actual]]),0)/19</f>
        <v/>
      </c>
      <c r="AP20" s="84" t="n"/>
      <c r="AQ20" s="84" t="n"/>
      <c r="AR20" s="84" t="n"/>
      <c r="AS20" s="84" t="n"/>
      <c r="AT20" s="84" t="n"/>
      <c r="AU20" s="84" t="n"/>
      <c r="AV20" s="84" t="n"/>
      <c r="AW20" s="84" t="n"/>
      <c r="AX20" s="84" t="n"/>
      <c r="AY20" s="84" t="n"/>
      <c r="AZ20" s="84" t="n"/>
      <c r="BA20" s="84" t="n"/>
      <c r="BB20" s="353">
        <f>IFERROR(AVERAGE(Table4[[#This Row],[Jan_2027_Days_Forecast]:[Dec_2027_Days_Forecast]]),0)</f>
        <v/>
      </c>
      <c r="BC20" s="16" t="n"/>
      <c r="BD20" s="16" t="n"/>
      <c r="BE20" s="16" t="n"/>
      <c r="BF20" s="16" t="n"/>
      <c r="BG20" s="16" t="n"/>
      <c r="BH20" s="16" t="n"/>
      <c r="BI20" s="16" t="n"/>
      <c r="BJ20" s="16" t="n"/>
      <c r="BK20" s="16" t="n"/>
      <c r="BL20" s="16" t="n"/>
      <c r="BM20" s="16" t="n"/>
      <c r="BN20" s="16" t="n"/>
      <c r="BO20" s="55" t="n"/>
      <c r="BP20" s="346" t="n"/>
      <c r="BQ20" s="345">
        <f>Table4[[#This Row],[Jan_2026_Days_Forecast]]*Table4[[#This Row],[Cost Boolean]]*VLOOKUP(Table4[[#This Row],[RATE CONCAT]],Tables!I:N,5,0)</f>
        <v/>
      </c>
      <c r="BR20" s="345">
        <f>IFERROR(Table4[[#This Row],[Jan_2026_Days_Actual]]*Table4[[#This Row],[Cost Boolean]]*(VLOOKUP(Table4[[#This Row],[RATE CONCAT]],Tables!I:N,5,0)),0)</f>
        <v/>
      </c>
      <c r="BS20" s="345">
        <f>Table4[[#This Row],[Jan_2026_F]]-Table4[[#This Row],[Jan_2026_A]]</f>
        <v/>
      </c>
      <c r="BT20" s="107" t="n"/>
      <c r="BU20" s="345">
        <f>IFERROR(Table4[[#This Row],[Feb_2026_Days_Forecast]]*Table4[[#This Row],[Cost Boolean]]*(VLOOKUP(Table4[[#This Row],[RATE CONCAT]],Tables!I:N,5,0)),0)</f>
        <v/>
      </c>
      <c r="BV20" s="345">
        <f>IFERROR(Table4[[#This Row],[Feb_2026_Days_Actual]]*Table4[[#This Row],[Cost Boolean]]*(VLOOKUP(Table4[[#This Row],[RATE CONCAT]],Tables!I:N,5,0)),0)</f>
        <v/>
      </c>
      <c r="BW20" s="345">
        <f>Table4[[#This Row],[Feb_2026_F]]-Table4[[#This Row],[Feb_2026_A]]</f>
        <v/>
      </c>
      <c r="BX20" s="103" t="n"/>
      <c r="BY20" s="345">
        <f>IFERROR(Table4[[#This Row],[Mar_2026_Days_Forecast]]*Table4[[#This Row],[Cost Boolean]]*(VLOOKUP(Table4[[#This Row],[RATE CONCAT]],Tables!I:N,5,0)),0)</f>
        <v/>
      </c>
      <c r="BZ20" s="345">
        <f>IFERROR(Table4[[#This Row],[Mar_2026_Days_Actual]]*Table4[[#This Row],[Cost Boolean]]*(VLOOKUP(Table4[[#This Row],[RATE CONCAT]],Tables!I:N,5,0)),0)</f>
        <v/>
      </c>
      <c r="CA20" s="345">
        <f>Table4[[#This Row],[Mar_2026_F]]-Table4[[#This Row],[Mar_2026_A]]</f>
        <v/>
      </c>
      <c r="CB20" s="103" t="n"/>
      <c r="CC20" s="345">
        <f>IFERROR(Table4[[#This Row],[Apr_2026_Days_Forecast]]*Table4[[#This Row],[Cost Boolean]]*(VLOOKUP(Table4[[#This Row],[RATE CONCAT]],Tables!I:N,5,0)),0)</f>
        <v/>
      </c>
      <c r="CD20" s="345">
        <f>IFERROR(Table4[[#This Row],[Apr_2026_Days_Actual]]*Table4[[#This Row],[Cost Boolean]]*(VLOOKUP(Table4[[#This Row],[RATE CONCAT]],Tables!I:N,5,0)),0)</f>
        <v/>
      </c>
      <c r="CE20" s="345">
        <f>Table4[[#This Row],[Apr_2026_F]]-Table4[[#This Row],[Apr_2026_A]]</f>
        <v/>
      </c>
      <c r="CF20" s="103" t="n"/>
      <c r="CG20" s="345">
        <f>IFERROR(Table4[[#This Row],[May_2026_Days_Forecast]] *Table4[[#This Row],[Cost Boolean]]*(VLOOKUP(Table4[[#This Row],[RATE CONCAT]],Tables!I:N,5,0)),0)</f>
        <v/>
      </c>
      <c r="CH20" s="345">
        <f>IFERROR(Table4[[#This Row],[May_2026_Days_Actual]]*Table4[[#This Row],[Cost Boolean]]*(VLOOKUP(Table4[[#This Row],[RATE CONCAT]],Tables!I:N,5,0)),0)</f>
        <v/>
      </c>
      <c r="CI20" s="345">
        <f>Table4[[#This Row],[May_2026_F]]-Table4[[#This Row],[May_2026_A]]</f>
        <v/>
      </c>
      <c r="CJ20" s="103" t="n"/>
      <c r="CK20" s="345">
        <f>IFERROR(Table4[[#This Row],[Jun_2026_Days_Forecast]]*Table4[[#This Row],[Cost Boolean]]*(VLOOKUP(Table4[[#This Row],[RATE CONCAT]],Tables!I:N,5,0)),0)</f>
        <v/>
      </c>
      <c r="CL20" s="345">
        <f>IFERROR(Table4[[#This Row],[Jun_2026_Days_Actual]]*Table4[[#This Row],[Cost Boolean]]*(VLOOKUP(Table4[[#This Row],[RATE CONCAT]],Tables!I:N,5,0)),0)</f>
        <v/>
      </c>
      <c r="CM20" s="345">
        <f>Table4[[#This Row],[Jun_2026_F]]-Table4[[#This Row],[Jun_2026_A]]</f>
        <v/>
      </c>
      <c r="CN20" s="103" t="n"/>
      <c r="CO20" s="345">
        <f>IFERROR(Table4[[#This Row],[Jul_2026_Days_Forecast]]*Table4[[#This Row],[Cost Boolean]]*(VLOOKUP(Table4[[#This Row],[RATE CONCAT]],Tables!I:N,5,0)),0)</f>
        <v/>
      </c>
      <c r="CP20" s="345">
        <f>IFERROR(Table4[[#This Row],[Aug_2026_Days_Forecast]]*Table4[[#This Row],[Location]]*(VLOOKUP(Table4[[#This Row],[Rate]],Tables!J:O,5,0)),0)</f>
        <v/>
      </c>
      <c r="CQ20" s="345">
        <f>Table4[[#This Row],[Jul_2026_F]]-Table4[[#This Row],[Jul_2026_A]]</f>
        <v/>
      </c>
      <c r="CR20" s="103" t="n"/>
      <c r="CS20" s="345">
        <f>IFERROR(Table4[[#This Row],[Aug_2026_Days_Forecast]]*Table4[[#This Row],[Cost Boolean]]*(VLOOKUP(Table4[[#This Row],[RATE CONCAT]],Tables!I:N,5,0)),0)</f>
        <v/>
      </c>
      <c r="CT20" s="345">
        <f>IFERROR(Table4[[#This Row],[Aug_2026_Days_Actual]]*Table4[[#This Row],[Cost Boolean]]*(VLOOKUP(Table4[[#This Row],[RATE CONCAT]],Tables!I:N,5,0)),0)</f>
        <v/>
      </c>
      <c r="CU20" s="345">
        <f>Table4[[#This Row],[Aug_2026_F]]-Table4[[#This Row],[Aug_2026_A]]</f>
        <v/>
      </c>
      <c r="CV20" s="103" t="n"/>
      <c r="CW20" s="345">
        <f>IFERROR(Table4[[#This Row],[Sep_2026_Days_Forecast]]*Table4[[#This Row],[Cost Boolean]]*(VLOOKUP(Table4[[#This Row],[RATE CONCAT]],Tables!I:N,5,0)),0)</f>
        <v/>
      </c>
      <c r="CX20" s="345">
        <f>IFERROR(Table4[[#This Row],[Sep_2026_Days_Actual]]*Table4[[#This Row],[Cost Boolean]]*(VLOOKUP(Table4[[#This Row],[RATE CONCAT]],Tables!I:N,5,0)),0)</f>
        <v/>
      </c>
      <c r="CY20" s="345">
        <f>Table4[[#This Row],[Sep_2026_F]]-Table4[[#This Row],[Sep_2026_A]]</f>
        <v/>
      </c>
      <c r="CZ20" s="103" t="n"/>
      <c r="DA20" s="345">
        <f>IFERROR(Table4[[#This Row],[Oct_2026_Days_Forecast]]*Table4[[#This Row],[Cost Boolean]]*(VLOOKUP(Table4[[#This Row],[RATE CONCAT]],Tables!I:N,5,0)),0)</f>
        <v/>
      </c>
      <c r="DB20" s="345">
        <f>IFERROR(Table4[[#This Row],[Oct_2026_Days_Actual]]*Table4[[#This Row],[Cost Boolean]]*(VLOOKUP(Table4[[#This Row],[RATE CONCAT]],Tables!I:N,5,0)),0)</f>
        <v/>
      </c>
      <c r="DC20" s="345">
        <f>Table4[[#This Row],[Oct_2026_F]]-Table4[[#This Row],[Oct_2026_A]]</f>
        <v/>
      </c>
      <c r="DD20" s="103" t="n"/>
      <c r="DE20" s="345">
        <f>IFERROR(Table4[[#This Row],[Nov_2026_Days_Forecast]]*Table4[[#This Row],[Cost Boolean]]*(VLOOKUP(Table4[[#This Row],[RATE CONCAT]],Tables!I:N,5,0)),0)</f>
        <v/>
      </c>
      <c r="DF20" s="345">
        <f>IFERROR(Table4[[#This Row],[Nov_2026_Days_Actual]]*Table4[[#This Row],[Cost Boolean]]*(VLOOKUP(Table4[[#This Row],[RATE CONCAT]],Tables!I:N,5,0)),0)</f>
        <v/>
      </c>
      <c r="DG20" s="345">
        <f>Table4[[#This Row],[Nov_2026_F]]-Table4[[#This Row],[Nov_2026_A]]</f>
        <v/>
      </c>
      <c r="DH20" s="103" t="n"/>
      <c r="DI20" s="345">
        <f>IFERROR(Table4[[#This Row],[Dec_2026_Days_Forecast]]*Table4[[#This Row],[Cost Boolean]]*(VLOOKUP(Table4[[#This Row],[RATE CONCAT]],Tables!I:N,5,0)),0)</f>
        <v/>
      </c>
      <c r="DJ20" s="345">
        <f>IFERROR(Table4[[#This Row],[Dec_2026_Days_Actual]]*Table4[[#This Row],[Cost Boolean]]*(VLOOKUP(Table4[[#This Row],[RATE CONCAT]],Tables!I:N,5,0)),0)</f>
        <v/>
      </c>
      <c r="DK20" s="345">
        <f>Table4[[#This Row],[Dec_2026_F]]-Table4[[#This Row],[Dec_2026_A]]</f>
        <v/>
      </c>
      <c r="DL20" s="103" t="n"/>
      <c r="DM20" s="346" t="n"/>
      <c r="DN20" s="345">
        <f>IFERROR(Table4[[#This Row],[Jan_2027_Days_Forecast]]*Table4[[#This Row],[Cost Boolean]]*(VLOOKUP(Table4[[#This Row],[RATE CONCAT]],Tables!I:N,6,0)),0)</f>
        <v/>
      </c>
      <c r="DO20" s="275" t="n"/>
      <c r="DP20" s="345">
        <f>Table4[[#This Row],[Jan_2027_F]]-Table4[[#This Row],[Jan_2027_A]]</f>
        <v/>
      </c>
      <c r="DQ20" s="345">
        <f>IFERROR(Table4[[#This Row],[Feb_2027_Days_Forecast]]*Table4[[#This Row],[Cost Boolean]]*(VLOOKUP(Table4[[#This Row],[RATE CONCAT]],Tables!I:N,6,0)),0)</f>
        <v/>
      </c>
      <c r="DR20" s="275" t="n"/>
      <c r="DS20" s="345">
        <f>Table4[[#This Row],[Feb_2027_F]]-Table4[[#This Row],[Feb_2027_A]]</f>
        <v/>
      </c>
      <c r="DT20" s="345">
        <f>IFERROR(Table4[[#This Row],[Mar_2027_Days_Forecast]]*Table4[[#This Row],[Cost Boolean]]*(VLOOKUP(Table4[[#This Row],[RATE CONCAT]],Tables!I:N,6,0)),0)</f>
        <v/>
      </c>
      <c r="DU20" s="275" t="n"/>
      <c r="DV20" s="345">
        <f>Table4[[#This Row],[Mar_2027_F]]-Table4[[#This Row],[Mar_2027_A]]</f>
        <v/>
      </c>
      <c r="DW20" s="345">
        <f>IFERROR(Table4[[#This Row],[Apr_2027_Days_Forecast]]*Table4[[#This Row],[Cost Boolean]]*(VLOOKUP(Table4[[#This Row],[RATE CONCAT]],Tables!I:N,6,0)),0)</f>
        <v/>
      </c>
      <c r="DX20" s="275" t="n"/>
      <c r="DY20" s="345">
        <f>Table4[[#This Row],[Apr_2027_F]]-Table4[[#This Row],[Apr_2027_A]]</f>
        <v/>
      </c>
      <c r="DZ20" s="345">
        <f>IFERROR(Table4[[#This Row],[May_2027_Days_Forecast]]*Table4[[#This Row],[Cost Boolean]]*(VLOOKUP(Table4[[#This Row],[RATE CONCAT]],Tables!I:N,6,0)),0)</f>
        <v/>
      </c>
      <c r="EA20" s="275" t="n"/>
      <c r="EB20" s="345">
        <f>Table4[[#This Row],[May_2027_F]]-Table4[[#This Row],[May_2027_A]]</f>
        <v/>
      </c>
      <c r="EC20" s="345">
        <f>IFERROR(Table4[[#This Row],[Jun_2027_Days_Forecast]]*Table4[[#This Row],[Cost Boolean]]*(VLOOKUP(Table4[[#This Row],[RATE CONCAT]],Tables!I:N,6,0)),0)</f>
        <v/>
      </c>
      <c r="ED20" s="275" t="n"/>
      <c r="EE20" s="345">
        <f>Table4[[#This Row],[Jun_2027_F]]-Table4[[#This Row],[Jun_2027_A]]</f>
        <v/>
      </c>
      <c r="EF20" s="345">
        <f>IFERROR(Table4[[#This Row],[Jul_2027_Days_Forecast]]*Table4[[#This Row],[Cost Boolean]]*(VLOOKUP(Table4[[#This Row],[RATE CONCAT]],Tables!I:N,6,0)),0)</f>
        <v/>
      </c>
      <c r="EG20" s="275" t="n"/>
      <c r="EH20" s="345">
        <f>Table4[[#This Row],[Jul_2027_F]]-Table4[[#This Row],[Jul_2027_A]]</f>
        <v/>
      </c>
      <c r="EI20" s="345">
        <f>IFERROR(Table4[[#This Row],[Aug_2027_Days_Forecast]]*Table4[[#This Row],[Cost Boolean]]*(VLOOKUP(Table4[[#This Row],[RATE CONCAT]],Tables!I:N,6,0)),0)</f>
        <v/>
      </c>
      <c r="EJ20" s="275" t="n"/>
      <c r="EK20" s="345">
        <f>Table4[[#This Row],[Aug_2027_F]]-Table4[[#This Row],[Aug_2027_A]]</f>
        <v/>
      </c>
      <c r="EL20" s="345">
        <f>IFERROR(Table4[[#This Row],[Sep_2027_Days_Forecast]]*Table4[[#This Row],[Cost Boolean]]*(VLOOKUP(Table4[[#This Row],[RATE CONCAT]],Tables!I:N,6,0)),0)</f>
        <v/>
      </c>
      <c r="EM20" s="275" t="n"/>
      <c r="EN20" s="345">
        <f>Table4[[#This Row],[Sep_2027_F]]-Table4[[#This Row],[Sep_2027_A]]</f>
        <v/>
      </c>
      <c r="EO20" s="345">
        <f>IFERROR(Table4[[#This Row],[Oct_2027_Days_Forecast]]*Table4[[#This Row],[Cost Boolean]]*(VLOOKUP(Table4[[#This Row],[RATE CONCAT]],Tables!I:N,6,0)),0)</f>
        <v/>
      </c>
      <c r="EP20" s="275" t="n"/>
      <c r="EQ20" s="345">
        <f>Table4[[#This Row],[Oct_2027_F]]-Table4[[#This Row],[Oct_2027_A]]</f>
        <v/>
      </c>
      <c r="ER20" s="345">
        <f>IFERROR(Table4[[#This Row],[Nov_2027_Days_Forecast]]*Table4[[#This Row],[Cost Boolean]]*(VLOOKUP(Table4[[#This Row],[RATE CONCAT]],Tables!I:N,6,0)),0)</f>
        <v/>
      </c>
      <c r="ES20" s="275" t="n"/>
      <c r="ET20" s="345">
        <f>Table4[[#This Row],[Nov_2027_F]]-Table4[[#This Row],[Nov_2027_A]]</f>
        <v/>
      </c>
      <c r="EU20" s="345">
        <f>IFERROR(Table4[[#This Row],[Dec_2027_Days_Forecast]]*Table4[[#This Row],[Cost Boolean]]*(VLOOKUP(Table4[[#This Row],[RATE CONCAT]],Tables!I:N,6,0)),0)</f>
        <v/>
      </c>
      <c r="EV20" s="275" t="n"/>
      <c r="EW20" s="345">
        <f>Table4[[#This Row],[Dec_2027_F]]-Table4[[#This Row],[Dec_2027_A]]</f>
        <v/>
      </c>
    </row>
    <row r="21" ht="15" customHeight="1">
      <c r="A21" s="132" t="n"/>
      <c r="B21" s="132" t="n"/>
      <c r="C21" s="132" t="n"/>
      <c r="D21" s="132" t="n"/>
      <c r="E21" s="132" t="n"/>
      <c r="F21" s="132" t="n"/>
      <c r="G21" s="132" t="n"/>
      <c r="H21" s="132" t="n"/>
      <c r="I21" s="132" t="n"/>
      <c r="J21" s="132" t="n"/>
      <c r="K21" s="132" t="n"/>
      <c r="L21" s="132" t="n"/>
      <c r="M21" s="132" t="n"/>
      <c r="N21" s="132" t="n"/>
      <c r="O21" s="132" t="n"/>
      <c r="P21" s="132" t="n"/>
      <c r="Q21" s="132" t="n"/>
      <c r="R21" s="354" t="n"/>
      <c r="S21" s="354" t="n"/>
      <c r="T21" s="354" t="n"/>
      <c r="U21" s="354" t="n"/>
      <c r="V21" s="354" t="n"/>
      <c r="W21" s="354" t="n"/>
      <c r="X21" s="13" t="n"/>
      <c r="Y21" s="350">
        <f>CONCATENATE(Table4[[#This Row],[JG]],Table4[[#This Row],[Country]],Table4[[#This Row],[Resource Provider]])</f>
        <v/>
      </c>
      <c r="Z21" s="350">
        <f>VLOOKUP(Table4[[#This Row],[RATE CONCAT]],Tables!I:N,5,0)</f>
        <v/>
      </c>
      <c r="AA21" s="53" t="n"/>
      <c r="AB21" s="192" t="n"/>
      <c r="AC21" s="192" t="n"/>
      <c r="AD21" s="192" t="n"/>
      <c r="AE21" s="192" t="n"/>
      <c r="AF21" s="192" t="n"/>
      <c r="AG21" s="192" t="n"/>
      <c r="AH21" s="192" t="n"/>
      <c r="AI21" s="192" t="n"/>
      <c r="AJ21" s="192" t="n"/>
      <c r="AK21" s="16" t="n"/>
      <c r="AL21" s="16" t="n"/>
      <c r="AM21" s="16" t="n"/>
      <c r="AN21" s="353">
        <f>IFERROR(AVERAGE(Table4[[#This Row],[Jan_2026_Days_Forecast]:[Dec_2026_Days_Forecast]]),0)/19</f>
        <v/>
      </c>
      <c r="AO21" s="353">
        <f>IFERROR(AVERAGE(Table4[[#This Row],[Jan_2026_Days_Actual]:[Dec_2026_Days_Actual]]),0)/19</f>
        <v/>
      </c>
      <c r="AP21" s="84" t="n"/>
      <c r="AQ21" s="84" t="n"/>
      <c r="AR21" s="84" t="n"/>
      <c r="AS21" s="84" t="n"/>
      <c r="AT21" s="84" t="n"/>
      <c r="AU21" s="84" t="n"/>
      <c r="AV21" s="84" t="n"/>
      <c r="AW21" s="84" t="n"/>
      <c r="AX21" s="84" t="n"/>
      <c r="AY21" s="84" t="n"/>
      <c r="AZ21" s="84" t="n"/>
      <c r="BA21" s="84" t="n"/>
      <c r="BB21" s="353">
        <f>IFERROR(AVERAGE(Table4[[#This Row],[Jan_2027_Days_Forecast]:[Dec_2027_Days_Forecast]]),0)</f>
        <v/>
      </c>
      <c r="BC21" s="16" t="n"/>
      <c r="BD21" s="16" t="n"/>
      <c r="BE21" s="16" t="n"/>
      <c r="BF21" s="16" t="n"/>
      <c r="BG21" s="16" t="n"/>
      <c r="BH21" s="16" t="n"/>
      <c r="BI21" s="16" t="n"/>
      <c r="BJ21" s="16" t="n"/>
      <c r="BK21" s="16" t="n"/>
      <c r="BL21" s="16" t="n"/>
      <c r="BM21" s="16" t="n"/>
      <c r="BN21" s="16" t="n"/>
      <c r="BO21" s="55" t="n"/>
      <c r="BP21" s="346" t="n"/>
      <c r="BQ21" s="347">
        <f>Table4[[#This Row],[Jan_2026_Days_Forecast]]*Table4[[#This Row],[Cost Boolean]]*VLOOKUP(Table4[[#This Row],[RATE CONCAT]],Tables!I:N,5,0)</f>
        <v/>
      </c>
      <c r="BR21" s="347">
        <f>IFERROR(Table4[[#This Row],[Jan_2026_Days_Actual]]*Table4[[#This Row],[Cost Boolean]]*(VLOOKUP(Table4[[#This Row],[RATE CONCAT]],Tables!I:N,5,0)),0)</f>
        <v/>
      </c>
      <c r="BS21" s="347">
        <f>Table4[[#This Row],[Jan_2026_F]]-Table4[[#This Row],[Jan_2026_A]]</f>
        <v/>
      </c>
      <c r="BT21" s="107" t="n"/>
      <c r="BU21" s="347">
        <f>IFERROR(Table4[[#This Row],[Feb_2026_Days_Forecast]]*Table4[[#This Row],[Cost Boolean]]*(VLOOKUP(Table4[[#This Row],[RATE CONCAT]],Tables!I:N,5,0)),0)</f>
        <v/>
      </c>
      <c r="BV21" s="347">
        <f>IFERROR(Table4[[#This Row],[Feb_2026_Days_Actual]]*Table4[[#This Row],[Cost Boolean]]*(VLOOKUP(Table4[[#This Row],[RATE CONCAT]],Tables!I:N,5,0)),0)</f>
        <v/>
      </c>
      <c r="BW21" s="347">
        <f>Table4[[#This Row],[Feb_2026_F]]-Table4[[#This Row],[Feb_2026_A]]</f>
        <v/>
      </c>
      <c r="BX21" s="103" t="n"/>
      <c r="BY21" s="347">
        <f>IFERROR(Table4[[#This Row],[Mar_2026_Days_Forecast]]*Table4[[#This Row],[Cost Boolean]]*(VLOOKUP(Table4[[#This Row],[RATE CONCAT]],Tables!I:N,5,0)),0)</f>
        <v/>
      </c>
      <c r="BZ21" s="347">
        <f>IFERROR(Table4[[#This Row],[Mar_2026_Days_Actual]]*Table4[[#This Row],[Cost Boolean]]*(VLOOKUP(Table4[[#This Row],[RATE CONCAT]],Tables!I:N,5,0)),0)</f>
        <v/>
      </c>
      <c r="CA21" s="347">
        <f>Table4[[#This Row],[Mar_2026_F]]-Table4[[#This Row],[Mar_2026_A]]</f>
        <v/>
      </c>
      <c r="CB21" s="103" t="n"/>
      <c r="CC21" s="347">
        <f>IFERROR(Table4[[#This Row],[Apr_2026_Days_Forecast]]*Table4[[#This Row],[Cost Boolean]]*(VLOOKUP(Table4[[#This Row],[RATE CONCAT]],Tables!I:N,5,0)),0)</f>
        <v/>
      </c>
      <c r="CD21" s="347">
        <f>IFERROR(Table4[[#This Row],[Apr_2026_Days_Actual]]*Table4[[#This Row],[Cost Boolean]]*(VLOOKUP(Table4[[#This Row],[RATE CONCAT]],Tables!I:N,5,0)),0)</f>
        <v/>
      </c>
      <c r="CE21" s="347">
        <f>Table4[[#This Row],[Apr_2026_F]]-Table4[[#This Row],[Apr_2026_A]]</f>
        <v/>
      </c>
      <c r="CF21" s="103" t="n"/>
      <c r="CG21" s="347">
        <f>IFERROR(Table4[[#This Row],[May_2026_Days_Forecast]] *Table4[[#This Row],[Cost Boolean]]*(VLOOKUP(Table4[[#This Row],[RATE CONCAT]],Tables!I:N,5,0)),0)</f>
        <v/>
      </c>
      <c r="CH21" s="347">
        <f>IFERROR(Table4[[#This Row],[May_2026_Days_Actual]]*Table4[[#This Row],[Cost Boolean]]*(VLOOKUP(Table4[[#This Row],[RATE CONCAT]],Tables!I:N,5,0)),0)</f>
        <v/>
      </c>
      <c r="CI21" s="347">
        <f>Table4[[#This Row],[May_2026_F]]-Table4[[#This Row],[May_2026_A]]</f>
        <v/>
      </c>
      <c r="CJ21" s="103" t="n"/>
      <c r="CK21" s="347">
        <f>IFERROR(Table4[[#This Row],[Jun_2026_Days_Forecast]]*Table4[[#This Row],[Cost Boolean]]*(VLOOKUP(Table4[[#This Row],[RATE CONCAT]],Tables!I:N,5,0)),0)</f>
        <v/>
      </c>
      <c r="CL21" s="347">
        <f>IFERROR(Table4[[#This Row],[Jun_2026_Days_Actual]]*Table4[[#This Row],[Cost Boolean]]*(VLOOKUP(Table4[[#This Row],[RATE CONCAT]],Tables!I:N,5,0)),0)</f>
        <v/>
      </c>
      <c r="CM21" s="347">
        <f>Table4[[#This Row],[Jun_2026_F]]-Table4[[#This Row],[Jun_2026_A]]</f>
        <v/>
      </c>
      <c r="CN21" s="103" t="n"/>
      <c r="CO21" s="347">
        <f>IFERROR(Table4[[#This Row],[Jul_2026_Days_Forecast]]*Table4[[#This Row],[Cost Boolean]]*(VLOOKUP(Table4[[#This Row],[RATE CONCAT]],Tables!I:N,5,0)),0)</f>
        <v/>
      </c>
      <c r="CP21" s="347">
        <f>IFERROR(Table4[[#This Row],[Aug_2026_Days_Forecast]]*Table4[[#This Row],[Location]]*(VLOOKUP(Table4[[#This Row],[Rate]],Tables!J:O,5,0)),0)</f>
        <v/>
      </c>
      <c r="CQ21" s="347">
        <f>Table4[[#This Row],[Jul_2026_F]]-Table4[[#This Row],[Jul_2026_A]]</f>
        <v/>
      </c>
      <c r="CR21" s="103" t="n"/>
      <c r="CS21" s="347">
        <f>IFERROR(Table4[[#This Row],[Aug_2026_Days_Forecast]]*Table4[[#This Row],[Cost Boolean]]*(VLOOKUP(Table4[[#This Row],[RATE CONCAT]],Tables!I:N,5,0)),0)</f>
        <v/>
      </c>
      <c r="CT21" s="347">
        <f>IFERROR(Table4[[#This Row],[Aug_2026_Days_Actual]]*Table4[[#This Row],[Cost Boolean]]*(VLOOKUP(Table4[[#This Row],[RATE CONCAT]],Tables!I:N,5,0)),0)</f>
        <v/>
      </c>
      <c r="CU21" s="347">
        <f>Table4[[#This Row],[Aug_2026_F]]-Table4[[#This Row],[Aug_2026_A]]</f>
        <v/>
      </c>
      <c r="CV21" s="103" t="n"/>
      <c r="CW21" s="347">
        <f>IFERROR(Table4[[#This Row],[Sep_2026_Days_Forecast]]*Table4[[#This Row],[Cost Boolean]]*(VLOOKUP(Table4[[#This Row],[RATE CONCAT]],Tables!I:N,5,0)),0)</f>
        <v/>
      </c>
      <c r="CX21" s="347">
        <f>IFERROR(Table4[[#This Row],[Sep_2026_Days_Actual]]*Table4[[#This Row],[Cost Boolean]]*(VLOOKUP(Table4[[#This Row],[RATE CONCAT]],Tables!I:N,5,0)),0)</f>
        <v/>
      </c>
      <c r="CY21" s="347">
        <f>Table4[[#This Row],[Sep_2026_F]]-Table4[[#This Row],[Sep_2026_A]]</f>
        <v/>
      </c>
      <c r="CZ21" s="103" t="n"/>
      <c r="DA21" s="347">
        <f>IFERROR(Table4[[#This Row],[Oct_2026_Days_Forecast]]*Table4[[#This Row],[Cost Boolean]]*(VLOOKUP(Table4[[#This Row],[RATE CONCAT]],Tables!I:N,5,0)),0)</f>
        <v/>
      </c>
      <c r="DB21" s="347">
        <f>IFERROR(Table4[[#This Row],[Oct_2026_Days_Actual]]*Table4[[#This Row],[Cost Boolean]]*(VLOOKUP(Table4[[#This Row],[RATE CONCAT]],Tables!I:N,5,0)),0)</f>
        <v/>
      </c>
      <c r="DC21" s="347">
        <f>Table4[[#This Row],[Oct_2026_F]]-Table4[[#This Row],[Oct_2026_A]]</f>
        <v/>
      </c>
      <c r="DD21" s="103" t="n"/>
      <c r="DE21" s="347">
        <f>IFERROR(Table4[[#This Row],[Nov_2026_Days_Forecast]]*Table4[[#This Row],[Cost Boolean]]*(VLOOKUP(Table4[[#This Row],[RATE CONCAT]],Tables!I:N,5,0)),0)</f>
        <v/>
      </c>
      <c r="DF21" s="347">
        <f>IFERROR(Table4[[#This Row],[Nov_2026_Days_Actual]]*Table4[[#This Row],[Cost Boolean]]*(VLOOKUP(Table4[[#This Row],[RATE CONCAT]],Tables!I:N,5,0)),0)</f>
        <v/>
      </c>
      <c r="DG21" s="347">
        <f>Table4[[#This Row],[Nov_2026_F]]-Table4[[#This Row],[Nov_2026_A]]</f>
        <v/>
      </c>
      <c r="DH21" s="103" t="n"/>
      <c r="DI21" s="347">
        <f>IFERROR(Table4[[#This Row],[Dec_2026_Days_Forecast]]*Table4[[#This Row],[Cost Boolean]]*(VLOOKUP(Table4[[#This Row],[RATE CONCAT]],Tables!I:N,5,0)),0)</f>
        <v/>
      </c>
      <c r="DJ21" s="347">
        <f>IFERROR(Table4[[#This Row],[Dec_2026_Days_Actual]]*Table4[[#This Row],[Cost Boolean]]*(VLOOKUP(Table4[[#This Row],[RATE CONCAT]],Tables!I:N,5,0)),0)</f>
        <v/>
      </c>
      <c r="DK21" s="347">
        <f>Table4[[#This Row],[Dec_2026_F]]-Table4[[#This Row],[Dec_2026_A]]</f>
        <v/>
      </c>
      <c r="DL21" s="103" t="n"/>
      <c r="DM21" s="346" t="n"/>
      <c r="DN21" s="347">
        <f>IFERROR(Table4[[#This Row],[Jan_2027_Days_Forecast]]*Table4[[#This Row],[Cost Boolean]]*(VLOOKUP(Table4[[#This Row],[RATE CONCAT]],Tables!I:N,6,0)),0)</f>
        <v/>
      </c>
      <c r="DO21" s="275" t="n"/>
      <c r="DP21" s="347">
        <f>Table4[[#This Row],[Jan_2027_F]]-Table4[[#This Row],[Jan_2027_A]]</f>
        <v/>
      </c>
      <c r="DQ21" s="347">
        <f>IFERROR(Table4[[#This Row],[Feb_2027_Days_Forecast]]*Table4[[#This Row],[Cost Boolean]]*(VLOOKUP(Table4[[#This Row],[RATE CONCAT]],Tables!I:N,6,0)),0)</f>
        <v/>
      </c>
      <c r="DR21" s="275" t="n"/>
      <c r="DS21" s="347">
        <f>Table4[[#This Row],[Feb_2027_F]]-Table4[[#This Row],[Feb_2027_A]]</f>
        <v/>
      </c>
      <c r="DT21" s="347">
        <f>IFERROR(Table4[[#This Row],[Mar_2027_Days_Forecast]]*Table4[[#This Row],[Cost Boolean]]*(VLOOKUP(Table4[[#This Row],[RATE CONCAT]],Tables!I:N,6,0)),0)</f>
        <v/>
      </c>
      <c r="DU21" s="275" t="n"/>
      <c r="DV21" s="347">
        <f>Table4[[#This Row],[Mar_2027_F]]-Table4[[#This Row],[Mar_2027_A]]</f>
        <v/>
      </c>
      <c r="DW21" s="347">
        <f>IFERROR(Table4[[#This Row],[Apr_2027_Days_Forecast]]*Table4[[#This Row],[Cost Boolean]]*(VLOOKUP(Table4[[#This Row],[RATE CONCAT]],Tables!I:N,6,0)),0)</f>
        <v/>
      </c>
      <c r="DX21" s="275" t="n"/>
      <c r="DY21" s="347">
        <f>Table4[[#This Row],[Apr_2027_F]]-Table4[[#This Row],[Apr_2027_A]]</f>
        <v/>
      </c>
      <c r="DZ21" s="347">
        <f>IFERROR(Table4[[#This Row],[May_2027_Days_Forecast]]*Table4[[#This Row],[Cost Boolean]]*(VLOOKUP(Table4[[#This Row],[RATE CONCAT]],Tables!I:N,6,0)),0)</f>
        <v/>
      </c>
      <c r="EA21" s="275" t="n"/>
      <c r="EB21" s="347">
        <f>Table4[[#This Row],[May_2027_F]]-Table4[[#This Row],[May_2027_A]]</f>
        <v/>
      </c>
      <c r="EC21" s="347">
        <f>IFERROR(Table4[[#This Row],[Jun_2027_Days_Forecast]]*Table4[[#This Row],[Cost Boolean]]*(VLOOKUP(Table4[[#This Row],[RATE CONCAT]],Tables!I:N,6,0)),0)</f>
        <v/>
      </c>
      <c r="ED21" s="275" t="n"/>
      <c r="EE21" s="347">
        <f>Table4[[#This Row],[Jun_2027_F]]-Table4[[#This Row],[Jun_2027_A]]</f>
        <v/>
      </c>
      <c r="EF21" s="347">
        <f>IFERROR(Table4[[#This Row],[Jul_2027_Days_Forecast]]*Table4[[#This Row],[Cost Boolean]]*(VLOOKUP(Table4[[#This Row],[RATE CONCAT]],Tables!I:N,6,0)),0)</f>
        <v/>
      </c>
      <c r="EG21" s="275" t="n"/>
      <c r="EH21" s="347">
        <f>Table4[[#This Row],[Jul_2027_F]]-Table4[[#This Row],[Jul_2027_A]]</f>
        <v/>
      </c>
      <c r="EI21" s="347">
        <f>IFERROR(Table4[[#This Row],[Aug_2027_Days_Forecast]]*Table4[[#This Row],[Cost Boolean]]*(VLOOKUP(Table4[[#This Row],[RATE CONCAT]],Tables!I:N,6,0)),0)</f>
        <v/>
      </c>
      <c r="EJ21" s="275" t="n"/>
      <c r="EK21" s="347">
        <f>Table4[[#This Row],[Aug_2027_F]]-Table4[[#This Row],[Aug_2027_A]]</f>
        <v/>
      </c>
      <c r="EL21" s="347">
        <f>IFERROR(Table4[[#This Row],[Sep_2027_Days_Forecast]]*Table4[[#This Row],[Cost Boolean]]*(VLOOKUP(Table4[[#This Row],[RATE CONCAT]],Tables!I:N,6,0)),0)</f>
        <v/>
      </c>
      <c r="EM21" s="275" t="n"/>
      <c r="EN21" s="347">
        <f>Table4[[#This Row],[Sep_2027_F]]-Table4[[#This Row],[Sep_2027_A]]</f>
        <v/>
      </c>
      <c r="EO21" s="347">
        <f>IFERROR(Table4[[#This Row],[Oct_2027_Days_Forecast]]*Table4[[#This Row],[Cost Boolean]]*(VLOOKUP(Table4[[#This Row],[RATE CONCAT]],Tables!I:N,6,0)),0)</f>
        <v/>
      </c>
      <c r="EP21" s="275" t="n"/>
      <c r="EQ21" s="347">
        <f>Table4[[#This Row],[Oct_2027_F]]-Table4[[#This Row],[Oct_2027_A]]</f>
        <v/>
      </c>
      <c r="ER21" s="347">
        <f>IFERROR(Table4[[#This Row],[Nov_2027_Days_Forecast]]*Table4[[#This Row],[Cost Boolean]]*(VLOOKUP(Table4[[#This Row],[RATE CONCAT]],Tables!I:N,6,0)),0)</f>
        <v/>
      </c>
      <c r="ES21" s="275" t="n"/>
      <c r="ET21" s="347">
        <f>Table4[[#This Row],[Nov_2027_F]]-Table4[[#This Row],[Nov_2027_A]]</f>
        <v/>
      </c>
      <c r="EU21" s="347">
        <f>IFERROR(Table4[[#This Row],[Dec_2027_Days_Forecast]]*Table4[[#This Row],[Cost Boolean]]*(VLOOKUP(Table4[[#This Row],[RATE CONCAT]],Tables!I:N,6,0)),0)</f>
        <v/>
      </c>
      <c r="EV21" s="275" t="n"/>
      <c r="EW21" s="347">
        <f>Table4[[#This Row],[Dec_2027_F]]-Table4[[#This Row],[Dec_2027_A]]</f>
        <v/>
      </c>
    </row>
    <row r="22" ht="15" customFormat="1" customHeight="1" s="190">
      <c r="A22" s="132" t="n"/>
      <c r="B22" s="132" t="n"/>
      <c r="C22" s="132" t="n"/>
      <c r="D22" s="132" t="n"/>
      <c r="E22" s="132" t="n"/>
      <c r="F22" s="132" t="n"/>
      <c r="G22" s="132" t="n"/>
      <c r="H22" s="132" t="n"/>
      <c r="I22" s="132" t="n"/>
      <c r="J22" s="132" t="n"/>
      <c r="K22" s="132" t="n"/>
      <c r="L22" s="132" t="n"/>
      <c r="M22" s="132" t="n"/>
      <c r="N22" s="132" t="n"/>
      <c r="O22" s="132" t="n"/>
      <c r="P22" s="132" t="n"/>
      <c r="Q22" s="132" t="n"/>
      <c r="R22" s="354" t="n"/>
      <c r="S22" s="354" t="n"/>
      <c r="T22" s="354" t="n"/>
      <c r="U22" s="354" t="n"/>
      <c r="V22" s="354" t="n"/>
      <c r="W22" s="354" t="n"/>
      <c r="X22" s="13" t="n"/>
      <c r="Y22" s="350">
        <f>CONCATENATE(Table4[[#This Row],[JG]],Table4[[#This Row],[Country]],Table4[[#This Row],[Resource Provider]])</f>
        <v/>
      </c>
      <c r="Z22" s="350">
        <f>VLOOKUP(Table4[[#This Row],[RATE CONCAT]],Tables!I:N,5,0)</f>
        <v/>
      </c>
      <c r="AA22" s="53" t="n"/>
      <c r="AB22" s="192" t="n"/>
      <c r="AC22" s="192" t="n"/>
      <c r="AD22" s="192" t="n"/>
      <c r="AE22" s="192" t="n"/>
      <c r="AF22" s="192" t="n"/>
      <c r="AG22" s="192" t="n"/>
      <c r="AH22" s="192" t="n"/>
      <c r="AI22" s="192" t="n"/>
      <c r="AJ22" s="192" t="n"/>
      <c r="AK22" s="16" t="n"/>
      <c r="AL22" s="16" t="n"/>
      <c r="AM22" s="16" t="n"/>
      <c r="AN22" s="353">
        <f>IFERROR(AVERAGE(Table4[[#This Row],[Jan_2026_Days_Forecast]:[Dec_2026_Days_Forecast]]),0)/19</f>
        <v/>
      </c>
      <c r="AO22" s="353">
        <f>IFERROR(AVERAGE(Table4[[#This Row],[Jan_2026_Days_Actual]:[Dec_2026_Days_Actual]]),0)/19</f>
        <v/>
      </c>
      <c r="AP22" s="84" t="n"/>
      <c r="AQ22" s="84" t="n"/>
      <c r="AR22" s="84" t="n"/>
      <c r="AS22" s="84" t="n"/>
      <c r="AT22" s="84" t="n"/>
      <c r="AU22" s="84" t="n"/>
      <c r="AV22" s="84" t="n"/>
      <c r="AW22" s="84" t="n"/>
      <c r="AX22" s="84" t="n"/>
      <c r="AY22" s="84" t="n"/>
      <c r="AZ22" s="84" t="n"/>
      <c r="BA22" s="84" t="n"/>
      <c r="BB22" s="353">
        <f>IFERROR(AVERAGE(Table4[[#This Row],[Jan_2027_Days_Forecast]:[Dec_2027_Days_Forecast]]),0)</f>
        <v/>
      </c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  <c r="BL22" s="16" t="n"/>
      <c r="BM22" s="16" t="n"/>
      <c r="BN22" s="16" t="n"/>
      <c r="BO22" s="55" t="n"/>
      <c r="BP22" s="346" t="n"/>
      <c r="BQ22" s="275" t="n"/>
      <c r="BR22" s="345">
        <f>IFERROR(Table4[[#This Row],[Jan_2026_Days_Actual]]*Table4[[#This Row],[Cost Boolean]]*(VLOOKUP(Table4[[#This Row],[RATE CONCAT]],Tables!I:N,5,0)),0)</f>
        <v/>
      </c>
      <c r="BS22" s="345">
        <f>Table4[[#This Row],[Jan_2026_F]]-Table4[[#This Row],[Jan_2026_A]]</f>
        <v/>
      </c>
      <c r="BT22" s="107" t="n"/>
      <c r="BU22" s="345">
        <f>IFERROR(Table4[[#This Row],[Feb_2026_Days_Forecast]]*Table4[[#This Row],[Cost Boolean]]*(VLOOKUP(Table4[[#This Row],[RATE CONCAT]],Tables!I:N,5,0)),0)</f>
        <v/>
      </c>
      <c r="BV22" s="345">
        <f>IFERROR(Table4[[#This Row],[Feb_2026_Days_Actual]]*Table4[[#This Row],[Cost Boolean]]*(VLOOKUP(Table4[[#This Row],[RATE CONCAT]],Tables!I:N,5,0)),0)</f>
        <v/>
      </c>
      <c r="BW22" s="345">
        <f>Table4[[#This Row],[Feb_2026_F]]-Table4[[#This Row],[Feb_2026_A]]</f>
        <v/>
      </c>
      <c r="BX22" s="103" t="n"/>
      <c r="BY22" s="345">
        <f>IFERROR(Table4[[#This Row],[Mar_2026_Days_Forecast]]*Table4[[#This Row],[Cost Boolean]]*(VLOOKUP(Table4[[#This Row],[RATE CONCAT]],Tables!I:N,5,0)),0)</f>
        <v/>
      </c>
      <c r="BZ22" s="345">
        <f>IFERROR(Table4[[#This Row],[Mar_2026_Days_Actual]]*Table4[[#This Row],[Cost Boolean]]*(VLOOKUP(Table4[[#This Row],[RATE CONCAT]],Tables!I:N,5,0)),0)</f>
        <v/>
      </c>
      <c r="CA22" s="345">
        <f>Table4[[#This Row],[Mar_2026_F]]-Table4[[#This Row],[Mar_2026_A]]</f>
        <v/>
      </c>
      <c r="CB22" s="103" t="n"/>
      <c r="CC22" s="345">
        <f>IFERROR(Table4[[#This Row],[Apr_2026_Days_Forecast]]*Table4[[#This Row],[Cost Boolean]]*(VLOOKUP(Table4[[#This Row],[RATE CONCAT]],Tables!I:N,5,0)),0)</f>
        <v/>
      </c>
      <c r="CD22" s="345">
        <f>IFERROR(Table4[[#This Row],[Apr_2026_Days_Actual]]*Table4[[#This Row],[Cost Boolean]]*(VLOOKUP(Table4[[#This Row],[RATE CONCAT]],Tables!I:N,5,0)),0)</f>
        <v/>
      </c>
      <c r="CE22" s="345">
        <f>Table4[[#This Row],[Apr_2026_F]]-Table4[[#This Row],[Apr_2026_A]]</f>
        <v/>
      </c>
      <c r="CF22" s="103" t="n"/>
      <c r="CG22" s="345">
        <f>IFERROR(Table4[[#This Row],[May_2026_Days_Forecast]] *Table4[[#This Row],[Cost Boolean]]*(VLOOKUP(Table4[[#This Row],[RATE CONCAT]],Tables!I:N,5,0)),0)</f>
        <v/>
      </c>
      <c r="CH22" s="345">
        <f>IFERROR(Table4[[#This Row],[May_2026_Days_Actual]]*Table4[[#This Row],[Cost Boolean]]*(VLOOKUP(Table4[[#This Row],[RATE CONCAT]],Tables!I:N,5,0)),0)</f>
        <v/>
      </c>
      <c r="CI22" s="345">
        <f>Table4[[#This Row],[May_2026_F]]-Table4[[#This Row],[May_2026_A]]</f>
        <v/>
      </c>
      <c r="CJ22" s="103" t="n"/>
      <c r="CK22" s="345">
        <f>IFERROR(Table4[[#This Row],[Jun_2026_Days_Forecast]]*Table4[[#This Row],[Cost Boolean]]*(VLOOKUP(Table4[[#This Row],[RATE CONCAT]],Tables!I:N,5,0)),0)</f>
        <v/>
      </c>
      <c r="CL22" s="345">
        <f>IFERROR(Table4[[#This Row],[Jun_2026_Days_Actual]]*Table4[[#This Row],[Cost Boolean]]*(VLOOKUP(Table4[[#This Row],[RATE CONCAT]],Tables!I:N,5,0)),0)</f>
        <v/>
      </c>
      <c r="CM22" s="345">
        <f>Table4[[#This Row],[Jun_2026_F]]-Table4[[#This Row],[Jun_2026_A]]</f>
        <v/>
      </c>
      <c r="CN22" s="103" t="n"/>
      <c r="CO22" s="345">
        <f>IFERROR(Table4[[#This Row],[Jul_2026_Days_Forecast]]*Table4[[#This Row],[Cost Boolean]]*(VLOOKUP(Table4[[#This Row],[RATE CONCAT]],Tables!I:N,5,0)),0)</f>
        <v/>
      </c>
      <c r="CP22" s="345">
        <f>IFERROR(Table4[[#This Row],[Aug_2026_Days_Forecast]]*Table4[[#This Row],[Location]]*(VLOOKUP(Table4[[#This Row],[Rate]],Tables!J:O,5,0)),0)</f>
        <v/>
      </c>
      <c r="CQ22" s="345">
        <f>Table4[[#This Row],[Jul_2026_F]]-Table4[[#This Row],[Jul_2026_A]]</f>
        <v/>
      </c>
      <c r="CR22" s="103" t="n"/>
      <c r="CS22" s="345">
        <f>IFERROR(Table4[[#This Row],[Aug_2026_Days_Forecast]]*Table4[[#This Row],[Cost Boolean]]*(VLOOKUP(Table4[[#This Row],[RATE CONCAT]],Tables!I:N,5,0)),0)</f>
        <v/>
      </c>
      <c r="CT22" s="345">
        <f>IFERROR(Table4[[#This Row],[Aug_2026_Days_Actual]]*Table4[[#This Row],[Cost Boolean]]*(VLOOKUP(Table4[[#This Row],[RATE CONCAT]],Tables!I:N,5,0)),0)</f>
        <v/>
      </c>
      <c r="CU22" s="345">
        <f>Table4[[#This Row],[Aug_2026_F]]-Table4[[#This Row],[Aug_2026_A]]</f>
        <v/>
      </c>
      <c r="CV22" s="103" t="n"/>
      <c r="CW22" s="345">
        <f>IFERROR(Table4[[#This Row],[Sep_2026_Days_Forecast]]*Table4[[#This Row],[Cost Boolean]]*(VLOOKUP(Table4[[#This Row],[RATE CONCAT]],Tables!I:N,5,0)),0)</f>
        <v/>
      </c>
      <c r="CX22" s="345">
        <f>IFERROR(Table4[[#This Row],[Sep_2026_Days_Actual]]*Table4[[#This Row],[Cost Boolean]]*(VLOOKUP(Table4[[#This Row],[RATE CONCAT]],Tables!I:N,5,0)),0)</f>
        <v/>
      </c>
      <c r="CY22" s="345">
        <f>Table4[[#This Row],[Sep_2026_F]]-Table4[[#This Row],[Sep_2026_A]]</f>
        <v/>
      </c>
      <c r="CZ22" s="103" t="n"/>
      <c r="DA22" s="345">
        <f>IFERROR(Table4[[#This Row],[Oct_2026_Days_Forecast]]*Table4[[#This Row],[Cost Boolean]]*(VLOOKUP(Table4[[#This Row],[RATE CONCAT]],Tables!I:N,5,0)),0)</f>
        <v/>
      </c>
      <c r="DB22" s="345">
        <f>IFERROR(Table4[[#This Row],[Oct_2026_Days_Actual]]*Table4[[#This Row],[Cost Boolean]]*(VLOOKUP(Table4[[#This Row],[RATE CONCAT]],Tables!I:N,5,0)),0)</f>
        <v/>
      </c>
      <c r="DC22" s="345">
        <f>Table4[[#This Row],[Oct_2026_F]]-Table4[[#This Row],[Oct_2026_A]]</f>
        <v/>
      </c>
      <c r="DD22" s="103" t="n"/>
      <c r="DE22" s="345">
        <f>IFERROR(Table4[[#This Row],[Nov_2026_Days_Forecast]]*Table4[[#This Row],[Cost Boolean]]*(VLOOKUP(Table4[[#This Row],[RATE CONCAT]],Tables!I:N,5,0)),0)</f>
        <v/>
      </c>
      <c r="DF22" s="345">
        <f>IFERROR(Table4[[#This Row],[Nov_2026_Days_Actual]]*Table4[[#This Row],[Cost Boolean]]*(VLOOKUP(Table4[[#This Row],[RATE CONCAT]],Tables!I:N,5,0)),0)</f>
        <v/>
      </c>
      <c r="DG22" s="345">
        <f>Table4[[#This Row],[Nov_2026_F]]-Table4[[#This Row],[Nov_2026_A]]</f>
        <v/>
      </c>
      <c r="DH22" s="103" t="n"/>
      <c r="DI22" s="345">
        <f>IFERROR(Table4[[#This Row],[Dec_2026_Days_Forecast]]*Table4[[#This Row],[Cost Boolean]]*(VLOOKUP(Table4[[#This Row],[RATE CONCAT]],Tables!I:N,5,0)),0)</f>
        <v/>
      </c>
      <c r="DJ22" s="345">
        <f>IFERROR(Table4[[#This Row],[Dec_2026_Days_Actual]]*Table4[[#This Row],[Cost Boolean]]*(VLOOKUP(Table4[[#This Row],[RATE CONCAT]],Tables!I:N,5,0)),0)</f>
        <v/>
      </c>
      <c r="DK22" s="345">
        <f>Table4[[#This Row],[Dec_2026_F]]-Table4[[#This Row],[Dec_2026_A]]</f>
        <v/>
      </c>
      <c r="DL22" s="103" t="n"/>
      <c r="DM22" s="346" t="n"/>
      <c r="DN22" s="345">
        <f>IFERROR(Table4[[#This Row],[Jan_2027_Days_Forecast]]*Table4[[#This Row],[Cost Boolean]]*(VLOOKUP(Table4[[#This Row],[RATE CONCAT]],Tables!I:N,6,0)),0)</f>
        <v/>
      </c>
      <c r="DO22" s="275" t="n"/>
      <c r="DP22" s="345">
        <f>Table4[[#This Row],[Jan_2027_F]]-Table4[[#This Row],[Jan_2027_A]]</f>
        <v/>
      </c>
      <c r="DQ22" s="345">
        <f>IFERROR(Table4[[#This Row],[Feb_2027_Days_Forecast]]*Table4[[#This Row],[Cost Boolean]]*(VLOOKUP(Table4[[#This Row],[RATE CONCAT]],Tables!I:N,6,0)),0)</f>
        <v/>
      </c>
      <c r="DR22" s="275" t="n"/>
      <c r="DS22" s="345">
        <f>Table4[[#This Row],[Feb_2027_F]]-Table4[[#This Row],[Feb_2027_A]]</f>
        <v/>
      </c>
      <c r="DT22" s="345">
        <f>IFERROR(Table4[[#This Row],[Mar_2027_Days_Forecast]]*Table4[[#This Row],[Cost Boolean]]*(VLOOKUP(Table4[[#This Row],[RATE CONCAT]],Tables!I:N,6,0)),0)</f>
        <v/>
      </c>
      <c r="DU22" s="275" t="n"/>
      <c r="DV22" s="345">
        <f>Table4[[#This Row],[Mar_2027_F]]-Table4[[#This Row],[Mar_2027_A]]</f>
        <v/>
      </c>
      <c r="DW22" s="345">
        <f>IFERROR(Table4[[#This Row],[Apr_2027_Days_Forecast]]*Table4[[#This Row],[Cost Boolean]]*(VLOOKUP(Table4[[#This Row],[RATE CONCAT]],Tables!I:N,6,0)),0)</f>
        <v/>
      </c>
      <c r="DX22" s="275" t="n"/>
      <c r="DY22" s="345">
        <f>Table4[[#This Row],[Apr_2027_F]]-Table4[[#This Row],[Apr_2027_A]]</f>
        <v/>
      </c>
      <c r="DZ22" s="345">
        <f>IFERROR(Table4[[#This Row],[May_2027_Days_Forecast]]*Table4[[#This Row],[Cost Boolean]]*(VLOOKUP(Table4[[#This Row],[RATE CONCAT]],Tables!I:N,6,0)),0)</f>
        <v/>
      </c>
      <c r="EA22" s="275" t="n"/>
      <c r="EB22" s="345">
        <f>Table4[[#This Row],[May_2027_F]]-Table4[[#This Row],[May_2027_A]]</f>
        <v/>
      </c>
      <c r="EC22" s="345">
        <f>IFERROR(Table4[[#This Row],[Jun_2027_Days_Forecast]]*Table4[[#This Row],[Cost Boolean]]*(VLOOKUP(Table4[[#This Row],[RATE CONCAT]],Tables!I:N,6,0)),0)</f>
        <v/>
      </c>
      <c r="ED22" s="275" t="n"/>
      <c r="EE22" s="345">
        <f>Table4[[#This Row],[Jun_2027_F]]-Table4[[#This Row],[Jun_2027_A]]</f>
        <v/>
      </c>
      <c r="EF22" s="345">
        <f>IFERROR(Table4[[#This Row],[Jul_2027_Days_Forecast]]*Table4[[#This Row],[Cost Boolean]]*(VLOOKUP(Table4[[#This Row],[RATE CONCAT]],Tables!I:N,6,0)),0)</f>
        <v/>
      </c>
      <c r="EG22" s="275" t="n"/>
      <c r="EH22" s="345">
        <f>Table4[[#This Row],[Jul_2027_F]]-Table4[[#This Row],[Jul_2027_A]]</f>
        <v/>
      </c>
      <c r="EI22" s="345">
        <f>IFERROR(Table4[[#This Row],[Aug_2027_Days_Forecast]]*Table4[[#This Row],[Cost Boolean]]*(VLOOKUP(Table4[[#This Row],[RATE CONCAT]],Tables!I:N,6,0)),0)</f>
        <v/>
      </c>
      <c r="EJ22" s="275" t="n"/>
      <c r="EK22" s="345">
        <f>Table4[[#This Row],[Aug_2027_F]]-Table4[[#This Row],[Aug_2027_A]]</f>
        <v/>
      </c>
      <c r="EL22" s="345">
        <f>IFERROR(Table4[[#This Row],[Sep_2027_Days_Forecast]]*Table4[[#This Row],[Cost Boolean]]*(VLOOKUP(Table4[[#This Row],[RATE CONCAT]],Tables!I:N,6,0)),0)</f>
        <v/>
      </c>
      <c r="EM22" s="275" t="n"/>
      <c r="EN22" s="345">
        <f>Table4[[#This Row],[Sep_2027_F]]-Table4[[#This Row],[Sep_2027_A]]</f>
        <v/>
      </c>
      <c r="EO22" s="345">
        <f>IFERROR(Table4[[#This Row],[Oct_2027_Days_Forecast]]*Table4[[#This Row],[Cost Boolean]]*(VLOOKUP(Table4[[#This Row],[RATE CONCAT]],Tables!I:N,6,0)),0)</f>
        <v/>
      </c>
      <c r="EP22" s="275" t="n"/>
      <c r="EQ22" s="345">
        <f>Table4[[#This Row],[Oct_2027_F]]-Table4[[#This Row],[Oct_2027_A]]</f>
        <v/>
      </c>
      <c r="ER22" s="345">
        <f>IFERROR(Table4[[#This Row],[Nov_2027_Days_Forecast]]*Table4[[#This Row],[Cost Boolean]]*(VLOOKUP(Table4[[#This Row],[RATE CONCAT]],Tables!I:N,6,0)),0)</f>
        <v/>
      </c>
      <c r="ES22" s="275" t="n"/>
      <c r="ET22" s="345">
        <f>Table4[[#This Row],[Nov_2027_F]]-Table4[[#This Row],[Nov_2027_A]]</f>
        <v/>
      </c>
      <c r="EU22" s="345">
        <f>IFERROR(Table4[[#This Row],[Dec_2027_Days_Forecast]]*Table4[[#This Row],[Cost Boolean]]*(VLOOKUP(Table4[[#This Row],[RATE CONCAT]],Tables!I:N,6,0)),0)</f>
        <v/>
      </c>
      <c r="EV22" s="275" t="n"/>
      <c r="EW22" s="345">
        <f>Table4[[#This Row],[Dec_2027_F]]-Table4[[#This Row],[Dec_2027_A]]</f>
        <v/>
      </c>
    </row>
    <row r="23" ht="15" customHeight="1">
      <c r="A23" s="132" t="n"/>
      <c r="B23" s="132" t="n"/>
      <c r="C23" s="132" t="n"/>
      <c r="D23" s="132" t="n"/>
      <c r="E23" s="132" t="n"/>
      <c r="F23" s="132" t="n"/>
      <c r="G23" s="132" t="n"/>
      <c r="H23" s="132" t="n"/>
      <c r="I23" s="132" t="n"/>
      <c r="J23" s="132" t="n"/>
      <c r="K23" s="132" t="n"/>
      <c r="L23" s="132" t="n"/>
      <c r="M23" s="132" t="n"/>
      <c r="N23" s="132" t="n"/>
      <c r="O23" s="132" t="n"/>
      <c r="P23" s="132" t="n"/>
      <c r="Q23" s="132" t="n"/>
      <c r="R23" s="354" t="n"/>
      <c r="S23" s="354" t="n"/>
      <c r="T23" s="354" t="n"/>
      <c r="U23" s="354" t="n"/>
      <c r="V23" s="354" t="n"/>
      <c r="W23" s="354" t="n"/>
      <c r="X23" s="13" t="n"/>
      <c r="Y23" s="350">
        <f>CONCATENATE(Table4[[#This Row],[JG]],Table4[[#This Row],[Country]],Table4[[#This Row],[Resource Provider]])</f>
        <v/>
      </c>
      <c r="Z23" s="350">
        <f>VLOOKUP(Table4[[#This Row],[RATE CONCAT]],Tables!I:N,5,0)</f>
        <v/>
      </c>
      <c r="AA23" s="53" t="n"/>
      <c r="AB23" s="192" t="n"/>
      <c r="AC23" s="192" t="n"/>
      <c r="AD23" s="192" t="n"/>
      <c r="AE23" s="192" t="n"/>
      <c r="AF23" s="192" t="n"/>
      <c r="AG23" s="192" t="n"/>
      <c r="AH23" s="192" t="n"/>
      <c r="AI23" s="192" t="n"/>
      <c r="AJ23" s="192" t="n"/>
      <c r="AK23" s="16" t="n"/>
      <c r="AL23" s="16" t="n"/>
      <c r="AM23" s="16" t="n"/>
      <c r="AN23" s="353">
        <f>IFERROR(AVERAGE(Table4[[#This Row],[Jan_2026_Days_Forecast]:[Dec_2026_Days_Forecast]]),0)/19</f>
        <v/>
      </c>
      <c r="AO23" s="353">
        <f>IFERROR(AVERAGE(Table4[[#This Row],[Jan_2026_Days_Actual]:[Dec_2026_Days_Actual]]),0)/19</f>
        <v/>
      </c>
      <c r="AP23" s="84" t="n"/>
      <c r="AQ23" s="84" t="n"/>
      <c r="AR23" s="84" t="n"/>
      <c r="AS23" s="84" t="n"/>
      <c r="AT23" s="84" t="n"/>
      <c r="AU23" s="84" t="n"/>
      <c r="AV23" s="84" t="n"/>
      <c r="AW23" s="84" t="n"/>
      <c r="AX23" s="84" t="n"/>
      <c r="AY23" s="84" t="n"/>
      <c r="AZ23" s="84" t="n"/>
      <c r="BA23" s="84" t="n"/>
      <c r="BB23" s="353">
        <f>IFERROR(AVERAGE(Table4[[#This Row],[Jan_2027_Days_Forecast]:[Dec_2027_Days_Forecast]]),0)</f>
        <v/>
      </c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55" t="n"/>
      <c r="BP23" s="346" t="n"/>
      <c r="BQ23" s="347">
        <f>Table4[[#This Row],[Jan_2026_Days_Forecast]]*Table4[[#This Row],[Cost Boolean]]*VLOOKUP(Table4[[#This Row],[RATE CONCAT]],Tables!I:N,5,0)</f>
        <v/>
      </c>
      <c r="BR23" s="347">
        <f>IFERROR(Table4[[#This Row],[Jan_2026_Days_Actual]]*Table4[[#This Row],[Cost Boolean]]*(VLOOKUP(Table4[[#This Row],[RATE CONCAT]],Tables!I:N,5,0)),0)</f>
        <v/>
      </c>
      <c r="BS23" s="347">
        <f>Table4[[#This Row],[Jan_2026_F]]-Table4[[#This Row],[Jan_2026_A]]</f>
        <v/>
      </c>
      <c r="BT23" s="107" t="n"/>
      <c r="BU23" s="347">
        <f>IFERROR(Table4[[#This Row],[Feb_2026_Days_Forecast]]*Table4[[#This Row],[Cost Boolean]]*(VLOOKUP(Table4[[#This Row],[RATE CONCAT]],Tables!I:N,5,0)),0)</f>
        <v/>
      </c>
      <c r="BV23" s="347">
        <f>IFERROR(Table4[[#This Row],[Feb_2026_Days_Actual]]*Table4[[#This Row],[Cost Boolean]]*(VLOOKUP(Table4[[#This Row],[RATE CONCAT]],Tables!I:N,5,0)),0)</f>
        <v/>
      </c>
      <c r="BW23" s="347">
        <f>Table4[[#This Row],[Feb_2026_F]]-Table4[[#This Row],[Feb_2026_A]]</f>
        <v/>
      </c>
      <c r="BX23" s="103" t="n"/>
      <c r="BY23" s="347">
        <f>IFERROR(Table4[[#This Row],[Mar_2026_Days_Forecast]]*Table4[[#This Row],[Cost Boolean]]*(VLOOKUP(Table4[[#This Row],[RATE CONCAT]],Tables!I:N,5,0)),0)</f>
        <v/>
      </c>
      <c r="BZ23" s="347">
        <f>IFERROR(Table4[[#This Row],[Mar_2026_Days_Actual]]*Table4[[#This Row],[Cost Boolean]]*(VLOOKUP(Table4[[#This Row],[RATE CONCAT]],Tables!I:N,5,0)),0)</f>
        <v/>
      </c>
      <c r="CA23" s="347">
        <f>Table4[[#This Row],[Mar_2026_F]]-Table4[[#This Row],[Mar_2026_A]]</f>
        <v/>
      </c>
      <c r="CB23" s="103" t="n"/>
      <c r="CC23" s="347">
        <f>IFERROR(Table4[[#This Row],[Apr_2026_Days_Forecast]]*Table4[[#This Row],[Cost Boolean]]*(VLOOKUP(Table4[[#This Row],[RATE CONCAT]],Tables!I:N,5,0)),0)</f>
        <v/>
      </c>
      <c r="CD23" s="347">
        <f>IFERROR(Table4[[#This Row],[Apr_2026_Days_Actual]]*Table4[[#This Row],[Cost Boolean]]*(VLOOKUP(Table4[[#This Row],[RATE CONCAT]],Tables!I:N,5,0)),0)</f>
        <v/>
      </c>
      <c r="CE23" s="347">
        <f>Table4[[#This Row],[Apr_2026_F]]-Table4[[#This Row],[Apr_2026_A]]</f>
        <v/>
      </c>
      <c r="CF23" s="103" t="n"/>
      <c r="CG23" s="347">
        <f>IFERROR(Table4[[#This Row],[May_2026_Days_Forecast]] *Table4[[#This Row],[Cost Boolean]]*(VLOOKUP(Table4[[#This Row],[RATE CONCAT]],Tables!I:N,5,0)),0)</f>
        <v/>
      </c>
      <c r="CH23" s="347">
        <f>IFERROR(Table4[[#This Row],[May_2026_Days_Actual]]*Table4[[#This Row],[Cost Boolean]]*(VLOOKUP(Table4[[#This Row],[RATE CONCAT]],Tables!I:N,5,0)),0)</f>
        <v/>
      </c>
      <c r="CI23" s="347">
        <f>Table4[[#This Row],[May_2026_F]]-Table4[[#This Row],[May_2026_A]]</f>
        <v/>
      </c>
      <c r="CJ23" s="103" t="n"/>
      <c r="CK23" s="347">
        <f>IFERROR(Table4[[#This Row],[Jun_2026_Days_Forecast]]*Table4[[#This Row],[Cost Boolean]]*(VLOOKUP(Table4[[#This Row],[RATE CONCAT]],Tables!I:N,5,0)),0)</f>
        <v/>
      </c>
      <c r="CL23" s="347">
        <f>IFERROR(Table4[[#This Row],[Jun_2026_Days_Actual]]*Table4[[#This Row],[Cost Boolean]]*(VLOOKUP(Table4[[#This Row],[RATE CONCAT]],Tables!I:N,5,0)),0)</f>
        <v/>
      </c>
      <c r="CM23" s="347">
        <f>Table4[[#This Row],[Jun_2026_F]]-Table4[[#This Row],[Jun_2026_A]]</f>
        <v/>
      </c>
      <c r="CN23" s="103" t="n"/>
      <c r="CO23" s="347">
        <f>IFERROR(Table4[[#This Row],[Jul_2026_Days_Forecast]]*Table4[[#This Row],[Cost Boolean]]*(VLOOKUP(Table4[[#This Row],[RATE CONCAT]],Tables!I:N,5,0)),0)</f>
        <v/>
      </c>
      <c r="CP23" s="347">
        <f>IFERROR(Table4[[#This Row],[Aug_2026_Days_Forecast]]*Table4[[#This Row],[Location]]*(VLOOKUP(Table4[[#This Row],[Rate]],Tables!J:O,5,0)),0)</f>
        <v/>
      </c>
      <c r="CQ23" s="347">
        <f>Table4[[#This Row],[Jul_2026_F]]-Table4[[#This Row],[Jul_2026_A]]</f>
        <v/>
      </c>
      <c r="CR23" s="103" t="n"/>
      <c r="CS23" s="347">
        <f>IFERROR(Table4[[#This Row],[Aug_2026_Days_Forecast]]*Table4[[#This Row],[Cost Boolean]]*(VLOOKUP(Table4[[#This Row],[RATE CONCAT]],Tables!I:N,5,0)),0)</f>
        <v/>
      </c>
      <c r="CT23" s="347">
        <f>IFERROR(Table4[[#This Row],[Aug_2026_Days_Actual]]*Table4[[#This Row],[Cost Boolean]]*(VLOOKUP(Table4[[#This Row],[RATE CONCAT]],Tables!I:N,5,0)),0)</f>
        <v/>
      </c>
      <c r="CU23" s="347">
        <f>Table4[[#This Row],[Aug_2026_F]]-Table4[[#This Row],[Aug_2026_A]]</f>
        <v/>
      </c>
      <c r="CV23" s="103" t="n"/>
      <c r="CW23" s="347">
        <f>IFERROR(Table4[[#This Row],[Sep_2026_Days_Forecast]]*Table4[[#This Row],[Cost Boolean]]*(VLOOKUP(Table4[[#This Row],[RATE CONCAT]],Tables!I:N,5,0)),0)</f>
        <v/>
      </c>
      <c r="CX23" s="347">
        <f>IFERROR(Table4[[#This Row],[Sep_2026_Days_Actual]]*Table4[[#This Row],[Cost Boolean]]*(VLOOKUP(Table4[[#This Row],[RATE CONCAT]],Tables!I:N,5,0)),0)</f>
        <v/>
      </c>
      <c r="CY23" s="347">
        <f>Table4[[#This Row],[Sep_2026_F]]-Table4[[#This Row],[Sep_2026_A]]</f>
        <v/>
      </c>
      <c r="CZ23" s="103" t="n"/>
      <c r="DA23" s="347">
        <f>IFERROR(Table4[[#This Row],[Oct_2026_Days_Forecast]]*Table4[[#This Row],[Cost Boolean]]*(VLOOKUP(Table4[[#This Row],[RATE CONCAT]],Tables!I:N,5,0)),0)</f>
        <v/>
      </c>
      <c r="DB23" s="347">
        <f>IFERROR(Table4[[#This Row],[Oct_2026_Days_Actual]]*Table4[[#This Row],[Cost Boolean]]*(VLOOKUP(Table4[[#This Row],[RATE CONCAT]],Tables!I:N,5,0)),0)</f>
        <v/>
      </c>
      <c r="DC23" s="347">
        <f>Table4[[#This Row],[Oct_2026_F]]-Table4[[#This Row],[Oct_2026_A]]</f>
        <v/>
      </c>
      <c r="DD23" s="103" t="n"/>
      <c r="DE23" s="347">
        <f>IFERROR(Table4[[#This Row],[Nov_2026_Days_Forecast]]*Table4[[#This Row],[Cost Boolean]]*(VLOOKUP(Table4[[#This Row],[RATE CONCAT]],Tables!I:N,5,0)),0)</f>
        <v/>
      </c>
      <c r="DF23" s="347">
        <f>IFERROR(Table4[[#This Row],[Nov_2026_Days_Actual]]*Table4[[#This Row],[Cost Boolean]]*(VLOOKUP(Table4[[#This Row],[RATE CONCAT]],Tables!I:N,5,0)),0)</f>
        <v/>
      </c>
      <c r="DG23" s="347">
        <f>Table4[[#This Row],[Nov_2026_F]]-Table4[[#This Row],[Nov_2026_A]]</f>
        <v/>
      </c>
      <c r="DH23" s="103" t="n"/>
      <c r="DI23" s="347">
        <f>IFERROR(Table4[[#This Row],[Dec_2026_Days_Forecast]]*Table4[[#This Row],[Cost Boolean]]*(VLOOKUP(Table4[[#This Row],[RATE CONCAT]],Tables!I:N,5,0)),0)</f>
        <v/>
      </c>
      <c r="DJ23" s="347">
        <f>IFERROR(Table4[[#This Row],[Dec_2026_Days_Actual]]*Table4[[#This Row],[Cost Boolean]]*(VLOOKUP(Table4[[#This Row],[RATE CONCAT]],Tables!I:N,5,0)),0)</f>
        <v/>
      </c>
      <c r="DK23" s="347">
        <f>Table4[[#This Row],[Dec_2026_F]]-Table4[[#This Row],[Dec_2026_A]]</f>
        <v/>
      </c>
      <c r="DL23" s="103" t="n"/>
      <c r="DM23" s="346" t="n"/>
      <c r="DN23" s="347">
        <f>IFERROR(Table4[[#This Row],[Jan_2027_Days_Forecast]]*Table4[[#This Row],[Cost Boolean]]*(VLOOKUP(Table4[[#This Row],[RATE CONCAT]],Tables!I:N,6,0)),0)</f>
        <v/>
      </c>
      <c r="DO23" s="275" t="n"/>
      <c r="DP23" s="347">
        <f>Table4[[#This Row],[Jan_2027_F]]-Table4[[#This Row],[Jan_2027_A]]</f>
        <v/>
      </c>
      <c r="DQ23" s="347">
        <f>IFERROR(Table4[[#This Row],[Feb_2027_Days_Forecast]]*Table4[[#This Row],[Cost Boolean]]*(VLOOKUP(Table4[[#This Row],[RATE CONCAT]],Tables!I:N,6,0)),0)</f>
        <v/>
      </c>
      <c r="DR23" s="275" t="n"/>
      <c r="DS23" s="347">
        <f>Table4[[#This Row],[Feb_2027_F]]-Table4[[#This Row],[Feb_2027_A]]</f>
        <v/>
      </c>
      <c r="DT23" s="347">
        <f>IFERROR(Table4[[#This Row],[Mar_2027_Days_Forecast]]*Table4[[#This Row],[Cost Boolean]]*(VLOOKUP(Table4[[#This Row],[RATE CONCAT]],Tables!I:N,6,0)),0)</f>
        <v/>
      </c>
      <c r="DU23" s="275" t="n"/>
      <c r="DV23" s="347">
        <f>Table4[[#This Row],[Mar_2027_F]]-Table4[[#This Row],[Mar_2027_A]]</f>
        <v/>
      </c>
      <c r="DW23" s="347">
        <f>IFERROR(Table4[[#This Row],[Apr_2027_Days_Forecast]]*Table4[[#This Row],[Cost Boolean]]*(VLOOKUP(Table4[[#This Row],[RATE CONCAT]],Tables!I:N,6,0)),0)</f>
        <v/>
      </c>
      <c r="DX23" s="275" t="n"/>
      <c r="DY23" s="347">
        <f>Table4[[#This Row],[Apr_2027_F]]-Table4[[#This Row],[Apr_2027_A]]</f>
        <v/>
      </c>
      <c r="DZ23" s="347">
        <f>IFERROR(Table4[[#This Row],[May_2027_Days_Forecast]]*Table4[[#This Row],[Cost Boolean]]*(VLOOKUP(Table4[[#This Row],[RATE CONCAT]],Tables!I:N,6,0)),0)</f>
        <v/>
      </c>
      <c r="EA23" s="275" t="n"/>
      <c r="EB23" s="347">
        <f>Table4[[#This Row],[May_2027_F]]-Table4[[#This Row],[May_2027_A]]</f>
        <v/>
      </c>
      <c r="EC23" s="347">
        <f>IFERROR(Table4[[#This Row],[Jun_2027_Days_Forecast]]*Table4[[#This Row],[Cost Boolean]]*(VLOOKUP(Table4[[#This Row],[RATE CONCAT]],Tables!I:N,6,0)),0)</f>
        <v/>
      </c>
      <c r="ED23" s="275" t="n"/>
      <c r="EE23" s="347">
        <f>Table4[[#This Row],[Jun_2027_F]]-Table4[[#This Row],[Jun_2027_A]]</f>
        <v/>
      </c>
      <c r="EF23" s="347">
        <f>IFERROR(Table4[[#This Row],[Jul_2027_Days_Forecast]]*Table4[[#This Row],[Cost Boolean]]*(VLOOKUP(Table4[[#This Row],[RATE CONCAT]],Tables!I:N,6,0)),0)</f>
        <v/>
      </c>
      <c r="EG23" s="275" t="n"/>
      <c r="EH23" s="347">
        <f>Table4[[#This Row],[Jul_2027_F]]-Table4[[#This Row],[Jul_2027_A]]</f>
        <v/>
      </c>
      <c r="EI23" s="347">
        <f>IFERROR(Table4[[#This Row],[Aug_2027_Days_Forecast]]*Table4[[#This Row],[Cost Boolean]]*(VLOOKUP(Table4[[#This Row],[RATE CONCAT]],Tables!I:N,6,0)),0)</f>
        <v/>
      </c>
      <c r="EJ23" s="275" t="n"/>
      <c r="EK23" s="347">
        <f>Table4[[#This Row],[Aug_2027_F]]-Table4[[#This Row],[Aug_2027_A]]</f>
        <v/>
      </c>
      <c r="EL23" s="347">
        <f>IFERROR(Table4[[#This Row],[Sep_2027_Days_Forecast]]*Table4[[#This Row],[Cost Boolean]]*(VLOOKUP(Table4[[#This Row],[RATE CONCAT]],Tables!I:N,6,0)),0)</f>
        <v/>
      </c>
      <c r="EM23" s="275" t="n"/>
      <c r="EN23" s="347">
        <f>Table4[[#This Row],[Sep_2027_F]]-Table4[[#This Row],[Sep_2027_A]]</f>
        <v/>
      </c>
      <c r="EO23" s="347">
        <f>IFERROR(Table4[[#This Row],[Oct_2027_Days_Forecast]]*Table4[[#This Row],[Cost Boolean]]*(VLOOKUP(Table4[[#This Row],[RATE CONCAT]],Tables!I:N,6,0)),0)</f>
        <v/>
      </c>
      <c r="EP23" s="275" t="n"/>
      <c r="EQ23" s="347">
        <f>Table4[[#This Row],[Oct_2027_F]]-Table4[[#This Row],[Oct_2027_A]]</f>
        <v/>
      </c>
      <c r="ER23" s="347">
        <f>IFERROR(Table4[[#This Row],[Nov_2027_Days_Forecast]]*Table4[[#This Row],[Cost Boolean]]*(VLOOKUP(Table4[[#This Row],[RATE CONCAT]],Tables!I:N,6,0)),0)</f>
        <v/>
      </c>
      <c r="ES23" s="275" t="n"/>
      <c r="ET23" s="347">
        <f>Table4[[#This Row],[Nov_2027_F]]-Table4[[#This Row],[Nov_2027_A]]</f>
        <v/>
      </c>
      <c r="EU23" s="347">
        <f>IFERROR(Table4[[#This Row],[Dec_2027_Days_Forecast]]*Table4[[#This Row],[Cost Boolean]]*(VLOOKUP(Table4[[#This Row],[RATE CONCAT]],Tables!I:N,6,0)),0)</f>
        <v/>
      </c>
      <c r="EV23" s="275" t="n"/>
      <c r="EW23" s="347">
        <f>Table4[[#This Row],[Dec_2027_F]]-Table4[[#This Row],[Dec_2027_A]]</f>
        <v/>
      </c>
    </row>
    <row r="24" ht="15" customHeight="1">
      <c r="A24" s="132" t="n"/>
      <c r="B24" s="132" t="n"/>
      <c r="C24" s="132" t="n"/>
      <c r="D24" s="132" t="n"/>
      <c r="E24" s="132" t="n"/>
      <c r="F24" s="132" t="n"/>
      <c r="G24" s="132" t="n"/>
      <c r="H24" s="132" t="n"/>
      <c r="I24" s="132" t="n"/>
      <c r="J24" s="132" t="n"/>
      <c r="K24" s="132" t="n"/>
      <c r="L24" s="132" t="n"/>
      <c r="M24" s="132" t="n"/>
      <c r="N24" s="132" t="n"/>
      <c r="O24" s="132" t="n"/>
      <c r="P24" s="132" t="n"/>
      <c r="Q24" s="132" t="n"/>
      <c r="R24" s="354" t="n"/>
      <c r="S24" s="354" t="n"/>
      <c r="T24" s="354" t="n"/>
      <c r="U24" s="354" t="n"/>
      <c r="V24" s="354" t="n"/>
      <c r="W24" s="354" t="n"/>
      <c r="X24" s="13" t="n"/>
      <c r="Y24" s="350">
        <f>CONCATENATE(Table4[[#This Row],[JG]],Table4[[#This Row],[Country]],Table4[[#This Row],[Resource Provider]])</f>
        <v/>
      </c>
      <c r="Z24" s="350">
        <f>VLOOKUP(Table4[[#This Row],[RATE CONCAT]],Tables!I:N,5,0)</f>
        <v/>
      </c>
      <c r="AA24" s="53" t="n"/>
      <c r="AB24" s="192" t="n"/>
      <c r="AC24" s="192" t="n"/>
      <c r="AD24" s="192" t="n"/>
      <c r="AE24" s="192" t="n"/>
      <c r="AF24" s="192" t="n"/>
      <c r="AG24" s="192" t="n"/>
      <c r="AH24" s="192" t="n"/>
      <c r="AI24" s="192" t="n"/>
      <c r="AJ24" s="192" t="n"/>
      <c r="AK24" s="16" t="n"/>
      <c r="AL24" s="16" t="n"/>
      <c r="AM24" s="16" t="n"/>
      <c r="AN24" s="353">
        <f>IFERROR(AVERAGE(Table4[[#This Row],[Jan_2026_Days_Forecast]:[Dec_2026_Days_Forecast]]),0)/19</f>
        <v/>
      </c>
      <c r="AO24" s="353">
        <f>IFERROR(AVERAGE(Table4[[#This Row],[Jan_2026_Days_Actual]:[Dec_2026_Days_Actual]]),0)/19</f>
        <v/>
      </c>
      <c r="AP24" s="84" t="n"/>
      <c r="AQ24" s="84" t="n"/>
      <c r="AR24" s="84" t="n"/>
      <c r="AS24" s="84" t="n"/>
      <c r="AT24" s="84" t="n"/>
      <c r="AU24" s="84" t="n"/>
      <c r="AV24" s="84" t="n"/>
      <c r="AW24" s="84" t="n"/>
      <c r="AX24" s="84" t="n"/>
      <c r="AY24" s="84" t="n"/>
      <c r="AZ24" s="84" t="n"/>
      <c r="BA24" s="84" t="n"/>
      <c r="BB24" s="353">
        <f>IFERROR(AVERAGE(Table4[[#This Row],[Jan_2027_Days_Forecast]:[Dec_2027_Days_Forecast]]),0)</f>
        <v/>
      </c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6" t="n"/>
      <c r="BM24" s="16" t="n"/>
      <c r="BN24" s="16" t="n"/>
      <c r="BO24" s="55" t="n"/>
      <c r="BP24" s="346" t="n"/>
      <c r="BQ24" s="345">
        <f>Table4[[#This Row],[Jan_2026_Days_Forecast]]*Table4[[#This Row],[Cost Boolean]]*VLOOKUP(Table4[[#This Row],[RATE CONCAT]],Tables!I:N,5,0)</f>
        <v/>
      </c>
      <c r="BR24" s="345">
        <f>IFERROR(Table4[[#This Row],[Jan_2026_Days_Actual]]*Table4[[#This Row],[Cost Boolean]]*(VLOOKUP(Table4[[#This Row],[RATE CONCAT]],Tables!I:N,5,0)),0)</f>
        <v/>
      </c>
      <c r="BS24" s="345">
        <f>Table4[[#This Row],[Jan_2026_F]]-Table4[[#This Row],[Jan_2026_A]]</f>
        <v/>
      </c>
      <c r="BT24" s="107" t="n"/>
      <c r="BU24" s="345">
        <f>IFERROR(Table4[[#This Row],[Feb_2026_Days_Forecast]]*Table4[[#This Row],[Cost Boolean]]*(VLOOKUP(Table4[[#This Row],[RATE CONCAT]],Tables!I:N,5,0)),0)</f>
        <v/>
      </c>
      <c r="BV24" s="345">
        <f>IFERROR(Table4[[#This Row],[Feb_2026_Days_Actual]]*Table4[[#This Row],[Cost Boolean]]*(VLOOKUP(Table4[[#This Row],[RATE CONCAT]],Tables!I:N,5,0)),0)</f>
        <v/>
      </c>
      <c r="BW24" s="345">
        <f>Table4[[#This Row],[Feb_2026_F]]-Table4[[#This Row],[Feb_2026_A]]</f>
        <v/>
      </c>
      <c r="BX24" s="103" t="n"/>
      <c r="BY24" s="345">
        <f>IFERROR(Table4[[#This Row],[Mar_2026_Days_Forecast]]*Table4[[#This Row],[Cost Boolean]]*(VLOOKUP(Table4[[#This Row],[RATE CONCAT]],Tables!I:N,5,0)),0)</f>
        <v/>
      </c>
      <c r="BZ24" s="345">
        <f>IFERROR(Table4[[#This Row],[Mar_2026_Days_Actual]]*Table4[[#This Row],[Cost Boolean]]*(VLOOKUP(Table4[[#This Row],[RATE CONCAT]],Tables!I:N,5,0)),0)</f>
        <v/>
      </c>
      <c r="CA24" s="345">
        <f>Table4[[#This Row],[Mar_2026_F]]-Table4[[#This Row],[Mar_2026_A]]</f>
        <v/>
      </c>
      <c r="CB24" s="103" t="n"/>
      <c r="CC24" s="345">
        <f>IFERROR(Table4[[#This Row],[Apr_2026_Days_Forecast]]*Table4[[#This Row],[Cost Boolean]]*(VLOOKUP(Table4[[#This Row],[RATE CONCAT]],Tables!I:N,5,0)),0)</f>
        <v/>
      </c>
      <c r="CD24" s="345">
        <f>IFERROR(Table4[[#This Row],[Apr_2026_Days_Actual]]*Table4[[#This Row],[Cost Boolean]]*(VLOOKUP(Table4[[#This Row],[RATE CONCAT]],Tables!I:N,5,0)),0)</f>
        <v/>
      </c>
      <c r="CE24" s="345">
        <f>Table4[[#This Row],[Apr_2026_F]]-Table4[[#This Row],[Apr_2026_A]]</f>
        <v/>
      </c>
      <c r="CF24" s="103" t="n"/>
      <c r="CG24" s="345">
        <f>IFERROR(Table4[[#This Row],[May_2026_Days_Forecast]] *Table4[[#This Row],[Cost Boolean]]*(VLOOKUP(Table4[[#This Row],[RATE CONCAT]],Tables!I:N,5,0)),0)</f>
        <v/>
      </c>
      <c r="CH24" s="345">
        <f>IFERROR(Table4[[#This Row],[May_2026_Days_Actual]]*Table4[[#This Row],[Cost Boolean]]*(VLOOKUP(Table4[[#This Row],[RATE CONCAT]],Tables!I:N,5,0)),0)</f>
        <v/>
      </c>
      <c r="CI24" s="345">
        <f>Table4[[#This Row],[May_2026_F]]-Table4[[#This Row],[May_2026_A]]</f>
        <v/>
      </c>
      <c r="CJ24" s="103" t="n"/>
      <c r="CK24" s="345">
        <f>IFERROR(Table4[[#This Row],[Jun_2026_Days_Forecast]]*Table4[[#This Row],[Cost Boolean]]*(VLOOKUP(Table4[[#This Row],[RATE CONCAT]],Tables!I:N,5,0)),0)</f>
        <v/>
      </c>
      <c r="CL24" s="345">
        <f>IFERROR(Table4[[#This Row],[Jun_2026_Days_Actual]]*Table4[[#This Row],[Cost Boolean]]*(VLOOKUP(Table4[[#This Row],[RATE CONCAT]],Tables!I:N,5,0)),0)</f>
        <v/>
      </c>
      <c r="CM24" s="345">
        <f>Table4[[#This Row],[Jun_2026_F]]-Table4[[#This Row],[Jun_2026_A]]</f>
        <v/>
      </c>
      <c r="CN24" s="103" t="n"/>
      <c r="CO24" s="345">
        <f>IFERROR(Table4[[#This Row],[Jul_2026_Days_Forecast]]*Table4[[#This Row],[Cost Boolean]]*(VLOOKUP(Table4[[#This Row],[RATE CONCAT]],Tables!I:N,5,0)),0)</f>
        <v/>
      </c>
      <c r="CP24" s="345">
        <f>IFERROR(Table4[[#This Row],[Aug_2026_Days_Forecast]]*Table4[[#This Row],[Location]]*(VLOOKUP(Table4[[#This Row],[Rate]],Tables!J:O,5,0)),0)</f>
        <v/>
      </c>
      <c r="CQ24" s="345">
        <f>Table4[[#This Row],[Jul_2026_F]]-Table4[[#This Row],[Jul_2026_A]]</f>
        <v/>
      </c>
      <c r="CR24" s="103" t="n"/>
      <c r="CS24" s="345">
        <f>IFERROR(Table4[[#This Row],[Aug_2026_Days_Forecast]]*Table4[[#This Row],[Cost Boolean]]*(VLOOKUP(Table4[[#This Row],[RATE CONCAT]],Tables!I:N,5,0)),0)</f>
        <v/>
      </c>
      <c r="CT24" s="345">
        <f>IFERROR(Table4[[#This Row],[Aug_2026_Days_Actual]]*Table4[[#This Row],[Cost Boolean]]*(VLOOKUP(Table4[[#This Row],[RATE CONCAT]],Tables!I:N,5,0)),0)</f>
        <v/>
      </c>
      <c r="CU24" s="345">
        <f>Table4[[#This Row],[Aug_2026_F]]-Table4[[#This Row],[Aug_2026_A]]</f>
        <v/>
      </c>
      <c r="CV24" s="103" t="n"/>
      <c r="CW24" s="345">
        <f>IFERROR(Table4[[#This Row],[Sep_2026_Days_Forecast]]*Table4[[#This Row],[Cost Boolean]]*(VLOOKUP(Table4[[#This Row],[RATE CONCAT]],Tables!I:N,5,0)),0)</f>
        <v/>
      </c>
      <c r="CX24" s="345">
        <f>IFERROR(Table4[[#This Row],[Sep_2026_Days_Actual]]*Table4[[#This Row],[Cost Boolean]]*(VLOOKUP(Table4[[#This Row],[RATE CONCAT]],Tables!I:N,5,0)),0)</f>
        <v/>
      </c>
      <c r="CY24" s="345">
        <f>Table4[[#This Row],[Sep_2026_F]]-Table4[[#This Row],[Sep_2026_A]]</f>
        <v/>
      </c>
      <c r="CZ24" s="103" t="n"/>
      <c r="DA24" s="345">
        <f>IFERROR(Table4[[#This Row],[Oct_2026_Days_Forecast]]*Table4[[#This Row],[Cost Boolean]]*(VLOOKUP(Table4[[#This Row],[RATE CONCAT]],Tables!I:N,5,0)),0)</f>
        <v/>
      </c>
      <c r="DB24" s="345">
        <f>IFERROR(Table4[[#This Row],[Oct_2026_Days_Actual]]*Table4[[#This Row],[Cost Boolean]]*(VLOOKUP(Table4[[#This Row],[RATE CONCAT]],Tables!I:N,5,0)),0)</f>
        <v/>
      </c>
      <c r="DC24" s="345">
        <f>Table4[[#This Row],[Oct_2026_F]]-Table4[[#This Row],[Oct_2026_A]]</f>
        <v/>
      </c>
      <c r="DD24" s="103" t="n"/>
      <c r="DE24" s="345">
        <f>IFERROR(Table4[[#This Row],[Nov_2026_Days_Forecast]]*Table4[[#This Row],[Cost Boolean]]*(VLOOKUP(Table4[[#This Row],[RATE CONCAT]],Tables!I:N,5,0)),0)</f>
        <v/>
      </c>
      <c r="DF24" s="345">
        <f>IFERROR(Table4[[#This Row],[Nov_2026_Days_Actual]]*Table4[[#This Row],[Cost Boolean]]*(VLOOKUP(Table4[[#This Row],[RATE CONCAT]],Tables!I:N,5,0)),0)</f>
        <v/>
      </c>
      <c r="DG24" s="345">
        <f>Table4[[#This Row],[Nov_2026_F]]-Table4[[#This Row],[Nov_2026_A]]</f>
        <v/>
      </c>
      <c r="DH24" s="103" t="n"/>
      <c r="DI24" s="345">
        <f>IFERROR(Table4[[#This Row],[Dec_2026_Days_Forecast]]*Table4[[#This Row],[Cost Boolean]]*(VLOOKUP(Table4[[#This Row],[RATE CONCAT]],Tables!I:N,5,0)),0)</f>
        <v/>
      </c>
      <c r="DJ24" s="345">
        <f>IFERROR(Table4[[#This Row],[Dec_2026_Days_Actual]]*Table4[[#This Row],[Cost Boolean]]*(VLOOKUP(Table4[[#This Row],[RATE CONCAT]],Tables!I:N,5,0)),0)</f>
        <v/>
      </c>
      <c r="DK24" s="345">
        <f>Table4[[#This Row],[Dec_2026_F]]-Table4[[#This Row],[Dec_2026_A]]</f>
        <v/>
      </c>
      <c r="DL24" s="103" t="n"/>
      <c r="DM24" s="346" t="n"/>
      <c r="DN24" s="345">
        <f>IFERROR(Table4[[#This Row],[Jan_2027_Days_Forecast]]*Table4[[#This Row],[Cost Boolean]]*(VLOOKUP(Table4[[#This Row],[RATE CONCAT]],Tables!I:N,6,0)),0)</f>
        <v/>
      </c>
      <c r="DO24" s="275" t="n"/>
      <c r="DP24" s="345">
        <f>Table4[[#This Row],[Jan_2027_F]]-Table4[[#This Row],[Jan_2027_A]]</f>
        <v/>
      </c>
      <c r="DQ24" s="345">
        <f>IFERROR(Table4[[#This Row],[Feb_2027_Days_Forecast]]*Table4[[#This Row],[Cost Boolean]]*(VLOOKUP(Table4[[#This Row],[RATE CONCAT]],Tables!I:N,6,0)),0)</f>
        <v/>
      </c>
      <c r="DR24" s="275" t="n"/>
      <c r="DS24" s="345">
        <f>Table4[[#This Row],[Feb_2027_F]]-Table4[[#This Row],[Feb_2027_A]]</f>
        <v/>
      </c>
      <c r="DT24" s="345">
        <f>IFERROR(Table4[[#This Row],[Mar_2027_Days_Forecast]]*Table4[[#This Row],[Cost Boolean]]*(VLOOKUP(Table4[[#This Row],[RATE CONCAT]],Tables!I:N,6,0)),0)</f>
        <v/>
      </c>
      <c r="DU24" s="275" t="n"/>
      <c r="DV24" s="345">
        <f>Table4[[#This Row],[Mar_2027_F]]-Table4[[#This Row],[Mar_2027_A]]</f>
        <v/>
      </c>
      <c r="DW24" s="345">
        <f>IFERROR(Table4[[#This Row],[Apr_2027_Days_Forecast]]*Table4[[#This Row],[Cost Boolean]]*(VLOOKUP(Table4[[#This Row],[RATE CONCAT]],Tables!I:N,6,0)),0)</f>
        <v/>
      </c>
      <c r="DX24" s="275" t="n"/>
      <c r="DY24" s="345">
        <f>Table4[[#This Row],[Apr_2027_F]]-Table4[[#This Row],[Apr_2027_A]]</f>
        <v/>
      </c>
      <c r="DZ24" s="345">
        <f>IFERROR(Table4[[#This Row],[May_2027_Days_Forecast]]*Table4[[#This Row],[Cost Boolean]]*(VLOOKUP(Table4[[#This Row],[RATE CONCAT]],Tables!I:N,6,0)),0)</f>
        <v/>
      </c>
      <c r="EA24" s="275" t="n"/>
      <c r="EB24" s="345">
        <f>Table4[[#This Row],[May_2027_F]]-Table4[[#This Row],[May_2027_A]]</f>
        <v/>
      </c>
      <c r="EC24" s="345">
        <f>IFERROR(Table4[[#This Row],[Jun_2027_Days_Forecast]]*Table4[[#This Row],[Cost Boolean]]*(VLOOKUP(Table4[[#This Row],[RATE CONCAT]],Tables!I:N,6,0)),0)</f>
        <v/>
      </c>
      <c r="ED24" s="275" t="n"/>
      <c r="EE24" s="345">
        <f>Table4[[#This Row],[Jun_2027_F]]-Table4[[#This Row],[Jun_2027_A]]</f>
        <v/>
      </c>
      <c r="EF24" s="345">
        <f>IFERROR(Table4[[#This Row],[Jul_2027_Days_Forecast]]*Table4[[#This Row],[Cost Boolean]]*(VLOOKUP(Table4[[#This Row],[RATE CONCAT]],Tables!I:N,6,0)),0)</f>
        <v/>
      </c>
      <c r="EG24" s="275" t="n"/>
      <c r="EH24" s="345">
        <f>Table4[[#This Row],[Jul_2027_F]]-Table4[[#This Row],[Jul_2027_A]]</f>
        <v/>
      </c>
      <c r="EI24" s="345">
        <f>IFERROR(Table4[[#This Row],[Aug_2027_Days_Forecast]]*Table4[[#This Row],[Cost Boolean]]*(VLOOKUP(Table4[[#This Row],[RATE CONCAT]],Tables!I:N,6,0)),0)</f>
        <v/>
      </c>
      <c r="EJ24" s="275" t="n"/>
      <c r="EK24" s="345">
        <f>Table4[[#This Row],[Aug_2027_F]]-Table4[[#This Row],[Aug_2027_A]]</f>
        <v/>
      </c>
      <c r="EL24" s="345">
        <f>IFERROR(Table4[[#This Row],[Sep_2027_Days_Forecast]]*Table4[[#This Row],[Cost Boolean]]*(VLOOKUP(Table4[[#This Row],[RATE CONCAT]],Tables!I:N,6,0)),0)</f>
        <v/>
      </c>
      <c r="EM24" s="275" t="n"/>
      <c r="EN24" s="345">
        <f>Table4[[#This Row],[Sep_2027_F]]-Table4[[#This Row],[Sep_2027_A]]</f>
        <v/>
      </c>
      <c r="EO24" s="345">
        <f>IFERROR(Table4[[#This Row],[Oct_2027_Days_Forecast]]*Table4[[#This Row],[Cost Boolean]]*(VLOOKUP(Table4[[#This Row],[RATE CONCAT]],Tables!I:N,6,0)),0)</f>
        <v/>
      </c>
      <c r="EP24" s="275" t="n"/>
      <c r="EQ24" s="345">
        <f>Table4[[#This Row],[Oct_2027_F]]-Table4[[#This Row],[Oct_2027_A]]</f>
        <v/>
      </c>
      <c r="ER24" s="345">
        <f>IFERROR(Table4[[#This Row],[Nov_2027_Days_Forecast]]*Table4[[#This Row],[Cost Boolean]]*(VLOOKUP(Table4[[#This Row],[RATE CONCAT]],Tables!I:N,6,0)),0)</f>
        <v/>
      </c>
      <c r="ES24" s="275" t="n"/>
      <c r="ET24" s="345">
        <f>Table4[[#This Row],[Nov_2027_F]]-Table4[[#This Row],[Nov_2027_A]]</f>
        <v/>
      </c>
      <c r="EU24" s="345">
        <f>IFERROR(Table4[[#This Row],[Dec_2027_Days_Forecast]]*Table4[[#This Row],[Cost Boolean]]*(VLOOKUP(Table4[[#This Row],[RATE CONCAT]],Tables!I:N,6,0)),0)</f>
        <v/>
      </c>
      <c r="EV24" s="275" t="n"/>
      <c r="EW24" s="345">
        <f>Table4[[#This Row],[Dec_2027_F]]-Table4[[#This Row],[Dec_2027_A]]</f>
        <v/>
      </c>
    </row>
    <row r="25" ht="15" customHeight="1">
      <c r="A25" s="132" t="n"/>
      <c r="B25" s="132" t="n"/>
      <c r="C25" s="132" t="n"/>
      <c r="D25" s="132" t="n"/>
      <c r="E25" s="132" t="n"/>
      <c r="F25" s="132" t="n"/>
      <c r="G25" s="132" t="n"/>
      <c r="H25" s="132" t="n"/>
      <c r="I25" s="132" t="n"/>
      <c r="J25" s="132" t="n"/>
      <c r="K25" s="132" t="n"/>
      <c r="L25" s="132" t="n"/>
      <c r="M25" s="132" t="n"/>
      <c r="N25" s="132" t="n"/>
      <c r="O25" s="132" t="n"/>
      <c r="P25" s="132" t="n"/>
      <c r="Q25" s="132" t="n"/>
      <c r="R25" s="354" t="n"/>
      <c r="S25" s="354" t="n"/>
      <c r="T25" s="354" t="n"/>
      <c r="U25" s="354" t="n"/>
      <c r="V25" s="354" t="n"/>
      <c r="W25" s="354" t="n"/>
      <c r="X25" s="13" t="n"/>
      <c r="Y25" s="350">
        <f>CONCATENATE(Table4[[#This Row],[JG]],Table4[[#This Row],[Country]],Table4[[#This Row],[Resource Provider]])</f>
        <v/>
      </c>
      <c r="Z25" s="350">
        <f>VLOOKUP(Table4[[#This Row],[RATE CONCAT]],Tables!I:N,5,0)</f>
        <v/>
      </c>
      <c r="AA25" s="53" t="n"/>
      <c r="AB25" s="192" t="n"/>
      <c r="AC25" s="192" t="n"/>
      <c r="AD25" s="192" t="n"/>
      <c r="AE25" s="192" t="n"/>
      <c r="AF25" s="192" t="n"/>
      <c r="AG25" s="192" t="n"/>
      <c r="AH25" s="192" t="n"/>
      <c r="AI25" s="192" t="n"/>
      <c r="AJ25" s="192" t="n"/>
      <c r="AK25" s="16" t="n"/>
      <c r="AL25" s="16" t="n"/>
      <c r="AM25" s="16" t="n"/>
      <c r="AN25" s="353">
        <f>IFERROR(AVERAGE(Table4[[#This Row],[Jan_2026_Days_Forecast]:[Dec_2026_Days_Forecast]]),0)/19</f>
        <v/>
      </c>
      <c r="AO25" s="353">
        <f>IFERROR(AVERAGE(Table4[[#This Row],[Jan_2026_Days_Actual]:[Dec_2026_Days_Actual]]),0)/19</f>
        <v/>
      </c>
      <c r="AP25" s="84" t="n"/>
      <c r="AQ25" s="84" t="n"/>
      <c r="AR25" s="84" t="n"/>
      <c r="AS25" s="84" t="n"/>
      <c r="AT25" s="84" t="n"/>
      <c r="AU25" s="84" t="n"/>
      <c r="AV25" s="84" t="n"/>
      <c r="AW25" s="84" t="n"/>
      <c r="AX25" s="84" t="n"/>
      <c r="AY25" s="84" t="n"/>
      <c r="AZ25" s="84" t="n"/>
      <c r="BA25" s="84" t="n"/>
      <c r="BB25" s="353">
        <f>IFERROR(AVERAGE(Table4[[#This Row],[Jan_2027_Days_Forecast]:[Dec_2027_Days_Forecast]]),0)</f>
        <v/>
      </c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  <c r="BL25" s="16" t="n"/>
      <c r="BM25" s="16" t="n"/>
      <c r="BN25" s="16" t="n"/>
      <c r="BO25" s="55" t="n"/>
      <c r="BP25" s="346" t="n"/>
      <c r="BQ25" s="347">
        <f>Table4[[#This Row],[Jan_2026_Days_Forecast]]*Table4[[#This Row],[Cost Boolean]]*VLOOKUP(Table4[[#This Row],[RATE CONCAT]],Tables!I:N,5,0)</f>
        <v/>
      </c>
      <c r="BR25" s="347">
        <f>IFERROR(Table4[[#This Row],[Jan_2026_Days_Actual]]*Table4[[#This Row],[Cost Boolean]]*(VLOOKUP(Table4[[#This Row],[RATE CONCAT]],Tables!I:N,5,0)),0)</f>
        <v/>
      </c>
      <c r="BS25" s="347">
        <f>Table4[[#This Row],[Jan_2026_F]]-Table4[[#This Row],[Jan_2026_A]]</f>
        <v/>
      </c>
      <c r="BT25" s="107" t="n"/>
      <c r="BU25" s="347">
        <f>IFERROR(Table4[[#This Row],[Feb_2026_Days_Forecast]]*Table4[[#This Row],[Cost Boolean]]*(VLOOKUP(Table4[[#This Row],[RATE CONCAT]],Tables!I:N,5,0)),0)</f>
        <v/>
      </c>
      <c r="BV25" s="347">
        <f>IFERROR(Table4[[#This Row],[Feb_2026_Days_Actual]]*Table4[[#This Row],[Cost Boolean]]*(VLOOKUP(Table4[[#This Row],[RATE CONCAT]],Tables!I:N,5,0)),0)</f>
        <v/>
      </c>
      <c r="BW25" s="347">
        <f>Table4[[#This Row],[Feb_2026_F]]-Table4[[#This Row],[Feb_2026_A]]</f>
        <v/>
      </c>
      <c r="BX25" s="103" t="n"/>
      <c r="BY25" s="347">
        <f>IFERROR(Table4[[#This Row],[Mar_2026_Days_Forecast]]*Table4[[#This Row],[Cost Boolean]]*(VLOOKUP(Table4[[#This Row],[RATE CONCAT]],Tables!I:N,5,0)),0)</f>
        <v/>
      </c>
      <c r="BZ25" s="347">
        <f>IFERROR(Table4[[#This Row],[Mar_2026_Days_Actual]]*Table4[[#This Row],[Cost Boolean]]*(VLOOKUP(Table4[[#This Row],[RATE CONCAT]],Tables!I:N,5,0)),0)</f>
        <v/>
      </c>
      <c r="CA25" s="347">
        <f>Table4[[#This Row],[Mar_2026_F]]-Table4[[#This Row],[Mar_2026_A]]</f>
        <v/>
      </c>
      <c r="CB25" s="103" t="n"/>
      <c r="CC25" s="347">
        <f>IFERROR(Table4[[#This Row],[Apr_2026_Days_Forecast]]*Table4[[#This Row],[Cost Boolean]]*(VLOOKUP(Table4[[#This Row],[RATE CONCAT]],Tables!I:N,5,0)),0)</f>
        <v/>
      </c>
      <c r="CD25" s="347">
        <f>IFERROR(Table4[[#This Row],[Apr_2026_Days_Actual]]*Table4[[#This Row],[Cost Boolean]]*(VLOOKUP(Table4[[#This Row],[RATE CONCAT]],Tables!I:N,5,0)),0)</f>
        <v/>
      </c>
      <c r="CE25" s="347">
        <f>Table4[[#This Row],[Apr_2026_F]]-Table4[[#This Row],[Apr_2026_A]]</f>
        <v/>
      </c>
      <c r="CF25" s="103" t="n"/>
      <c r="CG25" s="347">
        <f>IFERROR(Table4[[#This Row],[May_2026_Days_Forecast]] *Table4[[#This Row],[Cost Boolean]]*(VLOOKUP(Table4[[#This Row],[RATE CONCAT]],Tables!I:N,5,0)),0)</f>
        <v/>
      </c>
      <c r="CH25" s="347">
        <f>IFERROR(Table4[[#This Row],[May_2026_Days_Actual]]*Table4[[#This Row],[Cost Boolean]]*(VLOOKUP(Table4[[#This Row],[RATE CONCAT]],Tables!I:N,5,0)),0)</f>
        <v/>
      </c>
      <c r="CI25" s="347">
        <f>Table4[[#This Row],[May_2026_F]]-Table4[[#This Row],[May_2026_A]]</f>
        <v/>
      </c>
      <c r="CJ25" s="103" t="n"/>
      <c r="CK25" s="347">
        <f>IFERROR(Table4[[#This Row],[Jun_2026_Days_Forecast]]*Table4[[#This Row],[Cost Boolean]]*(VLOOKUP(Table4[[#This Row],[RATE CONCAT]],Tables!I:N,5,0)),0)</f>
        <v/>
      </c>
      <c r="CL25" s="347">
        <f>IFERROR(Table4[[#This Row],[Jun_2026_Days_Actual]]*Table4[[#This Row],[Cost Boolean]]*(VLOOKUP(Table4[[#This Row],[RATE CONCAT]],Tables!I:N,5,0)),0)</f>
        <v/>
      </c>
      <c r="CM25" s="347">
        <f>Table4[[#This Row],[Jun_2026_F]]-Table4[[#This Row],[Jun_2026_A]]</f>
        <v/>
      </c>
      <c r="CN25" s="103" t="n"/>
      <c r="CO25" s="347">
        <f>IFERROR(Table4[[#This Row],[Jul_2026_Days_Forecast]]*Table4[[#This Row],[Cost Boolean]]*(VLOOKUP(Table4[[#This Row],[RATE CONCAT]],Tables!I:N,5,0)),0)</f>
        <v/>
      </c>
      <c r="CP25" s="347">
        <f>IFERROR(Table4[[#This Row],[Aug_2026_Days_Forecast]]*Table4[[#This Row],[Location]]*(VLOOKUP(Table4[[#This Row],[Rate]],Tables!J:O,5,0)),0)</f>
        <v/>
      </c>
      <c r="CQ25" s="347">
        <f>Table4[[#This Row],[Jul_2026_F]]-Table4[[#This Row],[Jul_2026_A]]</f>
        <v/>
      </c>
      <c r="CR25" s="103" t="n"/>
      <c r="CS25" s="347">
        <f>IFERROR(Table4[[#This Row],[Aug_2026_Days_Forecast]]*Table4[[#This Row],[Cost Boolean]]*(VLOOKUP(Table4[[#This Row],[RATE CONCAT]],Tables!I:N,5,0)),0)</f>
        <v/>
      </c>
      <c r="CT25" s="347">
        <f>IFERROR(Table4[[#This Row],[Aug_2026_Days_Actual]]*Table4[[#This Row],[Cost Boolean]]*(VLOOKUP(Table4[[#This Row],[RATE CONCAT]],Tables!I:N,5,0)),0)</f>
        <v/>
      </c>
      <c r="CU25" s="347">
        <f>Table4[[#This Row],[Aug_2026_F]]-Table4[[#This Row],[Aug_2026_A]]</f>
        <v/>
      </c>
      <c r="CV25" s="103" t="n"/>
      <c r="CW25" s="347">
        <f>IFERROR(Table4[[#This Row],[Sep_2026_Days_Forecast]]*Table4[[#This Row],[Cost Boolean]]*(VLOOKUP(Table4[[#This Row],[RATE CONCAT]],Tables!I:N,5,0)),0)</f>
        <v/>
      </c>
      <c r="CX25" s="347">
        <f>IFERROR(Table4[[#This Row],[Sep_2026_Days_Actual]]*Table4[[#This Row],[Cost Boolean]]*(VLOOKUP(Table4[[#This Row],[RATE CONCAT]],Tables!I:N,5,0)),0)</f>
        <v/>
      </c>
      <c r="CY25" s="347">
        <f>Table4[[#This Row],[Sep_2026_F]]-Table4[[#This Row],[Sep_2026_A]]</f>
        <v/>
      </c>
      <c r="CZ25" s="103" t="n"/>
      <c r="DA25" s="347">
        <f>IFERROR(Table4[[#This Row],[Oct_2026_Days_Forecast]]*Table4[[#This Row],[Cost Boolean]]*(VLOOKUP(Table4[[#This Row],[RATE CONCAT]],Tables!I:N,5,0)),0)</f>
        <v/>
      </c>
      <c r="DB25" s="347">
        <f>IFERROR(Table4[[#This Row],[Oct_2026_Days_Actual]]*Table4[[#This Row],[Cost Boolean]]*(VLOOKUP(Table4[[#This Row],[RATE CONCAT]],Tables!I:N,5,0)),0)</f>
        <v/>
      </c>
      <c r="DC25" s="347">
        <f>Table4[[#This Row],[Oct_2026_F]]-Table4[[#This Row],[Oct_2026_A]]</f>
        <v/>
      </c>
      <c r="DD25" s="103" t="n"/>
      <c r="DE25" s="347">
        <f>IFERROR(Table4[[#This Row],[Nov_2026_Days_Forecast]]*Table4[[#This Row],[Cost Boolean]]*(VLOOKUP(Table4[[#This Row],[RATE CONCAT]],Tables!I:N,5,0)),0)</f>
        <v/>
      </c>
      <c r="DF25" s="347">
        <f>IFERROR(Table4[[#This Row],[Nov_2026_Days_Actual]]*Table4[[#This Row],[Cost Boolean]]*(VLOOKUP(Table4[[#This Row],[RATE CONCAT]],Tables!I:N,5,0)),0)</f>
        <v/>
      </c>
      <c r="DG25" s="347">
        <f>Table4[[#This Row],[Nov_2026_F]]-Table4[[#This Row],[Nov_2026_A]]</f>
        <v/>
      </c>
      <c r="DH25" s="103" t="n"/>
      <c r="DI25" s="347">
        <f>IFERROR(Table4[[#This Row],[Dec_2026_Days_Forecast]]*Table4[[#This Row],[Cost Boolean]]*(VLOOKUP(Table4[[#This Row],[RATE CONCAT]],Tables!I:N,5,0)),0)</f>
        <v/>
      </c>
      <c r="DJ25" s="347">
        <f>IFERROR(Table4[[#This Row],[Dec_2026_Days_Actual]]*Table4[[#This Row],[Cost Boolean]]*(VLOOKUP(Table4[[#This Row],[RATE CONCAT]],Tables!I:N,5,0)),0)</f>
        <v/>
      </c>
      <c r="DK25" s="347">
        <f>Table4[[#This Row],[Dec_2026_F]]-Table4[[#This Row],[Dec_2026_A]]</f>
        <v/>
      </c>
      <c r="DL25" s="103" t="n"/>
      <c r="DM25" s="346" t="n"/>
      <c r="DN25" s="347">
        <f>IFERROR(Table4[[#This Row],[Jan_2027_Days_Forecast]]*Table4[[#This Row],[Cost Boolean]]*(VLOOKUP(Table4[[#This Row],[RATE CONCAT]],Tables!I:N,6,0)),0)</f>
        <v/>
      </c>
      <c r="DO25" s="275" t="n"/>
      <c r="DP25" s="347">
        <f>Table4[[#This Row],[Jan_2027_F]]-Table4[[#This Row],[Jan_2027_A]]</f>
        <v/>
      </c>
      <c r="DQ25" s="347">
        <f>IFERROR(Table4[[#This Row],[Feb_2027_Days_Forecast]]*Table4[[#This Row],[Cost Boolean]]*(VLOOKUP(Table4[[#This Row],[RATE CONCAT]],Tables!I:N,6,0)),0)</f>
        <v/>
      </c>
      <c r="DR25" s="275" t="n"/>
      <c r="DS25" s="347">
        <f>Table4[[#This Row],[Feb_2027_F]]-Table4[[#This Row],[Feb_2027_A]]</f>
        <v/>
      </c>
      <c r="DT25" s="347">
        <f>IFERROR(Table4[[#This Row],[Mar_2027_Days_Forecast]]*Table4[[#This Row],[Cost Boolean]]*(VLOOKUP(Table4[[#This Row],[RATE CONCAT]],Tables!I:N,6,0)),0)</f>
        <v/>
      </c>
      <c r="DU25" s="275" t="n"/>
      <c r="DV25" s="347">
        <f>Table4[[#This Row],[Mar_2027_F]]-Table4[[#This Row],[Mar_2027_A]]</f>
        <v/>
      </c>
      <c r="DW25" s="347">
        <f>IFERROR(Table4[[#This Row],[Apr_2027_Days_Forecast]]*Table4[[#This Row],[Cost Boolean]]*(VLOOKUP(Table4[[#This Row],[RATE CONCAT]],Tables!I:N,6,0)),0)</f>
        <v/>
      </c>
      <c r="DX25" s="275" t="n"/>
      <c r="DY25" s="347">
        <f>Table4[[#This Row],[Apr_2027_F]]-Table4[[#This Row],[Apr_2027_A]]</f>
        <v/>
      </c>
      <c r="DZ25" s="347">
        <f>IFERROR(Table4[[#This Row],[May_2027_Days_Forecast]]*Table4[[#This Row],[Cost Boolean]]*(VLOOKUP(Table4[[#This Row],[RATE CONCAT]],Tables!I:N,6,0)),0)</f>
        <v/>
      </c>
      <c r="EA25" s="275" t="n"/>
      <c r="EB25" s="347">
        <f>Table4[[#This Row],[May_2027_F]]-Table4[[#This Row],[May_2027_A]]</f>
        <v/>
      </c>
      <c r="EC25" s="347">
        <f>IFERROR(Table4[[#This Row],[Jun_2027_Days_Forecast]]*Table4[[#This Row],[Cost Boolean]]*(VLOOKUP(Table4[[#This Row],[RATE CONCAT]],Tables!I:N,6,0)),0)</f>
        <v/>
      </c>
      <c r="ED25" s="275" t="n"/>
      <c r="EE25" s="347">
        <f>Table4[[#This Row],[Jun_2027_F]]-Table4[[#This Row],[Jun_2027_A]]</f>
        <v/>
      </c>
      <c r="EF25" s="347">
        <f>IFERROR(Table4[[#This Row],[Jul_2027_Days_Forecast]]*Table4[[#This Row],[Cost Boolean]]*(VLOOKUP(Table4[[#This Row],[RATE CONCAT]],Tables!I:N,6,0)),0)</f>
        <v/>
      </c>
      <c r="EG25" s="275" t="n"/>
      <c r="EH25" s="347">
        <f>Table4[[#This Row],[Jul_2027_F]]-Table4[[#This Row],[Jul_2027_A]]</f>
        <v/>
      </c>
      <c r="EI25" s="347">
        <f>IFERROR(Table4[[#This Row],[Aug_2027_Days_Forecast]]*Table4[[#This Row],[Cost Boolean]]*(VLOOKUP(Table4[[#This Row],[RATE CONCAT]],Tables!I:N,6,0)),0)</f>
        <v/>
      </c>
      <c r="EJ25" s="275" t="n"/>
      <c r="EK25" s="347">
        <f>Table4[[#This Row],[Aug_2027_F]]-Table4[[#This Row],[Aug_2027_A]]</f>
        <v/>
      </c>
      <c r="EL25" s="347">
        <f>IFERROR(Table4[[#This Row],[Sep_2027_Days_Forecast]]*Table4[[#This Row],[Cost Boolean]]*(VLOOKUP(Table4[[#This Row],[RATE CONCAT]],Tables!I:N,6,0)),0)</f>
        <v/>
      </c>
      <c r="EM25" s="275" t="n"/>
      <c r="EN25" s="347">
        <f>Table4[[#This Row],[Sep_2027_F]]-Table4[[#This Row],[Sep_2027_A]]</f>
        <v/>
      </c>
      <c r="EO25" s="347">
        <f>IFERROR(Table4[[#This Row],[Oct_2027_Days_Forecast]]*Table4[[#This Row],[Cost Boolean]]*(VLOOKUP(Table4[[#This Row],[RATE CONCAT]],Tables!I:N,6,0)),0)</f>
        <v/>
      </c>
      <c r="EP25" s="275" t="n"/>
      <c r="EQ25" s="347">
        <f>Table4[[#This Row],[Oct_2027_F]]-Table4[[#This Row],[Oct_2027_A]]</f>
        <v/>
      </c>
      <c r="ER25" s="347">
        <f>IFERROR(Table4[[#This Row],[Nov_2027_Days_Forecast]]*Table4[[#This Row],[Cost Boolean]]*(VLOOKUP(Table4[[#This Row],[RATE CONCAT]],Tables!I:N,6,0)),0)</f>
        <v/>
      </c>
      <c r="ES25" s="275" t="n"/>
      <c r="ET25" s="347">
        <f>Table4[[#This Row],[Nov_2027_F]]-Table4[[#This Row],[Nov_2027_A]]</f>
        <v/>
      </c>
      <c r="EU25" s="347">
        <f>IFERROR(Table4[[#This Row],[Dec_2027_Days_Forecast]]*Table4[[#This Row],[Cost Boolean]]*(VLOOKUP(Table4[[#This Row],[RATE CONCAT]],Tables!I:N,6,0)),0)</f>
        <v/>
      </c>
      <c r="EV25" s="275" t="n"/>
      <c r="EW25" s="347">
        <f>Table4[[#This Row],[Dec_2027_F]]-Table4[[#This Row],[Dec_2027_A]]</f>
        <v/>
      </c>
    </row>
    <row r="26" ht="15" customHeight="1">
      <c r="A26" s="132" t="n"/>
      <c r="B26" s="132" t="n"/>
      <c r="C26" s="132" t="n"/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  <c r="N26" s="132" t="n"/>
      <c r="O26" s="132" t="n"/>
      <c r="P26" s="132" t="n"/>
      <c r="Q26" s="132" t="n"/>
      <c r="R26" s="354" t="n"/>
      <c r="S26" s="354" t="n"/>
      <c r="T26" s="354" t="n"/>
      <c r="U26" s="354" t="n"/>
      <c r="V26" s="354" t="n"/>
      <c r="W26" s="354" t="n"/>
      <c r="X26" s="13" t="n"/>
      <c r="Y26" s="350">
        <f>CONCATENATE(Table4[[#This Row],[JG]],Table4[[#This Row],[Country]],Table4[[#This Row],[Resource Provider]])</f>
        <v/>
      </c>
      <c r="Z26" s="350">
        <f>VLOOKUP(Table4[[#This Row],[RATE CONCAT]],Tables!I:N,5,0)</f>
        <v/>
      </c>
      <c r="AA26" s="53" t="n"/>
      <c r="AB26" s="192" t="n"/>
      <c r="AC26" s="192" t="n"/>
      <c r="AD26" s="192" t="n"/>
      <c r="AE26" s="192" t="n"/>
      <c r="AF26" s="192" t="n"/>
      <c r="AG26" s="192" t="n"/>
      <c r="AH26" s="192" t="n"/>
      <c r="AI26" s="192" t="n"/>
      <c r="AJ26" s="192" t="n"/>
      <c r="AK26" s="16" t="n"/>
      <c r="AL26" s="16" t="n"/>
      <c r="AM26" s="16" t="n"/>
      <c r="AN26" s="353">
        <f>IFERROR(AVERAGE(Table4[[#This Row],[Jan_2026_Days_Forecast]:[Dec_2026_Days_Forecast]]),0)/19</f>
        <v/>
      </c>
      <c r="AO26" s="353">
        <f>IFERROR(AVERAGE(Table4[[#This Row],[Jan_2026_Days_Actual]:[Dec_2026_Days_Actual]]),0)/19</f>
        <v/>
      </c>
      <c r="AP26" s="84" t="n"/>
      <c r="AQ26" s="84" t="n"/>
      <c r="AR26" s="84" t="n"/>
      <c r="AS26" s="84" t="n"/>
      <c r="AT26" s="84" t="n"/>
      <c r="AU26" s="84" t="n"/>
      <c r="AV26" s="84" t="n"/>
      <c r="AW26" s="84" t="n"/>
      <c r="AX26" s="84" t="n"/>
      <c r="AY26" s="84" t="n"/>
      <c r="AZ26" s="84" t="n"/>
      <c r="BA26" s="84" t="n"/>
      <c r="BB26" s="353">
        <f>IFERROR(AVERAGE(Table4[[#This Row],[Jan_2027_Days_Forecast]:[Dec_2027_Days_Forecast]]),0)</f>
        <v/>
      </c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  <c r="BL26" s="16" t="n"/>
      <c r="BM26" s="16" t="n"/>
      <c r="BN26" s="16" t="n"/>
      <c r="BO26" s="55" t="n"/>
      <c r="BP26" s="346" t="n"/>
      <c r="BQ26" s="345">
        <f>Table4[[#This Row],[Jan_2026_Days_Forecast]]*Table4[[#This Row],[Cost Boolean]]*VLOOKUP(Table4[[#This Row],[RATE CONCAT]],Tables!I:N,5,0)</f>
        <v/>
      </c>
      <c r="BR26" s="345">
        <f>IFERROR(Table4[[#This Row],[Jan_2026_Days_Actual]]*Table4[[#This Row],[Cost Boolean]]*(VLOOKUP(Table4[[#This Row],[RATE CONCAT]],Tables!I:N,5,0)),0)</f>
        <v/>
      </c>
      <c r="BS26" s="345">
        <f>Table4[[#This Row],[Jan_2026_F]]-Table4[[#This Row],[Jan_2026_A]]</f>
        <v/>
      </c>
      <c r="BT26" s="107" t="n"/>
      <c r="BU26" s="345">
        <f>IFERROR(Table4[[#This Row],[Feb_2026_Days_Forecast]]*Table4[[#This Row],[Cost Boolean]]*(VLOOKUP(Table4[[#This Row],[RATE CONCAT]],Tables!I:N,5,0)),0)</f>
        <v/>
      </c>
      <c r="BV26" s="345">
        <f>IFERROR(Table4[[#This Row],[Feb_2026_Days_Actual]]*Table4[[#This Row],[Cost Boolean]]*(VLOOKUP(Table4[[#This Row],[RATE CONCAT]],Tables!I:N,5,0)),0)</f>
        <v/>
      </c>
      <c r="BW26" s="345">
        <f>Table4[[#This Row],[Feb_2026_F]]-Table4[[#This Row],[Feb_2026_A]]</f>
        <v/>
      </c>
      <c r="BX26" s="103" t="n"/>
      <c r="BY26" s="345">
        <f>IFERROR(Table4[[#This Row],[Mar_2026_Days_Forecast]]*Table4[[#This Row],[Cost Boolean]]*(VLOOKUP(Table4[[#This Row],[RATE CONCAT]],Tables!I:N,5,0)),0)</f>
        <v/>
      </c>
      <c r="BZ26" s="345">
        <f>IFERROR(Table4[[#This Row],[Mar_2026_Days_Actual]]*Table4[[#This Row],[Cost Boolean]]*(VLOOKUP(Table4[[#This Row],[RATE CONCAT]],Tables!I:N,5,0)),0)</f>
        <v/>
      </c>
      <c r="CA26" s="345">
        <f>Table4[[#This Row],[Mar_2026_F]]-Table4[[#This Row],[Mar_2026_A]]</f>
        <v/>
      </c>
      <c r="CB26" s="103" t="n"/>
      <c r="CC26" s="345">
        <f>IFERROR(Table4[[#This Row],[Apr_2026_Days_Forecast]]*Table4[[#This Row],[Cost Boolean]]*(VLOOKUP(Table4[[#This Row],[RATE CONCAT]],Tables!I:N,5,0)),0)</f>
        <v/>
      </c>
      <c r="CD26" s="345">
        <f>IFERROR(Table4[[#This Row],[Apr_2026_Days_Actual]]*Table4[[#This Row],[Cost Boolean]]*(VLOOKUP(Table4[[#This Row],[RATE CONCAT]],Tables!I:N,5,0)),0)</f>
        <v/>
      </c>
      <c r="CE26" s="345">
        <f>Table4[[#This Row],[Apr_2026_F]]-Table4[[#This Row],[Apr_2026_A]]</f>
        <v/>
      </c>
      <c r="CF26" s="103" t="n"/>
      <c r="CG26" s="345">
        <f>IFERROR(Table4[[#This Row],[May_2026_Days_Forecast]] *Table4[[#This Row],[Cost Boolean]]*(VLOOKUP(Table4[[#This Row],[RATE CONCAT]],Tables!I:N,5,0)),0)</f>
        <v/>
      </c>
      <c r="CH26" s="345">
        <f>IFERROR(Table4[[#This Row],[May_2026_Days_Actual]]*Table4[[#This Row],[Cost Boolean]]*(VLOOKUP(Table4[[#This Row],[RATE CONCAT]],Tables!I:N,5,0)),0)</f>
        <v/>
      </c>
      <c r="CI26" s="345">
        <f>Table4[[#This Row],[May_2026_F]]-Table4[[#This Row],[May_2026_A]]</f>
        <v/>
      </c>
      <c r="CJ26" s="103" t="n"/>
      <c r="CK26" s="345">
        <f>IFERROR(Table4[[#This Row],[Jun_2026_Days_Forecast]]*Table4[[#This Row],[Cost Boolean]]*(VLOOKUP(Table4[[#This Row],[RATE CONCAT]],Tables!I:N,5,0)),0)</f>
        <v/>
      </c>
      <c r="CL26" s="345">
        <f>IFERROR(Table4[[#This Row],[Jun_2026_Days_Actual]]*Table4[[#This Row],[Cost Boolean]]*(VLOOKUP(Table4[[#This Row],[RATE CONCAT]],Tables!I:N,5,0)),0)</f>
        <v/>
      </c>
      <c r="CM26" s="345">
        <f>Table4[[#This Row],[Jun_2026_F]]-Table4[[#This Row],[Jun_2026_A]]</f>
        <v/>
      </c>
      <c r="CN26" s="103" t="n"/>
      <c r="CO26" s="345">
        <f>IFERROR(Table4[[#This Row],[Jul_2026_Days_Forecast]]*Table4[[#This Row],[Cost Boolean]]*(VLOOKUP(Table4[[#This Row],[RATE CONCAT]],Tables!I:N,5,0)),0)</f>
        <v/>
      </c>
      <c r="CP26" s="345">
        <f>IFERROR(Table4[[#This Row],[Aug_2026_Days_Forecast]]*Table4[[#This Row],[Location]]*(VLOOKUP(Table4[[#This Row],[Rate]],Tables!J:O,5,0)),0)</f>
        <v/>
      </c>
      <c r="CQ26" s="345">
        <f>Table4[[#This Row],[Jul_2026_F]]-Table4[[#This Row],[Jul_2026_A]]</f>
        <v/>
      </c>
      <c r="CR26" s="103" t="n"/>
      <c r="CS26" s="345">
        <f>IFERROR(Table4[[#This Row],[Aug_2026_Days_Forecast]]*Table4[[#This Row],[Cost Boolean]]*(VLOOKUP(Table4[[#This Row],[RATE CONCAT]],Tables!I:N,5,0)),0)</f>
        <v/>
      </c>
      <c r="CT26" s="345">
        <f>IFERROR(Table4[[#This Row],[Aug_2026_Days_Actual]]*Table4[[#This Row],[Cost Boolean]]*(VLOOKUP(Table4[[#This Row],[RATE CONCAT]],Tables!I:N,5,0)),0)</f>
        <v/>
      </c>
      <c r="CU26" s="345">
        <f>Table4[[#This Row],[Aug_2026_F]]-Table4[[#This Row],[Aug_2026_A]]</f>
        <v/>
      </c>
      <c r="CV26" s="103" t="n"/>
      <c r="CW26" s="345">
        <f>IFERROR(Table4[[#This Row],[Sep_2026_Days_Forecast]]*Table4[[#This Row],[Cost Boolean]]*(VLOOKUP(Table4[[#This Row],[RATE CONCAT]],Tables!I:N,5,0)),0)</f>
        <v/>
      </c>
      <c r="CX26" s="345">
        <f>IFERROR(Table4[[#This Row],[Sep_2026_Days_Actual]]*Table4[[#This Row],[Cost Boolean]]*(VLOOKUP(Table4[[#This Row],[RATE CONCAT]],Tables!I:N,5,0)),0)</f>
        <v/>
      </c>
      <c r="CY26" s="345">
        <f>Table4[[#This Row],[Sep_2026_F]]-Table4[[#This Row],[Sep_2026_A]]</f>
        <v/>
      </c>
      <c r="CZ26" s="103" t="n"/>
      <c r="DA26" s="345">
        <f>IFERROR(Table4[[#This Row],[Oct_2026_Days_Forecast]]*Table4[[#This Row],[Cost Boolean]]*(VLOOKUP(Table4[[#This Row],[RATE CONCAT]],Tables!I:N,5,0)),0)</f>
        <v/>
      </c>
      <c r="DB26" s="345">
        <f>IFERROR(Table4[[#This Row],[Oct_2026_Days_Actual]]*Table4[[#This Row],[Cost Boolean]]*(VLOOKUP(Table4[[#This Row],[RATE CONCAT]],Tables!I:N,5,0)),0)</f>
        <v/>
      </c>
      <c r="DC26" s="345">
        <f>Table4[[#This Row],[Oct_2026_F]]-Table4[[#This Row],[Oct_2026_A]]</f>
        <v/>
      </c>
      <c r="DD26" s="103" t="n"/>
      <c r="DE26" s="345">
        <f>IFERROR(Table4[[#This Row],[Nov_2026_Days_Forecast]]*Table4[[#This Row],[Cost Boolean]]*(VLOOKUP(Table4[[#This Row],[RATE CONCAT]],Tables!I:N,5,0)),0)</f>
        <v/>
      </c>
      <c r="DF26" s="345">
        <f>IFERROR(Table4[[#This Row],[Nov_2026_Days_Actual]]*Table4[[#This Row],[Cost Boolean]]*(VLOOKUP(Table4[[#This Row],[RATE CONCAT]],Tables!I:N,5,0)),0)</f>
        <v/>
      </c>
      <c r="DG26" s="345">
        <f>Table4[[#This Row],[Nov_2026_F]]-Table4[[#This Row],[Nov_2026_A]]</f>
        <v/>
      </c>
      <c r="DH26" s="103" t="n"/>
      <c r="DI26" s="345">
        <f>IFERROR(Table4[[#This Row],[Dec_2026_Days_Forecast]]*Table4[[#This Row],[Cost Boolean]]*(VLOOKUP(Table4[[#This Row],[RATE CONCAT]],Tables!I:N,5,0)),0)</f>
        <v/>
      </c>
      <c r="DJ26" s="345">
        <f>IFERROR(Table4[[#This Row],[Dec_2026_Days_Actual]]*Table4[[#This Row],[Cost Boolean]]*(VLOOKUP(Table4[[#This Row],[RATE CONCAT]],Tables!I:N,5,0)),0)</f>
        <v/>
      </c>
      <c r="DK26" s="345">
        <f>Table4[[#This Row],[Dec_2026_F]]-Table4[[#This Row],[Dec_2026_A]]</f>
        <v/>
      </c>
      <c r="DL26" s="103" t="n"/>
      <c r="DM26" s="346" t="n"/>
      <c r="DN26" s="345">
        <f>IFERROR(Table4[[#This Row],[Jan_2027_Days_Forecast]]*Table4[[#This Row],[Cost Boolean]]*(VLOOKUP(Table4[[#This Row],[RATE CONCAT]],Tables!I:N,6,0)),0)</f>
        <v/>
      </c>
      <c r="DO26" s="275" t="n"/>
      <c r="DP26" s="345">
        <f>Table4[[#This Row],[Jan_2027_F]]-Table4[[#This Row],[Jan_2027_A]]</f>
        <v/>
      </c>
      <c r="DQ26" s="345">
        <f>IFERROR(Table4[[#This Row],[Feb_2027_Days_Forecast]]*Table4[[#This Row],[Cost Boolean]]*(VLOOKUP(Table4[[#This Row],[RATE CONCAT]],Tables!I:N,6,0)),0)</f>
        <v/>
      </c>
      <c r="DR26" s="275" t="n"/>
      <c r="DS26" s="345">
        <f>Table4[[#This Row],[Feb_2027_F]]-Table4[[#This Row],[Feb_2027_A]]</f>
        <v/>
      </c>
      <c r="DT26" s="345">
        <f>IFERROR(Table4[[#This Row],[Mar_2027_Days_Forecast]]*Table4[[#This Row],[Cost Boolean]]*(VLOOKUP(Table4[[#This Row],[RATE CONCAT]],Tables!I:N,6,0)),0)</f>
        <v/>
      </c>
      <c r="DU26" s="275" t="n"/>
      <c r="DV26" s="345">
        <f>Table4[[#This Row],[Mar_2027_F]]-Table4[[#This Row],[Mar_2027_A]]</f>
        <v/>
      </c>
      <c r="DW26" s="345">
        <f>IFERROR(Table4[[#This Row],[Apr_2027_Days_Forecast]]*Table4[[#This Row],[Cost Boolean]]*(VLOOKUP(Table4[[#This Row],[RATE CONCAT]],Tables!I:N,6,0)),0)</f>
        <v/>
      </c>
      <c r="DX26" s="275" t="n"/>
      <c r="DY26" s="345">
        <f>Table4[[#This Row],[Apr_2027_F]]-Table4[[#This Row],[Apr_2027_A]]</f>
        <v/>
      </c>
      <c r="DZ26" s="345">
        <f>IFERROR(Table4[[#This Row],[May_2027_Days_Forecast]]*Table4[[#This Row],[Cost Boolean]]*(VLOOKUP(Table4[[#This Row],[RATE CONCAT]],Tables!I:N,6,0)),0)</f>
        <v/>
      </c>
      <c r="EA26" s="275" t="n"/>
      <c r="EB26" s="345">
        <f>Table4[[#This Row],[May_2027_F]]-Table4[[#This Row],[May_2027_A]]</f>
        <v/>
      </c>
      <c r="EC26" s="345">
        <f>IFERROR(Table4[[#This Row],[Jun_2027_Days_Forecast]]*Table4[[#This Row],[Cost Boolean]]*(VLOOKUP(Table4[[#This Row],[RATE CONCAT]],Tables!I:N,6,0)),0)</f>
        <v/>
      </c>
      <c r="ED26" s="275" t="n"/>
      <c r="EE26" s="345">
        <f>Table4[[#This Row],[Jun_2027_F]]-Table4[[#This Row],[Jun_2027_A]]</f>
        <v/>
      </c>
      <c r="EF26" s="345">
        <f>IFERROR(Table4[[#This Row],[Jul_2027_Days_Forecast]]*Table4[[#This Row],[Cost Boolean]]*(VLOOKUP(Table4[[#This Row],[RATE CONCAT]],Tables!I:N,6,0)),0)</f>
        <v/>
      </c>
      <c r="EG26" s="275" t="n"/>
      <c r="EH26" s="345">
        <f>Table4[[#This Row],[Jul_2027_F]]-Table4[[#This Row],[Jul_2027_A]]</f>
        <v/>
      </c>
      <c r="EI26" s="345">
        <f>IFERROR(Table4[[#This Row],[Aug_2027_Days_Forecast]]*Table4[[#This Row],[Cost Boolean]]*(VLOOKUP(Table4[[#This Row],[RATE CONCAT]],Tables!I:N,6,0)),0)</f>
        <v/>
      </c>
      <c r="EJ26" s="275" t="n"/>
      <c r="EK26" s="345">
        <f>Table4[[#This Row],[Aug_2027_F]]-Table4[[#This Row],[Aug_2027_A]]</f>
        <v/>
      </c>
      <c r="EL26" s="345">
        <f>IFERROR(Table4[[#This Row],[Sep_2027_Days_Forecast]]*Table4[[#This Row],[Cost Boolean]]*(VLOOKUP(Table4[[#This Row],[RATE CONCAT]],Tables!I:N,6,0)),0)</f>
        <v/>
      </c>
      <c r="EM26" s="275" t="n"/>
      <c r="EN26" s="345">
        <f>Table4[[#This Row],[Sep_2027_F]]-Table4[[#This Row],[Sep_2027_A]]</f>
        <v/>
      </c>
      <c r="EO26" s="345">
        <f>IFERROR(Table4[[#This Row],[Oct_2027_Days_Forecast]]*Table4[[#This Row],[Cost Boolean]]*(VLOOKUP(Table4[[#This Row],[RATE CONCAT]],Tables!I:N,6,0)),0)</f>
        <v/>
      </c>
      <c r="EP26" s="275" t="n"/>
      <c r="EQ26" s="345">
        <f>Table4[[#This Row],[Oct_2027_F]]-Table4[[#This Row],[Oct_2027_A]]</f>
        <v/>
      </c>
      <c r="ER26" s="345">
        <f>IFERROR(Table4[[#This Row],[Nov_2027_Days_Forecast]]*Table4[[#This Row],[Cost Boolean]]*(VLOOKUP(Table4[[#This Row],[RATE CONCAT]],Tables!I:N,6,0)),0)</f>
        <v/>
      </c>
      <c r="ES26" s="275" t="n"/>
      <c r="ET26" s="345">
        <f>Table4[[#This Row],[Nov_2027_F]]-Table4[[#This Row],[Nov_2027_A]]</f>
        <v/>
      </c>
      <c r="EU26" s="345">
        <f>IFERROR(Table4[[#This Row],[Dec_2027_Days_Forecast]]*Table4[[#This Row],[Cost Boolean]]*(VLOOKUP(Table4[[#This Row],[RATE CONCAT]],Tables!I:N,6,0)),0)</f>
        <v/>
      </c>
      <c r="EV26" s="275" t="n"/>
      <c r="EW26" s="345">
        <f>Table4[[#This Row],[Dec_2027_F]]-Table4[[#This Row],[Dec_2027_A]]</f>
        <v/>
      </c>
    </row>
    <row r="27" ht="15" customHeight="1">
      <c r="A27" s="132" t="n"/>
      <c r="B27" s="132" t="n"/>
      <c r="C27" s="132" t="n"/>
      <c r="D27" s="132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  <c r="N27" s="132" t="n"/>
      <c r="O27" s="132" t="n"/>
      <c r="P27" s="132" t="n"/>
      <c r="Q27" s="132" t="n"/>
      <c r="R27" s="354" t="n"/>
      <c r="S27" s="354" t="n"/>
      <c r="T27" s="354" t="n"/>
      <c r="U27" s="354" t="n"/>
      <c r="V27" s="354" t="n"/>
      <c r="W27" s="354" t="n"/>
      <c r="X27" s="13" t="n"/>
      <c r="Y27" s="350">
        <f>CONCATENATE(Table4[[#This Row],[JG]],Table4[[#This Row],[Country]],Table4[[#This Row],[Resource Provider]])</f>
        <v/>
      </c>
      <c r="Z27" s="350">
        <f>VLOOKUP(Table4[[#This Row],[RATE CONCAT]],Tables!I:N,5,0)</f>
        <v/>
      </c>
      <c r="AA27" s="53" t="n"/>
      <c r="AB27" s="192" t="n"/>
      <c r="AC27" s="192" t="n"/>
      <c r="AD27" s="192" t="n"/>
      <c r="AE27" s="192" t="n"/>
      <c r="AF27" s="192" t="n"/>
      <c r="AG27" s="192" t="n"/>
      <c r="AH27" s="192" t="n"/>
      <c r="AI27" s="192" t="n"/>
      <c r="AJ27" s="192" t="n"/>
      <c r="AK27" s="16" t="n"/>
      <c r="AL27" s="16" t="n"/>
      <c r="AM27" s="16" t="n"/>
      <c r="AN27" s="353">
        <f>IFERROR(AVERAGE(Table4[[#This Row],[Jan_2026_Days_Forecast]:[Dec_2026_Days_Forecast]]),0)/19</f>
        <v/>
      </c>
      <c r="AO27" s="353">
        <f>IFERROR(AVERAGE(Table4[[#This Row],[Jan_2026_Days_Actual]:[Dec_2026_Days_Actual]]),0)/19</f>
        <v/>
      </c>
      <c r="AP27" s="84" t="n"/>
      <c r="AQ27" s="84" t="n"/>
      <c r="AR27" s="84" t="n"/>
      <c r="AS27" s="84" t="n"/>
      <c r="AT27" s="84" t="n"/>
      <c r="AU27" s="84" t="n"/>
      <c r="AV27" s="84" t="n"/>
      <c r="AW27" s="84" t="n"/>
      <c r="AX27" s="84" t="n"/>
      <c r="AY27" s="84" t="n"/>
      <c r="AZ27" s="84" t="n"/>
      <c r="BA27" s="84" t="n"/>
      <c r="BB27" s="353">
        <f>IFERROR(AVERAGE(Table4[[#This Row],[Jan_2027_Days_Forecast]:[Dec_2027_Days_Forecast]]),0)</f>
        <v/>
      </c>
      <c r="BC27" s="16" t="n"/>
      <c r="BD27" s="16" t="n"/>
      <c r="BE27" s="16" t="n"/>
      <c r="BF27" s="16" t="n"/>
      <c r="BG27" s="16" t="n"/>
      <c r="BH27" s="16" t="n"/>
      <c r="BI27" s="16" t="n"/>
      <c r="BJ27" s="16" t="n"/>
      <c r="BK27" s="16" t="n"/>
      <c r="BL27" s="16" t="n"/>
      <c r="BM27" s="16" t="n"/>
      <c r="BN27" s="16" t="n"/>
      <c r="BO27" s="55" t="n"/>
      <c r="BP27" s="346" t="n"/>
      <c r="BQ27" s="347">
        <f>Table4[[#This Row],[Jan_2026_Days_Forecast]]*Table4[[#This Row],[Cost Boolean]]*VLOOKUP(Table4[[#This Row],[RATE CONCAT]],Tables!I:N,5,0)</f>
        <v/>
      </c>
      <c r="BR27" s="347">
        <f>IFERROR(Table4[[#This Row],[Jan_2026_Days_Actual]]*Table4[[#This Row],[Cost Boolean]]*(VLOOKUP(Table4[[#This Row],[RATE CONCAT]],Tables!I:N,5,0)),0)</f>
        <v/>
      </c>
      <c r="BS27" s="347">
        <f>Table4[[#This Row],[Jan_2026_F]]-Table4[[#This Row],[Jan_2026_A]]</f>
        <v/>
      </c>
      <c r="BT27" s="107" t="n"/>
      <c r="BU27" s="347">
        <f>IFERROR(Table4[[#This Row],[Feb_2026_Days_Forecast]]*Table4[[#This Row],[Cost Boolean]]*(VLOOKUP(Table4[[#This Row],[RATE CONCAT]],Tables!I:N,5,0)),0)</f>
        <v/>
      </c>
      <c r="BV27" s="347">
        <f>IFERROR(Table4[[#This Row],[Feb_2026_Days_Actual]]*Table4[[#This Row],[Cost Boolean]]*(VLOOKUP(Table4[[#This Row],[RATE CONCAT]],Tables!I:N,5,0)),0)</f>
        <v/>
      </c>
      <c r="BW27" s="347">
        <f>Table4[[#This Row],[Feb_2026_F]]-Table4[[#This Row],[Feb_2026_A]]</f>
        <v/>
      </c>
      <c r="BX27" s="103" t="n"/>
      <c r="BY27" s="347">
        <f>IFERROR(Table4[[#This Row],[Mar_2026_Days_Forecast]]*Table4[[#This Row],[Cost Boolean]]*(VLOOKUP(Table4[[#This Row],[RATE CONCAT]],Tables!I:N,5,0)),0)</f>
        <v/>
      </c>
      <c r="BZ27" s="347">
        <f>IFERROR(Table4[[#This Row],[Mar_2026_Days_Actual]]*Table4[[#This Row],[Cost Boolean]]*(VLOOKUP(Table4[[#This Row],[RATE CONCAT]],Tables!I:N,5,0)),0)</f>
        <v/>
      </c>
      <c r="CA27" s="347">
        <f>Table4[[#This Row],[Mar_2026_F]]-Table4[[#This Row],[Mar_2026_A]]</f>
        <v/>
      </c>
      <c r="CB27" s="103" t="n"/>
      <c r="CC27" s="347">
        <f>IFERROR(Table4[[#This Row],[Apr_2026_Days_Forecast]]*Table4[[#This Row],[Cost Boolean]]*(VLOOKUP(Table4[[#This Row],[RATE CONCAT]],Tables!I:N,5,0)),0)</f>
        <v/>
      </c>
      <c r="CD27" s="347">
        <f>IFERROR(Table4[[#This Row],[Apr_2026_Days_Actual]]*Table4[[#This Row],[Cost Boolean]]*(VLOOKUP(Table4[[#This Row],[RATE CONCAT]],Tables!I:N,5,0)),0)</f>
        <v/>
      </c>
      <c r="CE27" s="347">
        <f>Table4[[#This Row],[Apr_2026_F]]-Table4[[#This Row],[Apr_2026_A]]</f>
        <v/>
      </c>
      <c r="CF27" s="103" t="n"/>
      <c r="CG27" s="347">
        <f>IFERROR(Table4[[#This Row],[May_2026_Days_Forecast]] *Table4[[#This Row],[Cost Boolean]]*(VLOOKUP(Table4[[#This Row],[RATE CONCAT]],Tables!I:N,5,0)),0)</f>
        <v/>
      </c>
      <c r="CH27" s="347">
        <f>IFERROR(Table4[[#This Row],[May_2026_Days_Actual]]*Table4[[#This Row],[Cost Boolean]]*(VLOOKUP(Table4[[#This Row],[RATE CONCAT]],Tables!I:N,5,0)),0)</f>
        <v/>
      </c>
      <c r="CI27" s="347">
        <f>Table4[[#This Row],[May_2026_F]]-Table4[[#This Row],[May_2026_A]]</f>
        <v/>
      </c>
      <c r="CJ27" s="103" t="n"/>
      <c r="CK27" s="347">
        <f>IFERROR(Table4[[#This Row],[Jun_2026_Days_Forecast]]*Table4[[#This Row],[Cost Boolean]]*(VLOOKUP(Table4[[#This Row],[RATE CONCAT]],Tables!I:N,5,0)),0)</f>
        <v/>
      </c>
      <c r="CL27" s="347">
        <f>IFERROR(Table4[[#This Row],[Jun_2026_Days_Actual]]*Table4[[#This Row],[Cost Boolean]]*(VLOOKUP(Table4[[#This Row],[RATE CONCAT]],Tables!I:N,5,0)),0)</f>
        <v/>
      </c>
      <c r="CM27" s="347">
        <f>Table4[[#This Row],[Jun_2026_F]]-Table4[[#This Row],[Jun_2026_A]]</f>
        <v/>
      </c>
      <c r="CN27" s="103" t="n"/>
      <c r="CO27" s="347">
        <f>IFERROR(Table4[[#This Row],[Jul_2026_Days_Forecast]]*Table4[[#This Row],[Cost Boolean]]*(VLOOKUP(Table4[[#This Row],[RATE CONCAT]],Tables!I:N,5,0)),0)</f>
        <v/>
      </c>
      <c r="CP27" s="347">
        <f>IFERROR(Table4[[#This Row],[Aug_2026_Days_Forecast]]*Table4[[#This Row],[Location]]*(VLOOKUP(Table4[[#This Row],[Rate]],Tables!J:O,5,0)),0)</f>
        <v/>
      </c>
      <c r="CQ27" s="347">
        <f>Table4[[#This Row],[Jul_2026_F]]-Table4[[#This Row],[Jul_2026_A]]</f>
        <v/>
      </c>
      <c r="CR27" s="103" t="n"/>
      <c r="CS27" s="347">
        <f>IFERROR(Table4[[#This Row],[Aug_2026_Days_Forecast]]*Table4[[#This Row],[Cost Boolean]]*(VLOOKUP(Table4[[#This Row],[RATE CONCAT]],Tables!I:N,5,0)),0)</f>
        <v/>
      </c>
      <c r="CT27" s="347">
        <f>IFERROR(Table4[[#This Row],[Aug_2026_Days_Actual]]*Table4[[#This Row],[Cost Boolean]]*(VLOOKUP(Table4[[#This Row],[RATE CONCAT]],Tables!I:N,5,0)),0)</f>
        <v/>
      </c>
      <c r="CU27" s="347">
        <f>Table4[[#This Row],[Aug_2026_F]]-Table4[[#This Row],[Aug_2026_A]]</f>
        <v/>
      </c>
      <c r="CV27" s="103" t="n"/>
      <c r="CW27" s="347">
        <f>IFERROR(Table4[[#This Row],[Sep_2026_Days_Forecast]]*Table4[[#This Row],[Cost Boolean]]*(VLOOKUP(Table4[[#This Row],[RATE CONCAT]],Tables!I:N,5,0)),0)</f>
        <v/>
      </c>
      <c r="CX27" s="347">
        <f>IFERROR(Table4[[#This Row],[Sep_2026_Days_Actual]]*Table4[[#This Row],[Cost Boolean]]*(VLOOKUP(Table4[[#This Row],[RATE CONCAT]],Tables!I:N,5,0)),0)</f>
        <v/>
      </c>
      <c r="CY27" s="347">
        <f>Table4[[#This Row],[Sep_2026_F]]-Table4[[#This Row],[Sep_2026_A]]</f>
        <v/>
      </c>
      <c r="CZ27" s="103" t="n"/>
      <c r="DA27" s="347">
        <f>IFERROR(Table4[[#This Row],[Oct_2026_Days_Forecast]]*Table4[[#This Row],[Cost Boolean]]*(VLOOKUP(Table4[[#This Row],[RATE CONCAT]],Tables!I:N,5,0)),0)</f>
        <v/>
      </c>
      <c r="DB27" s="347">
        <f>IFERROR(Table4[[#This Row],[Oct_2026_Days_Actual]]*Table4[[#This Row],[Cost Boolean]]*(VLOOKUP(Table4[[#This Row],[RATE CONCAT]],Tables!I:N,5,0)),0)</f>
        <v/>
      </c>
      <c r="DC27" s="347">
        <f>Table4[[#This Row],[Oct_2026_F]]-Table4[[#This Row],[Oct_2026_A]]</f>
        <v/>
      </c>
      <c r="DD27" s="103" t="n"/>
      <c r="DE27" s="347">
        <f>IFERROR(Table4[[#This Row],[Nov_2026_Days_Forecast]]*Table4[[#This Row],[Cost Boolean]]*(VLOOKUP(Table4[[#This Row],[RATE CONCAT]],Tables!I:N,5,0)),0)</f>
        <v/>
      </c>
      <c r="DF27" s="347">
        <f>IFERROR(Table4[[#This Row],[Nov_2026_Days_Actual]]*Table4[[#This Row],[Cost Boolean]]*(VLOOKUP(Table4[[#This Row],[RATE CONCAT]],Tables!I:N,5,0)),0)</f>
        <v/>
      </c>
      <c r="DG27" s="347">
        <f>Table4[[#This Row],[Nov_2026_F]]-Table4[[#This Row],[Nov_2026_A]]</f>
        <v/>
      </c>
      <c r="DH27" s="103" t="n"/>
      <c r="DI27" s="347">
        <f>IFERROR(Table4[[#This Row],[Dec_2026_Days_Forecast]]*Table4[[#This Row],[Cost Boolean]]*(VLOOKUP(Table4[[#This Row],[RATE CONCAT]],Tables!I:N,5,0)),0)</f>
        <v/>
      </c>
      <c r="DJ27" s="347">
        <f>IFERROR(Table4[[#This Row],[Dec_2026_Days_Actual]]*Table4[[#This Row],[Cost Boolean]]*(VLOOKUP(Table4[[#This Row],[RATE CONCAT]],Tables!I:N,5,0)),0)</f>
        <v/>
      </c>
      <c r="DK27" s="347">
        <f>Table4[[#This Row],[Dec_2026_F]]-Table4[[#This Row],[Dec_2026_A]]</f>
        <v/>
      </c>
      <c r="DL27" s="103" t="n"/>
      <c r="DM27" s="346" t="n"/>
      <c r="DN27" s="347">
        <f>IFERROR(Table4[[#This Row],[Jan_2027_Days_Forecast]]*Table4[[#This Row],[Cost Boolean]]*(VLOOKUP(Table4[[#This Row],[RATE CONCAT]],Tables!I:N,6,0)),0)</f>
        <v/>
      </c>
      <c r="DO27" s="275" t="n"/>
      <c r="DP27" s="347">
        <f>Table4[[#This Row],[Jan_2027_F]]-Table4[[#This Row],[Jan_2027_A]]</f>
        <v/>
      </c>
      <c r="DQ27" s="347">
        <f>IFERROR(Table4[[#This Row],[Feb_2027_Days_Forecast]]*Table4[[#This Row],[Cost Boolean]]*(VLOOKUP(Table4[[#This Row],[RATE CONCAT]],Tables!I:N,6,0)),0)</f>
        <v/>
      </c>
      <c r="DR27" s="275" t="n"/>
      <c r="DS27" s="347">
        <f>Table4[[#This Row],[Feb_2027_F]]-Table4[[#This Row],[Feb_2027_A]]</f>
        <v/>
      </c>
      <c r="DT27" s="347">
        <f>IFERROR(Table4[[#This Row],[Mar_2027_Days_Forecast]]*Table4[[#This Row],[Cost Boolean]]*(VLOOKUP(Table4[[#This Row],[RATE CONCAT]],Tables!I:N,6,0)),0)</f>
        <v/>
      </c>
      <c r="DU27" s="275" t="n"/>
      <c r="DV27" s="347">
        <f>Table4[[#This Row],[Mar_2027_F]]-Table4[[#This Row],[Mar_2027_A]]</f>
        <v/>
      </c>
      <c r="DW27" s="347">
        <f>IFERROR(Table4[[#This Row],[Apr_2027_Days_Forecast]]*Table4[[#This Row],[Cost Boolean]]*(VLOOKUP(Table4[[#This Row],[RATE CONCAT]],Tables!I:N,6,0)),0)</f>
        <v/>
      </c>
      <c r="DX27" s="275" t="n"/>
      <c r="DY27" s="347">
        <f>Table4[[#This Row],[Apr_2027_F]]-Table4[[#This Row],[Apr_2027_A]]</f>
        <v/>
      </c>
      <c r="DZ27" s="347">
        <f>IFERROR(Table4[[#This Row],[May_2027_Days_Forecast]]*Table4[[#This Row],[Cost Boolean]]*(VLOOKUP(Table4[[#This Row],[RATE CONCAT]],Tables!I:N,6,0)),0)</f>
        <v/>
      </c>
      <c r="EA27" s="275" t="n"/>
      <c r="EB27" s="347">
        <f>Table4[[#This Row],[May_2027_F]]-Table4[[#This Row],[May_2027_A]]</f>
        <v/>
      </c>
      <c r="EC27" s="347">
        <f>IFERROR(Table4[[#This Row],[Jun_2027_Days_Forecast]]*Table4[[#This Row],[Cost Boolean]]*(VLOOKUP(Table4[[#This Row],[RATE CONCAT]],Tables!I:N,6,0)),0)</f>
        <v/>
      </c>
      <c r="ED27" s="275" t="n"/>
      <c r="EE27" s="347">
        <f>Table4[[#This Row],[Jun_2027_F]]-Table4[[#This Row],[Jun_2027_A]]</f>
        <v/>
      </c>
      <c r="EF27" s="347">
        <f>IFERROR(Table4[[#This Row],[Jul_2027_Days_Forecast]]*Table4[[#This Row],[Cost Boolean]]*(VLOOKUP(Table4[[#This Row],[RATE CONCAT]],Tables!I:N,6,0)),0)</f>
        <v/>
      </c>
      <c r="EG27" s="275" t="n"/>
      <c r="EH27" s="347">
        <f>Table4[[#This Row],[Jul_2027_F]]-Table4[[#This Row],[Jul_2027_A]]</f>
        <v/>
      </c>
      <c r="EI27" s="347">
        <f>IFERROR(Table4[[#This Row],[Aug_2027_Days_Forecast]]*Table4[[#This Row],[Cost Boolean]]*(VLOOKUP(Table4[[#This Row],[RATE CONCAT]],Tables!I:N,6,0)),0)</f>
        <v/>
      </c>
      <c r="EJ27" s="275" t="n"/>
      <c r="EK27" s="347">
        <f>Table4[[#This Row],[Aug_2027_F]]-Table4[[#This Row],[Aug_2027_A]]</f>
        <v/>
      </c>
      <c r="EL27" s="347">
        <f>IFERROR(Table4[[#This Row],[Sep_2027_Days_Forecast]]*Table4[[#This Row],[Cost Boolean]]*(VLOOKUP(Table4[[#This Row],[RATE CONCAT]],Tables!I:N,6,0)),0)</f>
        <v/>
      </c>
      <c r="EM27" s="275" t="n"/>
      <c r="EN27" s="347">
        <f>Table4[[#This Row],[Sep_2027_F]]-Table4[[#This Row],[Sep_2027_A]]</f>
        <v/>
      </c>
      <c r="EO27" s="347">
        <f>IFERROR(Table4[[#This Row],[Oct_2027_Days_Forecast]]*Table4[[#This Row],[Cost Boolean]]*(VLOOKUP(Table4[[#This Row],[RATE CONCAT]],Tables!I:N,6,0)),0)</f>
        <v/>
      </c>
      <c r="EP27" s="275" t="n"/>
      <c r="EQ27" s="347">
        <f>Table4[[#This Row],[Oct_2027_F]]-Table4[[#This Row],[Oct_2027_A]]</f>
        <v/>
      </c>
      <c r="ER27" s="347">
        <f>IFERROR(Table4[[#This Row],[Nov_2027_Days_Forecast]]*Table4[[#This Row],[Cost Boolean]]*(VLOOKUP(Table4[[#This Row],[RATE CONCAT]],Tables!I:N,6,0)),0)</f>
        <v/>
      </c>
      <c r="ES27" s="275" t="n"/>
      <c r="ET27" s="347">
        <f>Table4[[#This Row],[Nov_2027_F]]-Table4[[#This Row],[Nov_2027_A]]</f>
        <v/>
      </c>
      <c r="EU27" s="347">
        <f>IFERROR(Table4[[#This Row],[Dec_2027_Days_Forecast]]*Table4[[#This Row],[Cost Boolean]]*(VLOOKUP(Table4[[#This Row],[RATE CONCAT]],Tables!I:N,6,0)),0)</f>
        <v/>
      </c>
      <c r="EV27" s="275" t="n"/>
      <c r="EW27" s="347">
        <f>Table4[[#This Row],[Dec_2027_F]]-Table4[[#This Row],[Dec_2027_A]]</f>
        <v/>
      </c>
    </row>
    <row r="28" ht="15" customHeight="1">
      <c r="A28" s="132" t="n"/>
      <c r="B28" s="132" t="n"/>
      <c r="C28" s="132" t="n"/>
      <c r="D28" s="132" t="n"/>
      <c r="E28" s="132" t="n"/>
      <c r="F28" s="132" t="n"/>
      <c r="G28" s="132" t="n"/>
      <c r="H28" s="132" t="n"/>
      <c r="I28" s="132" t="n"/>
      <c r="J28" s="132" t="n"/>
      <c r="K28" s="132" t="n"/>
      <c r="L28" s="132" t="n"/>
      <c r="M28" s="132" t="n"/>
      <c r="N28" s="132" t="n"/>
      <c r="O28" s="132" t="n"/>
      <c r="P28" s="132" t="n"/>
      <c r="Q28" s="132" t="n"/>
      <c r="R28" s="354" t="n"/>
      <c r="S28" s="354" t="n"/>
      <c r="T28" s="354" t="n"/>
      <c r="U28" s="354" t="n"/>
      <c r="V28" s="354" t="n"/>
      <c r="W28" s="354" t="n"/>
      <c r="X28" s="13" t="n"/>
      <c r="Y28" s="350">
        <f>CONCATENATE(Table4[[#This Row],[JG]],Table4[[#This Row],[Country]],Table4[[#This Row],[Resource Provider]])</f>
        <v/>
      </c>
      <c r="Z28" s="350">
        <f>VLOOKUP(Table4[[#This Row],[RATE CONCAT]],Tables!I:N,5,0)</f>
        <v/>
      </c>
      <c r="AA28" s="53" t="n"/>
      <c r="AB28" s="192" t="n"/>
      <c r="AC28" s="192" t="n"/>
      <c r="AD28" s="192" t="n"/>
      <c r="AE28" s="192" t="n"/>
      <c r="AF28" s="192" t="n"/>
      <c r="AG28" s="192" t="n"/>
      <c r="AH28" s="192" t="n"/>
      <c r="AI28" s="192" t="n"/>
      <c r="AJ28" s="192" t="n"/>
      <c r="AK28" s="16" t="n"/>
      <c r="AL28" s="16" t="n"/>
      <c r="AM28" s="16" t="n"/>
      <c r="AN28" s="353">
        <f>IFERROR(AVERAGE(Table4[[#This Row],[Jan_2026_Days_Forecast]:[Dec_2026_Days_Forecast]]),0)/19</f>
        <v/>
      </c>
      <c r="AO28" s="353">
        <f>IFERROR(AVERAGE(Table4[[#This Row],[Jan_2026_Days_Actual]:[Dec_2026_Days_Actual]]),0)/19</f>
        <v/>
      </c>
      <c r="AP28" s="84" t="n"/>
      <c r="AQ28" s="84" t="n"/>
      <c r="AR28" s="84" t="n"/>
      <c r="AS28" s="84" t="n"/>
      <c r="AT28" s="84" t="n"/>
      <c r="AU28" s="84" t="n"/>
      <c r="AV28" s="84" t="n"/>
      <c r="AW28" s="84" t="n"/>
      <c r="AX28" s="84" t="n"/>
      <c r="AY28" s="84" t="n"/>
      <c r="AZ28" s="84" t="n"/>
      <c r="BA28" s="84" t="n"/>
      <c r="BB28" s="353">
        <f>IFERROR(AVERAGE(Table4[[#This Row],[Jan_2027_Days_Forecast]:[Dec_2027_Days_Forecast]]),0)</f>
        <v/>
      </c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  <c r="BL28" s="16" t="n"/>
      <c r="BM28" s="16" t="n"/>
      <c r="BN28" s="16" t="n"/>
      <c r="BO28" s="55" t="n"/>
      <c r="BP28" s="346" t="n"/>
      <c r="BQ28" s="345">
        <f>Table4[[#This Row],[Jan_2026_Days_Forecast]]*Table4[[#This Row],[Cost Boolean]]*VLOOKUP(Table4[[#This Row],[RATE CONCAT]],Tables!I:N,5,0)</f>
        <v/>
      </c>
      <c r="BR28" s="345">
        <f>IFERROR(Table4[[#This Row],[Jan_2026_Days_Actual]]*Table4[[#This Row],[Cost Boolean]]*(VLOOKUP(Table4[[#This Row],[RATE CONCAT]],Tables!I:N,5,0)),0)</f>
        <v/>
      </c>
      <c r="BS28" s="345">
        <f>Table4[[#This Row],[Jan_2026_F]]-Table4[[#This Row],[Jan_2026_A]]</f>
        <v/>
      </c>
      <c r="BT28" s="107" t="n"/>
      <c r="BU28" s="345">
        <f>IFERROR(Table4[[#This Row],[Feb_2026_Days_Forecast]]*Table4[[#This Row],[Cost Boolean]]*(VLOOKUP(Table4[[#This Row],[RATE CONCAT]],Tables!I:N,5,0)),0)</f>
        <v/>
      </c>
      <c r="BV28" s="345">
        <f>IFERROR(Table4[[#This Row],[Feb_2026_Days_Actual]]*Table4[[#This Row],[Cost Boolean]]*(VLOOKUP(Table4[[#This Row],[RATE CONCAT]],Tables!I:N,5,0)),0)</f>
        <v/>
      </c>
      <c r="BW28" s="345">
        <f>Table4[[#This Row],[Feb_2026_F]]-Table4[[#This Row],[Feb_2026_A]]</f>
        <v/>
      </c>
      <c r="BX28" s="103" t="n"/>
      <c r="BY28" s="345">
        <f>IFERROR(Table4[[#This Row],[Mar_2026_Days_Forecast]]*Table4[[#This Row],[Cost Boolean]]*(VLOOKUP(Table4[[#This Row],[RATE CONCAT]],Tables!I:N,5,0)),0)</f>
        <v/>
      </c>
      <c r="BZ28" s="345">
        <f>IFERROR(Table4[[#This Row],[Mar_2026_Days_Actual]]*Table4[[#This Row],[Cost Boolean]]*(VLOOKUP(Table4[[#This Row],[RATE CONCAT]],Tables!I:N,5,0)),0)</f>
        <v/>
      </c>
      <c r="CA28" s="345">
        <f>Table4[[#This Row],[Mar_2026_F]]-Table4[[#This Row],[Mar_2026_A]]</f>
        <v/>
      </c>
      <c r="CB28" s="103" t="n"/>
      <c r="CC28" s="345">
        <f>IFERROR(Table4[[#This Row],[Apr_2026_Days_Forecast]]*Table4[[#This Row],[Cost Boolean]]*(VLOOKUP(Table4[[#This Row],[RATE CONCAT]],Tables!I:N,5,0)),0)</f>
        <v/>
      </c>
      <c r="CD28" s="345">
        <f>IFERROR(Table4[[#This Row],[Apr_2026_Days_Actual]]*Table4[[#This Row],[Cost Boolean]]*(VLOOKUP(Table4[[#This Row],[RATE CONCAT]],Tables!I:N,5,0)),0)</f>
        <v/>
      </c>
      <c r="CE28" s="345">
        <f>Table4[[#This Row],[Apr_2026_F]]-Table4[[#This Row],[Apr_2026_A]]</f>
        <v/>
      </c>
      <c r="CF28" s="103" t="n"/>
      <c r="CG28" s="345">
        <f>IFERROR(Table4[[#This Row],[May_2026_Days_Forecast]] *Table4[[#This Row],[Cost Boolean]]*(VLOOKUP(Table4[[#This Row],[RATE CONCAT]],Tables!I:N,5,0)),0)</f>
        <v/>
      </c>
      <c r="CH28" s="345">
        <f>IFERROR(Table4[[#This Row],[May_2026_Days_Actual]]*Table4[[#This Row],[Cost Boolean]]*(VLOOKUP(Table4[[#This Row],[RATE CONCAT]],Tables!I:N,5,0)),0)</f>
        <v/>
      </c>
      <c r="CI28" s="345">
        <f>Table4[[#This Row],[May_2026_F]]-Table4[[#This Row],[May_2026_A]]</f>
        <v/>
      </c>
      <c r="CJ28" s="103" t="n"/>
      <c r="CK28" s="345">
        <f>IFERROR(Table4[[#This Row],[Jun_2026_Days_Forecast]]*Table4[[#This Row],[Cost Boolean]]*(VLOOKUP(Table4[[#This Row],[RATE CONCAT]],Tables!I:N,5,0)),0)</f>
        <v/>
      </c>
      <c r="CL28" s="345">
        <f>IFERROR(Table4[[#This Row],[Jun_2026_Days_Actual]]*Table4[[#This Row],[Cost Boolean]]*(VLOOKUP(Table4[[#This Row],[RATE CONCAT]],Tables!I:N,5,0)),0)</f>
        <v/>
      </c>
      <c r="CM28" s="345">
        <f>Table4[[#This Row],[Jun_2026_F]]-Table4[[#This Row],[Jun_2026_A]]</f>
        <v/>
      </c>
      <c r="CN28" s="103" t="n"/>
      <c r="CO28" s="345">
        <f>IFERROR(Table4[[#This Row],[Jul_2026_Days_Forecast]]*Table4[[#This Row],[Cost Boolean]]*(VLOOKUP(Table4[[#This Row],[RATE CONCAT]],Tables!I:N,5,0)),0)</f>
        <v/>
      </c>
      <c r="CP28" s="345">
        <f>IFERROR(Table4[[#This Row],[Aug_2026_Days_Forecast]]*Table4[[#This Row],[Location]]*(VLOOKUP(Table4[[#This Row],[Rate]],Tables!J:O,5,0)),0)</f>
        <v/>
      </c>
      <c r="CQ28" s="345">
        <f>Table4[[#This Row],[Jul_2026_F]]-Table4[[#This Row],[Jul_2026_A]]</f>
        <v/>
      </c>
      <c r="CR28" s="103" t="n"/>
      <c r="CS28" s="345">
        <f>IFERROR(Table4[[#This Row],[Aug_2026_Days_Forecast]]*Table4[[#This Row],[Cost Boolean]]*(VLOOKUP(Table4[[#This Row],[RATE CONCAT]],Tables!I:N,5,0)),0)</f>
        <v/>
      </c>
      <c r="CT28" s="345">
        <f>IFERROR(Table4[[#This Row],[Aug_2026_Days_Actual]]*Table4[[#This Row],[Cost Boolean]]*(VLOOKUP(Table4[[#This Row],[RATE CONCAT]],Tables!I:N,5,0)),0)</f>
        <v/>
      </c>
      <c r="CU28" s="345">
        <f>Table4[[#This Row],[Aug_2026_F]]-Table4[[#This Row],[Aug_2026_A]]</f>
        <v/>
      </c>
      <c r="CV28" s="103" t="n"/>
      <c r="CW28" s="345">
        <f>IFERROR(Table4[[#This Row],[Sep_2026_Days_Forecast]]*Table4[[#This Row],[Cost Boolean]]*(VLOOKUP(Table4[[#This Row],[RATE CONCAT]],Tables!I:N,5,0)),0)</f>
        <v/>
      </c>
      <c r="CX28" s="345">
        <f>IFERROR(Table4[[#This Row],[Sep_2026_Days_Actual]]*Table4[[#This Row],[Cost Boolean]]*(VLOOKUP(Table4[[#This Row],[RATE CONCAT]],Tables!I:N,5,0)),0)</f>
        <v/>
      </c>
      <c r="CY28" s="345">
        <f>Table4[[#This Row],[Sep_2026_F]]-Table4[[#This Row],[Sep_2026_A]]</f>
        <v/>
      </c>
      <c r="CZ28" s="103" t="n"/>
      <c r="DA28" s="345">
        <f>IFERROR(Table4[[#This Row],[Oct_2026_Days_Forecast]]*Table4[[#This Row],[Cost Boolean]]*(VLOOKUP(Table4[[#This Row],[RATE CONCAT]],Tables!I:N,5,0)),0)</f>
        <v/>
      </c>
      <c r="DB28" s="345">
        <f>IFERROR(Table4[[#This Row],[Oct_2026_Days_Actual]]*Table4[[#This Row],[Cost Boolean]]*(VLOOKUP(Table4[[#This Row],[RATE CONCAT]],Tables!I:N,5,0)),0)</f>
        <v/>
      </c>
      <c r="DC28" s="345">
        <f>Table4[[#This Row],[Oct_2026_F]]-Table4[[#This Row],[Oct_2026_A]]</f>
        <v/>
      </c>
      <c r="DD28" s="103" t="n"/>
      <c r="DE28" s="345">
        <f>IFERROR(Table4[[#This Row],[Nov_2026_Days_Forecast]]*Table4[[#This Row],[Cost Boolean]]*(VLOOKUP(Table4[[#This Row],[RATE CONCAT]],Tables!I:N,5,0)),0)</f>
        <v/>
      </c>
      <c r="DF28" s="345">
        <f>IFERROR(Table4[[#This Row],[Nov_2026_Days_Actual]]*Table4[[#This Row],[Cost Boolean]]*(VLOOKUP(Table4[[#This Row],[RATE CONCAT]],Tables!I:N,5,0)),0)</f>
        <v/>
      </c>
      <c r="DG28" s="345">
        <f>Table4[[#This Row],[Nov_2026_F]]-Table4[[#This Row],[Nov_2026_A]]</f>
        <v/>
      </c>
      <c r="DH28" s="103" t="n"/>
      <c r="DI28" s="345">
        <f>IFERROR(Table4[[#This Row],[Dec_2026_Days_Forecast]]*Table4[[#This Row],[Cost Boolean]]*(VLOOKUP(Table4[[#This Row],[RATE CONCAT]],Tables!I:N,5,0)),0)</f>
        <v/>
      </c>
      <c r="DJ28" s="345">
        <f>IFERROR(Table4[[#This Row],[Dec_2026_Days_Actual]]*Table4[[#This Row],[Cost Boolean]]*(VLOOKUP(Table4[[#This Row],[RATE CONCAT]],Tables!I:N,5,0)),0)</f>
        <v/>
      </c>
      <c r="DK28" s="345">
        <f>Table4[[#This Row],[Dec_2026_F]]-Table4[[#This Row],[Dec_2026_A]]</f>
        <v/>
      </c>
      <c r="DL28" s="103" t="n"/>
      <c r="DM28" s="346" t="n"/>
      <c r="DN28" s="345">
        <f>IFERROR(Table4[[#This Row],[Jan_2027_Days_Forecast]]*Table4[[#This Row],[Cost Boolean]]*(VLOOKUP(Table4[[#This Row],[RATE CONCAT]],Tables!I:N,6,0)),0)</f>
        <v/>
      </c>
      <c r="DO28" s="275" t="n"/>
      <c r="DP28" s="345">
        <f>Table4[[#This Row],[Jan_2027_F]]-Table4[[#This Row],[Jan_2027_A]]</f>
        <v/>
      </c>
      <c r="DQ28" s="345">
        <f>IFERROR(Table4[[#This Row],[Feb_2027_Days_Forecast]]*Table4[[#This Row],[Cost Boolean]]*(VLOOKUP(Table4[[#This Row],[RATE CONCAT]],Tables!I:N,6,0)),0)</f>
        <v/>
      </c>
      <c r="DR28" s="275" t="n"/>
      <c r="DS28" s="345">
        <f>Table4[[#This Row],[Feb_2027_F]]-Table4[[#This Row],[Feb_2027_A]]</f>
        <v/>
      </c>
      <c r="DT28" s="345">
        <f>IFERROR(Table4[[#This Row],[Mar_2027_Days_Forecast]]*Table4[[#This Row],[Cost Boolean]]*(VLOOKUP(Table4[[#This Row],[RATE CONCAT]],Tables!I:N,6,0)),0)</f>
        <v/>
      </c>
      <c r="DU28" s="275" t="n"/>
      <c r="DV28" s="345">
        <f>Table4[[#This Row],[Mar_2027_F]]-Table4[[#This Row],[Mar_2027_A]]</f>
        <v/>
      </c>
      <c r="DW28" s="345">
        <f>IFERROR(Table4[[#This Row],[Apr_2027_Days_Forecast]]*Table4[[#This Row],[Cost Boolean]]*(VLOOKUP(Table4[[#This Row],[RATE CONCAT]],Tables!I:N,6,0)),0)</f>
        <v/>
      </c>
      <c r="DX28" s="275" t="n"/>
      <c r="DY28" s="345">
        <f>Table4[[#This Row],[Apr_2027_F]]-Table4[[#This Row],[Apr_2027_A]]</f>
        <v/>
      </c>
      <c r="DZ28" s="345">
        <f>IFERROR(Table4[[#This Row],[May_2027_Days_Forecast]]*Table4[[#This Row],[Cost Boolean]]*(VLOOKUP(Table4[[#This Row],[RATE CONCAT]],Tables!I:N,6,0)),0)</f>
        <v/>
      </c>
      <c r="EA28" s="275" t="n"/>
      <c r="EB28" s="345">
        <f>Table4[[#This Row],[May_2027_F]]-Table4[[#This Row],[May_2027_A]]</f>
        <v/>
      </c>
      <c r="EC28" s="345">
        <f>IFERROR(Table4[[#This Row],[Jun_2027_Days_Forecast]]*Table4[[#This Row],[Cost Boolean]]*(VLOOKUP(Table4[[#This Row],[RATE CONCAT]],Tables!I:N,6,0)),0)</f>
        <v/>
      </c>
      <c r="ED28" s="275" t="n"/>
      <c r="EE28" s="345">
        <f>Table4[[#This Row],[Jun_2027_F]]-Table4[[#This Row],[Jun_2027_A]]</f>
        <v/>
      </c>
      <c r="EF28" s="345">
        <f>IFERROR(Table4[[#This Row],[Jul_2027_Days_Forecast]]*Table4[[#This Row],[Cost Boolean]]*(VLOOKUP(Table4[[#This Row],[RATE CONCAT]],Tables!I:N,6,0)),0)</f>
        <v/>
      </c>
      <c r="EG28" s="275" t="n"/>
      <c r="EH28" s="345">
        <f>Table4[[#This Row],[Jul_2027_F]]-Table4[[#This Row],[Jul_2027_A]]</f>
        <v/>
      </c>
      <c r="EI28" s="345">
        <f>IFERROR(Table4[[#This Row],[Aug_2027_Days_Forecast]]*Table4[[#This Row],[Cost Boolean]]*(VLOOKUP(Table4[[#This Row],[RATE CONCAT]],Tables!I:N,6,0)),0)</f>
        <v/>
      </c>
      <c r="EJ28" s="275" t="n"/>
      <c r="EK28" s="345">
        <f>Table4[[#This Row],[Aug_2027_F]]-Table4[[#This Row],[Aug_2027_A]]</f>
        <v/>
      </c>
      <c r="EL28" s="345">
        <f>IFERROR(Table4[[#This Row],[Sep_2027_Days_Forecast]]*Table4[[#This Row],[Cost Boolean]]*(VLOOKUP(Table4[[#This Row],[RATE CONCAT]],Tables!I:N,6,0)),0)</f>
        <v/>
      </c>
      <c r="EM28" s="275" t="n"/>
      <c r="EN28" s="345">
        <f>Table4[[#This Row],[Sep_2027_F]]-Table4[[#This Row],[Sep_2027_A]]</f>
        <v/>
      </c>
      <c r="EO28" s="345">
        <f>IFERROR(Table4[[#This Row],[Oct_2027_Days_Forecast]]*Table4[[#This Row],[Cost Boolean]]*(VLOOKUP(Table4[[#This Row],[RATE CONCAT]],Tables!I:N,6,0)),0)</f>
        <v/>
      </c>
      <c r="EP28" s="275" t="n"/>
      <c r="EQ28" s="345">
        <f>Table4[[#This Row],[Oct_2027_F]]-Table4[[#This Row],[Oct_2027_A]]</f>
        <v/>
      </c>
      <c r="ER28" s="345">
        <f>IFERROR(Table4[[#This Row],[Nov_2027_Days_Forecast]]*Table4[[#This Row],[Cost Boolean]]*(VLOOKUP(Table4[[#This Row],[RATE CONCAT]],Tables!I:N,6,0)),0)</f>
        <v/>
      </c>
      <c r="ES28" s="275" t="n"/>
      <c r="ET28" s="345">
        <f>Table4[[#This Row],[Nov_2027_F]]-Table4[[#This Row],[Nov_2027_A]]</f>
        <v/>
      </c>
      <c r="EU28" s="345">
        <f>IFERROR(Table4[[#This Row],[Dec_2027_Days_Forecast]]*Table4[[#This Row],[Cost Boolean]]*(VLOOKUP(Table4[[#This Row],[RATE CONCAT]],Tables!I:N,6,0)),0)</f>
        <v/>
      </c>
      <c r="EV28" s="275" t="n"/>
      <c r="EW28" s="345">
        <f>Table4[[#This Row],[Dec_2027_F]]-Table4[[#This Row],[Dec_2027_A]]</f>
        <v/>
      </c>
    </row>
    <row r="29" ht="15" customHeight="1">
      <c r="A29" s="132" t="n"/>
      <c r="B29" s="132" t="n"/>
      <c r="C29" s="132" t="n"/>
      <c r="D29" s="132" t="n"/>
      <c r="E29" s="132" t="n"/>
      <c r="F29" s="132" t="n"/>
      <c r="G29" s="132" t="n"/>
      <c r="H29" s="132" t="n"/>
      <c r="I29" s="132" t="n"/>
      <c r="J29" s="132" t="n"/>
      <c r="K29" s="132" t="n"/>
      <c r="L29" s="132" t="n"/>
      <c r="M29" s="132" t="n"/>
      <c r="N29" s="132" t="n"/>
      <c r="O29" s="132" t="n"/>
      <c r="P29" s="132" t="n"/>
      <c r="Q29" s="132" t="n"/>
      <c r="R29" s="354" t="n"/>
      <c r="S29" s="354" t="n"/>
      <c r="T29" s="354" t="n"/>
      <c r="U29" s="354" t="n"/>
      <c r="V29" s="354" t="n"/>
      <c r="W29" s="354" t="n"/>
      <c r="X29" s="13" t="n"/>
      <c r="Y29" s="350">
        <f>CONCATENATE(Table4[[#This Row],[JG]],Table4[[#This Row],[Country]],Table4[[#This Row],[Resource Provider]])</f>
        <v/>
      </c>
      <c r="Z29" s="350">
        <f>VLOOKUP(Table4[[#This Row],[RATE CONCAT]],Tables!I:N,5,0)</f>
        <v/>
      </c>
      <c r="AA29" s="53" t="n"/>
      <c r="AB29" s="192" t="n"/>
      <c r="AC29" s="192" t="n"/>
      <c r="AD29" s="192" t="n"/>
      <c r="AE29" s="192" t="n"/>
      <c r="AF29" s="192" t="n"/>
      <c r="AG29" s="192" t="n"/>
      <c r="AH29" s="192" t="n"/>
      <c r="AI29" s="192" t="n"/>
      <c r="AJ29" s="192" t="n"/>
      <c r="AK29" s="16" t="n"/>
      <c r="AL29" s="16" t="n"/>
      <c r="AM29" s="16" t="n"/>
      <c r="AN29" s="353">
        <f>IFERROR(AVERAGE(Table4[[#This Row],[Jan_2026_Days_Forecast]:[Dec_2026_Days_Forecast]]),0)/19</f>
        <v/>
      </c>
      <c r="AO29" s="353">
        <f>IFERROR(AVERAGE(Table4[[#This Row],[Jan_2026_Days_Actual]:[Dec_2026_Days_Actual]]),0)/19</f>
        <v/>
      </c>
      <c r="AP29" s="84" t="n"/>
      <c r="AQ29" s="84" t="n"/>
      <c r="AR29" s="84" t="n"/>
      <c r="AS29" s="84" t="n"/>
      <c r="AT29" s="84" t="n"/>
      <c r="AU29" s="84" t="n"/>
      <c r="AV29" s="84" t="n"/>
      <c r="AW29" s="84" t="n"/>
      <c r="AX29" s="84" t="n"/>
      <c r="AY29" s="84" t="n"/>
      <c r="AZ29" s="84" t="n"/>
      <c r="BA29" s="84" t="n"/>
      <c r="BB29" s="353">
        <f>IFERROR(AVERAGE(Table4[[#This Row],[Jan_2027_Days_Forecast]:[Dec_2027_Days_Forecast]]),0)</f>
        <v/>
      </c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  <c r="BL29" s="16" t="n"/>
      <c r="BM29" s="16" t="n"/>
      <c r="BN29" s="16" t="n"/>
      <c r="BO29" s="55" t="n"/>
      <c r="BP29" s="346" t="n"/>
      <c r="BQ29" s="347">
        <f>Table4[[#This Row],[Jan_2026_Days_Forecast]]*Table4[[#This Row],[Cost Boolean]]*VLOOKUP(Table4[[#This Row],[RATE CONCAT]],Tables!I:N,5,0)</f>
        <v/>
      </c>
      <c r="BR29" s="347">
        <f>IFERROR(Table4[[#This Row],[Jan_2026_Days_Actual]]*Table4[[#This Row],[Cost Boolean]]*(VLOOKUP(Table4[[#This Row],[RATE CONCAT]],Tables!I:N,5,0)),0)</f>
        <v/>
      </c>
      <c r="BS29" s="347">
        <f>Table4[[#This Row],[Jan_2026_F]]-Table4[[#This Row],[Jan_2026_A]]</f>
        <v/>
      </c>
      <c r="BT29" s="107" t="n"/>
      <c r="BU29" s="347">
        <f>IFERROR(Table4[[#This Row],[Feb_2026_Days_Forecast]]*Table4[[#This Row],[Cost Boolean]]*(VLOOKUP(Table4[[#This Row],[RATE CONCAT]],Tables!I:N,5,0)),0)</f>
        <v/>
      </c>
      <c r="BV29" s="347">
        <f>IFERROR(Table4[[#This Row],[Feb_2026_Days_Actual]]*Table4[[#This Row],[Cost Boolean]]*(VLOOKUP(Table4[[#This Row],[RATE CONCAT]],Tables!I:N,5,0)),0)</f>
        <v/>
      </c>
      <c r="BW29" s="347">
        <f>Table4[[#This Row],[Feb_2026_F]]-Table4[[#This Row],[Feb_2026_A]]</f>
        <v/>
      </c>
      <c r="BX29" s="103" t="n"/>
      <c r="BY29" s="347">
        <f>IFERROR(Table4[[#This Row],[Mar_2026_Days_Forecast]]*Table4[[#This Row],[Cost Boolean]]*(VLOOKUP(Table4[[#This Row],[RATE CONCAT]],Tables!I:N,5,0)),0)</f>
        <v/>
      </c>
      <c r="BZ29" s="347">
        <f>IFERROR(Table4[[#This Row],[Mar_2026_Days_Actual]]*Table4[[#This Row],[Cost Boolean]]*(VLOOKUP(Table4[[#This Row],[RATE CONCAT]],Tables!I:N,5,0)),0)</f>
        <v/>
      </c>
      <c r="CA29" s="347">
        <f>Table4[[#This Row],[Mar_2026_F]]-Table4[[#This Row],[Mar_2026_A]]</f>
        <v/>
      </c>
      <c r="CB29" s="103" t="n"/>
      <c r="CC29" s="347">
        <f>IFERROR(Table4[[#This Row],[Apr_2026_Days_Forecast]]*Table4[[#This Row],[Cost Boolean]]*(VLOOKUP(Table4[[#This Row],[RATE CONCAT]],Tables!I:N,5,0)),0)</f>
        <v/>
      </c>
      <c r="CD29" s="347">
        <f>IFERROR(Table4[[#This Row],[Apr_2026_Days_Actual]]*Table4[[#This Row],[Cost Boolean]]*(VLOOKUP(Table4[[#This Row],[RATE CONCAT]],Tables!I:N,5,0)),0)</f>
        <v/>
      </c>
      <c r="CE29" s="347">
        <f>Table4[[#This Row],[Apr_2026_F]]-Table4[[#This Row],[Apr_2026_A]]</f>
        <v/>
      </c>
      <c r="CF29" s="103" t="n"/>
      <c r="CG29" s="347">
        <f>IFERROR(Table4[[#This Row],[May_2026_Days_Forecast]] *Table4[[#This Row],[Cost Boolean]]*(VLOOKUP(Table4[[#This Row],[RATE CONCAT]],Tables!I:N,5,0)),0)</f>
        <v/>
      </c>
      <c r="CH29" s="347">
        <f>IFERROR(Table4[[#This Row],[May_2026_Days_Actual]]*Table4[[#This Row],[Cost Boolean]]*(VLOOKUP(Table4[[#This Row],[RATE CONCAT]],Tables!I:N,5,0)),0)</f>
        <v/>
      </c>
      <c r="CI29" s="347">
        <f>Table4[[#This Row],[May_2026_F]]-Table4[[#This Row],[May_2026_A]]</f>
        <v/>
      </c>
      <c r="CJ29" s="103" t="n"/>
      <c r="CK29" s="347">
        <f>IFERROR(Table4[[#This Row],[Jun_2026_Days_Forecast]]*Table4[[#This Row],[Cost Boolean]]*(VLOOKUP(Table4[[#This Row],[RATE CONCAT]],Tables!I:N,5,0)),0)</f>
        <v/>
      </c>
      <c r="CL29" s="347">
        <f>IFERROR(Table4[[#This Row],[Jun_2026_Days_Actual]]*Table4[[#This Row],[Cost Boolean]]*(VLOOKUP(Table4[[#This Row],[RATE CONCAT]],Tables!I:N,5,0)),0)</f>
        <v/>
      </c>
      <c r="CM29" s="347">
        <f>Table4[[#This Row],[Jun_2026_F]]-Table4[[#This Row],[Jun_2026_A]]</f>
        <v/>
      </c>
      <c r="CN29" s="103" t="n"/>
      <c r="CO29" s="347">
        <f>IFERROR(Table4[[#This Row],[Jul_2026_Days_Forecast]]*Table4[[#This Row],[Cost Boolean]]*(VLOOKUP(Table4[[#This Row],[RATE CONCAT]],Tables!I:N,5,0)),0)</f>
        <v/>
      </c>
      <c r="CP29" s="347">
        <f>IFERROR(Table4[[#This Row],[Aug_2026_Days_Forecast]]*Table4[[#This Row],[Location]]*(VLOOKUP(Table4[[#This Row],[Rate]],Tables!J:O,5,0)),0)</f>
        <v/>
      </c>
      <c r="CQ29" s="347">
        <f>Table4[[#This Row],[Jul_2026_F]]-Table4[[#This Row],[Jul_2026_A]]</f>
        <v/>
      </c>
      <c r="CR29" s="103" t="n"/>
      <c r="CS29" s="347">
        <f>IFERROR(Table4[[#This Row],[Aug_2026_Days_Forecast]]*Table4[[#This Row],[Cost Boolean]]*(VLOOKUP(Table4[[#This Row],[RATE CONCAT]],Tables!I:N,5,0)),0)</f>
        <v/>
      </c>
      <c r="CT29" s="347">
        <f>IFERROR(Table4[[#This Row],[Aug_2026_Days_Actual]]*Table4[[#This Row],[Cost Boolean]]*(VLOOKUP(Table4[[#This Row],[RATE CONCAT]],Tables!I:N,5,0)),0)</f>
        <v/>
      </c>
      <c r="CU29" s="347">
        <f>Table4[[#This Row],[Aug_2026_F]]-Table4[[#This Row],[Aug_2026_A]]</f>
        <v/>
      </c>
      <c r="CV29" s="103" t="n"/>
      <c r="CW29" s="347">
        <f>IFERROR(Table4[[#This Row],[Sep_2026_Days_Forecast]]*Table4[[#This Row],[Cost Boolean]]*(VLOOKUP(Table4[[#This Row],[RATE CONCAT]],Tables!I:N,5,0)),0)</f>
        <v/>
      </c>
      <c r="CX29" s="347">
        <f>IFERROR(Table4[[#This Row],[Sep_2026_Days_Actual]]*Table4[[#This Row],[Cost Boolean]]*(VLOOKUP(Table4[[#This Row],[RATE CONCAT]],Tables!I:N,5,0)),0)</f>
        <v/>
      </c>
      <c r="CY29" s="347">
        <f>Table4[[#This Row],[Sep_2026_F]]-Table4[[#This Row],[Sep_2026_A]]</f>
        <v/>
      </c>
      <c r="CZ29" s="103" t="n"/>
      <c r="DA29" s="347">
        <f>IFERROR(Table4[[#This Row],[Oct_2026_Days_Forecast]]*Table4[[#This Row],[Cost Boolean]]*(VLOOKUP(Table4[[#This Row],[RATE CONCAT]],Tables!I:N,5,0)),0)</f>
        <v/>
      </c>
      <c r="DB29" s="347">
        <f>IFERROR(Table4[[#This Row],[Oct_2026_Days_Actual]]*Table4[[#This Row],[Cost Boolean]]*(VLOOKUP(Table4[[#This Row],[RATE CONCAT]],Tables!I:N,5,0)),0)</f>
        <v/>
      </c>
      <c r="DC29" s="347">
        <f>Table4[[#This Row],[Oct_2026_F]]-Table4[[#This Row],[Oct_2026_A]]</f>
        <v/>
      </c>
      <c r="DD29" s="103" t="n"/>
      <c r="DE29" s="347">
        <f>IFERROR(Table4[[#This Row],[Nov_2026_Days_Forecast]]*Table4[[#This Row],[Cost Boolean]]*(VLOOKUP(Table4[[#This Row],[RATE CONCAT]],Tables!I:N,5,0)),0)</f>
        <v/>
      </c>
      <c r="DF29" s="347">
        <f>IFERROR(Table4[[#This Row],[Nov_2026_Days_Actual]]*Table4[[#This Row],[Cost Boolean]]*(VLOOKUP(Table4[[#This Row],[RATE CONCAT]],Tables!I:N,5,0)),0)</f>
        <v/>
      </c>
      <c r="DG29" s="347">
        <f>Table4[[#This Row],[Nov_2026_F]]-Table4[[#This Row],[Nov_2026_A]]</f>
        <v/>
      </c>
      <c r="DH29" s="103" t="n"/>
      <c r="DI29" s="347">
        <f>IFERROR(Table4[[#This Row],[Dec_2026_Days_Forecast]]*Table4[[#This Row],[Cost Boolean]]*(VLOOKUP(Table4[[#This Row],[RATE CONCAT]],Tables!I:N,5,0)),0)</f>
        <v/>
      </c>
      <c r="DJ29" s="347">
        <f>IFERROR(Table4[[#This Row],[Dec_2026_Days_Actual]]*Table4[[#This Row],[Cost Boolean]]*(VLOOKUP(Table4[[#This Row],[RATE CONCAT]],Tables!I:N,5,0)),0)</f>
        <v/>
      </c>
      <c r="DK29" s="347">
        <f>Table4[[#This Row],[Dec_2026_F]]-Table4[[#This Row],[Dec_2026_A]]</f>
        <v/>
      </c>
      <c r="DL29" s="103" t="n"/>
      <c r="DM29" s="346" t="n"/>
      <c r="DN29" s="347">
        <f>IFERROR(Table4[[#This Row],[Jan_2027_Days_Forecast]]*Table4[[#This Row],[Cost Boolean]]*(VLOOKUP(Table4[[#This Row],[RATE CONCAT]],Tables!I:N,6,0)),0)</f>
        <v/>
      </c>
      <c r="DO29" s="275" t="n"/>
      <c r="DP29" s="347">
        <f>Table4[[#This Row],[Jan_2027_F]]-Table4[[#This Row],[Jan_2027_A]]</f>
        <v/>
      </c>
      <c r="DQ29" s="347">
        <f>IFERROR(Table4[[#This Row],[Feb_2027_Days_Forecast]]*Table4[[#This Row],[Cost Boolean]]*(VLOOKUP(Table4[[#This Row],[RATE CONCAT]],Tables!I:N,6,0)),0)</f>
        <v/>
      </c>
      <c r="DR29" s="275" t="n"/>
      <c r="DS29" s="347">
        <f>Table4[[#This Row],[Feb_2027_F]]-Table4[[#This Row],[Feb_2027_A]]</f>
        <v/>
      </c>
      <c r="DT29" s="347">
        <f>IFERROR(Table4[[#This Row],[Mar_2027_Days_Forecast]]*Table4[[#This Row],[Cost Boolean]]*(VLOOKUP(Table4[[#This Row],[RATE CONCAT]],Tables!I:N,6,0)),0)</f>
        <v/>
      </c>
      <c r="DU29" s="275" t="n"/>
      <c r="DV29" s="347">
        <f>Table4[[#This Row],[Mar_2027_F]]-Table4[[#This Row],[Mar_2027_A]]</f>
        <v/>
      </c>
      <c r="DW29" s="347">
        <f>IFERROR(Table4[[#This Row],[Apr_2027_Days_Forecast]]*Table4[[#This Row],[Cost Boolean]]*(VLOOKUP(Table4[[#This Row],[RATE CONCAT]],Tables!I:N,6,0)),0)</f>
        <v/>
      </c>
      <c r="DX29" s="275" t="n"/>
      <c r="DY29" s="347">
        <f>Table4[[#This Row],[Apr_2027_F]]-Table4[[#This Row],[Apr_2027_A]]</f>
        <v/>
      </c>
      <c r="DZ29" s="347">
        <f>IFERROR(Table4[[#This Row],[May_2027_Days_Forecast]]*Table4[[#This Row],[Cost Boolean]]*(VLOOKUP(Table4[[#This Row],[RATE CONCAT]],Tables!I:N,6,0)),0)</f>
        <v/>
      </c>
      <c r="EA29" s="275" t="n"/>
      <c r="EB29" s="347">
        <f>Table4[[#This Row],[May_2027_F]]-Table4[[#This Row],[May_2027_A]]</f>
        <v/>
      </c>
      <c r="EC29" s="347">
        <f>IFERROR(Table4[[#This Row],[Jun_2027_Days_Forecast]]*Table4[[#This Row],[Cost Boolean]]*(VLOOKUP(Table4[[#This Row],[RATE CONCAT]],Tables!I:N,6,0)),0)</f>
        <v/>
      </c>
      <c r="ED29" s="275" t="n"/>
      <c r="EE29" s="347">
        <f>Table4[[#This Row],[Jun_2027_F]]-Table4[[#This Row],[Jun_2027_A]]</f>
        <v/>
      </c>
      <c r="EF29" s="347">
        <f>IFERROR(Table4[[#This Row],[Jul_2027_Days_Forecast]]*Table4[[#This Row],[Cost Boolean]]*(VLOOKUP(Table4[[#This Row],[RATE CONCAT]],Tables!I:N,6,0)),0)</f>
        <v/>
      </c>
      <c r="EG29" s="275" t="n"/>
      <c r="EH29" s="347">
        <f>Table4[[#This Row],[Jul_2027_F]]-Table4[[#This Row],[Jul_2027_A]]</f>
        <v/>
      </c>
      <c r="EI29" s="347">
        <f>IFERROR(Table4[[#This Row],[Aug_2027_Days_Forecast]]*Table4[[#This Row],[Cost Boolean]]*(VLOOKUP(Table4[[#This Row],[RATE CONCAT]],Tables!I:N,6,0)),0)</f>
        <v/>
      </c>
      <c r="EJ29" s="275" t="n"/>
      <c r="EK29" s="347">
        <f>Table4[[#This Row],[Aug_2027_F]]-Table4[[#This Row],[Aug_2027_A]]</f>
        <v/>
      </c>
      <c r="EL29" s="347">
        <f>IFERROR(Table4[[#This Row],[Sep_2027_Days_Forecast]]*Table4[[#This Row],[Cost Boolean]]*(VLOOKUP(Table4[[#This Row],[RATE CONCAT]],Tables!I:N,6,0)),0)</f>
        <v/>
      </c>
      <c r="EM29" s="275" t="n"/>
      <c r="EN29" s="347">
        <f>Table4[[#This Row],[Sep_2027_F]]-Table4[[#This Row],[Sep_2027_A]]</f>
        <v/>
      </c>
      <c r="EO29" s="347">
        <f>IFERROR(Table4[[#This Row],[Oct_2027_Days_Forecast]]*Table4[[#This Row],[Cost Boolean]]*(VLOOKUP(Table4[[#This Row],[RATE CONCAT]],Tables!I:N,6,0)),0)</f>
        <v/>
      </c>
      <c r="EP29" s="275" t="n"/>
      <c r="EQ29" s="347">
        <f>Table4[[#This Row],[Oct_2027_F]]-Table4[[#This Row],[Oct_2027_A]]</f>
        <v/>
      </c>
      <c r="ER29" s="347">
        <f>IFERROR(Table4[[#This Row],[Nov_2027_Days_Forecast]]*Table4[[#This Row],[Cost Boolean]]*(VLOOKUP(Table4[[#This Row],[RATE CONCAT]],Tables!I:N,6,0)),0)</f>
        <v/>
      </c>
      <c r="ES29" s="275" t="n"/>
      <c r="ET29" s="347">
        <f>Table4[[#This Row],[Nov_2027_F]]-Table4[[#This Row],[Nov_2027_A]]</f>
        <v/>
      </c>
      <c r="EU29" s="347">
        <f>IFERROR(Table4[[#This Row],[Dec_2027_Days_Forecast]]*Table4[[#This Row],[Cost Boolean]]*(VLOOKUP(Table4[[#This Row],[RATE CONCAT]],Tables!I:N,6,0)),0)</f>
        <v/>
      </c>
      <c r="EV29" s="275" t="n"/>
      <c r="EW29" s="347">
        <f>Table4[[#This Row],[Dec_2027_F]]-Table4[[#This Row],[Dec_2027_A]]</f>
        <v/>
      </c>
    </row>
    <row r="30" ht="15" customHeight="1">
      <c r="A30" s="132" t="n"/>
      <c r="B30" s="132" t="n"/>
      <c r="C30" s="132" t="n"/>
      <c r="D30" s="132" t="n"/>
      <c r="E30" s="132" t="n"/>
      <c r="F30" s="132" t="n"/>
      <c r="G30" s="132" t="n"/>
      <c r="H30" s="132" t="n"/>
      <c r="I30" s="132" t="n"/>
      <c r="J30" s="132" t="n"/>
      <c r="K30" s="132" t="n"/>
      <c r="L30" s="132" t="n"/>
      <c r="M30" s="132" t="n"/>
      <c r="N30" s="132" t="n"/>
      <c r="O30" s="132" t="n"/>
      <c r="P30" s="132" t="n"/>
      <c r="Q30" s="132" t="n"/>
      <c r="R30" s="354" t="n"/>
      <c r="S30" s="354" t="n"/>
      <c r="T30" s="354" t="n"/>
      <c r="U30" s="354" t="n"/>
      <c r="V30" s="354" t="n"/>
      <c r="W30" s="354" t="n"/>
      <c r="X30" s="13" t="n"/>
      <c r="Y30" s="350">
        <f>CONCATENATE(Table4[[#This Row],[JG]],Table4[[#This Row],[Country]],Table4[[#This Row],[Resource Provider]])</f>
        <v/>
      </c>
      <c r="Z30" s="350">
        <f>VLOOKUP(Table4[[#This Row],[RATE CONCAT]],Tables!I:N,5,0)</f>
        <v/>
      </c>
      <c r="AA30" s="53" t="n"/>
      <c r="AB30" s="192" t="n"/>
      <c r="AC30" s="192" t="n"/>
      <c r="AD30" s="192" t="n"/>
      <c r="AE30" s="192" t="n"/>
      <c r="AF30" s="192" t="n"/>
      <c r="AG30" s="192" t="n"/>
      <c r="AH30" s="192" t="n"/>
      <c r="AI30" s="192" t="n"/>
      <c r="AJ30" s="192" t="n"/>
      <c r="AK30" s="16" t="n"/>
      <c r="AL30" s="16" t="n"/>
      <c r="AM30" s="16" t="n"/>
      <c r="AN30" s="353">
        <f>IFERROR(AVERAGE(Table4[[#This Row],[Jan_2026_Days_Forecast]:[Dec_2026_Days_Forecast]]),0)/19</f>
        <v/>
      </c>
      <c r="AO30" s="353">
        <f>IFERROR(AVERAGE(Table4[[#This Row],[Jan_2026_Days_Actual]:[Dec_2026_Days_Actual]]),0)/19</f>
        <v/>
      </c>
      <c r="AP30" s="84" t="n"/>
      <c r="AQ30" s="84" t="n"/>
      <c r="AR30" s="84" t="n"/>
      <c r="AS30" s="84" t="n"/>
      <c r="AT30" s="84" t="n"/>
      <c r="AU30" s="84" t="n"/>
      <c r="AV30" s="84" t="n"/>
      <c r="AW30" s="84" t="n"/>
      <c r="AX30" s="84" t="n"/>
      <c r="AY30" s="84" t="n"/>
      <c r="AZ30" s="84" t="n"/>
      <c r="BA30" s="84" t="n"/>
      <c r="BB30" s="353">
        <f>IFERROR(AVERAGE(Table4[[#This Row],[Jan_2027_Days_Forecast]:[Dec_2027_Days_Forecast]]),0)</f>
        <v/>
      </c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55" t="n"/>
      <c r="BP30" s="346" t="n"/>
      <c r="BQ30" s="345">
        <f>Table4[[#This Row],[Jan_2026_Days_Forecast]]*Table4[[#This Row],[Cost Boolean]]*VLOOKUP(Table4[[#This Row],[RATE CONCAT]],Tables!I:N,5,0)</f>
        <v/>
      </c>
      <c r="BR30" s="345">
        <f>IFERROR(Table4[[#This Row],[Jan_2026_Days_Actual]]*Table4[[#This Row],[Cost Boolean]]*(VLOOKUP(Table4[[#This Row],[RATE CONCAT]],Tables!I:N,5,0)),0)</f>
        <v/>
      </c>
      <c r="BS30" s="345">
        <f>Table4[[#This Row],[Jan_2026_F]]-Table4[[#This Row],[Jan_2026_A]]</f>
        <v/>
      </c>
      <c r="BT30" s="107" t="n"/>
      <c r="BU30" s="345">
        <f>IFERROR(Table4[[#This Row],[Feb_2026_Days_Forecast]]*Table4[[#This Row],[Cost Boolean]]*(VLOOKUP(Table4[[#This Row],[RATE CONCAT]],Tables!I:N,5,0)),0)</f>
        <v/>
      </c>
      <c r="BV30" s="345">
        <f>IFERROR(Table4[[#This Row],[Feb_2026_Days_Actual]]*Table4[[#This Row],[Cost Boolean]]*(VLOOKUP(Table4[[#This Row],[RATE CONCAT]],Tables!I:N,5,0)),0)</f>
        <v/>
      </c>
      <c r="BW30" s="345">
        <f>Table4[[#This Row],[Feb_2026_F]]-Table4[[#This Row],[Feb_2026_A]]</f>
        <v/>
      </c>
      <c r="BX30" s="103" t="n"/>
      <c r="BY30" s="345">
        <f>IFERROR(Table4[[#This Row],[Mar_2026_Days_Forecast]]*Table4[[#This Row],[Cost Boolean]]*(VLOOKUP(Table4[[#This Row],[RATE CONCAT]],Tables!I:N,5,0)),0)</f>
        <v/>
      </c>
      <c r="BZ30" s="345">
        <f>IFERROR(Table4[[#This Row],[Mar_2026_Days_Actual]]*Table4[[#This Row],[Cost Boolean]]*(VLOOKUP(Table4[[#This Row],[RATE CONCAT]],Tables!I:N,5,0)),0)</f>
        <v/>
      </c>
      <c r="CA30" s="345">
        <f>Table4[[#This Row],[Mar_2026_F]]-Table4[[#This Row],[Mar_2026_A]]</f>
        <v/>
      </c>
      <c r="CB30" s="103" t="n"/>
      <c r="CC30" s="345">
        <f>IFERROR(Table4[[#This Row],[Apr_2026_Days_Forecast]]*Table4[[#This Row],[Cost Boolean]]*(VLOOKUP(Table4[[#This Row],[RATE CONCAT]],Tables!I:N,5,0)),0)</f>
        <v/>
      </c>
      <c r="CD30" s="345">
        <f>IFERROR(Table4[[#This Row],[Apr_2026_Days_Actual]]*Table4[[#This Row],[Cost Boolean]]*(VLOOKUP(Table4[[#This Row],[RATE CONCAT]],Tables!I:N,5,0)),0)</f>
        <v/>
      </c>
      <c r="CE30" s="345">
        <f>Table4[[#This Row],[Apr_2026_F]]-Table4[[#This Row],[Apr_2026_A]]</f>
        <v/>
      </c>
      <c r="CF30" s="103" t="n"/>
      <c r="CG30" s="345">
        <f>IFERROR(Table4[[#This Row],[May_2026_Days_Forecast]] *Table4[[#This Row],[Cost Boolean]]*(VLOOKUP(Table4[[#This Row],[RATE CONCAT]],Tables!I:N,5,0)),0)</f>
        <v/>
      </c>
      <c r="CH30" s="345">
        <f>IFERROR(Table4[[#This Row],[May_2026_Days_Actual]]*Table4[[#This Row],[Cost Boolean]]*(VLOOKUP(Table4[[#This Row],[RATE CONCAT]],Tables!I:N,5,0)),0)</f>
        <v/>
      </c>
      <c r="CI30" s="345">
        <f>Table4[[#This Row],[May_2026_F]]-Table4[[#This Row],[May_2026_A]]</f>
        <v/>
      </c>
      <c r="CJ30" s="103" t="n"/>
      <c r="CK30" s="345">
        <f>IFERROR(Table4[[#This Row],[Jun_2026_Days_Forecast]]*Table4[[#This Row],[Cost Boolean]]*(VLOOKUP(Table4[[#This Row],[RATE CONCAT]],Tables!I:N,5,0)),0)</f>
        <v/>
      </c>
      <c r="CL30" s="345">
        <f>IFERROR(Table4[[#This Row],[Jun_2026_Days_Actual]]*Table4[[#This Row],[Cost Boolean]]*(VLOOKUP(Table4[[#This Row],[RATE CONCAT]],Tables!I:N,5,0)),0)</f>
        <v/>
      </c>
      <c r="CM30" s="345">
        <f>Table4[[#This Row],[Jun_2026_F]]-Table4[[#This Row],[Jun_2026_A]]</f>
        <v/>
      </c>
      <c r="CN30" s="103" t="n"/>
      <c r="CO30" s="345">
        <f>IFERROR(Table4[[#This Row],[Jul_2026_Days_Forecast]]*Table4[[#This Row],[Cost Boolean]]*(VLOOKUP(Table4[[#This Row],[RATE CONCAT]],Tables!I:N,5,0)),0)</f>
        <v/>
      </c>
      <c r="CP30" s="345">
        <f>IFERROR(Table4[[#This Row],[Aug_2026_Days_Forecast]]*Table4[[#This Row],[Location]]*(VLOOKUP(Table4[[#This Row],[Rate]],Tables!J:O,5,0)),0)</f>
        <v/>
      </c>
      <c r="CQ30" s="345">
        <f>Table4[[#This Row],[Jul_2026_F]]-Table4[[#This Row],[Jul_2026_A]]</f>
        <v/>
      </c>
      <c r="CR30" s="103" t="n"/>
      <c r="CS30" s="345">
        <f>IFERROR(Table4[[#This Row],[Aug_2026_Days_Forecast]]*Table4[[#This Row],[Cost Boolean]]*(VLOOKUP(Table4[[#This Row],[RATE CONCAT]],Tables!I:N,5,0)),0)</f>
        <v/>
      </c>
      <c r="CT30" s="345">
        <f>IFERROR(Table4[[#This Row],[Aug_2026_Days_Actual]]*Table4[[#This Row],[Cost Boolean]]*(VLOOKUP(Table4[[#This Row],[RATE CONCAT]],Tables!I:N,5,0)),0)</f>
        <v/>
      </c>
      <c r="CU30" s="345">
        <f>Table4[[#This Row],[Aug_2026_F]]-Table4[[#This Row],[Aug_2026_A]]</f>
        <v/>
      </c>
      <c r="CV30" s="103" t="n"/>
      <c r="CW30" s="345">
        <f>IFERROR(Table4[[#This Row],[Sep_2026_Days_Forecast]]*Table4[[#This Row],[Cost Boolean]]*(VLOOKUP(Table4[[#This Row],[RATE CONCAT]],Tables!I:N,5,0)),0)</f>
        <v/>
      </c>
      <c r="CX30" s="345">
        <f>IFERROR(Table4[[#This Row],[Sep_2026_Days_Actual]]*Table4[[#This Row],[Cost Boolean]]*(VLOOKUP(Table4[[#This Row],[RATE CONCAT]],Tables!I:N,5,0)),0)</f>
        <v/>
      </c>
      <c r="CY30" s="345">
        <f>Table4[[#This Row],[Sep_2026_F]]-Table4[[#This Row],[Sep_2026_A]]</f>
        <v/>
      </c>
      <c r="CZ30" s="103" t="n"/>
      <c r="DA30" s="345">
        <f>IFERROR(Table4[[#This Row],[Oct_2026_Days_Forecast]]*Table4[[#This Row],[Cost Boolean]]*(VLOOKUP(Table4[[#This Row],[RATE CONCAT]],Tables!I:N,5,0)),0)</f>
        <v/>
      </c>
      <c r="DB30" s="345">
        <f>IFERROR(Table4[[#This Row],[Oct_2026_Days_Actual]]*Table4[[#This Row],[Cost Boolean]]*(VLOOKUP(Table4[[#This Row],[RATE CONCAT]],Tables!I:N,5,0)),0)</f>
        <v/>
      </c>
      <c r="DC30" s="345">
        <f>Table4[[#This Row],[Oct_2026_F]]-Table4[[#This Row],[Oct_2026_A]]</f>
        <v/>
      </c>
      <c r="DD30" s="103" t="n"/>
      <c r="DE30" s="345">
        <f>IFERROR(Table4[[#This Row],[Nov_2026_Days_Forecast]]*Table4[[#This Row],[Cost Boolean]]*(VLOOKUP(Table4[[#This Row],[RATE CONCAT]],Tables!I:N,5,0)),0)</f>
        <v/>
      </c>
      <c r="DF30" s="345">
        <f>IFERROR(Table4[[#This Row],[Nov_2026_Days_Actual]]*Table4[[#This Row],[Cost Boolean]]*(VLOOKUP(Table4[[#This Row],[RATE CONCAT]],Tables!I:N,5,0)),0)</f>
        <v/>
      </c>
      <c r="DG30" s="345">
        <f>Table4[[#This Row],[Nov_2026_F]]-Table4[[#This Row],[Nov_2026_A]]</f>
        <v/>
      </c>
      <c r="DH30" s="103" t="n"/>
      <c r="DI30" s="345">
        <f>IFERROR(Table4[[#This Row],[Dec_2026_Days_Forecast]]*Table4[[#This Row],[Cost Boolean]]*(VLOOKUP(Table4[[#This Row],[RATE CONCAT]],Tables!I:N,5,0)),0)</f>
        <v/>
      </c>
      <c r="DJ30" s="345">
        <f>IFERROR(Table4[[#This Row],[Dec_2026_Days_Actual]]*Table4[[#This Row],[Cost Boolean]]*(VLOOKUP(Table4[[#This Row],[RATE CONCAT]],Tables!I:N,5,0)),0)</f>
        <v/>
      </c>
      <c r="DK30" s="345">
        <f>Table4[[#This Row],[Dec_2026_F]]-Table4[[#This Row],[Dec_2026_A]]</f>
        <v/>
      </c>
      <c r="DL30" s="103" t="n"/>
      <c r="DM30" s="346" t="n"/>
      <c r="DN30" s="345">
        <f>IFERROR(Table4[[#This Row],[Jan_2027_Days_Forecast]]*Table4[[#This Row],[Cost Boolean]]*(VLOOKUP(Table4[[#This Row],[RATE CONCAT]],Tables!I:N,6,0)),0)</f>
        <v/>
      </c>
      <c r="DO30" s="275" t="n"/>
      <c r="DP30" s="345">
        <f>Table4[[#This Row],[Jan_2027_F]]-Table4[[#This Row],[Jan_2027_A]]</f>
        <v/>
      </c>
      <c r="DQ30" s="345">
        <f>IFERROR(Table4[[#This Row],[Feb_2027_Days_Forecast]]*Table4[[#This Row],[Cost Boolean]]*(VLOOKUP(Table4[[#This Row],[RATE CONCAT]],Tables!I:N,6,0)),0)</f>
        <v/>
      </c>
      <c r="DR30" s="275" t="n"/>
      <c r="DS30" s="345">
        <f>Table4[[#This Row],[Feb_2027_F]]-Table4[[#This Row],[Feb_2027_A]]</f>
        <v/>
      </c>
      <c r="DT30" s="345">
        <f>IFERROR(Table4[[#This Row],[Mar_2027_Days_Forecast]]*Table4[[#This Row],[Cost Boolean]]*(VLOOKUP(Table4[[#This Row],[RATE CONCAT]],Tables!I:N,6,0)),0)</f>
        <v/>
      </c>
      <c r="DU30" s="275" t="n"/>
      <c r="DV30" s="345">
        <f>Table4[[#This Row],[Mar_2027_F]]-Table4[[#This Row],[Mar_2027_A]]</f>
        <v/>
      </c>
      <c r="DW30" s="345">
        <f>IFERROR(Table4[[#This Row],[Apr_2027_Days_Forecast]]*Table4[[#This Row],[Cost Boolean]]*(VLOOKUP(Table4[[#This Row],[RATE CONCAT]],Tables!I:N,6,0)),0)</f>
        <v/>
      </c>
      <c r="DX30" s="275" t="n"/>
      <c r="DY30" s="345">
        <f>Table4[[#This Row],[Apr_2027_F]]-Table4[[#This Row],[Apr_2027_A]]</f>
        <v/>
      </c>
      <c r="DZ30" s="345">
        <f>IFERROR(Table4[[#This Row],[May_2027_Days_Forecast]]*Table4[[#This Row],[Cost Boolean]]*(VLOOKUP(Table4[[#This Row],[RATE CONCAT]],Tables!I:N,6,0)),0)</f>
        <v/>
      </c>
      <c r="EA30" s="275" t="n"/>
      <c r="EB30" s="345">
        <f>Table4[[#This Row],[May_2027_F]]-Table4[[#This Row],[May_2027_A]]</f>
        <v/>
      </c>
      <c r="EC30" s="345">
        <f>IFERROR(Table4[[#This Row],[Jun_2027_Days_Forecast]]*Table4[[#This Row],[Cost Boolean]]*(VLOOKUP(Table4[[#This Row],[RATE CONCAT]],Tables!I:N,6,0)),0)</f>
        <v/>
      </c>
      <c r="ED30" s="275" t="n"/>
      <c r="EE30" s="345">
        <f>Table4[[#This Row],[Jun_2027_F]]-Table4[[#This Row],[Jun_2027_A]]</f>
        <v/>
      </c>
      <c r="EF30" s="345">
        <f>IFERROR(Table4[[#This Row],[Jul_2027_Days_Forecast]]*Table4[[#This Row],[Cost Boolean]]*(VLOOKUP(Table4[[#This Row],[RATE CONCAT]],Tables!I:N,6,0)),0)</f>
        <v/>
      </c>
      <c r="EG30" s="275" t="n"/>
      <c r="EH30" s="345">
        <f>Table4[[#This Row],[Jul_2027_F]]-Table4[[#This Row],[Jul_2027_A]]</f>
        <v/>
      </c>
      <c r="EI30" s="345">
        <f>IFERROR(Table4[[#This Row],[Aug_2027_Days_Forecast]]*Table4[[#This Row],[Cost Boolean]]*(VLOOKUP(Table4[[#This Row],[RATE CONCAT]],Tables!I:N,6,0)),0)</f>
        <v/>
      </c>
      <c r="EJ30" s="275" t="n"/>
      <c r="EK30" s="345">
        <f>Table4[[#This Row],[Aug_2027_F]]-Table4[[#This Row],[Aug_2027_A]]</f>
        <v/>
      </c>
      <c r="EL30" s="345">
        <f>IFERROR(Table4[[#This Row],[Sep_2027_Days_Forecast]]*Table4[[#This Row],[Cost Boolean]]*(VLOOKUP(Table4[[#This Row],[RATE CONCAT]],Tables!I:N,6,0)),0)</f>
        <v/>
      </c>
      <c r="EM30" s="275" t="n"/>
      <c r="EN30" s="345">
        <f>Table4[[#This Row],[Sep_2027_F]]-Table4[[#This Row],[Sep_2027_A]]</f>
        <v/>
      </c>
      <c r="EO30" s="345">
        <f>IFERROR(Table4[[#This Row],[Oct_2027_Days_Forecast]]*Table4[[#This Row],[Cost Boolean]]*(VLOOKUP(Table4[[#This Row],[RATE CONCAT]],Tables!I:N,6,0)),0)</f>
        <v/>
      </c>
      <c r="EP30" s="275" t="n"/>
      <c r="EQ30" s="345">
        <f>Table4[[#This Row],[Oct_2027_F]]-Table4[[#This Row],[Oct_2027_A]]</f>
        <v/>
      </c>
      <c r="ER30" s="345">
        <f>IFERROR(Table4[[#This Row],[Nov_2027_Days_Forecast]]*Table4[[#This Row],[Cost Boolean]]*(VLOOKUP(Table4[[#This Row],[RATE CONCAT]],Tables!I:N,6,0)),0)</f>
        <v/>
      </c>
      <c r="ES30" s="275" t="n"/>
      <c r="ET30" s="345">
        <f>Table4[[#This Row],[Nov_2027_F]]-Table4[[#This Row],[Nov_2027_A]]</f>
        <v/>
      </c>
      <c r="EU30" s="345">
        <f>IFERROR(Table4[[#This Row],[Dec_2027_Days_Forecast]]*Table4[[#This Row],[Cost Boolean]]*(VLOOKUP(Table4[[#This Row],[RATE CONCAT]],Tables!I:N,6,0)),0)</f>
        <v/>
      </c>
      <c r="EV30" s="275" t="n"/>
      <c r="EW30" s="345">
        <f>Table4[[#This Row],[Dec_2027_F]]-Table4[[#This Row],[Dec_2027_A]]</f>
        <v/>
      </c>
    </row>
    <row r="31" ht="15" customHeight="1">
      <c r="A31" s="132" t="n"/>
      <c r="B31" s="132" t="n"/>
      <c r="C31" s="132" t="n"/>
      <c r="D31" s="132" t="n"/>
      <c r="E31" s="132" t="n"/>
      <c r="F31" s="132" t="n"/>
      <c r="G31" s="132" t="n"/>
      <c r="H31" s="132" t="n"/>
      <c r="I31" s="132" t="n"/>
      <c r="J31" s="132" t="n"/>
      <c r="K31" s="132" t="n"/>
      <c r="L31" s="132" t="n"/>
      <c r="M31" s="132" t="n"/>
      <c r="N31" s="132" t="n"/>
      <c r="O31" s="132" t="n"/>
      <c r="P31" s="132" t="n"/>
      <c r="Q31" s="132" t="n"/>
      <c r="R31" s="354" t="n"/>
      <c r="S31" s="354" t="n"/>
      <c r="T31" s="354" t="n"/>
      <c r="U31" s="354" t="n"/>
      <c r="V31" s="354" t="n"/>
      <c r="W31" s="354" t="n"/>
      <c r="X31" s="13" t="n"/>
      <c r="Y31" s="350">
        <f>CONCATENATE(Table4[[#This Row],[JG]],Table4[[#This Row],[Country]],Table4[[#This Row],[Resource Provider]])</f>
        <v/>
      </c>
      <c r="Z31" s="350">
        <f>VLOOKUP(Table4[[#This Row],[RATE CONCAT]],Tables!I:N,5,0)</f>
        <v/>
      </c>
      <c r="AA31" s="53" t="n"/>
      <c r="AB31" s="192" t="n"/>
      <c r="AC31" s="192" t="n"/>
      <c r="AD31" s="192" t="n"/>
      <c r="AE31" s="192" t="n"/>
      <c r="AF31" s="192" t="n"/>
      <c r="AG31" s="192" t="n"/>
      <c r="AH31" s="192" t="n"/>
      <c r="AI31" s="192" t="n"/>
      <c r="AJ31" s="192" t="n"/>
      <c r="AK31" s="16" t="n"/>
      <c r="AL31" s="16" t="n"/>
      <c r="AM31" s="16" t="n"/>
      <c r="AN31" s="353">
        <f>IFERROR(AVERAGE(Table4[[#This Row],[Jan_2026_Days_Forecast]:[Dec_2026_Days_Forecast]]),0)/19</f>
        <v/>
      </c>
      <c r="AO31" s="353">
        <f>IFERROR(AVERAGE(Table4[[#This Row],[Jan_2026_Days_Actual]:[Dec_2026_Days_Actual]]),0)/19</f>
        <v/>
      </c>
      <c r="AP31" s="84" t="n"/>
      <c r="AQ31" s="84" t="n"/>
      <c r="AR31" s="84" t="n"/>
      <c r="AS31" s="84" t="n"/>
      <c r="AT31" s="84" t="n"/>
      <c r="AU31" s="84" t="n"/>
      <c r="AV31" s="84" t="n"/>
      <c r="AW31" s="84" t="n"/>
      <c r="AX31" s="84" t="n"/>
      <c r="AY31" s="84" t="n"/>
      <c r="AZ31" s="84" t="n"/>
      <c r="BA31" s="84" t="n"/>
      <c r="BB31" s="353">
        <f>IFERROR(AVERAGE(Table4[[#This Row],[Jan_2027_Days_Forecast]:[Dec_2027_Days_Forecast]]),0)</f>
        <v/>
      </c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6" t="n"/>
      <c r="BL31" s="16" t="n"/>
      <c r="BM31" s="16" t="n"/>
      <c r="BN31" s="16" t="n"/>
      <c r="BO31" s="55" t="n"/>
      <c r="BP31" s="346" t="n"/>
      <c r="BQ31" s="347">
        <f>Table4[[#This Row],[Jan_2026_Days_Forecast]]*Table4[[#This Row],[Cost Boolean]]*VLOOKUP(Table4[[#This Row],[RATE CONCAT]],Tables!I:N,5,0)</f>
        <v/>
      </c>
      <c r="BR31" s="347">
        <f>IFERROR(Table4[[#This Row],[Jan_2026_Days_Actual]]*Table4[[#This Row],[Cost Boolean]]*(VLOOKUP(Table4[[#This Row],[RATE CONCAT]],Tables!I:N,5,0)),0)</f>
        <v/>
      </c>
      <c r="BS31" s="347">
        <f>Table4[[#This Row],[Jan_2026_F]]-Table4[[#This Row],[Jan_2026_A]]</f>
        <v/>
      </c>
      <c r="BT31" s="107" t="n"/>
      <c r="BU31" s="347">
        <f>IFERROR(Table4[[#This Row],[Feb_2026_Days_Forecast]]*Table4[[#This Row],[Cost Boolean]]*(VLOOKUP(Table4[[#This Row],[RATE CONCAT]],Tables!I:N,5,0)),0)</f>
        <v/>
      </c>
      <c r="BV31" s="347">
        <f>IFERROR(Table4[[#This Row],[Feb_2026_Days_Actual]]*Table4[[#This Row],[Cost Boolean]]*(VLOOKUP(Table4[[#This Row],[RATE CONCAT]],Tables!I:N,5,0)),0)</f>
        <v/>
      </c>
      <c r="BW31" s="347">
        <f>Table4[[#This Row],[Feb_2026_F]]-Table4[[#This Row],[Feb_2026_A]]</f>
        <v/>
      </c>
      <c r="BX31" s="103" t="n"/>
      <c r="BY31" s="347">
        <f>IFERROR(Table4[[#This Row],[Mar_2026_Days_Forecast]]*Table4[[#This Row],[Cost Boolean]]*(VLOOKUP(Table4[[#This Row],[RATE CONCAT]],Tables!I:N,5,0)),0)</f>
        <v/>
      </c>
      <c r="BZ31" s="347">
        <f>IFERROR(Table4[[#This Row],[Mar_2026_Days_Actual]]*Table4[[#This Row],[Cost Boolean]]*(VLOOKUP(Table4[[#This Row],[RATE CONCAT]],Tables!I:N,5,0)),0)</f>
        <v/>
      </c>
      <c r="CA31" s="347">
        <f>Table4[[#This Row],[Mar_2026_F]]-Table4[[#This Row],[Mar_2026_A]]</f>
        <v/>
      </c>
      <c r="CB31" s="103" t="n"/>
      <c r="CC31" s="347">
        <f>IFERROR(Table4[[#This Row],[Apr_2026_Days_Forecast]]*Table4[[#This Row],[Cost Boolean]]*(VLOOKUP(Table4[[#This Row],[RATE CONCAT]],Tables!I:N,5,0)),0)</f>
        <v/>
      </c>
      <c r="CD31" s="347">
        <f>IFERROR(Table4[[#This Row],[Apr_2026_Days_Actual]]*Table4[[#This Row],[Cost Boolean]]*(VLOOKUP(Table4[[#This Row],[RATE CONCAT]],Tables!I:N,5,0)),0)</f>
        <v/>
      </c>
      <c r="CE31" s="347">
        <f>Table4[[#This Row],[Apr_2026_F]]-Table4[[#This Row],[Apr_2026_A]]</f>
        <v/>
      </c>
      <c r="CF31" s="103" t="n"/>
      <c r="CG31" s="347">
        <f>IFERROR(Table4[[#This Row],[May_2026_Days_Forecast]] *Table4[[#This Row],[Cost Boolean]]*(VLOOKUP(Table4[[#This Row],[RATE CONCAT]],Tables!I:N,5,0)),0)</f>
        <v/>
      </c>
      <c r="CH31" s="347">
        <f>IFERROR(Table4[[#This Row],[May_2026_Days_Actual]]*Table4[[#This Row],[Cost Boolean]]*(VLOOKUP(Table4[[#This Row],[RATE CONCAT]],Tables!I:N,5,0)),0)</f>
        <v/>
      </c>
      <c r="CI31" s="347">
        <f>Table4[[#This Row],[May_2026_F]]-Table4[[#This Row],[May_2026_A]]</f>
        <v/>
      </c>
      <c r="CJ31" s="103" t="n"/>
      <c r="CK31" s="347">
        <f>IFERROR(Table4[[#This Row],[Jun_2026_Days_Forecast]]*Table4[[#This Row],[Cost Boolean]]*(VLOOKUP(Table4[[#This Row],[RATE CONCAT]],Tables!I:N,5,0)),0)</f>
        <v/>
      </c>
      <c r="CL31" s="347">
        <f>IFERROR(Table4[[#This Row],[Jun_2026_Days_Actual]]*Table4[[#This Row],[Cost Boolean]]*(VLOOKUP(Table4[[#This Row],[RATE CONCAT]],Tables!I:N,5,0)),0)</f>
        <v/>
      </c>
      <c r="CM31" s="347">
        <f>Table4[[#This Row],[Jun_2026_F]]-Table4[[#This Row],[Jun_2026_A]]</f>
        <v/>
      </c>
      <c r="CN31" s="103" t="n"/>
      <c r="CO31" s="347">
        <f>IFERROR(Table4[[#This Row],[Jul_2026_Days_Forecast]]*Table4[[#This Row],[Cost Boolean]]*(VLOOKUP(Table4[[#This Row],[RATE CONCAT]],Tables!I:N,5,0)),0)</f>
        <v/>
      </c>
      <c r="CP31" s="347">
        <f>IFERROR(Table4[[#This Row],[Aug_2026_Days_Forecast]]*Table4[[#This Row],[Location]]*(VLOOKUP(Table4[[#This Row],[Rate]],Tables!J:O,5,0)),0)</f>
        <v/>
      </c>
      <c r="CQ31" s="347">
        <f>Table4[[#This Row],[Jul_2026_F]]-Table4[[#This Row],[Jul_2026_A]]</f>
        <v/>
      </c>
      <c r="CR31" s="103" t="n"/>
      <c r="CS31" s="347">
        <f>IFERROR(Table4[[#This Row],[Aug_2026_Days_Forecast]]*Table4[[#This Row],[Cost Boolean]]*(VLOOKUP(Table4[[#This Row],[RATE CONCAT]],Tables!I:N,5,0)),0)</f>
        <v/>
      </c>
      <c r="CT31" s="347">
        <f>IFERROR(Table4[[#This Row],[Aug_2026_Days_Actual]]*Table4[[#This Row],[Cost Boolean]]*(VLOOKUP(Table4[[#This Row],[RATE CONCAT]],Tables!I:N,5,0)),0)</f>
        <v/>
      </c>
      <c r="CU31" s="347">
        <f>Table4[[#This Row],[Aug_2026_F]]-Table4[[#This Row],[Aug_2026_A]]</f>
        <v/>
      </c>
      <c r="CV31" s="103" t="n"/>
      <c r="CW31" s="347">
        <f>IFERROR(Table4[[#This Row],[Sep_2026_Days_Forecast]]*Table4[[#This Row],[Cost Boolean]]*(VLOOKUP(Table4[[#This Row],[RATE CONCAT]],Tables!I:N,5,0)),0)</f>
        <v/>
      </c>
      <c r="CX31" s="347">
        <f>IFERROR(Table4[[#This Row],[Sep_2026_Days_Actual]]*Table4[[#This Row],[Cost Boolean]]*(VLOOKUP(Table4[[#This Row],[RATE CONCAT]],Tables!I:N,5,0)),0)</f>
        <v/>
      </c>
      <c r="CY31" s="347">
        <f>Table4[[#This Row],[Sep_2026_F]]-Table4[[#This Row],[Sep_2026_A]]</f>
        <v/>
      </c>
      <c r="CZ31" s="103" t="n"/>
      <c r="DA31" s="347">
        <f>IFERROR(Table4[[#This Row],[Oct_2026_Days_Forecast]]*Table4[[#This Row],[Cost Boolean]]*(VLOOKUP(Table4[[#This Row],[RATE CONCAT]],Tables!I:N,5,0)),0)</f>
        <v/>
      </c>
      <c r="DB31" s="347">
        <f>IFERROR(Table4[[#This Row],[Oct_2026_Days_Actual]]*Table4[[#This Row],[Cost Boolean]]*(VLOOKUP(Table4[[#This Row],[RATE CONCAT]],Tables!I:N,5,0)),0)</f>
        <v/>
      </c>
      <c r="DC31" s="347">
        <f>Table4[[#This Row],[Oct_2026_F]]-Table4[[#This Row],[Oct_2026_A]]</f>
        <v/>
      </c>
      <c r="DD31" s="103" t="n"/>
      <c r="DE31" s="347">
        <f>IFERROR(Table4[[#This Row],[Nov_2026_Days_Forecast]]*Table4[[#This Row],[Cost Boolean]]*(VLOOKUP(Table4[[#This Row],[RATE CONCAT]],Tables!I:N,5,0)),0)</f>
        <v/>
      </c>
      <c r="DF31" s="347">
        <f>IFERROR(Table4[[#This Row],[Nov_2026_Days_Actual]]*Table4[[#This Row],[Cost Boolean]]*(VLOOKUP(Table4[[#This Row],[RATE CONCAT]],Tables!I:N,5,0)),0)</f>
        <v/>
      </c>
      <c r="DG31" s="347">
        <f>Table4[[#This Row],[Nov_2026_F]]-Table4[[#This Row],[Nov_2026_A]]</f>
        <v/>
      </c>
      <c r="DH31" s="103" t="n"/>
      <c r="DI31" s="347">
        <f>IFERROR(Table4[[#This Row],[Dec_2026_Days_Forecast]]*Table4[[#This Row],[Cost Boolean]]*(VLOOKUP(Table4[[#This Row],[RATE CONCAT]],Tables!I:N,5,0)),0)</f>
        <v/>
      </c>
      <c r="DJ31" s="347">
        <f>IFERROR(Table4[[#This Row],[Dec_2026_Days_Actual]]*Table4[[#This Row],[Cost Boolean]]*(VLOOKUP(Table4[[#This Row],[RATE CONCAT]],Tables!I:N,5,0)),0)</f>
        <v/>
      </c>
      <c r="DK31" s="347">
        <f>Table4[[#This Row],[Dec_2026_F]]-Table4[[#This Row],[Dec_2026_A]]</f>
        <v/>
      </c>
      <c r="DL31" s="103" t="n"/>
      <c r="DM31" s="346" t="n"/>
      <c r="DN31" s="347">
        <f>IFERROR(Table4[[#This Row],[Jan_2027_Days_Forecast]]*Table4[[#This Row],[Cost Boolean]]*(VLOOKUP(Table4[[#This Row],[RATE CONCAT]],Tables!I:N,6,0)),0)</f>
        <v/>
      </c>
      <c r="DO31" s="275" t="n"/>
      <c r="DP31" s="347">
        <f>Table4[[#This Row],[Jan_2027_F]]-Table4[[#This Row],[Jan_2027_A]]</f>
        <v/>
      </c>
      <c r="DQ31" s="347">
        <f>IFERROR(Table4[[#This Row],[Feb_2027_Days_Forecast]]*Table4[[#This Row],[Cost Boolean]]*(VLOOKUP(Table4[[#This Row],[RATE CONCAT]],Tables!I:N,6,0)),0)</f>
        <v/>
      </c>
      <c r="DR31" s="275" t="n"/>
      <c r="DS31" s="347">
        <f>Table4[[#This Row],[Feb_2027_F]]-Table4[[#This Row],[Feb_2027_A]]</f>
        <v/>
      </c>
      <c r="DT31" s="347">
        <f>IFERROR(Table4[[#This Row],[Mar_2027_Days_Forecast]]*Table4[[#This Row],[Cost Boolean]]*(VLOOKUP(Table4[[#This Row],[RATE CONCAT]],Tables!I:N,6,0)),0)</f>
        <v/>
      </c>
      <c r="DU31" s="275" t="n"/>
      <c r="DV31" s="347">
        <f>Table4[[#This Row],[Mar_2027_F]]-Table4[[#This Row],[Mar_2027_A]]</f>
        <v/>
      </c>
      <c r="DW31" s="347">
        <f>IFERROR(Table4[[#This Row],[Apr_2027_Days_Forecast]]*Table4[[#This Row],[Cost Boolean]]*(VLOOKUP(Table4[[#This Row],[RATE CONCAT]],Tables!I:N,6,0)),0)</f>
        <v/>
      </c>
      <c r="DX31" s="275" t="n"/>
      <c r="DY31" s="347">
        <f>Table4[[#This Row],[Apr_2027_F]]-Table4[[#This Row],[Apr_2027_A]]</f>
        <v/>
      </c>
      <c r="DZ31" s="347">
        <f>IFERROR(Table4[[#This Row],[May_2027_Days_Forecast]]*Table4[[#This Row],[Cost Boolean]]*(VLOOKUP(Table4[[#This Row],[RATE CONCAT]],Tables!I:N,6,0)),0)</f>
        <v/>
      </c>
      <c r="EA31" s="275" t="n"/>
      <c r="EB31" s="347">
        <f>Table4[[#This Row],[May_2027_F]]-Table4[[#This Row],[May_2027_A]]</f>
        <v/>
      </c>
      <c r="EC31" s="347">
        <f>IFERROR(Table4[[#This Row],[Jun_2027_Days_Forecast]]*Table4[[#This Row],[Cost Boolean]]*(VLOOKUP(Table4[[#This Row],[RATE CONCAT]],Tables!I:N,6,0)),0)</f>
        <v/>
      </c>
      <c r="ED31" s="275" t="n"/>
      <c r="EE31" s="347">
        <f>Table4[[#This Row],[Jun_2027_F]]-Table4[[#This Row],[Jun_2027_A]]</f>
        <v/>
      </c>
      <c r="EF31" s="347">
        <f>IFERROR(Table4[[#This Row],[Jul_2027_Days_Forecast]]*Table4[[#This Row],[Cost Boolean]]*(VLOOKUP(Table4[[#This Row],[RATE CONCAT]],Tables!I:N,6,0)),0)</f>
        <v/>
      </c>
      <c r="EG31" s="275" t="n"/>
      <c r="EH31" s="347">
        <f>Table4[[#This Row],[Jul_2027_F]]-Table4[[#This Row],[Jul_2027_A]]</f>
        <v/>
      </c>
      <c r="EI31" s="347">
        <f>IFERROR(Table4[[#This Row],[Aug_2027_Days_Forecast]]*Table4[[#This Row],[Cost Boolean]]*(VLOOKUP(Table4[[#This Row],[RATE CONCAT]],Tables!I:N,6,0)),0)</f>
        <v/>
      </c>
      <c r="EJ31" s="275" t="n"/>
      <c r="EK31" s="347">
        <f>Table4[[#This Row],[Aug_2027_F]]-Table4[[#This Row],[Aug_2027_A]]</f>
        <v/>
      </c>
      <c r="EL31" s="347">
        <f>IFERROR(Table4[[#This Row],[Sep_2027_Days_Forecast]]*Table4[[#This Row],[Cost Boolean]]*(VLOOKUP(Table4[[#This Row],[RATE CONCAT]],Tables!I:N,6,0)),0)</f>
        <v/>
      </c>
      <c r="EM31" s="275" t="n"/>
      <c r="EN31" s="347">
        <f>Table4[[#This Row],[Sep_2027_F]]-Table4[[#This Row],[Sep_2027_A]]</f>
        <v/>
      </c>
      <c r="EO31" s="347">
        <f>IFERROR(Table4[[#This Row],[Oct_2027_Days_Forecast]]*Table4[[#This Row],[Cost Boolean]]*(VLOOKUP(Table4[[#This Row],[RATE CONCAT]],Tables!I:N,6,0)),0)</f>
        <v/>
      </c>
      <c r="EP31" s="275" t="n"/>
      <c r="EQ31" s="347">
        <f>Table4[[#This Row],[Oct_2027_F]]-Table4[[#This Row],[Oct_2027_A]]</f>
        <v/>
      </c>
      <c r="ER31" s="347">
        <f>IFERROR(Table4[[#This Row],[Nov_2027_Days_Forecast]]*Table4[[#This Row],[Cost Boolean]]*(VLOOKUP(Table4[[#This Row],[RATE CONCAT]],Tables!I:N,6,0)),0)</f>
        <v/>
      </c>
      <c r="ES31" s="275" t="n"/>
      <c r="ET31" s="347">
        <f>Table4[[#This Row],[Nov_2027_F]]-Table4[[#This Row],[Nov_2027_A]]</f>
        <v/>
      </c>
      <c r="EU31" s="347">
        <f>IFERROR(Table4[[#This Row],[Dec_2027_Days_Forecast]]*Table4[[#This Row],[Cost Boolean]]*(VLOOKUP(Table4[[#This Row],[RATE CONCAT]],Tables!I:N,6,0)),0)</f>
        <v/>
      </c>
      <c r="EV31" s="275" t="n"/>
      <c r="EW31" s="347">
        <f>Table4[[#This Row],[Dec_2027_F]]-Table4[[#This Row],[Dec_2027_A]]</f>
        <v/>
      </c>
    </row>
    <row r="32" ht="15" customHeight="1">
      <c r="A32" s="132" t="n"/>
      <c r="B32" s="132" t="n"/>
      <c r="C32" s="132" t="n"/>
      <c r="D32" s="132" t="n"/>
      <c r="E32" s="132" t="n"/>
      <c r="F32" s="132" t="n"/>
      <c r="G32" s="132" t="n"/>
      <c r="H32" s="132" t="n"/>
      <c r="I32" s="132" t="n"/>
      <c r="J32" s="132" t="n"/>
      <c r="K32" s="132" t="n"/>
      <c r="L32" s="132" t="n"/>
      <c r="M32" s="132" t="n"/>
      <c r="N32" s="132" t="n"/>
      <c r="O32" s="132" t="n"/>
      <c r="P32" s="132" t="n"/>
      <c r="Q32" s="132" t="n"/>
      <c r="R32" s="354" t="n"/>
      <c r="S32" s="354" t="n"/>
      <c r="T32" s="354" t="n"/>
      <c r="U32" s="354" t="n"/>
      <c r="V32" s="354" t="n"/>
      <c r="W32" s="354" t="n"/>
      <c r="X32" s="13" t="n"/>
      <c r="Y32" s="350">
        <f>CONCATENATE(Table4[[#This Row],[JG]],Table4[[#This Row],[Country]],Table4[[#This Row],[Resource Provider]])</f>
        <v/>
      </c>
      <c r="Z32" s="350">
        <f>VLOOKUP(Table4[[#This Row],[RATE CONCAT]],Tables!I:N,5,0)</f>
        <v/>
      </c>
      <c r="AA32" s="53" t="n"/>
      <c r="AB32" s="192" t="n"/>
      <c r="AC32" s="192" t="n"/>
      <c r="AD32" s="192" t="n"/>
      <c r="AE32" s="192" t="n"/>
      <c r="AF32" s="192" t="n"/>
      <c r="AG32" s="192" t="n"/>
      <c r="AH32" s="192" t="n"/>
      <c r="AI32" s="192" t="n"/>
      <c r="AJ32" s="192" t="n"/>
      <c r="AK32" s="16" t="n"/>
      <c r="AL32" s="16" t="n"/>
      <c r="AM32" s="16" t="n"/>
      <c r="AN32" s="353">
        <f>IFERROR(AVERAGE(Table4[[#This Row],[Jan_2026_Days_Forecast]:[Dec_2026_Days_Forecast]]),0)/19</f>
        <v/>
      </c>
      <c r="AO32" s="353">
        <f>IFERROR(AVERAGE(Table4[[#This Row],[Jan_2026_Days_Actual]:[Dec_2026_Days_Actual]]),0)/19</f>
        <v/>
      </c>
      <c r="AP32" s="84" t="n"/>
      <c r="AQ32" s="84" t="n"/>
      <c r="AR32" s="84" t="n"/>
      <c r="AS32" s="84" t="n"/>
      <c r="AT32" s="84" t="n"/>
      <c r="AU32" s="84" t="n"/>
      <c r="AV32" s="84" t="n"/>
      <c r="AW32" s="84" t="n"/>
      <c r="AX32" s="84" t="n"/>
      <c r="AY32" s="84" t="n"/>
      <c r="AZ32" s="84" t="n"/>
      <c r="BA32" s="84" t="n"/>
      <c r="BB32" s="353">
        <f>IFERROR(AVERAGE(Table4[[#This Row],[Jan_2027_Days_Forecast]:[Dec_2027_Days_Forecast]]),0)</f>
        <v/>
      </c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55" t="n"/>
      <c r="BP32" s="346" t="n"/>
      <c r="BQ32" s="345">
        <f>Table4[[#This Row],[Jan_2026_Days_Forecast]]*Table4[[#This Row],[Cost Boolean]]*VLOOKUP(Table4[[#This Row],[RATE CONCAT]],Tables!I:N,5,0)</f>
        <v/>
      </c>
      <c r="BR32" s="345">
        <f>IFERROR(Table4[[#This Row],[Jan_2026_Days_Actual]]*Table4[[#This Row],[Cost Boolean]]*(VLOOKUP(Table4[[#This Row],[RATE CONCAT]],Tables!I:N,5,0)),0)</f>
        <v/>
      </c>
      <c r="BS32" s="345">
        <f>Table4[[#This Row],[Jan_2026_F]]-Table4[[#This Row],[Jan_2026_A]]</f>
        <v/>
      </c>
      <c r="BT32" s="107" t="n"/>
      <c r="BU32" s="345">
        <f>IFERROR(Table4[[#This Row],[Feb_2026_Days_Forecast]]*Table4[[#This Row],[Cost Boolean]]*(VLOOKUP(Table4[[#This Row],[RATE CONCAT]],Tables!I:N,5,0)),0)</f>
        <v/>
      </c>
      <c r="BV32" s="345">
        <f>IFERROR(Table4[[#This Row],[Feb_2026_Days_Actual]]*Table4[[#This Row],[Cost Boolean]]*(VLOOKUP(Table4[[#This Row],[RATE CONCAT]],Tables!I:N,5,0)),0)</f>
        <v/>
      </c>
      <c r="BW32" s="345">
        <f>Table4[[#This Row],[Feb_2026_F]]-Table4[[#This Row],[Feb_2026_A]]</f>
        <v/>
      </c>
      <c r="BX32" s="103" t="n"/>
      <c r="BY32" s="345">
        <f>IFERROR(Table4[[#This Row],[Mar_2026_Days_Forecast]]*Table4[[#This Row],[Cost Boolean]]*(VLOOKUP(Table4[[#This Row],[RATE CONCAT]],Tables!I:N,5,0)),0)</f>
        <v/>
      </c>
      <c r="BZ32" s="345">
        <f>IFERROR(Table4[[#This Row],[Mar_2026_Days_Actual]]*Table4[[#This Row],[Cost Boolean]]*(VLOOKUP(Table4[[#This Row],[RATE CONCAT]],Tables!I:N,5,0)),0)</f>
        <v/>
      </c>
      <c r="CA32" s="345">
        <f>Table4[[#This Row],[Mar_2026_F]]-Table4[[#This Row],[Mar_2026_A]]</f>
        <v/>
      </c>
      <c r="CB32" s="103" t="n"/>
      <c r="CC32" s="345">
        <f>IFERROR(Table4[[#This Row],[Apr_2026_Days_Forecast]]*Table4[[#This Row],[Cost Boolean]]*(VLOOKUP(Table4[[#This Row],[RATE CONCAT]],Tables!I:N,5,0)),0)</f>
        <v/>
      </c>
      <c r="CD32" s="345">
        <f>IFERROR(Table4[[#This Row],[Apr_2026_Days_Actual]]*Table4[[#This Row],[Cost Boolean]]*(VLOOKUP(Table4[[#This Row],[RATE CONCAT]],Tables!I:N,5,0)),0)</f>
        <v/>
      </c>
      <c r="CE32" s="345">
        <f>Table4[[#This Row],[Apr_2026_F]]-Table4[[#This Row],[Apr_2026_A]]</f>
        <v/>
      </c>
      <c r="CF32" s="103" t="n"/>
      <c r="CG32" s="345">
        <f>IFERROR(Table4[[#This Row],[May_2026_Days_Forecast]] *Table4[[#This Row],[Cost Boolean]]*(VLOOKUP(Table4[[#This Row],[RATE CONCAT]],Tables!I:N,5,0)),0)</f>
        <v/>
      </c>
      <c r="CH32" s="345">
        <f>IFERROR(Table4[[#This Row],[May_2026_Days_Actual]]*Table4[[#This Row],[Cost Boolean]]*(VLOOKUP(Table4[[#This Row],[RATE CONCAT]],Tables!I:N,5,0)),0)</f>
        <v/>
      </c>
      <c r="CI32" s="345">
        <f>Table4[[#This Row],[May_2026_F]]-Table4[[#This Row],[May_2026_A]]</f>
        <v/>
      </c>
      <c r="CJ32" s="103" t="n"/>
      <c r="CK32" s="345">
        <f>IFERROR(Table4[[#This Row],[Jun_2026_Days_Forecast]]*Table4[[#This Row],[Cost Boolean]]*(VLOOKUP(Table4[[#This Row],[RATE CONCAT]],Tables!I:N,5,0)),0)</f>
        <v/>
      </c>
      <c r="CL32" s="345">
        <f>IFERROR(Table4[[#This Row],[Jun_2026_Days_Actual]]*Table4[[#This Row],[Cost Boolean]]*(VLOOKUP(Table4[[#This Row],[RATE CONCAT]],Tables!I:N,5,0)),0)</f>
        <v/>
      </c>
      <c r="CM32" s="345">
        <f>Table4[[#This Row],[Jun_2026_F]]-Table4[[#This Row],[Jun_2026_A]]</f>
        <v/>
      </c>
      <c r="CN32" s="103" t="n"/>
      <c r="CO32" s="345">
        <f>IFERROR(Table4[[#This Row],[Jul_2026_Days_Forecast]]*Table4[[#This Row],[Cost Boolean]]*(VLOOKUP(Table4[[#This Row],[RATE CONCAT]],Tables!I:N,5,0)),0)</f>
        <v/>
      </c>
      <c r="CP32" s="345">
        <f>IFERROR(Table4[[#This Row],[Aug_2026_Days_Forecast]]*Table4[[#This Row],[Location]]*(VLOOKUP(Table4[[#This Row],[Rate]],Tables!J:O,5,0)),0)</f>
        <v/>
      </c>
      <c r="CQ32" s="345">
        <f>Table4[[#This Row],[Jul_2026_F]]-Table4[[#This Row],[Jul_2026_A]]</f>
        <v/>
      </c>
      <c r="CR32" s="103" t="n"/>
      <c r="CS32" s="345">
        <f>IFERROR(Table4[[#This Row],[Aug_2026_Days_Forecast]]*Table4[[#This Row],[Cost Boolean]]*(VLOOKUP(Table4[[#This Row],[RATE CONCAT]],Tables!I:N,5,0)),0)</f>
        <v/>
      </c>
      <c r="CT32" s="345">
        <f>IFERROR(Table4[[#This Row],[Aug_2026_Days_Actual]]*Table4[[#This Row],[Cost Boolean]]*(VLOOKUP(Table4[[#This Row],[RATE CONCAT]],Tables!I:N,5,0)),0)</f>
        <v/>
      </c>
      <c r="CU32" s="345">
        <f>Table4[[#This Row],[Aug_2026_F]]-Table4[[#This Row],[Aug_2026_A]]</f>
        <v/>
      </c>
      <c r="CV32" s="103" t="n"/>
      <c r="CW32" s="345">
        <f>IFERROR(Table4[[#This Row],[Sep_2026_Days_Forecast]]*Table4[[#This Row],[Cost Boolean]]*(VLOOKUP(Table4[[#This Row],[RATE CONCAT]],Tables!I:N,5,0)),0)</f>
        <v/>
      </c>
      <c r="CX32" s="345">
        <f>IFERROR(Table4[[#This Row],[Sep_2026_Days_Actual]]*Table4[[#This Row],[Cost Boolean]]*(VLOOKUP(Table4[[#This Row],[RATE CONCAT]],Tables!I:N,5,0)),0)</f>
        <v/>
      </c>
      <c r="CY32" s="345">
        <f>Table4[[#This Row],[Sep_2026_F]]-Table4[[#This Row],[Sep_2026_A]]</f>
        <v/>
      </c>
      <c r="CZ32" s="103" t="n"/>
      <c r="DA32" s="345">
        <f>IFERROR(Table4[[#This Row],[Oct_2026_Days_Forecast]]*Table4[[#This Row],[Cost Boolean]]*(VLOOKUP(Table4[[#This Row],[RATE CONCAT]],Tables!I:N,5,0)),0)</f>
        <v/>
      </c>
      <c r="DB32" s="345">
        <f>IFERROR(Table4[[#This Row],[Oct_2026_Days_Actual]]*Table4[[#This Row],[Cost Boolean]]*(VLOOKUP(Table4[[#This Row],[RATE CONCAT]],Tables!I:N,5,0)),0)</f>
        <v/>
      </c>
      <c r="DC32" s="345">
        <f>Table4[[#This Row],[Oct_2026_F]]-Table4[[#This Row],[Oct_2026_A]]</f>
        <v/>
      </c>
      <c r="DD32" s="103" t="n"/>
      <c r="DE32" s="345">
        <f>IFERROR(Table4[[#This Row],[Nov_2026_Days_Forecast]]*Table4[[#This Row],[Cost Boolean]]*(VLOOKUP(Table4[[#This Row],[RATE CONCAT]],Tables!I:N,5,0)),0)</f>
        <v/>
      </c>
      <c r="DF32" s="345">
        <f>IFERROR(Table4[[#This Row],[Nov_2026_Days_Actual]]*Table4[[#This Row],[Cost Boolean]]*(VLOOKUP(Table4[[#This Row],[RATE CONCAT]],Tables!I:N,5,0)),0)</f>
        <v/>
      </c>
      <c r="DG32" s="345">
        <f>Table4[[#This Row],[Nov_2026_F]]-Table4[[#This Row],[Nov_2026_A]]</f>
        <v/>
      </c>
      <c r="DH32" s="103" t="n"/>
      <c r="DI32" s="345">
        <f>IFERROR(Table4[[#This Row],[Dec_2026_Days_Forecast]]*Table4[[#This Row],[Cost Boolean]]*(VLOOKUP(Table4[[#This Row],[RATE CONCAT]],Tables!I:N,5,0)),0)</f>
        <v/>
      </c>
      <c r="DJ32" s="345">
        <f>IFERROR(Table4[[#This Row],[Dec_2026_Days_Actual]]*Table4[[#This Row],[Cost Boolean]]*(VLOOKUP(Table4[[#This Row],[RATE CONCAT]],Tables!I:N,5,0)),0)</f>
        <v/>
      </c>
      <c r="DK32" s="345">
        <f>Table4[[#This Row],[Dec_2026_F]]-Table4[[#This Row],[Dec_2026_A]]</f>
        <v/>
      </c>
      <c r="DL32" s="103" t="n"/>
      <c r="DM32" s="346" t="n"/>
      <c r="DN32" s="345">
        <f>IFERROR(Table4[[#This Row],[Jan_2027_Days_Forecast]]*Table4[[#This Row],[Cost Boolean]]*(VLOOKUP(Table4[[#This Row],[RATE CONCAT]],Tables!I:N,6,0)),0)</f>
        <v/>
      </c>
      <c r="DO32" s="275" t="n"/>
      <c r="DP32" s="345">
        <f>Table4[[#This Row],[Jan_2027_F]]-Table4[[#This Row],[Jan_2027_A]]</f>
        <v/>
      </c>
      <c r="DQ32" s="345">
        <f>IFERROR(Table4[[#This Row],[Feb_2027_Days_Forecast]]*Table4[[#This Row],[Cost Boolean]]*(VLOOKUP(Table4[[#This Row],[RATE CONCAT]],Tables!I:N,6,0)),0)</f>
        <v/>
      </c>
      <c r="DR32" s="275" t="n"/>
      <c r="DS32" s="345">
        <f>Table4[[#This Row],[Feb_2027_F]]-Table4[[#This Row],[Feb_2027_A]]</f>
        <v/>
      </c>
      <c r="DT32" s="345">
        <f>IFERROR(Table4[[#This Row],[Mar_2027_Days_Forecast]]*Table4[[#This Row],[Cost Boolean]]*(VLOOKUP(Table4[[#This Row],[RATE CONCAT]],Tables!I:N,6,0)),0)</f>
        <v/>
      </c>
      <c r="DU32" s="275" t="n"/>
      <c r="DV32" s="345">
        <f>Table4[[#This Row],[Mar_2027_F]]-Table4[[#This Row],[Mar_2027_A]]</f>
        <v/>
      </c>
      <c r="DW32" s="345">
        <f>IFERROR(Table4[[#This Row],[Apr_2027_Days_Forecast]]*Table4[[#This Row],[Cost Boolean]]*(VLOOKUP(Table4[[#This Row],[RATE CONCAT]],Tables!I:N,6,0)),0)</f>
        <v/>
      </c>
      <c r="DX32" s="275" t="n"/>
      <c r="DY32" s="345">
        <f>Table4[[#This Row],[Apr_2027_F]]-Table4[[#This Row],[Apr_2027_A]]</f>
        <v/>
      </c>
      <c r="DZ32" s="345">
        <f>IFERROR(Table4[[#This Row],[May_2027_Days_Forecast]]*Table4[[#This Row],[Cost Boolean]]*(VLOOKUP(Table4[[#This Row],[RATE CONCAT]],Tables!I:N,6,0)),0)</f>
        <v/>
      </c>
      <c r="EA32" s="275" t="n"/>
      <c r="EB32" s="345">
        <f>Table4[[#This Row],[May_2027_F]]-Table4[[#This Row],[May_2027_A]]</f>
        <v/>
      </c>
      <c r="EC32" s="345">
        <f>IFERROR(Table4[[#This Row],[Jun_2027_Days_Forecast]]*Table4[[#This Row],[Cost Boolean]]*(VLOOKUP(Table4[[#This Row],[RATE CONCAT]],Tables!I:N,6,0)),0)</f>
        <v/>
      </c>
      <c r="ED32" s="275" t="n"/>
      <c r="EE32" s="345">
        <f>Table4[[#This Row],[Jun_2027_F]]-Table4[[#This Row],[Jun_2027_A]]</f>
        <v/>
      </c>
      <c r="EF32" s="345">
        <f>IFERROR(Table4[[#This Row],[Jul_2027_Days_Forecast]]*Table4[[#This Row],[Cost Boolean]]*(VLOOKUP(Table4[[#This Row],[RATE CONCAT]],Tables!I:N,6,0)),0)</f>
        <v/>
      </c>
      <c r="EG32" s="275" t="n"/>
      <c r="EH32" s="345">
        <f>Table4[[#This Row],[Jul_2027_F]]-Table4[[#This Row],[Jul_2027_A]]</f>
        <v/>
      </c>
      <c r="EI32" s="345">
        <f>IFERROR(Table4[[#This Row],[Aug_2027_Days_Forecast]]*Table4[[#This Row],[Cost Boolean]]*(VLOOKUP(Table4[[#This Row],[RATE CONCAT]],Tables!I:N,6,0)),0)</f>
        <v/>
      </c>
      <c r="EJ32" s="275" t="n"/>
      <c r="EK32" s="345">
        <f>Table4[[#This Row],[Aug_2027_F]]-Table4[[#This Row],[Aug_2027_A]]</f>
        <v/>
      </c>
      <c r="EL32" s="345">
        <f>IFERROR(Table4[[#This Row],[Sep_2027_Days_Forecast]]*Table4[[#This Row],[Cost Boolean]]*(VLOOKUP(Table4[[#This Row],[RATE CONCAT]],Tables!I:N,6,0)),0)</f>
        <v/>
      </c>
      <c r="EM32" s="275" t="n"/>
      <c r="EN32" s="345">
        <f>Table4[[#This Row],[Sep_2027_F]]-Table4[[#This Row],[Sep_2027_A]]</f>
        <v/>
      </c>
      <c r="EO32" s="345">
        <f>IFERROR(Table4[[#This Row],[Oct_2027_Days_Forecast]]*Table4[[#This Row],[Cost Boolean]]*(VLOOKUP(Table4[[#This Row],[RATE CONCAT]],Tables!I:N,6,0)),0)</f>
        <v/>
      </c>
      <c r="EP32" s="275" t="n"/>
      <c r="EQ32" s="345">
        <f>Table4[[#This Row],[Oct_2027_F]]-Table4[[#This Row],[Oct_2027_A]]</f>
        <v/>
      </c>
      <c r="ER32" s="345">
        <f>IFERROR(Table4[[#This Row],[Nov_2027_Days_Forecast]]*Table4[[#This Row],[Cost Boolean]]*(VLOOKUP(Table4[[#This Row],[RATE CONCAT]],Tables!I:N,6,0)),0)</f>
        <v/>
      </c>
      <c r="ES32" s="275" t="n"/>
      <c r="ET32" s="345">
        <f>Table4[[#This Row],[Nov_2027_F]]-Table4[[#This Row],[Nov_2027_A]]</f>
        <v/>
      </c>
      <c r="EU32" s="345">
        <f>IFERROR(Table4[[#This Row],[Dec_2027_Days_Forecast]]*Table4[[#This Row],[Cost Boolean]]*(VLOOKUP(Table4[[#This Row],[RATE CONCAT]],Tables!I:N,6,0)),0)</f>
        <v/>
      </c>
      <c r="EV32" s="275" t="n"/>
      <c r="EW32" s="345">
        <f>Table4[[#This Row],[Dec_2027_F]]-Table4[[#This Row],[Dec_2027_A]]</f>
        <v/>
      </c>
    </row>
    <row r="33" ht="15" customHeight="1">
      <c r="A33" s="132" t="n"/>
      <c r="B33" s="132" t="n"/>
      <c r="C33" s="132" t="n"/>
      <c r="D33" s="132" t="n"/>
      <c r="E33" s="132" t="n"/>
      <c r="F33" s="132" t="n"/>
      <c r="G33" s="132" t="n"/>
      <c r="H33" s="132" t="n"/>
      <c r="I33" s="132" t="n"/>
      <c r="J33" s="132" t="n"/>
      <c r="K33" s="132" t="n"/>
      <c r="L33" s="132" t="n"/>
      <c r="M33" s="132" t="n"/>
      <c r="N33" s="132" t="n"/>
      <c r="O33" s="132" t="n"/>
      <c r="P33" s="132" t="n"/>
      <c r="Q33" s="132" t="n"/>
      <c r="R33" s="354" t="n"/>
      <c r="S33" s="354" t="n"/>
      <c r="T33" s="354" t="n"/>
      <c r="U33" s="354" t="n"/>
      <c r="V33" s="354" t="n"/>
      <c r="W33" s="354" t="n"/>
      <c r="X33" s="13" t="n"/>
      <c r="Y33" s="350">
        <f>CONCATENATE(Table4[[#This Row],[JG]],Table4[[#This Row],[Country]],Table4[[#This Row],[Resource Provider]])</f>
        <v/>
      </c>
      <c r="Z33" s="350">
        <f>VLOOKUP(Table4[[#This Row],[RATE CONCAT]],Tables!I:N,5,0)</f>
        <v/>
      </c>
      <c r="AA33" s="53" t="n"/>
      <c r="AB33" s="192" t="n"/>
      <c r="AC33" s="192" t="n"/>
      <c r="AD33" s="192" t="n"/>
      <c r="AE33" s="192" t="n"/>
      <c r="AF33" s="192" t="n"/>
      <c r="AG33" s="192" t="n"/>
      <c r="AH33" s="192" t="n"/>
      <c r="AI33" s="192" t="n"/>
      <c r="AJ33" s="192" t="n"/>
      <c r="AK33" s="16" t="n"/>
      <c r="AL33" s="16" t="n"/>
      <c r="AM33" s="16" t="n"/>
      <c r="AN33" s="353">
        <f>IFERROR(AVERAGE(Table4[[#This Row],[Jan_2026_Days_Forecast]:[Dec_2026_Days_Forecast]]),0)/19</f>
        <v/>
      </c>
      <c r="AO33" s="353">
        <f>IFERROR(AVERAGE(Table4[[#This Row],[Jan_2026_Days_Actual]:[Dec_2026_Days_Actual]]),0)/19</f>
        <v/>
      </c>
      <c r="AP33" s="84" t="n"/>
      <c r="AQ33" s="84" t="n"/>
      <c r="AR33" s="84" t="n"/>
      <c r="AS33" s="84" t="n"/>
      <c r="AT33" s="84" t="n"/>
      <c r="AU33" s="84" t="n"/>
      <c r="AV33" s="84" t="n"/>
      <c r="AW33" s="84" t="n"/>
      <c r="AX33" s="84" t="n"/>
      <c r="AY33" s="84" t="n"/>
      <c r="AZ33" s="84" t="n"/>
      <c r="BA33" s="84" t="n"/>
      <c r="BB33" s="353">
        <f>IFERROR(AVERAGE(Table4[[#This Row],[Jan_2027_Days_Forecast]:[Dec_2027_Days_Forecast]]),0)</f>
        <v/>
      </c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  <c r="BL33" s="16" t="n"/>
      <c r="BM33" s="16" t="n"/>
      <c r="BN33" s="16" t="n"/>
      <c r="BO33" s="55" t="n"/>
      <c r="BP33" s="346" t="n"/>
      <c r="BQ33" s="347">
        <f>Table4[[#This Row],[Jan_2026_Days_Forecast]]*Table4[[#This Row],[Cost Boolean]]*VLOOKUP(Table4[[#This Row],[RATE CONCAT]],Tables!I:N,5,0)</f>
        <v/>
      </c>
      <c r="BR33" s="347">
        <f>IFERROR(Table4[[#This Row],[Jan_2026_Days_Actual]]*Table4[[#This Row],[Cost Boolean]]*(VLOOKUP(Table4[[#This Row],[RATE CONCAT]],Tables!I:N,5,0)),0)</f>
        <v/>
      </c>
      <c r="BS33" s="347">
        <f>Table4[[#This Row],[Jan_2026_F]]-Table4[[#This Row],[Jan_2026_A]]</f>
        <v/>
      </c>
      <c r="BT33" s="107" t="n"/>
      <c r="BU33" s="347">
        <f>IFERROR(Table4[[#This Row],[Feb_2026_Days_Forecast]]*Table4[[#This Row],[Cost Boolean]]*(VLOOKUP(Table4[[#This Row],[RATE CONCAT]],Tables!I:N,5,0)),0)</f>
        <v/>
      </c>
      <c r="BV33" s="347">
        <f>IFERROR(Table4[[#This Row],[Feb_2026_Days_Actual]]*Table4[[#This Row],[Cost Boolean]]*(VLOOKUP(Table4[[#This Row],[RATE CONCAT]],Tables!I:N,5,0)),0)</f>
        <v/>
      </c>
      <c r="BW33" s="347">
        <f>Table4[[#This Row],[Feb_2026_F]]-Table4[[#This Row],[Feb_2026_A]]</f>
        <v/>
      </c>
      <c r="BX33" s="103" t="n"/>
      <c r="BY33" s="347">
        <f>IFERROR(Table4[[#This Row],[Mar_2026_Days_Forecast]]*Table4[[#This Row],[Cost Boolean]]*(VLOOKUP(Table4[[#This Row],[RATE CONCAT]],Tables!I:N,5,0)),0)</f>
        <v/>
      </c>
      <c r="BZ33" s="347">
        <f>IFERROR(Table4[[#This Row],[Mar_2026_Days_Actual]]*Table4[[#This Row],[Cost Boolean]]*(VLOOKUP(Table4[[#This Row],[RATE CONCAT]],Tables!I:N,5,0)),0)</f>
        <v/>
      </c>
      <c r="CA33" s="347">
        <f>Table4[[#This Row],[Mar_2026_F]]-Table4[[#This Row],[Mar_2026_A]]</f>
        <v/>
      </c>
      <c r="CB33" s="103" t="n"/>
      <c r="CC33" s="347">
        <f>IFERROR(Table4[[#This Row],[Apr_2026_Days_Forecast]]*Table4[[#This Row],[Cost Boolean]]*(VLOOKUP(Table4[[#This Row],[RATE CONCAT]],Tables!I:N,5,0)),0)</f>
        <v/>
      </c>
      <c r="CD33" s="347">
        <f>IFERROR(Table4[[#This Row],[Apr_2026_Days_Actual]]*Table4[[#This Row],[Cost Boolean]]*(VLOOKUP(Table4[[#This Row],[RATE CONCAT]],Tables!I:N,5,0)),0)</f>
        <v/>
      </c>
      <c r="CE33" s="347">
        <f>Table4[[#This Row],[Apr_2026_F]]-Table4[[#This Row],[Apr_2026_A]]</f>
        <v/>
      </c>
      <c r="CF33" s="103" t="n"/>
      <c r="CG33" s="347">
        <f>IFERROR(Table4[[#This Row],[May_2026_Days_Forecast]] *Table4[[#This Row],[Cost Boolean]]*(VLOOKUP(Table4[[#This Row],[RATE CONCAT]],Tables!I:N,5,0)),0)</f>
        <v/>
      </c>
      <c r="CH33" s="347">
        <f>IFERROR(Table4[[#This Row],[May_2026_Days_Actual]]*Table4[[#This Row],[Cost Boolean]]*(VLOOKUP(Table4[[#This Row],[RATE CONCAT]],Tables!I:N,5,0)),0)</f>
        <v/>
      </c>
      <c r="CI33" s="347">
        <f>Table4[[#This Row],[May_2026_F]]-Table4[[#This Row],[May_2026_A]]</f>
        <v/>
      </c>
      <c r="CJ33" s="103" t="n"/>
      <c r="CK33" s="347">
        <f>IFERROR(Table4[[#This Row],[Jun_2026_Days_Forecast]]*Table4[[#This Row],[Cost Boolean]]*(VLOOKUP(Table4[[#This Row],[RATE CONCAT]],Tables!I:N,5,0)),0)</f>
        <v/>
      </c>
      <c r="CL33" s="347">
        <f>IFERROR(Table4[[#This Row],[Jun_2026_Days_Actual]]*Table4[[#This Row],[Cost Boolean]]*(VLOOKUP(Table4[[#This Row],[RATE CONCAT]],Tables!I:N,5,0)),0)</f>
        <v/>
      </c>
      <c r="CM33" s="347">
        <f>Table4[[#This Row],[Jun_2026_F]]-Table4[[#This Row],[Jun_2026_A]]</f>
        <v/>
      </c>
      <c r="CN33" s="103" t="n"/>
      <c r="CO33" s="347">
        <f>IFERROR(Table4[[#This Row],[Jul_2026_Days_Forecast]]*Table4[[#This Row],[Cost Boolean]]*(VLOOKUP(Table4[[#This Row],[RATE CONCAT]],Tables!I:N,5,0)),0)</f>
        <v/>
      </c>
      <c r="CP33" s="347">
        <f>IFERROR(Table4[[#This Row],[Aug_2026_Days_Forecast]]*Table4[[#This Row],[Location]]*(VLOOKUP(Table4[[#This Row],[Rate]],Tables!J:O,5,0)),0)</f>
        <v/>
      </c>
      <c r="CQ33" s="347">
        <f>Table4[[#This Row],[Jul_2026_F]]-Table4[[#This Row],[Jul_2026_A]]</f>
        <v/>
      </c>
      <c r="CR33" s="103" t="n"/>
      <c r="CS33" s="347">
        <f>IFERROR(Table4[[#This Row],[Aug_2026_Days_Forecast]]*Table4[[#This Row],[Cost Boolean]]*(VLOOKUP(Table4[[#This Row],[RATE CONCAT]],Tables!I:N,5,0)),0)</f>
        <v/>
      </c>
      <c r="CT33" s="347">
        <f>IFERROR(Table4[[#This Row],[Aug_2026_Days_Actual]]*Table4[[#This Row],[Cost Boolean]]*(VLOOKUP(Table4[[#This Row],[RATE CONCAT]],Tables!I:N,5,0)),0)</f>
        <v/>
      </c>
      <c r="CU33" s="347">
        <f>Table4[[#This Row],[Aug_2026_F]]-Table4[[#This Row],[Aug_2026_A]]</f>
        <v/>
      </c>
      <c r="CV33" s="103" t="n"/>
      <c r="CW33" s="347">
        <f>IFERROR(Table4[[#This Row],[Sep_2026_Days_Forecast]]*Table4[[#This Row],[Cost Boolean]]*(VLOOKUP(Table4[[#This Row],[RATE CONCAT]],Tables!I:N,5,0)),0)</f>
        <v/>
      </c>
      <c r="CX33" s="347">
        <f>IFERROR(Table4[[#This Row],[Sep_2026_Days_Actual]]*Table4[[#This Row],[Cost Boolean]]*(VLOOKUP(Table4[[#This Row],[RATE CONCAT]],Tables!I:N,5,0)),0)</f>
        <v/>
      </c>
      <c r="CY33" s="347">
        <f>Table4[[#This Row],[Sep_2026_F]]-Table4[[#This Row],[Sep_2026_A]]</f>
        <v/>
      </c>
      <c r="CZ33" s="103" t="n"/>
      <c r="DA33" s="347">
        <f>IFERROR(Table4[[#This Row],[Oct_2026_Days_Forecast]]*Table4[[#This Row],[Cost Boolean]]*(VLOOKUP(Table4[[#This Row],[RATE CONCAT]],Tables!I:N,5,0)),0)</f>
        <v/>
      </c>
      <c r="DB33" s="347">
        <f>IFERROR(Table4[[#This Row],[Oct_2026_Days_Actual]]*Table4[[#This Row],[Cost Boolean]]*(VLOOKUP(Table4[[#This Row],[RATE CONCAT]],Tables!I:N,5,0)),0)</f>
        <v/>
      </c>
      <c r="DC33" s="347">
        <f>Table4[[#This Row],[Oct_2026_F]]-Table4[[#This Row],[Oct_2026_A]]</f>
        <v/>
      </c>
      <c r="DD33" s="103" t="n"/>
      <c r="DE33" s="347">
        <f>IFERROR(Table4[[#This Row],[Nov_2026_Days_Forecast]]*Table4[[#This Row],[Cost Boolean]]*(VLOOKUP(Table4[[#This Row],[RATE CONCAT]],Tables!I:N,5,0)),0)</f>
        <v/>
      </c>
      <c r="DF33" s="347">
        <f>IFERROR(Table4[[#This Row],[Nov_2026_Days_Actual]]*Table4[[#This Row],[Cost Boolean]]*(VLOOKUP(Table4[[#This Row],[RATE CONCAT]],Tables!I:N,5,0)),0)</f>
        <v/>
      </c>
      <c r="DG33" s="347">
        <f>Table4[[#This Row],[Nov_2026_F]]-Table4[[#This Row],[Nov_2026_A]]</f>
        <v/>
      </c>
      <c r="DH33" s="103" t="n"/>
      <c r="DI33" s="347">
        <f>IFERROR(Table4[[#This Row],[Dec_2026_Days_Forecast]]*Table4[[#This Row],[Cost Boolean]]*(VLOOKUP(Table4[[#This Row],[RATE CONCAT]],Tables!I:N,5,0)),0)</f>
        <v/>
      </c>
      <c r="DJ33" s="347">
        <f>IFERROR(Table4[[#This Row],[Dec_2026_Days_Actual]]*Table4[[#This Row],[Cost Boolean]]*(VLOOKUP(Table4[[#This Row],[RATE CONCAT]],Tables!I:N,5,0)),0)</f>
        <v/>
      </c>
      <c r="DK33" s="347">
        <f>Table4[[#This Row],[Dec_2026_F]]-Table4[[#This Row],[Dec_2026_A]]</f>
        <v/>
      </c>
      <c r="DL33" s="103" t="n"/>
      <c r="DM33" s="346" t="n"/>
      <c r="DN33" s="347">
        <f>IFERROR(Table4[[#This Row],[Jan_2027_Days_Forecast]]*Table4[[#This Row],[Cost Boolean]]*(VLOOKUP(Table4[[#This Row],[RATE CONCAT]],Tables!I:N,6,0)),0)</f>
        <v/>
      </c>
      <c r="DO33" s="275" t="n"/>
      <c r="DP33" s="347">
        <f>Table4[[#This Row],[Jan_2027_F]]-Table4[[#This Row],[Jan_2027_A]]</f>
        <v/>
      </c>
      <c r="DQ33" s="347">
        <f>IFERROR(Table4[[#This Row],[Feb_2027_Days_Forecast]]*Table4[[#This Row],[Cost Boolean]]*(VLOOKUP(Table4[[#This Row],[RATE CONCAT]],Tables!I:N,6,0)),0)</f>
        <v/>
      </c>
      <c r="DR33" s="275" t="n"/>
      <c r="DS33" s="347">
        <f>Table4[[#This Row],[Feb_2027_F]]-Table4[[#This Row],[Feb_2027_A]]</f>
        <v/>
      </c>
      <c r="DT33" s="347">
        <f>IFERROR(Table4[[#This Row],[Mar_2027_Days_Forecast]]*Table4[[#This Row],[Cost Boolean]]*(VLOOKUP(Table4[[#This Row],[RATE CONCAT]],Tables!I:N,6,0)),0)</f>
        <v/>
      </c>
      <c r="DU33" s="275" t="n"/>
      <c r="DV33" s="347">
        <f>Table4[[#This Row],[Mar_2027_F]]-Table4[[#This Row],[Mar_2027_A]]</f>
        <v/>
      </c>
      <c r="DW33" s="347">
        <f>IFERROR(Table4[[#This Row],[Apr_2027_Days_Forecast]]*Table4[[#This Row],[Cost Boolean]]*(VLOOKUP(Table4[[#This Row],[RATE CONCAT]],Tables!I:N,6,0)),0)</f>
        <v/>
      </c>
      <c r="DX33" s="275" t="n"/>
      <c r="DY33" s="347">
        <f>Table4[[#This Row],[Apr_2027_F]]-Table4[[#This Row],[Apr_2027_A]]</f>
        <v/>
      </c>
      <c r="DZ33" s="347">
        <f>IFERROR(Table4[[#This Row],[May_2027_Days_Forecast]]*Table4[[#This Row],[Cost Boolean]]*(VLOOKUP(Table4[[#This Row],[RATE CONCAT]],Tables!I:N,6,0)),0)</f>
        <v/>
      </c>
      <c r="EA33" s="275" t="n"/>
      <c r="EB33" s="347">
        <f>Table4[[#This Row],[May_2027_F]]-Table4[[#This Row],[May_2027_A]]</f>
        <v/>
      </c>
      <c r="EC33" s="347">
        <f>IFERROR(Table4[[#This Row],[Jun_2027_Days_Forecast]]*Table4[[#This Row],[Cost Boolean]]*(VLOOKUP(Table4[[#This Row],[RATE CONCAT]],Tables!I:N,6,0)),0)</f>
        <v/>
      </c>
      <c r="ED33" s="275" t="n"/>
      <c r="EE33" s="347">
        <f>Table4[[#This Row],[Jun_2027_F]]-Table4[[#This Row],[Jun_2027_A]]</f>
        <v/>
      </c>
      <c r="EF33" s="347">
        <f>IFERROR(Table4[[#This Row],[Jul_2027_Days_Forecast]]*Table4[[#This Row],[Cost Boolean]]*(VLOOKUP(Table4[[#This Row],[RATE CONCAT]],Tables!I:N,6,0)),0)</f>
        <v/>
      </c>
      <c r="EG33" s="275" t="n"/>
      <c r="EH33" s="347">
        <f>Table4[[#This Row],[Jul_2027_F]]-Table4[[#This Row],[Jul_2027_A]]</f>
        <v/>
      </c>
      <c r="EI33" s="347">
        <f>IFERROR(Table4[[#This Row],[Aug_2027_Days_Forecast]]*Table4[[#This Row],[Cost Boolean]]*(VLOOKUP(Table4[[#This Row],[RATE CONCAT]],Tables!I:N,6,0)),0)</f>
        <v/>
      </c>
      <c r="EJ33" s="275" t="n"/>
      <c r="EK33" s="347">
        <f>Table4[[#This Row],[Aug_2027_F]]-Table4[[#This Row],[Aug_2027_A]]</f>
        <v/>
      </c>
      <c r="EL33" s="347">
        <f>IFERROR(Table4[[#This Row],[Sep_2027_Days_Forecast]]*Table4[[#This Row],[Cost Boolean]]*(VLOOKUP(Table4[[#This Row],[RATE CONCAT]],Tables!I:N,6,0)),0)</f>
        <v/>
      </c>
      <c r="EM33" s="275" t="n"/>
      <c r="EN33" s="347">
        <f>Table4[[#This Row],[Sep_2027_F]]-Table4[[#This Row],[Sep_2027_A]]</f>
        <v/>
      </c>
      <c r="EO33" s="347">
        <f>IFERROR(Table4[[#This Row],[Oct_2027_Days_Forecast]]*Table4[[#This Row],[Cost Boolean]]*(VLOOKUP(Table4[[#This Row],[RATE CONCAT]],Tables!I:N,6,0)),0)</f>
        <v/>
      </c>
      <c r="EP33" s="275" t="n"/>
      <c r="EQ33" s="347">
        <f>Table4[[#This Row],[Oct_2027_F]]-Table4[[#This Row],[Oct_2027_A]]</f>
        <v/>
      </c>
      <c r="ER33" s="347">
        <f>IFERROR(Table4[[#This Row],[Nov_2027_Days_Forecast]]*Table4[[#This Row],[Cost Boolean]]*(VLOOKUP(Table4[[#This Row],[RATE CONCAT]],Tables!I:N,6,0)),0)</f>
        <v/>
      </c>
      <c r="ES33" s="275" t="n"/>
      <c r="ET33" s="347">
        <f>Table4[[#This Row],[Nov_2027_F]]-Table4[[#This Row],[Nov_2027_A]]</f>
        <v/>
      </c>
      <c r="EU33" s="347">
        <f>IFERROR(Table4[[#This Row],[Dec_2027_Days_Forecast]]*Table4[[#This Row],[Cost Boolean]]*(VLOOKUP(Table4[[#This Row],[RATE CONCAT]],Tables!I:N,6,0)),0)</f>
        <v/>
      </c>
      <c r="EV33" s="275" t="n"/>
      <c r="EW33" s="347">
        <f>Table4[[#This Row],[Dec_2027_F]]-Table4[[#This Row],[Dec_2027_A]]</f>
        <v/>
      </c>
    </row>
    <row r="34" ht="15" customHeight="1">
      <c r="A34" s="132" t="n"/>
      <c r="B34" s="132" t="n"/>
      <c r="C34" s="132" t="n"/>
      <c r="D34" s="132" t="n"/>
      <c r="E34" s="132" t="n"/>
      <c r="F34" s="132" t="n"/>
      <c r="G34" s="132" t="n"/>
      <c r="H34" s="132" t="n"/>
      <c r="I34" s="132" t="n"/>
      <c r="J34" s="132" t="n"/>
      <c r="K34" s="132" t="n"/>
      <c r="L34" s="132" t="n"/>
      <c r="M34" s="132" t="n"/>
      <c r="N34" s="132" t="n"/>
      <c r="O34" s="132" t="n"/>
      <c r="P34" s="132" t="n"/>
      <c r="Q34" s="132" t="n"/>
      <c r="R34" s="354" t="n"/>
      <c r="S34" s="354" t="n"/>
      <c r="T34" s="354" t="n"/>
      <c r="U34" s="354" t="n"/>
      <c r="V34" s="354" t="n"/>
      <c r="W34" s="354" t="n"/>
      <c r="X34" s="13" t="n"/>
      <c r="Y34" s="350">
        <f>CONCATENATE(Table4[[#This Row],[JG]],Table4[[#This Row],[Country]],Table4[[#This Row],[Resource Provider]])</f>
        <v/>
      </c>
      <c r="Z34" s="350">
        <f>VLOOKUP(Table4[[#This Row],[RATE CONCAT]],Tables!I:N,5,0)</f>
        <v/>
      </c>
      <c r="AA34" s="53" t="n"/>
      <c r="AB34" s="192" t="n"/>
      <c r="AC34" s="192" t="n"/>
      <c r="AD34" s="192" t="n"/>
      <c r="AE34" s="192" t="n"/>
      <c r="AF34" s="192" t="n"/>
      <c r="AG34" s="192" t="n"/>
      <c r="AH34" s="192" t="n"/>
      <c r="AI34" s="192" t="n"/>
      <c r="AJ34" s="192" t="n"/>
      <c r="AK34" s="16" t="n"/>
      <c r="AL34" s="16" t="n"/>
      <c r="AM34" s="16" t="n"/>
      <c r="AN34" s="353">
        <f>IFERROR(AVERAGE(Table4[[#This Row],[Jan_2026_Days_Forecast]:[Dec_2026_Days_Forecast]]),0)/19</f>
        <v/>
      </c>
      <c r="AO34" s="353">
        <f>IFERROR(AVERAGE(Table4[[#This Row],[Jan_2026_Days_Actual]:[Dec_2026_Days_Actual]]),0)/19</f>
        <v/>
      </c>
      <c r="AP34" s="84" t="n"/>
      <c r="AQ34" s="84" t="n"/>
      <c r="AR34" s="84" t="n"/>
      <c r="AS34" s="84" t="n"/>
      <c r="AT34" s="84" t="n"/>
      <c r="AU34" s="84" t="n"/>
      <c r="AV34" s="84" t="n"/>
      <c r="AW34" s="84" t="n"/>
      <c r="AX34" s="84" t="n"/>
      <c r="AY34" s="84" t="n"/>
      <c r="AZ34" s="84" t="n"/>
      <c r="BA34" s="84" t="n"/>
      <c r="BB34" s="353">
        <f>IFERROR(AVERAGE(Table4[[#This Row],[Jan_2027_Days_Forecast]:[Dec_2027_Days_Forecast]]),0)</f>
        <v/>
      </c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  <c r="BL34" s="16" t="n"/>
      <c r="BM34" s="16" t="n"/>
      <c r="BN34" s="16" t="n"/>
      <c r="BO34" s="55" t="n"/>
      <c r="BP34" s="346" t="n"/>
      <c r="BQ34" s="345">
        <f>Table4[[#This Row],[Jan_2026_Days_Forecast]]*Table4[[#This Row],[Cost Boolean]]*VLOOKUP(Table4[[#This Row],[RATE CONCAT]],Tables!I:N,5,0)</f>
        <v/>
      </c>
      <c r="BR34" s="345">
        <f>IFERROR(Table4[[#This Row],[Jan_2026_Days_Actual]]*Table4[[#This Row],[Cost Boolean]]*(VLOOKUP(Table4[[#This Row],[RATE CONCAT]],Tables!I:N,5,0)),0)</f>
        <v/>
      </c>
      <c r="BS34" s="345">
        <f>Table4[[#This Row],[Jan_2026_F]]-Table4[[#This Row],[Jan_2026_A]]</f>
        <v/>
      </c>
      <c r="BT34" s="107" t="n"/>
      <c r="BU34" s="345">
        <f>IFERROR(Table4[[#This Row],[Feb_2026_Days_Forecast]]*Table4[[#This Row],[Cost Boolean]]*(VLOOKUP(Table4[[#This Row],[RATE CONCAT]],Tables!I:N,5,0)),0)</f>
        <v/>
      </c>
      <c r="BV34" s="345">
        <f>IFERROR(Table4[[#This Row],[Feb_2026_Days_Actual]]*Table4[[#This Row],[Cost Boolean]]*(VLOOKUP(Table4[[#This Row],[RATE CONCAT]],Tables!I:N,5,0)),0)</f>
        <v/>
      </c>
      <c r="BW34" s="345">
        <f>Table4[[#This Row],[Feb_2026_F]]-Table4[[#This Row],[Feb_2026_A]]</f>
        <v/>
      </c>
      <c r="BX34" s="103" t="n"/>
      <c r="BY34" s="345">
        <f>IFERROR(Table4[[#This Row],[Mar_2026_Days_Forecast]]*Table4[[#This Row],[Cost Boolean]]*(VLOOKUP(Table4[[#This Row],[RATE CONCAT]],Tables!I:N,5,0)),0)</f>
        <v/>
      </c>
      <c r="BZ34" s="345">
        <f>IFERROR(Table4[[#This Row],[Mar_2026_Days_Actual]]*Table4[[#This Row],[Cost Boolean]]*(VLOOKUP(Table4[[#This Row],[RATE CONCAT]],Tables!I:N,5,0)),0)</f>
        <v/>
      </c>
      <c r="CA34" s="345">
        <f>Table4[[#This Row],[Mar_2026_F]]-Table4[[#This Row],[Mar_2026_A]]</f>
        <v/>
      </c>
      <c r="CB34" s="103" t="n"/>
      <c r="CC34" s="345">
        <f>IFERROR(Table4[[#This Row],[Apr_2026_Days_Forecast]]*Table4[[#This Row],[Cost Boolean]]*(VLOOKUP(Table4[[#This Row],[RATE CONCAT]],Tables!I:N,5,0)),0)</f>
        <v/>
      </c>
      <c r="CD34" s="345">
        <f>IFERROR(Table4[[#This Row],[Apr_2026_Days_Actual]]*Table4[[#This Row],[Cost Boolean]]*(VLOOKUP(Table4[[#This Row],[RATE CONCAT]],Tables!I:N,5,0)),0)</f>
        <v/>
      </c>
      <c r="CE34" s="345">
        <f>Table4[[#This Row],[Apr_2026_F]]-Table4[[#This Row],[Apr_2026_A]]</f>
        <v/>
      </c>
      <c r="CF34" s="103" t="n"/>
      <c r="CG34" s="345">
        <f>IFERROR(Table4[[#This Row],[May_2026_Days_Forecast]] *Table4[[#This Row],[Cost Boolean]]*(VLOOKUP(Table4[[#This Row],[RATE CONCAT]],Tables!I:N,5,0)),0)</f>
        <v/>
      </c>
      <c r="CH34" s="345">
        <f>IFERROR(Table4[[#This Row],[May_2026_Days_Actual]]*Table4[[#This Row],[Cost Boolean]]*(VLOOKUP(Table4[[#This Row],[RATE CONCAT]],Tables!I:N,5,0)),0)</f>
        <v/>
      </c>
      <c r="CI34" s="345">
        <f>Table4[[#This Row],[May_2026_F]]-Table4[[#This Row],[May_2026_A]]</f>
        <v/>
      </c>
      <c r="CJ34" s="103" t="n"/>
      <c r="CK34" s="345">
        <f>IFERROR(Table4[[#This Row],[Jun_2026_Days_Forecast]]*Table4[[#This Row],[Cost Boolean]]*(VLOOKUP(Table4[[#This Row],[RATE CONCAT]],Tables!I:N,5,0)),0)</f>
        <v/>
      </c>
      <c r="CL34" s="345">
        <f>IFERROR(Table4[[#This Row],[Jun_2026_Days_Actual]]*Table4[[#This Row],[Cost Boolean]]*(VLOOKUP(Table4[[#This Row],[RATE CONCAT]],Tables!I:N,5,0)),0)</f>
        <v/>
      </c>
      <c r="CM34" s="345">
        <f>Table4[[#This Row],[Jun_2026_F]]-Table4[[#This Row],[Jun_2026_A]]</f>
        <v/>
      </c>
      <c r="CN34" s="103" t="n"/>
      <c r="CO34" s="345">
        <f>IFERROR(Table4[[#This Row],[Jul_2026_Days_Forecast]]*Table4[[#This Row],[Cost Boolean]]*(VLOOKUP(Table4[[#This Row],[RATE CONCAT]],Tables!I:N,5,0)),0)</f>
        <v/>
      </c>
      <c r="CP34" s="345">
        <f>IFERROR(Table4[[#This Row],[Aug_2026_Days_Forecast]]*Table4[[#This Row],[Location]]*(VLOOKUP(Table4[[#This Row],[Rate]],Tables!J:O,5,0)),0)</f>
        <v/>
      </c>
      <c r="CQ34" s="345">
        <f>Table4[[#This Row],[Jul_2026_F]]-Table4[[#This Row],[Jul_2026_A]]</f>
        <v/>
      </c>
      <c r="CR34" s="103" t="n"/>
      <c r="CS34" s="345">
        <f>IFERROR(Table4[[#This Row],[Aug_2026_Days_Forecast]]*Table4[[#This Row],[Cost Boolean]]*(VLOOKUP(Table4[[#This Row],[RATE CONCAT]],Tables!I:N,5,0)),0)</f>
        <v/>
      </c>
      <c r="CT34" s="345">
        <f>IFERROR(Table4[[#This Row],[Aug_2026_Days_Actual]]*Table4[[#This Row],[Cost Boolean]]*(VLOOKUP(Table4[[#This Row],[RATE CONCAT]],Tables!I:N,5,0)),0)</f>
        <v/>
      </c>
      <c r="CU34" s="345">
        <f>Table4[[#This Row],[Aug_2026_F]]-Table4[[#This Row],[Aug_2026_A]]</f>
        <v/>
      </c>
      <c r="CV34" s="103" t="n"/>
      <c r="CW34" s="345">
        <f>IFERROR(Table4[[#This Row],[Sep_2026_Days_Forecast]]*Table4[[#This Row],[Cost Boolean]]*(VLOOKUP(Table4[[#This Row],[RATE CONCAT]],Tables!I:N,5,0)),0)</f>
        <v/>
      </c>
      <c r="CX34" s="345">
        <f>IFERROR(Table4[[#This Row],[Sep_2026_Days_Actual]]*Table4[[#This Row],[Cost Boolean]]*(VLOOKUP(Table4[[#This Row],[RATE CONCAT]],Tables!I:N,5,0)),0)</f>
        <v/>
      </c>
      <c r="CY34" s="345">
        <f>Table4[[#This Row],[Sep_2026_F]]-Table4[[#This Row],[Sep_2026_A]]</f>
        <v/>
      </c>
      <c r="CZ34" s="103" t="n"/>
      <c r="DA34" s="345">
        <f>IFERROR(Table4[[#This Row],[Oct_2026_Days_Forecast]]*Table4[[#This Row],[Cost Boolean]]*(VLOOKUP(Table4[[#This Row],[RATE CONCAT]],Tables!I:N,5,0)),0)</f>
        <v/>
      </c>
      <c r="DB34" s="345">
        <f>IFERROR(Table4[[#This Row],[Oct_2026_Days_Actual]]*Table4[[#This Row],[Cost Boolean]]*(VLOOKUP(Table4[[#This Row],[RATE CONCAT]],Tables!I:N,5,0)),0)</f>
        <v/>
      </c>
      <c r="DC34" s="345">
        <f>Table4[[#This Row],[Oct_2026_F]]-Table4[[#This Row],[Oct_2026_A]]</f>
        <v/>
      </c>
      <c r="DD34" s="103" t="n"/>
      <c r="DE34" s="345">
        <f>IFERROR(Table4[[#This Row],[Nov_2026_Days_Forecast]]*Table4[[#This Row],[Cost Boolean]]*(VLOOKUP(Table4[[#This Row],[RATE CONCAT]],Tables!I:N,5,0)),0)</f>
        <v/>
      </c>
      <c r="DF34" s="345">
        <f>IFERROR(Table4[[#This Row],[Nov_2026_Days_Actual]]*Table4[[#This Row],[Cost Boolean]]*(VLOOKUP(Table4[[#This Row],[RATE CONCAT]],Tables!I:N,5,0)),0)</f>
        <v/>
      </c>
      <c r="DG34" s="345">
        <f>Table4[[#This Row],[Nov_2026_F]]-Table4[[#This Row],[Nov_2026_A]]</f>
        <v/>
      </c>
      <c r="DH34" s="103" t="n"/>
      <c r="DI34" s="345">
        <f>IFERROR(Table4[[#This Row],[Dec_2026_Days_Forecast]]*Table4[[#This Row],[Cost Boolean]]*(VLOOKUP(Table4[[#This Row],[RATE CONCAT]],Tables!I:N,5,0)),0)</f>
        <v/>
      </c>
      <c r="DJ34" s="345">
        <f>IFERROR(Table4[[#This Row],[Dec_2026_Days_Actual]]*Table4[[#This Row],[Cost Boolean]]*(VLOOKUP(Table4[[#This Row],[RATE CONCAT]],Tables!I:N,5,0)),0)</f>
        <v/>
      </c>
      <c r="DK34" s="345">
        <f>Table4[[#This Row],[Dec_2026_F]]-Table4[[#This Row],[Dec_2026_A]]</f>
        <v/>
      </c>
      <c r="DL34" s="103" t="n"/>
      <c r="DM34" s="346" t="n"/>
      <c r="DN34" s="345">
        <f>IFERROR(Table4[[#This Row],[Jan_2027_Days_Forecast]]*Table4[[#This Row],[Cost Boolean]]*(VLOOKUP(Table4[[#This Row],[RATE CONCAT]],Tables!I:N,6,0)),0)</f>
        <v/>
      </c>
      <c r="DO34" s="275" t="n"/>
      <c r="DP34" s="345">
        <f>Table4[[#This Row],[Jan_2027_F]]-Table4[[#This Row],[Jan_2027_A]]</f>
        <v/>
      </c>
      <c r="DQ34" s="345">
        <f>IFERROR(Table4[[#This Row],[Feb_2027_Days_Forecast]]*Table4[[#This Row],[Cost Boolean]]*(VLOOKUP(Table4[[#This Row],[RATE CONCAT]],Tables!I:N,6,0)),0)</f>
        <v/>
      </c>
      <c r="DR34" s="275" t="n"/>
      <c r="DS34" s="345">
        <f>Table4[[#This Row],[Feb_2027_F]]-Table4[[#This Row],[Feb_2027_A]]</f>
        <v/>
      </c>
      <c r="DT34" s="345">
        <f>IFERROR(Table4[[#This Row],[Mar_2027_Days_Forecast]]*Table4[[#This Row],[Cost Boolean]]*(VLOOKUP(Table4[[#This Row],[RATE CONCAT]],Tables!I:N,6,0)),0)</f>
        <v/>
      </c>
      <c r="DU34" s="275" t="n"/>
      <c r="DV34" s="345">
        <f>Table4[[#This Row],[Mar_2027_F]]-Table4[[#This Row],[Mar_2027_A]]</f>
        <v/>
      </c>
      <c r="DW34" s="345">
        <f>IFERROR(Table4[[#This Row],[Apr_2027_Days_Forecast]]*Table4[[#This Row],[Cost Boolean]]*(VLOOKUP(Table4[[#This Row],[RATE CONCAT]],Tables!I:N,6,0)),0)</f>
        <v/>
      </c>
      <c r="DX34" s="275" t="n"/>
      <c r="DY34" s="345">
        <f>Table4[[#This Row],[Apr_2027_F]]-Table4[[#This Row],[Apr_2027_A]]</f>
        <v/>
      </c>
      <c r="DZ34" s="345">
        <f>IFERROR(Table4[[#This Row],[May_2027_Days_Forecast]]*Table4[[#This Row],[Cost Boolean]]*(VLOOKUP(Table4[[#This Row],[RATE CONCAT]],Tables!I:N,6,0)),0)</f>
        <v/>
      </c>
      <c r="EA34" s="275" t="n"/>
      <c r="EB34" s="345">
        <f>Table4[[#This Row],[May_2027_F]]-Table4[[#This Row],[May_2027_A]]</f>
        <v/>
      </c>
      <c r="EC34" s="345">
        <f>IFERROR(Table4[[#This Row],[Jun_2027_Days_Forecast]]*Table4[[#This Row],[Cost Boolean]]*(VLOOKUP(Table4[[#This Row],[RATE CONCAT]],Tables!I:N,6,0)),0)</f>
        <v/>
      </c>
      <c r="ED34" s="275" t="n"/>
      <c r="EE34" s="345">
        <f>Table4[[#This Row],[Jun_2027_F]]-Table4[[#This Row],[Jun_2027_A]]</f>
        <v/>
      </c>
      <c r="EF34" s="345">
        <f>IFERROR(Table4[[#This Row],[Jul_2027_Days_Forecast]]*Table4[[#This Row],[Cost Boolean]]*(VLOOKUP(Table4[[#This Row],[RATE CONCAT]],Tables!I:N,6,0)),0)</f>
        <v/>
      </c>
      <c r="EG34" s="275" t="n"/>
      <c r="EH34" s="345">
        <f>Table4[[#This Row],[Jul_2027_F]]-Table4[[#This Row],[Jul_2027_A]]</f>
        <v/>
      </c>
      <c r="EI34" s="345">
        <f>IFERROR(Table4[[#This Row],[Aug_2027_Days_Forecast]]*Table4[[#This Row],[Cost Boolean]]*(VLOOKUP(Table4[[#This Row],[RATE CONCAT]],Tables!I:N,6,0)),0)</f>
        <v/>
      </c>
      <c r="EJ34" s="275" t="n"/>
      <c r="EK34" s="345">
        <f>Table4[[#This Row],[Aug_2027_F]]-Table4[[#This Row],[Aug_2027_A]]</f>
        <v/>
      </c>
      <c r="EL34" s="345">
        <f>IFERROR(Table4[[#This Row],[Sep_2027_Days_Forecast]]*Table4[[#This Row],[Cost Boolean]]*(VLOOKUP(Table4[[#This Row],[RATE CONCAT]],Tables!I:N,6,0)),0)</f>
        <v/>
      </c>
      <c r="EM34" s="275" t="n"/>
      <c r="EN34" s="345">
        <f>Table4[[#This Row],[Sep_2027_F]]-Table4[[#This Row],[Sep_2027_A]]</f>
        <v/>
      </c>
      <c r="EO34" s="345">
        <f>IFERROR(Table4[[#This Row],[Oct_2027_Days_Forecast]]*Table4[[#This Row],[Cost Boolean]]*(VLOOKUP(Table4[[#This Row],[RATE CONCAT]],Tables!I:N,6,0)),0)</f>
        <v/>
      </c>
      <c r="EP34" s="275" t="n"/>
      <c r="EQ34" s="345">
        <f>Table4[[#This Row],[Oct_2027_F]]-Table4[[#This Row],[Oct_2027_A]]</f>
        <v/>
      </c>
      <c r="ER34" s="345">
        <f>IFERROR(Table4[[#This Row],[Nov_2027_Days_Forecast]]*Table4[[#This Row],[Cost Boolean]]*(VLOOKUP(Table4[[#This Row],[RATE CONCAT]],Tables!I:N,6,0)),0)</f>
        <v/>
      </c>
      <c r="ES34" s="275" t="n"/>
      <c r="ET34" s="345">
        <f>Table4[[#This Row],[Nov_2027_F]]-Table4[[#This Row],[Nov_2027_A]]</f>
        <v/>
      </c>
      <c r="EU34" s="345">
        <f>IFERROR(Table4[[#This Row],[Dec_2027_Days_Forecast]]*Table4[[#This Row],[Cost Boolean]]*(VLOOKUP(Table4[[#This Row],[RATE CONCAT]],Tables!I:N,6,0)),0)</f>
        <v/>
      </c>
      <c r="EV34" s="275" t="n"/>
      <c r="EW34" s="345">
        <f>Table4[[#This Row],[Dec_2027_F]]-Table4[[#This Row],[Dec_2027_A]]</f>
        <v/>
      </c>
    </row>
    <row r="35" ht="15" customHeight="1">
      <c r="A35" s="132" t="n"/>
      <c r="B35" s="132" t="n"/>
      <c r="C35" s="132" t="n"/>
      <c r="D35" s="132" t="n"/>
      <c r="E35" s="132" t="n"/>
      <c r="F35" s="132" t="n"/>
      <c r="G35" s="132" t="n"/>
      <c r="H35" s="132" t="n"/>
      <c r="I35" s="132" t="n"/>
      <c r="J35" s="132" t="n"/>
      <c r="K35" s="132" t="n"/>
      <c r="L35" s="132" t="n"/>
      <c r="M35" s="132" t="n"/>
      <c r="N35" s="132" t="n"/>
      <c r="O35" s="132" t="n"/>
      <c r="P35" s="132" t="n"/>
      <c r="Q35" s="132" t="n"/>
      <c r="R35" s="354" t="n"/>
      <c r="S35" s="354" t="n"/>
      <c r="T35" s="354" t="n"/>
      <c r="U35" s="354" t="n"/>
      <c r="V35" s="354" t="n"/>
      <c r="W35" s="354" t="n"/>
      <c r="X35" s="13" t="n"/>
      <c r="Y35" s="350">
        <f>CONCATENATE(Table4[[#This Row],[JG]],Table4[[#This Row],[Country]],Table4[[#This Row],[Resource Provider]])</f>
        <v/>
      </c>
      <c r="Z35" s="350">
        <f>VLOOKUP(Table4[[#This Row],[RATE CONCAT]],Tables!I:N,5,0)</f>
        <v/>
      </c>
      <c r="AA35" s="53" t="n"/>
      <c r="AB35" s="192" t="n"/>
      <c r="AC35" s="192" t="n"/>
      <c r="AD35" s="192" t="n"/>
      <c r="AE35" s="192" t="n"/>
      <c r="AF35" s="192" t="n"/>
      <c r="AG35" s="192" t="n"/>
      <c r="AH35" s="192" t="n"/>
      <c r="AI35" s="192" t="n"/>
      <c r="AJ35" s="192" t="n"/>
      <c r="AK35" s="16" t="n"/>
      <c r="AL35" s="16" t="n"/>
      <c r="AM35" s="16" t="n"/>
      <c r="AN35" s="353">
        <f>IFERROR(AVERAGE(Table4[[#This Row],[Jan_2026_Days_Forecast]:[Dec_2026_Days_Forecast]]),0)/19</f>
        <v/>
      </c>
      <c r="AO35" s="353">
        <f>IFERROR(AVERAGE(Table4[[#This Row],[Jan_2026_Days_Actual]:[Dec_2026_Days_Actual]]),0)/19</f>
        <v/>
      </c>
      <c r="AP35" s="84" t="n"/>
      <c r="AQ35" s="84" t="n"/>
      <c r="AR35" s="84" t="n"/>
      <c r="AS35" s="84" t="n"/>
      <c r="AT35" s="84" t="n"/>
      <c r="AU35" s="84" t="n"/>
      <c r="AV35" s="84" t="n"/>
      <c r="AW35" s="84" t="n"/>
      <c r="AX35" s="84" t="n"/>
      <c r="AY35" s="84" t="n"/>
      <c r="AZ35" s="84" t="n"/>
      <c r="BA35" s="84" t="n"/>
      <c r="BB35" s="353">
        <f>IFERROR(AVERAGE(Table4[[#This Row],[Jan_2027_Days_Forecast]:[Dec_2027_Days_Forecast]]),0)</f>
        <v/>
      </c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  <c r="BL35" s="16" t="n"/>
      <c r="BM35" s="16" t="n"/>
      <c r="BN35" s="16" t="n"/>
      <c r="BO35" s="55" t="n"/>
      <c r="BP35" s="346" t="n"/>
      <c r="BQ35" s="347">
        <f>Table4[[#This Row],[Jan_2026_Days_Forecast]]*Table4[[#This Row],[Cost Boolean]]*VLOOKUP(Table4[[#This Row],[RATE CONCAT]],Tables!I:N,5,0)</f>
        <v/>
      </c>
      <c r="BR35" s="347">
        <f>IFERROR(Table4[[#This Row],[Jan_2026_Days_Actual]]*Table4[[#This Row],[Cost Boolean]]*(VLOOKUP(Table4[[#This Row],[RATE CONCAT]],Tables!I:N,5,0)),0)</f>
        <v/>
      </c>
      <c r="BS35" s="347">
        <f>Table4[[#This Row],[Jan_2026_F]]-Table4[[#This Row],[Jan_2026_A]]</f>
        <v/>
      </c>
      <c r="BT35" s="107" t="n"/>
      <c r="BU35" s="347">
        <f>IFERROR(Table4[[#This Row],[Feb_2026_Days_Forecast]]*Table4[[#This Row],[Cost Boolean]]*(VLOOKUP(Table4[[#This Row],[RATE CONCAT]],Tables!I:N,5,0)),0)</f>
        <v/>
      </c>
      <c r="BV35" s="347">
        <f>IFERROR(Table4[[#This Row],[Feb_2026_Days_Actual]]*Table4[[#This Row],[Cost Boolean]]*(VLOOKUP(Table4[[#This Row],[RATE CONCAT]],Tables!I:N,5,0)),0)</f>
        <v/>
      </c>
      <c r="BW35" s="347">
        <f>Table4[[#This Row],[Feb_2026_F]]-Table4[[#This Row],[Feb_2026_A]]</f>
        <v/>
      </c>
      <c r="BX35" s="103" t="n"/>
      <c r="BY35" s="347">
        <f>IFERROR(Table4[[#This Row],[Mar_2026_Days_Forecast]]*Table4[[#This Row],[Cost Boolean]]*(VLOOKUP(Table4[[#This Row],[RATE CONCAT]],Tables!I:N,5,0)),0)</f>
        <v/>
      </c>
      <c r="BZ35" s="347">
        <f>IFERROR(Table4[[#This Row],[Mar_2026_Days_Actual]]*Table4[[#This Row],[Cost Boolean]]*(VLOOKUP(Table4[[#This Row],[RATE CONCAT]],Tables!I:N,5,0)),0)</f>
        <v/>
      </c>
      <c r="CA35" s="347">
        <f>Table4[[#This Row],[Mar_2026_F]]-Table4[[#This Row],[Mar_2026_A]]</f>
        <v/>
      </c>
      <c r="CB35" s="103" t="n"/>
      <c r="CC35" s="347">
        <f>IFERROR(Table4[[#This Row],[Apr_2026_Days_Forecast]]*Table4[[#This Row],[Cost Boolean]]*(VLOOKUP(Table4[[#This Row],[RATE CONCAT]],Tables!I:N,5,0)),0)</f>
        <v/>
      </c>
      <c r="CD35" s="347">
        <f>IFERROR(Table4[[#This Row],[Apr_2026_Days_Actual]]*Table4[[#This Row],[Cost Boolean]]*(VLOOKUP(Table4[[#This Row],[RATE CONCAT]],Tables!I:N,5,0)),0)</f>
        <v/>
      </c>
      <c r="CE35" s="347">
        <f>Table4[[#This Row],[Apr_2026_F]]-Table4[[#This Row],[Apr_2026_A]]</f>
        <v/>
      </c>
      <c r="CF35" s="103" t="n"/>
      <c r="CG35" s="347">
        <f>IFERROR(Table4[[#This Row],[May_2026_Days_Forecast]] *Table4[[#This Row],[Cost Boolean]]*(VLOOKUP(Table4[[#This Row],[RATE CONCAT]],Tables!I:N,5,0)),0)</f>
        <v/>
      </c>
      <c r="CH35" s="347">
        <f>IFERROR(Table4[[#This Row],[May_2026_Days_Actual]]*Table4[[#This Row],[Cost Boolean]]*(VLOOKUP(Table4[[#This Row],[RATE CONCAT]],Tables!I:N,5,0)),0)</f>
        <v/>
      </c>
      <c r="CI35" s="347">
        <f>Table4[[#This Row],[May_2026_F]]-Table4[[#This Row],[May_2026_A]]</f>
        <v/>
      </c>
      <c r="CJ35" s="103" t="n"/>
      <c r="CK35" s="347">
        <f>IFERROR(Table4[[#This Row],[Jun_2026_Days_Forecast]]*Table4[[#This Row],[Cost Boolean]]*(VLOOKUP(Table4[[#This Row],[RATE CONCAT]],Tables!I:N,5,0)),0)</f>
        <v/>
      </c>
      <c r="CL35" s="347">
        <f>IFERROR(Table4[[#This Row],[Jun_2026_Days_Actual]]*Table4[[#This Row],[Cost Boolean]]*(VLOOKUP(Table4[[#This Row],[RATE CONCAT]],Tables!I:N,5,0)),0)</f>
        <v/>
      </c>
      <c r="CM35" s="347">
        <f>Table4[[#This Row],[Jun_2026_F]]-Table4[[#This Row],[Jun_2026_A]]</f>
        <v/>
      </c>
      <c r="CN35" s="103" t="n"/>
      <c r="CO35" s="347">
        <f>IFERROR(Table4[[#This Row],[Jul_2026_Days_Forecast]]*Table4[[#This Row],[Cost Boolean]]*(VLOOKUP(Table4[[#This Row],[RATE CONCAT]],Tables!I:N,5,0)),0)</f>
        <v/>
      </c>
      <c r="CP35" s="347">
        <f>IFERROR(Table4[[#This Row],[Aug_2026_Days_Forecast]]*Table4[[#This Row],[Location]]*(VLOOKUP(Table4[[#This Row],[Rate]],Tables!J:O,5,0)),0)</f>
        <v/>
      </c>
      <c r="CQ35" s="347">
        <f>Table4[[#This Row],[Jul_2026_F]]-Table4[[#This Row],[Jul_2026_A]]</f>
        <v/>
      </c>
      <c r="CR35" s="103" t="n"/>
      <c r="CS35" s="347">
        <f>IFERROR(Table4[[#This Row],[Aug_2026_Days_Forecast]]*Table4[[#This Row],[Cost Boolean]]*(VLOOKUP(Table4[[#This Row],[RATE CONCAT]],Tables!I:N,5,0)),0)</f>
        <v/>
      </c>
      <c r="CT35" s="347">
        <f>IFERROR(Table4[[#This Row],[Aug_2026_Days_Actual]]*Table4[[#This Row],[Cost Boolean]]*(VLOOKUP(Table4[[#This Row],[RATE CONCAT]],Tables!I:N,5,0)),0)</f>
        <v/>
      </c>
      <c r="CU35" s="347">
        <f>Table4[[#This Row],[Aug_2026_F]]-Table4[[#This Row],[Aug_2026_A]]</f>
        <v/>
      </c>
      <c r="CV35" s="103" t="n"/>
      <c r="CW35" s="347">
        <f>IFERROR(Table4[[#This Row],[Sep_2026_Days_Forecast]]*Table4[[#This Row],[Cost Boolean]]*(VLOOKUP(Table4[[#This Row],[RATE CONCAT]],Tables!I:N,5,0)),0)</f>
        <v/>
      </c>
      <c r="CX35" s="347">
        <f>IFERROR(Table4[[#This Row],[Sep_2026_Days_Actual]]*Table4[[#This Row],[Cost Boolean]]*(VLOOKUP(Table4[[#This Row],[RATE CONCAT]],Tables!I:N,5,0)),0)</f>
        <v/>
      </c>
      <c r="CY35" s="347">
        <f>Table4[[#This Row],[Sep_2026_F]]-Table4[[#This Row],[Sep_2026_A]]</f>
        <v/>
      </c>
      <c r="CZ35" s="103" t="n"/>
      <c r="DA35" s="347">
        <f>IFERROR(Table4[[#This Row],[Oct_2026_Days_Forecast]]*Table4[[#This Row],[Cost Boolean]]*(VLOOKUP(Table4[[#This Row],[RATE CONCAT]],Tables!I:N,5,0)),0)</f>
        <v/>
      </c>
      <c r="DB35" s="347">
        <f>IFERROR(Table4[[#This Row],[Oct_2026_Days_Actual]]*Table4[[#This Row],[Cost Boolean]]*(VLOOKUP(Table4[[#This Row],[RATE CONCAT]],Tables!I:N,5,0)),0)</f>
        <v/>
      </c>
      <c r="DC35" s="347">
        <f>Table4[[#This Row],[Oct_2026_F]]-Table4[[#This Row],[Oct_2026_A]]</f>
        <v/>
      </c>
      <c r="DD35" s="103" t="n"/>
      <c r="DE35" s="347">
        <f>IFERROR(Table4[[#This Row],[Nov_2026_Days_Forecast]]*Table4[[#This Row],[Cost Boolean]]*(VLOOKUP(Table4[[#This Row],[RATE CONCAT]],Tables!I:N,5,0)),0)</f>
        <v/>
      </c>
      <c r="DF35" s="347">
        <f>IFERROR(Table4[[#This Row],[Nov_2026_Days_Actual]]*Table4[[#This Row],[Cost Boolean]]*(VLOOKUP(Table4[[#This Row],[RATE CONCAT]],Tables!I:N,5,0)),0)</f>
        <v/>
      </c>
      <c r="DG35" s="347">
        <f>Table4[[#This Row],[Nov_2026_F]]-Table4[[#This Row],[Nov_2026_A]]</f>
        <v/>
      </c>
      <c r="DH35" s="103" t="n"/>
      <c r="DI35" s="347">
        <f>IFERROR(Table4[[#This Row],[Dec_2026_Days_Forecast]]*Table4[[#This Row],[Cost Boolean]]*(VLOOKUP(Table4[[#This Row],[RATE CONCAT]],Tables!I:N,5,0)),0)</f>
        <v/>
      </c>
      <c r="DJ35" s="347">
        <f>IFERROR(Table4[[#This Row],[Dec_2026_Days_Actual]]*Table4[[#This Row],[Cost Boolean]]*(VLOOKUP(Table4[[#This Row],[RATE CONCAT]],Tables!I:N,5,0)),0)</f>
        <v/>
      </c>
      <c r="DK35" s="347">
        <f>Table4[[#This Row],[Dec_2026_F]]-Table4[[#This Row],[Dec_2026_A]]</f>
        <v/>
      </c>
      <c r="DL35" s="103" t="n"/>
      <c r="DM35" s="346" t="n"/>
      <c r="DN35" s="347">
        <f>IFERROR(Table4[[#This Row],[Jan_2027_Days_Forecast]]*Table4[[#This Row],[Cost Boolean]]*(VLOOKUP(Table4[[#This Row],[RATE CONCAT]],Tables!I:N,6,0)),0)</f>
        <v/>
      </c>
      <c r="DO35" s="275" t="n"/>
      <c r="DP35" s="347">
        <f>Table4[[#This Row],[Jan_2027_F]]-Table4[[#This Row],[Jan_2027_A]]</f>
        <v/>
      </c>
      <c r="DQ35" s="347">
        <f>IFERROR(Table4[[#This Row],[Feb_2027_Days_Forecast]]*Table4[[#This Row],[Cost Boolean]]*(VLOOKUP(Table4[[#This Row],[RATE CONCAT]],Tables!I:N,6,0)),0)</f>
        <v/>
      </c>
      <c r="DR35" s="275" t="n"/>
      <c r="DS35" s="347">
        <f>Table4[[#This Row],[Feb_2027_F]]-Table4[[#This Row],[Feb_2027_A]]</f>
        <v/>
      </c>
      <c r="DT35" s="347">
        <f>IFERROR(Table4[[#This Row],[Mar_2027_Days_Forecast]]*Table4[[#This Row],[Cost Boolean]]*(VLOOKUP(Table4[[#This Row],[RATE CONCAT]],Tables!I:N,6,0)),0)</f>
        <v/>
      </c>
      <c r="DU35" s="275" t="n"/>
      <c r="DV35" s="347">
        <f>Table4[[#This Row],[Mar_2027_F]]-Table4[[#This Row],[Mar_2027_A]]</f>
        <v/>
      </c>
      <c r="DW35" s="347">
        <f>IFERROR(Table4[[#This Row],[Apr_2027_Days_Forecast]]*Table4[[#This Row],[Cost Boolean]]*(VLOOKUP(Table4[[#This Row],[RATE CONCAT]],Tables!I:N,6,0)),0)</f>
        <v/>
      </c>
      <c r="DX35" s="275" t="n"/>
      <c r="DY35" s="347">
        <f>Table4[[#This Row],[Apr_2027_F]]-Table4[[#This Row],[Apr_2027_A]]</f>
        <v/>
      </c>
      <c r="DZ35" s="347">
        <f>IFERROR(Table4[[#This Row],[May_2027_Days_Forecast]]*Table4[[#This Row],[Cost Boolean]]*(VLOOKUP(Table4[[#This Row],[RATE CONCAT]],Tables!I:N,6,0)),0)</f>
        <v/>
      </c>
      <c r="EA35" s="275" t="n"/>
      <c r="EB35" s="347">
        <f>Table4[[#This Row],[May_2027_F]]-Table4[[#This Row],[May_2027_A]]</f>
        <v/>
      </c>
      <c r="EC35" s="347">
        <f>IFERROR(Table4[[#This Row],[Jun_2027_Days_Forecast]]*Table4[[#This Row],[Cost Boolean]]*(VLOOKUP(Table4[[#This Row],[RATE CONCAT]],Tables!I:N,6,0)),0)</f>
        <v/>
      </c>
      <c r="ED35" s="275" t="n"/>
      <c r="EE35" s="347">
        <f>Table4[[#This Row],[Jun_2027_F]]-Table4[[#This Row],[Jun_2027_A]]</f>
        <v/>
      </c>
      <c r="EF35" s="347">
        <f>IFERROR(Table4[[#This Row],[Jul_2027_Days_Forecast]]*Table4[[#This Row],[Cost Boolean]]*(VLOOKUP(Table4[[#This Row],[RATE CONCAT]],Tables!I:N,6,0)),0)</f>
        <v/>
      </c>
      <c r="EG35" s="275" t="n"/>
      <c r="EH35" s="347">
        <f>Table4[[#This Row],[Jul_2027_F]]-Table4[[#This Row],[Jul_2027_A]]</f>
        <v/>
      </c>
      <c r="EI35" s="347">
        <f>IFERROR(Table4[[#This Row],[Aug_2027_Days_Forecast]]*Table4[[#This Row],[Cost Boolean]]*(VLOOKUP(Table4[[#This Row],[RATE CONCAT]],Tables!I:N,6,0)),0)</f>
        <v/>
      </c>
      <c r="EJ35" s="275" t="n"/>
      <c r="EK35" s="347">
        <f>Table4[[#This Row],[Aug_2027_F]]-Table4[[#This Row],[Aug_2027_A]]</f>
        <v/>
      </c>
      <c r="EL35" s="347">
        <f>IFERROR(Table4[[#This Row],[Sep_2027_Days_Forecast]]*Table4[[#This Row],[Cost Boolean]]*(VLOOKUP(Table4[[#This Row],[RATE CONCAT]],Tables!I:N,6,0)),0)</f>
        <v/>
      </c>
      <c r="EM35" s="275" t="n"/>
      <c r="EN35" s="347">
        <f>Table4[[#This Row],[Sep_2027_F]]-Table4[[#This Row],[Sep_2027_A]]</f>
        <v/>
      </c>
      <c r="EO35" s="347">
        <f>IFERROR(Table4[[#This Row],[Oct_2027_Days_Forecast]]*Table4[[#This Row],[Cost Boolean]]*(VLOOKUP(Table4[[#This Row],[RATE CONCAT]],Tables!I:N,6,0)),0)</f>
        <v/>
      </c>
      <c r="EP35" s="275" t="n"/>
      <c r="EQ35" s="347">
        <f>Table4[[#This Row],[Oct_2027_F]]-Table4[[#This Row],[Oct_2027_A]]</f>
        <v/>
      </c>
      <c r="ER35" s="347">
        <f>IFERROR(Table4[[#This Row],[Nov_2027_Days_Forecast]]*Table4[[#This Row],[Cost Boolean]]*(VLOOKUP(Table4[[#This Row],[RATE CONCAT]],Tables!I:N,6,0)),0)</f>
        <v/>
      </c>
      <c r="ES35" s="275" t="n"/>
      <c r="ET35" s="347">
        <f>Table4[[#This Row],[Nov_2027_F]]-Table4[[#This Row],[Nov_2027_A]]</f>
        <v/>
      </c>
      <c r="EU35" s="347">
        <f>IFERROR(Table4[[#This Row],[Dec_2027_Days_Forecast]]*Table4[[#This Row],[Cost Boolean]]*(VLOOKUP(Table4[[#This Row],[RATE CONCAT]],Tables!I:N,6,0)),0)</f>
        <v/>
      </c>
      <c r="EV35" s="275" t="n"/>
      <c r="EW35" s="347">
        <f>Table4[[#This Row],[Dec_2027_F]]-Table4[[#This Row],[Dec_2027_A]]</f>
        <v/>
      </c>
    </row>
    <row r="36" ht="15" customHeight="1">
      <c r="A36" s="132" t="n"/>
      <c r="B36" s="132" t="n"/>
      <c r="C36" s="132" t="n"/>
      <c r="D36" s="132" t="n"/>
      <c r="E36" s="132" t="n"/>
      <c r="F36" s="132" t="n"/>
      <c r="G36" s="132" t="n"/>
      <c r="H36" s="132" t="n"/>
      <c r="I36" s="132" t="n"/>
      <c r="J36" s="132" t="n"/>
      <c r="K36" s="132" t="n"/>
      <c r="L36" s="132" t="n"/>
      <c r="M36" s="132" t="n"/>
      <c r="N36" s="132" t="n"/>
      <c r="O36" s="132" t="n"/>
      <c r="P36" s="132" t="n"/>
      <c r="Q36" s="132" t="n"/>
      <c r="R36" s="354" t="n"/>
      <c r="S36" s="354" t="n"/>
      <c r="T36" s="354" t="n"/>
      <c r="U36" s="354" t="n"/>
      <c r="V36" s="354" t="n"/>
      <c r="W36" s="354" t="n"/>
      <c r="X36" s="13" t="n"/>
      <c r="Y36" s="350">
        <f>CONCATENATE(Table4[[#This Row],[JG]],Table4[[#This Row],[Country]],Table4[[#This Row],[Resource Provider]])</f>
        <v/>
      </c>
      <c r="Z36" s="350">
        <f>VLOOKUP(Table4[[#This Row],[RATE CONCAT]],Tables!I:N,5,0)</f>
        <v/>
      </c>
      <c r="AA36" s="53" t="n"/>
      <c r="AB36" s="192" t="n"/>
      <c r="AC36" s="192" t="n"/>
      <c r="AD36" s="192" t="n"/>
      <c r="AE36" s="192" t="n"/>
      <c r="AF36" s="192" t="n"/>
      <c r="AG36" s="192" t="n"/>
      <c r="AH36" s="192" t="n"/>
      <c r="AI36" s="192" t="n"/>
      <c r="AJ36" s="192" t="n"/>
      <c r="AK36" s="16" t="n"/>
      <c r="AL36" s="16" t="n"/>
      <c r="AM36" s="16" t="n"/>
      <c r="AN36" s="353">
        <f>IFERROR(AVERAGE(Table4[[#This Row],[Jan_2026_Days_Forecast]:[Dec_2026_Days_Forecast]]),0)/19</f>
        <v/>
      </c>
      <c r="AO36" s="353">
        <f>IFERROR(AVERAGE(Table4[[#This Row],[Jan_2026_Days_Actual]:[Dec_2026_Days_Actual]]),0)/19</f>
        <v/>
      </c>
      <c r="AP36" s="84" t="n"/>
      <c r="AQ36" s="84" t="n"/>
      <c r="AR36" s="84" t="n"/>
      <c r="AS36" s="84" t="n"/>
      <c r="AT36" s="84" t="n"/>
      <c r="AU36" s="84" t="n"/>
      <c r="AV36" s="84" t="n"/>
      <c r="AW36" s="84" t="n"/>
      <c r="AX36" s="84" t="n"/>
      <c r="AY36" s="84" t="n"/>
      <c r="AZ36" s="84" t="n"/>
      <c r="BA36" s="84" t="n"/>
      <c r="BB36" s="353">
        <f>IFERROR(AVERAGE(Table4[[#This Row],[Jan_2027_Days_Forecast]:[Dec_2027_Days_Forecast]]),0)</f>
        <v/>
      </c>
      <c r="BC36" s="16" t="n"/>
      <c r="BD36" s="16" t="n"/>
      <c r="BE36" s="16" t="n"/>
      <c r="BF36" s="16" t="n"/>
      <c r="BG36" s="16" t="n"/>
      <c r="BH36" s="16" t="n"/>
      <c r="BI36" s="16" t="n"/>
      <c r="BJ36" s="16" t="n"/>
      <c r="BK36" s="16" t="n"/>
      <c r="BL36" s="16" t="n"/>
      <c r="BM36" s="16" t="n"/>
      <c r="BN36" s="16" t="n"/>
      <c r="BO36" s="55" t="n"/>
      <c r="BP36" s="346" t="n"/>
      <c r="BQ36" s="345">
        <f>Table4[[#This Row],[Jan_2026_Days_Forecast]]*Table4[[#This Row],[Cost Boolean]]*VLOOKUP(Table4[[#This Row],[RATE CONCAT]],Tables!I:N,5,0)</f>
        <v/>
      </c>
      <c r="BR36" s="345">
        <f>IFERROR(Table4[[#This Row],[Jan_2026_Days_Actual]]*Table4[[#This Row],[Cost Boolean]]*(VLOOKUP(Table4[[#This Row],[RATE CONCAT]],Tables!I:N,5,0)),0)</f>
        <v/>
      </c>
      <c r="BS36" s="345">
        <f>Table4[[#This Row],[Jan_2026_F]]-Table4[[#This Row],[Jan_2026_A]]</f>
        <v/>
      </c>
      <c r="BT36" s="107" t="n"/>
      <c r="BU36" s="345">
        <f>IFERROR(Table4[[#This Row],[Feb_2026_Days_Forecast]]*Table4[[#This Row],[Cost Boolean]]*(VLOOKUP(Table4[[#This Row],[RATE CONCAT]],Tables!I:N,5,0)),0)</f>
        <v/>
      </c>
      <c r="BV36" s="345">
        <f>IFERROR(Table4[[#This Row],[Feb_2026_Days_Actual]]*Table4[[#This Row],[Cost Boolean]]*(VLOOKUP(Table4[[#This Row],[RATE CONCAT]],Tables!I:N,5,0)),0)</f>
        <v/>
      </c>
      <c r="BW36" s="345">
        <f>Table4[[#This Row],[Feb_2026_F]]-Table4[[#This Row],[Feb_2026_A]]</f>
        <v/>
      </c>
      <c r="BX36" s="103" t="n"/>
      <c r="BY36" s="345">
        <f>IFERROR(Table4[[#This Row],[Mar_2026_Days_Forecast]]*Table4[[#This Row],[Cost Boolean]]*(VLOOKUP(Table4[[#This Row],[RATE CONCAT]],Tables!I:N,5,0)),0)</f>
        <v/>
      </c>
      <c r="BZ36" s="345">
        <f>IFERROR(Table4[[#This Row],[Mar_2026_Days_Actual]]*Table4[[#This Row],[Cost Boolean]]*(VLOOKUP(Table4[[#This Row],[RATE CONCAT]],Tables!I:N,5,0)),0)</f>
        <v/>
      </c>
      <c r="CA36" s="345">
        <f>Table4[[#This Row],[Mar_2026_F]]-Table4[[#This Row],[Mar_2026_A]]</f>
        <v/>
      </c>
      <c r="CB36" s="103" t="n"/>
      <c r="CC36" s="345">
        <f>IFERROR(Table4[[#This Row],[Apr_2026_Days_Forecast]]*Table4[[#This Row],[Cost Boolean]]*(VLOOKUP(Table4[[#This Row],[RATE CONCAT]],Tables!I:N,5,0)),0)</f>
        <v/>
      </c>
      <c r="CD36" s="345">
        <f>IFERROR(Table4[[#This Row],[Apr_2026_Days_Actual]]*Table4[[#This Row],[Cost Boolean]]*(VLOOKUP(Table4[[#This Row],[RATE CONCAT]],Tables!I:N,5,0)),0)</f>
        <v/>
      </c>
      <c r="CE36" s="345">
        <f>Table4[[#This Row],[Apr_2026_F]]-Table4[[#This Row],[Apr_2026_A]]</f>
        <v/>
      </c>
      <c r="CF36" s="103" t="n"/>
      <c r="CG36" s="345">
        <f>IFERROR(Table4[[#This Row],[May_2026_Days_Forecast]] *Table4[[#This Row],[Cost Boolean]]*(VLOOKUP(Table4[[#This Row],[RATE CONCAT]],Tables!I:N,5,0)),0)</f>
        <v/>
      </c>
      <c r="CH36" s="345">
        <f>IFERROR(Table4[[#This Row],[May_2026_Days_Actual]]*Table4[[#This Row],[Cost Boolean]]*(VLOOKUP(Table4[[#This Row],[RATE CONCAT]],Tables!I:N,5,0)),0)</f>
        <v/>
      </c>
      <c r="CI36" s="345">
        <f>Table4[[#This Row],[May_2026_F]]-Table4[[#This Row],[May_2026_A]]</f>
        <v/>
      </c>
      <c r="CJ36" s="103" t="n"/>
      <c r="CK36" s="345">
        <f>IFERROR(Table4[[#This Row],[Jun_2026_Days_Forecast]]*Table4[[#This Row],[Cost Boolean]]*(VLOOKUP(Table4[[#This Row],[RATE CONCAT]],Tables!I:N,5,0)),0)</f>
        <v/>
      </c>
      <c r="CL36" s="345">
        <f>IFERROR(Table4[[#This Row],[Jun_2026_Days_Actual]]*Table4[[#This Row],[Cost Boolean]]*(VLOOKUP(Table4[[#This Row],[RATE CONCAT]],Tables!I:N,5,0)),0)</f>
        <v/>
      </c>
      <c r="CM36" s="345">
        <f>Table4[[#This Row],[Jun_2026_F]]-Table4[[#This Row],[Jun_2026_A]]</f>
        <v/>
      </c>
      <c r="CN36" s="103" t="n"/>
      <c r="CO36" s="345">
        <f>IFERROR(Table4[[#This Row],[Jul_2026_Days_Forecast]]*Table4[[#This Row],[Cost Boolean]]*(VLOOKUP(Table4[[#This Row],[RATE CONCAT]],Tables!I:N,5,0)),0)</f>
        <v/>
      </c>
      <c r="CP36" s="345">
        <f>IFERROR(Table4[[#This Row],[Aug_2026_Days_Forecast]]*Table4[[#This Row],[Location]]*(VLOOKUP(Table4[[#This Row],[Rate]],Tables!J:O,5,0)),0)</f>
        <v/>
      </c>
      <c r="CQ36" s="345">
        <f>Table4[[#This Row],[Jul_2026_F]]-Table4[[#This Row],[Jul_2026_A]]</f>
        <v/>
      </c>
      <c r="CR36" s="103" t="n"/>
      <c r="CS36" s="345">
        <f>IFERROR(Table4[[#This Row],[Aug_2026_Days_Forecast]]*Table4[[#This Row],[Cost Boolean]]*(VLOOKUP(Table4[[#This Row],[RATE CONCAT]],Tables!I:N,5,0)),0)</f>
        <v/>
      </c>
      <c r="CT36" s="345">
        <f>IFERROR(Table4[[#This Row],[Aug_2026_Days_Actual]]*Table4[[#This Row],[Cost Boolean]]*(VLOOKUP(Table4[[#This Row],[RATE CONCAT]],Tables!I:N,5,0)),0)</f>
        <v/>
      </c>
      <c r="CU36" s="345">
        <f>Table4[[#This Row],[Aug_2026_F]]-Table4[[#This Row],[Aug_2026_A]]</f>
        <v/>
      </c>
      <c r="CV36" s="103" t="n"/>
      <c r="CW36" s="345">
        <f>IFERROR(Table4[[#This Row],[Sep_2026_Days_Forecast]]*Table4[[#This Row],[Cost Boolean]]*(VLOOKUP(Table4[[#This Row],[RATE CONCAT]],Tables!I:N,5,0)),0)</f>
        <v/>
      </c>
      <c r="CX36" s="345">
        <f>IFERROR(Table4[[#This Row],[Sep_2026_Days_Actual]]*Table4[[#This Row],[Cost Boolean]]*(VLOOKUP(Table4[[#This Row],[RATE CONCAT]],Tables!I:N,5,0)),0)</f>
        <v/>
      </c>
      <c r="CY36" s="345">
        <f>Table4[[#This Row],[Sep_2026_F]]-Table4[[#This Row],[Sep_2026_A]]</f>
        <v/>
      </c>
      <c r="CZ36" s="103" t="n"/>
      <c r="DA36" s="345">
        <f>IFERROR(Table4[[#This Row],[Oct_2026_Days_Forecast]]*Table4[[#This Row],[Cost Boolean]]*(VLOOKUP(Table4[[#This Row],[RATE CONCAT]],Tables!I:N,5,0)),0)</f>
        <v/>
      </c>
      <c r="DB36" s="345">
        <f>IFERROR(Table4[[#This Row],[Oct_2026_Days_Actual]]*Table4[[#This Row],[Cost Boolean]]*(VLOOKUP(Table4[[#This Row],[RATE CONCAT]],Tables!I:N,5,0)),0)</f>
        <v/>
      </c>
      <c r="DC36" s="345">
        <f>Table4[[#This Row],[Oct_2026_F]]-Table4[[#This Row],[Oct_2026_A]]</f>
        <v/>
      </c>
      <c r="DD36" s="103" t="n"/>
      <c r="DE36" s="345">
        <f>IFERROR(Table4[[#This Row],[Nov_2026_Days_Forecast]]*Table4[[#This Row],[Cost Boolean]]*(VLOOKUP(Table4[[#This Row],[RATE CONCAT]],Tables!I:N,5,0)),0)</f>
        <v/>
      </c>
      <c r="DF36" s="345">
        <f>IFERROR(Table4[[#This Row],[Nov_2026_Days_Actual]]*Table4[[#This Row],[Cost Boolean]]*(VLOOKUP(Table4[[#This Row],[RATE CONCAT]],Tables!I:N,5,0)),0)</f>
        <v/>
      </c>
      <c r="DG36" s="345">
        <f>Table4[[#This Row],[Nov_2026_F]]-Table4[[#This Row],[Nov_2026_A]]</f>
        <v/>
      </c>
      <c r="DH36" s="103" t="n"/>
      <c r="DI36" s="345">
        <f>IFERROR(Table4[[#This Row],[Dec_2026_Days_Forecast]]*Table4[[#This Row],[Cost Boolean]]*(VLOOKUP(Table4[[#This Row],[RATE CONCAT]],Tables!I:N,5,0)),0)</f>
        <v/>
      </c>
      <c r="DJ36" s="345">
        <f>IFERROR(Table4[[#This Row],[Dec_2026_Days_Actual]]*Table4[[#This Row],[Cost Boolean]]*(VLOOKUP(Table4[[#This Row],[RATE CONCAT]],Tables!I:N,5,0)),0)</f>
        <v/>
      </c>
      <c r="DK36" s="345">
        <f>Table4[[#This Row],[Dec_2026_F]]-Table4[[#This Row],[Dec_2026_A]]</f>
        <v/>
      </c>
      <c r="DL36" s="103" t="n"/>
      <c r="DM36" s="346" t="n"/>
      <c r="DN36" s="345">
        <f>IFERROR(Table4[[#This Row],[Jan_2027_Days_Forecast]]*Table4[[#This Row],[Cost Boolean]]*(VLOOKUP(Table4[[#This Row],[RATE CONCAT]],Tables!I:N,6,0)),0)</f>
        <v/>
      </c>
      <c r="DO36" s="275" t="n"/>
      <c r="DP36" s="345">
        <f>Table4[[#This Row],[Jan_2027_F]]-Table4[[#This Row],[Jan_2027_A]]</f>
        <v/>
      </c>
      <c r="DQ36" s="345">
        <f>IFERROR(Table4[[#This Row],[Feb_2027_Days_Forecast]]*Table4[[#This Row],[Cost Boolean]]*(VLOOKUP(Table4[[#This Row],[RATE CONCAT]],Tables!I:N,6,0)),0)</f>
        <v/>
      </c>
      <c r="DR36" s="275" t="n"/>
      <c r="DS36" s="345">
        <f>Table4[[#This Row],[Feb_2027_F]]-Table4[[#This Row],[Feb_2027_A]]</f>
        <v/>
      </c>
      <c r="DT36" s="345">
        <f>IFERROR(Table4[[#This Row],[Mar_2027_Days_Forecast]]*Table4[[#This Row],[Cost Boolean]]*(VLOOKUP(Table4[[#This Row],[RATE CONCAT]],Tables!I:N,6,0)),0)</f>
        <v/>
      </c>
      <c r="DU36" s="275" t="n"/>
      <c r="DV36" s="345">
        <f>Table4[[#This Row],[Mar_2027_F]]-Table4[[#This Row],[Mar_2027_A]]</f>
        <v/>
      </c>
      <c r="DW36" s="345">
        <f>IFERROR(Table4[[#This Row],[Apr_2027_Days_Forecast]]*Table4[[#This Row],[Cost Boolean]]*(VLOOKUP(Table4[[#This Row],[RATE CONCAT]],Tables!I:N,6,0)),0)</f>
        <v/>
      </c>
      <c r="DX36" s="275" t="n"/>
      <c r="DY36" s="345">
        <f>Table4[[#This Row],[Apr_2027_F]]-Table4[[#This Row],[Apr_2027_A]]</f>
        <v/>
      </c>
      <c r="DZ36" s="345">
        <f>IFERROR(Table4[[#This Row],[May_2027_Days_Forecast]]*Table4[[#This Row],[Cost Boolean]]*(VLOOKUP(Table4[[#This Row],[RATE CONCAT]],Tables!I:N,6,0)),0)</f>
        <v/>
      </c>
      <c r="EA36" s="275" t="n"/>
      <c r="EB36" s="345">
        <f>Table4[[#This Row],[May_2027_F]]-Table4[[#This Row],[May_2027_A]]</f>
        <v/>
      </c>
      <c r="EC36" s="345">
        <f>IFERROR(Table4[[#This Row],[Jun_2027_Days_Forecast]]*Table4[[#This Row],[Cost Boolean]]*(VLOOKUP(Table4[[#This Row],[RATE CONCAT]],Tables!I:N,6,0)),0)</f>
        <v/>
      </c>
      <c r="ED36" s="275" t="n"/>
      <c r="EE36" s="345">
        <f>Table4[[#This Row],[Jun_2027_F]]-Table4[[#This Row],[Jun_2027_A]]</f>
        <v/>
      </c>
      <c r="EF36" s="345">
        <f>IFERROR(Table4[[#This Row],[Jul_2027_Days_Forecast]]*Table4[[#This Row],[Cost Boolean]]*(VLOOKUP(Table4[[#This Row],[RATE CONCAT]],Tables!I:N,6,0)),0)</f>
        <v/>
      </c>
      <c r="EG36" s="275" t="n"/>
      <c r="EH36" s="345">
        <f>Table4[[#This Row],[Jul_2027_F]]-Table4[[#This Row],[Jul_2027_A]]</f>
        <v/>
      </c>
      <c r="EI36" s="345">
        <f>IFERROR(Table4[[#This Row],[Aug_2027_Days_Forecast]]*Table4[[#This Row],[Cost Boolean]]*(VLOOKUP(Table4[[#This Row],[RATE CONCAT]],Tables!I:N,6,0)),0)</f>
        <v/>
      </c>
      <c r="EJ36" s="275" t="n"/>
      <c r="EK36" s="345">
        <f>Table4[[#This Row],[Aug_2027_F]]-Table4[[#This Row],[Aug_2027_A]]</f>
        <v/>
      </c>
      <c r="EL36" s="345">
        <f>IFERROR(Table4[[#This Row],[Sep_2027_Days_Forecast]]*Table4[[#This Row],[Cost Boolean]]*(VLOOKUP(Table4[[#This Row],[RATE CONCAT]],Tables!I:N,6,0)),0)</f>
        <v/>
      </c>
      <c r="EM36" s="275" t="n"/>
      <c r="EN36" s="345">
        <f>Table4[[#This Row],[Sep_2027_F]]-Table4[[#This Row],[Sep_2027_A]]</f>
        <v/>
      </c>
      <c r="EO36" s="345">
        <f>IFERROR(Table4[[#This Row],[Oct_2027_Days_Forecast]]*Table4[[#This Row],[Cost Boolean]]*(VLOOKUP(Table4[[#This Row],[RATE CONCAT]],Tables!I:N,6,0)),0)</f>
        <v/>
      </c>
      <c r="EP36" s="275" t="n"/>
      <c r="EQ36" s="345">
        <f>Table4[[#This Row],[Oct_2027_F]]-Table4[[#This Row],[Oct_2027_A]]</f>
        <v/>
      </c>
      <c r="ER36" s="345">
        <f>IFERROR(Table4[[#This Row],[Nov_2027_Days_Forecast]]*Table4[[#This Row],[Cost Boolean]]*(VLOOKUP(Table4[[#This Row],[RATE CONCAT]],Tables!I:N,6,0)),0)</f>
        <v/>
      </c>
      <c r="ES36" s="275" t="n"/>
      <c r="ET36" s="345">
        <f>Table4[[#This Row],[Nov_2027_F]]-Table4[[#This Row],[Nov_2027_A]]</f>
        <v/>
      </c>
      <c r="EU36" s="345">
        <f>IFERROR(Table4[[#This Row],[Dec_2027_Days_Forecast]]*Table4[[#This Row],[Cost Boolean]]*(VLOOKUP(Table4[[#This Row],[RATE CONCAT]],Tables!I:N,6,0)),0)</f>
        <v/>
      </c>
      <c r="EV36" s="275" t="n"/>
      <c r="EW36" s="345">
        <f>Table4[[#This Row],[Dec_2027_F]]-Table4[[#This Row],[Dec_2027_A]]</f>
        <v/>
      </c>
    </row>
    <row r="37" ht="15" customHeight="1">
      <c r="A37" s="132" t="n"/>
      <c r="B37" s="132" t="n"/>
      <c r="C37" s="132" t="n"/>
      <c r="D37" s="132" t="n"/>
      <c r="E37" s="132" t="n"/>
      <c r="F37" s="132" t="n"/>
      <c r="G37" s="132" t="n"/>
      <c r="H37" s="132" t="n"/>
      <c r="I37" s="132" t="n"/>
      <c r="J37" s="132" t="n"/>
      <c r="K37" s="132" t="n"/>
      <c r="L37" s="132" t="n"/>
      <c r="M37" s="132" t="n"/>
      <c r="N37" s="132" t="n"/>
      <c r="O37" s="132" t="n"/>
      <c r="P37" s="132" t="n"/>
      <c r="Q37" s="132" t="n"/>
      <c r="R37" s="354" t="n"/>
      <c r="S37" s="354" t="n"/>
      <c r="T37" s="354" t="n"/>
      <c r="U37" s="354" t="n"/>
      <c r="V37" s="354" t="n"/>
      <c r="W37" s="354" t="n"/>
      <c r="X37" s="13" t="n"/>
      <c r="Y37" s="350">
        <f>CONCATENATE(Table4[[#This Row],[JG]],Table4[[#This Row],[Country]],Table4[[#This Row],[Resource Provider]])</f>
        <v/>
      </c>
      <c r="Z37" s="350">
        <f>VLOOKUP(Table4[[#This Row],[RATE CONCAT]],Tables!I:N,5,0)</f>
        <v/>
      </c>
      <c r="AA37" s="53" t="n"/>
      <c r="AB37" s="192" t="n"/>
      <c r="AC37" s="192" t="n"/>
      <c r="AD37" s="192" t="n"/>
      <c r="AE37" s="192" t="n"/>
      <c r="AF37" s="192" t="n"/>
      <c r="AG37" s="192" t="n"/>
      <c r="AH37" s="192" t="n"/>
      <c r="AI37" s="192" t="n"/>
      <c r="AJ37" s="192" t="n"/>
      <c r="AK37" s="16" t="n"/>
      <c r="AL37" s="16" t="n"/>
      <c r="AM37" s="16" t="n"/>
      <c r="AN37" s="353">
        <f>IFERROR(AVERAGE(Table4[[#This Row],[Jan_2026_Days_Forecast]:[Dec_2026_Days_Forecast]]),0)/19</f>
        <v/>
      </c>
      <c r="AO37" s="353">
        <f>IFERROR(AVERAGE(Table4[[#This Row],[Jan_2026_Days_Actual]:[Dec_2026_Days_Actual]]),0)/19</f>
        <v/>
      </c>
      <c r="AP37" s="84" t="n"/>
      <c r="AQ37" s="84" t="n"/>
      <c r="AR37" s="84" t="n"/>
      <c r="AS37" s="84" t="n"/>
      <c r="AT37" s="84" t="n"/>
      <c r="AU37" s="84" t="n"/>
      <c r="AV37" s="84" t="n"/>
      <c r="AW37" s="84" t="n"/>
      <c r="AX37" s="84" t="n"/>
      <c r="AY37" s="84" t="n"/>
      <c r="AZ37" s="84" t="n"/>
      <c r="BA37" s="84" t="n"/>
      <c r="BB37" s="353">
        <f>IFERROR(AVERAGE(Table4[[#This Row],[Jan_2027_Days_Forecast]:[Dec_2027_Days_Forecast]]),0)</f>
        <v/>
      </c>
      <c r="BC37" s="16" t="n"/>
      <c r="BD37" s="16" t="n"/>
      <c r="BE37" s="16" t="n"/>
      <c r="BF37" s="16" t="n"/>
      <c r="BG37" s="16" t="n"/>
      <c r="BH37" s="16" t="n"/>
      <c r="BI37" s="16" t="n"/>
      <c r="BJ37" s="16" t="n"/>
      <c r="BK37" s="16" t="n"/>
      <c r="BL37" s="16" t="n"/>
      <c r="BM37" s="16" t="n"/>
      <c r="BN37" s="16" t="n"/>
      <c r="BO37" s="55" t="n"/>
      <c r="BP37" s="346" t="n"/>
      <c r="BQ37" s="347">
        <f>Table4[[#This Row],[Jan_2026_Days_Forecast]]*Table4[[#This Row],[Cost Boolean]]*VLOOKUP(Table4[[#This Row],[RATE CONCAT]],Tables!I:N,5,0)</f>
        <v/>
      </c>
      <c r="BR37" s="347">
        <f>IFERROR(Table4[[#This Row],[Jan_2026_Days_Actual]]*Table4[[#This Row],[Cost Boolean]]*(VLOOKUP(Table4[[#This Row],[RATE CONCAT]],Tables!I:N,5,0)),0)</f>
        <v/>
      </c>
      <c r="BS37" s="347">
        <f>Table4[[#This Row],[Jan_2026_F]]-Table4[[#This Row],[Jan_2026_A]]</f>
        <v/>
      </c>
      <c r="BT37" s="107" t="n"/>
      <c r="BU37" s="347">
        <f>IFERROR(Table4[[#This Row],[Feb_2026_Days_Forecast]]*Table4[[#This Row],[Cost Boolean]]*(VLOOKUP(Table4[[#This Row],[RATE CONCAT]],Tables!I:N,5,0)),0)</f>
        <v/>
      </c>
      <c r="BV37" s="347">
        <f>IFERROR(Table4[[#This Row],[Feb_2026_Days_Actual]]*Table4[[#This Row],[Cost Boolean]]*(VLOOKUP(Table4[[#This Row],[RATE CONCAT]],Tables!I:N,5,0)),0)</f>
        <v/>
      </c>
      <c r="BW37" s="347">
        <f>Table4[[#This Row],[Feb_2026_F]]-Table4[[#This Row],[Feb_2026_A]]</f>
        <v/>
      </c>
      <c r="BX37" s="103" t="n"/>
      <c r="BY37" s="347">
        <f>IFERROR(Table4[[#This Row],[Mar_2026_Days_Forecast]]*Table4[[#This Row],[Cost Boolean]]*(VLOOKUP(Table4[[#This Row],[RATE CONCAT]],Tables!I:N,5,0)),0)</f>
        <v/>
      </c>
      <c r="BZ37" s="347">
        <f>IFERROR(Table4[[#This Row],[Mar_2026_Days_Actual]]*Table4[[#This Row],[Cost Boolean]]*(VLOOKUP(Table4[[#This Row],[RATE CONCAT]],Tables!I:N,5,0)),0)</f>
        <v/>
      </c>
      <c r="CA37" s="347">
        <f>Table4[[#This Row],[Mar_2026_F]]-Table4[[#This Row],[Mar_2026_A]]</f>
        <v/>
      </c>
      <c r="CB37" s="103" t="n"/>
      <c r="CC37" s="347">
        <f>IFERROR(Table4[[#This Row],[Apr_2026_Days_Forecast]]*Table4[[#This Row],[Cost Boolean]]*(VLOOKUP(Table4[[#This Row],[RATE CONCAT]],Tables!I:N,5,0)),0)</f>
        <v/>
      </c>
      <c r="CD37" s="347">
        <f>IFERROR(Table4[[#This Row],[Apr_2026_Days_Actual]]*Table4[[#This Row],[Cost Boolean]]*(VLOOKUP(Table4[[#This Row],[RATE CONCAT]],Tables!I:N,5,0)),0)</f>
        <v/>
      </c>
      <c r="CE37" s="347">
        <f>Table4[[#This Row],[Apr_2026_F]]-Table4[[#This Row],[Apr_2026_A]]</f>
        <v/>
      </c>
      <c r="CF37" s="103" t="n"/>
      <c r="CG37" s="347">
        <f>IFERROR(Table4[[#This Row],[May_2026_Days_Forecast]] *Table4[[#This Row],[Cost Boolean]]*(VLOOKUP(Table4[[#This Row],[RATE CONCAT]],Tables!I:N,5,0)),0)</f>
        <v/>
      </c>
      <c r="CH37" s="347">
        <f>IFERROR(Table4[[#This Row],[May_2026_Days_Actual]]*Table4[[#This Row],[Cost Boolean]]*(VLOOKUP(Table4[[#This Row],[RATE CONCAT]],Tables!I:N,5,0)),0)</f>
        <v/>
      </c>
      <c r="CI37" s="347">
        <f>Table4[[#This Row],[May_2026_F]]-Table4[[#This Row],[May_2026_A]]</f>
        <v/>
      </c>
      <c r="CJ37" s="103" t="n"/>
      <c r="CK37" s="347">
        <f>IFERROR(Table4[[#This Row],[Jun_2026_Days_Forecast]]*Table4[[#This Row],[Cost Boolean]]*(VLOOKUP(Table4[[#This Row],[RATE CONCAT]],Tables!I:N,5,0)),0)</f>
        <v/>
      </c>
      <c r="CL37" s="347">
        <f>IFERROR(Table4[[#This Row],[Jun_2026_Days_Actual]]*Table4[[#This Row],[Cost Boolean]]*(VLOOKUP(Table4[[#This Row],[RATE CONCAT]],Tables!I:N,5,0)),0)</f>
        <v/>
      </c>
      <c r="CM37" s="347">
        <f>Table4[[#This Row],[Jun_2026_F]]-Table4[[#This Row],[Jun_2026_A]]</f>
        <v/>
      </c>
      <c r="CN37" s="103" t="n"/>
      <c r="CO37" s="347">
        <f>IFERROR(Table4[[#This Row],[Jul_2026_Days_Forecast]]*Table4[[#This Row],[Cost Boolean]]*(VLOOKUP(Table4[[#This Row],[RATE CONCAT]],Tables!I:N,5,0)),0)</f>
        <v/>
      </c>
      <c r="CP37" s="347">
        <f>IFERROR(Table4[[#This Row],[Aug_2026_Days_Forecast]]*Table4[[#This Row],[Location]]*(VLOOKUP(Table4[[#This Row],[Rate]],Tables!J:O,5,0)),0)</f>
        <v/>
      </c>
      <c r="CQ37" s="347">
        <f>Table4[[#This Row],[Jul_2026_F]]-Table4[[#This Row],[Jul_2026_A]]</f>
        <v/>
      </c>
      <c r="CR37" s="103" t="n"/>
      <c r="CS37" s="347">
        <f>IFERROR(Table4[[#This Row],[Aug_2026_Days_Forecast]]*Table4[[#This Row],[Cost Boolean]]*(VLOOKUP(Table4[[#This Row],[RATE CONCAT]],Tables!I:N,5,0)),0)</f>
        <v/>
      </c>
      <c r="CT37" s="347">
        <f>IFERROR(Table4[[#This Row],[Aug_2026_Days_Actual]]*Table4[[#This Row],[Cost Boolean]]*(VLOOKUP(Table4[[#This Row],[RATE CONCAT]],Tables!I:N,5,0)),0)</f>
        <v/>
      </c>
      <c r="CU37" s="347">
        <f>Table4[[#This Row],[Aug_2026_F]]-Table4[[#This Row],[Aug_2026_A]]</f>
        <v/>
      </c>
      <c r="CV37" s="103" t="n"/>
      <c r="CW37" s="347">
        <f>IFERROR(Table4[[#This Row],[Sep_2026_Days_Forecast]]*Table4[[#This Row],[Cost Boolean]]*(VLOOKUP(Table4[[#This Row],[RATE CONCAT]],Tables!I:N,5,0)),0)</f>
        <v/>
      </c>
      <c r="CX37" s="347">
        <f>IFERROR(Table4[[#This Row],[Sep_2026_Days_Actual]]*Table4[[#This Row],[Cost Boolean]]*(VLOOKUP(Table4[[#This Row],[RATE CONCAT]],Tables!I:N,5,0)),0)</f>
        <v/>
      </c>
      <c r="CY37" s="347">
        <f>Table4[[#This Row],[Sep_2026_F]]-Table4[[#This Row],[Sep_2026_A]]</f>
        <v/>
      </c>
      <c r="CZ37" s="103" t="n"/>
      <c r="DA37" s="347">
        <f>IFERROR(Table4[[#This Row],[Oct_2026_Days_Forecast]]*Table4[[#This Row],[Cost Boolean]]*(VLOOKUP(Table4[[#This Row],[RATE CONCAT]],Tables!I:N,5,0)),0)</f>
        <v/>
      </c>
      <c r="DB37" s="347">
        <f>IFERROR(Table4[[#This Row],[Oct_2026_Days_Actual]]*Table4[[#This Row],[Cost Boolean]]*(VLOOKUP(Table4[[#This Row],[RATE CONCAT]],Tables!I:N,5,0)),0)</f>
        <v/>
      </c>
      <c r="DC37" s="347">
        <f>Table4[[#This Row],[Oct_2026_F]]-Table4[[#This Row],[Oct_2026_A]]</f>
        <v/>
      </c>
      <c r="DD37" s="103" t="n"/>
      <c r="DE37" s="347">
        <f>IFERROR(Table4[[#This Row],[Nov_2026_Days_Forecast]]*Table4[[#This Row],[Cost Boolean]]*(VLOOKUP(Table4[[#This Row],[RATE CONCAT]],Tables!I:N,5,0)),0)</f>
        <v/>
      </c>
      <c r="DF37" s="347">
        <f>IFERROR(Table4[[#This Row],[Nov_2026_Days_Actual]]*Table4[[#This Row],[Cost Boolean]]*(VLOOKUP(Table4[[#This Row],[RATE CONCAT]],Tables!I:N,5,0)),0)</f>
        <v/>
      </c>
      <c r="DG37" s="347">
        <f>Table4[[#This Row],[Nov_2026_F]]-Table4[[#This Row],[Nov_2026_A]]</f>
        <v/>
      </c>
      <c r="DH37" s="103" t="n"/>
      <c r="DI37" s="347">
        <f>IFERROR(Table4[[#This Row],[Dec_2026_Days_Forecast]]*Table4[[#This Row],[Cost Boolean]]*(VLOOKUP(Table4[[#This Row],[RATE CONCAT]],Tables!I:N,5,0)),0)</f>
        <v/>
      </c>
      <c r="DJ37" s="347">
        <f>IFERROR(Table4[[#This Row],[Dec_2026_Days_Actual]]*Table4[[#This Row],[Cost Boolean]]*(VLOOKUP(Table4[[#This Row],[RATE CONCAT]],Tables!I:N,5,0)),0)</f>
        <v/>
      </c>
      <c r="DK37" s="347">
        <f>Table4[[#This Row],[Dec_2026_F]]-Table4[[#This Row],[Dec_2026_A]]</f>
        <v/>
      </c>
      <c r="DL37" s="103" t="n"/>
      <c r="DM37" s="346" t="n"/>
      <c r="DN37" s="347">
        <f>IFERROR(Table4[[#This Row],[Jan_2027_Days_Forecast]]*Table4[[#This Row],[Cost Boolean]]*(VLOOKUP(Table4[[#This Row],[RATE CONCAT]],Tables!I:N,6,0)),0)</f>
        <v/>
      </c>
      <c r="DO37" s="275" t="n"/>
      <c r="DP37" s="347">
        <f>Table4[[#This Row],[Jan_2027_F]]-Table4[[#This Row],[Jan_2027_A]]</f>
        <v/>
      </c>
      <c r="DQ37" s="347">
        <f>IFERROR(Table4[[#This Row],[Feb_2027_Days_Forecast]]*Table4[[#This Row],[Cost Boolean]]*(VLOOKUP(Table4[[#This Row],[RATE CONCAT]],Tables!I:N,6,0)),0)</f>
        <v/>
      </c>
      <c r="DR37" s="275" t="n"/>
      <c r="DS37" s="347">
        <f>Table4[[#This Row],[Feb_2027_F]]-Table4[[#This Row],[Feb_2027_A]]</f>
        <v/>
      </c>
      <c r="DT37" s="347">
        <f>IFERROR(Table4[[#This Row],[Mar_2027_Days_Forecast]]*Table4[[#This Row],[Cost Boolean]]*(VLOOKUP(Table4[[#This Row],[RATE CONCAT]],Tables!I:N,6,0)),0)</f>
        <v/>
      </c>
      <c r="DU37" s="275" t="n"/>
      <c r="DV37" s="347">
        <f>Table4[[#This Row],[Mar_2027_F]]-Table4[[#This Row],[Mar_2027_A]]</f>
        <v/>
      </c>
      <c r="DW37" s="347">
        <f>IFERROR(Table4[[#This Row],[Apr_2027_Days_Forecast]]*Table4[[#This Row],[Cost Boolean]]*(VLOOKUP(Table4[[#This Row],[RATE CONCAT]],Tables!I:N,6,0)),0)</f>
        <v/>
      </c>
      <c r="DX37" s="275" t="n"/>
      <c r="DY37" s="347">
        <f>Table4[[#This Row],[Apr_2027_F]]-Table4[[#This Row],[Apr_2027_A]]</f>
        <v/>
      </c>
      <c r="DZ37" s="347">
        <f>IFERROR(Table4[[#This Row],[May_2027_Days_Forecast]]*Table4[[#This Row],[Cost Boolean]]*(VLOOKUP(Table4[[#This Row],[RATE CONCAT]],Tables!I:N,6,0)),0)</f>
        <v/>
      </c>
      <c r="EA37" s="275" t="n"/>
      <c r="EB37" s="347">
        <f>Table4[[#This Row],[May_2027_F]]-Table4[[#This Row],[May_2027_A]]</f>
        <v/>
      </c>
      <c r="EC37" s="347">
        <f>IFERROR(Table4[[#This Row],[Jun_2027_Days_Forecast]]*Table4[[#This Row],[Cost Boolean]]*(VLOOKUP(Table4[[#This Row],[RATE CONCAT]],Tables!I:N,6,0)),0)</f>
        <v/>
      </c>
      <c r="ED37" s="275" t="n"/>
      <c r="EE37" s="347">
        <f>Table4[[#This Row],[Jun_2027_F]]-Table4[[#This Row],[Jun_2027_A]]</f>
        <v/>
      </c>
      <c r="EF37" s="347">
        <f>IFERROR(Table4[[#This Row],[Jul_2027_Days_Forecast]]*Table4[[#This Row],[Cost Boolean]]*(VLOOKUP(Table4[[#This Row],[RATE CONCAT]],Tables!I:N,6,0)),0)</f>
        <v/>
      </c>
      <c r="EG37" s="275" t="n"/>
      <c r="EH37" s="347">
        <f>Table4[[#This Row],[Jul_2027_F]]-Table4[[#This Row],[Jul_2027_A]]</f>
        <v/>
      </c>
      <c r="EI37" s="347">
        <f>IFERROR(Table4[[#This Row],[Aug_2027_Days_Forecast]]*Table4[[#This Row],[Cost Boolean]]*(VLOOKUP(Table4[[#This Row],[RATE CONCAT]],Tables!I:N,6,0)),0)</f>
        <v/>
      </c>
      <c r="EJ37" s="275" t="n"/>
      <c r="EK37" s="347">
        <f>Table4[[#This Row],[Aug_2027_F]]-Table4[[#This Row],[Aug_2027_A]]</f>
        <v/>
      </c>
      <c r="EL37" s="347">
        <f>IFERROR(Table4[[#This Row],[Sep_2027_Days_Forecast]]*Table4[[#This Row],[Cost Boolean]]*(VLOOKUP(Table4[[#This Row],[RATE CONCAT]],Tables!I:N,6,0)),0)</f>
        <v/>
      </c>
      <c r="EM37" s="275" t="n"/>
      <c r="EN37" s="347">
        <f>Table4[[#This Row],[Sep_2027_F]]-Table4[[#This Row],[Sep_2027_A]]</f>
        <v/>
      </c>
      <c r="EO37" s="347">
        <f>IFERROR(Table4[[#This Row],[Oct_2027_Days_Forecast]]*Table4[[#This Row],[Cost Boolean]]*(VLOOKUP(Table4[[#This Row],[RATE CONCAT]],Tables!I:N,6,0)),0)</f>
        <v/>
      </c>
      <c r="EP37" s="275" t="n"/>
      <c r="EQ37" s="347">
        <f>Table4[[#This Row],[Oct_2027_F]]-Table4[[#This Row],[Oct_2027_A]]</f>
        <v/>
      </c>
      <c r="ER37" s="347">
        <f>IFERROR(Table4[[#This Row],[Nov_2027_Days_Forecast]]*Table4[[#This Row],[Cost Boolean]]*(VLOOKUP(Table4[[#This Row],[RATE CONCAT]],Tables!I:N,6,0)),0)</f>
        <v/>
      </c>
      <c r="ES37" s="275" t="n"/>
      <c r="ET37" s="347">
        <f>Table4[[#This Row],[Nov_2027_F]]-Table4[[#This Row],[Nov_2027_A]]</f>
        <v/>
      </c>
      <c r="EU37" s="347">
        <f>IFERROR(Table4[[#This Row],[Dec_2027_Days_Forecast]]*Table4[[#This Row],[Cost Boolean]]*(VLOOKUP(Table4[[#This Row],[RATE CONCAT]],Tables!I:N,6,0)),0)</f>
        <v/>
      </c>
      <c r="EV37" s="275" t="n"/>
      <c r="EW37" s="347">
        <f>Table4[[#This Row],[Dec_2027_F]]-Table4[[#This Row],[Dec_2027_A]]</f>
        <v/>
      </c>
    </row>
    <row r="38" ht="15" customHeight="1">
      <c r="A38" s="132" t="n"/>
      <c r="B38" s="132" t="n"/>
      <c r="C38" s="132" t="n"/>
      <c r="D38" s="132" t="n"/>
      <c r="E38" s="132" t="n"/>
      <c r="F38" s="132" t="n"/>
      <c r="G38" s="132" t="n"/>
      <c r="H38" s="132" t="n"/>
      <c r="I38" s="132" t="n"/>
      <c r="J38" s="132" t="n"/>
      <c r="K38" s="132" t="n"/>
      <c r="L38" s="132" t="n"/>
      <c r="M38" s="132" t="n"/>
      <c r="N38" s="132" t="n"/>
      <c r="O38" s="132" t="n"/>
      <c r="P38" s="132" t="n"/>
      <c r="Q38" s="132" t="n"/>
      <c r="R38" s="354" t="n"/>
      <c r="S38" s="354" t="n"/>
      <c r="T38" s="354" t="n"/>
      <c r="U38" s="354" t="n"/>
      <c r="V38" s="354" t="n"/>
      <c r="W38" s="354" t="n"/>
      <c r="X38" s="13" t="n"/>
      <c r="Y38" s="350">
        <f>CONCATENATE(Table4[[#This Row],[JG]],Table4[[#This Row],[Country]],Table4[[#This Row],[Resource Provider]])</f>
        <v/>
      </c>
      <c r="Z38" s="350">
        <f>VLOOKUP(Table4[[#This Row],[RATE CONCAT]],Tables!I:N,5,0)</f>
        <v/>
      </c>
      <c r="AA38" s="53" t="n"/>
      <c r="AB38" s="192" t="n"/>
      <c r="AC38" s="192" t="n"/>
      <c r="AD38" s="192" t="n"/>
      <c r="AE38" s="192" t="n"/>
      <c r="AF38" s="192" t="n"/>
      <c r="AG38" s="192" t="n"/>
      <c r="AH38" s="192" t="n"/>
      <c r="AI38" s="192" t="n"/>
      <c r="AJ38" s="192" t="n"/>
      <c r="AK38" s="16" t="n"/>
      <c r="AL38" s="16" t="n"/>
      <c r="AM38" s="16" t="n"/>
      <c r="AN38" s="353">
        <f>IFERROR(AVERAGE(Table4[[#This Row],[Jan_2026_Days_Forecast]:[Dec_2026_Days_Forecast]]),0)/19</f>
        <v/>
      </c>
      <c r="AO38" s="353">
        <f>IFERROR(AVERAGE(Table4[[#This Row],[Jan_2026_Days_Actual]:[Dec_2026_Days_Actual]]),0)/19</f>
        <v/>
      </c>
      <c r="AP38" s="84" t="n"/>
      <c r="AQ38" s="84" t="n"/>
      <c r="AR38" s="84" t="n"/>
      <c r="AS38" s="84" t="n"/>
      <c r="AT38" s="84" t="n"/>
      <c r="AU38" s="84" t="n"/>
      <c r="AV38" s="84" t="n"/>
      <c r="AW38" s="84" t="n"/>
      <c r="AX38" s="84" t="n"/>
      <c r="AY38" s="84" t="n"/>
      <c r="AZ38" s="84" t="n"/>
      <c r="BA38" s="84" t="n"/>
      <c r="BB38" s="353">
        <f>IFERROR(AVERAGE(Table4[[#This Row],[Jan_2027_Days_Forecast]:[Dec_2027_Days_Forecast]]),0)</f>
        <v/>
      </c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55" t="n"/>
      <c r="BP38" s="346" t="n"/>
      <c r="BQ38" s="345">
        <f>Table4[[#This Row],[Jan_2026_Days_Forecast]]*Table4[[#This Row],[Cost Boolean]]*VLOOKUP(Table4[[#This Row],[RATE CONCAT]],Tables!I:N,5,0)</f>
        <v/>
      </c>
      <c r="BR38" s="345">
        <f>IFERROR(Table4[[#This Row],[Jan_2026_Days_Actual]]*Table4[[#This Row],[Cost Boolean]]*(VLOOKUP(Table4[[#This Row],[RATE CONCAT]],Tables!I:N,5,0)),0)</f>
        <v/>
      </c>
      <c r="BS38" s="345">
        <f>Table4[[#This Row],[Jan_2026_F]]-Table4[[#This Row],[Jan_2026_A]]</f>
        <v/>
      </c>
      <c r="BT38" s="107" t="n"/>
      <c r="BU38" s="345">
        <f>IFERROR(Table4[[#This Row],[Feb_2026_Days_Forecast]]*Table4[[#This Row],[Cost Boolean]]*(VLOOKUP(Table4[[#This Row],[RATE CONCAT]],Tables!I:N,5,0)),0)</f>
        <v/>
      </c>
      <c r="BV38" s="345">
        <f>IFERROR(Table4[[#This Row],[Feb_2026_Days_Actual]]*Table4[[#This Row],[Cost Boolean]]*(VLOOKUP(Table4[[#This Row],[RATE CONCAT]],Tables!I:N,5,0)),0)</f>
        <v/>
      </c>
      <c r="BW38" s="345">
        <f>Table4[[#This Row],[Feb_2026_F]]-Table4[[#This Row],[Feb_2026_A]]</f>
        <v/>
      </c>
      <c r="BX38" s="103" t="n"/>
      <c r="BY38" s="345">
        <f>IFERROR(Table4[[#This Row],[Mar_2026_Days_Forecast]]*Table4[[#This Row],[Cost Boolean]]*(VLOOKUP(Table4[[#This Row],[RATE CONCAT]],Tables!I:N,5,0)),0)</f>
        <v/>
      </c>
      <c r="BZ38" s="345">
        <f>IFERROR(Table4[[#This Row],[Mar_2026_Days_Actual]]*Table4[[#This Row],[Cost Boolean]]*(VLOOKUP(Table4[[#This Row],[RATE CONCAT]],Tables!I:N,5,0)),0)</f>
        <v/>
      </c>
      <c r="CA38" s="345">
        <f>Table4[[#This Row],[Mar_2026_F]]-Table4[[#This Row],[Mar_2026_A]]</f>
        <v/>
      </c>
      <c r="CB38" s="103" t="n"/>
      <c r="CC38" s="345">
        <f>IFERROR(Table4[[#This Row],[Apr_2026_Days_Forecast]]*Table4[[#This Row],[Cost Boolean]]*(VLOOKUP(Table4[[#This Row],[RATE CONCAT]],Tables!I:N,5,0)),0)</f>
        <v/>
      </c>
      <c r="CD38" s="345">
        <f>IFERROR(Table4[[#This Row],[Apr_2026_Days_Actual]]*Table4[[#This Row],[Cost Boolean]]*(VLOOKUP(Table4[[#This Row],[RATE CONCAT]],Tables!I:N,5,0)),0)</f>
        <v/>
      </c>
      <c r="CE38" s="345">
        <f>Table4[[#This Row],[Apr_2026_F]]-Table4[[#This Row],[Apr_2026_A]]</f>
        <v/>
      </c>
      <c r="CF38" s="103" t="n"/>
      <c r="CG38" s="345">
        <f>IFERROR(Table4[[#This Row],[May_2026_Days_Forecast]] *Table4[[#This Row],[Cost Boolean]]*(VLOOKUP(Table4[[#This Row],[RATE CONCAT]],Tables!I:N,5,0)),0)</f>
        <v/>
      </c>
      <c r="CH38" s="345">
        <f>IFERROR(Table4[[#This Row],[May_2026_Days_Actual]]*Table4[[#This Row],[Cost Boolean]]*(VLOOKUP(Table4[[#This Row],[RATE CONCAT]],Tables!I:N,5,0)),0)</f>
        <v/>
      </c>
      <c r="CI38" s="345">
        <f>Table4[[#This Row],[May_2026_F]]-Table4[[#This Row],[May_2026_A]]</f>
        <v/>
      </c>
      <c r="CJ38" s="103" t="n"/>
      <c r="CK38" s="345">
        <f>IFERROR(Table4[[#This Row],[Jun_2026_Days_Forecast]]*Table4[[#This Row],[Cost Boolean]]*(VLOOKUP(Table4[[#This Row],[RATE CONCAT]],Tables!I:N,5,0)),0)</f>
        <v/>
      </c>
      <c r="CL38" s="345">
        <f>IFERROR(Table4[[#This Row],[Jun_2026_Days_Actual]]*Table4[[#This Row],[Cost Boolean]]*(VLOOKUP(Table4[[#This Row],[RATE CONCAT]],Tables!I:N,5,0)),0)</f>
        <v/>
      </c>
      <c r="CM38" s="345">
        <f>Table4[[#This Row],[Jun_2026_F]]-Table4[[#This Row],[Jun_2026_A]]</f>
        <v/>
      </c>
      <c r="CN38" s="103" t="n"/>
      <c r="CO38" s="345">
        <f>IFERROR(Table4[[#This Row],[Jul_2026_Days_Forecast]]*Table4[[#This Row],[Cost Boolean]]*(VLOOKUP(Table4[[#This Row],[RATE CONCAT]],Tables!I:N,5,0)),0)</f>
        <v/>
      </c>
      <c r="CP38" s="345">
        <f>IFERROR(Table4[[#This Row],[Aug_2026_Days_Forecast]]*Table4[[#This Row],[Location]]*(VLOOKUP(Table4[[#This Row],[Rate]],Tables!J:O,5,0)),0)</f>
        <v/>
      </c>
      <c r="CQ38" s="345">
        <f>Table4[[#This Row],[Jul_2026_F]]-Table4[[#This Row],[Jul_2026_A]]</f>
        <v/>
      </c>
      <c r="CR38" s="103" t="n"/>
      <c r="CS38" s="345">
        <f>IFERROR(Table4[[#This Row],[Aug_2026_Days_Forecast]]*Table4[[#This Row],[Cost Boolean]]*(VLOOKUP(Table4[[#This Row],[RATE CONCAT]],Tables!I:N,5,0)),0)</f>
        <v/>
      </c>
      <c r="CT38" s="345">
        <f>IFERROR(Table4[[#This Row],[Aug_2026_Days_Actual]]*Table4[[#This Row],[Cost Boolean]]*(VLOOKUP(Table4[[#This Row],[RATE CONCAT]],Tables!I:N,5,0)),0)</f>
        <v/>
      </c>
      <c r="CU38" s="345">
        <f>Table4[[#This Row],[Aug_2026_F]]-Table4[[#This Row],[Aug_2026_A]]</f>
        <v/>
      </c>
      <c r="CV38" s="103" t="n"/>
      <c r="CW38" s="345">
        <f>IFERROR(Table4[[#This Row],[Sep_2026_Days_Forecast]]*Table4[[#This Row],[Cost Boolean]]*(VLOOKUP(Table4[[#This Row],[RATE CONCAT]],Tables!I:N,5,0)),0)</f>
        <v/>
      </c>
      <c r="CX38" s="345">
        <f>IFERROR(Table4[[#This Row],[Sep_2026_Days_Actual]]*Table4[[#This Row],[Cost Boolean]]*(VLOOKUP(Table4[[#This Row],[RATE CONCAT]],Tables!I:N,5,0)),0)</f>
        <v/>
      </c>
      <c r="CY38" s="345">
        <f>Table4[[#This Row],[Sep_2026_F]]-Table4[[#This Row],[Sep_2026_A]]</f>
        <v/>
      </c>
      <c r="CZ38" s="103" t="n"/>
      <c r="DA38" s="345">
        <f>IFERROR(Table4[[#This Row],[Oct_2026_Days_Forecast]]*Table4[[#This Row],[Cost Boolean]]*(VLOOKUP(Table4[[#This Row],[RATE CONCAT]],Tables!I:N,5,0)),0)</f>
        <v/>
      </c>
      <c r="DB38" s="345">
        <f>IFERROR(Table4[[#This Row],[Oct_2026_Days_Actual]]*Table4[[#This Row],[Cost Boolean]]*(VLOOKUP(Table4[[#This Row],[RATE CONCAT]],Tables!I:N,5,0)),0)</f>
        <v/>
      </c>
      <c r="DC38" s="345">
        <f>Table4[[#This Row],[Oct_2026_F]]-Table4[[#This Row],[Oct_2026_A]]</f>
        <v/>
      </c>
      <c r="DD38" s="103" t="n"/>
      <c r="DE38" s="345">
        <f>IFERROR(Table4[[#This Row],[Nov_2026_Days_Forecast]]*Table4[[#This Row],[Cost Boolean]]*(VLOOKUP(Table4[[#This Row],[RATE CONCAT]],Tables!I:N,5,0)),0)</f>
        <v/>
      </c>
      <c r="DF38" s="345">
        <f>IFERROR(Table4[[#This Row],[Nov_2026_Days_Actual]]*Table4[[#This Row],[Cost Boolean]]*(VLOOKUP(Table4[[#This Row],[RATE CONCAT]],Tables!I:N,5,0)),0)</f>
        <v/>
      </c>
      <c r="DG38" s="345">
        <f>Table4[[#This Row],[Nov_2026_F]]-Table4[[#This Row],[Nov_2026_A]]</f>
        <v/>
      </c>
      <c r="DH38" s="103" t="n"/>
      <c r="DI38" s="345">
        <f>IFERROR(Table4[[#This Row],[Dec_2026_Days_Forecast]]*Table4[[#This Row],[Cost Boolean]]*(VLOOKUP(Table4[[#This Row],[RATE CONCAT]],Tables!I:N,5,0)),0)</f>
        <v/>
      </c>
      <c r="DJ38" s="345">
        <f>IFERROR(Table4[[#This Row],[Dec_2026_Days_Actual]]*Table4[[#This Row],[Cost Boolean]]*(VLOOKUP(Table4[[#This Row],[RATE CONCAT]],Tables!I:N,5,0)),0)</f>
        <v/>
      </c>
      <c r="DK38" s="345">
        <f>Table4[[#This Row],[Dec_2026_F]]-Table4[[#This Row],[Dec_2026_A]]</f>
        <v/>
      </c>
      <c r="DL38" s="103" t="n"/>
      <c r="DM38" s="346" t="n"/>
      <c r="DN38" s="345">
        <f>IFERROR(Table4[[#This Row],[Jan_2027_Days_Forecast]]*Table4[[#This Row],[Cost Boolean]]*(VLOOKUP(Table4[[#This Row],[RATE CONCAT]],Tables!I:N,6,0)),0)</f>
        <v/>
      </c>
      <c r="DO38" s="275" t="n"/>
      <c r="DP38" s="345">
        <f>Table4[[#This Row],[Jan_2027_F]]-Table4[[#This Row],[Jan_2027_A]]</f>
        <v/>
      </c>
      <c r="DQ38" s="345">
        <f>IFERROR(Table4[[#This Row],[Feb_2027_Days_Forecast]]*Table4[[#This Row],[Cost Boolean]]*(VLOOKUP(Table4[[#This Row],[RATE CONCAT]],Tables!I:N,6,0)),0)</f>
        <v/>
      </c>
      <c r="DR38" s="275" t="n"/>
      <c r="DS38" s="345">
        <f>Table4[[#This Row],[Feb_2027_F]]-Table4[[#This Row],[Feb_2027_A]]</f>
        <v/>
      </c>
      <c r="DT38" s="345">
        <f>IFERROR(Table4[[#This Row],[Mar_2027_Days_Forecast]]*Table4[[#This Row],[Cost Boolean]]*(VLOOKUP(Table4[[#This Row],[RATE CONCAT]],Tables!I:N,6,0)),0)</f>
        <v/>
      </c>
      <c r="DU38" s="275" t="n"/>
      <c r="DV38" s="345">
        <f>Table4[[#This Row],[Mar_2027_F]]-Table4[[#This Row],[Mar_2027_A]]</f>
        <v/>
      </c>
      <c r="DW38" s="345">
        <f>IFERROR(Table4[[#This Row],[Apr_2027_Days_Forecast]]*Table4[[#This Row],[Cost Boolean]]*(VLOOKUP(Table4[[#This Row],[RATE CONCAT]],Tables!I:N,6,0)),0)</f>
        <v/>
      </c>
      <c r="DX38" s="275" t="n"/>
      <c r="DY38" s="345">
        <f>Table4[[#This Row],[Apr_2027_F]]-Table4[[#This Row],[Apr_2027_A]]</f>
        <v/>
      </c>
      <c r="DZ38" s="345">
        <f>IFERROR(Table4[[#This Row],[May_2027_Days_Forecast]]*Table4[[#This Row],[Cost Boolean]]*(VLOOKUP(Table4[[#This Row],[RATE CONCAT]],Tables!I:N,6,0)),0)</f>
        <v/>
      </c>
      <c r="EA38" s="275" t="n"/>
      <c r="EB38" s="345">
        <f>Table4[[#This Row],[May_2027_F]]-Table4[[#This Row],[May_2027_A]]</f>
        <v/>
      </c>
      <c r="EC38" s="345">
        <f>IFERROR(Table4[[#This Row],[Jun_2027_Days_Forecast]]*Table4[[#This Row],[Cost Boolean]]*(VLOOKUP(Table4[[#This Row],[RATE CONCAT]],Tables!I:N,6,0)),0)</f>
        <v/>
      </c>
      <c r="ED38" s="275" t="n"/>
      <c r="EE38" s="345">
        <f>Table4[[#This Row],[Jun_2027_F]]-Table4[[#This Row],[Jun_2027_A]]</f>
        <v/>
      </c>
      <c r="EF38" s="345">
        <f>IFERROR(Table4[[#This Row],[Jul_2027_Days_Forecast]]*Table4[[#This Row],[Cost Boolean]]*(VLOOKUP(Table4[[#This Row],[RATE CONCAT]],Tables!I:N,6,0)),0)</f>
        <v/>
      </c>
      <c r="EG38" s="275" t="n"/>
      <c r="EH38" s="345">
        <f>Table4[[#This Row],[Jul_2027_F]]-Table4[[#This Row],[Jul_2027_A]]</f>
        <v/>
      </c>
      <c r="EI38" s="345">
        <f>IFERROR(Table4[[#This Row],[Aug_2027_Days_Forecast]]*Table4[[#This Row],[Cost Boolean]]*(VLOOKUP(Table4[[#This Row],[RATE CONCAT]],Tables!I:N,6,0)),0)</f>
        <v/>
      </c>
      <c r="EJ38" s="275" t="n"/>
      <c r="EK38" s="345">
        <f>Table4[[#This Row],[Aug_2027_F]]-Table4[[#This Row],[Aug_2027_A]]</f>
        <v/>
      </c>
      <c r="EL38" s="345">
        <f>IFERROR(Table4[[#This Row],[Sep_2027_Days_Forecast]]*Table4[[#This Row],[Cost Boolean]]*(VLOOKUP(Table4[[#This Row],[RATE CONCAT]],Tables!I:N,6,0)),0)</f>
        <v/>
      </c>
      <c r="EM38" s="275" t="n"/>
      <c r="EN38" s="345">
        <f>Table4[[#This Row],[Sep_2027_F]]-Table4[[#This Row],[Sep_2027_A]]</f>
        <v/>
      </c>
      <c r="EO38" s="345">
        <f>IFERROR(Table4[[#This Row],[Oct_2027_Days_Forecast]]*Table4[[#This Row],[Cost Boolean]]*(VLOOKUP(Table4[[#This Row],[RATE CONCAT]],Tables!I:N,6,0)),0)</f>
        <v/>
      </c>
      <c r="EP38" s="275" t="n"/>
      <c r="EQ38" s="345">
        <f>Table4[[#This Row],[Oct_2027_F]]-Table4[[#This Row],[Oct_2027_A]]</f>
        <v/>
      </c>
      <c r="ER38" s="345">
        <f>IFERROR(Table4[[#This Row],[Nov_2027_Days_Forecast]]*Table4[[#This Row],[Cost Boolean]]*(VLOOKUP(Table4[[#This Row],[RATE CONCAT]],Tables!I:N,6,0)),0)</f>
        <v/>
      </c>
      <c r="ES38" s="275" t="n"/>
      <c r="ET38" s="345">
        <f>Table4[[#This Row],[Nov_2027_F]]-Table4[[#This Row],[Nov_2027_A]]</f>
        <v/>
      </c>
      <c r="EU38" s="345">
        <f>IFERROR(Table4[[#This Row],[Dec_2027_Days_Forecast]]*Table4[[#This Row],[Cost Boolean]]*(VLOOKUP(Table4[[#This Row],[RATE CONCAT]],Tables!I:N,6,0)),0)</f>
        <v/>
      </c>
      <c r="EV38" s="275" t="n"/>
      <c r="EW38" s="345">
        <f>Table4[[#This Row],[Dec_2027_F]]-Table4[[#This Row],[Dec_2027_A]]</f>
        <v/>
      </c>
    </row>
    <row r="39" ht="15" customHeight="1">
      <c r="A39" s="132" t="n"/>
      <c r="B39" s="132" t="n"/>
      <c r="C39" s="132" t="n"/>
      <c r="D39" s="132" t="n"/>
      <c r="E39" s="132" t="n"/>
      <c r="F39" s="132" t="n"/>
      <c r="G39" s="132" t="n"/>
      <c r="H39" s="132" t="n"/>
      <c r="I39" s="132" t="n"/>
      <c r="J39" s="132" t="n"/>
      <c r="K39" s="132" t="n"/>
      <c r="L39" s="132" t="n"/>
      <c r="M39" s="132" t="n"/>
      <c r="N39" s="132" t="n"/>
      <c r="O39" s="132" t="n"/>
      <c r="P39" s="132" t="n"/>
      <c r="Q39" s="132" t="n"/>
      <c r="R39" s="354" t="n"/>
      <c r="S39" s="354" t="n"/>
      <c r="T39" s="354" t="n"/>
      <c r="U39" s="354" t="n"/>
      <c r="V39" s="354" t="n"/>
      <c r="W39" s="354" t="n"/>
      <c r="X39" s="13" t="n"/>
      <c r="Y39" s="350">
        <f>CONCATENATE(Table4[[#This Row],[JG]],Table4[[#This Row],[Country]],Table4[[#This Row],[Resource Provider]])</f>
        <v/>
      </c>
      <c r="Z39" s="350">
        <f>VLOOKUP(Table4[[#This Row],[RATE CONCAT]],Tables!I:N,5,0)</f>
        <v/>
      </c>
      <c r="AA39" s="53" t="n"/>
      <c r="AB39" s="192" t="n"/>
      <c r="AC39" s="192" t="n"/>
      <c r="AD39" s="192" t="n"/>
      <c r="AE39" s="192" t="n"/>
      <c r="AF39" s="192" t="n"/>
      <c r="AG39" s="192" t="n"/>
      <c r="AH39" s="192" t="n"/>
      <c r="AI39" s="192" t="n"/>
      <c r="AJ39" s="192" t="n"/>
      <c r="AK39" s="16" t="n"/>
      <c r="AL39" s="16" t="n"/>
      <c r="AM39" s="16" t="n"/>
      <c r="AN39" s="353">
        <f>IFERROR(AVERAGE(Table4[[#This Row],[Jan_2026_Days_Forecast]:[Dec_2026_Days_Forecast]]),0)/19</f>
        <v/>
      </c>
      <c r="AO39" s="353">
        <f>IFERROR(AVERAGE(Table4[[#This Row],[Jan_2026_Days_Actual]:[Dec_2026_Days_Actual]]),0)/19</f>
        <v/>
      </c>
      <c r="AP39" s="84" t="n"/>
      <c r="AQ39" s="84" t="n"/>
      <c r="AR39" s="84" t="n"/>
      <c r="AS39" s="84" t="n"/>
      <c r="AT39" s="84" t="n"/>
      <c r="AU39" s="84" t="n"/>
      <c r="AV39" s="84" t="n"/>
      <c r="AW39" s="84" t="n"/>
      <c r="AX39" s="84" t="n"/>
      <c r="AY39" s="84" t="n"/>
      <c r="AZ39" s="84" t="n"/>
      <c r="BA39" s="84" t="n"/>
      <c r="BB39" s="353">
        <f>IFERROR(AVERAGE(Table4[[#This Row],[Jan_2027_Days_Forecast]:[Dec_2027_Days_Forecast]]),0)</f>
        <v/>
      </c>
      <c r="BC39" s="16" t="n"/>
      <c r="BD39" s="16" t="n"/>
      <c r="BE39" s="16" t="n"/>
      <c r="BF39" s="16" t="n"/>
      <c r="BG39" s="16" t="n"/>
      <c r="BH39" s="16" t="n"/>
      <c r="BI39" s="16" t="n"/>
      <c r="BJ39" s="16" t="n"/>
      <c r="BK39" s="16" t="n"/>
      <c r="BL39" s="16" t="n"/>
      <c r="BM39" s="16" t="n"/>
      <c r="BN39" s="16" t="n"/>
      <c r="BO39" s="55" t="n"/>
      <c r="BP39" s="346" t="n"/>
      <c r="BQ39" s="347">
        <f>Table4[[#This Row],[Jan_2026_Days_Forecast]]*Table4[[#This Row],[Cost Boolean]]*VLOOKUP(Table4[[#This Row],[RATE CONCAT]],Tables!I:N,5,0)</f>
        <v/>
      </c>
      <c r="BR39" s="347">
        <f>IFERROR(Table4[[#This Row],[Jan_2026_Days_Actual]]*Table4[[#This Row],[Cost Boolean]]*(VLOOKUP(Table4[[#This Row],[RATE CONCAT]],Tables!I:N,5,0)),0)</f>
        <v/>
      </c>
      <c r="BS39" s="347">
        <f>Table4[[#This Row],[Jan_2026_F]]-Table4[[#This Row],[Jan_2026_A]]</f>
        <v/>
      </c>
      <c r="BT39" s="107" t="n"/>
      <c r="BU39" s="347">
        <f>IFERROR(Table4[[#This Row],[Feb_2026_Days_Forecast]]*Table4[[#This Row],[Cost Boolean]]*(VLOOKUP(Table4[[#This Row],[RATE CONCAT]],Tables!I:N,5,0)),0)</f>
        <v/>
      </c>
      <c r="BV39" s="347">
        <f>IFERROR(Table4[[#This Row],[Feb_2026_Days_Actual]]*Table4[[#This Row],[Cost Boolean]]*(VLOOKUP(Table4[[#This Row],[RATE CONCAT]],Tables!I:N,5,0)),0)</f>
        <v/>
      </c>
      <c r="BW39" s="347">
        <f>Table4[[#This Row],[Feb_2026_F]]-Table4[[#This Row],[Feb_2026_A]]</f>
        <v/>
      </c>
      <c r="BX39" s="103" t="n"/>
      <c r="BY39" s="347">
        <f>IFERROR(Table4[[#This Row],[Mar_2026_Days_Forecast]]*Table4[[#This Row],[Cost Boolean]]*(VLOOKUP(Table4[[#This Row],[RATE CONCAT]],Tables!I:N,5,0)),0)</f>
        <v/>
      </c>
      <c r="BZ39" s="347">
        <f>IFERROR(Table4[[#This Row],[Mar_2026_Days_Actual]]*Table4[[#This Row],[Cost Boolean]]*(VLOOKUP(Table4[[#This Row],[RATE CONCAT]],Tables!I:N,5,0)),0)</f>
        <v/>
      </c>
      <c r="CA39" s="347">
        <f>Table4[[#This Row],[Mar_2026_F]]-Table4[[#This Row],[Mar_2026_A]]</f>
        <v/>
      </c>
      <c r="CB39" s="103" t="n"/>
      <c r="CC39" s="347">
        <f>IFERROR(Table4[[#This Row],[Apr_2026_Days_Forecast]]*Table4[[#This Row],[Cost Boolean]]*(VLOOKUP(Table4[[#This Row],[RATE CONCAT]],Tables!I:N,5,0)),0)</f>
        <v/>
      </c>
      <c r="CD39" s="347">
        <f>IFERROR(Table4[[#This Row],[Apr_2026_Days_Actual]]*Table4[[#This Row],[Cost Boolean]]*(VLOOKUP(Table4[[#This Row],[RATE CONCAT]],Tables!I:N,5,0)),0)</f>
        <v/>
      </c>
      <c r="CE39" s="347">
        <f>Table4[[#This Row],[Apr_2026_F]]-Table4[[#This Row],[Apr_2026_A]]</f>
        <v/>
      </c>
      <c r="CF39" s="103" t="n"/>
      <c r="CG39" s="347">
        <f>IFERROR(Table4[[#This Row],[May_2026_Days_Forecast]] *Table4[[#This Row],[Cost Boolean]]*(VLOOKUP(Table4[[#This Row],[RATE CONCAT]],Tables!I:N,5,0)),0)</f>
        <v/>
      </c>
      <c r="CH39" s="347">
        <f>IFERROR(Table4[[#This Row],[May_2026_Days_Actual]]*Table4[[#This Row],[Cost Boolean]]*(VLOOKUP(Table4[[#This Row],[RATE CONCAT]],Tables!I:N,5,0)),0)</f>
        <v/>
      </c>
      <c r="CI39" s="347">
        <f>Table4[[#This Row],[May_2026_F]]-Table4[[#This Row],[May_2026_A]]</f>
        <v/>
      </c>
      <c r="CJ39" s="103" t="n"/>
      <c r="CK39" s="347">
        <f>IFERROR(Table4[[#This Row],[Jun_2026_Days_Forecast]]*Table4[[#This Row],[Cost Boolean]]*(VLOOKUP(Table4[[#This Row],[RATE CONCAT]],Tables!I:N,5,0)),0)</f>
        <v/>
      </c>
      <c r="CL39" s="347">
        <f>IFERROR(Table4[[#This Row],[Jun_2026_Days_Actual]]*Table4[[#This Row],[Cost Boolean]]*(VLOOKUP(Table4[[#This Row],[RATE CONCAT]],Tables!I:N,5,0)),0)</f>
        <v/>
      </c>
      <c r="CM39" s="347">
        <f>Table4[[#This Row],[Jun_2026_F]]-Table4[[#This Row],[Jun_2026_A]]</f>
        <v/>
      </c>
      <c r="CN39" s="103" t="n"/>
      <c r="CO39" s="347">
        <f>IFERROR(Table4[[#This Row],[Jul_2026_Days_Forecast]]*Table4[[#This Row],[Cost Boolean]]*(VLOOKUP(Table4[[#This Row],[RATE CONCAT]],Tables!I:N,5,0)),0)</f>
        <v/>
      </c>
      <c r="CP39" s="347">
        <f>IFERROR(Table4[[#This Row],[Aug_2026_Days_Forecast]]*Table4[[#This Row],[Location]]*(VLOOKUP(Table4[[#This Row],[Rate]],Tables!J:O,5,0)),0)</f>
        <v/>
      </c>
      <c r="CQ39" s="347">
        <f>Table4[[#This Row],[Jul_2026_F]]-Table4[[#This Row],[Jul_2026_A]]</f>
        <v/>
      </c>
      <c r="CR39" s="103" t="n"/>
      <c r="CS39" s="347">
        <f>IFERROR(Table4[[#This Row],[Aug_2026_Days_Forecast]]*Table4[[#This Row],[Cost Boolean]]*(VLOOKUP(Table4[[#This Row],[RATE CONCAT]],Tables!I:N,5,0)),0)</f>
        <v/>
      </c>
      <c r="CT39" s="347">
        <f>IFERROR(Table4[[#This Row],[Aug_2026_Days_Actual]]*Table4[[#This Row],[Cost Boolean]]*(VLOOKUP(Table4[[#This Row],[RATE CONCAT]],Tables!I:N,5,0)),0)</f>
        <v/>
      </c>
      <c r="CU39" s="347">
        <f>Table4[[#This Row],[Aug_2026_F]]-Table4[[#This Row],[Aug_2026_A]]</f>
        <v/>
      </c>
      <c r="CV39" s="103" t="n"/>
      <c r="CW39" s="347">
        <f>IFERROR(Table4[[#This Row],[Sep_2026_Days_Forecast]]*Table4[[#This Row],[Cost Boolean]]*(VLOOKUP(Table4[[#This Row],[RATE CONCAT]],Tables!I:N,5,0)),0)</f>
        <v/>
      </c>
      <c r="CX39" s="347">
        <f>IFERROR(Table4[[#This Row],[Sep_2026_Days_Actual]]*Table4[[#This Row],[Cost Boolean]]*(VLOOKUP(Table4[[#This Row],[RATE CONCAT]],Tables!I:N,5,0)),0)</f>
        <v/>
      </c>
      <c r="CY39" s="347">
        <f>Table4[[#This Row],[Sep_2026_F]]-Table4[[#This Row],[Sep_2026_A]]</f>
        <v/>
      </c>
      <c r="CZ39" s="103" t="n"/>
      <c r="DA39" s="347">
        <f>IFERROR(Table4[[#This Row],[Oct_2026_Days_Forecast]]*Table4[[#This Row],[Cost Boolean]]*(VLOOKUP(Table4[[#This Row],[RATE CONCAT]],Tables!I:N,5,0)),0)</f>
        <v/>
      </c>
      <c r="DB39" s="347">
        <f>IFERROR(Table4[[#This Row],[Oct_2026_Days_Actual]]*Table4[[#This Row],[Cost Boolean]]*(VLOOKUP(Table4[[#This Row],[RATE CONCAT]],Tables!I:N,5,0)),0)</f>
        <v/>
      </c>
      <c r="DC39" s="347">
        <f>Table4[[#This Row],[Oct_2026_F]]-Table4[[#This Row],[Oct_2026_A]]</f>
        <v/>
      </c>
      <c r="DD39" s="103" t="n"/>
      <c r="DE39" s="347">
        <f>IFERROR(Table4[[#This Row],[Nov_2026_Days_Forecast]]*Table4[[#This Row],[Cost Boolean]]*(VLOOKUP(Table4[[#This Row],[RATE CONCAT]],Tables!I:N,5,0)),0)</f>
        <v/>
      </c>
      <c r="DF39" s="347">
        <f>IFERROR(Table4[[#This Row],[Nov_2026_Days_Actual]]*Table4[[#This Row],[Cost Boolean]]*(VLOOKUP(Table4[[#This Row],[RATE CONCAT]],Tables!I:N,5,0)),0)</f>
        <v/>
      </c>
      <c r="DG39" s="347">
        <f>Table4[[#This Row],[Nov_2026_F]]-Table4[[#This Row],[Nov_2026_A]]</f>
        <v/>
      </c>
      <c r="DH39" s="103" t="n"/>
      <c r="DI39" s="347">
        <f>IFERROR(Table4[[#This Row],[Dec_2026_Days_Forecast]]*Table4[[#This Row],[Cost Boolean]]*(VLOOKUP(Table4[[#This Row],[RATE CONCAT]],Tables!I:N,5,0)),0)</f>
        <v/>
      </c>
      <c r="DJ39" s="347">
        <f>IFERROR(Table4[[#This Row],[Dec_2026_Days_Actual]]*Table4[[#This Row],[Cost Boolean]]*(VLOOKUP(Table4[[#This Row],[RATE CONCAT]],Tables!I:N,5,0)),0)</f>
        <v/>
      </c>
      <c r="DK39" s="347">
        <f>Table4[[#This Row],[Dec_2026_F]]-Table4[[#This Row],[Dec_2026_A]]</f>
        <v/>
      </c>
      <c r="DL39" s="103" t="n"/>
      <c r="DM39" s="346" t="n"/>
      <c r="DN39" s="347">
        <f>IFERROR(Table4[[#This Row],[Jan_2027_Days_Forecast]]*Table4[[#This Row],[Cost Boolean]]*(VLOOKUP(Table4[[#This Row],[RATE CONCAT]],Tables!I:N,6,0)),0)</f>
        <v/>
      </c>
      <c r="DO39" s="275" t="n"/>
      <c r="DP39" s="347">
        <f>Table4[[#This Row],[Jan_2027_F]]-Table4[[#This Row],[Jan_2027_A]]</f>
        <v/>
      </c>
      <c r="DQ39" s="347">
        <f>IFERROR(Table4[[#This Row],[Feb_2027_Days_Forecast]]*Table4[[#This Row],[Cost Boolean]]*(VLOOKUP(Table4[[#This Row],[RATE CONCAT]],Tables!I:N,6,0)),0)</f>
        <v/>
      </c>
      <c r="DR39" s="275" t="n"/>
      <c r="DS39" s="347">
        <f>Table4[[#This Row],[Feb_2027_F]]-Table4[[#This Row],[Feb_2027_A]]</f>
        <v/>
      </c>
      <c r="DT39" s="347">
        <f>IFERROR(Table4[[#This Row],[Mar_2027_Days_Forecast]]*Table4[[#This Row],[Cost Boolean]]*(VLOOKUP(Table4[[#This Row],[RATE CONCAT]],Tables!I:N,6,0)),0)</f>
        <v/>
      </c>
      <c r="DU39" s="275" t="n"/>
      <c r="DV39" s="347">
        <f>Table4[[#This Row],[Mar_2027_F]]-Table4[[#This Row],[Mar_2027_A]]</f>
        <v/>
      </c>
      <c r="DW39" s="347">
        <f>IFERROR(Table4[[#This Row],[Apr_2027_Days_Forecast]]*Table4[[#This Row],[Cost Boolean]]*(VLOOKUP(Table4[[#This Row],[RATE CONCAT]],Tables!I:N,6,0)),0)</f>
        <v/>
      </c>
      <c r="DX39" s="275" t="n"/>
      <c r="DY39" s="347">
        <f>Table4[[#This Row],[Apr_2027_F]]-Table4[[#This Row],[Apr_2027_A]]</f>
        <v/>
      </c>
      <c r="DZ39" s="347">
        <f>IFERROR(Table4[[#This Row],[May_2027_Days_Forecast]]*Table4[[#This Row],[Cost Boolean]]*(VLOOKUP(Table4[[#This Row],[RATE CONCAT]],Tables!I:N,6,0)),0)</f>
        <v/>
      </c>
      <c r="EA39" s="275" t="n"/>
      <c r="EB39" s="347">
        <f>Table4[[#This Row],[May_2027_F]]-Table4[[#This Row],[May_2027_A]]</f>
        <v/>
      </c>
      <c r="EC39" s="347">
        <f>IFERROR(Table4[[#This Row],[Jun_2027_Days_Forecast]]*Table4[[#This Row],[Cost Boolean]]*(VLOOKUP(Table4[[#This Row],[RATE CONCAT]],Tables!I:N,6,0)),0)</f>
        <v/>
      </c>
      <c r="ED39" s="275" t="n"/>
      <c r="EE39" s="347">
        <f>Table4[[#This Row],[Jun_2027_F]]-Table4[[#This Row],[Jun_2027_A]]</f>
        <v/>
      </c>
      <c r="EF39" s="347">
        <f>IFERROR(Table4[[#This Row],[Jul_2027_Days_Forecast]]*Table4[[#This Row],[Cost Boolean]]*(VLOOKUP(Table4[[#This Row],[RATE CONCAT]],Tables!I:N,6,0)),0)</f>
        <v/>
      </c>
      <c r="EG39" s="275" t="n"/>
      <c r="EH39" s="347">
        <f>Table4[[#This Row],[Jul_2027_F]]-Table4[[#This Row],[Jul_2027_A]]</f>
        <v/>
      </c>
      <c r="EI39" s="347">
        <f>IFERROR(Table4[[#This Row],[Aug_2027_Days_Forecast]]*Table4[[#This Row],[Cost Boolean]]*(VLOOKUP(Table4[[#This Row],[RATE CONCAT]],Tables!I:N,6,0)),0)</f>
        <v/>
      </c>
      <c r="EJ39" s="275" t="n"/>
      <c r="EK39" s="347">
        <f>Table4[[#This Row],[Aug_2027_F]]-Table4[[#This Row],[Aug_2027_A]]</f>
        <v/>
      </c>
      <c r="EL39" s="347">
        <f>IFERROR(Table4[[#This Row],[Sep_2027_Days_Forecast]]*Table4[[#This Row],[Cost Boolean]]*(VLOOKUP(Table4[[#This Row],[RATE CONCAT]],Tables!I:N,6,0)),0)</f>
        <v/>
      </c>
      <c r="EM39" s="275" t="n"/>
      <c r="EN39" s="347">
        <f>Table4[[#This Row],[Sep_2027_F]]-Table4[[#This Row],[Sep_2027_A]]</f>
        <v/>
      </c>
      <c r="EO39" s="347">
        <f>IFERROR(Table4[[#This Row],[Oct_2027_Days_Forecast]]*Table4[[#This Row],[Cost Boolean]]*(VLOOKUP(Table4[[#This Row],[RATE CONCAT]],Tables!I:N,6,0)),0)</f>
        <v/>
      </c>
      <c r="EP39" s="275" t="n"/>
      <c r="EQ39" s="347">
        <f>Table4[[#This Row],[Oct_2027_F]]-Table4[[#This Row],[Oct_2027_A]]</f>
        <v/>
      </c>
      <c r="ER39" s="347">
        <f>IFERROR(Table4[[#This Row],[Nov_2027_Days_Forecast]]*Table4[[#This Row],[Cost Boolean]]*(VLOOKUP(Table4[[#This Row],[RATE CONCAT]],Tables!I:N,6,0)),0)</f>
        <v/>
      </c>
      <c r="ES39" s="275" t="n"/>
      <c r="ET39" s="347">
        <f>Table4[[#This Row],[Nov_2027_F]]-Table4[[#This Row],[Nov_2027_A]]</f>
        <v/>
      </c>
      <c r="EU39" s="347">
        <f>IFERROR(Table4[[#This Row],[Dec_2027_Days_Forecast]]*Table4[[#This Row],[Cost Boolean]]*(VLOOKUP(Table4[[#This Row],[RATE CONCAT]],Tables!I:N,6,0)),0)</f>
        <v/>
      </c>
      <c r="EV39" s="275" t="n"/>
      <c r="EW39" s="347">
        <f>Table4[[#This Row],[Dec_2027_F]]-Table4[[#This Row],[Dec_2027_A]]</f>
        <v/>
      </c>
    </row>
    <row r="40" ht="15" customHeight="1">
      <c r="A40" s="132" t="n"/>
      <c r="B40" s="132" t="n"/>
      <c r="C40" s="132" t="n"/>
      <c r="D40" s="132" t="n"/>
      <c r="E40" s="132" t="n"/>
      <c r="F40" s="132" t="n"/>
      <c r="G40" s="132" t="n"/>
      <c r="H40" s="132" t="n"/>
      <c r="I40" s="132" t="n"/>
      <c r="J40" s="132" t="n"/>
      <c r="K40" s="132" t="n"/>
      <c r="L40" s="132" t="n"/>
      <c r="M40" s="132" t="n"/>
      <c r="N40" s="132" t="n"/>
      <c r="O40" s="132" t="n"/>
      <c r="P40" s="132" t="n"/>
      <c r="Q40" s="132" t="n"/>
      <c r="R40" s="354" t="n"/>
      <c r="S40" s="354" t="n"/>
      <c r="T40" s="354" t="n"/>
      <c r="U40" s="354" t="n"/>
      <c r="V40" s="354" t="n"/>
      <c r="W40" s="354" t="n"/>
      <c r="X40" s="13" t="n"/>
      <c r="Y40" s="350">
        <f>CONCATENATE(Table4[[#This Row],[JG]],Table4[[#This Row],[Country]],Table4[[#This Row],[Resource Provider]])</f>
        <v/>
      </c>
      <c r="Z40" s="350">
        <f>VLOOKUP(Table4[[#This Row],[RATE CONCAT]],Tables!I:N,5,0)</f>
        <v/>
      </c>
      <c r="AA40" s="53" t="n"/>
      <c r="AB40" s="192" t="n"/>
      <c r="AC40" s="192" t="n"/>
      <c r="AD40" s="192" t="n"/>
      <c r="AE40" s="192" t="n"/>
      <c r="AF40" s="192" t="n"/>
      <c r="AG40" s="192" t="n"/>
      <c r="AH40" s="192" t="n"/>
      <c r="AI40" s="192" t="n"/>
      <c r="AJ40" s="192" t="n"/>
      <c r="AK40" s="16" t="n"/>
      <c r="AL40" s="16" t="n"/>
      <c r="AM40" s="16" t="n"/>
      <c r="AN40" s="353">
        <f>IFERROR(AVERAGE(Table4[[#This Row],[Jan_2026_Days_Forecast]:[Dec_2026_Days_Forecast]]),0)/19</f>
        <v/>
      </c>
      <c r="AO40" s="353">
        <f>IFERROR(AVERAGE(Table4[[#This Row],[Jan_2026_Days_Actual]:[Dec_2026_Days_Actual]]),0)/19</f>
        <v/>
      </c>
      <c r="AP40" s="84" t="n"/>
      <c r="AQ40" s="84" t="n"/>
      <c r="AR40" s="84" t="n"/>
      <c r="AS40" s="84" t="n"/>
      <c r="AT40" s="84" t="n"/>
      <c r="AU40" s="84" t="n"/>
      <c r="AV40" s="84" t="n"/>
      <c r="AW40" s="84" t="n"/>
      <c r="AX40" s="84" t="n"/>
      <c r="AY40" s="84" t="n"/>
      <c r="AZ40" s="84" t="n"/>
      <c r="BA40" s="84" t="n"/>
      <c r="BB40" s="353">
        <f>IFERROR(AVERAGE(Table4[[#This Row],[Jan_2027_Days_Forecast]:[Dec_2027_Days_Forecast]]),0)</f>
        <v/>
      </c>
      <c r="BC40" s="16" t="n"/>
      <c r="BD40" s="16" t="n"/>
      <c r="BE40" s="16" t="n"/>
      <c r="BF40" s="16" t="n"/>
      <c r="BG40" s="16" t="n"/>
      <c r="BH40" s="16" t="n"/>
      <c r="BI40" s="16" t="n"/>
      <c r="BJ40" s="16" t="n"/>
      <c r="BK40" s="16" t="n"/>
      <c r="BL40" s="16" t="n"/>
      <c r="BM40" s="16" t="n"/>
      <c r="BN40" s="16" t="n"/>
      <c r="BO40" s="55" t="n"/>
      <c r="BP40" s="346" t="n"/>
      <c r="BQ40" s="275" t="n"/>
      <c r="BR40" s="345">
        <f>IFERROR(Table4[[#This Row],[Jan_2026_Days_Actual]]*Table4[[#This Row],[Cost Boolean]]*(VLOOKUP(Table4[[#This Row],[RATE CONCAT]],Tables!I:N,5,0)),0)</f>
        <v/>
      </c>
      <c r="BS40" s="345">
        <f>Table4[[#This Row],[Jan_2026_F]]-Table4[[#This Row],[Jan_2026_A]]</f>
        <v/>
      </c>
      <c r="BT40" s="107" t="n"/>
      <c r="BU40" s="345">
        <f>IFERROR(Table4[[#This Row],[Feb_2026_Days_Forecast]]*Table4[[#This Row],[Cost Boolean]]*(VLOOKUP(Table4[[#This Row],[RATE CONCAT]],Tables!I:N,5,0)),0)</f>
        <v/>
      </c>
      <c r="BV40" s="345">
        <f>IFERROR(Table4[[#This Row],[Feb_2026_Days_Actual]]*Table4[[#This Row],[Cost Boolean]]*(VLOOKUP(Table4[[#This Row],[RATE CONCAT]],Tables!I:N,5,0)),0)</f>
        <v/>
      </c>
      <c r="BW40" s="345">
        <f>Table4[[#This Row],[Feb_2026_F]]-Table4[[#This Row],[Feb_2026_A]]</f>
        <v/>
      </c>
      <c r="BX40" s="103" t="n"/>
      <c r="BY40" s="345">
        <f>IFERROR(Table4[[#This Row],[Mar_2026_Days_Forecast]]*Table4[[#This Row],[Cost Boolean]]*(VLOOKUP(Table4[[#This Row],[RATE CONCAT]],Tables!I:N,5,0)),0)</f>
        <v/>
      </c>
      <c r="BZ40" s="345">
        <f>IFERROR(Table4[[#This Row],[Mar_2026_Days_Actual]]*Table4[[#This Row],[Cost Boolean]]*(VLOOKUP(Table4[[#This Row],[RATE CONCAT]],Tables!I:N,5,0)),0)</f>
        <v/>
      </c>
      <c r="CA40" s="345">
        <f>Table4[[#This Row],[Mar_2026_F]]-Table4[[#This Row],[Mar_2026_A]]</f>
        <v/>
      </c>
      <c r="CB40" s="103" t="n"/>
      <c r="CC40" s="345">
        <f>IFERROR(Table4[[#This Row],[Apr_2026_Days_Forecast]]*Table4[[#This Row],[Cost Boolean]]*(VLOOKUP(Table4[[#This Row],[RATE CONCAT]],Tables!I:N,5,0)),0)</f>
        <v/>
      </c>
      <c r="CD40" s="345">
        <f>IFERROR(Table4[[#This Row],[Apr_2026_Days_Actual]]*Table4[[#This Row],[Cost Boolean]]*(VLOOKUP(Table4[[#This Row],[RATE CONCAT]],Tables!I:N,5,0)),0)</f>
        <v/>
      </c>
      <c r="CE40" s="345">
        <f>Table4[[#This Row],[Apr_2026_F]]-Table4[[#This Row],[Apr_2026_A]]</f>
        <v/>
      </c>
      <c r="CF40" s="103" t="n"/>
      <c r="CG40" s="345">
        <f>IFERROR(Table4[[#This Row],[May_2026_Days_Forecast]] *Table4[[#This Row],[Cost Boolean]]*(VLOOKUP(Table4[[#This Row],[RATE CONCAT]],Tables!I:N,5,0)),0)</f>
        <v/>
      </c>
      <c r="CH40" s="345">
        <f>IFERROR(Table4[[#This Row],[May_2026_Days_Actual]]*Table4[[#This Row],[Cost Boolean]]*(VLOOKUP(Table4[[#This Row],[RATE CONCAT]],Tables!I:N,5,0)),0)</f>
        <v/>
      </c>
      <c r="CI40" s="345">
        <f>Table4[[#This Row],[May_2026_F]]-Table4[[#This Row],[May_2026_A]]</f>
        <v/>
      </c>
      <c r="CJ40" s="103" t="n"/>
      <c r="CK40" s="345">
        <f>IFERROR(Table4[[#This Row],[Jun_2026_Days_Forecast]]*Table4[[#This Row],[Cost Boolean]]*(VLOOKUP(Table4[[#This Row],[RATE CONCAT]],Tables!I:N,5,0)),0)</f>
        <v/>
      </c>
      <c r="CL40" s="345">
        <f>IFERROR(Table4[[#This Row],[Jun_2026_Days_Actual]]*Table4[[#This Row],[Cost Boolean]]*(VLOOKUP(Table4[[#This Row],[RATE CONCAT]],Tables!I:N,5,0)),0)</f>
        <v/>
      </c>
      <c r="CM40" s="345">
        <f>Table4[[#This Row],[Jun_2026_F]]-Table4[[#This Row],[Jun_2026_A]]</f>
        <v/>
      </c>
      <c r="CN40" s="103" t="n"/>
      <c r="CO40" s="345">
        <f>IFERROR(Table4[[#This Row],[Jul_2026_Days_Forecast]]*Table4[[#This Row],[Cost Boolean]]*(VLOOKUP(Table4[[#This Row],[RATE CONCAT]],Tables!I:N,5,0)),0)</f>
        <v/>
      </c>
      <c r="CP40" s="345">
        <f>IFERROR(Table4[[#This Row],[Aug_2026_Days_Forecast]]*Table4[[#This Row],[Location]]*(VLOOKUP(Table4[[#This Row],[Rate]],Tables!J:O,5,0)),0)</f>
        <v/>
      </c>
      <c r="CQ40" s="345">
        <f>Table4[[#This Row],[Jul_2026_F]]-Table4[[#This Row],[Jul_2026_A]]</f>
        <v/>
      </c>
      <c r="CR40" s="103" t="n"/>
      <c r="CS40" s="345">
        <f>IFERROR(Table4[[#This Row],[Aug_2026_Days_Forecast]]*Table4[[#This Row],[Cost Boolean]]*(VLOOKUP(Table4[[#This Row],[RATE CONCAT]],Tables!I:N,5,0)),0)</f>
        <v/>
      </c>
      <c r="CT40" s="345">
        <f>IFERROR(Table4[[#This Row],[Aug_2026_Days_Actual]]*Table4[[#This Row],[Cost Boolean]]*(VLOOKUP(Table4[[#This Row],[RATE CONCAT]],Tables!I:N,5,0)),0)</f>
        <v/>
      </c>
      <c r="CU40" s="345">
        <f>Table4[[#This Row],[Aug_2026_F]]-Table4[[#This Row],[Aug_2026_A]]</f>
        <v/>
      </c>
      <c r="CV40" s="103" t="n"/>
      <c r="CW40" s="345">
        <f>IFERROR(Table4[[#This Row],[Sep_2026_Days_Forecast]]*Table4[[#This Row],[Cost Boolean]]*(VLOOKUP(Table4[[#This Row],[RATE CONCAT]],Tables!I:N,5,0)),0)</f>
        <v/>
      </c>
      <c r="CX40" s="345">
        <f>IFERROR(Table4[[#This Row],[Sep_2026_Days_Actual]]*Table4[[#This Row],[Cost Boolean]]*(VLOOKUP(Table4[[#This Row],[RATE CONCAT]],Tables!I:N,5,0)),0)</f>
        <v/>
      </c>
      <c r="CY40" s="345">
        <f>Table4[[#This Row],[Sep_2026_F]]-Table4[[#This Row],[Sep_2026_A]]</f>
        <v/>
      </c>
      <c r="CZ40" s="103" t="n"/>
      <c r="DA40" s="345">
        <f>IFERROR(Table4[[#This Row],[Oct_2026_Days_Forecast]]*Table4[[#This Row],[Cost Boolean]]*(VLOOKUP(Table4[[#This Row],[RATE CONCAT]],Tables!I:N,5,0)),0)</f>
        <v/>
      </c>
      <c r="DB40" s="345">
        <f>IFERROR(Table4[[#This Row],[Oct_2026_Days_Actual]]*Table4[[#This Row],[Cost Boolean]]*(VLOOKUP(Table4[[#This Row],[RATE CONCAT]],Tables!I:N,5,0)),0)</f>
        <v/>
      </c>
      <c r="DC40" s="345">
        <f>Table4[[#This Row],[Oct_2026_F]]-Table4[[#This Row],[Oct_2026_A]]</f>
        <v/>
      </c>
      <c r="DD40" s="103" t="n"/>
      <c r="DE40" s="345">
        <f>IFERROR(Table4[[#This Row],[Nov_2026_Days_Forecast]]*Table4[[#This Row],[Cost Boolean]]*(VLOOKUP(Table4[[#This Row],[RATE CONCAT]],Tables!I:N,5,0)),0)</f>
        <v/>
      </c>
      <c r="DF40" s="345">
        <f>IFERROR(Table4[[#This Row],[Nov_2026_Days_Actual]]*Table4[[#This Row],[Cost Boolean]]*(VLOOKUP(Table4[[#This Row],[RATE CONCAT]],Tables!I:N,5,0)),0)</f>
        <v/>
      </c>
      <c r="DG40" s="345">
        <f>Table4[[#This Row],[Nov_2026_F]]-Table4[[#This Row],[Nov_2026_A]]</f>
        <v/>
      </c>
      <c r="DH40" s="103" t="n"/>
      <c r="DI40" s="345">
        <f>IFERROR(Table4[[#This Row],[Dec_2026_Days_Forecast]]*Table4[[#This Row],[Cost Boolean]]*(VLOOKUP(Table4[[#This Row],[RATE CONCAT]],Tables!I:N,5,0)),0)</f>
        <v/>
      </c>
      <c r="DJ40" s="345">
        <f>IFERROR(Table4[[#This Row],[Dec_2026_Days_Actual]]*Table4[[#This Row],[Cost Boolean]]*(VLOOKUP(Table4[[#This Row],[RATE CONCAT]],Tables!I:N,5,0)),0)</f>
        <v/>
      </c>
      <c r="DK40" s="345">
        <f>Table4[[#This Row],[Dec_2026_F]]-Table4[[#This Row],[Dec_2026_A]]</f>
        <v/>
      </c>
      <c r="DL40" s="103" t="n"/>
      <c r="DM40" s="346" t="n"/>
      <c r="DN40" s="345">
        <f>IFERROR(Table4[[#This Row],[Jan_2027_Days_Forecast]]*Table4[[#This Row],[Cost Boolean]]*(VLOOKUP(Table4[[#This Row],[RATE CONCAT]],Tables!I:N,6,0)),0)</f>
        <v/>
      </c>
      <c r="DO40" s="275" t="n"/>
      <c r="DP40" s="345">
        <f>Table4[[#This Row],[Jan_2027_F]]-Table4[[#This Row],[Jan_2027_A]]</f>
        <v/>
      </c>
      <c r="DQ40" s="345">
        <f>IFERROR(Table4[[#This Row],[Feb_2027_Days_Forecast]]*Table4[[#This Row],[Cost Boolean]]*(VLOOKUP(Table4[[#This Row],[RATE CONCAT]],Tables!I:N,6,0)),0)</f>
        <v/>
      </c>
      <c r="DR40" s="275" t="n"/>
      <c r="DS40" s="345">
        <f>Table4[[#This Row],[Feb_2027_F]]-Table4[[#This Row],[Feb_2027_A]]</f>
        <v/>
      </c>
      <c r="DT40" s="345">
        <f>IFERROR(Table4[[#This Row],[Mar_2027_Days_Forecast]]*Table4[[#This Row],[Cost Boolean]]*(VLOOKUP(Table4[[#This Row],[RATE CONCAT]],Tables!I:N,6,0)),0)</f>
        <v/>
      </c>
      <c r="DU40" s="275" t="n"/>
      <c r="DV40" s="345">
        <f>Table4[[#This Row],[Mar_2027_F]]-Table4[[#This Row],[Mar_2027_A]]</f>
        <v/>
      </c>
      <c r="DW40" s="345">
        <f>IFERROR(Table4[[#This Row],[Apr_2027_Days_Forecast]]*Table4[[#This Row],[Cost Boolean]]*(VLOOKUP(Table4[[#This Row],[RATE CONCAT]],Tables!I:N,6,0)),0)</f>
        <v/>
      </c>
      <c r="DX40" s="275" t="n"/>
      <c r="DY40" s="345">
        <f>Table4[[#This Row],[Apr_2027_F]]-Table4[[#This Row],[Apr_2027_A]]</f>
        <v/>
      </c>
      <c r="DZ40" s="345">
        <f>IFERROR(Table4[[#This Row],[May_2027_Days_Forecast]]*Table4[[#This Row],[Cost Boolean]]*(VLOOKUP(Table4[[#This Row],[RATE CONCAT]],Tables!I:N,6,0)),0)</f>
        <v/>
      </c>
      <c r="EA40" s="275" t="n"/>
      <c r="EB40" s="345">
        <f>Table4[[#This Row],[May_2027_F]]-Table4[[#This Row],[May_2027_A]]</f>
        <v/>
      </c>
      <c r="EC40" s="345">
        <f>IFERROR(Table4[[#This Row],[Jun_2027_Days_Forecast]]*Table4[[#This Row],[Cost Boolean]]*(VLOOKUP(Table4[[#This Row],[RATE CONCAT]],Tables!I:N,6,0)),0)</f>
        <v/>
      </c>
      <c r="ED40" s="275" t="n"/>
      <c r="EE40" s="345">
        <f>Table4[[#This Row],[Jun_2027_F]]-Table4[[#This Row],[Jun_2027_A]]</f>
        <v/>
      </c>
      <c r="EF40" s="345">
        <f>IFERROR(Table4[[#This Row],[Jul_2027_Days_Forecast]]*Table4[[#This Row],[Cost Boolean]]*(VLOOKUP(Table4[[#This Row],[RATE CONCAT]],Tables!I:N,6,0)),0)</f>
        <v/>
      </c>
      <c r="EG40" s="275" t="n"/>
      <c r="EH40" s="345">
        <f>Table4[[#This Row],[Jul_2027_F]]-Table4[[#This Row],[Jul_2027_A]]</f>
        <v/>
      </c>
      <c r="EI40" s="345">
        <f>IFERROR(Table4[[#This Row],[Aug_2027_Days_Forecast]]*Table4[[#This Row],[Cost Boolean]]*(VLOOKUP(Table4[[#This Row],[RATE CONCAT]],Tables!I:N,6,0)),0)</f>
        <v/>
      </c>
      <c r="EJ40" s="275" t="n"/>
      <c r="EK40" s="345">
        <f>Table4[[#This Row],[Aug_2027_F]]-Table4[[#This Row],[Aug_2027_A]]</f>
        <v/>
      </c>
      <c r="EL40" s="345">
        <f>IFERROR(Table4[[#This Row],[Sep_2027_Days_Forecast]]*Table4[[#This Row],[Cost Boolean]]*(VLOOKUP(Table4[[#This Row],[RATE CONCAT]],Tables!I:N,6,0)),0)</f>
        <v/>
      </c>
      <c r="EM40" s="275" t="n"/>
      <c r="EN40" s="345">
        <f>Table4[[#This Row],[Sep_2027_F]]-Table4[[#This Row],[Sep_2027_A]]</f>
        <v/>
      </c>
      <c r="EO40" s="345">
        <f>IFERROR(Table4[[#This Row],[Oct_2027_Days_Forecast]]*Table4[[#This Row],[Cost Boolean]]*(VLOOKUP(Table4[[#This Row],[RATE CONCAT]],Tables!I:N,6,0)),0)</f>
        <v/>
      </c>
      <c r="EP40" s="275" t="n"/>
      <c r="EQ40" s="345">
        <f>Table4[[#This Row],[Oct_2027_F]]-Table4[[#This Row],[Oct_2027_A]]</f>
        <v/>
      </c>
      <c r="ER40" s="345">
        <f>IFERROR(Table4[[#This Row],[Nov_2027_Days_Forecast]]*Table4[[#This Row],[Cost Boolean]]*(VLOOKUP(Table4[[#This Row],[RATE CONCAT]],Tables!I:N,6,0)),0)</f>
        <v/>
      </c>
      <c r="ES40" s="275" t="n"/>
      <c r="ET40" s="345">
        <f>Table4[[#This Row],[Nov_2027_F]]-Table4[[#This Row],[Nov_2027_A]]</f>
        <v/>
      </c>
      <c r="EU40" s="345">
        <f>IFERROR(Table4[[#This Row],[Dec_2027_Days_Forecast]]*Table4[[#This Row],[Cost Boolean]]*(VLOOKUP(Table4[[#This Row],[RATE CONCAT]],Tables!I:N,6,0)),0)</f>
        <v/>
      </c>
      <c r="EV40" s="275" t="n"/>
      <c r="EW40" s="345">
        <f>Table4[[#This Row],[Dec_2027_F]]-Table4[[#This Row],[Dec_2027_A]]</f>
        <v/>
      </c>
    </row>
    <row r="41" ht="15" customHeight="1">
      <c r="A41" s="132" t="n"/>
      <c r="B41" s="132" t="n"/>
      <c r="C41" s="132" t="n"/>
      <c r="D41" s="132" t="n"/>
      <c r="E41" s="132" t="n"/>
      <c r="F41" s="132" t="n"/>
      <c r="G41" s="132" t="n"/>
      <c r="H41" s="132" t="n"/>
      <c r="I41" s="132" t="n"/>
      <c r="J41" s="132" t="n"/>
      <c r="K41" s="132" t="n"/>
      <c r="L41" s="132" t="n"/>
      <c r="M41" s="132" t="n"/>
      <c r="N41" s="132" t="n"/>
      <c r="O41" s="132" t="n"/>
      <c r="P41" s="132" t="n"/>
      <c r="Q41" s="132" t="n"/>
      <c r="R41" s="354" t="n"/>
      <c r="S41" s="354" t="n"/>
      <c r="T41" s="354" t="n"/>
      <c r="U41" s="354" t="n"/>
      <c r="V41" s="354" t="n"/>
      <c r="W41" s="354" t="n"/>
      <c r="X41" s="13" t="n"/>
      <c r="Y41" s="350">
        <f>CONCATENATE(Table4[[#This Row],[JG]],Table4[[#This Row],[Country]],Table4[[#This Row],[Resource Provider]])</f>
        <v/>
      </c>
      <c r="Z41" s="350">
        <f>VLOOKUP(Table4[[#This Row],[RATE CONCAT]],Tables!I:N,5,0)</f>
        <v/>
      </c>
      <c r="AA41" s="53" t="n"/>
      <c r="AB41" s="192" t="n"/>
      <c r="AC41" s="192" t="n"/>
      <c r="AD41" s="192" t="n"/>
      <c r="AE41" s="192" t="n"/>
      <c r="AF41" s="192" t="n"/>
      <c r="AG41" s="192" t="n"/>
      <c r="AH41" s="192" t="n"/>
      <c r="AI41" s="192" t="n"/>
      <c r="AJ41" s="192" t="n"/>
      <c r="AK41" s="16" t="n"/>
      <c r="AL41" s="16" t="n"/>
      <c r="AM41" s="16" t="n"/>
      <c r="AN41" s="353">
        <f>IFERROR(AVERAGE(Table4[[#This Row],[Jan_2026_Days_Forecast]:[Dec_2026_Days_Forecast]]),0)/19</f>
        <v/>
      </c>
      <c r="AO41" s="353">
        <f>IFERROR(AVERAGE(Table4[[#This Row],[Jan_2026_Days_Actual]:[Dec_2026_Days_Actual]]),0)/19</f>
        <v/>
      </c>
      <c r="AP41" s="84" t="n"/>
      <c r="AQ41" s="84" t="n"/>
      <c r="AR41" s="84" t="n"/>
      <c r="AS41" s="84" t="n"/>
      <c r="AT41" s="84" t="n"/>
      <c r="AU41" s="84" t="n"/>
      <c r="AV41" s="84" t="n"/>
      <c r="AW41" s="84" t="n"/>
      <c r="AX41" s="84" t="n"/>
      <c r="AY41" s="84" t="n"/>
      <c r="AZ41" s="84" t="n"/>
      <c r="BA41" s="84" t="n"/>
      <c r="BB41" s="353">
        <f>IFERROR(AVERAGE(Table4[[#This Row],[Jan_2027_Days_Forecast]:[Dec_2027_Days_Forecast]]),0)</f>
        <v/>
      </c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  <c r="BM41" s="16" t="n"/>
      <c r="BN41" s="16" t="n"/>
      <c r="BO41" s="55" t="n"/>
      <c r="BP41" s="346" t="n"/>
      <c r="BQ41" s="347">
        <f>Table4[[#This Row],[Jan_2026_Days_Forecast]]*Table4[[#This Row],[Cost Boolean]]*VLOOKUP(Table4[[#This Row],[RATE CONCAT]],Tables!I:N,5,0)</f>
        <v/>
      </c>
      <c r="BR41" s="347">
        <f>IFERROR(Table4[[#This Row],[Jan_2026_Days_Actual]]*Table4[[#This Row],[Cost Boolean]]*(VLOOKUP(Table4[[#This Row],[RATE CONCAT]],Tables!I:N,5,0)),0)</f>
        <v/>
      </c>
      <c r="BS41" s="347">
        <f>Table4[[#This Row],[Jan_2026_F]]-Table4[[#This Row],[Jan_2026_A]]</f>
        <v/>
      </c>
      <c r="BT41" s="107" t="n"/>
      <c r="BU41" s="347">
        <f>IFERROR(Table4[[#This Row],[Feb_2026_Days_Forecast]]*Table4[[#This Row],[Cost Boolean]]*(VLOOKUP(Table4[[#This Row],[RATE CONCAT]],Tables!I:N,5,0)),0)</f>
        <v/>
      </c>
      <c r="BV41" s="347">
        <f>IFERROR(Table4[[#This Row],[Feb_2026_Days_Actual]]*Table4[[#This Row],[Cost Boolean]]*(VLOOKUP(Table4[[#This Row],[RATE CONCAT]],Tables!I:N,5,0)),0)</f>
        <v/>
      </c>
      <c r="BW41" s="347">
        <f>Table4[[#This Row],[Feb_2026_F]]-Table4[[#This Row],[Feb_2026_A]]</f>
        <v/>
      </c>
      <c r="BX41" s="103" t="n"/>
      <c r="BY41" s="347">
        <f>IFERROR(Table4[[#This Row],[Mar_2026_Days_Forecast]]*Table4[[#This Row],[Cost Boolean]]*(VLOOKUP(Table4[[#This Row],[RATE CONCAT]],Tables!I:N,5,0)),0)</f>
        <v/>
      </c>
      <c r="BZ41" s="347">
        <f>IFERROR(Table4[[#This Row],[Mar_2026_Days_Actual]]*Table4[[#This Row],[Cost Boolean]]*(VLOOKUP(Table4[[#This Row],[RATE CONCAT]],Tables!I:N,5,0)),0)</f>
        <v/>
      </c>
      <c r="CA41" s="347">
        <f>Table4[[#This Row],[Mar_2026_F]]-Table4[[#This Row],[Mar_2026_A]]</f>
        <v/>
      </c>
      <c r="CB41" s="103" t="n"/>
      <c r="CC41" s="347">
        <f>IFERROR(Table4[[#This Row],[Apr_2026_Days_Forecast]]*Table4[[#This Row],[Cost Boolean]]*(VLOOKUP(Table4[[#This Row],[RATE CONCAT]],Tables!I:N,5,0)),0)</f>
        <v/>
      </c>
      <c r="CD41" s="347">
        <f>IFERROR(Table4[[#This Row],[Apr_2026_Days_Actual]]*Table4[[#This Row],[Cost Boolean]]*(VLOOKUP(Table4[[#This Row],[RATE CONCAT]],Tables!I:N,5,0)),0)</f>
        <v/>
      </c>
      <c r="CE41" s="347">
        <f>Table4[[#This Row],[Apr_2026_F]]-Table4[[#This Row],[Apr_2026_A]]</f>
        <v/>
      </c>
      <c r="CF41" s="103" t="n"/>
      <c r="CG41" s="347">
        <f>IFERROR(Table4[[#This Row],[May_2026_Days_Forecast]] *Table4[[#This Row],[Cost Boolean]]*(VLOOKUP(Table4[[#This Row],[RATE CONCAT]],Tables!I:N,5,0)),0)</f>
        <v/>
      </c>
      <c r="CH41" s="347">
        <f>IFERROR(Table4[[#This Row],[May_2026_Days_Actual]]*Table4[[#This Row],[Cost Boolean]]*(VLOOKUP(Table4[[#This Row],[RATE CONCAT]],Tables!I:N,5,0)),0)</f>
        <v/>
      </c>
      <c r="CI41" s="347">
        <f>Table4[[#This Row],[May_2026_F]]-Table4[[#This Row],[May_2026_A]]</f>
        <v/>
      </c>
      <c r="CJ41" s="103" t="n"/>
      <c r="CK41" s="347">
        <f>IFERROR(Table4[[#This Row],[Jun_2026_Days_Forecast]]*Table4[[#This Row],[Cost Boolean]]*(VLOOKUP(Table4[[#This Row],[RATE CONCAT]],Tables!I:N,5,0)),0)</f>
        <v/>
      </c>
      <c r="CL41" s="347">
        <f>IFERROR(Table4[[#This Row],[Jun_2026_Days_Actual]]*Table4[[#This Row],[Cost Boolean]]*(VLOOKUP(Table4[[#This Row],[RATE CONCAT]],Tables!I:N,5,0)),0)</f>
        <v/>
      </c>
      <c r="CM41" s="347">
        <f>Table4[[#This Row],[Jun_2026_F]]-Table4[[#This Row],[Jun_2026_A]]</f>
        <v/>
      </c>
      <c r="CN41" s="103" t="n"/>
      <c r="CO41" s="347">
        <f>IFERROR(Table4[[#This Row],[Jul_2026_Days_Forecast]]*Table4[[#This Row],[Cost Boolean]]*(VLOOKUP(Table4[[#This Row],[RATE CONCAT]],Tables!I:N,5,0)),0)</f>
        <v/>
      </c>
      <c r="CP41" s="347">
        <f>IFERROR(Table4[[#This Row],[Aug_2026_Days_Forecast]]*Table4[[#This Row],[Location]]*(VLOOKUP(Table4[[#This Row],[Rate]],Tables!J:O,5,0)),0)</f>
        <v/>
      </c>
      <c r="CQ41" s="347">
        <f>Table4[[#This Row],[Jul_2026_F]]-Table4[[#This Row],[Jul_2026_A]]</f>
        <v/>
      </c>
      <c r="CR41" s="103" t="n"/>
      <c r="CS41" s="347">
        <f>IFERROR(Table4[[#This Row],[Aug_2026_Days_Forecast]]*Table4[[#This Row],[Cost Boolean]]*(VLOOKUP(Table4[[#This Row],[RATE CONCAT]],Tables!I:N,5,0)),0)</f>
        <v/>
      </c>
      <c r="CT41" s="347">
        <f>IFERROR(Table4[[#This Row],[Aug_2026_Days_Actual]]*Table4[[#This Row],[Cost Boolean]]*(VLOOKUP(Table4[[#This Row],[RATE CONCAT]],Tables!I:N,5,0)),0)</f>
        <v/>
      </c>
      <c r="CU41" s="347">
        <f>Table4[[#This Row],[Aug_2026_F]]-Table4[[#This Row],[Aug_2026_A]]</f>
        <v/>
      </c>
      <c r="CV41" s="103" t="n"/>
      <c r="CW41" s="347">
        <f>IFERROR(Table4[[#This Row],[Sep_2026_Days_Forecast]]*Table4[[#This Row],[Cost Boolean]]*(VLOOKUP(Table4[[#This Row],[RATE CONCAT]],Tables!I:N,5,0)),0)</f>
        <v/>
      </c>
      <c r="CX41" s="347">
        <f>IFERROR(Table4[[#This Row],[Sep_2026_Days_Actual]]*Table4[[#This Row],[Cost Boolean]]*(VLOOKUP(Table4[[#This Row],[RATE CONCAT]],Tables!I:N,5,0)),0)</f>
        <v/>
      </c>
      <c r="CY41" s="347">
        <f>Table4[[#This Row],[Sep_2026_F]]-Table4[[#This Row],[Sep_2026_A]]</f>
        <v/>
      </c>
      <c r="CZ41" s="103" t="n"/>
      <c r="DA41" s="347">
        <f>IFERROR(Table4[[#This Row],[Oct_2026_Days_Forecast]]*Table4[[#This Row],[Cost Boolean]]*(VLOOKUP(Table4[[#This Row],[RATE CONCAT]],Tables!I:N,5,0)),0)</f>
        <v/>
      </c>
      <c r="DB41" s="347">
        <f>IFERROR(Table4[[#This Row],[Oct_2026_Days_Actual]]*Table4[[#This Row],[Cost Boolean]]*(VLOOKUP(Table4[[#This Row],[RATE CONCAT]],Tables!I:N,5,0)),0)</f>
        <v/>
      </c>
      <c r="DC41" s="347">
        <f>Table4[[#This Row],[Oct_2026_F]]-Table4[[#This Row],[Oct_2026_A]]</f>
        <v/>
      </c>
      <c r="DD41" s="103" t="n"/>
      <c r="DE41" s="347">
        <f>IFERROR(Table4[[#This Row],[Nov_2026_Days_Forecast]]*Table4[[#This Row],[Cost Boolean]]*(VLOOKUP(Table4[[#This Row],[RATE CONCAT]],Tables!I:N,5,0)),0)</f>
        <v/>
      </c>
      <c r="DF41" s="347">
        <f>IFERROR(Table4[[#This Row],[Nov_2026_Days_Actual]]*Table4[[#This Row],[Cost Boolean]]*(VLOOKUP(Table4[[#This Row],[RATE CONCAT]],Tables!I:N,5,0)),0)</f>
        <v/>
      </c>
      <c r="DG41" s="347">
        <f>Table4[[#This Row],[Nov_2026_F]]-Table4[[#This Row],[Nov_2026_A]]</f>
        <v/>
      </c>
      <c r="DH41" s="103" t="n"/>
      <c r="DI41" s="347">
        <f>IFERROR(Table4[[#This Row],[Dec_2026_Days_Forecast]]*Table4[[#This Row],[Cost Boolean]]*(VLOOKUP(Table4[[#This Row],[RATE CONCAT]],Tables!I:N,5,0)),0)</f>
        <v/>
      </c>
      <c r="DJ41" s="347">
        <f>IFERROR(Table4[[#This Row],[Dec_2026_Days_Actual]]*Table4[[#This Row],[Cost Boolean]]*(VLOOKUP(Table4[[#This Row],[RATE CONCAT]],Tables!I:N,5,0)),0)</f>
        <v/>
      </c>
      <c r="DK41" s="347">
        <f>Table4[[#This Row],[Dec_2026_F]]-Table4[[#This Row],[Dec_2026_A]]</f>
        <v/>
      </c>
      <c r="DL41" s="103" t="n"/>
      <c r="DM41" s="346" t="n"/>
      <c r="DN41" s="347">
        <f>IFERROR(Table4[[#This Row],[Jan_2027_Days_Forecast]]*Table4[[#This Row],[Cost Boolean]]*(VLOOKUP(Table4[[#This Row],[RATE CONCAT]],Tables!I:N,6,0)),0)</f>
        <v/>
      </c>
      <c r="DO41" s="275" t="n"/>
      <c r="DP41" s="347">
        <f>Table4[[#This Row],[Jan_2027_F]]-Table4[[#This Row],[Jan_2027_A]]</f>
        <v/>
      </c>
      <c r="DQ41" s="347">
        <f>IFERROR(Table4[[#This Row],[Feb_2027_Days_Forecast]]*Table4[[#This Row],[Cost Boolean]]*(VLOOKUP(Table4[[#This Row],[RATE CONCAT]],Tables!I:N,6,0)),0)</f>
        <v/>
      </c>
      <c r="DR41" s="275" t="n"/>
      <c r="DS41" s="347">
        <f>Table4[[#This Row],[Feb_2027_F]]-Table4[[#This Row],[Feb_2027_A]]</f>
        <v/>
      </c>
      <c r="DT41" s="347">
        <f>IFERROR(Table4[[#This Row],[Mar_2027_Days_Forecast]]*Table4[[#This Row],[Cost Boolean]]*(VLOOKUP(Table4[[#This Row],[RATE CONCAT]],Tables!I:N,6,0)),0)</f>
        <v/>
      </c>
      <c r="DU41" s="275" t="n"/>
      <c r="DV41" s="347">
        <f>Table4[[#This Row],[Mar_2027_F]]-Table4[[#This Row],[Mar_2027_A]]</f>
        <v/>
      </c>
      <c r="DW41" s="347">
        <f>IFERROR(Table4[[#This Row],[Apr_2027_Days_Forecast]]*Table4[[#This Row],[Cost Boolean]]*(VLOOKUP(Table4[[#This Row],[RATE CONCAT]],Tables!I:N,6,0)),0)</f>
        <v/>
      </c>
      <c r="DX41" s="275" t="n"/>
      <c r="DY41" s="347">
        <f>Table4[[#This Row],[Apr_2027_F]]-Table4[[#This Row],[Apr_2027_A]]</f>
        <v/>
      </c>
      <c r="DZ41" s="347">
        <f>IFERROR(Table4[[#This Row],[May_2027_Days_Forecast]]*Table4[[#This Row],[Cost Boolean]]*(VLOOKUP(Table4[[#This Row],[RATE CONCAT]],Tables!I:N,6,0)),0)</f>
        <v/>
      </c>
      <c r="EA41" s="275" t="n"/>
      <c r="EB41" s="347">
        <f>Table4[[#This Row],[May_2027_F]]-Table4[[#This Row],[May_2027_A]]</f>
        <v/>
      </c>
      <c r="EC41" s="347">
        <f>IFERROR(Table4[[#This Row],[Jun_2027_Days_Forecast]]*Table4[[#This Row],[Cost Boolean]]*(VLOOKUP(Table4[[#This Row],[RATE CONCAT]],Tables!I:N,6,0)),0)</f>
        <v/>
      </c>
      <c r="ED41" s="275" t="n"/>
      <c r="EE41" s="347">
        <f>Table4[[#This Row],[Jun_2027_F]]-Table4[[#This Row],[Jun_2027_A]]</f>
        <v/>
      </c>
      <c r="EF41" s="347">
        <f>IFERROR(Table4[[#This Row],[Jul_2027_Days_Forecast]]*Table4[[#This Row],[Cost Boolean]]*(VLOOKUP(Table4[[#This Row],[RATE CONCAT]],Tables!I:N,6,0)),0)</f>
        <v/>
      </c>
      <c r="EG41" s="275" t="n"/>
      <c r="EH41" s="347">
        <f>Table4[[#This Row],[Jul_2027_F]]-Table4[[#This Row],[Jul_2027_A]]</f>
        <v/>
      </c>
      <c r="EI41" s="347">
        <f>IFERROR(Table4[[#This Row],[Aug_2027_Days_Forecast]]*Table4[[#This Row],[Cost Boolean]]*(VLOOKUP(Table4[[#This Row],[RATE CONCAT]],Tables!I:N,6,0)),0)</f>
        <v/>
      </c>
      <c r="EJ41" s="275" t="n"/>
      <c r="EK41" s="347">
        <f>Table4[[#This Row],[Aug_2027_F]]-Table4[[#This Row],[Aug_2027_A]]</f>
        <v/>
      </c>
      <c r="EL41" s="347">
        <f>IFERROR(Table4[[#This Row],[Sep_2027_Days_Forecast]]*Table4[[#This Row],[Cost Boolean]]*(VLOOKUP(Table4[[#This Row],[RATE CONCAT]],Tables!I:N,6,0)),0)</f>
        <v/>
      </c>
      <c r="EM41" s="275" t="n"/>
      <c r="EN41" s="347">
        <f>Table4[[#This Row],[Sep_2027_F]]-Table4[[#This Row],[Sep_2027_A]]</f>
        <v/>
      </c>
      <c r="EO41" s="347">
        <f>IFERROR(Table4[[#This Row],[Oct_2027_Days_Forecast]]*Table4[[#This Row],[Cost Boolean]]*(VLOOKUP(Table4[[#This Row],[RATE CONCAT]],Tables!I:N,6,0)),0)</f>
        <v/>
      </c>
      <c r="EP41" s="275" t="n"/>
      <c r="EQ41" s="347">
        <f>Table4[[#This Row],[Oct_2027_F]]-Table4[[#This Row],[Oct_2027_A]]</f>
        <v/>
      </c>
      <c r="ER41" s="347">
        <f>IFERROR(Table4[[#This Row],[Nov_2027_Days_Forecast]]*Table4[[#This Row],[Cost Boolean]]*(VLOOKUP(Table4[[#This Row],[RATE CONCAT]],Tables!I:N,6,0)),0)</f>
        <v/>
      </c>
      <c r="ES41" s="275" t="n"/>
      <c r="ET41" s="347">
        <f>Table4[[#This Row],[Nov_2027_F]]-Table4[[#This Row],[Nov_2027_A]]</f>
        <v/>
      </c>
      <c r="EU41" s="347">
        <f>IFERROR(Table4[[#This Row],[Dec_2027_Days_Forecast]]*Table4[[#This Row],[Cost Boolean]]*(VLOOKUP(Table4[[#This Row],[RATE CONCAT]],Tables!I:N,6,0)),0)</f>
        <v/>
      </c>
      <c r="EV41" s="275" t="n"/>
      <c r="EW41" s="347">
        <f>Table4[[#This Row],[Dec_2027_F]]-Table4[[#This Row],[Dec_2027_A]]</f>
        <v/>
      </c>
    </row>
    <row r="42" ht="1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350">
        <f>CONCATENATE(Table4[[#This Row],[JG]],Table4[[#This Row],[Country]],Table4[[#This Row],[Resource Provider]])</f>
        <v/>
      </c>
      <c r="Z42" s="350">
        <f>VLOOKUP(Table4[[#This Row],[RATE CONCAT]],Tables!I:N,5,0)</f>
        <v/>
      </c>
      <c r="AA42" s="53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353">
        <f>IFERROR(AVERAGE(Table4[[#This Row],[Jan_2026_Days_Forecast]:[Dec_2026_Days_Forecast]]),0)/19</f>
        <v/>
      </c>
      <c r="AO42" s="353">
        <f>IFERROR(AVERAGE(Table4[[#This Row],[Jan_2026_Days_Actual]:[Dec_2026_Days_Actual]]),0)/19</f>
        <v/>
      </c>
      <c r="AP42" s="84" t="n"/>
      <c r="AQ42" s="84" t="n"/>
      <c r="AR42" s="84" t="n"/>
      <c r="AS42" s="84" t="n"/>
      <c r="AT42" s="84" t="n"/>
      <c r="AU42" s="84" t="n"/>
      <c r="AV42" s="84" t="n"/>
      <c r="AW42" s="84" t="n"/>
      <c r="AX42" s="84" t="n"/>
      <c r="AY42" s="84" t="n"/>
      <c r="AZ42" s="84" t="n"/>
      <c r="BA42" s="84" t="n"/>
      <c r="BB42" s="353">
        <f>IFERROR(AVERAGE(Table4[[#This Row],[Jan_2027_Days_Forecast]:[Dec_2027_Days_Forecast]]),0)</f>
        <v/>
      </c>
      <c r="BC42" s="16" t="n"/>
      <c r="BD42" s="16" t="n"/>
      <c r="BE42" s="16" t="n"/>
      <c r="BF42" s="16" t="n"/>
      <c r="BG42" s="16" t="n"/>
      <c r="BH42" s="16" t="n"/>
      <c r="BI42" s="16" t="n"/>
      <c r="BJ42" s="16" t="n"/>
      <c r="BK42" s="16" t="n"/>
      <c r="BL42" s="16" t="n"/>
      <c r="BM42" s="16" t="n"/>
      <c r="BN42" s="16" t="n"/>
      <c r="BO42" s="55" t="n"/>
      <c r="BP42" s="346" t="n"/>
      <c r="BQ42" s="345">
        <f>Table4[[#This Row],[Jan_2026_Days_Forecast]]*Table4[[#This Row],[Cost Boolean]]*VLOOKUP(Table4[[#This Row],[RATE CONCAT]],Tables!I:N,5,0)</f>
        <v/>
      </c>
      <c r="BR42" s="345">
        <f>IFERROR(Table4[[#This Row],[Jan_2026_Days_Actual]]*Table4[[#This Row],[Cost Boolean]]*(VLOOKUP(Table4[[#This Row],[RATE CONCAT]],Tables!I:N,5,0)),0)</f>
        <v/>
      </c>
      <c r="BS42" s="345">
        <f>Table4[[#This Row],[Jan_2026_F]]-Table4[[#This Row],[Jan_2026_A]]</f>
        <v/>
      </c>
      <c r="BT42" s="107" t="n"/>
      <c r="BU42" s="345">
        <f>IFERROR(Table4[[#This Row],[Feb_2026_Days_Forecast]]*Table4[[#This Row],[Cost Boolean]]*(VLOOKUP(Table4[[#This Row],[RATE CONCAT]],Tables!I:N,5,0)),0)</f>
        <v/>
      </c>
      <c r="BV42" s="345">
        <f>IFERROR(Table4[[#This Row],[Feb_2026_Days_Actual]]*Table4[[#This Row],[Cost Boolean]]*(VLOOKUP(Table4[[#This Row],[RATE CONCAT]],Tables!I:N,5,0)),0)</f>
        <v/>
      </c>
      <c r="BW42" s="345">
        <f>Table4[[#This Row],[Feb_2026_F]]-Table4[[#This Row],[Feb_2026_A]]</f>
        <v/>
      </c>
      <c r="BX42" s="103" t="n"/>
      <c r="BY42" s="345">
        <f>IFERROR(Table4[[#This Row],[Mar_2026_Days_Forecast]]*Table4[[#This Row],[Cost Boolean]]*(VLOOKUP(Table4[[#This Row],[RATE CONCAT]],Tables!I:N,5,0)),0)</f>
        <v/>
      </c>
      <c r="BZ42" s="345">
        <f>IFERROR(Table4[[#This Row],[Mar_2026_Days_Actual]]*Table4[[#This Row],[Cost Boolean]]*(VLOOKUP(Table4[[#This Row],[RATE CONCAT]],Tables!I:N,5,0)),0)</f>
        <v/>
      </c>
      <c r="CA42" s="345">
        <f>Table4[[#This Row],[Mar_2026_F]]-Table4[[#This Row],[Mar_2026_A]]</f>
        <v/>
      </c>
      <c r="CB42" s="103" t="n"/>
      <c r="CC42" s="345">
        <f>IFERROR(Table4[[#This Row],[Apr_2026_Days_Forecast]]*Table4[[#This Row],[Cost Boolean]]*(VLOOKUP(Table4[[#This Row],[RATE CONCAT]],Tables!I:N,5,0)),0)</f>
        <v/>
      </c>
      <c r="CD42" s="345">
        <f>IFERROR(Table4[[#This Row],[Apr_2026_Days_Actual]]*Table4[[#This Row],[Cost Boolean]]*(VLOOKUP(Table4[[#This Row],[RATE CONCAT]],Tables!I:N,5,0)),0)</f>
        <v/>
      </c>
      <c r="CE42" s="345">
        <f>Table4[[#This Row],[Apr_2026_F]]-Table4[[#This Row],[Apr_2026_A]]</f>
        <v/>
      </c>
      <c r="CF42" s="103" t="n"/>
      <c r="CG42" s="345">
        <f>IFERROR(Table4[[#This Row],[May_2026_Days_Forecast]] *Table4[[#This Row],[Cost Boolean]]*(VLOOKUP(Table4[[#This Row],[RATE CONCAT]],Tables!I:N,5,0)),0)</f>
        <v/>
      </c>
      <c r="CH42" s="345">
        <f>IFERROR(Table4[[#This Row],[May_2026_Days_Actual]]*Table4[[#This Row],[Cost Boolean]]*(VLOOKUP(Table4[[#This Row],[RATE CONCAT]],Tables!I:N,5,0)),0)</f>
        <v/>
      </c>
      <c r="CI42" s="345">
        <f>Table4[[#This Row],[May_2026_F]]-Table4[[#This Row],[May_2026_A]]</f>
        <v/>
      </c>
      <c r="CJ42" s="103" t="n"/>
      <c r="CK42" s="345">
        <f>IFERROR(Table4[[#This Row],[Jun_2026_Days_Forecast]]*Table4[[#This Row],[Cost Boolean]]*(VLOOKUP(Table4[[#This Row],[RATE CONCAT]],Tables!I:N,5,0)),0)</f>
        <v/>
      </c>
      <c r="CL42" s="345">
        <f>IFERROR(Table4[[#This Row],[Jun_2026_Days_Actual]]*Table4[[#This Row],[Cost Boolean]]*(VLOOKUP(Table4[[#This Row],[RATE CONCAT]],Tables!I:N,5,0)),0)</f>
        <v/>
      </c>
      <c r="CM42" s="345">
        <f>Table4[[#This Row],[Jun_2026_F]]-Table4[[#This Row],[Jun_2026_A]]</f>
        <v/>
      </c>
      <c r="CN42" s="103" t="n"/>
      <c r="CO42" s="345">
        <f>IFERROR(Table4[[#This Row],[Jul_2026_Days_Forecast]]*Table4[[#This Row],[Cost Boolean]]*(VLOOKUP(Table4[[#This Row],[RATE CONCAT]],Tables!I:N,5,0)),0)</f>
        <v/>
      </c>
      <c r="CP42" s="345">
        <f>IFERROR(Table4[[#This Row],[Aug_2026_Days_Forecast]]*Table4[[#This Row],[Location]]*(VLOOKUP(Table4[[#This Row],[Rate]],Tables!J:O,5,0)),0)</f>
        <v/>
      </c>
      <c r="CQ42" s="345">
        <f>Table4[[#This Row],[Jul_2026_F]]-Table4[[#This Row],[Jul_2026_A]]</f>
        <v/>
      </c>
      <c r="CR42" s="103" t="n"/>
      <c r="CS42" s="345">
        <f>IFERROR(Table4[[#This Row],[Aug_2026_Days_Forecast]]*Table4[[#This Row],[Cost Boolean]]*(VLOOKUP(Table4[[#This Row],[RATE CONCAT]],Tables!I:N,5,0)),0)</f>
        <v/>
      </c>
      <c r="CT42" s="345">
        <f>IFERROR(Table4[[#This Row],[Aug_2026_Days_Actual]]*Table4[[#This Row],[Cost Boolean]]*(VLOOKUP(Table4[[#This Row],[RATE CONCAT]],Tables!I:N,5,0)),0)</f>
        <v/>
      </c>
      <c r="CU42" s="345">
        <f>Table4[[#This Row],[Aug_2026_F]]-Table4[[#This Row],[Aug_2026_A]]</f>
        <v/>
      </c>
      <c r="CV42" s="103" t="n"/>
      <c r="CW42" s="345">
        <f>IFERROR(Table4[[#This Row],[Sep_2026_Days_Forecast]]*Table4[[#This Row],[Cost Boolean]]*(VLOOKUP(Table4[[#This Row],[RATE CONCAT]],Tables!I:N,5,0)),0)</f>
        <v/>
      </c>
      <c r="CX42" s="345">
        <f>IFERROR(Table4[[#This Row],[Sep_2026_Days_Actual]]*Table4[[#This Row],[Cost Boolean]]*(VLOOKUP(Table4[[#This Row],[RATE CONCAT]],Tables!I:N,5,0)),0)</f>
        <v/>
      </c>
      <c r="CY42" s="345">
        <f>Table4[[#This Row],[Sep_2026_F]]-Table4[[#This Row],[Sep_2026_A]]</f>
        <v/>
      </c>
      <c r="CZ42" s="103" t="n"/>
      <c r="DA42" s="345">
        <f>IFERROR(Table4[[#This Row],[Oct_2026_Days_Forecast]]*Table4[[#This Row],[Cost Boolean]]*(VLOOKUP(Table4[[#This Row],[RATE CONCAT]],Tables!I:N,5,0)),0)</f>
        <v/>
      </c>
      <c r="DB42" s="345">
        <f>IFERROR(Table4[[#This Row],[Oct_2026_Days_Actual]]*Table4[[#This Row],[Cost Boolean]]*(VLOOKUP(Table4[[#This Row],[RATE CONCAT]],Tables!I:N,5,0)),0)</f>
        <v/>
      </c>
      <c r="DC42" s="345">
        <f>Table4[[#This Row],[Oct_2026_F]]-Table4[[#This Row],[Oct_2026_A]]</f>
        <v/>
      </c>
      <c r="DD42" s="103" t="n"/>
      <c r="DE42" s="345">
        <f>IFERROR(Table4[[#This Row],[Nov_2026_Days_Forecast]]*Table4[[#This Row],[Cost Boolean]]*(VLOOKUP(Table4[[#This Row],[RATE CONCAT]],Tables!I:N,5,0)),0)</f>
        <v/>
      </c>
      <c r="DF42" s="345">
        <f>IFERROR(Table4[[#This Row],[Nov_2026_Days_Actual]]*Table4[[#This Row],[Cost Boolean]]*(VLOOKUP(Table4[[#This Row],[RATE CONCAT]],Tables!I:N,5,0)),0)</f>
        <v/>
      </c>
      <c r="DG42" s="345">
        <f>Table4[[#This Row],[Nov_2026_F]]-Table4[[#This Row],[Nov_2026_A]]</f>
        <v/>
      </c>
      <c r="DH42" s="103" t="n"/>
      <c r="DI42" s="345">
        <f>IFERROR(Table4[[#This Row],[Dec_2026_Days_Forecast]]*Table4[[#This Row],[Cost Boolean]]*(VLOOKUP(Table4[[#This Row],[RATE CONCAT]],Tables!I:N,5,0)),0)</f>
        <v/>
      </c>
      <c r="DJ42" s="345">
        <f>IFERROR(Table4[[#This Row],[Dec_2026_Days_Actual]]*Table4[[#This Row],[Cost Boolean]]*(VLOOKUP(Table4[[#This Row],[RATE CONCAT]],Tables!I:N,5,0)),0)</f>
        <v/>
      </c>
      <c r="DK42" s="345">
        <f>Table4[[#This Row],[Dec_2026_F]]-Table4[[#This Row],[Dec_2026_A]]</f>
        <v/>
      </c>
      <c r="DL42" s="103" t="n"/>
      <c r="DM42" s="346" t="n"/>
      <c r="DN42" s="345">
        <f>IFERROR(Table4[[#This Row],[Jan_2027_Days_Forecast]]*Table4[[#This Row],[Cost Boolean]]*(VLOOKUP(Table4[[#This Row],[RATE CONCAT]],Tables!I:N,6,0)),0)</f>
        <v/>
      </c>
      <c r="DO42" s="275" t="n"/>
      <c r="DP42" s="345">
        <f>Table4[[#This Row],[Jan_2027_F]]-Table4[[#This Row],[Jan_2027_A]]</f>
        <v/>
      </c>
      <c r="DQ42" s="345">
        <f>IFERROR(Table4[[#This Row],[Feb_2027_Days_Forecast]]*Table4[[#This Row],[Cost Boolean]]*(VLOOKUP(Table4[[#This Row],[RATE CONCAT]],Tables!I:N,6,0)),0)</f>
        <v/>
      </c>
      <c r="DR42" s="275" t="n"/>
      <c r="DS42" s="345">
        <f>Table4[[#This Row],[Feb_2027_F]]-Table4[[#This Row],[Feb_2027_A]]</f>
        <v/>
      </c>
      <c r="DT42" s="345">
        <f>IFERROR(Table4[[#This Row],[Mar_2027_Days_Forecast]]*Table4[[#This Row],[Cost Boolean]]*(VLOOKUP(Table4[[#This Row],[RATE CONCAT]],Tables!I:N,6,0)),0)</f>
        <v/>
      </c>
      <c r="DU42" s="275" t="n"/>
      <c r="DV42" s="345">
        <f>Table4[[#This Row],[Mar_2027_F]]-Table4[[#This Row],[Mar_2027_A]]</f>
        <v/>
      </c>
      <c r="DW42" s="345">
        <f>IFERROR(Table4[[#This Row],[Apr_2027_Days_Forecast]]*Table4[[#This Row],[Cost Boolean]]*(VLOOKUP(Table4[[#This Row],[RATE CONCAT]],Tables!I:N,6,0)),0)</f>
        <v/>
      </c>
      <c r="DX42" s="275" t="n"/>
      <c r="DY42" s="345">
        <f>Table4[[#This Row],[Apr_2027_F]]-Table4[[#This Row],[Apr_2027_A]]</f>
        <v/>
      </c>
      <c r="DZ42" s="345">
        <f>IFERROR(Table4[[#This Row],[May_2027_Days_Forecast]]*Table4[[#This Row],[Cost Boolean]]*(VLOOKUP(Table4[[#This Row],[RATE CONCAT]],Tables!I:N,6,0)),0)</f>
        <v/>
      </c>
      <c r="EA42" s="275" t="n"/>
      <c r="EB42" s="345">
        <f>Table4[[#This Row],[May_2027_F]]-Table4[[#This Row],[May_2027_A]]</f>
        <v/>
      </c>
      <c r="EC42" s="345">
        <f>IFERROR(Table4[[#This Row],[Jun_2027_Days_Forecast]]*Table4[[#This Row],[Cost Boolean]]*(VLOOKUP(Table4[[#This Row],[RATE CONCAT]],Tables!I:N,6,0)),0)</f>
        <v/>
      </c>
      <c r="ED42" s="275" t="n"/>
      <c r="EE42" s="345">
        <f>Table4[[#This Row],[Jun_2027_F]]-Table4[[#This Row],[Jun_2027_A]]</f>
        <v/>
      </c>
      <c r="EF42" s="345">
        <f>IFERROR(Table4[[#This Row],[Jul_2027_Days_Forecast]]*Table4[[#This Row],[Cost Boolean]]*(VLOOKUP(Table4[[#This Row],[RATE CONCAT]],Tables!I:N,6,0)),0)</f>
        <v/>
      </c>
      <c r="EG42" s="275" t="n"/>
      <c r="EH42" s="345">
        <f>Table4[[#This Row],[Jul_2027_F]]-Table4[[#This Row],[Jul_2027_A]]</f>
        <v/>
      </c>
      <c r="EI42" s="345">
        <f>IFERROR(Table4[[#This Row],[Aug_2027_Days_Forecast]]*Table4[[#This Row],[Cost Boolean]]*(VLOOKUP(Table4[[#This Row],[RATE CONCAT]],Tables!I:N,6,0)),0)</f>
        <v/>
      </c>
      <c r="EJ42" s="275" t="n"/>
      <c r="EK42" s="345">
        <f>Table4[[#This Row],[Aug_2027_F]]-Table4[[#This Row],[Aug_2027_A]]</f>
        <v/>
      </c>
      <c r="EL42" s="345">
        <f>IFERROR(Table4[[#This Row],[Sep_2027_Days_Forecast]]*Table4[[#This Row],[Cost Boolean]]*(VLOOKUP(Table4[[#This Row],[RATE CONCAT]],Tables!I:N,6,0)),0)</f>
        <v/>
      </c>
      <c r="EM42" s="275" t="n"/>
      <c r="EN42" s="345">
        <f>Table4[[#This Row],[Sep_2027_F]]-Table4[[#This Row],[Sep_2027_A]]</f>
        <v/>
      </c>
      <c r="EO42" s="345">
        <f>IFERROR(Table4[[#This Row],[Oct_2027_Days_Forecast]]*Table4[[#This Row],[Cost Boolean]]*(VLOOKUP(Table4[[#This Row],[RATE CONCAT]],Tables!I:N,6,0)),0)</f>
        <v/>
      </c>
      <c r="EP42" s="275" t="n"/>
      <c r="EQ42" s="345">
        <f>Table4[[#This Row],[Oct_2027_F]]-Table4[[#This Row],[Oct_2027_A]]</f>
        <v/>
      </c>
      <c r="ER42" s="345">
        <f>IFERROR(Table4[[#This Row],[Nov_2027_Days_Forecast]]*Table4[[#This Row],[Cost Boolean]]*(VLOOKUP(Table4[[#This Row],[RATE CONCAT]],Tables!I:N,6,0)),0)</f>
        <v/>
      </c>
      <c r="ES42" s="275" t="n"/>
      <c r="ET42" s="345">
        <f>Table4[[#This Row],[Nov_2027_F]]-Table4[[#This Row],[Nov_2027_A]]</f>
        <v/>
      </c>
      <c r="EU42" s="345">
        <f>IFERROR(Table4[[#This Row],[Dec_2027_Days_Forecast]]*Table4[[#This Row],[Cost Boolean]]*(VLOOKUP(Table4[[#This Row],[RATE CONCAT]],Tables!I:N,6,0)),0)</f>
        <v/>
      </c>
      <c r="EV42" s="275" t="n"/>
      <c r="EW42" s="345">
        <f>Table4[[#This Row],[Dec_2027_F]]-Table4[[#This Row],[Dec_2027_A]]</f>
        <v/>
      </c>
    </row>
    <row r="43" ht="1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350">
        <f>CONCATENATE(Table4[[#This Row],[JG]],Table4[[#This Row],[Country]],Table4[[#This Row],[Resource Provider]])</f>
        <v/>
      </c>
      <c r="Z43" s="350">
        <f>VLOOKUP(Table4[[#This Row],[RATE CONCAT]],Tables!I:N,5,0)</f>
        <v/>
      </c>
      <c r="AA43" s="53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353">
        <f>IFERROR(AVERAGE(Table4[[#This Row],[Jan_2026_Days_Forecast]:[Dec_2026_Days_Forecast]]),0)/19</f>
        <v/>
      </c>
      <c r="AO43" s="353">
        <f>IFERROR(AVERAGE(Table4[[#This Row],[Jan_2026_Days_Actual]:[Dec_2026_Days_Actual]]),0)/19</f>
        <v/>
      </c>
      <c r="AP43" s="84" t="n"/>
      <c r="AQ43" s="84" t="n"/>
      <c r="AR43" s="84" t="n"/>
      <c r="AS43" s="84" t="n"/>
      <c r="AT43" s="84" t="n"/>
      <c r="AU43" s="84" t="n"/>
      <c r="AV43" s="84" t="n"/>
      <c r="AW43" s="84" t="n"/>
      <c r="AX43" s="84" t="n"/>
      <c r="AY43" s="84" t="n"/>
      <c r="AZ43" s="84" t="n"/>
      <c r="BA43" s="84" t="n"/>
      <c r="BB43" s="353">
        <f>IFERROR(AVERAGE(Table4[[#This Row],[Jan_2027_Days_Forecast]:[Dec_2027_Days_Forecast]]),0)</f>
        <v/>
      </c>
      <c r="BC43" s="16" t="n"/>
      <c r="BD43" s="16" t="n"/>
      <c r="BE43" s="16" t="n"/>
      <c r="BF43" s="16" t="n"/>
      <c r="BG43" s="16" t="n"/>
      <c r="BH43" s="16" t="n"/>
      <c r="BI43" s="16" t="n"/>
      <c r="BJ43" s="16" t="n"/>
      <c r="BK43" s="16" t="n"/>
      <c r="BL43" s="16" t="n"/>
      <c r="BM43" s="16" t="n"/>
      <c r="BN43" s="16" t="n"/>
      <c r="BO43" s="55" t="n"/>
      <c r="BP43" s="346" t="n"/>
      <c r="BQ43" s="347">
        <f>Table4[[#This Row],[Jan_2026_Days_Forecast]]*Table4[[#This Row],[Cost Boolean]]*VLOOKUP(Table4[[#This Row],[RATE CONCAT]],Tables!I:N,5,0)</f>
        <v/>
      </c>
      <c r="BR43" s="347">
        <f>IFERROR(Table4[[#This Row],[Jan_2026_Days_Actual]]*Table4[[#This Row],[Cost Boolean]]*(VLOOKUP(Table4[[#This Row],[RATE CONCAT]],Tables!I:N,5,0)),0)</f>
        <v/>
      </c>
      <c r="BS43" s="347">
        <f>Table4[[#This Row],[Jan_2026_F]]-Table4[[#This Row],[Jan_2026_A]]</f>
        <v/>
      </c>
      <c r="BT43" s="107" t="n"/>
      <c r="BU43" s="347">
        <f>IFERROR(Table4[[#This Row],[Feb_2026_Days_Forecast]]*Table4[[#This Row],[Cost Boolean]]*(VLOOKUP(Table4[[#This Row],[RATE CONCAT]],Tables!I:N,5,0)),0)</f>
        <v/>
      </c>
      <c r="BV43" s="347">
        <f>IFERROR(Table4[[#This Row],[Feb_2026_Days_Actual]]*Table4[[#This Row],[Cost Boolean]]*(VLOOKUP(Table4[[#This Row],[RATE CONCAT]],Tables!I:N,5,0)),0)</f>
        <v/>
      </c>
      <c r="BW43" s="347">
        <f>Table4[[#This Row],[Feb_2026_F]]-Table4[[#This Row],[Feb_2026_A]]</f>
        <v/>
      </c>
      <c r="BX43" s="103" t="n"/>
      <c r="BY43" s="347">
        <f>IFERROR(Table4[[#This Row],[Mar_2026_Days_Forecast]]*Table4[[#This Row],[Cost Boolean]]*(VLOOKUP(Table4[[#This Row],[RATE CONCAT]],Tables!I:N,5,0)),0)</f>
        <v/>
      </c>
      <c r="BZ43" s="347">
        <f>IFERROR(Table4[[#This Row],[Mar_2026_Days_Actual]]*Table4[[#This Row],[Cost Boolean]]*(VLOOKUP(Table4[[#This Row],[RATE CONCAT]],Tables!I:N,5,0)),0)</f>
        <v/>
      </c>
      <c r="CA43" s="347">
        <f>Table4[[#This Row],[Mar_2026_F]]-Table4[[#This Row],[Mar_2026_A]]</f>
        <v/>
      </c>
      <c r="CB43" s="103" t="n"/>
      <c r="CC43" s="347">
        <f>IFERROR(Table4[[#This Row],[Apr_2026_Days_Forecast]]*Table4[[#This Row],[Cost Boolean]]*(VLOOKUP(Table4[[#This Row],[RATE CONCAT]],Tables!I:N,5,0)),0)</f>
        <v/>
      </c>
      <c r="CD43" s="347">
        <f>IFERROR(Table4[[#This Row],[Apr_2026_Days_Actual]]*Table4[[#This Row],[Cost Boolean]]*(VLOOKUP(Table4[[#This Row],[RATE CONCAT]],Tables!I:N,5,0)),0)</f>
        <v/>
      </c>
      <c r="CE43" s="347">
        <f>Table4[[#This Row],[Apr_2026_F]]-Table4[[#This Row],[Apr_2026_A]]</f>
        <v/>
      </c>
      <c r="CF43" s="103" t="n"/>
      <c r="CG43" s="347">
        <f>IFERROR(Table4[[#This Row],[May_2026_Days_Forecast]] *Table4[[#This Row],[Cost Boolean]]*(VLOOKUP(Table4[[#This Row],[RATE CONCAT]],Tables!I:N,5,0)),0)</f>
        <v/>
      </c>
      <c r="CH43" s="347">
        <f>IFERROR(Table4[[#This Row],[May_2026_Days_Actual]]*Table4[[#This Row],[Cost Boolean]]*(VLOOKUP(Table4[[#This Row],[RATE CONCAT]],Tables!I:N,5,0)),0)</f>
        <v/>
      </c>
      <c r="CI43" s="347">
        <f>Table4[[#This Row],[May_2026_F]]-Table4[[#This Row],[May_2026_A]]</f>
        <v/>
      </c>
      <c r="CJ43" s="103" t="n"/>
      <c r="CK43" s="347">
        <f>IFERROR(Table4[[#This Row],[Jun_2026_Days_Forecast]]*Table4[[#This Row],[Cost Boolean]]*(VLOOKUP(Table4[[#This Row],[RATE CONCAT]],Tables!I:N,5,0)),0)</f>
        <v/>
      </c>
      <c r="CL43" s="347">
        <f>IFERROR(Table4[[#This Row],[Jun_2026_Days_Actual]]*Table4[[#This Row],[Cost Boolean]]*(VLOOKUP(Table4[[#This Row],[RATE CONCAT]],Tables!I:N,5,0)),0)</f>
        <v/>
      </c>
      <c r="CM43" s="347">
        <f>Table4[[#This Row],[Jun_2026_F]]-Table4[[#This Row],[Jun_2026_A]]</f>
        <v/>
      </c>
      <c r="CN43" s="103" t="n"/>
      <c r="CO43" s="347">
        <f>IFERROR(Table4[[#This Row],[Jul_2026_Days_Forecast]]*Table4[[#This Row],[Cost Boolean]]*(VLOOKUP(Table4[[#This Row],[RATE CONCAT]],Tables!I:N,5,0)),0)</f>
        <v/>
      </c>
      <c r="CP43" s="347">
        <f>IFERROR(Table4[[#This Row],[Aug_2026_Days_Forecast]]*Table4[[#This Row],[Location]]*(VLOOKUP(Table4[[#This Row],[Rate]],Tables!J:O,5,0)),0)</f>
        <v/>
      </c>
      <c r="CQ43" s="347">
        <f>Table4[[#This Row],[Jul_2026_F]]-Table4[[#This Row],[Jul_2026_A]]</f>
        <v/>
      </c>
      <c r="CR43" s="103" t="n"/>
      <c r="CS43" s="347">
        <f>IFERROR(Table4[[#This Row],[Aug_2026_Days_Forecast]]*Table4[[#This Row],[Cost Boolean]]*(VLOOKUP(Table4[[#This Row],[RATE CONCAT]],Tables!I:N,5,0)),0)</f>
        <v/>
      </c>
      <c r="CT43" s="347">
        <f>IFERROR(Table4[[#This Row],[Aug_2026_Days_Actual]]*Table4[[#This Row],[Cost Boolean]]*(VLOOKUP(Table4[[#This Row],[RATE CONCAT]],Tables!I:N,5,0)),0)</f>
        <v/>
      </c>
      <c r="CU43" s="347">
        <f>Table4[[#This Row],[Aug_2026_F]]-Table4[[#This Row],[Aug_2026_A]]</f>
        <v/>
      </c>
      <c r="CV43" s="103" t="n"/>
      <c r="CW43" s="347">
        <f>IFERROR(Table4[[#This Row],[Sep_2026_Days_Forecast]]*Table4[[#This Row],[Cost Boolean]]*(VLOOKUP(Table4[[#This Row],[RATE CONCAT]],Tables!I:N,5,0)),0)</f>
        <v/>
      </c>
      <c r="CX43" s="347">
        <f>IFERROR(Table4[[#This Row],[Sep_2026_Days_Actual]]*Table4[[#This Row],[Cost Boolean]]*(VLOOKUP(Table4[[#This Row],[RATE CONCAT]],Tables!I:N,5,0)),0)</f>
        <v/>
      </c>
      <c r="CY43" s="347">
        <f>Table4[[#This Row],[Sep_2026_F]]-Table4[[#This Row],[Sep_2026_A]]</f>
        <v/>
      </c>
      <c r="CZ43" s="103" t="n"/>
      <c r="DA43" s="347">
        <f>IFERROR(Table4[[#This Row],[Oct_2026_Days_Forecast]]*Table4[[#This Row],[Cost Boolean]]*(VLOOKUP(Table4[[#This Row],[RATE CONCAT]],Tables!I:N,5,0)),0)</f>
        <v/>
      </c>
      <c r="DB43" s="347">
        <f>IFERROR(Table4[[#This Row],[Oct_2026_Days_Actual]]*Table4[[#This Row],[Cost Boolean]]*(VLOOKUP(Table4[[#This Row],[RATE CONCAT]],Tables!I:N,5,0)),0)</f>
        <v/>
      </c>
      <c r="DC43" s="347">
        <f>Table4[[#This Row],[Oct_2026_F]]-Table4[[#This Row],[Oct_2026_A]]</f>
        <v/>
      </c>
      <c r="DD43" s="103" t="n"/>
      <c r="DE43" s="347">
        <f>IFERROR(Table4[[#This Row],[Nov_2026_Days_Forecast]]*Table4[[#This Row],[Cost Boolean]]*(VLOOKUP(Table4[[#This Row],[RATE CONCAT]],Tables!I:N,5,0)),0)</f>
        <v/>
      </c>
      <c r="DF43" s="347">
        <f>IFERROR(Table4[[#This Row],[Nov_2026_Days_Actual]]*Table4[[#This Row],[Cost Boolean]]*(VLOOKUP(Table4[[#This Row],[RATE CONCAT]],Tables!I:N,5,0)),0)</f>
        <v/>
      </c>
      <c r="DG43" s="347">
        <f>Table4[[#This Row],[Nov_2026_F]]-Table4[[#This Row],[Nov_2026_A]]</f>
        <v/>
      </c>
      <c r="DH43" s="103" t="n"/>
      <c r="DI43" s="347">
        <f>IFERROR(Table4[[#This Row],[Dec_2026_Days_Forecast]]*Table4[[#This Row],[Cost Boolean]]*(VLOOKUP(Table4[[#This Row],[RATE CONCAT]],Tables!I:N,5,0)),0)</f>
        <v/>
      </c>
      <c r="DJ43" s="347">
        <f>IFERROR(Table4[[#This Row],[Dec_2026_Days_Actual]]*Table4[[#This Row],[Cost Boolean]]*(VLOOKUP(Table4[[#This Row],[RATE CONCAT]],Tables!I:N,5,0)),0)</f>
        <v/>
      </c>
      <c r="DK43" s="347">
        <f>Table4[[#This Row],[Dec_2026_F]]-Table4[[#This Row],[Dec_2026_A]]</f>
        <v/>
      </c>
      <c r="DL43" s="103" t="n"/>
      <c r="DM43" s="346" t="n"/>
      <c r="DN43" s="347">
        <f>IFERROR(Table4[[#This Row],[Jan_2027_Days_Forecast]]*Table4[[#This Row],[Cost Boolean]]*(VLOOKUP(Table4[[#This Row],[RATE CONCAT]],Tables!I:N,6,0)),0)</f>
        <v/>
      </c>
      <c r="DO43" s="275" t="n"/>
      <c r="DP43" s="347">
        <f>Table4[[#This Row],[Jan_2027_F]]-Table4[[#This Row],[Jan_2027_A]]</f>
        <v/>
      </c>
      <c r="DQ43" s="347">
        <f>IFERROR(Table4[[#This Row],[Feb_2027_Days_Forecast]]*Table4[[#This Row],[Cost Boolean]]*(VLOOKUP(Table4[[#This Row],[RATE CONCAT]],Tables!I:N,6,0)),0)</f>
        <v/>
      </c>
      <c r="DR43" s="275" t="n"/>
      <c r="DS43" s="347">
        <f>Table4[[#This Row],[Feb_2027_F]]-Table4[[#This Row],[Feb_2027_A]]</f>
        <v/>
      </c>
      <c r="DT43" s="347">
        <f>IFERROR(Table4[[#This Row],[Mar_2027_Days_Forecast]]*Table4[[#This Row],[Cost Boolean]]*(VLOOKUP(Table4[[#This Row],[RATE CONCAT]],Tables!I:N,6,0)),0)</f>
        <v/>
      </c>
      <c r="DU43" s="275" t="n"/>
      <c r="DV43" s="347">
        <f>Table4[[#This Row],[Mar_2027_F]]-Table4[[#This Row],[Mar_2027_A]]</f>
        <v/>
      </c>
      <c r="DW43" s="347">
        <f>IFERROR(Table4[[#This Row],[Apr_2027_Days_Forecast]]*Table4[[#This Row],[Cost Boolean]]*(VLOOKUP(Table4[[#This Row],[RATE CONCAT]],Tables!I:N,6,0)),0)</f>
        <v/>
      </c>
      <c r="DX43" s="275" t="n"/>
      <c r="DY43" s="347">
        <f>Table4[[#This Row],[Apr_2027_F]]-Table4[[#This Row],[Apr_2027_A]]</f>
        <v/>
      </c>
      <c r="DZ43" s="347">
        <f>IFERROR(Table4[[#This Row],[May_2027_Days_Forecast]]*Table4[[#This Row],[Cost Boolean]]*(VLOOKUP(Table4[[#This Row],[RATE CONCAT]],Tables!I:N,6,0)),0)</f>
        <v/>
      </c>
      <c r="EA43" s="275" t="n"/>
      <c r="EB43" s="347">
        <f>Table4[[#This Row],[May_2027_F]]-Table4[[#This Row],[May_2027_A]]</f>
        <v/>
      </c>
      <c r="EC43" s="347">
        <f>IFERROR(Table4[[#This Row],[Jun_2027_Days_Forecast]]*Table4[[#This Row],[Cost Boolean]]*(VLOOKUP(Table4[[#This Row],[RATE CONCAT]],Tables!I:N,6,0)),0)</f>
        <v/>
      </c>
      <c r="ED43" s="275" t="n"/>
      <c r="EE43" s="347">
        <f>Table4[[#This Row],[Jun_2027_F]]-Table4[[#This Row],[Jun_2027_A]]</f>
        <v/>
      </c>
      <c r="EF43" s="347">
        <f>IFERROR(Table4[[#This Row],[Jul_2027_Days_Forecast]]*Table4[[#This Row],[Cost Boolean]]*(VLOOKUP(Table4[[#This Row],[RATE CONCAT]],Tables!I:N,6,0)),0)</f>
        <v/>
      </c>
      <c r="EG43" s="275" t="n"/>
      <c r="EH43" s="347">
        <f>Table4[[#This Row],[Jul_2027_F]]-Table4[[#This Row],[Jul_2027_A]]</f>
        <v/>
      </c>
      <c r="EI43" s="347">
        <f>IFERROR(Table4[[#This Row],[Aug_2027_Days_Forecast]]*Table4[[#This Row],[Cost Boolean]]*(VLOOKUP(Table4[[#This Row],[RATE CONCAT]],Tables!I:N,6,0)),0)</f>
        <v/>
      </c>
      <c r="EJ43" s="275" t="n"/>
      <c r="EK43" s="347">
        <f>Table4[[#This Row],[Aug_2027_F]]-Table4[[#This Row],[Aug_2027_A]]</f>
        <v/>
      </c>
      <c r="EL43" s="347">
        <f>IFERROR(Table4[[#This Row],[Sep_2027_Days_Forecast]]*Table4[[#This Row],[Cost Boolean]]*(VLOOKUP(Table4[[#This Row],[RATE CONCAT]],Tables!I:N,6,0)),0)</f>
        <v/>
      </c>
      <c r="EM43" s="275" t="n"/>
      <c r="EN43" s="347">
        <f>Table4[[#This Row],[Sep_2027_F]]-Table4[[#This Row],[Sep_2027_A]]</f>
        <v/>
      </c>
      <c r="EO43" s="347">
        <f>IFERROR(Table4[[#This Row],[Oct_2027_Days_Forecast]]*Table4[[#This Row],[Cost Boolean]]*(VLOOKUP(Table4[[#This Row],[RATE CONCAT]],Tables!I:N,6,0)),0)</f>
        <v/>
      </c>
      <c r="EP43" s="275" t="n"/>
      <c r="EQ43" s="347">
        <f>Table4[[#This Row],[Oct_2027_F]]-Table4[[#This Row],[Oct_2027_A]]</f>
        <v/>
      </c>
      <c r="ER43" s="347">
        <f>IFERROR(Table4[[#This Row],[Nov_2027_Days_Forecast]]*Table4[[#This Row],[Cost Boolean]]*(VLOOKUP(Table4[[#This Row],[RATE CONCAT]],Tables!I:N,6,0)),0)</f>
        <v/>
      </c>
      <c r="ES43" s="275" t="n"/>
      <c r="ET43" s="347">
        <f>Table4[[#This Row],[Nov_2027_F]]-Table4[[#This Row],[Nov_2027_A]]</f>
        <v/>
      </c>
      <c r="EU43" s="347">
        <f>IFERROR(Table4[[#This Row],[Dec_2027_Days_Forecast]]*Table4[[#This Row],[Cost Boolean]]*(VLOOKUP(Table4[[#This Row],[RATE CONCAT]],Tables!I:N,6,0)),0)</f>
        <v/>
      </c>
      <c r="EV43" s="275" t="n"/>
      <c r="EW43" s="347">
        <f>Table4[[#This Row],[Dec_2027_F]]-Table4[[#This Row],[Dec_2027_A]]</f>
        <v/>
      </c>
    </row>
    <row r="44" ht="1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350">
        <f>CONCATENATE(Table4[[#This Row],[JG]],Table4[[#This Row],[Country]],Table4[[#This Row],[Resource Provider]])</f>
        <v/>
      </c>
      <c r="Z44" s="350">
        <f>VLOOKUP(Table4[[#This Row],[RATE CONCAT]],Tables!I:N,5,0)</f>
        <v/>
      </c>
      <c r="AA44" s="53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353">
        <f>IFERROR(AVERAGE(Table4[[#This Row],[Jan_2026_Days_Forecast]:[Dec_2026_Days_Forecast]]),0)/19</f>
        <v/>
      </c>
      <c r="AO44" s="353">
        <f>IFERROR(AVERAGE(Table4[[#This Row],[Jan_2026_Days_Actual]:[Dec_2026_Days_Actual]]),0)/19</f>
        <v/>
      </c>
      <c r="AP44" s="84" t="n"/>
      <c r="AQ44" s="84" t="n"/>
      <c r="AR44" s="84" t="n"/>
      <c r="AS44" s="84" t="n"/>
      <c r="AT44" s="84" t="n"/>
      <c r="AU44" s="84" t="n"/>
      <c r="AV44" s="84" t="n"/>
      <c r="AW44" s="84" t="n"/>
      <c r="AX44" s="84" t="n"/>
      <c r="AY44" s="84" t="n"/>
      <c r="AZ44" s="84" t="n"/>
      <c r="BA44" s="84" t="n"/>
      <c r="BB44" s="353">
        <f>IFERROR(AVERAGE(Table4[[#This Row],[Jan_2027_Days_Forecast]:[Dec_2027_Days_Forecast]]),0)</f>
        <v/>
      </c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55" t="n"/>
      <c r="BP44" s="346" t="n"/>
      <c r="BQ44" s="345">
        <f>Table4[[#This Row],[Jan_2026_Days_Forecast]]*Table4[[#This Row],[Cost Boolean]]*VLOOKUP(Table4[[#This Row],[RATE CONCAT]],Tables!I:N,5,0)</f>
        <v/>
      </c>
      <c r="BR44" s="345">
        <f>IFERROR(Table4[[#This Row],[Jan_2026_Days_Actual]]*Table4[[#This Row],[Cost Boolean]]*(VLOOKUP(Table4[[#This Row],[RATE CONCAT]],Tables!I:N,5,0)),0)</f>
        <v/>
      </c>
      <c r="BS44" s="345">
        <f>Table4[[#This Row],[Jan_2026_F]]-Table4[[#This Row],[Jan_2026_A]]</f>
        <v/>
      </c>
      <c r="BT44" s="107" t="n"/>
      <c r="BU44" s="345">
        <f>IFERROR(Table4[[#This Row],[Feb_2026_Days_Forecast]]*Table4[[#This Row],[Cost Boolean]]*(VLOOKUP(Table4[[#This Row],[RATE CONCAT]],Tables!I:N,5,0)),0)</f>
        <v/>
      </c>
      <c r="BV44" s="345">
        <f>IFERROR(Table4[[#This Row],[Feb_2026_Days_Actual]]*Table4[[#This Row],[Cost Boolean]]*(VLOOKUP(Table4[[#This Row],[RATE CONCAT]],Tables!I:N,5,0)),0)</f>
        <v/>
      </c>
      <c r="BW44" s="345">
        <f>Table4[[#This Row],[Feb_2026_F]]-Table4[[#This Row],[Feb_2026_A]]</f>
        <v/>
      </c>
      <c r="BX44" s="103" t="n"/>
      <c r="BY44" s="345">
        <f>IFERROR(Table4[[#This Row],[Mar_2026_Days_Forecast]]*Table4[[#This Row],[Cost Boolean]]*(VLOOKUP(Table4[[#This Row],[RATE CONCAT]],Tables!I:N,5,0)),0)</f>
        <v/>
      </c>
      <c r="BZ44" s="345">
        <f>IFERROR(Table4[[#This Row],[Mar_2026_Days_Actual]]*Table4[[#This Row],[Cost Boolean]]*(VLOOKUP(Table4[[#This Row],[RATE CONCAT]],Tables!I:N,5,0)),0)</f>
        <v/>
      </c>
      <c r="CA44" s="345">
        <f>Table4[[#This Row],[Mar_2026_F]]-Table4[[#This Row],[Mar_2026_A]]</f>
        <v/>
      </c>
      <c r="CB44" s="103" t="n"/>
      <c r="CC44" s="345">
        <f>IFERROR(Table4[[#This Row],[Apr_2026_Days_Forecast]]*Table4[[#This Row],[Cost Boolean]]*(VLOOKUP(Table4[[#This Row],[RATE CONCAT]],Tables!I:N,5,0)),0)</f>
        <v/>
      </c>
      <c r="CD44" s="345">
        <f>IFERROR(Table4[[#This Row],[Apr_2026_Days_Actual]]*Table4[[#This Row],[Cost Boolean]]*(VLOOKUP(Table4[[#This Row],[RATE CONCAT]],Tables!I:N,5,0)),0)</f>
        <v/>
      </c>
      <c r="CE44" s="345">
        <f>Table4[[#This Row],[Apr_2026_F]]-Table4[[#This Row],[Apr_2026_A]]</f>
        <v/>
      </c>
      <c r="CF44" s="103" t="n"/>
      <c r="CG44" s="345">
        <f>IFERROR(Table4[[#This Row],[May_2026_Days_Forecast]] *Table4[[#This Row],[Cost Boolean]]*(VLOOKUP(Table4[[#This Row],[RATE CONCAT]],Tables!I:N,5,0)),0)</f>
        <v/>
      </c>
      <c r="CH44" s="345">
        <f>IFERROR(Table4[[#This Row],[May_2026_Days_Actual]]*Table4[[#This Row],[Cost Boolean]]*(VLOOKUP(Table4[[#This Row],[RATE CONCAT]],Tables!I:N,5,0)),0)</f>
        <v/>
      </c>
      <c r="CI44" s="345">
        <f>Table4[[#This Row],[May_2026_F]]-Table4[[#This Row],[May_2026_A]]</f>
        <v/>
      </c>
      <c r="CJ44" s="103" t="n"/>
      <c r="CK44" s="345">
        <f>IFERROR(Table4[[#This Row],[Jun_2026_Days_Forecast]]*Table4[[#This Row],[Cost Boolean]]*(VLOOKUP(Table4[[#This Row],[RATE CONCAT]],Tables!I:N,5,0)),0)</f>
        <v/>
      </c>
      <c r="CL44" s="345">
        <f>IFERROR(Table4[[#This Row],[Jun_2026_Days_Actual]]*Table4[[#This Row],[Cost Boolean]]*(VLOOKUP(Table4[[#This Row],[RATE CONCAT]],Tables!I:N,5,0)),0)</f>
        <v/>
      </c>
      <c r="CM44" s="345">
        <f>Table4[[#This Row],[Jun_2026_F]]-Table4[[#This Row],[Jun_2026_A]]</f>
        <v/>
      </c>
      <c r="CN44" s="103" t="n"/>
      <c r="CO44" s="345">
        <f>IFERROR(Table4[[#This Row],[Jul_2026_Days_Forecast]]*Table4[[#This Row],[Cost Boolean]]*(VLOOKUP(Table4[[#This Row],[RATE CONCAT]],Tables!I:N,5,0)),0)</f>
        <v/>
      </c>
      <c r="CP44" s="345">
        <f>IFERROR(Table4[[#This Row],[Aug_2026_Days_Forecast]]*Table4[[#This Row],[Location]]*(VLOOKUP(Table4[[#This Row],[Rate]],Tables!J:O,5,0)),0)</f>
        <v/>
      </c>
      <c r="CQ44" s="345">
        <f>Table4[[#This Row],[Jul_2026_F]]-Table4[[#This Row],[Jul_2026_A]]</f>
        <v/>
      </c>
      <c r="CR44" s="103" t="n"/>
      <c r="CS44" s="345">
        <f>IFERROR(Table4[[#This Row],[Aug_2026_Days_Forecast]]*Table4[[#This Row],[Cost Boolean]]*(VLOOKUP(Table4[[#This Row],[RATE CONCAT]],Tables!I:N,5,0)),0)</f>
        <v/>
      </c>
      <c r="CT44" s="345">
        <f>IFERROR(Table4[[#This Row],[Aug_2026_Days_Actual]]*Table4[[#This Row],[Cost Boolean]]*(VLOOKUP(Table4[[#This Row],[RATE CONCAT]],Tables!I:N,5,0)),0)</f>
        <v/>
      </c>
      <c r="CU44" s="345">
        <f>Table4[[#This Row],[Aug_2026_F]]-Table4[[#This Row],[Aug_2026_A]]</f>
        <v/>
      </c>
      <c r="CV44" s="103" t="n"/>
      <c r="CW44" s="345">
        <f>IFERROR(Table4[[#This Row],[Sep_2026_Days_Forecast]]*Table4[[#This Row],[Cost Boolean]]*(VLOOKUP(Table4[[#This Row],[RATE CONCAT]],Tables!I:N,5,0)),0)</f>
        <v/>
      </c>
      <c r="CX44" s="345">
        <f>IFERROR(Table4[[#This Row],[Sep_2026_Days_Actual]]*Table4[[#This Row],[Cost Boolean]]*(VLOOKUP(Table4[[#This Row],[RATE CONCAT]],Tables!I:N,5,0)),0)</f>
        <v/>
      </c>
      <c r="CY44" s="345">
        <f>Table4[[#This Row],[Sep_2026_F]]-Table4[[#This Row],[Sep_2026_A]]</f>
        <v/>
      </c>
      <c r="CZ44" s="103" t="n"/>
      <c r="DA44" s="345">
        <f>IFERROR(Table4[[#This Row],[Oct_2026_Days_Forecast]]*Table4[[#This Row],[Cost Boolean]]*(VLOOKUP(Table4[[#This Row],[RATE CONCAT]],Tables!I:N,5,0)),0)</f>
        <v/>
      </c>
      <c r="DB44" s="345">
        <f>IFERROR(Table4[[#This Row],[Oct_2026_Days_Actual]]*Table4[[#This Row],[Cost Boolean]]*(VLOOKUP(Table4[[#This Row],[RATE CONCAT]],Tables!I:N,5,0)),0)</f>
        <v/>
      </c>
      <c r="DC44" s="345">
        <f>Table4[[#This Row],[Oct_2026_F]]-Table4[[#This Row],[Oct_2026_A]]</f>
        <v/>
      </c>
      <c r="DD44" s="103" t="n"/>
      <c r="DE44" s="345">
        <f>IFERROR(Table4[[#This Row],[Nov_2026_Days_Forecast]]*Table4[[#This Row],[Cost Boolean]]*(VLOOKUP(Table4[[#This Row],[RATE CONCAT]],Tables!I:N,5,0)),0)</f>
        <v/>
      </c>
      <c r="DF44" s="345">
        <f>IFERROR(Table4[[#This Row],[Nov_2026_Days_Actual]]*Table4[[#This Row],[Cost Boolean]]*(VLOOKUP(Table4[[#This Row],[RATE CONCAT]],Tables!I:N,5,0)),0)</f>
        <v/>
      </c>
      <c r="DG44" s="345">
        <f>Table4[[#This Row],[Nov_2026_F]]-Table4[[#This Row],[Nov_2026_A]]</f>
        <v/>
      </c>
      <c r="DH44" s="103" t="n"/>
      <c r="DI44" s="345">
        <f>IFERROR(Table4[[#This Row],[Dec_2026_Days_Forecast]]*Table4[[#This Row],[Cost Boolean]]*(VLOOKUP(Table4[[#This Row],[RATE CONCAT]],Tables!I:N,5,0)),0)</f>
        <v/>
      </c>
      <c r="DJ44" s="345">
        <f>IFERROR(Table4[[#This Row],[Dec_2026_Days_Actual]]*Table4[[#This Row],[Cost Boolean]]*(VLOOKUP(Table4[[#This Row],[RATE CONCAT]],Tables!I:N,5,0)),0)</f>
        <v/>
      </c>
      <c r="DK44" s="345">
        <f>Table4[[#This Row],[Dec_2026_F]]-Table4[[#This Row],[Dec_2026_A]]</f>
        <v/>
      </c>
      <c r="DL44" s="103" t="n"/>
      <c r="DM44" s="346" t="n"/>
      <c r="DN44" s="345">
        <f>IFERROR(Table4[[#This Row],[Jan_2027_Days_Forecast]]*Table4[[#This Row],[Cost Boolean]]*(VLOOKUP(Table4[[#This Row],[RATE CONCAT]],Tables!I:N,6,0)),0)</f>
        <v/>
      </c>
      <c r="DO44" s="275" t="n"/>
      <c r="DP44" s="345">
        <f>Table4[[#This Row],[Jan_2027_F]]-Table4[[#This Row],[Jan_2027_A]]</f>
        <v/>
      </c>
      <c r="DQ44" s="345">
        <f>IFERROR(Table4[[#This Row],[Feb_2027_Days_Forecast]]*Table4[[#This Row],[Cost Boolean]]*(VLOOKUP(Table4[[#This Row],[RATE CONCAT]],Tables!I:N,6,0)),0)</f>
        <v/>
      </c>
      <c r="DR44" s="275" t="n"/>
      <c r="DS44" s="345">
        <f>Table4[[#This Row],[Feb_2027_F]]-Table4[[#This Row],[Feb_2027_A]]</f>
        <v/>
      </c>
      <c r="DT44" s="345">
        <f>IFERROR(Table4[[#This Row],[Mar_2027_Days_Forecast]]*Table4[[#This Row],[Cost Boolean]]*(VLOOKUP(Table4[[#This Row],[RATE CONCAT]],Tables!I:N,6,0)),0)</f>
        <v/>
      </c>
      <c r="DU44" s="275" t="n"/>
      <c r="DV44" s="345">
        <f>Table4[[#This Row],[Mar_2027_F]]-Table4[[#This Row],[Mar_2027_A]]</f>
        <v/>
      </c>
      <c r="DW44" s="345">
        <f>IFERROR(Table4[[#This Row],[Apr_2027_Days_Forecast]]*Table4[[#This Row],[Cost Boolean]]*(VLOOKUP(Table4[[#This Row],[RATE CONCAT]],Tables!I:N,6,0)),0)</f>
        <v/>
      </c>
      <c r="DX44" s="275" t="n"/>
      <c r="DY44" s="345">
        <f>Table4[[#This Row],[Apr_2027_F]]-Table4[[#This Row],[Apr_2027_A]]</f>
        <v/>
      </c>
      <c r="DZ44" s="345">
        <f>IFERROR(Table4[[#This Row],[May_2027_Days_Forecast]]*Table4[[#This Row],[Cost Boolean]]*(VLOOKUP(Table4[[#This Row],[RATE CONCAT]],Tables!I:N,6,0)),0)</f>
        <v/>
      </c>
      <c r="EA44" s="275" t="n"/>
      <c r="EB44" s="345">
        <f>Table4[[#This Row],[May_2027_F]]-Table4[[#This Row],[May_2027_A]]</f>
        <v/>
      </c>
      <c r="EC44" s="345">
        <f>IFERROR(Table4[[#This Row],[Jun_2027_Days_Forecast]]*Table4[[#This Row],[Cost Boolean]]*(VLOOKUP(Table4[[#This Row],[RATE CONCAT]],Tables!I:N,6,0)),0)</f>
        <v/>
      </c>
      <c r="ED44" s="275" t="n"/>
      <c r="EE44" s="345">
        <f>Table4[[#This Row],[Jun_2027_F]]-Table4[[#This Row],[Jun_2027_A]]</f>
        <v/>
      </c>
      <c r="EF44" s="345">
        <f>IFERROR(Table4[[#This Row],[Jul_2027_Days_Forecast]]*Table4[[#This Row],[Cost Boolean]]*(VLOOKUP(Table4[[#This Row],[RATE CONCAT]],Tables!I:N,6,0)),0)</f>
        <v/>
      </c>
      <c r="EG44" s="275" t="n"/>
      <c r="EH44" s="345">
        <f>Table4[[#This Row],[Jul_2027_F]]-Table4[[#This Row],[Jul_2027_A]]</f>
        <v/>
      </c>
      <c r="EI44" s="345">
        <f>IFERROR(Table4[[#This Row],[Aug_2027_Days_Forecast]]*Table4[[#This Row],[Cost Boolean]]*(VLOOKUP(Table4[[#This Row],[RATE CONCAT]],Tables!I:N,6,0)),0)</f>
        <v/>
      </c>
      <c r="EJ44" s="275" t="n"/>
      <c r="EK44" s="345">
        <f>Table4[[#This Row],[Aug_2027_F]]-Table4[[#This Row],[Aug_2027_A]]</f>
        <v/>
      </c>
      <c r="EL44" s="345">
        <f>IFERROR(Table4[[#This Row],[Sep_2027_Days_Forecast]]*Table4[[#This Row],[Cost Boolean]]*(VLOOKUP(Table4[[#This Row],[RATE CONCAT]],Tables!I:N,6,0)),0)</f>
        <v/>
      </c>
      <c r="EM44" s="275" t="n"/>
      <c r="EN44" s="345">
        <f>Table4[[#This Row],[Sep_2027_F]]-Table4[[#This Row],[Sep_2027_A]]</f>
        <v/>
      </c>
      <c r="EO44" s="345">
        <f>IFERROR(Table4[[#This Row],[Oct_2027_Days_Forecast]]*Table4[[#This Row],[Cost Boolean]]*(VLOOKUP(Table4[[#This Row],[RATE CONCAT]],Tables!I:N,6,0)),0)</f>
        <v/>
      </c>
      <c r="EP44" s="275" t="n"/>
      <c r="EQ44" s="345">
        <f>Table4[[#This Row],[Oct_2027_F]]-Table4[[#This Row],[Oct_2027_A]]</f>
        <v/>
      </c>
      <c r="ER44" s="345">
        <f>IFERROR(Table4[[#This Row],[Nov_2027_Days_Forecast]]*Table4[[#This Row],[Cost Boolean]]*(VLOOKUP(Table4[[#This Row],[RATE CONCAT]],Tables!I:N,6,0)),0)</f>
        <v/>
      </c>
      <c r="ES44" s="275" t="n"/>
      <c r="ET44" s="345">
        <f>Table4[[#This Row],[Nov_2027_F]]-Table4[[#This Row],[Nov_2027_A]]</f>
        <v/>
      </c>
      <c r="EU44" s="345">
        <f>IFERROR(Table4[[#This Row],[Dec_2027_Days_Forecast]]*Table4[[#This Row],[Cost Boolean]]*(VLOOKUP(Table4[[#This Row],[RATE CONCAT]],Tables!I:N,6,0)),0)</f>
        <v/>
      </c>
      <c r="EV44" s="275" t="n"/>
      <c r="EW44" s="345">
        <f>Table4[[#This Row],[Dec_2027_F]]-Table4[[#This Row],[Dec_2027_A]]</f>
        <v/>
      </c>
    </row>
    <row r="45" ht="1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350">
        <f>CONCATENATE(Table4[[#This Row],[JG]],Table4[[#This Row],[Country]],Table4[[#This Row],[Resource Provider]])</f>
        <v/>
      </c>
      <c r="Z45" s="350">
        <f>VLOOKUP(Table4[[#This Row],[RATE CONCAT]],Tables!I:N,5,0)</f>
        <v/>
      </c>
      <c r="AA45" s="53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353">
        <f>IFERROR(AVERAGE(Table4[[#This Row],[Jan_2026_Days_Forecast]:[Dec_2026_Days_Forecast]]),0)/19</f>
        <v/>
      </c>
      <c r="AO45" s="353">
        <f>IFERROR(AVERAGE(Table4[[#This Row],[Jan_2026_Days_Actual]:[Dec_2026_Days_Actual]]),0)/19</f>
        <v/>
      </c>
      <c r="AP45" s="84" t="n"/>
      <c r="AQ45" s="84" t="n"/>
      <c r="AR45" s="84" t="n"/>
      <c r="AS45" s="84" t="n"/>
      <c r="AT45" s="84" t="n"/>
      <c r="AU45" s="84" t="n"/>
      <c r="AV45" s="84" t="n"/>
      <c r="AW45" s="84" t="n"/>
      <c r="AX45" s="84" t="n"/>
      <c r="AY45" s="84" t="n"/>
      <c r="AZ45" s="84" t="n"/>
      <c r="BA45" s="84" t="n"/>
      <c r="BB45" s="353">
        <f>IFERROR(AVERAGE(Table4[[#This Row],[Jan_2027_Days_Forecast]:[Dec_2027_Days_Forecast]]),0)</f>
        <v/>
      </c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55" t="n"/>
      <c r="BP45" s="346" t="n"/>
      <c r="BQ45" s="347">
        <f>Table4[[#This Row],[Jan_2026_Days_Forecast]]*Table4[[#This Row],[Cost Boolean]]*VLOOKUP(Table4[[#This Row],[RATE CONCAT]],Tables!I:N,5,0)</f>
        <v/>
      </c>
      <c r="BR45" s="347">
        <f>IFERROR(Table4[[#This Row],[Jan_2026_Days_Actual]]*Table4[[#This Row],[Cost Boolean]]*(VLOOKUP(Table4[[#This Row],[RATE CONCAT]],Tables!I:N,5,0)),0)</f>
        <v/>
      </c>
      <c r="BS45" s="347">
        <f>Table4[[#This Row],[Jan_2026_F]]-Table4[[#This Row],[Jan_2026_A]]</f>
        <v/>
      </c>
      <c r="BT45" s="107" t="n"/>
      <c r="BU45" s="347">
        <f>IFERROR(Table4[[#This Row],[Feb_2026_Days_Forecast]]*Table4[[#This Row],[Cost Boolean]]*(VLOOKUP(Table4[[#This Row],[RATE CONCAT]],Tables!I:N,5,0)),0)</f>
        <v/>
      </c>
      <c r="BV45" s="347">
        <f>IFERROR(Table4[[#This Row],[Feb_2026_Days_Actual]]*Table4[[#This Row],[Cost Boolean]]*(VLOOKUP(Table4[[#This Row],[RATE CONCAT]],Tables!I:N,5,0)),0)</f>
        <v/>
      </c>
      <c r="BW45" s="347">
        <f>Table4[[#This Row],[Feb_2026_F]]-Table4[[#This Row],[Feb_2026_A]]</f>
        <v/>
      </c>
      <c r="BX45" s="103" t="n"/>
      <c r="BY45" s="347">
        <f>IFERROR(Table4[[#This Row],[Mar_2026_Days_Forecast]]*Table4[[#This Row],[Cost Boolean]]*(VLOOKUP(Table4[[#This Row],[RATE CONCAT]],Tables!I:N,5,0)),0)</f>
        <v/>
      </c>
      <c r="BZ45" s="347">
        <f>IFERROR(Table4[[#This Row],[Mar_2026_Days_Actual]]*Table4[[#This Row],[Cost Boolean]]*(VLOOKUP(Table4[[#This Row],[RATE CONCAT]],Tables!I:N,5,0)),0)</f>
        <v/>
      </c>
      <c r="CA45" s="347">
        <f>Table4[[#This Row],[Mar_2026_F]]-Table4[[#This Row],[Mar_2026_A]]</f>
        <v/>
      </c>
      <c r="CB45" s="103" t="n"/>
      <c r="CC45" s="347">
        <f>IFERROR(Table4[[#This Row],[Apr_2026_Days_Forecast]]*Table4[[#This Row],[Cost Boolean]]*(VLOOKUP(Table4[[#This Row],[RATE CONCAT]],Tables!I:N,5,0)),0)</f>
        <v/>
      </c>
      <c r="CD45" s="347">
        <f>IFERROR(Table4[[#This Row],[Apr_2026_Days_Actual]]*Table4[[#This Row],[Cost Boolean]]*(VLOOKUP(Table4[[#This Row],[RATE CONCAT]],Tables!I:N,5,0)),0)</f>
        <v/>
      </c>
      <c r="CE45" s="347">
        <f>Table4[[#This Row],[Apr_2026_F]]-Table4[[#This Row],[Apr_2026_A]]</f>
        <v/>
      </c>
      <c r="CF45" s="103" t="n"/>
      <c r="CG45" s="347">
        <f>IFERROR(Table4[[#This Row],[May_2026_Days_Forecast]] *Table4[[#This Row],[Cost Boolean]]*(VLOOKUP(Table4[[#This Row],[RATE CONCAT]],Tables!I:N,5,0)),0)</f>
        <v/>
      </c>
      <c r="CH45" s="347">
        <f>IFERROR(Table4[[#This Row],[May_2026_Days_Actual]]*Table4[[#This Row],[Cost Boolean]]*(VLOOKUP(Table4[[#This Row],[RATE CONCAT]],Tables!I:N,5,0)),0)</f>
        <v/>
      </c>
      <c r="CI45" s="347">
        <f>Table4[[#This Row],[May_2026_F]]-Table4[[#This Row],[May_2026_A]]</f>
        <v/>
      </c>
      <c r="CJ45" s="103" t="n"/>
      <c r="CK45" s="347">
        <f>IFERROR(Table4[[#This Row],[Jun_2026_Days_Forecast]]*Table4[[#This Row],[Cost Boolean]]*(VLOOKUP(Table4[[#This Row],[RATE CONCAT]],Tables!I:N,5,0)),0)</f>
        <v/>
      </c>
      <c r="CL45" s="347">
        <f>IFERROR(Table4[[#This Row],[Jun_2026_Days_Actual]]*Table4[[#This Row],[Cost Boolean]]*(VLOOKUP(Table4[[#This Row],[RATE CONCAT]],Tables!I:N,5,0)),0)</f>
        <v/>
      </c>
      <c r="CM45" s="347">
        <f>Table4[[#This Row],[Jun_2026_F]]-Table4[[#This Row],[Jun_2026_A]]</f>
        <v/>
      </c>
      <c r="CN45" s="103" t="n"/>
      <c r="CO45" s="347">
        <f>IFERROR(Table4[[#This Row],[Jul_2026_Days_Forecast]]*Table4[[#This Row],[Cost Boolean]]*(VLOOKUP(Table4[[#This Row],[RATE CONCAT]],Tables!I:N,5,0)),0)</f>
        <v/>
      </c>
      <c r="CP45" s="347">
        <f>IFERROR(Table4[[#This Row],[Aug_2026_Days_Forecast]]*Table4[[#This Row],[Location]]*(VLOOKUP(Table4[[#This Row],[Rate]],Tables!J:O,5,0)),0)</f>
        <v/>
      </c>
      <c r="CQ45" s="347">
        <f>Table4[[#This Row],[Jul_2026_F]]-Table4[[#This Row],[Jul_2026_A]]</f>
        <v/>
      </c>
      <c r="CR45" s="103" t="n"/>
      <c r="CS45" s="347">
        <f>IFERROR(Table4[[#This Row],[Aug_2026_Days_Forecast]]*Table4[[#This Row],[Cost Boolean]]*(VLOOKUP(Table4[[#This Row],[RATE CONCAT]],Tables!I:N,5,0)),0)</f>
        <v/>
      </c>
      <c r="CT45" s="347">
        <f>IFERROR(Table4[[#This Row],[Aug_2026_Days_Actual]]*Table4[[#This Row],[Cost Boolean]]*(VLOOKUP(Table4[[#This Row],[RATE CONCAT]],Tables!I:N,5,0)),0)</f>
        <v/>
      </c>
      <c r="CU45" s="347">
        <f>Table4[[#This Row],[Aug_2026_F]]-Table4[[#This Row],[Aug_2026_A]]</f>
        <v/>
      </c>
      <c r="CV45" s="103" t="n"/>
      <c r="CW45" s="347">
        <f>IFERROR(Table4[[#This Row],[Sep_2026_Days_Forecast]]*Table4[[#This Row],[Cost Boolean]]*(VLOOKUP(Table4[[#This Row],[RATE CONCAT]],Tables!I:N,5,0)),0)</f>
        <v/>
      </c>
      <c r="CX45" s="347">
        <f>IFERROR(Table4[[#This Row],[Sep_2026_Days_Actual]]*Table4[[#This Row],[Cost Boolean]]*(VLOOKUP(Table4[[#This Row],[RATE CONCAT]],Tables!I:N,5,0)),0)</f>
        <v/>
      </c>
      <c r="CY45" s="347">
        <f>Table4[[#This Row],[Sep_2026_F]]-Table4[[#This Row],[Sep_2026_A]]</f>
        <v/>
      </c>
      <c r="CZ45" s="103" t="n"/>
      <c r="DA45" s="347">
        <f>IFERROR(Table4[[#This Row],[Oct_2026_Days_Forecast]]*Table4[[#This Row],[Cost Boolean]]*(VLOOKUP(Table4[[#This Row],[RATE CONCAT]],Tables!I:N,5,0)),0)</f>
        <v/>
      </c>
      <c r="DB45" s="347">
        <f>IFERROR(Table4[[#This Row],[Oct_2026_Days_Actual]]*Table4[[#This Row],[Cost Boolean]]*(VLOOKUP(Table4[[#This Row],[RATE CONCAT]],Tables!I:N,5,0)),0)</f>
        <v/>
      </c>
      <c r="DC45" s="347">
        <f>Table4[[#This Row],[Oct_2026_F]]-Table4[[#This Row],[Oct_2026_A]]</f>
        <v/>
      </c>
      <c r="DD45" s="103" t="n"/>
      <c r="DE45" s="347">
        <f>IFERROR(Table4[[#This Row],[Nov_2026_Days_Forecast]]*Table4[[#This Row],[Cost Boolean]]*(VLOOKUP(Table4[[#This Row],[RATE CONCAT]],Tables!I:N,5,0)),0)</f>
        <v/>
      </c>
      <c r="DF45" s="347">
        <f>IFERROR(Table4[[#This Row],[Nov_2026_Days_Actual]]*Table4[[#This Row],[Cost Boolean]]*(VLOOKUP(Table4[[#This Row],[RATE CONCAT]],Tables!I:N,5,0)),0)</f>
        <v/>
      </c>
      <c r="DG45" s="347">
        <f>Table4[[#This Row],[Nov_2026_F]]-Table4[[#This Row],[Nov_2026_A]]</f>
        <v/>
      </c>
      <c r="DH45" s="103" t="n"/>
      <c r="DI45" s="347">
        <f>IFERROR(Table4[[#This Row],[Dec_2026_Days_Forecast]]*Table4[[#This Row],[Cost Boolean]]*(VLOOKUP(Table4[[#This Row],[RATE CONCAT]],Tables!I:N,5,0)),0)</f>
        <v/>
      </c>
      <c r="DJ45" s="347">
        <f>IFERROR(Table4[[#This Row],[Dec_2026_Days_Actual]]*Table4[[#This Row],[Cost Boolean]]*(VLOOKUP(Table4[[#This Row],[RATE CONCAT]],Tables!I:N,5,0)),0)</f>
        <v/>
      </c>
      <c r="DK45" s="347">
        <f>Table4[[#This Row],[Dec_2026_F]]-Table4[[#This Row],[Dec_2026_A]]</f>
        <v/>
      </c>
      <c r="DL45" s="103" t="n"/>
      <c r="DM45" s="346" t="n"/>
      <c r="DN45" s="347">
        <f>IFERROR(Table4[[#This Row],[Jan_2027_Days_Forecast]]*Table4[[#This Row],[Cost Boolean]]*(VLOOKUP(Table4[[#This Row],[RATE CONCAT]],Tables!I:N,6,0)),0)</f>
        <v/>
      </c>
      <c r="DO45" s="275" t="n"/>
      <c r="DP45" s="347">
        <f>Table4[[#This Row],[Jan_2027_F]]-Table4[[#This Row],[Jan_2027_A]]</f>
        <v/>
      </c>
      <c r="DQ45" s="347">
        <f>IFERROR(Table4[[#This Row],[Feb_2027_Days_Forecast]]*Table4[[#This Row],[Cost Boolean]]*(VLOOKUP(Table4[[#This Row],[RATE CONCAT]],Tables!I:N,6,0)),0)</f>
        <v/>
      </c>
      <c r="DR45" s="275" t="n"/>
      <c r="DS45" s="347">
        <f>Table4[[#This Row],[Feb_2027_F]]-Table4[[#This Row],[Feb_2027_A]]</f>
        <v/>
      </c>
      <c r="DT45" s="347">
        <f>IFERROR(Table4[[#This Row],[Mar_2027_Days_Forecast]]*Table4[[#This Row],[Cost Boolean]]*(VLOOKUP(Table4[[#This Row],[RATE CONCAT]],Tables!I:N,6,0)),0)</f>
        <v/>
      </c>
      <c r="DU45" s="275" t="n"/>
      <c r="DV45" s="347">
        <f>Table4[[#This Row],[Mar_2027_F]]-Table4[[#This Row],[Mar_2027_A]]</f>
        <v/>
      </c>
      <c r="DW45" s="347">
        <f>IFERROR(Table4[[#This Row],[Apr_2027_Days_Forecast]]*Table4[[#This Row],[Cost Boolean]]*(VLOOKUP(Table4[[#This Row],[RATE CONCAT]],Tables!I:N,6,0)),0)</f>
        <v/>
      </c>
      <c r="DX45" s="275" t="n"/>
      <c r="DY45" s="347">
        <f>Table4[[#This Row],[Apr_2027_F]]-Table4[[#This Row],[Apr_2027_A]]</f>
        <v/>
      </c>
      <c r="DZ45" s="347">
        <f>IFERROR(Table4[[#This Row],[May_2027_Days_Forecast]]*Table4[[#This Row],[Cost Boolean]]*(VLOOKUP(Table4[[#This Row],[RATE CONCAT]],Tables!I:N,6,0)),0)</f>
        <v/>
      </c>
      <c r="EA45" s="275" t="n"/>
      <c r="EB45" s="347">
        <f>Table4[[#This Row],[May_2027_F]]-Table4[[#This Row],[May_2027_A]]</f>
        <v/>
      </c>
      <c r="EC45" s="347">
        <f>IFERROR(Table4[[#This Row],[Jun_2027_Days_Forecast]]*Table4[[#This Row],[Cost Boolean]]*(VLOOKUP(Table4[[#This Row],[RATE CONCAT]],Tables!I:N,6,0)),0)</f>
        <v/>
      </c>
      <c r="ED45" s="275" t="n"/>
      <c r="EE45" s="347">
        <f>Table4[[#This Row],[Jun_2027_F]]-Table4[[#This Row],[Jun_2027_A]]</f>
        <v/>
      </c>
      <c r="EF45" s="347">
        <f>IFERROR(Table4[[#This Row],[Jul_2027_Days_Forecast]]*Table4[[#This Row],[Cost Boolean]]*(VLOOKUP(Table4[[#This Row],[RATE CONCAT]],Tables!I:N,6,0)),0)</f>
        <v/>
      </c>
      <c r="EG45" s="275" t="n"/>
      <c r="EH45" s="347">
        <f>Table4[[#This Row],[Jul_2027_F]]-Table4[[#This Row],[Jul_2027_A]]</f>
        <v/>
      </c>
      <c r="EI45" s="347">
        <f>IFERROR(Table4[[#This Row],[Aug_2027_Days_Forecast]]*Table4[[#This Row],[Cost Boolean]]*(VLOOKUP(Table4[[#This Row],[RATE CONCAT]],Tables!I:N,6,0)),0)</f>
        <v/>
      </c>
      <c r="EJ45" s="275" t="n"/>
      <c r="EK45" s="347">
        <f>Table4[[#This Row],[Aug_2027_F]]-Table4[[#This Row],[Aug_2027_A]]</f>
        <v/>
      </c>
      <c r="EL45" s="347">
        <f>IFERROR(Table4[[#This Row],[Sep_2027_Days_Forecast]]*Table4[[#This Row],[Cost Boolean]]*(VLOOKUP(Table4[[#This Row],[RATE CONCAT]],Tables!I:N,6,0)),0)</f>
        <v/>
      </c>
      <c r="EM45" s="275" t="n"/>
      <c r="EN45" s="347">
        <f>Table4[[#This Row],[Sep_2027_F]]-Table4[[#This Row],[Sep_2027_A]]</f>
        <v/>
      </c>
      <c r="EO45" s="347">
        <f>IFERROR(Table4[[#This Row],[Oct_2027_Days_Forecast]]*Table4[[#This Row],[Cost Boolean]]*(VLOOKUP(Table4[[#This Row],[RATE CONCAT]],Tables!I:N,6,0)),0)</f>
        <v/>
      </c>
      <c r="EP45" s="275" t="n"/>
      <c r="EQ45" s="347">
        <f>Table4[[#This Row],[Oct_2027_F]]-Table4[[#This Row],[Oct_2027_A]]</f>
        <v/>
      </c>
      <c r="ER45" s="347">
        <f>IFERROR(Table4[[#This Row],[Nov_2027_Days_Forecast]]*Table4[[#This Row],[Cost Boolean]]*(VLOOKUP(Table4[[#This Row],[RATE CONCAT]],Tables!I:N,6,0)),0)</f>
        <v/>
      </c>
      <c r="ES45" s="275" t="n"/>
      <c r="ET45" s="347">
        <f>Table4[[#This Row],[Nov_2027_F]]-Table4[[#This Row],[Nov_2027_A]]</f>
        <v/>
      </c>
      <c r="EU45" s="347">
        <f>IFERROR(Table4[[#This Row],[Dec_2027_Days_Forecast]]*Table4[[#This Row],[Cost Boolean]]*(VLOOKUP(Table4[[#This Row],[RATE CONCAT]],Tables!I:N,6,0)),0)</f>
        <v/>
      </c>
      <c r="EV45" s="275" t="n"/>
      <c r="EW45" s="347">
        <f>Table4[[#This Row],[Dec_2027_F]]-Table4[[#This Row],[Dec_2027_A]]</f>
        <v/>
      </c>
    </row>
    <row r="46" ht="1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350">
        <f>CONCATENATE(Table4[[#This Row],[JG]],Table4[[#This Row],[Country]],Table4[[#This Row],[Resource Provider]])</f>
        <v/>
      </c>
      <c r="Z46" s="350">
        <f>VLOOKUP(Table4[[#This Row],[RATE CONCAT]],Tables!I:N,5,0)</f>
        <v/>
      </c>
      <c r="AA46" s="53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353">
        <f>IFERROR(AVERAGE(Table4[[#This Row],[Jan_2026_Days_Forecast]:[Dec_2026_Days_Forecast]]),0)/19</f>
        <v/>
      </c>
      <c r="AO46" s="353">
        <f>IFERROR(AVERAGE(Table4[[#This Row],[Jan_2026_Days_Actual]:[Dec_2026_Days_Actual]]),0)/19</f>
        <v/>
      </c>
      <c r="AP46" s="84" t="n"/>
      <c r="AQ46" s="84" t="n"/>
      <c r="AR46" s="84" t="n"/>
      <c r="AS46" s="84" t="n"/>
      <c r="AT46" s="84" t="n"/>
      <c r="AU46" s="84" t="n"/>
      <c r="AV46" s="84" t="n"/>
      <c r="AW46" s="84" t="n"/>
      <c r="AX46" s="84" t="n"/>
      <c r="AY46" s="84" t="n"/>
      <c r="AZ46" s="84" t="n"/>
      <c r="BA46" s="84" t="n"/>
      <c r="BB46" s="353">
        <f>IFERROR(AVERAGE(Table4[[#This Row],[Jan_2027_Days_Forecast]:[Dec_2027_Days_Forecast]]),0)</f>
        <v/>
      </c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  <c r="BL46" s="16" t="n"/>
      <c r="BM46" s="16" t="n"/>
      <c r="BN46" s="16" t="n"/>
      <c r="BO46" s="55" t="n"/>
      <c r="BP46" s="346" t="n"/>
      <c r="BQ46" s="345">
        <f>Table4[[#This Row],[Jan_2026_Days_Forecast]]*Table4[[#This Row],[Cost Boolean]]*VLOOKUP(Table4[[#This Row],[RATE CONCAT]],Tables!I:N,5,0)</f>
        <v/>
      </c>
      <c r="BR46" s="345">
        <f>IFERROR(Table4[[#This Row],[Jan_2026_Days_Actual]]*Table4[[#This Row],[Cost Boolean]]*(VLOOKUP(Table4[[#This Row],[RATE CONCAT]],Tables!I:N,5,0)),0)</f>
        <v/>
      </c>
      <c r="BS46" s="345">
        <f>Table4[[#This Row],[Jan_2026_F]]-Table4[[#This Row],[Jan_2026_A]]</f>
        <v/>
      </c>
      <c r="BT46" s="107" t="n"/>
      <c r="BU46" s="345">
        <f>IFERROR(Table4[[#This Row],[Feb_2026_Days_Forecast]]*Table4[[#This Row],[Cost Boolean]]*(VLOOKUP(Table4[[#This Row],[RATE CONCAT]],Tables!I:N,5,0)),0)</f>
        <v/>
      </c>
      <c r="BV46" s="345">
        <f>IFERROR(Table4[[#This Row],[Feb_2026_Days_Actual]]*Table4[[#This Row],[Cost Boolean]]*(VLOOKUP(Table4[[#This Row],[RATE CONCAT]],Tables!I:N,5,0)),0)</f>
        <v/>
      </c>
      <c r="BW46" s="345">
        <f>Table4[[#This Row],[Feb_2026_F]]-Table4[[#This Row],[Feb_2026_A]]</f>
        <v/>
      </c>
      <c r="BX46" s="103" t="n"/>
      <c r="BY46" s="345">
        <f>IFERROR(Table4[[#This Row],[Mar_2026_Days_Forecast]]*Table4[[#This Row],[Cost Boolean]]*(VLOOKUP(Table4[[#This Row],[RATE CONCAT]],Tables!I:N,5,0)),0)</f>
        <v/>
      </c>
      <c r="BZ46" s="345">
        <f>IFERROR(Table4[[#This Row],[Mar_2026_Days_Actual]]*Table4[[#This Row],[Cost Boolean]]*(VLOOKUP(Table4[[#This Row],[RATE CONCAT]],Tables!I:N,5,0)),0)</f>
        <v/>
      </c>
      <c r="CA46" s="345">
        <f>Table4[[#This Row],[Mar_2026_F]]-Table4[[#This Row],[Mar_2026_A]]</f>
        <v/>
      </c>
      <c r="CB46" s="103" t="n"/>
      <c r="CC46" s="345">
        <f>IFERROR(Table4[[#This Row],[Apr_2026_Days_Forecast]]*Table4[[#This Row],[Cost Boolean]]*(VLOOKUP(Table4[[#This Row],[RATE CONCAT]],Tables!I:N,5,0)),0)</f>
        <v/>
      </c>
      <c r="CD46" s="345">
        <f>IFERROR(Table4[[#This Row],[Apr_2026_Days_Actual]]*Table4[[#This Row],[Cost Boolean]]*(VLOOKUP(Table4[[#This Row],[RATE CONCAT]],Tables!I:N,5,0)),0)</f>
        <v/>
      </c>
      <c r="CE46" s="345">
        <f>Table4[[#This Row],[Apr_2026_F]]-Table4[[#This Row],[Apr_2026_A]]</f>
        <v/>
      </c>
      <c r="CF46" s="103" t="n"/>
      <c r="CG46" s="345">
        <f>IFERROR(Table4[[#This Row],[May_2026_Days_Forecast]] *Table4[[#This Row],[Cost Boolean]]*(VLOOKUP(Table4[[#This Row],[RATE CONCAT]],Tables!I:N,5,0)),0)</f>
        <v/>
      </c>
      <c r="CH46" s="345">
        <f>IFERROR(Table4[[#This Row],[May_2026_Days_Actual]]*Table4[[#This Row],[Cost Boolean]]*(VLOOKUP(Table4[[#This Row],[RATE CONCAT]],Tables!I:N,5,0)),0)</f>
        <v/>
      </c>
      <c r="CI46" s="345">
        <f>Table4[[#This Row],[May_2026_F]]-Table4[[#This Row],[May_2026_A]]</f>
        <v/>
      </c>
      <c r="CJ46" s="103" t="n"/>
      <c r="CK46" s="345">
        <f>IFERROR(Table4[[#This Row],[Jun_2026_Days_Forecast]]*Table4[[#This Row],[Cost Boolean]]*(VLOOKUP(Table4[[#This Row],[RATE CONCAT]],Tables!I:N,5,0)),0)</f>
        <v/>
      </c>
      <c r="CL46" s="345">
        <f>IFERROR(Table4[[#This Row],[Jun_2026_Days_Actual]]*Table4[[#This Row],[Cost Boolean]]*(VLOOKUP(Table4[[#This Row],[RATE CONCAT]],Tables!I:N,5,0)),0)</f>
        <v/>
      </c>
      <c r="CM46" s="345">
        <f>Table4[[#This Row],[Jun_2026_F]]-Table4[[#This Row],[Jun_2026_A]]</f>
        <v/>
      </c>
      <c r="CN46" s="103" t="n"/>
      <c r="CO46" s="345">
        <f>IFERROR(Table4[[#This Row],[Jul_2026_Days_Forecast]]*Table4[[#This Row],[Cost Boolean]]*(VLOOKUP(Table4[[#This Row],[RATE CONCAT]],Tables!I:N,5,0)),0)</f>
        <v/>
      </c>
      <c r="CP46" s="345">
        <f>IFERROR(Table4[[#This Row],[Aug_2026_Days_Forecast]]*Table4[[#This Row],[Location]]*(VLOOKUP(Table4[[#This Row],[Rate]],Tables!J:O,5,0)),0)</f>
        <v/>
      </c>
      <c r="CQ46" s="345">
        <f>Table4[[#This Row],[Jul_2026_F]]-Table4[[#This Row],[Jul_2026_A]]</f>
        <v/>
      </c>
      <c r="CR46" s="103" t="n"/>
      <c r="CS46" s="345">
        <f>IFERROR(Table4[[#This Row],[Aug_2026_Days_Forecast]]*Table4[[#This Row],[Cost Boolean]]*(VLOOKUP(Table4[[#This Row],[RATE CONCAT]],Tables!I:N,5,0)),0)</f>
        <v/>
      </c>
      <c r="CT46" s="345">
        <f>IFERROR(Table4[[#This Row],[Aug_2026_Days_Actual]]*Table4[[#This Row],[Cost Boolean]]*(VLOOKUP(Table4[[#This Row],[RATE CONCAT]],Tables!I:N,5,0)),0)</f>
        <v/>
      </c>
      <c r="CU46" s="345">
        <f>Table4[[#This Row],[Aug_2026_F]]-Table4[[#This Row],[Aug_2026_A]]</f>
        <v/>
      </c>
      <c r="CV46" s="103" t="n"/>
      <c r="CW46" s="345">
        <f>IFERROR(Table4[[#This Row],[Sep_2026_Days_Forecast]]*Table4[[#This Row],[Cost Boolean]]*(VLOOKUP(Table4[[#This Row],[RATE CONCAT]],Tables!I:N,5,0)),0)</f>
        <v/>
      </c>
      <c r="CX46" s="345">
        <f>IFERROR(Table4[[#This Row],[Sep_2026_Days_Actual]]*Table4[[#This Row],[Cost Boolean]]*(VLOOKUP(Table4[[#This Row],[RATE CONCAT]],Tables!I:N,5,0)),0)</f>
        <v/>
      </c>
      <c r="CY46" s="345">
        <f>Table4[[#This Row],[Sep_2026_F]]-Table4[[#This Row],[Sep_2026_A]]</f>
        <v/>
      </c>
      <c r="CZ46" s="103" t="n"/>
      <c r="DA46" s="345">
        <f>IFERROR(Table4[[#This Row],[Oct_2026_Days_Forecast]]*Table4[[#This Row],[Cost Boolean]]*(VLOOKUP(Table4[[#This Row],[RATE CONCAT]],Tables!I:N,5,0)),0)</f>
        <v/>
      </c>
      <c r="DB46" s="345">
        <f>IFERROR(Table4[[#This Row],[Oct_2026_Days_Actual]]*Table4[[#This Row],[Cost Boolean]]*(VLOOKUP(Table4[[#This Row],[RATE CONCAT]],Tables!I:N,5,0)),0)</f>
        <v/>
      </c>
      <c r="DC46" s="345">
        <f>Table4[[#This Row],[Oct_2026_F]]-Table4[[#This Row],[Oct_2026_A]]</f>
        <v/>
      </c>
      <c r="DD46" s="103" t="n"/>
      <c r="DE46" s="345">
        <f>IFERROR(Table4[[#This Row],[Nov_2026_Days_Forecast]]*Table4[[#This Row],[Cost Boolean]]*(VLOOKUP(Table4[[#This Row],[RATE CONCAT]],Tables!I:N,5,0)),0)</f>
        <v/>
      </c>
      <c r="DF46" s="345">
        <f>IFERROR(Table4[[#This Row],[Nov_2026_Days_Actual]]*Table4[[#This Row],[Cost Boolean]]*(VLOOKUP(Table4[[#This Row],[RATE CONCAT]],Tables!I:N,5,0)),0)</f>
        <v/>
      </c>
      <c r="DG46" s="345">
        <f>Table4[[#This Row],[Nov_2026_F]]-Table4[[#This Row],[Nov_2026_A]]</f>
        <v/>
      </c>
      <c r="DH46" s="103" t="n"/>
      <c r="DI46" s="345">
        <f>IFERROR(Table4[[#This Row],[Dec_2026_Days_Forecast]]*Table4[[#This Row],[Cost Boolean]]*(VLOOKUP(Table4[[#This Row],[RATE CONCAT]],Tables!I:N,5,0)),0)</f>
        <v/>
      </c>
      <c r="DJ46" s="345">
        <f>IFERROR(Table4[[#This Row],[Dec_2026_Days_Actual]]*Table4[[#This Row],[Cost Boolean]]*(VLOOKUP(Table4[[#This Row],[RATE CONCAT]],Tables!I:N,5,0)),0)</f>
        <v/>
      </c>
      <c r="DK46" s="345">
        <f>Table4[[#This Row],[Dec_2026_F]]-Table4[[#This Row],[Dec_2026_A]]</f>
        <v/>
      </c>
      <c r="DL46" s="103" t="n"/>
      <c r="DM46" s="346" t="n"/>
      <c r="DN46" s="345">
        <f>IFERROR(Table4[[#This Row],[Jan_2027_Days_Forecast]]*Table4[[#This Row],[Cost Boolean]]*(VLOOKUP(Table4[[#This Row],[RATE CONCAT]],Tables!I:N,6,0)),0)</f>
        <v/>
      </c>
      <c r="DO46" s="275" t="n"/>
      <c r="DP46" s="345">
        <f>Table4[[#This Row],[Jan_2027_F]]-Table4[[#This Row],[Jan_2027_A]]</f>
        <v/>
      </c>
      <c r="DQ46" s="345">
        <f>IFERROR(Table4[[#This Row],[Feb_2027_Days_Forecast]]*Table4[[#This Row],[Cost Boolean]]*(VLOOKUP(Table4[[#This Row],[RATE CONCAT]],Tables!I:N,6,0)),0)</f>
        <v/>
      </c>
      <c r="DR46" s="275" t="n"/>
      <c r="DS46" s="345">
        <f>Table4[[#This Row],[Feb_2027_F]]-Table4[[#This Row],[Feb_2027_A]]</f>
        <v/>
      </c>
      <c r="DT46" s="345">
        <f>IFERROR(Table4[[#This Row],[Mar_2027_Days_Forecast]]*Table4[[#This Row],[Cost Boolean]]*(VLOOKUP(Table4[[#This Row],[RATE CONCAT]],Tables!I:N,6,0)),0)</f>
        <v/>
      </c>
      <c r="DU46" s="275" t="n"/>
      <c r="DV46" s="345">
        <f>Table4[[#This Row],[Mar_2027_F]]-Table4[[#This Row],[Mar_2027_A]]</f>
        <v/>
      </c>
      <c r="DW46" s="345">
        <f>IFERROR(Table4[[#This Row],[Apr_2027_Days_Forecast]]*Table4[[#This Row],[Cost Boolean]]*(VLOOKUP(Table4[[#This Row],[RATE CONCAT]],Tables!I:N,6,0)),0)</f>
        <v/>
      </c>
      <c r="DX46" s="275" t="n"/>
      <c r="DY46" s="345">
        <f>Table4[[#This Row],[Apr_2027_F]]-Table4[[#This Row],[Apr_2027_A]]</f>
        <v/>
      </c>
      <c r="DZ46" s="345">
        <f>IFERROR(Table4[[#This Row],[May_2027_Days_Forecast]]*Table4[[#This Row],[Cost Boolean]]*(VLOOKUP(Table4[[#This Row],[RATE CONCAT]],Tables!I:N,6,0)),0)</f>
        <v/>
      </c>
      <c r="EA46" s="275" t="n"/>
      <c r="EB46" s="345">
        <f>Table4[[#This Row],[May_2027_F]]-Table4[[#This Row],[May_2027_A]]</f>
        <v/>
      </c>
      <c r="EC46" s="345">
        <f>IFERROR(Table4[[#This Row],[Jun_2027_Days_Forecast]]*Table4[[#This Row],[Cost Boolean]]*(VLOOKUP(Table4[[#This Row],[RATE CONCAT]],Tables!I:N,6,0)),0)</f>
        <v/>
      </c>
      <c r="ED46" s="275" t="n"/>
      <c r="EE46" s="345">
        <f>Table4[[#This Row],[Jun_2027_F]]-Table4[[#This Row],[Jun_2027_A]]</f>
        <v/>
      </c>
      <c r="EF46" s="345">
        <f>IFERROR(Table4[[#This Row],[Jul_2027_Days_Forecast]]*Table4[[#This Row],[Cost Boolean]]*(VLOOKUP(Table4[[#This Row],[RATE CONCAT]],Tables!I:N,6,0)),0)</f>
        <v/>
      </c>
      <c r="EG46" s="275" t="n"/>
      <c r="EH46" s="345">
        <f>Table4[[#This Row],[Jul_2027_F]]-Table4[[#This Row],[Jul_2027_A]]</f>
        <v/>
      </c>
      <c r="EI46" s="345">
        <f>IFERROR(Table4[[#This Row],[Aug_2027_Days_Forecast]]*Table4[[#This Row],[Cost Boolean]]*(VLOOKUP(Table4[[#This Row],[RATE CONCAT]],Tables!I:N,6,0)),0)</f>
        <v/>
      </c>
      <c r="EJ46" s="275" t="n"/>
      <c r="EK46" s="345">
        <f>Table4[[#This Row],[Aug_2027_F]]-Table4[[#This Row],[Aug_2027_A]]</f>
        <v/>
      </c>
      <c r="EL46" s="345">
        <f>IFERROR(Table4[[#This Row],[Sep_2027_Days_Forecast]]*Table4[[#This Row],[Cost Boolean]]*(VLOOKUP(Table4[[#This Row],[RATE CONCAT]],Tables!I:N,6,0)),0)</f>
        <v/>
      </c>
      <c r="EM46" s="275" t="n"/>
      <c r="EN46" s="345">
        <f>Table4[[#This Row],[Sep_2027_F]]-Table4[[#This Row],[Sep_2027_A]]</f>
        <v/>
      </c>
      <c r="EO46" s="345">
        <f>IFERROR(Table4[[#This Row],[Oct_2027_Days_Forecast]]*Table4[[#This Row],[Cost Boolean]]*(VLOOKUP(Table4[[#This Row],[RATE CONCAT]],Tables!I:N,6,0)),0)</f>
        <v/>
      </c>
      <c r="EP46" s="275" t="n"/>
      <c r="EQ46" s="345">
        <f>Table4[[#This Row],[Oct_2027_F]]-Table4[[#This Row],[Oct_2027_A]]</f>
        <v/>
      </c>
      <c r="ER46" s="345">
        <f>IFERROR(Table4[[#This Row],[Nov_2027_Days_Forecast]]*Table4[[#This Row],[Cost Boolean]]*(VLOOKUP(Table4[[#This Row],[RATE CONCAT]],Tables!I:N,6,0)),0)</f>
        <v/>
      </c>
      <c r="ES46" s="275" t="n"/>
      <c r="ET46" s="345">
        <f>Table4[[#This Row],[Nov_2027_F]]-Table4[[#This Row],[Nov_2027_A]]</f>
        <v/>
      </c>
      <c r="EU46" s="345">
        <f>IFERROR(Table4[[#This Row],[Dec_2027_Days_Forecast]]*Table4[[#This Row],[Cost Boolean]]*(VLOOKUP(Table4[[#This Row],[RATE CONCAT]],Tables!I:N,6,0)),0)</f>
        <v/>
      </c>
      <c r="EV46" s="275" t="n"/>
      <c r="EW46" s="345">
        <f>Table4[[#This Row],[Dec_2027_F]]-Table4[[#This Row],[Dec_2027_A]]</f>
        <v/>
      </c>
    </row>
    <row r="47" ht="1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350">
        <f>CONCATENATE(Table4[[#This Row],[JG]],Table4[[#This Row],[Country]],Table4[[#This Row],[Resource Provider]])</f>
        <v/>
      </c>
      <c r="Z47" s="350">
        <f>VLOOKUP(Table4[[#This Row],[RATE CONCAT]],Tables!I:N,5,0)</f>
        <v/>
      </c>
      <c r="AA47" s="53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353">
        <f>IFERROR(AVERAGE(Table4[[#This Row],[Jan_2026_Days_Forecast]:[Dec_2026_Days_Forecast]]),0)/19</f>
        <v/>
      </c>
      <c r="AO47" s="353">
        <f>IFERROR(AVERAGE(Table4[[#This Row],[Jan_2026_Days_Actual]:[Dec_2026_Days_Actual]]),0)/19</f>
        <v/>
      </c>
      <c r="AP47" s="84" t="n"/>
      <c r="AQ47" s="84" t="n"/>
      <c r="AR47" s="84" t="n"/>
      <c r="AS47" s="84" t="n"/>
      <c r="AT47" s="84" t="n"/>
      <c r="AU47" s="84" t="n"/>
      <c r="AV47" s="84" t="n"/>
      <c r="AW47" s="84" t="n"/>
      <c r="AX47" s="84" t="n"/>
      <c r="AY47" s="84" t="n"/>
      <c r="AZ47" s="84" t="n"/>
      <c r="BA47" s="84" t="n"/>
      <c r="BB47" s="353">
        <f>IFERROR(AVERAGE(Table4[[#This Row],[Jan_2027_Days_Forecast]:[Dec_2027_Days_Forecast]]),0)</f>
        <v/>
      </c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  <c r="BL47" s="16" t="n"/>
      <c r="BM47" s="16" t="n"/>
      <c r="BN47" s="16" t="n"/>
      <c r="BO47" s="55" t="n"/>
      <c r="BP47" s="346" t="n"/>
      <c r="BQ47" s="347">
        <f>Table4[[#This Row],[Jan_2026_Days_Forecast]]*Table4[[#This Row],[Cost Boolean]]*VLOOKUP(Table4[[#This Row],[RATE CONCAT]],Tables!I:N,5,0)</f>
        <v/>
      </c>
      <c r="BR47" s="347">
        <f>IFERROR(Table4[[#This Row],[Jan_2026_Days_Actual]]*Table4[[#This Row],[Cost Boolean]]*(VLOOKUP(Table4[[#This Row],[RATE CONCAT]],Tables!I:N,5,0)),0)</f>
        <v/>
      </c>
      <c r="BS47" s="347">
        <f>Table4[[#This Row],[Jan_2026_F]]-Table4[[#This Row],[Jan_2026_A]]</f>
        <v/>
      </c>
      <c r="BT47" s="107" t="n"/>
      <c r="BU47" s="347">
        <f>IFERROR(Table4[[#This Row],[Feb_2026_Days_Forecast]]*Table4[[#This Row],[Cost Boolean]]*(VLOOKUP(Table4[[#This Row],[RATE CONCAT]],Tables!I:N,5,0)),0)</f>
        <v/>
      </c>
      <c r="BV47" s="347">
        <f>IFERROR(Table4[[#This Row],[Feb_2026_Days_Actual]]*Table4[[#This Row],[Cost Boolean]]*(VLOOKUP(Table4[[#This Row],[RATE CONCAT]],Tables!I:N,5,0)),0)</f>
        <v/>
      </c>
      <c r="BW47" s="347">
        <f>Table4[[#This Row],[Feb_2026_F]]-Table4[[#This Row],[Feb_2026_A]]</f>
        <v/>
      </c>
      <c r="BX47" s="103" t="n"/>
      <c r="BY47" s="347">
        <f>IFERROR(Table4[[#This Row],[Mar_2026_Days_Forecast]]*Table4[[#This Row],[Cost Boolean]]*(VLOOKUP(Table4[[#This Row],[RATE CONCAT]],Tables!I:N,5,0)),0)</f>
        <v/>
      </c>
      <c r="BZ47" s="347">
        <f>IFERROR(Table4[[#This Row],[Mar_2026_Days_Actual]]*Table4[[#This Row],[Cost Boolean]]*(VLOOKUP(Table4[[#This Row],[RATE CONCAT]],Tables!I:N,5,0)),0)</f>
        <v/>
      </c>
      <c r="CA47" s="347">
        <f>Table4[[#This Row],[Mar_2026_F]]-Table4[[#This Row],[Mar_2026_A]]</f>
        <v/>
      </c>
      <c r="CB47" s="103" t="n"/>
      <c r="CC47" s="347">
        <f>IFERROR(Table4[[#This Row],[Apr_2026_Days_Forecast]]*Table4[[#This Row],[Cost Boolean]]*(VLOOKUP(Table4[[#This Row],[RATE CONCAT]],Tables!I:N,5,0)),0)</f>
        <v/>
      </c>
      <c r="CD47" s="347">
        <f>IFERROR(Table4[[#This Row],[Apr_2026_Days_Actual]]*Table4[[#This Row],[Cost Boolean]]*(VLOOKUP(Table4[[#This Row],[RATE CONCAT]],Tables!I:N,5,0)),0)</f>
        <v/>
      </c>
      <c r="CE47" s="347">
        <f>Table4[[#This Row],[Apr_2026_F]]-Table4[[#This Row],[Apr_2026_A]]</f>
        <v/>
      </c>
      <c r="CF47" s="103" t="n"/>
      <c r="CG47" s="347">
        <f>IFERROR(Table4[[#This Row],[May_2026_Days_Forecast]] *Table4[[#This Row],[Cost Boolean]]*(VLOOKUP(Table4[[#This Row],[RATE CONCAT]],Tables!I:N,5,0)),0)</f>
        <v/>
      </c>
      <c r="CH47" s="347">
        <f>IFERROR(Table4[[#This Row],[May_2026_Days_Actual]]*Table4[[#This Row],[Cost Boolean]]*(VLOOKUP(Table4[[#This Row],[RATE CONCAT]],Tables!I:N,5,0)),0)</f>
        <v/>
      </c>
      <c r="CI47" s="347">
        <f>Table4[[#This Row],[May_2026_F]]-Table4[[#This Row],[May_2026_A]]</f>
        <v/>
      </c>
      <c r="CJ47" s="103" t="n"/>
      <c r="CK47" s="347">
        <f>IFERROR(Table4[[#This Row],[Jun_2026_Days_Forecast]]*Table4[[#This Row],[Cost Boolean]]*(VLOOKUP(Table4[[#This Row],[RATE CONCAT]],Tables!I:N,5,0)),0)</f>
        <v/>
      </c>
      <c r="CL47" s="347">
        <f>IFERROR(Table4[[#This Row],[Jun_2026_Days_Actual]]*Table4[[#This Row],[Cost Boolean]]*(VLOOKUP(Table4[[#This Row],[RATE CONCAT]],Tables!I:N,5,0)),0)</f>
        <v/>
      </c>
      <c r="CM47" s="347">
        <f>Table4[[#This Row],[Jun_2026_F]]-Table4[[#This Row],[Jun_2026_A]]</f>
        <v/>
      </c>
      <c r="CN47" s="103" t="n"/>
      <c r="CO47" s="347">
        <f>IFERROR(Table4[[#This Row],[Jul_2026_Days_Forecast]]*Table4[[#This Row],[Cost Boolean]]*(VLOOKUP(Table4[[#This Row],[RATE CONCAT]],Tables!I:N,5,0)),0)</f>
        <v/>
      </c>
      <c r="CP47" s="347">
        <f>IFERROR(Table4[[#This Row],[Aug_2026_Days_Forecast]]*Table4[[#This Row],[Location]]*(VLOOKUP(Table4[[#This Row],[Rate]],Tables!J:O,5,0)),0)</f>
        <v/>
      </c>
      <c r="CQ47" s="347">
        <f>Table4[[#This Row],[Jul_2026_F]]-Table4[[#This Row],[Jul_2026_A]]</f>
        <v/>
      </c>
      <c r="CR47" s="103" t="n"/>
      <c r="CS47" s="347">
        <f>IFERROR(Table4[[#This Row],[Aug_2026_Days_Forecast]]*Table4[[#This Row],[Cost Boolean]]*(VLOOKUP(Table4[[#This Row],[RATE CONCAT]],Tables!I:N,5,0)),0)</f>
        <v/>
      </c>
      <c r="CT47" s="347">
        <f>IFERROR(Table4[[#This Row],[Aug_2026_Days_Actual]]*Table4[[#This Row],[Cost Boolean]]*(VLOOKUP(Table4[[#This Row],[RATE CONCAT]],Tables!I:N,5,0)),0)</f>
        <v/>
      </c>
      <c r="CU47" s="347">
        <f>Table4[[#This Row],[Aug_2026_F]]-Table4[[#This Row],[Aug_2026_A]]</f>
        <v/>
      </c>
      <c r="CV47" s="103" t="n"/>
      <c r="CW47" s="347">
        <f>IFERROR(Table4[[#This Row],[Sep_2026_Days_Forecast]]*Table4[[#This Row],[Cost Boolean]]*(VLOOKUP(Table4[[#This Row],[RATE CONCAT]],Tables!I:N,5,0)),0)</f>
        <v/>
      </c>
      <c r="CX47" s="347">
        <f>IFERROR(Table4[[#This Row],[Sep_2026_Days_Actual]]*Table4[[#This Row],[Cost Boolean]]*(VLOOKUP(Table4[[#This Row],[RATE CONCAT]],Tables!I:N,5,0)),0)</f>
        <v/>
      </c>
      <c r="CY47" s="347">
        <f>Table4[[#This Row],[Sep_2026_F]]-Table4[[#This Row],[Sep_2026_A]]</f>
        <v/>
      </c>
      <c r="CZ47" s="103" t="n"/>
      <c r="DA47" s="347">
        <f>IFERROR(Table4[[#This Row],[Oct_2026_Days_Forecast]]*Table4[[#This Row],[Cost Boolean]]*(VLOOKUP(Table4[[#This Row],[RATE CONCAT]],Tables!I:N,5,0)),0)</f>
        <v/>
      </c>
      <c r="DB47" s="347">
        <f>IFERROR(Table4[[#This Row],[Oct_2026_Days_Actual]]*Table4[[#This Row],[Cost Boolean]]*(VLOOKUP(Table4[[#This Row],[RATE CONCAT]],Tables!I:N,5,0)),0)</f>
        <v/>
      </c>
      <c r="DC47" s="347">
        <f>Table4[[#This Row],[Oct_2026_F]]-Table4[[#This Row],[Oct_2026_A]]</f>
        <v/>
      </c>
      <c r="DD47" s="103" t="n"/>
      <c r="DE47" s="347">
        <f>IFERROR(Table4[[#This Row],[Nov_2026_Days_Forecast]]*Table4[[#This Row],[Cost Boolean]]*(VLOOKUP(Table4[[#This Row],[RATE CONCAT]],Tables!I:N,5,0)),0)</f>
        <v/>
      </c>
      <c r="DF47" s="347">
        <f>IFERROR(Table4[[#This Row],[Nov_2026_Days_Actual]]*Table4[[#This Row],[Cost Boolean]]*(VLOOKUP(Table4[[#This Row],[RATE CONCAT]],Tables!I:N,5,0)),0)</f>
        <v/>
      </c>
      <c r="DG47" s="347">
        <f>Table4[[#This Row],[Nov_2026_F]]-Table4[[#This Row],[Nov_2026_A]]</f>
        <v/>
      </c>
      <c r="DH47" s="103" t="n"/>
      <c r="DI47" s="347">
        <f>IFERROR(Table4[[#This Row],[Dec_2026_Days_Forecast]]*Table4[[#This Row],[Cost Boolean]]*(VLOOKUP(Table4[[#This Row],[RATE CONCAT]],Tables!I:N,5,0)),0)</f>
        <v/>
      </c>
      <c r="DJ47" s="347">
        <f>IFERROR(Table4[[#This Row],[Dec_2026_Days_Actual]]*Table4[[#This Row],[Cost Boolean]]*(VLOOKUP(Table4[[#This Row],[RATE CONCAT]],Tables!I:N,5,0)),0)</f>
        <v/>
      </c>
      <c r="DK47" s="347">
        <f>Table4[[#This Row],[Dec_2026_F]]-Table4[[#This Row],[Dec_2026_A]]</f>
        <v/>
      </c>
      <c r="DL47" s="103" t="n"/>
      <c r="DM47" s="346" t="n"/>
      <c r="DN47" s="347">
        <f>IFERROR(Table4[[#This Row],[Jan_2027_Days_Forecast]]*Table4[[#This Row],[Cost Boolean]]*(VLOOKUP(Table4[[#This Row],[RATE CONCAT]],Tables!I:N,6,0)),0)</f>
        <v/>
      </c>
      <c r="DO47" s="275" t="n"/>
      <c r="DP47" s="347">
        <f>Table4[[#This Row],[Jan_2027_F]]-Table4[[#This Row],[Jan_2027_A]]</f>
        <v/>
      </c>
      <c r="DQ47" s="347">
        <f>IFERROR(Table4[[#This Row],[Feb_2027_Days_Forecast]]*Table4[[#This Row],[Cost Boolean]]*(VLOOKUP(Table4[[#This Row],[RATE CONCAT]],Tables!I:N,6,0)),0)</f>
        <v/>
      </c>
      <c r="DR47" s="275" t="n"/>
      <c r="DS47" s="347">
        <f>Table4[[#This Row],[Feb_2027_F]]-Table4[[#This Row],[Feb_2027_A]]</f>
        <v/>
      </c>
      <c r="DT47" s="347">
        <f>IFERROR(Table4[[#This Row],[Mar_2027_Days_Forecast]]*Table4[[#This Row],[Cost Boolean]]*(VLOOKUP(Table4[[#This Row],[RATE CONCAT]],Tables!I:N,6,0)),0)</f>
        <v/>
      </c>
      <c r="DU47" s="275" t="n"/>
      <c r="DV47" s="347">
        <f>Table4[[#This Row],[Mar_2027_F]]-Table4[[#This Row],[Mar_2027_A]]</f>
        <v/>
      </c>
      <c r="DW47" s="347">
        <f>IFERROR(Table4[[#This Row],[Apr_2027_Days_Forecast]]*Table4[[#This Row],[Cost Boolean]]*(VLOOKUP(Table4[[#This Row],[RATE CONCAT]],Tables!I:N,6,0)),0)</f>
        <v/>
      </c>
      <c r="DX47" s="275" t="n"/>
      <c r="DY47" s="347">
        <f>Table4[[#This Row],[Apr_2027_F]]-Table4[[#This Row],[Apr_2027_A]]</f>
        <v/>
      </c>
      <c r="DZ47" s="347">
        <f>IFERROR(Table4[[#This Row],[May_2027_Days_Forecast]]*Table4[[#This Row],[Cost Boolean]]*(VLOOKUP(Table4[[#This Row],[RATE CONCAT]],Tables!I:N,6,0)),0)</f>
        <v/>
      </c>
      <c r="EA47" s="275" t="n"/>
      <c r="EB47" s="347">
        <f>Table4[[#This Row],[May_2027_F]]-Table4[[#This Row],[May_2027_A]]</f>
        <v/>
      </c>
      <c r="EC47" s="347">
        <f>IFERROR(Table4[[#This Row],[Jun_2027_Days_Forecast]]*Table4[[#This Row],[Cost Boolean]]*(VLOOKUP(Table4[[#This Row],[RATE CONCAT]],Tables!I:N,6,0)),0)</f>
        <v/>
      </c>
      <c r="ED47" s="275" t="n"/>
      <c r="EE47" s="347">
        <f>Table4[[#This Row],[Jun_2027_F]]-Table4[[#This Row],[Jun_2027_A]]</f>
        <v/>
      </c>
      <c r="EF47" s="347">
        <f>IFERROR(Table4[[#This Row],[Jul_2027_Days_Forecast]]*Table4[[#This Row],[Cost Boolean]]*(VLOOKUP(Table4[[#This Row],[RATE CONCAT]],Tables!I:N,6,0)),0)</f>
        <v/>
      </c>
      <c r="EG47" s="275" t="n"/>
      <c r="EH47" s="347">
        <f>Table4[[#This Row],[Jul_2027_F]]-Table4[[#This Row],[Jul_2027_A]]</f>
        <v/>
      </c>
      <c r="EI47" s="347">
        <f>IFERROR(Table4[[#This Row],[Aug_2027_Days_Forecast]]*Table4[[#This Row],[Cost Boolean]]*(VLOOKUP(Table4[[#This Row],[RATE CONCAT]],Tables!I:N,6,0)),0)</f>
        <v/>
      </c>
      <c r="EJ47" s="275" t="n"/>
      <c r="EK47" s="347">
        <f>Table4[[#This Row],[Aug_2027_F]]-Table4[[#This Row],[Aug_2027_A]]</f>
        <v/>
      </c>
      <c r="EL47" s="347">
        <f>IFERROR(Table4[[#This Row],[Sep_2027_Days_Forecast]]*Table4[[#This Row],[Cost Boolean]]*(VLOOKUP(Table4[[#This Row],[RATE CONCAT]],Tables!I:N,6,0)),0)</f>
        <v/>
      </c>
      <c r="EM47" s="275" t="n"/>
      <c r="EN47" s="347">
        <f>Table4[[#This Row],[Sep_2027_F]]-Table4[[#This Row],[Sep_2027_A]]</f>
        <v/>
      </c>
      <c r="EO47" s="347">
        <f>IFERROR(Table4[[#This Row],[Oct_2027_Days_Forecast]]*Table4[[#This Row],[Cost Boolean]]*(VLOOKUP(Table4[[#This Row],[RATE CONCAT]],Tables!I:N,6,0)),0)</f>
        <v/>
      </c>
      <c r="EP47" s="275" t="n"/>
      <c r="EQ47" s="347">
        <f>Table4[[#This Row],[Oct_2027_F]]-Table4[[#This Row],[Oct_2027_A]]</f>
        <v/>
      </c>
      <c r="ER47" s="347">
        <f>IFERROR(Table4[[#This Row],[Nov_2027_Days_Forecast]]*Table4[[#This Row],[Cost Boolean]]*(VLOOKUP(Table4[[#This Row],[RATE CONCAT]],Tables!I:N,6,0)),0)</f>
        <v/>
      </c>
      <c r="ES47" s="275" t="n"/>
      <c r="ET47" s="347">
        <f>Table4[[#This Row],[Nov_2027_F]]-Table4[[#This Row],[Nov_2027_A]]</f>
        <v/>
      </c>
      <c r="EU47" s="347">
        <f>IFERROR(Table4[[#This Row],[Dec_2027_Days_Forecast]]*Table4[[#This Row],[Cost Boolean]]*(VLOOKUP(Table4[[#This Row],[RATE CONCAT]],Tables!I:N,6,0)),0)</f>
        <v/>
      </c>
      <c r="EV47" s="275" t="n"/>
      <c r="EW47" s="347">
        <f>Table4[[#This Row],[Dec_2027_F]]-Table4[[#This Row],[Dec_2027_A]]</f>
        <v/>
      </c>
    </row>
    <row r="48" ht="1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350">
        <f>CONCATENATE(Table4[[#This Row],[JG]],Table4[[#This Row],[Country]],Table4[[#This Row],[Resource Provider]])</f>
        <v/>
      </c>
      <c r="Z48" s="350">
        <f>VLOOKUP(Table4[[#This Row],[RATE CONCAT]],Tables!I:N,5,0)</f>
        <v/>
      </c>
      <c r="AA48" s="53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353">
        <f>IFERROR(AVERAGE(Table4[[#This Row],[Jan_2026_Days_Forecast]:[Dec_2026_Days_Forecast]]),0)/19</f>
        <v/>
      </c>
      <c r="AO48" s="353">
        <f>IFERROR(AVERAGE(Table4[[#This Row],[Jan_2026_Days_Actual]:[Dec_2026_Days_Actual]]),0)/19</f>
        <v/>
      </c>
      <c r="AP48" s="84" t="n"/>
      <c r="AQ48" s="84" t="n"/>
      <c r="AR48" s="84" t="n"/>
      <c r="AS48" s="84" t="n"/>
      <c r="AT48" s="84" t="n"/>
      <c r="AU48" s="84" t="n"/>
      <c r="AV48" s="84" t="n"/>
      <c r="AW48" s="84" t="n"/>
      <c r="AX48" s="84" t="n"/>
      <c r="AY48" s="84" t="n"/>
      <c r="AZ48" s="84" t="n"/>
      <c r="BA48" s="84" t="n"/>
      <c r="BB48" s="353">
        <f>IFERROR(AVERAGE(Table4[[#This Row],[Jan_2027_Days_Forecast]:[Dec_2027_Days_Forecast]]),0)</f>
        <v/>
      </c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55" t="n"/>
      <c r="BP48" s="346" t="n"/>
      <c r="BQ48" s="345">
        <f>Table4[[#This Row],[Jan_2026_Days_Forecast]]*Table4[[#This Row],[Cost Boolean]]*VLOOKUP(Table4[[#This Row],[RATE CONCAT]],Tables!I:N,5,0)</f>
        <v/>
      </c>
      <c r="BR48" s="345">
        <f>IFERROR(Table4[[#This Row],[Jan_2026_Days_Actual]]*Table4[[#This Row],[Cost Boolean]]*(VLOOKUP(Table4[[#This Row],[RATE CONCAT]],Tables!I:N,5,0)),0)</f>
        <v/>
      </c>
      <c r="BS48" s="345">
        <f>Table4[[#This Row],[Jan_2026_F]]-Table4[[#This Row],[Jan_2026_A]]</f>
        <v/>
      </c>
      <c r="BT48" s="107" t="n"/>
      <c r="BU48" s="345">
        <f>IFERROR(Table4[[#This Row],[Feb_2026_Days_Forecast]]*Table4[[#This Row],[Cost Boolean]]*(VLOOKUP(Table4[[#This Row],[RATE CONCAT]],Tables!I:N,5,0)),0)</f>
        <v/>
      </c>
      <c r="BV48" s="345">
        <f>IFERROR(Table4[[#This Row],[Feb_2026_Days_Actual]]*Table4[[#This Row],[Cost Boolean]]*(VLOOKUP(Table4[[#This Row],[RATE CONCAT]],Tables!I:N,5,0)),0)</f>
        <v/>
      </c>
      <c r="BW48" s="345">
        <f>Table4[[#This Row],[Feb_2026_F]]-Table4[[#This Row],[Feb_2026_A]]</f>
        <v/>
      </c>
      <c r="BX48" s="103" t="n"/>
      <c r="BY48" s="345">
        <f>IFERROR(Table4[[#This Row],[Mar_2026_Days_Forecast]]*Table4[[#This Row],[Cost Boolean]]*(VLOOKUP(Table4[[#This Row],[RATE CONCAT]],Tables!I:N,5,0)),0)</f>
        <v/>
      </c>
      <c r="BZ48" s="345">
        <f>IFERROR(Table4[[#This Row],[Mar_2026_Days_Actual]]*Table4[[#This Row],[Cost Boolean]]*(VLOOKUP(Table4[[#This Row],[RATE CONCAT]],Tables!I:N,5,0)),0)</f>
        <v/>
      </c>
      <c r="CA48" s="345">
        <f>Table4[[#This Row],[Mar_2026_F]]-Table4[[#This Row],[Mar_2026_A]]</f>
        <v/>
      </c>
      <c r="CB48" s="103" t="n"/>
      <c r="CC48" s="345">
        <f>IFERROR(Table4[[#This Row],[Apr_2026_Days_Forecast]]*Table4[[#This Row],[Cost Boolean]]*(VLOOKUP(Table4[[#This Row],[RATE CONCAT]],Tables!I:N,5,0)),0)</f>
        <v/>
      </c>
      <c r="CD48" s="345">
        <f>IFERROR(Table4[[#This Row],[Apr_2026_Days_Actual]]*Table4[[#This Row],[Cost Boolean]]*(VLOOKUP(Table4[[#This Row],[RATE CONCAT]],Tables!I:N,5,0)),0)</f>
        <v/>
      </c>
      <c r="CE48" s="345">
        <f>Table4[[#This Row],[Apr_2026_F]]-Table4[[#This Row],[Apr_2026_A]]</f>
        <v/>
      </c>
      <c r="CF48" s="103" t="n"/>
      <c r="CG48" s="345">
        <f>IFERROR(Table4[[#This Row],[May_2026_Days_Forecast]] *Table4[[#This Row],[Cost Boolean]]*(VLOOKUP(Table4[[#This Row],[RATE CONCAT]],Tables!I:N,5,0)),0)</f>
        <v/>
      </c>
      <c r="CH48" s="345">
        <f>IFERROR(Table4[[#This Row],[May_2026_Days_Actual]]*Table4[[#This Row],[Cost Boolean]]*(VLOOKUP(Table4[[#This Row],[RATE CONCAT]],Tables!I:N,5,0)),0)</f>
        <v/>
      </c>
      <c r="CI48" s="345">
        <f>Table4[[#This Row],[May_2026_F]]-Table4[[#This Row],[May_2026_A]]</f>
        <v/>
      </c>
      <c r="CJ48" s="103" t="n"/>
      <c r="CK48" s="345">
        <f>IFERROR(Table4[[#This Row],[Jun_2026_Days_Forecast]]*Table4[[#This Row],[Cost Boolean]]*(VLOOKUP(Table4[[#This Row],[RATE CONCAT]],Tables!I:N,5,0)),0)</f>
        <v/>
      </c>
      <c r="CL48" s="345">
        <f>IFERROR(Table4[[#This Row],[Jun_2026_Days_Actual]]*Table4[[#This Row],[Cost Boolean]]*(VLOOKUP(Table4[[#This Row],[RATE CONCAT]],Tables!I:N,5,0)),0)</f>
        <v/>
      </c>
      <c r="CM48" s="345">
        <f>Table4[[#This Row],[Jun_2026_F]]-Table4[[#This Row],[Jun_2026_A]]</f>
        <v/>
      </c>
      <c r="CN48" s="103" t="n"/>
      <c r="CO48" s="345">
        <f>IFERROR(Table4[[#This Row],[Jul_2026_Days_Forecast]]*Table4[[#This Row],[Cost Boolean]]*(VLOOKUP(Table4[[#This Row],[RATE CONCAT]],Tables!I:N,5,0)),0)</f>
        <v/>
      </c>
      <c r="CP48" s="345">
        <f>IFERROR(Table4[[#This Row],[Aug_2026_Days_Forecast]]*Table4[[#This Row],[Location]]*(VLOOKUP(Table4[[#This Row],[Rate]],Tables!J:O,5,0)),0)</f>
        <v/>
      </c>
      <c r="CQ48" s="345">
        <f>Table4[[#This Row],[Jul_2026_F]]-Table4[[#This Row],[Jul_2026_A]]</f>
        <v/>
      </c>
      <c r="CR48" s="103" t="n"/>
      <c r="CS48" s="345">
        <f>IFERROR(Table4[[#This Row],[Aug_2026_Days_Forecast]]*Table4[[#This Row],[Cost Boolean]]*(VLOOKUP(Table4[[#This Row],[RATE CONCAT]],Tables!I:N,5,0)),0)</f>
        <v/>
      </c>
      <c r="CT48" s="345">
        <f>IFERROR(Table4[[#This Row],[Aug_2026_Days_Actual]]*Table4[[#This Row],[Cost Boolean]]*(VLOOKUP(Table4[[#This Row],[RATE CONCAT]],Tables!I:N,5,0)),0)</f>
        <v/>
      </c>
      <c r="CU48" s="345">
        <f>Table4[[#This Row],[Aug_2026_F]]-Table4[[#This Row],[Aug_2026_A]]</f>
        <v/>
      </c>
      <c r="CV48" s="103" t="n"/>
      <c r="CW48" s="345">
        <f>IFERROR(Table4[[#This Row],[Sep_2026_Days_Forecast]]*Table4[[#This Row],[Cost Boolean]]*(VLOOKUP(Table4[[#This Row],[RATE CONCAT]],Tables!I:N,5,0)),0)</f>
        <v/>
      </c>
      <c r="CX48" s="345">
        <f>IFERROR(Table4[[#This Row],[Sep_2026_Days_Actual]]*Table4[[#This Row],[Cost Boolean]]*(VLOOKUP(Table4[[#This Row],[RATE CONCAT]],Tables!I:N,5,0)),0)</f>
        <v/>
      </c>
      <c r="CY48" s="345">
        <f>Table4[[#This Row],[Sep_2026_F]]-Table4[[#This Row],[Sep_2026_A]]</f>
        <v/>
      </c>
      <c r="CZ48" s="103" t="n"/>
      <c r="DA48" s="345">
        <f>IFERROR(Table4[[#This Row],[Oct_2026_Days_Forecast]]*Table4[[#This Row],[Cost Boolean]]*(VLOOKUP(Table4[[#This Row],[RATE CONCAT]],Tables!I:N,5,0)),0)</f>
        <v/>
      </c>
      <c r="DB48" s="345">
        <f>IFERROR(Table4[[#This Row],[Oct_2026_Days_Actual]]*Table4[[#This Row],[Cost Boolean]]*(VLOOKUP(Table4[[#This Row],[RATE CONCAT]],Tables!I:N,5,0)),0)</f>
        <v/>
      </c>
      <c r="DC48" s="345">
        <f>Table4[[#This Row],[Oct_2026_F]]-Table4[[#This Row],[Oct_2026_A]]</f>
        <v/>
      </c>
      <c r="DD48" s="103" t="n"/>
      <c r="DE48" s="345">
        <f>IFERROR(Table4[[#This Row],[Nov_2026_Days_Forecast]]*Table4[[#This Row],[Cost Boolean]]*(VLOOKUP(Table4[[#This Row],[RATE CONCAT]],Tables!I:N,5,0)),0)</f>
        <v/>
      </c>
      <c r="DF48" s="345">
        <f>IFERROR(Table4[[#This Row],[Nov_2026_Days_Actual]]*Table4[[#This Row],[Cost Boolean]]*(VLOOKUP(Table4[[#This Row],[RATE CONCAT]],Tables!I:N,5,0)),0)</f>
        <v/>
      </c>
      <c r="DG48" s="345">
        <f>Table4[[#This Row],[Nov_2026_F]]-Table4[[#This Row],[Nov_2026_A]]</f>
        <v/>
      </c>
      <c r="DH48" s="103" t="n"/>
      <c r="DI48" s="345">
        <f>IFERROR(Table4[[#This Row],[Dec_2026_Days_Forecast]]*Table4[[#This Row],[Cost Boolean]]*(VLOOKUP(Table4[[#This Row],[RATE CONCAT]],Tables!I:N,5,0)),0)</f>
        <v/>
      </c>
      <c r="DJ48" s="345">
        <f>IFERROR(Table4[[#This Row],[Dec_2026_Days_Actual]]*Table4[[#This Row],[Cost Boolean]]*(VLOOKUP(Table4[[#This Row],[RATE CONCAT]],Tables!I:N,5,0)),0)</f>
        <v/>
      </c>
      <c r="DK48" s="345">
        <f>Table4[[#This Row],[Dec_2026_F]]-Table4[[#This Row],[Dec_2026_A]]</f>
        <v/>
      </c>
      <c r="DL48" s="103" t="n"/>
      <c r="DM48" s="346" t="n"/>
      <c r="DN48" s="345">
        <f>IFERROR(Table4[[#This Row],[Jan_2027_Days_Forecast]]*Table4[[#This Row],[Cost Boolean]]*(VLOOKUP(Table4[[#This Row],[RATE CONCAT]],Tables!I:N,6,0)),0)</f>
        <v/>
      </c>
      <c r="DO48" s="275" t="n"/>
      <c r="DP48" s="345">
        <f>Table4[[#This Row],[Jan_2027_F]]-Table4[[#This Row],[Jan_2027_A]]</f>
        <v/>
      </c>
      <c r="DQ48" s="345">
        <f>IFERROR(Table4[[#This Row],[Feb_2027_Days_Forecast]]*Table4[[#This Row],[Cost Boolean]]*(VLOOKUP(Table4[[#This Row],[RATE CONCAT]],Tables!I:N,6,0)),0)</f>
        <v/>
      </c>
      <c r="DR48" s="275" t="n"/>
      <c r="DS48" s="345">
        <f>Table4[[#This Row],[Feb_2027_F]]-Table4[[#This Row],[Feb_2027_A]]</f>
        <v/>
      </c>
      <c r="DT48" s="345">
        <f>IFERROR(Table4[[#This Row],[Mar_2027_Days_Forecast]]*Table4[[#This Row],[Cost Boolean]]*(VLOOKUP(Table4[[#This Row],[RATE CONCAT]],Tables!I:N,6,0)),0)</f>
        <v/>
      </c>
      <c r="DU48" s="275" t="n"/>
      <c r="DV48" s="345">
        <f>Table4[[#This Row],[Mar_2027_F]]-Table4[[#This Row],[Mar_2027_A]]</f>
        <v/>
      </c>
      <c r="DW48" s="345">
        <f>IFERROR(Table4[[#This Row],[Apr_2027_Days_Forecast]]*Table4[[#This Row],[Cost Boolean]]*(VLOOKUP(Table4[[#This Row],[RATE CONCAT]],Tables!I:N,6,0)),0)</f>
        <v/>
      </c>
      <c r="DX48" s="275" t="n"/>
      <c r="DY48" s="345">
        <f>Table4[[#This Row],[Apr_2027_F]]-Table4[[#This Row],[Apr_2027_A]]</f>
        <v/>
      </c>
      <c r="DZ48" s="345">
        <f>IFERROR(Table4[[#This Row],[May_2027_Days_Forecast]]*Table4[[#This Row],[Cost Boolean]]*(VLOOKUP(Table4[[#This Row],[RATE CONCAT]],Tables!I:N,6,0)),0)</f>
        <v/>
      </c>
      <c r="EA48" s="275" t="n"/>
      <c r="EB48" s="345">
        <f>Table4[[#This Row],[May_2027_F]]-Table4[[#This Row],[May_2027_A]]</f>
        <v/>
      </c>
      <c r="EC48" s="345">
        <f>IFERROR(Table4[[#This Row],[Jun_2027_Days_Forecast]]*Table4[[#This Row],[Cost Boolean]]*(VLOOKUP(Table4[[#This Row],[RATE CONCAT]],Tables!I:N,6,0)),0)</f>
        <v/>
      </c>
      <c r="ED48" s="275" t="n"/>
      <c r="EE48" s="345">
        <f>Table4[[#This Row],[Jun_2027_F]]-Table4[[#This Row],[Jun_2027_A]]</f>
        <v/>
      </c>
      <c r="EF48" s="345">
        <f>IFERROR(Table4[[#This Row],[Jul_2027_Days_Forecast]]*Table4[[#This Row],[Cost Boolean]]*(VLOOKUP(Table4[[#This Row],[RATE CONCAT]],Tables!I:N,6,0)),0)</f>
        <v/>
      </c>
      <c r="EG48" s="275" t="n"/>
      <c r="EH48" s="345">
        <f>Table4[[#This Row],[Jul_2027_F]]-Table4[[#This Row],[Jul_2027_A]]</f>
        <v/>
      </c>
      <c r="EI48" s="345">
        <f>IFERROR(Table4[[#This Row],[Aug_2027_Days_Forecast]]*Table4[[#This Row],[Cost Boolean]]*(VLOOKUP(Table4[[#This Row],[RATE CONCAT]],Tables!I:N,6,0)),0)</f>
        <v/>
      </c>
      <c r="EJ48" s="275" t="n"/>
      <c r="EK48" s="345">
        <f>Table4[[#This Row],[Aug_2027_F]]-Table4[[#This Row],[Aug_2027_A]]</f>
        <v/>
      </c>
      <c r="EL48" s="345">
        <f>IFERROR(Table4[[#This Row],[Sep_2027_Days_Forecast]]*Table4[[#This Row],[Cost Boolean]]*(VLOOKUP(Table4[[#This Row],[RATE CONCAT]],Tables!I:N,6,0)),0)</f>
        <v/>
      </c>
      <c r="EM48" s="275" t="n"/>
      <c r="EN48" s="345">
        <f>Table4[[#This Row],[Sep_2027_F]]-Table4[[#This Row],[Sep_2027_A]]</f>
        <v/>
      </c>
      <c r="EO48" s="345">
        <f>IFERROR(Table4[[#This Row],[Oct_2027_Days_Forecast]]*Table4[[#This Row],[Cost Boolean]]*(VLOOKUP(Table4[[#This Row],[RATE CONCAT]],Tables!I:N,6,0)),0)</f>
        <v/>
      </c>
      <c r="EP48" s="275" t="n"/>
      <c r="EQ48" s="345">
        <f>Table4[[#This Row],[Oct_2027_F]]-Table4[[#This Row],[Oct_2027_A]]</f>
        <v/>
      </c>
      <c r="ER48" s="345">
        <f>IFERROR(Table4[[#This Row],[Nov_2027_Days_Forecast]]*Table4[[#This Row],[Cost Boolean]]*(VLOOKUP(Table4[[#This Row],[RATE CONCAT]],Tables!I:N,6,0)),0)</f>
        <v/>
      </c>
      <c r="ES48" s="275" t="n"/>
      <c r="ET48" s="345">
        <f>Table4[[#This Row],[Nov_2027_F]]-Table4[[#This Row],[Nov_2027_A]]</f>
        <v/>
      </c>
      <c r="EU48" s="345">
        <f>IFERROR(Table4[[#This Row],[Dec_2027_Days_Forecast]]*Table4[[#This Row],[Cost Boolean]]*(VLOOKUP(Table4[[#This Row],[RATE CONCAT]],Tables!I:N,6,0)),0)</f>
        <v/>
      </c>
      <c r="EV48" s="275" t="n"/>
      <c r="EW48" s="345">
        <f>Table4[[#This Row],[Dec_2027_F]]-Table4[[#This Row],[Dec_2027_A]]</f>
        <v/>
      </c>
    </row>
    <row r="49" ht="1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350">
        <f>CONCATENATE(Table4[[#This Row],[JG]],Table4[[#This Row],[Country]],Table4[[#This Row],[Resource Provider]])</f>
        <v/>
      </c>
      <c r="Z49" s="350">
        <f>VLOOKUP(Table4[[#This Row],[RATE CONCAT]],Tables!I:N,5,0)</f>
        <v/>
      </c>
      <c r="AA49" s="53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353">
        <f>IFERROR(AVERAGE(Table4[[#This Row],[Jan_2026_Days_Forecast]:[Dec_2026_Days_Forecast]]),0)/19</f>
        <v/>
      </c>
      <c r="AO49" s="353">
        <f>IFERROR(AVERAGE(Table4[[#This Row],[Jan_2026_Days_Actual]:[Dec_2026_Days_Actual]]),0)/19</f>
        <v/>
      </c>
      <c r="AP49" s="84" t="n"/>
      <c r="AQ49" s="84" t="n"/>
      <c r="AR49" s="84" t="n"/>
      <c r="AS49" s="84" t="n"/>
      <c r="AT49" s="84" t="n"/>
      <c r="AU49" s="84" t="n"/>
      <c r="AV49" s="84" t="n"/>
      <c r="AW49" s="84" t="n"/>
      <c r="AX49" s="84" t="n"/>
      <c r="AY49" s="84" t="n"/>
      <c r="AZ49" s="84" t="n"/>
      <c r="BA49" s="84" t="n"/>
      <c r="BB49" s="353">
        <f>IFERROR(AVERAGE(Table4[[#This Row],[Jan_2027_Days_Forecast]:[Dec_2027_Days_Forecast]]),0)</f>
        <v/>
      </c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55" t="n"/>
      <c r="BP49" s="346" t="n"/>
      <c r="BQ49" s="347">
        <f>Table4[[#This Row],[Jan_2026_Days_Forecast]]*Table4[[#This Row],[Cost Boolean]]*VLOOKUP(Table4[[#This Row],[RATE CONCAT]],Tables!I:N,5,0)</f>
        <v/>
      </c>
      <c r="BR49" s="347">
        <f>IFERROR(Table4[[#This Row],[Jan_2026_Days_Actual]]*Table4[[#This Row],[Cost Boolean]]*(VLOOKUP(Table4[[#This Row],[RATE CONCAT]],Tables!I:N,5,0)),0)</f>
        <v/>
      </c>
      <c r="BS49" s="347">
        <f>Table4[[#This Row],[Jan_2026_F]]-Table4[[#This Row],[Jan_2026_A]]</f>
        <v/>
      </c>
      <c r="BT49" s="107" t="n"/>
      <c r="BU49" s="347">
        <f>IFERROR(Table4[[#This Row],[Feb_2026_Days_Forecast]]*Table4[[#This Row],[Cost Boolean]]*(VLOOKUP(Table4[[#This Row],[RATE CONCAT]],Tables!I:N,5,0)),0)</f>
        <v/>
      </c>
      <c r="BV49" s="347">
        <f>IFERROR(Table4[[#This Row],[Feb_2026_Days_Actual]]*Table4[[#This Row],[Cost Boolean]]*(VLOOKUP(Table4[[#This Row],[RATE CONCAT]],Tables!I:N,5,0)),0)</f>
        <v/>
      </c>
      <c r="BW49" s="347">
        <f>Table4[[#This Row],[Feb_2026_F]]-Table4[[#This Row],[Feb_2026_A]]</f>
        <v/>
      </c>
      <c r="BX49" s="103" t="n"/>
      <c r="BY49" s="347">
        <f>IFERROR(Table4[[#This Row],[Mar_2026_Days_Forecast]]*Table4[[#This Row],[Cost Boolean]]*(VLOOKUP(Table4[[#This Row],[RATE CONCAT]],Tables!I:N,5,0)),0)</f>
        <v/>
      </c>
      <c r="BZ49" s="347">
        <f>IFERROR(Table4[[#This Row],[Mar_2026_Days_Actual]]*Table4[[#This Row],[Cost Boolean]]*(VLOOKUP(Table4[[#This Row],[RATE CONCAT]],Tables!I:N,5,0)),0)</f>
        <v/>
      </c>
      <c r="CA49" s="347">
        <f>Table4[[#This Row],[Mar_2026_F]]-Table4[[#This Row],[Mar_2026_A]]</f>
        <v/>
      </c>
      <c r="CB49" s="103" t="n"/>
      <c r="CC49" s="347">
        <f>IFERROR(Table4[[#This Row],[Apr_2026_Days_Forecast]]*Table4[[#This Row],[Cost Boolean]]*(VLOOKUP(Table4[[#This Row],[RATE CONCAT]],Tables!I:N,5,0)),0)</f>
        <v/>
      </c>
      <c r="CD49" s="347">
        <f>IFERROR(Table4[[#This Row],[Apr_2026_Days_Actual]]*Table4[[#This Row],[Cost Boolean]]*(VLOOKUP(Table4[[#This Row],[RATE CONCAT]],Tables!I:N,5,0)),0)</f>
        <v/>
      </c>
      <c r="CE49" s="347">
        <f>Table4[[#This Row],[Apr_2026_F]]-Table4[[#This Row],[Apr_2026_A]]</f>
        <v/>
      </c>
      <c r="CF49" s="103" t="n"/>
      <c r="CG49" s="347">
        <f>IFERROR(Table4[[#This Row],[May_2026_Days_Forecast]] *Table4[[#This Row],[Cost Boolean]]*(VLOOKUP(Table4[[#This Row],[RATE CONCAT]],Tables!I:N,5,0)),0)</f>
        <v/>
      </c>
      <c r="CH49" s="347">
        <f>IFERROR(Table4[[#This Row],[May_2026_Days_Actual]]*Table4[[#This Row],[Cost Boolean]]*(VLOOKUP(Table4[[#This Row],[RATE CONCAT]],Tables!I:N,5,0)),0)</f>
        <v/>
      </c>
      <c r="CI49" s="347">
        <f>Table4[[#This Row],[May_2026_F]]-Table4[[#This Row],[May_2026_A]]</f>
        <v/>
      </c>
      <c r="CJ49" s="103" t="n"/>
      <c r="CK49" s="347">
        <f>IFERROR(Table4[[#This Row],[Jun_2026_Days_Forecast]]*Table4[[#This Row],[Cost Boolean]]*(VLOOKUP(Table4[[#This Row],[RATE CONCAT]],Tables!I:N,5,0)),0)</f>
        <v/>
      </c>
      <c r="CL49" s="347">
        <f>IFERROR(Table4[[#This Row],[Jun_2026_Days_Actual]]*Table4[[#This Row],[Cost Boolean]]*(VLOOKUP(Table4[[#This Row],[RATE CONCAT]],Tables!I:N,5,0)),0)</f>
        <v/>
      </c>
      <c r="CM49" s="347">
        <f>Table4[[#This Row],[Jun_2026_F]]-Table4[[#This Row],[Jun_2026_A]]</f>
        <v/>
      </c>
      <c r="CN49" s="103" t="n"/>
      <c r="CO49" s="347">
        <f>IFERROR(Table4[[#This Row],[Jul_2026_Days_Forecast]]*Table4[[#This Row],[Cost Boolean]]*(VLOOKUP(Table4[[#This Row],[RATE CONCAT]],Tables!I:N,5,0)),0)</f>
        <v/>
      </c>
      <c r="CP49" s="347">
        <f>IFERROR(Table4[[#This Row],[Aug_2026_Days_Forecast]]*Table4[[#This Row],[Location]]*(VLOOKUP(Table4[[#This Row],[Rate]],Tables!J:O,5,0)),0)</f>
        <v/>
      </c>
      <c r="CQ49" s="347">
        <f>Table4[[#This Row],[Jul_2026_F]]-Table4[[#This Row],[Jul_2026_A]]</f>
        <v/>
      </c>
      <c r="CR49" s="103" t="n"/>
      <c r="CS49" s="347">
        <f>IFERROR(Table4[[#This Row],[Aug_2026_Days_Forecast]]*Table4[[#This Row],[Cost Boolean]]*(VLOOKUP(Table4[[#This Row],[RATE CONCAT]],Tables!I:N,5,0)),0)</f>
        <v/>
      </c>
      <c r="CT49" s="347">
        <f>IFERROR(Table4[[#This Row],[Aug_2026_Days_Actual]]*Table4[[#This Row],[Cost Boolean]]*(VLOOKUP(Table4[[#This Row],[RATE CONCAT]],Tables!I:N,5,0)),0)</f>
        <v/>
      </c>
      <c r="CU49" s="347">
        <f>Table4[[#This Row],[Aug_2026_F]]-Table4[[#This Row],[Aug_2026_A]]</f>
        <v/>
      </c>
      <c r="CV49" s="103" t="n"/>
      <c r="CW49" s="347">
        <f>IFERROR(Table4[[#This Row],[Sep_2026_Days_Forecast]]*Table4[[#This Row],[Cost Boolean]]*(VLOOKUP(Table4[[#This Row],[RATE CONCAT]],Tables!I:N,5,0)),0)</f>
        <v/>
      </c>
      <c r="CX49" s="347">
        <f>IFERROR(Table4[[#This Row],[Sep_2026_Days_Actual]]*Table4[[#This Row],[Cost Boolean]]*(VLOOKUP(Table4[[#This Row],[RATE CONCAT]],Tables!I:N,5,0)),0)</f>
        <v/>
      </c>
      <c r="CY49" s="347">
        <f>Table4[[#This Row],[Sep_2026_F]]-Table4[[#This Row],[Sep_2026_A]]</f>
        <v/>
      </c>
      <c r="CZ49" s="103" t="n"/>
      <c r="DA49" s="347">
        <f>IFERROR(Table4[[#This Row],[Oct_2026_Days_Forecast]]*Table4[[#This Row],[Cost Boolean]]*(VLOOKUP(Table4[[#This Row],[RATE CONCAT]],Tables!I:N,5,0)),0)</f>
        <v/>
      </c>
      <c r="DB49" s="347">
        <f>IFERROR(Table4[[#This Row],[Oct_2026_Days_Actual]]*Table4[[#This Row],[Cost Boolean]]*(VLOOKUP(Table4[[#This Row],[RATE CONCAT]],Tables!I:N,5,0)),0)</f>
        <v/>
      </c>
      <c r="DC49" s="347">
        <f>Table4[[#This Row],[Oct_2026_F]]-Table4[[#This Row],[Oct_2026_A]]</f>
        <v/>
      </c>
      <c r="DD49" s="103" t="n"/>
      <c r="DE49" s="347">
        <f>IFERROR(Table4[[#This Row],[Nov_2026_Days_Forecast]]*Table4[[#This Row],[Cost Boolean]]*(VLOOKUP(Table4[[#This Row],[RATE CONCAT]],Tables!I:N,5,0)),0)</f>
        <v/>
      </c>
      <c r="DF49" s="347">
        <f>IFERROR(Table4[[#This Row],[Nov_2026_Days_Actual]]*Table4[[#This Row],[Cost Boolean]]*(VLOOKUP(Table4[[#This Row],[RATE CONCAT]],Tables!I:N,5,0)),0)</f>
        <v/>
      </c>
      <c r="DG49" s="347">
        <f>Table4[[#This Row],[Nov_2026_F]]-Table4[[#This Row],[Nov_2026_A]]</f>
        <v/>
      </c>
      <c r="DH49" s="103" t="n"/>
      <c r="DI49" s="347">
        <f>IFERROR(Table4[[#This Row],[Dec_2026_Days_Forecast]]*Table4[[#This Row],[Cost Boolean]]*(VLOOKUP(Table4[[#This Row],[RATE CONCAT]],Tables!I:N,5,0)),0)</f>
        <v/>
      </c>
      <c r="DJ49" s="347">
        <f>IFERROR(Table4[[#This Row],[Dec_2026_Days_Actual]]*Table4[[#This Row],[Cost Boolean]]*(VLOOKUP(Table4[[#This Row],[RATE CONCAT]],Tables!I:N,5,0)),0)</f>
        <v/>
      </c>
      <c r="DK49" s="347">
        <f>Table4[[#This Row],[Dec_2026_F]]-Table4[[#This Row],[Dec_2026_A]]</f>
        <v/>
      </c>
      <c r="DL49" s="103" t="n"/>
      <c r="DM49" s="346" t="n"/>
      <c r="DN49" s="347">
        <f>IFERROR(Table4[[#This Row],[Jan_2027_Days_Forecast]]*Table4[[#This Row],[Cost Boolean]]*(VLOOKUP(Table4[[#This Row],[RATE CONCAT]],Tables!I:N,6,0)),0)</f>
        <v/>
      </c>
      <c r="DO49" s="275" t="n"/>
      <c r="DP49" s="347">
        <f>Table4[[#This Row],[Jan_2027_F]]-Table4[[#This Row],[Jan_2027_A]]</f>
        <v/>
      </c>
      <c r="DQ49" s="347">
        <f>IFERROR(Table4[[#This Row],[Feb_2027_Days_Forecast]]*Table4[[#This Row],[Cost Boolean]]*(VLOOKUP(Table4[[#This Row],[RATE CONCAT]],Tables!I:N,6,0)),0)</f>
        <v/>
      </c>
      <c r="DR49" s="275" t="n"/>
      <c r="DS49" s="347">
        <f>Table4[[#This Row],[Feb_2027_F]]-Table4[[#This Row],[Feb_2027_A]]</f>
        <v/>
      </c>
      <c r="DT49" s="347">
        <f>IFERROR(Table4[[#This Row],[Mar_2027_Days_Forecast]]*Table4[[#This Row],[Cost Boolean]]*(VLOOKUP(Table4[[#This Row],[RATE CONCAT]],Tables!I:N,6,0)),0)</f>
        <v/>
      </c>
      <c r="DU49" s="275" t="n"/>
      <c r="DV49" s="347">
        <f>Table4[[#This Row],[Mar_2027_F]]-Table4[[#This Row],[Mar_2027_A]]</f>
        <v/>
      </c>
      <c r="DW49" s="347">
        <f>IFERROR(Table4[[#This Row],[Apr_2027_Days_Forecast]]*Table4[[#This Row],[Cost Boolean]]*(VLOOKUP(Table4[[#This Row],[RATE CONCAT]],Tables!I:N,6,0)),0)</f>
        <v/>
      </c>
      <c r="DX49" s="275" t="n"/>
      <c r="DY49" s="347">
        <f>Table4[[#This Row],[Apr_2027_F]]-Table4[[#This Row],[Apr_2027_A]]</f>
        <v/>
      </c>
      <c r="DZ49" s="347">
        <f>IFERROR(Table4[[#This Row],[May_2027_Days_Forecast]]*Table4[[#This Row],[Cost Boolean]]*(VLOOKUP(Table4[[#This Row],[RATE CONCAT]],Tables!I:N,6,0)),0)</f>
        <v/>
      </c>
      <c r="EA49" s="275" t="n"/>
      <c r="EB49" s="347">
        <f>Table4[[#This Row],[May_2027_F]]-Table4[[#This Row],[May_2027_A]]</f>
        <v/>
      </c>
      <c r="EC49" s="347">
        <f>IFERROR(Table4[[#This Row],[Jun_2027_Days_Forecast]]*Table4[[#This Row],[Cost Boolean]]*(VLOOKUP(Table4[[#This Row],[RATE CONCAT]],Tables!I:N,6,0)),0)</f>
        <v/>
      </c>
      <c r="ED49" s="275" t="n"/>
      <c r="EE49" s="347">
        <f>Table4[[#This Row],[Jun_2027_F]]-Table4[[#This Row],[Jun_2027_A]]</f>
        <v/>
      </c>
      <c r="EF49" s="347">
        <f>IFERROR(Table4[[#This Row],[Jul_2027_Days_Forecast]]*Table4[[#This Row],[Cost Boolean]]*(VLOOKUP(Table4[[#This Row],[RATE CONCAT]],Tables!I:N,6,0)),0)</f>
        <v/>
      </c>
      <c r="EG49" s="275" t="n"/>
      <c r="EH49" s="347">
        <f>Table4[[#This Row],[Jul_2027_F]]-Table4[[#This Row],[Jul_2027_A]]</f>
        <v/>
      </c>
      <c r="EI49" s="347">
        <f>IFERROR(Table4[[#This Row],[Aug_2027_Days_Forecast]]*Table4[[#This Row],[Cost Boolean]]*(VLOOKUP(Table4[[#This Row],[RATE CONCAT]],Tables!I:N,6,0)),0)</f>
        <v/>
      </c>
      <c r="EJ49" s="275" t="n"/>
      <c r="EK49" s="347">
        <f>Table4[[#This Row],[Aug_2027_F]]-Table4[[#This Row],[Aug_2027_A]]</f>
        <v/>
      </c>
      <c r="EL49" s="347">
        <f>IFERROR(Table4[[#This Row],[Sep_2027_Days_Forecast]]*Table4[[#This Row],[Cost Boolean]]*(VLOOKUP(Table4[[#This Row],[RATE CONCAT]],Tables!I:N,6,0)),0)</f>
        <v/>
      </c>
      <c r="EM49" s="275" t="n"/>
      <c r="EN49" s="347">
        <f>Table4[[#This Row],[Sep_2027_F]]-Table4[[#This Row],[Sep_2027_A]]</f>
        <v/>
      </c>
      <c r="EO49" s="347">
        <f>IFERROR(Table4[[#This Row],[Oct_2027_Days_Forecast]]*Table4[[#This Row],[Cost Boolean]]*(VLOOKUP(Table4[[#This Row],[RATE CONCAT]],Tables!I:N,6,0)),0)</f>
        <v/>
      </c>
      <c r="EP49" s="275" t="n"/>
      <c r="EQ49" s="347">
        <f>Table4[[#This Row],[Oct_2027_F]]-Table4[[#This Row],[Oct_2027_A]]</f>
        <v/>
      </c>
      <c r="ER49" s="347">
        <f>IFERROR(Table4[[#This Row],[Nov_2027_Days_Forecast]]*Table4[[#This Row],[Cost Boolean]]*(VLOOKUP(Table4[[#This Row],[RATE CONCAT]],Tables!I:N,6,0)),0)</f>
        <v/>
      </c>
      <c r="ES49" s="275" t="n"/>
      <c r="ET49" s="347">
        <f>Table4[[#This Row],[Nov_2027_F]]-Table4[[#This Row],[Nov_2027_A]]</f>
        <v/>
      </c>
      <c r="EU49" s="347">
        <f>IFERROR(Table4[[#This Row],[Dec_2027_Days_Forecast]]*Table4[[#This Row],[Cost Boolean]]*(VLOOKUP(Table4[[#This Row],[RATE CONCAT]],Tables!I:N,6,0)),0)</f>
        <v/>
      </c>
      <c r="EV49" s="275" t="n"/>
      <c r="EW49" s="347">
        <f>Table4[[#This Row],[Dec_2027_F]]-Table4[[#This Row],[Dec_2027_A]]</f>
        <v/>
      </c>
    </row>
    <row r="50" ht="1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350">
        <f>CONCATENATE(Table4[[#This Row],[JG]],Table4[[#This Row],[Country]],Table4[[#This Row],[Resource Provider]])</f>
        <v/>
      </c>
      <c r="Z50" s="350">
        <f>VLOOKUP(Table4[[#This Row],[RATE CONCAT]],Tables!I:N,5,0)</f>
        <v/>
      </c>
      <c r="AA50" s="53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353">
        <f>IFERROR(AVERAGE(Table4[[#This Row],[Jan_2026_Days_Forecast]:[Dec_2026_Days_Forecast]]),0)/19</f>
        <v/>
      </c>
      <c r="AO50" s="353">
        <f>IFERROR(AVERAGE(Table4[[#This Row],[Jan_2026_Days_Actual]:[Dec_2026_Days_Actual]]),0)/19</f>
        <v/>
      </c>
      <c r="AP50" s="84" t="n"/>
      <c r="AQ50" s="84" t="n"/>
      <c r="AR50" s="84" t="n"/>
      <c r="AS50" s="84" t="n"/>
      <c r="AT50" s="84" t="n"/>
      <c r="AU50" s="84" t="n"/>
      <c r="AV50" s="84" t="n"/>
      <c r="AW50" s="84" t="n"/>
      <c r="AX50" s="84" t="n"/>
      <c r="AY50" s="84" t="n"/>
      <c r="AZ50" s="84" t="n"/>
      <c r="BA50" s="84" t="n"/>
      <c r="BB50" s="353">
        <f>IFERROR(AVERAGE(Table4[[#This Row],[Jan_2027_Days_Forecast]:[Dec_2027_Days_Forecast]]),0)</f>
        <v/>
      </c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55" t="n"/>
      <c r="BP50" s="346" t="n"/>
      <c r="BQ50" s="345">
        <f>Table4[[#This Row],[Jan_2026_Days_Forecast]]*Table4[[#This Row],[Cost Boolean]]*VLOOKUP(Table4[[#This Row],[RATE CONCAT]],Tables!I:N,5,0)</f>
        <v/>
      </c>
      <c r="BR50" s="345">
        <f>IFERROR(Table4[[#This Row],[Jan_2026_Days_Actual]]*Table4[[#This Row],[Cost Boolean]]*(VLOOKUP(Table4[[#This Row],[RATE CONCAT]],Tables!I:N,5,0)),0)</f>
        <v/>
      </c>
      <c r="BS50" s="345">
        <f>Table4[[#This Row],[Jan_2026_F]]-Table4[[#This Row],[Jan_2026_A]]</f>
        <v/>
      </c>
      <c r="BT50" s="107" t="n"/>
      <c r="BU50" s="345">
        <f>IFERROR(Table4[[#This Row],[Feb_2026_Days_Forecast]]*Table4[[#This Row],[Cost Boolean]]*(VLOOKUP(Table4[[#This Row],[RATE CONCAT]],Tables!I:N,5,0)),0)</f>
        <v/>
      </c>
      <c r="BV50" s="345">
        <f>IFERROR(Table4[[#This Row],[Feb_2026_Days_Actual]]*Table4[[#This Row],[Cost Boolean]]*(VLOOKUP(Table4[[#This Row],[RATE CONCAT]],Tables!I:N,5,0)),0)</f>
        <v/>
      </c>
      <c r="BW50" s="345">
        <f>Table4[[#This Row],[Feb_2026_F]]-Table4[[#This Row],[Feb_2026_A]]</f>
        <v/>
      </c>
      <c r="BX50" s="103" t="n"/>
      <c r="BY50" s="345">
        <f>IFERROR(Table4[[#This Row],[Mar_2026_Days_Forecast]]*Table4[[#This Row],[Cost Boolean]]*(VLOOKUP(Table4[[#This Row],[RATE CONCAT]],Tables!I:N,5,0)),0)</f>
        <v/>
      </c>
      <c r="BZ50" s="345">
        <f>IFERROR(Table4[[#This Row],[Mar_2026_Days_Actual]]*Table4[[#This Row],[Cost Boolean]]*(VLOOKUP(Table4[[#This Row],[RATE CONCAT]],Tables!I:N,5,0)),0)</f>
        <v/>
      </c>
      <c r="CA50" s="345">
        <f>Table4[[#This Row],[Mar_2026_F]]-Table4[[#This Row],[Mar_2026_A]]</f>
        <v/>
      </c>
      <c r="CB50" s="103" t="n"/>
      <c r="CC50" s="345">
        <f>IFERROR(Table4[[#This Row],[Apr_2026_Days_Forecast]]*Table4[[#This Row],[Cost Boolean]]*(VLOOKUP(Table4[[#This Row],[RATE CONCAT]],Tables!I:N,5,0)),0)</f>
        <v/>
      </c>
      <c r="CD50" s="345">
        <f>IFERROR(Table4[[#This Row],[Apr_2026_Days_Actual]]*Table4[[#This Row],[Cost Boolean]]*(VLOOKUP(Table4[[#This Row],[RATE CONCAT]],Tables!I:N,5,0)),0)</f>
        <v/>
      </c>
      <c r="CE50" s="345">
        <f>Table4[[#This Row],[Apr_2026_F]]-Table4[[#This Row],[Apr_2026_A]]</f>
        <v/>
      </c>
      <c r="CF50" s="103" t="n"/>
      <c r="CG50" s="345">
        <f>IFERROR(Table4[[#This Row],[May_2026_Days_Forecast]] *Table4[[#This Row],[Cost Boolean]]*(VLOOKUP(Table4[[#This Row],[RATE CONCAT]],Tables!I:N,5,0)),0)</f>
        <v/>
      </c>
      <c r="CH50" s="345">
        <f>IFERROR(Table4[[#This Row],[May_2026_Days_Actual]]*Table4[[#This Row],[Cost Boolean]]*(VLOOKUP(Table4[[#This Row],[RATE CONCAT]],Tables!I:N,5,0)),0)</f>
        <v/>
      </c>
      <c r="CI50" s="345">
        <f>Table4[[#This Row],[May_2026_F]]-Table4[[#This Row],[May_2026_A]]</f>
        <v/>
      </c>
      <c r="CJ50" s="103" t="n"/>
      <c r="CK50" s="345">
        <f>IFERROR(Table4[[#This Row],[Jun_2026_Days_Forecast]]*Table4[[#This Row],[Cost Boolean]]*(VLOOKUP(Table4[[#This Row],[RATE CONCAT]],Tables!I:N,5,0)),0)</f>
        <v/>
      </c>
      <c r="CL50" s="345">
        <f>IFERROR(Table4[[#This Row],[Jun_2026_Days_Actual]]*Table4[[#This Row],[Cost Boolean]]*(VLOOKUP(Table4[[#This Row],[RATE CONCAT]],Tables!I:N,5,0)),0)</f>
        <v/>
      </c>
      <c r="CM50" s="345">
        <f>Table4[[#This Row],[Jun_2026_F]]-Table4[[#This Row],[Jun_2026_A]]</f>
        <v/>
      </c>
      <c r="CN50" s="103" t="n"/>
      <c r="CO50" s="345">
        <f>IFERROR(Table4[[#This Row],[Jul_2026_Days_Forecast]]*Table4[[#This Row],[Cost Boolean]]*(VLOOKUP(Table4[[#This Row],[RATE CONCAT]],Tables!I:N,5,0)),0)</f>
        <v/>
      </c>
      <c r="CP50" s="345">
        <f>IFERROR(Table4[[#This Row],[Aug_2026_Days_Forecast]]*Table4[[#This Row],[Location]]*(VLOOKUP(Table4[[#This Row],[Rate]],Tables!J:O,5,0)),0)</f>
        <v/>
      </c>
      <c r="CQ50" s="345">
        <f>Table4[[#This Row],[Jul_2026_F]]-Table4[[#This Row],[Jul_2026_A]]</f>
        <v/>
      </c>
      <c r="CR50" s="103" t="n"/>
      <c r="CS50" s="345">
        <f>IFERROR(Table4[[#This Row],[Aug_2026_Days_Forecast]]*Table4[[#This Row],[Cost Boolean]]*(VLOOKUP(Table4[[#This Row],[RATE CONCAT]],Tables!I:N,5,0)),0)</f>
        <v/>
      </c>
      <c r="CT50" s="345">
        <f>IFERROR(Table4[[#This Row],[Aug_2026_Days_Actual]]*Table4[[#This Row],[Cost Boolean]]*(VLOOKUP(Table4[[#This Row],[RATE CONCAT]],Tables!I:N,5,0)),0)</f>
        <v/>
      </c>
      <c r="CU50" s="345">
        <f>Table4[[#This Row],[Aug_2026_F]]-Table4[[#This Row],[Aug_2026_A]]</f>
        <v/>
      </c>
      <c r="CV50" s="103" t="n"/>
      <c r="CW50" s="345">
        <f>IFERROR(Table4[[#This Row],[Sep_2026_Days_Forecast]]*Table4[[#This Row],[Cost Boolean]]*(VLOOKUP(Table4[[#This Row],[RATE CONCAT]],Tables!I:N,5,0)),0)</f>
        <v/>
      </c>
      <c r="CX50" s="345">
        <f>IFERROR(Table4[[#This Row],[Sep_2026_Days_Actual]]*Table4[[#This Row],[Cost Boolean]]*(VLOOKUP(Table4[[#This Row],[RATE CONCAT]],Tables!I:N,5,0)),0)</f>
        <v/>
      </c>
      <c r="CY50" s="345">
        <f>Table4[[#This Row],[Sep_2026_F]]-Table4[[#This Row],[Sep_2026_A]]</f>
        <v/>
      </c>
      <c r="CZ50" s="103" t="n"/>
      <c r="DA50" s="345">
        <f>IFERROR(Table4[[#This Row],[Oct_2026_Days_Forecast]]*Table4[[#This Row],[Cost Boolean]]*(VLOOKUP(Table4[[#This Row],[RATE CONCAT]],Tables!I:N,5,0)),0)</f>
        <v/>
      </c>
      <c r="DB50" s="345">
        <f>IFERROR(Table4[[#This Row],[Oct_2026_Days_Actual]]*Table4[[#This Row],[Cost Boolean]]*(VLOOKUP(Table4[[#This Row],[RATE CONCAT]],Tables!I:N,5,0)),0)</f>
        <v/>
      </c>
      <c r="DC50" s="345">
        <f>Table4[[#This Row],[Oct_2026_F]]-Table4[[#This Row],[Oct_2026_A]]</f>
        <v/>
      </c>
      <c r="DD50" s="103" t="n"/>
      <c r="DE50" s="345">
        <f>IFERROR(Table4[[#This Row],[Nov_2026_Days_Forecast]]*Table4[[#This Row],[Cost Boolean]]*(VLOOKUP(Table4[[#This Row],[RATE CONCAT]],Tables!I:N,5,0)),0)</f>
        <v/>
      </c>
      <c r="DF50" s="345">
        <f>IFERROR(Table4[[#This Row],[Nov_2026_Days_Actual]]*Table4[[#This Row],[Cost Boolean]]*(VLOOKUP(Table4[[#This Row],[RATE CONCAT]],Tables!I:N,5,0)),0)</f>
        <v/>
      </c>
      <c r="DG50" s="345">
        <f>Table4[[#This Row],[Nov_2026_F]]-Table4[[#This Row],[Nov_2026_A]]</f>
        <v/>
      </c>
      <c r="DH50" s="103" t="n"/>
      <c r="DI50" s="345">
        <f>IFERROR(Table4[[#This Row],[Dec_2026_Days_Forecast]]*Table4[[#This Row],[Cost Boolean]]*(VLOOKUP(Table4[[#This Row],[RATE CONCAT]],Tables!I:N,5,0)),0)</f>
        <v/>
      </c>
      <c r="DJ50" s="345">
        <f>IFERROR(Table4[[#This Row],[Dec_2026_Days_Actual]]*Table4[[#This Row],[Cost Boolean]]*(VLOOKUP(Table4[[#This Row],[RATE CONCAT]],Tables!I:N,5,0)),0)</f>
        <v/>
      </c>
      <c r="DK50" s="345">
        <f>Table4[[#This Row],[Dec_2026_F]]-Table4[[#This Row],[Dec_2026_A]]</f>
        <v/>
      </c>
      <c r="DL50" s="103" t="n"/>
      <c r="DM50" s="346" t="n"/>
      <c r="DN50" s="345">
        <f>IFERROR(Table4[[#This Row],[Jan_2027_Days_Forecast]]*Table4[[#This Row],[Cost Boolean]]*(VLOOKUP(Table4[[#This Row],[RATE CONCAT]],Tables!I:N,6,0)),0)</f>
        <v/>
      </c>
      <c r="DO50" s="275" t="n"/>
      <c r="DP50" s="345">
        <f>Table4[[#This Row],[Jan_2027_F]]-Table4[[#This Row],[Jan_2027_A]]</f>
        <v/>
      </c>
      <c r="DQ50" s="345">
        <f>IFERROR(Table4[[#This Row],[Feb_2027_Days_Forecast]]*Table4[[#This Row],[Cost Boolean]]*(VLOOKUP(Table4[[#This Row],[RATE CONCAT]],Tables!I:N,6,0)),0)</f>
        <v/>
      </c>
      <c r="DR50" s="275" t="n"/>
      <c r="DS50" s="345">
        <f>Table4[[#This Row],[Feb_2027_F]]-Table4[[#This Row],[Feb_2027_A]]</f>
        <v/>
      </c>
      <c r="DT50" s="345">
        <f>IFERROR(Table4[[#This Row],[Mar_2027_Days_Forecast]]*Table4[[#This Row],[Cost Boolean]]*(VLOOKUP(Table4[[#This Row],[RATE CONCAT]],Tables!I:N,6,0)),0)</f>
        <v/>
      </c>
      <c r="DU50" s="275" t="n"/>
      <c r="DV50" s="345">
        <f>Table4[[#This Row],[Mar_2027_F]]-Table4[[#This Row],[Mar_2027_A]]</f>
        <v/>
      </c>
      <c r="DW50" s="345">
        <f>IFERROR(Table4[[#This Row],[Apr_2027_Days_Forecast]]*Table4[[#This Row],[Cost Boolean]]*(VLOOKUP(Table4[[#This Row],[RATE CONCAT]],Tables!I:N,6,0)),0)</f>
        <v/>
      </c>
      <c r="DX50" s="275" t="n"/>
      <c r="DY50" s="345">
        <f>Table4[[#This Row],[Apr_2027_F]]-Table4[[#This Row],[Apr_2027_A]]</f>
        <v/>
      </c>
      <c r="DZ50" s="345">
        <f>IFERROR(Table4[[#This Row],[May_2027_Days_Forecast]]*Table4[[#This Row],[Cost Boolean]]*(VLOOKUP(Table4[[#This Row],[RATE CONCAT]],Tables!I:N,6,0)),0)</f>
        <v/>
      </c>
      <c r="EA50" s="275" t="n"/>
      <c r="EB50" s="345">
        <f>Table4[[#This Row],[May_2027_F]]-Table4[[#This Row],[May_2027_A]]</f>
        <v/>
      </c>
      <c r="EC50" s="345">
        <f>IFERROR(Table4[[#This Row],[Jun_2027_Days_Forecast]]*Table4[[#This Row],[Cost Boolean]]*(VLOOKUP(Table4[[#This Row],[RATE CONCAT]],Tables!I:N,6,0)),0)</f>
        <v/>
      </c>
      <c r="ED50" s="275" t="n"/>
      <c r="EE50" s="345">
        <f>Table4[[#This Row],[Jun_2027_F]]-Table4[[#This Row],[Jun_2027_A]]</f>
        <v/>
      </c>
      <c r="EF50" s="345">
        <f>IFERROR(Table4[[#This Row],[Jul_2027_Days_Forecast]]*Table4[[#This Row],[Cost Boolean]]*(VLOOKUP(Table4[[#This Row],[RATE CONCAT]],Tables!I:N,6,0)),0)</f>
        <v/>
      </c>
      <c r="EG50" s="275" t="n"/>
      <c r="EH50" s="345">
        <f>Table4[[#This Row],[Jul_2027_F]]-Table4[[#This Row],[Jul_2027_A]]</f>
        <v/>
      </c>
      <c r="EI50" s="345">
        <f>IFERROR(Table4[[#This Row],[Aug_2027_Days_Forecast]]*Table4[[#This Row],[Cost Boolean]]*(VLOOKUP(Table4[[#This Row],[RATE CONCAT]],Tables!I:N,6,0)),0)</f>
        <v/>
      </c>
      <c r="EJ50" s="275" t="n"/>
      <c r="EK50" s="345">
        <f>Table4[[#This Row],[Aug_2027_F]]-Table4[[#This Row],[Aug_2027_A]]</f>
        <v/>
      </c>
      <c r="EL50" s="345">
        <f>IFERROR(Table4[[#This Row],[Sep_2027_Days_Forecast]]*Table4[[#This Row],[Cost Boolean]]*(VLOOKUP(Table4[[#This Row],[RATE CONCAT]],Tables!I:N,6,0)),0)</f>
        <v/>
      </c>
      <c r="EM50" s="275" t="n"/>
      <c r="EN50" s="345">
        <f>Table4[[#This Row],[Sep_2027_F]]-Table4[[#This Row],[Sep_2027_A]]</f>
        <v/>
      </c>
      <c r="EO50" s="345">
        <f>IFERROR(Table4[[#This Row],[Oct_2027_Days_Forecast]]*Table4[[#This Row],[Cost Boolean]]*(VLOOKUP(Table4[[#This Row],[RATE CONCAT]],Tables!I:N,6,0)),0)</f>
        <v/>
      </c>
      <c r="EP50" s="275" t="n"/>
      <c r="EQ50" s="345">
        <f>Table4[[#This Row],[Oct_2027_F]]-Table4[[#This Row],[Oct_2027_A]]</f>
        <v/>
      </c>
      <c r="ER50" s="345">
        <f>IFERROR(Table4[[#This Row],[Nov_2027_Days_Forecast]]*Table4[[#This Row],[Cost Boolean]]*(VLOOKUP(Table4[[#This Row],[RATE CONCAT]],Tables!I:N,6,0)),0)</f>
        <v/>
      </c>
      <c r="ES50" s="275" t="n"/>
      <c r="ET50" s="345">
        <f>Table4[[#This Row],[Nov_2027_F]]-Table4[[#This Row],[Nov_2027_A]]</f>
        <v/>
      </c>
      <c r="EU50" s="345">
        <f>IFERROR(Table4[[#This Row],[Dec_2027_Days_Forecast]]*Table4[[#This Row],[Cost Boolean]]*(VLOOKUP(Table4[[#This Row],[RATE CONCAT]],Tables!I:N,6,0)),0)</f>
        <v/>
      </c>
      <c r="EV50" s="275" t="n"/>
      <c r="EW50" s="345">
        <f>Table4[[#This Row],[Dec_2027_F]]-Table4[[#This Row],[Dec_2027_A]]</f>
        <v/>
      </c>
    </row>
    <row r="51" ht="1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350">
        <f>CONCATENATE(Table4[[#This Row],[JG]],Table4[[#This Row],[Country]],Table4[[#This Row],[Resource Provider]])</f>
        <v/>
      </c>
      <c r="Z51" s="350">
        <f>VLOOKUP(Table4[[#This Row],[RATE CONCAT]],Tables!I:N,5,0)</f>
        <v/>
      </c>
      <c r="AA51" s="53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353">
        <f>IFERROR(AVERAGE(Table4[[#This Row],[Jan_2026_Days_Forecast]:[Dec_2026_Days_Forecast]]),0)/19</f>
        <v/>
      </c>
      <c r="AO51" s="353">
        <f>IFERROR(AVERAGE(Table4[[#This Row],[Jan_2026_Days_Actual]:[Dec_2026_Days_Actual]]),0)/19</f>
        <v/>
      </c>
      <c r="AP51" s="84" t="n"/>
      <c r="AQ51" s="84" t="n"/>
      <c r="AR51" s="84" t="n"/>
      <c r="AS51" s="84" t="n"/>
      <c r="AT51" s="84" t="n"/>
      <c r="AU51" s="84" t="n"/>
      <c r="AV51" s="84" t="n"/>
      <c r="AW51" s="84" t="n"/>
      <c r="AX51" s="84" t="n"/>
      <c r="AY51" s="84" t="n"/>
      <c r="AZ51" s="84" t="n"/>
      <c r="BA51" s="84" t="n"/>
      <c r="BB51" s="353">
        <f>IFERROR(AVERAGE(Table4[[#This Row],[Jan_2027_Days_Forecast]:[Dec_2027_Days_Forecast]]),0)</f>
        <v/>
      </c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55" t="n"/>
      <c r="BP51" s="346" t="n"/>
      <c r="BQ51" s="347" t="n">
        <v>0</v>
      </c>
      <c r="BR51" s="347">
        <f>IFERROR(Table4[[#This Row],[Jan_2026_Days_Actual]]*Table4[[#This Row],[Cost Boolean]]*(VLOOKUP(Table4[[#This Row],[RATE CONCAT]],Tables!I:N,5,0)),0)</f>
        <v/>
      </c>
      <c r="BS51" s="347">
        <f>Table4[[#This Row],[Jan_2026_F]]-Table4[[#This Row],[Jan_2026_A]]</f>
        <v/>
      </c>
      <c r="BT51" s="107" t="n"/>
      <c r="BU51" s="347">
        <f>IFERROR(Table4[[#This Row],[Feb_2026_Days_Forecast]]*Table4[[#This Row],[Cost Boolean]]*(VLOOKUP(Table4[[#This Row],[RATE CONCAT]],Tables!I:N,5,0)),0)</f>
        <v/>
      </c>
      <c r="BV51" s="347">
        <f>IFERROR(Table4[[#This Row],[Feb_2026_Days_Actual]]*Table4[[#This Row],[Cost Boolean]]*(VLOOKUP(Table4[[#This Row],[RATE CONCAT]],Tables!I:N,5,0)),0)</f>
        <v/>
      </c>
      <c r="BW51" s="347">
        <f>Table4[[#This Row],[Feb_2026_F]]-Table4[[#This Row],[Feb_2026_A]]</f>
        <v/>
      </c>
      <c r="BX51" s="103" t="n"/>
      <c r="BY51" s="347">
        <f>IFERROR(Table4[[#This Row],[Mar_2026_Days_Forecast]]*Table4[[#This Row],[Cost Boolean]]*(VLOOKUP(Table4[[#This Row],[RATE CONCAT]],Tables!I:N,5,0)),0)</f>
        <v/>
      </c>
      <c r="BZ51" s="347">
        <f>IFERROR(Table4[[#This Row],[Mar_2026_Days_Actual]]*Table4[[#This Row],[Cost Boolean]]*(VLOOKUP(Table4[[#This Row],[RATE CONCAT]],Tables!I:N,5,0)),0)</f>
        <v/>
      </c>
      <c r="CA51" s="347">
        <f>Table4[[#This Row],[Mar_2026_F]]-Table4[[#This Row],[Mar_2026_A]]</f>
        <v/>
      </c>
      <c r="CB51" s="103" t="n"/>
      <c r="CC51" s="347">
        <f>IFERROR(Table4[[#This Row],[Apr_2026_Days_Forecast]]*Table4[[#This Row],[Cost Boolean]]*(VLOOKUP(Table4[[#This Row],[RATE CONCAT]],Tables!I:N,5,0)),0)</f>
        <v/>
      </c>
      <c r="CD51" s="347">
        <f>IFERROR(Table4[[#This Row],[Apr_2026_Days_Actual]]*Table4[[#This Row],[Cost Boolean]]*(VLOOKUP(Table4[[#This Row],[RATE CONCAT]],Tables!I:N,5,0)),0)</f>
        <v/>
      </c>
      <c r="CE51" s="347">
        <f>Table4[[#This Row],[Apr_2026_F]]-Table4[[#This Row],[Apr_2026_A]]</f>
        <v/>
      </c>
      <c r="CF51" s="103" t="n"/>
      <c r="CG51" s="347">
        <f>IFERROR(Table4[[#This Row],[May_2026_Days_Forecast]] *Table4[[#This Row],[Cost Boolean]]*(VLOOKUP(Table4[[#This Row],[RATE CONCAT]],Tables!I:N,5,0)),0)</f>
        <v/>
      </c>
      <c r="CH51" s="347">
        <f>IFERROR(Table4[[#This Row],[May_2026_Days_Actual]]*Table4[[#This Row],[Cost Boolean]]*(VLOOKUP(Table4[[#This Row],[RATE CONCAT]],Tables!I:N,5,0)),0)</f>
        <v/>
      </c>
      <c r="CI51" s="347">
        <f>Table4[[#This Row],[May_2026_F]]-Table4[[#This Row],[May_2026_A]]</f>
        <v/>
      </c>
      <c r="CJ51" s="103" t="n"/>
      <c r="CK51" s="347">
        <f>IFERROR(Table4[[#This Row],[Jun_2026_Days_Forecast]]*Table4[[#This Row],[Cost Boolean]]*(VLOOKUP(Table4[[#This Row],[RATE CONCAT]],Tables!I:N,5,0)),0)</f>
        <v/>
      </c>
      <c r="CL51" s="347">
        <f>IFERROR(Table4[[#This Row],[Jun_2026_Days_Actual]]*Table4[[#This Row],[Cost Boolean]]*(VLOOKUP(Table4[[#This Row],[RATE CONCAT]],Tables!I:N,5,0)),0)</f>
        <v/>
      </c>
      <c r="CM51" s="347">
        <f>Table4[[#This Row],[Jun_2026_F]]-Table4[[#This Row],[Jun_2026_A]]</f>
        <v/>
      </c>
      <c r="CN51" s="103" t="n"/>
      <c r="CO51" s="347">
        <f>IFERROR(Table4[[#This Row],[Jul_2026_Days_Forecast]]*Table4[[#This Row],[Cost Boolean]]*(VLOOKUP(Table4[[#This Row],[RATE CONCAT]],Tables!I:N,5,0)),0)</f>
        <v/>
      </c>
      <c r="CP51" s="347">
        <f>IFERROR(Table4[[#This Row],[Aug_2026_Days_Forecast]]*Table4[[#This Row],[Location]]*(VLOOKUP(Table4[[#This Row],[Rate]],Tables!J:O,5,0)),0)</f>
        <v/>
      </c>
      <c r="CQ51" s="347">
        <f>Table4[[#This Row],[Jul_2026_F]]-Table4[[#This Row],[Jul_2026_A]]</f>
        <v/>
      </c>
      <c r="CR51" s="103" t="n"/>
      <c r="CS51" s="347">
        <f>IFERROR(Table4[[#This Row],[Aug_2026_Days_Forecast]]*Table4[[#This Row],[Cost Boolean]]*(VLOOKUP(Table4[[#This Row],[RATE CONCAT]],Tables!I:N,5,0)),0)</f>
        <v/>
      </c>
      <c r="CT51" s="347">
        <f>IFERROR(Table4[[#This Row],[Aug_2026_Days_Actual]]*Table4[[#This Row],[Cost Boolean]]*(VLOOKUP(Table4[[#This Row],[RATE CONCAT]],Tables!I:N,5,0)),0)</f>
        <v/>
      </c>
      <c r="CU51" s="347">
        <f>Table4[[#This Row],[Aug_2026_F]]-Table4[[#This Row],[Aug_2026_A]]</f>
        <v/>
      </c>
      <c r="CV51" s="103" t="n"/>
      <c r="CW51" s="347">
        <f>IFERROR(Table4[[#This Row],[Sep_2026_Days_Forecast]]*Table4[[#This Row],[Cost Boolean]]*(VLOOKUP(Table4[[#This Row],[RATE CONCAT]],Tables!I:N,5,0)),0)</f>
        <v/>
      </c>
      <c r="CX51" s="347">
        <f>IFERROR(Table4[[#This Row],[Sep_2026_Days_Actual]]*Table4[[#This Row],[Cost Boolean]]*(VLOOKUP(Table4[[#This Row],[RATE CONCAT]],Tables!I:N,5,0)),0)</f>
        <v/>
      </c>
      <c r="CY51" s="347">
        <f>Table4[[#This Row],[Sep_2026_F]]-Table4[[#This Row],[Sep_2026_A]]</f>
        <v/>
      </c>
      <c r="CZ51" s="103" t="n"/>
      <c r="DA51" s="347">
        <f>IFERROR(Table4[[#This Row],[Oct_2026_Days_Forecast]]*Table4[[#This Row],[Cost Boolean]]*(VLOOKUP(Table4[[#This Row],[RATE CONCAT]],Tables!I:N,5,0)),0)</f>
        <v/>
      </c>
      <c r="DB51" s="347">
        <f>IFERROR(Table4[[#This Row],[Oct_2026_Days_Actual]]*Table4[[#This Row],[Cost Boolean]]*(VLOOKUP(Table4[[#This Row],[RATE CONCAT]],Tables!I:N,5,0)),0)</f>
        <v/>
      </c>
      <c r="DC51" s="347">
        <f>Table4[[#This Row],[Oct_2026_F]]-Table4[[#This Row],[Oct_2026_A]]</f>
        <v/>
      </c>
      <c r="DD51" s="103" t="n"/>
      <c r="DE51" s="347">
        <f>IFERROR(Table4[[#This Row],[Nov_2026_Days_Forecast]]*Table4[[#This Row],[Cost Boolean]]*(VLOOKUP(Table4[[#This Row],[RATE CONCAT]],Tables!I:N,5,0)),0)</f>
        <v/>
      </c>
      <c r="DF51" s="347">
        <f>IFERROR(Table4[[#This Row],[Nov_2026_Days_Actual]]*Table4[[#This Row],[Cost Boolean]]*(VLOOKUP(Table4[[#This Row],[RATE CONCAT]],Tables!I:N,5,0)),0)</f>
        <v/>
      </c>
      <c r="DG51" s="347">
        <f>Table4[[#This Row],[Nov_2026_F]]-Table4[[#This Row],[Nov_2026_A]]</f>
        <v/>
      </c>
      <c r="DH51" s="103" t="n"/>
      <c r="DI51" s="347">
        <f>IFERROR(Table4[[#This Row],[Dec_2026_Days_Forecast]]*Table4[[#This Row],[Cost Boolean]]*(VLOOKUP(Table4[[#This Row],[RATE CONCAT]],Tables!I:N,5,0)),0)</f>
        <v/>
      </c>
      <c r="DJ51" s="347">
        <f>IFERROR(Table4[[#This Row],[Dec_2026_Days_Actual]]*Table4[[#This Row],[Cost Boolean]]*(VLOOKUP(Table4[[#This Row],[RATE CONCAT]],Tables!I:N,5,0)),0)</f>
        <v/>
      </c>
      <c r="DK51" s="347">
        <f>Table4[[#This Row],[Dec_2026_F]]-Table4[[#This Row],[Dec_2026_A]]</f>
        <v/>
      </c>
      <c r="DL51" s="103" t="n"/>
      <c r="DM51" s="346" t="n"/>
      <c r="DN51" s="347">
        <f>IFERROR(Table4[[#This Row],[Jan_2027_Days_Forecast]]*Table4[[#This Row],[Cost Boolean]]*(VLOOKUP(Table4[[#This Row],[RATE CONCAT]],Tables!I:N,6,0)),0)</f>
        <v/>
      </c>
      <c r="DO51" s="275" t="n"/>
      <c r="DP51" s="347">
        <f>Table4[[#This Row],[Jan_2027_F]]-Table4[[#This Row],[Jan_2027_A]]</f>
        <v/>
      </c>
      <c r="DQ51" s="347">
        <f>IFERROR(Table4[[#This Row],[Feb_2027_Days_Forecast]]*Table4[[#This Row],[Cost Boolean]]*(VLOOKUP(Table4[[#This Row],[RATE CONCAT]],Tables!I:N,6,0)),0)</f>
        <v/>
      </c>
      <c r="DR51" s="275" t="n"/>
      <c r="DS51" s="347">
        <f>Table4[[#This Row],[Feb_2027_F]]-Table4[[#This Row],[Feb_2027_A]]</f>
        <v/>
      </c>
      <c r="DT51" s="347">
        <f>IFERROR(Table4[[#This Row],[Mar_2027_Days_Forecast]]*Table4[[#This Row],[Cost Boolean]]*(VLOOKUP(Table4[[#This Row],[RATE CONCAT]],Tables!I:N,6,0)),0)</f>
        <v/>
      </c>
      <c r="DU51" s="275" t="n"/>
      <c r="DV51" s="347">
        <f>Table4[[#This Row],[Mar_2027_F]]-Table4[[#This Row],[Mar_2027_A]]</f>
        <v/>
      </c>
      <c r="DW51" s="347">
        <f>IFERROR(Table4[[#This Row],[Apr_2027_Days_Forecast]]*Table4[[#This Row],[Cost Boolean]]*(VLOOKUP(Table4[[#This Row],[RATE CONCAT]],Tables!I:N,6,0)),0)</f>
        <v/>
      </c>
      <c r="DX51" s="275" t="n"/>
      <c r="DY51" s="347">
        <f>Table4[[#This Row],[Apr_2027_F]]-Table4[[#This Row],[Apr_2027_A]]</f>
        <v/>
      </c>
      <c r="DZ51" s="347">
        <f>IFERROR(Table4[[#This Row],[May_2027_Days_Forecast]]*Table4[[#This Row],[Cost Boolean]]*(VLOOKUP(Table4[[#This Row],[RATE CONCAT]],Tables!I:N,6,0)),0)</f>
        <v/>
      </c>
      <c r="EA51" s="275" t="n"/>
      <c r="EB51" s="347">
        <f>Table4[[#This Row],[May_2027_F]]-Table4[[#This Row],[May_2027_A]]</f>
        <v/>
      </c>
      <c r="EC51" s="347">
        <f>IFERROR(Table4[[#This Row],[Jun_2027_Days_Forecast]]*Table4[[#This Row],[Cost Boolean]]*(VLOOKUP(Table4[[#This Row],[RATE CONCAT]],Tables!I:N,6,0)),0)</f>
        <v/>
      </c>
      <c r="ED51" s="275" t="n"/>
      <c r="EE51" s="347">
        <f>Table4[[#This Row],[Jun_2027_F]]-Table4[[#This Row],[Jun_2027_A]]</f>
        <v/>
      </c>
      <c r="EF51" s="347">
        <f>IFERROR(Table4[[#This Row],[Jul_2027_Days_Forecast]]*Table4[[#This Row],[Cost Boolean]]*(VLOOKUP(Table4[[#This Row],[RATE CONCAT]],Tables!I:N,6,0)),0)</f>
        <v/>
      </c>
      <c r="EG51" s="275" t="n"/>
      <c r="EH51" s="347">
        <f>Table4[[#This Row],[Jul_2027_F]]-Table4[[#This Row],[Jul_2027_A]]</f>
        <v/>
      </c>
      <c r="EI51" s="347">
        <f>IFERROR(Table4[[#This Row],[Aug_2027_Days_Forecast]]*Table4[[#This Row],[Cost Boolean]]*(VLOOKUP(Table4[[#This Row],[RATE CONCAT]],Tables!I:N,6,0)),0)</f>
        <v/>
      </c>
      <c r="EJ51" s="275" t="n"/>
      <c r="EK51" s="347">
        <f>Table4[[#This Row],[Aug_2027_F]]-Table4[[#This Row],[Aug_2027_A]]</f>
        <v/>
      </c>
      <c r="EL51" s="347">
        <f>IFERROR(Table4[[#This Row],[Sep_2027_Days_Forecast]]*Table4[[#This Row],[Cost Boolean]]*(VLOOKUP(Table4[[#This Row],[RATE CONCAT]],Tables!I:N,6,0)),0)</f>
        <v/>
      </c>
      <c r="EM51" s="275" t="n"/>
      <c r="EN51" s="347">
        <f>Table4[[#This Row],[Sep_2027_F]]-Table4[[#This Row],[Sep_2027_A]]</f>
        <v/>
      </c>
      <c r="EO51" s="347">
        <f>IFERROR(Table4[[#This Row],[Oct_2027_Days_Forecast]]*Table4[[#This Row],[Cost Boolean]]*(VLOOKUP(Table4[[#This Row],[RATE CONCAT]],Tables!I:N,6,0)),0)</f>
        <v/>
      </c>
      <c r="EP51" s="275" t="n"/>
      <c r="EQ51" s="347">
        <f>Table4[[#This Row],[Oct_2027_F]]-Table4[[#This Row],[Oct_2027_A]]</f>
        <v/>
      </c>
      <c r="ER51" s="347">
        <f>IFERROR(Table4[[#This Row],[Nov_2027_Days_Forecast]]*Table4[[#This Row],[Cost Boolean]]*(VLOOKUP(Table4[[#This Row],[RATE CONCAT]],Tables!I:N,6,0)),0)</f>
        <v/>
      </c>
      <c r="ES51" s="275" t="n"/>
      <c r="ET51" s="347">
        <f>Table4[[#This Row],[Nov_2027_F]]-Table4[[#This Row],[Nov_2027_A]]</f>
        <v/>
      </c>
      <c r="EU51" s="347">
        <f>IFERROR(Table4[[#This Row],[Dec_2027_Days_Forecast]]*Table4[[#This Row],[Cost Boolean]]*(VLOOKUP(Table4[[#This Row],[RATE CONCAT]],Tables!I:N,6,0)),0)</f>
        <v/>
      </c>
      <c r="EV51" s="275" t="n"/>
      <c r="EW51" s="347">
        <f>Table4[[#This Row],[Dec_2027_F]]-Table4[[#This Row],[Dec_2027_A]]</f>
        <v/>
      </c>
    </row>
    <row r="52" ht="1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350">
        <f>CONCATENATE(Table4[[#This Row],[JG]],Table4[[#This Row],[Country]],Table4[[#This Row],[Resource Provider]])</f>
        <v/>
      </c>
      <c r="Z52" s="350">
        <f>VLOOKUP(Table4[[#This Row],[RATE CONCAT]],Tables!I:N,5,0)</f>
        <v/>
      </c>
      <c r="AA52" s="53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353">
        <f>IFERROR(AVERAGE(Table4[[#This Row],[Jan_2026_Days_Forecast]:[Dec_2026_Days_Forecast]]),0)/19</f>
        <v/>
      </c>
      <c r="AO52" s="353">
        <f>IFERROR(AVERAGE(Table4[[#This Row],[Jan_2026_Days_Actual]:[Dec_2026_Days_Actual]]),0)/19</f>
        <v/>
      </c>
      <c r="AP52" s="84" t="n"/>
      <c r="AQ52" s="84" t="n"/>
      <c r="AR52" s="84" t="n"/>
      <c r="AS52" s="84" t="n"/>
      <c r="AT52" s="84" t="n"/>
      <c r="AU52" s="84" t="n"/>
      <c r="AV52" s="84" t="n"/>
      <c r="AW52" s="84" t="n"/>
      <c r="AX52" s="84" t="n"/>
      <c r="AY52" s="84" t="n"/>
      <c r="AZ52" s="84" t="n"/>
      <c r="BA52" s="84" t="n"/>
      <c r="BB52" s="353">
        <f>IFERROR(AVERAGE(Table4[[#This Row],[Jan_2027_Days_Forecast]:[Dec_2027_Days_Forecast]]),0)</f>
        <v/>
      </c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55" t="n"/>
      <c r="BP52" s="346" t="n"/>
      <c r="BQ52" s="345">
        <f>Table4[[#This Row],[Jan_2026_Days_Forecast]]*Table4[[#This Row],[Cost Boolean]]*VLOOKUP(Table4[[#This Row],[RATE CONCAT]],Tables!I:N,5,0)</f>
        <v/>
      </c>
      <c r="BR52" s="345">
        <f>IFERROR(Table4[[#This Row],[Jan_2026_Days_Actual]]*Table4[[#This Row],[Cost Boolean]]*(VLOOKUP(Table4[[#This Row],[RATE CONCAT]],Tables!I:N,5,0)),0)</f>
        <v/>
      </c>
      <c r="BS52" s="345">
        <f>Table4[[#This Row],[Jan_2026_F]]-Table4[[#This Row],[Jan_2026_A]]</f>
        <v/>
      </c>
      <c r="BT52" s="107" t="n"/>
      <c r="BU52" s="345">
        <f>IFERROR(Table4[[#This Row],[Feb_2026_Days_Forecast]]*Table4[[#This Row],[Cost Boolean]]*(VLOOKUP(Table4[[#This Row],[RATE CONCAT]],Tables!I:N,5,0)),0)</f>
        <v/>
      </c>
      <c r="BV52" s="345">
        <f>IFERROR(Table4[[#This Row],[Feb_2026_Days_Actual]]*Table4[[#This Row],[Cost Boolean]]*(VLOOKUP(Table4[[#This Row],[RATE CONCAT]],Tables!I:N,5,0)),0)</f>
        <v/>
      </c>
      <c r="BW52" s="345">
        <f>Table4[[#This Row],[Feb_2026_F]]-Table4[[#This Row],[Feb_2026_A]]</f>
        <v/>
      </c>
      <c r="BX52" s="103" t="n"/>
      <c r="BY52" s="345">
        <f>IFERROR(Table4[[#This Row],[Mar_2026_Days_Forecast]]*Table4[[#This Row],[Cost Boolean]]*(VLOOKUP(Table4[[#This Row],[RATE CONCAT]],Tables!I:N,5,0)),0)</f>
        <v/>
      </c>
      <c r="BZ52" s="345">
        <f>IFERROR(Table4[[#This Row],[Mar_2026_Days_Actual]]*Table4[[#This Row],[Cost Boolean]]*(VLOOKUP(Table4[[#This Row],[RATE CONCAT]],Tables!I:N,5,0)),0)</f>
        <v/>
      </c>
      <c r="CA52" s="345">
        <f>Table4[[#This Row],[Mar_2026_F]]-Table4[[#This Row],[Mar_2026_A]]</f>
        <v/>
      </c>
      <c r="CB52" s="103" t="n"/>
      <c r="CC52" s="345">
        <f>IFERROR(Table4[[#This Row],[Apr_2026_Days_Forecast]]*Table4[[#This Row],[Cost Boolean]]*(VLOOKUP(Table4[[#This Row],[RATE CONCAT]],Tables!I:N,5,0)),0)</f>
        <v/>
      </c>
      <c r="CD52" s="345">
        <f>IFERROR(Table4[[#This Row],[Apr_2026_Days_Actual]]*Table4[[#This Row],[Cost Boolean]]*(VLOOKUP(Table4[[#This Row],[RATE CONCAT]],Tables!I:N,5,0)),0)</f>
        <v/>
      </c>
      <c r="CE52" s="345">
        <f>Table4[[#This Row],[Apr_2026_F]]-Table4[[#This Row],[Apr_2026_A]]</f>
        <v/>
      </c>
      <c r="CF52" s="103" t="n"/>
      <c r="CG52" s="345">
        <f>IFERROR(Table4[[#This Row],[May_2026_Days_Forecast]] *Table4[[#This Row],[Cost Boolean]]*(VLOOKUP(Table4[[#This Row],[RATE CONCAT]],Tables!I:N,5,0)),0)</f>
        <v/>
      </c>
      <c r="CH52" s="345">
        <f>IFERROR(Table4[[#This Row],[May_2026_Days_Actual]]*Table4[[#This Row],[Cost Boolean]]*(VLOOKUP(Table4[[#This Row],[RATE CONCAT]],Tables!I:N,5,0)),0)</f>
        <v/>
      </c>
      <c r="CI52" s="345">
        <f>Table4[[#This Row],[May_2026_F]]-Table4[[#This Row],[May_2026_A]]</f>
        <v/>
      </c>
      <c r="CJ52" s="103" t="n"/>
      <c r="CK52" s="345">
        <f>IFERROR(Table4[[#This Row],[Jun_2026_Days_Forecast]]*Table4[[#This Row],[Cost Boolean]]*(VLOOKUP(Table4[[#This Row],[RATE CONCAT]],Tables!I:N,5,0)),0)</f>
        <v/>
      </c>
      <c r="CL52" s="345">
        <f>IFERROR(Table4[[#This Row],[Jun_2026_Days_Actual]]*Table4[[#This Row],[Cost Boolean]]*(VLOOKUP(Table4[[#This Row],[RATE CONCAT]],Tables!I:N,5,0)),0)</f>
        <v/>
      </c>
      <c r="CM52" s="345">
        <f>Table4[[#This Row],[Jun_2026_F]]-Table4[[#This Row],[Jun_2026_A]]</f>
        <v/>
      </c>
      <c r="CN52" s="103" t="n"/>
      <c r="CO52" s="345">
        <f>IFERROR(Table4[[#This Row],[Jul_2026_Days_Forecast]]*Table4[[#This Row],[Cost Boolean]]*(VLOOKUP(Table4[[#This Row],[RATE CONCAT]],Tables!I:N,5,0)),0)</f>
        <v/>
      </c>
      <c r="CP52" s="345">
        <f>IFERROR(Table4[[#This Row],[Aug_2026_Days_Forecast]]*Table4[[#This Row],[Location]]*(VLOOKUP(Table4[[#This Row],[Rate]],Tables!J:O,5,0)),0)</f>
        <v/>
      </c>
      <c r="CQ52" s="345">
        <f>Table4[[#This Row],[Jul_2026_F]]-Table4[[#This Row],[Jul_2026_A]]</f>
        <v/>
      </c>
      <c r="CR52" s="103" t="n"/>
      <c r="CS52" s="345">
        <f>IFERROR(Table4[[#This Row],[Aug_2026_Days_Forecast]]*Table4[[#This Row],[Cost Boolean]]*(VLOOKUP(Table4[[#This Row],[RATE CONCAT]],Tables!I:N,5,0)),0)</f>
        <v/>
      </c>
      <c r="CT52" s="345">
        <f>IFERROR(Table4[[#This Row],[Aug_2026_Days_Actual]]*Table4[[#This Row],[Cost Boolean]]*(VLOOKUP(Table4[[#This Row],[RATE CONCAT]],Tables!I:N,5,0)),0)</f>
        <v/>
      </c>
      <c r="CU52" s="345">
        <f>Table4[[#This Row],[Aug_2026_F]]-Table4[[#This Row],[Aug_2026_A]]</f>
        <v/>
      </c>
      <c r="CV52" s="103" t="n"/>
      <c r="CW52" s="345">
        <f>IFERROR(Table4[[#This Row],[Sep_2026_Days_Forecast]]*Table4[[#This Row],[Cost Boolean]]*(VLOOKUP(Table4[[#This Row],[RATE CONCAT]],Tables!I:N,5,0)),0)</f>
        <v/>
      </c>
      <c r="CX52" s="345">
        <f>IFERROR(Table4[[#This Row],[Sep_2026_Days_Actual]]*Table4[[#This Row],[Cost Boolean]]*(VLOOKUP(Table4[[#This Row],[RATE CONCAT]],Tables!I:N,5,0)),0)</f>
        <v/>
      </c>
      <c r="CY52" s="345">
        <f>Table4[[#This Row],[Sep_2026_F]]-Table4[[#This Row],[Sep_2026_A]]</f>
        <v/>
      </c>
      <c r="CZ52" s="103" t="n"/>
      <c r="DA52" s="345">
        <f>IFERROR(Table4[[#This Row],[Oct_2026_Days_Forecast]]*Table4[[#This Row],[Cost Boolean]]*(VLOOKUP(Table4[[#This Row],[RATE CONCAT]],Tables!I:N,5,0)),0)</f>
        <v/>
      </c>
      <c r="DB52" s="345">
        <f>IFERROR(Table4[[#This Row],[Oct_2026_Days_Actual]]*Table4[[#This Row],[Cost Boolean]]*(VLOOKUP(Table4[[#This Row],[RATE CONCAT]],Tables!I:N,5,0)),0)</f>
        <v/>
      </c>
      <c r="DC52" s="345">
        <f>Table4[[#This Row],[Oct_2026_F]]-Table4[[#This Row],[Oct_2026_A]]</f>
        <v/>
      </c>
      <c r="DD52" s="103" t="n"/>
      <c r="DE52" s="345">
        <f>IFERROR(Table4[[#This Row],[Nov_2026_Days_Forecast]]*Table4[[#This Row],[Cost Boolean]]*(VLOOKUP(Table4[[#This Row],[RATE CONCAT]],Tables!I:N,5,0)),0)</f>
        <v/>
      </c>
      <c r="DF52" s="345">
        <f>IFERROR(Table4[[#This Row],[Nov_2026_Days_Actual]]*Table4[[#This Row],[Cost Boolean]]*(VLOOKUP(Table4[[#This Row],[RATE CONCAT]],Tables!I:N,5,0)),0)</f>
        <v/>
      </c>
      <c r="DG52" s="345">
        <f>Table4[[#This Row],[Nov_2026_F]]-Table4[[#This Row],[Nov_2026_A]]</f>
        <v/>
      </c>
      <c r="DH52" s="103" t="n"/>
      <c r="DI52" s="345">
        <f>IFERROR(Table4[[#This Row],[Dec_2026_Days_Forecast]]*Table4[[#This Row],[Cost Boolean]]*(VLOOKUP(Table4[[#This Row],[RATE CONCAT]],Tables!I:N,5,0)),0)</f>
        <v/>
      </c>
      <c r="DJ52" s="345">
        <f>IFERROR(Table4[[#This Row],[Dec_2026_Days_Actual]]*Table4[[#This Row],[Cost Boolean]]*(VLOOKUP(Table4[[#This Row],[RATE CONCAT]],Tables!I:N,5,0)),0)</f>
        <v/>
      </c>
      <c r="DK52" s="345">
        <f>Table4[[#This Row],[Dec_2026_F]]-Table4[[#This Row],[Dec_2026_A]]</f>
        <v/>
      </c>
      <c r="DL52" s="103" t="n"/>
      <c r="DM52" s="346" t="n"/>
      <c r="DN52" s="345">
        <f>IFERROR(Table4[[#This Row],[Jan_2027_Days_Forecast]]*Table4[[#This Row],[Cost Boolean]]*(VLOOKUP(Table4[[#This Row],[RATE CONCAT]],Tables!I:N,6,0)),0)</f>
        <v/>
      </c>
      <c r="DO52" s="275" t="n"/>
      <c r="DP52" s="345">
        <f>Table4[[#This Row],[Jan_2027_F]]-Table4[[#This Row],[Jan_2027_A]]</f>
        <v/>
      </c>
      <c r="DQ52" s="345">
        <f>IFERROR(Table4[[#This Row],[Feb_2027_Days_Forecast]]*Table4[[#This Row],[Cost Boolean]]*(VLOOKUP(Table4[[#This Row],[RATE CONCAT]],Tables!I:N,6,0)),0)</f>
        <v/>
      </c>
      <c r="DR52" s="275" t="n"/>
      <c r="DS52" s="345">
        <f>Table4[[#This Row],[Feb_2027_F]]-Table4[[#This Row],[Feb_2027_A]]</f>
        <v/>
      </c>
      <c r="DT52" s="345">
        <f>IFERROR(Table4[[#This Row],[Mar_2027_Days_Forecast]]*Table4[[#This Row],[Cost Boolean]]*(VLOOKUP(Table4[[#This Row],[RATE CONCAT]],Tables!I:N,6,0)),0)</f>
        <v/>
      </c>
      <c r="DU52" s="275" t="n"/>
      <c r="DV52" s="345">
        <f>Table4[[#This Row],[Mar_2027_F]]-Table4[[#This Row],[Mar_2027_A]]</f>
        <v/>
      </c>
      <c r="DW52" s="345">
        <f>IFERROR(Table4[[#This Row],[Apr_2027_Days_Forecast]]*Table4[[#This Row],[Cost Boolean]]*(VLOOKUP(Table4[[#This Row],[RATE CONCAT]],Tables!I:N,6,0)),0)</f>
        <v/>
      </c>
      <c r="DX52" s="275" t="n"/>
      <c r="DY52" s="345">
        <f>Table4[[#This Row],[Apr_2027_F]]-Table4[[#This Row],[Apr_2027_A]]</f>
        <v/>
      </c>
      <c r="DZ52" s="345">
        <f>IFERROR(Table4[[#This Row],[May_2027_Days_Forecast]]*Table4[[#This Row],[Cost Boolean]]*(VLOOKUP(Table4[[#This Row],[RATE CONCAT]],Tables!I:N,6,0)),0)</f>
        <v/>
      </c>
      <c r="EA52" s="275" t="n"/>
      <c r="EB52" s="345">
        <f>Table4[[#This Row],[May_2027_F]]-Table4[[#This Row],[May_2027_A]]</f>
        <v/>
      </c>
      <c r="EC52" s="345">
        <f>IFERROR(Table4[[#This Row],[Jun_2027_Days_Forecast]]*Table4[[#This Row],[Cost Boolean]]*(VLOOKUP(Table4[[#This Row],[RATE CONCAT]],Tables!I:N,6,0)),0)</f>
        <v/>
      </c>
      <c r="ED52" s="275" t="n"/>
      <c r="EE52" s="345">
        <f>Table4[[#This Row],[Jun_2027_F]]-Table4[[#This Row],[Jun_2027_A]]</f>
        <v/>
      </c>
      <c r="EF52" s="345">
        <f>IFERROR(Table4[[#This Row],[Jul_2027_Days_Forecast]]*Table4[[#This Row],[Cost Boolean]]*(VLOOKUP(Table4[[#This Row],[RATE CONCAT]],Tables!I:N,6,0)),0)</f>
        <v/>
      </c>
      <c r="EG52" s="275" t="n"/>
      <c r="EH52" s="345">
        <f>Table4[[#This Row],[Jul_2027_F]]-Table4[[#This Row],[Jul_2027_A]]</f>
        <v/>
      </c>
      <c r="EI52" s="345">
        <f>IFERROR(Table4[[#This Row],[Aug_2027_Days_Forecast]]*Table4[[#This Row],[Cost Boolean]]*(VLOOKUP(Table4[[#This Row],[RATE CONCAT]],Tables!I:N,6,0)),0)</f>
        <v/>
      </c>
      <c r="EJ52" s="275" t="n"/>
      <c r="EK52" s="345">
        <f>Table4[[#This Row],[Aug_2027_F]]-Table4[[#This Row],[Aug_2027_A]]</f>
        <v/>
      </c>
      <c r="EL52" s="345">
        <f>IFERROR(Table4[[#This Row],[Sep_2027_Days_Forecast]]*Table4[[#This Row],[Cost Boolean]]*(VLOOKUP(Table4[[#This Row],[RATE CONCAT]],Tables!I:N,6,0)),0)</f>
        <v/>
      </c>
      <c r="EM52" s="275" t="n"/>
      <c r="EN52" s="345">
        <f>Table4[[#This Row],[Sep_2027_F]]-Table4[[#This Row],[Sep_2027_A]]</f>
        <v/>
      </c>
      <c r="EO52" s="345">
        <f>IFERROR(Table4[[#This Row],[Oct_2027_Days_Forecast]]*Table4[[#This Row],[Cost Boolean]]*(VLOOKUP(Table4[[#This Row],[RATE CONCAT]],Tables!I:N,6,0)),0)</f>
        <v/>
      </c>
      <c r="EP52" s="275" t="n"/>
      <c r="EQ52" s="345">
        <f>Table4[[#This Row],[Oct_2027_F]]-Table4[[#This Row],[Oct_2027_A]]</f>
        <v/>
      </c>
      <c r="ER52" s="345">
        <f>IFERROR(Table4[[#This Row],[Nov_2027_Days_Forecast]]*Table4[[#This Row],[Cost Boolean]]*(VLOOKUP(Table4[[#This Row],[RATE CONCAT]],Tables!I:N,6,0)),0)</f>
        <v/>
      </c>
      <c r="ES52" s="275" t="n"/>
      <c r="ET52" s="345">
        <f>Table4[[#This Row],[Nov_2027_F]]-Table4[[#This Row],[Nov_2027_A]]</f>
        <v/>
      </c>
      <c r="EU52" s="345">
        <f>IFERROR(Table4[[#This Row],[Dec_2027_Days_Forecast]]*Table4[[#This Row],[Cost Boolean]]*(VLOOKUP(Table4[[#This Row],[RATE CONCAT]],Tables!I:N,6,0)),0)</f>
        <v/>
      </c>
      <c r="EV52" s="275" t="n"/>
      <c r="EW52" s="345">
        <f>Table4[[#This Row],[Dec_2027_F]]-Table4[[#This Row],[Dec_2027_A]]</f>
        <v/>
      </c>
    </row>
    <row r="53" ht="1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350">
        <f>CONCATENATE(Table4[[#This Row],[JG]],Table4[[#This Row],[Country]],Table4[[#This Row],[Resource Provider]])</f>
        <v/>
      </c>
      <c r="Z53" s="350">
        <f>VLOOKUP(Table4[[#This Row],[RATE CONCAT]],Tables!I:N,5,0)</f>
        <v/>
      </c>
      <c r="AA53" s="53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353">
        <f>IFERROR(AVERAGE(Table4[[#This Row],[Jan_2026_Days_Forecast]:[Dec_2026_Days_Forecast]]),0)/19</f>
        <v/>
      </c>
      <c r="AO53" s="353">
        <f>IFERROR(AVERAGE(Table4[[#This Row],[Jan_2026_Days_Actual]:[Dec_2026_Days_Actual]]),0)/19</f>
        <v/>
      </c>
      <c r="AP53" s="84" t="n"/>
      <c r="AQ53" s="84" t="n"/>
      <c r="AR53" s="84" t="n"/>
      <c r="AS53" s="84" t="n"/>
      <c r="AT53" s="84" t="n"/>
      <c r="AU53" s="84" t="n"/>
      <c r="AV53" s="84" t="n"/>
      <c r="AW53" s="84" t="n"/>
      <c r="AX53" s="84" t="n"/>
      <c r="AY53" s="84" t="n"/>
      <c r="AZ53" s="84" t="n"/>
      <c r="BA53" s="84" t="n"/>
      <c r="BB53" s="353">
        <f>IFERROR(AVERAGE(Table4[[#This Row],[Jan_2027_Days_Forecast]:[Dec_2027_Days_Forecast]]),0)</f>
        <v/>
      </c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55" t="n"/>
      <c r="BP53" s="346" t="n"/>
      <c r="BQ53" s="347">
        <f>Table4[[#This Row],[Jan_2026_Days_Forecast]]*Table4[[#This Row],[Cost Boolean]]*VLOOKUP(Table4[[#This Row],[RATE CONCAT]],Tables!I:N,5,0)</f>
        <v/>
      </c>
      <c r="BR53" s="347">
        <f>IFERROR(Table4[[#This Row],[Jan_2026_Days_Actual]]*Table4[[#This Row],[Cost Boolean]]*(VLOOKUP(Table4[[#This Row],[RATE CONCAT]],Tables!I:N,5,0)),0)</f>
        <v/>
      </c>
      <c r="BS53" s="347">
        <f>Table4[[#This Row],[Jan_2026_F]]-Table4[[#This Row],[Jan_2026_A]]</f>
        <v/>
      </c>
      <c r="BT53" s="107" t="n"/>
      <c r="BU53" s="347">
        <f>IFERROR(Table4[[#This Row],[Feb_2026_Days_Forecast]]*Table4[[#This Row],[Cost Boolean]]*(VLOOKUP(Table4[[#This Row],[RATE CONCAT]],Tables!I:N,5,0)),0)</f>
        <v/>
      </c>
      <c r="BV53" s="347">
        <f>IFERROR(Table4[[#This Row],[Feb_2026_Days_Actual]]*Table4[[#This Row],[Cost Boolean]]*(VLOOKUP(Table4[[#This Row],[RATE CONCAT]],Tables!I:N,5,0)),0)</f>
        <v/>
      </c>
      <c r="BW53" s="347">
        <f>Table4[[#This Row],[Feb_2026_F]]-Table4[[#This Row],[Feb_2026_A]]</f>
        <v/>
      </c>
      <c r="BX53" s="103" t="n"/>
      <c r="BY53" s="347">
        <f>IFERROR(Table4[[#This Row],[Mar_2026_Days_Forecast]]*Table4[[#This Row],[Cost Boolean]]*(VLOOKUP(Table4[[#This Row],[RATE CONCAT]],Tables!I:N,5,0)),0)</f>
        <v/>
      </c>
      <c r="BZ53" s="347">
        <f>IFERROR(Table4[[#This Row],[Mar_2026_Days_Actual]]*Table4[[#This Row],[Cost Boolean]]*(VLOOKUP(Table4[[#This Row],[RATE CONCAT]],Tables!I:N,5,0)),0)</f>
        <v/>
      </c>
      <c r="CA53" s="347">
        <f>Table4[[#This Row],[Mar_2026_F]]-Table4[[#This Row],[Mar_2026_A]]</f>
        <v/>
      </c>
      <c r="CB53" s="103" t="n"/>
      <c r="CC53" s="347">
        <f>IFERROR(Table4[[#This Row],[Apr_2026_Days_Forecast]]*Table4[[#This Row],[Cost Boolean]]*(VLOOKUP(Table4[[#This Row],[RATE CONCAT]],Tables!I:N,5,0)),0)</f>
        <v/>
      </c>
      <c r="CD53" s="347">
        <f>IFERROR(Table4[[#This Row],[Apr_2026_Days_Actual]]*Table4[[#This Row],[Cost Boolean]]*(VLOOKUP(Table4[[#This Row],[RATE CONCAT]],Tables!I:N,5,0)),0)</f>
        <v/>
      </c>
      <c r="CE53" s="347">
        <f>Table4[[#This Row],[Apr_2026_F]]-Table4[[#This Row],[Apr_2026_A]]</f>
        <v/>
      </c>
      <c r="CF53" s="103" t="n"/>
      <c r="CG53" s="347">
        <f>IFERROR(Table4[[#This Row],[May_2026_Days_Forecast]] *Table4[[#This Row],[Cost Boolean]]*(VLOOKUP(Table4[[#This Row],[RATE CONCAT]],Tables!I:N,5,0)),0)</f>
        <v/>
      </c>
      <c r="CH53" s="347">
        <f>IFERROR(Table4[[#This Row],[May_2026_Days_Actual]]*Table4[[#This Row],[Cost Boolean]]*(VLOOKUP(Table4[[#This Row],[RATE CONCAT]],Tables!I:N,5,0)),0)</f>
        <v/>
      </c>
      <c r="CI53" s="347">
        <f>Table4[[#This Row],[May_2026_F]]-Table4[[#This Row],[May_2026_A]]</f>
        <v/>
      </c>
      <c r="CJ53" s="103" t="n"/>
      <c r="CK53" s="347">
        <f>IFERROR(Table4[[#This Row],[Jun_2026_Days_Forecast]]*Table4[[#This Row],[Cost Boolean]]*(VLOOKUP(Table4[[#This Row],[RATE CONCAT]],Tables!I:N,5,0)),0)</f>
        <v/>
      </c>
      <c r="CL53" s="347">
        <f>IFERROR(Table4[[#This Row],[Jun_2026_Days_Actual]]*Table4[[#This Row],[Cost Boolean]]*(VLOOKUP(Table4[[#This Row],[RATE CONCAT]],Tables!I:N,5,0)),0)</f>
        <v/>
      </c>
      <c r="CM53" s="347">
        <f>Table4[[#This Row],[Jun_2026_F]]-Table4[[#This Row],[Jun_2026_A]]</f>
        <v/>
      </c>
      <c r="CN53" s="103" t="n"/>
      <c r="CO53" s="347">
        <f>IFERROR(Table4[[#This Row],[Jul_2026_Days_Forecast]]*Table4[[#This Row],[Cost Boolean]]*(VLOOKUP(Table4[[#This Row],[RATE CONCAT]],Tables!I:N,5,0)),0)</f>
        <v/>
      </c>
      <c r="CP53" s="347">
        <f>IFERROR(Table4[[#This Row],[Aug_2026_Days_Forecast]]*Table4[[#This Row],[Location]]*(VLOOKUP(Table4[[#This Row],[Rate]],Tables!J:O,5,0)),0)</f>
        <v/>
      </c>
      <c r="CQ53" s="347">
        <f>Table4[[#This Row],[Jul_2026_F]]-Table4[[#This Row],[Jul_2026_A]]</f>
        <v/>
      </c>
      <c r="CR53" s="103" t="n"/>
      <c r="CS53" s="347">
        <f>IFERROR(Table4[[#This Row],[Aug_2026_Days_Forecast]]*Table4[[#This Row],[Cost Boolean]]*(VLOOKUP(Table4[[#This Row],[RATE CONCAT]],Tables!I:N,5,0)),0)</f>
        <v/>
      </c>
      <c r="CT53" s="347">
        <f>IFERROR(Table4[[#This Row],[Aug_2026_Days_Actual]]*Table4[[#This Row],[Cost Boolean]]*(VLOOKUP(Table4[[#This Row],[RATE CONCAT]],Tables!I:N,5,0)),0)</f>
        <v/>
      </c>
      <c r="CU53" s="347">
        <f>Table4[[#This Row],[Aug_2026_F]]-Table4[[#This Row],[Aug_2026_A]]</f>
        <v/>
      </c>
      <c r="CV53" s="103" t="n"/>
      <c r="CW53" s="347">
        <f>IFERROR(Table4[[#This Row],[Sep_2026_Days_Forecast]]*Table4[[#This Row],[Cost Boolean]]*(VLOOKUP(Table4[[#This Row],[RATE CONCAT]],Tables!I:N,5,0)),0)</f>
        <v/>
      </c>
      <c r="CX53" s="347">
        <f>IFERROR(Table4[[#This Row],[Sep_2026_Days_Actual]]*Table4[[#This Row],[Cost Boolean]]*(VLOOKUP(Table4[[#This Row],[RATE CONCAT]],Tables!I:N,5,0)),0)</f>
        <v/>
      </c>
      <c r="CY53" s="347">
        <f>Table4[[#This Row],[Sep_2026_F]]-Table4[[#This Row],[Sep_2026_A]]</f>
        <v/>
      </c>
      <c r="CZ53" s="103" t="n"/>
      <c r="DA53" s="347">
        <f>IFERROR(Table4[[#This Row],[Oct_2026_Days_Forecast]]*Table4[[#This Row],[Cost Boolean]]*(VLOOKUP(Table4[[#This Row],[RATE CONCAT]],Tables!I:N,5,0)),0)</f>
        <v/>
      </c>
      <c r="DB53" s="347">
        <f>IFERROR(Table4[[#This Row],[Oct_2026_Days_Actual]]*Table4[[#This Row],[Cost Boolean]]*(VLOOKUP(Table4[[#This Row],[RATE CONCAT]],Tables!I:N,5,0)),0)</f>
        <v/>
      </c>
      <c r="DC53" s="347">
        <f>Table4[[#This Row],[Oct_2026_F]]-Table4[[#This Row],[Oct_2026_A]]</f>
        <v/>
      </c>
      <c r="DD53" s="103" t="n"/>
      <c r="DE53" s="347">
        <f>IFERROR(Table4[[#This Row],[Nov_2026_Days_Forecast]]*Table4[[#This Row],[Cost Boolean]]*(VLOOKUP(Table4[[#This Row],[RATE CONCAT]],Tables!I:N,5,0)),0)</f>
        <v/>
      </c>
      <c r="DF53" s="347">
        <f>IFERROR(Table4[[#This Row],[Nov_2026_Days_Actual]]*Table4[[#This Row],[Cost Boolean]]*(VLOOKUP(Table4[[#This Row],[RATE CONCAT]],Tables!I:N,5,0)),0)</f>
        <v/>
      </c>
      <c r="DG53" s="347">
        <f>Table4[[#This Row],[Nov_2026_F]]-Table4[[#This Row],[Nov_2026_A]]</f>
        <v/>
      </c>
      <c r="DH53" s="103" t="n"/>
      <c r="DI53" s="347">
        <f>IFERROR(Table4[[#This Row],[Dec_2026_Days_Forecast]]*Table4[[#This Row],[Cost Boolean]]*(VLOOKUP(Table4[[#This Row],[RATE CONCAT]],Tables!I:N,5,0)),0)</f>
        <v/>
      </c>
      <c r="DJ53" s="347">
        <f>IFERROR(Table4[[#This Row],[Dec_2026_Days_Actual]]*Table4[[#This Row],[Cost Boolean]]*(VLOOKUP(Table4[[#This Row],[RATE CONCAT]],Tables!I:N,5,0)),0)</f>
        <v/>
      </c>
      <c r="DK53" s="347">
        <f>Table4[[#This Row],[Dec_2026_F]]-Table4[[#This Row],[Dec_2026_A]]</f>
        <v/>
      </c>
      <c r="DL53" s="103" t="n"/>
      <c r="DM53" s="346" t="n"/>
      <c r="DN53" s="347">
        <f>IFERROR(Table4[[#This Row],[Jan_2027_Days_Forecast]]*Table4[[#This Row],[Cost Boolean]]*(VLOOKUP(Table4[[#This Row],[RATE CONCAT]],Tables!I:N,6,0)),0)</f>
        <v/>
      </c>
      <c r="DO53" s="275" t="n"/>
      <c r="DP53" s="347">
        <f>Table4[[#This Row],[Jan_2027_F]]-Table4[[#This Row],[Jan_2027_A]]</f>
        <v/>
      </c>
      <c r="DQ53" s="347">
        <f>IFERROR(Table4[[#This Row],[Feb_2027_Days_Forecast]]*Table4[[#This Row],[Cost Boolean]]*(VLOOKUP(Table4[[#This Row],[RATE CONCAT]],Tables!I:N,6,0)),0)</f>
        <v/>
      </c>
      <c r="DR53" s="275" t="n"/>
      <c r="DS53" s="347">
        <f>Table4[[#This Row],[Feb_2027_F]]-Table4[[#This Row],[Feb_2027_A]]</f>
        <v/>
      </c>
      <c r="DT53" s="347">
        <f>IFERROR(Table4[[#This Row],[Mar_2027_Days_Forecast]]*Table4[[#This Row],[Cost Boolean]]*(VLOOKUP(Table4[[#This Row],[RATE CONCAT]],Tables!I:N,6,0)),0)</f>
        <v/>
      </c>
      <c r="DU53" s="275" t="n"/>
      <c r="DV53" s="347">
        <f>Table4[[#This Row],[Mar_2027_F]]-Table4[[#This Row],[Mar_2027_A]]</f>
        <v/>
      </c>
      <c r="DW53" s="347">
        <f>IFERROR(Table4[[#This Row],[Apr_2027_Days_Forecast]]*Table4[[#This Row],[Cost Boolean]]*(VLOOKUP(Table4[[#This Row],[RATE CONCAT]],Tables!I:N,6,0)),0)</f>
        <v/>
      </c>
      <c r="DX53" s="275" t="n"/>
      <c r="DY53" s="347">
        <f>Table4[[#This Row],[Apr_2027_F]]-Table4[[#This Row],[Apr_2027_A]]</f>
        <v/>
      </c>
      <c r="DZ53" s="347">
        <f>IFERROR(Table4[[#This Row],[May_2027_Days_Forecast]]*Table4[[#This Row],[Cost Boolean]]*(VLOOKUP(Table4[[#This Row],[RATE CONCAT]],Tables!I:N,6,0)),0)</f>
        <v/>
      </c>
      <c r="EA53" s="275" t="n"/>
      <c r="EB53" s="347">
        <f>Table4[[#This Row],[May_2027_F]]-Table4[[#This Row],[May_2027_A]]</f>
        <v/>
      </c>
      <c r="EC53" s="347">
        <f>IFERROR(Table4[[#This Row],[Jun_2027_Days_Forecast]]*Table4[[#This Row],[Cost Boolean]]*(VLOOKUP(Table4[[#This Row],[RATE CONCAT]],Tables!I:N,6,0)),0)</f>
        <v/>
      </c>
      <c r="ED53" s="275" t="n"/>
      <c r="EE53" s="347">
        <f>Table4[[#This Row],[Jun_2027_F]]-Table4[[#This Row],[Jun_2027_A]]</f>
        <v/>
      </c>
      <c r="EF53" s="347">
        <f>IFERROR(Table4[[#This Row],[Jul_2027_Days_Forecast]]*Table4[[#This Row],[Cost Boolean]]*(VLOOKUP(Table4[[#This Row],[RATE CONCAT]],Tables!I:N,6,0)),0)</f>
        <v/>
      </c>
      <c r="EG53" s="275" t="n"/>
      <c r="EH53" s="347">
        <f>Table4[[#This Row],[Jul_2027_F]]-Table4[[#This Row],[Jul_2027_A]]</f>
        <v/>
      </c>
      <c r="EI53" s="347">
        <f>IFERROR(Table4[[#This Row],[Aug_2027_Days_Forecast]]*Table4[[#This Row],[Cost Boolean]]*(VLOOKUP(Table4[[#This Row],[RATE CONCAT]],Tables!I:N,6,0)),0)</f>
        <v/>
      </c>
      <c r="EJ53" s="275" t="n"/>
      <c r="EK53" s="347">
        <f>Table4[[#This Row],[Aug_2027_F]]-Table4[[#This Row],[Aug_2027_A]]</f>
        <v/>
      </c>
      <c r="EL53" s="347">
        <f>IFERROR(Table4[[#This Row],[Sep_2027_Days_Forecast]]*Table4[[#This Row],[Cost Boolean]]*(VLOOKUP(Table4[[#This Row],[RATE CONCAT]],Tables!I:N,6,0)),0)</f>
        <v/>
      </c>
      <c r="EM53" s="275" t="n"/>
      <c r="EN53" s="347">
        <f>Table4[[#This Row],[Sep_2027_F]]-Table4[[#This Row],[Sep_2027_A]]</f>
        <v/>
      </c>
      <c r="EO53" s="347">
        <f>IFERROR(Table4[[#This Row],[Oct_2027_Days_Forecast]]*Table4[[#This Row],[Cost Boolean]]*(VLOOKUP(Table4[[#This Row],[RATE CONCAT]],Tables!I:N,6,0)),0)</f>
        <v/>
      </c>
      <c r="EP53" s="275" t="n"/>
      <c r="EQ53" s="347">
        <f>Table4[[#This Row],[Oct_2027_F]]-Table4[[#This Row],[Oct_2027_A]]</f>
        <v/>
      </c>
      <c r="ER53" s="347">
        <f>IFERROR(Table4[[#This Row],[Nov_2027_Days_Forecast]]*Table4[[#This Row],[Cost Boolean]]*(VLOOKUP(Table4[[#This Row],[RATE CONCAT]],Tables!I:N,6,0)),0)</f>
        <v/>
      </c>
      <c r="ES53" s="275" t="n"/>
      <c r="ET53" s="347">
        <f>Table4[[#This Row],[Nov_2027_F]]-Table4[[#This Row],[Nov_2027_A]]</f>
        <v/>
      </c>
      <c r="EU53" s="347">
        <f>IFERROR(Table4[[#This Row],[Dec_2027_Days_Forecast]]*Table4[[#This Row],[Cost Boolean]]*(VLOOKUP(Table4[[#This Row],[RATE CONCAT]],Tables!I:N,6,0)),0)</f>
        <v/>
      </c>
      <c r="EV53" s="275" t="n"/>
      <c r="EW53" s="347">
        <f>Table4[[#This Row],[Dec_2027_F]]-Table4[[#This Row],[Dec_2027_A]]</f>
        <v/>
      </c>
    </row>
    <row r="54" ht="1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350">
        <f>CONCATENATE(Table4[[#This Row],[JG]],Table4[[#This Row],[Country]],Table4[[#This Row],[Resource Provider]])</f>
        <v/>
      </c>
      <c r="Z54" s="350">
        <f>VLOOKUP(Table4[[#This Row],[RATE CONCAT]],Tables!I:N,5,0)</f>
        <v/>
      </c>
      <c r="AA54" s="53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353">
        <f>IFERROR(AVERAGE(Table4[[#This Row],[Jan_2026_Days_Forecast]:[Dec_2026_Days_Forecast]]),0)/19</f>
        <v/>
      </c>
      <c r="AO54" s="353">
        <f>IFERROR(AVERAGE(Table4[[#This Row],[Jan_2026_Days_Actual]:[Dec_2026_Days_Actual]]),0)/19</f>
        <v/>
      </c>
      <c r="AP54" s="84" t="n"/>
      <c r="AQ54" s="84" t="n"/>
      <c r="AR54" s="84" t="n"/>
      <c r="AS54" s="84" t="n"/>
      <c r="AT54" s="84" t="n"/>
      <c r="AU54" s="84" t="n"/>
      <c r="AV54" s="84" t="n"/>
      <c r="AW54" s="84" t="n"/>
      <c r="AX54" s="84" t="n"/>
      <c r="AY54" s="84" t="n"/>
      <c r="AZ54" s="84" t="n"/>
      <c r="BA54" s="84" t="n"/>
      <c r="BB54" s="353">
        <f>IFERROR(AVERAGE(Table4[[#This Row],[Jan_2027_Days_Forecast]:[Dec_2027_Days_Forecast]]),0)</f>
        <v/>
      </c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55" t="n"/>
      <c r="BP54" s="346" t="n"/>
      <c r="BQ54" s="275" t="n"/>
      <c r="BR54" s="345">
        <f>IFERROR(Table4[[#This Row],[Jan_2026_Days_Actual]]*Table4[[#This Row],[Cost Boolean]]*(VLOOKUP(Table4[[#This Row],[RATE CONCAT]],Tables!I:N,5,0)),0)</f>
        <v/>
      </c>
      <c r="BS54" s="345">
        <f>Table4[[#This Row],[Jan_2026_F]]-Table4[[#This Row],[Jan_2026_A]]</f>
        <v/>
      </c>
      <c r="BT54" s="107" t="n"/>
      <c r="BU54" s="345">
        <f>IFERROR(Table4[[#This Row],[Feb_2026_Days_Forecast]]*Table4[[#This Row],[Cost Boolean]]*(VLOOKUP(Table4[[#This Row],[RATE CONCAT]],Tables!I:N,5,0)),0)</f>
        <v/>
      </c>
      <c r="BV54" s="345">
        <f>IFERROR(Table4[[#This Row],[Feb_2026_Days_Actual]]*Table4[[#This Row],[Cost Boolean]]*(VLOOKUP(Table4[[#This Row],[RATE CONCAT]],Tables!I:N,5,0)),0)</f>
        <v/>
      </c>
      <c r="BW54" s="345">
        <f>Table4[[#This Row],[Feb_2026_F]]-Table4[[#This Row],[Feb_2026_A]]</f>
        <v/>
      </c>
      <c r="BX54" s="103" t="n"/>
      <c r="BY54" s="345">
        <f>IFERROR(Table4[[#This Row],[Mar_2026_Days_Forecast]]*Table4[[#This Row],[Cost Boolean]]*(VLOOKUP(Table4[[#This Row],[RATE CONCAT]],Tables!I:N,5,0)),0)</f>
        <v/>
      </c>
      <c r="BZ54" s="345">
        <f>IFERROR(Table4[[#This Row],[Mar_2026_Days_Actual]]*Table4[[#This Row],[Cost Boolean]]*(VLOOKUP(Table4[[#This Row],[RATE CONCAT]],Tables!I:N,5,0)),0)</f>
        <v/>
      </c>
      <c r="CA54" s="345">
        <f>Table4[[#This Row],[Mar_2026_F]]-Table4[[#This Row],[Mar_2026_A]]</f>
        <v/>
      </c>
      <c r="CB54" s="103" t="n"/>
      <c r="CC54" s="345">
        <f>IFERROR(Table4[[#This Row],[Apr_2026_Days_Forecast]]*Table4[[#This Row],[Cost Boolean]]*(VLOOKUP(Table4[[#This Row],[RATE CONCAT]],Tables!I:N,5,0)),0)</f>
        <v/>
      </c>
      <c r="CD54" s="345">
        <f>IFERROR(Table4[[#This Row],[Apr_2026_Days_Actual]]*Table4[[#This Row],[Cost Boolean]]*(VLOOKUP(Table4[[#This Row],[RATE CONCAT]],Tables!I:N,5,0)),0)</f>
        <v/>
      </c>
      <c r="CE54" s="345">
        <f>Table4[[#This Row],[Apr_2026_F]]-Table4[[#This Row],[Apr_2026_A]]</f>
        <v/>
      </c>
      <c r="CF54" s="103" t="n"/>
      <c r="CG54" s="345">
        <f>IFERROR(Table4[[#This Row],[May_2026_Days_Forecast]] *Table4[[#This Row],[Cost Boolean]]*(VLOOKUP(Table4[[#This Row],[RATE CONCAT]],Tables!I:N,5,0)),0)</f>
        <v/>
      </c>
      <c r="CH54" s="345">
        <f>IFERROR(Table4[[#This Row],[May_2026_Days_Actual]]*Table4[[#This Row],[Cost Boolean]]*(VLOOKUP(Table4[[#This Row],[RATE CONCAT]],Tables!I:N,5,0)),0)</f>
        <v/>
      </c>
      <c r="CI54" s="345">
        <f>Table4[[#This Row],[May_2026_F]]-Table4[[#This Row],[May_2026_A]]</f>
        <v/>
      </c>
      <c r="CJ54" s="103" t="n"/>
      <c r="CK54" s="345">
        <f>IFERROR(Table4[[#This Row],[Jun_2026_Days_Forecast]]*Table4[[#This Row],[Cost Boolean]]*(VLOOKUP(Table4[[#This Row],[RATE CONCAT]],Tables!I:N,5,0)),0)</f>
        <v/>
      </c>
      <c r="CL54" s="345">
        <f>IFERROR(Table4[[#This Row],[Jun_2026_Days_Actual]]*Table4[[#This Row],[Cost Boolean]]*(VLOOKUP(Table4[[#This Row],[RATE CONCAT]],Tables!I:N,5,0)),0)</f>
        <v/>
      </c>
      <c r="CM54" s="345">
        <f>Table4[[#This Row],[Jun_2026_F]]-Table4[[#This Row],[Jun_2026_A]]</f>
        <v/>
      </c>
      <c r="CN54" s="103" t="n"/>
      <c r="CO54" s="345">
        <f>IFERROR(Table4[[#This Row],[Jul_2026_Days_Forecast]]*Table4[[#This Row],[Cost Boolean]]*(VLOOKUP(Table4[[#This Row],[RATE CONCAT]],Tables!I:N,5,0)),0)</f>
        <v/>
      </c>
      <c r="CP54" s="345">
        <f>IFERROR(Table4[[#This Row],[Aug_2026_Days_Forecast]]*Table4[[#This Row],[Location]]*(VLOOKUP(Table4[[#This Row],[Rate]],Tables!J:O,5,0)),0)</f>
        <v/>
      </c>
      <c r="CQ54" s="345">
        <f>Table4[[#This Row],[Jul_2026_F]]-Table4[[#This Row],[Jul_2026_A]]</f>
        <v/>
      </c>
      <c r="CR54" s="103" t="n"/>
      <c r="CS54" s="345">
        <f>IFERROR(Table4[[#This Row],[Aug_2026_Days_Forecast]]*Table4[[#This Row],[Cost Boolean]]*(VLOOKUP(Table4[[#This Row],[RATE CONCAT]],Tables!I:N,5,0)),0)</f>
        <v/>
      </c>
      <c r="CT54" s="345">
        <f>IFERROR(Table4[[#This Row],[Aug_2026_Days_Actual]]*Table4[[#This Row],[Cost Boolean]]*(VLOOKUP(Table4[[#This Row],[RATE CONCAT]],Tables!I:N,5,0)),0)</f>
        <v/>
      </c>
      <c r="CU54" s="345">
        <f>Table4[[#This Row],[Aug_2026_F]]-Table4[[#This Row],[Aug_2026_A]]</f>
        <v/>
      </c>
      <c r="CV54" s="103" t="n"/>
      <c r="CW54" s="345">
        <f>IFERROR(Table4[[#This Row],[Sep_2026_Days_Forecast]]*Table4[[#This Row],[Cost Boolean]]*(VLOOKUP(Table4[[#This Row],[RATE CONCAT]],Tables!I:N,5,0)),0)</f>
        <v/>
      </c>
      <c r="CX54" s="345">
        <f>IFERROR(Table4[[#This Row],[Sep_2026_Days_Actual]]*Table4[[#This Row],[Cost Boolean]]*(VLOOKUP(Table4[[#This Row],[RATE CONCAT]],Tables!I:N,5,0)),0)</f>
        <v/>
      </c>
      <c r="CY54" s="345">
        <f>Table4[[#This Row],[Sep_2026_F]]-Table4[[#This Row],[Sep_2026_A]]</f>
        <v/>
      </c>
      <c r="CZ54" s="103" t="n"/>
      <c r="DA54" s="345">
        <f>IFERROR(Table4[[#This Row],[Oct_2026_Days_Forecast]]*Table4[[#This Row],[Cost Boolean]]*(VLOOKUP(Table4[[#This Row],[RATE CONCAT]],Tables!I:N,5,0)),0)</f>
        <v/>
      </c>
      <c r="DB54" s="345">
        <f>IFERROR(Table4[[#This Row],[Oct_2026_Days_Actual]]*Table4[[#This Row],[Cost Boolean]]*(VLOOKUP(Table4[[#This Row],[RATE CONCAT]],Tables!I:N,5,0)),0)</f>
        <v/>
      </c>
      <c r="DC54" s="345">
        <f>Table4[[#This Row],[Oct_2026_F]]-Table4[[#This Row],[Oct_2026_A]]</f>
        <v/>
      </c>
      <c r="DD54" s="103" t="n"/>
      <c r="DE54" s="345">
        <f>IFERROR(Table4[[#This Row],[Nov_2026_Days_Forecast]]*Table4[[#This Row],[Cost Boolean]]*(VLOOKUP(Table4[[#This Row],[RATE CONCAT]],Tables!I:N,5,0)),0)</f>
        <v/>
      </c>
      <c r="DF54" s="345">
        <f>IFERROR(Table4[[#This Row],[Nov_2026_Days_Actual]]*Table4[[#This Row],[Cost Boolean]]*(VLOOKUP(Table4[[#This Row],[RATE CONCAT]],Tables!I:N,5,0)),0)</f>
        <v/>
      </c>
      <c r="DG54" s="345">
        <f>Table4[[#This Row],[Nov_2026_F]]-Table4[[#This Row],[Nov_2026_A]]</f>
        <v/>
      </c>
      <c r="DH54" s="103" t="n"/>
      <c r="DI54" s="345">
        <f>IFERROR(Table4[[#This Row],[Dec_2026_Days_Forecast]]*Table4[[#This Row],[Cost Boolean]]*(VLOOKUP(Table4[[#This Row],[RATE CONCAT]],Tables!I:N,5,0)),0)</f>
        <v/>
      </c>
      <c r="DJ54" s="345">
        <f>IFERROR(Table4[[#This Row],[Dec_2026_Days_Actual]]*Table4[[#This Row],[Cost Boolean]]*(VLOOKUP(Table4[[#This Row],[RATE CONCAT]],Tables!I:N,5,0)),0)</f>
        <v/>
      </c>
      <c r="DK54" s="345">
        <f>Table4[[#This Row],[Dec_2026_F]]-Table4[[#This Row],[Dec_2026_A]]</f>
        <v/>
      </c>
      <c r="DL54" s="103" t="n"/>
      <c r="DM54" s="346" t="n"/>
      <c r="DN54" s="345">
        <f>IFERROR(Table4[[#This Row],[Jan_2027_Days_Forecast]]*Table4[[#This Row],[Cost Boolean]]*(VLOOKUP(Table4[[#This Row],[RATE CONCAT]],Tables!I:N,6,0)),0)</f>
        <v/>
      </c>
      <c r="DO54" s="275" t="n"/>
      <c r="DP54" s="345">
        <f>Table4[[#This Row],[Jan_2027_F]]-Table4[[#This Row],[Jan_2027_A]]</f>
        <v/>
      </c>
      <c r="DQ54" s="345">
        <f>IFERROR(Table4[[#This Row],[Feb_2027_Days_Forecast]]*Table4[[#This Row],[Cost Boolean]]*(VLOOKUP(Table4[[#This Row],[RATE CONCAT]],Tables!I:N,6,0)),0)</f>
        <v/>
      </c>
      <c r="DR54" s="275" t="n"/>
      <c r="DS54" s="345">
        <f>Table4[[#This Row],[Feb_2027_F]]-Table4[[#This Row],[Feb_2027_A]]</f>
        <v/>
      </c>
      <c r="DT54" s="345">
        <f>IFERROR(Table4[[#This Row],[Mar_2027_Days_Forecast]]*Table4[[#This Row],[Cost Boolean]]*(VLOOKUP(Table4[[#This Row],[RATE CONCAT]],Tables!I:N,6,0)),0)</f>
        <v/>
      </c>
      <c r="DU54" s="275" t="n"/>
      <c r="DV54" s="345">
        <f>Table4[[#This Row],[Mar_2027_F]]-Table4[[#This Row],[Mar_2027_A]]</f>
        <v/>
      </c>
      <c r="DW54" s="345">
        <f>IFERROR(Table4[[#This Row],[Apr_2027_Days_Forecast]]*Table4[[#This Row],[Cost Boolean]]*(VLOOKUP(Table4[[#This Row],[RATE CONCAT]],Tables!I:N,6,0)),0)</f>
        <v/>
      </c>
      <c r="DX54" s="275" t="n"/>
      <c r="DY54" s="345">
        <f>Table4[[#This Row],[Apr_2027_F]]-Table4[[#This Row],[Apr_2027_A]]</f>
        <v/>
      </c>
      <c r="DZ54" s="345">
        <f>IFERROR(Table4[[#This Row],[May_2027_Days_Forecast]]*Table4[[#This Row],[Cost Boolean]]*(VLOOKUP(Table4[[#This Row],[RATE CONCAT]],Tables!I:N,6,0)),0)</f>
        <v/>
      </c>
      <c r="EA54" s="275" t="n"/>
      <c r="EB54" s="345">
        <f>Table4[[#This Row],[May_2027_F]]-Table4[[#This Row],[May_2027_A]]</f>
        <v/>
      </c>
      <c r="EC54" s="345">
        <f>IFERROR(Table4[[#This Row],[Jun_2027_Days_Forecast]]*Table4[[#This Row],[Cost Boolean]]*(VLOOKUP(Table4[[#This Row],[RATE CONCAT]],Tables!I:N,6,0)),0)</f>
        <v/>
      </c>
      <c r="ED54" s="275" t="n"/>
      <c r="EE54" s="345">
        <f>Table4[[#This Row],[Jun_2027_F]]-Table4[[#This Row],[Jun_2027_A]]</f>
        <v/>
      </c>
      <c r="EF54" s="345">
        <f>IFERROR(Table4[[#This Row],[Jul_2027_Days_Forecast]]*Table4[[#This Row],[Cost Boolean]]*(VLOOKUP(Table4[[#This Row],[RATE CONCAT]],Tables!I:N,6,0)),0)</f>
        <v/>
      </c>
      <c r="EG54" s="275" t="n"/>
      <c r="EH54" s="345">
        <f>Table4[[#This Row],[Jul_2027_F]]-Table4[[#This Row],[Jul_2027_A]]</f>
        <v/>
      </c>
      <c r="EI54" s="345">
        <f>IFERROR(Table4[[#This Row],[Aug_2027_Days_Forecast]]*Table4[[#This Row],[Cost Boolean]]*(VLOOKUP(Table4[[#This Row],[RATE CONCAT]],Tables!I:N,6,0)),0)</f>
        <v/>
      </c>
      <c r="EJ54" s="275" t="n"/>
      <c r="EK54" s="345">
        <f>Table4[[#This Row],[Aug_2027_F]]-Table4[[#This Row],[Aug_2027_A]]</f>
        <v/>
      </c>
      <c r="EL54" s="345">
        <f>IFERROR(Table4[[#This Row],[Sep_2027_Days_Forecast]]*Table4[[#This Row],[Cost Boolean]]*(VLOOKUP(Table4[[#This Row],[RATE CONCAT]],Tables!I:N,6,0)),0)</f>
        <v/>
      </c>
      <c r="EM54" s="275" t="n"/>
      <c r="EN54" s="345">
        <f>Table4[[#This Row],[Sep_2027_F]]-Table4[[#This Row],[Sep_2027_A]]</f>
        <v/>
      </c>
      <c r="EO54" s="345">
        <f>IFERROR(Table4[[#This Row],[Oct_2027_Days_Forecast]]*Table4[[#This Row],[Cost Boolean]]*(VLOOKUP(Table4[[#This Row],[RATE CONCAT]],Tables!I:N,6,0)),0)</f>
        <v/>
      </c>
      <c r="EP54" s="275" t="n"/>
      <c r="EQ54" s="345">
        <f>Table4[[#This Row],[Oct_2027_F]]-Table4[[#This Row],[Oct_2027_A]]</f>
        <v/>
      </c>
      <c r="ER54" s="345">
        <f>IFERROR(Table4[[#This Row],[Nov_2027_Days_Forecast]]*Table4[[#This Row],[Cost Boolean]]*(VLOOKUP(Table4[[#This Row],[RATE CONCAT]],Tables!I:N,6,0)),0)</f>
        <v/>
      </c>
      <c r="ES54" s="275" t="n"/>
      <c r="ET54" s="345">
        <f>Table4[[#This Row],[Nov_2027_F]]-Table4[[#This Row],[Nov_2027_A]]</f>
        <v/>
      </c>
      <c r="EU54" s="345">
        <f>IFERROR(Table4[[#This Row],[Dec_2027_Days_Forecast]]*Table4[[#This Row],[Cost Boolean]]*(VLOOKUP(Table4[[#This Row],[RATE CONCAT]],Tables!I:N,6,0)),0)</f>
        <v/>
      </c>
      <c r="EV54" s="275" t="n"/>
      <c r="EW54" s="345">
        <f>Table4[[#This Row],[Dec_2027_F]]-Table4[[#This Row],[Dec_2027_A]]</f>
        <v/>
      </c>
    </row>
    <row r="55" ht="1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350">
        <f>CONCATENATE(Table4[[#This Row],[JG]],Table4[[#This Row],[Country]],Table4[[#This Row],[Resource Provider]])</f>
        <v/>
      </c>
      <c r="Z55" s="350">
        <f>VLOOKUP(Table4[[#This Row],[RATE CONCAT]],Tables!I:N,5,0)</f>
        <v/>
      </c>
      <c r="AA55" s="53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353">
        <f>IFERROR(AVERAGE(Table4[[#This Row],[Jan_2026_Days_Forecast]:[Dec_2026_Days_Forecast]]),0)/19</f>
        <v/>
      </c>
      <c r="AO55" s="353">
        <f>IFERROR(AVERAGE(Table4[[#This Row],[Jan_2026_Days_Actual]:[Dec_2026_Days_Actual]]),0)/19</f>
        <v/>
      </c>
      <c r="AP55" s="84" t="n"/>
      <c r="AQ55" s="84" t="n"/>
      <c r="AR55" s="84" t="n"/>
      <c r="AS55" s="84" t="n"/>
      <c r="AT55" s="84" t="n"/>
      <c r="AU55" s="84" t="n"/>
      <c r="AV55" s="84" t="n"/>
      <c r="AW55" s="84" t="n"/>
      <c r="AX55" s="84" t="n"/>
      <c r="AY55" s="84" t="n"/>
      <c r="AZ55" s="84" t="n"/>
      <c r="BA55" s="84" t="n"/>
      <c r="BB55" s="353">
        <f>IFERROR(AVERAGE(Table4[[#This Row],[Jan_2027_Days_Forecast]:[Dec_2027_Days_Forecast]]),0)</f>
        <v/>
      </c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55" t="n"/>
      <c r="BP55" s="346" t="n"/>
      <c r="BQ55" s="347">
        <f>Table4[[#This Row],[Jan_2026_Days_Forecast]]*Table4[[#This Row],[Cost Boolean]]*VLOOKUP(Table4[[#This Row],[RATE CONCAT]],Tables!I:N,5,0)</f>
        <v/>
      </c>
      <c r="BR55" s="347">
        <f>IFERROR(Table4[[#This Row],[Jan_2026_Days_Actual]]*Table4[[#This Row],[Cost Boolean]]*(VLOOKUP(Table4[[#This Row],[RATE CONCAT]],Tables!I:N,5,0)),0)</f>
        <v/>
      </c>
      <c r="BS55" s="347">
        <f>Table4[[#This Row],[Jan_2026_F]]-Table4[[#This Row],[Jan_2026_A]]</f>
        <v/>
      </c>
      <c r="BT55" s="107" t="n"/>
      <c r="BU55" s="347">
        <f>IFERROR(Table4[[#This Row],[Feb_2026_Days_Forecast]]*Table4[[#This Row],[Cost Boolean]]*(VLOOKUP(Table4[[#This Row],[RATE CONCAT]],Tables!I:N,5,0)),0)</f>
        <v/>
      </c>
      <c r="BV55" s="347">
        <f>IFERROR(Table4[[#This Row],[Feb_2026_Days_Actual]]*Table4[[#This Row],[Cost Boolean]]*(VLOOKUP(Table4[[#This Row],[RATE CONCAT]],Tables!I:N,5,0)),0)</f>
        <v/>
      </c>
      <c r="BW55" s="347">
        <f>Table4[[#This Row],[Feb_2026_F]]-Table4[[#This Row],[Feb_2026_A]]</f>
        <v/>
      </c>
      <c r="BX55" s="103" t="n"/>
      <c r="BY55" s="347">
        <f>IFERROR(Table4[[#This Row],[Mar_2026_Days_Forecast]]*Table4[[#This Row],[Cost Boolean]]*(VLOOKUP(Table4[[#This Row],[RATE CONCAT]],Tables!I:N,5,0)),0)</f>
        <v/>
      </c>
      <c r="BZ55" s="347">
        <f>IFERROR(Table4[[#This Row],[Mar_2026_Days_Actual]]*Table4[[#This Row],[Cost Boolean]]*(VLOOKUP(Table4[[#This Row],[RATE CONCAT]],Tables!I:N,5,0)),0)</f>
        <v/>
      </c>
      <c r="CA55" s="347">
        <f>Table4[[#This Row],[Mar_2026_F]]-Table4[[#This Row],[Mar_2026_A]]</f>
        <v/>
      </c>
      <c r="CB55" s="103" t="n"/>
      <c r="CC55" s="347">
        <f>IFERROR(Table4[[#This Row],[Apr_2026_Days_Forecast]]*Table4[[#This Row],[Cost Boolean]]*(VLOOKUP(Table4[[#This Row],[RATE CONCAT]],Tables!I:N,5,0)),0)</f>
        <v/>
      </c>
      <c r="CD55" s="347">
        <f>IFERROR(Table4[[#This Row],[Apr_2026_Days_Actual]]*Table4[[#This Row],[Cost Boolean]]*(VLOOKUP(Table4[[#This Row],[RATE CONCAT]],Tables!I:N,5,0)),0)</f>
        <v/>
      </c>
      <c r="CE55" s="347">
        <f>Table4[[#This Row],[Apr_2026_F]]-Table4[[#This Row],[Apr_2026_A]]</f>
        <v/>
      </c>
      <c r="CF55" s="103" t="n"/>
      <c r="CG55" s="347">
        <f>IFERROR(Table4[[#This Row],[May_2026_Days_Forecast]] *Table4[[#This Row],[Cost Boolean]]*(VLOOKUP(Table4[[#This Row],[RATE CONCAT]],Tables!I:N,5,0)),0)</f>
        <v/>
      </c>
      <c r="CH55" s="347">
        <f>IFERROR(Table4[[#This Row],[May_2026_Days_Actual]]*Table4[[#This Row],[Cost Boolean]]*(VLOOKUP(Table4[[#This Row],[RATE CONCAT]],Tables!I:N,5,0)),0)</f>
        <v/>
      </c>
      <c r="CI55" s="347">
        <f>Table4[[#This Row],[May_2026_F]]-Table4[[#This Row],[May_2026_A]]</f>
        <v/>
      </c>
      <c r="CJ55" s="103" t="n"/>
      <c r="CK55" s="347">
        <f>IFERROR(Table4[[#This Row],[Jun_2026_Days_Forecast]]*Table4[[#This Row],[Cost Boolean]]*(VLOOKUP(Table4[[#This Row],[RATE CONCAT]],Tables!I:N,5,0)),0)</f>
        <v/>
      </c>
      <c r="CL55" s="347">
        <f>IFERROR(Table4[[#This Row],[Jun_2026_Days_Actual]]*Table4[[#This Row],[Cost Boolean]]*(VLOOKUP(Table4[[#This Row],[RATE CONCAT]],Tables!I:N,5,0)),0)</f>
        <v/>
      </c>
      <c r="CM55" s="347">
        <f>Table4[[#This Row],[Jun_2026_F]]-Table4[[#This Row],[Jun_2026_A]]</f>
        <v/>
      </c>
      <c r="CN55" s="103" t="n"/>
      <c r="CO55" s="347">
        <f>IFERROR(Table4[[#This Row],[Jul_2026_Days_Forecast]]*Table4[[#This Row],[Cost Boolean]]*(VLOOKUP(Table4[[#This Row],[RATE CONCAT]],Tables!I:N,5,0)),0)</f>
        <v/>
      </c>
      <c r="CP55" s="347">
        <f>IFERROR(Table4[[#This Row],[Aug_2026_Days_Forecast]]*Table4[[#This Row],[Location]]*(VLOOKUP(Table4[[#This Row],[Rate]],Tables!J:O,5,0)),0)</f>
        <v/>
      </c>
      <c r="CQ55" s="347">
        <f>Table4[[#This Row],[Jul_2026_F]]-Table4[[#This Row],[Jul_2026_A]]</f>
        <v/>
      </c>
      <c r="CR55" s="103" t="n"/>
      <c r="CS55" s="347">
        <f>IFERROR(Table4[[#This Row],[Aug_2026_Days_Forecast]]*Table4[[#This Row],[Cost Boolean]]*(VLOOKUP(Table4[[#This Row],[RATE CONCAT]],Tables!I:N,5,0)),0)</f>
        <v/>
      </c>
      <c r="CT55" s="347">
        <f>IFERROR(Table4[[#This Row],[Aug_2026_Days_Actual]]*Table4[[#This Row],[Cost Boolean]]*(VLOOKUP(Table4[[#This Row],[RATE CONCAT]],Tables!I:N,5,0)),0)</f>
        <v/>
      </c>
      <c r="CU55" s="347">
        <f>Table4[[#This Row],[Aug_2026_F]]-Table4[[#This Row],[Aug_2026_A]]</f>
        <v/>
      </c>
      <c r="CV55" s="103" t="n"/>
      <c r="CW55" s="347">
        <f>IFERROR(Table4[[#This Row],[Sep_2026_Days_Forecast]]*Table4[[#This Row],[Cost Boolean]]*(VLOOKUP(Table4[[#This Row],[RATE CONCAT]],Tables!I:N,5,0)),0)</f>
        <v/>
      </c>
      <c r="CX55" s="347">
        <f>IFERROR(Table4[[#This Row],[Sep_2026_Days_Actual]]*Table4[[#This Row],[Cost Boolean]]*(VLOOKUP(Table4[[#This Row],[RATE CONCAT]],Tables!I:N,5,0)),0)</f>
        <v/>
      </c>
      <c r="CY55" s="347">
        <f>Table4[[#This Row],[Sep_2026_F]]-Table4[[#This Row],[Sep_2026_A]]</f>
        <v/>
      </c>
      <c r="CZ55" s="103" t="n"/>
      <c r="DA55" s="347">
        <f>IFERROR(Table4[[#This Row],[Oct_2026_Days_Forecast]]*Table4[[#This Row],[Cost Boolean]]*(VLOOKUP(Table4[[#This Row],[RATE CONCAT]],Tables!I:N,5,0)),0)</f>
        <v/>
      </c>
      <c r="DB55" s="347">
        <f>IFERROR(Table4[[#This Row],[Oct_2026_Days_Actual]]*Table4[[#This Row],[Cost Boolean]]*(VLOOKUP(Table4[[#This Row],[RATE CONCAT]],Tables!I:N,5,0)),0)</f>
        <v/>
      </c>
      <c r="DC55" s="347">
        <f>Table4[[#This Row],[Oct_2026_F]]-Table4[[#This Row],[Oct_2026_A]]</f>
        <v/>
      </c>
      <c r="DD55" s="103" t="n"/>
      <c r="DE55" s="347">
        <f>IFERROR(Table4[[#This Row],[Nov_2026_Days_Forecast]]*Table4[[#This Row],[Cost Boolean]]*(VLOOKUP(Table4[[#This Row],[RATE CONCAT]],Tables!I:N,5,0)),0)</f>
        <v/>
      </c>
      <c r="DF55" s="347">
        <f>IFERROR(Table4[[#This Row],[Nov_2026_Days_Actual]]*Table4[[#This Row],[Cost Boolean]]*(VLOOKUP(Table4[[#This Row],[RATE CONCAT]],Tables!I:N,5,0)),0)</f>
        <v/>
      </c>
      <c r="DG55" s="347">
        <f>Table4[[#This Row],[Nov_2026_F]]-Table4[[#This Row],[Nov_2026_A]]</f>
        <v/>
      </c>
      <c r="DH55" s="103" t="n"/>
      <c r="DI55" s="347">
        <f>IFERROR(Table4[[#This Row],[Dec_2026_Days_Forecast]]*Table4[[#This Row],[Cost Boolean]]*(VLOOKUP(Table4[[#This Row],[RATE CONCAT]],Tables!I:N,5,0)),0)</f>
        <v/>
      </c>
      <c r="DJ55" s="347">
        <f>IFERROR(Table4[[#This Row],[Dec_2026_Days_Actual]]*Table4[[#This Row],[Cost Boolean]]*(VLOOKUP(Table4[[#This Row],[RATE CONCAT]],Tables!I:N,5,0)),0)</f>
        <v/>
      </c>
      <c r="DK55" s="347">
        <f>Table4[[#This Row],[Dec_2026_F]]-Table4[[#This Row],[Dec_2026_A]]</f>
        <v/>
      </c>
      <c r="DL55" s="103" t="n"/>
      <c r="DM55" s="346" t="n"/>
      <c r="DN55" s="347">
        <f>IFERROR(Table4[[#This Row],[Jan_2027_Days_Forecast]]*Table4[[#This Row],[Cost Boolean]]*(VLOOKUP(Table4[[#This Row],[RATE CONCAT]],Tables!I:N,6,0)),0)</f>
        <v/>
      </c>
      <c r="DO55" s="275" t="n"/>
      <c r="DP55" s="347">
        <f>Table4[[#This Row],[Jan_2027_F]]-Table4[[#This Row],[Jan_2027_A]]</f>
        <v/>
      </c>
      <c r="DQ55" s="347">
        <f>IFERROR(Table4[[#This Row],[Feb_2027_Days_Forecast]]*Table4[[#This Row],[Cost Boolean]]*(VLOOKUP(Table4[[#This Row],[RATE CONCAT]],Tables!I:N,6,0)),0)</f>
        <v/>
      </c>
      <c r="DR55" s="275" t="n"/>
      <c r="DS55" s="347">
        <f>Table4[[#This Row],[Feb_2027_F]]-Table4[[#This Row],[Feb_2027_A]]</f>
        <v/>
      </c>
      <c r="DT55" s="347">
        <f>IFERROR(Table4[[#This Row],[Mar_2027_Days_Forecast]]*Table4[[#This Row],[Cost Boolean]]*(VLOOKUP(Table4[[#This Row],[RATE CONCAT]],Tables!I:N,6,0)),0)</f>
        <v/>
      </c>
      <c r="DU55" s="275" t="n"/>
      <c r="DV55" s="347">
        <f>Table4[[#This Row],[Mar_2027_F]]-Table4[[#This Row],[Mar_2027_A]]</f>
        <v/>
      </c>
      <c r="DW55" s="347">
        <f>IFERROR(Table4[[#This Row],[Apr_2027_Days_Forecast]]*Table4[[#This Row],[Cost Boolean]]*(VLOOKUP(Table4[[#This Row],[RATE CONCAT]],Tables!I:N,6,0)),0)</f>
        <v/>
      </c>
      <c r="DX55" s="275" t="n"/>
      <c r="DY55" s="347">
        <f>Table4[[#This Row],[Apr_2027_F]]-Table4[[#This Row],[Apr_2027_A]]</f>
        <v/>
      </c>
      <c r="DZ55" s="347">
        <f>IFERROR(Table4[[#This Row],[May_2027_Days_Forecast]]*Table4[[#This Row],[Cost Boolean]]*(VLOOKUP(Table4[[#This Row],[RATE CONCAT]],Tables!I:N,6,0)),0)</f>
        <v/>
      </c>
      <c r="EA55" s="275" t="n"/>
      <c r="EB55" s="347">
        <f>Table4[[#This Row],[May_2027_F]]-Table4[[#This Row],[May_2027_A]]</f>
        <v/>
      </c>
      <c r="EC55" s="347">
        <f>IFERROR(Table4[[#This Row],[Jun_2027_Days_Forecast]]*Table4[[#This Row],[Cost Boolean]]*(VLOOKUP(Table4[[#This Row],[RATE CONCAT]],Tables!I:N,6,0)),0)</f>
        <v/>
      </c>
      <c r="ED55" s="275" t="n"/>
      <c r="EE55" s="347">
        <f>Table4[[#This Row],[Jun_2027_F]]-Table4[[#This Row],[Jun_2027_A]]</f>
        <v/>
      </c>
      <c r="EF55" s="347">
        <f>IFERROR(Table4[[#This Row],[Jul_2027_Days_Forecast]]*Table4[[#This Row],[Cost Boolean]]*(VLOOKUP(Table4[[#This Row],[RATE CONCAT]],Tables!I:N,6,0)),0)</f>
        <v/>
      </c>
      <c r="EG55" s="275" t="n"/>
      <c r="EH55" s="347">
        <f>Table4[[#This Row],[Jul_2027_F]]-Table4[[#This Row],[Jul_2027_A]]</f>
        <v/>
      </c>
      <c r="EI55" s="347">
        <f>IFERROR(Table4[[#This Row],[Aug_2027_Days_Forecast]]*Table4[[#This Row],[Cost Boolean]]*(VLOOKUP(Table4[[#This Row],[RATE CONCAT]],Tables!I:N,6,0)),0)</f>
        <v/>
      </c>
      <c r="EJ55" s="275" t="n"/>
      <c r="EK55" s="347">
        <f>Table4[[#This Row],[Aug_2027_F]]-Table4[[#This Row],[Aug_2027_A]]</f>
        <v/>
      </c>
      <c r="EL55" s="347">
        <f>IFERROR(Table4[[#This Row],[Sep_2027_Days_Forecast]]*Table4[[#This Row],[Cost Boolean]]*(VLOOKUP(Table4[[#This Row],[RATE CONCAT]],Tables!I:N,6,0)),0)</f>
        <v/>
      </c>
      <c r="EM55" s="275" t="n"/>
      <c r="EN55" s="347">
        <f>Table4[[#This Row],[Sep_2027_F]]-Table4[[#This Row],[Sep_2027_A]]</f>
        <v/>
      </c>
      <c r="EO55" s="347">
        <f>IFERROR(Table4[[#This Row],[Oct_2027_Days_Forecast]]*Table4[[#This Row],[Cost Boolean]]*(VLOOKUP(Table4[[#This Row],[RATE CONCAT]],Tables!I:N,6,0)),0)</f>
        <v/>
      </c>
      <c r="EP55" s="275" t="n"/>
      <c r="EQ55" s="347">
        <f>Table4[[#This Row],[Oct_2027_F]]-Table4[[#This Row],[Oct_2027_A]]</f>
        <v/>
      </c>
      <c r="ER55" s="347">
        <f>IFERROR(Table4[[#This Row],[Nov_2027_Days_Forecast]]*Table4[[#This Row],[Cost Boolean]]*(VLOOKUP(Table4[[#This Row],[RATE CONCAT]],Tables!I:N,6,0)),0)</f>
        <v/>
      </c>
      <c r="ES55" s="275" t="n"/>
      <c r="ET55" s="347">
        <f>Table4[[#This Row],[Nov_2027_F]]-Table4[[#This Row],[Nov_2027_A]]</f>
        <v/>
      </c>
      <c r="EU55" s="347">
        <f>IFERROR(Table4[[#This Row],[Dec_2027_Days_Forecast]]*Table4[[#This Row],[Cost Boolean]]*(VLOOKUP(Table4[[#This Row],[RATE CONCAT]],Tables!I:N,6,0)),0)</f>
        <v/>
      </c>
      <c r="EV55" s="275" t="n"/>
      <c r="EW55" s="347">
        <f>Table4[[#This Row],[Dec_2027_F]]-Table4[[#This Row],[Dec_2027_A]]</f>
        <v/>
      </c>
    </row>
    <row r="56" ht="1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350">
        <f>CONCATENATE(Table4[[#This Row],[JG]],Table4[[#This Row],[Country]],Table4[[#This Row],[Resource Provider]])</f>
        <v/>
      </c>
      <c r="Z56" s="350">
        <f>VLOOKUP(Table4[[#This Row],[RATE CONCAT]],Tables!I:N,5,0)</f>
        <v/>
      </c>
      <c r="AA56" s="53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353">
        <f>IFERROR(AVERAGE(Table4[[#This Row],[Jan_2026_Days_Forecast]:[Dec_2026_Days_Forecast]]),0)/19</f>
        <v/>
      </c>
      <c r="AO56" s="353">
        <f>IFERROR(AVERAGE(Table4[[#This Row],[Jan_2026_Days_Actual]:[Dec_2026_Days_Actual]]),0)/19</f>
        <v/>
      </c>
      <c r="AP56" s="84" t="n"/>
      <c r="AQ56" s="84" t="n"/>
      <c r="AR56" s="84" t="n"/>
      <c r="AS56" s="84" t="n"/>
      <c r="AT56" s="84" t="n"/>
      <c r="AU56" s="84" t="n"/>
      <c r="AV56" s="84" t="n"/>
      <c r="AW56" s="84" t="n"/>
      <c r="AX56" s="84" t="n"/>
      <c r="AY56" s="84" t="n"/>
      <c r="AZ56" s="84" t="n"/>
      <c r="BA56" s="84" t="n"/>
      <c r="BB56" s="353">
        <f>IFERROR(AVERAGE(Table4[[#This Row],[Jan_2027_Days_Forecast]:[Dec_2027_Days_Forecast]]),0)</f>
        <v/>
      </c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55" t="n"/>
      <c r="BP56" s="346" t="n"/>
      <c r="BQ56" s="345">
        <f>Table4[[#This Row],[Jan_2026_Days_Forecast]]*Table4[[#This Row],[Cost Boolean]]*VLOOKUP(Table4[[#This Row],[RATE CONCAT]],Tables!I:N,5,0)</f>
        <v/>
      </c>
      <c r="BR56" s="345">
        <f>IFERROR(Table4[[#This Row],[Jan_2026_Days_Actual]]*Table4[[#This Row],[Cost Boolean]]*(VLOOKUP(Table4[[#This Row],[RATE CONCAT]],Tables!I:N,5,0)),0)</f>
        <v/>
      </c>
      <c r="BS56" s="345">
        <f>Table4[[#This Row],[Jan_2026_F]]-Table4[[#This Row],[Jan_2026_A]]</f>
        <v/>
      </c>
      <c r="BT56" s="107" t="n"/>
      <c r="BU56" s="345">
        <f>IFERROR(Table4[[#This Row],[Feb_2026_Days_Forecast]]*Table4[[#This Row],[Cost Boolean]]*(VLOOKUP(Table4[[#This Row],[RATE CONCAT]],Tables!I:N,5,0)),0)</f>
        <v/>
      </c>
      <c r="BV56" s="345">
        <f>IFERROR(Table4[[#This Row],[Feb_2026_Days_Actual]]*Table4[[#This Row],[Cost Boolean]]*(VLOOKUP(Table4[[#This Row],[RATE CONCAT]],Tables!I:N,5,0)),0)</f>
        <v/>
      </c>
      <c r="BW56" s="345">
        <f>Table4[[#This Row],[Feb_2026_F]]-Table4[[#This Row],[Feb_2026_A]]</f>
        <v/>
      </c>
      <c r="BX56" s="103" t="n"/>
      <c r="BY56" s="345">
        <f>IFERROR(Table4[[#This Row],[Mar_2026_Days_Forecast]]*Table4[[#This Row],[Cost Boolean]]*(VLOOKUP(Table4[[#This Row],[RATE CONCAT]],Tables!I:N,5,0)),0)</f>
        <v/>
      </c>
      <c r="BZ56" s="345">
        <f>IFERROR(Table4[[#This Row],[Mar_2026_Days_Actual]]*Table4[[#This Row],[Cost Boolean]]*(VLOOKUP(Table4[[#This Row],[RATE CONCAT]],Tables!I:N,5,0)),0)</f>
        <v/>
      </c>
      <c r="CA56" s="345">
        <f>Table4[[#This Row],[Mar_2026_F]]-Table4[[#This Row],[Mar_2026_A]]</f>
        <v/>
      </c>
      <c r="CB56" s="103" t="n"/>
      <c r="CC56" s="345">
        <f>IFERROR(Table4[[#This Row],[Apr_2026_Days_Forecast]]*Table4[[#This Row],[Cost Boolean]]*(VLOOKUP(Table4[[#This Row],[RATE CONCAT]],Tables!I:N,5,0)),0)</f>
        <v/>
      </c>
      <c r="CD56" s="345">
        <f>IFERROR(Table4[[#This Row],[Apr_2026_Days_Actual]]*Table4[[#This Row],[Cost Boolean]]*(VLOOKUP(Table4[[#This Row],[RATE CONCAT]],Tables!I:N,5,0)),0)</f>
        <v/>
      </c>
      <c r="CE56" s="345">
        <f>Table4[[#This Row],[Apr_2026_F]]-Table4[[#This Row],[Apr_2026_A]]</f>
        <v/>
      </c>
      <c r="CF56" s="103" t="n"/>
      <c r="CG56" s="345">
        <f>IFERROR(Table4[[#This Row],[May_2026_Days_Forecast]] *Table4[[#This Row],[Cost Boolean]]*(VLOOKUP(Table4[[#This Row],[RATE CONCAT]],Tables!I:N,5,0)),0)</f>
        <v/>
      </c>
      <c r="CH56" s="345">
        <f>IFERROR(Table4[[#This Row],[May_2026_Days_Actual]]*Table4[[#This Row],[Cost Boolean]]*(VLOOKUP(Table4[[#This Row],[RATE CONCAT]],Tables!I:N,5,0)),0)</f>
        <v/>
      </c>
      <c r="CI56" s="345">
        <f>Table4[[#This Row],[May_2026_F]]-Table4[[#This Row],[May_2026_A]]</f>
        <v/>
      </c>
      <c r="CJ56" s="103" t="n"/>
      <c r="CK56" s="345">
        <f>IFERROR(Table4[[#This Row],[Jun_2026_Days_Forecast]]*Table4[[#This Row],[Cost Boolean]]*(VLOOKUP(Table4[[#This Row],[RATE CONCAT]],Tables!I:N,5,0)),0)</f>
        <v/>
      </c>
      <c r="CL56" s="345">
        <f>IFERROR(Table4[[#This Row],[Jun_2026_Days_Actual]]*Table4[[#This Row],[Cost Boolean]]*(VLOOKUP(Table4[[#This Row],[RATE CONCAT]],Tables!I:N,5,0)),0)</f>
        <v/>
      </c>
      <c r="CM56" s="345">
        <f>Table4[[#This Row],[Jun_2026_F]]-Table4[[#This Row],[Jun_2026_A]]</f>
        <v/>
      </c>
      <c r="CN56" s="103" t="n"/>
      <c r="CO56" s="345">
        <f>IFERROR(Table4[[#This Row],[Jul_2026_Days_Forecast]]*Table4[[#This Row],[Cost Boolean]]*(VLOOKUP(Table4[[#This Row],[RATE CONCAT]],Tables!I:N,5,0)),0)</f>
        <v/>
      </c>
      <c r="CP56" s="345">
        <f>IFERROR(Table4[[#This Row],[Aug_2026_Days_Forecast]]*Table4[[#This Row],[Location]]*(VLOOKUP(Table4[[#This Row],[Rate]],Tables!J:O,5,0)),0)</f>
        <v/>
      </c>
      <c r="CQ56" s="345">
        <f>Table4[[#This Row],[Jul_2026_F]]-Table4[[#This Row],[Jul_2026_A]]</f>
        <v/>
      </c>
      <c r="CR56" s="103" t="n"/>
      <c r="CS56" s="345">
        <f>IFERROR(Table4[[#This Row],[Aug_2026_Days_Forecast]]*Table4[[#This Row],[Cost Boolean]]*(VLOOKUP(Table4[[#This Row],[RATE CONCAT]],Tables!I:N,5,0)),0)</f>
        <v/>
      </c>
      <c r="CT56" s="345">
        <f>IFERROR(Table4[[#This Row],[Aug_2026_Days_Actual]]*Table4[[#This Row],[Cost Boolean]]*(VLOOKUP(Table4[[#This Row],[RATE CONCAT]],Tables!I:N,5,0)),0)</f>
        <v/>
      </c>
      <c r="CU56" s="345">
        <f>Table4[[#This Row],[Aug_2026_F]]-Table4[[#This Row],[Aug_2026_A]]</f>
        <v/>
      </c>
      <c r="CV56" s="103" t="n"/>
      <c r="CW56" s="345">
        <f>IFERROR(Table4[[#This Row],[Sep_2026_Days_Forecast]]*Table4[[#This Row],[Cost Boolean]]*(VLOOKUP(Table4[[#This Row],[RATE CONCAT]],Tables!I:N,5,0)),0)</f>
        <v/>
      </c>
      <c r="CX56" s="345">
        <f>IFERROR(Table4[[#This Row],[Sep_2026_Days_Actual]]*Table4[[#This Row],[Cost Boolean]]*(VLOOKUP(Table4[[#This Row],[RATE CONCAT]],Tables!I:N,5,0)),0)</f>
        <v/>
      </c>
      <c r="CY56" s="345">
        <f>Table4[[#This Row],[Sep_2026_F]]-Table4[[#This Row],[Sep_2026_A]]</f>
        <v/>
      </c>
      <c r="CZ56" s="103" t="n"/>
      <c r="DA56" s="345">
        <f>IFERROR(Table4[[#This Row],[Oct_2026_Days_Forecast]]*Table4[[#This Row],[Cost Boolean]]*(VLOOKUP(Table4[[#This Row],[RATE CONCAT]],Tables!I:N,5,0)),0)</f>
        <v/>
      </c>
      <c r="DB56" s="345">
        <f>IFERROR(Table4[[#This Row],[Oct_2026_Days_Actual]]*Table4[[#This Row],[Cost Boolean]]*(VLOOKUP(Table4[[#This Row],[RATE CONCAT]],Tables!I:N,5,0)),0)</f>
        <v/>
      </c>
      <c r="DC56" s="345">
        <f>Table4[[#This Row],[Oct_2026_F]]-Table4[[#This Row],[Oct_2026_A]]</f>
        <v/>
      </c>
      <c r="DD56" s="103" t="n"/>
      <c r="DE56" s="345">
        <f>IFERROR(Table4[[#This Row],[Nov_2026_Days_Forecast]]*Table4[[#This Row],[Cost Boolean]]*(VLOOKUP(Table4[[#This Row],[RATE CONCAT]],Tables!I:N,5,0)),0)</f>
        <v/>
      </c>
      <c r="DF56" s="345">
        <f>IFERROR(Table4[[#This Row],[Nov_2026_Days_Actual]]*Table4[[#This Row],[Cost Boolean]]*(VLOOKUP(Table4[[#This Row],[RATE CONCAT]],Tables!I:N,5,0)),0)</f>
        <v/>
      </c>
      <c r="DG56" s="345">
        <f>Table4[[#This Row],[Nov_2026_F]]-Table4[[#This Row],[Nov_2026_A]]</f>
        <v/>
      </c>
      <c r="DH56" s="103" t="n"/>
      <c r="DI56" s="345">
        <f>IFERROR(Table4[[#This Row],[Dec_2026_Days_Forecast]]*Table4[[#This Row],[Cost Boolean]]*(VLOOKUP(Table4[[#This Row],[RATE CONCAT]],Tables!I:N,5,0)),0)</f>
        <v/>
      </c>
      <c r="DJ56" s="345">
        <f>IFERROR(Table4[[#This Row],[Dec_2026_Days_Actual]]*Table4[[#This Row],[Cost Boolean]]*(VLOOKUP(Table4[[#This Row],[RATE CONCAT]],Tables!I:N,5,0)),0)</f>
        <v/>
      </c>
      <c r="DK56" s="345">
        <f>Table4[[#This Row],[Dec_2026_F]]-Table4[[#This Row],[Dec_2026_A]]</f>
        <v/>
      </c>
      <c r="DL56" s="103" t="n"/>
      <c r="DM56" s="346" t="n"/>
      <c r="DN56" s="345">
        <f>IFERROR(Table4[[#This Row],[Jan_2027_Days_Forecast]]*Table4[[#This Row],[Cost Boolean]]*(VLOOKUP(Table4[[#This Row],[RATE CONCAT]],Tables!I:N,6,0)),0)</f>
        <v/>
      </c>
      <c r="DO56" s="275" t="n"/>
      <c r="DP56" s="345">
        <f>Table4[[#This Row],[Jan_2027_F]]-Table4[[#This Row],[Jan_2027_A]]</f>
        <v/>
      </c>
      <c r="DQ56" s="345">
        <f>IFERROR(Table4[[#This Row],[Feb_2027_Days_Forecast]]*Table4[[#This Row],[Cost Boolean]]*(VLOOKUP(Table4[[#This Row],[RATE CONCAT]],Tables!I:N,6,0)),0)</f>
        <v/>
      </c>
      <c r="DR56" s="275" t="n"/>
      <c r="DS56" s="345">
        <f>Table4[[#This Row],[Feb_2027_F]]-Table4[[#This Row],[Feb_2027_A]]</f>
        <v/>
      </c>
      <c r="DT56" s="345">
        <f>IFERROR(Table4[[#This Row],[Mar_2027_Days_Forecast]]*Table4[[#This Row],[Cost Boolean]]*(VLOOKUP(Table4[[#This Row],[RATE CONCAT]],Tables!I:N,6,0)),0)</f>
        <v/>
      </c>
      <c r="DU56" s="275" t="n"/>
      <c r="DV56" s="345">
        <f>Table4[[#This Row],[Mar_2027_F]]-Table4[[#This Row],[Mar_2027_A]]</f>
        <v/>
      </c>
      <c r="DW56" s="345">
        <f>IFERROR(Table4[[#This Row],[Apr_2027_Days_Forecast]]*Table4[[#This Row],[Cost Boolean]]*(VLOOKUP(Table4[[#This Row],[RATE CONCAT]],Tables!I:N,6,0)),0)</f>
        <v/>
      </c>
      <c r="DX56" s="275" t="n"/>
      <c r="DY56" s="345">
        <f>Table4[[#This Row],[Apr_2027_F]]-Table4[[#This Row],[Apr_2027_A]]</f>
        <v/>
      </c>
      <c r="DZ56" s="345">
        <f>IFERROR(Table4[[#This Row],[May_2027_Days_Forecast]]*Table4[[#This Row],[Cost Boolean]]*(VLOOKUP(Table4[[#This Row],[RATE CONCAT]],Tables!I:N,6,0)),0)</f>
        <v/>
      </c>
      <c r="EA56" s="275" t="n"/>
      <c r="EB56" s="345">
        <f>Table4[[#This Row],[May_2027_F]]-Table4[[#This Row],[May_2027_A]]</f>
        <v/>
      </c>
      <c r="EC56" s="345">
        <f>IFERROR(Table4[[#This Row],[Jun_2027_Days_Forecast]]*Table4[[#This Row],[Cost Boolean]]*(VLOOKUP(Table4[[#This Row],[RATE CONCAT]],Tables!I:N,6,0)),0)</f>
        <v/>
      </c>
      <c r="ED56" s="275" t="n"/>
      <c r="EE56" s="345">
        <f>Table4[[#This Row],[Jun_2027_F]]-Table4[[#This Row],[Jun_2027_A]]</f>
        <v/>
      </c>
      <c r="EF56" s="345">
        <f>IFERROR(Table4[[#This Row],[Jul_2027_Days_Forecast]]*Table4[[#This Row],[Cost Boolean]]*(VLOOKUP(Table4[[#This Row],[RATE CONCAT]],Tables!I:N,6,0)),0)</f>
        <v/>
      </c>
      <c r="EG56" s="275" t="n"/>
      <c r="EH56" s="345">
        <f>Table4[[#This Row],[Jul_2027_F]]-Table4[[#This Row],[Jul_2027_A]]</f>
        <v/>
      </c>
      <c r="EI56" s="345">
        <f>IFERROR(Table4[[#This Row],[Aug_2027_Days_Forecast]]*Table4[[#This Row],[Cost Boolean]]*(VLOOKUP(Table4[[#This Row],[RATE CONCAT]],Tables!I:N,6,0)),0)</f>
        <v/>
      </c>
      <c r="EJ56" s="275" t="n"/>
      <c r="EK56" s="345">
        <f>Table4[[#This Row],[Aug_2027_F]]-Table4[[#This Row],[Aug_2027_A]]</f>
        <v/>
      </c>
      <c r="EL56" s="345">
        <f>IFERROR(Table4[[#This Row],[Sep_2027_Days_Forecast]]*Table4[[#This Row],[Cost Boolean]]*(VLOOKUP(Table4[[#This Row],[RATE CONCAT]],Tables!I:N,6,0)),0)</f>
        <v/>
      </c>
      <c r="EM56" s="275" t="n"/>
      <c r="EN56" s="345">
        <f>Table4[[#This Row],[Sep_2027_F]]-Table4[[#This Row],[Sep_2027_A]]</f>
        <v/>
      </c>
      <c r="EO56" s="345">
        <f>IFERROR(Table4[[#This Row],[Oct_2027_Days_Forecast]]*Table4[[#This Row],[Cost Boolean]]*(VLOOKUP(Table4[[#This Row],[RATE CONCAT]],Tables!I:N,6,0)),0)</f>
        <v/>
      </c>
      <c r="EP56" s="275" t="n"/>
      <c r="EQ56" s="345">
        <f>Table4[[#This Row],[Oct_2027_F]]-Table4[[#This Row],[Oct_2027_A]]</f>
        <v/>
      </c>
      <c r="ER56" s="345">
        <f>IFERROR(Table4[[#This Row],[Nov_2027_Days_Forecast]]*Table4[[#This Row],[Cost Boolean]]*(VLOOKUP(Table4[[#This Row],[RATE CONCAT]],Tables!I:N,6,0)),0)</f>
        <v/>
      </c>
      <c r="ES56" s="275" t="n"/>
      <c r="ET56" s="345">
        <f>Table4[[#This Row],[Nov_2027_F]]-Table4[[#This Row],[Nov_2027_A]]</f>
        <v/>
      </c>
      <c r="EU56" s="345">
        <f>IFERROR(Table4[[#This Row],[Dec_2027_Days_Forecast]]*Table4[[#This Row],[Cost Boolean]]*(VLOOKUP(Table4[[#This Row],[RATE CONCAT]],Tables!I:N,6,0)),0)</f>
        <v/>
      </c>
      <c r="EV56" s="275" t="n"/>
      <c r="EW56" s="345">
        <f>Table4[[#This Row],[Dec_2027_F]]-Table4[[#This Row],[Dec_2027_A]]</f>
        <v/>
      </c>
    </row>
    <row r="57" ht="1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350">
        <f>CONCATENATE(Table4[[#This Row],[JG]],Table4[[#This Row],[Country]],Table4[[#This Row],[Resource Provider]])</f>
        <v/>
      </c>
      <c r="Z57" s="350">
        <f>VLOOKUP(Table4[[#This Row],[RATE CONCAT]],Tables!I:N,5,0)</f>
        <v/>
      </c>
      <c r="AA57" s="53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353">
        <f>IFERROR(AVERAGE(Table4[[#This Row],[Jan_2026_Days_Forecast]:[Dec_2026_Days_Forecast]]),0)/19</f>
        <v/>
      </c>
      <c r="AO57" s="353">
        <f>IFERROR(AVERAGE(Table4[[#This Row],[Jan_2026_Days_Actual]:[Dec_2026_Days_Actual]]),0)/19</f>
        <v/>
      </c>
      <c r="AP57" s="84" t="n"/>
      <c r="AQ57" s="84" t="n"/>
      <c r="AR57" s="84" t="n"/>
      <c r="AS57" s="84" t="n"/>
      <c r="AT57" s="84" t="n"/>
      <c r="AU57" s="84" t="n"/>
      <c r="AV57" s="84" t="n"/>
      <c r="AW57" s="84" t="n"/>
      <c r="AX57" s="84" t="n"/>
      <c r="AY57" s="84" t="n"/>
      <c r="AZ57" s="84" t="n"/>
      <c r="BA57" s="84" t="n"/>
      <c r="BB57" s="353">
        <f>IFERROR(AVERAGE(Table4[[#This Row],[Jan_2027_Days_Forecast]:[Dec_2027_Days_Forecast]]),0)</f>
        <v/>
      </c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55" t="n"/>
      <c r="BP57" s="346" t="n"/>
      <c r="BQ57" s="347" t="n">
        <v>0</v>
      </c>
      <c r="BR57" s="347">
        <f>IFERROR(Table4[[#This Row],[Jan_2026_Days_Actual]]*Table4[[#This Row],[Cost Boolean]]*(VLOOKUP(Table4[[#This Row],[RATE CONCAT]],Tables!I:N,5,0)),0)</f>
        <v/>
      </c>
      <c r="BS57" s="347">
        <f>Table4[[#This Row],[Jan_2026_F]]-Table4[[#This Row],[Jan_2026_A]]</f>
        <v/>
      </c>
      <c r="BT57" s="107" t="n"/>
      <c r="BU57" s="347">
        <f>IFERROR(Table4[[#This Row],[Feb_2026_Days_Forecast]]*Table4[[#This Row],[Cost Boolean]]*(VLOOKUP(Table4[[#This Row],[RATE CONCAT]],Tables!I:N,5,0)),0)</f>
        <v/>
      </c>
      <c r="BV57" s="347">
        <f>IFERROR(Table4[[#This Row],[Feb_2026_Days_Actual]]*Table4[[#This Row],[Cost Boolean]]*(VLOOKUP(Table4[[#This Row],[RATE CONCAT]],Tables!I:N,5,0)),0)</f>
        <v/>
      </c>
      <c r="BW57" s="347">
        <f>Table4[[#This Row],[Feb_2026_F]]-Table4[[#This Row],[Feb_2026_A]]</f>
        <v/>
      </c>
      <c r="BX57" s="103" t="n"/>
      <c r="BY57" s="347">
        <f>IFERROR(Table4[[#This Row],[Mar_2026_Days_Forecast]]*Table4[[#This Row],[Cost Boolean]]*(VLOOKUP(Table4[[#This Row],[RATE CONCAT]],Tables!I:N,5,0)),0)</f>
        <v/>
      </c>
      <c r="BZ57" s="347">
        <f>IFERROR(Table4[[#This Row],[Mar_2026_Days_Actual]]*Table4[[#This Row],[Cost Boolean]]*(VLOOKUP(Table4[[#This Row],[RATE CONCAT]],Tables!I:N,5,0)),0)</f>
        <v/>
      </c>
      <c r="CA57" s="347">
        <f>Table4[[#This Row],[Mar_2026_F]]-Table4[[#This Row],[Mar_2026_A]]</f>
        <v/>
      </c>
      <c r="CB57" s="103" t="n"/>
      <c r="CC57" s="347">
        <f>IFERROR(Table4[[#This Row],[Apr_2026_Days_Forecast]]*Table4[[#This Row],[Cost Boolean]]*(VLOOKUP(Table4[[#This Row],[RATE CONCAT]],Tables!I:N,5,0)),0)</f>
        <v/>
      </c>
      <c r="CD57" s="347">
        <f>IFERROR(Table4[[#This Row],[Apr_2026_Days_Actual]]*Table4[[#This Row],[Cost Boolean]]*(VLOOKUP(Table4[[#This Row],[RATE CONCAT]],Tables!I:N,5,0)),0)</f>
        <v/>
      </c>
      <c r="CE57" s="347">
        <f>Table4[[#This Row],[Apr_2026_F]]-Table4[[#This Row],[Apr_2026_A]]</f>
        <v/>
      </c>
      <c r="CF57" s="103" t="n"/>
      <c r="CG57" s="347">
        <f>IFERROR(Table4[[#This Row],[May_2026_Days_Forecast]] *Table4[[#This Row],[Cost Boolean]]*(VLOOKUP(Table4[[#This Row],[RATE CONCAT]],Tables!I:N,5,0)),0)</f>
        <v/>
      </c>
      <c r="CH57" s="347">
        <f>IFERROR(Table4[[#This Row],[May_2026_Days_Actual]]*Table4[[#This Row],[Cost Boolean]]*(VLOOKUP(Table4[[#This Row],[RATE CONCAT]],Tables!I:N,5,0)),0)</f>
        <v/>
      </c>
      <c r="CI57" s="347">
        <f>Table4[[#This Row],[May_2026_F]]-Table4[[#This Row],[May_2026_A]]</f>
        <v/>
      </c>
      <c r="CJ57" s="103" t="n"/>
      <c r="CK57" s="347">
        <f>IFERROR(Table4[[#This Row],[Jun_2026_Days_Forecast]]*Table4[[#This Row],[Cost Boolean]]*(VLOOKUP(Table4[[#This Row],[RATE CONCAT]],Tables!I:N,5,0)),0)</f>
        <v/>
      </c>
      <c r="CL57" s="347">
        <f>IFERROR(Table4[[#This Row],[Jun_2026_Days_Actual]]*Table4[[#This Row],[Cost Boolean]]*(VLOOKUP(Table4[[#This Row],[RATE CONCAT]],Tables!I:N,5,0)),0)</f>
        <v/>
      </c>
      <c r="CM57" s="347">
        <f>Table4[[#This Row],[Jun_2026_F]]-Table4[[#This Row],[Jun_2026_A]]</f>
        <v/>
      </c>
      <c r="CN57" s="103" t="n"/>
      <c r="CO57" s="347">
        <f>IFERROR(Table4[[#This Row],[Jul_2026_Days_Forecast]]*Table4[[#This Row],[Cost Boolean]]*(VLOOKUP(Table4[[#This Row],[RATE CONCAT]],Tables!I:N,5,0)),0)</f>
        <v/>
      </c>
      <c r="CP57" s="347">
        <f>IFERROR(Table4[[#This Row],[Aug_2026_Days_Forecast]]*Table4[[#This Row],[Location]]*(VLOOKUP(Table4[[#This Row],[Rate]],Tables!J:O,5,0)),0)</f>
        <v/>
      </c>
      <c r="CQ57" s="347">
        <f>Table4[[#This Row],[Jul_2026_F]]-Table4[[#This Row],[Jul_2026_A]]</f>
        <v/>
      </c>
      <c r="CR57" s="103" t="n"/>
      <c r="CS57" s="347">
        <f>IFERROR(Table4[[#This Row],[Aug_2026_Days_Forecast]]*Table4[[#This Row],[Cost Boolean]]*(VLOOKUP(Table4[[#This Row],[RATE CONCAT]],Tables!I:N,5,0)),0)</f>
        <v/>
      </c>
      <c r="CT57" s="347">
        <f>IFERROR(Table4[[#This Row],[Aug_2026_Days_Actual]]*Table4[[#This Row],[Cost Boolean]]*(VLOOKUP(Table4[[#This Row],[RATE CONCAT]],Tables!I:N,5,0)),0)</f>
        <v/>
      </c>
      <c r="CU57" s="347">
        <f>Table4[[#This Row],[Aug_2026_F]]-Table4[[#This Row],[Aug_2026_A]]</f>
        <v/>
      </c>
      <c r="CV57" s="103" t="n"/>
      <c r="CW57" s="347">
        <f>IFERROR(Table4[[#This Row],[Sep_2026_Days_Forecast]]*Table4[[#This Row],[Cost Boolean]]*(VLOOKUP(Table4[[#This Row],[RATE CONCAT]],Tables!I:N,5,0)),0)</f>
        <v/>
      </c>
      <c r="CX57" s="347">
        <f>IFERROR(Table4[[#This Row],[Sep_2026_Days_Actual]]*Table4[[#This Row],[Cost Boolean]]*(VLOOKUP(Table4[[#This Row],[RATE CONCAT]],Tables!I:N,5,0)),0)</f>
        <v/>
      </c>
      <c r="CY57" s="347">
        <f>Table4[[#This Row],[Sep_2026_F]]-Table4[[#This Row],[Sep_2026_A]]</f>
        <v/>
      </c>
      <c r="CZ57" s="103" t="n"/>
      <c r="DA57" s="347">
        <f>IFERROR(Table4[[#This Row],[Oct_2026_Days_Forecast]]*Table4[[#This Row],[Cost Boolean]]*(VLOOKUP(Table4[[#This Row],[RATE CONCAT]],Tables!I:N,5,0)),0)</f>
        <v/>
      </c>
      <c r="DB57" s="347">
        <f>IFERROR(Table4[[#This Row],[Oct_2026_Days_Actual]]*Table4[[#This Row],[Cost Boolean]]*(VLOOKUP(Table4[[#This Row],[RATE CONCAT]],Tables!I:N,5,0)),0)</f>
        <v/>
      </c>
      <c r="DC57" s="347">
        <f>Table4[[#This Row],[Oct_2026_F]]-Table4[[#This Row],[Oct_2026_A]]</f>
        <v/>
      </c>
      <c r="DD57" s="103" t="n"/>
      <c r="DE57" s="347">
        <f>IFERROR(Table4[[#This Row],[Nov_2026_Days_Forecast]]*Table4[[#This Row],[Cost Boolean]]*(VLOOKUP(Table4[[#This Row],[RATE CONCAT]],Tables!I:N,5,0)),0)</f>
        <v/>
      </c>
      <c r="DF57" s="347">
        <f>IFERROR(Table4[[#This Row],[Nov_2026_Days_Actual]]*Table4[[#This Row],[Cost Boolean]]*(VLOOKUP(Table4[[#This Row],[RATE CONCAT]],Tables!I:N,5,0)),0)</f>
        <v/>
      </c>
      <c r="DG57" s="347">
        <f>Table4[[#This Row],[Nov_2026_F]]-Table4[[#This Row],[Nov_2026_A]]</f>
        <v/>
      </c>
      <c r="DH57" s="103" t="n"/>
      <c r="DI57" s="347">
        <f>IFERROR(Table4[[#This Row],[Dec_2026_Days_Forecast]]*Table4[[#This Row],[Cost Boolean]]*(VLOOKUP(Table4[[#This Row],[RATE CONCAT]],Tables!I:N,5,0)),0)</f>
        <v/>
      </c>
      <c r="DJ57" s="347">
        <f>IFERROR(Table4[[#This Row],[Dec_2026_Days_Actual]]*Table4[[#This Row],[Cost Boolean]]*(VLOOKUP(Table4[[#This Row],[RATE CONCAT]],Tables!I:N,5,0)),0)</f>
        <v/>
      </c>
      <c r="DK57" s="347">
        <f>Table4[[#This Row],[Dec_2026_F]]-Table4[[#This Row],[Dec_2026_A]]</f>
        <v/>
      </c>
      <c r="DL57" s="103" t="n"/>
      <c r="DM57" s="346" t="n"/>
      <c r="DN57" s="347">
        <f>IFERROR(Table4[[#This Row],[Jan_2027_Days_Forecast]]*Table4[[#This Row],[Cost Boolean]]*(VLOOKUP(Table4[[#This Row],[RATE CONCAT]],Tables!I:N,6,0)),0)</f>
        <v/>
      </c>
      <c r="DO57" s="275" t="n"/>
      <c r="DP57" s="347">
        <f>Table4[[#This Row],[Jan_2027_F]]-Table4[[#This Row],[Jan_2027_A]]</f>
        <v/>
      </c>
      <c r="DQ57" s="347">
        <f>IFERROR(Table4[[#This Row],[Feb_2027_Days_Forecast]]*Table4[[#This Row],[Cost Boolean]]*(VLOOKUP(Table4[[#This Row],[RATE CONCAT]],Tables!I:N,6,0)),0)</f>
        <v/>
      </c>
      <c r="DR57" s="275" t="n"/>
      <c r="DS57" s="347">
        <f>Table4[[#This Row],[Feb_2027_F]]-Table4[[#This Row],[Feb_2027_A]]</f>
        <v/>
      </c>
      <c r="DT57" s="347">
        <f>IFERROR(Table4[[#This Row],[Mar_2027_Days_Forecast]]*Table4[[#This Row],[Cost Boolean]]*(VLOOKUP(Table4[[#This Row],[RATE CONCAT]],Tables!I:N,6,0)),0)</f>
        <v/>
      </c>
      <c r="DU57" s="275" t="n"/>
      <c r="DV57" s="347">
        <f>Table4[[#This Row],[Mar_2027_F]]-Table4[[#This Row],[Mar_2027_A]]</f>
        <v/>
      </c>
      <c r="DW57" s="347">
        <f>IFERROR(Table4[[#This Row],[Apr_2027_Days_Forecast]]*Table4[[#This Row],[Cost Boolean]]*(VLOOKUP(Table4[[#This Row],[RATE CONCAT]],Tables!I:N,6,0)),0)</f>
        <v/>
      </c>
      <c r="DX57" s="275" t="n"/>
      <c r="DY57" s="347">
        <f>Table4[[#This Row],[Apr_2027_F]]-Table4[[#This Row],[Apr_2027_A]]</f>
        <v/>
      </c>
      <c r="DZ57" s="347">
        <f>IFERROR(Table4[[#This Row],[May_2027_Days_Forecast]]*Table4[[#This Row],[Cost Boolean]]*(VLOOKUP(Table4[[#This Row],[RATE CONCAT]],Tables!I:N,6,0)),0)</f>
        <v/>
      </c>
      <c r="EA57" s="275" t="n"/>
      <c r="EB57" s="347">
        <f>Table4[[#This Row],[May_2027_F]]-Table4[[#This Row],[May_2027_A]]</f>
        <v/>
      </c>
      <c r="EC57" s="347">
        <f>IFERROR(Table4[[#This Row],[Jun_2027_Days_Forecast]]*Table4[[#This Row],[Cost Boolean]]*(VLOOKUP(Table4[[#This Row],[RATE CONCAT]],Tables!I:N,6,0)),0)</f>
        <v/>
      </c>
      <c r="ED57" s="275" t="n"/>
      <c r="EE57" s="347">
        <f>Table4[[#This Row],[Jun_2027_F]]-Table4[[#This Row],[Jun_2027_A]]</f>
        <v/>
      </c>
      <c r="EF57" s="347">
        <f>IFERROR(Table4[[#This Row],[Jul_2027_Days_Forecast]]*Table4[[#This Row],[Cost Boolean]]*(VLOOKUP(Table4[[#This Row],[RATE CONCAT]],Tables!I:N,6,0)),0)</f>
        <v/>
      </c>
      <c r="EG57" s="275" t="n"/>
      <c r="EH57" s="347">
        <f>Table4[[#This Row],[Jul_2027_F]]-Table4[[#This Row],[Jul_2027_A]]</f>
        <v/>
      </c>
      <c r="EI57" s="347">
        <f>IFERROR(Table4[[#This Row],[Aug_2027_Days_Forecast]]*Table4[[#This Row],[Cost Boolean]]*(VLOOKUP(Table4[[#This Row],[RATE CONCAT]],Tables!I:N,6,0)),0)</f>
        <v/>
      </c>
      <c r="EJ57" s="275" t="n"/>
      <c r="EK57" s="347">
        <f>Table4[[#This Row],[Aug_2027_F]]-Table4[[#This Row],[Aug_2027_A]]</f>
        <v/>
      </c>
      <c r="EL57" s="347">
        <f>IFERROR(Table4[[#This Row],[Sep_2027_Days_Forecast]]*Table4[[#This Row],[Cost Boolean]]*(VLOOKUP(Table4[[#This Row],[RATE CONCAT]],Tables!I:N,6,0)),0)</f>
        <v/>
      </c>
      <c r="EM57" s="275" t="n"/>
      <c r="EN57" s="347">
        <f>Table4[[#This Row],[Sep_2027_F]]-Table4[[#This Row],[Sep_2027_A]]</f>
        <v/>
      </c>
      <c r="EO57" s="347">
        <f>IFERROR(Table4[[#This Row],[Oct_2027_Days_Forecast]]*Table4[[#This Row],[Cost Boolean]]*(VLOOKUP(Table4[[#This Row],[RATE CONCAT]],Tables!I:N,6,0)),0)</f>
        <v/>
      </c>
      <c r="EP57" s="275" t="n"/>
      <c r="EQ57" s="347">
        <f>Table4[[#This Row],[Oct_2027_F]]-Table4[[#This Row],[Oct_2027_A]]</f>
        <v/>
      </c>
      <c r="ER57" s="347">
        <f>IFERROR(Table4[[#This Row],[Nov_2027_Days_Forecast]]*Table4[[#This Row],[Cost Boolean]]*(VLOOKUP(Table4[[#This Row],[RATE CONCAT]],Tables!I:N,6,0)),0)</f>
        <v/>
      </c>
      <c r="ES57" s="275" t="n"/>
      <c r="ET57" s="347">
        <f>Table4[[#This Row],[Nov_2027_F]]-Table4[[#This Row],[Nov_2027_A]]</f>
        <v/>
      </c>
      <c r="EU57" s="347">
        <f>IFERROR(Table4[[#This Row],[Dec_2027_Days_Forecast]]*Table4[[#This Row],[Cost Boolean]]*(VLOOKUP(Table4[[#This Row],[RATE CONCAT]],Tables!I:N,6,0)),0)</f>
        <v/>
      </c>
      <c r="EV57" s="275" t="n"/>
      <c r="EW57" s="347">
        <f>Table4[[#This Row],[Dec_2027_F]]-Table4[[#This Row],[Dec_2027_A]]</f>
        <v/>
      </c>
    </row>
    <row r="58" ht="1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350">
        <f>CONCATENATE(Table4[[#This Row],[JG]],Table4[[#This Row],[Country]],Table4[[#This Row],[Resource Provider]])</f>
        <v/>
      </c>
      <c r="Z58" s="350">
        <f>VLOOKUP(Table4[[#This Row],[RATE CONCAT]],Tables!I:N,5,0)</f>
        <v/>
      </c>
      <c r="AA58" s="53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353">
        <f>IFERROR(AVERAGE(Table4[[#This Row],[Jan_2026_Days_Forecast]:[Dec_2026_Days_Forecast]]),0)/19</f>
        <v/>
      </c>
      <c r="AO58" s="353">
        <f>IFERROR(AVERAGE(Table4[[#This Row],[Jan_2026_Days_Actual]:[Dec_2026_Days_Actual]]),0)/19</f>
        <v/>
      </c>
      <c r="AP58" s="84" t="n"/>
      <c r="AQ58" s="84" t="n"/>
      <c r="AR58" s="84" t="n"/>
      <c r="AS58" s="84" t="n"/>
      <c r="AT58" s="84" t="n"/>
      <c r="AU58" s="84" t="n"/>
      <c r="AV58" s="84" t="n"/>
      <c r="AW58" s="84" t="n"/>
      <c r="AX58" s="84" t="n"/>
      <c r="AY58" s="84" t="n"/>
      <c r="AZ58" s="84" t="n"/>
      <c r="BA58" s="84" t="n"/>
      <c r="BB58" s="353">
        <f>IFERROR(AVERAGE(Table4[[#This Row],[Jan_2027_Days_Forecast]:[Dec_2027_Days_Forecast]]),0)</f>
        <v/>
      </c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55" t="n"/>
      <c r="BP58" s="346" t="n"/>
      <c r="BQ58" s="345">
        <f>Table4[[#This Row],[Jan_2026_Days_Forecast]]*Table4[[#This Row],[Cost Boolean]]*VLOOKUP(Table4[[#This Row],[RATE CONCAT]],Tables!I:N,5,0)</f>
        <v/>
      </c>
      <c r="BR58" s="345">
        <f>IFERROR(Table4[[#This Row],[Jan_2026_Days_Actual]]*Table4[[#This Row],[Cost Boolean]]*(VLOOKUP(Table4[[#This Row],[RATE CONCAT]],Tables!I:N,5,0)),0)</f>
        <v/>
      </c>
      <c r="BS58" s="345">
        <f>Table4[[#This Row],[Jan_2026_F]]-Table4[[#This Row],[Jan_2026_A]]</f>
        <v/>
      </c>
      <c r="BT58" s="107" t="n"/>
      <c r="BU58" s="345">
        <f>IFERROR(Table4[[#This Row],[Feb_2026_Days_Forecast]]*Table4[[#This Row],[Cost Boolean]]*(VLOOKUP(Table4[[#This Row],[RATE CONCAT]],Tables!I:N,5,0)),0)</f>
        <v/>
      </c>
      <c r="BV58" s="345">
        <f>IFERROR(Table4[[#This Row],[Feb_2026_Days_Actual]]*Table4[[#This Row],[Cost Boolean]]*(VLOOKUP(Table4[[#This Row],[RATE CONCAT]],Tables!I:N,5,0)),0)</f>
        <v/>
      </c>
      <c r="BW58" s="345">
        <f>Table4[[#This Row],[Feb_2026_F]]-Table4[[#This Row],[Feb_2026_A]]</f>
        <v/>
      </c>
      <c r="BX58" s="103" t="n"/>
      <c r="BY58" s="345">
        <f>IFERROR(Table4[[#This Row],[Mar_2026_Days_Forecast]]*Table4[[#This Row],[Cost Boolean]]*(VLOOKUP(Table4[[#This Row],[RATE CONCAT]],Tables!I:N,5,0)),0)</f>
        <v/>
      </c>
      <c r="BZ58" s="345">
        <f>IFERROR(Table4[[#This Row],[Mar_2026_Days_Actual]]*Table4[[#This Row],[Cost Boolean]]*(VLOOKUP(Table4[[#This Row],[RATE CONCAT]],Tables!I:N,5,0)),0)</f>
        <v/>
      </c>
      <c r="CA58" s="345">
        <f>Table4[[#This Row],[Mar_2026_F]]-Table4[[#This Row],[Mar_2026_A]]</f>
        <v/>
      </c>
      <c r="CB58" s="103" t="n"/>
      <c r="CC58" s="345">
        <f>IFERROR(Table4[[#This Row],[Apr_2026_Days_Forecast]]*Table4[[#This Row],[Cost Boolean]]*(VLOOKUP(Table4[[#This Row],[RATE CONCAT]],Tables!I:N,5,0)),0)</f>
        <v/>
      </c>
      <c r="CD58" s="345">
        <f>IFERROR(Table4[[#This Row],[Apr_2026_Days_Actual]]*Table4[[#This Row],[Cost Boolean]]*(VLOOKUP(Table4[[#This Row],[RATE CONCAT]],Tables!I:N,5,0)),0)</f>
        <v/>
      </c>
      <c r="CE58" s="345">
        <f>Table4[[#This Row],[Apr_2026_F]]-Table4[[#This Row],[Apr_2026_A]]</f>
        <v/>
      </c>
      <c r="CF58" s="103" t="n"/>
      <c r="CG58" s="345">
        <f>IFERROR(Table4[[#This Row],[May_2026_Days_Forecast]] *Table4[[#This Row],[Cost Boolean]]*(VLOOKUP(Table4[[#This Row],[RATE CONCAT]],Tables!I:N,5,0)),0)</f>
        <v/>
      </c>
      <c r="CH58" s="345">
        <f>IFERROR(Table4[[#This Row],[May_2026_Days_Actual]]*Table4[[#This Row],[Cost Boolean]]*(VLOOKUP(Table4[[#This Row],[RATE CONCAT]],Tables!I:N,5,0)),0)</f>
        <v/>
      </c>
      <c r="CI58" s="345">
        <f>Table4[[#This Row],[May_2026_F]]-Table4[[#This Row],[May_2026_A]]</f>
        <v/>
      </c>
      <c r="CJ58" s="103" t="n"/>
      <c r="CK58" s="345">
        <f>IFERROR(Table4[[#This Row],[Jun_2026_Days_Forecast]]*Table4[[#This Row],[Cost Boolean]]*(VLOOKUP(Table4[[#This Row],[RATE CONCAT]],Tables!I:N,5,0)),0)</f>
        <v/>
      </c>
      <c r="CL58" s="345">
        <f>IFERROR(Table4[[#This Row],[Jun_2026_Days_Actual]]*Table4[[#This Row],[Cost Boolean]]*(VLOOKUP(Table4[[#This Row],[RATE CONCAT]],Tables!I:N,5,0)),0)</f>
        <v/>
      </c>
      <c r="CM58" s="345">
        <f>Table4[[#This Row],[Jun_2026_F]]-Table4[[#This Row],[Jun_2026_A]]</f>
        <v/>
      </c>
      <c r="CN58" s="103" t="n"/>
      <c r="CO58" s="345">
        <f>IFERROR(Table4[[#This Row],[Jul_2026_Days_Forecast]]*Table4[[#This Row],[Cost Boolean]]*(VLOOKUP(Table4[[#This Row],[RATE CONCAT]],Tables!I:N,5,0)),0)</f>
        <v/>
      </c>
      <c r="CP58" s="345">
        <f>IFERROR(Table4[[#This Row],[Aug_2026_Days_Forecast]]*Table4[[#This Row],[Location]]*(VLOOKUP(Table4[[#This Row],[Rate]],Tables!J:O,5,0)),0)</f>
        <v/>
      </c>
      <c r="CQ58" s="345">
        <f>Table4[[#This Row],[Jul_2026_F]]-Table4[[#This Row],[Jul_2026_A]]</f>
        <v/>
      </c>
      <c r="CR58" s="103" t="n"/>
      <c r="CS58" s="345">
        <f>IFERROR(Table4[[#This Row],[Aug_2026_Days_Forecast]]*Table4[[#This Row],[Cost Boolean]]*(VLOOKUP(Table4[[#This Row],[RATE CONCAT]],Tables!I:N,5,0)),0)</f>
        <v/>
      </c>
      <c r="CT58" s="345">
        <f>IFERROR(Table4[[#This Row],[Aug_2026_Days_Actual]]*Table4[[#This Row],[Cost Boolean]]*(VLOOKUP(Table4[[#This Row],[RATE CONCAT]],Tables!I:N,5,0)),0)</f>
        <v/>
      </c>
      <c r="CU58" s="345">
        <f>Table4[[#This Row],[Aug_2026_F]]-Table4[[#This Row],[Aug_2026_A]]</f>
        <v/>
      </c>
      <c r="CV58" s="103" t="n"/>
      <c r="CW58" s="345">
        <f>IFERROR(Table4[[#This Row],[Sep_2026_Days_Forecast]]*Table4[[#This Row],[Cost Boolean]]*(VLOOKUP(Table4[[#This Row],[RATE CONCAT]],Tables!I:N,5,0)),0)</f>
        <v/>
      </c>
      <c r="CX58" s="345">
        <f>IFERROR(Table4[[#This Row],[Sep_2026_Days_Actual]]*Table4[[#This Row],[Cost Boolean]]*(VLOOKUP(Table4[[#This Row],[RATE CONCAT]],Tables!I:N,5,0)),0)</f>
        <v/>
      </c>
      <c r="CY58" s="345">
        <f>Table4[[#This Row],[Sep_2026_F]]-Table4[[#This Row],[Sep_2026_A]]</f>
        <v/>
      </c>
      <c r="CZ58" s="103" t="n"/>
      <c r="DA58" s="345">
        <f>IFERROR(Table4[[#This Row],[Oct_2026_Days_Forecast]]*Table4[[#This Row],[Cost Boolean]]*(VLOOKUP(Table4[[#This Row],[RATE CONCAT]],Tables!I:N,5,0)),0)</f>
        <v/>
      </c>
      <c r="DB58" s="345">
        <f>IFERROR(Table4[[#This Row],[Oct_2026_Days_Actual]]*Table4[[#This Row],[Cost Boolean]]*(VLOOKUP(Table4[[#This Row],[RATE CONCAT]],Tables!I:N,5,0)),0)</f>
        <v/>
      </c>
      <c r="DC58" s="345">
        <f>Table4[[#This Row],[Oct_2026_F]]-Table4[[#This Row],[Oct_2026_A]]</f>
        <v/>
      </c>
      <c r="DD58" s="103" t="n"/>
      <c r="DE58" s="345">
        <f>IFERROR(Table4[[#This Row],[Nov_2026_Days_Forecast]]*Table4[[#This Row],[Cost Boolean]]*(VLOOKUP(Table4[[#This Row],[RATE CONCAT]],Tables!I:N,5,0)),0)</f>
        <v/>
      </c>
      <c r="DF58" s="345">
        <f>IFERROR(Table4[[#This Row],[Nov_2026_Days_Actual]]*Table4[[#This Row],[Cost Boolean]]*(VLOOKUP(Table4[[#This Row],[RATE CONCAT]],Tables!I:N,5,0)),0)</f>
        <v/>
      </c>
      <c r="DG58" s="345">
        <f>Table4[[#This Row],[Nov_2026_F]]-Table4[[#This Row],[Nov_2026_A]]</f>
        <v/>
      </c>
      <c r="DH58" s="103" t="n"/>
      <c r="DI58" s="345">
        <f>IFERROR(Table4[[#This Row],[Dec_2026_Days_Forecast]]*Table4[[#This Row],[Cost Boolean]]*(VLOOKUP(Table4[[#This Row],[RATE CONCAT]],Tables!I:N,5,0)),0)</f>
        <v/>
      </c>
      <c r="DJ58" s="345">
        <f>IFERROR(Table4[[#This Row],[Dec_2026_Days_Actual]]*Table4[[#This Row],[Cost Boolean]]*(VLOOKUP(Table4[[#This Row],[RATE CONCAT]],Tables!I:N,5,0)),0)</f>
        <v/>
      </c>
      <c r="DK58" s="345">
        <f>Table4[[#This Row],[Dec_2026_F]]-Table4[[#This Row],[Dec_2026_A]]</f>
        <v/>
      </c>
      <c r="DL58" s="103" t="n"/>
      <c r="DM58" s="346" t="n"/>
      <c r="DN58" s="345">
        <f>IFERROR(Table4[[#This Row],[Jan_2027_Days_Forecast]]*Table4[[#This Row],[Cost Boolean]]*(VLOOKUP(Table4[[#This Row],[RATE CONCAT]],Tables!I:N,6,0)),0)</f>
        <v/>
      </c>
      <c r="DO58" s="275" t="n"/>
      <c r="DP58" s="345">
        <f>Table4[[#This Row],[Jan_2027_F]]-Table4[[#This Row],[Jan_2027_A]]</f>
        <v/>
      </c>
      <c r="DQ58" s="345">
        <f>IFERROR(Table4[[#This Row],[Feb_2027_Days_Forecast]]*Table4[[#This Row],[Cost Boolean]]*(VLOOKUP(Table4[[#This Row],[RATE CONCAT]],Tables!I:N,6,0)),0)</f>
        <v/>
      </c>
      <c r="DR58" s="275" t="n"/>
      <c r="DS58" s="345">
        <f>Table4[[#This Row],[Feb_2027_F]]-Table4[[#This Row],[Feb_2027_A]]</f>
        <v/>
      </c>
      <c r="DT58" s="345">
        <f>IFERROR(Table4[[#This Row],[Mar_2027_Days_Forecast]]*Table4[[#This Row],[Cost Boolean]]*(VLOOKUP(Table4[[#This Row],[RATE CONCAT]],Tables!I:N,6,0)),0)</f>
        <v/>
      </c>
      <c r="DU58" s="275" t="n"/>
      <c r="DV58" s="345">
        <f>Table4[[#This Row],[Mar_2027_F]]-Table4[[#This Row],[Mar_2027_A]]</f>
        <v/>
      </c>
      <c r="DW58" s="345">
        <f>IFERROR(Table4[[#This Row],[Apr_2027_Days_Forecast]]*Table4[[#This Row],[Cost Boolean]]*(VLOOKUP(Table4[[#This Row],[RATE CONCAT]],Tables!I:N,6,0)),0)</f>
        <v/>
      </c>
      <c r="DX58" s="275" t="n"/>
      <c r="DY58" s="345">
        <f>Table4[[#This Row],[Apr_2027_F]]-Table4[[#This Row],[Apr_2027_A]]</f>
        <v/>
      </c>
      <c r="DZ58" s="345">
        <f>IFERROR(Table4[[#This Row],[May_2027_Days_Forecast]]*Table4[[#This Row],[Cost Boolean]]*(VLOOKUP(Table4[[#This Row],[RATE CONCAT]],Tables!I:N,6,0)),0)</f>
        <v/>
      </c>
      <c r="EA58" s="275" t="n"/>
      <c r="EB58" s="345">
        <f>Table4[[#This Row],[May_2027_F]]-Table4[[#This Row],[May_2027_A]]</f>
        <v/>
      </c>
      <c r="EC58" s="345">
        <f>IFERROR(Table4[[#This Row],[Jun_2027_Days_Forecast]]*Table4[[#This Row],[Cost Boolean]]*(VLOOKUP(Table4[[#This Row],[RATE CONCAT]],Tables!I:N,6,0)),0)</f>
        <v/>
      </c>
      <c r="ED58" s="275" t="n"/>
      <c r="EE58" s="345">
        <f>Table4[[#This Row],[Jun_2027_F]]-Table4[[#This Row],[Jun_2027_A]]</f>
        <v/>
      </c>
      <c r="EF58" s="345">
        <f>IFERROR(Table4[[#This Row],[Jul_2027_Days_Forecast]]*Table4[[#This Row],[Cost Boolean]]*(VLOOKUP(Table4[[#This Row],[RATE CONCAT]],Tables!I:N,6,0)),0)</f>
        <v/>
      </c>
      <c r="EG58" s="275" t="n"/>
      <c r="EH58" s="345">
        <f>Table4[[#This Row],[Jul_2027_F]]-Table4[[#This Row],[Jul_2027_A]]</f>
        <v/>
      </c>
      <c r="EI58" s="345">
        <f>IFERROR(Table4[[#This Row],[Aug_2027_Days_Forecast]]*Table4[[#This Row],[Cost Boolean]]*(VLOOKUP(Table4[[#This Row],[RATE CONCAT]],Tables!I:N,6,0)),0)</f>
        <v/>
      </c>
      <c r="EJ58" s="275" t="n"/>
      <c r="EK58" s="345">
        <f>Table4[[#This Row],[Aug_2027_F]]-Table4[[#This Row],[Aug_2027_A]]</f>
        <v/>
      </c>
      <c r="EL58" s="345">
        <f>IFERROR(Table4[[#This Row],[Sep_2027_Days_Forecast]]*Table4[[#This Row],[Cost Boolean]]*(VLOOKUP(Table4[[#This Row],[RATE CONCAT]],Tables!I:N,6,0)),0)</f>
        <v/>
      </c>
      <c r="EM58" s="275" t="n"/>
      <c r="EN58" s="345">
        <f>Table4[[#This Row],[Sep_2027_F]]-Table4[[#This Row],[Sep_2027_A]]</f>
        <v/>
      </c>
      <c r="EO58" s="345">
        <f>IFERROR(Table4[[#This Row],[Oct_2027_Days_Forecast]]*Table4[[#This Row],[Cost Boolean]]*(VLOOKUP(Table4[[#This Row],[RATE CONCAT]],Tables!I:N,6,0)),0)</f>
        <v/>
      </c>
      <c r="EP58" s="275" t="n"/>
      <c r="EQ58" s="345">
        <f>Table4[[#This Row],[Oct_2027_F]]-Table4[[#This Row],[Oct_2027_A]]</f>
        <v/>
      </c>
      <c r="ER58" s="345">
        <f>IFERROR(Table4[[#This Row],[Nov_2027_Days_Forecast]]*Table4[[#This Row],[Cost Boolean]]*(VLOOKUP(Table4[[#This Row],[RATE CONCAT]],Tables!I:N,6,0)),0)</f>
        <v/>
      </c>
      <c r="ES58" s="275" t="n"/>
      <c r="ET58" s="345">
        <f>Table4[[#This Row],[Nov_2027_F]]-Table4[[#This Row],[Nov_2027_A]]</f>
        <v/>
      </c>
      <c r="EU58" s="345">
        <f>IFERROR(Table4[[#This Row],[Dec_2027_Days_Forecast]]*Table4[[#This Row],[Cost Boolean]]*(VLOOKUP(Table4[[#This Row],[RATE CONCAT]],Tables!I:N,6,0)),0)</f>
        <v/>
      </c>
      <c r="EV58" s="275" t="n"/>
      <c r="EW58" s="345">
        <f>Table4[[#This Row],[Dec_2027_F]]-Table4[[#This Row],[Dec_2027_A]]</f>
        <v/>
      </c>
    </row>
    <row r="59" ht="1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350">
        <f>CONCATENATE(Table4[[#This Row],[JG]],Table4[[#This Row],[Country]],Table4[[#This Row],[Resource Provider]])</f>
        <v/>
      </c>
      <c r="Z59" s="350">
        <f>VLOOKUP(Table4[[#This Row],[RATE CONCAT]],Tables!I:N,5,0)</f>
        <v/>
      </c>
      <c r="AA59" s="53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353">
        <f>IFERROR(AVERAGE(Table4[[#This Row],[Jan_2026_Days_Forecast]:[Dec_2026_Days_Forecast]]),0)/19</f>
        <v/>
      </c>
      <c r="AO59" s="353">
        <f>IFERROR(AVERAGE(Table4[[#This Row],[Jan_2026_Days_Actual]:[Dec_2026_Days_Actual]]),0)/19</f>
        <v/>
      </c>
      <c r="AP59" s="84" t="n"/>
      <c r="AQ59" s="84" t="n"/>
      <c r="AR59" s="84" t="n"/>
      <c r="AS59" s="84" t="n"/>
      <c r="AT59" s="84" t="n"/>
      <c r="AU59" s="84" t="n"/>
      <c r="AV59" s="84" t="n"/>
      <c r="AW59" s="84" t="n"/>
      <c r="AX59" s="84" t="n"/>
      <c r="AY59" s="84" t="n"/>
      <c r="AZ59" s="84" t="n"/>
      <c r="BA59" s="84" t="n"/>
      <c r="BB59" s="353">
        <f>IFERROR(AVERAGE(Table4[[#This Row],[Jan_2027_Days_Forecast]:[Dec_2027_Days_Forecast]]),0)</f>
        <v/>
      </c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55" t="n"/>
      <c r="BP59" s="346" t="n"/>
      <c r="BQ59" s="347" t="n">
        <v>0</v>
      </c>
      <c r="BR59" s="347">
        <f>IFERROR(Table4[[#This Row],[Jan_2026_Days_Actual]]*Table4[[#This Row],[Cost Boolean]]*(VLOOKUP(Table4[[#This Row],[RATE CONCAT]],Tables!I:N,5,0)),0)</f>
        <v/>
      </c>
      <c r="BS59" s="347">
        <f>Table4[[#This Row],[Jan_2026_F]]-Table4[[#This Row],[Jan_2026_A]]</f>
        <v/>
      </c>
      <c r="BT59" s="107" t="n"/>
      <c r="BU59" s="347">
        <f>IFERROR(Table4[[#This Row],[Feb_2026_Days_Forecast]]*Table4[[#This Row],[Cost Boolean]]*(VLOOKUP(Table4[[#This Row],[RATE CONCAT]],Tables!I:N,5,0)),0)</f>
        <v/>
      </c>
      <c r="BV59" s="347">
        <f>IFERROR(Table4[[#This Row],[Feb_2026_Days_Actual]]*Table4[[#This Row],[Cost Boolean]]*(VLOOKUP(Table4[[#This Row],[RATE CONCAT]],Tables!I:N,5,0)),0)</f>
        <v/>
      </c>
      <c r="BW59" s="347">
        <f>Table4[[#This Row],[Feb_2026_F]]-Table4[[#This Row],[Feb_2026_A]]</f>
        <v/>
      </c>
      <c r="BX59" s="103" t="n"/>
      <c r="BY59" s="347">
        <f>IFERROR(Table4[[#This Row],[Mar_2026_Days_Forecast]]*Table4[[#This Row],[Cost Boolean]]*(VLOOKUP(Table4[[#This Row],[RATE CONCAT]],Tables!I:N,5,0)),0)</f>
        <v/>
      </c>
      <c r="BZ59" s="347">
        <f>IFERROR(Table4[[#This Row],[Mar_2026_Days_Actual]]*Table4[[#This Row],[Cost Boolean]]*(VLOOKUP(Table4[[#This Row],[RATE CONCAT]],Tables!I:N,5,0)),0)</f>
        <v/>
      </c>
      <c r="CA59" s="347">
        <f>Table4[[#This Row],[Mar_2026_F]]-Table4[[#This Row],[Mar_2026_A]]</f>
        <v/>
      </c>
      <c r="CB59" s="103" t="n"/>
      <c r="CC59" s="347">
        <f>IFERROR(Table4[[#This Row],[Apr_2026_Days_Forecast]]*Table4[[#This Row],[Cost Boolean]]*(VLOOKUP(Table4[[#This Row],[RATE CONCAT]],Tables!I:N,5,0)),0)</f>
        <v/>
      </c>
      <c r="CD59" s="347">
        <f>IFERROR(Table4[[#This Row],[Apr_2026_Days_Actual]]*Table4[[#This Row],[Cost Boolean]]*(VLOOKUP(Table4[[#This Row],[RATE CONCAT]],Tables!I:N,5,0)),0)</f>
        <v/>
      </c>
      <c r="CE59" s="347">
        <f>Table4[[#This Row],[Apr_2026_F]]-Table4[[#This Row],[Apr_2026_A]]</f>
        <v/>
      </c>
      <c r="CF59" s="103" t="n"/>
      <c r="CG59" s="347">
        <f>IFERROR(Table4[[#This Row],[May_2026_Days_Forecast]] *Table4[[#This Row],[Cost Boolean]]*(VLOOKUP(Table4[[#This Row],[RATE CONCAT]],Tables!I:N,5,0)),0)</f>
        <v/>
      </c>
      <c r="CH59" s="347">
        <f>IFERROR(Table4[[#This Row],[May_2026_Days_Actual]]*Table4[[#This Row],[Cost Boolean]]*(VLOOKUP(Table4[[#This Row],[RATE CONCAT]],Tables!I:N,5,0)),0)</f>
        <v/>
      </c>
      <c r="CI59" s="347">
        <f>Table4[[#This Row],[May_2026_F]]-Table4[[#This Row],[May_2026_A]]</f>
        <v/>
      </c>
      <c r="CJ59" s="103" t="n"/>
      <c r="CK59" s="347">
        <f>IFERROR(Table4[[#This Row],[Jun_2026_Days_Forecast]]*Table4[[#This Row],[Cost Boolean]]*(VLOOKUP(Table4[[#This Row],[RATE CONCAT]],Tables!I:N,5,0)),0)</f>
        <v/>
      </c>
      <c r="CL59" s="347">
        <f>IFERROR(Table4[[#This Row],[Jun_2026_Days_Actual]]*Table4[[#This Row],[Cost Boolean]]*(VLOOKUP(Table4[[#This Row],[RATE CONCAT]],Tables!I:N,5,0)),0)</f>
        <v/>
      </c>
      <c r="CM59" s="347">
        <f>Table4[[#This Row],[Jun_2026_F]]-Table4[[#This Row],[Jun_2026_A]]</f>
        <v/>
      </c>
      <c r="CN59" s="103" t="n"/>
      <c r="CO59" s="347">
        <f>IFERROR(Table4[[#This Row],[Jul_2026_Days_Forecast]]*Table4[[#This Row],[Cost Boolean]]*(VLOOKUP(Table4[[#This Row],[RATE CONCAT]],Tables!I:N,5,0)),0)</f>
        <v/>
      </c>
      <c r="CP59" s="347">
        <f>IFERROR(Table4[[#This Row],[Aug_2026_Days_Forecast]]*Table4[[#This Row],[Location]]*(VLOOKUP(Table4[[#This Row],[Rate]],Tables!J:O,5,0)),0)</f>
        <v/>
      </c>
      <c r="CQ59" s="347">
        <f>Table4[[#This Row],[Jul_2026_F]]-Table4[[#This Row],[Jul_2026_A]]</f>
        <v/>
      </c>
      <c r="CR59" s="103" t="n"/>
      <c r="CS59" s="347">
        <f>IFERROR(Table4[[#This Row],[Aug_2026_Days_Forecast]]*Table4[[#This Row],[Cost Boolean]]*(VLOOKUP(Table4[[#This Row],[RATE CONCAT]],Tables!I:N,5,0)),0)</f>
        <v/>
      </c>
      <c r="CT59" s="347">
        <f>IFERROR(Table4[[#This Row],[Aug_2026_Days_Actual]]*Table4[[#This Row],[Cost Boolean]]*(VLOOKUP(Table4[[#This Row],[RATE CONCAT]],Tables!I:N,5,0)),0)</f>
        <v/>
      </c>
      <c r="CU59" s="347">
        <f>Table4[[#This Row],[Aug_2026_F]]-Table4[[#This Row],[Aug_2026_A]]</f>
        <v/>
      </c>
      <c r="CV59" s="103" t="n"/>
      <c r="CW59" s="347">
        <f>IFERROR(Table4[[#This Row],[Sep_2026_Days_Forecast]]*Table4[[#This Row],[Cost Boolean]]*(VLOOKUP(Table4[[#This Row],[RATE CONCAT]],Tables!I:N,5,0)),0)</f>
        <v/>
      </c>
      <c r="CX59" s="347">
        <f>IFERROR(Table4[[#This Row],[Sep_2026_Days_Actual]]*Table4[[#This Row],[Cost Boolean]]*(VLOOKUP(Table4[[#This Row],[RATE CONCAT]],Tables!I:N,5,0)),0)</f>
        <v/>
      </c>
      <c r="CY59" s="347">
        <f>Table4[[#This Row],[Sep_2026_F]]-Table4[[#This Row],[Sep_2026_A]]</f>
        <v/>
      </c>
      <c r="CZ59" s="103" t="n"/>
      <c r="DA59" s="347">
        <f>IFERROR(Table4[[#This Row],[Oct_2026_Days_Forecast]]*Table4[[#This Row],[Cost Boolean]]*(VLOOKUP(Table4[[#This Row],[RATE CONCAT]],Tables!I:N,5,0)),0)</f>
        <v/>
      </c>
      <c r="DB59" s="347">
        <f>IFERROR(Table4[[#This Row],[Oct_2026_Days_Actual]]*Table4[[#This Row],[Cost Boolean]]*(VLOOKUP(Table4[[#This Row],[RATE CONCAT]],Tables!I:N,5,0)),0)</f>
        <v/>
      </c>
      <c r="DC59" s="347">
        <f>Table4[[#This Row],[Oct_2026_F]]-Table4[[#This Row],[Oct_2026_A]]</f>
        <v/>
      </c>
      <c r="DD59" s="103" t="n"/>
      <c r="DE59" s="347">
        <f>IFERROR(Table4[[#This Row],[Nov_2026_Days_Forecast]]*Table4[[#This Row],[Cost Boolean]]*(VLOOKUP(Table4[[#This Row],[RATE CONCAT]],Tables!I:N,5,0)),0)</f>
        <v/>
      </c>
      <c r="DF59" s="347">
        <f>IFERROR(Table4[[#This Row],[Nov_2026_Days_Actual]]*Table4[[#This Row],[Cost Boolean]]*(VLOOKUP(Table4[[#This Row],[RATE CONCAT]],Tables!I:N,5,0)),0)</f>
        <v/>
      </c>
      <c r="DG59" s="347">
        <f>Table4[[#This Row],[Nov_2026_F]]-Table4[[#This Row],[Nov_2026_A]]</f>
        <v/>
      </c>
      <c r="DH59" s="103" t="n"/>
      <c r="DI59" s="347">
        <f>IFERROR(Table4[[#This Row],[Dec_2026_Days_Forecast]]*Table4[[#This Row],[Cost Boolean]]*(VLOOKUP(Table4[[#This Row],[RATE CONCAT]],Tables!I:N,5,0)),0)</f>
        <v/>
      </c>
      <c r="DJ59" s="347">
        <f>IFERROR(Table4[[#This Row],[Dec_2026_Days_Actual]]*Table4[[#This Row],[Cost Boolean]]*(VLOOKUP(Table4[[#This Row],[RATE CONCAT]],Tables!I:N,5,0)),0)</f>
        <v/>
      </c>
      <c r="DK59" s="347">
        <f>Table4[[#This Row],[Dec_2026_F]]-Table4[[#This Row],[Dec_2026_A]]</f>
        <v/>
      </c>
      <c r="DL59" s="103" t="n"/>
      <c r="DM59" s="346" t="n"/>
      <c r="DN59" s="347">
        <f>IFERROR(Table4[[#This Row],[Jan_2027_Days_Forecast]]*Table4[[#This Row],[Cost Boolean]]*(VLOOKUP(Table4[[#This Row],[RATE CONCAT]],Tables!I:N,6,0)),0)</f>
        <v/>
      </c>
      <c r="DO59" s="275" t="n"/>
      <c r="DP59" s="347">
        <f>Table4[[#This Row],[Jan_2027_F]]-Table4[[#This Row],[Jan_2027_A]]</f>
        <v/>
      </c>
      <c r="DQ59" s="347">
        <f>IFERROR(Table4[[#This Row],[Feb_2027_Days_Forecast]]*Table4[[#This Row],[Cost Boolean]]*(VLOOKUP(Table4[[#This Row],[RATE CONCAT]],Tables!I:N,6,0)),0)</f>
        <v/>
      </c>
      <c r="DR59" s="275" t="n"/>
      <c r="DS59" s="347">
        <f>Table4[[#This Row],[Feb_2027_F]]-Table4[[#This Row],[Feb_2027_A]]</f>
        <v/>
      </c>
      <c r="DT59" s="347">
        <f>IFERROR(Table4[[#This Row],[Mar_2027_Days_Forecast]]*Table4[[#This Row],[Cost Boolean]]*(VLOOKUP(Table4[[#This Row],[RATE CONCAT]],Tables!I:N,6,0)),0)</f>
        <v/>
      </c>
      <c r="DU59" s="275" t="n"/>
      <c r="DV59" s="347">
        <f>Table4[[#This Row],[Mar_2027_F]]-Table4[[#This Row],[Mar_2027_A]]</f>
        <v/>
      </c>
      <c r="DW59" s="347">
        <f>IFERROR(Table4[[#This Row],[Apr_2027_Days_Forecast]]*Table4[[#This Row],[Cost Boolean]]*(VLOOKUP(Table4[[#This Row],[RATE CONCAT]],Tables!I:N,6,0)),0)</f>
        <v/>
      </c>
      <c r="DX59" s="275" t="n"/>
      <c r="DY59" s="347">
        <f>Table4[[#This Row],[Apr_2027_F]]-Table4[[#This Row],[Apr_2027_A]]</f>
        <v/>
      </c>
      <c r="DZ59" s="347">
        <f>IFERROR(Table4[[#This Row],[May_2027_Days_Forecast]]*Table4[[#This Row],[Cost Boolean]]*(VLOOKUP(Table4[[#This Row],[RATE CONCAT]],Tables!I:N,6,0)),0)</f>
        <v/>
      </c>
      <c r="EA59" s="275" t="n"/>
      <c r="EB59" s="347">
        <f>Table4[[#This Row],[May_2027_F]]-Table4[[#This Row],[May_2027_A]]</f>
        <v/>
      </c>
      <c r="EC59" s="347">
        <f>IFERROR(Table4[[#This Row],[Jun_2027_Days_Forecast]]*Table4[[#This Row],[Cost Boolean]]*(VLOOKUP(Table4[[#This Row],[RATE CONCAT]],Tables!I:N,6,0)),0)</f>
        <v/>
      </c>
      <c r="ED59" s="275" t="n"/>
      <c r="EE59" s="347">
        <f>Table4[[#This Row],[Jun_2027_F]]-Table4[[#This Row],[Jun_2027_A]]</f>
        <v/>
      </c>
      <c r="EF59" s="347">
        <f>IFERROR(Table4[[#This Row],[Jul_2027_Days_Forecast]]*Table4[[#This Row],[Cost Boolean]]*(VLOOKUP(Table4[[#This Row],[RATE CONCAT]],Tables!I:N,6,0)),0)</f>
        <v/>
      </c>
      <c r="EG59" s="275" t="n"/>
      <c r="EH59" s="347">
        <f>Table4[[#This Row],[Jul_2027_F]]-Table4[[#This Row],[Jul_2027_A]]</f>
        <v/>
      </c>
      <c r="EI59" s="347">
        <f>IFERROR(Table4[[#This Row],[Aug_2027_Days_Forecast]]*Table4[[#This Row],[Cost Boolean]]*(VLOOKUP(Table4[[#This Row],[RATE CONCAT]],Tables!I:N,6,0)),0)</f>
        <v/>
      </c>
      <c r="EJ59" s="275" t="n"/>
      <c r="EK59" s="347">
        <f>Table4[[#This Row],[Aug_2027_F]]-Table4[[#This Row],[Aug_2027_A]]</f>
        <v/>
      </c>
      <c r="EL59" s="347">
        <f>IFERROR(Table4[[#This Row],[Sep_2027_Days_Forecast]]*Table4[[#This Row],[Cost Boolean]]*(VLOOKUP(Table4[[#This Row],[RATE CONCAT]],Tables!I:N,6,0)),0)</f>
        <v/>
      </c>
      <c r="EM59" s="275" t="n"/>
      <c r="EN59" s="347">
        <f>Table4[[#This Row],[Sep_2027_F]]-Table4[[#This Row],[Sep_2027_A]]</f>
        <v/>
      </c>
      <c r="EO59" s="347">
        <f>IFERROR(Table4[[#This Row],[Oct_2027_Days_Forecast]]*Table4[[#This Row],[Cost Boolean]]*(VLOOKUP(Table4[[#This Row],[RATE CONCAT]],Tables!I:N,6,0)),0)</f>
        <v/>
      </c>
      <c r="EP59" s="275" t="n"/>
      <c r="EQ59" s="347">
        <f>Table4[[#This Row],[Oct_2027_F]]-Table4[[#This Row],[Oct_2027_A]]</f>
        <v/>
      </c>
      <c r="ER59" s="347">
        <f>IFERROR(Table4[[#This Row],[Nov_2027_Days_Forecast]]*Table4[[#This Row],[Cost Boolean]]*(VLOOKUP(Table4[[#This Row],[RATE CONCAT]],Tables!I:N,6,0)),0)</f>
        <v/>
      </c>
      <c r="ES59" s="275" t="n"/>
      <c r="ET59" s="347">
        <f>Table4[[#This Row],[Nov_2027_F]]-Table4[[#This Row],[Nov_2027_A]]</f>
        <v/>
      </c>
      <c r="EU59" s="347">
        <f>IFERROR(Table4[[#This Row],[Dec_2027_Days_Forecast]]*Table4[[#This Row],[Cost Boolean]]*(VLOOKUP(Table4[[#This Row],[RATE CONCAT]],Tables!I:N,6,0)),0)</f>
        <v/>
      </c>
      <c r="EV59" s="275" t="n"/>
      <c r="EW59" s="347">
        <f>Table4[[#This Row],[Dec_2027_F]]-Table4[[#This Row],[Dec_2027_A]]</f>
        <v/>
      </c>
    </row>
    <row r="60" ht="1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350">
        <f>CONCATENATE(Table4[[#This Row],[JG]],Table4[[#This Row],[Country]],Table4[[#This Row],[Resource Provider]])</f>
        <v/>
      </c>
      <c r="Z60" s="350">
        <f>VLOOKUP(Table4[[#This Row],[RATE CONCAT]],Tables!I:N,5,0)</f>
        <v/>
      </c>
      <c r="AA60" s="53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353">
        <f>IFERROR(AVERAGE(Table4[[#This Row],[Jan_2026_Days_Forecast]:[Dec_2026_Days_Forecast]]),0)/19</f>
        <v/>
      </c>
      <c r="AO60" s="353">
        <f>IFERROR(AVERAGE(Table4[[#This Row],[Jan_2026_Days_Actual]:[Dec_2026_Days_Actual]]),0)/19</f>
        <v/>
      </c>
      <c r="AP60" s="84" t="n"/>
      <c r="AQ60" s="84" t="n"/>
      <c r="AR60" s="84" t="n"/>
      <c r="AS60" s="84" t="n"/>
      <c r="AT60" s="84" t="n"/>
      <c r="AU60" s="84" t="n"/>
      <c r="AV60" s="84" t="n"/>
      <c r="AW60" s="84" t="n"/>
      <c r="AX60" s="84" t="n"/>
      <c r="AY60" s="84" t="n"/>
      <c r="AZ60" s="84" t="n"/>
      <c r="BA60" s="84" t="n"/>
      <c r="BB60" s="353">
        <f>IFERROR(AVERAGE(Table4[[#This Row],[Jan_2027_Days_Forecast]:[Dec_2027_Days_Forecast]]),0)</f>
        <v/>
      </c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55" t="n"/>
      <c r="BP60" s="346" t="n"/>
      <c r="BQ60" s="345" t="n">
        <v>0</v>
      </c>
      <c r="BR60" s="345">
        <f>IFERROR(Table4[[#This Row],[Jan_2026_Days_Actual]]*Table4[[#This Row],[Cost Boolean]]*(VLOOKUP(Table4[[#This Row],[RATE CONCAT]],Tables!I:N,5,0)),0)</f>
        <v/>
      </c>
      <c r="BS60" s="345">
        <f>Table4[[#This Row],[Jan_2026_F]]-Table4[[#This Row],[Jan_2026_A]]</f>
        <v/>
      </c>
      <c r="BT60" s="107" t="n"/>
      <c r="BU60" s="345">
        <f>IFERROR(Table4[[#This Row],[Feb_2026_Days_Forecast]]*Table4[[#This Row],[Cost Boolean]]*(VLOOKUP(Table4[[#This Row],[RATE CONCAT]],Tables!I:N,5,0)),0)</f>
        <v/>
      </c>
      <c r="BV60" s="345">
        <f>IFERROR(Table4[[#This Row],[Feb_2026_Days_Actual]]*Table4[[#This Row],[Cost Boolean]]*(VLOOKUP(Table4[[#This Row],[RATE CONCAT]],Tables!I:N,5,0)),0)</f>
        <v/>
      </c>
      <c r="BW60" s="345">
        <f>Table4[[#This Row],[Feb_2026_F]]-Table4[[#This Row],[Feb_2026_A]]</f>
        <v/>
      </c>
      <c r="BX60" s="103" t="n"/>
      <c r="BY60" s="345">
        <f>IFERROR(Table4[[#This Row],[Mar_2026_Days_Forecast]]*Table4[[#This Row],[Cost Boolean]]*(VLOOKUP(Table4[[#This Row],[RATE CONCAT]],Tables!I:N,5,0)),0)</f>
        <v/>
      </c>
      <c r="BZ60" s="345">
        <f>IFERROR(Table4[[#This Row],[Mar_2026_Days_Actual]]*Table4[[#This Row],[Cost Boolean]]*(VLOOKUP(Table4[[#This Row],[RATE CONCAT]],Tables!I:N,5,0)),0)</f>
        <v/>
      </c>
      <c r="CA60" s="345">
        <f>Table4[[#This Row],[Mar_2026_F]]-Table4[[#This Row],[Mar_2026_A]]</f>
        <v/>
      </c>
      <c r="CB60" s="103" t="n"/>
      <c r="CC60" s="345">
        <f>IFERROR(Table4[[#This Row],[Apr_2026_Days_Forecast]]*Table4[[#This Row],[Cost Boolean]]*(VLOOKUP(Table4[[#This Row],[RATE CONCAT]],Tables!I:N,5,0)),0)</f>
        <v/>
      </c>
      <c r="CD60" s="345">
        <f>IFERROR(Table4[[#This Row],[Apr_2026_Days_Actual]]*Table4[[#This Row],[Cost Boolean]]*(VLOOKUP(Table4[[#This Row],[RATE CONCAT]],Tables!I:N,5,0)),0)</f>
        <v/>
      </c>
      <c r="CE60" s="345">
        <f>Table4[[#This Row],[Apr_2026_F]]-Table4[[#This Row],[Apr_2026_A]]</f>
        <v/>
      </c>
      <c r="CF60" s="103" t="n"/>
      <c r="CG60" s="345">
        <f>IFERROR(Table4[[#This Row],[May_2026_Days_Forecast]] *Table4[[#This Row],[Cost Boolean]]*(VLOOKUP(Table4[[#This Row],[RATE CONCAT]],Tables!I:N,5,0)),0)</f>
        <v/>
      </c>
      <c r="CH60" s="345">
        <f>IFERROR(Table4[[#This Row],[May_2026_Days_Actual]]*Table4[[#This Row],[Cost Boolean]]*(VLOOKUP(Table4[[#This Row],[RATE CONCAT]],Tables!I:N,5,0)),0)</f>
        <v/>
      </c>
      <c r="CI60" s="345">
        <f>Table4[[#This Row],[May_2026_F]]-Table4[[#This Row],[May_2026_A]]</f>
        <v/>
      </c>
      <c r="CJ60" s="103" t="n"/>
      <c r="CK60" s="345">
        <f>IFERROR(Table4[[#This Row],[Jun_2026_Days_Forecast]]*Table4[[#This Row],[Cost Boolean]]*(VLOOKUP(Table4[[#This Row],[RATE CONCAT]],Tables!I:N,5,0)),0)</f>
        <v/>
      </c>
      <c r="CL60" s="345">
        <f>IFERROR(Table4[[#This Row],[Jun_2026_Days_Actual]]*Table4[[#This Row],[Cost Boolean]]*(VLOOKUP(Table4[[#This Row],[RATE CONCAT]],Tables!I:N,5,0)),0)</f>
        <v/>
      </c>
      <c r="CM60" s="345">
        <f>Table4[[#This Row],[Jun_2026_F]]-Table4[[#This Row],[Jun_2026_A]]</f>
        <v/>
      </c>
      <c r="CN60" s="103" t="n"/>
      <c r="CO60" s="345">
        <f>IFERROR(Table4[[#This Row],[Jul_2026_Days_Forecast]]*Table4[[#This Row],[Cost Boolean]]*(VLOOKUP(Table4[[#This Row],[RATE CONCAT]],Tables!I:N,5,0)),0)</f>
        <v/>
      </c>
      <c r="CP60" s="345">
        <f>IFERROR(Table4[[#This Row],[Aug_2026_Days_Forecast]]*Table4[[#This Row],[Location]]*(VLOOKUP(Table4[[#This Row],[Rate]],Tables!J:O,5,0)),0)</f>
        <v/>
      </c>
      <c r="CQ60" s="345">
        <f>Table4[[#This Row],[Jul_2026_F]]-Table4[[#This Row],[Jul_2026_A]]</f>
        <v/>
      </c>
      <c r="CR60" s="103" t="n"/>
      <c r="CS60" s="345">
        <f>IFERROR(Table4[[#This Row],[Aug_2026_Days_Forecast]]*Table4[[#This Row],[Cost Boolean]]*(VLOOKUP(Table4[[#This Row],[RATE CONCAT]],Tables!I:N,5,0)),0)</f>
        <v/>
      </c>
      <c r="CT60" s="345">
        <f>IFERROR(Table4[[#This Row],[Aug_2026_Days_Actual]]*Table4[[#This Row],[Cost Boolean]]*(VLOOKUP(Table4[[#This Row],[RATE CONCAT]],Tables!I:N,5,0)),0)</f>
        <v/>
      </c>
      <c r="CU60" s="345">
        <f>Table4[[#This Row],[Aug_2026_F]]-Table4[[#This Row],[Aug_2026_A]]</f>
        <v/>
      </c>
      <c r="CV60" s="103" t="n"/>
      <c r="CW60" s="345">
        <f>IFERROR(Table4[[#This Row],[Sep_2026_Days_Forecast]]*Table4[[#This Row],[Cost Boolean]]*(VLOOKUP(Table4[[#This Row],[RATE CONCAT]],Tables!I:N,5,0)),0)</f>
        <v/>
      </c>
      <c r="CX60" s="345">
        <f>IFERROR(Table4[[#This Row],[Sep_2026_Days_Actual]]*Table4[[#This Row],[Cost Boolean]]*(VLOOKUP(Table4[[#This Row],[RATE CONCAT]],Tables!I:N,5,0)),0)</f>
        <v/>
      </c>
      <c r="CY60" s="345">
        <f>Table4[[#This Row],[Sep_2026_F]]-Table4[[#This Row],[Sep_2026_A]]</f>
        <v/>
      </c>
      <c r="CZ60" s="103" t="n"/>
      <c r="DA60" s="345">
        <f>IFERROR(Table4[[#This Row],[Oct_2026_Days_Forecast]]*Table4[[#This Row],[Cost Boolean]]*(VLOOKUP(Table4[[#This Row],[RATE CONCAT]],Tables!I:N,5,0)),0)</f>
        <v/>
      </c>
      <c r="DB60" s="345">
        <f>IFERROR(Table4[[#This Row],[Oct_2026_Days_Actual]]*Table4[[#This Row],[Cost Boolean]]*(VLOOKUP(Table4[[#This Row],[RATE CONCAT]],Tables!I:N,5,0)),0)</f>
        <v/>
      </c>
      <c r="DC60" s="345">
        <f>Table4[[#This Row],[Oct_2026_F]]-Table4[[#This Row],[Oct_2026_A]]</f>
        <v/>
      </c>
      <c r="DD60" s="103" t="n"/>
      <c r="DE60" s="345">
        <f>IFERROR(Table4[[#This Row],[Nov_2026_Days_Forecast]]*Table4[[#This Row],[Cost Boolean]]*(VLOOKUP(Table4[[#This Row],[RATE CONCAT]],Tables!I:N,5,0)),0)</f>
        <v/>
      </c>
      <c r="DF60" s="345">
        <f>IFERROR(Table4[[#This Row],[Nov_2026_Days_Actual]]*Table4[[#This Row],[Cost Boolean]]*(VLOOKUP(Table4[[#This Row],[RATE CONCAT]],Tables!I:N,5,0)),0)</f>
        <v/>
      </c>
      <c r="DG60" s="345">
        <f>Table4[[#This Row],[Nov_2026_F]]-Table4[[#This Row],[Nov_2026_A]]</f>
        <v/>
      </c>
      <c r="DH60" s="103" t="n"/>
      <c r="DI60" s="345">
        <f>IFERROR(Table4[[#This Row],[Dec_2026_Days_Forecast]]*Table4[[#This Row],[Cost Boolean]]*(VLOOKUP(Table4[[#This Row],[RATE CONCAT]],Tables!I:N,5,0)),0)</f>
        <v/>
      </c>
      <c r="DJ60" s="345">
        <f>IFERROR(Table4[[#This Row],[Dec_2026_Days_Actual]]*Table4[[#This Row],[Cost Boolean]]*(VLOOKUP(Table4[[#This Row],[RATE CONCAT]],Tables!I:N,5,0)),0)</f>
        <v/>
      </c>
      <c r="DK60" s="345">
        <f>Table4[[#This Row],[Dec_2026_F]]-Table4[[#This Row],[Dec_2026_A]]</f>
        <v/>
      </c>
      <c r="DL60" s="103" t="n"/>
      <c r="DM60" s="346" t="n"/>
      <c r="DN60" s="345">
        <f>IFERROR(Table4[[#This Row],[Jan_2027_Days_Forecast]]*Table4[[#This Row],[Cost Boolean]]*(VLOOKUP(Table4[[#This Row],[RATE CONCAT]],Tables!I:N,6,0)),0)</f>
        <v/>
      </c>
      <c r="DO60" s="275" t="n"/>
      <c r="DP60" s="345">
        <f>Table4[[#This Row],[Jan_2027_F]]-Table4[[#This Row],[Jan_2027_A]]</f>
        <v/>
      </c>
      <c r="DQ60" s="345">
        <f>IFERROR(Table4[[#This Row],[Feb_2027_Days_Forecast]]*Table4[[#This Row],[Cost Boolean]]*(VLOOKUP(Table4[[#This Row],[RATE CONCAT]],Tables!I:N,6,0)),0)</f>
        <v/>
      </c>
      <c r="DR60" s="275" t="n"/>
      <c r="DS60" s="345">
        <f>Table4[[#This Row],[Feb_2027_F]]-Table4[[#This Row],[Feb_2027_A]]</f>
        <v/>
      </c>
      <c r="DT60" s="345">
        <f>IFERROR(Table4[[#This Row],[Mar_2027_Days_Forecast]]*Table4[[#This Row],[Cost Boolean]]*(VLOOKUP(Table4[[#This Row],[RATE CONCAT]],Tables!I:N,6,0)),0)</f>
        <v/>
      </c>
      <c r="DU60" s="275" t="n"/>
      <c r="DV60" s="345">
        <f>Table4[[#This Row],[Mar_2027_F]]-Table4[[#This Row],[Mar_2027_A]]</f>
        <v/>
      </c>
      <c r="DW60" s="345">
        <f>IFERROR(Table4[[#This Row],[Apr_2027_Days_Forecast]]*Table4[[#This Row],[Cost Boolean]]*(VLOOKUP(Table4[[#This Row],[RATE CONCAT]],Tables!I:N,6,0)),0)</f>
        <v/>
      </c>
      <c r="DX60" s="275" t="n"/>
      <c r="DY60" s="345">
        <f>Table4[[#This Row],[Apr_2027_F]]-Table4[[#This Row],[Apr_2027_A]]</f>
        <v/>
      </c>
      <c r="DZ60" s="345">
        <f>IFERROR(Table4[[#This Row],[May_2027_Days_Forecast]]*Table4[[#This Row],[Cost Boolean]]*(VLOOKUP(Table4[[#This Row],[RATE CONCAT]],Tables!I:N,6,0)),0)</f>
        <v/>
      </c>
      <c r="EA60" s="275" t="n"/>
      <c r="EB60" s="345">
        <f>Table4[[#This Row],[May_2027_F]]-Table4[[#This Row],[May_2027_A]]</f>
        <v/>
      </c>
      <c r="EC60" s="345">
        <f>IFERROR(Table4[[#This Row],[Jun_2027_Days_Forecast]]*Table4[[#This Row],[Cost Boolean]]*(VLOOKUP(Table4[[#This Row],[RATE CONCAT]],Tables!I:N,6,0)),0)</f>
        <v/>
      </c>
      <c r="ED60" s="275" t="n"/>
      <c r="EE60" s="345">
        <f>Table4[[#This Row],[Jun_2027_F]]-Table4[[#This Row],[Jun_2027_A]]</f>
        <v/>
      </c>
      <c r="EF60" s="345">
        <f>IFERROR(Table4[[#This Row],[Jul_2027_Days_Forecast]]*Table4[[#This Row],[Cost Boolean]]*(VLOOKUP(Table4[[#This Row],[RATE CONCAT]],Tables!I:N,6,0)),0)</f>
        <v/>
      </c>
      <c r="EG60" s="275" t="n"/>
      <c r="EH60" s="345">
        <f>Table4[[#This Row],[Jul_2027_F]]-Table4[[#This Row],[Jul_2027_A]]</f>
        <v/>
      </c>
      <c r="EI60" s="345">
        <f>IFERROR(Table4[[#This Row],[Aug_2027_Days_Forecast]]*Table4[[#This Row],[Cost Boolean]]*(VLOOKUP(Table4[[#This Row],[RATE CONCAT]],Tables!I:N,6,0)),0)</f>
        <v/>
      </c>
      <c r="EJ60" s="275" t="n"/>
      <c r="EK60" s="345">
        <f>Table4[[#This Row],[Aug_2027_F]]-Table4[[#This Row],[Aug_2027_A]]</f>
        <v/>
      </c>
      <c r="EL60" s="345">
        <f>IFERROR(Table4[[#This Row],[Sep_2027_Days_Forecast]]*Table4[[#This Row],[Cost Boolean]]*(VLOOKUP(Table4[[#This Row],[RATE CONCAT]],Tables!I:N,6,0)),0)</f>
        <v/>
      </c>
      <c r="EM60" s="275" t="n"/>
      <c r="EN60" s="345">
        <f>Table4[[#This Row],[Sep_2027_F]]-Table4[[#This Row],[Sep_2027_A]]</f>
        <v/>
      </c>
      <c r="EO60" s="345">
        <f>IFERROR(Table4[[#This Row],[Oct_2027_Days_Forecast]]*Table4[[#This Row],[Cost Boolean]]*(VLOOKUP(Table4[[#This Row],[RATE CONCAT]],Tables!I:N,6,0)),0)</f>
        <v/>
      </c>
      <c r="EP60" s="275" t="n"/>
      <c r="EQ60" s="345">
        <f>Table4[[#This Row],[Oct_2027_F]]-Table4[[#This Row],[Oct_2027_A]]</f>
        <v/>
      </c>
      <c r="ER60" s="345">
        <f>IFERROR(Table4[[#This Row],[Nov_2027_Days_Forecast]]*Table4[[#This Row],[Cost Boolean]]*(VLOOKUP(Table4[[#This Row],[RATE CONCAT]],Tables!I:N,6,0)),0)</f>
        <v/>
      </c>
      <c r="ES60" s="275" t="n"/>
      <c r="ET60" s="345">
        <f>Table4[[#This Row],[Nov_2027_F]]-Table4[[#This Row],[Nov_2027_A]]</f>
        <v/>
      </c>
      <c r="EU60" s="345">
        <f>IFERROR(Table4[[#This Row],[Dec_2027_Days_Forecast]]*Table4[[#This Row],[Cost Boolean]]*(VLOOKUP(Table4[[#This Row],[RATE CONCAT]],Tables!I:N,6,0)),0)</f>
        <v/>
      </c>
      <c r="EV60" s="275" t="n"/>
      <c r="EW60" s="345">
        <f>Table4[[#This Row],[Dec_2027_F]]-Table4[[#This Row],[Dec_2027_A]]</f>
        <v/>
      </c>
    </row>
    <row r="61" ht="1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350">
        <f>CONCATENATE(Table4[[#This Row],[JG]],Table4[[#This Row],[Country]],Table4[[#This Row],[Resource Provider]])</f>
        <v/>
      </c>
      <c r="Z61" s="350">
        <f>VLOOKUP(Table4[[#This Row],[RATE CONCAT]],Tables!I:N,5,0)</f>
        <v/>
      </c>
      <c r="AA61" s="53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353">
        <f>IFERROR(AVERAGE(Table4[[#This Row],[Jan_2026_Days_Forecast]:[Dec_2026_Days_Forecast]]),0)/19</f>
        <v/>
      </c>
      <c r="AO61" s="353">
        <f>IFERROR(AVERAGE(Table4[[#This Row],[Jan_2026_Days_Actual]:[Dec_2026_Days_Actual]]),0)/19</f>
        <v/>
      </c>
      <c r="AP61" s="84" t="n"/>
      <c r="AQ61" s="84" t="n"/>
      <c r="AR61" s="84" t="n"/>
      <c r="AS61" s="84" t="n"/>
      <c r="AT61" s="84" t="n"/>
      <c r="AU61" s="84" t="n"/>
      <c r="AV61" s="84" t="n"/>
      <c r="AW61" s="84" t="n"/>
      <c r="AX61" s="84" t="n"/>
      <c r="AY61" s="84" t="n"/>
      <c r="AZ61" s="84" t="n"/>
      <c r="BA61" s="84" t="n"/>
      <c r="BB61" s="353">
        <f>IFERROR(AVERAGE(Table4[[#This Row],[Jan_2027_Days_Forecast]:[Dec_2027_Days_Forecast]]),0)</f>
        <v/>
      </c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55" t="n"/>
      <c r="BP61" s="346" t="n"/>
      <c r="BQ61" s="347" t="n">
        <v>0</v>
      </c>
      <c r="BR61" s="347">
        <f>IFERROR(Table4[[#This Row],[Jan_2026_Days_Actual]]*Table4[[#This Row],[Cost Boolean]]*(VLOOKUP(Table4[[#This Row],[RATE CONCAT]],Tables!I:N,5,0)),0)</f>
        <v/>
      </c>
      <c r="BS61" s="347">
        <f>Table4[[#This Row],[Jan_2026_F]]-Table4[[#This Row],[Jan_2026_A]]</f>
        <v/>
      </c>
      <c r="BT61" s="107" t="n"/>
      <c r="BU61" s="347">
        <f>IFERROR(Table4[[#This Row],[Feb_2026_Days_Forecast]]*Table4[[#This Row],[Cost Boolean]]*(VLOOKUP(Table4[[#This Row],[RATE CONCAT]],Tables!I:N,5,0)),0)</f>
        <v/>
      </c>
      <c r="BV61" s="347">
        <f>IFERROR(Table4[[#This Row],[Feb_2026_Days_Actual]]*Table4[[#This Row],[Cost Boolean]]*(VLOOKUP(Table4[[#This Row],[RATE CONCAT]],Tables!I:N,5,0)),0)</f>
        <v/>
      </c>
      <c r="BW61" s="347">
        <f>Table4[[#This Row],[Feb_2026_F]]-Table4[[#This Row],[Feb_2026_A]]</f>
        <v/>
      </c>
      <c r="BX61" s="103" t="n"/>
      <c r="BY61" s="347">
        <f>IFERROR(Table4[[#This Row],[Mar_2026_Days_Forecast]]*Table4[[#This Row],[Cost Boolean]]*(VLOOKUP(Table4[[#This Row],[RATE CONCAT]],Tables!I:N,5,0)),0)</f>
        <v/>
      </c>
      <c r="BZ61" s="347">
        <f>IFERROR(Table4[[#This Row],[Mar_2026_Days_Actual]]*Table4[[#This Row],[Cost Boolean]]*(VLOOKUP(Table4[[#This Row],[RATE CONCAT]],Tables!I:N,5,0)),0)</f>
        <v/>
      </c>
      <c r="CA61" s="347">
        <f>Table4[[#This Row],[Mar_2026_F]]-Table4[[#This Row],[Mar_2026_A]]</f>
        <v/>
      </c>
      <c r="CB61" s="103" t="n"/>
      <c r="CC61" s="347">
        <f>IFERROR(Table4[[#This Row],[Apr_2026_Days_Forecast]]*Table4[[#This Row],[Cost Boolean]]*(VLOOKUP(Table4[[#This Row],[RATE CONCAT]],Tables!I:N,5,0)),0)</f>
        <v/>
      </c>
      <c r="CD61" s="347">
        <f>IFERROR(Table4[[#This Row],[Apr_2026_Days_Actual]]*Table4[[#This Row],[Cost Boolean]]*(VLOOKUP(Table4[[#This Row],[RATE CONCAT]],Tables!I:N,5,0)),0)</f>
        <v/>
      </c>
      <c r="CE61" s="347">
        <f>Table4[[#This Row],[Apr_2026_F]]-Table4[[#This Row],[Apr_2026_A]]</f>
        <v/>
      </c>
      <c r="CF61" s="103" t="n"/>
      <c r="CG61" s="347">
        <f>IFERROR(Table4[[#This Row],[May_2026_Days_Forecast]] *Table4[[#This Row],[Cost Boolean]]*(VLOOKUP(Table4[[#This Row],[RATE CONCAT]],Tables!I:N,5,0)),0)</f>
        <v/>
      </c>
      <c r="CH61" s="347">
        <f>IFERROR(Table4[[#This Row],[May_2026_Days_Actual]]*Table4[[#This Row],[Cost Boolean]]*(VLOOKUP(Table4[[#This Row],[RATE CONCAT]],Tables!I:N,5,0)),0)</f>
        <v/>
      </c>
      <c r="CI61" s="347">
        <f>Table4[[#This Row],[May_2026_F]]-Table4[[#This Row],[May_2026_A]]</f>
        <v/>
      </c>
      <c r="CJ61" s="103" t="n"/>
      <c r="CK61" s="347">
        <f>IFERROR(Table4[[#This Row],[Jun_2026_Days_Forecast]]*Table4[[#This Row],[Cost Boolean]]*(VLOOKUP(Table4[[#This Row],[RATE CONCAT]],Tables!I:N,5,0)),0)</f>
        <v/>
      </c>
      <c r="CL61" s="347">
        <f>IFERROR(Table4[[#This Row],[Jun_2026_Days_Actual]]*Table4[[#This Row],[Cost Boolean]]*(VLOOKUP(Table4[[#This Row],[RATE CONCAT]],Tables!I:N,5,0)),0)</f>
        <v/>
      </c>
      <c r="CM61" s="347">
        <f>Table4[[#This Row],[Jun_2026_F]]-Table4[[#This Row],[Jun_2026_A]]</f>
        <v/>
      </c>
      <c r="CN61" s="103" t="n"/>
      <c r="CO61" s="347">
        <f>IFERROR(Table4[[#This Row],[Jul_2026_Days_Forecast]]*Table4[[#This Row],[Cost Boolean]]*(VLOOKUP(Table4[[#This Row],[RATE CONCAT]],Tables!I:N,5,0)),0)</f>
        <v/>
      </c>
      <c r="CP61" s="347">
        <f>IFERROR(Table4[[#This Row],[Aug_2026_Days_Forecast]]*Table4[[#This Row],[Location]]*(VLOOKUP(Table4[[#This Row],[Rate]],Tables!J:O,5,0)),0)</f>
        <v/>
      </c>
      <c r="CQ61" s="347">
        <f>Table4[[#This Row],[Jul_2026_F]]-Table4[[#This Row],[Jul_2026_A]]</f>
        <v/>
      </c>
      <c r="CR61" s="103" t="n"/>
      <c r="CS61" s="347">
        <f>IFERROR(Table4[[#This Row],[Aug_2026_Days_Forecast]]*Table4[[#This Row],[Cost Boolean]]*(VLOOKUP(Table4[[#This Row],[RATE CONCAT]],Tables!I:N,5,0)),0)</f>
        <v/>
      </c>
      <c r="CT61" s="347">
        <f>IFERROR(Table4[[#This Row],[Aug_2026_Days_Actual]]*Table4[[#This Row],[Cost Boolean]]*(VLOOKUP(Table4[[#This Row],[RATE CONCAT]],Tables!I:N,5,0)),0)</f>
        <v/>
      </c>
      <c r="CU61" s="347">
        <f>Table4[[#This Row],[Aug_2026_F]]-Table4[[#This Row],[Aug_2026_A]]</f>
        <v/>
      </c>
      <c r="CV61" s="103" t="n"/>
      <c r="CW61" s="347">
        <f>IFERROR(Table4[[#This Row],[Sep_2026_Days_Forecast]]*Table4[[#This Row],[Cost Boolean]]*(VLOOKUP(Table4[[#This Row],[RATE CONCAT]],Tables!I:N,5,0)),0)</f>
        <v/>
      </c>
      <c r="CX61" s="347">
        <f>IFERROR(Table4[[#This Row],[Sep_2026_Days_Actual]]*Table4[[#This Row],[Cost Boolean]]*(VLOOKUP(Table4[[#This Row],[RATE CONCAT]],Tables!I:N,5,0)),0)</f>
        <v/>
      </c>
      <c r="CY61" s="347">
        <f>Table4[[#This Row],[Sep_2026_F]]-Table4[[#This Row],[Sep_2026_A]]</f>
        <v/>
      </c>
      <c r="CZ61" s="103" t="n"/>
      <c r="DA61" s="347">
        <f>IFERROR(Table4[[#This Row],[Oct_2026_Days_Forecast]]*Table4[[#This Row],[Cost Boolean]]*(VLOOKUP(Table4[[#This Row],[RATE CONCAT]],Tables!I:N,5,0)),0)</f>
        <v/>
      </c>
      <c r="DB61" s="347">
        <f>IFERROR(Table4[[#This Row],[Oct_2026_Days_Actual]]*Table4[[#This Row],[Cost Boolean]]*(VLOOKUP(Table4[[#This Row],[RATE CONCAT]],Tables!I:N,5,0)),0)</f>
        <v/>
      </c>
      <c r="DC61" s="347">
        <f>Table4[[#This Row],[Oct_2026_F]]-Table4[[#This Row],[Oct_2026_A]]</f>
        <v/>
      </c>
      <c r="DD61" s="103" t="n"/>
      <c r="DE61" s="347">
        <f>IFERROR(Table4[[#This Row],[Nov_2026_Days_Forecast]]*Table4[[#This Row],[Cost Boolean]]*(VLOOKUP(Table4[[#This Row],[RATE CONCAT]],Tables!I:N,5,0)),0)</f>
        <v/>
      </c>
      <c r="DF61" s="347">
        <f>IFERROR(Table4[[#This Row],[Nov_2026_Days_Actual]]*Table4[[#This Row],[Cost Boolean]]*(VLOOKUP(Table4[[#This Row],[RATE CONCAT]],Tables!I:N,5,0)),0)</f>
        <v/>
      </c>
      <c r="DG61" s="347">
        <f>Table4[[#This Row],[Nov_2026_F]]-Table4[[#This Row],[Nov_2026_A]]</f>
        <v/>
      </c>
      <c r="DH61" s="103" t="n"/>
      <c r="DI61" s="347">
        <f>IFERROR(Table4[[#This Row],[Dec_2026_Days_Forecast]]*Table4[[#This Row],[Cost Boolean]]*(VLOOKUP(Table4[[#This Row],[RATE CONCAT]],Tables!I:N,5,0)),0)</f>
        <v/>
      </c>
      <c r="DJ61" s="347">
        <f>IFERROR(Table4[[#This Row],[Dec_2026_Days_Actual]]*Table4[[#This Row],[Cost Boolean]]*(VLOOKUP(Table4[[#This Row],[RATE CONCAT]],Tables!I:N,5,0)),0)</f>
        <v/>
      </c>
      <c r="DK61" s="347">
        <f>Table4[[#This Row],[Dec_2026_F]]-Table4[[#This Row],[Dec_2026_A]]</f>
        <v/>
      </c>
      <c r="DL61" s="103" t="n"/>
      <c r="DM61" s="346" t="n"/>
      <c r="DN61" s="347">
        <f>IFERROR(Table4[[#This Row],[Jan_2027_Days_Forecast]]*Table4[[#This Row],[Cost Boolean]]*(VLOOKUP(Table4[[#This Row],[RATE CONCAT]],Tables!I:N,6,0)),0)</f>
        <v/>
      </c>
      <c r="DO61" s="275" t="n"/>
      <c r="DP61" s="347">
        <f>Table4[[#This Row],[Jan_2027_F]]-Table4[[#This Row],[Jan_2027_A]]</f>
        <v/>
      </c>
      <c r="DQ61" s="347">
        <f>IFERROR(Table4[[#This Row],[Feb_2027_Days_Forecast]]*Table4[[#This Row],[Cost Boolean]]*(VLOOKUP(Table4[[#This Row],[RATE CONCAT]],Tables!I:N,6,0)),0)</f>
        <v/>
      </c>
      <c r="DR61" s="275" t="n"/>
      <c r="DS61" s="347">
        <f>Table4[[#This Row],[Feb_2027_F]]-Table4[[#This Row],[Feb_2027_A]]</f>
        <v/>
      </c>
      <c r="DT61" s="347">
        <f>IFERROR(Table4[[#This Row],[Mar_2027_Days_Forecast]]*Table4[[#This Row],[Cost Boolean]]*(VLOOKUP(Table4[[#This Row],[RATE CONCAT]],Tables!I:N,6,0)),0)</f>
        <v/>
      </c>
      <c r="DU61" s="275" t="n"/>
      <c r="DV61" s="347">
        <f>Table4[[#This Row],[Mar_2027_F]]-Table4[[#This Row],[Mar_2027_A]]</f>
        <v/>
      </c>
      <c r="DW61" s="347">
        <f>IFERROR(Table4[[#This Row],[Apr_2027_Days_Forecast]]*Table4[[#This Row],[Cost Boolean]]*(VLOOKUP(Table4[[#This Row],[RATE CONCAT]],Tables!I:N,6,0)),0)</f>
        <v/>
      </c>
      <c r="DX61" s="275" t="n"/>
      <c r="DY61" s="347">
        <f>Table4[[#This Row],[Apr_2027_F]]-Table4[[#This Row],[Apr_2027_A]]</f>
        <v/>
      </c>
      <c r="DZ61" s="347">
        <f>IFERROR(Table4[[#This Row],[May_2027_Days_Forecast]]*Table4[[#This Row],[Cost Boolean]]*(VLOOKUP(Table4[[#This Row],[RATE CONCAT]],Tables!I:N,6,0)),0)</f>
        <v/>
      </c>
      <c r="EA61" s="275" t="n"/>
      <c r="EB61" s="347">
        <f>Table4[[#This Row],[May_2027_F]]-Table4[[#This Row],[May_2027_A]]</f>
        <v/>
      </c>
      <c r="EC61" s="347">
        <f>IFERROR(Table4[[#This Row],[Jun_2027_Days_Forecast]]*Table4[[#This Row],[Cost Boolean]]*(VLOOKUP(Table4[[#This Row],[RATE CONCAT]],Tables!I:N,6,0)),0)</f>
        <v/>
      </c>
      <c r="ED61" s="275" t="n"/>
      <c r="EE61" s="347">
        <f>Table4[[#This Row],[Jun_2027_F]]-Table4[[#This Row],[Jun_2027_A]]</f>
        <v/>
      </c>
      <c r="EF61" s="347">
        <f>IFERROR(Table4[[#This Row],[Jul_2027_Days_Forecast]]*Table4[[#This Row],[Cost Boolean]]*(VLOOKUP(Table4[[#This Row],[RATE CONCAT]],Tables!I:N,6,0)),0)</f>
        <v/>
      </c>
      <c r="EG61" s="275" t="n"/>
      <c r="EH61" s="347">
        <f>Table4[[#This Row],[Jul_2027_F]]-Table4[[#This Row],[Jul_2027_A]]</f>
        <v/>
      </c>
      <c r="EI61" s="347">
        <f>IFERROR(Table4[[#This Row],[Aug_2027_Days_Forecast]]*Table4[[#This Row],[Cost Boolean]]*(VLOOKUP(Table4[[#This Row],[RATE CONCAT]],Tables!I:N,6,0)),0)</f>
        <v/>
      </c>
      <c r="EJ61" s="275" t="n"/>
      <c r="EK61" s="347">
        <f>Table4[[#This Row],[Aug_2027_F]]-Table4[[#This Row],[Aug_2027_A]]</f>
        <v/>
      </c>
      <c r="EL61" s="347">
        <f>IFERROR(Table4[[#This Row],[Sep_2027_Days_Forecast]]*Table4[[#This Row],[Cost Boolean]]*(VLOOKUP(Table4[[#This Row],[RATE CONCAT]],Tables!I:N,6,0)),0)</f>
        <v/>
      </c>
      <c r="EM61" s="275" t="n"/>
      <c r="EN61" s="347">
        <f>Table4[[#This Row],[Sep_2027_F]]-Table4[[#This Row],[Sep_2027_A]]</f>
        <v/>
      </c>
      <c r="EO61" s="347">
        <f>IFERROR(Table4[[#This Row],[Oct_2027_Days_Forecast]]*Table4[[#This Row],[Cost Boolean]]*(VLOOKUP(Table4[[#This Row],[RATE CONCAT]],Tables!I:N,6,0)),0)</f>
        <v/>
      </c>
      <c r="EP61" s="275" t="n"/>
      <c r="EQ61" s="347">
        <f>Table4[[#This Row],[Oct_2027_F]]-Table4[[#This Row],[Oct_2027_A]]</f>
        <v/>
      </c>
      <c r="ER61" s="347">
        <f>IFERROR(Table4[[#This Row],[Nov_2027_Days_Forecast]]*Table4[[#This Row],[Cost Boolean]]*(VLOOKUP(Table4[[#This Row],[RATE CONCAT]],Tables!I:N,6,0)),0)</f>
        <v/>
      </c>
      <c r="ES61" s="275" t="n"/>
      <c r="ET61" s="347">
        <f>Table4[[#This Row],[Nov_2027_F]]-Table4[[#This Row],[Nov_2027_A]]</f>
        <v/>
      </c>
      <c r="EU61" s="347">
        <f>IFERROR(Table4[[#This Row],[Dec_2027_Days_Forecast]]*Table4[[#This Row],[Cost Boolean]]*(VLOOKUP(Table4[[#This Row],[RATE CONCAT]],Tables!I:N,6,0)),0)</f>
        <v/>
      </c>
      <c r="EV61" s="275" t="n"/>
      <c r="EW61" s="347">
        <f>Table4[[#This Row],[Dec_2027_F]]-Table4[[#This Row],[Dec_2027_A]]</f>
        <v/>
      </c>
    </row>
    <row r="62" ht="1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350">
        <f>CONCATENATE(Table4[[#This Row],[JG]],Table4[[#This Row],[Country]],Table4[[#This Row],[Resource Provider]])</f>
        <v/>
      </c>
      <c r="Z62" s="350">
        <f>VLOOKUP(Table4[[#This Row],[RATE CONCAT]],Tables!I:N,5,0)</f>
        <v/>
      </c>
      <c r="AA62" s="53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353">
        <f>IFERROR(AVERAGE(Table4[[#This Row],[Jan_2026_Days_Forecast]:[Dec_2026_Days_Forecast]]),0)/19</f>
        <v/>
      </c>
      <c r="AO62" s="353">
        <f>IFERROR(AVERAGE(Table4[[#This Row],[Jan_2026_Days_Actual]:[Dec_2026_Days_Actual]]),0)/19</f>
        <v/>
      </c>
      <c r="AP62" s="84" t="n"/>
      <c r="AQ62" s="84" t="n"/>
      <c r="AR62" s="84" t="n"/>
      <c r="AS62" s="84" t="n"/>
      <c r="AT62" s="84" t="n"/>
      <c r="AU62" s="84" t="n"/>
      <c r="AV62" s="84" t="n"/>
      <c r="AW62" s="84" t="n"/>
      <c r="AX62" s="84" t="n"/>
      <c r="AY62" s="84" t="n"/>
      <c r="AZ62" s="84" t="n"/>
      <c r="BA62" s="84" t="n"/>
      <c r="BB62" s="353">
        <f>IFERROR(AVERAGE(Table4[[#This Row],[Jan_2027_Days_Forecast]:[Dec_2027_Days_Forecast]]),0)</f>
        <v/>
      </c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55" t="n"/>
      <c r="BP62" s="346" t="n"/>
      <c r="BQ62" s="345" t="n">
        <v>0</v>
      </c>
      <c r="BR62" s="345">
        <f>IFERROR(Table4[[#This Row],[Jan_2026_Days_Actual]]*Table4[[#This Row],[Cost Boolean]]*(VLOOKUP(Table4[[#This Row],[RATE CONCAT]],Tables!I:N,5,0)),0)</f>
        <v/>
      </c>
      <c r="BS62" s="345">
        <f>Table4[[#This Row],[Jan_2026_F]]-Table4[[#This Row],[Jan_2026_A]]</f>
        <v/>
      </c>
      <c r="BT62" s="107" t="n"/>
      <c r="BU62" s="345">
        <f>IFERROR(Table4[[#This Row],[Feb_2026_Days_Forecast]]*Table4[[#This Row],[Cost Boolean]]*(VLOOKUP(Table4[[#This Row],[RATE CONCAT]],Tables!I:N,5,0)),0)</f>
        <v/>
      </c>
      <c r="BV62" s="345">
        <f>IFERROR(Table4[[#This Row],[Feb_2026_Days_Actual]]*Table4[[#This Row],[Cost Boolean]]*(VLOOKUP(Table4[[#This Row],[RATE CONCAT]],Tables!I:N,5,0)),0)</f>
        <v/>
      </c>
      <c r="BW62" s="345">
        <f>Table4[[#This Row],[Feb_2026_F]]-Table4[[#This Row],[Feb_2026_A]]</f>
        <v/>
      </c>
      <c r="BX62" s="103" t="n"/>
      <c r="BY62" s="345">
        <f>IFERROR(Table4[[#This Row],[Mar_2026_Days_Forecast]]*Table4[[#This Row],[Cost Boolean]]*(VLOOKUP(Table4[[#This Row],[RATE CONCAT]],Tables!I:N,5,0)),0)</f>
        <v/>
      </c>
      <c r="BZ62" s="345">
        <f>IFERROR(Table4[[#This Row],[Mar_2026_Days_Actual]]*Table4[[#This Row],[Cost Boolean]]*(VLOOKUP(Table4[[#This Row],[RATE CONCAT]],Tables!I:N,5,0)),0)</f>
        <v/>
      </c>
      <c r="CA62" s="345">
        <f>Table4[[#This Row],[Mar_2026_F]]-Table4[[#This Row],[Mar_2026_A]]</f>
        <v/>
      </c>
      <c r="CB62" s="103" t="n"/>
      <c r="CC62" s="345">
        <f>IFERROR(Table4[[#This Row],[Apr_2026_Days_Forecast]]*Table4[[#This Row],[Cost Boolean]]*(VLOOKUP(Table4[[#This Row],[RATE CONCAT]],Tables!I:N,5,0)),0)</f>
        <v/>
      </c>
      <c r="CD62" s="345">
        <f>IFERROR(Table4[[#This Row],[Apr_2026_Days_Actual]]*Table4[[#This Row],[Cost Boolean]]*(VLOOKUP(Table4[[#This Row],[RATE CONCAT]],Tables!I:N,5,0)),0)</f>
        <v/>
      </c>
      <c r="CE62" s="345">
        <f>Table4[[#This Row],[Apr_2026_F]]-Table4[[#This Row],[Apr_2026_A]]</f>
        <v/>
      </c>
      <c r="CF62" s="103" t="n"/>
      <c r="CG62" s="345">
        <f>IFERROR(Table4[[#This Row],[May_2026_Days_Forecast]] *Table4[[#This Row],[Cost Boolean]]*(VLOOKUP(Table4[[#This Row],[RATE CONCAT]],Tables!I:N,5,0)),0)</f>
        <v/>
      </c>
      <c r="CH62" s="345">
        <f>IFERROR(Table4[[#This Row],[May_2026_Days_Actual]]*Table4[[#This Row],[Cost Boolean]]*(VLOOKUP(Table4[[#This Row],[RATE CONCAT]],Tables!I:N,5,0)),0)</f>
        <v/>
      </c>
      <c r="CI62" s="345">
        <f>Table4[[#This Row],[May_2026_F]]-Table4[[#This Row],[May_2026_A]]</f>
        <v/>
      </c>
      <c r="CJ62" s="103" t="n"/>
      <c r="CK62" s="345">
        <f>IFERROR(Table4[[#This Row],[Jun_2026_Days_Forecast]]*Table4[[#This Row],[Cost Boolean]]*(VLOOKUP(Table4[[#This Row],[RATE CONCAT]],Tables!I:N,5,0)),0)</f>
        <v/>
      </c>
      <c r="CL62" s="345">
        <f>IFERROR(Table4[[#This Row],[Jun_2026_Days_Actual]]*Table4[[#This Row],[Cost Boolean]]*(VLOOKUP(Table4[[#This Row],[RATE CONCAT]],Tables!I:N,5,0)),0)</f>
        <v/>
      </c>
      <c r="CM62" s="345">
        <f>Table4[[#This Row],[Jun_2026_F]]-Table4[[#This Row],[Jun_2026_A]]</f>
        <v/>
      </c>
      <c r="CN62" s="103" t="n"/>
      <c r="CO62" s="345">
        <f>IFERROR(Table4[[#This Row],[Jul_2026_Days_Forecast]]*Table4[[#This Row],[Cost Boolean]]*(VLOOKUP(Table4[[#This Row],[RATE CONCAT]],Tables!I:N,5,0)),0)</f>
        <v/>
      </c>
      <c r="CP62" s="345">
        <f>IFERROR(Table4[[#This Row],[Aug_2026_Days_Forecast]]*Table4[[#This Row],[Location]]*(VLOOKUP(Table4[[#This Row],[Rate]],Tables!J:O,5,0)),0)</f>
        <v/>
      </c>
      <c r="CQ62" s="345">
        <f>Table4[[#This Row],[Jul_2026_F]]-Table4[[#This Row],[Jul_2026_A]]</f>
        <v/>
      </c>
      <c r="CR62" s="103" t="n"/>
      <c r="CS62" s="345">
        <f>IFERROR(Table4[[#This Row],[Aug_2026_Days_Forecast]]*Table4[[#This Row],[Cost Boolean]]*(VLOOKUP(Table4[[#This Row],[RATE CONCAT]],Tables!I:N,5,0)),0)</f>
        <v/>
      </c>
      <c r="CT62" s="345">
        <f>IFERROR(Table4[[#This Row],[Aug_2026_Days_Actual]]*Table4[[#This Row],[Cost Boolean]]*(VLOOKUP(Table4[[#This Row],[RATE CONCAT]],Tables!I:N,5,0)),0)</f>
        <v/>
      </c>
      <c r="CU62" s="345">
        <f>Table4[[#This Row],[Aug_2026_F]]-Table4[[#This Row],[Aug_2026_A]]</f>
        <v/>
      </c>
      <c r="CV62" s="103" t="n"/>
      <c r="CW62" s="345">
        <f>IFERROR(Table4[[#This Row],[Sep_2026_Days_Forecast]]*Table4[[#This Row],[Cost Boolean]]*(VLOOKUP(Table4[[#This Row],[RATE CONCAT]],Tables!I:N,5,0)),0)</f>
        <v/>
      </c>
      <c r="CX62" s="345">
        <f>IFERROR(Table4[[#This Row],[Sep_2026_Days_Actual]]*Table4[[#This Row],[Cost Boolean]]*(VLOOKUP(Table4[[#This Row],[RATE CONCAT]],Tables!I:N,5,0)),0)</f>
        <v/>
      </c>
      <c r="CY62" s="345">
        <f>Table4[[#This Row],[Sep_2026_F]]-Table4[[#This Row],[Sep_2026_A]]</f>
        <v/>
      </c>
      <c r="CZ62" s="103" t="n"/>
      <c r="DA62" s="345">
        <f>IFERROR(Table4[[#This Row],[Oct_2026_Days_Forecast]]*Table4[[#This Row],[Cost Boolean]]*(VLOOKUP(Table4[[#This Row],[RATE CONCAT]],Tables!I:N,5,0)),0)</f>
        <v/>
      </c>
      <c r="DB62" s="345">
        <f>IFERROR(Table4[[#This Row],[Oct_2026_Days_Actual]]*Table4[[#This Row],[Cost Boolean]]*(VLOOKUP(Table4[[#This Row],[RATE CONCAT]],Tables!I:N,5,0)),0)</f>
        <v/>
      </c>
      <c r="DC62" s="345">
        <f>Table4[[#This Row],[Oct_2026_F]]-Table4[[#This Row],[Oct_2026_A]]</f>
        <v/>
      </c>
      <c r="DD62" s="103" t="n"/>
      <c r="DE62" s="345">
        <f>IFERROR(Table4[[#This Row],[Nov_2026_Days_Forecast]]*Table4[[#This Row],[Cost Boolean]]*(VLOOKUP(Table4[[#This Row],[RATE CONCAT]],Tables!I:N,5,0)),0)</f>
        <v/>
      </c>
      <c r="DF62" s="345">
        <f>IFERROR(Table4[[#This Row],[Nov_2026_Days_Actual]]*Table4[[#This Row],[Cost Boolean]]*(VLOOKUP(Table4[[#This Row],[RATE CONCAT]],Tables!I:N,5,0)),0)</f>
        <v/>
      </c>
      <c r="DG62" s="345">
        <f>Table4[[#This Row],[Nov_2026_F]]-Table4[[#This Row],[Nov_2026_A]]</f>
        <v/>
      </c>
      <c r="DH62" s="103" t="n"/>
      <c r="DI62" s="345">
        <f>IFERROR(Table4[[#This Row],[Dec_2026_Days_Forecast]]*Table4[[#This Row],[Cost Boolean]]*(VLOOKUP(Table4[[#This Row],[RATE CONCAT]],Tables!I:N,5,0)),0)</f>
        <v/>
      </c>
      <c r="DJ62" s="345">
        <f>IFERROR(Table4[[#This Row],[Dec_2026_Days_Actual]]*Table4[[#This Row],[Cost Boolean]]*(VLOOKUP(Table4[[#This Row],[RATE CONCAT]],Tables!I:N,5,0)),0)</f>
        <v/>
      </c>
      <c r="DK62" s="345">
        <f>Table4[[#This Row],[Dec_2026_F]]-Table4[[#This Row],[Dec_2026_A]]</f>
        <v/>
      </c>
      <c r="DL62" s="103" t="n"/>
      <c r="DM62" s="346" t="n"/>
      <c r="DN62" s="345">
        <f>IFERROR(Table4[[#This Row],[Jan_2027_Days_Forecast]]*Table4[[#This Row],[Cost Boolean]]*(VLOOKUP(Table4[[#This Row],[RATE CONCAT]],Tables!I:N,6,0)),0)</f>
        <v/>
      </c>
      <c r="DO62" s="275" t="n"/>
      <c r="DP62" s="345">
        <f>Table4[[#This Row],[Jan_2027_F]]-Table4[[#This Row],[Jan_2027_A]]</f>
        <v/>
      </c>
      <c r="DQ62" s="345">
        <f>IFERROR(Table4[[#This Row],[Feb_2027_Days_Forecast]]*Table4[[#This Row],[Cost Boolean]]*(VLOOKUP(Table4[[#This Row],[RATE CONCAT]],Tables!I:N,6,0)),0)</f>
        <v/>
      </c>
      <c r="DR62" s="275" t="n"/>
      <c r="DS62" s="345">
        <f>Table4[[#This Row],[Feb_2027_F]]-Table4[[#This Row],[Feb_2027_A]]</f>
        <v/>
      </c>
      <c r="DT62" s="345">
        <f>IFERROR(Table4[[#This Row],[Mar_2027_Days_Forecast]]*Table4[[#This Row],[Cost Boolean]]*(VLOOKUP(Table4[[#This Row],[RATE CONCAT]],Tables!I:N,6,0)),0)</f>
        <v/>
      </c>
      <c r="DU62" s="275" t="n"/>
      <c r="DV62" s="345">
        <f>Table4[[#This Row],[Mar_2027_F]]-Table4[[#This Row],[Mar_2027_A]]</f>
        <v/>
      </c>
      <c r="DW62" s="345">
        <f>IFERROR(Table4[[#This Row],[Apr_2027_Days_Forecast]]*Table4[[#This Row],[Cost Boolean]]*(VLOOKUP(Table4[[#This Row],[RATE CONCAT]],Tables!I:N,6,0)),0)</f>
        <v/>
      </c>
      <c r="DX62" s="275" t="n"/>
      <c r="DY62" s="345">
        <f>Table4[[#This Row],[Apr_2027_F]]-Table4[[#This Row],[Apr_2027_A]]</f>
        <v/>
      </c>
      <c r="DZ62" s="345">
        <f>IFERROR(Table4[[#This Row],[May_2027_Days_Forecast]]*Table4[[#This Row],[Cost Boolean]]*(VLOOKUP(Table4[[#This Row],[RATE CONCAT]],Tables!I:N,6,0)),0)</f>
        <v/>
      </c>
      <c r="EA62" s="275" t="n"/>
      <c r="EB62" s="345">
        <f>Table4[[#This Row],[May_2027_F]]-Table4[[#This Row],[May_2027_A]]</f>
        <v/>
      </c>
      <c r="EC62" s="345">
        <f>IFERROR(Table4[[#This Row],[Jun_2027_Days_Forecast]]*Table4[[#This Row],[Cost Boolean]]*(VLOOKUP(Table4[[#This Row],[RATE CONCAT]],Tables!I:N,6,0)),0)</f>
        <v/>
      </c>
      <c r="ED62" s="275" t="n"/>
      <c r="EE62" s="345">
        <f>Table4[[#This Row],[Jun_2027_F]]-Table4[[#This Row],[Jun_2027_A]]</f>
        <v/>
      </c>
      <c r="EF62" s="345">
        <f>IFERROR(Table4[[#This Row],[Jul_2027_Days_Forecast]]*Table4[[#This Row],[Cost Boolean]]*(VLOOKUP(Table4[[#This Row],[RATE CONCAT]],Tables!I:N,6,0)),0)</f>
        <v/>
      </c>
      <c r="EG62" s="275" t="n"/>
      <c r="EH62" s="345">
        <f>Table4[[#This Row],[Jul_2027_F]]-Table4[[#This Row],[Jul_2027_A]]</f>
        <v/>
      </c>
      <c r="EI62" s="345">
        <f>IFERROR(Table4[[#This Row],[Aug_2027_Days_Forecast]]*Table4[[#This Row],[Cost Boolean]]*(VLOOKUP(Table4[[#This Row],[RATE CONCAT]],Tables!I:N,6,0)),0)</f>
        <v/>
      </c>
      <c r="EJ62" s="275" t="n"/>
      <c r="EK62" s="345">
        <f>Table4[[#This Row],[Aug_2027_F]]-Table4[[#This Row],[Aug_2027_A]]</f>
        <v/>
      </c>
      <c r="EL62" s="345">
        <f>IFERROR(Table4[[#This Row],[Sep_2027_Days_Forecast]]*Table4[[#This Row],[Cost Boolean]]*(VLOOKUP(Table4[[#This Row],[RATE CONCAT]],Tables!I:N,6,0)),0)</f>
        <v/>
      </c>
      <c r="EM62" s="275" t="n"/>
      <c r="EN62" s="345">
        <f>Table4[[#This Row],[Sep_2027_F]]-Table4[[#This Row],[Sep_2027_A]]</f>
        <v/>
      </c>
      <c r="EO62" s="345">
        <f>IFERROR(Table4[[#This Row],[Oct_2027_Days_Forecast]]*Table4[[#This Row],[Cost Boolean]]*(VLOOKUP(Table4[[#This Row],[RATE CONCAT]],Tables!I:N,6,0)),0)</f>
        <v/>
      </c>
      <c r="EP62" s="275" t="n"/>
      <c r="EQ62" s="345">
        <f>Table4[[#This Row],[Oct_2027_F]]-Table4[[#This Row],[Oct_2027_A]]</f>
        <v/>
      </c>
      <c r="ER62" s="345">
        <f>IFERROR(Table4[[#This Row],[Nov_2027_Days_Forecast]]*Table4[[#This Row],[Cost Boolean]]*(VLOOKUP(Table4[[#This Row],[RATE CONCAT]],Tables!I:N,6,0)),0)</f>
        <v/>
      </c>
      <c r="ES62" s="275" t="n"/>
      <c r="ET62" s="345">
        <f>Table4[[#This Row],[Nov_2027_F]]-Table4[[#This Row],[Nov_2027_A]]</f>
        <v/>
      </c>
      <c r="EU62" s="345">
        <f>IFERROR(Table4[[#This Row],[Dec_2027_Days_Forecast]]*Table4[[#This Row],[Cost Boolean]]*(VLOOKUP(Table4[[#This Row],[RATE CONCAT]],Tables!I:N,6,0)),0)</f>
        <v/>
      </c>
      <c r="EV62" s="275" t="n"/>
      <c r="EW62" s="345">
        <f>Table4[[#This Row],[Dec_2027_F]]-Table4[[#This Row],[Dec_2027_A]]</f>
        <v/>
      </c>
    </row>
    <row r="63" ht="1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350">
        <f>CONCATENATE(Table4[[#This Row],[JG]],Table4[[#This Row],[Country]],Table4[[#This Row],[Resource Provider]])</f>
        <v/>
      </c>
      <c r="Z63" s="350">
        <f>VLOOKUP(Table4[[#This Row],[RATE CONCAT]],Tables!I:N,5,0)</f>
        <v/>
      </c>
      <c r="AA63" s="53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353">
        <f>IFERROR(AVERAGE(Table4[[#This Row],[Jan_2026_Days_Forecast]:[Dec_2026_Days_Forecast]]),0)/19</f>
        <v/>
      </c>
      <c r="AO63" s="353">
        <f>IFERROR(AVERAGE(Table4[[#This Row],[Jan_2026_Days_Actual]:[Dec_2026_Days_Actual]]),0)/19</f>
        <v/>
      </c>
      <c r="AP63" s="84" t="n"/>
      <c r="AQ63" s="84" t="n"/>
      <c r="AR63" s="84" t="n"/>
      <c r="AS63" s="84" t="n"/>
      <c r="AT63" s="84" t="n"/>
      <c r="AU63" s="84" t="n"/>
      <c r="AV63" s="84" t="n"/>
      <c r="AW63" s="84" t="n"/>
      <c r="AX63" s="84" t="n"/>
      <c r="AY63" s="84" t="n"/>
      <c r="AZ63" s="84" t="n"/>
      <c r="BA63" s="84" t="n"/>
      <c r="BB63" s="353">
        <f>IFERROR(AVERAGE(Table4[[#This Row],[Jan_2027_Days_Forecast]:[Dec_2027_Days_Forecast]]),0)</f>
        <v/>
      </c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55" t="n"/>
      <c r="BP63" s="346" t="n"/>
      <c r="BQ63" s="347" t="n">
        <v>0</v>
      </c>
      <c r="BR63" s="347">
        <f>IFERROR(Table4[[#This Row],[Jan_2026_Days_Actual]]*Table4[[#This Row],[Cost Boolean]]*(VLOOKUP(Table4[[#This Row],[RATE CONCAT]],Tables!I:N,5,0)),0)</f>
        <v/>
      </c>
      <c r="BS63" s="347">
        <f>Table4[[#This Row],[Jan_2026_F]]-Table4[[#This Row],[Jan_2026_A]]</f>
        <v/>
      </c>
      <c r="BT63" s="107" t="n"/>
      <c r="BU63" s="347">
        <f>IFERROR(Table4[[#This Row],[Feb_2026_Days_Forecast]]*Table4[[#This Row],[Cost Boolean]]*(VLOOKUP(Table4[[#This Row],[RATE CONCAT]],Tables!I:N,5,0)),0)</f>
        <v/>
      </c>
      <c r="BV63" s="347">
        <f>IFERROR(Table4[[#This Row],[Feb_2026_Days_Actual]]*Table4[[#This Row],[Cost Boolean]]*(VLOOKUP(Table4[[#This Row],[RATE CONCAT]],Tables!I:N,5,0)),0)</f>
        <v/>
      </c>
      <c r="BW63" s="347">
        <f>Table4[[#This Row],[Feb_2026_F]]-Table4[[#This Row],[Feb_2026_A]]</f>
        <v/>
      </c>
      <c r="BX63" s="103" t="n"/>
      <c r="BY63" s="347">
        <f>IFERROR(Table4[[#This Row],[Mar_2026_Days_Forecast]]*Table4[[#This Row],[Cost Boolean]]*(VLOOKUP(Table4[[#This Row],[RATE CONCAT]],Tables!I:N,5,0)),0)</f>
        <v/>
      </c>
      <c r="BZ63" s="347">
        <f>IFERROR(Table4[[#This Row],[Mar_2026_Days_Actual]]*Table4[[#This Row],[Cost Boolean]]*(VLOOKUP(Table4[[#This Row],[RATE CONCAT]],Tables!I:N,5,0)),0)</f>
        <v/>
      </c>
      <c r="CA63" s="347">
        <f>Table4[[#This Row],[Mar_2026_F]]-Table4[[#This Row],[Mar_2026_A]]</f>
        <v/>
      </c>
      <c r="CB63" s="103" t="n"/>
      <c r="CC63" s="347">
        <f>IFERROR(Table4[[#This Row],[Apr_2026_Days_Forecast]]*Table4[[#This Row],[Cost Boolean]]*(VLOOKUP(Table4[[#This Row],[RATE CONCAT]],Tables!I:N,5,0)),0)</f>
        <v/>
      </c>
      <c r="CD63" s="347">
        <f>IFERROR(Table4[[#This Row],[Apr_2026_Days_Actual]]*Table4[[#This Row],[Cost Boolean]]*(VLOOKUP(Table4[[#This Row],[RATE CONCAT]],Tables!I:N,5,0)),0)</f>
        <v/>
      </c>
      <c r="CE63" s="347">
        <f>Table4[[#This Row],[Apr_2026_F]]-Table4[[#This Row],[Apr_2026_A]]</f>
        <v/>
      </c>
      <c r="CF63" s="103" t="n"/>
      <c r="CG63" s="347">
        <f>IFERROR(Table4[[#This Row],[May_2026_Days_Forecast]] *Table4[[#This Row],[Cost Boolean]]*(VLOOKUP(Table4[[#This Row],[RATE CONCAT]],Tables!I:N,5,0)),0)</f>
        <v/>
      </c>
      <c r="CH63" s="347">
        <f>IFERROR(Table4[[#This Row],[May_2026_Days_Actual]]*Table4[[#This Row],[Cost Boolean]]*(VLOOKUP(Table4[[#This Row],[RATE CONCAT]],Tables!I:N,5,0)),0)</f>
        <v/>
      </c>
      <c r="CI63" s="347">
        <f>Table4[[#This Row],[May_2026_F]]-Table4[[#This Row],[May_2026_A]]</f>
        <v/>
      </c>
      <c r="CJ63" s="103" t="n"/>
      <c r="CK63" s="347">
        <f>IFERROR(Table4[[#This Row],[Jun_2026_Days_Forecast]]*Table4[[#This Row],[Cost Boolean]]*(VLOOKUP(Table4[[#This Row],[RATE CONCAT]],Tables!I:N,5,0)),0)</f>
        <v/>
      </c>
      <c r="CL63" s="347">
        <f>IFERROR(Table4[[#This Row],[Jun_2026_Days_Actual]]*Table4[[#This Row],[Cost Boolean]]*(VLOOKUP(Table4[[#This Row],[RATE CONCAT]],Tables!I:N,5,0)),0)</f>
        <v/>
      </c>
      <c r="CM63" s="347">
        <f>Table4[[#This Row],[Jun_2026_F]]-Table4[[#This Row],[Jun_2026_A]]</f>
        <v/>
      </c>
      <c r="CN63" s="103" t="n"/>
      <c r="CO63" s="347">
        <f>IFERROR(Table4[[#This Row],[Jul_2026_Days_Forecast]]*Table4[[#This Row],[Cost Boolean]]*(VLOOKUP(Table4[[#This Row],[RATE CONCAT]],Tables!I:N,5,0)),0)</f>
        <v/>
      </c>
      <c r="CP63" s="347">
        <f>IFERROR(Table4[[#This Row],[Aug_2026_Days_Forecast]]*Table4[[#This Row],[Location]]*(VLOOKUP(Table4[[#This Row],[Rate]],Tables!J:O,5,0)),0)</f>
        <v/>
      </c>
      <c r="CQ63" s="347">
        <f>Table4[[#This Row],[Jul_2026_F]]-Table4[[#This Row],[Jul_2026_A]]</f>
        <v/>
      </c>
      <c r="CR63" s="103" t="n"/>
      <c r="CS63" s="347">
        <f>IFERROR(Table4[[#This Row],[Aug_2026_Days_Forecast]]*Table4[[#This Row],[Cost Boolean]]*(VLOOKUP(Table4[[#This Row],[RATE CONCAT]],Tables!I:N,5,0)),0)</f>
        <v/>
      </c>
      <c r="CT63" s="347">
        <f>IFERROR(Table4[[#This Row],[Aug_2026_Days_Actual]]*Table4[[#This Row],[Cost Boolean]]*(VLOOKUP(Table4[[#This Row],[RATE CONCAT]],Tables!I:N,5,0)),0)</f>
        <v/>
      </c>
      <c r="CU63" s="347">
        <f>Table4[[#This Row],[Aug_2026_F]]-Table4[[#This Row],[Aug_2026_A]]</f>
        <v/>
      </c>
      <c r="CV63" s="103" t="n"/>
      <c r="CW63" s="347">
        <f>IFERROR(Table4[[#This Row],[Sep_2026_Days_Forecast]]*Table4[[#This Row],[Cost Boolean]]*(VLOOKUP(Table4[[#This Row],[RATE CONCAT]],Tables!I:N,5,0)),0)</f>
        <v/>
      </c>
      <c r="CX63" s="347">
        <f>IFERROR(Table4[[#This Row],[Sep_2026_Days_Actual]]*Table4[[#This Row],[Cost Boolean]]*(VLOOKUP(Table4[[#This Row],[RATE CONCAT]],Tables!I:N,5,0)),0)</f>
        <v/>
      </c>
      <c r="CY63" s="347">
        <f>Table4[[#This Row],[Sep_2026_F]]-Table4[[#This Row],[Sep_2026_A]]</f>
        <v/>
      </c>
      <c r="CZ63" s="103" t="n"/>
      <c r="DA63" s="347">
        <f>IFERROR(Table4[[#This Row],[Oct_2026_Days_Forecast]]*Table4[[#This Row],[Cost Boolean]]*(VLOOKUP(Table4[[#This Row],[RATE CONCAT]],Tables!I:N,5,0)),0)</f>
        <v/>
      </c>
      <c r="DB63" s="347">
        <f>IFERROR(Table4[[#This Row],[Oct_2026_Days_Actual]]*Table4[[#This Row],[Cost Boolean]]*(VLOOKUP(Table4[[#This Row],[RATE CONCAT]],Tables!I:N,5,0)),0)</f>
        <v/>
      </c>
      <c r="DC63" s="347">
        <f>Table4[[#This Row],[Oct_2026_F]]-Table4[[#This Row],[Oct_2026_A]]</f>
        <v/>
      </c>
      <c r="DD63" s="103" t="n"/>
      <c r="DE63" s="347">
        <f>IFERROR(Table4[[#This Row],[Nov_2026_Days_Forecast]]*Table4[[#This Row],[Cost Boolean]]*(VLOOKUP(Table4[[#This Row],[RATE CONCAT]],Tables!I:N,5,0)),0)</f>
        <v/>
      </c>
      <c r="DF63" s="347">
        <f>IFERROR(Table4[[#This Row],[Nov_2026_Days_Actual]]*Table4[[#This Row],[Cost Boolean]]*(VLOOKUP(Table4[[#This Row],[RATE CONCAT]],Tables!I:N,5,0)),0)</f>
        <v/>
      </c>
      <c r="DG63" s="347">
        <f>Table4[[#This Row],[Nov_2026_F]]-Table4[[#This Row],[Nov_2026_A]]</f>
        <v/>
      </c>
      <c r="DH63" s="103" t="n"/>
      <c r="DI63" s="347">
        <f>IFERROR(Table4[[#This Row],[Dec_2026_Days_Forecast]]*Table4[[#This Row],[Cost Boolean]]*(VLOOKUP(Table4[[#This Row],[RATE CONCAT]],Tables!I:N,5,0)),0)</f>
        <v/>
      </c>
      <c r="DJ63" s="347">
        <f>IFERROR(Table4[[#This Row],[Dec_2026_Days_Actual]]*Table4[[#This Row],[Cost Boolean]]*(VLOOKUP(Table4[[#This Row],[RATE CONCAT]],Tables!I:N,5,0)),0)</f>
        <v/>
      </c>
      <c r="DK63" s="347">
        <f>Table4[[#This Row],[Dec_2026_F]]-Table4[[#This Row],[Dec_2026_A]]</f>
        <v/>
      </c>
      <c r="DL63" s="103" t="n"/>
      <c r="DM63" s="346" t="n"/>
      <c r="DN63" s="347">
        <f>IFERROR(Table4[[#This Row],[Jan_2027_Days_Forecast]]*Table4[[#This Row],[Cost Boolean]]*(VLOOKUP(Table4[[#This Row],[RATE CONCAT]],Tables!I:N,6,0)),0)</f>
        <v/>
      </c>
      <c r="DO63" s="275" t="n"/>
      <c r="DP63" s="347">
        <f>Table4[[#This Row],[Jan_2027_F]]-Table4[[#This Row],[Jan_2027_A]]</f>
        <v/>
      </c>
      <c r="DQ63" s="347">
        <f>IFERROR(Table4[[#This Row],[Feb_2027_Days_Forecast]]*Table4[[#This Row],[Cost Boolean]]*(VLOOKUP(Table4[[#This Row],[RATE CONCAT]],Tables!I:N,6,0)),0)</f>
        <v/>
      </c>
      <c r="DR63" s="275" t="n"/>
      <c r="DS63" s="347">
        <f>Table4[[#This Row],[Feb_2027_F]]-Table4[[#This Row],[Feb_2027_A]]</f>
        <v/>
      </c>
      <c r="DT63" s="347">
        <f>IFERROR(Table4[[#This Row],[Mar_2027_Days_Forecast]]*Table4[[#This Row],[Cost Boolean]]*(VLOOKUP(Table4[[#This Row],[RATE CONCAT]],Tables!I:N,6,0)),0)</f>
        <v/>
      </c>
      <c r="DU63" s="275" t="n"/>
      <c r="DV63" s="347">
        <f>Table4[[#This Row],[Mar_2027_F]]-Table4[[#This Row],[Mar_2027_A]]</f>
        <v/>
      </c>
      <c r="DW63" s="347">
        <f>IFERROR(Table4[[#This Row],[Apr_2027_Days_Forecast]]*Table4[[#This Row],[Cost Boolean]]*(VLOOKUP(Table4[[#This Row],[RATE CONCAT]],Tables!I:N,6,0)),0)</f>
        <v/>
      </c>
      <c r="DX63" s="275" t="n"/>
      <c r="DY63" s="347">
        <f>Table4[[#This Row],[Apr_2027_F]]-Table4[[#This Row],[Apr_2027_A]]</f>
        <v/>
      </c>
      <c r="DZ63" s="347">
        <f>IFERROR(Table4[[#This Row],[May_2027_Days_Forecast]]*Table4[[#This Row],[Cost Boolean]]*(VLOOKUP(Table4[[#This Row],[RATE CONCAT]],Tables!I:N,6,0)),0)</f>
        <v/>
      </c>
      <c r="EA63" s="275" t="n"/>
      <c r="EB63" s="347">
        <f>Table4[[#This Row],[May_2027_F]]-Table4[[#This Row],[May_2027_A]]</f>
        <v/>
      </c>
      <c r="EC63" s="347">
        <f>IFERROR(Table4[[#This Row],[Jun_2027_Days_Forecast]]*Table4[[#This Row],[Cost Boolean]]*(VLOOKUP(Table4[[#This Row],[RATE CONCAT]],Tables!I:N,6,0)),0)</f>
        <v/>
      </c>
      <c r="ED63" s="275" t="n"/>
      <c r="EE63" s="347">
        <f>Table4[[#This Row],[Jun_2027_F]]-Table4[[#This Row],[Jun_2027_A]]</f>
        <v/>
      </c>
      <c r="EF63" s="347">
        <f>IFERROR(Table4[[#This Row],[Jul_2027_Days_Forecast]]*Table4[[#This Row],[Cost Boolean]]*(VLOOKUP(Table4[[#This Row],[RATE CONCAT]],Tables!I:N,6,0)),0)</f>
        <v/>
      </c>
      <c r="EG63" s="275" t="n"/>
      <c r="EH63" s="347">
        <f>Table4[[#This Row],[Jul_2027_F]]-Table4[[#This Row],[Jul_2027_A]]</f>
        <v/>
      </c>
      <c r="EI63" s="347">
        <f>IFERROR(Table4[[#This Row],[Aug_2027_Days_Forecast]]*Table4[[#This Row],[Cost Boolean]]*(VLOOKUP(Table4[[#This Row],[RATE CONCAT]],Tables!I:N,6,0)),0)</f>
        <v/>
      </c>
      <c r="EJ63" s="275" t="n"/>
      <c r="EK63" s="347">
        <f>Table4[[#This Row],[Aug_2027_F]]-Table4[[#This Row],[Aug_2027_A]]</f>
        <v/>
      </c>
      <c r="EL63" s="347">
        <f>IFERROR(Table4[[#This Row],[Sep_2027_Days_Forecast]]*Table4[[#This Row],[Cost Boolean]]*(VLOOKUP(Table4[[#This Row],[RATE CONCAT]],Tables!I:N,6,0)),0)</f>
        <v/>
      </c>
      <c r="EM63" s="275" t="n"/>
      <c r="EN63" s="347">
        <f>Table4[[#This Row],[Sep_2027_F]]-Table4[[#This Row],[Sep_2027_A]]</f>
        <v/>
      </c>
      <c r="EO63" s="347">
        <f>IFERROR(Table4[[#This Row],[Oct_2027_Days_Forecast]]*Table4[[#This Row],[Cost Boolean]]*(VLOOKUP(Table4[[#This Row],[RATE CONCAT]],Tables!I:N,6,0)),0)</f>
        <v/>
      </c>
      <c r="EP63" s="275" t="n"/>
      <c r="EQ63" s="347">
        <f>Table4[[#This Row],[Oct_2027_F]]-Table4[[#This Row],[Oct_2027_A]]</f>
        <v/>
      </c>
      <c r="ER63" s="347">
        <f>IFERROR(Table4[[#This Row],[Nov_2027_Days_Forecast]]*Table4[[#This Row],[Cost Boolean]]*(VLOOKUP(Table4[[#This Row],[RATE CONCAT]],Tables!I:N,6,0)),0)</f>
        <v/>
      </c>
      <c r="ES63" s="275" t="n"/>
      <c r="ET63" s="347">
        <f>Table4[[#This Row],[Nov_2027_F]]-Table4[[#This Row],[Nov_2027_A]]</f>
        <v/>
      </c>
      <c r="EU63" s="347">
        <f>IFERROR(Table4[[#This Row],[Dec_2027_Days_Forecast]]*Table4[[#This Row],[Cost Boolean]]*(VLOOKUP(Table4[[#This Row],[RATE CONCAT]],Tables!I:N,6,0)),0)</f>
        <v/>
      </c>
      <c r="EV63" s="275" t="n"/>
      <c r="EW63" s="347">
        <f>Table4[[#This Row],[Dec_2027_F]]-Table4[[#This Row],[Dec_2027_A]]</f>
        <v/>
      </c>
    </row>
    <row r="64" ht="1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350">
        <f>CONCATENATE(Table4[[#This Row],[JG]],Table4[[#This Row],[Country]],Table4[[#This Row],[Resource Provider]])</f>
        <v/>
      </c>
      <c r="Z64" s="350">
        <f>VLOOKUP(Table4[[#This Row],[RATE CONCAT]],Tables!I:N,5,0)</f>
        <v/>
      </c>
      <c r="AA64" s="53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353">
        <f>IFERROR(AVERAGE(Table4[[#This Row],[Jan_2026_Days_Forecast]:[Dec_2026_Days_Forecast]]),0)/19</f>
        <v/>
      </c>
      <c r="AO64" s="353">
        <f>IFERROR(AVERAGE(Table4[[#This Row],[Jan_2026_Days_Actual]:[Dec_2026_Days_Actual]]),0)/19</f>
        <v/>
      </c>
      <c r="AP64" s="84" t="n"/>
      <c r="AQ64" s="84" t="n"/>
      <c r="AR64" s="84" t="n"/>
      <c r="AS64" s="84" t="n"/>
      <c r="AT64" s="84" t="n"/>
      <c r="AU64" s="84" t="n"/>
      <c r="AV64" s="84" t="n"/>
      <c r="AW64" s="84" t="n"/>
      <c r="AX64" s="84" t="n"/>
      <c r="AY64" s="84" t="n"/>
      <c r="AZ64" s="84" t="n"/>
      <c r="BA64" s="84" t="n"/>
      <c r="BB64" s="353">
        <f>IFERROR(AVERAGE(Table4[[#This Row],[Jan_2027_Days_Forecast]:[Dec_2027_Days_Forecast]]),0)</f>
        <v/>
      </c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55" t="n"/>
      <c r="BP64" s="346" t="n"/>
      <c r="BQ64" s="345" t="n">
        <v>0</v>
      </c>
      <c r="BR64" s="345">
        <f>IFERROR(Table4[[#This Row],[Jan_2026_Days_Actual]]*Table4[[#This Row],[Cost Boolean]]*(VLOOKUP(Table4[[#This Row],[RATE CONCAT]],Tables!I:N,5,0)),0)</f>
        <v/>
      </c>
      <c r="BS64" s="345">
        <f>Table4[[#This Row],[Jan_2026_F]]-Table4[[#This Row],[Jan_2026_A]]</f>
        <v/>
      </c>
      <c r="BT64" s="107" t="n"/>
      <c r="BU64" s="345">
        <f>IFERROR(Table4[[#This Row],[Feb_2026_Days_Forecast]]*Table4[[#This Row],[Cost Boolean]]*(VLOOKUP(Table4[[#This Row],[RATE CONCAT]],Tables!I:N,5,0)),0)</f>
        <v/>
      </c>
      <c r="BV64" s="345">
        <f>IFERROR(Table4[[#This Row],[Feb_2026_Days_Actual]]*Table4[[#This Row],[Cost Boolean]]*(VLOOKUP(Table4[[#This Row],[RATE CONCAT]],Tables!I:N,5,0)),0)</f>
        <v/>
      </c>
      <c r="BW64" s="345">
        <f>Table4[[#This Row],[Feb_2026_F]]-Table4[[#This Row],[Feb_2026_A]]</f>
        <v/>
      </c>
      <c r="BX64" s="103" t="n"/>
      <c r="BY64" s="345">
        <f>IFERROR(Table4[[#This Row],[Mar_2026_Days_Forecast]]*Table4[[#This Row],[Cost Boolean]]*(VLOOKUP(Table4[[#This Row],[RATE CONCAT]],Tables!I:N,5,0)),0)</f>
        <v/>
      </c>
      <c r="BZ64" s="345">
        <f>IFERROR(Table4[[#This Row],[Mar_2026_Days_Actual]]*Table4[[#This Row],[Cost Boolean]]*(VLOOKUP(Table4[[#This Row],[RATE CONCAT]],Tables!I:N,5,0)),0)</f>
        <v/>
      </c>
      <c r="CA64" s="345">
        <f>Table4[[#This Row],[Mar_2026_F]]-Table4[[#This Row],[Mar_2026_A]]</f>
        <v/>
      </c>
      <c r="CB64" s="103" t="n"/>
      <c r="CC64" s="345">
        <f>IFERROR(Table4[[#This Row],[Apr_2026_Days_Forecast]]*Table4[[#This Row],[Cost Boolean]]*(VLOOKUP(Table4[[#This Row],[RATE CONCAT]],Tables!I:N,5,0)),0)</f>
        <v/>
      </c>
      <c r="CD64" s="345">
        <f>IFERROR(Table4[[#This Row],[Apr_2026_Days_Actual]]*Table4[[#This Row],[Cost Boolean]]*(VLOOKUP(Table4[[#This Row],[RATE CONCAT]],Tables!I:N,5,0)),0)</f>
        <v/>
      </c>
      <c r="CE64" s="345">
        <f>Table4[[#This Row],[Apr_2026_F]]-Table4[[#This Row],[Apr_2026_A]]</f>
        <v/>
      </c>
      <c r="CF64" s="103" t="n"/>
      <c r="CG64" s="345">
        <f>IFERROR(Table4[[#This Row],[May_2026_Days_Forecast]] *Table4[[#This Row],[Cost Boolean]]*(VLOOKUP(Table4[[#This Row],[RATE CONCAT]],Tables!I:N,5,0)),0)</f>
        <v/>
      </c>
      <c r="CH64" s="345">
        <f>IFERROR(Table4[[#This Row],[May_2026_Days_Actual]]*Table4[[#This Row],[Cost Boolean]]*(VLOOKUP(Table4[[#This Row],[RATE CONCAT]],Tables!I:N,5,0)),0)</f>
        <v/>
      </c>
      <c r="CI64" s="345">
        <f>Table4[[#This Row],[May_2026_F]]-Table4[[#This Row],[May_2026_A]]</f>
        <v/>
      </c>
      <c r="CJ64" s="103" t="n"/>
      <c r="CK64" s="345">
        <f>IFERROR(Table4[[#This Row],[Jun_2026_Days_Forecast]]*Table4[[#This Row],[Cost Boolean]]*(VLOOKUP(Table4[[#This Row],[RATE CONCAT]],Tables!I:N,5,0)),0)</f>
        <v/>
      </c>
      <c r="CL64" s="345">
        <f>IFERROR(Table4[[#This Row],[Jun_2026_Days_Actual]]*Table4[[#This Row],[Cost Boolean]]*(VLOOKUP(Table4[[#This Row],[RATE CONCAT]],Tables!I:N,5,0)),0)</f>
        <v/>
      </c>
      <c r="CM64" s="345">
        <f>Table4[[#This Row],[Jun_2026_F]]-Table4[[#This Row],[Jun_2026_A]]</f>
        <v/>
      </c>
      <c r="CN64" s="103" t="n"/>
      <c r="CO64" s="345">
        <f>IFERROR(Table4[[#This Row],[Jul_2026_Days_Forecast]]*Table4[[#This Row],[Cost Boolean]]*(VLOOKUP(Table4[[#This Row],[RATE CONCAT]],Tables!I:N,5,0)),0)</f>
        <v/>
      </c>
      <c r="CP64" s="345">
        <f>IFERROR(Table4[[#This Row],[Aug_2026_Days_Forecast]]*Table4[[#This Row],[Location]]*(VLOOKUP(Table4[[#This Row],[Rate]],Tables!J:O,5,0)),0)</f>
        <v/>
      </c>
      <c r="CQ64" s="345">
        <f>Table4[[#This Row],[Jul_2026_F]]-Table4[[#This Row],[Jul_2026_A]]</f>
        <v/>
      </c>
      <c r="CR64" s="103" t="n"/>
      <c r="CS64" s="345">
        <f>IFERROR(Table4[[#This Row],[Aug_2026_Days_Forecast]]*Table4[[#This Row],[Cost Boolean]]*(VLOOKUP(Table4[[#This Row],[RATE CONCAT]],Tables!I:N,5,0)),0)</f>
        <v/>
      </c>
      <c r="CT64" s="345">
        <f>IFERROR(Table4[[#This Row],[Aug_2026_Days_Actual]]*Table4[[#This Row],[Cost Boolean]]*(VLOOKUP(Table4[[#This Row],[RATE CONCAT]],Tables!I:N,5,0)),0)</f>
        <v/>
      </c>
      <c r="CU64" s="345">
        <f>Table4[[#This Row],[Aug_2026_F]]-Table4[[#This Row],[Aug_2026_A]]</f>
        <v/>
      </c>
      <c r="CV64" s="103" t="n"/>
      <c r="CW64" s="345">
        <f>IFERROR(Table4[[#This Row],[Sep_2026_Days_Forecast]]*Table4[[#This Row],[Cost Boolean]]*(VLOOKUP(Table4[[#This Row],[RATE CONCAT]],Tables!I:N,5,0)),0)</f>
        <v/>
      </c>
      <c r="CX64" s="345">
        <f>IFERROR(Table4[[#This Row],[Sep_2026_Days_Actual]]*Table4[[#This Row],[Cost Boolean]]*(VLOOKUP(Table4[[#This Row],[RATE CONCAT]],Tables!I:N,5,0)),0)</f>
        <v/>
      </c>
      <c r="CY64" s="345">
        <f>Table4[[#This Row],[Sep_2026_F]]-Table4[[#This Row],[Sep_2026_A]]</f>
        <v/>
      </c>
      <c r="CZ64" s="103" t="n"/>
      <c r="DA64" s="345">
        <f>IFERROR(Table4[[#This Row],[Oct_2026_Days_Forecast]]*Table4[[#This Row],[Cost Boolean]]*(VLOOKUP(Table4[[#This Row],[RATE CONCAT]],Tables!I:N,5,0)),0)</f>
        <v/>
      </c>
      <c r="DB64" s="345">
        <f>IFERROR(Table4[[#This Row],[Oct_2026_Days_Actual]]*Table4[[#This Row],[Cost Boolean]]*(VLOOKUP(Table4[[#This Row],[RATE CONCAT]],Tables!I:N,5,0)),0)</f>
        <v/>
      </c>
      <c r="DC64" s="345">
        <f>Table4[[#This Row],[Oct_2026_F]]-Table4[[#This Row],[Oct_2026_A]]</f>
        <v/>
      </c>
      <c r="DD64" s="103" t="n"/>
      <c r="DE64" s="345">
        <f>IFERROR(Table4[[#This Row],[Nov_2026_Days_Forecast]]*Table4[[#This Row],[Cost Boolean]]*(VLOOKUP(Table4[[#This Row],[RATE CONCAT]],Tables!I:N,5,0)),0)</f>
        <v/>
      </c>
      <c r="DF64" s="345">
        <f>IFERROR(Table4[[#This Row],[Nov_2026_Days_Actual]]*Table4[[#This Row],[Cost Boolean]]*(VLOOKUP(Table4[[#This Row],[RATE CONCAT]],Tables!I:N,5,0)),0)</f>
        <v/>
      </c>
      <c r="DG64" s="345">
        <f>Table4[[#This Row],[Nov_2026_F]]-Table4[[#This Row],[Nov_2026_A]]</f>
        <v/>
      </c>
      <c r="DH64" s="103" t="n"/>
      <c r="DI64" s="345">
        <f>IFERROR(Table4[[#This Row],[Dec_2026_Days_Forecast]]*Table4[[#This Row],[Cost Boolean]]*(VLOOKUP(Table4[[#This Row],[RATE CONCAT]],Tables!I:N,5,0)),0)</f>
        <v/>
      </c>
      <c r="DJ64" s="345">
        <f>IFERROR(Table4[[#This Row],[Dec_2026_Days_Actual]]*Table4[[#This Row],[Cost Boolean]]*(VLOOKUP(Table4[[#This Row],[RATE CONCAT]],Tables!I:N,5,0)),0)</f>
        <v/>
      </c>
      <c r="DK64" s="345">
        <f>Table4[[#This Row],[Dec_2026_F]]-Table4[[#This Row],[Dec_2026_A]]</f>
        <v/>
      </c>
      <c r="DL64" s="103" t="n"/>
      <c r="DM64" s="346" t="n"/>
      <c r="DN64" s="345">
        <f>IFERROR(Table4[[#This Row],[Jan_2027_Days_Forecast]]*Table4[[#This Row],[Cost Boolean]]*(VLOOKUP(Table4[[#This Row],[RATE CONCAT]],Tables!I:N,6,0)),0)</f>
        <v/>
      </c>
      <c r="DO64" s="275" t="n"/>
      <c r="DP64" s="345">
        <f>Table4[[#This Row],[Jan_2027_F]]-Table4[[#This Row],[Jan_2027_A]]</f>
        <v/>
      </c>
      <c r="DQ64" s="345">
        <f>IFERROR(Table4[[#This Row],[Feb_2027_Days_Forecast]]*Table4[[#This Row],[Cost Boolean]]*(VLOOKUP(Table4[[#This Row],[RATE CONCAT]],Tables!I:N,6,0)),0)</f>
        <v/>
      </c>
      <c r="DR64" s="275" t="n"/>
      <c r="DS64" s="345">
        <f>Table4[[#This Row],[Feb_2027_F]]-Table4[[#This Row],[Feb_2027_A]]</f>
        <v/>
      </c>
      <c r="DT64" s="345">
        <f>IFERROR(Table4[[#This Row],[Mar_2027_Days_Forecast]]*Table4[[#This Row],[Cost Boolean]]*(VLOOKUP(Table4[[#This Row],[RATE CONCAT]],Tables!I:N,6,0)),0)</f>
        <v/>
      </c>
      <c r="DU64" s="275" t="n"/>
      <c r="DV64" s="345">
        <f>Table4[[#This Row],[Mar_2027_F]]-Table4[[#This Row],[Mar_2027_A]]</f>
        <v/>
      </c>
      <c r="DW64" s="345">
        <f>IFERROR(Table4[[#This Row],[Apr_2027_Days_Forecast]]*Table4[[#This Row],[Cost Boolean]]*(VLOOKUP(Table4[[#This Row],[RATE CONCAT]],Tables!I:N,6,0)),0)</f>
        <v/>
      </c>
      <c r="DX64" s="275" t="n"/>
      <c r="DY64" s="345">
        <f>Table4[[#This Row],[Apr_2027_F]]-Table4[[#This Row],[Apr_2027_A]]</f>
        <v/>
      </c>
      <c r="DZ64" s="345">
        <f>IFERROR(Table4[[#This Row],[May_2027_Days_Forecast]]*Table4[[#This Row],[Cost Boolean]]*(VLOOKUP(Table4[[#This Row],[RATE CONCAT]],Tables!I:N,6,0)),0)</f>
        <v/>
      </c>
      <c r="EA64" s="275" t="n"/>
      <c r="EB64" s="345">
        <f>Table4[[#This Row],[May_2027_F]]-Table4[[#This Row],[May_2027_A]]</f>
        <v/>
      </c>
      <c r="EC64" s="345">
        <f>IFERROR(Table4[[#This Row],[Jun_2027_Days_Forecast]]*Table4[[#This Row],[Cost Boolean]]*(VLOOKUP(Table4[[#This Row],[RATE CONCAT]],Tables!I:N,6,0)),0)</f>
        <v/>
      </c>
      <c r="ED64" s="275" t="n"/>
      <c r="EE64" s="345">
        <f>Table4[[#This Row],[Jun_2027_F]]-Table4[[#This Row],[Jun_2027_A]]</f>
        <v/>
      </c>
      <c r="EF64" s="345">
        <f>IFERROR(Table4[[#This Row],[Jul_2027_Days_Forecast]]*Table4[[#This Row],[Cost Boolean]]*(VLOOKUP(Table4[[#This Row],[RATE CONCAT]],Tables!I:N,6,0)),0)</f>
        <v/>
      </c>
      <c r="EG64" s="275" t="n"/>
      <c r="EH64" s="345">
        <f>Table4[[#This Row],[Jul_2027_F]]-Table4[[#This Row],[Jul_2027_A]]</f>
        <v/>
      </c>
      <c r="EI64" s="345">
        <f>IFERROR(Table4[[#This Row],[Aug_2027_Days_Forecast]]*Table4[[#This Row],[Cost Boolean]]*(VLOOKUP(Table4[[#This Row],[RATE CONCAT]],Tables!I:N,6,0)),0)</f>
        <v/>
      </c>
      <c r="EJ64" s="275" t="n"/>
      <c r="EK64" s="345">
        <f>Table4[[#This Row],[Aug_2027_F]]-Table4[[#This Row],[Aug_2027_A]]</f>
        <v/>
      </c>
      <c r="EL64" s="345">
        <f>IFERROR(Table4[[#This Row],[Sep_2027_Days_Forecast]]*Table4[[#This Row],[Cost Boolean]]*(VLOOKUP(Table4[[#This Row],[RATE CONCAT]],Tables!I:N,6,0)),0)</f>
        <v/>
      </c>
      <c r="EM64" s="275" t="n"/>
      <c r="EN64" s="345">
        <f>Table4[[#This Row],[Sep_2027_F]]-Table4[[#This Row],[Sep_2027_A]]</f>
        <v/>
      </c>
      <c r="EO64" s="345">
        <f>IFERROR(Table4[[#This Row],[Oct_2027_Days_Forecast]]*Table4[[#This Row],[Cost Boolean]]*(VLOOKUP(Table4[[#This Row],[RATE CONCAT]],Tables!I:N,6,0)),0)</f>
        <v/>
      </c>
      <c r="EP64" s="275" t="n"/>
      <c r="EQ64" s="345">
        <f>Table4[[#This Row],[Oct_2027_F]]-Table4[[#This Row],[Oct_2027_A]]</f>
        <v/>
      </c>
      <c r="ER64" s="345">
        <f>IFERROR(Table4[[#This Row],[Nov_2027_Days_Forecast]]*Table4[[#This Row],[Cost Boolean]]*(VLOOKUP(Table4[[#This Row],[RATE CONCAT]],Tables!I:N,6,0)),0)</f>
        <v/>
      </c>
      <c r="ES64" s="275" t="n"/>
      <c r="ET64" s="345">
        <f>Table4[[#This Row],[Nov_2027_F]]-Table4[[#This Row],[Nov_2027_A]]</f>
        <v/>
      </c>
      <c r="EU64" s="345">
        <f>IFERROR(Table4[[#This Row],[Dec_2027_Days_Forecast]]*Table4[[#This Row],[Cost Boolean]]*(VLOOKUP(Table4[[#This Row],[RATE CONCAT]],Tables!I:N,6,0)),0)</f>
        <v/>
      </c>
      <c r="EV64" s="275" t="n"/>
      <c r="EW64" s="345">
        <f>Table4[[#This Row],[Dec_2027_F]]-Table4[[#This Row],[Dec_2027_A]]</f>
        <v/>
      </c>
    </row>
    <row r="65" ht="1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350">
        <f>CONCATENATE(Table4[[#This Row],[JG]],Table4[[#This Row],[Country]],Table4[[#This Row],[Resource Provider]])</f>
        <v/>
      </c>
      <c r="Z65" s="350">
        <f>VLOOKUP(Table4[[#This Row],[RATE CONCAT]],Tables!I:N,5,0)</f>
        <v/>
      </c>
      <c r="AA65" s="53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353">
        <f>IFERROR(AVERAGE(Table4[[#This Row],[Jan_2026_Days_Forecast]:[Dec_2026_Days_Forecast]]),0)/19</f>
        <v/>
      </c>
      <c r="AO65" s="353">
        <f>IFERROR(AVERAGE(Table4[[#This Row],[Jan_2026_Days_Actual]:[Dec_2026_Days_Actual]]),0)/19</f>
        <v/>
      </c>
      <c r="AP65" s="84" t="n"/>
      <c r="AQ65" s="84" t="n"/>
      <c r="AR65" s="84" t="n"/>
      <c r="AS65" s="84" t="n"/>
      <c r="AT65" s="84" t="n"/>
      <c r="AU65" s="84" t="n"/>
      <c r="AV65" s="84" t="n"/>
      <c r="AW65" s="84" t="n"/>
      <c r="AX65" s="84" t="n"/>
      <c r="AY65" s="84" t="n"/>
      <c r="AZ65" s="84" t="n"/>
      <c r="BA65" s="84" t="n"/>
      <c r="BB65" s="353">
        <f>IFERROR(AVERAGE(Table4[[#This Row],[Jan_2027_Days_Forecast]:[Dec_2027_Days_Forecast]]),0)</f>
        <v/>
      </c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55" t="n"/>
      <c r="BP65" s="346" t="n"/>
      <c r="BQ65" s="347" t="n">
        <v>0</v>
      </c>
      <c r="BR65" s="347">
        <f>IFERROR(Table4[[#This Row],[Jan_2026_Days_Actual]]*Table4[[#This Row],[Cost Boolean]]*(VLOOKUP(Table4[[#This Row],[RATE CONCAT]],Tables!I:N,5,0)),0)</f>
        <v/>
      </c>
      <c r="BS65" s="347">
        <f>Table4[[#This Row],[Jan_2026_F]]-Table4[[#This Row],[Jan_2026_A]]</f>
        <v/>
      </c>
      <c r="BT65" s="107" t="n"/>
      <c r="BU65" s="347">
        <f>IFERROR(Table4[[#This Row],[Feb_2026_Days_Forecast]]*Table4[[#This Row],[Cost Boolean]]*(VLOOKUP(Table4[[#This Row],[RATE CONCAT]],Tables!I:N,5,0)),0)</f>
        <v/>
      </c>
      <c r="BV65" s="347">
        <f>IFERROR(Table4[[#This Row],[Feb_2026_Days_Actual]]*Table4[[#This Row],[Cost Boolean]]*(VLOOKUP(Table4[[#This Row],[RATE CONCAT]],Tables!I:N,5,0)),0)</f>
        <v/>
      </c>
      <c r="BW65" s="347">
        <f>Table4[[#This Row],[Feb_2026_F]]-Table4[[#This Row],[Feb_2026_A]]</f>
        <v/>
      </c>
      <c r="BX65" s="103" t="n"/>
      <c r="BY65" s="347">
        <f>IFERROR(Table4[[#This Row],[Mar_2026_Days_Forecast]]*Table4[[#This Row],[Cost Boolean]]*(VLOOKUP(Table4[[#This Row],[RATE CONCAT]],Tables!I:N,5,0)),0)</f>
        <v/>
      </c>
      <c r="BZ65" s="347">
        <f>IFERROR(Table4[[#This Row],[Mar_2026_Days_Actual]]*Table4[[#This Row],[Cost Boolean]]*(VLOOKUP(Table4[[#This Row],[RATE CONCAT]],Tables!I:N,5,0)),0)</f>
        <v/>
      </c>
      <c r="CA65" s="347">
        <f>Table4[[#This Row],[Mar_2026_F]]-Table4[[#This Row],[Mar_2026_A]]</f>
        <v/>
      </c>
      <c r="CB65" s="103" t="n"/>
      <c r="CC65" s="347">
        <f>IFERROR(Table4[[#This Row],[Apr_2026_Days_Forecast]]*Table4[[#This Row],[Cost Boolean]]*(VLOOKUP(Table4[[#This Row],[RATE CONCAT]],Tables!I:N,5,0)),0)</f>
        <v/>
      </c>
      <c r="CD65" s="347">
        <f>IFERROR(Table4[[#This Row],[Apr_2026_Days_Actual]]*Table4[[#This Row],[Cost Boolean]]*(VLOOKUP(Table4[[#This Row],[RATE CONCAT]],Tables!I:N,5,0)),0)</f>
        <v/>
      </c>
      <c r="CE65" s="347">
        <f>Table4[[#This Row],[Apr_2026_F]]-Table4[[#This Row],[Apr_2026_A]]</f>
        <v/>
      </c>
      <c r="CF65" s="103" t="n"/>
      <c r="CG65" s="347">
        <f>IFERROR(Table4[[#This Row],[May_2026_Days_Forecast]] *Table4[[#This Row],[Cost Boolean]]*(VLOOKUP(Table4[[#This Row],[RATE CONCAT]],Tables!I:N,5,0)),0)</f>
        <v/>
      </c>
      <c r="CH65" s="347">
        <f>IFERROR(Table4[[#This Row],[May_2026_Days_Actual]]*Table4[[#This Row],[Cost Boolean]]*(VLOOKUP(Table4[[#This Row],[RATE CONCAT]],Tables!I:N,5,0)),0)</f>
        <v/>
      </c>
      <c r="CI65" s="347">
        <f>Table4[[#This Row],[May_2026_F]]-Table4[[#This Row],[May_2026_A]]</f>
        <v/>
      </c>
      <c r="CJ65" s="103" t="n"/>
      <c r="CK65" s="347">
        <f>IFERROR(Table4[[#This Row],[Jun_2026_Days_Forecast]]*Table4[[#This Row],[Cost Boolean]]*(VLOOKUP(Table4[[#This Row],[RATE CONCAT]],Tables!I:N,5,0)),0)</f>
        <v/>
      </c>
      <c r="CL65" s="347">
        <f>IFERROR(Table4[[#This Row],[Jun_2026_Days_Actual]]*Table4[[#This Row],[Cost Boolean]]*(VLOOKUP(Table4[[#This Row],[RATE CONCAT]],Tables!I:N,5,0)),0)</f>
        <v/>
      </c>
      <c r="CM65" s="347">
        <f>Table4[[#This Row],[Jun_2026_F]]-Table4[[#This Row],[Jun_2026_A]]</f>
        <v/>
      </c>
      <c r="CN65" s="103" t="n"/>
      <c r="CO65" s="347">
        <f>IFERROR(Table4[[#This Row],[Jul_2026_Days_Forecast]]*Table4[[#This Row],[Cost Boolean]]*(VLOOKUP(Table4[[#This Row],[RATE CONCAT]],Tables!I:N,5,0)),0)</f>
        <v/>
      </c>
      <c r="CP65" s="347">
        <f>IFERROR(Table4[[#This Row],[Aug_2026_Days_Forecast]]*Table4[[#This Row],[Location]]*(VLOOKUP(Table4[[#This Row],[Rate]],Tables!J:O,5,0)),0)</f>
        <v/>
      </c>
      <c r="CQ65" s="347">
        <f>Table4[[#This Row],[Jul_2026_F]]-Table4[[#This Row],[Jul_2026_A]]</f>
        <v/>
      </c>
      <c r="CR65" s="103" t="n"/>
      <c r="CS65" s="347">
        <f>IFERROR(Table4[[#This Row],[Aug_2026_Days_Forecast]]*Table4[[#This Row],[Cost Boolean]]*(VLOOKUP(Table4[[#This Row],[RATE CONCAT]],Tables!I:N,5,0)),0)</f>
        <v/>
      </c>
      <c r="CT65" s="347">
        <f>IFERROR(Table4[[#This Row],[Aug_2026_Days_Actual]]*Table4[[#This Row],[Cost Boolean]]*(VLOOKUP(Table4[[#This Row],[RATE CONCAT]],Tables!I:N,5,0)),0)</f>
        <v/>
      </c>
      <c r="CU65" s="347">
        <f>Table4[[#This Row],[Aug_2026_F]]-Table4[[#This Row],[Aug_2026_A]]</f>
        <v/>
      </c>
      <c r="CV65" s="103" t="n"/>
      <c r="CW65" s="347">
        <f>IFERROR(Table4[[#This Row],[Sep_2026_Days_Forecast]]*Table4[[#This Row],[Cost Boolean]]*(VLOOKUP(Table4[[#This Row],[RATE CONCAT]],Tables!I:N,5,0)),0)</f>
        <v/>
      </c>
      <c r="CX65" s="347">
        <f>IFERROR(Table4[[#This Row],[Sep_2026_Days_Actual]]*Table4[[#This Row],[Cost Boolean]]*(VLOOKUP(Table4[[#This Row],[RATE CONCAT]],Tables!I:N,5,0)),0)</f>
        <v/>
      </c>
      <c r="CY65" s="347">
        <f>Table4[[#This Row],[Sep_2026_F]]-Table4[[#This Row],[Sep_2026_A]]</f>
        <v/>
      </c>
      <c r="CZ65" s="103" t="n"/>
      <c r="DA65" s="347">
        <f>IFERROR(Table4[[#This Row],[Oct_2026_Days_Forecast]]*Table4[[#This Row],[Cost Boolean]]*(VLOOKUP(Table4[[#This Row],[RATE CONCAT]],Tables!I:N,5,0)),0)</f>
        <v/>
      </c>
      <c r="DB65" s="347">
        <f>IFERROR(Table4[[#This Row],[Oct_2026_Days_Actual]]*Table4[[#This Row],[Cost Boolean]]*(VLOOKUP(Table4[[#This Row],[RATE CONCAT]],Tables!I:N,5,0)),0)</f>
        <v/>
      </c>
      <c r="DC65" s="347">
        <f>Table4[[#This Row],[Oct_2026_F]]-Table4[[#This Row],[Oct_2026_A]]</f>
        <v/>
      </c>
      <c r="DD65" s="103" t="n"/>
      <c r="DE65" s="347">
        <f>IFERROR(Table4[[#This Row],[Nov_2026_Days_Forecast]]*Table4[[#This Row],[Cost Boolean]]*(VLOOKUP(Table4[[#This Row],[RATE CONCAT]],Tables!I:N,5,0)),0)</f>
        <v/>
      </c>
      <c r="DF65" s="347">
        <f>IFERROR(Table4[[#This Row],[Nov_2026_Days_Actual]]*Table4[[#This Row],[Cost Boolean]]*(VLOOKUP(Table4[[#This Row],[RATE CONCAT]],Tables!I:N,5,0)),0)</f>
        <v/>
      </c>
      <c r="DG65" s="347">
        <f>Table4[[#This Row],[Nov_2026_F]]-Table4[[#This Row],[Nov_2026_A]]</f>
        <v/>
      </c>
      <c r="DH65" s="103" t="n"/>
      <c r="DI65" s="347">
        <f>IFERROR(Table4[[#This Row],[Dec_2026_Days_Forecast]]*Table4[[#This Row],[Cost Boolean]]*(VLOOKUP(Table4[[#This Row],[RATE CONCAT]],Tables!I:N,5,0)),0)</f>
        <v/>
      </c>
      <c r="DJ65" s="347">
        <f>IFERROR(Table4[[#This Row],[Dec_2026_Days_Actual]]*Table4[[#This Row],[Cost Boolean]]*(VLOOKUP(Table4[[#This Row],[RATE CONCAT]],Tables!I:N,5,0)),0)</f>
        <v/>
      </c>
      <c r="DK65" s="347">
        <f>Table4[[#This Row],[Dec_2026_F]]-Table4[[#This Row],[Dec_2026_A]]</f>
        <v/>
      </c>
      <c r="DL65" s="103" t="n"/>
      <c r="DM65" s="346" t="n"/>
      <c r="DN65" s="347">
        <f>IFERROR(Table4[[#This Row],[Jan_2027_Days_Forecast]]*Table4[[#This Row],[Cost Boolean]]*(VLOOKUP(Table4[[#This Row],[RATE CONCAT]],Tables!I:N,6,0)),0)</f>
        <v/>
      </c>
      <c r="DO65" s="275" t="n"/>
      <c r="DP65" s="347">
        <f>Table4[[#This Row],[Jan_2027_F]]-Table4[[#This Row],[Jan_2027_A]]</f>
        <v/>
      </c>
      <c r="DQ65" s="347">
        <f>IFERROR(Table4[[#This Row],[Feb_2027_Days_Forecast]]*Table4[[#This Row],[Cost Boolean]]*(VLOOKUP(Table4[[#This Row],[RATE CONCAT]],Tables!I:N,6,0)),0)</f>
        <v/>
      </c>
      <c r="DR65" s="275" t="n"/>
      <c r="DS65" s="347">
        <f>Table4[[#This Row],[Feb_2027_F]]-Table4[[#This Row],[Feb_2027_A]]</f>
        <v/>
      </c>
      <c r="DT65" s="347">
        <f>IFERROR(Table4[[#This Row],[Mar_2027_Days_Forecast]]*Table4[[#This Row],[Cost Boolean]]*(VLOOKUP(Table4[[#This Row],[RATE CONCAT]],Tables!I:N,6,0)),0)</f>
        <v/>
      </c>
      <c r="DU65" s="275" t="n"/>
      <c r="DV65" s="347">
        <f>Table4[[#This Row],[Mar_2027_F]]-Table4[[#This Row],[Mar_2027_A]]</f>
        <v/>
      </c>
      <c r="DW65" s="347">
        <f>IFERROR(Table4[[#This Row],[Apr_2027_Days_Forecast]]*Table4[[#This Row],[Cost Boolean]]*(VLOOKUP(Table4[[#This Row],[RATE CONCAT]],Tables!I:N,6,0)),0)</f>
        <v/>
      </c>
      <c r="DX65" s="275" t="n"/>
      <c r="DY65" s="347">
        <f>Table4[[#This Row],[Apr_2027_F]]-Table4[[#This Row],[Apr_2027_A]]</f>
        <v/>
      </c>
      <c r="DZ65" s="347">
        <f>IFERROR(Table4[[#This Row],[May_2027_Days_Forecast]]*Table4[[#This Row],[Cost Boolean]]*(VLOOKUP(Table4[[#This Row],[RATE CONCAT]],Tables!I:N,6,0)),0)</f>
        <v/>
      </c>
      <c r="EA65" s="275" t="n"/>
      <c r="EB65" s="347">
        <f>Table4[[#This Row],[May_2027_F]]-Table4[[#This Row],[May_2027_A]]</f>
        <v/>
      </c>
      <c r="EC65" s="347">
        <f>IFERROR(Table4[[#This Row],[Jun_2027_Days_Forecast]]*Table4[[#This Row],[Cost Boolean]]*(VLOOKUP(Table4[[#This Row],[RATE CONCAT]],Tables!I:N,6,0)),0)</f>
        <v/>
      </c>
      <c r="ED65" s="275" t="n"/>
      <c r="EE65" s="347">
        <f>Table4[[#This Row],[Jun_2027_F]]-Table4[[#This Row],[Jun_2027_A]]</f>
        <v/>
      </c>
      <c r="EF65" s="347">
        <f>IFERROR(Table4[[#This Row],[Jul_2027_Days_Forecast]]*Table4[[#This Row],[Cost Boolean]]*(VLOOKUP(Table4[[#This Row],[RATE CONCAT]],Tables!I:N,6,0)),0)</f>
        <v/>
      </c>
      <c r="EG65" s="275" t="n"/>
      <c r="EH65" s="347">
        <f>Table4[[#This Row],[Jul_2027_F]]-Table4[[#This Row],[Jul_2027_A]]</f>
        <v/>
      </c>
      <c r="EI65" s="347">
        <f>IFERROR(Table4[[#This Row],[Aug_2027_Days_Forecast]]*Table4[[#This Row],[Cost Boolean]]*(VLOOKUP(Table4[[#This Row],[RATE CONCAT]],Tables!I:N,6,0)),0)</f>
        <v/>
      </c>
      <c r="EJ65" s="275" t="n"/>
      <c r="EK65" s="347">
        <f>Table4[[#This Row],[Aug_2027_F]]-Table4[[#This Row],[Aug_2027_A]]</f>
        <v/>
      </c>
      <c r="EL65" s="347">
        <f>IFERROR(Table4[[#This Row],[Sep_2027_Days_Forecast]]*Table4[[#This Row],[Cost Boolean]]*(VLOOKUP(Table4[[#This Row],[RATE CONCAT]],Tables!I:N,6,0)),0)</f>
        <v/>
      </c>
      <c r="EM65" s="275" t="n"/>
      <c r="EN65" s="347">
        <f>Table4[[#This Row],[Sep_2027_F]]-Table4[[#This Row],[Sep_2027_A]]</f>
        <v/>
      </c>
      <c r="EO65" s="347">
        <f>IFERROR(Table4[[#This Row],[Oct_2027_Days_Forecast]]*Table4[[#This Row],[Cost Boolean]]*(VLOOKUP(Table4[[#This Row],[RATE CONCAT]],Tables!I:N,6,0)),0)</f>
        <v/>
      </c>
      <c r="EP65" s="275" t="n"/>
      <c r="EQ65" s="347">
        <f>Table4[[#This Row],[Oct_2027_F]]-Table4[[#This Row],[Oct_2027_A]]</f>
        <v/>
      </c>
      <c r="ER65" s="347">
        <f>IFERROR(Table4[[#This Row],[Nov_2027_Days_Forecast]]*Table4[[#This Row],[Cost Boolean]]*(VLOOKUP(Table4[[#This Row],[RATE CONCAT]],Tables!I:N,6,0)),0)</f>
        <v/>
      </c>
      <c r="ES65" s="275" t="n"/>
      <c r="ET65" s="347">
        <f>Table4[[#This Row],[Nov_2027_F]]-Table4[[#This Row],[Nov_2027_A]]</f>
        <v/>
      </c>
      <c r="EU65" s="347">
        <f>IFERROR(Table4[[#This Row],[Dec_2027_Days_Forecast]]*Table4[[#This Row],[Cost Boolean]]*(VLOOKUP(Table4[[#This Row],[RATE CONCAT]],Tables!I:N,6,0)),0)</f>
        <v/>
      </c>
      <c r="EV65" s="275" t="n"/>
      <c r="EW65" s="347">
        <f>Table4[[#This Row],[Dec_2027_F]]-Table4[[#This Row],[Dec_2027_A]]</f>
        <v/>
      </c>
    </row>
    <row r="66" ht="1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350">
        <f>CONCATENATE(Table4[[#This Row],[JG]],Table4[[#This Row],[Country]],Table4[[#This Row],[Resource Provider]])</f>
        <v/>
      </c>
      <c r="Z66" s="350">
        <f>VLOOKUP(Table4[[#This Row],[RATE CONCAT]],Tables!I:N,5,0)</f>
        <v/>
      </c>
      <c r="AA66" s="53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353">
        <f>IFERROR(AVERAGE(Table4[[#This Row],[Jan_2026_Days_Forecast]:[Dec_2026_Days_Forecast]]),0)/19</f>
        <v/>
      </c>
      <c r="AO66" s="353">
        <f>IFERROR(AVERAGE(Table4[[#This Row],[Jan_2026_Days_Actual]:[Dec_2026_Days_Actual]]),0)/19</f>
        <v/>
      </c>
      <c r="AP66" s="84" t="n"/>
      <c r="AQ66" s="84" t="n"/>
      <c r="AR66" s="84" t="n"/>
      <c r="AS66" s="84" t="n"/>
      <c r="AT66" s="84" t="n"/>
      <c r="AU66" s="84" t="n"/>
      <c r="AV66" s="84" t="n"/>
      <c r="AW66" s="84" t="n"/>
      <c r="AX66" s="84" t="n"/>
      <c r="AY66" s="84" t="n"/>
      <c r="AZ66" s="84" t="n"/>
      <c r="BA66" s="84" t="n"/>
      <c r="BB66" s="353">
        <f>IFERROR(AVERAGE(Table4[[#This Row],[Jan_2027_Days_Forecast]:[Dec_2027_Days_Forecast]]),0)</f>
        <v/>
      </c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55" t="n"/>
      <c r="BP66" s="346" t="n"/>
      <c r="BQ66" s="345" t="n">
        <v>0</v>
      </c>
      <c r="BR66" s="345">
        <f>IFERROR(Table4[[#This Row],[Jan_2026_Days_Actual]]*Table4[[#This Row],[Cost Boolean]]*(VLOOKUP(Table4[[#This Row],[RATE CONCAT]],Tables!I:N,5,0)),0)</f>
        <v/>
      </c>
      <c r="BS66" s="345">
        <f>Table4[[#This Row],[Jan_2026_F]]-Table4[[#This Row],[Jan_2026_A]]</f>
        <v/>
      </c>
      <c r="BT66" s="107" t="n"/>
      <c r="BU66" s="345">
        <f>IFERROR(Table4[[#This Row],[Feb_2026_Days_Forecast]]*Table4[[#This Row],[Cost Boolean]]*(VLOOKUP(Table4[[#This Row],[RATE CONCAT]],Tables!I:N,5,0)),0)</f>
        <v/>
      </c>
      <c r="BV66" s="345">
        <f>IFERROR(Table4[[#This Row],[Feb_2026_Days_Actual]]*Table4[[#This Row],[Cost Boolean]]*(VLOOKUP(Table4[[#This Row],[RATE CONCAT]],Tables!I:N,5,0)),0)</f>
        <v/>
      </c>
      <c r="BW66" s="345">
        <f>Table4[[#This Row],[Feb_2026_F]]-Table4[[#This Row],[Feb_2026_A]]</f>
        <v/>
      </c>
      <c r="BX66" s="103" t="n"/>
      <c r="BY66" s="345">
        <f>IFERROR(Table4[[#This Row],[Mar_2026_Days_Forecast]]*Table4[[#This Row],[Cost Boolean]]*(VLOOKUP(Table4[[#This Row],[RATE CONCAT]],Tables!I:N,5,0)),0)</f>
        <v/>
      </c>
      <c r="BZ66" s="345">
        <f>IFERROR(Table4[[#This Row],[Mar_2026_Days_Actual]]*Table4[[#This Row],[Cost Boolean]]*(VLOOKUP(Table4[[#This Row],[RATE CONCAT]],Tables!I:N,5,0)),0)</f>
        <v/>
      </c>
      <c r="CA66" s="345">
        <f>Table4[[#This Row],[Mar_2026_F]]-Table4[[#This Row],[Mar_2026_A]]</f>
        <v/>
      </c>
      <c r="CB66" s="103" t="n"/>
      <c r="CC66" s="345">
        <f>IFERROR(Table4[[#This Row],[Apr_2026_Days_Forecast]]*Table4[[#This Row],[Cost Boolean]]*(VLOOKUP(Table4[[#This Row],[RATE CONCAT]],Tables!I:N,5,0)),0)</f>
        <v/>
      </c>
      <c r="CD66" s="345">
        <f>IFERROR(Table4[[#This Row],[Apr_2026_Days_Actual]]*Table4[[#This Row],[Cost Boolean]]*(VLOOKUP(Table4[[#This Row],[RATE CONCAT]],Tables!I:N,5,0)),0)</f>
        <v/>
      </c>
      <c r="CE66" s="345">
        <f>Table4[[#This Row],[Apr_2026_F]]-Table4[[#This Row],[Apr_2026_A]]</f>
        <v/>
      </c>
      <c r="CF66" s="103" t="n"/>
      <c r="CG66" s="345">
        <f>IFERROR(Table4[[#This Row],[May_2026_Days_Forecast]] *Table4[[#This Row],[Cost Boolean]]*(VLOOKUP(Table4[[#This Row],[RATE CONCAT]],Tables!I:N,5,0)),0)</f>
        <v/>
      </c>
      <c r="CH66" s="345">
        <f>IFERROR(Table4[[#This Row],[May_2026_Days_Actual]]*Table4[[#This Row],[Cost Boolean]]*(VLOOKUP(Table4[[#This Row],[RATE CONCAT]],Tables!I:N,5,0)),0)</f>
        <v/>
      </c>
      <c r="CI66" s="345">
        <f>Table4[[#This Row],[May_2026_F]]-Table4[[#This Row],[May_2026_A]]</f>
        <v/>
      </c>
      <c r="CJ66" s="103" t="n"/>
      <c r="CK66" s="345">
        <f>IFERROR(Table4[[#This Row],[Jun_2026_Days_Forecast]]*Table4[[#This Row],[Cost Boolean]]*(VLOOKUP(Table4[[#This Row],[RATE CONCAT]],Tables!I:N,5,0)),0)</f>
        <v/>
      </c>
      <c r="CL66" s="345">
        <f>IFERROR(Table4[[#This Row],[Jun_2026_Days_Actual]]*Table4[[#This Row],[Cost Boolean]]*(VLOOKUP(Table4[[#This Row],[RATE CONCAT]],Tables!I:N,5,0)),0)</f>
        <v/>
      </c>
      <c r="CM66" s="345">
        <f>Table4[[#This Row],[Jun_2026_F]]-Table4[[#This Row],[Jun_2026_A]]</f>
        <v/>
      </c>
      <c r="CN66" s="103" t="n"/>
      <c r="CO66" s="345">
        <f>IFERROR(Table4[[#This Row],[Jul_2026_Days_Forecast]]*Table4[[#This Row],[Cost Boolean]]*(VLOOKUP(Table4[[#This Row],[RATE CONCAT]],Tables!I:N,5,0)),0)</f>
        <v/>
      </c>
      <c r="CP66" s="345">
        <f>IFERROR(Table4[[#This Row],[Aug_2026_Days_Forecast]]*Table4[[#This Row],[Location]]*(VLOOKUP(Table4[[#This Row],[Rate]],Tables!J:O,5,0)),0)</f>
        <v/>
      </c>
      <c r="CQ66" s="345">
        <f>Table4[[#This Row],[Jul_2026_F]]-Table4[[#This Row],[Jul_2026_A]]</f>
        <v/>
      </c>
      <c r="CR66" s="103" t="n"/>
      <c r="CS66" s="345">
        <f>IFERROR(Table4[[#This Row],[Aug_2026_Days_Forecast]]*Table4[[#This Row],[Cost Boolean]]*(VLOOKUP(Table4[[#This Row],[RATE CONCAT]],Tables!I:N,5,0)),0)</f>
        <v/>
      </c>
      <c r="CT66" s="345">
        <f>IFERROR(Table4[[#This Row],[Aug_2026_Days_Actual]]*Table4[[#This Row],[Cost Boolean]]*(VLOOKUP(Table4[[#This Row],[RATE CONCAT]],Tables!I:N,5,0)),0)</f>
        <v/>
      </c>
      <c r="CU66" s="345">
        <f>Table4[[#This Row],[Aug_2026_F]]-Table4[[#This Row],[Aug_2026_A]]</f>
        <v/>
      </c>
      <c r="CV66" s="103" t="n"/>
      <c r="CW66" s="345">
        <f>IFERROR(Table4[[#This Row],[Sep_2026_Days_Forecast]]*Table4[[#This Row],[Cost Boolean]]*(VLOOKUP(Table4[[#This Row],[RATE CONCAT]],Tables!I:N,5,0)),0)</f>
        <v/>
      </c>
      <c r="CX66" s="345">
        <f>IFERROR(Table4[[#This Row],[Sep_2026_Days_Actual]]*Table4[[#This Row],[Cost Boolean]]*(VLOOKUP(Table4[[#This Row],[RATE CONCAT]],Tables!I:N,5,0)),0)</f>
        <v/>
      </c>
      <c r="CY66" s="345">
        <f>Table4[[#This Row],[Sep_2026_F]]-Table4[[#This Row],[Sep_2026_A]]</f>
        <v/>
      </c>
      <c r="CZ66" s="103" t="n"/>
      <c r="DA66" s="345">
        <f>IFERROR(Table4[[#This Row],[Oct_2026_Days_Forecast]]*Table4[[#This Row],[Cost Boolean]]*(VLOOKUP(Table4[[#This Row],[RATE CONCAT]],Tables!I:N,5,0)),0)</f>
        <v/>
      </c>
      <c r="DB66" s="345">
        <f>IFERROR(Table4[[#This Row],[Oct_2026_Days_Actual]]*Table4[[#This Row],[Cost Boolean]]*(VLOOKUP(Table4[[#This Row],[RATE CONCAT]],Tables!I:N,5,0)),0)</f>
        <v/>
      </c>
      <c r="DC66" s="345">
        <f>Table4[[#This Row],[Oct_2026_F]]-Table4[[#This Row],[Oct_2026_A]]</f>
        <v/>
      </c>
      <c r="DD66" s="103" t="n"/>
      <c r="DE66" s="345">
        <f>IFERROR(Table4[[#This Row],[Nov_2026_Days_Forecast]]*Table4[[#This Row],[Cost Boolean]]*(VLOOKUP(Table4[[#This Row],[RATE CONCAT]],Tables!I:N,5,0)),0)</f>
        <v/>
      </c>
      <c r="DF66" s="345">
        <f>IFERROR(Table4[[#This Row],[Nov_2026_Days_Actual]]*Table4[[#This Row],[Cost Boolean]]*(VLOOKUP(Table4[[#This Row],[RATE CONCAT]],Tables!I:N,5,0)),0)</f>
        <v/>
      </c>
      <c r="DG66" s="345">
        <f>Table4[[#This Row],[Nov_2026_F]]-Table4[[#This Row],[Nov_2026_A]]</f>
        <v/>
      </c>
      <c r="DH66" s="103" t="n"/>
      <c r="DI66" s="345">
        <f>IFERROR(Table4[[#This Row],[Dec_2026_Days_Forecast]]*Table4[[#This Row],[Cost Boolean]]*(VLOOKUP(Table4[[#This Row],[RATE CONCAT]],Tables!I:N,5,0)),0)</f>
        <v/>
      </c>
      <c r="DJ66" s="345">
        <f>IFERROR(Table4[[#This Row],[Dec_2026_Days_Actual]]*Table4[[#This Row],[Cost Boolean]]*(VLOOKUP(Table4[[#This Row],[RATE CONCAT]],Tables!I:N,5,0)),0)</f>
        <v/>
      </c>
      <c r="DK66" s="345">
        <f>Table4[[#This Row],[Dec_2026_F]]-Table4[[#This Row],[Dec_2026_A]]</f>
        <v/>
      </c>
      <c r="DL66" s="103" t="n"/>
      <c r="DM66" s="346" t="n"/>
      <c r="DN66" s="345">
        <f>IFERROR(Table4[[#This Row],[Jan_2027_Days_Forecast]]*Table4[[#This Row],[Cost Boolean]]*(VLOOKUP(Table4[[#This Row],[RATE CONCAT]],Tables!I:N,6,0)),0)</f>
        <v/>
      </c>
      <c r="DO66" s="275" t="n"/>
      <c r="DP66" s="345">
        <f>Table4[[#This Row],[Jan_2027_F]]-Table4[[#This Row],[Jan_2027_A]]</f>
        <v/>
      </c>
      <c r="DQ66" s="345">
        <f>IFERROR(Table4[[#This Row],[Feb_2027_Days_Forecast]]*Table4[[#This Row],[Cost Boolean]]*(VLOOKUP(Table4[[#This Row],[RATE CONCAT]],Tables!I:N,6,0)),0)</f>
        <v/>
      </c>
      <c r="DR66" s="275" t="n"/>
      <c r="DS66" s="345">
        <f>Table4[[#This Row],[Feb_2027_F]]-Table4[[#This Row],[Feb_2027_A]]</f>
        <v/>
      </c>
      <c r="DT66" s="345">
        <f>IFERROR(Table4[[#This Row],[Mar_2027_Days_Forecast]]*Table4[[#This Row],[Cost Boolean]]*(VLOOKUP(Table4[[#This Row],[RATE CONCAT]],Tables!I:N,6,0)),0)</f>
        <v/>
      </c>
      <c r="DU66" s="275" t="n"/>
      <c r="DV66" s="345">
        <f>Table4[[#This Row],[Mar_2027_F]]-Table4[[#This Row],[Mar_2027_A]]</f>
        <v/>
      </c>
      <c r="DW66" s="345">
        <f>IFERROR(Table4[[#This Row],[Apr_2027_Days_Forecast]]*Table4[[#This Row],[Cost Boolean]]*(VLOOKUP(Table4[[#This Row],[RATE CONCAT]],Tables!I:N,6,0)),0)</f>
        <v/>
      </c>
      <c r="DX66" s="275" t="n"/>
      <c r="DY66" s="345">
        <f>Table4[[#This Row],[Apr_2027_F]]-Table4[[#This Row],[Apr_2027_A]]</f>
        <v/>
      </c>
      <c r="DZ66" s="345">
        <f>IFERROR(Table4[[#This Row],[May_2027_Days_Forecast]]*Table4[[#This Row],[Cost Boolean]]*(VLOOKUP(Table4[[#This Row],[RATE CONCAT]],Tables!I:N,6,0)),0)</f>
        <v/>
      </c>
      <c r="EA66" s="275" t="n"/>
      <c r="EB66" s="345">
        <f>Table4[[#This Row],[May_2027_F]]-Table4[[#This Row],[May_2027_A]]</f>
        <v/>
      </c>
      <c r="EC66" s="345">
        <f>IFERROR(Table4[[#This Row],[Jun_2027_Days_Forecast]]*Table4[[#This Row],[Cost Boolean]]*(VLOOKUP(Table4[[#This Row],[RATE CONCAT]],Tables!I:N,6,0)),0)</f>
        <v/>
      </c>
      <c r="ED66" s="275" t="n"/>
      <c r="EE66" s="345">
        <f>Table4[[#This Row],[Jun_2027_F]]-Table4[[#This Row],[Jun_2027_A]]</f>
        <v/>
      </c>
      <c r="EF66" s="345">
        <f>IFERROR(Table4[[#This Row],[Jul_2027_Days_Forecast]]*Table4[[#This Row],[Cost Boolean]]*(VLOOKUP(Table4[[#This Row],[RATE CONCAT]],Tables!I:N,6,0)),0)</f>
        <v/>
      </c>
      <c r="EG66" s="275" t="n"/>
      <c r="EH66" s="345">
        <f>Table4[[#This Row],[Jul_2027_F]]-Table4[[#This Row],[Jul_2027_A]]</f>
        <v/>
      </c>
      <c r="EI66" s="345">
        <f>IFERROR(Table4[[#This Row],[Aug_2027_Days_Forecast]]*Table4[[#This Row],[Cost Boolean]]*(VLOOKUP(Table4[[#This Row],[RATE CONCAT]],Tables!I:N,6,0)),0)</f>
        <v/>
      </c>
      <c r="EJ66" s="275" t="n"/>
      <c r="EK66" s="345">
        <f>Table4[[#This Row],[Aug_2027_F]]-Table4[[#This Row],[Aug_2027_A]]</f>
        <v/>
      </c>
      <c r="EL66" s="345">
        <f>IFERROR(Table4[[#This Row],[Sep_2027_Days_Forecast]]*Table4[[#This Row],[Cost Boolean]]*(VLOOKUP(Table4[[#This Row],[RATE CONCAT]],Tables!I:N,6,0)),0)</f>
        <v/>
      </c>
      <c r="EM66" s="275" t="n"/>
      <c r="EN66" s="345">
        <f>Table4[[#This Row],[Sep_2027_F]]-Table4[[#This Row],[Sep_2027_A]]</f>
        <v/>
      </c>
      <c r="EO66" s="345">
        <f>IFERROR(Table4[[#This Row],[Oct_2027_Days_Forecast]]*Table4[[#This Row],[Cost Boolean]]*(VLOOKUP(Table4[[#This Row],[RATE CONCAT]],Tables!I:N,6,0)),0)</f>
        <v/>
      </c>
      <c r="EP66" s="275" t="n"/>
      <c r="EQ66" s="345">
        <f>Table4[[#This Row],[Oct_2027_F]]-Table4[[#This Row],[Oct_2027_A]]</f>
        <v/>
      </c>
      <c r="ER66" s="345">
        <f>IFERROR(Table4[[#This Row],[Nov_2027_Days_Forecast]]*Table4[[#This Row],[Cost Boolean]]*(VLOOKUP(Table4[[#This Row],[RATE CONCAT]],Tables!I:N,6,0)),0)</f>
        <v/>
      </c>
      <c r="ES66" s="275" t="n"/>
      <c r="ET66" s="345">
        <f>Table4[[#This Row],[Nov_2027_F]]-Table4[[#This Row],[Nov_2027_A]]</f>
        <v/>
      </c>
      <c r="EU66" s="345">
        <f>IFERROR(Table4[[#This Row],[Dec_2027_Days_Forecast]]*Table4[[#This Row],[Cost Boolean]]*(VLOOKUP(Table4[[#This Row],[RATE CONCAT]],Tables!I:N,6,0)),0)</f>
        <v/>
      </c>
      <c r="EV66" s="275" t="n"/>
      <c r="EW66" s="345">
        <f>Table4[[#This Row],[Dec_2027_F]]-Table4[[#This Row],[Dec_2027_A]]</f>
        <v/>
      </c>
    </row>
    <row r="67" ht="1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350">
        <f>CONCATENATE(Table4[[#This Row],[JG]],Table4[[#This Row],[Country]],Table4[[#This Row],[Resource Provider]])</f>
        <v/>
      </c>
      <c r="Z67" s="350">
        <f>VLOOKUP(Table4[[#This Row],[RATE CONCAT]],Tables!I:N,5,0)</f>
        <v/>
      </c>
      <c r="AA67" s="53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353">
        <f>IFERROR(AVERAGE(Table4[[#This Row],[Jan_2026_Days_Forecast]:[Dec_2026_Days_Forecast]]),0)/19</f>
        <v/>
      </c>
      <c r="AO67" s="353">
        <f>IFERROR(AVERAGE(Table4[[#This Row],[Jan_2026_Days_Actual]:[Dec_2026_Days_Actual]]),0)/19</f>
        <v/>
      </c>
      <c r="AP67" s="84" t="n"/>
      <c r="AQ67" s="84" t="n"/>
      <c r="AR67" s="84" t="n"/>
      <c r="AS67" s="84" t="n"/>
      <c r="AT67" s="84" t="n"/>
      <c r="AU67" s="84" t="n"/>
      <c r="AV67" s="84" t="n"/>
      <c r="AW67" s="84" t="n"/>
      <c r="AX67" s="84" t="n"/>
      <c r="AY67" s="84" t="n"/>
      <c r="AZ67" s="84" t="n"/>
      <c r="BA67" s="84" t="n"/>
      <c r="BB67" s="353">
        <f>IFERROR(AVERAGE(Table4[[#This Row],[Jan_2027_Days_Forecast]:[Dec_2027_Days_Forecast]]),0)</f>
        <v/>
      </c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55" t="n"/>
      <c r="BP67" s="346" t="n"/>
      <c r="BQ67" s="347" t="n">
        <v>0</v>
      </c>
      <c r="BR67" s="347">
        <f>IFERROR(Table4[[#This Row],[Jan_2026_Days_Actual]]*Table4[[#This Row],[Cost Boolean]]*(VLOOKUP(Table4[[#This Row],[RATE CONCAT]],Tables!I:N,5,0)),0)</f>
        <v/>
      </c>
      <c r="BS67" s="347">
        <f>Table4[[#This Row],[Jan_2026_F]]-Table4[[#This Row],[Jan_2026_A]]</f>
        <v/>
      </c>
      <c r="BT67" s="107" t="n"/>
      <c r="BU67" s="347">
        <f>IFERROR(Table4[[#This Row],[Feb_2026_Days_Forecast]]*Table4[[#This Row],[Cost Boolean]]*(VLOOKUP(Table4[[#This Row],[RATE CONCAT]],Tables!I:N,5,0)),0)</f>
        <v/>
      </c>
      <c r="BV67" s="347">
        <f>IFERROR(Table4[[#This Row],[Feb_2026_Days_Actual]]*Table4[[#This Row],[Cost Boolean]]*(VLOOKUP(Table4[[#This Row],[RATE CONCAT]],Tables!I:N,5,0)),0)</f>
        <v/>
      </c>
      <c r="BW67" s="347">
        <f>Table4[[#This Row],[Feb_2026_F]]-Table4[[#This Row],[Feb_2026_A]]</f>
        <v/>
      </c>
      <c r="BX67" s="103" t="n"/>
      <c r="BY67" s="347">
        <f>IFERROR(Table4[[#This Row],[Mar_2026_Days_Forecast]]*Table4[[#This Row],[Cost Boolean]]*(VLOOKUP(Table4[[#This Row],[RATE CONCAT]],Tables!I:N,5,0)),0)</f>
        <v/>
      </c>
      <c r="BZ67" s="347">
        <f>IFERROR(Table4[[#This Row],[Mar_2026_Days_Actual]]*Table4[[#This Row],[Cost Boolean]]*(VLOOKUP(Table4[[#This Row],[RATE CONCAT]],Tables!I:N,5,0)),0)</f>
        <v/>
      </c>
      <c r="CA67" s="347">
        <f>Table4[[#This Row],[Mar_2026_F]]-Table4[[#This Row],[Mar_2026_A]]</f>
        <v/>
      </c>
      <c r="CB67" s="103" t="n"/>
      <c r="CC67" s="347">
        <f>IFERROR(Table4[[#This Row],[Apr_2026_Days_Forecast]]*Table4[[#This Row],[Cost Boolean]]*(VLOOKUP(Table4[[#This Row],[RATE CONCAT]],Tables!I:N,5,0)),0)</f>
        <v/>
      </c>
      <c r="CD67" s="347">
        <f>IFERROR(Table4[[#This Row],[Apr_2026_Days_Actual]]*Table4[[#This Row],[Cost Boolean]]*(VLOOKUP(Table4[[#This Row],[RATE CONCAT]],Tables!I:N,5,0)),0)</f>
        <v/>
      </c>
      <c r="CE67" s="347">
        <f>Table4[[#This Row],[Apr_2026_F]]-Table4[[#This Row],[Apr_2026_A]]</f>
        <v/>
      </c>
      <c r="CF67" s="103" t="n"/>
      <c r="CG67" s="347">
        <f>IFERROR(Table4[[#This Row],[May_2026_Days_Forecast]] *Table4[[#This Row],[Cost Boolean]]*(VLOOKUP(Table4[[#This Row],[RATE CONCAT]],Tables!I:N,5,0)),0)</f>
        <v/>
      </c>
      <c r="CH67" s="347">
        <f>IFERROR(Table4[[#This Row],[May_2026_Days_Actual]]*Table4[[#This Row],[Cost Boolean]]*(VLOOKUP(Table4[[#This Row],[RATE CONCAT]],Tables!I:N,5,0)),0)</f>
        <v/>
      </c>
      <c r="CI67" s="347">
        <f>Table4[[#This Row],[May_2026_F]]-Table4[[#This Row],[May_2026_A]]</f>
        <v/>
      </c>
      <c r="CJ67" s="103" t="n"/>
      <c r="CK67" s="347">
        <f>IFERROR(Table4[[#This Row],[Jun_2026_Days_Forecast]]*Table4[[#This Row],[Cost Boolean]]*(VLOOKUP(Table4[[#This Row],[RATE CONCAT]],Tables!I:N,5,0)),0)</f>
        <v/>
      </c>
      <c r="CL67" s="347">
        <f>IFERROR(Table4[[#This Row],[Jun_2026_Days_Actual]]*Table4[[#This Row],[Cost Boolean]]*(VLOOKUP(Table4[[#This Row],[RATE CONCAT]],Tables!I:N,5,0)),0)</f>
        <v/>
      </c>
      <c r="CM67" s="347">
        <f>Table4[[#This Row],[Jun_2026_F]]-Table4[[#This Row],[Jun_2026_A]]</f>
        <v/>
      </c>
      <c r="CN67" s="103" t="n"/>
      <c r="CO67" s="347">
        <f>IFERROR(Table4[[#This Row],[Jul_2026_Days_Forecast]]*Table4[[#This Row],[Cost Boolean]]*(VLOOKUP(Table4[[#This Row],[RATE CONCAT]],Tables!I:N,5,0)),0)</f>
        <v/>
      </c>
      <c r="CP67" s="347">
        <f>IFERROR(Table4[[#This Row],[Aug_2026_Days_Forecast]]*Table4[[#This Row],[Location]]*(VLOOKUP(Table4[[#This Row],[Rate]],Tables!J:O,5,0)),0)</f>
        <v/>
      </c>
      <c r="CQ67" s="347">
        <f>Table4[[#This Row],[Jul_2026_F]]-Table4[[#This Row],[Jul_2026_A]]</f>
        <v/>
      </c>
      <c r="CR67" s="103" t="n"/>
      <c r="CS67" s="347">
        <f>IFERROR(Table4[[#This Row],[Aug_2026_Days_Forecast]]*Table4[[#This Row],[Cost Boolean]]*(VLOOKUP(Table4[[#This Row],[RATE CONCAT]],Tables!I:N,5,0)),0)</f>
        <v/>
      </c>
      <c r="CT67" s="347">
        <f>IFERROR(Table4[[#This Row],[Aug_2026_Days_Actual]]*Table4[[#This Row],[Cost Boolean]]*(VLOOKUP(Table4[[#This Row],[RATE CONCAT]],Tables!I:N,5,0)),0)</f>
        <v/>
      </c>
      <c r="CU67" s="347">
        <f>Table4[[#This Row],[Aug_2026_F]]-Table4[[#This Row],[Aug_2026_A]]</f>
        <v/>
      </c>
      <c r="CV67" s="103" t="n"/>
      <c r="CW67" s="347">
        <f>IFERROR(Table4[[#This Row],[Sep_2026_Days_Forecast]]*Table4[[#This Row],[Cost Boolean]]*(VLOOKUP(Table4[[#This Row],[RATE CONCAT]],Tables!I:N,5,0)),0)</f>
        <v/>
      </c>
      <c r="CX67" s="347">
        <f>IFERROR(Table4[[#This Row],[Sep_2026_Days_Actual]]*Table4[[#This Row],[Cost Boolean]]*(VLOOKUP(Table4[[#This Row],[RATE CONCAT]],Tables!I:N,5,0)),0)</f>
        <v/>
      </c>
      <c r="CY67" s="347">
        <f>Table4[[#This Row],[Sep_2026_F]]-Table4[[#This Row],[Sep_2026_A]]</f>
        <v/>
      </c>
      <c r="CZ67" s="103" t="n"/>
      <c r="DA67" s="347">
        <f>IFERROR(Table4[[#This Row],[Oct_2026_Days_Forecast]]*Table4[[#This Row],[Cost Boolean]]*(VLOOKUP(Table4[[#This Row],[RATE CONCAT]],Tables!I:N,5,0)),0)</f>
        <v/>
      </c>
      <c r="DB67" s="347">
        <f>IFERROR(Table4[[#This Row],[Oct_2026_Days_Actual]]*Table4[[#This Row],[Cost Boolean]]*(VLOOKUP(Table4[[#This Row],[RATE CONCAT]],Tables!I:N,5,0)),0)</f>
        <v/>
      </c>
      <c r="DC67" s="347">
        <f>Table4[[#This Row],[Oct_2026_F]]-Table4[[#This Row],[Oct_2026_A]]</f>
        <v/>
      </c>
      <c r="DD67" s="103" t="n"/>
      <c r="DE67" s="347">
        <f>IFERROR(Table4[[#This Row],[Nov_2026_Days_Forecast]]*Table4[[#This Row],[Cost Boolean]]*(VLOOKUP(Table4[[#This Row],[RATE CONCAT]],Tables!I:N,5,0)),0)</f>
        <v/>
      </c>
      <c r="DF67" s="347">
        <f>IFERROR(Table4[[#This Row],[Nov_2026_Days_Actual]]*Table4[[#This Row],[Cost Boolean]]*(VLOOKUP(Table4[[#This Row],[RATE CONCAT]],Tables!I:N,5,0)),0)</f>
        <v/>
      </c>
      <c r="DG67" s="347">
        <f>Table4[[#This Row],[Nov_2026_F]]-Table4[[#This Row],[Nov_2026_A]]</f>
        <v/>
      </c>
      <c r="DH67" s="103" t="n"/>
      <c r="DI67" s="347">
        <f>IFERROR(Table4[[#This Row],[Dec_2026_Days_Forecast]]*Table4[[#This Row],[Cost Boolean]]*(VLOOKUP(Table4[[#This Row],[RATE CONCAT]],Tables!I:N,5,0)),0)</f>
        <v/>
      </c>
      <c r="DJ67" s="347">
        <f>IFERROR(Table4[[#This Row],[Dec_2026_Days_Actual]]*Table4[[#This Row],[Cost Boolean]]*(VLOOKUP(Table4[[#This Row],[RATE CONCAT]],Tables!I:N,5,0)),0)</f>
        <v/>
      </c>
      <c r="DK67" s="347">
        <f>Table4[[#This Row],[Dec_2026_F]]-Table4[[#This Row],[Dec_2026_A]]</f>
        <v/>
      </c>
      <c r="DL67" s="103" t="n"/>
      <c r="DM67" s="346" t="n"/>
      <c r="DN67" s="347">
        <f>IFERROR(Table4[[#This Row],[Jan_2027_Days_Forecast]]*Table4[[#This Row],[Cost Boolean]]*(VLOOKUP(Table4[[#This Row],[RATE CONCAT]],Tables!I:N,6,0)),0)</f>
        <v/>
      </c>
      <c r="DO67" s="275" t="n"/>
      <c r="DP67" s="347">
        <f>Table4[[#This Row],[Jan_2027_F]]-Table4[[#This Row],[Jan_2027_A]]</f>
        <v/>
      </c>
      <c r="DQ67" s="347">
        <f>IFERROR(Table4[[#This Row],[Feb_2027_Days_Forecast]]*Table4[[#This Row],[Cost Boolean]]*(VLOOKUP(Table4[[#This Row],[RATE CONCAT]],Tables!I:N,6,0)),0)</f>
        <v/>
      </c>
      <c r="DR67" s="275" t="n"/>
      <c r="DS67" s="347">
        <f>Table4[[#This Row],[Feb_2027_F]]-Table4[[#This Row],[Feb_2027_A]]</f>
        <v/>
      </c>
      <c r="DT67" s="347">
        <f>IFERROR(Table4[[#This Row],[Mar_2027_Days_Forecast]]*Table4[[#This Row],[Cost Boolean]]*(VLOOKUP(Table4[[#This Row],[RATE CONCAT]],Tables!I:N,6,0)),0)</f>
        <v/>
      </c>
      <c r="DU67" s="275" t="n"/>
      <c r="DV67" s="347">
        <f>Table4[[#This Row],[Mar_2027_F]]-Table4[[#This Row],[Mar_2027_A]]</f>
        <v/>
      </c>
      <c r="DW67" s="347">
        <f>IFERROR(Table4[[#This Row],[Apr_2027_Days_Forecast]]*Table4[[#This Row],[Cost Boolean]]*(VLOOKUP(Table4[[#This Row],[RATE CONCAT]],Tables!I:N,6,0)),0)</f>
        <v/>
      </c>
      <c r="DX67" s="275" t="n"/>
      <c r="DY67" s="347">
        <f>Table4[[#This Row],[Apr_2027_F]]-Table4[[#This Row],[Apr_2027_A]]</f>
        <v/>
      </c>
      <c r="DZ67" s="347">
        <f>IFERROR(Table4[[#This Row],[May_2027_Days_Forecast]]*Table4[[#This Row],[Cost Boolean]]*(VLOOKUP(Table4[[#This Row],[RATE CONCAT]],Tables!I:N,6,0)),0)</f>
        <v/>
      </c>
      <c r="EA67" s="275" t="n"/>
      <c r="EB67" s="347">
        <f>Table4[[#This Row],[May_2027_F]]-Table4[[#This Row],[May_2027_A]]</f>
        <v/>
      </c>
      <c r="EC67" s="347">
        <f>IFERROR(Table4[[#This Row],[Jun_2027_Days_Forecast]]*Table4[[#This Row],[Cost Boolean]]*(VLOOKUP(Table4[[#This Row],[RATE CONCAT]],Tables!I:N,6,0)),0)</f>
        <v/>
      </c>
      <c r="ED67" s="275" t="n"/>
      <c r="EE67" s="347">
        <f>Table4[[#This Row],[Jun_2027_F]]-Table4[[#This Row],[Jun_2027_A]]</f>
        <v/>
      </c>
      <c r="EF67" s="347">
        <f>IFERROR(Table4[[#This Row],[Jul_2027_Days_Forecast]]*Table4[[#This Row],[Cost Boolean]]*(VLOOKUP(Table4[[#This Row],[RATE CONCAT]],Tables!I:N,6,0)),0)</f>
        <v/>
      </c>
      <c r="EG67" s="275" t="n"/>
      <c r="EH67" s="347">
        <f>Table4[[#This Row],[Jul_2027_F]]-Table4[[#This Row],[Jul_2027_A]]</f>
        <v/>
      </c>
      <c r="EI67" s="347">
        <f>IFERROR(Table4[[#This Row],[Aug_2027_Days_Forecast]]*Table4[[#This Row],[Cost Boolean]]*(VLOOKUP(Table4[[#This Row],[RATE CONCAT]],Tables!I:N,6,0)),0)</f>
        <v/>
      </c>
      <c r="EJ67" s="275" t="n"/>
      <c r="EK67" s="347">
        <f>Table4[[#This Row],[Aug_2027_F]]-Table4[[#This Row],[Aug_2027_A]]</f>
        <v/>
      </c>
      <c r="EL67" s="347">
        <f>IFERROR(Table4[[#This Row],[Sep_2027_Days_Forecast]]*Table4[[#This Row],[Cost Boolean]]*(VLOOKUP(Table4[[#This Row],[RATE CONCAT]],Tables!I:N,6,0)),0)</f>
        <v/>
      </c>
      <c r="EM67" s="275" t="n"/>
      <c r="EN67" s="347">
        <f>Table4[[#This Row],[Sep_2027_F]]-Table4[[#This Row],[Sep_2027_A]]</f>
        <v/>
      </c>
      <c r="EO67" s="347">
        <f>IFERROR(Table4[[#This Row],[Oct_2027_Days_Forecast]]*Table4[[#This Row],[Cost Boolean]]*(VLOOKUP(Table4[[#This Row],[RATE CONCAT]],Tables!I:N,6,0)),0)</f>
        <v/>
      </c>
      <c r="EP67" s="275" t="n"/>
      <c r="EQ67" s="347">
        <f>Table4[[#This Row],[Oct_2027_F]]-Table4[[#This Row],[Oct_2027_A]]</f>
        <v/>
      </c>
      <c r="ER67" s="347">
        <f>IFERROR(Table4[[#This Row],[Nov_2027_Days_Forecast]]*Table4[[#This Row],[Cost Boolean]]*(VLOOKUP(Table4[[#This Row],[RATE CONCAT]],Tables!I:N,6,0)),0)</f>
        <v/>
      </c>
      <c r="ES67" s="275" t="n"/>
      <c r="ET67" s="347">
        <f>Table4[[#This Row],[Nov_2027_F]]-Table4[[#This Row],[Nov_2027_A]]</f>
        <v/>
      </c>
      <c r="EU67" s="347">
        <f>IFERROR(Table4[[#This Row],[Dec_2027_Days_Forecast]]*Table4[[#This Row],[Cost Boolean]]*(VLOOKUP(Table4[[#This Row],[RATE CONCAT]],Tables!I:N,6,0)),0)</f>
        <v/>
      </c>
      <c r="EV67" s="275" t="n"/>
      <c r="EW67" s="347">
        <f>Table4[[#This Row],[Dec_2027_F]]-Table4[[#This Row],[Dec_2027_A]]</f>
        <v/>
      </c>
    </row>
    <row r="68" ht="14.4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350">
        <f>CONCATENATE(Table4[[#This Row],[JG]],Table4[[#This Row],[Country]],Table4[[#This Row],[Resource Provider]])</f>
        <v/>
      </c>
      <c r="Z68" s="350">
        <f>VLOOKUP(Table4[[#This Row],[RATE CONCAT]],Tables!I:N,5,0)</f>
        <v/>
      </c>
      <c r="AA68" s="53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353">
        <f>IFERROR(AVERAGE(Table4[[#This Row],[Jan_2026_Days_Forecast]:[Dec_2026_Days_Forecast]]),0)/19</f>
        <v/>
      </c>
      <c r="AO68" s="353">
        <f>IFERROR(AVERAGE(Table4[[#This Row],[Jan_2026_Days_Actual]:[Dec_2026_Days_Actual]]),0)/19</f>
        <v/>
      </c>
      <c r="AP68" s="84" t="n"/>
      <c r="AQ68" s="84" t="n"/>
      <c r="AR68" s="84" t="n"/>
      <c r="AS68" s="84" t="n"/>
      <c r="AT68" s="84" t="n"/>
      <c r="AU68" s="84" t="n"/>
      <c r="AV68" s="84" t="n"/>
      <c r="AW68" s="84" t="n"/>
      <c r="AX68" s="84" t="n"/>
      <c r="AY68" s="84" t="n"/>
      <c r="AZ68" s="84" t="n"/>
      <c r="BA68" s="84" t="n"/>
      <c r="BB68" s="353">
        <f>IFERROR(AVERAGE(Table4[[#This Row],[Jan_2027_Days_Forecast]:[Dec_2027_Days_Forecast]]),0)</f>
        <v/>
      </c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55" t="n"/>
      <c r="BP68" s="346" t="n"/>
      <c r="BQ68" s="345" t="n">
        <v>0</v>
      </c>
      <c r="BR68" s="345">
        <f>IFERROR(Table4[[#This Row],[Jan_2026_Days_Actual]]*Table4[[#This Row],[Cost Boolean]]*(VLOOKUP(Table4[[#This Row],[RATE CONCAT]],Tables!I:N,5,0)),0)</f>
        <v/>
      </c>
      <c r="BS68" s="345">
        <f>Table4[[#This Row],[Jan_2026_F]]-Table4[[#This Row],[Jan_2026_A]]</f>
        <v/>
      </c>
      <c r="BT68" s="107" t="n"/>
      <c r="BU68" s="345">
        <f>IFERROR(Table4[[#This Row],[Feb_2026_Days_Forecast]]*Table4[[#This Row],[Cost Boolean]]*(VLOOKUP(Table4[[#This Row],[RATE CONCAT]],Tables!I:N,5,0)),0)</f>
        <v/>
      </c>
      <c r="BV68" s="345">
        <f>IFERROR(Table4[[#This Row],[Feb_2026_Days_Actual]]*Table4[[#This Row],[Cost Boolean]]*(VLOOKUP(Table4[[#This Row],[RATE CONCAT]],Tables!I:N,5,0)),0)</f>
        <v/>
      </c>
      <c r="BW68" s="345">
        <f>Table4[[#This Row],[Feb_2026_F]]-Table4[[#This Row],[Feb_2026_A]]</f>
        <v/>
      </c>
      <c r="BX68" s="103" t="n"/>
      <c r="BY68" s="345">
        <f>IFERROR(Table4[[#This Row],[Mar_2026_Days_Forecast]]*Table4[[#This Row],[Cost Boolean]]*(VLOOKUP(Table4[[#This Row],[RATE CONCAT]],Tables!I:N,5,0)),0)</f>
        <v/>
      </c>
      <c r="BZ68" s="345">
        <f>IFERROR(Table4[[#This Row],[Mar_2026_Days_Actual]]*Table4[[#This Row],[Cost Boolean]]*(VLOOKUP(Table4[[#This Row],[RATE CONCAT]],Tables!I:N,5,0)),0)</f>
        <v/>
      </c>
      <c r="CA68" s="345">
        <f>Table4[[#This Row],[Mar_2026_F]]-Table4[[#This Row],[Mar_2026_A]]</f>
        <v/>
      </c>
      <c r="CB68" s="103" t="n"/>
      <c r="CC68" s="345">
        <f>IFERROR(Table4[[#This Row],[Apr_2026_Days_Forecast]]*Table4[[#This Row],[Cost Boolean]]*(VLOOKUP(Table4[[#This Row],[RATE CONCAT]],Tables!I:N,5,0)),0)</f>
        <v/>
      </c>
      <c r="CD68" s="345">
        <f>IFERROR(Table4[[#This Row],[Apr_2026_Days_Actual]]*Table4[[#This Row],[Cost Boolean]]*(VLOOKUP(Table4[[#This Row],[RATE CONCAT]],Tables!I:N,5,0)),0)</f>
        <v/>
      </c>
      <c r="CE68" s="345">
        <f>Table4[[#This Row],[Apr_2026_F]]-Table4[[#This Row],[Apr_2026_A]]</f>
        <v/>
      </c>
      <c r="CF68" s="103" t="n"/>
      <c r="CG68" s="345">
        <f>IFERROR(Table4[[#This Row],[May_2026_Days_Forecast]] *Table4[[#This Row],[Cost Boolean]]*(VLOOKUP(Table4[[#This Row],[RATE CONCAT]],Tables!I:N,5,0)),0)</f>
        <v/>
      </c>
      <c r="CH68" s="345">
        <f>IFERROR(Table4[[#This Row],[May_2026_Days_Actual]]*Table4[[#This Row],[Cost Boolean]]*(VLOOKUP(Table4[[#This Row],[RATE CONCAT]],Tables!I:N,5,0)),0)</f>
        <v/>
      </c>
      <c r="CI68" s="345">
        <f>Table4[[#This Row],[May_2026_F]]-Table4[[#This Row],[May_2026_A]]</f>
        <v/>
      </c>
      <c r="CJ68" s="103" t="n"/>
      <c r="CK68" s="345">
        <f>IFERROR(Table4[[#This Row],[Jun_2026_Days_Forecast]]*Table4[[#This Row],[Cost Boolean]]*(VLOOKUP(Table4[[#This Row],[RATE CONCAT]],Tables!I:N,5,0)),0)</f>
        <v/>
      </c>
      <c r="CL68" s="345">
        <f>IFERROR(Table4[[#This Row],[Jun_2026_Days_Actual]]*Table4[[#This Row],[Cost Boolean]]*(VLOOKUP(Table4[[#This Row],[RATE CONCAT]],Tables!I:N,5,0)),0)</f>
        <v/>
      </c>
      <c r="CM68" s="345">
        <f>Table4[[#This Row],[Jun_2026_F]]-Table4[[#This Row],[Jun_2026_A]]</f>
        <v/>
      </c>
      <c r="CN68" s="103" t="n"/>
      <c r="CO68" s="345">
        <f>IFERROR(Table4[[#This Row],[Jul_2026_Days_Forecast]]*Table4[[#This Row],[Cost Boolean]]*(VLOOKUP(Table4[[#This Row],[RATE CONCAT]],Tables!I:N,5,0)),0)</f>
        <v/>
      </c>
      <c r="CP68" s="345">
        <f>IFERROR(Table4[[#This Row],[Aug_2026_Days_Forecast]]*Table4[[#This Row],[Location]]*(VLOOKUP(Table4[[#This Row],[Rate]],Tables!J:O,5,0)),0)</f>
        <v/>
      </c>
      <c r="CQ68" s="345">
        <f>Table4[[#This Row],[Jul_2026_F]]-Table4[[#This Row],[Jul_2026_A]]</f>
        <v/>
      </c>
      <c r="CR68" s="103" t="n"/>
      <c r="CS68" s="345">
        <f>IFERROR(Table4[[#This Row],[Aug_2026_Days_Forecast]]*Table4[[#This Row],[Cost Boolean]]*(VLOOKUP(Table4[[#This Row],[RATE CONCAT]],Tables!I:N,5,0)),0)</f>
        <v/>
      </c>
      <c r="CT68" s="345">
        <f>IFERROR(Table4[[#This Row],[Aug_2026_Days_Actual]]*Table4[[#This Row],[Cost Boolean]]*(VLOOKUP(Table4[[#This Row],[RATE CONCAT]],Tables!I:N,5,0)),0)</f>
        <v/>
      </c>
      <c r="CU68" s="345">
        <f>Table4[[#This Row],[Aug_2026_F]]-Table4[[#This Row],[Aug_2026_A]]</f>
        <v/>
      </c>
      <c r="CV68" s="103" t="n"/>
      <c r="CW68" s="345">
        <f>IFERROR(Table4[[#This Row],[Sep_2026_Days_Forecast]]*Table4[[#This Row],[Cost Boolean]]*(VLOOKUP(Table4[[#This Row],[RATE CONCAT]],Tables!I:N,5,0)),0)</f>
        <v/>
      </c>
      <c r="CX68" s="345">
        <f>IFERROR(Table4[[#This Row],[Sep_2026_Days_Actual]]*Table4[[#This Row],[Cost Boolean]]*(VLOOKUP(Table4[[#This Row],[RATE CONCAT]],Tables!I:N,5,0)),0)</f>
        <v/>
      </c>
      <c r="CY68" s="345">
        <f>Table4[[#This Row],[Sep_2026_F]]-Table4[[#This Row],[Sep_2026_A]]</f>
        <v/>
      </c>
      <c r="CZ68" s="103" t="n"/>
      <c r="DA68" s="345">
        <f>IFERROR(Table4[[#This Row],[Oct_2026_Days_Forecast]]*Table4[[#This Row],[Cost Boolean]]*(VLOOKUP(Table4[[#This Row],[RATE CONCAT]],Tables!I:N,5,0)),0)</f>
        <v/>
      </c>
      <c r="DB68" s="345">
        <f>IFERROR(Table4[[#This Row],[Oct_2026_Days_Actual]]*Table4[[#This Row],[Cost Boolean]]*(VLOOKUP(Table4[[#This Row],[RATE CONCAT]],Tables!I:N,5,0)),0)</f>
        <v/>
      </c>
      <c r="DC68" s="345">
        <f>Table4[[#This Row],[Oct_2026_F]]-Table4[[#This Row],[Oct_2026_A]]</f>
        <v/>
      </c>
      <c r="DD68" s="103" t="n"/>
      <c r="DE68" s="345">
        <f>IFERROR(Table4[[#This Row],[Nov_2026_Days_Forecast]]*Table4[[#This Row],[Cost Boolean]]*(VLOOKUP(Table4[[#This Row],[RATE CONCAT]],Tables!I:N,5,0)),0)</f>
        <v/>
      </c>
      <c r="DF68" s="345">
        <f>IFERROR(Table4[[#This Row],[Nov_2026_Days_Actual]]*Table4[[#This Row],[Cost Boolean]]*(VLOOKUP(Table4[[#This Row],[RATE CONCAT]],Tables!I:N,5,0)),0)</f>
        <v/>
      </c>
      <c r="DG68" s="345">
        <f>Table4[[#This Row],[Nov_2026_F]]-Table4[[#This Row],[Nov_2026_A]]</f>
        <v/>
      </c>
      <c r="DH68" s="103" t="n"/>
      <c r="DI68" s="345">
        <f>IFERROR(Table4[[#This Row],[Dec_2026_Days_Forecast]]*Table4[[#This Row],[Cost Boolean]]*(VLOOKUP(Table4[[#This Row],[RATE CONCAT]],Tables!I:N,5,0)),0)</f>
        <v/>
      </c>
      <c r="DJ68" s="345">
        <f>IFERROR(Table4[[#This Row],[Dec_2026_Days_Actual]]*Table4[[#This Row],[Cost Boolean]]*(VLOOKUP(Table4[[#This Row],[RATE CONCAT]],Tables!I:N,5,0)),0)</f>
        <v/>
      </c>
      <c r="DK68" s="345">
        <f>Table4[[#This Row],[Dec_2026_F]]-Table4[[#This Row],[Dec_2026_A]]</f>
        <v/>
      </c>
      <c r="DL68" s="103" t="n"/>
      <c r="DM68" s="346" t="n"/>
      <c r="DN68" s="345">
        <f>IFERROR(Table4[[#This Row],[Jan_2027_Days_Forecast]]*Table4[[#This Row],[Cost Boolean]]*(VLOOKUP(Table4[[#This Row],[RATE CONCAT]],Tables!I:N,6,0)),0)</f>
        <v/>
      </c>
      <c r="DO68" s="275" t="n"/>
      <c r="DP68" s="345">
        <f>Table4[[#This Row],[Jan_2027_F]]-Table4[[#This Row],[Jan_2027_A]]</f>
        <v/>
      </c>
      <c r="DQ68" s="345">
        <f>IFERROR(Table4[[#This Row],[Feb_2027_Days_Forecast]]*Table4[[#This Row],[Cost Boolean]]*(VLOOKUP(Table4[[#This Row],[RATE CONCAT]],Tables!I:N,6,0)),0)</f>
        <v/>
      </c>
      <c r="DR68" s="275" t="n"/>
      <c r="DS68" s="345">
        <f>Table4[[#This Row],[Feb_2027_F]]-Table4[[#This Row],[Feb_2027_A]]</f>
        <v/>
      </c>
      <c r="DT68" s="345">
        <f>IFERROR(Table4[[#This Row],[Mar_2027_Days_Forecast]]*Table4[[#This Row],[Cost Boolean]]*(VLOOKUP(Table4[[#This Row],[RATE CONCAT]],Tables!I:N,6,0)),0)</f>
        <v/>
      </c>
      <c r="DU68" s="275" t="n"/>
      <c r="DV68" s="345">
        <f>Table4[[#This Row],[Mar_2027_F]]-Table4[[#This Row],[Mar_2027_A]]</f>
        <v/>
      </c>
      <c r="DW68" s="345">
        <f>IFERROR(Table4[[#This Row],[Apr_2027_Days_Forecast]]*Table4[[#This Row],[Cost Boolean]]*(VLOOKUP(Table4[[#This Row],[RATE CONCAT]],Tables!I:N,6,0)),0)</f>
        <v/>
      </c>
      <c r="DX68" s="275" t="n"/>
      <c r="DY68" s="345">
        <f>Table4[[#This Row],[Apr_2027_F]]-Table4[[#This Row],[Apr_2027_A]]</f>
        <v/>
      </c>
      <c r="DZ68" s="345">
        <f>IFERROR(Table4[[#This Row],[May_2027_Days_Forecast]]*Table4[[#This Row],[Cost Boolean]]*(VLOOKUP(Table4[[#This Row],[RATE CONCAT]],Tables!I:N,6,0)),0)</f>
        <v/>
      </c>
      <c r="EA68" s="275" t="n"/>
      <c r="EB68" s="345">
        <f>Table4[[#This Row],[May_2027_F]]-Table4[[#This Row],[May_2027_A]]</f>
        <v/>
      </c>
      <c r="EC68" s="345">
        <f>IFERROR(Table4[[#This Row],[Jun_2027_Days_Forecast]]*Table4[[#This Row],[Cost Boolean]]*(VLOOKUP(Table4[[#This Row],[RATE CONCAT]],Tables!I:N,6,0)),0)</f>
        <v/>
      </c>
      <c r="ED68" s="275" t="n"/>
      <c r="EE68" s="345">
        <f>Table4[[#This Row],[Jun_2027_F]]-Table4[[#This Row],[Jun_2027_A]]</f>
        <v/>
      </c>
      <c r="EF68" s="345">
        <f>IFERROR(Table4[[#This Row],[Jul_2027_Days_Forecast]]*Table4[[#This Row],[Cost Boolean]]*(VLOOKUP(Table4[[#This Row],[RATE CONCAT]],Tables!I:N,6,0)),0)</f>
        <v/>
      </c>
      <c r="EG68" s="275" t="n"/>
      <c r="EH68" s="345">
        <f>Table4[[#This Row],[Jul_2027_F]]-Table4[[#This Row],[Jul_2027_A]]</f>
        <v/>
      </c>
      <c r="EI68" s="345">
        <f>IFERROR(Table4[[#This Row],[Aug_2027_Days_Forecast]]*Table4[[#This Row],[Cost Boolean]]*(VLOOKUP(Table4[[#This Row],[RATE CONCAT]],Tables!I:N,6,0)),0)</f>
        <v/>
      </c>
      <c r="EJ68" s="275" t="n"/>
      <c r="EK68" s="345">
        <f>Table4[[#This Row],[Aug_2027_F]]-Table4[[#This Row],[Aug_2027_A]]</f>
        <v/>
      </c>
      <c r="EL68" s="345">
        <f>IFERROR(Table4[[#This Row],[Sep_2027_Days_Forecast]]*Table4[[#This Row],[Cost Boolean]]*(VLOOKUP(Table4[[#This Row],[RATE CONCAT]],Tables!I:N,6,0)),0)</f>
        <v/>
      </c>
      <c r="EM68" s="275" t="n"/>
      <c r="EN68" s="345">
        <f>Table4[[#This Row],[Sep_2027_F]]-Table4[[#This Row],[Sep_2027_A]]</f>
        <v/>
      </c>
      <c r="EO68" s="345">
        <f>IFERROR(Table4[[#This Row],[Oct_2027_Days_Forecast]]*Table4[[#This Row],[Cost Boolean]]*(VLOOKUP(Table4[[#This Row],[RATE CONCAT]],Tables!I:N,6,0)),0)</f>
        <v/>
      </c>
      <c r="EP68" s="275" t="n"/>
      <c r="EQ68" s="345">
        <f>Table4[[#This Row],[Oct_2027_F]]-Table4[[#This Row],[Oct_2027_A]]</f>
        <v/>
      </c>
      <c r="ER68" s="345">
        <f>IFERROR(Table4[[#This Row],[Nov_2027_Days_Forecast]]*Table4[[#This Row],[Cost Boolean]]*(VLOOKUP(Table4[[#This Row],[RATE CONCAT]],Tables!I:N,6,0)),0)</f>
        <v/>
      </c>
      <c r="ES68" s="275" t="n"/>
      <c r="ET68" s="345">
        <f>Table4[[#This Row],[Nov_2027_F]]-Table4[[#This Row],[Nov_2027_A]]</f>
        <v/>
      </c>
      <c r="EU68" s="345">
        <f>IFERROR(Table4[[#This Row],[Dec_2027_Days_Forecast]]*Table4[[#This Row],[Cost Boolean]]*(VLOOKUP(Table4[[#This Row],[RATE CONCAT]],Tables!I:N,6,0)),0)</f>
        <v/>
      </c>
      <c r="EV68" s="275" t="n"/>
      <c r="EW68" s="345">
        <f>Table4[[#This Row],[Dec_2027_F]]-Table4[[#This Row],[Dec_2027_A]]</f>
        <v/>
      </c>
    </row>
    <row r="69" ht="1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350">
        <f>CONCATENATE(Table4[[#This Row],[JG]],Table4[[#This Row],[Country]],Table4[[#This Row],[Resource Provider]])</f>
        <v/>
      </c>
      <c r="Z69" s="350">
        <f>VLOOKUP(Table4[[#This Row],[RATE CONCAT]],Tables!I:N,5,0)</f>
        <v/>
      </c>
      <c r="AA69" s="53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353">
        <f>IFERROR(AVERAGE(Table4[[#This Row],[Jan_2026_Days_Forecast]:[Dec_2026_Days_Forecast]]),0)/19</f>
        <v/>
      </c>
      <c r="AO69" s="353">
        <f>IFERROR(AVERAGE(Table4[[#This Row],[Jan_2026_Days_Actual]:[Dec_2026_Days_Actual]]),0)/19</f>
        <v/>
      </c>
      <c r="AP69" s="84" t="n"/>
      <c r="AQ69" s="84" t="n"/>
      <c r="AR69" s="84" t="n"/>
      <c r="AS69" s="84" t="n"/>
      <c r="AT69" s="84" t="n"/>
      <c r="AU69" s="84" t="n"/>
      <c r="AV69" s="84" t="n"/>
      <c r="AW69" s="84" t="n"/>
      <c r="AX69" s="84" t="n"/>
      <c r="AY69" s="84" t="n"/>
      <c r="AZ69" s="84" t="n"/>
      <c r="BA69" s="84" t="n"/>
      <c r="BB69" s="353">
        <f>IFERROR(AVERAGE(Table4[[#This Row],[Jan_2027_Days_Forecast]:[Dec_2027_Days_Forecast]]),0)</f>
        <v/>
      </c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55" t="n"/>
      <c r="BP69" s="346" t="n"/>
      <c r="BQ69" s="347" t="n">
        <v>0</v>
      </c>
      <c r="BR69" s="347">
        <f>IFERROR(Table4[[#This Row],[Jan_2026_Days_Actual]]*Table4[[#This Row],[Cost Boolean]]*(VLOOKUP(Table4[[#This Row],[RATE CONCAT]],Tables!I:N,5,0)),0)</f>
        <v/>
      </c>
      <c r="BS69" s="347">
        <f>Table4[[#This Row],[Jan_2026_F]]-Table4[[#This Row],[Jan_2026_A]]</f>
        <v/>
      </c>
      <c r="BT69" s="107" t="n"/>
      <c r="BU69" s="347">
        <f>IFERROR(Table4[[#This Row],[Feb_2026_Days_Forecast]]*Table4[[#This Row],[Cost Boolean]]*(VLOOKUP(Table4[[#This Row],[RATE CONCAT]],Tables!I:N,5,0)),0)</f>
        <v/>
      </c>
      <c r="BV69" s="347">
        <f>IFERROR(Table4[[#This Row],[Feb_2026_Days_Actual]]*Table4[[#This Row],[Cost Boolean]]*(VLOOKUP(Table4[[#This Row],[RATE CONCAT]],Tables!I:N,5,0)),0)</f>
        <v/>
      </c>
      <c r="BW69" s="347">
        <f>Table4[[#This Row],[Feb_2026_F]]-Table4[[#This Row],[Feb_2026_A]]</f>
        <v/>
      </c>
      <c r="BX69" s="103" t="n"/>
      <c r="BY69" s="347">
        <f>IFERROR(Table4[[#This Row],[Mar_2026_Days_Forecast]]*Table4[[#This Row],[Cost Boolean]]*(VLOOKUP(Table4[[#This Row],[RATE CONCAT]],Tables!I:N,5,0)),0)</f>
        <v/>
      </c>
      <c r="BZ69" s="347">
        <f>IFERROR(Table4[[#This Row],[Mar_2026_Days_Actual]]*Table4[[#This Row],[Cost Boolean]]*(VLOOKUP(Table4[[#This Row],[RATE CONCAT]],Tables!I:N,5,0)),0)</f>
        <v/>
      </c>
      <c r="CA69" s="347">
        <f>Table4[[#This Row],[Mar_2026_F]]-Table4[[#This Row],[Mar_2026_A]]</f>
        <v/>
      </c>
      <c r="CB69" s="103" t="n"/>
      <c r="CC69" s="347">
        <f>IFERROR(Table4[[#This Row],[Apr_2026_Days_Forecast]]*Table4[[#This Row],[Cost Boolean]]*(VLOOKUP(Table4[[#This Row],[RATE CONCAT]],Tables!I:N,5,0)),0)</f>
        <v/>
      </c>
      <c r="CD69" s="347">
        <f>IFERROR(Table4[[#This Row],[Apr_2026_Days_Actual]]*Table4[[#This Row],[Cost Boolean]]*(VLOOKUP(Table4[[#This Row],[RATE CONCAT]],Tables!I:N,5,0)),0)</f>
        <v/>
      </c>
      <c r="CE69" s="347">
        <f>Table4[[#This Row],[Apr_2026_F]]-Table4[[#This Row],[Apr_2026_A]]</f>
        <v/>
      </c>
      <c r="CF69" s="103" t="n"/>
      <c r="CG69" s="347">
        <f>IFERROR(Table4[[#This Row],[May_2026_Days_Forecast]] *Table4[[#This Row],[Cost Boolean]]*(VLOOKUP(Table4[[#This Row],[RATE CONCAT]],Tables!I:N,5,0)),0)</f>
        <v/>
      </c>
      <c r="CH69" s="347">
        <f>IFERROR(Table4[[#This Row],[May_2026_Days_Actual]]*Table4[[#This Row],[Cost Boolean]]*(VLOOKUP(Table4[[#This Row],[RATE CONCAT]],Tables!I:N,5,0)),0)</f>
        <v/>
      </c>
      <c r="CI69" s="347">
        <f>Table4[[#This Row],[May_2026_F]]-Table4[[#This Row],[May_2026_A]]</f>
        <v/>
      </c>
      <c r="CJ69" s="103" t="n"/>
      <c r="CK69" s="347">
        <f>IFERROR(Table4[[#This Row],[Jun_2026_Days_Forecast]]*Table4[[#This Row],[Cost Boolean]]*(VLOOKUP(Table4[[#This Row],[RATE CONCAT]],Tables!I:N,5,0)),0)</f>
        <v/>
      </c>
      <c r="CL69" s="347">
        <f>IFERROR(Table4[[#This Row],[Jun_2026_Days_Actual]]*Table4[[#This Row],[Cost Boolean]]*(VLOOKUP(Table4[[#This Row],[RATE CONCAT]],Tables!I:N,5,0)),0)</f>
        <v/>
      </c>
      <c r="CM69" s="347">
        <f>Table4[[#This Row],[Jun_2026_F]]-Table4[[#This Row],[Jun_2026_A]]</f>
        <v/>
      </c>
      <c r="CN69" s="103" t="n"/>
      <c r="CO69" s="347">
        <f>IFERROR(Table4[[#This Row],[Jul_2026_Days_Forecast]]*Table4[[#This Row],[Cost Boolean]]*(VLOOKUP(Table4[[#This Row],[RATE CONCAT]],Tables!I:N,5,0)),0)</f>
        <v/>
      </c>
      <c r="CP69" s="347">
        <f>IFERROR(Table4[[#This Row],[Aug_2026_Days_Forecast]]*Table4[[#This Row],[Location]]*(VLOOKUP(Table4[[#This Row],[Rate]],Tables!J:O,5,0)),0)</f>
        <v/>
      </c>
      <c r="CQ69" s="347">
        <f>Table4[[#This Row],[Jul_2026_F]]-Table4[[#This Row],[Jul_2026_A]]</f>
        <v/>
      </c>
      <c r="CR69" s="103" t="n"/>
      <c r="CS69" s="347">
        <f>IFERROR(Table4[[#This Row],[Aug_2026_Days_Forecast]]*Table4[[#This Row],[Cost Boolean]]*(VLOOKUP(Table4[[#This Row],[RATE CONCAT]],Tables!I:N,5,0)),0)</f>
        <v/>
      </c>
      <c r="CT69" s="347">
        <f>IFERROR(Table4[[#This Row],[Aug_2026_Days_Actual]]*Table4[[#This Row],[Cost Boolean]]*(VLOOKUP(Table4[[#This Row],[RATE CONCAT]],Tables!I:N,5,0)),0)</f>
        <v/>
      </c>
      <c r="CU69" s="347">
        <f>Table4[[#This Row],[Aug_2026_F]]-Table4[[#This Row],[Aug_2026_A]]</f>
        <v/>
      </c>
      <c r="CV69" s="103" t="n"/>
      <c r="CW69" s="347">
        <f>IFERROR(Table4[[#This Row],[Sep_2026_Days_Forecast]]*Table4[[#This Row],[Cost Boolean]]*(VLOOKUP(Table4[[#This Row],[RATE CONCAT]],Tables!I:N,5,0)),0)</f>
        <v/>
      </c>
      <c r="CX69" s="347">
        <f>IFERROR(Table4[[#This Row],[Sep_2026_Days_Actual]]*Table4[[#This Row],[Cost Boolean]]*(VLOOKUP(Table4[[#This Row],[RATE CONCAT]],Tables!I:N,5,0)),0)</f>
        <v/>
      </c>
      <c r="CY69" s="347">
        <f>Table4[[#This Row],[Sep_2026_F]]-Table4[[#This Row],[Sep_2026_A]]</f>
        <v/>
      </c>
      <c r="CZ69" s="103" t="n"/>
      <c r="DA69" s="347">
        <f>IFERROR(Table4[[#This Row],[Oct_2026_Days_Forecast]]*Table4[[#This Row],[Cost Boolean]]*(VLOOKUP(Table4[[#This Row],[RATE CONCAT]],Tables!I:N,5,0)),0)</f>
        <v/>
      </c>
      <c r="DB69" s="347">
        <f>IFERROR(Table4[[#This Row],[Oct_2026_Days_Actual]]*Table4[[#This Row],[Cost Boolean]]*(VLOOKUP(Table4[[#This Row],[RATE CONCAT]],Tables!I:N,5,0)),0)</f>
        <v/>
      </c>
      <c r="DC69" s="347">
        <f>Table4[[#This Row],[Oct_2026_F]]-Table4[[#This Row],[Oct_2026_A]]</f>
        <v/>
      </c>
      <c r="DD69" s="103" t="n"/>
      <c r="DE69" s="347">
        <f>IFERROR(Table4[[#This Row],[Nov_2026_Days_Forecast]]*Table4[[#This Row],[Cost Boolean]]*(VLOOKUP(Table4[[#This Row],[RATE CONCAT]],Tables!I:N,5,0)),0)</f>
        <v/>
      </c>
      <c r="DF69" s="347">
        <f>IFERROR(Table4[[#This Row],[Nov_2026_Days_Actual]]*Table4[[#This Row],[Cost Boolean]]*(VLOOKUP(Table4[[#This Row],[RATE CONCAT]],Tables!I:N,5,0)),0)</f>
        <v/>
      </c>
      <c r="DG69" s="347">
        <f>Table4[[#This Row],[Nov_2026_F]]-Table4[[#This Row],[Nov_2026_A]]</f>
        <v/>
      </c>
      <c r="DH69" s="103" t="n"/>
      <c r="DI69" s="347">
        <f>IFERROR(Table4[[#This Row],[Dec_2026_Days_Forecast]]*Table4[[#This Row],[Cost Boolean]]*(VLOOKUP(Table4[[#This Row],[RATE CONCAT]],Tables!I:N,5,0)),0)</f>
        <v/>
      </c>
      <c r="DJ69" s="347">
        <f>IFERROR(Table4[[#This Row],[Dec_2026_Days_Actual]]*Table4[[#This Row],[Cost Boolean]]*(VLOOKUP(Table4[[#This Row],[RATE CONCAT]],Tables!I:N,5,0)),0)</f>
        <v/>
      </c>
      <c r="DK69" s="347">
        <f>Table4[[#This Row],[Dec_2026_F]]-Table4[[#This Row],[Dec_2026_A]]</f>
        <v/>
      </c>
      <c r="DL69" s="103" t="n"/>
      <c r="DM69" s="346" t="n"/>
      <c r="DN69" s="347">
        <f>IFERROR(Table4[[#This Row],[Jan_2027_Days_Forecast]]*Table4[[#This Row],[Cost Boolean]]*(VLOOKUP(Table4[[#This Row],[RATE CONCAT]],Tables!I:N,6,0)),0)</f>
        <v/>
      </c>
      <c r="DO69" s="275" t="n"/>
      <c r="DP69" s="347">
        <f>Table4[[#This Row],[Jan_2027_F]]-Table4[[#This Row],[Jan_2027_A]]</f>
        <v/>
      </c>
      <c r="DQ69" s="347">
        <f>IFERROR(Table4[[#This Row],[Feb_2027_Days_Forecast]]*Table4[[#This Row],[Cost Boolean]]*(VLOOKUP(Table4[[#This Row],[RATE CONCAT]],Tables!I:N,6,0)),0)</f>
        <v/>
      </c>
      <c r="DR69" s="275" t="n"/>
      <c r="DS69" s="347">
        <f>Table4[[#This Row],[Feb_2027_F]]-Table4[[#This Row],[Feb_2027_A]]</f>
        <v/>
      </c>
      <c r="DT69" s="347">
        <f>IFERROR(Table4[[#This Row],[Mar_2027_Days_Forecast]]*Table4[[#This Row],[Cost Boolean]]*(VLOOKUP(Table4[[#This Row],[RATE CONCAT]],Tables!I:N,6,0)),0)</f>
        <v/>
      </c>
      <c r="DU69" s="275" t="n"/>
      <c r="DV69" s="347">
        <f>Table4[[#This Row],[Mar_2027_F]]-Table4[[#This Row],[Mar_2027_A]]</f>
        <v/>
      </c>
      <c r="DW69" s="347">
        <f>IFERROR(Table4[[#This Row],[Apr_2027_Days_Forecast]]*Table4[[#This Row],[Cost Boolean]]*(VLOOKUP(Table4[[#This Row],[RATE CONCAT]],Tables!I:N,6,0)),0)</f>
        <v/>
      </c>
      <c r="DX69" s="275" t="n"/>
      <c r="DY69" s="347">
        <f>Table4[[#This Row],[Apr_2027_F]]-Table4[[#This Row],[Apr_2027_A]]</f>
        <v/>
      </c>
      <c r="DZ69" s="347">
        <f>IFERROR(Table4[[#This Row],[May_2027_Days_Forecast]]*Table4[[#This Row],[Cost Boolean]]*(VLOOKUP(Table4[[#This Row],[RATE CONCAT]],Tables!I:N,6,0)),0)</f>
        <v/>
      </c>
      <c r="EA69" s="275" t="n"/>
      <c r="EB69" s="347">
        <f>Table4[[#This Row],[May_2027_F]]-Table4[[#This Row],[May_2027_A]]</f>
        <v/>
      </c>
      <c r="EC69" s="347">
        <f>IFERROR(Table4[[#This Row],[Jun_2027_Days_Forecast]]*Table4[[#This Row],[Cost Boolean]]*(VLOOKUP(Table4[[#This Row],[RATE CONCAT]],Tables!I:N,6,0)),0)</f>
        <v/>
      </c>
      <c r="ED69" s="275" t="n"/>
      <c r="EE69" s="347">
        <f>Table4[[#This Row],[Jun_2027_F]]-Table4[[#This Row],[Jun_2027_A]]</f>
        <v/>
      </c>
      <c r="EF69" s="347">
        <f>IFERROR(Table4[[#This Row],[Jul_2027_Days_Forecast]]*Table4[[#This Row],[Cost Boolean]]*(VLOOKUP(Table4[[#This Row],[RATE CONCAT]],Tables!I:N,6,0)),0)</f>
        <v/>
      </c>
      <c r="EG69" s="275" t="n"/>
      <c r="EH69" s="347">
        <f>Table4[[#This Row],[Jul_2027_F]]-Table4[[#This Row],[Jul_2027_A]]</f>
        <v/>
      </c>
      <c r="EI69" s="347">
        <f>IFERROR(Table4[[#This Row],[Aug_2027_Days_Forecast]]*Table4[[#This Row],[Cost Boolean]]*(VLOOKUP(Table4[[#This Row],[RATE CONCAT]],Tables!I:N,6,0)),0)</f>
        <v/>
      </c>
      <c r="EJ69" s="275" t="n"/>
      <c r="EK69" s="347">
        <f>Table4[[#This Row],[Aug_2027_F]]-Table4[[#This Row],[Aug_2027_A]]</f>
        <v/>
      </c>
      <c r="EL69" s="347">
        <f>IFERROR(Table4[[#This Row],[Sep_2027_Days_Forecast]]*Table4[[#This Row],[Cost Boolean]]*(VLOOKUP(Table4[[#This Row],[RATE CONCAT]],Tables!I:N,6,0)),0)</f>
        <v/>
      </c>
      <c r="EM69" s="275" t="n"/>
      <c r="EN69" s="347">
        <f>Table4[[#This Row],[Sep_2027_F]]-Table4[[#This Row],[Sep_2027_A]]</f>
        <v/>
      </c>
      <c r="EO69" s="347">
        <f>IFERROR(Table4[[#This Row],[Oct_2027_Days_Forecast]]*Table4[[#This Row],[Cost Boolean]]*(VLOOKUP(Table4[[#This Row],[RATE CONCAT]],Tables!I:N,6,0)),0)</f>
        <v/>
      </c>
      <c r="EP69" s="275" t="n"/>
      <c r="EQ69" s="347">
        <f>Table4[[#This Row],[Oct_2027_F]]-Table4[[#This Row],[Oct_2027_A]]</f>
        <v/>
      </c>
      <c r="ER69" s="347">
        <f>IFERROR(Table4[[#This Row],[Nov_2027_Days_Forecast]]*Table4[[#This Row],[Cost Boolean]]*(VLOOKUP(Table4[[#This Row],[RATE CONCAT]],Tables!I:N,6,0)),0)</f>
        <v/>
      </c>
      <c r="ES69" s="275" t="n"/>
      <c r="ET69" s="347">
        <f>Table4[[#This Row],[Nov_2027_F]]-Table4[[#This Row],[Nov_2027_A]]</f>
        <v/>
      </c>
      <c r="EU69" s="347">
        <f>IFERROR(Table4[[#This Row],[Dec_2027_Days_Forecast]]*Table4[[#This Row],[Cost Boolean]]*(VLOOKUP(Table4[[#This Row],[RATE CONCAT]],Tables!I:N,6,0)),0)</f>
        <v/>
      </c>
      <c r="EV69" s="275" t="n"/>
      <c r="EW69" s="347">
        <f>Table4[[#This Row],[Dec_2027_F]]-Table4[[#This Row],[Dec_2027_A]]</f>
        <v/>
      </c>
    </row>
    <row r="70" ht="1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350">
        <f>CONCATENATE(Table4[[#This Row],[JG]],Table4[[#This Row],[Country]],Table4[[#This Row],[Resource Provider]])</f>
        <v/>
      </c>
      <c r="Z70" s="350">
        <f>VLOOKUP(Table4[[#This Row],[RATE CONCAT]],Tables!I:N,5,0)</f>
        <v/>
      </c>
      <c r="AA70" s="53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353">
        <f>IFERROR(AVERAGE(Table4[[#This Row],[Jan_2026_Days_Forecast]:[Dec_2026_Days_Forecast]]),0)/19</f>
        <v/>
      </c>
      <c r="AO70" s="353">
        <f>IFERROR(AVERAGE(Table4[[#This Row],[Jan_2026_Days_Actual]:[Dec_2026_Days_Actual]]),0)/19</f>
        <v/>
      </c>
      <c r="AP70" s="84" t="n"/>
      <c r="AQ70" s="84" t="n"/>
      <c r="AR70" s="84" t="n"/>
      <c r="AS70" s="84" t="n"/>
      <c r="AT70" s="84" t="n"/>
      <c r="AU70" s="84" t="n"/>
      <c r="AV70" s="84" t="n"/>
      <c r="AW70" s="84" t="n"/>
      <c r="AX70" s="84" t="n"/>
      <c r="AY70" s="84" t="n"/>
      <c r="AZ70" s="84" t="n"/>
      <c r="BA70" s="84" t="n"/>
      <c r="BB70" s="353">
        <f>IFERROR(AVERAGE(Table4[[#This Row],[Jan_2027_Days_Forecast]:[Dec_2027_Days_Forecast]]),0)</f>
        <v/>
      </c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55" t="n"/>
      <c r="BP70" s="346" t="n"/>
      <c r="BQ70" s="345">
        <f>Table4[[#This Row],[Jan_2026_Days_Forecast]]*Table4[[#This Row],[Cost Boolean]]*VLOOKUP(Table4[[#This Row],[RATE CONCAT]],Tables!I:N,5,0)</f>
        <v/>
      </c>
      <c r="BR70" s="345">
        <f>IFERROR(Table4[[#This Row],[Jan_2026_Days_Actual]]*Table4[[#This Row],[Cost Boolean]]*(VLOOKUP(Table4[[#This Row],[RATE CONCAT]],Tables!I:N,5,0)),0)</f>
        <v/>
      </c>
      <c r="BS70" s="345">
        <f>Table4[[#This Row],[Jan_2026_F]]-Table4[[#This Row],[Jan_2026_A]]</f>
        <v/>
      </c>
      <c r="BT70" s="107" t="n"/>
      <c r="BU70" s="345">
        <f>IFERROR(Table4[[#This Row],[Feb_2026_Days_Forecast]]*Table4[[#This Row],[Cost Boolean]]*(VLOOKUP(Table4[[#This Row],[RATE CONCAT]],Tables!I:N,5,0)),0)</f>
        <v/>
      </c>
      <c r="BV70" s="345">
        <f>IFERROR(Table4[[#This Row],[Feb_2026_Days_Actual]]*Table4[[#This Row],[Cost Boolean]]*(VLOOKUP(Table4[[#This Row],[RATE CONCAT]],Tables!I:N,5,0)),0)</f>
        <v/>
      </c>
      <c r="BW70" s="345">
        <f>Table4[[#This Row],[Feb_2026_F]]-Table4[[#This Row],[Feb_2026_A]]</f>
        <v/>
      </c>
      <c r="BX70" s="103" t="n"/>
      <c r="BY70" s="345">
        <f>IFERROR(Table4[[#This Row],[Mar_2026_Days_Forecast]]*Table4[[#This Row],[Cost Boolean]]*(VLOOKUP(Table4[[#This Row],[RATE CONCAT]],Tables!I:N,5,0)),0)</f>
        <v/>
      </c>
      <c r="BZ70" s="345">
        <f>IFERROR(Table4[[#This Row],[Mar_2026_Days_Actual]]*Table4[[#This Row],[Cost Boolean]]*(VLOOKUP(Table4[[#This Row],[RATE CONCAT]],Tables!I:N,5,0)),0)</f>
        <v/>
      </c>
      <c r="CA70" s="345">
        <f>Table4[[#This Row],[Mar_2026_F]]-Table4[[#This Row],[Mar_2026_A]]</f>
        <v/>
      </c>
      <c r="CB70" s="103" t="n"/>
      <c r="CC70" s="345">
        <f>IFERROR(Table4[[#This Row],[Apr_2026_Days_Forecast]]*Table4[[#This Row],[Cost Boolean]]*(VLOOKUP(Table4[[#This Row],[RATE CONCAT]],Tables!I:N,5,0)),0)</f>
        <v/>
      </c>
      <c r="CD70" s="345">
        <f>IFERROR(Table4[[#This Row],[Apr_2026_Days_Actual]]*Table4[[#This Row],[Cost Boolean]]*(VLOOKUP(Table4[[#This Row],[RATE CONCAT]],Tables!I:N,5,0)),0)</f>
        <v/>
      </c>
      <c r="CE70" s="345">
        <f>Table4[[#This Row],[Apr_2026_F]]-Table4[[#This Row],[Apr_2026_A]]</f>
        <v/>
      </c>
      <c r="CF70" s="103" t="n"/>
      <c r="CG70" s="345">
        <f>IFERROR(Table4[[#This Row],[May_2026_Days_Forecast]] *Table4[[#This Row],[Cost Boolean]]*(VLOOKUP(Table4[[#This Row],[RATE CONCAT]],Tables!I:N,5,0)),0)</f>
        <v/>
      </c>
      <c r="CH70" s="345">
        <f>IFERROR(Table4[[#This Row],[May_2026_Days_Actual]]*Table4[[#This Row],[Cost Boolean]]*(VLOOKUP(Table4[[#This Row],[RATE CONCAT]],Tables!I:N,5,0)),0)</f>
        <v/>
      </c>
      <c r="CI70" s="345">
        <f>Table4[[#This Row],[May_2026_F]]-Table4[[#This Row],[May_2026_A]]</f>
        <v/>
      </c>
      <c r="CJ70" s="103" t="n"/>
      <c r="CK70" s="345">
        <f>IFERROR(Table4[[#This Row],[Jun_2026_Days_Forecast]]*Table4[[#This Row],[Cost Boolean]]*(VLOOKUP(Table4[[#This Row],[RATE CONCAT]],Tables!I:N,5,0)),0)</f>
        <v/>
      </c>
      <c r="CL70" s="345">
        <f>IFERROR(Table4[[#This Row],[Jun_2026_Days_Actual]]*Table4[[#This Row],[Cost Boolean]]*(VLOOKUP(Table4[[#This Row],[RATE CONCAT]],Tables!I:N,5,0)),0)</f>
        <v/>
      </c>
      <c r="CM70" s="345">
        <f>Table4[[#This Row],[Jun_2026_F]]-Table4[[#This Row],[Jun_2026_A]]</f>
        <v/>
      </c>
      <c r="CN70" s="103" t="n"/>
      <c r="CO70" s="345">
        <f>IFERROR(Table4[[#This Row],[Jul_2026_Days_Forecast]]*Table4[[#This Row],[Cost Boolean]]*(VLOOKUP(Table4[[#This Row],[RATE CONCAT]],Tables!I:N,5,0)),0)</f>
        <v/>
      </c>
      <c r="CP70" s="345">
        <f>IFERROR(Table4[[#This Row],[Aug_2026_Days_Forecast]]*Table4[[#This Row],[Location]]*(VLOOKUP(Table4[[#This Row],[Rate]],Tables!J:O,5,0)),0)</f>
        <v/>
      </c>
      <c r="CQ70" s="345">
        <f>Table4[[#This Row],[Jul_2026_F]]-Table4[[#This Row],[Jul_2026_A]]</f>
        <v/>
      </c>
      <c r="CR70" s="103" t="n"/>
      <c r="CS70" s="345">
        <f>IFERROR(Table4[[#This Row],[Aug_2026_Days_Forecast]]*Table4[[#This Row],[Cost Boolean]]*(VLOOKUP(Table4[[#This Row],[RATE CONCAT]],Tables!I:N,5,0)),0)</f>
        <v/>
      </c>
      <c r="CT70" s="345">
        <f>IFERROR(Table4[[#This Row],[Aug_2026_Days_Actual]]*Table4[[#This Row],[Cost Boolean]]*(VLOOKUP(Table4[[#This Row],[RATE CONCAT]],Tables!I:N,5,0)),0)</f>
        <v/>
      </c>
      <c r="CU70" s="345">
        <f>Table4[[#This Row],[Aug_2026_F]]-Table4[[#This Row],[Aug_2026_A]]</f>
        <v/>
      </c>
      <c r="CV70" s="103" t="n"/>
      <c r="CW70" s="345">
        <f>IFERROR(Table4[[#This Row],[Sep_2026_Days_Forecast]]*Table4[[#This Row],[Cost Boolean]]*(VLOOKUP(Table4[[#This Row],[RATE CONCAT]],Tables!I:N,5,0)),0)</f>
        <v/>
      </c>
      <c r="CX70" s="345">
        <f>IFERROR(Table4[[#This Row],[Sep_2026_Days_Actual]]*Table4[[#This Row],[Cost Boolean]]*(VLOOKUP(Table4[[#This Row],[RATE CONCAT]],Tables!I:N,5,0)),0)</f>
        <v/>
      </c>
      <c r="CY70" s="345">
        <f>Table4[[#This Row],[Sep_2026_F]]-Table4[[#This Row],[Sep_2026_A]]</f>
        <v/>
      </c>
      <c r="CZ70" s="103" t="n"/>
      <c r="DA70" s="345">
        <f>IFERROR(Table4[[#This Row],[Oct_2026_Days_Forecast]]*Table4[[#This Row],[Cost Boolean]]*(VLOOKUP(Table4[[#This Row],[RATE CONCAT]],Tables!I:N,5,0)),0)</f>
        <v/>
      </c>
      <c r="DB70" s="345">
        <f>IFERROR(Table4[[#This Row],[Oct_2026_Days_Actual]]*Table4[[#This Row],[Cost Boolean]]*(VLOOKUP(Table4[[#This Row],[RATE CONCAT]],Tables!I:N,5,0)),0)</f>
        <v/>
      </c>
      <c r="DC70" s="345">
        <f>Table4[[#This Row],[Oct_2026_F]]-Table4[[#This Row],[Oct_2026_A]]</f>
        <v/>
      </c>
      <c r="DD70" s="103" t="n"/>
      <c r="DE70" s="345">
        <f>IFERROR(Table4[[#This Row],[Nov_2026_Days_Forecast]]*Table4[[#This Row],[Cost Boolean]]*(VLOOKUP(Table4[[#This Row],[RATE CONCAT]],Tables!I:N,5,0)),0)</f>
        <v/>
      </c>
      <c r="DF70" s="345">
        <f>IFERROR(Table4[[#This Row],[Nov_2026_Days_Actual]]*Table4[[#This Row],[Cost Boolean]]*(VLOOKUP(Table4[[#This Row],[RATE CONCAT]],Tables!I:N,5,0)),0)</f>
        <v/>
      </c>
      <c r="DG70" s="345">
        <f>Table4[[#This Row],[Nov_2026_F]]-Table4[[#This Row],[Nov_2026_A]]</f>
        <v/>
      </c>
      <c r="DH70" s="103" t="n"/>
      <c r="DI70" s="345">
        <f>IFERROR(Table4[[#This Row],[Dec_2026_Days_Forecast]]*Table4[[#This Row],[Cost Boolean]]*(VLOOKUP(Table4[[#This Row],[RATE CONCAT]],Tables!I:N,5,0)),0)</f>
        <v/>
      </c>
      <c r="DJ70" s="345">
        <f>IFERROR(Table4[[#This Row],[Dec_2026_Days_Actual]]*Table4[[#This Row],[Cost Boolean]]*(VLOOKUP(Table4[[#This Row],[RATE CONCAT]],Tables!I:N,5,0)),0)</f>
        <v/>
      </c>
      <c r="DK70" s="345">
        <f>Table4[[#This Row],[Dec_2026_F]]-Table4[[#This Row],[Dec_2026_A]]</f>
        <v/>
      </c>
      <c r="DL70" s="103" t="n"/>
      <c r="DM70" s="346" t="n"/>
      <c r="DN70" s="345">
        <f>IFERROR(Table4[[#This Row],[Jan_2027_Days_Forecast]]*Table4[[#This Row],[Cost Boolean]]*(VLOOKUP(Table4[[#This Row],[RATE CONCAT]],Tables!I:N,6,0)),0)</f>
        <v/>
      </c>
      <c r="DO70" s="275" t="n"/>
      <c r="DP70" s="345">
        <f>Table4[[#This Row],[Jan_2027_F]]-Table4[[#This Row],[Jan_2027_A]]</f>
        <v/>
      </c>
      <c r="DQ70" s="345">
        <f>IFERROR(Table4[[#This Row],[Feb_2027_Days_Forecast]]*Table4[[#This Row],[Cost Boolean]]*(VLOOKUP(Table4[[#This Row],[RATE CONCAT]],Tables!I:N,6,0)),0)</f>
        <v/>
      </c>
      <c r="DR70" s="275" t="n"/>
      <c r="DS70" s="345">
        <f>Table4[[#This Row],[Feb_2027_F]]-Table4[[#This Row],[Feb_2027_A]]</f>
        <v/>
      </c>
      <c r="DT70" s="345">
        <f>IFERROR(Table4[[#This Row],[Mar_2027_Days_Forecast]]*Table4[[#This Row],[Cost Boolean]]*(VLOOKUP(Table4[[#This Row],[RATE CONCAT]],Tables!I:N,6,0)),0)</f>
        <v/>
      </c>
      <c r="DU70" s="275" t="n"/>
      <c r="DV70" s="345">
        <f>Table4[[#This Row],[Mar_2027_F]]-Table4[[#This Row],[Mar_2027_A]]</f>
        <v/>
      </c>
      <c r="DW70" s="345">
        <f>IFERROR(Table4[[#This Row],[Apr_2027_Days_Forecast]]*Table4[[#This Row],[Cost Boolean]]*(VLOOKUP(Table4[[#This Row],[RATE CONCAT]],Tables!I:N,6,0)),0)</f>
        <v/>
      </c>
      <c r="DX70" s="275" t="n"/>
      <c r="DY70" s="345">
        <f>Table4[[#This Row],[Apr_2027_F]]-Table4[[#This Row],[Apr_2027_A]]</f>
        <v/>
      </c>
      <c r="DZ70" s="345">
        <f>IFERROR(Table4[[#This Row],[May_2027_Days_Forecast]]*Table4[[#This Row],[Cost Boolean]]*(VLOOKUP(Table4[[#This Row],[RATE CONCAT]],Tables!I:N,6,0)),0)</f>
        <v/>
      </c>
      <c r="EA70" s="275" t="n"/>
      <c r="EB70" s="345">
        <f>Table4[[#This Row],[May_2027_F]]-Table4[[#This Row],[May_2027_A]]</f>
        <v/>
      </c>
      <c r="EC70" s="345">
        <f>IFERROR(Table4[[#This Row],[Jun_2027_Days_Forecast]]*Table4[[#This Row],[Cost Boolean]]*(VLOOKUP(Table4[[#This Row],[RATE CONCAT]],Tables!I:N,6,0)),0)</f>
        <v/>
      </c>
      <c r="ED70" s="275" t="n"/>
      <c r="EE70" s="345">
        <f>Table4[[#This Row],[Jun_2027_F]]-Table4[[#This Row],[Jun_2027_A]]</f>
        <v/>
      </c>
      <c r="EF70" s="345">
        <f>IFERROR(Table4[[#This Row],[Jul_2027_Days_Forecast]]*Table4[[#This Row],[Cost Boolean]]*(VLOOKUP(Table4[[#This Row],[RATE CONCAT]],Tables!I:N,6,0)),0)</f>
        <v/>
      </c>
      <c r="EG70" s="275" t="n"/>
      <c r="EH70" s="345">
        <f>Table4[[#This Row],[Jul_2027_F]]-Table4[[#This Row],[Jul_2027_A]]</f>
        <v/>
      </c>
      <c r="EI70" s="345">
        <f>IFERROR(Table4[[#This Row],[Aug_2027_Days_Forecast]]*Table4[[#This Row],[Cost Boolean]]*(VLOOKUP(Table4[[#This Row],[RATE CONCAT]],Tables!I:N,6,0)),0)</f>
        <v/>
      </c>
      <c r="EJ70" s="275" t="n"/>
      <c r="EK70" s="345">
        <f>Table4[[#This Row],[Aug_2027_F]]-Table4[[#This Row],[Aug_2027_A]]</f>
        <v/>
      </c>
      <c r="EL70" s="345">
        <f>IFERROR(Table4[[#This Row],[Sep_2027_Days_Forecast]]*Table4[[#This Row],[Cost Boolean]]*(VLOOKUP(Table4[[#This Row],[RATE CONCAT]],Tables!I:N,6,0)),0)</f>
        <v/>
      </c>
      <c r="EM70" s="275" t="n"/>
      <c r="EN70" s="345">
        <f>Table4[[#This Row],[Sep_2027_F]]-Table4[[#This Row],[Sep_2027_A]]</f>
        <v/>
      </c>
      <c r="EO70" s="345">
        <f>IFERROR(Table4[[#This Row],[Oct_2027_Days_Forecast]]*Table4[[#This Row],[Cost Boolean]]*(VLOOKUP(Table4[[#This Row],[RATE CONCAT]],Tables!I:N,6,0)),0)</f>
        <v/>
      </c>
      <c r="EP70" s="275" t="n"/>
      <c r="EQ70" s="345">
        <f>Table4[[#This Row],[Oct_2027_F]]-Table4[[#This Row],[Oct_2027_A]]</f>
        <v/>
      </c>
      <c r="ER70" s="345">
        <f>IFERROR(Table4[[#This Row],[Nov_2027_Days_Forecast]]*Table4[[#This Row],[Cost Boolean]]*(VLOOKUP(Table4[[#This Row],[RATE CONCAT]],Tables!I:N,6,0)),0)</f>
        <v/>
      </c>
      <c r="ES70" s="275" t="n"/>
      <c r="ET70" s="345">
        <f>Table4[[#This Row],[Nov_2027_F]]-Table4[[#This Row],[Nov_2027_A]]</f>
        <v/>
      </c>
      <c r="EU70" s="345">
        <f>IFERROR(Table4[[#This Row],[Dec_2027_Days_Forecast]]*Table4[[#This Row],[Cost Boolean]]*(VLOOKUP(Table4[[#This Row],[RATE CONCAT]],Tables!I:N,6,0)),0)</f>
        <v/>
      </c>
      <c r="EV70" s="275" t="n"/>
      <c r="EW70" s="345">
        <f>Table4[[#This Row],[Dec_2027_F]]-Table4[[#This Row],[Dec_2027_A]]</f>
        <v/>
      </c>
    </row>
    <row r="71" ht="1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350">
        <f>CONCATENATE(Table4[[#This Row],[JG]],Table4[[#This Row],[Country]],Table4[[#This Row],[Resource Provider]])</f>
        <v/>
      </c>
      <c r="Z71" s="350">
        <f>VLOOKUP(Table4[[#This Row],[RATE CONCAT]],Tables!I:N,5,0)</f>
        <v/>
      </c>
      <c r="AA71" s="53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353">
        <f>IFERROR(AVERAGE(Table4[[#This Row],[Jan_2026_Days_Forecast]:[Dec_2026_Days_Forecast]]),0)/19</f>
        <v/>
      </c>
      <c r="AO71" s="353">
        <f>IFERROR(AVERAGE(Table4[[#This Row],[Jan_2026_Days_Actual]:[Dec_2026_Days_Actual]]),0)/19</f>
        <v/>
      </c>
      <c r="AP71" s="84" t="n"/>
      <c r="AQ71" s="84" t="n"/>
      <c r="AR71" s="84" t="n"/>
      <c r="AS71" s="84" t="n"/>
      <c r="AT71" s="84" t="n"/>
      <c r="AU71" s="84" t="n"/>
      <c r="AV71" s="84" t="n"/>
      <c r="AW71" s="84" t="n"/>
      <c r="AX71" s="84" t="n"/>
      <c r="AY71" s="84" t="n"/>
      <c r="AZ71" s="84" t="n"/>
      <c r="BA71" s="84" t="n"/>
      <c r="BB71" s="353">
        <f>IFERROR(AVERAGE(Table4[[#This Row],[Jan_2027_Days_Forecast]:[Dec_2027_Days_Forecast]]),0)</f>
        <v/>
      </c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55" t="n"/>
      <c r="BP71" s="346" t="n"/>
      <c r="BQ71" s="347">
        <f>Table4[[#This Row],[Jan_2026_Days_Forecast]]*Table4[[#This Row],[Cost Boolean]]*VLOOKUP(Table4[[#This Row],[RATE CONCAT]],Tables!I:N,5,0)</f>
        <v/>
      </c>
      <c r="BR71" s="347">
        <f>IFERROR(Table4[[#This Row],[Jan_2026_Days_Actual]]*Table4[[#This Row],[Cost Boolean]]*(VLOOKUP(Table4[[#This Row],[RATE CONCAT]],Tables!I:N,5,0)),0)</f>
        <v/>
      </c>
      <c r="BS71" s="347">
        <f>Table4[[#This Row],[Jan_2026_F]]-Table4[[#This Row],[Jan_2026_A]]</f>
        <v/>
      </c>
      <c r="BT71" s="107" t="n"/>
      <c r="BU71" s="347">
        <f>IFERROR(Table4[[#This Row],[Feb_2026_Days_Forecast]]*Table4[[#This Row],[Cost Boolean]]*(VLOOKUP(Table4[[#This Row],[RATE CONCAT]],Tables!I:N,5,0)),0)</f>
        <v/>
      </c>
      <c r="BV71" s="347">
        <f>IFERROR(Table4[[#This Row],[Feb_2026_Days_Actual]]*Table4[[#This Row],[Cost Boolean]]*(VLOOKUP(Table4[[#This Row],[RATE CONCAT]],Tables!I:N,5,0)),0)</f>
        <v/>
      </c>
      <c r="BW71" s="347">
        <f>Table4[[#This Row],[Feb_2026_F]]-Table4[[#This Row],[Feb_2026_A]]</f>
        <v/>
      </c>
      <c r="BX71" s="103" t="n"/>
      <c r="BY71" s="347">
        <f>IFERROR(Table4[[#This Row],[Mar_2026_Days_Forecast]]*Table4[[#This Row],[Cost Boolean]]*(VLOOKUP(Table4[[#This Row],[RATE CONCAT]],Tables!I:N,5,0)),0)</f>
        <v/>
      </c>
      <c r="BZ71" s="347">
        <f>IFERROR(Table4[[#This Row],[Mar_2026_Days_Actual]]*Table4[[#This Row],[Cost Boolean]]*(VLOOKUP(Table4[[#This Row],[RATE CONCAT]],Tables!I:N,5,0)),0)</f>
        <v/>
      </c>
      <c r="CA71" s="347">
        <f>Table4[[#This Row],[Mar_2026_F]]-Table4[[#This Row],[Mar_2026_A]]</f>
        <v/>
      </c>
      <c r="CB71" s="103" t="n"/>
      <c r="CC71" s="347">
        <f>IFERROR(Table4[[#This Row],[Apr_2026_Days_Forecast]]*Table4[[#This Row],[Cost Boolean]]*(VLOOKUP(Table4[[#This Row],[RATE CONCAT]],Tables!I:N,5,0)),0)</f>
        <v/>
      </c>
      <c r="CD71" s="347">
        <f>IFERROR(Table4[[#This Row],[Apr_2026_Days_Actual]]*Table4[[#This Row],[Cost Boolean]]*(VLOOKUP(Table4[[#This Row],[RATE CONCAT]],Tables!I:N,5,0)),0)</f>
        <v/>
      </c>
      <c r="CE71" s="347">
        <f>Table4[[#This Row],[Apr_2026_F]]-Table4[[#This Row],[Apr_2026_A]]</f>
        <v/>
      </c>
      <c r="CF71" s="103" t="n"/>
      <c r="CG71" s="347">
        <f>IFERROR(Table4[[#This Row],[May_2026_Days_Forecast]] *Table4[[#This Row],[Cost Boolean]]*(VLOOKUP(Table4[[#This Row],[RATE CONCAT]],Tables!I:N,5,0)),0)</f>
        <v/>
      </c>
      <c r="CH71" s="347">
        <f>IFERROR(Table4[[#This Row],[May_2026_Days_Actual]]*Table4[[#This Row],[Cost Boolean]]*(VLOOKUP(Table4[[#This Row],[RATE CONCAT]],Tables!I:N,5,0)),0)</f>
        <v/>
      </c>
      <c r="CI71" s="347">
        <f>Table4[[#This Row],[May_2026_F]]-Table4[[#This Row],[May_2026_A]]</f>
        <v/>
      </c>
      <c r="CJ71" s="103" t="n"/>
      <c r="CK71" s="347">
        <f>IFERROR(Table4[[#This Row],[Jun_2026_Days_Forecast]]*Table4[[#This Row],[Cost Boolean]]*(VLOOKUP(Table4[[#This Row],[RATE CONCAT]],Tables!I:N,5,0)),0)</f>
        <v/>
      </c>
      <c r="CL71" s="347">
        <f>IFERROR(Table4[[#This Row],[Jun_2026_Days_Actual]]*Table4[[#This Row],[Cost Boolean]]*(VLOOKUP(Table4[[#This Row],[RATE CONCAT]],Tables!I:N,5,0)),0)</f>
        <v/>
      </c>
      <c r="CM71" s="347">
        <f>Table4[[#This Row],[Jun_2026_F]]-Table4[[#This Row],[Jun_2026_A]]</f>
        <v/>
      </c>
      <c r="CN71" s="103" t="n"/>
      <c r="CO71" s="347">
        <f>IFERROR(Table4[[#This Row],[Jul_2026_Days_Forecast]]*Table4[[#This Row],[Cost Boolean]]*(VLOOKUP(Table4[[#This Row],[RATE CONCAT]],Tables!I:N,5,0)),0)</f>
        <v/>
      </c>
      <c r="CP71" s="347">
        <f>IFERROR(Table4[[#This Row],[Aug_2026_Days_Forecast]]*Table4[[#This Row],[Location]]*(VLOOKUP(Table4[[#This Row],[Rate]],Tables!J:O,5,0)),0)</f>
        <v/>
      </c>
      <c r="CQ71" s="347">
        <f>Table4[[#This Row],[Jul_2026_F]]-Table4[[#This Row],[Jul_2026_A]]</f>
        <v/>
      </c>
      <c r="CR71" s="103" t="n"/>
      <c r="CS71" s="347">
        <f>IFERROR(Table4[[#This Row],[Aug_2026_Days_Forecast]]*Table4[[#This Row],[Cost Boolean]]*(VLOOKUP(Table4[[#This Row],[RATE CONCAT]],Tables!I:N,5,0)),0)</f>
        <v/>
      </c>
      <c r="CT71" s="347">
        <f>IFERROR(Table4[[#This Row],[Aug_2026_Days_Actual]]*Table4[[#This Row],[Cost Boolean]]*(VLOOKUP(Table4[[#This Row],[RATE CONCAT]],Tables!I:N,5,0)),0)</f>
        <v/>
      </c>
      <c r="CU71" s="347">
        <f>Table4[[#This Row],[Aug_2026_F]]-Table4[[#This Row],[Aug_2026_A]]</f>
        <v/>
      </c>
      <c r="CV71" s="103" t="n"/>
      <c r="CW71" s="347">
        <f>IFERROR(Table4[[#This Row],[Sep_2026_Days_Forecast]]*Table4[[#This Row],[Cost Boolean]]*(VLOOKUP(Table4[[#This Row],[RATE CONCAT]],Tables!I:N,5,0)),0)</f>
        <v/>
      </c>
      <c r="CX71" s="347">
        <f>IFERROR(Table4[[#This Row],[Sep_2026_Days_Actual]]*Table4[[#This Row],[Cost Boolean]]*(VLOOKUP(Table4[[#This Row],[RATE CONCAT]],Tables!I:N,5,0)),0)</f>
        <v/>
      </c>
      <c r="CY71" s="347">
        <f>Table4[[#This Row],[Sep_2026_F]]-Table4[[#This Row],[Sep_2026_A]]</f>
        <v/>
      </c>
      <c r="CZ71" s="103" t="n"/>
      <c r="DA71" s="347">
        <f>IFERROR(Table4[[#This Row],[Oct_2026_Days_Forecast]]*Table4[[#This Row],[Cost Boolean]]*(VLOOKUP(Table4[[#This Row],[RATE CONCAT]],Tables!I:N,5,0)),0)</f>
        <v/>
      </c>
      <c r="DB71" s="347">
        <f>IFERROR(Table4[[#This Row],[Oct_2026_Days_Actual]]*Table4[[#This Row],[Cost Boolean]]*(VLOOKUP(Table4[[#This Row],[RATE CONCAT]],Tables!I:N,5,0)),0)</f>
        <v/>
      </c>
      <c r="DC71" s="347">
        <f>Table4[[#This Row],[Oct_2026_F]]-Table4[[#This Row],[Oct_2026_A]]</f>
        <v/>
      </c>
      <c r="DD71" s="103" t="n"/>
      <c r="DE71" s="347">
        <f>IFERROR(Table4[[#This Row],[Nov_2026_Days_Forecast]]*Table4[[#This Row],[Cost Boolean]]*(VLOOKUP(Table4[[#This Row],[RATE CONCAT]],Tables!I:N,5,0)),0)</f>
        <v/>
      </c>
      <c r="DF71" s="347">
        <f>IFERROR(Table4[[#This Row],[Nov_2026_Days_Actual]]*Table4[[#This Row],[Cost Boolean]]*(VLOOKUP(Table4[[#This Row],[RATE CONCAT]],Tables!I:N,5,0)),0)</f>
        <v/>
      </c>
      <c r="DG71" s="347">
        <f>Table4[[#This Row],[Nov_2026_F]]-Table4[[#This Row],[Nov_2026_A]]</f>
        <v/>
      </c>
      <c r="DH71" s="103" t="n"/>
      <c r="DI71" s="347">
        <f>IFERROR(Table4[[#This Row],[Dec_2026_Days_Forecast]]*Table4[[#This Row],[Cost Boolean]]*(VLOOKUP(Table4[[#This Row],[RATE CONCAT]],Tables!I:N,5,0)),0)</f>
        <v/>
      </c>
      <c r="DJ71" s="347">
        <f>IFERROR(Table4[[#This Row],[Dec_2026_Days_Actual]]*Table4[[#This Row],[Cost Boolean]]*(VLOOKUP(Table4[[#This Row],[RATE CONCAT]],Tables!I:N,5,0)),0)</f>
        <v/>
      </c>
      <c r="DK71" s="347">
        <f>Table4[[#This Row],[Dec_2026_F]]-Table4[[#This Row],[Dec_2026_A]]</f>
        <v/>
      </c>
      <c r="DL71" s="103" t="n"/>
      <c r="DM71" s="346" t="n"/>
      <c r="DN71" s="347">
        <f>IFERROR(Table4[[#This Row],[Jan_2027_Days_Forecast]]*Table4[[#This Row],[Cost Boolean]]*(VLOOKUP(Table4[[#This Row],[RATE CONCAT]],Tables!I:N,6,0)),0)</f>
        <v/>
      </c>
      <c r="DO71" s="275" t="n"/>
      <c r="DP71" s="347">
        <f>Table4[[#This Row],[Jan_2027_F]]-Table4[[#This Row],[Jan_2027_A]]</f>
        <v/>
      </c>
      <c r="DQ71" s="347">
        <f>IFERROR(Table4[[#This Row],[Feb_2027_Days_Forecast]]*Table4[[#This Row],[Cost Boolean]]*(VLOOKUP(Table4[[#This Row],[RATE CONCAT]],Tables!I:N,6,0)),0)</f>
        <v/>
      </c>
      <c r="DR71" s="275" t="n"/>
      <c r="DS71" s="347">
        <f>Table4[[#This Row],[Feb_2027_F]]-Table4[[#This Row],[Feb_2027_A]]</f>
        <v/>
      </c>
      <c r="DT71" s="347">
        <f>IFERROR(Table4[[#This Row],[Mar_2027_Days_Forecast]]*Table4[[#This Row],[Cost Boolean]]*(VLOOKUP(Table4[[#This Row],[RATE CONCAT]],Tables!I:N,6,0)),0)</f>
        <v/>
      </c>
      <c r="DU71" s="275" t="n"/>
      <c r="DV71" s="347">
        <f>Table4[[#This Row],[Mar_2027_F]]-Table4[[#This Row],[Mar_2027_A]]</f>
        <v/>
      </c>
      <c r="DW71" s="347">
        <f>IFERROR(Table4[[#This Row],[Apr_2027_Days_Forecast]]*Table4[[#This Row],[Cost Boolean]]*(VLOOKUP(Table4[[#This Row],[RATE CONCAT]],Tables!I:N,6,0)),0)</f>
        <v/>
      </c>
      <c r="DX71" s="275" t="n"/>
      <c r="DY71" s="347">
        <f>Table4[[#This Row],[Apr_2027_F]]-Table4[[#This Row],[Apr_2027_A]]</f>
        <v/>
      </c>
      <c r="DZ71" s="347">
        <f>IFERROR(Table4[[#This Row],[May_2027_Days_Forecast]]*Table4[[#This Row],[Cost Boolean]]*(VLOOKUP(Table4[[#This Row],[RATE CONCAT]],Tables!I:N,6,0)),0)</f>
        <v/>
      </c>
      <c r="EA71" s="275" t="n"/>
      <c r="EB71" s="347">
        <f>Table4[[#This Row],[May_2027_F]]-Table4[[#This Row],[May_2027_A]]</f>
        <v/>
      </c>
      <c r="EC71" s="347">
        <f>IFERROR(Table4[[#This Row],[Jun_2027_Days_Forecast]]*Table4[[#This Row],[Cost Boolean]]*(VLOOKUP(Table4[[#This Row],[RATE CONCAT]],Tables!I:N,6,0)),0)</f>
        <v/>
      </c>
      <c r="ED71" s="275" t="n"/>
      <c r="EE71" s="347">
        <f>Table4[[#This Row],[Jun_2027_F]]-Table4[[#This Row],[Jun_2027_A]]</f>
        <v/>
      </c>
      <c r="EF71" s="347">
        <f>IFERROR(Table4[[#This Row],[Jul_2027_Days_Forecast]]*Table4[[#This Row],[Cost Boolean]]*(VLOOKUP(Table4[[#This Row],[RATE CONCAT]],Tables!I:N,6,0)),0)</f>
        <v/>
      </c>
      <c r="EG71" s="275" t="n"/>
      <c r="EH71" s="347">
        <f>Table4[[#This Row],[Jul_2027_F]]-Table4[[#This Row],[Jul_2027_A]]</f>
        <v/>
      </c>
      <c r="EI71" s="347">
        <f>IFERROR(Table4[[#This Row],[Aug_2027_Days_Forecast]]*Table4[[#This Row],[Cost Boolean]]*(VLOOKUP(Table4[[#This Row],[RATE CONCAT]],Tables!I:N,6,0)),0)</f>
        <v/>
      </c>
      <c r="EJ71" s="275" t="n"/>
      <c r="EK71" s="347">
        <f>Table4[[#This Row],[Aug_2027_F]]-Table4[[#This Row],[Aug_2027_A]]</f>
        <v/>
      </c>
      <c r="EL71" s="347">
        <f>IFERROR(Table4[[#This Row],[Sep_2027_Days_Forecast]]*Table4[[#This Row],[Cost Boolean]]*(VLOOKUP(Table4[[#This Row],[RATE CONCAT]],Tables!I:N,6,0)),0)</f>
        <v/>
      </c>
      <c r="EM71" s="275" t="n"/>
      <c r="EN71" s="347">
        <f>Table4[[#This Row],[Sep_2027_F]]-Table4[[#This Row],[Sep_2027_A]]</f>
        <v/>
      </c>
      <c r="EO71" s="347">
        <f>IFERROR(Table4[[#This Row],[Oct_2027_Days_Forecast]]*Table4[[#This Row],[Cost Boolean]]*(VLOOKUP(Table4[[#This Row],[RATE CONCAT]],Tables!I:N,6,0)),0)</f>
        <v/>
      </c>
      <c r="EP71" s="275" t="n"/>
      <c r="EQ71" s="347">
        <f>Table4[[#This Row],[Oct_2027_F]]-Table4[[#This Row],[Oct_2027_A]]</f>
        <v/>
      </c>
      <c r="ER71" s="347">
        <f>IFERROR(Table4[[#This Row],[Nov_2027_Days_Forecast]]*Table4[[#This Row],[Cost Boolean]]*(VLOOKUP(Table4[[#This Row],[RATE CONCAT]],Tables!I:N,6,0)),0)</f>
        <v/>
      </c>
      <c r="ES71" s="275" t="n"/>
      <c r="ET71" s="347">
        <f>Table4[[#This Row],[Nov_2027_F]]-Table4[[#This Row],[Nov_2027_A]]</f>
        <v/>
      </c>
      <c r="EU71" s="347">
        <f>IFERROR(Table4[[#This Row],[Dec_2027_Days_Forecast]]*Table4[[#This Row],[Cost Boolean]]*(VLOOKUP(Table4[[#This Row],[RATE CONCAT]],Tables!I:N,6,0)),0)</f>
        <v/>
      </c>
      <c r="EV71" s="275" t="n"/>
      <c r="EW71" s="347">
        <f>Table4[[#This Row],[Dec_2027_F]]-Table4[[#This Row],[Dec_2027_A]]</f>
        <v/>
      </c>
    </row>
    <row r="72" ht="1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350">
        <f>CONCATENATE(Table4[[#This Row],[JG]],Table4[[#This Row],[Country]],Table4[[#This Row],[Resource Provider]])</f>
        <v/>
      </c>
      <c r="Z72" s="350">
        <f>VLOOKUP(Table4[[#This Row],[RATE CONCAT]],Tables!I:N,5,0)</f>
        <v/>
      </c>
      <c r="AA72" s="53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353">
        <f>IFERROR(AVERAGE(Table4[[#This Row],[Jan_2026_Days_Forecast]:[Dec_2026_Days_Forecast]]),0)/19</f>
        <v/>
      </c>
      <c r="AO72" s="353">
        <f>IFERROR(AVERAGE(Table4[[#This Row],[Jan_2026_Days_Actual]:[Dec_2026_Days_Actual]]),0)/19</f>
        <v/>
      </c>
      <c r="AP72" s="84" t="n"/>
      <c r="AQ72" s="84" t="n"/>
      <c r="AR72" s="84" t="n"/>
      <c r="AS72" s="84" t="n"/>
      <c r="AT72" s="84" t="n"/>
      <c r="AU72" s="84" t="n"/>
      <c r="AV72" s="84" t="n"/>
      <c r="AW72" s="84" t="n"/>
      <c r="AX72" s="84" t="n"/>
      <c r="AY72" s="84" t="n"/>
      <c r="AZ72" s="84" t="n"/>
      <c r="BA72" s="84" t="n"/>
      <c r="BB72" s="353">
        <f>IFERROR(AVERAGE(Table4[[#This Row],[Jan_2027_Days_Forecast]:[Dec_2027_Days_Forecast]]),0)</f>
        <v/>
      </c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55" t="n"/>
      <c r="BP72" s="346" t="n"/>
      <c r="BQ72" s="345">
        <f>Table4[[#This Row],[Jan_2026_Days_Forecast]]*Table4[[#This Row],[Cost Boolean]]*VLOOKUP(Table4[[#This Row],[RATE CONCAT]],Tables!I:N,5,0)</f>
        <v/>
      </c>
      <c r="BR72" s="345">
        <f>IFERROR(Table4[[#This Row],[Jan_2026_Days_Actual]]*Table4[[#This Row],[Cost Boolean]]*(VLOOKUP(Table4[[#This Row],[RATE CONCAT]],Tables!I:N,5,0)),0)</f>
        <v/>
      </c>
      <c r="BS72" s="345">
        <f>Table4[[#This Row],[Jan_2026_F]]-Table4[[#This Row],[Jan_2026_A]]</f>
        <v/>
      </c>
      <c r="BT72" s="107" t="n"/>
      <c r="BU72" s="345">
        <f>IFERROR(Table4[[#This Row],[Feb_2026_Days_Forecast]]*Table4[[#This Row],[Cost Boolean]]*(VLOOKUP(Table4[[#This Row],[RATE CONCAT]],Tables!I:N,5,0)),0)</f>
        <v/>
      </c>
      <c r="BV72" s="345">
        <f>IFERROR(Table4[[#This Row],[Feb_2026_Days_Actual]]*Table4[[#This Row],[Cost Boolean]]*(VLOOKUP(Table4[[#This Row],[RATE CONCAT]],Tables!I:N,5,0)),0)</f>
        <v/>
      </c>
      <c r="BW72" s="345">
        <f>Table4[[#This Row],[Feb_2026_F]]-Table4[[#This Row],[Feb_2026_A]]</f>
        <v/>
      </c>
      <c r="BX72" s="103" t="n"/>
      <c r="BY72" s="345">
        <f>IFERROR(Table4[[#This Row],[Mar_2026_Days_Forecast]]*Table4[[#This Row],[Cost Boolean]]*(VLOOKUP(Table4[[#This Row],[RATE CONCAT]],Tables!I:N,5,0)),0)</f>
        <v/>
      </c>
      <c r="BZ72" s="345">
        <f>IFERROR(Table4[[#This Row],[Mar_2026_Days_Actual]]*Table4[[#This Row],[Cost Boolean]]*(VLOOKUP(Table4[[#This Row],[RATE CONCAT]],Tables!I:N,5,0)),0)</f>
        <v/>
      </c>
      <c r="CA72" s="345">
        <f>Table4[[#This Row],[Mar_2026_F]]-Table4[[#This Row],[Mar_2026_A]]</f>
        <v/>
      </c>
      <c r="CB72" s="103" t="n"/>
      <c r="CC72" s="345">
        <f>IFERROR(Table4[[#This Row],[Apr_2026_Days_Forecast]]*Table4[[#This Row],[Cost Boolean]]*(VLOOKUP(Table4[[#This Row],[RATE CONCAT]],Tables!I:N,5,0)),0)</f>
        <v/>
      </c>
      <c r="CD72" s="345">
        <f>IFERROR(Table4[[#This Row],[Apr_2026_Days_Actual]]*Table4[[#This Row],[Cost Boolean]]*(VLOOKUP(Table4[[#This Row],[RATE CONCAT]],Tables!I:N,5,0)),0)</f>
        <v/>
      </c>
      <c r="CE72" s="345">
        <f>Table4[[#This Row],[Apr_2026_F]]-Table4[[#This Row],[Apr_2026_A]]</f>
        <v/>
      </c>
      <c r="CF72" s="103" t="n"/>
      <c r="CG72" s="345">
        <f>IFERROR(Table4[[#This Row],[May_2026_Days_Forecast]] *Table4[[#This Row],[Cost Boolean]]*(VLOOKUP(Table4[[#This Row],[RATE CONCAT]],Tables!I:N,5,0)),0)</f>
        <v/>
      </c>
      <c r="CH72" s="345">
        <f>IFERROR(Table4[[#This Row],[May_2026_Days_Actual]]*Table4[[#This Row],[Cost Boolean]]*(VLOOKUP(Table4[[#This Row],[RATE CONCAT]],Tables!I:N,5,0)),0)</f>
        <v/>
      </c>
      <c r="CI72" s="345">
        <f>Table4[[#This Row],[May_2026_F]]-Table4[[#This Row],[May_2026_A]]</f>
        <v/>
      </c>
      <c r="CJ72" s="103" t="n"/>
      <c r="CK72" s="345">
        <f>IFERROR(Table4[[#This Row],[Jun_2026_Days_Forecast]]*Table4[[#This Row],[Cost Boolean]]*(VLOOKUP(Table4[[#This Row],[RATE CONCAT]],Tables!I:N,5,0)),0)</f>
        <v/>
      </c>
      <c r="CL72" s="345">
        <f>IFERROR(Table4[[#This Row],[Jun_2026_Days_Actual]]*Table4[[#This Row],[Cost Boolean]]*(VLOOKUP(Table4[[#This Row],[RATE CONCAT]],Tables!I:N,5,0)),0)</f>
        <v/>
      </c>
      <c r="CM72" s="345">
        <f>Table4[[#This Row],[Jun_2026_F]]-Table4[[#This Row],[Jun_2026_A]]</f>
        <v/>
      </c>
      <c r="CN72" s="103" t="n"/>
      <c r="CO72" s="345">
        <f>IFERROR(Table4[[#This Row],[Jul_2026_Days_Forecast]]*Table4[[#This Row],[Cost Boolean]]*(VLOOKUP(Table4[[#This Row],[RATE CONCAT]],Tables!I:N,5,0)),0)</f>
        <v/>
      </c>
      <c r="CP72" s="345">
        <f>IFERROR(Table4[[#This Row],[Aug_2026_Days_Forecast]]*Table4[[#This Row],[Location]]*(VLOOKUP(Table4[[#This Row],[Rate]],Tables!J:O,5,0)),0)</f>
        <v/>
      </c>
      <c r="CQ72" s="345">
        <f>Table4[[#This Row],[Jul_2026_F]]-Table4[[#This Row],[Jul_2026_A]]</f>
        <v/>
      </c>
      <c r="CR72" s="103" t="n"/>
      <c r="CS72" s="345">
        <f>IFERROR(Table4[[#This Row],[Aug_2026_Days_Forecast]]*Table4[[#This Row],[Cost Boolean]]*(VLOOKUP(Table4[[#This Row],[RATE CONCAT]],Tables!I:N,5,0)),0)</f>
        <v/>
      </c>
      <c r="CT72" s="345">
        <f>IFERROR(Table4[[#This Row],[Aug_2026_Days_Actual]]*Table4[[#This Row],[Cost Boolean]]*(VLOOKUP(Table4[[#This Row],[RATE CONCAT]],Tables!I:N,5,0)),0)</f>
        <v/>
      </c>
      <c r="CU72" s="345">
        <f>Table4[[#This Row],[Aug_2026_F]]-Table4[[#This Row],[Aug_2026_A]]</f>
        <v/>
      </c>
      <c r="CV72" s="103" t="n"/>
      <c r="CW72" s="345">
        <f>IFERROR(Table4[[#This Row],[Sep_2026_Days_Forecast]]*Table4[[#This Row],[Cost Boolean]]*(VLOOKUP(Table4[[#This Row],[RATE CONCAT]],Tables!I:N,5,0)),0)</f>
        <v/>
      </c>
      <c r="CX72" s="345">
        <f>IFERROR(Table4[[#This Row],[Sep_2026_Days_Actual]]*Table4[[#This Row],[Cost Boolean]]*(VLOOKUP(Table4[[#This Row],[RATE CONCAT]],Tables!I:N,5,0)),0)</f>
        <v/>
      </c>
      <c r="CY72" s="345">
        <f>Table4[[#This Row],[Sep_2026_F]]-Table4[[#This Row],[Sep_2026_A]]</f>
        <v/>
      </c>
      <c r="CZ72" s="103" t="n"/>
      <c r="DA72" s="345">
        <f>IFERROR(Table4[[#This Row],[Oct_2026_Days_Forecast]]*Table4[[#This Row],[Cost Boolean]]*(VLOOKUP(Table4[[#This Row],[RATE CONCAT]],Tables!I:N,5,0)),0)</f>
        <v/>
      </c>
      <c r="DB72" s="345">
        <f>IFERROR(Table4[[#This Row],[Oct_2026_Days_Actual]]*Table4[[#This Row],[Cost Boolean]]*(VLOOKUP(Table4[[#This Row],[RATE CONCAT]],Tables!I:N,5,0)),0)</f>
        <v/>
      </c>
      <c r="DC72" s="345">
        <f>Table4[[#This Row],[Oct_2026_F]]-Table4[[#This Row],[Oct_2026_A]]</f>
        <v/>
      </c>
      <c r="DD72" s="103" t="n"/>
      <c r="DE72" s="345">
        <f>IFERROR(Table4[[#This Row],[Nov_2026_Days_Forecast]]*Table4[[#This Row],[Cost Boolean]]*(VLOOKUP(Table4[[#This Row],[RATE CONCAT]],Tables!I:N,5,0)),0)</f>
        <v/>
      </c>
      <c r="DF72" s="345">
        <f>IFERROR(Table4[[#This Row],[Nov_2026_Days_Actual]]*Table4[[#This Row],[Cost Boolean]]*(VLOOKUP(Table4[[#This Row],[RATE CONCAT]],Tables!I:N,5,0)),0)</f>
        <v/>
      </c>
      <c r="DG72" s="345">
        <f>Table4[[#This Row],[Nov_2026_F]]-Table4[[#This Row],[Nov_2026_A]]</f>
        <v/>
      </c>
      <c r="DH72" s="103" t="n"/>
      <c r="DI72" s="345">
        <f>IFERROR(Table4[[#This Row],[Dec_2026_Days_Forecast]]*Table4[[#This Row],[Cost Boolean]]*(VLOOKUP(Table4[[#This Row],[RATE CONCAT]],Tables!I:N,5,0)),0)</f>
        <v/>
      </c>
      <c r="DJ72" s="345">
        <f>IFERROR(Table4[[#This Row],[Dec_2026_Days_Actual]]*Table4[[#This Row],[Cost Boolean]]*(VLOOKUP(Table4[[#This Row],[RATE CONCAT]],Tables!I:N,5,0)),0)</f>
        <v/>
      </c>
      <c r="DK72" s="345">
        <f>Table4[[#This Row],[Dec_2026_F]]-Table4[[#This Row],[Dec_2026_A]]</f>
        <v/>
      </c>
      <c r="DL72" s="103" t="n"/>
      <c r="DM72" s="346" t="n"/>
      <c r="DN72" s="345">
        <f>IFERROR(Table4[[#This Row],[Jan_2027_Days_Forecast]]*Table4[[#This Row],[Cost Boolean]]*(VLOOKUP(Table4[[#This Row],[RATE CONCAT]],Tables!I:N,6,0)),0)</f>
        <v/>
      </c>
      <c r="DO72" s="275" t="n"/>
      <c r="DP72" s="345">
        <f>Table4[[#This Row],[Jan_2027_F]]-Table4[[#This Row],[Jan_2027_A]]</f>
        <v/>
      </c>
      <c r="DQ72" s="345">
        <f>IFERROR(Table4[[#This Row],[Feb_2027_Days_Forecast]]*Table4[[#This Row],[Cost Boolean]]*(VLOOKUP(Table4[[#This Row],[RATE CONCAT]],Tables!I:N,6,0)),0)</f>
        <v/>
      </c>
      <c r="DR72" s="275" t="n"/>
      <c r="DS72" s="345">
        <f>Table4[[#This Row],[Feb_2027_F]]-Table4[[#This Row],[Feb_2027_A]]</f>
        <v/>
      </c>
      <c r="DT72" s="345">
        <f>IFERROR(Table4[[#This Row],[Mar_2027_Days_Forecast]]*Table4[[#This Row],[Cost Boolean]]*(VLOOKUP(Table4[[#This Row],[RATE CONCAT]],Tables!I:N,6,0)),0)</f>
        <v/>
      </c>
      <c r="DU72" s="275" t="n"/>
      <c r="DV72" s="345">
        <f>Table4[[#This Row],[Mar_2027_F]]-Table4[[#This Row],[Mar_2027_A]]</f>
        <v/>
      </c>
      <c r="DW72" s="345">
        <f>IFERROR(Table4[[#This Row],[Apr_2027_Days_Forecast]]*Table4[[#This Row],[Cost Boolean]]*(VLOOKUP(Table4[[#This Row],[RATE CONCAT]],Tables!I:N,6,0)),0)</f>
        <v/>
      </c>
      <c r="DX72" s="275" t="n"/>
      <c r="DY72" s="345">
        <f>Table4[[#This Row],[Apr_2027_F]]-Table4[[#This Row],[Apr_2027_A]]</f>
        <v/>
      </c>
      <c r="DZ72" s="345">
        <f>IFERROR(Table4[[#This Row],[May_2027_Days_Forecast]]*Table4[[#This Row],[Cost Boolean]]*(VLOOKUP(Table4[[#This Row],[RATE CONCAT]],Tables!I:N,6,0)),0)</f>
        <v/>
      </c>
      <c r="EA72" s="275" t="n"/>
      <c r="EB72" s="345">
        <f>Table4[[#This Row],[May_2027_F]]-Table4[[#This Row],[May_2027_A]]</f>
        <v/>
      </c>
      <c r="EC72" s="345">
        <f>IFERROR(Table4[[#This Row],[Jun_2027_Days_Forecast]]*Table4[[#This Row],[Cost Boolean]]*(VLOOKUP(Table4[[#This Row],[RATE CONCAT]],Tables!I:N,6,0)),0)</f>
        <v/>
      </c>
      <c r="ED72" s="275" t="n"/>
      <c r="EE72" s="345">
        <f>Table4[[#This Row],[Jun_2027_F]]-Table4[[#This Row],[Jun_2027_A]]</f>
        <v/>
      </c>
      <c r="EF72" s="345">
        <f>IFERROR(Table4[[#This Row],[Jul_2027_Days_Forecast]]*Table4[[#This Row],[Cost Boolean]]*(VLOOKUP(Table4[[#This Row],[RATE CONCAT]],Tables!I:N,6,0)),0)</f>
        <v/>
      </c>
      <c r="EG72" s="275" t="n"/>
      <c r="EH72" s="345">
        <f>Table4[[#This Row],[Jul_2027_F]]-Table4[[#This Row],[Jul_2027_A]]</f>
        <v/>
      </c>
      <c r="EI72" s="345">
        <f>IFERROR(Table4[[#This Row],[Aug_2027_Days_Forecast]]*Table4[[#This Row],[Cost Boolean]]*(VLOOKUP(Table4[[#This Row],[RATE CONCAT]],Tables!I:N,6,0)),0)</f>
        <v/>
      </c>
      <c r="EJ72" s="275" t="n"/>
      <c r="EK72" s="345">
        <f>Table4[[#This Row],[Aug_2027_F]]-Table4[[#This Row],[Aug_2027_A]]</f>
        <v/>
      </c>
      <c r="EL72" s="345">
        <f>IFERROR(Table4[[#This Row],[Sep_2027_Days_Forecast]]*Table4[[#This Row],[Cost Boolean]]*(VLOOKUP(Table4[[#This Row],[RATE CONCAT]],Tables!I:N,6,0)),0)</f>
        <v/>
      </c>
      <c r="EM72" s="275" t="n"/>
      <c r="EN72" s="345">
        <f>Table4[[#This Row],[Sep_2027_F]]-Table4[[#This Row],[Sep_2027_A]]</f>
        <v/>
      </c>
      <c r="EO72" s="345">
        <f>IFERROR(Table4[[#This Row],[Oct_2027_Days_Forecast]]*Table4[[#This Row],[Cost Boolean]]*(VLOOKUP(Table4[[#This Row],[RATE CONCAT]],Tables!I:N,6,0)),0)</f>
        <v/>
      </c>
      <c r="EP72" s="275" t="n"/>
      <c r="EQ72" s="345">
        <f>Table4[[#This Row],[Oct_2027_F]]-Table4[[#This Row],[Oct_2027_A]]</f>
        <v/>
      </c>
      <c r="ER72" s="345">
        <f>IFERROR(Table4[[#This Row],[Nov_2027_Days_Forecast]]*Table4[[#This Row],[Cost Boolean]]*(VLOOKUP(Table4[[#This Row],[RATE CONCAT]],Tables!I:N,6,0)),0)</f>
        <v/>
      </c>
      <c r="ES72" s="275" t="n"/>
      <c r="ET72" s="345">
        <f>Table4[[#This Row],[Nov_2027_F]]-Table4[[#This Row],[Nov_2027_A]]</f>
        <v/>
      </c>
      <c r="EU72" s="345">
        <f>IFERROR(Table4[[#This Row],[Dec_2027_Days_Forecast]]*Table4[[#This Row],[Cost Boolean]]*(VLOOKUP(Table4[[#This Row],[RATE CONCAT]],Tables!I:N,6,0)),0)</f>
        <v/>
      </c>
      <c r="EV72" s="275" t="n"/>
      <c r="EW72" s="345">
        <f>Table4[[#This Row],[Dec_2027_F]]-Table4[[#This Row],[Dec_2027_A]]</f>
        <v/>
      </c>
    </row>
    <row r="73" ht="1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350">
        <f>CONCATENATE(Table4[[#This Row],[JG]],Table4[[#This Row],[Country]],Table4[[#This Row],[Resource Provider]])</f>
        <v/>
      </c>
      <c r="Z73" s="350">
        <f>VLOOKUP(Table4[[#This Row],[RATE CONCAT]],Tables!I:N,5,0)</f>
        <v/>
      </c>
      <c r="AA73" s="53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353">
        <f>IFERROR(AVERAGE(Table4[[#This Row],[Jan_2026_Days_Forecast]:[Dec_2026_Days_Forecast]]),0)/19</f>
        <v/>
      </c>
      <c r="AO73" s="353">
        <f>IFERROR(AVERAGE(Table4[[#This Row],[Jan_2026_Days_Actual]:[Dec_2026_Days_Actual]]),0)/19</f>
        <v/>
      </c>
      <c r="AP73" s="84" t="n"/>
      <c r="AQ73" s="84" t="n"/>
      <c r="AR73" s="84" t="n"/>
      <c r="AS73" s="84" t="n"/>
      <c r="AT73" s="84" t="n"/>
      <c r="AU73" s="84" t="n"/>
      <c r="AV73" s="84" t="n"/>
      <c r="AW73" s="84" t="n"/>
      <c r="AX73" s="84" t="n"/>
      <c r="AY73" s="84" t="n"/>
      <c r="AZ73" s="84" t="n"/>
      <c r="BA73" s="84" t="n"/>
      <c r="BB73" s="353">
        <f>IFERROR(AVERAGE(Table4[[#This Row],[Jan_2027_Days_Forecast]:[Dec_2027_Days_Forecast]]),0)</f>
        <v/>
      </c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55" t="n"/>
      <c r="BP73" s="346" t="n"/>
      <c r="BQ73" s="347">
        <f>Table4[[#This Row],[Jan_2026_Days_Forecast]]*Table4[[#This Row],[Cost Boolean]]*VLOOKUP(Table4[[#This Row],[RATE CONCAT]],Tables!I:N,5,0)</f>
        <v/>
      </c>
      <c r="BR73" s="347">
        <f>IFERROR(Table4[[#This Row],[Jan_2026_Days_Actual]]*Table4[[#This Row],[Cost Boolean]]*(VLOOKUP(Table4[[#This Row],[RATE CONCAT]],Tables!I:N,5,0)),0)</f>
        <v/>
      </c>
      <c r="BS73" s="347">
        <f>Table4[[#This Row],[Jan_2026_F]]-Table4[[#This Row],[Jan_2026_A]]</f>
        <v/>
      </c>
      <c r="BT73" s="107" t="n"/>
      <c r="BU73" s="347">
        <f>IFERROR(Table4[[#This Row],[Feb_2026_Days_Forecast]]*Table4[[#This Row],[Cost Boolean]]*(VLOOKUP(Table4[[#This Row],[RATE CONCAT]],Tables!I:N,5,0)),0)</f>
        <v/>
      </c>
      <c r="BV73" s="347">
        <f>IFERROR(Table4[[#This Row],[Feb_2026_Days_Actual]]*Table4[[#This Row],[Cost Boolean]]*(VLOOKUP(Table4[[#This Row],[RATE CONCAT]],Tables!I:N,5,0)),0)</f>
        <v/>
      </c>
      <c r="BW73" s="347">
        <f>Table4[[#This Row],[Feb_2026_F]]-Table4[[#This Row],[Feb_2026_A]]</f>
        <v/>
      </c>
      <c r="BX73" s="103" t="n"/>
      <c r="BY73" s="347">
        <f>IFERROR(Table4[[#This Row],[Mar_2026_Days_Forecast]]*Table4[[#This Row],[Cost Boolean]]*(VLOOKUP(Table4[[#This Row],[RATE CONCAT]],Tables!I:N,5,0)),0)</f>
        <v/>
      </c>
      <c r="BZ73" s="347">
        <f>IFERROR(Table4[[#This Row],[Mar_2026_Days_Actual]]*Table4[[#This Row],[Cost Boolean]]*(VLOOKUP(Table4[[#This Row],[RATE CONCAT]],Tables!I:N,5,0)),0)</f>
        <v/>
      </c>
      <c r="CA73" s="347">
        <f>Table4[[#This Row],[Mar_2026_F]]-Table4[[#This Row],[Mar_2026_A]]</f>
        <v/>
      </c>
      <c r="CB73" s="103" t="n"/>
      <c r="CC73" s="347">
        <f>IFERROR(Table4[[#This Row],[Apr_2026_Days_Forecast]]*Table4[[#This Row],[Cost Boolean]]*(VLOOKUP(Table4[[#This Row],[RATE CONCAT]],Tables!I:N,5,0)),0)</f>
        <v/>
      </c>
      <c r="CD73" s="347">
        <f>IFERROR(Table4[[#This Row],[Apr_2026_Days_Actual]]*Table4[[#This Row],[Cost Boolean]]*(VLOOKUP(Table4[[#This Row],[RATE CONCAT]],Tables!I:N,5,0)),0)</f>
        <v/>
      </c>
      <c r="CE73" s="347">
        <f>Table4[[#This Row],[Apr_2026_F]]-Table4[[#This Row],[Apr_2026_A]]</f>
        <v/>
      </c>
      <c r="CF73" s="103" t="n"/>
      <c r="CG73" s="347">
        <f>IFERROR(Table4[[#This Row],[May_2026_Days_Forecast]] *Table4[[#This Row],[Cost Boolean]]*(VLOOKUP(Table4[[#This Row],[RATE CONCAT]],Tables!I:N,5,0)),0)</f>
        <v/>
      </c>
      <c r="CH73" s="347">
        <f>IFERROR(Table4[[#This Row],[May_2026_Days_Actual]]*Table4[[#This Row],[Cost Boolean]]*(VLOOKUP(Table4[[#This Row],[RATE CONCAT]],Tables!I:N,5,0)),0)</f>
        <v/>
      </c>
      <c r="CI73" s="347">
        <f>Table4[[#This Row],[May_2026_F]]-Table4[[#This Row],[May_2026_A]]</f>
        <v/>
      </c>
      <c r="CJ73" s="103" t="n"/>
      <c r="CK73" s="347">
        <f>IFERROR(Table4[[#This Row],[Jun_2026_Days_Forecast]]*Table4[[#This Row],[Cost Boolean]]*(VLOOKUP(Table4[[#This Row],[RATE CONCAT]],Tables!I:N,5,0)),0)</f>
        <v/>
      </c>
      <c r="CL73" s="347">
        <f>IFERROR(Table4[[#This Row],[Jun_2026_Days_Actual]]*Table4[[#This Row],[Cost Boolean]]*(VLOOKUP(Table4[[#This Row],[RATE CONCAT]],Tables!I:N,5,0)),0)</f>
        <v/>
      </c>
      <c r="CM73" s="347">
        <f>Table4[[#This Row],[Jun_2026_F]]-Table4[[#This Row],[Jun_2026_A]]</f>
        <v/>
      </c>
      <c r="CN73" s="103" t="n"/>
      <c r="CO73" s="347">
        <f>IFERROR(Table4[[#This Row],[Jul_2026_Days_Forecast]]*Table4[[#This Row],[Cost Boolean]]*(VLOOKUP(Table4[[#This Row],[RATE CONCAT]],Tables!I:N,5,0)),0)</f>
        <v/>
      </c>
      <c r="CP73" s="347">
        <f>IFERROR(Table4[[#This Row],[Aug_2026_Days_Forecast]]*Table4[[#This Row],[Location]]*(VLOOKUP(Table4[[#This Row],[Rate]],Tables!J:O,5,0)),0)</f>
        <v/>
      </c>
      <c r="CQ73" s="347">
        <f>Table4[[#This Row],[Jul_2026_F]]-Table4[[#This Row],[Jul_2026_A]]</f>
        <v/>
      </c>
      <c r="CR73" s="103" t="n"/>
      <c r="CS73" s="347">
        <f>IFERROR(Table4[[#This Row],[Aug_2026_Days_Forecast]]*Table4[[#This Row],[Cost Boolean]]*(VLOOKUP(Table4[[#This Row],[RATE CONCAT]],Tables!I:N,5,0)),0)</f>
        <v/>
      </c>
      <c r="CT73" s="347">
        <f>IFERROR(Table4[[#This Row],[Aug_2026_Days_Actual]]*Table4[[#This Row],[Cost Boolean]]*(VLOOKUP(Table4[[#This Row],[RATE CONCAT]],Tables!I:N,5,0)),0)</f>
        <v/>
      </c>
      <c r="CU73" s="347">
        <f>Table4[[#This Row],[Aug_2026_F]]-Table4[[#This Row],[Aug_2026_A]]</f>
        <v/>
      </c>
      <c r="CV73" s="103" t="n"/>
      <c r="CW73" s="347">
        <f>IFERROR(Table4[[#This Row],[Sep_2026_Days_Forecast]]*Table4[[#This Row],[Cost Boolean]]*(VLOOKUP(Table4[[#This Row],[RATE CONCAT]],Tables!I:N,5,0)),0)</f>
        <v/>
      </c>
      <c r="CX73" s="347">
        <f>IFERROR(Table4[[#This Row],[Sep_2026_Days_Actual]]*Table4[[#This Row],[Cost Boolean]]*(VLOOKUP(Table4[[#This Row],[RATE CONCAT]],Tables!I:N,5,0)),0)</f>
        <v/>
      </c>
      <c r="CY73" s="347">
        <f>Table4[[#This Row],[Sep_2026_F]]-Table4[[#This Row],[Sep_2026_A]]</f>
        <v/>
      </c>
      <c r="CZ73" s="103" t="n"/>
      <c r="DA73" s="347">
        <f>IFERROR(Table4[[#This Row],[Oct_2026_Days_Forecast]]*Table4[[#This Row],[Cost Boolean]]*(VLOOKUP(Table4[[#This Row],[RATE CONCAT]],Tables!I:N,5,0)),0)</f>
        <v/>
      </c>
      <c r="DB73" s="347">
        <f>IFERROR(Table4[[#This Row],[Oct_2026_Days_Actual]]*Table4[[#This Row],[Cost Boolean]]*(VLOOKUP(Table4[[#This Row],[RATE CONCAT]],Tables!I:N,5,0)),0)</f>
        <v/>
      </c>
      <c r="DC73" s="347">
        <f>Table4[[#This Row],[Oct_2026_F]]-Table4[[#This Row],[Oct_2026_A]]</f>
        <v/>
      </c>
      <c r="DD73" s="103" t="n"/>
      <c r="DE73" s="347">
        <f>IFERROR(Table4[[#This Row],[Nov_2026_Days_Forecast]]*Table4[[#This Row],[Cost Boolean]]*(VLOOKUP(Table4[[#This Row],[RATE CONCAT]],Tables!I:N,5,0)),0)</f>
        <v/>
      </c>
      <c r="DF73" s="347">
        <f>IFERROR(Table4[[#This Row],[Nov_2026_Days_Actual]]*Table4[[#This Row],[Cost Boolean]]*(VLOOKUP(Table4[[#This Row],[RATE CONCAT]],Tables!I:N,5,0)),0)</f>
        <v/>
      </c>
      <c r="DG73" s="347">
        <f>Table4[[#This Row],[Nov_2026_F]]-Table4[[#This Row],[Nov_2026_A]]</f>
        <v/>
      </c>
      <c r="DH73" s="103" t="n"/>
      <c r="DI73" s="347">
        <f>IFERROR(Table4[[#This Row],[Dec_2026_Days_Forecast]]*Table4[[#This Row],[Cost Boolean]]*(VLOOKUP(Table4[[#This Row],[RATE CONCAT]],Tables!I:N,5,0)),0)</f>
        <v/>
      </c>
      <c r="DJ73" s="347">
        <f>IFERROR(Table4[[#This Row],[Dec_2026_Days_Actual]]*Table4[[#This Row],[Cost Boolean]]*(VLOOKUP(Table4[[#This Row],[RATE CONCAT]],Tables!I:N,5,0)),0)</f>
        <v/>
      </c>
      <c r="DK73" s="347">
        <f>Table4[[#This Row],[Dec_2026_F]]-Table4[[#This Row],[Dec_2026_A]]</f>
        <v/>
      </c>
      <c r="DL73" s="103" t="n"/>
      <c r="DM73" s="346" t="n"/>
      <c r="DN73" s="347">
        <f>IFERROR(Table4[[#This Row],[Jan_2027_Days_Forecast]]*Table4[[#This Row],[Cost Boolean]]*(VLOOKUP(Table4[[#This Row],[RATE CONCAT]],Tables!I:N,6,0)),0)</f>
        <v/>
      </c>
      <c r="DO73" s="275" t="n"/>
      <c r="DP73" s="347">
        <f>Table4[[#This Row],[Jan_2027_F]]-Table4[[#This Row],[Jan_2027_A]]</f>
        <v/>
      </c>
      <c r="DQ73" s="347">
        <f>IFERROR(Table4[[#This Row],[Feb_2027_Days_Forecast]]*Table4[[#This Row],[Cost Boolean]]*(VLOOKUP(Table4[[#This Row],[RATE CONCAT]],Tables!I:N,6,0)),0)</f>
        <v/>
      </c>
      <c r="DR73" s="275" t="n"/>
      <c r="DS73" s="347">
        <f>Table4[[#This Row],[Feb_2027_F]]-Table4[[#This Row],[Feb_2027_A]]</f>
        <v/>
      </c>
      <c r="DT73" s="347">
        <f>IFERROR(Table4[[#This Row],[Mar_2027_Days_Forecast]]*Table4[[#This Row],[Cost Boolean]]*(VLOOKUP(Table4[[#This Row],[RATE CONCAT]],Tables!I:N,6,0)),0)</f>
        <v/>
      </c>
      <c r="DU73" s="275" t="n"/>
      <c r="DV73" s="347">
        <f>Table4[[#This Row],[Mar_2027_F]]-Table4[[#This Row],[Mar_2027_A]]</f>
        <v/>
      </c>
      <c r="DW73" s="347">
        <f>IFERROR(Table4[[#This Row],[Apr_2027_Days_Forecast]]*Table4[[#This Row],[Cost Boolean]]*(VLOOKUP(Table4[[#This Row],[RATE CONCAT]],Tables!I:N,6,0)),0)</f>
        <v/>
      </c>
      <c r="DX73" s="275" t="n"/>
      <c r="DY73" s="347">
        <f>Table4[[#This Row],[Apr_2027_F]]-Table4[[#This Row],[Apr_2027_A]]</f>
        <v/>
      </c>
      <c r="DZ73" s="347">
        <f>IFERROR(Table4[[#This Row],[May_2027_Days_Forecast]]*Table4[[#This Row],[Cost Boolean]]*(VLOOKUP(Table4[[#This Row],[RATE CONCAT]],Tables!I:N,6,0)),0)</f>
        <v/>
      </c>
      <c r="EA73" s="275" t="n"/>
      <c r="EB73" s="347">
        <f>Table4[[#This Row],[May_2027_F]]-Table4[[#This Row],[May_2027_A]]</f>
        <v/>
      </c>
      <c r="EC73" s="347">
        <f>IFERROR(Table4[[#This Row],[Jun_2027_Days_Forecast]]*Table4[[#This Row],[Cost Boolean]]*(VLOOKUP(Table4[[#This Row],[RATE CONCAT]],Tables!I:N,6,0)),0)</f>
        <v/>
      </c>
      <c r="ED73" s="275" t="n"/>
      <c r="EE73" s="347">
        <f>Table4[[#This Row],[Jun_2027_F]]-Table4[[#This Row],[Jun_2027_A]]</f>
        <v/>
      </c>
      <c r="EF73" s="347">
        <f>IFERROR(Table4[[#This Row],[Jul_2027_Days_Forecast]]*Table4[[#This Row],[Cost Boolean]]*(VLOOKUP(Table4[[#This Row],[RATE CONCAT]],Tables!I:N,6,0)),0)</f>
        <v/>
      </c>
      <c r="EG73" s="275" t="n"/>
      <c r="EH73" s="347">
        <f>Table4[[#This Row],[Jul_2027_F]]-Table4[[#This Row],[Jul_2027_A]]</f>
        <v/>
      </c>
      <c r="EI73" s="347">
        <f>IFERROR(Table4[[#This Row],[Aug_2027_Days_Forecast]]*Table4[[#This Row],[Cost Boolean]]*(VLOOKUP(Table4[[#This Row],[RATE CONCAT]],Tables!I:N,6,0)),0)</f>
        <v/>
      </c>
      <c r="EJ73" s="275" t="n"/>
      <c r="EK73" s="347">
        <f>Table4[[#This Row],[Aug_2027_F]]-Table4[[#This Row],[Aug_2027_A]]</f>
        <v/>
      </c>
      <c r="EL73" s="347">
        <f>IFERROR(Table4[[#This Row],[Sep_2027_Days_Forecast]]*Table4[[#This Row],[Cost Boolean]]*(VLOOKUP(Table4[[#This Row],[RATE CONCAT]],Tables!I:N,6,0)),0)</f>
        <v/>
      </c>
      <c r="EM73" s="275" t="n"/>
      <c r="EN73" s="347">
        <f>Table4[[#This Row],[Sep_2027_F]]-Table4[[#This Row],[Sep_2027_A]]</f>
        <v/>
      </c>
      <c r="EO73" s="347">
        <f>IFERROR(Table4[[#This Row],[Oct_2027_Days_Forecast]]*Table4[[#This Row],[Cost Boolean]]*(VLOOKUP(Table4[[#This Row],[RATE CONCAT]],Tables!I:N,6,0)),0)</f>
        <v/>
      </c>
      <c r="EP73" s="275" t="n"/>
      <c r="EQ73" s="347">
        <f>Table4[[#This Row],[Oct_2027_F]]-Table4[[#This Row],[Oct_2027_A]]</f>
        <v/>
      </c>
      <c r="ER73" s="347">
        <f>IFERROR(Table4[[#This Row],[Nov_2027_Days_Forecast]]*Table4[[#This Row],[Cost Boolean]]*(VLOOKUP(Table4[[#This Row],[RATE CONCAT]],Tables!I:N,6,0)),0)</f>
        <v/>
      </c>
      <c r="ES73" s="275" t="n"/>
      <c r="ET73" s="347">
        <f>Table4[[#This Row],[Nov_2027_F]]-Table4[[#This Row],[Nov_2027_A]]</f>
        <v/>
      </c>
      <c r="EU73" s="347">
        <f>IFERROR(Table4[[#This Row],[Dec_2027_Days_Forecast]]*Table4[[#This Row],[Cost Boolean]]*(VLOOKUP(Table4[[#This Row],[RATE CONCAT]],Tables!I:N,6,0)),0)</f>
        <v/>
      </c>
      <c r="EV73" s="275" t="n"/>
      <c r="EW73" s="347">
        <f>Table4[[#This Row],[Dec_2027_F]]-Table4[[#This Row],[Dec_2027_A]]</f>
        <v/>
      </c>
    </row>
    <row r="74" ht="1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350">
        <f>CONCATENATE(Table4[[#This Row],[JG]],Table4[[#This Row],[Country]],Table4[[#This Row],[Resource Provider]])</f>
        <v/>
      </c>
      <c r="Z74" s="350">
        <f>VLOOKUP(Table4[[#This Row],[RATE CONCAT]],Tables!I:N,5,0)</f>
        <v/>
      </c>
      <c r="AA74" s="53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353">
        <f>IFERROR(AVERAGE(Table4[[#This Row],[Jan_2026_Days_Forecast]:[Dec_2026_Days_Forecast]]),0)/19</f>
        <v/>
      </c>
      <c r="AO74" s="353">
        <f>IFERROR(AVERAGE(Table4[[#This Row],[Jan_2026_Days_Actual]:[Dec_2026_Days_Actual]]),0)/19</f>
        <v/>
      </c>
      <c r="AP74" s="84" t="n"/>
      <c r="AQ74" s="84" t="n"/>
      <c r="AR74" s="84" t="n"/>
      <c r="AS74" s="84" t="n"/>
      <c r="AT74" s="84" t="n"/>
      <c r="AU74" s="84" t="n"/>
      <c r="AV74" s="84" t="n"/>
      <c r="AW74" s="84" t="n"/>
      <c r="AX74" s="84" t="n"/>
      <c r="AY74" s="84" t="n"/>
      <c r="AZ74" s="84" t="n"/>
      <c r="BA74" s="84" t="n"/>
      <c r="BB74" s="353">
        <f>IFERROR(AVERAGE(Table4[[#This Row],[Jan_2027_Days_Forecast]:[Dec_2027_Days_Forecast]]),0)</f>
        <v/>
      </c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55" t="n"/>
      <c r="BP74" s="346" t="n"/>
      <c r="BQ74" s="345">
        <f>Table4[[#This Row],[Jan_2026_Days_Forecast]]*Table4[[#This Row],[Cost Boolean]]*VLOOKUP(Table4[[#This Row],[RATE CONCAT]],Tables!I:N,5,0)</f>
        <v/>
      </c>
      <c r="BR74" s="345">
        <f>IFERROR(Table4[[#This Row],[Jan_2026_Days_Actual]]*Table4[[#This Row],[Cost Boolean]]*(VLOOKUP(Table4[[#This Row],[RATE CONCAT]],Tables!I:N,5,0)),0)</f>
        <v/>
      </c>
      <c r="BS74" s="345">
        <f>Table4[[#This Row],[Jan_2026_F]]-Table4[[#This Row],[Jan_2026_A]]</f>
        <v/>
      </c>
      <c r="BT74" s="107" t="n"/>
      <c r="BU74" s="345">
        <f>IFERROR(Table4[[#This Row],[Feb_2026_Days_Forecast]]*Table4[[#This Row],[Cost Boolean]]*(VLOOKUP(Table4[[#This Row],[RATE CONCAT]],Tables!I:N,5,0)),0)</f>
        <v/>
      </c>
      <c r="BV74" s="345">
        <f>IFERROR(Table4[[#This Row],[Feb_2026_Days_Actual]]*Table4[[#This Row],[Cost Boolean]]*(VLOOKUP(Table4[[#This Row],[RATE CONCAT]],Tables!I:N,5,0)),0)</f>
        <v/>
      </c>
      <c r="BW74" s="345">
        <f>Table4[[#This Row],[Feb_2026_F]]-Table4[[#This Row],[Feb_2026_A]]</f>
        <v/>
      </c>
      <c r="BX74" s="103" t="n"/>
      <c r="BY74" s="345">
        <f>IFERROR(Table4[[#This Row],[Mar_2026_Days_Forecast]]*Table4[[#This Row],[Cost Boolean]]*(VLOOKUP(Table4[[#This Row],[RATE CONCAT]],Tables!I:N,5,0)),0)</f>
        <v/>
      </c>
      <c r="BZ74" s="345">
        <f>IFERROR(Table4[[#This Row],[Mar_2026_Days_Actual]]*Table4[[#This Row],[Cost Boolean]]*(VLOOKUP(Table4[[#This Row],[RATE CONCAT]],Tables!I:N,5,0)),0)</f>
        <v/>
      </c>
      <c r="CA74" s="345">
        <f>Table4[[#This Row],[Mar_2026_F]]-Table4[[#This Row],[Mar_2026_A]]</f>
        <v/>
      </c>
      <c r="CB74" s="103" t="n"/>
      <c r="CC74" s="345">
        <f>IFERROR(Table4[[#This Row],[Apr_2026_Days_Forecast]]*Table4[[#This Row],[Cost Boolean]]*(VLOOKUP(Table4[[#This Row],[RATE CONCAT]],Tables!I:N,5,0)),0)</f>
        <v/>
      </c>
      <c r="CD74" s="345">
        <f>IFERROR(Table4[[#This Row],[Apr_2026_Days_Actual]]*Table4[[#This Row],[Cost Boolean]]*(VLOOKUP(Table4[[#This Row],[RATE CONCAT]],Tables!I:N,5,0)),0)</f>
        <v/>
      </c>
      <c r="CE74" s="345">
        <f>Table4[[#This Row],[Apr_2026_F]]-Table4[[#This Row],[Apr_2026_A]]</f>
        <v/>
      </c>
      <c r="CF74" s="103" t="n"/>
      <c r="CG74" s="345">
        <f>IFERROR(Table4[[#This Row],[May_2026_Days_Forecast]] *Table4[[#This Row],[Cost Boolean]]*(VLOOKUP(Table4[[#This Row],[RATE CONCAT]],Tables!I:N,5,0)),0)</f>
        <v/>
      </c>
      <c r="CH74" s="345">
        <f>IFERROR(Table4[[#This Row],[May_2026_Days_Actual]]*Table4[[#This Row],[Cost Boolean]]*(VLOOKUP(Table4[[#This Row],[RATE CONCAT]],Tables!I:N,5,0)),0)</f>
        <v/>
      </c>
      <c r="CI74" s="345">
        <f>Table4[[#This Row],[May_2026_F]]-Table4[[#This Row],[May_2026_A]]</f>
        <v/>
      </c>
      <c r="CJ74" s="103" t="n"/>
      <c r="CK74" s="345">
        <f>IFERROR(Table4[[#This Row],[Jun_2026_Days_Forecast]]*Table4[[#This Row],[Cost Boolean]]*(VLOOKUP(Table4[[#This Row],[RATE CONCAT]],Tables!I:N,5,0)),0)</f>
        <v/>
      </c>
      <c r="CL74" s="345">
        <f>IFERROR(Table4[[#This Row],[Jun_2026_Days_Actual]]*Table4[[#This Row],[Cost Boolean]]*(VLOOKUP(Table4[[#This Row],[RATE CONCAT]],Tables!I:N,5,0)),0)</f>
        <v/>
      </c>
      <c r="CM74" s="345">
        <f>Table4[[#This Row],[Jun_2026_F]]-Table4[[#This Row],[Jun_2026_A]]</f>
        <v/>
      </c>
      <c r="CN74" s="103" t="n"/>
      <c r="CO74" s="345">
        <f>IFERROR(Table4[[#This Row],[Jul_2026_Days_Forecast]]*Table4[[#This Row],[Cost Boolean]]*(VLOOKUP(Table4[[#This Row],[RATE CONCAT]],Tables!I:N,5,0)),0)</f>
        <v/>
      </c>
      <c r="CP74" s="345">
        <f>IFERROR(Table4[[#This Row],[Aug_2026_Days_Forecast]]*Table4[[#This Row],[Location]]*(VLOOKUP(Table4[[#This Row],[Rate]],Tables!J:O,5,0)),0)</f>
        <v/>
      </c>
      <c r="CQ74" s="345">
        <f>Table4[[#This Row],[Jul_2026_F]]-Table4[[#This Row],[Jul_2026_A]]</f>
        <v/>
      </c>
      <c r="CR74" s="103" t="n"/>
      <c r="CS74" s="345">
        <f>IFERROR(Table4[[#This Row],[Aug_2026_Days_Forecast]]*Table4[[#This Row],[Cost Boolean]]*(VLOOKUP(Table4[[#This Row],[RATE CONCAT]],Tables!I:N,5,0)),0)</f>
        <v/>
      </c>
      <c r="CT74" s="345">
        <f>IFERROR(Table4[[#This Row],[Aug_2026_Days_Actual]]*Table4[[#This Row],[Cost Boolean]]*(VLOOKUP(Table4[[#This Row],[RATE CONCAT]],Tables!I:N,5,0)),0)</f>
        <v/>
      </c>
      <c r="CU74" s="345">
        <f>Table4[[#This Row],[Aug_2026_F]]-Table4[[#This Row],[Aug_2026_A]]</f>
        <v/>
      </c>
      <c r="CV74" s="103" t="n"/>
      <c r="CW74" s="345">
        <f>IFERROR(Table4[[#This Row],[Sep_2026_Days_Forecast]]*Table4[[#This Row],[Cost Boolean]]*(VLOOKUP(Table4[[#This Row],[RATE CONCAT]],Tables!I:N,5,0)),0)</f>
        <v/>
      </c>
      <c r="CX74" s="345">
        <f>IFERROR(Table4[[#This Row],[Sep_2026_Days_Actual]]*Table4[[#This Row],[Cost Boolean]]*(VLOOKUP(Table4[[#This Row],[RATE CONCAT]],Tables!I:N,5,0)),0)</f>
        <v/>
      </c>
      <c r="CY74" s="345">
        <f>Table4[[#This Row],[Sep_2026_F]]-Table4[[#This Row],[Sep_2026_A]]</f>
        <v/>
      </c>
      <c r="CZ74" s="103" t="n"/>
      <c r="DA74" s="345">
        <f>IFERROR(Table4[[#This Row],[Oct_2026_Days_Forecast]]*Table4[[#This Row],[Cost Boolean]]*(VLOOKUP(Table4[[#This Row],[RATE CONCAT]],Tables!I:N,5,0)),0)</f>
        <v/>
      </c>
      <c r="DB74" s="345">
        <f>IFERROR(Table4[[#This Row],[Oct_2026_Days_Actual]]*Table4[[#This Row],[Cost Boolean]]*(VLOOKUP(Table4[[#This Row],[RATE CONCAT]],Tables!I:N,5,0)),0)</f>
        <v/>
      </c>
      <c r="DC74" s="345">
        <f>Table4[[#This Row],[Oct_2026_F]]-Table4[[#This Row],[Oct_2026_A]]</f>
        <v/>
      </c>
      <c r="DD74" s="103" t="n"/>
      <c r="DE74" s="345">
        <f>IFERROR(Table4[[#This Row],[Nov_2026_Days_Forecast]]*Table4[[#This Row],[Cost Boolean]]*(VLOOKUP(Table4[[#This Row],[RATE CONCAT]],Tables!I:N,5,0)),0)</f>
        <v/>
      </c>
      <c r="DF74" s="345">
        <f>IFERROR(Table4[[#This Row],[Nov_2026_Days_Actual]]*Table4[[#This Row],[Cost Boolean]]*(VLOOKUP(Table4[[#This Row],[RATE CONCAT]],Tables!I:N,5,0)),0)</f>
        <v/>
      </c>
      <c r="DG74" s="345">
        <f>Table4[[#This Row],[Nov_2026_F]]-Table4[[#This Row],[Nov_2026_A]]</f>
        <v/>
      </c>
      <c r="DH74" s="103" t="n"/>
      <c r="DI74" s="345">
        <f>IFERROR(Table4[[#This Row],[Dec_2026_Days_Forecast]]*Table4[[#This Row],[Cost Boolean]]*(VLOOKUP(Table4[[#This Row],[RATE CONCAT]],Tables!I:N,5,0)),0)</f>
        <v/>
      </c>
      <c r="DJ74" s="345">
        <f>IFERROR(Table4[[#This Row],[Dec_2026_Days_Actual]]*Table4[[#This Row],[Cost Boolean]]*(VLOOKUP(Table4[[#This Row],[RATE CONCAT]],Tables!I:N,5,0)),0)</f>
        <v/>
      </c>
      <c r="DK74" s="345">
        <f>Table4[[#This Row],[Dec_2026_F]]-Table4[[#This Row],[Dec_2026_A]]</f>
        <v/>
      </c>
      <c r="DL74" s="103" t="n"/>
      <c r="DM74" s="346" t="n"/>
      <c r="DN74" s="345">
        <f>IFERROR(Table4[[#This Row],[Jan_2027_Days_Forecast]]*Table4[[#This Row],[Cost Boolean]]*(VLOOKUP(Table4[[#This Row],[RATE CONCAT]],Tables!I:N,6,0)),0)</f>
        <v/>
      </c>
      <c r="DO74" s="275" t="n"/>
      <c r="DP74" s="345">
        <f>Table4[[#This Row],[Jan_2027_F]]-Table4[[#This Row],[Jan_2027_A]]</f>
        <v/>
      </c>
      <c r="DQ74" s="345">
        <f>IFERROR(Table4[[#This Row],[Feb_2027_Days_Forecast]]*Table4[[#This Row],[Cost Boolean]]*(VLOOKUP(Table4[[#This Row],[RATE CONCAT]],Tables!I:N,6,0)),0)</f>
        <v/>
      </c>
      <c r="DR74" s="275" t="n"/>
      <c r="DS74" s="345">
        <f>Table4[[#This Row],[Feb_2027_F]]-Table4[[#This Row],[Feb_2027_A]]</f>
        <v/>
      </c>
      <c r="DT74" s="345">
        <f>IFERROR(Table4[[#This Row],[Mar_2027_Days_Forecast]]*Table4[[#This Row],[Cost Boolean]]*(VLOOKUP(Table4[[#This Row],[RATE CONCAT]],Tables!I:N,6,0)),0)</f>
        <v/>
      </c>
      <c r="DU74" s="275" t="n"/>
      <c r="DV74" s="345">
        <f>Table4[[#This Row],[Mar_2027_F]]-Table4[[#This Row],[Mar_2027_A]]</f>
        <v/>
      </c>
      <c r="DW74" s="345">
        <f>IFERROR(Table4[[#This Row],[Apr_2027_Days_Forecast]]*Table4[[#This Row],[Cost Boolean]]*(VLOOKUP(Table4[[#This Row],[RATE CONCAT]],Tables!I:N,6,0)),0)</f>
        <v/>
      </c>
      <c r="DX74" s="275" t="n"/>
      <c r="DY74" s="345">
        <f>Table4[[#This Row],[Apr_2027_F]]-Table4[[#This Row],[Apr_2027_A]]</f>
        <v/>
      </c>
      <c r="DZ74" s="345">
        <f>IFERROR(Table4[[#This Row],[May_2027_Days_Forecast]]*Table4[[#This Row],[Cost Boolean]]*(VLOOKUP(Table4[[#This Row],[RATE CONCAT]],Tables!I:N,6,0)),0)</f>
        <v/>
      </c>
      <c r="EA74" s="275" t="n"/>
      <c r="EB74" s="345">
        <f>Table4[[#This Row],[May_2027_F]]-Table4[[#This Row],[May_2027_A]]</f>
        <v/>
      </c>
      <c r="EC74" s="345">
        <f>IFERROR(Table4[[#This Row],[Jun_2027_Days_Forecast]]*Table4[[#This Row],[Cost Boolean]]*(VLOOKUP(Table4[[#This Row],[RATE CONCAT]],Tables!I:N,6,0)),0)</f>
        <v/>
      </c>
      <c r="ED74" s="275" t="n"/>
      <c r="EE74" s="345">
        <f>Table4[[#This Row],[Jun_2027_F]]-Table4[[#This Row],[Jun_2027_A]]</f>
        <v/>
      </c>
      <c r="EF74" s="345">
        <f>IFERROR(Table4[[#This Row],[Jul_2027_Days_Forecast]]*Table4[[#This Row],[Cost Boolean]]*(VLOOKUP(Table4[[#This Row],[RATE CONCAT]],Tables!I:N,6,0)),0)</f>
        <v/>
      </c>
      <c r="EG74" s="275" t="n"/>
      <c r="EH74" s="345">
        <f>Table4[[#This Row],[Jul_2027_F]]-Table4[[#This Row],[Jul_2027_A]]</f>
        <v/>
      </c>
      <c r="EI74" s="345">
        <f>IFERROR(Table4[[#This Row],[Aug_2027_Days_Forecast]]*Table4[[#This Row],[Cost Boolean]]*(VLOOKUP(Table4[[#This Row],[RATE CONCAT]],Tables!I:N,6,0)),0)</f>
        <v/>
      </c>
      <c r="EJ74" s="275" t="n"/>
      <c r="EK74" s="345">
        <f>Table4[[#This Row],[Aug_2027_F]]-Table4[[#This Row],[Aug_2027_A]]</f>
        <v/>
      </c>
      <c r="EL74" s="345">
        <f>IFERROR(Table4[[#This Row],[Sep_2027_Days_Forecast]]*Table4[[#This Row],[Cost Boolean]]*(VLOOKUP(Table4[[#This Row],[RATE CONCAT]],Tables!I:N,6,0)),0)</f>
        <v/>
      </c>
      <c r="EM74" s="275" t="n"/>
      <c r="EN74" s="345">
        <f>Table4[[#This Row],[Sep_2027_F]]-Table4[[#This Row],[Sep_2027_A]]</f>
        <v/>
      </c>
      <c r="EO74" s="345">
        <f>IFERROR(Table4[[#This Row],[Oct_2027_Days_Forecast]]*Table4[[#This Row],[Cost Boolean]]*(VLOOKUP(Table4[[#This Row],[RATE CONCAT]],Tables!I:N,6,0)),0)</f>
        <v/>
      </c>
      <c r="EP74" s="275" t="n"/>
      <c r="EQ74" s="345">
        <f>Table4[[#This Row],[Oct_2027_F]]-Table4[[#This Row],[Oct_2027_A]]</f>
        <v/>
      </c>
      <c r="ER74" s="345">
        <f>IFERROR(Table4[[#This Row],[Nov_2027_Days_Forecast]]*Table4[[#This Row],[Cost Boolean]]*(VLOOKUP(Table4[[#This Row],[RATE CONCAT]],Tables!I:N,6,0)),0)</f>
        <v/>
      </c>
      <c r="ES74" s="275" t="n"/>
      <c r="ET74" s="345">
        <f>Table4[[#This Row],[Nov_2027_F]]-Table4[[#This Row],[Nov_2027_A]]</f>
        <v/>
      </c>
      <c r="EU74" s="345">
        <f>IFERROR(Table4[[#This Row],[Dec_2027_Days_Forecast]]*Table4[[#This Row],[Cost Boolean]]*(VLOOKUP(Table4[[#This Row],[RATE CONCAT]],Tables!I:N,6,0)),0)</f>
        <v/>
      </c>
      <c r="EV74" s="275" t="n"/>
      <c r="EW74" s="345">
        <f>Table4[[#This Row],[Dec_2027_F]]-Table4[[#This Row],[Dec_2027_A]]</f>
        <v/>
      </c>
    </row>
    <row r="75" ht="1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350">
        <f>CONCATENATE(Table4[[#This Row],[JG]],Table4[[#This Row],[Country]],Table4[[#This Row],[Resource Provider]])</f>
        <v/>
      </c>
      <c r="Z75" s="350">
        <f>VLOOKUP(Table4[[#This Row],[RATE CONCAT]],Tables!I:N,5,0)</f>
        <v/>
      </c>
      <c r="AA75" s="53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353">
        <f>IFERROR(AVERAGE(Table4[[#This Row],[Jan_2026_Days_Forecast]:[Dec_2026_Days_Forecast]]),0)/19</f>
        <v/>
      </c>
      <c r="AO75" s="353">
        <f>IFERROR(AVERAGE(Table4[[#This Row],[Jan_2026_Days_Actual]:[Dec_2026_Days_Actual]]),0)/19</f>
        <v/>
      </c>
      <c r="AP75" s="84" t="n"/>
      <c r="AQ75" s="84" t="n"/>
      <c r="AR75" s="84" t="n"/>
      <c r="AS75" s="84" t="n"/>
      <c r="AT75" s="84" t="n"/>
      <c r="AU75" s="84" t="n"/>
      <c r="AV75" s="84" t="n"/>
      <c r="AW75" s="84" t="n"/>
      <c r="AX75" s="84" t="n"/>
      <c r="AY75" s="84" t="n"/>
      <c r="AZ75" s="84" t="n"/>
      <c r="BA75" s="84" t="n"/>
      <c r="BB75" s="353">
        <f>IFERROR(AVERAGE(Table4[[#This Row],[Jan_2027_Days_Forecast]:[Dec_2027_Days_Forecast]]),0)</f>
        <v/>
      </c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55" t="n"/>
      <c r="BP75" s="346" t="n"/>
      <c r="BQ75" s="347">
        <f>Table4[[#This Row],[Jan_2026_Days_Forecast]]*Table4[[#This Row],[Cost Boolean]]*VLOOKUP(Table4[[#This Row],[RATE CONCAT]],Tables!I:N,5,0)</f>
        <v/>
      </c>
      <c r="BR75" s="347">
        <f>IFERROR(Table4[[#This Row],[Jan_2026_Days_Actual]]*Table4[[#This Row],[Cost Boolean]]*(VLOOKUP(Table4[[#This Row],[RATE CONCAT]],Tables!I:N,5,0)),0)</f>
        <v/>
      </c>
      <c r="BS75" s="347">
        <f>Table4[[#This Row],[Jan_2026_F]]-Table4[[#This Row],[Jan_2026_A]]</f>
        <v/>
      </c>
      <c r="BT75" s="107" t="n"/>
      <c r="BU75" s="347">
        <f>IFERROR(Table4[[#This Row],[Feb_2026_Days_Forecast]]*Table4[[#This Row],[Cost Boolean]]*(VLOOKUP(Table4[[#This Row],[RATE CONCAT]],Tables!I:N,5,0)),0)</f>
        <v/>
      </c>
      <c r="BV75" s="347">
        <f>IFERROR(Table4[[#This Row],[Feb_2026_Days_Actual]]*Table4[[#This Row],[Cost Boolean]]*(VLOOKUP(Table4[[#This Row],[RATE CONCAT]],Tables!I:N,5,0)),0)</f>
        <v/>
      </c>
      <c r="BW75" s="347">
        <f>Table4[[#This Row],[Feb_2026_F]]-Table4[[#This Row],[Feb_2026_A]]</f>
        <v/>
      </c>
      <c r="BX75" s="103" t="n"/>
      <c r="BY75" s="347">
        <f>IFERROR(Table4[[#This Row],[Mar_2026_Days_Forecast]]*Table4[[#This Row],[Cost Boolean]]*(VLOOKUP(Table4[[#This Row],[RATE CONCAT]],Tables!I:N,5,0)),0)</f>
        <v/>
      </c>
      <c r="BZ75" s="347">
        <f>IFERROR(Table4[[#This Row],[Mar_2026_Days_Actual]]*Table4[[#This Row],[Cost Boolean]]*(VLOOKUP(Table4[[#This Row],[RATE CONCAT]],Tables!I:N,5,0)),0)</f>
        <v/>
      </c>
      <c r="CA75" s="347">
        <f>Table4[[#This Row],[Mar_2026_F]]-Table4[[#This Row],[Mar_2026_A]]</f>
        <v/>
      </c>
      <c r="CB75" s="103" t="n"/>
      <c r="CC75" s="347">
        <f>IFERROR(Table4[[#This Row],[Apr_2026_Days_Forecast]]*Table4[[#This Row],[Cost Boolean]]*(VLOOKUP(Table4[[#This Row],[RATE CONCAT]],Tables!I:N,5,0)),0)</f>
        <v/>
      </c>
      <c r="CD75" s="347">
        <f>IFERROR(Table4[[#This Row],[Apr_2026_Days_Actual]]*Table4[[#This Row],[Cost Boolean]]*(VLOOKUP(Table4[[#This Row],[RATE CONCAT]],Tables!I:N,5,0)),0)</f>
        <v/>
      </c>
      <c r="CE75" s="347">
        <f>Table4[[#This Row],[Apr_2026_F]]-Table4[[#This Row],[Apr_2026_A]]</f>
        <v/>
      </c>
      <c r="CF75" s="103" t="n"/>
      <c r="CG75" s="347">
        <f>IFERROR(Table4[[#This Row],[May_2026_Days_Forecast]] *Table4[[#This Row],[Cost Boolean]]*(VLOOKUP(Table4[[#This Row],[RATE CONCAT]],Tables!I:N,5,0)),0)</f>
        <v/>
      </c>
      <c r="CH75" s="347">
        <f>IFERROR(Table4[[#This Row],[May_2026_Days_Actual]]*Table4[[#This Row],[Cost Boolean]]*(VLOOKUP(Table4[[#This Row],[RATE CONCAT]],Tables!I:N,5,0)),0)</f>
        <v/>
      </c>
      <c r="CI75" s="347">
        <f>Table4[[#This Row],[May_2026_F]]-Table4[[#This Row],[May_2026_A]]</f>
        <v/>
      </c>
      <c r="CJ75" s="103" t="n"/>
      <c r="CK75" s="347">
        <f>IFERROR(Table4[[#This Row],[Jun_2026_Days_Forecast]]*Table4[[#This Row],[Cost Boolean]]*(VLOOKUP(Table4[[#This Row],[RATE CONCAT]],Tables!I:N,5,0)),0)</f>
        <v/>
      </c>
      <c r="CL75" s="347">
        <f>IFERROR(Table4[[#This Row],[Jun_2026_Days_Actual]]*Table4[[#This Row],[Cost Boolean]]*(VLOOKUP(Table4[[#This Row],[RATE CONCAT]],Tables!I:N,5,0)),0)</f>
        <v/>
      </c>
      <c r="CM75" s="347">
        <f>Table4[[#This Row],[Jun_2026_F]]-Table4[[#This Row],[Jun_2026_A]]</f>
        <v/>
      </c>
      <c r="CN75" s="103" t="n"/>
      <c r="CO75" s="347">
        <f>IFERROR(Table4[[#This Row],[Jul_2026_Days_Forecast]]*Table4[[#This Row],[Cost Boolean]]*(VLOOKUP(Table4[[#This Row],[RATE CONCAT]],Tables!I:N,5,0)),0)</f>
        <v/>
      </c>
      <c r="CP75" s="347">
        <f>IFERROR(Table4[[#This Row],[Aug_2026_Days_Forecast]]*Table4[[#This Row],[Location]]*(VLOOKUP(Table4[[#This Row],[Rate]],Tables!J:O,5,0)),0)</f>
        <v/>
      </c>
      <c r="CQ75" s="347">
        <f>Table4[[#This Row],[Jul_2026_F]]-Table4[[#This Row],[Jul_2026_A]]</f>
        <v/>
      </c>
      <c r="CR75" s="103" t="n"/>
      <c r="CS75" s="347">
        <f>IFERROR(Table4[[#This Row],[Aug_2026_Days_Forecast]]*Table4[[#This Row],[Cost Boolean]]*(VLOOKUP(Table4[[#This Row],[RATE CONCAT]],Tables!I:N,5,0)),0)</f>
        <v/>
      </c>
      <c r="CT75" s="347">
        <f>IFERROR(Table4[[#This Row],[Aug_2026_Days_Actual]]*Table4[[#This Row],[Cost Boolean]]*(VLOOKUP(Table4[[#This Row],[RATE CONCAT]],Tables!I:N,5,0)),0)</f>
        <v/>
      </c>
      <c r="CU75" s="347">
        <f>Table4[[#This Row],[Aug_2026_F]]-Table4[[#This Row],[Aug_2026_A]]</f>
        <v/>
      </c>
      <c r="CV75" s="103" t="n"/>
      <c r="CW75" s="347">
        <f>IFERROR(Table4[[#This Row],[Sep_2026_Days_Forecast]]*Table4[[#This Row],[Cost Boolean]]*(VLOOKUP(Table4[[#This Row],[RATE CONCAT]],Tables!I:N,5,0)),0)</f>
        <v/>
      </c>
      <c r="CX75" s="347">
        <f>IFERROR(Table4[[#This Row],[Sep_2026_Days_Actual]]*Table4[[#This Row],[Cost Boolean]]*(VLOOKUP(Table4[[#This Row],[RATE CONCAT]],Tables!I:N,5,0)),0)</f>
        <v/>
      </c>
      <c r="CY75" s="347">
        <f>Table4[[#This Row],[Sep_2026_F]]-Table4[[#This Row],[Sep_2026_A]]</f>
        <v/>
      </c>
      <c r="CZ75" s="103" t="n"/>
      <c r="DA75" s="347">
        <f>IFERROR(Table4[[#This Row],[Oct_2026_Days_Forecast]]*Table4[[#This Row],[Cost Boolean]]*(VLOOKUP(Table4[[#This Row],[RATE CONCAT]],Tables!I:N,5,0)),0)</f>
        <v/>
      </c>
      <c r="DB75" s="347">
        <f>IFERROR(Table4[[#This Row],[Oct_2026_Days_Actual]]*Table4[[#This Row],[Cost Boolean]]*(VLOOKUP(Table4[[#This Row],[RATE CONCAT]],Tables!I:N,5,0)),0)</f>
        <v/>
      </c>
      <c r="DC75" s="347">
        <f>Table4[[#This Row],[Oct_2026_F]]-Table4[[#This Row],[Oct_2026_A]]</f>
        <v/>
      </c>
      <c r="DD75" s="103" t="n"/>
      <c r="DE75" s="347">
        <f>IFERROR(Table4[[#This Row],[Nov_2026_Days_Forecast]]*Table4[[#This Row],[Cost Boolean]]*(VLOOKUP(Table4[[#This Row],[RATE CONCAT]],Tables!I:N,5,0)),0)</f>
        <v/>
      </c>
      <c r="DF75" s="347">
        <f>IFERROR(Table4[[#This Row],[Nov_2026_Days_Actual]]*Table4[[#This Row],[Cost Boolean]]*(VLOOKUP(Table4[[#This Row],[RATE CONCAT]],Tables!I:N,5,0)),0)</f>
        <v/>
      </c>
      <c r="DG75" s="347">
        <f>Table4[[#This Row],[Nov_2026_F]]-Table4[[#This Row],[Nov_2026_A]]</f>
        <v/>
      </c>
      <c r="DH75" s="103" t="n"/>
      <c r="DI75" s="347">
        <f>IFERROR(Table4[[#This Row],[Dec_2026_Days_Forecast]]*Table4[[#This Row],[Cost Boolean]]*(VLOOKUP(Table4[[#This Row],[RATE CONCAT]],Tables!I:N,5,0)),0)</f>
        <v/>
      </c>
      <c r="DJ75" s="347">
        <f>IFERROR(Table4[[#This Row],[Dec_2026_Days_Actual]]*Table4[[#This Row],[Cost Boolean]]*(VLOOKUP(Table4[[#This Row],[RATE CONCAT]],Tables!I:N,5,0)),0)</f>
        <v/>
      </c>
      <c r="DK75" s="347">
        <f>Table4[[#This Row],[Dec_2026_F]]-Table4[[#This Row],[Dec_2026_A]]</f>
        <v/>
      </c>
      <c r="DL75" s="103" t="n"/>
      <c r="DM75" s="346" t="n"/>
      <c r="DN75" s="347">
        <f>IFERROR(Table4[[#This Row],[Jan_2027_Days_Forecast]]*Table4[[#This Row],[Cost Boolean]]*(VLOOKUP(Table4[[#This Row],[RATE CONCAT]],Tables!I:N,6,0)),0)</f>
        <v/>
      </c>
      <c r="DO75" s="275" t="n"/>
      <c r="DP75" s="347">
        <f>Table4[[#This Row],[Jan_2027_F]]-Table4[[#This Row],[Jan_2027_A]]</f>
        <v/>
      </c>
      <c r="DQ75" s="347">
        <f>IFERROR(Table4[[#This Row],[Feb_2027_Days_Forecast]]*Table4[[#This Row],[Cost Boolean]]*(VLOOKUP(Table4[[#This Row],[RATE CONCAT]],Tables!I:N,6,0)),0)</f>
        <v/>
      </c>
      <c r="DR75" s="275" t="n"/>
      <c r="DS75" s="347">
        <f>Table4[[#This Row],[Feb_2027_F]]-Table4[[#This Row],[Feb_2027_A]]</f>
        <v/>
      </c>
      <c r="DT75" s="347">
        <f>IFERROR(Table4[[#This Row],[Mar_2027_Days_Forecast]]*Table4[[#This Row],[Cost Boolean]]*(VLOOKUP(Table4[[#This Row],[RATE CONCAT]],Tables!I:N,6,0)),0)</f>
        <v/>
      </c>
      <c r="DU75" s="275" t="n"/>
      <c r="DV75" s="347">
        <f>Table4[[#This Row],[Mar_2027_F]]-Table4[[#This Row],[Mar_2027_A]]</f>
        <v/>
      </c>
      <c r="DW75" s="347">
        <f>IFERROR(Table4[[#This Row],[Apr_2027_Days_Forecast]]*Table4[[#This Row],[Cost Boolean]]*(VLOOKUP(Table4[[#This Row],[RATE CONCAT]],Tables!I:N,6,0)),0)</f>
        <v/>
      </c>
      <c r="DX75" s="275" t="n"/>
      <c r="DY75" s="347">
        <f>Table4[[#This Row],[Apr_2027_F]]-Table4[[#This Row],[Apr_2027_A]]</f>
        <v/>
      </c>
      <c r="DZ75" s="347">
        <f>IFERROR(Table4[[#This Row],[May_2027_Days_Forecast]]*Table4[[#This Row],[Cost Boolean]]*(VLOOKUP(Table4[[#This Row],[RATE CONCAT]],Tables!I:N,6,0)),0)</f>
        <v/>
      </c>
      <c r="EA75" s="275" t="n"/>
      <c r="EB75" s="347">
        <f>Table4[[#This Row],[May_2027_F]]-Table4[[#This Row],[May_2027_A]]</f>
        <v/>
      </c>
      <c r="EC75" s="347">
        <f>IFERROR(Table4[[#This Row],[Jun_2027_Days_Forecast]]*Table4[[#This Row],[Cost Boolean]]*(VLOOKUP(Table4[[#This Row],[RATE CONCAT]],Tables!I:N,6,0)),0)</f>
        <v/>
      </c>
      <c r="ED75" s="275" t="n"/>
      <c r="EE75" s="347">
        <f>Table4[[#This Row],[Jun_2027_F]]-Table4[[#This Row],[Jun_2027_A]]</f>
        <v/>
      </c>
      <c r="EF75" s="347">
        <f>IFERROR(Table4[[#This Row],[Jul_2027_Days_Forecast]]*Table4[[#This Row],[Cost Boolean]]*(VLOOKUP(Table4[[#This Row],[RATE CONCAT]],Tables!I:N,6,0)),0)</f>
        <v/>
      </c>
      <c r="EG75" s="275" t="n"/>
      <c r="EH75" s="347">
        <f>Table4[[#This Row],[Jul_2027_F]]-Table4[[#This Row],[Jul_2027_A]]</f>
        <v/>
      </c>
      <c r="EI75" s="347">
        <f>IFERROR(Table4[[#This Row],[Aug_2027_Days_Forecast]]*Table4[[#This Row],[Cost Boolean]]*(VLOOKUP(Table4[[#This Row],[RATE CONCAT]],Tables!I:N,6,0)),0)</f>
        <v/>
      </c>
      <c r="EJ75" s="275" t="n"/>
      <c r="EK75" s="347">
        <f>Table4[[#This Row],[Aug_2027_F]]-Table4[[#This Row],[Aug_2027_A]]</f>
        <v/>
      </c>
      <c r="EL75" s="347">
        <f>IFERROR(Table4[[#This Row],[Sep_2027_Days_Forecast]]*Table4[[#This Row],[Cost Boolean]]*(VLOOKUP(Table4[[#This Row],[RATE CONCAT]],Tables!I:N,6,0)),0)</f>
        <v/>
      </c>
      <c r="EM75" s="275" t="n"/>
      <c r="EN75" s="347">
        <f>Table4[[#This Row],[Sep_2027_F]]-Table4[[#This Row],[Sep_2027_A]]</f>
        <v/>
      </c>
      <c r="EO75" s="347">
        <f>IFERROR(Table4[[#This Row],[Oct_2027_Days_Forecast]]*Table4[[#This Row],[Cost Boolean]]*(VLOOKUP(Table4[[#This Row],[RATE CONCAT]],Tables!I:N,6,0)),0)</f>
        <v/>
      </c>
      <c r="EP75" s="275" t="n"/>
      <c r="EQ75" s="347">
        <f>Table4[[#This Row],[Oct_2027_F]]-Table4[[#This Row],[Oct_2027_A]]</f>
        <v/>
      </c>
      <c r="ER75" s="347">
        <f>IFERROR(Table4[[#This Row],[Nov_2027_Days_Forecast]]*Table4[[#This Row],[Cost Boolean]]*(VLOOKUP(Table4[[#This Row],[RATE CONCAT]],Tables!I:N,6,0)),0)</f>
        <v/>
      </c>
      <c r="ES75" s="275" t="n"/>
      <c r="ET75" s="347">
        <f>Table4[[#This Row],[Nov_2027_F]]-Table4[[#This Row],[Nov_2027_A]]</f>
        <v/>
      </c>
      <c r="EU75" s="347">
        <f>IFERROR(Table4[[#This Row],[Dec_2027_Days_Forecast]]*Table4[[#This Row],[Cost Boolean]]*(VLOOKUP(Table4[[#This Row],[RATE CONCAT]],Tables!I:N,6,0)),0)</f>
        <v/>
      </c>
      <c r="EV75" s="275" t="n"/>
      <c r="EW75" s="347">
        <f>Table4[[#This Row],[Dec_2027_F]]-Table4[[#This Row],[Dec_2027_A]]</f>
        <v/>
      </c>
    </row>
    <row r="76" ht="1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350">
        <f>CONCATENATE(Table4[[#This Row],[JG]],Table4[[#This Row],[Country]],Table4[[#This Row],[Resource Provider]])</f>
        <v/>
      </c>
      <c r="Z76" s="350">
        <f>VLOOKUP(Table4[[#This Row],[RATE CONCAT]],Tables!I:N,5,0)</f>
        <v/>
      </c>
      <c r="AA76" s="53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353">
        <f>IFERROR(AVERAGE(Table4[[#This Row],[Jan_2026_Days_Forecast]:[Dec_2026_Days_Forecast]]),0)/19</f>
        <v/>
      </c>
      <c r="AO76" s="353">
        <f>IFERROR(AVERAGE(Table4[[#This Row],[Jan_2026_Days_Actual]:[Dec_2026_Days_Actual]]),0)/19</f>
        <v/>
      </c>
      <c r="AP76" s="84" t="n"/>
      <c r="AQ76" s="84" t="n"/>
      <c r="AR76" s="84" t="n"/>
      <c r="AS76" s="84" t="n"/>
      <c r="AT76" s="84" t="n"/>
      <c r="AU76" s="84" t="n"/>
      <c r="AV76" s="84" t="n"/>
      <c r="AW76" s="84" t="n"/>
      <c r="AX76" s="84" t="n"/>
      <c r="AY76" s="84" t="n"/>
      <c r="AZ76" s="84" t="n"/>
      <c r="BA76" s="84" t="n"/>
      <c r="BB76" s="353">
        <f>IFERROR(AVERAGE(Table4[[#This Row],[Jan_2027_Days_Forecast]:[Dec_2027_Days_Forecast]]),0)</f>
        <v/>
      </c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55" t="n"/>
      <c r="BP76" s="346" t="n"/>
      <c r="BQ76" s="345">
        <f>Table4[[#This Row],[Jan_2026_Days_Forecast]]*Table4[[#This Row],[Cost Boolean]]*VLOOKUP(Table4[[#This Row],[RATE CONCAT]],Tables!I:N,5,0)</f>
        <v/>
      </c>
      <c r="BR76" s="345">
        <f>IFERROR(Table4[[#This Row],[Jan_2026_Days_Actual]]*Table4[[#This Row],[Cost Boolean]]*(VLOOKUP(Table4[[#This Row],[RATE CONCAT]],Tables!I:N,5,0)),0)</f>
        <v/>
      </c>
      <c r="BS76" s="345">
        <f>Table4[[#This Row],[Jan_2026_F]]-Table4[[#This Row],[Jan_2026_A]]</f>
        <v/>
      </c>
      <c r="BT76" s="107" t="n"/>
      <c r="BU76" s="345">
        <f>IFERROR(Table4[[#This Row],[Feb_2026_Days_Forecast]]*Table4[[#This Row],[Cost Boolean]]*(VLOOKUP(Table4[[#This Row],[RATE CONCAT]],Tables!I:N,5,0)),0)</f>
        <v/>
      </c>
      <c r="BV76" s="345">
        <f>IFERROR(Table4[[#This Row],[Feb_2026_Days_Actual]]*Table4[[#This Row],[Cost Boolean]]*(VLOOKUP(Table4[[#This Row],[RATE CONCAT]],Tables!I:N,5,0)),0)</f>
        <v/>
      </c>
      <c r="BW76" s="345">
        <f>Table4[[#This Row],[Feb_2026_F]]-Table4[[#This Row],[Feb_2026_A]]</f>
        <v/>
      </c>
      <c r="BX76" s="103" t="n"/>
      <c r="BY76" s="345">
        <f>IFERROR(Table4[[#This Row],[Mar_2026_Days_Forecast]]*Table4[[#This Row],[Cost Boolean]]*(VLOOKUP(Table4[[#This Row],[RATE CONCAT]],Tables!I:N,5,0)),0)</f>
        <v/>
      </c>
      <c r="BZ76" s="345">
        <f>IFERROR(Table4[[#This Row],[Mar_2026_Days_Actual]]*Table4[[#This Row],[Cost Boolean]]*(VLOOKUP(Table4[[#This Row],[RATE CONCAT]],Tables!I:N,5,0)),0)</f>
        <v/>
      </c>
      <c r="CA76" s="345">
        <f>Table4[[#This Row],[Mar_2026_F]]-Table4[[#This Row],[Mar_2026_A]]</f>
        <v/>
      </c>
      <c r="CB76" s="103" t="n"/>
      <c r="CC76" s="345">
        <f>IFERROR(Table4[[#This Row],[Apr_2026_Days_Forecast]]*Table4[[#This Row],[Cost Boolean]]*(VLOOKUP(Table4[[#This Row],[RATE CONCAT]],Tables!I:N,5,0)),0)</f>
        <v/>
      </c>
      <c r="CD76" s="345">
        <f>IFERROR(Table4[[#This Row],[Apr_2026_Days_Actual]]*Table4[[#This Row],[Cost Boolean]]*(VLOOKUP(Table4[[#This Row],[RATE CONCAT]],Tables!I:N,5,0)),0)</f>
        <v/>
      </c>
      <c r="CE76" s="345">
        <f>Table4[[#This Row],[Apr_2026_F]]-Table4[[#This Row],[Apr_2026_A]]</f>
        <v/>
      </c>
      <c r="CF76" s="103" t="n"/>
      <c r="CG76" s="345">
        <f>IFERROR(Table4[[#This Row],[May_2026_Days_Forecast]] *Table4[[#This Row],[Cost Boolean]]*(VLOOKUP(Table4[[#This Row],[RATE CONCAT]],Tables!I:N,5,0)),0)</f>
        <v/>
      </c>
      <c r="CH76" s="345">
        <f>IFERROR(Table4[[#This Row],[May_2026_Days_Actual]]*Table4[[#This Row],[Cost Boolean]]*(VLOOKUP(Table4[[#This Row],[RATE CONCAT]],Tables!I:N,5,0)),0)</f>
        <v/>
      </c>
      <c r="CI76" s="345">
        <f>Table4[[#This Row],[May_2026_F]]-Table4[[#This Row],[May_2026_A]]</f>
        <v/>
      </c>
      <c r="CJ76" s="103" t="n"/>
      <c r="CK76" s="345">
        <f>IFERROR(Table4[[#This Row],[Jun_2026_Days_Forecast]]*Table4[[#This Row],[Cost Boolean]]*(VLOOKUP(Table4[[#This Row],[RATE CONCAT]],Tables!I:N,5,0)),0)</f>
        <v/>
      </c>
      <c r="CL76" s="345">
        <f>IFERROR(Table4[[#This Row],[Jun_2026_Days_Actual]]*Table4[[#This Row],[Cost Boolean]]*(VLOOKUP(Table4[[#This Row],[RATE CONCAT]],Tables!I:N,5,0)),0)</f>
        <v/>
      </c>
      <c r="CM76" s="345">
        <f>Table4[[#This Row],[Jun_2026_F]]-Table4[[#This Row],[Jun_2026_A]]</f>
        <v/>
      </c>
      <c r="CN76" s="103" t="n"/>
      <c r="CO76" s="345">
        <f>IFERROR(Table4[[#This Row],[Jul_2026_Days_Forecast]]*Table4[[#This Row],[Cost Boolean]]*(VLOOKUP(Table4[[#This Row],[RATE CONCAT]],Tables!I:N,5,0)),0)</f>
        <v/>
      </c>
      <c r="CP76" s="345">
        <f>IFERROR(Table4[[#This Row],[Aug_2026_Days_Forecast]]*Table4[[#This Row],[Location]]*(VLOOKUP(Table4[[#This Row],[Rate]],Tables!J:O,5,0)),0)</f>
        <v/>
      </c>
      <c r="CQ76" s="345">
        <f>Table4[[#This Row],[Jul_2026_F]]-Table4[[#This Row],[Jul_2026_A]]</f>
        <v/>
      </c>
      <c r="CR76" s="103" t="n"/>
      <c r="CS76" s="345">
        <f>IFERROR(Table4[[#This Row],[Aug_2026_Days_Forecast]]*Table4[[#This Row],[Cost Boolean]]*(VLOOKUP(Table4[[#This Row],[RATE CONCAT]],Tables!I:N,5,0)),0)</f>
        <v/>
      </c>
      <c r="CT76" s="345">
        <f>IFERROR(Table4[[#This Row],[Aug_2026_Days_Actual]]*Table4[[#This Row],[Cost Boolean]]*(VLOOKUP(Table4[[#This Row],[RATE CONCAT]],Tables!I:N,5,0)),0)</f>
        <v/>
      </c>
      <c r="CU76" s="345">
        <f>Table4[[#This Row],[Aug_2026_F]]-Table4[[#This Row],[Aug_2026_A]]</f>
        <v/>
      </c>
      <c r="CV76" s="103" t="n"/>
      <c r="CW76" s="345">
        <f>IFERROR(Table4[[#This Row],[Sep_2026_Days_Forecast]]*Table4[[#This Row],[Cost Boolean]]*(VLOOKUP(Table4[[#This Row],[RATE CONCAT]],Tables!I:N,5,0)),0)</f>
        <v/>
      </c>
      <c r="CX76" s="345">
        <f>IFERROR(Table4[[#This Row],[Sep_2026_Days_Actual]]*Table4[[#This Row],[Cost Boolean]]*(VLOOKUP(Table4[[#This Row],[RATE CONCAT]],Tables!I:N,5,0)),0)</f>
        <v/>
      </c>
      <c r="CY76" s="345">
        <f>Table4[[#This Row],[Sep_2026_F]]-Table4[[#This Row],[Sep_2026_A]]</f>
        <v/>
      </c>
      <c r="CZ76" s="103" t="n"/>
      <c r="DA76" s="345">
        <f>IFERROR(Table4[[#This Row],[Oct_2026_Days_Forecast]]*Table4[[#This Row],[Cost Boolean]]*(VLOOKUP(Table4[[#This Row],[RATE CONCAT]],Tables!I:N,5,0)),0)</f>
        <v/>
      </c>
      <c r="DB76" s="345">
        <f>IFERROR(Table4[[#This Row],[Oct_2026_Days_Actual]]*Table4[[#This Row],[Cost Boolean]]*(VLOOKUP(Table4[[#This Row],[RATE CONCAT]],Tables!I:N,5,0)),0)</f>
        <v/>
      </c>
      <c r="DC76" s="345">
        <f>Table4[[#This Row],[Oct_2026_F]]-Table4[[#This Row],[Oct_2026_A]]</f>
        <v/>
      </c>
      <c r="DD76" s="103" t="n"/>
      <c r="DE76" s="345">
        <f>IFERROR(Table4[[#This Row],[Nov_2026_Days_Forecast]]*Table4[[#This Row],[Cost Boolean]]*(VLOOKUP(Table4[[#This Row],[RATE CONCAT]],Tables!I:N,5,0)),0)</f>
        <v/>
      </c>
      <c r="DF76" s="345">
        <f>IFERROR(Table4[[#This Row],[Nov_2026_Days_Actual]]*Table4[[#This Row],[Cost Boolean]]*(VLOOKUP(Table4[[#This Row],[RATE CONCAT]],Tables!I:N,5,0)),0)</f>
        <v/>
      </c>
      <c r="DG76" s="345">
        <f>Table4[[#This Row],[Nov_2026_F]]-Table4[[#This Row],[Nov_2026_A]]</f>
        <v/>
      </c>
      <c r="DH76" s="103" t="n"/>
      <c r="DI76" s="345">
        <f>IFERROR(Table4[[#This Row],[Dec_2026_Days_Forecast]]*Table4[[#This Row],[Cost Boolean]]*(VLOOKUP(Table4[[#This Row],[RATE CONCAT]],Tables!I:N,5,0)),0)</f>
        <v/>
      </c>
      <c r="DJ76" s="345">
        <f>IFERROR(Table4[[#This Row],[Dec_2026_Days_Actual]]*Table4[[#This Row],[Cost Boolean]]*(VLOOKUP(Table4[[#This Row],[RATE CONCAT]],Tables!I:N,5,0)),0)</f>
        <v/>
      </c>
      <c r="DK76" s="345">
        <f>Table4[[#This Row],[Dec_2026_F]]-Table4[[#This Row],[Dec_2026_A]]</f>
        <v/>
      </c>
      <c r="DL76" s="103" t="n"/>
      <c r="DM76" s="346" t="n"/>
      <c r="DN76" s="345">
        <f>IFERROR(Table4[[#This Row],[Jan_2027_Days_Forecast]]*Table4[[#This Row],[Cost Boolean]]*(VLOOKUP(Table4[[#This Row],[RATE CONCAT]],Tables!I:N,6,0)),0)</f>
        <v/>
      </c>
      <c r="DO76" s="275" t="n"/>
      <c r="DP76" s="345">
        <f>Table4[[#This Row],[Jan_2027_F]]-Table4[[#This Row],[Jan_2027_A]]</f>
        <v/>
      </c>
      <c r="DQ76" s="345">
        <f>IFERROR(Table4[[#This Row],[Feb_2027_Days_Forecast]]*Table4[[#This Row],[Cost Boolean]]*(VLOOKUP(Table4[[#This Row],[RATE CONCAT]],Tables!I:N,6,0)),0)</f>
        <v/>
      </c>
      <c r="DR76" s="275" t="n"/>
      <c r="DS76" s="345">
        <f>Table4[[#This Row],[Feb_2027_F]]-Table4[[#This Row],[Feb_2027_A]]</f>
        <v/>
      </c>
      <c r="DT76" s="345">
        <f>IFERROR(Table4[[#This Row],[Mar_2027_Days_Forecast]]*Table4[[#This Row],[Cost Boolean]]*(VLOOKUP(Table4[[#This Row],[RATE CONCAT]],Tables!I:N,6,0)),0)</f>
        <v/>
      </c>
      <c r="DU76" s="275" t="n"/>
      <c r="DV76" s="345">
        <f>Table4[[#This Row],[Mar_2027_F]]-Table4[[#This Row],[Mar_2027_A]]</f>
        <v/>
      </c>
      <c r="DW76" s="345">
        <f>IFERROR(Table4[[#This Row],[Apr_2027_Days_Forecast]]*Table4[[#This Row],[Cost Boolean]]*(VLOOKUP(Table4[[#This Row],[RATE CONCAT]],Tables!I:N,6,0)),0)</f>
        <v/>
      </c>
      <c r="DX76" s="275" t="n"/>
      <c r="DY76" s="345">
        <f>Table4[[#This Row],[Apr_2027_F]]-Table4[[#This Row],[Apr_2027_A]]</f>
        <v/>
      </c>
      <c r="DZ76" s="345">
        <f>IFERROR(Table4[[#This Row],[May_2027_Days_Forecast]]*Table4[[#This Row],[Cost Boolean]]*(VLOOKUP(Table4[[#This Row],[RATE CONCAT]],Tables!I:N,6,0)),0)</f>
        <v/>
      </c>
      <c r="EA76" s="275" t="n"/>
      <c r="EB76" s="345">
        <f>Table4[[#This Row],[May_2027_F]]-Table4[[#This Row],[May_2027_A]]</f>
        <v/>
      </c>
      <c r="EC76" s="345">
        <f>IFERROR(Table4[[#This Row],[Jun_2027_Days_Forecast]]*Table4[[#This Row],[Cost Boolean]]*(VLOOKUP(Table4[[#This Row],[RATE CONCAT]],Tables!I:N,6,0)),0)</f>
        <v/>
      </c>
      <c r="ED76" s="275" t="n"/>
      <c r="EE76" s="345">
        <f>Table4[[#This Row],[Jun_2027_F]]-Table4[[#This Row],[Jun_2027_A]]</f>
        <v/>
      </c>
      <c r="EF76" s="345">
        <f>IFERROR(Table4[[#This Row],[Jul_2027_Days_Forecast]]*Table4[[#This Row],[Cost Boolean]]*(VLOOKUP(Table4[[#This Row],[RATE CONCAT]],Tables!I:N,6,0)),0)</f>
        <v/>
      </c>
      <c r="EG76" s="275" t="n"/>
      <c r="EH76" s="345">
        <f>Table4[[#This Row],[Jul_2027_F]]-Table4[[#This Row],[Jul_2027_A]]</f>
        <v/>
      </c>
      <c r="EI76" s="345">
        <f>IFERROR(Table4[[#This Row],[Aug_2027_Days_Forecast]]*Table4[[#This Row],[Cost Boolean]]*(VLOOKUP(Table4[[#This Row],[RATE CONCAT]],Tables!I:N,6,0)),0)</f>
        <v/>
      </c>
      <c r="EJ76" s="275" t="n"/>
      <c r="EK76" s="345">
        <f>Table4[[#This Row],[Aug_2027_F]]-Table4[[#This Row],[Aug_2027_A]]</f>
        <v/>
      </c>
      <c r="EL76" s="345">
        <f>IFERROR(Table4[[#This Row],[Sep_2027_Days_Forecast]]*Table4[[#This Row],[Cost Boolean]]*(VLOOKUP(Table4[[#This Row],[RATE CONCAT]],Tables!I:N,6,0)),0)</f>
        <v/>
      </c>
      <c r="EM76" s="275" t="n"/>
      <c r="EN76" s="345">
        <f>Table4[[#This Row],[Sep_2027_F]]-Table4[[#This Row],[Sep_2027_A]]</f>
        <v/>
      </c>
      <c r="EO76" s="345">
        <f>IFERROR(Table4[[#This Row],[Oct_2027_Days_Forecast]]*Table4[[#This Row],[Cost Boolean]]*(VLOOKUP(Table4[[#This Row],[RATE CONCAT]],Tables!I:N,6,0)),0)</f>
        <v/>
      </c>
      <c r="EP76" s="275" t="n"/>
      <c r="EQ76" s="345">
        <f>Table4[[#This Row],[Oct_2027_F]]-Table4[[#This Row],[Oct_2027_A]]</f>
        <v/>
      </c>
      <c r="ER76" s="345">
        <f>IFERROR(Table4[[#This Row],[Nov_2027_Days_Forecast]]*Table4[[#This Row],[Cost Boolean]]*(VLOOKUP(Table4[[#This Row],[RATE CONCAT]],Tables!I:N,6,0)),0)</f>
        <v/>
      </c>
      <c r="ES76" s="275" t="n"/>
      <c r="ET76" s="345">
        <f>Table4[[#This Row],[Nov_2027_F]]-Table4[[#This Row],[Nov_2027_A]]</f>
        <v/>
      </c>
      <c r="EU76" s="345">
        <f>IFERROR(Table4[[#This Row],[Dec_2027_Days_Forecast]]*Table4[[#This Row],[Cost Boolean]]*(VLOOKUP(Table4[[#This Row],[RATE CONCAT]],Tables!I:N,6,0)),0)</f>
        <v/>
      </c>
      <c r="EV76" s="275" t="n"/>
      <c r="EW76" s="345">
        <f>Table4[[#This Row],[Dec_2027_F]]-Table4[[#This Row],[Dec_2027_A]]</f>
        <v/>
      </c>
    </row>
    <row r="77" ht="1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350">
        <f>CONCATENATE(Table4[[#This Row],[JG]],Table4[[#This Row],[Country]],Table4[[#This Row],[Resource Provider]])</f>
        <v/>
      </c>
      <c r="Z77" s="350">
        <f>VLOOKUP(Table4[[#This Row],[RATE CONCAT]],Tables!I:N,5,0)</f>
        <v/>
      </c>
      <c r="AA77" s="53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353">
        <f>IFERROR(AVERAGE(Table4[[#This Row],[Jan_2026_Days_Forecast]:[Dec_2026_Days_Forecast]]),0)/19</f>
        <v/>
      </c>
      <c r="AO77" s="353">
        <f>IFERROR(AVERAGE(Table4[[#This Row],[Jan_2026_Days_Actual]:[Dec_2026_Days_Actual]]),0)/19</f>
        <v/>
      </c>
      <c r="AP77" s="84" t="n"/>
      <c r="AQ77" s="84" t="n"/>
      <c r="AR77" s="84" t="n"/>
      <c r="AS77" s="84" t="n"/>
      <c r="AT77" s="84" t="n"/>
      <c r="AU77" s="84" t="n"/>
      <c r="AV77" s="84" t="n"/>
      <c r="AW77" s="84" t="n"/>
      <c r="AX77" s="84" t="n"/>
      <c r="AY77" s="84" t="n"/>
      <c r="AZ77" s="84" t="n"/>
      <c r="BA77" s="84" t="n"/>
      <c r="BB77" s="353">
        <f>IFERROR(AVERAGE(Table4[[#This Row],[Jan_2027_Days_Forecast]:[Dec_2027_Days_Forecast]]),0)</f>
        <v/>
      </c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55" t="n"/>
      <c r="BP77" s="346" t="n"/>
      <c r="BQ77" s="347">
        <f>Table4[[#This Row],[Jan_2026_Days_Forecast]]*Table4[[#This Row],[Cost Boolean]]*VLOOKUP(Table4[[#This Row],[RATE CONCAT]],Tables!I:N,5,0)</f>
        <v/>
      </c>
      <c r="BR77" s="347">
        <f>IFERROR(Table4[[#This Row],[Jan_2026_Days_Actual]]*Table4[[#This Row],[Cost Boolean]]*(VLOOKUP(Table4[[#This Row],[RATE CONCAT]],Tables!I:N,5,0)),0)</f>
        <v/>
      </c>
      <c r="BS77" s="347">
        <f>Table4[[#This Row],[Jan_2026_F]]-Table4[[#This Row],[Jan_2026_A]]</f>
        <v/>
      </c>
      <c r="BT77" s="107" t="n"/>
      <c r="BU77" s="347">
        <f>IFERROR(Table4[[#This Row],[Feb_2026_Days_Forecast]]*Table4[[#This Row],[Cost Boolean]]*(VLOOKUP(Table4[[#This Row],[RATE CONCAT]],Tables!I:N,5,0)),0)</f>
        <v/>
      </c>
      <c r="BV77" s="347">
        <f>IFERROR(Table4[[#This Row],[Feb_2026_Days_Actual]]*Table4[[#This Row],[Cost Boolean]]*(VLOOKUP(Table4[[#This Row],[RATE CONCAT]],Tables!I:N,5,0)),0)</f>
        <v/>
      </c>
      <c r="BW77" s="347">
        <f>Table4[[#This Row],[Feb_2026_F]]-Table4[[#This Row],[Feb_2026_A]]</f>
        <v/>
      </c>
      <c r="BX77" s="103" t="n"/>
      <c r="BY77" s="347">
        <f>IFERROR(Table4[[#This Row],[Mar_2026_Days_Forecast]]*Table4[[#This Row],[Cost Boolean]]*(VLOOKUP(Table4[[#This Row],[RATE CONCAT]],Tables!I:N,5,0)),0)</f>
        <v/>
      </c>
      <c r="BZ77" s="347">
        <f>IFERROR(Table4[[#This Row],[Mar_2026_Days_Actual]]*Table4[[#This Row],[Cost Boolean]]*(VLOOKUP(Table4[[#This Row],[RATE CONCAT]],Tables!I:N,5,0)),0)</f>
        <v/>
      </c>
      <c r="CA77" s="347">
        <f>Table4[[#This Row],[Mar_2026_F]]-Table4[[#This Row],[Mar_2026_A]]</f>
        <v/>
      </c>
      <c r="CB77" s="103" t="n"/>
      <c r="CC77" s="347">
        <f>IFERROR(Table4[[#This Row],[Apr_2026_Days_Forecast]]*Table4[[#This Row],[Cost Boolean]]*(VLOOKUP(Table4[[#This Row],[RATE CONCAT]],Tables!I:N,5,0)),0)</f>
        <v/>
      </c>
      <c r="CD77" s="347">
        <f>IFERROR(Table4[[#This Row],[Apr_2026_Days_Actual]]*Table4[[#This Row],[Cost Boolean]]*(VLOOKUP(Table4[[#This Row],[RATE CONCAT]],Tables!I:N,5,0)),0)</f>
        <v/>
      </c>
      <c r="CE77" s="347">
        <f>Table4[[#This Row],[Apr_2026_F]]-Table4[[#This Row],[Apr_2026_A]]</f>
        <v/>
      </c>
      <c r="CF77" s="103" t="n"/>
      <c r="CG77" s="347">
        <f>IFERROR(Table4[[#This Row],[May_2026_Days_Forecast]] *Table4[[#This Row],[Cost Boolean]]*(VLOOKUP(Table4[[#This Row],[RATE CONCAT]],Tables!I:N,5,0)),0)</f>
        <v/>
      </c>
      <c r="CH77" s="347">
        <f>IFERROR(Table4[[#This Row],[May_2026_Days_Actual]]*Table4[[#This Row],[Cost Boolean]]*(VLOOKUP(Table4[[#This Row],[RATE CONCAT]],Tables!I:N,5,0)),0)</f>
        <v/>
      </c>
      <c r="CI77" s="347">
        <f>Table4[[#This Row],[May_2026_F]]-Table4[[#This Row],[May_2026_A]]</f>
        <v/>
      </c>
      <c r="CJ77" s="103" t="n"/>
      <c r="CK77" s="347">
        <f>IFERROR(Table4[[#This Row],[Jun_2026_Days_Forecast]]*Table4[[#This Row],[Cost Boolean]]*(VLOOKUP(Table4[[#This Row],[RATE CONCAT]],Tables!I:N,5,0)),0)</f>
        <v/>
      </c>
      <c r="CL77" s="347">
        <f>IFERROR(Table4[[#This Row],[Jun_2026_Days_Actual]]*Table4[[#This Row],[Cost Boolean]]*(VLOOKUP(Table4[[#This Row],[RATE CONCAT]],Tables!I:N,5,0)),0)</f>
        <v/>
      </c>
      <c r="CM77" s="347">
        <f>Table4[[#This Row],[Jun_2026_F]]-Table4[[#This Row],[Jun_2026_A]]</f>
        <v/>
      </c>
      <c r="CN77" s="103" t="n"/>
      <c r="CO77" s="347">
        <f>IFERROR(Table4[[#This Row],[Jul_2026_Days_Forecast]]*Table4[[#This Row],[Cost Boolean]]*(VLOOKUP(Table4[[#This Row],[RATE CONCAT]],Tables!I:N,5,0)),0)</f>
        <v/>
      </c>
      <c r="CP77" s="347">
        <f>IFERROR(Table4[[#This Row],[Aug_2026_Days_Forecast]]*Table4[[#This Row],[Location]]*(VLOOKUP(Table4[[#This Row],[Rate]],Tables!J:O,5,0)),0)</f>
        <v/>
      </c>
      <c r="CQ77" s="347">
        <f>Table4[[#This Row],[Jul_2026_F]]-Table4[[#This Row],[Jul_2026_A]]</f>
        <v/>
      </c>
      <c r="CR77" s="103" t="n"/>
      <c r="CS77" s="347">
        <f>IFERROR(Table4[[#This Row],[Aug_2026_Days_Forecast]]*Table4[[#This Row],[Cost Boolean]]*(VLOOKUP(Table4[[#This Row],[RATE CONCAT]],Tables!I:N,5,0)),0)</f>
        <v/>
      </c>
      <c r="CT77" s="347">
        <f>IFERROR(Table4[[#This Row],[Aug_2026_Days_Actual]]*Table4[[#This Row],[Cost Boolean]]*(VLOOKUP(Table4[[#This Row],[RATE CONCAT]],Tables!I:N,5,0)),0)</f>
        <v/>
      </c>
      <c r="CU77" s="347">
        <f>Table4[[#This Row],[Aug_2026_F]]-Table4[[#This Row],[Aug_2026_A]]</f>
        <v/>
      </c>
      <c r="CV77" s="103" t="n"/>
      <c r="CW77" s="347">
        <f>IFERROR(Table4[[#This Row],[Sep_2026_Days_Forecast]]*Table4[[#This Row],[Cost Boolean]]*(VLOOKUP(Table4[[#This Row],[RATE CONCAT]],Tables!I:N,5,0)),0)</f>
        <v/>
      </c>
      <c r="CX77" s="347">
        <f>IFERROR(Table4[[#This Row],[Sep_2026_Days_Actual]]*Table4[[#This Row],[Cost Boolean]]*(VLOOKUP(Table4[[#This Row],[RATE CONCAT]],Tables!I:N,5,0)),0)</f>
        <v/>
      </c>
      <c r="CY77" s="347">
        <f>Table4[[#This Row],[Sep_2026_F]]-Table4[[#This Row],[Sep_2026_A]]</f>
        <v/>
      </c>
      <c r="CZ77" s="103" t="n"/>
      <c r="DA77" s="347">
        <f>IFERROR(Table4[[#This Row],[Oct_2026_Days_Forecast]]*Table4[[#This Row],[Cost Boolean]]*(VLOOKUP(Table4[[#This Row],[RATE CONCAT]],Tables!I:N,5,0)),0)</f>
        <v/>
      </c>
      <c r="DB77" s="347">
        <f>IFERROR(Table4[[#This Row],[Oct_2026_Days_Actual]]*Table4[[#This Row],[Cost Boolean]]*(VLOOKUP(Table4[[#This Row],[RATE CONCAT]],Tables!I:N,5,0)),0)</f>
        <v/>
      </c>
      <c r="DC77" s="347">
        <f>Table4[[#This Row],[Oct_2026_F]]-Table4[[#This Row],[Oct_2026_A]]</f>
        <v/>
      </c>
      <c r="DD77" s="103" t="n"/>
      <c r="DE77" s="347">
        <f>IFERROR(Table4[[#This Row],[Nov_2026_Days_Forecast]]*Table4[[#This Row],[Cost Boolean]]*(VLOOKUP(Table4[[#This Row],[RATE CONCAT]],Tables!I:N,5,0)),0)</f>
        <v/>
      </c>
      <c r="DF77" s="347">
        <f>IFERROR(Table4[[#This Row],[Nov_2026_Days_Actual]]*Table4[[#This Row],[Cost Boolean]]*(VLOOKUP(Table4[[#This Row],[RATE CONCAT]],Tables!I:N,5,0)),0)</f>
        <v/>
      </c>
      <c r="DG77" s="347">
        <f>Table4[[#This Row],[Nov_2026_F]]-Table4[[#This Row],[Nov_2026_A]]</f>
        <v/>
      </c>
      <c r="DH77" s="103" t="n"/>
      <c r="DI77" s="347">
        <f>IFERROR(Table4[[#This Row],[Dec_2026_Days_Forecast]]*Table4[[#This Row],[Cost Boolean]]*(VLOOKUP(Table4[[#This Row],[RATE CONCAT]],Tables!I:N,5,0)),0)</f>
        <v/>
      </c>
      <c r="DJ77" s="347">
        <f>IFERROR(Table4[[#This Row],[Dec_2026_Days_Actual]]*Table4[[#This Row],[Cost Boolean]]*(VLOOKUP(Table4[[#This Row],[RATE CONCAT]],Tables!I:N,5,0)),0)</f>
        <v/>
      </c>
      <c r="DK77" s="347">
        <f>Table4[[#This Row],[Dec_2026_F]]-Table4[[#This Row],[Dec_2026_A]]</f>
        <v/>
      </c>
      <c r="DL77" s="103" t="n"/>
      <c r="DM77" s="346" t="n"/>
      <c r="DN77" s="347">
        <f>IFERROR(Table4[[#This Row],[Jan_2027_Days_Forecast]]*Table4[[#This Row],[Cost Boolean]]*(VLOOKUP(Table4[[#This Row],[RATE CONCAT]],Tables!I:N,6,0)),0)</f>
        <v/>
      </c>
      <c r="DO77" s="275" t="n"/>
      <c r="DP77" s="347">
        <f>Table4[[#This Row],[Jan_2027_F]]-Table4[[#This Row],[Jan_2027_A]]</f>
        <v/>
      </c>
      <c r="DQ77" s="347">
        <f>IFERROR(Table4[[#This Row],[Feb_2027_Days_Forecast]]*Table4[[#This Row],[Cost Boolean]]*(VLOOKUP(Table4[[#This Row],[RATE CONCAT]],Tables!I:N,6,0)),0)</f>
        <v/>
      </c>
      <c r="DR77" s="275" t="n"/>
      <c r="DS77" s="347">
        <f>Table4[[#This Row],[Feb_2027_F]]-Table4[[#This Row],[Feb_2027_A]]</f>
        <v/>
      </c>
      <c r="DT77" s="347">
        <f>IFERROR(Table4[[#This Row],[Mar_2027_Days_Forecast]]*Table4[[#This Row],[Cost Boolean]]*(VLOOKUP(Table4[[#This Row],[RATE CONCAT]],Tables!I:N,6,0)),0)</f>
        <v/>
      </c>
      <c r="DU77" s="275" t="n"/>
      <c r="DV77" s="347">
        <f>Table4[[#This Row],[Mar_2027_F]]-Table4[[#This Row],[Mar_2027_A]]</f>
        <v/>
      </c>
      <c r="DW77" s="347">
        <f>IFERROR(Table4[[#This Row],[Apr_2027_Days_Forecast]]*Table4[[#This Row],[Cost Boolean]]*(VLOOKUP(Table4[[#This Row],[RATE CONCAT]],Tables!I:N,6,0)),0)</f>
        <v/>
      </c>
      <c r="DX77" s="275" t="n"/>
      <c r="DY77" s="347">
        <f>Table4[[#This Row],[Apr_2027_F]]-Table4[[#This Row],[Apr_2027_A]]</f>
        <v/>
      </c>
      <c r="DZ77" s="347">
        <f>IFERROR(Table4[[#This Row],[May_2027_Days_Forecast]]*Table4[[#This Row],[Cost Boolean]]*(VLOOKUP(Table4[[#This Row],[RATE CONCAT]],Tables!I:N,6,0)),0)</f>
        <v/>
      </c>
      <c r="EA77" s="275" t="n"/>
      <c r="EB77" s="347">
        <f>Table4[[#This Row],[May_2027_F]]-Table4[[#This Row],[May_2027_A]]</f>
        <v/>
      </c>
      <c r="EC77" s="347">
        <f>IFERROR(Table4[[#This Row],[Jun_2027_Days_Forecast]]*Table4[[#This Row],[Cost Boolean]]*(VLOOKUP(Table4[[#This Row],[RATE CONCAT]],Tables!I:N,6,0)),0)</f>
        <v/>
      </c>
      <c r="ED77" s="275" t="n"/>
      <c r="EE77" s="347">
        <f>Table4[[#This Row],[Jun_2027_F]]-Table4[[#This Row],[Jun_2027_A]]</f>
        <v/>
      </c>
      <c r="EF77" s="347">
        <f>IFERROR(Table4[[#This Row],[Jul_2027_Days_Forecast]]*Table4[[#This Row],[Cost Boolean]]*(VLOOKUP(Table4[[#This Row],[RATE CONCAT]],Tables!I:N,6,0)),0)</f>
        <v/>
      </c>
      <c r="EG77" s="275" t="n"/>
      <c r="EH77" s="347">
        <f>Table4[[#This Row],[Jul_2027_F]]-Table4[[#This Row],[Jul_2027_A]]</f>
        <v/>
      </c>
      <c r="EI77" s="347">
        <f>IFERROR(Table4[[#This Row],[Aug_2027_Days_Forecast]]*Table4[[#This Row],[Cost Boolean]]*(VLOOKUP(Table4[[#This Row],[RATE CONCAT]],Tables!I:N,6,0)),0)</f>
        <v/>
      </c>
      <c r="EJ77" s="275" t="n"/>
      <c r="EK77" s="347">
        <f>Table4[[#This Row],[Aug_2027_F]]-Table4[[#This Row],[Aug_2027_A]]</f>
        <v/>
      </c>
      <c r="EL77" s="347">
        <f>IFERROR(Table4[[#This Row],[Sep_2027_Days_Forecast]]*Table4[[#This Row],[Cost Boolean]]*(VLOOKUP(Table4[[#This Row],[RATE CONCAT]],Tables!I:N,6,0)),0)</f>
        <v/>
      </c>
      <c r="EM77" s="275" t="n"/>
      <c r="EN77" s="347">
        <f>Table4[[#This Row],[Sep_2027_F]]-Table4[[#This Row],[Sep_2027_A]]</f>
        <v/>
      </c>
      <c r="EO77" s="347">
        <f>IFERROR(Table4[[#This Row],[Oct_2027_Days_Forecast]]*Table4[[#This Row],[Cost Boolean]]*(VLOOKUP(Table4[[#This Row],[RATE CONCAT]],Tables!I:N,6,0)),0)</f>
        <v/>
      </c>
      <c r="EP77" s="275" t="n"/>
      <c r="EQ77" s="347">
        <f>Table4[[#This Row],[Oct_2027_F]]-Table4[[#This Row],[Oct_2027_A]]</f>
        <v/>
      </c>
      <c r="ER77" s="347">
        <f>IFERROR(Table4[[#This Row],[Nov_2027_Days_Forecast]]*Table4[[#This Row],[Cost Boolean]]*(VLOOKUP(Table4[[#This Row],[RATE CONCAT]],Tables!I:N,6,0)),0)</f>
        <v/>
      </c>
      <c r="ES77" s="275" t="n"/>
      <c r="ET77" s="347">
        <f>Table4[[#This Row],[Nov_2027_F]]-Table4[[#This Row],[Nov_2027_A]]</f>
        <v/>
      </c>
      <c r="EU77" s="347">
        <f>IFERROR(Table4[[#This Row],[Dec_2027_Days_Forecast]]*Table4[[#This Row],[Cost Boolean]]*(VLOOKUP(Table4[[#This Row],[RATE CONCAT]],Tables!I:N,6,0)),0)</f>
        <v/>
      </c>
      <c r="EV77" s="275" t="n"/>
      <c r="EW77" s="347">
        <f>Table4[[#This Row],[Dec_2027_F]]-Table4[[#This Row],[Dec_2027_A]]</f>
        <v/>
      </c>
    </row>
    <row r="78" ht="1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350">
        <f>CONCATENATE(Table4[[#This Row],[JG]],Table4[[#This Row],[Country]],Table4[[#This Row],[Resource Provider]])</f>
        <v/>
      </c>
      <c r="Z78" s="350">
        <f>VLOOKUP(Table4[[#This Row],[RATE CONCAT]],Tables!I:N,5,0)</f>
        <v/>
      </c>
      <c r="AA78" s="53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353">
        <f>IFERROR(AVERAGE(Table4[[#This Row],[Jan_2026_Days_Forecast]:[Dec_2026_Days_Forecast]]),0)/19</f>
        <v/>
      </c>
      <c r="AO78" s="353">
        <f>IFERROR(AVERAGE(Table4[[#This Row],[Jan_2026_Days_Actual]:[Dec_2026_Days_Actual]]),0)/19</f>
        <v/>
      </c>
      <c r="AP78" s="84" t="n"/>
      <c r="AQ78" s="84" t="n"/>
      <c r="AR78" s="84" t="n"/>
      <c r="AS78" s="84" t="n"/>
      <c r="AT78" s="84" t="n"/>
      <c r="AU78" s="84" t="n"/>
      <c r="AV78" s="84" t="n"/>
      <c r="AW78" s="84" t="n"/>
      <c r="AX78" s="84" t="n"/>
      <c r="AY78" s="84" t="n"/>
      <c r="AZ78" s="84" t="n"/>
      <c r="BA78" s="84" t="n"/>
      <c r="BB78" s="353">
        <f>IFERROR(AVERAGE(Table4[[#This Row],[Jan_2027_Days_Forecast]:[Dec_2027_Days_Forecast]]),0)</f>
        <v/>
      </c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55" t="n"/>
      <c r="BP78" s="346" t="n"/>
      <c r="BQ78" s="345">
        <f>Table4[[#This Row],[Jan_2026_Days_Forecast]]*Table4[[#This Row],[Cost Boolean]]*VLOOKUP(Table4[[#This Row],[RATE CONCAT]],Tables!I:N,5,0)</f>
        <v/>
      </c>
      <c r="BR78" s="345">
        <f>IFERROR(Table4[[#This Row],[Jan_2026_Days_Actual]]*Table4[[#This Row],[Cost Boolean]]*(VLOOKUP(Table4[[#This Row],[RATE CONCAT]],Tables!I:N,5,0)),0)</f>
        <v/>
      </c>
      <c r="BS78" s="345">
        <f>Table4[[#This Row],[Jan_2026_F]]-Table4[[#This Row],[Jan_2026_A]]</f>
        <v/>
      </c>
      <c r="BT78" s="107" t="n"/>
      <c r="BU78" s="345">
        <f>IFERROR(Table4[[#This Row],[Feb_2026_Days_Forecast]]*Table4[[#This Row],[Cost Boolean]]*(VLOOKUP(Table4[[#This Row],[RATE CONCAT]],Tables!I:N,5,0)),0)</f>
        <v/>
      </c>
      <c r="BV78" s="345">
        <f>IFERROR(Table4[[#This Row],[Feb_2026_Days_Actual]]*Table4[[#This Row],[Cost Boolean]]*(VLOOKUP(Table4[[#This Row],[RATE CONCAT]],Tables!I:N,5,0)),0)</f>
        <v/>
      </c>
      <c r="BW78" s="345">
        <f>Table4[[#This Row],[Feb_2026_F]]-Table4[[#This Row],[Feb_2026_A]]</f>
        <v/>
      </c>
      <c r="BX78" s="103" t="n"/>
      <c r="BY78" s="345">
        <f>IFERROR(Table4[[#This Row],[Mar_2026_Days_Forecast]]*Table4[[#This Row],[Cost Boolean]]*(VLOOKUP(Table4[[#This Row],[RATE CONCAT]],Tables!I:N,5,0)),0)</f>
        <v/>
      </c>
      <c r="BZ78" s="345">
        <f>IFERROR(Table4[[#This Row],[Mar_2026_Days_Actual]]*Table4[[#This Row],[Cost Boolean]]*(VLOOKUP(Table4[[#This Row],[RATE CONCAT]],Tables!I:N,5,0)),0)</f>
        <v/>
      </c>
      <c r="CA78" s="345">
        <f>Table4[[#This Row],[Mar_2026_F]]-Table4[[#This Row],[Mar_2026_A]]</f>
        <v/>
      </c>
      <c r="CB78" s="103" t="n"/>
      <c r="CC78" s="345">
        <f>IFERROR(Table4[[#This Row],[Apr_2026_Days_Forecast]]*Table4[[#This Row],[Cost Boolean]]*(VLOOKUP(Table4[[#This Row],[RATE CONCAT]],Tables!I:N,5,0)),0)</f>
        <v/>
      </c>
      <c r="CD78" s="345">
        <f>IFERROR(Table4[[#This Row],[Apr_2026_Days_Actual]]*Table4[[#This Row],[Cost Boolean]]*(VLOOKUP(Table4[[#This Row],[RATE CONCAT]],Tables!I:N,5,0)),0)</f>
        <v/>
      </c>
      <c r="CE78" s="345">
        <f>Table4[[#This Row],[Apr_2026_F]]-Table4[[#This Row],[Apr_2026_A]]</f>
        <v/>
      </c>
      <c r="CF78" s="103" t="n"/>
      <c r="CG78" s="345">
        <f>IFERROR(Table4[[#This Row],[May_2026_Days_Forecast]] *Table4[[#This Row],[Cost Boolean]]*(VLOOKUP(Table4[[#This Row],[RATE CONCAT]],Tables!I:N,5,0)),0)</f>
        <v/>
      </c>
      <c r="CH78" s="345">
        <f>IFERROR(Table4[[#This Row],[May_2026_Days_Actual]]*Table4[[#This Row],[Cost Boolean]]*(VLOOKUP(Table4[[#This Row],[RATE CONCAT]],Tables!I:N,5,0)),0)</f>
        <v/>
      </c>
      <c r="CI78" s="345">
        <f>Table4[[#This Row],[May_2026_F]]-Table4[[#This Row],[May_2026_A]]</f>
        <v/>
      </c>
      <c r="CJ78" s="103" t="n"/>
      <c r="CK78" s="345">
        <f>IFERROR(Table4[[#This Row],[Jun_2026_Days_Forecast]]*Table4[[#This Row],[Cost Boolean]]*(VLOOKUP(Table4[[#This Row],[RATE CONCAT]],Tables!I:N,5,0)),0)</f>
        <v/>
      </c>
      <c r="CL78" s="345">
        <f>IFERROR(Table4[[#This Row],[Jun_2026_Days_Actual]]*Table4[[#This Row],[Cost Boolean]]*(VLOOKUP(Table4[[#This Row],[RATE CONCAT]],Tables!I:N,5,0)),0)</f>
        <v/>
      </c>
      <c r="CM78" s="345">
        <f>Table4[[#This Row],[Jun_2026_F]]-Table4[[#This Row],[Jun_2026_A]]</f>
        <v/>
      </c>
      <c r="CN78" s="103" t="n"/>
      <c r="CO78" s="345">
        <f>IFERROR(Table4[[#This Row],[Jul_2026_Days_Forecast]]*Table4[[#This Row],[Cost Boolean]]*(VLOOKUP(Table4[[#This Row],[RATE CONCAT]],Tables!I:N,5,0)),0)</f>
        <v/>
      </c>
      <c r="CP78" s="345">
        <f>IFERROR(Table4[[#This Row],[Aug_2026_Days_Forecast]]*Table4[[#This Row],[Location]]*(VLOOKUP(Table4[[#This Row],[Rate]],Tables!J:O,5,0)),0)</f>
        <v/>
      </c>
      <c r="CQ78" s="345">
        <f>Table4[[#This Row],[Jul_2026_F]]-Table4[[#This Row],[Jul_2026_A]]</f>
        <v/>
      </c>
      <c r="CR78" s="103" t="n"/>
      <c r="CS78" s="345">
        <f>IFERROR(Table4[[#This Row],[Aug_2026_Days_Forecast]]*Table4[[#This Row],[Cost Boolean]]*(VLOOKUP(Table4[[#This Row],[RATE CONCAT]],Tables!I:N,5,0)),0)</f>
        <v/>
      </c>
      <c r="CT78" s="345">
        <f>IFERROR(Table4[[#This Row],[Aug_2026_Days_Actual]]*Table4[[#This Row],[Cost Boolean]]*(VLOOKUP(Table4[[#This Row],[RATE CONCAT]],Tables!I:N,5,0)),0)</f>
        <v/>
      </c>
      <c r="CU78" s="345">
        <f>Table4[[#This Row],[Aug_2026_F]]-Table4[[#This Row],[Aug_2026_A]]</f>
        <v/>
      </c>
      <c r="CV78" s="103" t="n"/>
      <c r="CW78" s="345">
        <f>IFERROR(Table4[[#This Row],[Sep_2026_Days_Forecast]]*Table4[[#This Row],[Cost Boolean]]*(VLOOKUP(Table4[[#This Row],[RATE CONCAT]],Tables!I:N,5,0)),0)</f>
        <v/>
      </c>
      <c r="CX78" s="345">
        <f>IFERROR(Table4[[#This Row],[Sep_2026_Days_Actual]]*Table4[[#This Row],[Cost Boolean]]*(VLOOKUP(Table4[[#This Row],[RATE CONCAT]],Tables!I:N,5,0)),0)</f>
        <v/>
      </c>
      <c r="CY78" s="345">
        <f>Table4[[#This Row],[Sep_2026_F]]-Table4[[#This Row],[Sep_2026_A]]</f>
        <v/>
      </c>
      <c r="CZ78" s="103" t="n"/>
      <c r="DA78" s="345">
        <f>IFERROR(Table4[[#This Row],[Oct_2026_Days_Forecast]]*Table4[[#This Row],[Cost Boolean]]*(VLOOKUP(Table4[[#This Row],[RATE CONCAT]],Tables!I:N,5,0)),0)</f>
        <v/>
      </c>
      <c r="DB78" s="345">
        <f>IFERROR(Table4[[#This Row],[Oct_2026_Days_Actual]]*Table4[[#This Row],[Cost Boolean]]*(VLOOKUP(Table4[[#This Row],[RATE CONCAT]],Tables!I:N,5,0)),0)</f>
        <v/>
      </c>
      <c r="DC78" s="345">
        <f>Table4[[#This Row],[Oct_2026_F]]-Table4[[#This Row],[Oct_2026_A]]</f>
        <v/>
      </c>
      <c r="DD78" s="103" t="n"/>
      <c r="DE78" s="345">
        <f>IFERROR(Table4[[#This Row],[Nov_2026_Days_Forecast]]*Table4[[#This Row],[Cost Boolean]]*(VLOOKUP(Table4[[#This Row],[RATE CONCAT]],Tables!I:N,5,0)),0)</f>
        <v/>
      </c>
      <c r="DF78" s="345">
        <f>IFERROR(Table4[[#This Row],[Nov_2026_Days_Actual]]*Table4[[#This Row],[Cost Boolean]]*(VLOOKUP(Table4[[#This Row],[RATE CONCAT]],Tables!I:N,5,0)),0)</f>
        <v/>
      </c>
      <c r="DG78" s="345">
        <f>Table4[[#This Row],[Nov_2026_F]]-Table4[[#This Row],[Nov_2026_A]]</f>
        <v/>
      </c>
      <c r="DH78" s="103" t="n"/>
      <c r="DI78" s="345">
        <f>IFERROR(Table4[[#This Row],[Dec_2026_Days_Forecast]]*Table4[[#This Row],[Cost Boolean]]*(VLOOKUP(Table4[[#This Row],[RATE CONCAT]],Tables!I:N,5,0)),0)</f>
        <v/>
      </c>
      <c r="DJ78" s="345">
        <f>IFERROR(Table4[[#This Row],[Dec_2026_Days_Actual]]*Table4[[#This Row],[Cost Boolean]]*(VLOOKUP(Table4[[#This Row],[RATE CONCAT]],Tables!I:N,5,0)),0)</f>
        <v/>
      </c>
      <c r="DK78" s="345">
        <f>Table4[[#This Row],[Dec_2026_F]]-Table4[[#This Row],[Dec_2026_A]]</f>
        <v/>
      </c>
      <c r="DL78" s="103" t="n"/>
      <c r="DM78" s="346" t="n"/>
      <c r="DN78" s="345">
        <f>IFERROR(Table4[[#This Row],[Jan_2027_Days_Forecast]]*Table4[[#This Row],[Cost Boolean]]*(VLOOKUP(Table4[[#This Row],[RATE CONCAT]],Tables!I:N,6,0)),0)</f>
        <v/>
      </c>
      <c r="DO78" s="275" t="n"/>
      <c r="DP78" s="345">
        <f>Table4[[#This Row],[Jan_2027_F]]-Table4[[#This Row],[Jan_2027_A]]</f>
        <v/>
      </c>
      <c r="DQ78" s="345">
        <f>IFERROR(Table4[[#This Row],[Feb_2027_Days_Forecast]]*Table4[[#This Row],[Cost Boolean]]*(VLOOKUP(Table4[[#This Row],[RATE CONCAT]],Tables!I:N,6,0)),0)</f>
        <v/>
      </c>
      <c r="DR78" s="275" t="n"/>
      <c r="DS78" s="345">
        <f>Table4[[#This Row],[Feb_2027_F]]-Table4[[#This Row],[Feb_2027_A]]</f>
        <v/>
      </c>
      <c r="DT78" s="345">
        <f>IFERROR(Table4[[#This Row],[Mar_2027_Days_Forecast]]*Table4[[#This Row],[Cost Boolean]]*(VLOOKUP(Table4[[#This Row],[RATE CONCAT]],Tables!I:N,6,0)),0)</f>
        <v/>
      </c>
      <c r="DU78" s="275" t="n"/>
      <c r="DV78" s="345">
        <f>Table4[[#This Row],[Mar_2027_F]]-Table4[[#This Row],[Mar_2027_A]]</f>
        <v/>
      </c>
      <c r="DW78" s="345">
        <f>IFERROR(Table4[[#This Row],[Apr_2027_Days_Forecast]]*Table4[[#This Row],[Cost Boolean]]*(VLOOKUP(Table4[[#This Row],[RATE CONCAT]],Tables!I:N,6,0)),0)</f>
        <v/>
      </c>
      <c r="DX78" s="275" t="n"/>
      <c r="DY78" s="345">
        <f>Table4[[#This Row],[Apr_2027_F]]-Table4[[#This Row],[Apr_2027_A]]</f>
        <v/>
      </c>
      <c r="DZ78" s="345">
        <f>IFERROR(Table4[[#This Row],[May_2027_Days_Forecast]]*Table4[[#This Row],[Cost Boolean]]*(VLOOKUP(Table4[[#This Row],[RATE CONCAT]],Tables!I:N,6,0)),0)</f>
        <v/>
      </c>
      <c r="EA78" s="275" t="n"/>
      <c r="EB78" s="345">
        <f>Table4[[#This Row],[May_2027_F]]-Table4[[#This Row],[May_2027_A]]</f>
        <v/>
      </c>
      <c r="EC78" s="345">
        <f>IFERROR(Table4[[#This Row],[Jun_2027_Days_Forecast]]*Table4[[#This Row],[Cost Boolean]]*(VLOOKUP(Table4[[#This Row],[RATE CONCAT]],Tables!I:N,6,0)),0)</f>
        <v/>
      </c>
      <c r="ED78" s="275" t="n"/>
      <c r="EE78" s="345">
        <f>Table4[[#This Row],[Jun_2027_F]]-Table4[[#This Row],[Jun_2027_A]]</f>
        <v/>
      </c>
      <c r="EF78" s="345">
        <f>IFERROR(Table4[[#This Row],[Jul_2027_Days_Forecast]]*Table4[[#This Row],[Cost Boolean]]*(VLOOKUP(Table4[[#This Row],[RATE CONCAT]],Tables!I:N,6,0)),0)</f>
        <v/>
      </c>
      <c r="EG78" s="275" t="n"/>
      <c r="EH78" s="345">
        <f>Table4[[#This Row],[Jul_2027_F]]-Table4[[#This Row],[Jul_2027_A]]</f>
        <v/>
      </c>
      <c r="EI78" s="345">
        <f>IFERROR(Table4[[#This Row],[Aug_2027_Days_Forecast]]*Table4[[#This Row],[Cost Boolean]]*(VLOOKUP(Table4[[#This Row],[RATE CONCAT]],Tables!I:N,6,0)),0)</f>
        <v/>
      </c>
      <c r="EJ78" s="275" t="n"/>
      <c r="EK78" s="345">
        <f>Table4[[#This Row],[Aug_2027_F]]-Table4[[#This Row],[Aug_2027_A]]</f>
        <v/>
      </c>
      <c r="EL78" s="345">
        <f>IFERROR(Table4[[#This Row],[Sep_2027_Days_Forecast]]*Table4[[#This Row],[Cost Boolean]]*(VLOOKUP(Table4[[#This Row],[RATE CONCAT]],Tables!I:N,6,0)),0)</f>
        <v/>
      </c>
      <c r="EM78" s="275" t="n"/>
      <c r="EN78" s="345">
        <f>Table4[[#This Row],[Sep_2027_F]]-Table4[[#This Row],[Sep_2027_A]]</f>
        <v/>
      </c>
      <c r="EO78" s="345">
        <f>IFERROR(Table4[[#This Row],[Oct_2027_Days_Forecast]]*Table4[[#This Row],[Cost Boolean]]*(VLOOKUP(Table4[[#This Row],[RATE CONCAT]],Tables!I:N,6,0)),0)</f>
        <v/>
      </c>
      <c r="EP78" s="275" t="n"/>
      <c r="EQ78" s="345">
        <f>Table4[[#This Row],[Oct_2027_F]]-Table4[[#This Row],[Oct_2027_A]]</f>
        <v/>
      </c>
      <c r="ER78" s="345">
        <f>IFERROR(Table4[[#This Row],[Nov_2027_Days_Forecast]]*Table4[[#This Row],[Cost Boolean]]*(VLOOKUP(Table4[[#This Row],[RATE CONCAT]],Tables!I:N,6,0)),0)</f>
        <v/>
      </c>
      <c r="ES78" s="275" t="n"/>
      <c r="ET78" s="345">
        <f>Table4[[#This Row],[Nov_2027_F]]-Table4[[#This Row],[Nov_2027_A]]</f>
        <v/>
      </c>
      <c r="EU78" s="345">
        <f>IFERROR(Table4[[#This Row],[Dec_2027_Days_Forecast]]*Table4[[#This Row],[Cost Boolean]]*(VLOOKUP(Table4[[#This Row],[RATE CONCAT]],Tables!I:N,6,0)),0)</f>
        <v/>
      </c>
      <c r="EV78" s="275" t="n"/>
      <c r="EW78" s="345">
        <f>Table4[[#This Row],[Dec_2027_F]]-Table4[[#This Row],[Dec_2027_A]]</f>
        <v/>
      </c>
    </row>
    <row r="79" ht="1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350">
        <f>CONCATENATE(Table4[[#This Row],[JG]],Table4[[#This Row],[Country]],Table4[[#This Row],[Resource Provider]])</f>
        <v/>
      </c>
      <c r="Z79" s="350">
        <f>VLOOKUP(Table4[[#This Row],[RATE CONCAT]],Tables!I:N,5,0)</f>
        <v/>
      </c>
      <c r="AA79" s="53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353">
        <f>IFERROR(AVERAGE(Table4[[#This Row],[Jan_2026_Days_Forecast]:[Dec_2026_Days_Forecast]]),0)/19</f>
        <v/>
      </c>
      <c r="AO79" s="353">
        <f>IFERROR(AVERAGE(Table4[[#This Row],[Jan_2026_Days_Actual]:[Dec_2026_Days_Actual]]),0)/19</f>
        <v/>
      </c>
      <c r="AP79" s="84" t="n"/>
      <c r="AQ79" s="84" t="n"/>
      <c r="AR79" s="84" t="n"/>
      <c r="AS79" s="84" t="n"/>
      <c r="AT79" s="84" t="n"/>
      <c r="AU79" s="84" t="n"/>
      <c r="AV79" s="84" t="n"/>
      <c r="AW79" s="84" t="n"/>
      <c r="AX79" s="84" t="n"/>
      <c r="AY79" s="84" t="n"/>
      <c r="AZ79" s="84" t="n"/>
      <c r="BA79" s="84" t="n"/>
      <c r="BB79" s="353">
        <f>IFERROR(AVERAGE(Table4[[#This Row],[Jan_2027_Days_Forecast]:[Dec_2027_Days_Forecast]]),0)</f>
        <v/>
      </c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55" t="n"/>
      <c r="BP79" s="346" t="n"/>
      <c r="BQ79" s="347">
        <f>Table4[[#This Row],[Jan_2026_Days_Forecast]]*Table4[[#This Row],[Cost Boolean]]*VLOOKUP(Table4[[#This Row],[RATE CONCAT]],Tables!I:N,5,0)</f>
        <v/>
      </c>
      <c r="BR79" s="347">
        <f>IFERROR(Table4[[#This Row],[Jan_2026_Days_Actual]]*Table4[[#This Row],[Cost Boolean]]*(VLOOKUP(Table4[[#This Row],[RATE CONCAT]],Tables!I:N,5,0)),0)</f>
        <v/>
      </c>
      <c r="BS79" s="347">
        <f>Table4[[#This Row],[Jan_2026_F]]-Table4[[#This Row],[Jan_2026_A]]</f>
        <v/>
      </c>
      <c r="BT79" s="107" t="n"/>
      <c r="BU79" s="347">
        <f>IFERROR(Table4[[#This Row],[Feb_2026_Days_Forecast]]*Table4[[#This Row],[Cost Boolean]]*(VLOOKUP(Table4[[#This Row],[RATE CONCAT]],Tables!I:N,5,0)),0)</f>
        <v/>
      </c>
      <c r="BV79" s="347">
        <f>IFERROR(Table4[[#This Row],[Feb_2026_Days_Actual]]*Table4[[#This Row],[Cost Boolean]]*(VLOOKUP(Table4[[#This Row],[RATE CONCAT]],Tables!I:N,5,0)),0)</f>
        <v/>
      </c>
      <c r="BW79" s="347">
        <f>Table4[[#This Row],[Feb_2026_F]]-Table4[[#This Row],[Feb_2026_A]]</f>
        <v/>
      </c>
      <c r="BX79" s="103" t="n"/>
      <c r="BY79" s="347">
        <f>IFERROR(Table4[[#This Row],[Mar_2026_Days_Forecast]]*Table4[[#This Row],[Cost Boolean]]*(VLOOKUP(Table4[[#This Row],[RATE CONCAT]],Tables!I:N,5,0)),0)</f>
        <v/>
      </c>
      <c r="BZ79" s="347">
        <f>IFERROR(Table4[[#This Row],[Mar_2026_Days_Actual]]*Table4[[#This Row],[Cost Boolean]]*(VLOOKUP(Table4[[#This Row],[RATE CONCAT]],Tables!I:N,5,0)),0)</f>
        <v/>
      </c>
      <c r="CA79" s="347">
        <f>Table4[[#This Row],[Mar_2026_F]]-Table4[[#This Row],[Mar_2026_A]]</f>
        <v/>
      </c>
      <c r="CB79" s="103" t="n"/>
      <c r="CC79" s="347">
        <f>IFERROR(Table4[[#This Row],[Apr_2026_Days_Forecast]]*Table4[[#This Row],[Cost Boolean]]*(VLOOKUP(Table4[[#This Row],[RATE CONCAT]],Tables!I:N,5,0)),0)</f>
        <v/>
      </c>
      <c r="CD79" s="347">
        <f>IFERROR(Table4[[#This Row],[Apr_2026_Days_Actual]]*Table4[[#This Row],[Cost Boolean]]*(VLOOKUP(Table4[[#This Row],[RATE CONCAT]],Tables!I:N,5,0)),0)</f>
        <v/>
      </c>
      <c r="CE79" s="347">
        <f>Table4[[#This Row],[Apr_2026_F]]-Table4[[#This Row],[Apr_2026_A]]</f>
        <v/>
      </c>
      <c r="CF79" s="103" t="n"/>
      <c r="CG79" s="347">
        <f>IFERROR(Table4[[#This Row],[May_2026_Days_Forecast]] *Table4[[#This Row],[Cost Boolean]]*(VLOOKUP(Table4[[#This Row],[RATE CONCAT]],Tables!I:N,5,0)),0)</f>
        <v/>
      </c>
      <c r="CH79" s="347">
        <f>IFERROR(Table4[[#This Row],[May_2026_Days_Actual]]*Table4[[#This Row],[Cost Boolean]]*(VLOOKUP(Table4[[#This Row],[RATE CONCAT]],Tables!I:N,5,0)),0)</f>
        <v/>
      </c>
      <c r="CI79" s="347">
        <f>Table4[[#This Row],[May_2026_F]]-Table4[[#This Row],[May_2026_A]]</f>
        <v/>
      </c>
      <c r="CJ79" s="103" t="n"/>
      <c r="CK79" s="347">
        <f>IFERROR(Table4[[#This Row],[Jun_2026_Days_Forecast]]*Table4[[#This Row],[Cost Boolean]]*(VLOOKUP(Table4[[#This Row],[RATE CONCAT]],Tables!I:N,5,0)),0)</f>
        <v/>
      </c>
      <c r="CL79" s="347">
        <f>IFERROR(Table4[[#This Row],[Jun_2026_Days_Actual]]*Table4[[#This Row],[Cost Boolean]]*(VLOOKUP(Table4[[#This Row],[RATE CONCAT]],Tables!I:N,5,0)),0)</f>
        <v/>
      </c>
      <c r="CM79" s="347">
        <f>Table4[[#This Row],[Jun_2026_F]]-Table4[[#This Row],[Jun_2026_A]]</f>
        <v/>
      </c>
      <c r="CN79" s="103" t="n"/>
      <c r="CO79" s="347">
        <f>IFERROR(Table4[[#This Row],[Jul_2026_Days_Forecast]]*Table4[[#This Row],[Cost Boolean]]*(VLOOKUP(Table4[[#This Row],[RATE CONCAT]],Tables!I:N,5,0)),0)</f>
        <v/>
      </c>
      <c r="CP79" s="347">
        <f>IFERROR(Table4[[#This Row],[Aug_2026_Days_Forecast]]*Table4[[#This Row],[Location]]*(VLOOKUP(Table4[[#This Row],[Rate]],Tables!J:O,5,0)),0)</f>
        <v/>
      </c>
      <c r="CQ79" s="347">
        <f>Table4[[#This Row],[Jul_2026_F]]-Table4[[#This Row],[Jul_2026_A]]</f>
        <v/>
      </c>
      <c r="CR79" s="103" t="n"/>
      <c r="CS79" s="347">
        <f>IFERROR(Table4[[#This Row],[Aug_2026_Days_Forecast]]*Table4[[#This Row],[Cost Boolean]]*(VLOOKUP(Table4[[#This Row],[RATE CONCAT]],Tables!I:N,5,0)),0)</f>
        <v/>
      </c>
      <c r="CT79" s="347">
        <f>IFERROR(Table4[[#This Row],[Aug_2026_Days_Actual]]*Table4[[#This Row],[Cost Boolean]]*(VLOOKUP(Table4[[#This Row],[RATE CONCAT]],Tables!I:N,5,0)),0)</f>
        <v/>
      </c>
      <c r="CU79" s="347">
        <f>Table4[[#This Row],[Aug_2026_F]]-Table4[[#This Row],[Aug_2026_A]]</f>
        <v/>
      </c>
      <c r="CV79" s="103" t="n"/>
      <c r="CW79" s="347">
        <f>IFERROR(Table4[[#This Row],[Sep_2026_Days_Forecast]]*Table4[[#This Row],[Cost Boolean]]*(VLOOKUP(Table4[[#This Row],[RATE CONCAT]],Tables!I:N,5,0)),0)</f>
        <v/>
      </c>
      <c r="CX79" s="347">
        <f>IFERROR(Table4[[#This Row],[Sep_2026_Days_Actual]]*Table4[[#This Row],[Cost Boolean]]*(VLOOKUP(Table4[[#This Row],[RATE CONCAT]],Tables!I:N,5,0)),0)</f>
        <v/>
      </c>
      <c r="CY79" s="347">
        <f>Table4[[#This Row],[Sep_2026_F]]-Table4[[#This Row],[Sep_2026_A]]</f>
        <v/>
      </c>
      <c r="CZ79" s="103" t="n"/>
      <c r="DA79" s="347">
        <f>IFERROR(Table4[[#This Row],[Oct_2026_Days_Forecast]]*Table4[[#This Row],[Cost Boolean]]*(VLOOKUP(Table4[[#This Row],[RATE CONCAT]],Tables!I:N,5,0)),0)</f>
        <v/>
      </c>
      <c r="DB79" s="347">
        <f>IFERROR(Table4[[#This Row],[Oct_2026_Days_Actual]]*Table4[[#This Row],[Cost Boolean]]*(VLOOKUP(Table4[[#This Row],[RATE CONCAT]],Tables!I:N,5,0)),0)</f>
        <v/>
      </c>
      <c r="DC79" s="347">
        <f>Table4[[#This Row],[Oct_2026_F]]-Table4[[#This Row],[Oct_2026_A]]</f>
        <v/>
      </c>
      <c r="DD79" s="103" t="n"/>
      <c r="DE79" s="347">
        <f>IFERROR(Table4[[#This Row],[Nov_2026_Days_Forecast]]*Table4[[#This Row],[Cost Boolean]]*(VLOOKUP(Table4[[#This Row],[RATE CONCAT]],Tables!I:N,5,0)),0)</f>
        <v/>
      </c>
      <c r="DF79" s="347">
        <f>IFERROR(Table4[[#This Row],[Nov_2026_Days_Actual]]*Table4[[#This Row],[Cost Boolean]]*(VLOOKUP(Table4[[#This Row],[RATE CONCAT]],Tables!I:N,5,0)),0)</f>
        <v/>
      </c>
      <c r="DG79" s="347">
        <f>Table4[[#This Row],[Nov_2026_F]]-Table4[[#This Row],[Nov_2026_A]]</f>
        <v/>
      </c>
      <c r="DH79" s="103" t="n"/>
      <c r="DI79" s="347">
        <f>IFERROR(Table4[[#This Row],[Dec_2026_Days_Forecast]]*Table4[[#This Row],[Cost Boolean]]*(VLOOKUP(Table4[[#This Row],[RATE CONCAT]],Tables!I:N,5,0)),0)</f>
        <v/>
      </c>
      <c r="DJ79" s="347">
        <f>IFERROR(Table4[[#This Row],[Dec_2026_Days_Actual]]*Table4[[#This Row],[Cost Boolean]]*(VLOOKUP(Table4[[#This Row],[RATE CONCAT]],Tables!I:N,5,0)),0)</f>
        <v/>
      </c>
      <c r="DK79" s="347">
        <f>Table4[[#This Row],[Dec_2026_F]]-Table4[[#This Row],[Dec_2026_A]]</f>
        <v/>
      </c>
      <c r="DL79" s="103" t="n"/>
      <c r="DM79" s="346" t="n"/>
      <c r="DN79" s="347">
        <f>IFERROR(Table4[[#This Row],[Jan_2027_Days_Forecast]]*Table4[[#This Row],[Cost Boolean]]*(VLOOKUP(Table4[[#This Row],[RATE CONCAT]],Tables!I:N,6,0)),0)</f>
        <v/>
      </c>
      <c r="DO79" s="275" t="n"/>
      <c r="DP79" s="347">
        <f>Table4[[#This Row],[Jan_2027_F]]-Table4[[#This Row],[Jan_2027_A]]</f>
        <v/>
      </c>
      <c r="DQ79" s="347">
        <f>IFERROR(Table4[[#This Row],[Feb_2027_Days_Forecast]]*Table4[[#This Row],[Cost Boolean]]*(VLOOKUP(Table4[[#This Row],[RATE CONCAT]],Tables!I:N,6,0)),0)</f>
        <v/>
      </c>
      <c r="DR79" s="275" t="n"/>
      <c r="DS79" s="347">
        <f>Table4[[#This Row],[Feb_2027_F]]-Table4[[#This Row],[Feb_2027_A]]</f>
        <v/>
      </c>
      <c r="DT79" s="347">
        <f>IFERROR(Table4[[#This Row],[Mar_2027_Days_Forecast]]*Table4[[#This Row],[Cost Boolean]]*(VLOOKUP(Table4[[#This Row],[RATE CONCAT]],Tables!I:N,6,0)),0)</f>
        <v/>
      </c>
      <c r="DU79" s="275" t="n"/>
      <c r="DV79" s="347">
        <f>Table4[[#This Row],[Mar_2027_F]]-Table4[[#This Row],[Mar_2027_A]]</f>
        <v/>
      </c>
      <c r="DW79" s="347">
        <f>IFERROR(Table4[[#This Row],[Apr_2027_Days_Forecast]]*Table4[[#This Row],[Cost Boolean]]*(VLOOKUP(Table4[[#This Row],[RATE CONCAT]],Tables!I:N,6,0)),0)</f>
        <v/>
      </c>
      <c r="DX79" s="275" t="n"/>
      <c r="DY79" s="347">
        <f>Table4[[#This Row],[Apr_2027_F]]-Table4[[#This Row],[Apr_2027_A]]</f>
        <v/>
      </c>
      <c r="DZ79" s="347">
        <f>IFERROR(Table4[[#This Row],[May_2027_Days_Forecast]]*Table4[[#This Row],[Cost Boolean]]*(VLOOKUP(Table4[[#This Row],[RATE CONCAT]],Tables!I:N,6,0)),0)</f>
        <v/>
      </c>
      <c r="EA79" s="275" t="n"/>
      <c r="EB79" s="347">
        <f>Table4[[#This Row],[May_2027_F]]-Table4[[#This Row],[May_2027_A]]</f>
        <v/>
      </c>
      <c r="EC79" s="347">
        <f>IFERROR(Table4[[#This Row],[Jun_2027_Days_Forecast]]*Table4[[#This Row],[Cost Boolean]]*(VLOOKUP(Table4[[#This Row],[RATE CONCAT]],Tables!I:N,6,0)),0)</f>
        <v/>
      </c>
      <c r="ED79" s="275" t="n"/>
      <c r="EE79" s="347">
        <f>Table4[[#This Row],[Jun_2027_F]]-Table4[[#This Row],[Jun_2027_A]]</f>
        <v/>
      </c>
      <c r="EF79" s="347">
        <f>IFERROR(Table4[[#This Row],[Jul_2027_Days_Forecast]]*Table4[[#This Row],[Cost Boolean]]*(VLOOKUP(Table4[[#This Row],[RATE CONCAT]],Tables!I:N,6,0)),0)</f>
        <v/>
      </c>
      <c r="EG79" s="275" t="n"/>
      <c r="EH79" s="347">
        <f>Table4[[#This Row],[Jul_2027_F]]-Table4[[#This Row],[Jul_2027_A]]</f>
        <v/>
      </c>
      <c r="EI79" s="347">
        <f>IFERROR(Table4[[#This Row],[Aug_2027_Days_Forecast]]*Table4[[#This Row],[Cost Boolean]]*(VLOOKUP(Table4[[#This Row],[RATE CONCAT]],Tables!I:N,6,0)),0)</f>
        <v/>
      </c>
      <c r="EJ79" s="275" t="n"/>
      <c r="EK79" s="347">
        <f>Table4[[#This Row],[Aug_2027_F]]-Table4[[#This Row],[Aug_2027_A]]</f>
        <v/>
      </c>
      <c r="EL79" s="347">
        <f>IFERROR(Table4[[#This Row],[Sep_2027_Days_Forecast]]*Table4[[#This Row],[Cost Boolean]]*(VLOOKUP(Table4[[#This Row],[RATE CONCAT]],Tables!I:N,6,0)),0)</f>
        <v/>
      </c>
      <c r="EM79" s="275" t="n"/>
      <c r="EN79" s="347">
        <f>Table4[[#This Row],[Sep_2027_F]]-Table4[[#This Row],[Sep_2027_A]]</f>
        <v/>
      </c>
      <c r="EO79" s="347">
        <f>IFERROR(Table4[[#This Row],[Oct_2027_Days_Forecast]]*Table4[[#This Row],[Cost Boolean]]*(VLOOKUP(Table4[[#This Row],[RATE CONCAT]],Tables!I:N,6,0)),0)</f>
        <v/>
      </c>
      <c r="EP79" s="275" t="n"/>
      <c r="EQ79" s="347">
        <f>Table4[[#This Row],[Oct_2027_F]]-Table4[[#This Row],[Oct_2027_A]]</f>
        <v/>
      </c>
      <c r="ER79" s="347">
        <f>IFERROR(Table4[[#This Row],[Nov_2027_Days_Forecast]]*Table4[[#This Row],[Cost Boolean]]*(VLOOKUP(Table4[[#This Row],[RATE CONCAT]],Tables!I:N,6,0)),0)</f>
        <v/>
      </c>
      <c r="ES79" s="275" t="n"/>
      <c r="ET79" s="347">
        <f>Table4[[#This Row],[Nov_2027_F]]-Table4[[#This Row],[Nov_2027_A]]</f>
        <v/>
      </c>
      <c r="EU79" s="347">
        <f>IFERROR(Table4[[#This Row],[Dec_2027_Days_Forecast]]*Table4[[#This Row],[Cost Boolean]]*(VLOOKUP(Table4[[#This Row],[RATE CONCAT]],Tables!I:N,6,0)),0)</f>
        <v/>
      </c>
      <c r="EV79" s="275" t="n"/>
      <c r="EW79" s="347">
        <f>Table4[[#This Row],[Dec_2027_F]]-Table4[[#This Row],[Dec_2027_A]]</f>
        <v/>
      </c>
    </row>
    <row r="80" ht="1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350">
        <f>CONCATENATE(Table4[[#This Row],[JG]],Table4[[#This Row],[Country]],Table4[[#This Row],[Resource Provider]])</f>
        <v/>
      </c>
      <c r="Z80" s="350">
        <f>VLOOKUP(Table4[[#This Row],[RATE CONCAT]],Tables!I:N,5,0)</f>
        <v/>
      </c>
      <c r="AA80" s="53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353">
        <f>IFERROR(AVERAGE(Table4[[#This Row],[Jan_2026_Days_Forecast]:[Dec_2026_Days_Forecast]]),0)/19</f>
        <v/>
      </c>
      <c r="AO80" s="353">
        <f>IFERROR(AVERAGE(Table4[[#This Row],[Jan_2026_Days_Actual]:[Dec_2026_Days_Actual]]),0)/19</f>
        <v/>
      </c>
      <c r="AP80" s="84" t="n"/>
      <c r="AQ80" s="84" t="n"/>
      <c r="AR80" s="84" t="n"/>
      <c r="AS80" s="84" t="n"/>
      <c r="AT80" s="84" t="n"/>
      <c r="AU80" s="84" t="n"/>
      <c r="AV80" s="84" t="n"/>
      <c r="AW80" s="84" t="n"/>
      <c r="AX80" s="84" t="n"/>
      <c r="AY80" s="84" t="n"/>
      <c r="AZ80" s="84" t="n"/>
      <c r="BA80" s="84" t="n"/>
      <c r="BB80" s="353">
        <f>IFERROR(AVERAGE(Table4[[#This Row],[Jan_2027_Days_Forecast]:[Dec_2027_Days_Forecast]]),0)</f>
        <v/>
      </c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55" t="n"/>
      <c r="BP80" s="346" t="n"/>
      <c r="BQ80" s="345" t="n">
        <v>0</v>
      </c>
      <c r="BR80" s="345">
        <f>IFERROR(Table4[[#This Row],[Jan_2026_Days_Actual]]*Table4[[#This Row],[Cost Boolean]]*(VLOOKUP(Table4[[#This Row],[RATE CONCAT]],Tables!I:N,5,0)),0)</f>
        <v/>
      </c>
      <c r="BS80" s="345">
        <f>Table4[[#This Row],[Jan_2026_F]]-Table4[[#This Row],[Jan_2026_A]]</f>
        <v/>
      </c>
      <c r="BT80" s="107" t="n"/>
      <c r="BU80" s="345">
        <f>IFERROR(Table4[[#This Row],[Feb_2026_Days_Forecast]]*Table4[[#This Row],[Cost Boolean]]*(VLOOKUP(Table4[[#This Row],[RATE CONCAT]],Tables!I:N,5,0)),0)</f>
        <v/>
      </c>
      <c r="BV80" s="345">
        <f>IFERROR(Table4[[#This Row],[Feb_2026_Days_Actual]]*Table4[[#This Row],[Cost Boolean]]*(VLOOKUP(Table4[[#This Row],[RATE CONCAT]],Tables!I:N,5,0)),0)</f>
        <v/>
      </c>
      <c r="BW80" s="345">
        <f>Table4[[#This Row],[Feb_2026_F]]-Table4[[#This Row],[Feb_2026_A]]</f>
        <v/>
      </c>
      <c r="BX80" s="103" t="n"/>
      <c r="BY80" s="345">
        <f>IFERROR(Table4[[#This Row],[Mar_2026_Days_Forecast]]*Table4[[#This Row],[Cost Boolean]]*(VLOOKUP(Table4[[#This Row],[RATE CONCAT]],Tables!I:N,5,0)),0)</f>
        <v/>
      </c>
      <c r="BZ80" s="345">
        <f>IFERROR(Table4[[#This Row],[Mar_2026_Days_Actual]]*Table4[[#This Row],[Cost Boolean]]*(VLOOKUP(Table4[[#This Row],[RATE CONCAT]],Tables!I:N,5,0)),0)</f>
        <v/>
      </c>
      <c r="CA80" s="345">
        <f>Table4[[#This Row],[Mar_2026_F]]-Table4[[#This Row],[Mar_2026_A]]</f>
        <v/>
      </c>
      <c r="CB80" s="103" t="n"/>
      <c r="CC80" s="345">
        <f>IFERROR(Table4[[#This Row],[Apr_2026_Days_Forecast]]*Table4[[#This Row],[Cost Boolean]]*(VLOOKUP(Table4[[#This Row],[RATE CONCAT]],Tables!I:N,5,0)),0)</f>
        <v/>
      </c>
      <c r="CD80" s="345">
        <f>IFERROR(Table4[[#This Row],[Apr_2026_Days_Actual]]*Table4[[#This Row],[Cost Boolean]]*(VLOOKUP(Table4[[#This Row],[RATE CONCAT]],Tables!I:N,5,0)),0)</f>
        <v/>
      </c>
      <c r="CE80" s="345">
        <f>Table4[[#This Row],[Apr_2026_F]]-Table4[[#This Row],[Apr_2026_A]]</f>
        <v/>
      </c>
      <c r="CF80" s="103" t="n"/>
      <c r="CG80" s="345">
        <f>IFERROR(Table4[[#This Row],[May_2026_Days_Forecast]] *Table4[[#This Row],[Cost Boolean]]*(VLOOKUP(Table4[[#This Row],[RATE CONCAT]],Tables!I:N,5,0)),0)</f>
        <v/>
      </c>
      <c r="CH80" s="345">
        <f>IFERROR(Table4[[#This Row],[May_2026_Days_Actual]]*Table4[[#This Row],[Cost Boolean]]*(VLOOKUP(Table4[[#This Row],[RATE CONCAT]],Tables!I:N,5,0)),0)</f>
        <v/>
      </c>
      <c r="CI80" s="345">
        <f>Table4[[#This Row],[May_2026_F]]-Table4[[#This Row],[May_2026_A]]</f>
        <v/>
      </c>
      <c r="CJ80" s="103" t="n"/>
      <c r="CK80" s="345">
        <f>IFERROR(Table4[[#This Row],[Jun_2026_Days_Forecast]]*Table4[[#This Row],[Cost Boolean]]*(VLOOKUP(Table4[[#This Row],[RATE CONCAT]],Tables!I:N,5,0)),0)</f>
        <v/>
      </c>
      <c r="CL80" s="345">
        <f>IFERROR(Table4[[#This Row],[Jun_2026_Days_Actual]]*Table4[[#This Row],[Cost Boolean]]*(VLOOKUP(Table4[[#This Row],[RATE CONCAT]],Tables!I:N,5,0)),0)</f>
        <v/>
      </c>
      <c r="CM80" s="345">
        <f>Table4[[#This Row],[Jun_2026_F]]-Table4[[#This Row],[Jun_2026_A]]</f>
        <v/>
      </c>
      <c r="CN80" s="103" t="n"/>
      <c r="CO80" s="345">
        <f>IFERROR(Table4[[#This Row],[Jul_2026_Days_Forecast]]*Table4[[#This Row],[Cost Boolean]]*(VLOOKUP(Table4[[#This Row],[RATE CONCAT]],Tables!I:N,5,0)),0)</f>
        <v/>
      </c>
      <c r="CP80" s="345">
        <f>IFERROR(Table4[[#This Row],[Aug_2026_Days_Forecast]]*Table4[[#This Row],[Location]]*(VLOOKUP(Table4[[#This Row],[Rate]],Tables!J:O,5,0)),0)</f>
        <v/>
      </c>
      <c r="CQ80" s="345">
        <f>Table4[[#This Row],[Jul_2026_F]]-Table4[[#This Row],[Jul_2026_A]]</f>
        <v/>
      </c>
      <c r="CR80" s="103" t="n"/>
      <c r="CS80" s="345">
        <f>IFERROR(Table4[[#This Row],[Aug_2026_Days_Forecast]]*Table4[[#This Row],[Cost Boolean]]*(VLOOKUP(Table4[[#This Row],[RATE CONCAT]],Tables!I:N,5,0)),0)</f>
        <v/>
      </c>
      <c r="CT80" s="345">
        <f>IFERROR(Table4[[#This Row],[Aug_2026_Days_Actual]]*Table4[[#This Row],[Cost Boolean]]*(VLOOKUP(Table4[[#This Row],[RATE CONCAT]],Tables!I:N,5,0)),0)</f>
        <v/>
      </c>
      <c r="CU80" s="345">
        <f>Table4[[#This Row],[Aug_2026_F]]-Table4[[#This Row],[Aug_2026_A]]</f>
        <v/>
      </c>
      <c r="CV80" s="103" t="n"/>
      <c r="CW80" s="345">
        <f>IFERROR(Table4[[#This Row],[Sep_2026_Days_Forecast]]*Table4[[#This Row],[Cost Boolean]]*(VLOOKUP(Table4[[#This Row],[RATE CONCAT]],Tables!I:N,5,0)),0)</f>
        <v/>
      </c>
      <c r="CX80" s="345">
        <f>IFERROR(Table4[[#This Row],[Sep_2026_Days_Actual]]*Table4[[#This Row],[Cost Boolean]]*(VLOOKUP(Table4[[#This Row],[RATE CONCAT]],Tables!I:N,5,0)),0)</f>
        <v/>
      </c>
      <c r="CY80" s="345">
        <f>Table4[[#This Row],[Sep_2026_F]]-Table4[[#This Row],[Sep_2026_A]]</f>
        <v/>
      </c>
      <c r="CZ80" s="103" t="n"/>
      <c r="DA80" s="345">
        <f>IFERROR(Table4[[#This Row],[Oct_2026_Days_Forecast]]*Table4[[#This Row],[Cost Boolean]]*(VLOOKUP(Table4[[#This Row],[RATE CONCAT]],Tables!I:N,5,0)),0)</f>
        <v/>
      </c>
      <c r="DB80" s="345">
        <f>IFERROR(Table4[[#This Row],[Oct_2026_Days_Actual]]*Table4[[#This Row],[Cost Boolean]]*(VLOOKUP(Table4[[#This Row],[RATE CONCAT]],Tables!I:N,5,0)),0)</f>
        <v/>
      </c>
      <c r="DC80" s="345">
        <f>Table4[[#This Row],[Oct_2026_F]]-Table4[[#This Row],[Oct_2026_A]]</f>
        <v/>
      </c>
      <c r="DD80" s="103" t="n"/>
      <c r="DE80" s="345">
        <f>IFERROR(Table4[[#This Row],[Nov_2026_Days_Forecast]]*Table4[[#This Row],[Cost Boolean]]*(VLOOKUP(Table4[[#This Row],[RATE CONCAT]],Tables!I:N,5,0)),0)</f>
        <v/>
      </c>
      <c r="DF80" s="345">
        <f>IFERROR(Table4[[#This Row],[Nov_2026_Days_Actual]]*Table4[[#This Row],[Cost Boolean]]*(VLOOKUP(Table4[[#This Row],[RATE CONCAT]],Tables!I:N,5,0)),0)</f>
        <v/>
      </c>
      <c r="DG80" s="345">
        <f>Table4[[#This Row],[Nov_2026_F]]-Table4[[#This Row],[Nov_2026_A]]</f>
        <v/>
      </c>
      <c r="DH80" s="103" t="n"/>
      <c r="DI80" s="345">
        <f>IFERROR(Table4[[#This Row],[Dec_2026_Days_Forecast]]*Table4[[#This Row],[Cost Boolean]]*(VLOOKUP(Table4[[#This Row],[RATE CONCAT]],Tables!I:N,5,0)),0)</f>
        <v/>
      </c>
      <c r="DJ80" s="345">
        <f>IFERROR(Table4[[#This Row],[Dec_2026_Days_Actual]]*Table4[[#This Row],[Cost Boolean]]*(VLOOKUP(Table4[[#This Row],[RATE CONCAT]],Tables!I:N,5,0)),0)</f>
        <v/>
      </c>
      <c r="DK80" s="345">
        <f>Table4[[#This Row],[Dec_2026_F]]-Table4[[#This Row],[Dec_2026_A]]</f>
        <v/>
      </c>
      <c r="DL80" s="103" t="n"/>
      <c r="DM80" s="346" t="n"/>
      <c r="DN80" s="345">
        <f>IFERROR(Table4[[#This Row],[Jan_2027_Days_Forecast]]*Table4[[#This Row],[Cost Boolean]]*(VLOOKUP(Table4[[#This Row],[RATE CONCAT]],Tables!I:N,6,0)),0)</f>
        <v/>
      </c>
      <c r="DO80" s="275" t="n"/>
      <c r="DP80" s="345">
        <f>Table4[[#This Row],[Jan_2027_F]]-Table4[[#This Row],[Jan_2027_A]]</f>
        <v/>
      </c>
      <c r="DQ80" s="345">
        <f>IFERROR(Table4[[#This Row],[Feb_2027_Days_Forecast]]*Table4[[#This Row],[Cost Boolean]]*(VLOOKUP(Table4[[#This Row],[RATE CONCAT]],Tables!I:N,6,0)),0)</f>
        <v/>
      </c>
      <c r="DR80" s="275" t="n"/>
      <c r="DS80" s="345">
        <f>Table4[[#This Row],[Feb_2027_F]]-Table4[[#This Row],[Feb_2027_A]]</f>
        <v/>
      </c>
      <c r="DT80" s="345">
        <f>IFERROR(Table4[[#This Row],[Mar_2027_Days_Forecast]]*Table4[[#This Row],[Cost Boolean]]*(VLOOKUP(Table4[[#This Row],[RATE CONCAT]],Tables!I:N,6,0)),0)</f>
        <v/>
      </c>
      <c r="DU80" s="275" t="n"/>
      <c r="DV80" s="345">
        <f>Table4[[#This Row],[Mar_2027_F]]-Table4[[#This Row],[Mar_2027_A]]</f>
        <v/>
      </c>
      <c r="DW80" s="345">
        <f>IFERROR(Table4[[#This Row],[Apr_2027_Days_Forecast]]*Table4[[#This Row],[Cost Boolean]]*(VLOOKUP(Table4[[#This Row],[RATE CONCAT]],Tables!I:N,6,0)),0)</f>
        <v/>
      </c>
      <c r="DX80" s="275" t="n"/>
      <c r="DY80" s="345">
        <f>Table4[[#This Row],[Apr_2027_F]]-Table4[[#This Row],[Apr_2027_A]]</f>
        <v/>
      </c>
      <c r="DZ80" s="345">
        <f>IFERROR(Table4[[#This Row],[May_2027_Days_Forecast]]*Table4[[#This Row],[Cost Boolean]]*(VLOOKUP(Table4[[#This Row],[RATE CONCAT]],Tables!I:N,6,0)),0)</f>
        <v/>
      </c>
      <c r="EA80" s="275" t="n"/>
      <c r="EB80" s="345">
        <f>Table4[[#This Row],[May_2027_F]]-Table4[[#This Row],[May_2027_A]]</f>
        <v/>
      </c>
      <c r="EC80" s="345">
        <f>IFERROR(Table4[[#This Row],[Jun_2027_Days_Forecast]]*Table4[[#This Row],[Cost Boolean]]*(VLOOKUP(Table4[[#This Row],[RATE CONCAT]],Tables!I:N,6,0)),0)</f>
        <v/>
      </c>
      <c r="ED80" s="275" t="n"/>
      <c r="EE80" s="345">
        <f>Table4[[#This Row],[Jun_2027_F]]-Table4[[#This Row],[Jun_2027_A]]</f>
        <v/>
      </c>
      <c r="EF80" s="345">
        <f>IFERROR(Table4[[#This Row],[Jul_2027_Days_Forecast]]*Table4[[#This Row],[Cost Boolean]]*(VLOOKUP(Table4[[#This Row],[RATE CONCAT]],Tables!I:N,6,0)),0)</f>
        <v/>
      </c>
      <c r="EG80" s="275" t="n"/>
      <c r="EH80" s="345">
        <f>Table4[[#This Row],[Jul_2027_F]]-Table4[[#This Row],[Jul_2027_A]]</f>
        <v/>
      </c>
      <c r="EI80" s="345">
        <f>IFERROR(Table4[[#This Row],[Aug_2027_Days_Forecast]]*Table4[[#This Row],[Cost Boolean]]*(VLOOKUP(Table4[[#This Row],[RATE CONCAT]],Tables!I:N,6,0)),0)</f>
        <v/>
      </c>
      <c r="EJ80" s="275" t="n"/>
      <c r="EK80" s="345">
        <f>Table4[[#This Row],[Aug_2027_F]]-Table4[[#This Row],[Aug_2027_A]]</f>
        <v/>
      </c>
      <c r="EL80" s="345">
        <f>IFERROR(Table4[[#This Row],[Sep_2027_Days_Forecast]]*Table4[[#This Row],[Cost Boolean]]*(VLOOKUP(Table4[[#This Row],[RATE CONCAT]],Tables!I:N,6,0)),0)</f>
        <v/>
      </c>
      <c r="EM80" s="275" t="n"/>
      <c r="EN80" s="345">
        <f>Table4[[#This Row],[Sep_2027_F]]-Table4[[#This Row],[Sep_2027_A]]</f>
        <v/>
      </c>
      <c r="EO80" s="345">
        <f>IFERROR(Table4[[#This Row],[Oct_2027_Days_Forecast]]*Table4[[#This Row],[Cost Boolean]]*(VLOOKUP(Table4[[#This Row],[RATE CONCAT]],Tables!I:N,6,0)),0)</f>
        <v/>
      </c>
      <c r="EP80" s="275" t="n"/>
      <c r="EQ80" s="345">
        <f>Table4[[#This Row],[Oct_2027_F]]-Table4[[#This Row],[Oct_2027_A]]</f>
        <v/>
      </c>
      <c r="ER80" s="345">
        <f>IFERROR(Table4[[#This Row],[Nov_2027_Days_Forecast]]*Table4[[#This Row],[Cost Boolean]]*(VLOOKUP(Table4[[#This Row],[RATE CONCAT]],Tables!I:N,6,0)),0)</f>
        <v/>
      </c>
      <c r="ES80" s="275" t="n"/>
      <c r="ET80" s="345">
        <f>Table4[[#This Row],[Nov_2027_F]]-Table4[[#This Row],[Nov_2027_A]]</f>
        <v/>
      </c>
      <c r="EU80" s="345">
        <f>IFERROR(Table4[[#This Row],[Dec_2027_Days_Forecast]]*Table4[[#This Row],[Cost Boolean]]*(VLOOKUP(Table4[[#This Row],[RATE CONCAT]],Tables!I:N,6,0)),0)</f>
        <v/>
      </c>
      <c r="EV80" s="275" t="n"/>
      <c r="EW80" s="345">
        <f>Table4[[#This Row],[Dec_2027_F]]-Table4[[#This Row],[Dec_2027_A]]</f>
        <v/>
      </c>
    </row>
    <row r="81" ht="1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350">
        <f>CONCATENATE(Table4[[#This Row],[JG]],Table4[[#This Row],[Country]],Table4[[#This Row],[Resource Provider]])</f>
        <v/>
      </c>
      <c r="Z81" s="350">
        <f>VLOOKUP(Table4[[#This Row],[RATE CONCAT]],Tables!I:N,5,0)</f>
        <v/>
      </c>
      <c r="AA81" s="53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353">
        <f>IFERROR(AVERAGE(Table4[[#This Row],[Jan_2026_Days_Forecast]:[Dec_2026_Days_Forecast]]),0)/19</f>
        <v/>
      </c>
      <c r="AO81" s="353">
        <f>IFERROR(AVERAGE(Table4[[#This Row],[Jan_2026_Days_Actual]:[Dec_2026_Days_Actual]]),0)/19</f>
        <v/>
      </c>
      <c r="AP81" s="84" t="n"/>
      <c r="AQ81" s="84" t="n"/>
      <c r="AR81" s="84" t="n"/>
      <c r="AS81" s="84" t="n"/>
      <c r="AT81" s="84" t="n"/>
      <c r="AU81" s="84" t="n"/>
      <c r="AV81" s="84" t="n"/>
      <c r="AW81" s="84" t="n"/>
      <c r="AX81" s="84" t="n"/>
      <c r="AY81" s="84" t="n"/>
      <c r="AZ81" s="84" t="n"/>
      <c r="BA81" s="84" t="n"/>
      <c r="BB81" s="353">
        <f>IFERROR(AVERAGE(Table4[[#This Row],[Jan_2027_Days_Forecast]:[Dec_2027_Days_Forecast]]),0)</f>
        <v/>
      </c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55" t="n"/>
      <c r="BP81" s="346" t="n"/>
      <c r="BQ81" s="347" t="n">
        <v>0</v>
      </c>
      <c r="BR81" s="347">
        <f>IFERROR(Table4[[#This Row],[Jan_2026_Days_Actual]]*Table4[[#This Row],[Cost Boolean]]*(VLOOKUP(Table4[[#This Row],[RATE CONCAT]],Tables!I:N,5,0)),0)</f>
        <v/>
      </c>
      <c r="BS81" s="347">
        <f>Table4[[#This Row],[Jan_2026_F]]-Table4[[#This Row],[Jan_2026_A]]</f>
        <v/>
      </c>
      <c r="BT81" s="107" t="n"/>
      <c r="BU81" s="347">
        <f>IFERROR(Table4[[#This Row],[Feb_2026_Days_Forecast]]*Table4[[#This Row],[Cost Boolean]]*(VLOOKUP(Table4[[#This Row],[RATE CONCAT]],Tables!I:N,5,0)),0)</f>
        <v/>
      </c>
      <c r="BV81" s="347">
        <f>IFERROR(Table4[[#This Row],[Feb_2026_Days_Actual]]*Table4[[#This Row],[Cost Boolean]]*(VLOOKUP(Table4[[#This Row],[RATE CONCAT]],Tables!I:N,5,0)),0)</f>
        <v/>
      </c>
      <c r="BW81" s="347">
        <f>Table4[[#This Row],[Feb_2026_F]]-Table4[[#This Row],[Feb_2026_A]]</f>
        <v/>
      </c>
      <c r="BX81" s="103" t="n"/>
      <c r="BY81" s="347">
        <f>IFERROR(Table4[[#This Row],[Mar_2026_Days_Forecast]]*Table4[[#This Row],[Cost Boolean]]*(VLOOKUP(Table4[[#This Row],[RATE CONCAT]],Tables!I:N,5,0)),0)</f>
        <v/>
      </c>
      <c r="BZ81" s="347">
        <f>IFERROR(Table4[[#This Row],[Mar_2026_Days_Actual]]*Table4[[#This Row],[Cost Boolean]]*(VLOOKUP(Table4[[#This Row],[RATE CONCAT]],Tables!I:N,5,0)),0)</f>
        <v/>
      </c>
      <c r="CA81" s="347">
        <f>Table4[[#This Row],[Mar_2026_F]]-Table4[[#This Row],[Mar_2026_A]]</f>
        <v/>
      </c>
      <c r="CB81" s="103" t="n"/>
      <c r="CC81" s="347">
        <f>IFERROR(Table4[[#This Row],[Apr_2026_Days_Forecast]]*Table4[[#This Row],[Cost Boolean]]*(VLOOKUP(Table4[[#This Row],[RATE CONCAT]],Tables!I:N,5,0)),0)</f>
        <v/>
      </c>
      <c r="CD81" s="347">
        <f>IFERROR(Table4[[#This Row],[Apr_2026_Days_Actual]]*Table4[[#This Row],[Cost Boolean]]*(VLOOKUP(Table4[[#This Row],[RATE CONCAT]],Tables!I:N,5,0)),0)</f>
        <v/>
      </c>
      <c r="CE81" s="347">
        <f>Table4[[#This Row],[Apr_2026_F]]-Table4[[#This Row],[Apr_2026_A]]</f>
        <v/>
      </c>
      <c r="CF81" s="103" t="n"/>
      <c r="CG81" s="347">
        <f>IFERROR(Table4[[#This Row],[May_2026_Days_Forecast]] *Table4[[#This Row],[Cost Boolean]]*(VLOOKUP(Table4[[#This Row],[RATE CONCAT]],Tables!I:N,5,0)),0)</f>
        <v/>
      </c>
      <c r="CH81" s="347">
        <f>IFERROR(Table4[[#This Row],[May_2026_Days_Actual]]*Table4[[#This Row],[Cost Boolean]]*(VLOOKUP(Table4[[#This Row],[RATE CONCAT]],Tables!I:N,5,0)),0)</f>
        <v/>
      </c>
      <c r="CI81" s="347">
        <f>Table4[[#This Row],[May_2026_F]]-Table4[[#This Row],[May_2026_A]]</f>
        <v/>
      </c>
      <c r="CJ81" s="103" t="n"/>
      <c r="CK81" s="347">
        <f>IFERROR(Table4[[#This Row],[Jun_2026_Days_Forecast]]*Table4[[#This Row],[Cost Boolean]]*(VLOOKUP(Table4[[#This Row],[RATE CONCAT]],Tables!I:N,5,0)),0)</f>
        <v/>
      </c>
      <c r="CL81" s="347">
        <f>IFERROR(Table4[[#This Row],[Jun_2026_Days_Actual]]*Table4[[#This Row],[Cost Boolean]]*(VLOOKUP(Table4[[#This Row],[RATE CONCAT]],Tables!I:N,5,0)),0)</f>
        <v/>
      </c>
      <c r="CM81" s="347">
        <f>Table4[[#This Row],[Jun_2026_F]]-Table4[[#This Row],[Jun_2026_A]]</f>
        <v/>
      </c>
      <c r="CN81" s="103" t="n"/>
      <c r="CO81" s="347">
        <f>IFERROR(Table4[[#This Row],[Jul_2026_Days_Forecast]]*Table4[[#This Row],[Cost Boolean]]*(VLOOKUP(Table4[[#This Row],[RATE CONCAT]],Tables!I:N,5,0)),0)</f>
        <v/>
      </c>
      <c r="CP81" s="347">
        <f>IFERROR(Table4[[#This Row],[Aug_2026_Days_Forecast]]*Table4[[#This Row],[Location]]*(VLOOKUP(Table4[[#This Row],[Rate]],Tables!J:O,5,0)),0)</f>
        <v/>
      </c>
      <c r="CQ81" s="347">
        <f>Table4[[#This Row],[Jul_2026_F]]-Table4[[#This Row],[Jul_2026_A]]</f>
        <v/>
      </c>
      <c r="CR81" s="103" t="n"/>
      <c r="CS81" s="347">
        <f>IFERROR(Table4[[#This Row],[Aug_2026_Days_Forecast]]*Table4[[#This Row],[Cost Boolean]]*(VLOOKUP(Table4[[#This Row],[RATE CONCAT]],Tables!I:N,5,0)),0)</f>
        <v/>
      </c>
      <c r="CT81" s="347">
        <f>IFERROR(Table4[[#This Row],[Aug_2026_Days_Actual]]*Table4[[#This Row],[Cost Boolean]]*(VLOOKUP(Table4[[#This Row],[RATE CONCAT]],Tables!I:N,5,0)),0)</f>
        <v/>
      </c>
      <c r="CU81" s="347">
        <f>Table4[[#This Row],[Aug_2026_F]]-Table4[[#This Row],[Aug_2026_A]]</f>
        <v/>
      </c>
      <c r="CV81" s="103" t="n"/>
      <c r="CW81" s="347">
        <f>IFERROR(Table4[[#This Row],[Sep_2026_Days_Forecast]]*Table4[[#This Row],[Cost Boolean]]*(VLOOKUP(Table4[[#This Row],[RATE CONCAT]],Tables!I:N,5,0)),0)</f>
        <v/>
      </c>
      <c r="CX81" s="347">
        <f>IFERROR(Table4[[#This Row],[Sep_2026_Days_Actual]]*Table4[[#This Row],[Cost Boolean]]*(VLOOKUP(Table4[[#This Row],[RATE CONCAT]],Tables!I:N,5,0)),0)</f>
        <v/>
      </c>
      <c r="CY81" s="347">
        <f>Table4[[#This Row],[Sep_2026_F]]-Table4[[#This Row],[Sep_2026_A]]</f>
        <v/>
      </c>
      <c r="CZ81" s="103" t="n"/>
      <c r="DA81" s="347">
        <f>IFERROR(Table4[[#This Row],[Oct_2026_Days_Forecast]]*Table4[[#This Row],[Cost Boolean]]*(VLOOKUP(Table4[[#This Row],[RATE CONCAT]],Tables!I:N,5,0)),0)</f>
        <v/>
      </c>
      <c r="DB81" s="347">
        <f>IFERROR(Table4[[#This Row],[Oct_2026_Days_Actual]]*Table4[[#This Row],[Cost Boolean]]*(VLOOKUP(Table4[[#This Row],[RATE CONCAT]],Tables!I:N,5,0)),0)</f>
        <v/>
      </c>
      <c r="DC81" s="347">
        <f>Table4[[#This Row],[Oct_2026_F]]-Table4[[#This Row],[Oct_2026_A]]</f>
        <v/>
      </c>
      <c r="DD81" s="103" t="n"/>
      <c r="DE81" s="347">
        <f>IFERROR(Table4[[#This Row],[Nov_2026_Days_Forecast]]*Table4[[#This Row],[Cost Boolean]]*(VLOOKUP(Table4[[#This Row],[RATE CONCAT]],Tables!I:N,5,0)),0)</f>
        <v/>
      </c>
      <c r="DF81" s="347">
        <f>IFERROR(Table4[[#This Row],[Nov_2026_Days_Actual]]*Table4[[#This Row],[Cost Boolean]]*(VLOOKUP(Table4[[#This Row],[RATE CONCAT]],Tables!I:N,5,0)),0)</f>
        <v/>
      </c>
      <c r="DG81" s="347">
        <f>Table4[[#This Row],[Nov_2026_F]]-Table4[[#This Row],[Nov_2026_A]]</f>
        <v/>
      </c>
      <c r="DH81" s="103" t="n"/>
      <c r="DI81" s="347">
        <f>IFERROR(Table4[[#This Row],[Dec_2026_Days_Forecast]]*Table4[[#This Row],[Cost Boolean]]*(VLOOKUP(Table4[[#This Row],[RATE CONCAT]],Tables!I:N,5,0)),0)</f>
        <v/>
      </c>
      <c r="DJ81" s="347">
        <f>IFERROR(Table4[[#This Row],[Dec_2026_Days_Actual]]*Table4[[#This Row],[Cost Boolean]]*(VLOOKUP(Table4[[#This Row],[RATE CONCAT]],Tables!I:N,5,0)),0)</f>
        <v/>
      </c>
      <c r="DK81" s="347">
        <f>Table4[[#This Row],[Dec_2026_F]]-Table4[[#This Row],[Dec_2026_A]]</f>
        <v/>
      </c>
      <c r="DL81" s="103" t="n"/>
      <c r="DM81" s="346" t="n"/>
      <c r="DN81" s="347">
        <f>IFERROR(Table4[[#This Row],[Jan_2027_Days_Forecast]]*Table4[[#This Row],[Cost Boolean]]*(VLOOKUP(Table4[[#This Row],[RATE CONCAT]],Tables!I:N,6,0)),0)</f>
        <v/>
      </c>
      <c r="DO81" s="275" t="n"/>
      <c r="DP81" s="347">
        <f>Table4[[#This Row],[Jan_2027_F]]-Table4[[#This Row],[Jan_2027_A]]</f>
        <v/>
      </c>
      <c r="DQ81" s="347">
        <f>IFERROR(Table4[[#This Row],[Feb_2027_Days_Forecast]]*Table4[[#This Row],[Cost Boolean]]*(VLOOKUP(Table4[[#This Row],[RATE CONCAT]],Tables!I:N,6,0)),0)</f>
        <v/>
      </c>
      <c r="DR81" s="275" t="n"/>
      <c r="DS81" s="347">
        <f>Table4[[#This Row],[Feb_2027_F]]-Table4[[#This Row],[Feb_2027_A]]</f>
        <v/>
      </c>
      <c r="DT81" s="347">
        <f>IFERROR(Table4[[#This Row],[Mar_2027_Days_Forecast]]*Table4[[#This Row],[Cost Boolean]]*(VLOOKUP(Table4[[#This Row],[RATE CONCAT]],Tables!I:N,6,0)),0)</f>
        <v/>
      </c>
      <c r="DU81" s="275" t="n"/>
      <c r="DV81" s="347">
        <f>Table4[[#This Row],[Mar_2027_F]]-Table4[[#This Row],[Mar_2027_A]]</f>
        <v/>
      </c>
      <c r="DW81" s="347">
        <f>IFERROR(Table4[[#This Row],[Apr_2027_Days_Forecast]]*Table4[[#This Row],[Cost Boolean]]*(VLOOKUP(Table4[[#This Row],[RATE CONCAT]],Tables!I:N,6,0)),0)</f>
        <v/>
      </c>
      <c r="DX81" s="275" t="n"/>
      <c r="DY81" s="347">
        <f>Table4[[#This Row],[Apr_2027_F]]-Table4[[#This Row],[Apr_2027_A]]</f>
        <v/>
      </c>
      <c r="DZ81" s="347">
        <f>IFERROR(Table4[[#This Row],[May_2027_Days_Forecast]]*Table4[[#This Row],[Cost Boolean]]*(VLOOKUP(Table4[[#This Row],[RATE CONCAT]],Tables!I:N,6,0)),0)</f>
        <v/>
      </c>
      <c r="EA81" s="275" t="n"/>
      <c r="EB81" s="347">
        <f>Table4[[#This Row],[May_2027_F]]-Table4[[#This Row],[May_2027_A]]</f>
        <v/>
      </c>
      <c r="EC81" s="347">
        <f>IFERROR(Table4[[#This Row],[Jun_2027_Days_Forecast]]*Table4[[#This Row],[Cost Boolean]]*(VLOOKUP(Table4[[#This Row],[RATE CONCAT]],Tables!I:N,6,0)),0)</f>
        <v/>
      </c>
      <c r="ED81" s="275" t="n"/>
      <c r="EE81" s="347">
        <f>Table4[[#This Row],[Jun_2027_F]]-Table4[[#This Row],[Jun_2027_A]]</f>
        <v/>
      </c>
      <c r="EF81" s="347">
        <f>IFERROR(Table4[[#This Row],[Jul_2027_Days_Forecast]]*Table4[[#This Row],[Cost Boolean]]*(VLOOKUP(Table4[[#This Row],[RATE CONCAT]],Tables!I:N,6,0)),0)</f>
        <v/>
      </c>
      <c r="EG81" s="275" t="n"/>
      <c r="EH81" s="347">
        <f>Table4[[#This Row],[Jul_2027_F]]-Table4[[#This Row],[Jul_2027_A]]</f>
        <v/>
      </c>
      <c r="EI81" s="347">
        <f>IFERROR(Table4[[#This Row],[Aug_2027_Days_Forecast]]*Table4[[#This Row],[Cost Boolean]]*(VLOOKUP(Table4[[#This Row],[RATE CONCAT]],Tables!I:N,6,0)),0)</f>
        <v/>
      </c>
      <c r="EJ81" s="275" t="n"/>
      <c r="EK81" s="347">
        <f>Table4[[#This Row],[Aug_2027_F]]-Table4[[#This Row],[Aug_2027_A]]</f>
        <v/>
      </c>
      <c r="EL81" s="347">
        <f>IFERROR(Table4[[#This Row],[Sep_2027_Days_Forecast]]*Table4[[#This Row],[Cost Boolean]]*(VLOOKUP(Table4[[#This Row],[RATE CONCAT]],Tables!I:N,6,0)),0)</f>
        <v/>
      </c>
      <c r="EM81" s="275" t="n"/>
      <c r="EN81" s="347">
        <f>Table4[[#This Row],[Sep_2027_F]]-Table4[[#This Row],[Sep_2027_A]]</f>
        <v/>
      </c>
      <c r="EO81" s="347">
        <f>IFERROR(Table4[[#This Row],[Oct_2027_Days_Forecast]]*Table4[[#This Row],[Cost Boolean]]*(VLOOKUP(Table4[[#This Row],[RATE CONCAT]],Tables!I:N,6,0)),0)</f>
        <v/>
      </c>
      <c r="EP81" s="275" t="n"/>
      <c r="EQ81" s="347">
        <f>Table4[[#This Row],[Oct_2027_F]]-Table4[[#This Row],[Oct_2027_A]]</f>
        <v/>
      </c>
      <c r="ER81" s="347">
        <f>IFERROR(Table4[[#This Row],[Nov_2027_Days_Forecast]]*Table4[[#This Row],[Cost Boolean]]*(VLOOKUP(Table4[[#This Row],[RATE CONCAT]],Tables!I:N,6,0)),0)</f>
        <v/>
      </c>
      <c r="ES81" s="275" t="n"/>
      <c r="ET81" s="347">
        <f>Table4[[#This Row],[Nov_2027_F]]-Table4[[#This Row],[Nov_2027_A]]</f>
        <v/>
      </c>
      <c r="EU81" s="347">
        <f>IFERROR(Table4[[#This Row],[Dec_2027_Days_Forecast]]*Table4[[#This Row],[Cost Boolean]]*(VLOOKUP(Table4[[#This Row],[RATE CONCAT]],Tables!I:N,6,0)),0)</f>
        <v/>
      </c>
      <c r="EV81" s="275" t="n"/>
      <c r="EW81" s="347">
        <f>Table4[[#This Row],[Dec_2027_F]]-Table4[[#This Row],[Dec_2027_A]]</f>
        <v/>
      </c>
    </row>
    <row r="82" ht="1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350">
        <f>CONCATENATE(Table4[[#This Row],[JG]],Table4[[#This Row],[Country]],Table4[[#This Row],[Resource Provider]])</f>
        <v/>
      </c>
      <c r="Z82" s="350">
        <f>VLOOKUP(Table4[[#This Row],[RATE CONCAT]],Tables!I:N,5,0)</f>
        <v/>
      </c>
      <c r="AA82" s="53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353">
        <f>IFERROR(AVERAGE(Table4[[#This Row],[Jan_2026_Days_Forecast]:[Dec_2026_Days_Forecast]]),0)/19</f>
        <v/>
      </c>
      <c r="AO82" s="353">
        <f>IFERROR(AVERAGE(Table4[[#This Row],[Jan_2026_Days_Actual]:[Dec_2026_Days_Actual]]),0)/19</f>
        <v/>
      </c>
      <c r="AP82" s="84" t="n"/>
      <c r="AQ82" s="84" t="n"/>
      <c r="AR82" s="84" t="n"/>
      <c r="AS82" s="84" t="n"/>
      <c r="AT82" s="84" t="n"/>
      <c r="AU82" s="84" t="n"/>
      <c r="AV82" s="84" t="n"/>
      <c r="AW82" s="84" t="n"/>
      <c r="AX82" s="84" t="n"/>
      <c r="AY82" s="84" t="n"/>
      <c r="AZ82" s="84" t="n"/>
      <c r="BA82" s="84" t="n"/>
      <c r="BB82" s="353">
        <f>IFERROR(AVERAGE(Table4[[#This Row],[Jan_2027_Days_Forecast]:[Dec_2027_Days_Forecast]]),0)</f>
        <v/>
      </c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55" t="n"/>
      <c r="BP82" s="346" t="n"/>
      <c r="BQ82" s="345" t="n">
        <v>0</v>
      </c>
      <c r="BR82" s="345">
        <f>IFERROR(Table4[[#This Row],[Jan_2026_Days_Actual]]*Table4[[#This Row],[Cost Boolean]]*(VLOOKUP(Table4[[#This Row],[RATE CONCAT]],Tables!I:N,5,0)),0)</f>
        <v/>
      </c>
      <c r="BS82" s="345">
        <f>Table4[[#This Row],[Jan_2026_F]]-Table4[[#This Row],[Jan_2026_A]]</f>
        <v/>
      </c>
      <c r="BT82" s="107" t="n"/>
      <c r="BU82" s="345">
        <f>IFERROR(Table4[[#This Row],[Feb_2026_Days_Forecast]]*Table4[[#This Row],[Cost Boolean]]*(VLOOKUP(Table4[[#This Row],[RATE CONCAT]],Tables!I:N,5,0)),0)</f>
        <v/>
      </c>
      <c r="BV82" s="345">
        <f>IFERROR(Table4[[#This Row],[Feb_2026_Days_Actual]]*Table4[[#This Row],[Cost Boolean]]*(VLOOKUP(Table4[[#This Row],[RATE CONCAT]],Tables!I:N,5,0)),0)</f>
        <v/>
      </c>
      <c r="BW82" s="345">
        <f>Table4[[#This Row],[Feb_2026_F]]-Table4[[#This Row],[Feb_2026_A]]</f>
        <v/>
      </c>
      <c r="BX82" s="103" t="n"/>
      <c r="BY82" s="345">
        <f>IFERROR(Table4[[#This Row],[Mar_2026_Days_Forecast]]*Table4[[#This Row],[Cost Boolean]]*(VLOOKUP(Table4[[#This Row],[RATE CONCAT]],Tables!I:N,5,0)),0)</f>
        <v/>
      </c>
      <c r="BZ82" s="345">
        <f>IFERROR(Table4[[#This Row],[Mar_2026_Days_Actual]]*Table4[[#This Row],[Cost Boolean]]*(VLOOKUP(Table4[[#This Row],[RATE CONCAT]],Tables!I:N,5,0)),0)</f>
        <v/>
      </c>
      <c r="CA82" s="345">
        <f>Table4[[#This Row],[Mar_2026_F]]-Table4[[#This Row],[Mar_2026_A]]</f>
        <v/>
      </c>
      <c r="CB82" s="103" t="n"/>
      <c r="CC82" s="345">
        <f>IFERROR(Table4[[#This Row],[Apr_2026_Days_Forecast]]*Table4[[#This Row],[Cost Boolean]]*(VLOOKUP(Table4[[#This Row],[RATE CONCAT]],Tables!I:N,5,0)),0)</f>
        <v/>
      </c>
      <c r="CD82" s="345">
        <f>IFERROR(Table4[[#This Row],[Apr_2026_Days_Actual]]*Table4[[#This Row],[Cost Boolean]]*(VLOOKUP(Table4[[#This Row],[RATE CONCAT]],Tables!I:N,5,0)),0)</f>
        <v/>
      </c>
      <c r="CE82" s="345">
        <f>Table4[[#This Row],[Apr_2026_F]]-Table4[[#This Row],[Apr_2026_A]]</f>
        <v/>
      </c>
      <c r="CF82" s="103" t="n"/>
      <c r="CG82" s="345">
        <f>IFERROR(Table4[[#This Row],[May_2026_Days_Forecast]] *Table4[[#This Row],[Cost Boolean]]*(VLOOKUP(Table4[[#This Row],[RATE CONCAT]],Tables!I:N,5,0)),0)</f>
        <v/>
      </c>
      <c r="CH82" s="345">
        <f>IFERROR(Table4[[#This Row],[May_2026_Days_Actual]]*Table4[[#This Row],[Cost Boolean]]*(VLOOKUP(Table4[[#This Row],[RATE CONCAT]],Tables!I:N,5,0)),0)</f>
        <v/>
      </c>
      <c r="CI82" s="345">
        <f>Table4[[#This Row],[May_2026_F]]-Table4[[#This Row],[May_2026_A]]</f>
        <v/>
      </c>
      <c r="CJ82" s="103" t="n"/>
      <c r="CK82" s="345">
        <f>IFERROR(Table4[[#This Row],[Jun_2026_Days_Forecast]]*Table4[[#This Row],[Cost Boolean]]*(VLOOKUP(Table4[[#This Row],[RATE CONCAT]],Tables!I:N,5,0)),0)</f>
        <v/>
      </c>
      <c r="CL82" s="345">
        <f>IFERROR(Table4[[#This Row],[Jun_2026_Days_Actual]]*Table4[[#This Row],[Cost Boolean]]*(VLOOKUP(Table4[[#This Row],[RATE CONCAT]],Tables!I:N,5,0)),0)</f>
        <v/>
      </c>
      <c r="CM82" s="345">
        <f>Table4[[#This Row],[Jun_2026_F]]-Table4[[#This Row],[Jun_2026_A]]</f>
        <v/>
      </c>
      <c r="CN82" s="103" t="n"/>
      <c r="CO82" s="345">
        <f>IFERROR(Table4[[#This Row],[Jul_2026_Days_Forecast]]*Table4[[#This Row],[Cost Boolean]]*(VLOOKUP(Table4[[#This Row],[RATE CONCAT]],Tables!I:N,5,0)),0)</f>
        <v/>
      </c>
      <c r="CP82" s="345">
        <f>IFERROR(Table4[[#This Row],[Aug_2026_Days_Forecast]]*Table4[[#This Row],[Location]]*(VLOOKUP(Table4[[#This Row],[Rate]],Tables!J:O,5,0)),0)</f>
        <v/>
      </c>
      <c r="CQ82" s="345">
        <f>Table4[[#This Row],[Jul_2026_F]]-Table4[[#This Row],[Jul_2026_A]]</f>
        <v/>
      </c>
      <c r="CR82" s="103" t="n"/>
      <c r="CS82" s="345">
        <f>IFERROR(Table4[[#This Row],[Aug_2026_Days_Forecast]]*Table4[[#This Row],[Cost Boolean]]*(VLOOKUP(Table4[[#This Row],[RATE CONCAT]],Tables!I:N,5,0)),0)</f>
        <v/>
      </c>
      <c r="CT82" s="345">
        <f>IFERROR(Table4[[#This Row],[Aug_2026_Days_Actual]]*Table4[[#This Row],[Cost Boolean]]*(VLOOKUP(Table4[[#This Row],[RATE CONCAT]],Tables!I:N,5,0)),0)</f>
        <v/>
      </c>
      <c r="CU82" s="345">
        <f>Table4[[#This Row],[Aug_2026_F]]-Table4[[#This Row],[Aug_2026_A]]</f>
        <v/>
      </c>
      <c r="CV82" s="103" t="n"/>
      <c r="CW82" s="345">
        <f>IFERROR(Table4[[#This Row],[Sep_2026_Days_Forecast]]*Table4[[#This Row],[Cost Boolean]]*(VLOOKUP(Table4[[#This Row],[RATE CONCAT]],Tables!I:N,5,0)),0)</f>
        <v/>
      </c>
      <c r="CX82" s="345">
        <f>IFERROR(Table4[[#This Row],[Sep_2026_Days_Actual]]*Table4[[#This Row],[Cost Boolean]]*(VLOOKUP(Table4[[#This Row],[RATE CONCAT]],Tables!I:N,5,0)),0)</f>
        <v/>
      </c>
      <c r="CY82" s="345">
        <f>Table4[[#This Row],[Sep_2026_F]]-Table4[[#This Row],[Sep_2026_A]]</f>
        <v/>
      </c>
      <c r="CZ82" s="103" t="n"/>
      <c r="DA82" s="345">
        <f>IFERROR(Table4[[#This Row],[Oct_2026_Days_Forecast]]*Table4[[#This Row],[Cost Boolean]]*(VLOOKUP(Table4[[#This Row],[RATE CONCAT]],Tables!I:N,5,0)),0)</f>
        <v/>
      </c>
      <c r="DB82" s="345">
        <f>IFERROR(Table4[[#This Row],[Oct_2026_Days_Actual]]*Table4[[#This Row],[Cost Boolean]]*(VLOOKUP(Table4[[#This Row],[RATE CONCAT]],Tables!I:N,5,0)),0)</f>
        <v/>
      </c>
      <c r="DC82" s="345">
        <f>Table4[[#This Row],[Oct_2026_F]]-Table4[[#This Row],[Oct_2026_A]]</f>
        <v/>
      </c>
      <c r="DD82" s="103" t="n"/>
      <c r="DE82" s="345">
        <f>IFERROR(Table4[[#This Row],[Nov_2026_Days_Forecast]]*Table4[[#This Row],[Cost Boolean]]*(VLOOKUP(Table4[[#This Row],[RATE CONCAT]],Tables!I:N,5,0)),0)</f>
        <v/>
      </c>
      <c r="DF82" s="345">
        <f>IFERROR(Table4[[#This Row],[Nov_2026_Days_Actual]]*Table4[[#This Row],[Cost Boolean]]*(VLOOKUP(Table4[[#This Row],[RATE CONCAT]],Tables!I:N,5,0)),0)</f>
        <v/>
      </c>
      <c r="DG82" s="345">
        <f>Table4[[#This Row],[Nov_2026_F]]-Table4[[#This Row],[Nov_2026_A]]</f>
        <v/>
      </c>
      <c r="DH82" s="103" t="n"/>
      <c r="DI82" s="345">
        <f>IFERROR(Table4[[#This Row],[Dec_2026_Days_Forecast]]*Table4[[#This Row],[Cost Boolean]]*(VLOOKUP(Table4[[#This Row],[RATE CONCAT]],Tables!I:N,5,0)),0)</f>
        <v/>
      </c>
      <c r="DJ82" s="345">
        <f>IFERROR(Table4[[#This Row],[Dec_2026_Days_Actual]]*Table4[[#This Row],[Cost Boolean]]*(VLOOKUP(Table4[[#This Row],[RATE CONCAT]],Tables!I:N,5,0)),0)</f>
        <v/>
      </c>
      <c r="DK82" s="345">
        <f>Table4[[#This Row],[Dec_2026_F]]-Table4[[#This Row],[Dec_2026_A]]</f>
        <v/>
      </c>
      <c r="DL82" s="103" t="n"/>
      <c r="DM82" s="346" t="n"/>
      <c r="DN82" s="345">
        <f>IFERROR(Table4[[#This Row],[Jan_2027_Days_Forecast]]*Table4[[#This Row],[Cost Boolean]]*(VLOOKUP(Table4[[#This Row],[RATE CONCAT]],Tables!I:N,6,0)),0)</f>
        <v/>
      </c>
      <c r="DO82" s="275" t="n"/>
      <c r="DP82" s="345">
        <f>Table4[[#This Row],[Jan_2027_F]]-Table4[[#This Row],[Jan_2027_A]]</f>
        <v/>
      </c>
      <c r="DQ82" s="345">
        <f>IFERROR(Table4[[#This Row],[Feb_2027_Days_Forecast]]*Table4[[#This Row],[Cost Boolean]]*(VLOOKUP(Table4[[#This Row],[RATE CONCAT]],Tables!I:N,6,0)),0)</f>
        <v/>
      </c>
      <c r="DR82" s="275" t="n"/>
      <c r="DS82" s="345">
        <f>Table4[[#This Row],[Feb_2027_F]]-Table4[[#This Row],[Feb_2027_A]]</f>
        <v/>
      </c>
      <c r="DT82" s="345">
        <f>IFERROR(Table4[[#This Row],[Mar_2027_Days_Forecast]]*Table4[[#This Row],[Cost Boolean]]*(VLOOKUP(Table4[[#This Row],[RATE CONCAT]],Tables!I:N,6,0)),0)</f>
        <v/>
      </c>
      <c r="DU82" s="275" t="n"/>
      <c r="DV82" s="345">
        <f>Table4[[#This Row],[Mar_2027_F]]-Table4[[#This Row],[Mar_2027_A]]</f>
        <v/>
      </c>
      <c r="DW82" s="345">
        <f>IFERROR(Table4[[#This Row],[Apr_2027_Days_Forecast]]*Table4[[#This Row],[Cost Boolean]]*(VLOOKUP(Table4[[#This Row],[RATE CONCAT]],Tables!I:N,6,0)),0)</f>
        <v/>
      </c>
      <c r="DX82" s="275" t="n"/>
      <c r="DY82" s="345">
        <f>Table4[[#This Row],[Apr_2027_F]]-Table4[[#This Row],[Apr_2027_A]]</f>
        <v/>
      </c>
      <c r="DZ82" s="345">
        <f>IFERROR(Table4[[#This Row],[May_2027_Days_Forecast]]*Table4[[#This Row],[Cost Boolean]]*(VLOOKUP(Table4[[#This Row],[RATE CONCAT]],Tables!I:N,6,0)),0)</f>
        <v/>
      </c>
      <c r="EA82" s="275" t="n"/>
      <c r="EB82" s="345">
        <f>Table4[[#This Row],[May_2027_F]]-Table4[[#This Row],[May_2027_A]]</f>
        <v/>
      </c>
      <c r="EC82" s="345">
        <f>IFERROR(Table4[[#This Row],[Jun_2027_Days_Forecast]]*Table4[[#This Row],[Cost Boolean]]*(VLOOKUP(Table4[[#This Row],[RATE CONCAT]],Tables!I:N,6,0)),0)</f>
        <v/>
      </c>
      <c r="ED82" s="275" t="n"/>
      <c r="EE82" s="345">
        <f>Table4[[#This Row],[Jun_2027_F]]-Table4[[#This Row],[Jun_2027_A]]</f>
        <v/>
      </c>
      <c r="EF82" s="345">
        <f>IFERROR(Table4[[#This Row],[Jul_2027_Days_Forecast]]*Table4[[#This Row],[Cost Boolean]]*(VLOOKUP(Table4[[#This Row],[RATE CONCAT]],Tables!I:N,6,0)),0)</f>
        <v/>
      </c>
      <c r="EG82" s="275" t="n"/>
      <c r="EH82" s="345">
        <f>Table4[[#This Row],[Jul_2027_F]]-Table4[[#This Row],[Jul_2027_A]]</f>
        <v/>
      </c>
      <c r="EI82" s="345">
        <f>IFERROR(Table4[[#This Row],[Aug_2027_Days_Forecast]]*Table4[[#This Row],[Cost Boolean]]*(VLOOKUP(Table4[[#This Row],[RATE CONCAT]],Tables!I:N,6,0)),0)</f>
        <v/>
      </c>
      <c r="EJ82" s="275" t="n"/>
      <c r="EK82" s="345">
        <f>Table4[[#This Row],[Aug_2027_F]]-Table4[[#This Row],[Aug_2027_A]]</f>
        <v/>
      </c>
      <c r="EL82" s="345">
        <f>IFERROR(Table4[[#This Row],[Sep_2027_Days_Forecast]]*Table4[[#This Row],[Cost Boolean]]*(VLOOKUP(Table4[[#This Row],[RATE CONCAT]],Tables!I:N,6,0)),0)</f>
        <v/>
      </c>
      <c r="EM82" s="275" t="n"/>
      <c r="EN82" s="345">
        <f>Table4[[#This Row],[Sep_2027_F]]-Table4[[#This Row],[Sep_2027_A]]</f>
        <v/>
      </c>
      <c r="EO82" s="345">
        <f>IFERROR(Table4[[#This Row],[Oct_2027_Days_Forecast]]*Table4[[#This Row],[Cost Boolean]]*(VLOOKUP(Table4[[#This Row],[RATE CONCAT]],Tables!I:N,6,0)),0)</f>
        <v/>
      </c>
      <c r="EP82" s="275" t="n"/>
      <c r="EQ82" s="345">
        <f>Table4[[#This Row],[Oct_2027_F]]-Table4[[#This Row],[Oct_2027_A]]</f>
        <v/>
      </c>
      <c r="ER82" s="345">
        <f>IFERROR(Table4[[#This Row],[Nov_2027_Days_Forecast]]*Table4[[#This Row],[Cost Boolean]]*(VLOOKUP(Table4[[#This Row],[RATE CONCAT]],Tables!I:N,6,0)),0)</f>
        <v/>
      </c>
      <c r="ES82" s="275" t="n"/>
      <c r="ET82" s="345">
        <f>Table4[[#This Row],[Nov_2027_F]]-Table4[[#This Row],[Nov_2027_A]]</f>
        <v/>
      </c>
      <c r="EU82" s="345">
        <f>IFERROR(Table4[[#This Row],[Dec_2027_Days_Forecast]]*Table4[[#This Row],[Cost Boolean]]*(VLOOKUP(Table4[[#This Row],[RATE CONCAT]],Tables!I:N,6,0)),0)</f>
        <v/>
      </c>
      <c r="EV82" s="275" t="n"/>
      <c r="EW82" s="345">
        <f>Table4[[#This Row],[Dec_2027_F]]-Table4[[#This Row],[Dec_2027_A]]</f>
        <v/>
      </c>
    </row>
    <row r="83" ht="1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350">
        <f>CONCATENATE(Table4[[#This Row],[JG]],Table4[[#This Row],[Country]],Table4[[#This Row],[Resource Provider]])</f>
        <v/>
      </c>
      <c r="Z83" s="350">
        <f>VLOOKUP(Table4[[#This Row],[RATE CONCAT]],Tables!I:N,5,0)</f>
        <v/>
      </c>
      <c r="AA83" s="53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353">
        <f>IFERROR(AVERAGE(Table4[[#This Row],[Jan_2026_Days_Forecast]:[Dec_2026_Days_Forecast]]),0)/19</f>
        <v/>
      </c>
      <c r="AO83" s="353">
        <f>IFERROR(AVERAGE(Table4[[#This Row],[Jan_2026_Days_Actual]:[Dec_2026_Days_Actual]]),0)/19</f>
        <v/>
      </c>
      <c r="AP83" s="84" t="n"/>
      <c r="AQ83" s="84" t="n"/>
      <c r="AR83" s="84" t="n"/>
      <c r="AS83" s="84" t="n"/>
      <c r="AT83" s="84" t="n"/>
      <c r="AU83" s="84" t="n"/>
      <c r="AV83" s="84" t="n"/>
      <c r="AW83" s="84" t="n"/>
      <c r="AX83" s="84" t="n"/>
      <c r="AY83" s="84" t="n"/>
      <c r="AZ83" s="84" t="n"/>
      <c r="BA83" s="84" t="n"/>
      <c r="BB83" s="353">
        <f>IFERROR(AVERAGE(Table4[[#This Row],[Jan_2027_Days_Forecast]:[Dec_2027_Days_Forecast]]),0)</f>
        <v/>
      </c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55" t="n"/>
      <c r="BP83" s="346" t="n"/>
      <c r="BQ83" s="347" t="n">
        <v>0</v>
      </c>
      <c r="BR83" s="347">
        <f>IFERROR(Table4[[#This Row],[Jan_2026_Days_Actual]]*Table4[[#This Row],[Cost Boolean]]*(VLOOKUP(Table4[[#This Row],[RATE CONCAT]],Tables!I:N,5,0)),0)</f>
        <v/>
      </c>
      <c r="BS83" s="347">
        <f>Table4[[#This Row],[Jan_2026_F]]-Table4[[#This Row],[Jan_2026_A]]</f>
        <v/>
      </c>
      <c r="BT83" s="107" t="n"/>
      <c r="BU83" s="347">
        <f>IFERROR(Table4[[#This Row],[Feb_2026_Days_Forecast]]*Table4[[#This Row],[Cost Boolean]]*(VLOOKUP(Table4[[#This Row],[RATE CONCAT]],Tables!I:N,5,0)),0)</f>
        <v/>
      </c>
      <c r="BV83" s="347">
        <f>IFERROR(Table4[[#This Row],[Feb_2026_Days_Actual]]*Table4[[#This Row],[Cost Boolean]]*(VLOOKUP(Table4[[#This Row],[RATE CONCAT]],Tables!I:N,5,0)),0)</f>
        <v/>
      </c>
      <c r="BW83" s="347">
        <f>Table4[[#This Row],[Feb_2026_F]]-Table4[[#This Row],[Feb_2026_A]]</f>
        <v/>
      </c>
      <c r="BX83" s="103" t="n"/>
      <c r="BY83" s="347">
        <f>IFERROR(Table4[[#This Row],[Mar_2026_Days_Forecast]]*Table4[[#This Row],[Cost Boolean]]*(VLOOKUP(Table4[[#This Row],[RATE CONCAT]],Tables!I:N,5,0)),0)</f>
        <v/>
      </c>
      <c r="BZ83" s="347">
        <f>IFERROR(Table4[[#This Row],[Mar_2026_Days_Actual]]*Table4[[#This Row],[Cost Boolean]]*(VLOOKUP(Table4[[#This Row],[RATE CONCAT]],Tables!I:N,5,0)),0)</f>
        <v/>
      </c>
      <c r="CA83" s="347">
        <f>Table4[[#This Row],[Mar_2026_F]]-Table4[[#This Row],[Mar_2026_A]]</f>
        <v/>
      </c>
      <c r="CB83" s="103" t="n"/>
      <c r="CC83" s="347">
        <f>IFERROR(Table4[[#This Row],[Apr_2026_Days_Forecast]]*Table4[[#This Row],[Cost Boolean]]*(VLOOKUP(Table4[[#This Row],[RATE CONCAT]],Tables!I:N,5,0)),0)</f>
        <v/>
      </c>
      <c r="CD83" s="347">
        <f>IFERROR(Table4[[#This Row],[Apr_2026_Days_Actual]]*Table4[[#This Row],[Cost Boolean]]*(VLOOKUP(Table4[[#This Row],[RATE CONCAT]],Tables!I:N,5,0)),0)</f>
        <v/>
      </c>
      <c r="CE83" s="347">
        <f>Table4[[#This Row],[Apr_2026_F]]-Table4[[#This Row],[Apr_2026_A]]</f>
        <v/>
      </c>
      <c r="CF83" s="103" t="n"/>
      <c r="CG83" s="347">
        <f>IFERROR(Table4[[#This Row],[May_2026_Days_Forecast]] *Table4[[#This Row],[Cost Boolean]]*(VLOOKUP(Table4[[#This Row],[RATE CONCAT]],Tables!I:N,5,0)),0)</f>
        <v/>
      </c>
      <c r="CH83" s="347">
        <f>IFERROR(Table4[[#This Row],[May_2026_Days_Actual]]*Table4[[#This Row],[Cost Boolean]]*(VLOOKUP(Table4[[#This Row],[RATE CONCAT]],Tables!I:N,5,0)),0)</f>
        <v/>
      </c>
      <c r="CI83" s="347">
        <f>Table4[[#This Row],[May_2026_F]]-Table4[[#This Row],[May_2026_A]]</f>
        <v/>
      </c>
      <c r="CJ83" s="103" t="n"/>
      <c r="CK83" s="347">
        <f>IFERROR(Table4[[#This Row],[Jun_2026_Days_Forecast]]*Table4[[#This Row],[Cost Boolean]]*(VLOOKUP(Table4[[#This Row],[RATE CONCAT]],Tables!I:N,5,0)),0)</f>
        <v/>
      </c>
      <c r="CL83" s="347">
        <f>IFERROR(Table4[[#This Row],[Jun_2026_Days_Actual]]*Table4[[#This Row],[Cost Boolean]]*(VLOOKUP(Table4[[#This Row],[RATE CONCAT]],Tables!I:N,5,0)),0)</f>
        <v/>
      </c>
      <c r="CM83" s="347">
        <f>Table4[[#This Row],[Jun_2026_F]]-Table4[[#This Row],[Jun_2026_A]]</f>
        <v/>
      </c>
      <c r="CN83" s="103" t="n"/>
      <c r="CO83" s="347">
        <f>IFERROR(Table4[[#This Row],[Jul_2026_Days_Forecast]]*Table4[[#This Row],[Cost Boolean]]*(VLOOKUP(Table4[[#This Row],[RATE CONCAT]],Tables!I:N,5,0)),0)</f>
        <v/>
      </c>
      <c r="CP83" s="347">
        <f>IFERROR(Table4[[#This Row],[Aug_2026_Days_Forecast]]*Table4[[#This Row],[Location]]*(VLOOKUP(Table4[[#This Row],[Rate]],Tables!J:O,5,0)),0)</f>
        <v/>
      </c>
      <c r="CQ83" s="347">
        <f>Table4[[#This Row],[Jul_2026_F]]-Table4[[#This Row],[Jul_2026_A]]</f>
        <v/>
      </c>
      <c r="CR83" s="103" t="n"/>
      <c r="CS83" s="347">
        <f>IFERROR(Table4[[#This Row],[Aug_2026_Days_Forecast]]*Table4[[#This Row],[Cost Boolean]]*(VLOOKUP(Table4[[#This Row],[RATE CONCAT]],Tables!I:N,5,0)),0)</f>
        <v/>
      </c>
      <c r="CT83" s="347">
        <f>IFERROR(Table4[[#This Row],[Aug_2026_Days_Actual]]*Table4[[#This Row],[Cost Boolean]]*(VLOOKUP(Table4[[#This Row],[RATE CONCAT]],Tables!I:N,5,0)),0)</f>
        <v/>
      </c>
      <c r="CU83" s="347">
        <f>Table4[[#This Row],[Aug_2026_F]]-Table4[[#This Row],[Aug_2026_A]]</f>
        <v/>
      </c>
      <c r="CV83" s="103" t="n"/>
      <c r="CW83" s="347">
        <f>IFERROR(Table4[[#This Row],[Sep_2026_Days_Forecast]]*Table4[[#This Row],[Cost Boolean]]*(VLOOKUP(Table4[[#This Row],[RATE CONCAT]],Tables!I:N,5,0)),0)</f>
        <v/>
      </c>
      <c r="CX83" s="347">
        <f>IFERROR(Table4[[#This Row],[Sep_2026_Days_Actual]]*Table4[[#This Row],[Cost Boolean]]*(VLOOKUP(Table4[[#This Row],[RATE CONCAT]],Tables!I:N,5,0)),0)</f>
        <v/>
      </c>
      <c r="CY83" s="347">
        <f>Table4[[#This Row],[Sep_2026_F]]-Table4[[#This Row],[Sep_2026_A]]</f>
        <v/>
      </c>
      <c r="CZ83" s="103" t="n"/>
      <c r="DA83" s="347">
        <f>IFERROR(Table4[[#This Row],[Oct_2026_Days_Forecast]]*Table4[[#This Row],[Cost Boolean]]*(VLOOKUP(Table4[[#This Row],[RATE CONCAT]],Tables!I:N,5,0)),0)</f>
        <v/>
      </c>
      <c r="DB83" s="347">
        <f>IFERROR(Table4[[#This Row],[Oct_2026_Days_Actual]]*Table4[[#This Row],[Cost Boolean]]*(VLOOKUP(Table4[[#This Row],[RATE CONCAT]],Tables!I:N,5,0)),0)</f>
        <v/>
      </c>
      <c r="DC83" s="347">
        <f>Table4[[#This Row],[Oct_2026_F]]-Table4[[#This Row],[Oct_2026_A]]</f>
        <v/>
      </c>
      <c r="DD83" s="103" t="n"/>
      <c r="DE83" s="347">
        <f>IFERROR(Table4[[#This Row],[Nov_2026_Days_Forecast]]*Table4[[#This Row],[Cost Boolean]]*(VLOOKUP(Table4[[#This Row],[RATE CONCAT]],Tables!I:N,5,0)),0)</f>
        <v/>
      </c>
      <c r="DF83" s="347">
        <f>IFERROR(Table4[[#This Row],[Nov_2026_Days_Actual]]*Table4[[#This Row],[Cost Boolean]]*(VLOOKUP(Table4[[#This Row],[RATE CONCAT]],Tables!I:N,5,0)),0)</f>
        <v/>
      </c>
      <c r="DG83" s="347">
        <f>Table4[[#This Row],[Nov_2026_F]]-Table4[[#This Row],[Nov_2026_A]]</f>
        <v/>
      </c>
      <c r="DH83" s="103" t="n"/>
      <c r="DI83" s="347">
        <f>IFERROR(Table4[[#This Row],[Dec_2026_Days_Forecast]]*Table4[[#This Row],[Cost Boolean]]*(VLOOKUP(Table4[[#This Row],[RATE CONCAT]],Tables!I:N,5,0)),0)</f>
        <v/>
      </c>
      <c r="DJ83" s="347">
        <f>IFERROR(Table4[[#This Row],[Dec_2026_Days_Actual]]*Table4[[#This Row],[Cost Boolean]]*(VLOOKUP(Table4[[#This Row],[RATE CONCAT]],Tables!I:N,5,0)),0)</f>
        <v/>
      </c>
      <c r="DK83" s="347">
        <f>Table4[[#This Row],[Dec_2026_F]]-Table4[[#This Row],[Dec_2026_A]]</f>
        <v/>
      </c>
      <c r="DL83" s="103" t="n"/>
      <c r="DM83" s="346" t="n"/>
      <c r="DN83" s="347">
        <f>IFERROR(Table4[[#This Row],[Jan_2027_Days_Forecast]]*Table4[[#This Row],[Cost Boolean]]*(VLOOKUP(Table4[[#This Row],[RATE CONCAT]],Tables!I:N,6,0)),0)</f>
        <v/>
      </c>
      <c r="DO83" s="275" t="n"/>
      <c r="DP83" s="347">
        <f>Table4[[#This Row],[Jan_2027_F]]-Table4[[#This Row],[Jan_2027_A]]</f>
        <v/>
      </c>
      <c r="DQ83" s="347">
        <f>IFERROR(Table4[[#This Row],[Feb_2027_Days_Forecast]]*Table4[[#This Row],[Cost Boolean]]*(VLOOKUP(Table4[[#This Row],[RATE CONCAT]],Tables!I:N,6,0)),0)</f>
        <v/>
      </c>
      <c r="DR83" s="275" t="n"/>
      <c r="DS83" s="347">
        <f>Table4[[#This Row],[Feb_2027_F]]-Table4[[#This Row],[Feb_2027_A]]</f>
        <v/>
      </c>
      <c r="DT83" s="347">
        <f>IFERROR(Table4[[#This Row],[Mar_2027_Days_Forecast]]*Table4[[#This Row],[Cost Boolean]]*(VLOOKUP(Table4[[#This Row],[RATE CONCAT]],Tables!I:N,6,0)),0)</f>
        <v/>
      </c>
      <c r="DU83" s="275" t="n"/>
      <c r="DV83" s="347">
        <f>Table4[[#This Row],[Mar_2027_F]]-Table4[[#This Row],[Mar_2027_A]]</f>
        <v/>
      </c>
      <c r="DW83" s="347">
        <f>IFERROR(Table4[[#This Row],[Apr_2027_Days_Forecast]]*Table4[[#This Row],[Cost Boolean]]*(VLOOKUP(Table4[[#This Row],[RATE CONCAT]],Tables!I:N,6,0)),0)</f>
        <v/>
      </c>
      <c r="DX83" s="275" t="n"/>
      <c r="DY83" s="347">
        <f>Table4[[#This Row],[Apr_2027_F]]-Table4[[#This Row],[Apr_2027_A]]</f>
        <v/>
      </c>
      <c r="DZ83" s="347">
        <f>IFERROR(Table4[[#This Row],[May_2027_Days_Forecast]]*Table4[[#This Row],[Cost Boolean]]*(VLOOKUP(Table4[[#This Row],[RATE CONCAT]],Tables!I:N,6,0)),0)</f>
        <v/>
      </c>
      <c r="EA83" s="275" t="n"/>
      <c r="EB83" s="347">
        <f>Table4[[#This Row],[May_2027_F]]-Table4[[#This Row],[May_2027_A]]</f>
        <v/>
      </c>
      <c r="EC83" s="347">
        <f>IFERROR(Table4[[#This Row],[Jun_2027_Days_Forecast]]*Table4[[#This Row],[Cost Boolean]]*(VLOOKUP(Table4[[#This Row],[RATE CONCAT]],Tables!I:N,6,0)),0)</f>
        <v/>
      </c>
      <c r="ED83" s="275" t="n"/>
      <c r="EE83" s="347">
        <f>Table4[[#This Row],[Jun_2027_F]]-Table4[[#This Row],[Jun_2027_A]]</f>
        <v/>
      </c>
      <c r="EF83" s="347">
        <f>IFERROR(Table4[[#This Row],[Jul_2027_Days_Forecast]]*Table4[[#This Row],[Cost Boolean]]*(VLOOKUP(Table4[[#This Row],[RATE CONCAT]],Tables!I:N,6,0)),0)</f>
        <v/>
      </c>
      <c r="EG83" s="275" t="n"/>
      <c r="EH83" s="347">
        <f>Table4[[#This Row],[Jul_2027_F]]-Table4[[#This Row],[Jul_2027_A]]</f>
        <v/>
      </c>
      <c r="EI83" s="347">
        <f>IFERROR(Table4[[#This Row],[Aug_2027_Days_Forecast]]*Table4[[#This Row],[Cost Boolean]]*(VLOOKUP(Table4[[#This Row],[RATE CONCAT]],Tables!I:N,6,0)),0)</f>
        <v/>
      </c>
      <c r="EJ83" s="275" t="n"/>
      <c r="EK83" s="347">
        <f>Table4[[#This Row],[Aug_2027_F]]-Table4[[#This Row],[Aug_2027_A]]</f>
        <v/>
      </c>
      <c r="EL83" s="347">
        <f>IFERROR(Table4[[#This Row],[Sep_2027_Days_Forecast]]*Table4[[#This Row],[Cost Boolean]]*(VLOOKUP(Table4[[#This Row],[RATE CONCAT]],Tables!I:N,6,0)),0)</f>
        <v/>
      </c>
      <c r="EM83" s="275" t="n"/>
      <c r="EN83" s="347">
        <f>Table4[[#This Row],[Sep_2027_F]]-Table4[[#This Row],[Sep_2027_A]]</f>
        <v/>
      </c>
      <c r="EO83" s="347">
        <f>IFERROR(Table4[[#This Row],[Oct_2027_Days_Forecast]]*Table4[[#This Row],[Cost Boolean]]*(VLOOKUP(Table4[[#This Row],[RATE CONCAT]],Tables!I:N,6,0)),0)</f>
        <v/>
      </c>
      <c r="EP83" s="275" t="n"/>
      <c r="EQ83" s="347">
        <f>Table4[[#This Row],[Oct_2027_F]]-Table4[[#This Row],[Oct_2027_A]]</f>
        <v/>
      </c>
      <c r="ER83" s="347">
        <f>IFERROR(Table4[[#This Row],[Nov_2027_Days_Forecast]]*Table4[[#This Row],[Cost Boolean]]*(VLOOKUP(Table4[[#This Row],[RATE CONCAT]],Tables!I:N,6,0)),0)</f>
        <v/>
      </c>
      <c r="ES83" s="275" t="n"/>
      <c r="ET83" s="347">
        <f>Table4[[#This Row],[Nov_2027_F]]-Table4[[#This Row],[Nov_2027_A]]</f>
        <v/>
      </c>
      <c r="EU83" s="347">
        <f>IFERROR(Table4[[#This Row],[Dec_2027_Days_Forecast]]*Table4[[#This Row],[Cost Boolean]]*(VLOOKUP(Table4[[#This Row],[RATE CONCAT]],Tables!I:N,6,0)),0)</f>
        <v/>
      </c>
      <c r="EV83" s="275" t="n"/>
      <c r="EW83" s="347">
        <f>Table4[[#This Row],[Dec_2027_F]]-Table4[[#This Row],[Dec_2027_A]]</f>
        <v/>
      </c>
    </row>
    <row r="84" ht="1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350">
        <f>CONCATENATE(Table4[[#This Row],[JG]],Table4[[#This Row],[Country]],Table4[[#This Row],[Resource Provider]])</f>
        <v/>
      </c>
      <c r="Z84" s="350">
        <f>VLOOKUP(Table4[[#This Row],[RATE CONCAT]],Tables!I:N,5,0)</f>
        <v/>
      </c>
      <c r="AA84" s="53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353">
        <f>IFERROR(AVERAGE(Table4[[#This Row],[Jan_2026_Days_Forecast]:[Dec_2026_Days_Forecast]]),0)/19</f>
        <v/>
      </c>
      <c r="AO84" s="353">
        <f>IFERROR(AVERAGE(Table4[[#This Row],[Jan_2026_Days_Actual]:[Dec_2026_Days_Actual]]),0)/19</f>
        <v/>
      </c>
      <c r="AP84" s="84" t="n"/>
      <c r="AQ84" s="84" t="n"/>
      <c r="AR84" s="84" t="n"/>
      <c r="AS84" s="84" t="n"/>
      <c r="AT84" s="84" t="n"/>
      <c r="AU84" s="84" t="n"/>
      <c r="AV84" s="84" t="n"/>
      <c r="AW84" s="84" t="n"/>
      <c r="AX84" s="84" t="n"/>
      <c r="AY84" s="84" t="n"/>
      <c r="AZ84" s="84" t="n"/>
      <c r="BA84" s="84" t="n"/>
      <c r="BB84" s="353">
        <f>IFERROR(AVERAGE(Table4[[#This Row],[Jan_2027_Days_Forecast]:[Dec_2027_Days_Forecast]]),0)</f>
        <v/>
      </c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55" t="n"/>
      <c r="BP84" s="346" t="n"/>
      <c r="BQ84" s="275" t="n"/>
      <c r="BR84" s="345">
        <f>IFERROR(Table4[[#This Row],[Jan_2026_Days_Actual]]*Table4[[#This Row],[Cost Boolean]]*(VLOOKUP(Table4[[#This Row],[RATE CONCAT]],Tables!I:N,5,0)),0)</f>
        <v/>
      </c>
      <c r="BS84" s="275" t="n"/>
      <c r="BT84" s="107" t="n"/>
      <c r="BU84" s="345">
        <f>IFERROR(Table4[[#This Row],[Feb_2026_Days_Forecast]]*Table4[[#This Row],[Cost Boolean]]*(VLOOKUP(Table4[[#This Row],[RATE CONCAT]],Tables!I:N,5,0)),0)</f>
        <v/>
      </c>
      <c r="BV84" s="345">
        <f>IFERROR(Table4[[#This Row],[Feb_2026_Days_Actual]]*Table4[[#This Row],[Cost Boolean]]*(VLOOKUP(Table4[[#This Row],[RATE CONCAT]],Tables!I:N,5,0)),0)</f>
        <v/>
      </c>
      <c r="BW84" s="345">
        <f>Table4[[#This Row],[Feb_2026_F]]-Table4[[#This Row],[Feb_2026_A]]</f>
        <v/>
      </c>
      <c r="BX84" s="103" t="n"/>
      <c r="BY84" s="345">
        <f>IFERROR(Table4[[#This Row],[Mar_2026_Days_Forecast]]*Table4[[#This Row],[Cost Boolean]]*(VLOOKUP(Table4[[#This Row],[RATE CONCAT]],Tables!I:N,5,0)),0)</f>
        <v/>
      </c>
      <c r="BZ84" s="345">
        <f>IFERROR(Table4[[#This Row],[Mar_2026_Days_Actual]]*Table4[[#This Row],[Cost Boolean]]*(VLOOKUP(Table4[[#This Row],[RATE CONCAT]],Tables!I:N,5,0)),0)</f>
        <v/>
      </c>
      <c r="CA84" s="345">
        <f>Table4[[#This Row],[Mar_2026_F]]-Table4[[#This Row],[Mar_2026_A]]</f>
        <v/>
      </c>
      <c r="CB84" s="103" t="n"/>
      <c r="CC84" s="345">
        <f>IFERROR(Table4[[#This Row],[Apr_2026_Days_Forecast]]*Table4[[#This Row],[Cost Boolean]]*(VLOOKUP(Table4[[#This Row],[RATE CONCAT]],Tables!I:N,5,0)),0)</f>
        <v/>
      </c>
      <c r="CD84" s="345">
        <f>IFERROR(Table4[[#This Row],[Apr_2026_Days_Actual]]*Table4[[#This Row],[Cost Boolean]]*(VLOOKUP(Table4[[#This Row],[RATE CONCAT]],Tables!I:N,5,0)),0)</f>
        <v/>
      </c>
      <c r="CE84" s="345">
        <f>Table4[[#This Row],[Apr_2026_F]]-Table4[[#This Row],[Apr_2026_A]]</f>
        <v/>
      </c>
      <c r="CF84" s="103" t="n"/>
      <c r="CG84" s="345">
        <f>IFERROR(Table4[[#This Row],[May_2026_Days_Forecast]] *Table4[[#This Row],[Cost Boolean]]*(VLOOKUP(Table4[[#This Row],[RATE CONCAT]],Tables!I:N,5,0)),0)</f>
        <v/>
      </c>
      <c r="CH84" s="345">
        <f>IFERROR(Table4[[#This Row],[May_2026_Days_Actual]]*Table4[[#This Row],[Cost Boolean]]*(VLOOKUP(Table4[[#This Row],[RATE CONCAT]],Tables!I:N,5,0)),0)</f>
        <v/>
      </c>
      <c r="CI84" s="345">
        <f>Table4[[#This Row],[May_2026_F]]-Table4[[#This Row],[May_2026_A]]</f>
        <v/>
      </c>
      <c r="CJ84" s="103" t="n"/>
      <c r="CK84" s="345">
        <f>IFERROR(Table4[[#This Row],[Jun_2026_Days_Forecast]]*Table4[[#This Row],[Cost Boolean]]*(VLOOKUP(Table4[[#This Row],[RATE CONCAT]],Tables!I:N,5,0)),0)</f>
        <v/>
      </c>
      <c r="CL84" s="345">
        <f>IFERROR(Table4[[#This Row],[Jun_2026_Days_Actual]]*Table4[[#This Row],[Cost Boolean]]*(VLOOKUP(Table4[[#This Row],[RATE CONCAT]],Tables!I:N,5,0)),0)</f>
        <v/>
      </c>
      <c r="CM84" s="345">
        <f>Table4[[#This Row],[Jun_2026_F]]-Table4[[#This Row],[Jun_2026_A]]</f>
        <v/>
      </c>
      <c r="CN84" s="103" t="n"/>
      <c r="CO84" s="345">
        <f>IFERROR(Table4[[#This Row],[Jul_2026_Days_Forecast]]*Table4[[#This Row],[Cost Boolean]]*(VLOOKUP(Table4[[#This Row],[RATE CONCAT]],Tables!I:N,5,0)),0)</f>
        <v/>
      </c>
      <c r="CP84" s="345">
        <f>IFERROR(Table4[[#This Row],[Aug_2026_Days_Forecast]]*Table4[[#This Row],[Location]]*(VLOOKUP(Table4[[#This Row],[Rate]],Tables!J:O,5,0)),0)</f>
        <v/>
      </c>
      <c r="CQ84" s="345">
        <f>Table4[[#This Row],[Jul_2026_F]]-Table4[[#This Row],[Jul_2026_A]]</f>
        <v/>
      </c>
      <c r="CR84" s="103" t="n"/>
      <c r="CS84" s="345">
        <f>IFERROR(Table4[[#This Row],[Aug_2026_Days_Forecast]]*Table4[[#This Row],[Cost Boolean]]*(VLOOKUP(Table4[[#This Row],[RATE CONCAT]],Tables!I:N,5,0)),0)</f>
        <v/>
      </c>
      <c r="CT84" s="345">
        <f>IFERROR(Table4[[#This Row],[Aug_2026_Days_Actual]]*Table4[[#This Row],[Cost Boolean]]*(VLOOKUP(Table4[[#This Row],[RATE CONCAT]],Tables!I:N,5,0)),0)</f>
        <v/>
      </c>
      <c r="CU84" s="345">
        <f>Table4[[#This Row],[Aug_2026_F]]-Table4[[#This Row],[Aug_2026_A]]</f>
        <v/>
      </c>
      <c r="CV84" s="103" t="n"/>
      <c r="CW84" s="345">
        <f>IFERROR(Table4[[#This Row],[Sep_2026_Days_Forecast]]*Table4[[#This Row],[Cost Boolean]]*(VLOOKUP(Table4[[#This Row],[RATE CONCAT]],Tables!I:N,5,0)),0)</f>
        <v/>
      </c>
      <c r="CX84" s="345">
        <f>IFERROR(Table4[[#This Row],[Sep_2026_Days_Actual]]*Table4[[#This Row],[Cost Boolean]]*(VLOOKUP(Table4[[#This Row],[RATE CONCAT]],Tables!I:N,5,0)),0)</f>
        <v/>
      </c>
      <c r="CY84" s="345">
        <f>Table4[[#This Row],[Sep_2026_F]]-Table4[[#This Row],[Sep_2026_A]]</f>
        <v/>
      </c>
      <c r="CZ84" s="103" t="n"/>
      <c r="DA84" s="345">
        <f>IFERROR(Table4[[#This Row],[Oct_2026_Days_Forecast]]*Table4[[#This Row],[Cost Boolean]]*(VLOOKUP(Table4[[#This Row],[RATE CONCAT]],Tables!I:N,5,0)),0)</f>
        <v/>
      </c>
      <c r="DB84" s="345">
        <f>IFERROR(Table4[[#This Row],[Oct_2026_Days_Actual]]*Table4[[#This Row],[Cost Boolean]]*(VLOOKUP(Table4[[#This Row],[RATE CONCAT]],Tables!I:N,5,0)),0)</f>
        <v/>
      </c>
      <c r="DC84" s="345">
        <f>Table4[[#This Row],[Oct_2026_F]]-Table4[[#This Row],[Oct_2026_A]]</f>
        <v/>
      </c>
      <c r="DD84" s="103" t="n"/>
      <c r="DE84" s="345">
        <f>IFERROR(Table4[[#This Row],[Nov_2026_Days_Forecast]]*Table4[[#This Row],[Cost Boolean]]*(VLOOKUP(Table4[[#This Row],[RATE CONCAT]],Tables!I:N,5,0)),0)</f>
        <v/>
      </c>
      <c r="DF84" s="345">
        <f>IFERROR(Table4[[#This Row],[Nov_2026_Days_Actual]]*Table4[[#This Row],[Cost Boolean]]*(VLOOKUP(Table4[[#This Row],[RATE CONCAT]],Tables!I:N,5,0)),0)</f>
        <v/>
      </c>
      <c r="DG84" s="345">
        <f>Table4[[#This Row],[Nov_2026_F]]-Table4[[#This Row],[Nov_2026_A]]</f>
        <v/>
      </c>
      <c r="DH84" s="103" t="n"/>
      <c r="DI84" s="345">
        <f>IFERROR(Table4[[#This Row],[Dec_2026_Days_Forecast]]*Table4[[#This Row],[Cost Boolean]]*(VLOOKUP(Table4[[#This Row],[RATE CONCAT]],Tables!I:N,5,0)),0)</f>
        <v/>
      </c>
      <c r="DJ84" s="345">
        <f>IFERROR(Table4[[#This Row],[Dec_2026_Days_Actual]]*Table4[[#This Row],[Cost Boolean]]*(VLOOKUP(Table4[[#This Row],[RATE CONCAT]],Tables!I:N,5,0)),0)</f>
        <v/>
      </c>
      <c r="DK84" s="345">
        <f>Table4[[#This Row],[Dec_2026_F]]-Table4[[#This Row],[Dec_2026_A]]</f>
        <v/>
      </c>
      <c r="DL84" s="103" t="n"/>
      <c r="DM84" s="346" t="n"/>
      <c r="DN84" s="345">
        <f>IFERROR(Table4[[#This Row],[Jan_2027_Days_Forecast]]*Table4[[#This Row],[Cost Boolean]]*(VLOOKUP(Table4[[#This Row],[RATE CONCAT]],Tables!I:N,6,0)),0)</f>
        <v/>
      </c>
      <c r="DO84" s="275" t="n"/>
      <c r="DP84" s="345">
        <f>Table4[[#This Row],[Jan_2027_F]]-Table4[[#This Row],[Jan_2027_A]]</f>
        <v/>
      </c>
      <c r="DQ84" s="345">
        <f>IFERROR(Table4[[#This Row],[Feb_2027_Days_Forecast]]*Table4[[#This Row],[Cost Boolean]]*(VLOOKUP(Table4[[#This Row],[RATE CONCAT]],Tables!I:N,6,0)),0)</f>
        <v/>
      </c>
      <c r="DR84" s="275" t="n"/>
      <c r="DS84" s="345">
        <f>Table4[[#This Row],[Feb_2027_F]]-Table4[[#This Row],[Feb_2027_A]]</f>
        <v/>
      </c>
      <c r="DT84" s="345">
        <f>IFERROR(Table4[[#This Row],[Mar_2027_Days_Forecast]]*Table4[[#This Row],[Cost Boolean]]*(VLOOKUP(Table4[[#This Row],[RATE CONCAT]],Tables!I:N,6,0)),0)</f>
        <v/>
      </c>
      <c r="DU84" s="275" t="n"/>
      <c r="DV84" s="345">
        <f>Table4[[#This Row],[Mar_2027_F]]-Table4[[#This Row],[Mar_2027_A]]</f>
        <v/>
      </c>
      <c r="DW84" s="345">
        <f>IFERROR(Table4[[#This Row],[Apr_2027_Days_Forecast]]*Table4[[#This Row],[Cost Boolean]]*(VLOOKUP(Table4[[#This Row],[RATE CONCAT]],Tables!I:N,6,0)),0)</f>
        <v/>
      </c>
      <c r="DX84" s="275" t="n"/>
      <c r="DY84" s="345">
        <f>Table4[[#This Row],[Apr_2027_F]]-Table4[[#This Row],[Apr_2027_A]]</f>
        <v/>
      </c>
      <c r="DZ84" s="345">
        <f>IFERROR(Table4[[#This Row],[May_2027_Days_Forecast]]*Table4[[#This Row],[Cost Boolean]]*(VLOOKUP(Table4[[#This Row],[RATE CONCAT]],Tables!I:N,6,0)),0)</f>
        <v/>
      </c>
      <c r="EA84" s="275" t="n"/>
      <c r="EB84" s="345">
        <f>Table4[[#This Row],[May_2027_F]]-Table4[[#This Row],[May_2027_A]]</f>
        <v/>
      </c>
      <c r="EC84" s="345">
        <f>IFERROR(Table4[[#This Row],[Jun_2027_Days_Forecast]]*Table4[[#This Row],[Cost Boolean]]*(VLOOKUP(Table4[[#This Row],[RATE CONCAT]],Tables!I:N,6,0)),0)</f>
        <v/>
      </c>
      <c r="ED84" s="275" t="n"/>
      <c r="EE84" s="345">
        <f>Table4[[#This Row],[Jun_2027_F]]-Table4[[#This Row],[Jun_2027_A]]</f>
        <v/>
      </c>
      <c r="EF84" s="345">
        <f>IFERROR(Table4[[#This Row],[Jul_2027_Days_Forecast]]*Table4[[#This Row],[Cost Boolean]]*(VLOOKUP(Table4[[#This Row],[RATE CONCAT]],Tables!I:N,6,0)),0)</f>
        <v/>
      </c>
      <c r="EG84" s="275" t="n"/>
      <c r="EH84" s="345">
        <f>Table4[[#This Row],[Jul_2027_F]]-Table4[[#This Row],[Jul_2027_A]]</f>
        <v/>
      </c>
      <c r="EI84" s="345">
        <f>IFERROR(Table4[[#This Row],[Aug_2027_Days_Forecast]]*Table4[[#This Row],[Cost Boolean]]*(VLOOKUP(Table4[[#This Row],[RATE CONCAT]],Tables!I:N,6,0)),0)</f>
        <v/>
      </c>
      <c r="EJ84" s="275" t="n"/>
      <c r="EK84" s="345">
        <f>Table4[[#This Row],[Aug_2027_F]]-Table4[[#This Row],[Aug_2027_A]]</f>
        <v/>
      </c>
      <c r="EL84" s="345">
        <f>IFERROR(Table4[[#This Row],[Sep_2027_Days_Forecast]]*Table4[[#This Row],[Cost Boolean]]*(VLOOKUP(Table4[[#This Row],[RATE CONCAT]],Tables!I:N,6,0)),0)</f>
        <v/>
      </c>
      <c r="EM84" s="275" t="n"/>
      <c r="EN84" s="345">
        <f>Table4[[#This Row],[Sep_2027_F]]-Table4[[#This Row],[Sep_2027_A]]</f>
        <v/>
      </c>
      <c r="EO84" s="345">
        <f>IFERROR(Table4[[#This Row],[Oct_2027_Days_Forecast]]*Table4[[#This Row],[Cost Boolean]]*(VLOOKUP(Table4[[#This Row],[RATE CONCAT]],Tables!I:N,6,0)),0)</f>
        <v/>
      </c>
      <c r="EP84" s="275" t="n"/>
      <c r="EQ84" s="345">
        <f>Table4[[#This Row],[Oct_2027_F]]-Table4[[#This Row],[Oct_2027_A]]</f>
        <v/>
      </c>
      <c r="ER84" s="345">
        <f>IFERROR(Table4[[#This Row],[Nov_2027_Days_Forecast]]*Table4[[#This Row],[Cost Boolean]]*(VLOOKUP(Table4[[#This Row],[RATE CONCAT]],Tables!I:N,6,0)),0)</f>
        <v/>
      </c>
      <c r="ES84" s="275" t="n"/>
      <c r="ET84" s="345">
        <f>Table4[[#This Row],[Nov_2027_F]]-Table4[[#This Row],[Nov_2027_A]]</f>
        <v/>
      </c>
      <c r="EU84" s="345">
        <f>IFERROR(Table4[[#This Row],[Dec_2027_Days_Forecast]]*Table4[[#This Row],[Cost Boolean]]*(VLOOKUP(Table4[[#This Row],[RATE CONCAT]],Tables!I:N,6,0)),0)</f>
        <v/>
      </c>
      <c r="EV84" s="275" t="n"/>
      <c r="EW84" s="345">
        <f>Table4[[#This Row],[Dec_2027_F]]-Table4[[#This Row],[Dec_2027_A]]</f>
        <v/>
      </c>
    </row>
    <row r="85" ht="1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350">
        <f>CONCATENATE(Table4[[#This Row],[JG]],Table4[[#This Row],[Country]],Table4[[#This Row],[Resource Provider]])</f>
        <v/>
      </c>
      <c r="Z85" s="13" t="n"/>
      <c r="AA85" s="53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353">
        <f>IFERROR(AVERAGE(Table4[[#This Row],[Jan_2026_Days_Forecast]:[Dec_2026_Days_Forecast]]),0)/19</f>
        <v/>
      </c>
      <c r="AO85" s="353">
        <f>IFERROR(AVERAGE(Table4[[#This Row],[Jan_2026_Days_Actual]:[Dec_2026_Days_Actual]]),0)/19</f>
        <v/>
      </c>
      <c r="AP85" s="84" t="n"/>
      <c r="AQ85" s="84" t="n"/>
      <c r="AR85" s="84" t="n"/>
      <c r="AS85" s="84" t="n"/>
      <c r="AT85" s="84" t="n"/>
      <c r="AU85" s="84" t="n"/>
      <c r="AV85" s="84" t="n"/>
      <c r="AW85" s="84" t="n"/>
      <c r="AX85" s="84" t="n"/>
      <c r="AY85" s="84" t="n"/>
      <c r="AZ85" s="84" t="n"/>
      <c r="BA85" s="84" t="n"/>
      <c r="BB85" s="353">
        <f>IFERROR(AVERAGE(Table4[[#This Row],[Jan_2027_Days_Forecast]:[Dec_2027_Days_Forecast]]),0)</f>
        <v/>
      </c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55" t="n"/>
      <c r="BP85" s="346" t="n"/>
      <c r="BQ85" s="275" t="n"/>
      <c r="BR85" s="347">
        <f>IFERROR(Table4[[#This Row],[Jan_2026_Days_Actual]]*Table4[[#This Row],[Cost Boolean]]*(VLOOKUP(Table4[[#This Row],[RATE CONCAT]],Tables!I:N,5,0)),0)</f>
        <v/>
      </c>
      <c r="BS85" s="347">
        <f>Table4[[#This Row],[Jan_2026_F]]-Table4[[#This Row],[Jan_2026_A]]</f>
        <v/>
      </c>
      <c r="BT85" s="107" t="n"/>
      <c r="BU85" s="347">
        <f>IFERROR(Table4[[#This Row],[Feb_2026_Days_Forecast]]*Table4[[#This Row],[Cost Boolean]]*(VLOOKUP(Table4[[#This Row],[RATE CONCAT]],Tables!I:N,5,0)),0)</f>
        <v/>
      </c>
      <c r="BV85" s="347">
        <f>IFERROR(Table4[[#This Row],[Feb_2026_Days_Actual]]*Table4[[#This Row],[Cost Boolean]]*(VLOOKUP(Table4[[#This Row],[RATE CONCAT]],Tables!I:N,5,0)),0)</f>
        <v/>
      </c>
      <c r="BW85" s="347">
        <f>Table4[[#This Row],[Feb_2026_F]]-Table4[[#This Row],[Feb_2026_A]]</f>
        <v/>
      </c>
      <c r="BX85" s="103" t="n"/>
      <c r="BY85" s="347">
        <f>IFERROR(Table4[[#This Row],[Mar_2026_Days_Forecast]]*Table4[[#This Row],[Cost Boolean]]*(VLOOKUP(Table4[[#This Row],[RATE CONCAT]],Tables!I:N,5,0)),0)</f>
        <v/>
      </c>
      <c r="BZ85" s="347">
        <f>IFERROR(Table4[[#This Row],[Mar_2026_Days_Actual]]*Table4[[#This Row],[Cost Boolean]]*(VLOOKUP(Table4[[#This Row],[RATE CONCAT]],Tables!I:N,5,0)),0)</f>
        <v/>
      </c>
      <c r="CA85" s="347">
        <f>Table4[[#This Row],[Mar_2026_F]]-Table4[[#This Row],[Mar_2026_A]]</f>
        <v/>
      </c>
      <c r="CB85" s="103" t="n"/>
      <c r="CC85" s="347">
        <f>IFERROR(Table4[[#This Row],[Apr_2026_Days_Forecast]]*Table4[[#This Row],[Cost Boolean]]*(VLOOKUP(Table4[[#This Row],[RATE CONCAT]],Tables!I:N,5,0)),0)</f>
        <v/>
      </c>
      <c r="CD85" s="347">
        <f>IFERROR(Table4[[#This Row],[Apr_2026_Days_Actual]]*Table4[[#This Row],[Cost Boolean]]*(VLOOKUP(Table4[[#This Row],[RATE CONCAT]],Tables!I:N,5,0)),0)</f>
        <v/>
      </c>
      <c r="CE85" s="347">
        <f>Table4[[#This Row],[Apr_2026_F]]-Table4[[#This Row],[Apr_2026_A]]</f>
        <v/>
      </c>
      <c r="CF85" s="103" t="n"/>
      <c r="CG85" s="347">
        <f>IFERROR(Table4[[#This Row],[May_2026_Days_Forecast]] *Table4[[#This Row],[Cost Boolean]]*(VLOOKUP(Table4[[#This Row],[RATE CONCAT]],Tables!I:N,5,0)),0)</f>
        <v/>
      </c>
      <c r="CH85" s="347">
        <f>IFERROR(Table4[[#This Row],[May_2026_Days_Actual]]*Table4[[#This Row],[Cost Boolean]]*(VLOOKUP(Table4[[#This Row],[RATE CONCAT]],Tables!I:N,5,0)),0)</f>
        <v/>
      </c>
      <c r="CI85" s="347">
        <f>Table4[[#This Row],[May_2026_F]]-Table4[[#This Row],[May_2026_A]]</f>
        <v/>
      </c>
      <c r="CJ85" s="103" t="n"/>
      <c r="CK85" s="347">
        <f>IFERROR(Table4[[#This Row],[Jun_2026_Days_Forecast]]*Table4[[#This Row],[Cost Boolean]]*(VLOOKUP(Table4[[#This Row],[RATE CONCAT]],Tables!I:N,5,0)),0)</f>
        <v/>
      </c>
      <c r="CL85" s="347">
        <f>IFERROR(Table4[[#This Row],[Jun_2026_Days_Actual]]*Table4[[#This Row],[Cost Boolean]]*(VLOOKUP(Table4[[#This Row],[RATE CONCAT]],Tables!I:N,5,0)),0)</f>
        <v/>
      </c>
      <c r="CM85" s="347">
        <f>Table4[[#This Row],[Jun_2026_F]]-Table4[[#This Row],[Jun_2026_A]]</f>
        <v/>
      </c>
      <c r="CN85" s="103" t="n"/>
      <c r="CO85" s="347">
        <f>IFERROR(Table4[[#This Row],[Jul_2026_Days_Forecast]]*Table4[[#This Row],[Cost Boolean]]*(VLOOKUP(Table4[[#This Row],[RATE CONCAT]],Tables!I:N,5,0)),0)</f>
        <v/>
      </c>
      <c r="CP85" s="347">
        <f>IFERROR(Table4[[#This Row],[Aug_2026_Days_Forecast]]*Table4[[#This Row],[Location]]*(VLOOKUP(Table4[[#This Row],[Rate]],Tables!J:O,5,0)),0)</f>
        <v/>
      </c>
      <c r="CQ85" s="347">
        <f>Table4[[#This Row],[Jul_2026_F]]-Table4[[#This Row],[Jul_2026_A]]</f>
        <v/>
      </c>
      <c r="CR85" s="103" t="n"/>
      <c r="CS85" s="347">
        <f>IFERROR(Table4[[#This Row],[Aug_2026_Days_Forecast]]*Table4[[#This Row],[Cost Boolean]]*(VLOOKUP(Table4[[#This Row],[RATE CONCAT]],Tables!I:N,5,0)),0)</f>
        <v/>
      </c>
      <c r="CT85" s="347">
        <f>IFERROR(Table4[[#This Row],[Aug_2026_Days_Actual]]*Table4[[#This Row],[Cost Boolean]]*(VLOOKUP(Table4[[#This Row],[RATE CONCAT]],Tables!I:N,5,0)),0)</f>
        <v/>
      </c>
      <c r="CU85" s="347">
        <f>Table4[[#This Row],[Aug_2026_F]]-Table4[[#This Row],[Aug_2026_A]]</f>
        <v/>
      </c>
      <c r="CV85" s="103" t="n"/>
      <c r="CW85" s="347">
        <f>IFERROR(Table4[[#This Row],[Sep_2026_Days_Forecast]]*Table4[[#This Row],[Cost Boolean]]*(VLOOKUP(Table4[[#This Row],[RATE CONCAT]],Tables!I:N,5,0)),0)</f>
        <v/>
      </c>
      <c r="CX85" s="347">
        <f>IFERROR(Table4[[#This Row],[Sep_2026_Days_Actual]]*Table4[[#This Row],[Cost Boolean]]*(VLOOKUP(Table4[[#This Row],[RATE CONCAT]],Tables!I:N,5,0)),0)</f>
        <v/>
      </c>
      <c r="CY85" s="347">
        <f>Table4[[#This Row],[Sep_2026_F]]-Table4[[#This Row],[Sep_2026_A]]</f>
        <v/>
      </c>
      <c r="CZ85" s="103" t="n"/>
      <c r="DA85" s="347">
        <f>IFERROR(Table4[[#This Row],[Oct_2026_Days_Forecast]]*Table4[[#This Row],[Cost Boolean]]*(VLOOKUP(Table4[[#This Row],[RATE CONCAT]],Tables!I:N,5,0)),0)</f>
        <v/>
      </c>
      <c r="DB85" s="347">
        <f>IFERROR(Table4[[#This Row],[Oct_2026_Days_Actual]]*Table4[[#This Row],[Cost Boolean]]*(VLOOKUP(Table4[[#This Row],[RATE CONCAT]],Tables!I:N,5,0)),0)</f>
        <v/>
      </c>
      <c r="DC85" s="347">
        <f>Table4[[#This Row],[Oct_2026_F]]-Table4[[#This Row],[Oct_2026_A]]</f>
        <v/>
      </c>
      <c r="DD85" s="103" t="n"/>
      <c r="DE85" s="347">
        <f>IFERROR(Table4[[#This Row],[Nov_2026_Days_Forecast]]*Table4[[#This Row],[Cost Boolean]]*(VLOOKUP(Table4[[#This Row],[RATE CONCAT]],Tables!I:N,5,0)),0)</f>
        <v/>
      </c>
      <c r="DF85" s="347">
        <f>IFERROR(Table4[[#This Row],[Nov_2026_Days_Actual]]*Table4[[#This Row],[Cost Boolean]]*(VLOOKUP(Table4[[#This Row],[RATE CONCAT]],Tables!I:N,5,0)),0)</f>
        <v/>
      </c>
      <c r="DG85" s="347">
        <f>Table4[[#This Row],[Nov_2026_F]]-Table4[[#This Row],[Nov_2026_A]]</f>
        <v/>
      </c>
      <c r="DH85" s="103" t="n"/>
      <c r="DI85" s="347">
        <f>IFERROR(Table4[[#This Row],[Dec_2026_Days_Forecast]]*Table4[[#This Row],[Cost Boolean]]*(VLOOKUP(Table4[[#This Row],[RATE CONCAT]],Tables!I:N,5,0)),0)</f>
        <v/>
      </c>
      <c r="DJ85" s="347">
        <f>IFERROR(Table4[[#This Row],[Dec_2026_Days_Actual]]*Table4[[#This Row],[Cost Boolean]]*(VLOOKUP(Table4[[#This Row],[RATE CONCAT]],Tables!I:N,5,0)),0)</f>
        <v/>
      </c>
      <c r="DK85" s="347">
        <f>Table4[[#This Row],[Dec_2026_F]]-Table4[[#This Row],[Dec_2026_A]]</f>
        <v/>
      </c>
      <c r="DL85" s="103" t="n"/>
      <c r="DM85" s="346" t="n"/>
      <c r="DN85" s="347">
        <f>IFERROR(Table4[[#This Row],[Jan_2027_Days_Forecast]]*Table4[[#This Row],[Cost Boolean]]*(VLOOKUP(Table4[[#This Row],[RATE CONCAT]],Tables!I:N,6,0)),0)</f>
        <v/>
      </c>
      <c r="DO85" s="275" t="n"/>
      <c r="DP85" s="347">
        <f>Table4[[#This Row],[Jan_2027_F]]-Table4[[#This Row],[Jan_2027_A]]</f>
        <v/>
      </c>
      <c r="DQ85" s="347">
        <f>IFERROR(Table4[[#This Row],[Feb_2027_Days_Forecast]]*Table4[[#This Row],[Cost Boolean]]*(VLOOKUP(Table4[[#This Row],[RATE CONCAT]],Tables!I:N,6,0)),0)</f>
        <v/>
      </c>
      <c r="DR85" s="275" t="n"/>
      <c r="DS85" s="347">
        <f>Table4[[#This Row],[Feb_2027_F]]-Table4[[#This Row],[Feb_2027_A]]</f>
        <v/>
      </c>
      <c r="DT85" s="347">
        <f>IFERROR(Table4[[#This Row],[Mar_2027_Days_Forecast]]*Table4[[#This Row],[Cost Boolean]]*(VLOOKUP(Table4[[#This Row],[RATE CONCAT]],Tables!I:N,6,0)),0)</f>
        <v/>
      </c>
      <c r="DU85" s="275" t="n"/>
      <c r="DV85" s="347">
        <f>Table4[[#This Row],[Mar_2027_F]]-Table4[[#This Row],[Mar_2027_A]]</f>
        <v/>
      </c>
      <c r="DW85" s="347">
        <f>IFERROR(Table4[[#This Row],[Apr_2027_Days_Forecast]]*Table4[[#This Row],[Cost Boolean]]*(VLOOKUP(Table4[[#This Row],[RATE CONCAT]],Tables!I:N,6,0)),0)</f>
        <v/>
      </c>
      <c r="DX85" s="275" t="n"/>
      <c r="DY85" s="347">
        <f>Table4[[#This Row],[Apr_2027_F]]-Table4[[#This Row],[Apr_2027_A]]</f>
        <v/>
      </c>
      <c r="DZ85" s="347">
        <f>IFERROR(Table4[[#This Row],[May_2027_Days_Forecast]]*Table4[[#This Row],[Cost Boolean]]*(VLOOKUP(Table4[[#This Row],[RATE CONCAT]],Tables!I:N,6,0)),0)</f>
        <v/>
      </c>
      <c r="EA85" s="275" t="n"/>
      <c r="EB85" s="347">
        <f>Table4[[#This Row],[May_2027_F]]-Table4[[#This Row],[May_2027_A]]</f>
        <v/>
      </c>
      <c r="EC85" s="347">
        <f>IFERROR(Table4[[#This Row],[Jun_2027_Days_Forecast]]*Table4[[#This Row],[Cost Boolean]]*(VLOOKUP(Table4[[#This Row],[RATE CONCAT]],Tables!I:N,6,0)),0)</f>
        <v/>
      </c>
      <c r="ED85" s="275" t="n"/>
      <c r="EE85" s="347">
        <f>Table4[[#This Row],[Jun_2027_F]]-Table4[[#This Row],[Jun_2027_A]]</f>
        <v/>
      </c>
      <c r="EF85" s="347">
        <f>IFERROR(Table4[[#This Row],[Jul_2027_Days_Forecast]]*Table4[[#This Row],[Cost Boolean]]*(VLOOKUP(Table4[[#This Row],[RATE CONCAT]],Tables!I:N,6,0)),0)</f>
        <v/>
      </c>
      <c r="EG85" s="275" t="n"/>
      <c r="EH85" s="347">
        <f>Table4[[#This Row],[Jul_2027_F]]-Table4[[#This Row],[Jul_2027_A]]</f>
        <v/>
      </c>
      <c r="EI85" s="347">
        <f>IFERROR(Table4[[#This Row],[Aug_2027_Days_Forecast]]*Table4[[#This Row],[Cost Boolean]]*(VLOOKUP(Table4[[#This Row],[RATE CONCAT]],Tables!I:N,6,0)),0)</f>
        <v/>
      </c>
      <c r="EJ85" s="275" t="n"/>
      <c r="EK85" s="347">
        <f>Table4[[#This Row],[Aug_2027_F]]-Table4[[#This Row],[Aug_2027_A]]</f>
        <v/>
      </c>
      <c r="EL85" s="347">
        <f>IFERROR(Table4[[#This Row],[Sep_2027_Days_Forecast]]*Table4[[#This Row],[Cost Boolean]]*(VLOOKUP(Table4[[#This Row],[RATE CONCAT]],Tables!I:N,6,0)),0)</f>
        <v/>
      </c>
      <c r="EM85" s="275" t="n"/>
      <c r="EN85" s="347">
        <f>Table4[[#This Row],[Sep_2027_F]]-Table4[[#This Row],[Sep_2027_A]]</f>
        <v/>
      </c>
      <c r="EO85" s="347">
        <f>IFERROR(Table4[[#This Row],[Oct_2027_Days_Forecast]]*Table4[[#This Row],[Cost Boolean]]*(VLOOKUP(Table4[[#This Row],[RATE CONCAT]],Tables!I:N,6,0)),0)</f>
        <v/>
      </c>
      <c r="EP85" s="275" t="n"/>
      <c r="EQ85" s="347">
        <f>Table4[[#This Row],[Oct_2027_F]]-Table4[[#This Row],[Oct_2027_A]]</f>
        <v/>
      </c>
      <c r="ER85" s="347">
        <f>IFERROR(Table4[[#This Row],[Nov_2027_Days_Forecast]]*Table4[[#This Row],[Cost Boolean]]*(VLOOKUP(Table4[[#This Row],[RATE CONCAT]],Tables!I:N,6,0)),0)</f>
        <v/>
      </c>
      <c r="ES85" s="275" t="n"/>
      <c r="ET85" s="347">
        <f>Table4[[#This Row],[Nov_2027_F]]-Table4[[#This Row],[Nov_2027_A]]</f>
        <v/>
      </c>
      <c r="EU85" s="347">
        <f>IFERROR(Table4[[#This Row],[Dec_2027_Days_Forecast]]*Table4[[#This Row],[Cost Boolean]]*(VLOOKUP(Table4[[#This Row],[RATE CONCAT]],Tables!I:N,6,0)),0)</f>
        <v/>
      </c>
      <c r="EV85" s="275" t="n"/>
      <c r="EW85" s="347">
        <f>Table4[[#This Row],[Dec_2027_F]]-Table4[[#This Row],[Dec_2027_A]]</f>
        <v/>
      </c>
    </row>
    <row r="86" ht="1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350">
        <f>CONCATENATE(Table4[[#This Row],[JG]],Table4[[#This Row],[Country]],Table4[[#This Row],[Resource Provider]])</f>
        <v/>
      </c>
      <c r="Z86" s="338" t="n">
        <v>0</v>
      </c>
      <c r="AA86" s="53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353">
        <f>IFERROR(AVERAGE(Table4[[#This Row],[Jan_2026_Days_Forecast]:[Dec_2026_Days_Forecast]]),0)/19</f>
        <v/>
      </c>
      <c r="AO86" s="353">
        <f>IFERROR(AVERAGE(Table4[[#This Row],[Jan_2026_Days_Actual]:[Dec_2026_Days_Actual]]),0)/19</f>
        <v/>
      </c>
      <c r="AP86" s="84" t="n"/>
      <c r="AQ86" s="84" t="n"/>
      <c r="AR86" s="84" t="n"/>
      <c r="AS86" s="84" t="n"/>
      <c r="AT86" s="84" t="n"/>
      <c r="AU86" s="84" t="n"/>
      <c r="AV86" s="84" t="n"/>
      <c r="AW86" s="84" t="n"/>
      <c r="AX86" s="84" t="n"/>
      <c r="AY86" s="84" t="n"/>
      <c r="AZ86" s="84" t="n"/>
      <c r="BA86" s="84" t="n"/>
      <c r="BB86" s="353">
        <f>IFERROR(AVERAGE(Table4[[#This Row],[Jan_2027_Days_Forecast]:[Dec_2027_Days_Forecast]]),0)</f>
        <v/>
      </c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55" t="n"/>
      <c r="BP86" s="346" t="n"/>
      <c r="BQ86" s="345" t="n">
        <v>56000</v>
      </c>
      <c r="BR86" s="345">
        <f>IFERROR(Table4[[#This Row],[Jan_2026_Days_Actual]]*Table4[[#This Row],[Cost Boolean]]*(VLOOKUP(Table4[[#This Row],[RATE CONCAT]],Tables!I:N,5,0)),0)</f>
        <v/>
      </c>
      <c r="BS86" s="345">
        <f>Table4[[#This Row],[Jan_2026_F]]-Table4[[#This Row],[Jan_2026_A]]</f>
        <v/>
      </c>
      <c r="BT86" s="355" t="inlineStr">
        <is>
          <t>Missing / delayed timewriting</t>
        </is>
      </c>
      <c r="BU86" s="345">
        <f>IFERROR(Table4[[#This Row],[Feb_2026_Days_Forecast]]*Table4[[#This Row],[Cost Boolean]]*(VLOOKUP(Table4[[#This Row],[RATE CONCAT]],Tables!I:N,5,0)),0)</f>
        <v/>
      </c>
      <c r="BV86" s="345">
        <f>IFERROR(Table4[[#This Row],[Feb_2026_Days_Actual]]*Table4[[#This Row],[Cost Boolean]]*(VLOOKUP(Table4[[#This Row],[RATE CONCAT]],Tables!I:N,5,0)),0)</f>
        <v/>
      </c>
      <c r="BW86" s="345">
        <f>Table4[[#This Row],[Feb_2026_F]]-Table4[[#This Row],[Feb_2026_A]]</f>
        <v/>
      </c>
      <c r="BX86" s="103" t="n"/>
      <c r="BY86" s="345">
        <f>IFERROR(Table4[[#This Row],[Mar_2026_Days_Forecast]]*Table4[[#This Row],[Cost Boolean]]*(VLOOKUP(Table4[[#This Row],[RATE CONCAT]],Tables!I:N,5,0)),0)</f>
        <v/>
      </c>
      <c r="BZ86" s="345">
        <f>IFERROR(Table4[[#This Row],[Mar_2026_Days_Actual]]*Table4[[#This Row],[Cost Boolean]]*(VLOOKUP(Table4[[#This Row],[RATE CONCAT]],Tables!I:N,5,0)),0)</f>
        <v/>
      </c>
      <c r="CA86" s="345">
        <f>Table4[[#This Row],[Mar_2026_F]]-Table4[[#This Row],[Mar_2026_A]]</f>
        <v/>
      </c>
      <c r="CB86" s="103" t="n"/>
      <c r="CC86" s="345">
        <f>IFERROR(Table4[[#This Row],[Apr_2026_Days_Forecast]]*Table4[[#This Row],[Cost Boolean]]*(VLOOKUP(Table4[[#This Row],[RATE CONCAT]],Tables!I:N,5,0)),0)</f>
        <v/>
      </c>
      <c r="CD86" s="345">
        <f>IFERROR(Table4[[#This Row],[Apr_2026_Days_Actual]]*Table4[[#This Row],[Cost Boolean]]*(VLOOKUP(Table4[[#This Row],[RATE CONCAT]],Tables!I:N,5,0)),0)</f>
        <v/>
      </c>
      <c r="CE86" s="345">
        <f>Table4[[#This Row],[Apr_2026_F]]-Table4[[#This Row],[Apr_2026_A]]</f>
        <v/>
      </c>
      <c r="CF86" s="103" t="n"/>
      <c r="CG86" s="345">
        <f>IFERROR(Table4[[#This Row],[May_2026_Days_Forecast]] *Table4[[#This Row],[Cost Boolean]]*(VLOOKUP(Table4[[#This Row],[RATE CONCAT]],Tables!I:N,5,0)),0)</f>
        <v/>
      </c>
      <c r="CH86" s="345">
        <f>IFERROR(Table4[[#This Row],[May_2026_Days_Actual]]*Table4[[#This Row],[Cost Boolean]]*(VLOOKUP(Table4[[#This Row],[RATE CONCAT]],Tables!I:N,5,0)),0)</f>
        <v/>
      </c>
      <c r="CI86" s="345">
        <f>Table4[[#This Row],[May_2026_F]]-Table4[[#This Row],[May_2026_A]]</f>
        <v/>
      </c>
      <c r="CJ86" s="103" t="n"/>
      <c r="CK86" s="345">
        <f>IFERROR(Table4[[#This Row],[Jun_2026_Days_Forecast]]*Table4[[#This Row],[Cost Boolean]]*(VLOOKUP(Table4[[#This Row],[RATE CONCAT]],Tables!I:N,5,0)),0)</f>
        <v/>
      </c>
      <c r="CL86" s="345">
        <f>IFERROR(Table4[[#This Row],[Jun_2026_Days_Actual]]*Table4[[#This Row],[Cost Boolean]]*(VLOOKUP(Table4[[#This Row],[RATE CONCAT]],Tables!I:N,5,0)),0)</f>
        <v/>
      </c>
      <c r="CM86" s="345">
        <f>Table4[[#This Row],[Jun_2026_F]]-Table4[[#This Row],[Jun_2026_A]]</f>
        <v/>
      </c>
      <c r="CN86" s="103" t="n"/>
      <c r="CO86" s="345">
        <f>IFERROR(Table4[[#This Row],[Jul_2026_Days_Forecast]]*Table4[[#This Row],[Cost Boolean]]*(VLOOKUP(Table4[[#This Row],[RATE CONCAT]],Tables!I:N,5,0)),0)</f>
        <v/>
      </c>
      <c r="CP86" s="345">
        <f>IFERROR(Table4[[#This Row],[Aug_2026_Days_Forecast]]*Table4[[#This Row],[Location]]*(VLOOKUP(Table4[[#This Row],[Rate]],Tables!J:O,5,0)),0)</f>
        <v/>
      </c>
      <c r="CQ86" s="345">
        <f>Table4[[#This Row],[Jul_2026_F]]-Table4[[#This Row],[Jul_2026_A]]</f>
        <v/>
      </c>
      <c r="CR86" s="103" t="n"/>
      <c r="CS86" s="345">
        <f>IFERROR(Table4[[#This Row],[Aug_2026_Days_Forecast]]*Table4[[#This Row],[Cost Boolean]]*(VLOOKUP(Table4[[#This Row],[RATE CONCAT]],Tables!I:N,5,0)),0)</f>
        <v/>
      </c>
      <c r="CT86" s="345">
        <f>IFERROR(Table4[[#This Row],[Aug_2026_Days_Actual]]*Table4[[#This Row],[Cost Boolean]]*(VLOOKUP(Table4[[#This Row],[RATE CONCAT]],Tables!I:N,5,0)),0)</f>
        <v/>
      </c>
      <c r="CU86" s="345">
        <f>Table4[[#This Row],[Aug_2026_F]]-Table4[[#This Row],[Aug_2026_A]]</f>
        <v/>
      </c>
      <c r="CV86" s="103" t="n"/>
      <c r="CW86" s="345">
        <f>IFERROR(Table4[[#This Row],[Sep_2026_Days_Forecast]]*Table4[[#This Row],[Cost Boolean]]*(VLOOKUP(Table4[[#This Row],[RATE CONCAT]],Tables!I:N,5,0)),0)</f>
        <v/>
      </c>
      <c r="CX86" s="345">
        <f>IFERROR(Table4[[#This Row],[Sep_2026_Days_Actual]]*Table4[[#This Row],[Cost Boolean]]*(VLOOKUP(Table4[[#This Row],[RATE CONCAT]],Tables!I:N,5,0)),0)</f>
        <v/>
      </c>
      <c r="CY86" s="345">
        <f>Table4[[#This Row],[Sep_2026_F]]-Table4[[#This Row],[Sep_2026_A]]</f>
        <v/>
      </c>
      <c r="CZ86" s="103" t="n"/>
      <c r="DA86" s="345">
        <f>IFERROR(Table4[[#This Row],[Oct_2026_Days_Forecast]]*Table4[[#This Row],[Cost Boolean]]*(VLOOKUP(Table4[[#This Row],[RATE CONCAT]],Tables!I:N,5,0)),0)</f>
        <v/>
      </c>
      <c r="DB86" s="345">
        <f>IFERROR(Table4[[#This Row],[Oct_2026_Days_Actual]]*Table4[[#This Row],[Cost Boolean]]*(VLOOKUP(Table4[[#This Row],[RATE CONCAT]],Tables!I:N,5,0)),0)</f>
        <v/>
      </c>
      <c r="DC86" s="345">
        <f>Table4[[#This Row],[Oct_2026_F]]-Table4[[#This Row],[Oct_2026_A]]</f>
        <v/>
      </c>
      <c r="DD86" s="103" t="n"/>
      <c r="DE86" s="345">
        <f>IFERROR(Table4[[#This Row],[Nov_2026_Days_Forecast]]*Table4[[#This Row],[Cost Boolean]]*(VLOOKUP(Table4[[#This Row],[RATE CONCAT]],Tables!I:N,5,0)),0)</f>
        <v/>
      </c>
      <c r="DF86" s="345">
        <f>IFERROR(Table4[[#This Row],[Nov_2026_Days_Actual]]*Table4[[#This Row],[Cost Boolean]]*(VLOOKUP(Table4[[#This Row],[RATE CONCAT]],Tables!I:N,5,0)),0)</f>
        <v/>
      </c>
      <c r="DG86" s="345">
        <f>Table4[[#This Row],[Nov_2026_F]]-Table4[[#This Row],[Nov_2026_A]]</f>
        <v/>
      </c>
      <c r="DH86" s="103" t="n"/>
      <c r="DI86" s="345">
        <f>IFERROR(Table4[[#This Row],[Dec_2026_Days_Forecast]]*Table4[[#This Row],[Cost Boolean]]*(VLOOKUP(Table4[[#This Row],[RATE CONCAT]],Tables!I:N,5,0)),0)</f>
        <v/>
      </c>
      <c r="DJ86" s="345">
        <f>IFERROR(Table4[[#This Row],[Dec_2026_Days_Actual]]*Table4[[#This Row],[Cost Boolean]]*(VLOOKUP(Table4[[#This Row],[RATE CONCAT]],Tables!I:N,5,0)),0)</f>
        <v/>
      </c>
      <c r="DK86" s="345">
        <f>Table4[[#This Row],[Dec_2026_F]]-Table4[[#This Row],[Dec_2026_A]]</f>
        <v/>
      </c>
      <c r="DL86" s="103" t="n"/>
      <c r="DM86" s="346" t="n"/>
      <c r="DN86" s="345">
        <f>IFERROR(Table4[[#This Row],[Jan_2027_Days_Forecast]]*Table4[[#This Row],[Cost Boolean]]*(VLOOKUP(Table4[[#This Row],[RATE CONCAT]],Tables!I:N,6,0)),0)</f>
        <v/>
      </c>
      <c r="DO86" s="275" t="n"/>
      <c r="DP86" s="345">
        <f>Table4[[#This Row],[Jan_2027_F]]-Table4[[#This Row],[Jan_2027_A]]</f>
        <v/>
      </c>
      <c r="DQ86" s="345">
        <f>IFERROR(Table4[[#This Row],[Feb_2027_Days_Forecast]]*Table4[[#This Row],[Cost Boolean]]*(VLOOKUP(Table4[[#This Row],[RATE CONCAT]],Tables!I:N,6,0)),0)</f>
        <v/>
      </c>
      <c r="DR86" s="275" t="n"/>
      <c r="DS86" s="345">
        <f>Table4[[#This Row],[Feb_2027_F]]-Table4[[#This Row],[Feb_2027_A]]</f>
        <v/>
      </c>
      <c r="DT86" s="345">
        <f>IFERROR(Table4[[#This Row],[Mar_2027_Days_Forecast]]*Table4[[#This Row],[Cost Boolean]]*(VLOOKUP(Table4[[#This Row],[RATE CONCAT]],Tables!I:N,6,0)),0)</f>
        <v/>
      </c>
      <c r="DU86" s="275" t="n"/>
      <c r="DV86" s="345">
        <f>Table4[[#This Row],[Mar_2027_F]]-Table4[[#This Row],[Mar_2027_A]]</f>
        <v/>
      </c>
      <c r="DW86" s="345">
        <f>IFERROR(Table4[[#This Row],[Apr_2027_Days_Forecast]]*Table4[[#This Row],[Cost Boolean]]*(VLOOKUP(Table4[[#This Row],[RATE CONCAT]],Tables!I:N,6,0)),0)</f>
        <v/>
      </c>
      <c r="DX86" s="275" t="n"/>
      <c r="DY86" s="345">
        <f>Table4[[#This Row],[Apr_2027_F]]-Table4[[#This Row],[Apr_2027_A]]</f>
        <v/>
      </c>
      <c r="DZ86" s="345">
        <f>IFERROR(Table4[[#This Row],[May_2027_Days_Forecast]]*Table4[[#This Row],[Cost Boolean]]*(VLOOKUP(Table4[[#This Row],[RATE CONCAT]],Tables!I:N,6,0)),0)</f>
        <v/>
      </c>
      <c r="EA86" s="275" t="n"/>
      <c r="EB86" s="345">
        <f>Table4[[#This Row],[May_2027_F]]-Table4[[#This Row],[May_2027_A]]</f>
        <v/>
      </c>
      <c r="EC86" s="345">
        <f>IFERROR(Table4[[#This Row],[Jun_2027_Days_Forecast]]*Table4[[#This Row],[Cost Boolean]]*(VLOOKUP(Table4[[#This Row],[RATE CONCAT]],Tables!I:N,6,0)),0)</f>
        <v/>
      </c>
      <c r="ED86" s="275" t="n"/>
      <c r="EE86" s="345">
        <f>Table4[[#This Row],[Jun_2027_F]]-Table4[[#This Row],[Jun_2027_A]]</f>
        <v/>
      </c>
      <c r="EF86" s="345">
        <f>IFERROR(Table4[[#This Row],[Jul_2027_Days_Forecast]]*Table4[[#This Row],[Cost Boolean]]*(VLOOKUP(Table4[[#This Row],[RATE CONCAT]],Tables!I:N,6,0)),0)</f>
        <v/>
      </c>
      <c r="EG86" s="275" t="n"/>
      <c r="EH86" s="345">
        <f>Table4[[#This Row],[Jul_2027_F]]-Table4[[#This Row],[Jul_2027_A]]</f>
        <v/>
      </c>
      <c r="EI86" s="345">
        <f>IFERROR(Table4[[#This Row],[Aug_2027_Days_Forecast]]*Table4[[#This Row],[Cost Boolean]]*(VLOOKUP(Table4[[#This Row],[RATE CONCAT]],Tables!I:N,6,0)),0)</f>
        <v/>
      </c>
      <c r="EJ86" s="275" t="n"/>
      <c r="EK86" s="345">
        <f>Table4[[#This Row],[Aug_2027_F]]-Table4[[#This Row],[Aug_2027_A]]</f>
        <v/>
      </c>
      <c r="EL86" s="345">
        <f>IFERROR(Table4[[#This Row],[Sep_2027_Days_Forecast]]*Table4[[#This Row],[Cost Boolean]]*(VLOOKUP(Table4[[#This Row],[RATE CONCAT]],Tables!I:N,6,0)),0)</f>
        <v/>
      </c>
      <c r="EM86" s="275" t="n"/>
      <c r="EN86" s="345">
        <f>Table4[[#This Row],[Sep_2027_F]]-Table4[[#This Row],[Sep_2027_A]]</f>
        <v/>
      </c>
      <c r="EO86" s="345">
        <f>IFERROR(Table4[[#This Row],[Oct_2027_Days_Forecast]]*Table4[[#This Row],[Cost Boolean]]*(VLOOKUP(Table4[[#This Row],[RATE CONCAT]],Tables!I:N,6,0)),0)</f>
        <v/>
      </c>
      <c r="EP86" s="275" t="n"/>
      <c r="EQ86" s="345">
        <f>Table4[[#This Row],[Oct_2027_F]]-Table4[[#This Row],[Oct_2027_A]]</f>
        <v/>
      </c>
      <c r="ER86" s="345">
        <f>IFERROR(Table4[[#This Row],[Nov_2027_Days_Forecast]]*Table4[[#This Row],[Cost Boolean]]*(VLOOKUP(Table4[[#This Row],[RATE CONCAT]],Tables!I:N,6,0)),0)</f>
        <v/>
      </c>
      <c r="ES86" s="275" t="n"/>
      <c r="ET86" s="345">
        <f>Table4[[#This Row],[Nov_2027_F]]-Table4[[#This Row],[Nov_2027_A]]</f>
        <v/>
      </c>
      <c r="EU86" s="345">
        <f>IFERROR(Table4[[#This Row],[Dec_2027_Days_Forecast]]*Table4[[#This Row],[Cost Boolean]]*(VLOOKUP(Table4[[#This Row],[RATE CONCAT]],Tables!I:N,6,0)),0)</f>
        <v/>
      </c>
      <c r="EV86" s="275" t="n"/>
      <c r="EW86" s="345">
        <f>Table4[[#This Row],[Dec_2027_F]]-Table4[[#This Row],[Dec_2027_A]]</f>
        <v/>
      </c>
    </row>
    <row r="87" ht="1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53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53" t="n"/>
      <c r="AO87" s="53" t="n"/>
      <c r="AP87" s="84" t="n"/>
      <c r="AQ87" s="84" t="n"/>
      <c r="AR87" s="84" t="n"/>
      <c r="AS87" s="84" t="n"/>
      <c r="AT87" s="84" t="n"/>
      <c r="AU87" s="84" t="n"/>
      <c r="AV87" s="84" t="n"/>
      <c r="AW87" s="84" t="n"/>
      <c r="AX87" s="84" t="n"/>
      <c r="AY87" s="84" t="n"/>
      <c r="AZ87" s="84" t="n"/>
      <c r="BA87" s="84" t="n"/>
      <c r="BB87" s="53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55" t="n"/>
      <c r="BP87" s="346" t="n"/>
      <c r="BQ87" s="275" t="n"/>
      <c r="BR87" s="275" t="n"/>
      <c r="BS87" s="275" t="n"/>
      <c r="BT87" s="107" t="n"/>
      <c r="BU87" s="275" t="n"/>
      <c r="BV87" s="275" t="n"/>
      <c r="BW87" s="275" t="n"/>
      <c r="BX87" s="103" t="n"/>
      <c r="BY87" s="275" t="n"/>
      <c r="BZ87" s="275" t="n"/>
      <c r="CA87" s="275" t="n"/>
      <c r="CB87" s="103" t="n"/>
      <c r="CC87" s="275" t="n"/>
      <c r="CD87" s="275" t="n"/>
      <c r="CE87" s="275" t="n"/>
      <c r="CF87" s="103" t="n"/>
      <c r="CG87" s="275" t="n"/>
      <c r="CH87" s="275" t="n"/>
      <c r="CI87" s="275" t="n"/>
      <c r="CJ87" s="103" t="n"/>
      <c r="CK87" s="275" t="n"/>
      <c r="CL87" s="275" t="n"/>
      <c r="CM87" s="275" t="n"/>
      <c r="CN87" s="103" t="n"/>
      <c r="CO87" s="275" t="n"/>
      <c r="CP87" s="275" t="n"/>
      <c r="CQ87" s="275" t="n"/>
      <c r="CR87" s="103" t="n"/>
      <c r="CS87" s="275" t="n"/>
      <c r="CT87" s="275" t="n"/>
      <c r="CU87" s="275" t="n"/>
      <c r="CV87" s="103" t="n"/>
      <c r="CW87" s="275" t="n"/>
      <c r="CX87" s="275" t="n"/>
      <c r="CY87" s="275" t="n"/>
      <c r="CZ87" s="103" t="n"/>
      <c r="DA87" s="275" t="n"/>
      <c r="DB87" s="275" t="n"/>
      <c r="DC87" s="275" t="n"/>
      <c r="DD87" s="103" t="n"/>
      <c r="DE87" s="275" t="n"/>
      <c r="DF87" s="275" t="n"/>
      <c r="DG87" s="275" t="n"/>
      <c r="DH87" s="103" t="n"/>
      <c r="DI87" s="275" t="n"/>
      <c r="DJ87" s="275" t="n"/>
      <c r="DK87" s="275" t="n"/>
      <c r="DL87" s="103" t="n"/>
      <c r="DM87" s="346" t="n"/>
      <c r="DN87" s="275" t="n"/>
      <c r="DO87" s="275" t="n"/>
      <c r="DP87" s="275" t="n"/>
      <c r="DQ87" s="275" t="n"/>
      <c r="DR87" s="275" t="n"/>
      <c r="DS87" s="275" t="n"/>
      <c r="DT87" s="275" t="n"/>
      <c r="DU87" s="275" t="n"/>
      <c r="DV87" s="275" t="n"/>
      <c r="DW87" s="275" t="n"/>
      <c r="DX87" s="275" t="n"/>
      <c r="DY87" s="275" t="n"/>
      <c r="DZ87" s="275" t="n"/>
      <c r="EA87" s="275" t="n"/>
      <c r="EB87" s="275" t="n"/>
      <c r="EC87" s="275" t="n"/>
      <c r="ED87" s="275" t="n"/>
      <c r="EE87" s="275" t="n"/>
      <c r="EF87" s="275" t="n"/>
      <c r="EG87" s="275" t="n"/>
      <c r="EH87" s="275" t="n"/>
      <c r="EI87" s="275" t="n"/>
      <c r="EJ87" s="275" t="n"/>
      <c r="EK87" s="275" t="n"/>
      <c r="EL87" s="275" t="n"/>
      <c r="EM87" s="275" t="n"/>
      <c r="EN87" s="275" t="n"/>
      <c r="EO87" s="275" t="n"/>
      <c r="EP87" s="275" t="n"/>
      <c r="EQ87" s="275" t="n"/>
      <c r="ER87" s="275" t="n"/>
      <c r="ES87" s="275" t="n"/>
      <c r="ET87" s="275" t="n"/>
      <c r="EU87" s="275" t="n"/>
      <c r="EV87" s="275" t="n"/>
      <c r="EW87" s="275" t="n"/>
    </row>
    <row r="88" ht="1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53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53" t="n"/>
      <c r="AO88" s="53" t="n"/>
      <c r="AP88" s="84" t="n"/>
      <c r="AQ88" s="84" t="n"/>
      <c r="AR88" s="84" t="n"/>
      <c r="AS88" s="84" t="n"/>
      <c r="AT88" s="84" t="n"/>
      <c r="AU88" s="84" t="n"/>
      <c r="AV88" s="84" t="n"/>
      <c r="AW88" s="84" t="n"/>
      <c r="AX88" s="84" t="n"/>
      <c r="AY88" s="84" t="n"/>
      <c r="AZ88" s="84" t="n"/>
      <c r="BA88" s="84" t="n"/>
      <c r="BB88" s="53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55" t="n"/>
      <c r="BP88" s="346" t="n"/>
      <c r="BQ88" s="275" t="n"/>
      <c r="BR88" s="275" t="n"/>
      <c r="BS88" s="275" t="n"/>
      <c r="BT88" s="107" t="n"/>
      <c r="BU88" s="275" t="n"/>
      <c r="BV88" s="275" t="n"/>
      <c r="BW88" s="275" t="n"/>
      <c r="BX88" s="103" t="n"/>
      <c r="BY88" s="275" t="n"/>
      <c r="BZ88" s="275" t="n"/>
      <c r="CA88" s="275" t="n"/>
      <c r="CB88" s="103" t="n"/>
      <c r="CC88" s="275" t="n"/>
      <c r="CD88" s="275" t="n"/>
      <c r="CE88" s="275" t="n"/>
      <c r="CF88" s="103" t="n"/>
      <c r="CG88" s="275" t="n"/>
      <c r="CH88" s="275" t="n"/>
      <c r="CI88" s="275" t="n"/>
      <c r="CJ88" s="103" t="n"/>
      <c r="CK88" s="275" t="n"/>
      <c r="CL88" s="275" t="n"/>
      <c r="CM88" s="275" t="n"/>
      <c r="CN88" s="103" t="n"/>
      <c r="CO88" s="275" t="n"/>
      <c r="CP88" s="275" t="n"/>
      <c r="CQ88" s="275" t="n"/>
      <c r="CR88" s="103" t="n"/>
      <c r="CS88" s="275" t="n"/>
      <c r="CT88" s="275" t="n"/>
      <c r="CU88" s="275" t="n"/>
      <c r="CV88" s="103" t="n"/>
      <c r="CW88" s="275" t="n"/>
      <c r="CX88" s="275" t="n"/>
      <c r="CY88" s="275" t="n"/>
      <c r="CZ88" s="103" t="n"/>
      <c r="DA88" s="275" t="n"/>
      <c r="DB88" s="275" t="n"/>
      <c r="DC88" s="275" t="n"/>
      <c r="DD88" s="103" t="n"/>
      <c r="DE88" s="275" t="n"/>
      <c r="DF88" s="275" t="n"/>
      <c r="DG88" s="275" t="n"/>
      <c r="DH88" s="103" t="n"/>
      <c r="DI88" s="275" t="n"/>
      <c r="DJ88" s="275" t="n"/>
      <c r="DK88" s="275" t="n"/>
      <c r="DL88" s="103" t="n"/>
      <c r="DM88" s="346" t="n"/>
      <c r="DN88" s="275" t="n"/>
      <c r="DO88" s="275" t="n"/>
      <c r="DP88" s="275" t="n"/>
      <c r="DQ88" s="275" t="n"/>
      <c r="DR88" s="275" t="n"/>
      <c r="DS88" s="275" t="n"/>
      <c r="DT88" s="275" t="n"/>
      <c r="DU88" s="275" t="n"/>
      <c r="DV88" s="275" t="n"/>
      <c r="DW88" s="275" t="n"/>
      <c r="DX88" s="275" t="n"/>
      <c r="DY88" s="275" t="n"/>
      <c r="DZ88" s="275" t="n"/>
      <c r="EA88" s="275" t="n"/>
      <c r="EB88" s="275" t="n"/>
      <c r="EC88" s="275" t="n"/>
      <c r="ED88" s="275" t="n"/>
      <c r="EE88" s="275" t="n"/>
      <c r="EF88" s="275" t="n"/>
      <c r="EG88" s="275" t="n"/>
      <c r="EH88" s="275" t="n"/>
      <c r="EI88" s="275" t="n"/>
      <c r="EJ88" s="275" t="n"/>
      <c r="EK88" s="275" t="n"/>
      <c r="EL88" s="275" t="n"/>
      <c r="EM88" s="275" t="n"/>
      <c r="EN88" s="275" t="n"/>
      <c r="EO88" s="275" t="n"/>
      <c r="EP88" s="275" t="n"/>
      <c r="EQ88" s="275" t="n"/>
      <c r="ER88" s="275" t="n"/>
      <c r="ES88" s="275" t="n"/>
      <c r="ET88" s="275" t="n"/>
      <c r="EU88" s="275" t="n"/>
      <c r="EV88" s="275" t="n"/>
      <c r="EW88" s="275" t="n"/>
    </row>
    <row r="89" ht="1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53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53" t="n"/>
      <c r="AO89" s="53" t="n"/>
      <c r="AP89" s="84" t="n"/>
      <c r="AQ89" s="84" t="n"/>
      <c r="AR89" s="84" t="n"/>
      <c r="AS89" s="84" t="n"/>
      <c r="AT89" s="84" t="n"/>
      <c r="AU89" s="84" t="n"/>
      <c r="AV89" s="84" t="n"/>
      <c r="AW89" s="84" t="n"/>
      <c r="AX89" s="84" t="n"/>
      <c r="AY89" s="84" t="n"/>
      <c r="AZ89" s="84" t="n"/>
      <c r="BA89" s="84" t="n"/>
      <c r="BB89" s="53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55" t="n"/>
      <c r="BP89" s="346" t="n"/>
      <c r="BQ89" s="275" t="n"/>
      <c r="BR89" s="275" t="n"/>
      <c r="BS89" s="275" t="n"/>
      <c r="BT89" s="107" t="n"/>
      <c r="BU89" s="275" t="n"/>
      <c r="BV89" s="275" t="n"/>
      <c r="BW89" s="275" t="n"/>
      <c r="BX89" s="103" t="n"/>
      <c r="BY89" s="275" t="n"/>
      <c r="BZ89" s="275" t="n"/>
      <c r="CA89" s="275" t="n"/>
      <c r="CB89" s="103" t="n"/>
      <c r="CC89" s="275" t="n"/>
      <c r="CD89" s="275" t="n"/>
      <c r="CE89" s="275" t="n"/>
      <c r="CF89" s="103" t="n"/>
      <c r="CG89" s="275" t="n"/>
      <c r="CH89" s="275" t="n"/>
      <c r="CI89" s="275" t="n"/>
      <c r="CJ89" s="103" t="n"/>
      <c r="CK89" s="275" t="n"/>
      <c r="CL89" s="275" t="n"/>
      <c r="CM89" s="275" t="n"/>
      <c r="CN89" s="103" t="n"/>
      <c r="CO89" s="275" t="n"/>
      <c r="CP89" s="275" t="n"/>
      <c r="CQ89" s="275" t="n"/>
      <c r="CR89" s="103" t="n"/>
      <c r="CS89" s="275" t="n"/>
      <c r="CT89" s="275" t="n"/>
      <c r="CU89" s="275" t="n"/>
      <c r="CV89" s="103" t="n"/>
      <c r="CW89" s="275" t="n"/>
      <c r="CX89" s="275" t="n"/>
      <c r="CY89" s="275" t="n"/>
      <c r="CZ89" s="103" t="n"/>
      <c r="DA89" s="275" t="n"/>
      <c r="DB89" s="275" t="n"/>
      <c r="DC89" s="275" t="n"/>
      <c r="DD89" s="103" t="n"/>
      <c r="DE89" s="275" t="n"/>
      <c r="DF89" s="275" t="n"/>
      <c r="DG89" s="275" t="n"/>
      <c r="DH89" s="103" t="n"/>
      <c r="DI89" s="275" t="n"/>
      <c r="DJ89" s="275" t="n"/>
      <c r="DK89" s="275" t="n"/>
      <c r="DL89" s="103" t="n"/>
      <c r="DM89" s="346" t="n"/>
      <c r="DN89" s="275" t="n"/>
      <c r="DO89" s="275" t="n"/>
      <c r="DP89" s="275" t="n"/>
      <c r="DQ89" s="275" t="n"/>
      <c r="DR89" s="275" t="n"/>
      <c r="DS89" s="275" t="n"/>
      <c r="DT89" s="275" t="n"/>
      <c r="DU89" s="275" t="n"/>
      <c r="DV89" s="275" t="n"/>
      <c r="DW89" s="275" t="n"/>
      <c r="DX89" s="275" t="n"/>
      <c r="DY89" s="275" t="n"/>
      <c r="DZ89" s="275" t="n"/>
      <c r="EA89" s="275" t="n"/>
      <c r="EB89" s="275" t="n"/>
      <c r="EC89" s="275" t="n"/>
      <c r="ED89" s="275" t="n"/>
      <c r="EE89" s="275" t="n"/>
      <c r="EF89" s="275" t="n"/>
      <c r="EG89" s="275" t="n"/>
      <c r="EH89" s="275" t="n"/>
      <c r="EI89" s="275" t="n"/>
      <c r="EJ89" s="275" t="n"/>
      <c r="EK89" s="275" t="n"/>
      <c r="EL89" s="275" t="n"/>
      <c r="EM89" s="275" t="n"/>
      <c r="EN89" s="275" t="n"/>
      <c r="EO89" s="275" t="n"/>
      <c r="EP89" s="275" t="n"/>
      <c r="EQ89" s="275" t="n"/>
      <c r="ER89" s="275" t="n"/>
      <c r="ES89" s="275" t="n"/>
      <c r="ET89" s="275" t="n"/>
      <c r="EU89" s="275" t="n"/>
      <c r="EV89" s="275" t="n"/>
      <c r="EW89" s="275" t="n"/>
    </row>
    <row r="90" ht="1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53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53" t="n"/>
      <c r="AO90" s="53" t="n"/>
      <c r="AP90" s="84" t="n"/>
      <c r="AQ90" s="84" t="n"/>
      <c r="AR90" s="84" t="n"/>
      <c r="AS90" s="84" t="n"/>
      <c r="AT90" s="84" t="n"/>
      <c r="AU90" s="84" t="n"/>
      <c r="AV90" s="84" t="n"/>
      <c r="AW90" s="84" t="n"/>
      <c r="AX90" s="84" t="n"/>
      <c r="AY90" s="84" t="n"/>
      <c r="AZ90" s="84" t="n"/>
      <c r="BA90" s="84" t="n"/>
      <c r="BB90" s="53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55" t="n"/>
      <c r="BP90" s="346" t="n"/>
      <c r="BQ90" s="275" t="n"/>
      <c r="BR90" s="275" t="n"/>
      <c r="BS90" s="275" t="n"/>
      <c r="BT90" s="107" t="n"/>
      <c r="BU90" s="275" t="n"/>
      <c r="BV90" s="275" t="n"/>
      <c r="BW90" s="275" t="n"/>
      <c r="BX90" s="103" t="n"/>
      <c r="BY90" s="275" t="n"/>
      <c r="BZ90" s="275" t="n"/>
      <c r="CA90" s="275" t="n"/>
      <c r="CB90" s="103" t="n"/>
      <c r="CC90" s="275" t="n"/>
      <c r="CD90" s="275" t="n"/>
      <c r="CE90" s="275" t="n"/>
      <c r="CF90" s="103" t="n"/>
      <c r="CG90" s="275" t="n"/>
      <c r="CH90" s="275" t="n"/>
      <c r="CI90" s="275" t="n"/>
      <c r="CJ90" s="103" t="n"/>
      <c r="CK90" s="275" t="n"/>
      <c r="CL90" s="275" t="n"/>
      <c r="CM90" s="275" t="n"/>
      <c r="CN90" s="103" t="n"/>
      <c r="CO90" s="275" t="n"/>
      <c r="CP90" s="275" t="n"/>
      <c r="CQ90" s="275" t="n"/>
      <c r="CR90" s="103" t="n"/>
      <c r="CS90" s="275" t="n"/>
      <c r="CT90" s="275" t="n"/>
      <c r="CU90" s="275" t="n"/>
      <c r="CV90" s="103" t="n"/>
      <c r="CW90" s="275" t="n"/>
      <c r="CX90" s="275" t="n"/>
      <c r="CY90" s="275" t="n"/>
      <c r="CZ90" s="103" t="n"/>
      <c r="DA90" s="275" t="n"/>
      <c r="DB90" s="275" t="n"/>
      <c r="DC90" s="275" t="n"/>
      <c r="DD90" s="103" t="n"/>
      <c r="DE90" s="275" t="n"/>
      <c r="DF90" s="275" t="n"/>
      <c r="DG90" s="275" t="n"/>
      <c r="DH90" s="103" t="n"/>
      <c r="DI90" s="275" t="n"/>
      <c r="DJ90" s="275" t="n"/>
      <c r="DK90" s="275" t="n"/>
      <c r="DL90" s="103" t="n"/>
      <c r="DM90" s="346" t="n"/>
      <c r="DN90" s="275" t="n"/>
      <c r="DO90" s="275" t="n"/>
      <c r="DP90" s="275" t="n"/>
      <c r="DQ90" s="275" t="n"/>
      <c r="DR90" s="275" t="n"/>
      <c r="DS90" s="275" t="n"/>
      <c r="DT90" s="275" t="n"/>
      <c r="DU90" s="275" t="n"/>
      <c r="DV90" s="275" t="n"/>
      <c r="DW90" s="275" t="n"/>
      <c r="DX90" s="275" t="n"/>
      <c r="DY90" s="275" t="n"/>
      <c r="DZ90" s="275" t="n"/>
      <c r="EA90" s="275" t="n"/>
      <c r="EB90" s="275" t="n"/>
      <c r="EC90" s="275" t="n"/>
      <c r="ED90" s="275" t="n"/>
      <c r="EE90" s="275" t="n"/>
      <c r="EF90" s="275" t="n"/>
      <c r="EG90" s="275" t="n"/>
      <c r="EH90" s="275" t="n"/>
      <c r="EI90" s="275" t="n"/>
      <c r="EJ90" s="275" t="n"/>
      <c r="EK90" s="275" t="n"/>
      <c r="EL90" s="275" t="n"/>
      <c r="EM90" s="275" t="n"/>
      <c r="EN90" s="275" t="n"/>
      <c r="EO90" s="275" t="n"/>
      <c r="EP90" s="275" t="n"/>
      <c r="EQ90" s="275" t="n"/>
      <c r="ER90" s="275" t="n"/>
      <c r="ES90" s="275" t="n"/>
      <c r="ET90" s="275" t="n"/>
      <c r="EU90" s="275" t="n"/>
      <c r="EV90" s="275" t="n"/>
      <c r="EW90" s="275" t="n"/>
    </row>
    <row r="91" ht="1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53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53" t="n"/>
      <c r="AO91" s="53" t="n"/>
      <c r="AP91" s="84" t="n"/>
      <c r="AQ91" s="84" t="n"/>
      <c r="AR91" s="84" t="n"/>
      <c r="AS91" s="84" t="n"/>
      <c r="AT91" s="84" t="n"/>
      <c r="AU91" s="84" t="n"/>
      <c r="AV91" s="84" t="n"/>
      <c r="AW91" s="84" t="n"/>
      <c r="AX91" s="84" t="n"/>
      <c r="AY91" s="84" t="n"/>
      <c r="AZ91" s="84" t="n"/>
      <c r="BA91" s="84" t="n"/>
      <c r="BB91" s="53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55" t="n"/>
      <c r="BP91" s="346" t="n"/>
      <c r="BQ91" s="275" t="n"/>
      <c r="BR91" s="275" t="n"/>
      <c r="BS91" s="275" t="n"/>
      <c r="BT91" s="107" t="n"/>
      <c r="BU91" s="275" t="n"/>
      <c r="BV91" s="275" t="n"/>
      <c r="BW91" s="275" t="n"/>
      <c r="BX91" s="103" t="n"/>
      <c r="BY91" s="275" t="n"/>
      <c r="BZ91" s="275" t="n"/>
      <c r="CA91" s="275" t="n"/>
      <c r="CB91" s="103" t="n"/>
      <c r="CC91" s="275" t="n"/>
      <c r="CD91" s="275" t="n"/>
      <c r="CE91" s="275" t="n"/>
      <c r="CF91" s="103" t="n"/>
      <c r="CG91" s="275" t="n"/>
      <c r="CH91" s="275" t="n"/>
      <c r="CI91" s="275" t="n"/>
      <c r="CJ91" s="103" t="n"/>
      <c r="CK91" s="275" t="n"/>
      <c r="CL91" s="275" t="n"/>
      <c r="CM91" s="275" t="n"/>
      <c r="CN91" s="103" t="n"/>
      <c r="CO91" s="275" t="n"/>
      <c r="CP91" s="275" t="n"/>
      <c r="CQ91" s="275" t="n"/>
      <c r="CR91" s="103" t="n"/>
      <c r="CS91" s="275" t="n"/>
      <c r="CT91" s="275" t="n"/>
      <c r="CU91" s="275" t="n"/>
      <c r="CV91" s="103" t="n"/>
      <c r="CW91" s="275" t="n"/>
      <c r="CX91" s="275" t="n"/>
      <c r="CY91" s="275" t="n"/>
      <c r="CZ91" s="103" t="n"/>
      <c r="DA91" s="275" t="n"/>
      <c r="DB91" s="275" t="n"/>
      <c r="DC91" s="275" t="n"/>
      <c r="DD91" s="103" t="n"/>
      <c r="DE91" s="275" t="n"/>
      <c r="DF91" s="275" t="n"/>
      <c r="DG91" s="275" t="n"/>
      <c r="DH91" s="103" t="n"/>
      <c r="DI91" s="275" t="n"/>
      <c r="DJ91" s="275" t="n"/>
      <c r="DK91" s="275" t="n"/>
      <c r="DL91" s="103" t="n"/>
      <c r="DM91" s="346" t="n"/>
      <c r="DN91" s="275" t="n"/>
      <c r="DO91" s="275" t="n"/>
      <c r="DP91" s="275" t="n"/>
      <c r="DQ91" s="275" t="n"/>
      <c r="DR91" s="275" t="n"/>
      <c r="DS91" s="275" t="n"/>
      <c r="DT91" s="275" t="n"/>
      <c r="DU91" s="275" t="n"/>
      <c r="DV91" s="275" t="n"/>
      <c r="DW91" s="275" t="n"/>
      <c r="DX91" s="275" t="n"/>
      <c r="DY91" s="275" t="n"/>
      <c r="DZ91" s="275" t="n"/>
      <c r="EA91" s="275" t="n"/>
      <c r="EB91" s="275" t="n"/>
      <c r="EC91" s="275" t="n"/>
      <c r="ED91" s="275" t="n"/>
      <c r="EE91" s="275" t="n"/>
      <c r="EF91" s="275" t="n"/>
      <c r="EG91" s="275" t="n"/>
      <c r="EH91" s="275" t="n"/>
      <c r="EI91" s="275" t="n"/>
      <c r="EJ91" s="275" t="n"/>
      <c r="EK91" s="275" t="n"/>
      <c r="EL91" s="275" t="n"/>
      <c r="EM91" s="275" t="n"/>
      <c r="EN91" s="275" t="n"/>
      <c r="EO91" s="275" t="n"/>
      <c r="EP91" s="275" t="n"/>
      <c r="EQ91" s="275" t="n"/>
      <c r="ER91" s="275" t="n"/>
      <c r="ES91" s="275" t="n"/>
      <c r="ET91" s="275" t="n"/>
      <c r="EU91" s="275" t="n"/>
      <c r="EV91" s="275" t="n"/>
      <c r="EW91" s="275" t="n"/>
    </row>
    <row r="92" ht="1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53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53" t="n"/>
      <c r="AO92" s="53" t="n"/>
      <c r="AP92" s="84" t="n"/>
      <c r="AQ92" s="84" t="n"/>
      <c r="AR92" s="84" t="n"/>
      <c r="AS92" s="84" t="n"/>
      <c r="AT92" s="84" t="n"/>
      <c r="AU92" s="84" t="n"/>
      <c r="AV92" s="84" t="n"/>
      <c r="AW92" s="84" t="n"/>
      <c r="AX92" s="84" t="n"/>
      <c r="AY92" s="84" t="n"/>
      <c r="AZ92" s="84" t="n"/>
      <c r="BA92" s="84" t="n"/>
      <c r="BB92" s="53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55" t="n"/>
      <c r="BP92" s="346" t="n"/>
      <c r="BQ92" s="275" t="n"/>
      <c r="BR92" s="275" t="n"/>
      <c r="BS92" s="275" t="n"/>
      <c r="BT92" s="107" t="n"/>
      <c r="BU92" s="275" t="n"/>
      <c r="BV92" s="275" t="n"/>
      <c r="BW92" s="275" t="n"/>
      <c r="BX92" s="103" t="n"/>
      <c r="BY92" s="275" t="n"/>
      <c r="BZ92" s="275" t="n"/>
      <c r="CA92" s="275" t="n"/>
      <c r="CB92" s="103" t="n"/>
      <c r="CC92" s="275" t="n"/>
      <c r="CD92" s="275" t="n"/>
      <c r="CE92" s="275" t="n"/>
      <c r="CF92" s="103" t="n"/>
      <c r="CG92" s="275" t="n"/>
      <c r="CH92" s="275" t="n"/>
      <c r="CI92" s="275" t="n"/>
      <c r="CJ92" s="103" t="n"/>
      <c r="CK92" s="275" t="n"/>
      <c r="CL92" s="275" t="n"/>
      <c r="CM92" s="275" t="n"/>
      <c r="CN92" s="103" t="n"/>
      <c r="CO92" s="275" t="n"/>
      <c r="CP92" s="275" t="n"/>
      <c r="CQ92" s="275" t="n"/>
      <c r="CR92" s="103" t="n"/>
      <c r="CS92" s="275" t="n"/>
      <c r="CT92" s="275" t="n"/>
      <c r="CU92" s="275" t="n"/>
      <c r="CV92" s="103" t="n"/>
      <c r="CW92" s="275" t="n"/>
      <c r="CX92" s="275" t="n"/>
      <c r="CY92" s="275" t="n"/>
      <c r="CZ92" s="103" t="n"/>
      <c r="DA92" s="275" t="n"/>
      <c r="DB92" s="275" t="n"/>
      <c r="DC92" s="275" t="n"/>
      <c r="DD92" s="103" t="n"/>
      <c r="DE92" s="275" t="n"/>
      <c r="DF92" s="275" t="n"/>
      <c r="DG92" s="275" t="n"/>
      <c r="DH92" s="103" t="n"/>
      <c r="DI92" s="275" t="n"/>
      <c r="DJ92" s="275" t="n"/>
      <c r="DK92" s="275" t="n"/>
      <c r="DL92" s="103" t="n"/>
      <c r="DM92" s="346" t="n"/>
      <c r="DN92" s="275" t="n"/>
      <c r="DO92" s="275" t="n"/>
      <c r="DP92" s="275" t="n"/>
      <c r="DQ92" s="275" t="n"/>
      <c r="DR92" s="275" t="n"/>
      <c r="DS92" s="275" t="n"/>
      <c r="DT92" s="275" t="n"/>
      <c r="DU92" s="275" t="n"/>
      <c r="DV92" s="275" t="n"/>
      <c r="DW92" s="275" t="n"/>
      <c r="DX92" s="275" t="n"/>
      <c r="DY92" s="275" t="n"/>
      <c r="DZ92" s="275" t="n"/>
      <c r="EA92" s="275" t="n"/>
      <c r="EB92" s="275" t="n"/>
      <c r="EC92" s="275" t="n"/>
      <c r="ED92" s="275" t="n"/>
      <c r="EE92" s="275" t="n"/>
      <c r="EF92" s="275" t="n"/>
      <c r="EG92" s="275" t="n"/>
      <c r="EH92" s="275" t="n"/>
      <c r="EI92" s="275" t="n"/>
      <c r="EJ92" s="275" t="n"/>
      <c r="EK92" s="275" t="n"/>
      <c r="EL92" s="275" t="n"/>
      <c r="EM92" s="275" t="n"/>
      <c r="EN92" s="275" t="n"/>
      <c r="EO92" s="275" t="n"/>
      <c r="EP92" s="275" t="n"/>
      <c r="EQ92" s="275" t="n"/>
      <c r="ER92" s="275" t="n"/>
      <c r="ES92" s="275" t="n"/>
      <c r="ET92" s="275" t="n"/>
      <c r="EU92" s="275" t="n"/>
      <c r="EV92" s="275" t="n"/>
      <c r="EW92" s="275" t="n"/>
    </row>
    <row r="93" ht="1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53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53" t="n"/>
      <c r="AO93" s="53" t="n"/>
      <c r="AP93" s="84" t="n"/>
      <c r="AQ93" s="84" t="n"/>
      <c r="AR93" s="84" t="n"/>
      <c r="AS93" s="84" t="n"/>
      <c r="AT93" s="84" t="n"/>
      <c r="AU93" s="84" t="n"/>
      <c r="AV93" s="84" t="n"/>
      <c r="AW93" s="84" t="n"/>
      <c r="AX93" s="84" t="n"/>
      <c r="AY93" s="84" t="n"/>
      <c r="AZ93" s="84" t="n"/>
      <c r="BA93" s="84" t="n"/>
      <c r="BB93" s="53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55" t="n"/>
      <c r="BP93" s="346" t="n"/>
      <c r="BQ93" s="275" t="n"/>
      <c r="BR93" s="275" t="n"/>
      <c r="BS93" s="275" t="n"/>
      <c r="BT93" s="107" t="n"/>
      <c r="BU93" s="275" t="n"/>
      <c r="BV93" s="275" t="n"/>
      <c r="BW93" s="275" t="n"/>
      <c r="BX93" s="103" t="n"/>
      <c r="BY93" s="275" t="n"/>
      <c r="BZ93" s="275" t="n"/>
      <c r="CA93" s="275" t="n"/>
      <c r="CB93" s="103" t="n"/>
      <c r="CC93" s="275" t="n"/>
      <c r="CD93" s="275" t="n"/>
      <c r="CE93" s="275" t="n"/>
      <c r="CF93" s="103" t="n"/>
      <c r="CG93" s="275" t="n"/>
      <c r="CH93" s="275" t="n"/>
      <c r="CI93" s="275" t="n"/>
      <c r="CJ93" s="103" t="n"/>
      <c r="CK93" s="275" t="n"/>
      <c r="CL93" s="275" t="n"/>
      <c r="CM93" s="275" t="n"/>
      <c r="CN93" s="103" t="n"/>
      <c r="CO93" s="275" t="n"/>
      <c r="CP93" s="275" t="n"/>
      <c r="CQ93" s="275" t="n"/>
      <c r="CR93" s="103" t="n"/>
      <c r="CS93" s="275" t="n"/>
      <c r="CT93" s="275" t="n"/>
      <c r="CU93" s="275" t="n"/>
      <c r="CV93" s="103" t="n"/>
      <c r="CW93" s="275" t="n"/>
      <c r="CX93" s="275" t="n"/>
      <c r="CY93" s="275" t="n"/>
      <c r="CZ93" s="103" t="n"/>
      <c r="DA93" s="275" t="n"/>
      <c r="DB93" s="275" t="n"/>
      <c r="DC93" s="275" t="n"/>
      <c r="DD93" s="103" t="n"/>
      <c r="DE93" s="275" t="n"/>
      <c r="DF93" s="275" t="n"/>
      <c r="DG93" s="275" t="n"/>
      <c r="DH93" s="103" t="n"/>
      <c r="DI93" s="275" t="n"/>
      <c r="DJ93" s="275" t="n"/>
      <c r="DK93" s="275" t="n"/>
      <c r="DL93" s="103" t="n"/>
      <c r="DM93" s="346" t="n"/>
      <c r="DN93" s="275" t="n"/>
      <c r="DO93" s="275" t="n"/>
      <c r="DP93" s="275" t="n"/>
      <c r="DQ93" s="275" t="n"/>
      <c r="DR93" s="275" t="n"/>
      <c r="DS93" s="275" t="n"/>
      <c r="DT93" s="275" t="n"/>
      <c r="DU93" s="275" t="n"/>
      <c r="DV93" s="275" t="n"/>
      <c r="DW93" s="275" t="n"/>
      <c r="DX93" s="275" t="n"/>
      <c r="DY93" s="275" t="n"/>
      <c r="DZ93" s="275" t="n"/>
      <c r="EA93" s="275" t="n"/>
      <c r="EB93" s="275" t="n"/>
      <c r="EC93" s="275" t="n"/>
      <c r="ED93" s="275" t="n"/>
      <c r="EE93" s="275" t="n"/>
      <c r="EF93" s="275" t="n"/>
      <c r="EG93" s="275" t="n"/>
      <c r="EH93" s="275" t="n"/>
      <c r="EI93" s="275" t="n"/>
      <c r="EJ93" s="275" t="n"/>
      <c r="EK93" s="275" t="n"/>
      <c r="EL93" s="275" t="n"/>
      <c r="EM93" s="275" t="n"/>
      <c r="EN93" s="275" t="n"/>
      <c r="EO93" s="275" t="n"/>
      <c r="EP93" s="275" t="n"/>
      <c r="EQ93" s="275" t="n"/>
      <c r="ER93" s="275" t="n"/>
      <c r="ES93" s="275" t="n"/>
      <c r="ET93" s="275" t="n"/>
      <c r="EU93" s="275" t="n"/>
      <c r="EV93" s="275" t="n"/>
      <c r="EW93" s="275" t="n"/>
    </row>
    <row r="94" ht="1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53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53" t="n"/>
      <c r="AO94" s="53" t="n"/>
      <c r="AP94" s="84" t="n"/>
      <c r="AQ94" s="84" t="n"/>
      <c r="AR94" s="84" t="n"/>
      <c r="AS94" s="84" t="n"/>
      <c r="AT94" s="84" t="n"/>
      <c r="AU94" s="84" t="n"/>
      <c r="AV94" s="84" t="n"/>
      <c r="AW94" s="84" t="n"/>
      <c r="AX94" s="84" t="n"/>
      <c r="AY94" s="84" t="n"/>
      <c r="AZ94" s="84" t="n"/>
      <c r="BA94" s="84" t="n"/>
      <c r="BB94" s="53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55" t="n"/>
      <c r="BP94" s="346" t="n"/>
      <c r="BQ94" s="275" t="n"/>
      <c r="BR94" s="275" t="n"/>
      <c r="BS94" s="275" t="n"/>
      <c r="BT94" s="107" t="n"/>
      <c r="BU94" s="275" t="n"/>
      <c r="BV94" s="275" t="n"/>
      <c r="BW94" s="275" t="n"/>
      <c r="BX94" s="103" t="n"/>
      <c r="BY94" s="275" t="n"/>
      <c r="BZ94" s="275" t="n"/>
      <c r="CA94" s="275" t="n"/>
      <c r="CB94" s="103" t="n"/>
      <c r="CC94" s="275" t="n"/>
      <c r="CD94" s="275" t="n"/>
      <c r="CE94" s="275" t="n"/>
      <c r="CF94" s="103" t="n"/>
      <c r="CG94" s="275" t="n"/>
      <c r="CH94" s="275" t="n"/>
      <c r="CI94" s="275" t="n"/>
      <c r="CJ94" s="103" t="n"/>
      <c r="CK94" s="275" t="n"/>
      <c r="CL94" s="275" t="n"/>
      <c r="CM94" s="275" t="n"/>
      <c r="CN94" s="103" t="n"/>
      <c r="CO94" s="275" t="n"/>
      <c r="CP94" s="275" t="n"/>
      <c r="CQ94" s="275" t="n"/>
      <c r="CR94" s="103" t="n"/>
      <c r="CS94" s="275" t="n"/>
      <c r="CT94" s="275" t="n"/>
      <c r="CU94" s="275" t="n"/>
      <c r="CV94" s="103" t="n"/>
      <c r="CW94" s="275" t="n"/>
      <c r="CX94" s="275" t="n"/>
      <c r="CY94" s="275" t="n"/>
      <c r="CZ94" s="103" t="n"/>
      <c r="DA94" s="275" t="n"/>
      <c r="DB94" s="275" t="n"/>
      <c r="DC94" s="275" t="n"/>
      <c r="DD94" s="103" t="n"/>
      <c r="DE94" s="275" t="n"/>
      <c r="DF94" s="275" t="n"/>
      <c r="DG94" s="275" t="n"/>
      <c r="DH94" s="103" t="n"/>
      <c r="DI94" s="275" t="n"/>
      <c r="DJ94" s="275" t="n"/>
      <c r="DK94" s="275" t="n"/>
      <c r="DL94" s="103" t="n"/>
      <c r="DM94" s="346" t="n"/>
      <c r="DN94" s="275" t="n"/>
      <c r="DO94" s="275" t="n"/>
      <c r="DP94" s="275" t="n"/>
      <c r="DQ94" s="275" t="n"/>
      <c r="DR94" s="275" t="n"/>
      <c r="DS94" s="275" t="n"/>
      <c r="DT94" s="275" t="n"/>
      <c r="DU94" s="275" t="n"/>
      <c r="DV94" s="275" t="n"/>
      <c r="DW94" s="275" t="n"/>
      <c r="DX94" s="275" t="n"/>
      <c r="DY94" s="275" t="n"/>
      <c r="DZ94" s="275" t="n"/>
      <c r="EA94" s="275" t="n"/>
      <c r="EB94" s="275" t="n"/>
      <c r="EC94" s="275" t="n"/>
      <c r="ED94" s="275" t="n"/>
      <c r="EE94" s="275" t="n"/>
      <c r="EF94" s="275" t="n"/>
      <c r="EG94" s="275" t="n"/>
      <c r="EH94" s="275" t="n"/>
      <c r="EI94" s="275" t="n"/>
      <c r="EJ94" s="275" t="n"/>
      <c r="EK94" s="275" t="n"/>
      <c r="EL94" s="275" t="n"/>
      <c r="EM94" s="275" t="n"/>
      <c r="EN94" s="275" t="n"/>
      <c r="EO94" s="275" t="n"/>
      <c r="EP94" s="275" t="n"/>
      <c r="EQ94" s="275" t="n"/>
      <c r="ER94" s="275" t="n"/>
      <c r="ES94" s="275" t="n"/>
      <c r="ET94" s="275" t="n"/>
      <c r="EU94" s="275" t="n"/>
      <c r="EV94" s="275" t="n"/>
      <c r="EW94" s="275" t="n"/>
    </row>
    <row r="95" ht="1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53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53" t="n"/>
      <c r="AO95" s="53" t="n"/>
      <c r="AP95" s="84" t="n"/>
      <c r="AQ95" s="84" t="n"/>
      <c r="AR95" s="84" t="n"/>
      <c r="AS95" s="84" t="n"/>
      <c r="AT95" s="84" t="n"/>
      <c r="AU95" s="84" t="n"/>
      <c r="AV95" s="84" t="n"/>
      <c r="AW95" s="84" t="n"/>
      <c r="AX95" s="84" t="n"/>
      <c r="AY95" s="84" t="n"/>
      <c r="AZ95" s="84" t="n"/>
      <c r="BA95" s="84" t="n"/>
      <c r="BB95" s="53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55" t="n"/>
      <c r="BP95" s="346" t="n"/>
      <c r="BQ95" s="275" t="n"/>
      <c r="BR95" s="275" t="n"/>
      <c r="BS95" s="275" t="n"/>
      <c r="BT95" s="107" t="n"/>
      <c r="BU95" s="275" t="n"/>
      <c r="BV95" s="275" t="n"/>
      <c r="BW95" s="275" t="n"/>
      <c r="BX95" s="103" t="n"/>
      <c r="BY95" s="275" t="n"/>
      <c r="BZ95" s="275" t="n"/>
      <c r="CA95" s="275" t="n"/>
      <c r="CB95" s="103" t="n"/>
      <c r="CC95" s="275" t="n"/>
      <c r="CD95" s="275" t="n"/>
      <c r="CE95" s="275" t="n"/>
      <c r="CF95" s="103" t="n"/>
      <c r="CG95" s="275" t="n"/>
      <c r="CH95" s="275" t="n"/>
      <c r="CI95" s="275" t="n"/>
      <c r="CJ95" s="103" t="n"/>
      <c r="CK95" s="275" t="n"/>
      <c r="CL95" s="275" t="n"/>
      <c r="CM95" s="275" t="n"/>
      <c r="CN95" s="103" t="n"/>
      <c r="CO95" s="275" t="n"/>
      <c r="CP95" s="275" t="n"/>
      <c r="CQ95" s="275" t="n"/>
      <c r="CR95" s="103" t="n"/>
      <c r="CS95" s="275" t="n"/>
      <c r="CT95" s="275" t="n"/>
      <c r="CU95" s="275" t="n"/>
      <c r="CV95" s="103" t="n"/>
      <c r="CW95" s="275" t="n"/>
      <c r="CX95" s="275" t="n"/>
      <c r="CY95" s="275" t="n"/>
      <c r="CZ95" s="103" t="n"/>
      <c r="DA95" s="275" t="n"/>
      <c r="DB95" s="275" t="n"/>
      <c r="DC95" s="275" t="n"/>
      <c r="DD95" s="103" t="n"/>
      <c r="DE95" s="275" t="n"/>
      <c r="DF95" s="275" t="n"/>
      <c r="DG95" s="275" t="n"/>
      <c r="DH95" s="103" t="n"/>
      <c r="DI95" s="275" t="n"/>
      <c r="DJ95" s="275" t="n"/>
      <c r="DK95" s="275" t="n"/>
      <c r="DL95" s="103" t="n"/>
      <c r="DM95" s="346" t="n"/>
      <c r="DN95" s="275" t="n"/>
      <c r="DO95" s="275" t="n"/>
      <c r="DP95" s="275" t="n"/>
      <c r="DQ95" s="275" t="n"/>
      <c r="DR95" s="275" t="n"/>
      <c r="DS95" s="275" t="n"/>
      <c r="DT95" s="275" t="n"/>
      <c r="DU95" s="275" t="n"/>
      <c r="DV95" s="275" t="n"/>
      <c r="DW95" s="275" t="n"/>
      <c r="DX95" s="275" t="n"/>
      <c r="DY95" s="275" t="n"/>
      <c r="DZ95" s="275" t="n"/>
      <c r="EA95" s="275" t="n"/>
      <c r="EB95" s="275" t="n"/>
      <c r="EC95" s="275" t="n"/>
      <c r="ED95" s="275" t="n"/>
      <c r="EE95" s="275" t="n"/>
      <c r="EF95" s="275" t="n"/>
      <c r="EG95" s="275" t="n"/>
      <c r="EH95" s="275" t="n"/>
      <c r="EI95" s="275" t="n"/>
      <c r="EJ95" s="275" t="n"/>
      <c r="EK95" s="275" t="n"/>
      <c r="EL95" s="275" t="n"/>
      <c r="EM95" s="275" t="n"/>
      <c r="EN95" s="275" t="n"/>
      <c r="EO95" s="275" t="n"/>
      <c r="EP95" s="275" t="n"/>
      <c r="EQ95" s="275" t="n"/>
      <c r="ER95" s="275" t="n"/>
      <c r="ES95" s="275" t="n"/>
      <c r="ET95" s="275" t="n"/>
      <c r="EU95" s="275" t="n"/>
      <c r="EV95" s="275" t="n"/>
      <c r="EW95" s="275" t="n"/>
    </row>
    <row r="96" ht="1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53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53" t="n"/>
      <c r="AO96" s="53" t="n"/>
      <c r="AP96" s="84" t="n"/>
      <c r="AQ96" s="84" t="n"/>
      <c r="AR96" s="84" t="n"/>
      <c r="AS96" s="84" t="n"/>
      <c r="AT96" s="84" t="n"/>
      <c r="AU96" s="84" t="n"/>
      <c r="AV96" s="84" t="n"/>
      <c r="AW96" s="84" t="n"/>
      <c r="AX96" s="84" t="n"/>
      <c r="AY96" s="84" t="n"/>
      <c r="AZ96" s="84" t="n"/>
      <c r="BA96" s="84" t="n"/>
      <c r="BB96" s="53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55" t="n"/>
      <c r="BP96" s="346" t="n"/>
      <c r="BQ96" s="275" t="n"/>
      <c r="BR96" s="275" t="n"/>
      <c r="BS96" s="275" t="n"/>
      <c r="BT96" s="107" t="n"/>
      <c r="BU96" s="275" t="n"/>
      <c r="BV96" s="275" t="n"/>
      <c r="BW96" s="275" t="n"/>
      <c r="BX96" s="103" t="n"/>
      <c r="BY96" s="275" t="n"/>
      <c r="BZ96" s="275" t="n"/>
      <c r="CA96" s="275" t="n"/>
      <c r="CB96" s="103" t="n"/>
      <c r="CC96" s="275" t="n"/>
      <c r="CD96" s="275" t="n"/>
      <c r="CE96" s="275" t="n"/>
      <c r="CF96" s="103" t="n"/>
      <c r="CG96" s="275" t="n"/>
      <c r="CH96" s="275" t="n"/>
      <c r="CI96" s="275" t="n"/>
      <c r="CJ96" s="103" t="n"/>
      <c r="CK96" s="275" t="n"/>
      <c r="CL96" s="275" t="n"/>
      <c r="CM96" s="275" t="n"/>
      <c r="CN96" s="103" t="n"/>
      <c r="CO96" s="275" t="n"/>
      <c r="CP96" s="275" t="n"/>
      <c r="CQ96" s="275" t="n"/>
      <c r="CR96" s="103" t="n"/>
      <c r="CS96" s="275" t="n"/>
      <c r="CT96" s="275" t="n"/>
      <c r="CU96" s="275" t="n"/>
      <c r="CV96" s="103" t="n"/>
      <c r="CW96" s="275" t="n"/>
      <c r="CX96" s="275" t="n"/>
      <c r="CY96" s="275" t="n"/>
      <c r="CZ96" s="103" t="n"/>
      <c r="DA96" s="275" t="n"/>
      <c r="DB96" s="275" t="n"/>
      <c r="DC96" s="275" t="n"/>
      <c r="DD96" s="103" t="n"/>
      <c r="DE96" s="275" t="n"/>
      <c r="DF96" s="275" t="n"/>
      <c r="DG96" s="275" t="n"/>
      <c r="DH96" s="103" t="n"/>
      <c r="DI96" s="275" t="n"/>
      <c r="DJ96" s="275" t="n"/>
      <c r="DK96" s="275" t="n"/>
      <c r="DL96" s="103" t="n"/>
      <c r="DM96" s="346" t="n"/>
      <c r="DN96" s="275" t="n"/>
      <c r="DO96" s="275" t="n"/>
      <c r="DP96" s="275" t="n"/>
      <c r="DQ96" s="275" t="n"/>
      <c r="DR96" s="275" t="n"/>
      <c r="DS96" s="275" t="n"/>
      <c r="DT96" s="275" t="n"/>
      <c r="DU96" s="275" t="n"/>
      <c r="DV96" s="275" t="n"/>
      <c r="DW96" s="275" t="n"/>
      <c r="DX96" s="275" t="n"/>
      <c r="DY96" s="275" t="n"/>
      <c r="DZ96" s="275" t="n"/>
      <c r="EA96" s="275" t="n"/>
      <c r="EB96" s="275" t="n"/>
      <c r="EC96" s="275" t="n"/>
      <c r="ED96" s="275" t="n"/>
      <c r="EE96" s="275" t="n"/>
      <c r="EF96" s="275" t="n"/>
      <c r="EG96" s="275" t="n"/>
      <c r="EH96" s="275" t="n"/>
      <c r="EI96" s="275" t="n"/>
      <c r="EJ96" s="275" t="n"/>
      <c r="EK96" s="275" t="n"/>
      <c r="EL96" s="275" t="n"/>
      <c r="EM96" s="275" t="n"/>
      <c r="EN96" s="275" t="n"/>
      <c r="EO96" s="275" t="n"/>
      <c r="EP96" s="275" t="n"/>
      <c r="EQ96" s="275" t="n"/>
      <c r="ER96" s="275" t="n"/>
      <c r="ES96" s="275" t="n"/>
      <c r="ET96" s="275" t="n"/>
      <c r="EU96" s="275" t="n"/>
      <c r="EV96" s="275" t="n"/>
      <c r="EW96" s="275" t="n"/>
    </row>
    <row r="97" ht="1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53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53" t="n"/>
      <c r="AO97" s="53" t="n"/>
      <c r="AP97" s="84" t="n"/>
      <c r="AQ97" s="84" t="n"/>
      <c r="AR97" s="84" t="n"/>
      <c r="AS97" s="84" t="n"/>
      <c r="AT97" s="84" t="n"/>
      <c r="AU97" s="84" t="n"/>
      <c r="AV97" s="84" t="n"/>
      <c r="AW97" s="84" t="n"/>
      <c r="AX97" s="84" t="n"/>
      <c r="AY97" s="84" t="n"/>
      <c r="AZ97" s="84" t="n"/>
      <c r="BA97" s="84" t="n"/>
      <c r="BB97" s="53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55" t="n"/>
      <c r="BP97" s="346" t="n"/>
      <c r="BQ97" s="275" t="n"/>
      <c r="BR97" s="275" t="n"/>
      <c r="BS97" s="275" t="n"/>
      <c r="BT97" s="107" t="n"/>
      <c r="BU97" s="275" t="n"/>
      <c r="BV97" s="275" t="n"/>
      <c r="BW97" s="275" t="n"/>
      <c r="BX97" s="103" t="n"/>
      <c r="BY97" s="275" t="n"/>
      <c r="BZ97" s="275" t="n"/>
      <c r="CA97" s="275" t="n"/>
      <c r="CB97" s="103" t="n"/>
      <c r="CC97" s="275" t="n"/>
      <c r="CD97" s="275" t="n"/>
      <c r="CE97" s="275" t="n"/>
      <c r="CF97" s="103" t="n"/>
      <c r="CG97" s="275" t="n"/>
      <c r="CH97" s="275" t="n"/>
      <c r="CI97" s="275" t="n"/>
      <c r="CJ97" s="103" t="n"/>
      <c r="CK97" s="275" t="n"/>
      <c r="CL97" s="275" t="n"/>
      <c r="CM97" s="275" t="n"/>
      <c r="CN97" s="103" t="n"/>
      <c r="CO97" s="275" t="n"/>
      <c r="CP97" s="275" t="n"/>
      <c r="CQ97" s="275" t="n"/>
      <c r="CR97" s="103" t="n"/>
      <c r="CS97" s="275" t="n"/>
      <c r="CT97" s="275" t="n"/>
      <c r="CU97" s="275" t="n"/>
      <c r="CV97" s="103" t="n"/>
      <c r="CW97" s="275" t="n"/>
      <c r="CX97" s="275" t="n"/>
      <c r="CY97" s="275" t="n"/>
      <c r="CZ97" s="103" t="n"/>
      <c r="DA97" s="275" t="n"/>
      <c r="DB97" s="275" t="n"/>
      <c r="DC97" s="275" t="n"/>
      <c r="DD97" s="103" t="n"/>
      <c r="DE97" s="275" t="n"/>
      <c r="DF97" s="275" t="n"/>
      <c r="DG97" s="275" t="n"/>
      <c r="DH97" s="103" t="n"/>
      <c r="DI97" s="275" t="n"/>
      <c r="DJ97" s="275" t="n"/>
      <c r="DK97" s="275" t="n"/>
      <c r="DL97" s="103" t="n"/>
      <c r="DM97" s="346" t="n"/>
      <c r="DN97" s="275" t="n"/>
      <c r="DO97" s="275" t="n"/>
      <c r="DP97" s="275" t="n"/>
      <c r="DQ97" s="275" t="n"/>
      <c r="DR97" s="275" t="n"/>
      <c r="DS97" s="275" t="n"/>
      <c r="DT97" s="275" t="n"/>
      <c r="DU97" s="275" t="n"/>
      <c r="DV97" s="275" t="n"/>
      <c r="DW97" s="275" t="n"/>
      <c r="DX97" s="275" t="n"/>
      <c r="DY97" s="275" t="n"/>
      <c r="DZ97" s="275" t="n"/>
      <c r="EA97" s="275" t="n"/>
      <c r="EB97" s="275" t="n"/>
      <c r="EC97" s="275" t="n"/>
      <c r="ED97" s="275" t="n"/>
      <c r="EE97" s="275" t="n"/>
      <c r="EF97" s="275" t="n"/>
      <c r="EG97" s="275" t="n"/>
      <c r="EH97" s="275" t="n"/>
      <c r="EI97" s="275" t="n"/>
      <c r="EJ97" s="275" t="n"/>
      <c r="EK97" s="275" t="n"/>
      <c r="EL97" s="275" t="n"/>
      <c r="EM97" s="275" t="n"/>
      <c r="EN97" s="275" t="n"/>
      <c r="EO97" s="275" t="n"/>
      <c r="EP97" s="275" t="n"/>
      <c r="EQ97" s="275" t="n"/>
      <c r="ER97" s="275" t="n"/>
      <c r="ES97" s="275" t="n"/>
      <c r="ET97" s="275" t="n"/>
      <c r="EU97" s="275" t="n"/>
      <c r="EV97" s="275" t="n"/>
      <c r="EW97" s="275" t="n"/>
    </row>
    <row r="98" ht="1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53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53" t="n"/>
      <c r="AO98" s="53" t="n"/>
      <c r="AP98" s="84" t="n"/>
      <c r="AQ98" s="84" t="n"/>
      <c r="AR98" s="84" t="n"/>
      <c r="AS98" s="84" t="n"/>
      <c r="AT98" s="84" t="n"/>
      <c r="AU98" s="84" t="n"/>
      <c r="AV98" s="84" t="n"/>
      <c r="AW98" s="84" t="n"/>
      <c r="AX98" s="84" t="n"/>
      <c r="AY98" s="84" t="n"/>
      <c r="AZ98" s="84" t="n"/>
      <c r="BA98" s="84" t="n"/>
      <c r="BB98" s="53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55" t="n"/>
      <c r="BP98" s="346" t="n"/>
      <c r="BQ98" s="275" t="n"/>
      <c r="BR98" s="275" t="n"/>
      <c r="BS98" s="275" t="n"/>
      <c r="BT98" s="107" t="n"/>
      <c r="BU98" s="275" t="n"/>
      <c r="BV98" s="275" t="n"/>
      <c r="BW98" s="275" t="n"/>
      <c r="BX98" s="103" t="n"/>
      <c r="BY98" s="275" t="n"/>
      <c r="BZ98" s="275" t="n"/>
      <c r="CA98" s="275" t="n"/>
      <c r="CB98" s="103" t="n"/>
      <c r="CC98" s="275" t="n"/>
      <c r="CD98" s="275" t="n"/>
      <c r="CE98" s="275" t="n"/>
      <c r="CF98" s="103" t="n"/>
      <c r="CG98" s="275" t="n"/>
      <c r="CH98" s="275" t="n"/>
      <c r="CI98" s="275" t="n"/>
      <c r="CJ98" s="103" t="n"/>
      <c r="CK98" s="275" t="n"/>
      <c r="CL98" s="275" t="n"/>
      <c r="CM98" s="275" t="n"/>
      <c r="CN98" s="103" t="n"/>
      <c r="CO98" s="275" t="n"/>
      <c r="CP98" s="275" t="n"/>
      <c r="CQ98" s="275" t="n"/>
      <c r="CR98" s="103" t="n"/>
      <c r="CS98" s="275" t="n"/>
      <c r="CT98" s="275" t="n"/>
      <c r="CU98" s="275" t="n"/>
      <c r="CV98" s="103" t="n"/>
      <c r="CW98" s="275" t="n"/>
      <c r="CX98" s="275" t="n"/>
      <c r="CY98" s="275" t="n"/>
      <c r="CZ98" s="103" t="n"/>
      <c r="DA98" s="275" t="n"/>
      <c r="DB98" s="275" t="n"/>
      <c r="DC98" s="275" t="n"/>
      <c r="DD98" s="103" t="n"/>
      <c r="DE98" s="275" t="n"/>
      <c r="DF98" s="275" t="n"/>
      <c r="DG98" s="275" t="n"/>
      <c r="DH98" s="103" t="n"/>
      <c r="DI98" s="275" t="n"/>
      <c r="DJ98" s="275" t="n"/>
      <c r="DK98" s="275" t="n"/>
      <c r="DL98" s="103" t="n"/>
      <c r="DM98" s="346" t="n"/>
      <c r="DN98" s="275" t="n"/>
      <c r="DO98" s="275" t="n"/>
      <c r="DP98" s="275" t="n"/>
      <c r="DQ98" s="275" t="n"/>
      <c r="DR98" s="275" t="n"/>
      <c r="DS98" s="275" t="n"/>
      <c r="DT98" s="275" t="n"/>
      <c r="DU98" s="275" t="n"/>
      <c r="DV98" s="275" t="n"/>
      <c r="DW98" s="275" t="n"/>
      <c r="DX98" s="275" t="n"/>
      <c r="DY98" s="275" t="n"/>
      <c r="DZ98" s="275" t="n"/>
      <c r="EA98" s="275" t="n"/>
      <c r="EB98" s="275" t="n"/>
      <c r="EC98" s="275" t="n"/>
      <c r="ED98" s="275" t="n"/>
      <c r="EE98" s="275" t="n"/>
      <c r="EF98" s="275" t="n"/>
      <c r="EG98" s="275" t="n"/>
      <c r="EH98" s="275" t="n"/>
      <c r="EI98" s="275" t="n"/>
      <c r="EJ98" s="275" t="n"/>
      <c r="EK98" s="275" t="n"/>
      <c r="EL98" s="275" t="n"/>
      <c r="EM98" s="275" t="n"/>
      <c r="EN98" s="275" t="n"/>
      <c r="EO98" s="275" t="n"/>
      <c r="EP98" s="275" t="n"/>
      <c r="EQ98" s="275" t="n"/>
      <c r="ER98" s="275" t="n"/>
      <c r="ES98" s="275" t="n"/>
      <c r="ET98" s="275" t="n"/>
      <c r="EU98" s="275" t="n"/>
      <c r="EV98" s="275" t="n"/>
      <c r="EW98" s="275" t="n"/>
    </row>
  </sheetData>
  <mergeCells count="27">
    <mergeCell ref="AP8:BA8"/>
    <mergeCell ref="BU8:BW8"/>
    <mergeCell ref="EF8:EH8"/>
    <mergeCell ref="DW8:DY8"/>
    <mergeCell ref="ER8:ET8"/>
    <mergeCell ref="EC8:EE8"/>
    <mergeCell ref="EI8:EK8"/>
    <mergeCell ref="BY8:CA8"/>
    <mergeCell ref="CG8:CI8"/>
    <mergeCell ref="CS8:CU8"/>
    <mergeCell ref="DE8:DG8"/>
    <mergeCell ref="EO8:EQ8"/>
    <mergeCell ref="EU8:EW8"/>
    <mergeCell ref="AB8:AM8"/>
    <mergeCell ref="BQ8:BS8"/>
    <mergeCell ref="BC8:BN8"/>
    <mergeCell ref="DQ8:DS8"/>
    <mergeCell ref="CK8:CM8"/>
    <mergeCell ref="CC8:CE8"/>
    <mergeCell ref="DN8:DP8"/>
    <mergeCell ref="CW8:CY8"/>
    <mergeCell ref="CO8:CQ8"/>
    <mergeCell ref="DA8:DC8"/>
    <mergeCell ref="DT8:DV8"/>
    <mergeCell ref="DI8:DK8"/>
    <mergeCell ref="DZ8:EB8"/>
    <mergeCell ref="EL8:EN8"/>
  </mergeCells>
  <conditionalFormatting sqref="K10:K98">
    <cfRule type="cellIs" priority="109" operator="equal" dxfId="114">
      <formula>"NB-Offboarded"</formula>
    </cfRule>
    <cfRule type="cellIs" priority="110" operator="equal" dxfId="115">
      <formula>"NB-In-seat"</formula>
    </cfRule>
    <cfRule type="cellIs" priority="111" operator="equal" dxfId="116">
      <formula>"NB-Ready"</formula>
    </cfRule>
    <cfRule type="cellIs" priority="112" operator="equal" dxfId="119">
      <formula>"Cancelled"</formula>
    </cfRule>
    <cfRule type="cellIs" priority="113" operator="equal" dxfId="118">
      <formula>"Hold"</formula>
    </cfRule>
    <cfRule type="cellIs" priority="114" operator="equal" dxfId="117">
      <formula>"Sourcing"</formula>
    </cfRule>
    <cfRule type="cellIs" priority="115" operator="equal" dxfId="116">
      <formula>"Ready"</formula>
    </cfRule>
    <cfRule type="cellIs" priority="116" operator="equal" dxfId="115">
      <formula>"In-seat"</formula>
    </cfRule>
    <cfRule type="cellIs" priority="117" operator="equal" dxfId="114">
      <formula>"Offboarded"</formula>
    </cfRule>
  </conditionalFormatting>
  <conditionalFormatting sqref="AB10:AM98">
    <cfRule type="expression" priority="5" dxfId="281">
      <formula>$H10="Offshore"</formula>
    </cfRule>
    <cfRule type="expression" priority="6" dxfId="280">
      <formula>$H10="Onshore"</formula>
    </cfRule>
  </conditionalFormatting>
  <conditionalFormatting sqref="AP6:BA6 BC6:BN6">
    <cfRule type="colorScale" priority="119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AP7:BA7 BC7:BN7">
    <cfRule type="colorScale" priority="118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BQ6:DL6 DN6:EW6">
    <cfRule type="colorScale" priority="306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BQ7:DL7">
    <cfRule type="colorScale" priority="261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DN7:EW7">
    <cfRule type="colorScale" priority="309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AP10:BA16">
    <cfRule type="expression" priority="1" dxfId="281">
      <formula>$H10="Offshore"</formula>
    </cfRule>
    <cfRule type="expression" priority="2" dxfId="280">
      <formula>$H10="Onshore"</formula>
    </cfRule>
  </conditionalFormatting>
  <dataValidations count="4">
    <dataValidation sqref="H49:H51 H70:H71 H84:H86" showDropDown="0" showInputMessage="1" showErrorMessage="1" allowBlank="1" type="list">
      <formula1>"B,A,1,2,3,4,5,6,7,8,9,10,11,12,[TBD]"</formula1>
    </dataValidation>
    <dataValidation sqref="C10:C86" showDropDown="0" showInputMessage="1" showErrorMessage="1" allowBlank="1" type="list">
      <formula1>"Staff,Contractor"</formula1>
    </dataValidation>
    <dataValidation sqref="K10:K86" showDropDown="0" showInputMessage="1" showErrorMessage="1" allowBlank="1" type="list">
      <formula1>"Planned,Approved,Sourcing,NB-Ready,Ready,NB-In-seat,In-seat,Offboarded,Cancelled,Hold"</formula1>
    </dataValidation>
    <dataValidation sqref="L10:L86" showDropDown="0" showInputMessage="1" showErrorMessage="1" allowBlank="1" type="list">
      <formula1>"1,0"</formula1>
    </dataValidation>
  </dataValidations>
  <pageMargins left="0.5" right="0.5" top="0.75" bottom="0.75" header="0.3" footer="0.3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CG548"/>
  <sheetViews>
    <sheetView showGridLines="0" zoomScale="65" zoomScaleNormal="55" workbookViewId="0">
      <pane ySplit="11" topLeftCell="A12" activePane="bottomLeft" state="frozen"/>
      <selection activeCell="AD11" sqref="AD11"/>
    </sheetView>
  </sheetViews>
  <sheetFormatPr baseColWidth="8" defaultRowHeight="15" customHeight="1"/>
  <cols>
    <col width="12.5703125" bestFit="1" customWidth="1" style="13" min="1" max="1"/>
    <col width="42.85546875" customWidth="1" style="14" min="2" max="2"/>
    <col width="46.5703125" bestFit="1" customWidth="1" style="14" min="3" max="3"/>
    <col width="36.5703125" customWidth="1" style="14" min="4" max="4"/>
    <col width="18" customWidth="1" style="14" min="5" max="5"/>
    <col width="17.42578125" customWidth="1" style="14" min="6" max="6"/>
    <col width="24" customWidth="1" style="14" min="7" max="7"/>
    <col width="21" customWidth="1" style="14" min="8" max="8"/>
    <col width="13.42578125" customWidth="1" style="14" min="9" max="10"/>
    <col collapsed="1" width="4.85546875" customWidth="1" style="56" min="11" max="11"/>
    <col width="16.28515625" customWidth="1" style="55" min="12" max="12"/>
    <col outlineLevel="1" width="14.7109375" customWidth="1" min="13" max="48"/>
    <col width="16.28515625" customWidth="1" style="55" min="49" max="49"/>
    <col hidden="1" outlineLevel="1" width="14.7109375" customWidth="1" min="50" max="85"/>
    <col collapsed="1" width="9.140625" customWidth="1" min="86" max="86"/>
  </cols>
  <sheetData>
    <row r="1" ht="14.45" customHeight="1">
      <c r="K1" s="85" t="n"/>
      <c r="L1" s="54" t="n"/>
      <c r="AW1" s="54" t="n"/>
    </row>
    <row r="2" ht="33" customHeight="1">
      <c r="F2" s="91" t="n"/>
      <c r="G2" s="91" t="n"/>
      <c r="H2" s="91" t="n"/>
    </row>
    <row r="3" ht="33" customHeight="1">
      <c r="F3" s="91" t="n"/>
      <c r="G3" s="91" t="n"/>
      <c r="H3" s="91" t="n"/>
    </row>
    <row r="4" ht="33" customHeight="1">
      <c r="F4" s="91" t="n"/>
      <c r="G4" s="91" t="n"/>
      <c r="H4" s="91" t="n"/>
    </row>
    <row r="5" ht="14.45" customHeight="1">
      <c r="F5" s="91" t="n"/>
      <c r="G5" s="91" t="n"/>
      <c r="H5" s="91" t="n"/>
    </row>
    <row r="6" ht="14.45" customHeight="1">
      <c r="F6" s="91" t="n"/>
      <c r="G6" s="91" t="n"/>
      <c r="H6" s="91" t="n"/>
    </row>
    <row r="7" ht="14.45" customHeight="1">
      <c r="F7" s="91" t="n"/>
      <c r="G7" s="91" t="n"/>
      <c r="H7" s="91" t="n"/>
    </row>
    <row r="8" ht="19.9" customHeight="1">
      <c r="F8" s="91" t="n"/>
      <c r="G8" s="91" t="n"/>
      <c r="H8" s="91" t="n"/>
      <c r="L8" s="356">
        <f>SUM(Table46[2026_LE])</f>
        <v/>
      </c>
      <c r="M8" s="357">
        <f>SUM(Table46[Jan_26_F])</f>
        <v/>
      </c>
      <c r="N8" s="317">
        <f>SUM(Table46[Jan_26_Act])</f>
        <v/>
      </c>
      <c r="O8" s="317">
        <f>SUM(Table46[Jan_26_D])</f>
        <v/>
      </c>
      <c r="P8" s="317">
        <f>SUM(Table46[Feb_26_F])</f>
        <v/>
      </c>
      <c r="Q8" s="317">
        <f>SUM(Table46[Feb_26_A])</f>
        <v/>
      </c>
      <c r="R8" s="317">
        <f>SUM(Table46[Feb_26_D])</f>
        <v/>
      </c>
      <c r="S8" s="317">
        <f>SUM(Table46[Mar_26_F])</f>
        <v/>
      </c>
      <c r="T8" s="317">
        <f>SUM(Table46[Mar_26_A])</f>
        <v/>
      </c>
      <c r="U8" s="317">
        <f>SUM(Table46[Mar_26_D])</f>
        <v/>
      </c>
      <c r="V8" s="317">
        <f>SUM(Table46[Apr_26_F])</f>
        <v/>
      </c>
      <c r="W8" s="317">
        <f>SUM(Table46[Apr_26_A])</f>
        <v/>
      </c>
      <c r="X8" s="317">
        <f>SUM(Table46[Apr_26_D])</f>
        <v/>
      </c>
      <c r="Y8" s="317">
        <f>SUM(Table46[May_26_F])</f>
        <v/>
      </c>
      <c r="Z8" s="317">
        <f>SUM(Table46[May_26_A])</f>
        <v/>
      </c>
      <c r="AA8" s="317">
        <f>SUM(Table46[May_26_D])</f>
        <v/>
      </c>
      <c r="AB8" s="317">
        <f>SUM(Table46[Jun_26_F])</f>
        <v/>
      </c>
      <c r="AC8" s="317">
        <f>SUM(Table46[Jun_26_A])</f>
        <v/>
      </c>
      <c r="AD8" s="317">
        <f>SUM(Table46[Jun_26_D])</f>
        <v/>
      </c>
      <c r="AE8" s="317">
        <f>SUM(Table46[Jul_26_F])</f>
        <v/>
      </c>
      <c r="AF8" s="317">
        <f>SUM(Table46[Jul_26_A])</f>
        <v/>
      </c>
      <c r="AG8" s="317">
        <f>SUM(Table46[Jul_26_D])</f>
        <v/>
      </c>
      <c r="AH8" s="317">
        <f>SUM(Table46[Aug_26_F])</f>
        <v/>
      </c>
      <c r="AI8" s="317">
        <f>SUM(Table46[Aug_26_A])</f>
        <v/>
      </c>
      <c r="AJ8" s="317">
        <f>SUM(Table46[Aug_26_D])</f>
        <v/>
      </c>
      <c r="AK8" s="317">
        <f>SUM(Table46[Sep_26_F])</f>
        <v/>
      </c>
      <c r="AL8" s="317">
        <f>SUM(Table46[Sep_26_A])</f>
        <v/>
      </c>
      <c r="AM8" s="317">
        <f>SUM(Table46[Sep_26_D])</f>
        <v/>
      </c>
      <c r="AN8" s="317">
        <f>SUM(Table46[Oct_26_F])</f>
        <v/>
      </c>
      <c r="AO8" s="317">
        <f>SUM(Table46[Oct_26_A])</f>
        <v/>
      </c>
      <c r="AP8" s="317">
        <f>SUM(Table46[Oct_26_D])</f>
        <v/>
      </c>
      <c r="AQ8" s="317">
        <f>SUM(Table46[Nov_26_F])</f>
        <v/>
      </c>
      <c r="AR8" s="317">
        <f>SUM(Table46[Nov_26_A])</f>
        <v/>
      </c>
      <c r="AS8" s="317">
        <f>SUM(Table46[Nov_26_D])</f>
        <v/>
      </c>
      <c r="AT8" s="317">
        <f>SUM(Table46[Dec_26_F])</f>
        <v/>
      </c>
      <c r="AU8" s="317">
        <f>SUM(Table46[Dec_26_A])</f>
        <v/>
      </c>
      <c r="AV8" s="358">
        <f>SUM(Table46[Dec_26_D])</f>
        <v/>
      </c>
      <c r="AW8" s="356">
        <f>SUM(Table46[2027_LE])</f>
        <v/>
      </c>
    </row>
    <row r="9" ht="19.9" customHeight="1">
      <c r="F9" s="91" t="n"/>
      <c r="G9" s="91" t="n"/>
      <c r="H9" s="91" t="n"/>
      <c r="L9" s="356">
        <f>SUBTOTAL(9,Table46[2026_LE])</f>
        <v/>
      </c>
      <c r="M9" s="357">
        <f>SUBTOTAL(9,Table46[Jan_26_F])</f>
        <v/>
      </c>
      <c r="N9" s="317">
        <f>SUBTOTAL(9,Table46[Jan_26_Act])</f>
        <v/>
      </c>
      <c r="O9" s="317">
        <f>SUBTOTAL(9,Table46[Jan_26_D])</f>
        <v/>
      </c>
      <c r="P9" s="317">
        <f>SUBTOTAL(9,Table46[Feb_26_F])</f>
        <v/>
      </c>
      <c r="Q9" s="317">
        <f>SUBTOTAL(9,Table46[Feb_26_A])</f>
        <v/>
      </c>
      <c r="R9" s="317">
        <f>SUBTOTAL(9,Table46[Feb_26_D])</f>
        <v/>
      </c>
      <c r="S9" s="317">
        <f>SUBTOTAL(9,Table46[Mar_26_F])</f>
        <v/>
      </c>
      <c r="T9" s="317">
        <f>SUBTOTAL(9,Table46[Mar_26_A])</f>
        <v/>
      </c>
      <c r="U9" s="317">
        <f>SUBTOTAL(9,Table46[Mar_26_D])</f>
        <v/>
      </c>
      <c r="V9" s="317">
        <f>SUBTOTAL(9,Table46[Apr_26_F])</f>
        <v/>
      </c>
      <c r="W9" s="317">
        <f>SUBTOTAL(9,Table46[Apr_26_A])</f>
        <v/>
      </c>
      <c r="X9" s="317">
        <f>SUBTOTAL(9,Table46[Apr_26_D])</f>
        <v/>
      </c>
      <c r="Y9" s="317">
        <f>SUBTOTAL(9,Table46[May_26_F])</f>
        <v/>
      </c>
      <c r="Z9" s="317">
        <f>SUBTOTAL(9,Table46[May_26_A])</f>
        <v/>
      </c>
      <c r="AA9" s="317">
        <f>SUBTOTAL(9,Table46[May_26_D])</f>
        <v/>
      </c>
      <c r="AB9" s="317">
        <f>SUBTOTAL(9,Table46[Jun_26_F])</f>
        <v/>
      </c>
      <c r="AC9" s="317">
        <f>SUBTOTAL(9,Table46[Jun_26_A])</f>
        <v/>
      </c>
      <c r="AD9" s="317">
        <f>SUBTOTAL(9,Table46[Jun_26_D])</f>
        <v/>
      </c>
      <c r="AE9" s="317">
        <f>SUBTOTAL(9,Table46[Jul_26_F])</f>
        <v/>
      </c>
      <c r="AF9" s="317">
        <f>SUBTOTAL(9,Table46[Jul_26_A])</f>
        <v/>
      </c>
      <c r="AG9" s="317">
        <f>SUBTOTAL(9,Table46[Jul_26_D])</f>
        <v/>
      </c>
      <c r="AH9" s="317">
        <f>SUBTOTAL(9,Table46[Aug_26_F])</f>
        <v/>
      </c>
      <c r="AI9" s="317">
        <f>SUBTOTAL(9,Table46[Aug_26_A])</f>
        <v/>
      </c>
      <c r="AJ9" s="317">
        <f>SUBTOTAL(9,Table46[Aug_26_D])</f>
        <v/>
      </c>
      <c r="AK9" s="317">
        <f>SUBTOTAL(9,Table46[Sep_26_F])</f>
        <v/>
      </c>
      <c r="AL9" s="317">
        <f>SUBTOTAL(9,Table46[Sep_26_A])</f>
        <v/>
      </c>
      <c r="AM9" s="317">
        <f>SUBTOTAL(9,Table46[Sep_26_D])</f>
        <v/>
      </c>
      <c r="AN9" s="317">
        <f>SUBTOTAL(9,Table46[Oct_26_F])</f>
        <v/>
      </c>
      <c r="AO9" s="317">
        <f>SUBTOTAL(9,Table46[Oct_26_A])</f>
        <v/>
      </c>
      <c r="AP9" s="317">
        <f>SUBTOTAL(9,Table46[Oct_26_D])</f>
        <v/>
      </c>
      <c r="AQ9" s="317">
        <f>SUBTOTAL(9,Table46[Nov_26_F])</f>
        <v/>
      </c>
      <c r="AR9" s="317">
        <f>SUBTOTAL(9,Table46[Nov_26_A])</f>
        <v/>
      </c>
      <c r="AS9" s="317">
        <f>SUBTOTAL(9,Table46[Nov_26_D])</f>
        <v/>
      </c>
      <c r="AT9" s="317">
        <f>SUBTOTAL(9,Table46[Dec_26_F])</f>
        <v/>
      </c>
      <c r="AU9" s="317">
        <f>SUBTOTAL(9,Table46[Dec_26_A])</f>
        <v/>
      </c>
      <c r="AV9" s="358">
        <f>SUBTOTAL(9,Table46[Dec_26_D])</f>
        <v/>
      </c>
      <c r="AW9" s="356">
        <f>SUBTOTAL(9,Table46[2027_LE])</f>
        <v/>
      </c>
    </row>
    <row r="10" ht="14.45" customHeight="1">
      <c r="M10" s="331" t="n">
        <v>46023</v>
      </c>
      <c r="N10" s="329" t="n"/>
      <c r="O10" s="330" t="n"/>
      <c r="P10" s="331" t="n">
        <v>46054</v>
      </c>
      <c r="Q10" s="329" t="n"/>
      <c r="R10" s="330" t="n"/>
      <c r="S10" s="331" t="n">
        <v>46082</v>
      </c>
      <c r="T10" s="329" t="n"/>
      <c r="U10" s="330" t="n"/>
      <c r="V10" s="331" t="n">
        <v>46113</v>
      </c>
      <c r="W10" s="329" t="n"/>
      <c r="X10" s="330" t="n"/>
      <c r="Y10" s="331" t="n">
        <v>46143</v>
      </c>
      <c r="Z10" s="329" t="n"/>
      <c r="AA10" s="330" t="n"/>
      <c r="AB10" s="331" t="n">
        <v>46174</v>
      </c>
      <c r="AC10" s="329" t="n"/>
      <c r="AD10" s="330" t="n"/>
      <c r="AE10" s="331" t="n">
        <v>46204</v>
      </c>
      <c r="AF10" s="329" t="n"/>
      <c r="AG10" s="330" t="n"/>
      <c r="AH10" s="331" t="n">
        <v>46235</v>
      </c>
      <c r="AI10" s="329" t="n"/>
      <c r="AJ10" s="330" t="n"/>
      <c r="AK10" s="331" t="n">
        <v>46266</v>
      </c>
      <c r="AL10" s="329" t="n"/>
      <c r="AM10" s="330" t="n"/>
      <c r="AN10" s="331" t="n">
        <v>46296</v>
      </c>
      <c r="AO10" s="329" t="n"/>
      <c r="AP10" s="330" t="n"/>
      <c r="AQ10" s="331" t="n">
        <v>46327</v>
      </c>
      <c r="AR10" s="329" t="n"/>
      <c r="AS10" s="330" t="n"/>
      <c r="AT10" s="331" t="n">
        <v>46357</v>
      </c>
      <c r="AU10" s="329" t="n"/>
      <c r="AV10" s="330" t="n"/>
      <c r="AX10" s="331" t="n">
        <v>46388</v>
      </c>
      <c r="AY10" s="329" t="n"/>
      <c r="AZ10" s="330" t="n"/>
      <c r="BA10" s="331" t="n">
        <v>46419</v>
      </c>
      <c r="BB10" s="329" t="n"/>
      <c r="BC10" s="330" t="n"/>
      <c r="BD10" s="331" t="n">
        <v>46447</v>
      </c>
      <c r="BE10" s="329" t="n"/>
      <c r="BF10" s="330" t="n"/>
      <c r="BG10" s="331" t="n">
        <v>46478</v>
      </c>
      <c r="BH10" s="329" t="n"/>
      <c r="BI10" s="330" t="n"/>
      <c r="BJ10" s="331" t="n">
        <v>46508</v>
      </c>
      <c r="BK10" s="329" t="n"/>
      <c r="BL10" s="330" t="n"/>
      <c r="BM10" s="331" t="n">
        <v>46539</v>
      </c>
      <c r="BN10" s="329" t="n"/>
      <c r="BO10" s="330" t="n"/>
      <c r="BP10" s="331" t="n">
        <v>46569</v>
      </c>
      <c r="BQ10" s="329" t="n"/>
      <c r="BR10" s="330" t="n"/>
      <c r="BS10" s="331" t="n">
        <v>46600</v>
      </c>
      <c r="BT10" s="329" t="n"/>
      <c r="BU10" s="330" t="n"/>
      <c r="BV10" s="331" t="n">
        <v>46631</v>
      </c>
      <c r="BW10" s="329" t="n"/>
      <c r="BX10" s="330" t="n"/>
      <c r="BY10" s="331" t="n">
        <v>46661</v>
      </c>
      <c r="BZ10" s="329" t="n"/>
      <c r="CA10" s="330" t="n"/>
      <c r="CB10" s="331" t="n">
        <v>46692</v>
      </c>
      <c r="CC10" s="329" t="n"/>
      <c r="CD10" s="330" t="n"/>
      <c r="CE10" s="331" t="n">
        <v>46722</v>
      </c>
      <c r="CF10" s="329" t="n"/>
      <c r="CG10" s="330" t="n"/>
    </row>
    <row r="11" ht="43.5" customFormat="1" customHeight="1" s="48">
      <c r="A11" s="332" t="inlineStr">
        <is>
          <t>Workstream</t>
        </is>
      </c>
      <c r="B11" s="332" t="inlineStr">
        <is>
          <t>Cost type</t>
        </is>
      </c>
      <c r="C11" s="332" t="inlineStr">
        <is>
          <t>Item Description</t>
        </is>
      </c>
      <c r="D11" s="332" t="inlineStr">
        <is>
          <t>Comments</t>
        </is>
      </c>
      <c r="E11" s="332" t="inlineStr">
        <is>
          <t>Supplier</t>
        </is>
      </c>
      <c r="F11" s="332" t="inlineStr">
        <is>
          <t>Tags</t>
        </is>
      </c>
      <c r="G11" s="332" t="inlineStr">
        <is>
          <t>Focal</t>
        </is>
      </c>
      <c r="H11" s="332" t="inlineStr">
        <is>
          <t>Document reference #</t>
        </is>
      </c>
      <c r="I11" s="332" t="inlineStr">
        <is>
          <t>Foundational Cost</t>
        </is>
      </c>
      <c r="J11" s="332" t="inlineStr">
        <is>
          <t>Tag</t>
        </is>
      </c>
      <c r="K11" s="359" t="inlineStr">
        <is>
          <t>COSTS</t>
        </is>
      </c>
      <c r="L11" s="337" t="inlineStr">
        <is>
          <t>2026_LE</t>
        </is>
      </c>
      <c r="M11" s="335" t="inlineStr">
        <is>
          <t>Jan_26_F</t>
        </is>
      </c>
      <c r="N11" s="335" t="inlineStr">
        <is>
          <t>Jan_26_Act</t>
        </is>
      </c>
      <c r="O11" s="335" t="inlineStr">
        <is>
          <t>Jan_26_D</t>
        </is>
      </c>
      <c r="P11" s="335" t="inlineStr">
        <is>
          <t>Feb_26_F</t>
        </is>
      </c>
      <c r="Q11" s="335" t="inlineStr">
        <is>
          <t>Feb_26_A</t>
        </is>
      </c>
      <c r="R11" s="335" t="inlineStr">
        <is>
          <t>Feb_26_D</t>
        </is>
      </c>
      <c r="S11" s="335" t="inlineStr">
        <is>
          <t>Mar_26_F</t>
        </is>
      </c>
      <c r="T11" s="335" t="inlineStr">
        <is>
          <t>Mar_26_A</t>
        </is>
      </c>
      <c r="U11" s="335" t="inlineStr">
        <is>
          <t>Mar_26_D</t>
        </is>
      </c>
      <c r="V11" s="335" t="inlineStr">
        <is>
          <t>Apr_26_F</t>
        </is>
      </c>
      <c r="W11" s="335" t="inlineStr">
        <is>
          <t>Apr_26_A</t>
        </is>
      </c>
      <c r="X11" s="335" t="inlineStr">
        <is>
          <t>Apr_26_D</t>
        </is>
      </c>
      <c r="Y11" s="335" t="inlineStr">
        <is>
          <t>May_26_F</t>
        </is>
      </c>
      <c r="Z11" s="335" t="inlineStr">
        <is>
          <t>May_26_A</t>
        </is>
      </c>
      <c r="AA11" s="335" t="inlineStr">
        <is>
          <t>May_26_D</t>
        </is>
      </c>
      <c r="AB11" s="335" t="inlineStr">
        <is>
          <t>Jun_26_F</t>
        </is>
      </c>
      <c r="AC11" s="335" t="inlineStr">
        <is>
          <t>Jun_26_A</t>
        </is>
      </c>
      <c r="AD11" s="335" t="inlineStr">
        <is>
          <t>Jun_26_D</t>
        </is>
      </c>
      <c r="AE11" s="335" t="inlineStr">
        <is>
          <t>Jul_26_F</t>
        </is>
      </c>
      <c r="AF11" s="335" t="inlineStr">
        <is>
          <t>Jul_26_A</t>
        </is>
      </c>
      <c r="AG11" s="335" t="inlineStr">
        <is>
          <t>Jul_26_D</t>
        </is>
      </c>
      <c r="AH11" s="335" t="inlineStr">
        <is>
          <t>Aug_26_F</t>
        </is>
      </c>
      <c r="AI11" s="335" t="inlineStr">
        <is>
          <t>Aug_26_A</t>
        </is>
      </c>
      <c r="AJ11" s="335" t="inlineStr">
        <is>
          <t>Aug_26_D</t>
        </is>
      </c>
      <c r="AK11" s="335" t="inlineStr">
        <is>
          <t>Sep_26_F</t>
        </is>
      </c>
      <c r="AL11" s="335" t="inlineStr">
        <is>
          <t>Sep_26_A</t>
        </is>
      </c>
      <c r="AM11" s="335" t="inlineStr">
        <is>
          <t>Sep_26_D</t>
        </is>
      </c>
      <c r="AN11" s="335" t="inlineStr">
        <is>
          <t>Oct_26_F</t>
        </is>
      </c>
      <c r="AO11" s="335" t="inlineStr">
        <is>
          <t>Oct_26_A</t>
        </is>
      </c>
      <c r="AP11" s="335" t="inlineStr">
        <is>
          <t>Oct_26_D</t>
        </is>
      </c>
      <c r="AQ11" s="335" t="inlineStr">
        <is>
          <t>Nov_26_F</t>
        </is>
      </c>
      <c r="AR11" s="335" t="inlineStr">
        <is>
          <t>Nov_26_A</t>
        </is>
      </c>
      <c r="AS11" s="335" t="inlineStr">
        <is>
          <t>Nov_26_D</t>
        </is>
      </c>
      <c r="AT11" s="335" t="inlineStr">
        <is>
          <t>Dec_26_F</t>
        </is>
      </c>
      <c r="AU11" s="335" t="inlineStr">
        <is>
          <t>Dec_26_A</t>
        </is>
      </c>
      <c r="AV11" s="335" t="inlineStr">
        <is>
          <t>Dec_26_D</t>
        </is>
      </c>
      <c r="AW11" s="337" t="inlineStr">
        <is>
          <t>2027_LE</t>
        </is>
      </c>
      <c r="AX11" s="335" t="inlineStr">
        <is>
          <t>Jan_27_F</t>
        </is>
      </c>
      <c r="AY11" s="335" t="inlineStr">
        <is>
          <t>Jan_27_Act</t>
        </is>
      </c>
      <c r="AZ11" s="335" t="inlineStr">
        <is>
          <t>Jan_27_D</t>
        </is>
      </c>
      <c r="BA11" s="335" t="inlineStr">
        <is>
          <t>Feb_27_F</t>
        </is>
      </c>
      <c r="BB11" s="335" t="inlineStr">
        <is>
          <t>Feb_27_A</t>
        </is>
      </c>
      <c r="BC11" s="335" t="inlineStr">
        <is>
          <t>Feb_27_D</t>
        </is>
      </c>
      <c r="BD11" s="335" t="inlineStr">
        <is>
          <t>Mar_27_F</t>
        </is>
      </c>
      <c r="BE11" s="335" t="inlineStr">
        <is>
          <t>Mar_27_A</t>
        </is>
      </c>
      <c r="BF11" s="335" t="inlineStr">
        <is>
          <t>Mar_27_D</t>
        </is>
      </c>
      <c r="BG11" s="335" t="inlineStr">
        <is>
          <t>Apr_27_F</t>
        </is>
      </c>
      <c r="BH11" s="335" t="inlineStr">
        <is>
          <t>Apr_27_A</t>
        </is>
      </c>
      <c r="BI11" s="335" t="inlineStr">
        <is>
          <t>Apr_27_D</t>
        </is>
      </c>
      <c r="BJ11" s="335" t="inlineStr">
        <is>
          <t>May_27_F</t>
        </is>
      </c>
      <c r="BK11" s="335" t="inlineStr">
        <is>
          <t>May_27_A</t>
        </is>
      </c>
      <c r="BL11" s="335" t="inlineStr">
        <is>
          <t>May_27_D</t>
        </is>
      </c>
      <c r="BM11" s="335" t="inlineStr">
        <is>
          <t>Jun_27_F</t>
        </is>
      </c>
      <c r="BN11" s="335" t="inlineStr">
        <is>
          <t>Jun_27_A</t>
        </is>
      </c>
      <c r="BO11" s="335" t="inlineStr">
        <is>
          <t>Jun_27_D</t>
        </is>
      </c>
      <c r="BP11" s="335" t="inlineStr">
        <is>
          <t>Jul_27_F</t>
        </is>
      </c>
      <c r="BQ11" s="335" t="inlineStr">
        <is>
          <t>Jul_27_A</t>
        </is>
      </c>
      <c r="BR11" s="335" t="inlineStr">
        <is>
          <t>Jul_27_D</t>
        </is>
      </c>
      <c r="BS11" s="335" t="inlineStr">
        <is>
          <t>Aug_27_F</t>
        </is>
      </c>
      <c r="BT11" s="335" t="inlineStr">
        <is>
          <t>Aug_27_A</t>
        </is>
      </c>
      <c r="BU11" s="335" t="inlineStr">
        <is>
          <t>Aug_27_D</t>
        </is>
      </c>
      <c r="BV11" s="335" t="inlineStr">
        <is>
          <t>Sep_27_F</t>
        </is>
      </c>
      <c r="BW11" s="335" t="inlineStr">
        <is>
          <t>Sep_27_A</t>
        </is>
      </c>
      <c r="BX11" s="335" t="inlineStr">
        <is>
          <t>Sep_27_D</t>
        </is>
      </c>
      <c r="BY11" s="335" t="inlineStr">
        <is>
          <t>Oct_27_F</t>
        </is>
      </c>
      <c r="BZ11" s="335" t="inlineStr">
        <is>
          <t>Oct_27_A</t>
        </is>
      </c>
      <c r="CA11" s="335" t="inlineStr">
        <is>
          <t>Oct_27_D</t>
        </is>
      </c>
      <c r="CB11" s="335" t="inlineStr">
        <is>
          <t>Nov_27_F</t>
        </is>
      </c>
      <c r="CC11" s="335" t="inlineStr">
        <is>
          <t>Nov_27_A</t>
        </is>
      </c>
      <c r="CD11" s="335" t="inlineStr">
        <is>
          <t>Nov_27_D</t>
        </is>
      </c>
      <c r="CE11" s="335" t="inlineStr">
        <is>
          <t>Dec_27_F</t>
        </is>
      </c>
      <c r="CF11" s="335" t="inlineStr">
        <is>
          <t>Dec_27_A</t>
        </is>
      </c>
      <c r="CG11" s="335" t="inlineStr">
        <is>
          <t>Dec_27_D</t>
        </is>
      </c>
    </row>
    <row r="12" ht="48.95" customHeight="1">
      <c r="A12" s="338" t="inlineStr">
        <is>
          <t>Prosmar Crude</t>
        </is>
      </c>
      <c r="B12" s="338" t="inlineStr">
        <is>
          <t xml:space="preserve"> Software Licensing Purchsing including Azure</t>
        </is>
      </c>
      <c r="C12" s="338" t="inlineStr">
        <is>
          <t>Annual Licensing costs</t>
        </is>
      </c>
      <c r="D12" s="13" t="n"/>
      <c r="E12" s="338" t="inlineStr">
        <is>
          <t>Prosmar</t>
        </is>
      </c>
      <c r="F12" s="338" t="inlineStr">
        <is>
          <t>Capex</t>
        </is>
      </c>
      <c r="G12" s="13" t="n"/>
      <c r="H12" s="13" t="n"/>
      <c r="I12" s="360" t="n">
        <v>87000</v>
      </c>
      <c r="J12" s="361" t="n"/>
      <c r="L12" s="346" t="n"/>
      <c r="M12" s="362" t="n">
        <v>87000</v>
      </c>
      <c r="N12" s="362" t="n">
        <v>87000</v>
      </c>
      <c r="O12" s="362">
        <f>Table46[[#This Row],[Jan_26_F]]-Table46[[#This Row],[Jan_26_Act]]</f>
        <v/>
      </c>
      <c r="P12" s="363" t="n"/>
      <c r="Q12" s="363" t="n"/>
      <c r="R12" s="362">
        <f>Table46[[#This Row],[Feb_26_F]]-Table46[[#This Row],[Feb_26_A]]</f>
        <v/>
      </c>
      <c r="S12" s="363" t="n"/>
      <c r="T12" s="363" t="n"/>
      <c r="U12" s="362">
        <f>Table46[[#This Row],[Mar_26_F]]-Table46[[#This Row],[Mar_26_A]]</f>
        <v/>
      </c>
      <c r="V12" s="363" t="n"/>
      <c r="W12" s="363" t="n"/>
      <c r="X12" s="362">
        <f>Table46[[#This Row],[Apr_26_F]]-Table46[[#This Row],[Apr_26_A]]</f>
        <v/>
      </c>
      <c r="Y12" s="363" t="n"/>
      <c r="Z12" s="363" t="n"/>
      <c r="AA12" s="362">
        <f>Table46[[#This Row],[May_26_F]]-Table46[[#This Row],[May_26_A]]</f>
        <v/>
      </c>
      <c r="AB12" s="363" t="n"/>
      <c r="AC12" s="363" t="n"/>
      <c r="AD12" s="362">
        <f>Table46[[#This Row],[Jun_26_F]]-Table46[[#This Row],[Jun_26_A]]</f>
        <v/>
      </c>
      <c r="AE12" s="363" t="n"/>
      <c r="AF12" s="363" t="n"/>
      <c r="AG12" s="362">
        <f>Table46[[#This Row],[Jul_26_F]]-Table46[[#This Row],[Jul_26_A]]</f>
        <v/>
      </c>
      <c r="AH12" s="363" t="n"/>
      <c r="AI12" s="363" t="n"/>
      <c r="AJ12" s="362">
        <f>Table46[[#This Row],[Aug_26_F]]-Table46[[#This Row],[Aug_26_A]]</f>
        <v/>
      </c>
      <c r="AK12" s="363" t="n"/>
      <c r="AL12" s="363" t="n"/>
      <c r="AM12" s="362">
        <f>Table46[[#This Row],[Sep_26_F]]-Table46[[#This Row],[Sep_26_A]]</f>
        <v/>
      </c>
      <c r="AN12" s="363" t="n"/>
      <c r="AO12" s="363" t="n"/>
      <c r="AP12" s="362">
        <f>Table46[[#This Row],[Oct_26_F]]-Table46[[#This Row],[Oct_26_A]]</f>
        <v/>
      </c>
      <c r="AQ12" s="363" t="n"/>
      <c r="AR12" s="363" t="n"/>
      <c r="AS12" s="362">
        <f>Table46[[#This Row],[Nov_26_F]]-Table46[[#This Row],[Nov_26_A]]</f>
        <v/>
      </c>
      <c r="AT12" s="363" t="n"/>
      <c r="AU12" s="363" t="n"/>
      <c r="AV12" s="362">
        <f>Table46[[#This Row],[Dec_26_F]]-Table46[[#This Row],[Dec_26_A]]</f>
        <v/>
      </c>
      <c r="AW12" s="346" t="n"/>
      <c r="AX12" s="363" t="n"/>
      <c r="AY12" s="363" t="n"/>
      <c r="AZ12" s="362">
        <f>Table46[[#This Row],[Jan_27_F]]-Table46[[#This Row],[Jan_27_Act]]</f>
        <v/>
      </c>
      <c r="BA12" s="363" t="n"/>
      <c r="BB12" s="363" t="n"/>
      <c r="BC12" s="362">
        <f>Table46[[#This Row],[Feb_27_F]]-Table46[[#This Row],[Feb_27_A]]</f>
        <v/>
      </c>
      <c r="BD12" s="363" t="n"/>
      <c r="BE12" s="363" t="n"/>
      <c r="BF12" s="362">
        <f>Table46[[#This Row],[Mar_27_F]]-Table46[[#This Row],[Mar_27_A]]</f>
        <v/>
      </c>
      <c r="BG12" s="363" t="n"/>
      <c r="BH12" s="363" t="n"/>
      <c r="BI12" s="362">
        <f>Table46[[#This Row],[Apr_27_F]]-Table46[[#This Row],[Apr_27_A]]</f>
        <v/>
      </c>
      <c r="BJ12" s="363" t="n"/>
      <c r="BK12" s="363" t="n"/>
      <c r="BL12" s="362">
        <f>Table46[[#This Row],[May_27_F]]-Table46[[#This Row],[May_27_A]]</f>
        <v/>
      </c>
      <c r="BM12" s="363" t="n"/>
      <c r="BN12" s="363" t="n"/>
      <c r="BO12" s="362">
        <f>Table46[[#This Row],[Jun_27_F]]-Table46[[#This Row],[Jun_27_A]]</f>
        <v/>
      </c>
      <c r="BP12" s="363" t="n"/>
      <c r="BQ12" s="363" t="n"/>
      <c r="BR12" s="362">
        <f>Table46[[#This Row],[Jul_27_F]]-Table46[[#This Row],[Jul_27_A]]</f>
        <v/>
      </c>
      <c r="BS12" s="363" t="n"/>
      <c r="BT12" s="363" t="n"/>
      <c r="BU12" s="362">
        <f>Table46[[#This Row],[Aug_27_F]]-Table46[[#This Row],[Aug_27_A]]</f>
        <v/>
      </c>
      <c r="BV12" s="363" t="n"/>
      <c r="BW12" s="363" t="n"/>
      <c r="BX12" s="362">
        <f>Table46[[#This Row],[Sep_27_F]]-Table46[[#This Row],[Sep_27_A]]</f>
        <v/>
      </c>
      <c r="BY12" s="363" t="n"/>
      <c r="BZ12" s="363" t="n"/>
      <c r="CA12" s="362">
        <f>Table46[[#This Row],[Oct_27_F]]-Table46[[#This Row],[Oct_27_A]]</f>
        <v/>
      </c>
      <c r="CB12" s="363" t="n"/>
      <c r="CC12" s="363" t="n"/>
      <c r="CD12" s="362">
        <f>Table46[[#This Row],[Nov_27_F]]-Table46[[#This Row],[Nov_27_A]]</f>
        <v/>
      </c>
      <c r="CE12" s="363" t="n"/>
      <c r="CF12" s="363" t="n"/>
      <c r="CG12" s="362">
        <f>Table46[[#This Row],[Dec_27_F]]-Table46[[#This Row],[Dec_27_A]]</f>
        <v/>
      </c>
    </row>
    <row r="13" ht="14.45" customHeight="1">
      <c r="A13" s="342" t="inlineStr">
        <is>
          <t>Prosmar Products</t>
        </is>
      </c>
      <c r="B13" s="342" t="inlineStr">
        <is>
          <t xml:space="preserve"> Software Licensing Purchsing including Azure</t>
        </is>
      </c>
      <c r="C13" s="342" t="inlineStr">
        <is>
          <t>Annual Licensing costs</t>
        </is>
      </c>
      <c r="D13" s="364" t="n"/>
      <c r="E13" s="342" t="inlineStr">
        <is>
          <t>Prosmar</t>
        </is>
      </c>
      <c r="F13" s="342" t="inlineStr">
        <is>
          <t>Capex</t>
        </is>
      </c>
      <c r="G13" s="13" t="n"/>
      <c r="H13" s="13" t="n"/>
      <c r="I13" s="365" t="n">
        <v>51000</v>
      </c>
      <c r="J13" s="361" t="n"/>
      <c r="L13" s="346" t="n"/>
      <c r="M13" s="363" t="n"/>
      <c r="N13" s="363" t="n"/>
      <c r="O13" s="366">
        <f>Table46[[#This Row],[Jan_26_F]]-Table46[[#This Row],[Jan_26_Act]]</f>
        <v/>
      </c>
      <c r="P13" s="363" t="n"/>
      <c r="Q13" s="363" t="n"/>
      <c r="R13" s="366">
        <f>Table46[[#This Row],[Feb_26_F]]-Table46[[#This Row],[Feb_26_A]]</f>
        <v/>
      </c>
      <c r="S13" s="363" t="n"/>
      <c r="T13" s="363" t="n"/>
      <c r="U13" s="366">
        <f>Table46[[#This Row],[Mar_26_F]]-Table46[[#This Row],[Mar_26_A]]</f>
        <v/>
      </c>
      <c r="V13" s="363" t="n"/>
      <c r="W13" s="363" t="n"/>
      <c r="X13" s="366">
        <f>Table46[[#This Row],[Apr_26_F]]-Table46[[#This Row],[Apr_26_A]]</f>
        <v/>
      </c>
      <c r="Y13" s="363" t="n"/>
      <c r="Z13" s="363" t="n"/>
      <c r="AA13" s="366">
        <f>Table46[[#This Row],[May_26_F]]-Table46[[#This Row],[May_26_A]]</f>
        <v/>
      </c>
      <c r="AB13" s="366" t="n">
        <v>51000</v>
      </c>
      <c r="AC13" s="366" t="n">
        <v>51000</v>
      </c>
      <c r="AD13" s="366">
        <f>Table46[[#This Row],[Jun_26_F]]-Table46[[#This Row],[Jun_26_A]]</f>
        <v/>
      </c>
      <c r="AE13" s="363" t="n"/>
      <c r="AF13" s="363" t="n"/>
      <c r="AG13" s="366">
        <f>Table46[[#This Row],[Jul_26_F]]-Table46[[#This Row],[Jul_26_A]]</f>
        <v/>
      </c>
      <c r="AH13" s="363" t="n"/>
      <c r="AI13" s="363" t="n"/>
      <c r="AJ13" s="366">
        <f>Table46[[#This Row],[Aug_26_F]]-Table46[[#This Row],[Aug_26_A]]</f>
        <v/>
      </c>
      <c r="AK13" s="363" t="n"/>
      <c r="AL13" s="363" t="n"/>
      <c r="AM13" s="366">
        <f>Table46[[#This Row],[Sep_26_F]]-Table46[[#This Row],[Sep_26_A]]</f>
        <v/>
      </c>
      <c r="AN13" s="363" t="n"/>
      <c r="AO13" s="363" t="n"/>
      <c r="AP13" s="366">
        <f>Table46[[#This Row],[Oct_26_F]]-Table46[[#This Row],[Oct_26_A]]</f>
        <v/>
      </c>
      <c r="AQ13" s="363" t="n"/>
      <c r="AR13" s="363" t="n"/>
      <c r="AS13" s="366">
        <f>Table46[[#This Row],[Nov_26_F]]-Table46[[#This Row],[Nov_26_A]]</f>
        <v/>
      </c>
      <c r="AT13" s="363" t="n"/>
      <c r="AU13" s="363" t="n"/>
      <c r="AV13" s="366">
        <f>Table46[[#This Row],[Dec_26_F]]-Table46[[#This Row],[Dec_26_A]]</f>
        <v/>
      </c>
      <c r="AW13" s="346" t="n"/>
      <c r="AX13" s="363" t="n"/>
      <c r="AY13" s="363" t="n"/>
      <c r="AZ13" s="366">
        <f>Table46[[#This Row],[Jan_27_F]]-Table46[[#This Row],[Jan_27_Act]]</f>
        <v/>
      </c>
      <c r="BA13" s="363" t="n"/>
      <c r="BB13" s="363" t="n"/>
      <c r="BC13" s="366">
        <f>Table46[[#This Row],[Feb_27_F]]-Table46[[#This Row],[Feb_27_A]]</f>
        <v/>
      </c>
      <c r="BD13" s="363" t="n"/>
      <c r="BE13" s="363" t="n"/>
      <c r="BF13" s="366">
        <f>Table46[[#This Row],[Mar_27_F]]-Table46[[#This Row],[Mar_27_A]]</f>
        <v/>
      </c>
      <c r="BG13" s="363" t="n"/>
      <c r="BH13" s="363" t="n"/>
      <c r="BI13" s="366">
        <f>Table46[[#This Row],[Apr_27_F]]-Table46[[#This Row],[Apr_27_A]]</f>
        <v/>
      </c>
      <c r="BJ13" s="363" t="n"/>
      <c r="BK13" s="363" t="n"/>
      <c r="BL13" s="366">
        <f>Table46[[#This Row],[May_27_F]]-Table46[[#This Row],[May_27_A]]</f>
        <v/>
      </c>
      <c r="BM13" s="363" t="n"/>
      <c r="BN13" s="363" t="n"/>
      <c r="BO13" s="366">
        <f>Table46[[#This Row],[Jun_27_F]]-Table46[[#This Row],[Jun_27_A]]</f>
        <v/>
      </c>
      <c r="BP13" s="363" t="n"/>
      <c r="BQ13" s="363" t="n"/>
      <c r="BR13" s="366">
        <f>Table46[[#This Row],[Jul_27_F]]-Table46[[#This Row],[Jul_27_A]]</f>
        <v/>
      </c>
      <c r="BS13" s="363" t="n"/>
      <c r="BT13" s="363" t="n"/>
      <c r="BU13" s="366">
        <f>Table46[[#This Row],[Aug_27_F]]-Table46[[#This Row],[Aug_27_A]]</f>
        <v/>
      </c>
      <c r="BV13" s="363" t="n"/>
      <c r="BW13" s="363" t="n"/>
      <c r="BX13" s="366">
        <f>Table46[[#This Row],[Sep_27_F]]-Table46[[#This Row],[Sep_27_A]]</f>
        <v/>
      </c>
      <c r="BY13" s="363" t="n"/>
      <c r="BZ13" s="363" t="n"/>
      <c r="CA13" s="366">
        <f>Table46[[#This Row],[Oct_27_F]]-Table46[[#This Row],[Oct_27_A]]</f>
        <v/>
      </c>
      <c r="CB13" s="363" t="n"/>
      <c r="CC13" s="363" t="n"/>
      <c r="CD13" s="366">
        <f>Table46[[#This Row],[Nov_27_F]]-Table46[[#This Row],[Nov_27_A]]</f>
        <v/>
      </c>
      <c r="CE13" s="363" t="n"/>
      <c r="CF13" s="363" t="n"/>
      <c r="CG13" s="366">
        <f>Table46[[#This Row],[Dec_27_F]]-Table46[[#This Row],[Dec_27_A]]</f>
        <v/>
      </c>
    </row>
    <row r="14" ht="14.45" customHeight="1">
      <c r="B14" s="13" t="n"/>
      <c r="C14" s="13" t="n"/>
      <c r="D14" s="364" t="n"/>
      <c r="E14" s="13" t="n"/>
      <c r="F14" s="13" t="n"/>
      <c r="G14" s="13" t="n"/>
      <c r="H14" s="13" t="n"/>
      <c r="I14" s="361" t="n"/>
      <c r="J14" s="361" t="n"/>
      <c r="L14" s="346" t="n"/>
      <c r="M14" s="363" t="n"/>
      <c r="N14" s="363" t="n"/>
      <c r="O14" s="362">
        <f>Table46[[#This Row],[Jan_26_F]]-Table46[[#This Row],[Jan_26_Act]]</f>
        <v/>
      </c>
      <c r="P14" s="363" t="n"/>
      <c r="Q14" s="363" t="n"/>
      <c r="R14" s="362">
        <f>Table46[[#This Row],[Feb_26_F]]-Table46[[#This Row],[Feb_26_A]]</f>
        <v/>
      </c>
      <c r="S14" s="363" t="n"/>
      <c r="T14" s="363" t="n"/>
      <c r="U14" s="362">
        <f>Table46[[#This Row],[Mar_26_F]]-Table46[[#This Row],[Mar_26_A]]</f>
        <v/>
      </c>
      <c r="V14" s="363" t="n"/>
      <c r="W14" s="363" t="n"/>
      <c r="X14" s="362">
        <f>Table46[[#This Row],[Apr_26_F]]-Table46[[#This Row],[Apr_26_A]]</f>
        <v/>
      </c>
      <c r="Y14" s="363" t="n"/>
      <c r="Z14" s="363" t="n"/>
      <c r="AA14" s="362">
        <f>Table46[[#This Row],[May_26_F]]-Table46[[#This Row],[May_26_A]]</f>
        <v/>
      </c>
      <c r="AB14" s="363" t="n"/>
      <c r="AC14" s="363" t="n"/>
      <c r="AD14" s="362">
        <f>Table46[[#This Row],[Jun_26_F]]-Table46[[#This Row],[Jun_26_A]]</f>
        <v/>
      </c>
      <c r="AE14" s="363" t="n"/>
      <c r="AF14" s="363" t="n"/>
      <c r="AG14" s="362">
        <f>Table46[[#This Row],[Jul_26_F]]-Table46[[#This Row],[Jul_26_A]]</f>
        <v/>
      </c>
      <c r="AH14" s="363" t="n"/>
      <c r="AI14" s="363" t="n"/>
      <c r="AJ14" s="362">
        <f>Table46[[#This Row],[Aug_26_F]]-Table46[[#This Row],[Aug_26_A]]</f>
        <v/>
      </c>
      <c r="AK14" s="363" t="n"/>
      <c r="AL14" s="363" t="n"/>
      <c r="AM14" s="362">
        <f>Table46[[#This Row],[Sep_26_F]]-Table46[[#This Row],[Sep_26_A]]</f>
        <v/>
      </c>
      <c r="AN14" s="363" t="n"/>
      <c r="AO14" s="363" t="n"/>
      <c r="AP14" s="362">
        <f>Table46[[#This Row],[Oct_26_F]]-Table46[[#This Row],[Oct_26_A]]</f>
        <v/>
      </c>
      <c r="AQ14" s="363" t="n"/>
      <c r="AR14" s="363" t="n"/>
      <c r="AS14" s="362">
        <f>Table46[[#This Row],[Nov_26_F]]-Table46[[#This Row],[Nov_26_A]]</f>
        <v/>
      </c>
      <c r="AT14" s="363" t="n"/>
      <c r="AU14" s="363" t="n"/>
      <c r="AV14" s="362">
        <f>Table46[[#This Row],[Dec_26_F]]-Table46[[#This Row],[Dec_26_A]]</f>
        <v/>
      </c>
      <c r="AW14" s="346" t="n"/>
      <c r="AX14" s="363" t="n"/>
      <c r="AY14" s="363" t="n"/>
      <c r="AZ14" s="362">
        <f>Table46[[#This Row],[Jan_27_F]]-Table46[[#This Row],[Jan_27_Act]]</f>
        <v/>
      </c>
      <c r="BA14" s="363" t="n"/>
      <c r="BB14" s="363" t="n"/>
      <c r="BC14" s="362">
        <f>Table46[[#This Row],[Feb_27_F]]-Table46[[#This Row],[Feb_27_A]]</f>
        <v/>
      </c>
      <c r="BD14" s="363" t="n"/>
      <c r="BE14" s="363" t="n"/>
      <c r="BF14" s="362">
        <f>Table46[[#This Row],[Mar_27_F]]-Table46[[#This Row],[Mar_27_A]]</f>
        <v/>
      </c>
      <c r="BG14" s="363" t="n"/>
      <c r="BH14" s="363" t="n"/>
      <c r="BI14" s="362">
        <f>Table46[[#This Row],[Apr_27_F]]-Table46[[#This Row],[Apr_27_A]]</f>
        <v/>
      </c>
      <c r="BJ14" s="363" t="n"/>
      <c r="BK14" s="363" t="n"/>
      <c r="BL14" s="362">
        <f>Table46[[#This Row],[May_27_F]]-Table46[[#This Row],[May_27_A]]</f>
        <v/>
      </c>
      <c r="BM14" s="363" t="n"/>
      <c r="BN14" s="363" t="n"/>
      <c r="BO14" s="362">
        <f>Table46[[#This Row],[Jun_27_F]]-Table46[[#This Row],[Jun_27_A]]</f>
        <v/>
      </c>
      <c r="BP14" s="363" t="n"/>
      <c r="BQ14" s="363" t="n"/>
      <c r="BR14" s="362">
        <f>Table46[[#This Row],[Jul_27_F]]-Table46[[#This Row],[Jul_27_A]]</f>
        <v/>
      </c>
      <c r="BS14" s="363" t="n"/>
      <c r="BT14" s="363" t="n"/>
      <c r="BU14" s="362">
        <f>Table46[[#This Row],[Aug_27_F]]-Table46[[#This Row],[Aug_27_A]]</f>
        <v/>
      </c>
      <c r="BV14" s="363" t="n"/>
      <c r="BW14" s="363" t="n"/>
      <c r="BX14" s="362">
        <f>Table46[[#This Row],[Sep_27_F]]-Table46[[#This Row],[Sep_27_A]]</f>
        <v/>
      </c>
      <c r="BY14" s="363" t="n"/>
      <c r="BZ14" s="363" t="n"/>
      <c r="CA14" s="362">
        <f>Table46[[#This Row],[Oct_27_F]]-Table46[[#This Row],[Oct_27_A]]</f>
        <v/>
      </c>
      <c r="CB14" s="363" t="n"/>
      <c r="CC14" s="363" t="n"/>
      <c r="CD14" s="362">
        <f>Table46[[#This Row],[Nov_27_F]]-Table46[[#This Row],[Nov_27_A]]</f>
        <v/>
      </c>
      <c r="CE14" s="363" t="n"/>
      <c r="CF14" s="363" t="n"/>
      <c r="CG14" s="362">
        <f>Table46[[#This Row],[Dec_27_F]]-Table46[[#This Row],[Dec_27_A]]</f>
        <v/>
      </c>
    </row>
    <row r="15" ht="35.45" customHeight="1">
      <c r="B15" s="13" t="n"/>
      <c r="C15" s="93" t="n"/>
      <c r="D15" s="364" t="n"/>
      <c r="E15" s="13" t="n"/>
      <c r="F15" s="13" t="n"/>
      <c r="G15" s="13" t="n"/>
      <c r="H15" s="13" t="n"/>
      <c r="I15" s="361" t="n"/>
      <c r="J15" s="361" t="n"/>
      <c r="L15" s="346" t="n"/>
      <c r="M15" s="363" t="n"/>
      <c r="N15" s="363" t="n"/>
      <c r="O15" s="366">
        <f>Table46[[#This Row],[Jan_26_F]]-Table46[[#This Row],[Jan_26_Act]]</f>
        <v/>
      </c>
      <c r="P15" s="363" t="n"/>
      <c r="Q15" s="363" t="n"/>
      <c r="R15" s="366">
        <f>Table46[[#This Row],[Feb_26_F]]-Table46[[#This Row],[Feb_26_A]]</f>
        <v/>
      </c>
      <c r="S15" s="363" t="n"/>
      <c r="T15" s="363" t="n"/>
      <c r="U15" s="366">
        <f>Table46[[#This Row],[Mar_26_F]]-Table46[[#This Row],[Mar_26_A]]</f>
        <v/>
      </c>
      <c r="V15" s="363" t="n"/>
      <c r="W15" s="363" t="n"/>
      <c r="X15" s="366">
        <f>Table46[[#This Row],[Apr_26_F]]-Table46[[#This Row],[Apr_26_A]]</f>
        <v/>
      </c>
      <c r="Y15" s="363" t="n"/>
      <c r="Z15" s="363" t="n"/>
      <c r="AA15" s="366">
        <f>Table46[[#This Row],[May_26_F]]-Table46[[#This Row],[May_26_A]]</f>
        <v/>
      </c>
      <c r="AB15" s="363" t="n"/>
      <c r="AC15" s="363" t="n"/>
      <c r="AD15" s="366">
        <f>Table46[[#This Row],[Jun_26_F]]-Table46[[#This Row],[Jun_26_A]]</f>
        <v/>
      </c>
      <c r="AE15" s="363" t="n"/>
      <c r="AF15" s="363" t="n"/>
      <c r="AG15" s="366">
        <f>Table46[[#This Row],[Jul_26_F]]-Table46[[#This Row],[Jul_26_A]]</f>
        <v/>
      </c>
      <c r="AH15" s="363" t="n"/>
      <c r="AI15" s="363" t="n"/>
      <c r="AJ15" s="366">
        <f>Table46[[#This Row],[Aug_26_F]]-Table46[[#This Row],[Aug_26_A]]</f>
        <v/>
      </c>
      <c r="AK15" s="363" t="n"/>
      <c r="AL15" s="363" t="n"/>
      <c r="AM15" s="366">
        <f>Table46[[#This Row],[Sep_26_F]]-Table46[[#This Row],[Sep_26_A]]</f>
        <v/>
      </c>
      <c r="AN15" s="363" t="n"/>
      <c r="AO15" s="363" t="n"/>
      <c r="AP15" s="366">
        <f>Table46[[#This Row],[Oct_26_F]]-Table46[[#This Row],[Oct_26_A]]</f>
        <v/>
      </c>
      <c r="AQ15" s="363" t="n"/>
      <c r="AR15" s="363" t="n"/>
      <c r="AS15" s="366">
        <f>Table46[[#This Row],[Nov_26_F]]-Table46[[#This Row],[Nov_26_A]]</f>
        <v/>
      </c>
      <c r="AT15" s="363" t="n"/>
      <c r="AU15" s="363" t="n"/>
      <c r="AV15" s="366">
        <f>Table46[[#This Row],[Dec_26_F]]-Table46[[#This Row],[Dec_26_A]]</f>
        <v/>
      </c>
      <c r="AW15" s="346" t="n"/>
      <c r="AX15" s="363" t="n"/>
      <c r="AY15" s="363" t="n"/>
      <c r="AZ15" s="366">
        <f>Table46[[#This Row],[Jan_27_F]]-Table46[[#This Row],[Jan_27_Act]]</f>
        <v/>
      </c>
      <c r="BA15" s="363" t="n"/>
      <c r="BB15" s="363" t="n"/>
      <c r="BC15" s="366">
        <f>Table46[[#This Row],[Feb_27_F]]-Table46[[#This Row],[Feb_27_A]]</f>
        <v/>
      </c>
      <c r="BD15" s="363" t="n"/>
      <c r="BE15" s="363" t="n"/>
      <c r="BF15" s="366">
        <f>Table46[[#This Row],[Mar_27_F]]-Table46[[#This Row],[Mar_27_A]]</f>
        <v/>
      </c>
      <c r="BG15" s="363" t="n"/>
      <c r="BH15" s="363" t="n"/>
      <c r="BI15" s="366">
        <f>Table46[[#This Row],[Apr_27_F]]-Table46[[#This Row],[Apr_27_A]]</f>
        <v/>
      </c>
      <c r="BJ15" s="363" t="n"/>
      <c r="BK15" s="363" t="n"/>
      <c r="BL15" s="366">
        <f>Table46[[#This Row],[May_27_F]]-Table46[[#This Row],[May_27_A]]</f>
        <v/>
      </c>
      <c r="BM15" s="363" t="n"/>
      <c r="BN15" s="363" t="n"/>
      <c r="BO15" s="366">
        <f>Table46[[#This Row],[Jun_27_F]]-Table46[[#This Row],[Jun_27_A]]</f>
        <v/>
      </c>
      <c r="BP15" s="363" t="n"/>
      <c r="BQ15" s="363" t="n"/>
      <c r="BR15" s="366">
        <f>Table46[[#This Row],[Jul_27_F]]-Table46[[#This Row],[Jul_27_A]]</f>
        <v/>
      </c>
      <c r="BS15" s="363" t="n"/>
      <c r="BT15" s="363" t="n"/>
      <c r="BU15" s="366">
        <f>Table46[[#This Row],[Aug_27_F]]-Table46[[#This Row],[Aug_27_A]]</f>
        <v/>
      </c>
      <c r="BV15" s="363" t="n"/>
      <c r="BW15" s="363" t="n"/>
      <c r="BX15" s="366">
        <f>Table46[[#This Row],[Sep_27_F]]-Table46[[#This Row],[Sep_27_A]]</f>
        <v/>
      </c>
      <c r="BY15" s="363" t="n"/>
      <c r="BZ15" s="363" t="n"/>
      <c r="CA15" s="366">
        <f>Table46[[#This Row],[Oct_27_F]]-Table46[[#This Row],[Oct_27_A]]</f>
        <v/>
      </c>
      <c r="CB15" s="363" t="n"/>
      <c r="CC15" s="363" t="n"/>
      <c r="CD15" s="366">
        <f>Table46[[#This Row],[Nov_27_F]]-Table46[[#This Row],[Nov_27_A]]</f>
        <v/>
      </c>
      <c r="CE15" s="363" t="n"/>
      <c r="CF15" s="363" t="n"/>
      <c r="CG15" s="366">
        <f>Table46[[#This Row],[Dec_27_F]]-Table46[[#This Row],[Dec_27_A]]</f>
        <v/>
      </c>
    </row>
    <row r="16" ht="14.45" customHeight="1">
      <c r="B16" s="13" t="n"/>
      <c r="C16" s="93" t="n"/>
      <c r="D16" s="364" t="n"/>
      <c r="E16" s="13" t="n"/>
      <c r="F16" s="13" t="n"/>
      <c r="G16" s="13" t="n"/>
      <c r="H16" s="13" t="n"/>
      <c r="I16" s="361" t="n"/>
      <c r="J16" s="361" t="n"/>
      <c r="L16" s="346" t="n"/>
      <c r="M16" s="363" t="n"/>
      <c r="N16" s="363" t="n"/>
      <c r="O16" s="362">
        <f>Table46[[#This Row],[Jan_26_F]]-Table46[[#This Row],[Jan_26_Act]]</f>
        <v/>
      </c>
      <c r="P16" s="363" t="n"/>
      <c r="Q16" s="363" t="n"/>
      <c r="R16" s="362">
        <f>Table46[[#This Row],[Feb_26_F]]-Table46[[#This Row],[Feb_26_A]]</f>
        <v/>
      </c>
      <c r="S16" s="363" t="n"/>
      <c r="T16" s="363" t="n"/>
      <c r="U16" s="362">
        <f>Table46[[#This Row],[Mar_26_F]]-Table46[[#This Row],[Mar_26_A]]</f>
        <v/>
      </c>
      <c r="V16" s="363" t="n"/>
      <c r="W16" s="363" t="n"/>
      <c r="X16" s="362">
        <f>Table46[[#This Row],[Apr_26_F]]-Table46[[#This Row],[Apr_26_A]]</f>
        <v/>
      </c>
      <c r="Y16" s="363" t="n"/>
      <c r="Z16" s="363" t="n"/>
      <c r="AA16" s="362">
        <f>Table46[[#This Row],[May_26_F]]-Table46[[#This Row],[May_26_A]]</f>
        <v/>
      </c>
      <c r="AB16" s="363" t="n"/>
      <c r="AC16" s="363" t="n"/>
      <c r="AD16" s="362">
        <f>Table46[[#This Row],[Jun_26_F]]-Table46[[#This Row],[Jun_26_A]]</f>
        <v/>
      </c>
      <c r="AE16" s="363" t="n"/>
      <c r="AF16" s="363" t="n"/>
      <c r="AG16" s="362">
        <f>Table46[[#This Row],[Jul_26_F]]-Table46[[#This Row],[Jul_26_A]]</f>
        <v/>
      </c>
      <c r="AH16" s="363" t="n"/>
      <c r="AI16" s="363" t="n"/>
      <c r="AJ16" s="362">
        <f>Table46[[#This Row],[Aug_26_F]]-Table46[[#This Row],[Aug_26_A]]</f>
        <v/>
      </c>
      <c r="AK16" s="363" t="n"/>
      <c r="AL16" s="363" t="n"/>
      <c r="AM16" s="362">
        <f>Table46[[#This Row],[Sep_26_F]]-Table46[[#This Row],[Sep_26_A]]</f>
        <v/>
      </c>
      <c r="AN16" s="363" t="n"/>
      <c r="AO16" s="363" t="n"/>
      <c r="AP16" s="362">
        <f>Table46[[#This Row],[Oct_26_F]]-Table46[[#This Row],[Oct_26_A]]</f>
        <v/>
      </c>
      <c r="AQ16" s="363" t="n"/>
      <c r="AR16" s="363" t="n"/>
      <c r="AS16" s="362">
        <f>Table46[[#This Row],[Nov_26_F]]-Table46[[#This Row],[Nov_26_A]]</f>
        <v/>
      </c>
      <c r="AT16" s="363" t="n"/>
      <c r="AU16" s="363" t="n"/>
      <c r="AV16" s="362">
        <f>Table46[[#This Row],[Dec_26_F]]-Table46[[#This Row],[Dec_26_A]]</f>
        <v/>
      </c>
      <c r="AW16" s="346" t="n"/>
      <c r="AX16" s="363" t="n"/>
      <c r="AY16" s="363" t="n"/>
      <c r="AZ16" s="362">
        <f>Table46[[#This Row],[Jan_27_F]]-Table46[[#This Row],[Jan_27_Act]]</f>
        <v/>
      </c>
      <c r="BA16" s="363" t="n"/>
      <c r="BB16" s="363" t="n"/>
      <c r="BC16" s="362">
        <f>Table46[[#This Row],[Feb_27_F]]-Table46[[#This Row],[Feb_27_A]]</f>
        <v/>
      </c>
      <c r="BD16" s="363" t="n"/>
      <c r="BE16" s="363" t="n"/>
      <c r="BF16" s="362">
        <f>Table46[[#This Row],[Mar_27_F]]-Table46[[#This Row],[Mar_27_A]]</f>
        <v/>
      </c>
      <c r="BG16" s="363" t="n"/>
      <c r="BH16" s="363" t="n"/>
      <c r="BI16" s="362">
        <f>Table46[[#This Row],[Apr_27_F]]-Table46[[#This Row],[Apr_27_A]]</f>
        <v/>
      </c>
      <c r="BJ16" s="363" t="n"/>
      <c r="BK16" s="363" t="n"/>
      <c r="BL16" s="362">
        <f>Table46[[#This Row],[May_27_F]]-Table46[[#This Row],[May_27_A]]</f>
        <v/>
      </c>
      <c r="BM16" s="363" t="n"/>
      <c r="BN16" s="363" t="n"/>
      <c r="BO16" s="362">
        <f>Table46[[#This Row],[Jun_27_F]]-Table46[[#This Row],[Jun_27_A]]</f>
        <v/>
      </c>
      <c r="BP16" s="363" t="n"/>
      <c r="BQ16" s="363" t="n"/>
      <c r="BR16" s="362">
        <f>Table46[[#This Row],[Jul_27_F]]-Table46[[#This Row],[Jul_27_A]]</f>
        <v/>
      </c>
      <c r="BS16" s="363" t="n"/>
      <c r="BT16" s="363" t="n"/>
      <c r="BU16" s="362">
        <f>Table46[[#This Row],[Aug_27_F]]-Table46[[#This Row],[Aug_27_A]]</f>
        <v/>
      </c>
      <c r="BV16" s="363" t="n"/>
      <c r="BW16" s="363" t="n"/>
      <c r="BX16" s="362">
        <f>Table46[[#This Row],[Sep_27_F]]-Table46[[#This Row],[Sep_27_A]]</f>
        <v/>
      </c>
      <c r="BY16" s="363" t="n"/>
      <c r="BZ16" s="363" t="n"/>
      <c r="CA16" s="362">
        <f>Table46[[#This Row],[Oct_27_F]]-Table46[[#This Row],[Oct_27_A]]</f>
        <v/>
      </c>
      <c r="CB16" s="363" t="n"/>
      <c r="CC16" s="363" t="n"/>
      <c r="CD16" s="362">
        <f>Table46[[#This Row],[Nov_27_F]]-Table46[[#This Row],[Nov_27_A]]</f>
        <v/>
      </c>
      <c r="CE16" s="363" t="n"/>
      <c r="CF16" s="363" t="n"/>
      <c r="CG16" s="362">
        <f>Table46[[#This Row],[Dec_27_F]]-Table46[[#This Row],[Dec_27_A]]</f>
        <v/>
      </c>
    </row>
    <row r="17" ht="41.45" customHeight="1">
      <c r="B17" s="13" t="n"/>
      <c r="C17" s="93" t="n"/>
      <c r="D17" s="364" t="n"/>
      <c r="E17" s="13" t="n"/>
      <c r="F17" s="13" t="n"/>
      <c r="G17" s="13" t="n"/>
      <c r="H17" s="13" t="n"/>
      <c r="I17" s="361" t="n"/>
      <c r="J17" s="361" t="n"/>
      <c r="L17" s="346" t="n"/>
      <c r="M17" s="363" t="n"/>
      <c r="N17" s="363" t="n"/>
      <c r="O17" s="366">
        <f>Table46[[#This Row],[Jan_26_F]]-Table46[[#This Row],[Jan_26_Act]]</f>
        <v/>
      </c>
      <c r="P17" s="363" t="n"/>
      <c r="Q17" s="363" t="n"/>
      <c r="R17" s="366">
        <f>Table46[[#This Row],[Feb_26_F]]-Table46[[#This Row],[Feb_26_A]]</f>
        <v/>
      </c>
      <c r="S17" s="363" t="n"/>
      <c r="T17" s="363" t="n"/>
      <c r="U17" s="366">
        <f>Table46[[#This Row],[Mar_26_F]]-Table46[[#This Row],[Mar_26_A]]</f>
        <v/>
      </c>
      <c r="V17" s="363" t="n"/>
      <c r="W17" s="363" t="n"/>
      <c r="X17" s="366">
        <f>Table46[[#This Row],[Apr_26_F]]-Table46[[#This Row],[Apr_26_A]]</f>
        <v/>
      </c>
      <c r="Y17" s="363" t="n"/>
      <c r="Z17" s="363" t="n"/>
      <c r="AA17" s="366">
        <f>Table46[[#This Row],[May_26_F]]-Table46[[#This Row],[May_26_A]]</f>
        <v/>
      </c>
      <c r="AB17" s="363" t="n"/>
      <c r="AC17" s="363" t="n"/>
      <c r="AD17" s="366">
        <f>Table46[[#This Row],[Jun_26_F]]-Table46[[#This Row],[Jun_26_A]]</f>
        <v/>
      </c>
      <c r="AE17" s="363" t="n"/>
      <c r="AF17" s="363" t="n"/>
      <c r="AG17" s="366">
        <f>Table46[[#This Row],[Jul_26_F]]-Table46[[#This Row],[Jul_26_A]]</f>
        <v/>
      </c>
      <c r="AH17" s="363" t="n"/>
      <c r="AI17" s="363" t="n"/>
      <c r="AJ17" s="366">
        <f>Table46[[#This Row],[Aug_26_F]]-Table46[[#This Row],[Aug_26_A]]</f>
        <v/>
      </c>
      <c r="AK17" s="363" t="n"/>
      <c r="AL17" s="363" t="n"/>
      <c r="AM17" s="366">
        <f>Table46[[#This Row],[Sep_26_F]]-Table46[[#This Row],[Sep_26_A]]</f>
        <v/>
      </c>
      <c r="AN17" s="363" t="n"/>
      <c r="AO17" s="363" t="n"/>
      <c r="AP17" s="366">
        <f>Table46[[#This Row],[Oct_26_F]]-Table46[[#This Row],[Oct_26_A]]</f>
        <v/>
      </c>
      <c r="AQ17" s="363" t="n"/>
      <c r="AR17" s="363" t="n"/>
      <c r="AS17" s="366">
        <f>Table46[[#This Row],[Nov_26_F]]-Table46[[#This Row],[Nov_26_A]]</f>
        <v/>
      </c>
      <c r="AT17" s="363" t="n"/>
      <c r="AU17" s="363" t="n"/>
      <c r="AV17" s="366">
        <f>Table46[[#This Row],[Dec_26_F]]-Table46[[#This Row],[Dec_26_A]]</f>
        <v/>
      </c>
      <c r="AW17" s="346" t="n"/>
      <c r="AX17" s="363" t="n"/>
      <c r="AY17" s="363" t="n"/>
      <c r="AZ17" s="366">
        <f>Table46[[#This Row],[Jan_27_F]]-Table46[[#This Row],[Jan_27_Act]]</f>
        <v/>
      </c>
      <c r="BA17" s="363" t="n"/>
      <c r="BB17" s="363" t="n"/>
      <c r="BC17" s="366">
        <f>Table46[[#This Row],[Feb_27_F]]-Table46[[#This Row],[Feb_27_A]]</f>
        <v/>
      </c>
      <c r="BD17" s="363" t="n"/>
      <c r="BE17" s="363" t="n"/>
      <c r="BF17" s="366">
        <f>Table46[[#This Row],[Mar_27_F]]-Table46[[#This Row],[Mar_27_A]]</f>
        <v/>
      </c>
      <c r="BG17" s="363" t="n"/>
      <c r="BH17" s="363" t="n"/>
      <c r="BI17" s="366">
        <f>Table46[[#This Row],[Apr_27_F]]-Table46[[#This Row],[Apr_27_A]]</f>
        <v/>
      </c>
      <c r="BJ17" s="363" t="n"/>
      <c r="BK17" s="363" t="n"/>
      <c r="BL17" s="366">
        <f>Table46[[#This Row],[May_27_F]]-Table46[[#This Row],[May_27_A]]</f>
        <v/>
      </c>
      <c r="BM17" s="363" t="n"/>
      <c r="BN17" s="363" t="n"/>
      <c r="BO17" s="366">
        <f>Table46[[#This Row],[Jun_27_F]]-Table46[[#This Row],[Jun_27_A]]</f>
        <v/>
      </c>
      <c r="BP17" s="363" t="n"/>
      <c r="BQ17" s="363" t="n"/>
      <c r="BR17" s="366">
        <f>Table46[[#This Row],[Jul_27_F]]-Table46[[#This Row],[Jul_27_A]]</f>
        <v/>
      </c>
      <c r="BS17" s="363" t="n"/>
      <c r="BT17" s="363" t="n"/>
      <c r="BU17" s="366">
        <f>Table46[[#This Row],[Aug_27_F]]-Table46[[#This Row],[Aug_27_A]]</f>
        <v/>
      </c>
      <c r="BV17" s="363" t="n"/>
      <c r="BW17" s="363" t="n"/>
      <c r="BX17" s="366">
        <f>Table46[[#This Row],[Sep_27_F]]-Table46[[#This Row],[Sep_27_A]]</f>
        <v/>
      </c>
      <c r="BY17" s="363" t="n"/>
      <c r="BZ17" s="363" t="n"/>
      <c r="CA17" s="366">
        <f>Table46[[#This Row],[Oct_27_F]]-Table46[[#This Row],[Oct_27_A]]</f>
        <v/>
      </c>
      <c r="CB17" s="363" t="n"/>
      <c r="CC17" s="363" t="n"/>
      <c r="CD17" s="366">
        <f>Table46[[#This Row],[Nov_27_F]]-Table46[[#This Row],[Nov_27_A]]</f>
        <v/>
      </c>
      <c r="CE17" s="363" t="n"/>
      <c r="CF17" s="363" t="n"/>
      <c r="CG17" s="366">
        <f>Table46[[#This Row],[Dec_27_F]]-Table46[[#This Row],[Dec_27_A]]</f>
        <v/>
      </c>
    </row>
    <row r="18" ht="14.45" customHeight="1">
      <c r="B18" s="13" t="n"/>
      <c r="C18" s="13" t="n"/>
      <c r="D18" s="364" t="n"/>
      <c r="E18" s="13" t="n"/>
      <c r="F18" s="13" t="n"/>
      <c r="G18" s="13" t="n"/>
      <c r="H18" s="13" t="n"/>
      <c r="I18" s="361" t="n"/>
      <c r="J18" s="361" t="n"/>
      <c r="L18" s="346" t="n"/>
      <c r="M18" s="363" t="n"/>
      <c r="N18" s="363" t="n"/>
      <c r="O18" s="362">
        <f>Table46[[#This Row],[Jan_26_F]]-Table46[[#This Row],[Jan_26_Act]]</f>
        <v/>
      </c>
      <c r="P18" s="363" t="n"/>
      <c r="Q18" s="363" t="n"/>
      <c r="R18" s="362">
        <f>Table46[[#This Row],[Feb_26_F]]-Table46[[#This Row],[Feb_26_A]]</f>
        <v/>
      </c>
      <c r="S18" s="363" t="n"/>
      <c r="T18" s="363" t="n"/>
      <c r="U18" s="362">
        <f>Table46[[#This Row],[Mar_26_F]]-Table46[[#This Row],[Mar_26_A]]</f>
        <v/>
      </c>
      <c r="V18" s="363" t="n"/>
      <c r="W18" s="363" t="n"/>
      <c r="X18" s="362">
        <f>Table46[[#This Row],[Apr_26_F]]-Table46[[#This Row],[Apr_26_A]]</f>
        <v/>
      </c>
      <c r="Y18" s="363" t="n"/>
      <c r="Z18" s="363" t="n"/>
      <c r="AA18" s="362">
        <f>Table46[[#This Row],[May_26_F]]-Table46[[#This Row],[May_26_A]]</f>
        <v/>
      </c>
      <c r="AB18" s="363" t="n"/>
      <c r="AC18" s="363" t="n"/>
      <c r="AD18" s="362">
        <f>Table46[[#This Row],[Jun_26_F]]-Table46[[#This Row],[Jun_26_A]]</f>
        <v/>
      </c>
      <c r="AE18" s="363" t="n"/>
      <c r="AF18" s="363" t="n"/>
      <c r="AG18" s="362">
        <f>Table46[[#This Row],[Jul_26_F]]-Table46[[#This Row],[Jul_26_A]]</f>
        <v/>
      </c>
      <c r="AH18" s="363" t="n"/>
      <c r="AI18" s="363" t="n"/>
      <c r="AJ18" s="362">
        <f>Table46[[#This Row],[Aug_26_F]]-Table46[[#This Row],[Aug_26_A]]</f>
        <v/>
      </c>
      <c r="AK18" s="363" t="n"/>
      <c r="AL18" s="363" t="n"/>
      <c r="AM18" s="362">
        <f>Table46[[#This Row],[Sep_26_F]]-Table46[[#This Row],[Sep_26_A]]</f>
        <v/>
      </c>
      <c r="AN18" s="363" t="n"/>
      <c r="AO18" s="363" t="n"/>
      <c r="AP18" s="362">
        <f>Table46[[#This Row],[Oct_26_F]]-Table46[[#This Row],[Oct_26_A]]</f>
        <v/>
      </c>
      <c r="AQ18" s="363" t="n"/>
      <c r="AR18" s="363" t="n"/>
      <c r="AS18" s="362">
        <f>Table46[[#This Row],[Nov_26_F]]-Table46[[#This Row],[Nov_26_A]]</f>
        <v/>
      </c>
      <c r="AT18" s="363" t="n"/>
      <c r="AU18" s="363" t="n"/>
      <c r="AV18" s="362">
        <f>Table46[[#This Row],[Dec_26_F]]-Table46[[#This Row],[Dec_26_A]]</f>
        <v/>
      </c>
      <c r="AW18" s="346" t="n"/>
      <c r="AX18" s="363" t="n"/>
      <c r="AY18" s="363" t="n"/>
      <c r="AZ18" s="362">
        <f>Table46[[#This Row],[Jan_27_F]]-Table46[[#This Row],[Jan_27_Act]]</f>
        <v/>
      </c>
      <c r="BA18" s="363" t="n"/>
      <c r="BB18" s="363" t="n"/>
      <c r="BC18" s="362">
        <f>Table46[[#This Row],[Feb_27_F]]-Table46[[#This Row],[Feb_27_A]]</f>
        <v/>
      </c>
      <c r="BD18" s="363" t="n"/>
      <c r="BE18" s="363" t="n"/>
      <c r="BF18" s="362">
        <f>Table46[[#This Row],[Mar_27_F]]-Table46[[#This Row],[Mar_27_A]]</f>
        <v/>
      </c>
      <c r="BG18" s="363" t="n"/>
      <c r="BH18" s="363" t="n"/>
      <c r="BI18" s="362">
        <f>Table46[[#This Row],[Apr_27_F]]-Table46[[#This Row],[Apr_27_A]]</f>
        <v/>
      </c>
      <c r="BJ18" s="363" t="n"/>
      <c r="BK18" s="363" t="n"/>
      <c r="BL18" s="362">
        <f>Table46[[#This Row],[May_27_F]]-Table46[[#This Row],[May_27_A]]</f>
        <v/>
      </c>
      <c r="BM18" s="363" t="n"/>
      <c r="BN18" s="363" t="n"/>
      <c r="BO18" s="362">
        <f>Table46[[#This Row],[Jun_27_F]]-Table46[[#This Row],[Jun_27_A]]</f>
        <v/>
      </c>
      <c r="BP18" s="363" t="n"/>
      <c r="BQ18" s="363" t="n"/>
      <c r="BR18" s="362">
        <f>Table46[[#This Row],[Jul_27_F]]-Table46[[#This Row],[Jul_27_A]]</f>
        <v/>
      </c>
      <c r="BS18" s="363" t="n"/>
      <c r="BT18" s="363" t="n"/>
      <c r="BU18" s="362">
        <f>Table46[[#This Row],[Aug_27_F]]-Table46[[#This Row],[Aug_27_A]]</f>
        <v/>
      </c>
      <c r="BV18" s="363" t="n"/>
      <c r="BW18" s="363" t="n"/>
      <c r="BX18" s="362">
        <f>Table46[[#This Row],[Sep_27_F]]-Table46[[#This Row],[Sep_27_A]]</f>
        <v/>
      </c>
      <c r="BY18" s="363" t="n"/>
      <c r="BZ18" s="363" t="n"/>
      <c r="CA18" s="362">
        <f>Table46[[#This Row],[Oct_27_F]]-Table46[[#This Row],[Oct_27_A]]</f>
        <v/>
      </c>
      <c r="CB18" s="363" t="n"/>
      <c r="CC18" s="363" t="n"/>
      <c r="CD18" s="362">
        <f>Table46[[#This Row],[Nov_27_F]]-Table46[[#This Row],[Nov_27_A]]</f>
        <v/>
      </c>
      <c r="CE18" s="363" t="n"/>
      <c r="CF18" s="363" t="n"/>
      <c r="CG18" s="362">
        <f>Table46[[#This Row],[Dec_27_F]]-Table46[[#This Row],[Dec_27_A]]</f>
        <v/>
      </c>
    </row>
    <row r="19" ht="14.45" customHeight="1">
      <c r="B19" s="13" t="n"/>
      <c r="C19" s="13" t="n"/>
      <c r="D19" s="367" t="n"/>
      <c r="F19" s="13" t="n"/>
      <c r="G19" s="13" t="n"/>
      <c r="H19" s="13" t="n"/>
      <c r="I19" s="13" t="n"/>
      <c r="J19" s="13" t="n"/>
      <c r="L19" s="346" t="n"/>
      <c r="M19" s="363" t="n"/>
      <c r="N19" s="363" t="n"/>
      <c r="O19" s="366">
        <f>Table46[[#This Row],[Jan_26_F]]-Table46[[#This Row],[Jan_26_Act]]</f>
        <v/>
      </c>
      <c r="P19" s="363" t="n"/>
      <c r="Q19" s="363" t="n"/>
      <c r="R19" s="366">
        <f>Table46[[#This Row],[Feb_26_F]]-Table46[[#This Row],[Feb_26_A]]</f>
        <v/>
      </c>
      <c r="S19" s="363" t="n"/>
      <c r="T19" s="363" t="n"/>
      <c r="U19" s="366">
        <f>Table46[[#This Row],[Mar_26_F]]-Table46[[#This Row],[Mar_26_A]]</f>
        <v/>
      </c>
      <c r="V19" s="363" t="n"/>
      <c r="W19" s="363" t="n"/>
      <c r="X19" s="366">
        <f>Table46[[#This Row],[Apr_26_F]]-Table46[[#This Row],[Apr_26_A]]</f>
        <v/>
      </c>
      <c r="Y19" s="363" t="n"/>
      <c r="Z19" s="363" t="n"/>
      <c r="AA19" s="366">
        <f>Table46[[#This Row],[May_26_F]]-Table46[[#This Row],[May_26_A]]</f>
        <v/>
      </c>
      <c r="AB19" s="363" t="n"/>
      <c r="AC19" s="363" t="n"/>
      <c r="AD19" s="366">
        <f>Table46[[#This Row],[Jun_26_F]]-Table46[[#This Row],[Jun_26_A]]</f>
        <v/>
      </c>
      <c r="AE19" s="363" t="n"/>
      <c r="AF19" s="363" t="n"/>
      <c r="AG19" s="366">
        <f>Table46[[#This Row],[Jul_26_F]]-Table46[[#This Row],[Jul_26_A]]</f>
        <v/>
      </c>
      <c r="AH19" s="363" t="n"/>
      <c r="AI19" s="363" t="n"/>
      <c r="AJ19" s="366">
        <f>Table46[[#This Row],[Aug_26_F]]-Table46[[#This Row],[Aug_26_A]]</f>
        <v/>
      </c>
      <c r="AK19" s="363" t="n"/>
      <c r="AL19" s="363" t="n"/>
      <c r="AM19" s="366">
        <f>Table46[[#This Row],[Sep_26_F]]-Table46[[#This Row],[Sep_26_A]]</f>
        <v/>
      </c>
      <c r="AN19" s="363" t="n"/>
      <c r="AO19" s="363" t="n"/>
      <c r="AP19" s="366">
        <f>Table46[[#This Row],[Oct_26_F]]-Table46[[#This Row],[Oct_26_A]]</f>
        <v/>
      </c>
      <c r="AQ19" s="363" t="n"/>
      <c r="AR19" s="363" t="n"/>
      <c r="AS19" s="366">
        <f>Table46[[#This Row],[Nov_26_F]]-Table46[[#This Row],[Nov_26_A]]</f>
        <v/>
      </c>
      <c r="AT19" s="363" t="n"/>
      <c r="AU19" s="363" t="n"/>
      <c r="AV19" s="366">
        <f>Table46[[#This Row],[Dec_26_F]]-Table46[[#This Row],[Dec_26_A]]</f>
        <v/>
      </c>
      <c r="AW19" s="346" t="n"/>
      <c r="AX19" s="363" t="n"/>
      <c r="AY19" s="363" t="n"/>
      <c r="AZ19" s="366">
        <f>Table46[[#This Row],[Jan_27_F]]-Table46[[#This Row],[Jan_27_Act]]</f>
        <v/>
      </c>
      <c r="BA19" s="363" t="n"/>
      <c r="BB19" s="363" t="n"/>
      <c r="BC19" s="366">
        <f>Table46[[#This Row],[Feb_27_F]]-Table46[[#This Row],[Feb_27_A]]</f>
        <v/>
      </c>
      <c r="BD19" s="363" t="n"/>
      <c r="BE19" s="363" t="n"/>
      <c r="BF19" s="366">
        <f>Table46[[#This Row],[Mar_27_F]]-Table46[[#This Row],[Mar_27_A]]</f>
        <v/>
      </c>
      <c r="BG19" s="363" t="n"/>
      <c r="BH19" s="363" t="n"/>
      <c r="BI19" s="366">
        <f>Table46[[#This Row],[Apr_27_F]]-Table46[[#This Row],[Apr_27_A]]</f>
        <v/>
      </c>
      <c r="BJ19" s="363" t="n"/>
      <c r="BK19" s="363" t="n"/>
      <c r="BL19" s="366">
        <f>Table46[[#This Row],[May_27_F]]-Table46[[#This Row],[May_27_A]]</f>
        <v/>
      </c>
      <c r="BM19" s="363" t="n"/>
      <c r="BN19" s="363" t="n"/>
      <c r="BO19" s="366">
        <f>Table46[[#This Row],[Jun_27_F]]-Table46[[#This Row],[Jun_27_A]]</f>
        <v/>
      </c>
      <c r="BP19" s="363" t="n"/>
      <c r="BQ19" s="363" t="n"/>
      <c r="BR19" s="366">
        <f>Table46[[#This Row],[Jul_27_F]]-Table46[[#This Row],[Jul_27_A]]</f>
        <v/>
      </c>
      <c r="BS19" s="363" t="n"/>
      <c r="BT19" s="363" t="n"/>
      <c r="BU19" s="366">
        <f>Table46[[#This Row],[Aug_27_F]]-Table46[[#This Row],[Aug_27_A]]</f>
        <v/>
      </c>
      <c r="BV19" s="363" t="n"/>
      <c r="BW19" s="363" t="n"/>
      <c r="BX19" s="366">
        <f>Table46[[#This Row],[Sep_27_F]]-Table46[[#This Row],[Sep_27_A]]</f>
        <v/>
      </c>
      <c r="BY19" s="363" t="n"/>
      <c r="BZ19" s="363" t="n"/>
      <c r="CA19" s="366">
        <f>Table46[[#This Row],[Oct_27_F]]-Table46[[#This Row],[Oct_27_A]]</f>
        <v/>
      </c>
      <c r="CB19" s="363" t="n"/>
      <c r="CC19" s="363" t="n"/>
      <c r="CD19" s="366">
        <f>Table46[[#This Row],[Nov_27_F]]-Table46[[#This Row],[Nov_27_A]]</f>
        <v/>
      </c>
      <c r="CE19" s="363" t="n"/>
      <c r="CF19" s="363" t="n"/>
      <c r="CG19" s="366">
        <f>Table46[[#This Row],[Dec_27_F]]-Table46[[#This Row],[Dec_27_A]]</f>
        <v/>
      </c>
    </row>
    <row r="20" ht="14.45" customHeight="1">
      <c r="B20" s="13" t="n"/>
      <c r="C20" s="13" t="n"/>
      <c r="D20" s="367" t="n"/>
      <c r="F20" s="13" t="n"/>
      <c r="G20" s="13" t="n"/>
      <c r="H20" s="13" t="n"/>
      <c r="I20" s="13" t="n"/>
      <c r="J20" s="13" t="n"/>
      <c r="L20" s="346" t="n"/>
      <c r="M20" s="363" t="n"/>
      <c r="N20" s="363" t="n"/>
      <c r="O20" s="362">
        <f>Table46[[#This Row],[Jan_26_F]]-Table46[[#This Row],[Jan_26_Act]]</f>
        <v/>
      </c>
      <c r="P20" s="363" t="n"/>
      <c r="Q20" s="363" t="n"/>
      <c r="R20" s="362">
        <f>Table46[[#This Row],[Feb_26_F]]-Table46[[#This Row],[Feb_26_A]]</f>
        <v/>
      </c>
      <c r="S20" s="363" t="n"/>
      <c r="T20" s="363" t="n"/>
      <c r="U20" s="362">
        <f>Table46[[#This Row],[Mar_26_F]]-Table46[[#This Row],[Mar_26_A]]</f>
        <v/>
      </c>
      <c r="V20" s="363" t="n"/>
      <c r="W20" s="363" t="n"/>
      <c r="X20" s="362">
        <f>Table46[[#This Row],[Apr_26_F]]-Table46[[#This Row],[Apr_26_A]]</f>
        <v/>
      </c>
      <c r="Y20" s="363" t="n"/>
      <c r="Z20" s="363" t="n"/>
      <c r="AA20" s="362">
        <f>Table46[[#This Row],[May_26_F]]-Table46[[#This Row],[May_26_A]]</f>
        <v/>
      </c>
      <c r="AB20" s="363" t="n"/>
      <c r="AC20" s="363" t="n"/>
      <c r="AD20" s="362">
        <f>Table46[[#This Row],[Jun_26_F]]-Table46[[#This Row],[Jun_26_A]]</f>
        <v/>
      </c>
      <c r="AE20" s="363" t="n"/>
      <c r="AF20" s="363" t="n"/>
      <c r="AG20" s="362">
        <f>Table46[[#This Row],[Jul_26_F]]-Table46[[#This Row],[Jul_26_A]]</f>
        <v/>
      </c>
      <c r="AH20" s="363" t="n"/>
      <c r="AI20" s="363" t="n"/>
      <c r="AJ20" s="362">
        <f>Table46[[#This Row],[Aug_26_F]]-Table46[[#This Row],[Aug_26_A]]</f>
        <v/>
      </c>
      <c r="AK20" s="363" t="n"/>
      <c r="AL20" s="363" t="n"/>
      <c r="AM20" s="362">
        <f>Table46[[#This Row],[Sep_26_F]]-Table46[[#This Row],[Sep_26_A]]</f>
        <v/>
      </c>
      <c r="AN20" s="363" t="n"/>
      <c r="AO20" s="363" t="n"/>
      <c r="AP20" s="362">
        <f>Table46[[#This Row],[Oct_26_F]]-Table46[[#This Row],[Oct_26_A]]</f>
        <v/>
      </c>
      <c r="AQ20" s="363" t="n"/>
      <c r="AR20" s="363" t="n"/>
      <c r="AS20" s="362">
        <f>Table46[[#This Row],[Nov_26_F]]-Table46[[#This Row],[Nov_26_A]]</f>
        <v/>
      </c>
      <c r="AT20" s="363" t="n"/>
      <c r="AU20" s="363" t="n"/>
      <c r="AV20" s="362">
        <f>Table46[[#This Row],[Dec_26_F]]-Table46[[#This Row],[Dec_26_A]]</f>
        <v/>
      </c>
      <c r="AW20" s="346" t="n"/>
      <c r="AX20" s="363" t="n"/>
      <c r="AY20" s="363" t="n"/>
      <c r="AZ20" s="362">
        <f>Table46[[#This Row],[Jan_27_F]]-Table46[[#This Row],[Jan_27_Act]]</f>
        <v/>
      </c>
      <c r="BA20" s="363" t="n"/>
      <c r="BB20" s="363" t="n"/>
      <c r="BC20" s="362">
        <f>Table46[[#This Row],[Feb_27_F]]-Table46[[#This Row],[Feb_27_A]]</f>
        <v/>
      </c>
      <c r="BD20" s="363" t="n"/>
      <c r="BE20" s="363" t="n"/>
      <c r="BF20" s="362">
        <f>Table46[[#This Row],[Mar_27_F]]-Table46[[#This Row],[Mar_27_A]]</f>
        <v/>
      </c>
      <c r="BG20" s="363" t="n"/>
      <c r="BH20" s="363" t="n"/>
      <c r="BI20" s="362">
        <f>Table46[[#This Row],[Apr_27_F]]-Table46[[#This Row],[Apr_27_A]]</f>
        <v/>
      </c>
      <c r="BJ20" s="363" t="n"/>
      <c r="BK20" s="363" t="n"/>
      <c r="BL20" s="362">
        <f>Table46[[#This Row],[May_27_F]]-Table46[[#This Row],[May_27_A]]</f>
        <v/>
      </c>
      <c r="BM20" s="363" t="n"/>
      <c r="BN20" s="363" t="n"/>
      <c r="BO20" s="362">
        <f>Table46[[#This Row],[Jun_27_F]]-Table46[[#This Row],[Jun_27_A]]</f>
        <v/>
      </c>
      <c r="BP20" s="363" t="n"/>
      <c r="BQ20" s="363" t="n"/>
      <c r="BR20" s="362">
        <f>Table46[[#This Row],[Jul_27_F]]-Table46[[#This Row],[Jul_27_A]]</f>
        <v/>
      </c>
      <c r="BS20" s="363" t="n"/>
      <c r="BT20" s="363" t="n"/>
      <c r="BU20" s="362">
        <f>Table46[[#This Row],[Aug_27_F]]-Table46[[#This Row],[Aug_27_A]]</f>
        <v/>
      </c>
      <c r="BV20" s="363" t="n"/>
      <c r="BW20" s="363" t="n"/>
      <c r="BX20" s="362">
        <f>Table46[[#This Row],[Sep_27_F]]-Table46[[#This Row],[Sep_27_A]]</f>
        <v/>
      </c>
      <c r="BY20" s="363" t="n"/>
      <c r="BZ20" s="363" t="n"/>
      <c r="CA20" s="362">
        <f>Table46[[#This Row],[Oct_27_F]]-Table46[[#This Row],[Oct_27_A]]</f>
        <v/>
      </c>
      <c r="CB20" s="363" t="n"/>
      <c r="CC20" s="363" t="n"/>
      <c r="CD20" s="362">
        <f>Table46[[#This Row],[Nov_27_F]]-Table46[[#This Row],[Nov_27_A]]</f>
        <v/>
      </c>
      <c r="CE20" s="363" t="n"/>
      <c r="CF20" s="363" t="n"/>
      <c r="CG20" s="362">
        <f>Table46[[#This Row],[Dec_27_F]]-Table46[[#This Row],[Dec_27_A]]</f>
        <v/>
      </c>
    </row>
    <row r="21" ht="14.45" customHeight="1">
      <c r="B21" s="13" t="n"/>
      <c r="C21" s="13" t="n"/>
      <c r="D21" s="367" t="n"/>
      <c r="F21" s="13" t="n"/>
      <c r="G21" s="13" t="n"/>
      <c r="H21" s="13" t="n"/>
      <c r="I21" s="13" t="n"/>
      <c r="J21" s="13" t="n"/>
      <c r="L21" s="346" t="n"/>
      <c r="M21" s="363" t="n"/>
      <c r="N21" s="363" t="n"/>
      <c r="O21" s="366">
        <f>Table46[[#This Row],[Jan_26_F]]-Table46[[#This Row],[Jan_26_Act]]</f>
        <v/>
      </c>
      <c r="P21" s="363" t="n"/>
      <c r="Q21" s="363" t="n"/>
      <c r="R21" s="366">
        <f>Table46[[#This Row],[Feb_26_F]]-Table46[[#This Row],[Feb_26_A]]</f>
        <v/>
      </c>
      <c r="S21" s="363" t="n"/>
      <c r="T21" s="363" t="n"/>
      <c r="U21" s="366">
        <f>Table46[[#This Row],[Mar_26_F]]-Table46[[#This Row],[Mar_26_A]]</f>
        <v/>
      </c>
      <c r="V21" s="363" t="n"/>
      <c r="W21" s="363" t="n"/>
      <c r="X21" s="366">
        <f>Table46[[#This Row],[Apr_26_F]]-Table46[[#This Row],[Apr_26_A]]</f>
        <v/>
      </c>
      <c r="Y21" s="363" t="n"/>
      <c r="Z21" s="363" t="n"/>
      <c r="AA21" s="366">
        <f>Table46[[#This Row],[May_26_F]]-Table46[[#This Row],[May_26_A]]</f>
        <v/>
      </c>
      <c r="AB21" s="363" t="n"/>
      <c r="AC21" s="363" t="n"/>
      <c r="AD21" s="366">
        <f>Table46[[#This Row],[Jun_26_F]]-Table46[[#This Row],[Jun_26_A]]</f>
        <v/>
      </c>
      <c r="AE21" s="363" t="n"/>
      <c r="AF21" s="363" t="n"/>
      <c r="AG21" s="366">
        <f>Table46[[#This Row],[Jul_26_F]]-Table46[[#This Row],[Jul_26_A]]</f>
        <v/>
      </c>
      <c r="AH21" s="363" t="n"/>
      <c r="AI21" s="363" t="n"/>
      <c r="AJ21" s="366">
        <f>Table46[[#This Row],[Aug_26_F]]-Table46[[#This Row],[Aug_26_A]]</f>
        <v/>
      </c>
      <c r="AK21" s="363" t="n"/>
      <c r="AL21" s="363" t="n"/>
      <c r="AM21" s="366">
        <f>Table46[[#This Row],[Sep_26_F]]-Table46[[#This Row],[Sep_26_A]]</f>
        <v/>
      </c>
      <c r="AN21" s="363" t="n"/>
      <c r="AO21" s="363" t="n"/>
      <c r="AP21" s="366">
        <f>Table46[[#This Row],[Oct_26_F]]-Table46[[#This Row],[Oct_26_A]]</f>
        <v/>
      </c>
      <c r="AQ21" s="363" t="n"/>
      <c r="AR21" s="363" t="n"/>
      <c r="AS21" s="366">
        <f>Table46[[#This Row],[Nov_26_F]]-Table46[[#This Row],[Nov_26_A]]</f>
        <v/>
      </c>
      <c r="AT21" s="363" t="n"/>
      <c r="AU21" s="363" t="n"/>
      <c r="AV21" s="366">
        <f>Table46[[#This Row],[Dec_26_F]]-Table46[[#This Row],[Dec_26_A]]</f>
        <v/>
      </c>
      <c r="AW21" s="346" t="n"/>
      <c r="AX21" s="363" t="n"/>
      <c r="AY21" s="363" t="n"/>
      <c r="AZ21" s="366">
        <f>Table46[[#This Row],[Jan_27_F]]-Table46[[#This Row],[Jan_27_Act]]</f>
        <v/>
      </c>
      <c r="BA21" s="363" t="n"/>
      <c r="BB21" s="363" t="n"/>
      <c r="BC21" s="366">
        <f>Table46[[#This Row],[Feb_27_F]]-Table46[[#This Row],[Feb_27_A]]</f>
        <v/>
      </c>
      <c r="BD21" s="363" t="n"/>
      <c r="BE21" s="363" t="n"/>
      <c r="BF21" s="366">
        <f>Table46[[#This Row],[Mar_27_F]]-Table46[[#This Row],[Mar_27_A]]</f>
        <v/>
      </c>
      <c r="BG21" s="363" t="n"/>
      <c r="BH21" s="363" t="n"/>
      <c r="BI21" s="366">
        <f>Table46[[#This Row],[Apr_27_F]]-Table46[[#This Row],[Apr_27_A]]</f>
        <v/>
      </c>
      <c r="BJ21" s="363" t="n"/>
      <c r="BK21" s="363" t="n"/>
      <c r="BL21" s="366">
        <f>Table46[[#This Row],[May_27_F]]-Table46[[#This Row],[May_27_A]]</f>
        <v/>
      </c>
      <c r="BM21" s="363" t="n"/>
      <c r="BN21" s="363" t="n"/>
      <c r="BO21" s="366">
        <f>Table46[[#This Row],[Jun_27_F]]-Table46[[#This Row],[Jun_27_A]]</f>
        <v/>
      </c>
      <c r="BP21" s="363" t="n"/>
      <c r="BQ21" s="363" t="n"/>
      <c r="BR21" s="366">
        <f>Table46[[#This Row],[Jul_27_F]]-Table46[[#This Row],[Jul_27_A]]</f>
        <v/>
      </c>
      <c r="BS21" s="363" t="n"/>
      <c r="BT21" s="363" t="n"/>
      <c r="BU21" s="366">
        <f>Table46[[#This Row],[Aug_27_F]]-Table46[[#This Row],[Aug_27_A]]</f>
        <v/>
      </c>
      <c r="BV21" s="363" t="n"/>
      <c r="BW21" s="363" t="n"/>
      <c r="BX21" s="366">
        <f>Table46[[#This Row],[Sep_27_F]]-Table46[[#This Row],[Sep_27_A]]</f>
        <v/>
      </c>
      <c r="BY21" s="363" t="n"/>
      <c r="BZ21" s="363" t="n"/>
      <c r="CA21" s="366">
        <f>Table46[[#This Row],[Oct_27_F]]-Table46[[#This Row],[Oct_27_A]]</f>
        <v/>
      </c>
      <c r="CB21" s="363" t="n"/>
      <c r="CC21" s="363" t="n"/>
      <c r="CD21" s="366">
        <f>Table46[[#This Row],[Nov_27_F]]-Table46[[#This Row],[Nov_27_A]]</f>
        <v/>
      </c>
      <c r="CE21" s="363" t="n"/>
      <c r="CF21" s="363" t="n"/>
      <c r="CG21" s="366">
        <f>Table46[[#This Row],[Dec_27_F]]-Table46[[#This Row],[Dec_27_A]]</f>
        <v/>
      </c>
    </row>
    <row r="22" ht="14.45" customHeight="1">
      <c r="B22" s="13" t="n"/>
      <c r="D22" s="367" t="n"/>
      <c r="F22" s="13" t="n"/>
      <c r="G22" s="13" t="n"/>
      <c r="H22" s="13" t="n"/>
      <c r="I22" s="13" t="n"/>
      <c r="J22" s="13" t="n"/>
      <c r="L22" s="346" t="n"/>
      <c r="M22" s="363" t="n"/>
      <c r="N22" s="363" t="n"/>
      <c r="O22" s="362">
        <f>Table46[[#This Row],[Jan_26_F]]-Table46[[#This Row],[Jan_26_Act]]</f>
        <v/>
      </c>
      <c r="P22" s="363" t="n"/>
      <c r="Q22" s="363" t="n"/>
      <c r="R22" s="362">
        <f>Table46[[#This Row],[Feb_26_F]]-Table46[[#This Row],[Feb_26_A]]</f>
        <v/>
      </c>
      <c r="S22" s="363" t="n"/>
      <c r="T22" s="363" t="n"/>
      <c r="U22" s="362">
        <f>Table46[[#This Row],[Mar_26_F]]-Table46[[#This Row],[Mar_26_A]]</f>
        <v/>
      </c>
      <c r="V22" s="363" t="n"/>
      <c r="W22" s="363" t="n"/>
      <c r="X22" s="362">
        <f>Table46[[#This Row],[Apr_26_F]]-Table46[[#This Row],[Apr_26_A]]</f>
        <v/>
      </c>
      <c r="Y22" s="363" t="n"/>
      <c r="Z22" s="363" t="n"/>
      <c r="AA22" s="362">
        <f>Table46[[#This Row],[May_26_F]]-Table46[[#This Row],[May_26_A]]</f>
        <v/>
      </c>
      <c r="AB22" s="363" t="n"/>
      <c r="AC22" s="363" t="n"/>
      <c r="AD22" s="362">
        <f>Table46[[#This Row],[Jun_26_F]]-Table46[[#This Row],[Jun_26_A]]</f>
        <v/>
      </c>
      <c r="AE22" s="363" t="n"/>
      <c r="AF22" s="363" t="n"/>
      <c r="AG22" s="362">
        <f>Table46[[#This Row],[Jul_26_F]]-Table46[[#This Row],[Jul_26_A]]</f>
        <v/>
      </c>
      <c r="AH22" s="363" t="n"/>
      <c r="AI22" s="363" t="n"/>
      <c r="AJ22" s="362">
        <f>Table46[[#This Row],[Aug_26_F]]-Table46[[#This Row],[Aug_26_A]]</f>
        <v/>
      </c>
      <c r="AK22" s="363" t="n"/>
      <c r="AL22" s="363" t="n"/>
      <c r="AM22" s="362">
        <f>Table46[[#This Row],[Sep_26_F]]-Table46[[#This Row],[Sep_26_A]]</f>
        <v/>
      </c>
      <c r="AN22" s="363" t="n"/>
      <c r="AO22" s="363" t="n"/>
      <c r="AP22" s="362">
        <f>Table46[[#This Row],[Oct_26_F]]-Table46[[#This Row],[Oct_26_A]]</f>
        <v/>
      </c>
      <c r="AQ22" s="363" t="n"/>
      <c r="AR22" s="363" t="n"/>
      <c r="AS22" s="362">
        <f>Table46[[#This Row],[Nov_26_F]]-Table46[[#This Row],[Nov_26_A]]</f>
        <v/>
      </c>
      <c r="AT22" s="363" t="n"/>
      <c r="AU22" s="363" t="n"/>
      <c r="AV22" s="362">
        <f>Table46[[#This Row],[Dec_26_F]]-Table46[[#This Row],[Dec_26_A]]</f>
        <v/>
      </c>
      <c r="AW22" s="346" t="n"/>
      <c r="AX22" s="363" t="n"/>
      <c r="AY22" s="363" t="n"/>
      <c r="AZ22" s="362">
        <f>Table46[[#This Row],[Jan_27_F]]-Table46[[#This Row],[Jan_27_Act]]</f>
        <v/>
      </c>
      <c r="BA22" s="363" t="n"/>
      <c r="BB22" s="363" t="n"/>
      <c r="BC22" s="362">
        <f>Table46[[#This Row],[Feb_27_F]]-Table46[[#This Row],[Feb_27_A]]</f>
        <v/>
      </c>
      <c r="BD22" s="363" t="n"/>
      <c r="BE22" s="363" t="n"/>
      <c r="BF22" s="362">
        <f>Table46[[#This Row],[Mar_27_F]]-Table46[[#This Row],[Mar_27_A]]</f>
        <v/>
      </c>
      <c r="BG22" s="363" t="n"/>
      <c r="BH22" s="363" t="n"/>
      <c r="BI22" s="362">
        <f>Table46[[#This Row],[Apr_27_F]]-Table46[[#This Row],[Apr_27_A]]</f>
        <v/>
      </c>
      <c r="BJ22" s="363" t="n"/>
      <c r="BK22" s="363" t="n"/>
      <c r="BL22" s="362">
        <f>Table46[[#This Row],[May_27_F]]-Table46[[#This Row],[May_27_A]]</f>
        <v/>
      </c>
      <c r="BM22" s="363" t="n"/>
      <c r="BN22" s="363" t="n"/>
      <c r="BO22" s="362">
        <f>Table46[[#This Row],[Jun_27_F]]-Table46[[#This Row],[Jun_27_A]]</f>
        <v/>
      </c>
      <c r="BP22" s="363" t="n"/>
      <c r="BQ22" s="363" t="n"/>
      <c r="BR22" s="362">
        <f>Table46[[#This Row],[Jul_27_F]]-Table46[[#This Row],[Jul_27_A]]</f>
        <v/>
      </c>
      <c r="BS22" s="363" t="n"/>
      <c r="BT22" s="363" t="n"/>
      <c r="BU22" s="362">
        <f>Table46[[#This Row],[Aug_27_F]]-Table46[[#This Row],[Aug_27_A]]</f>
        <v/>
      </c>
      <c r="BV22" s="363" t="n"/>
      <c r="BW22" s="363" t="n"/>
      <c r="BX22" s="362">
        <f>Table46[[#This Row],[Sep_27_F]]-Table46[[#This Row],[Sep_27_A]]</f>
        <v/>
      </c>
      <c r="BY22" s="363" t="n"/>
      <c r="BZ22" s="363" t="n"/>
      <c r="CA22" s="362">
        <f>Table46[[#This Row],[Oct_27_F]]-Table46[[#This Row],[Oct_27_A]]</f>
        <v/>
      </c>
      <c r="CB22" s="363" t="n"/>
      <c r="CC22" s="363" t="n"/>
      <c r="CD22" s="362">
        <f>Table46[[#This Row],[Nov_27_F]]-Table46[[#This Row],[Nov_27_A]]</f>
        <v/>
      </c>
      <c r="CE22" s="363" t="n"/>
      <c r="CF22" s="363" t="n"/>
      <c r="CG22" s="362">
        <f>Table46[[#This Row],[Dec_27_F]]-Table46[[#This Row],[Dec_27_A]]</f>
        <v/>
      </c>
    </row>
    <row r="23" ht="14.45" customHeight="1">
      <c r="B23" s="13" t="n"/>
      <c r="D23" s="367" t="n"/>
      <c r="F23" s="13" t="n"/>
      <c r="G23" s="13" t="n"/>
      <c r="H23" s="13" t="n"/>
      <c r="I23" s="13" t="n"/>
      <c r="J23" s="13" t="n"/>
      <c r="L23" s="346" t="n"/>
      <c r="M23" s="363" t="n"/>
      <c r="N23" s="363" t="n"/>
      <c r="O23" s="366">
        <f>Table46[[#This Row],[Jan_26_F]]-Table46[[#This Row],[Jan_26_Act]]</f>
        <v/>
      </c>
      <c r="P23" s="363" t="n"/>
      <c r="Q23" s="363" t="n"/>
      <c r="R23" s="366">
        <f>Table46[[#This Row],[Feb_26_F]]-Table46[[#This Row],[Feb_26_A]]</f>
        <v/>
      </c>
      <c r="S23" s="363" t="n"/>
      <c r="T23" s="363" t="n"/>
      <c r="U23" s="366">
        <f>Table46[[#This Row],[Mar_26_F]]-Table46[[#This Row],[Mar_26_A]]</f>
        <v/>
      </c>
      <c r="V23" s="363" t="n"/>
      <c r="W23" s="363" t="n"/>
      <c r="X23" s="366">
        <f>Table46[[#This Row],[Apr_26_F]]-Table46[[#This Row],[Apr_26_A]]</f>
        <v/>
      </c>
      <c r="Y23" s="363" t="n"/>
      <c r="Z23" s="363" t="n"/>
      <c r="AA23" s="366">
        <f>Table46[[#This Row],[May_26_F]]-Table46[[#This Row],[May_26_A]]</f>
        <v/>
      </c>
      <c r="AB23" s="363" t="n"/>
      <c r="AC23" s="363" t="n"/>
      <c r="AD23" s="366">
        <f>Table46[[#This Row],[Jun_26_F]]-Table46[[#This Row],[Jun_26_A]]</f>
        <v/>
      </c>
      <c r="AE23" s="363" t="n"/>
      <c r="AF23" s="363" t="n"/>
      <c r="AG23" s="366">
        <f>Table46[[#This Row],[Jul_26_F]]-Table46[[#This Row],[Jul_26_A]]</f>
        <v/>
      </c>
      <c r="AH23" s="363" t="n"/>
      <c r="AI23" s="363" t="n"/>
      <c r="AJ23" s="366">
        <f>Table46[[#This Row],[Aug_26_F]]-Table46[[#This Row],[Aug_26_A]]</f>
        <v/>
      </c>
      <c r="AK23" s="363" t="n"/>
      <c r="AL23" s="363" t="n"/>
      <c r="AM23" s="366">
        <f>Table46[[#This Row],[Sep_26_F]]-Table46[[#This Row],[Sep_26_A]]</f>
        <v/>
      </c>
      <c r="AN23" s="363" t="n"/>
      <c r="AO23" s="363" t="n"/>
      <c r="AP23" s="366">
        <f>Table46[[#This Row],[Oct_26_F]]-Table46[[#This Row],[Oct_26_A]]</f>
        <v/>
      </c>
      <c r="AQ23" s="363" t="n"/>
      <c r="AR23" s="363" t="n"/>
      <c r="AS23" s="366">
        <f>Table46[[#This Row],[Nov_26_F]]-Table46[[#This Row],[Nov_26_A]]</f>
        <v/>
      </c>
      <c r="AT23" s="363" t="n"/>
      <c r="AU23" s="363" t="n"/>
      <c r="AV23" s="366">
        <f>Table46[[#This Row],[Dec_26_F]]-Table46[[#This Row],[Dec_26_A]]</f>
        <v/>
      </c>
      <c r="AW23" s="346" t="n"/>
      <c r="AX23" s="363" t="n"/>
      <c r="AY23" s="363" t="n"/>
      <c r="AZ23" s="366">
        <f>Table46[[#This Row],[Jan_27_F]]-Table46[[#This Row],[Jan_27_Act]]</f>
        <v/>
      </c>
      <c r="BA23" s="363" t="n"/>
      <c r="BB23" s="363" t="n"/>
      <c r="BC23" s="366">
        <f>Table46[[#This Row],[Feb_27_F]]-Table46[[#This Row],[Feb_27_A]]</f>
        <v/>
      </c>
      <c r="BD23" s="363" t="n"/>
      <c r="BE23" s="363" t="n"/>
      <c r="BF23" s="366">
        <f>Table46[[#This Row],[Mar_27_F]]-Table46[[#This Row],[Mar_27_A]]</f>
        <v/>
      </c>
      <c r="BG23" s="363" t="n"/>
      <c r="BH23" s="363" t="n"/>
      <c r="BI23" s="366">
        <f>Table46[[#This Row],[Apr_27_F]]-Table46[[#This Row],[Apr_27_A]]</f>
        <v/>
      </c>
      <c r="BJ23" s="363" t="n"/>
      <c r="BK23" s="363" t="n"/>
      <c r="BL23" s="366">
        <f>Table46[[#This Row],[May_27_F]]-Table46[[#This Row],[May_27_A]]</f>
        <v/>
      </c>
      <c r="BM23" s="363" t="n"/>
      <c r="BN23" s="363" t="n"/>
      <c r="BO23" s="366">
        <f>Table46[[#This Row],[Jun_27_F]]-Table46[[#This Row],[Jun_27_A]]</f>
        <v/>
      </c>
      <c r="BP23" s="363" t="n"/>
      <c r="BQ23" s="363" t="n"/>
      <c r="BR23" s="366">
        <f>Table46[[#This Row],[Jul_27_F]]-Table46[[#This Row],[Jul_27_A]]</f>
        <v/>
      </c>
      <c r="BS23" s="363" t="n"/>
      <c r="BT23" s="363" t="n"/>
      <c r="BU23" s="366">
        <f>Table46[[#This Row],[Aug_27_F]]-Table46[[#This Row],[Aug_27_A]]</f>
        <v/>
      </c>
      <c r="BV23" s="363" t="n"/>
      <c r="BW23" s="363" t="n"/>
      <c r="BX23" s="366">
        <f>Table46[[#This Row],[Sep_27_F]]-Table46[[#This Row],[Sep_27_A]]</f>
        <v/>
      </c>
      <c r="BY23" s="363" t="n"/>
      <c r="BZ23" s="363" t="n"/>
      <c r="CA23" s="366">
        <f>Table46[[#This Row],[Oct_27_F]]-Table46[[#This Row],[Oct_27_A]]</f>
        <v/>
      </c>
      <c r="CB23" s="363" t="n"/>
      <c r="CC23" s="363" t="n"/>
      <c r="CD23" s="366">
        <f>Table46[[#This Row],[Nov_27_F]]-Table46[[#This Row],[Nov_27_A]]</f>
        <v/>
      </c>
      <c r="CE23" s="363" t="n"/>
      <c r="CF23" s="363" t="n"/>
      <c r="CG23" s="366">
        <f>Table46[[#This Row],[Dec_27_F]]-Table46[[#This Row],[Dec_27_A]]</f>
        <v/>
      </c>
    </row>
    <row r="24" ht="14.45" customHeight="1">
      <c r="B24" s="13" t="n"/>
      <c r="D24" s="367" t="n"/>
      <c r="F24" s="13" t="n"/>
      <c r="G24" s="13" t="n"/>
      <c r="H24" s="13" t="n"/>
      <c r="I24" s="13" t="n"/>
      <c r="J24" s="13" t="n"/>
      <c r="L24" s="346" t="n"/>
      <c r="M24" s="363" t="n"/>
      <c r="N24" s="363" t="n"/>
      <c r="O24" s="362">
        <f>Table46[[#This Row],[Jan_26_F]]-Table46[[#This Row],[Jan_26_Act]]</f>
        <v/>
      </c>
      <c r="P24" s="363" t="n"/>
      <c r="Q24" s="363" t="n"/>
      <c r="R24" s="362">
        <f>Table46[[#This Row],[Feb_26_F]]-Table46[[#This Row],[Feb_26_A]]</f>
        <v/>
      </c>
      <c r="S24" s="363" t="n"/>
      <c r="T24" s="363" t="n"/>
      <c r="U24" s="362">
        <f>Table46[[#This Row],[Mar_26_F]]-Table46[[#This Row],[Mar_26_A]]</f>
        <v/>
      </c>
      <c r="V24" s="363" t="n"/>
      <c r="W24" s="363" t="n"/>
      <c r="X24" s="362">
        <f>Table46[[#This Row],[Apr_26_F]]-Table46[[#This Row],[Apr_26_A]]</f>
        <v/>
      </c>
      <c r="Y24" s="363" t="n"/>
      <c r="Z24" s="363" t="n"/>
      <c r="AA24" s="362">
        <f>Table46[[#This Row],[May_26_F]]-Table46[[#This Row],[May_26_A]]</f>
        <v/>
      </c>
      <c r="AB24" s="363" t="n"/>
      <c r="AC24" s="363" t="n"/>
      <c r="AD24" s="362">
        <f>Table46[[#This Row],[Jun_26_F]]-Table46[[#This Row],[Jun_26_A]]</f>
        <v/>
      </c>
      <c r="AE24" s="363" t="n"/>
      <c r="AF24" s="363" t="n"/>
      <c r="AG24" s="362">
        <f>Table46[[#This Row],[Jul_26_F]]-Table46[[#This Row],[Jul_26_A]]</f>
        <v/>
      </c>
      <c r="AH24" s="363" t="n"/>
      <c r="AI24" s="363" t="n"/>
      <c r="AJ24" s="362">
        <f>Table46[[#This Row],[Aug_26_F]]-Table46[[#This Row],[Aug_26_A]]</f>
        <v/>
      </c>
      <c r="AK24" s="363" t="n"/>
      <c r="AL24" s="363" t="n"/>
      <c r="AM24" s="362">
        <f>Table46[[#This Row],[Sep_26_F]]-Table46[[#This Row],[Sep_26_A]]</f>
        <v/>
      </c>
      <c r="AN24" s="363" t="n"/>
      <c r="AO24" s="363" t="n"/>
      <c r="AP24" s="362">
        <f>Table46[[#This Row],[Oct_26_F]]-Table46[[#This Row],[Oct_26_A]]</f>
        <v/>
      </c>
      <c r="AQ24" s="363" t="n"/>
      <c r="AR24" s="363" t="n"/>
      <c r="AS24" s="362">
        <f>Table46[[#This Row],[Nov_26_F]]-Table46[[#This Row],[Nov_26_A]]</f>
        <v/>
      </c>
      <c r="AT24" s="363" t="n"/>
      <c r="AU24" s="363" t="n"/>
      <c r="AV24" s="362">
        <f>Table46[[#This Row],[Dec_26_F]]-Table46[[#This Row],[Dec_26_A]]</f>
        <v/>
      </c>
      <c r="AW24" s="346" t="n"/>
      <c r="AX24" s="363" t="n"/>
      <c r="AY24" s="363" t="n"/>
      <c r="AZ24" s="362">
        <f>Table46[[#This Row],[Jan_27_F]]-Table46[[#This Row],[Jan_27_Act]]</f>
        <v/>
      </c>
      <c r="BA24" s="363" t="n"/>
      <c r="BB24" s="363" t="n"/>
      <c r="BC24" s="362">
        <f>Table46[[#This Row],[Feb_27_F]]-Table46[[#This Row],[Feb_27_A]]</f>
        <v/>
      </c>
      <c r="BD24" s="363" t="n"/>
      <c r="BE24" s="363" t="n"/>
      <c r="BF24" s="362">
        <f>Table46[[#This Row],[Mar_27_F]]-Table46[[#This Row],[Mar_27_A]]</f>
        <v/>
      </c>
      <c r="BG24" s="363" t="n"/>
      <c r="BH24" s="363" t="n"/>
      <c r="BI24" s="362">
        <f>Table46[[#This Row],[Apr_27_F]]-Table46[[#This Row],[Apr_27_A]]</f>
        <v/>
      </c>
      <c r="BJ24" s="363" t="n"/>
      <c r="BK24" s="363" t="n"/>
      <c r="BL24" s="362">
        <f>Table46[[#This Row],[May_27_F]]-Table46[[#This Row],[May_27_A]]</f>
        <v/>
      </c>
      <c r="BM24" s="363" t="n"/>
      <c r="BN24" s="363" t="n"/>
      <c r="BO24" s="362">
        <f>Table46[[#This Row],[Jun_27_F]]-Table46[[#This Row],[Jun_27_A]]</f>
        <v/>
      </c>
      <c r="BP24" s="363" t="n"/>
      <c r="BQ24" s="363" t="n"/>
      <c r="BR24" s="362">
        <f>Table46[[#This Row],[Jul_27_F]]-Table46[[#This Row],[Jul_27_A]]</f>
        <v/>
      </c>
      <c r="BS24" s="363" t="n"/>
      <c r="BT24" s="363" t="n"/>
      <c r="BU24" s="362">
        <f>Table46[[#This Row],[Aug_27_F]]-Table46[[#This Row],[Aug_27_A]]</f>
        <v/>
      </c>
      <c r="BV24" s="363" t="n"/>
      <c r="BW24" s="363" t="n"/>
      <c r="BX24" s="362">
        <f>Table46[[#This Row],[Sep_27_F]]-Table46[[#This Row],[Sep_27_A]]</f>
        <v/>
      </c>
      <c r="BY24" s="363" t="n"/>
      <c r="BZ24" s="363" t="n"/>
      <c r="CA24" s="362">
        <f>Table46[[#This Row],[Oct_27_F]]-Table46[[#This Row],[Oct_27_A]]</f>
        <v/>
      </c>
      <c r="CB24" s="363" t="n"/>
      <c r="CC24" s="363" t="n"/>
      <c r="CD24" s="362">
        <f>Table46[[#This Row],[Nov_27_F]]-Table46[[#This Row],[Nov_27_A]]</f>
        <v/>
      </c>
      <c r="CE24" s="363" t="n"/>
      <c r="CF24" s="363" t="n"/>
      <c r="CG24" s="362">
        <f>Table46[[#This Row],[Dec_27_F]]-Table46[[#This Row],[Dec_27_A]]</f>
        <v/>
      </c>
    </row>
    <row r="25" ht="14.45" customHeight="1">
      <c r="B25" s="13" t="n"/>
      <c r="D25" s="367" t="n"/>
      <c r="F25" s="13" t="n"/>
      <c r="G25" s="13" t="n"/>
      <c r="H25" s="13" t="n"/>
      <c r="I25" s="13" t="n"/>
      <c r="J25" s="13" t="n"/>
      <c r="L25" s="346" t="n"/>
      <c r="M25" s="363" t="n"/>
      <c r="N25" s="363" t="n"/>
      <c r="O25" s="366">
        <f>Table46[[#This Row],[Jan_26_F]]-Table46[[#This Row],[Jan_26_Act]]</f>
        <v/>
      </c>
      <c r="P25" s="363" t="n"/>
      <c r="Q25" s="363" t="n"/>
      <c r="R25" s="366">
        <f>Table46[[#This Row],[Feb_26_F]]-Table46[[#This Row],[Feb_26_A]]</f>
        <v/>
      </c>
      <c r="S25" s="363" t="n"/>
      <c r="T25" s="363" t="n"/>
      <c r="U25" s="366">
        <f>Table46[[#This Row],[Mar_26_F]]-Table46[[#This Row],[Mar_26_A]]</f>
        <v/>
      </c>
      <c r="V25" s="363" t="n"/>
      <c r="W25" s="363" t="n"/>
      <c r="X25" s="366">
        <f>Table46[[#This Row],[Apr_26_F]]-Table46[[#This Row],[Apr_26_A]]</f>
        <v/>
      </c>
      <c r="Y25" s="363" t="n"/>
      <c r="Z25" s="363" t="n"/>
      <c r="AA25" s="366">
        <f>Table46[[#This Row],[May_26_F]]-Table46[[#This Row],[May_26_A]]</f>
        <v/>
      </c>
      <c r="AB25" s="363" t="n"/>
      <c r="AC25" s="363" t="n"/>
      <c r="AD25" s="366">
        <f>Table46[[#This Row],[Jun_26_F]]-Table46[[#This Row],[Jun_26_A]]</f>
        <v/>
      </c>
      <c r="AE25" s="363" t="n"/>
      <c r="AF25" s="363" t="n"/>
      <c r="AG25" s="366">
        <f>Table46[[#This Row],[Jul_26_F]]-Table46[[#This Row],[Jul_26_A]]</f>
        <v/>
      </c>
      <c r="AH25" s="363" t="n"/>
      <c r="AI25" s="363" t="n"/>
      <c r="AJ25" s="366">
        <f>Table46[[#This Row],[Aug_26_F]]-Table46[[#This Row],[Aug_26_A]]</f>
        <v/>
      </c>
      <c r="AK25" s="363" t="n"/>
      <c r="AL25" s="363" t="n"/>
      <c r="AM25" s="366">
        <f>Table46[[#This Row],[Sep_26_F]]-Table46[[#This Row],[Sep_26_A]]</f>
        <v/>
      </c>
      <c r="AN25" s="363" t="n"/>
      <c r="AO25" s="363" t="n"/>
      <c r="AP25" s="366">
        <f>Table46[[#This Row],[Oct_26_F]]-Table46[[#This Row],[Oct_26_A]]</f>
        <v/>
      </c>
      <c r="AQ25" s="363" t="n"/>
      <c r="AR25" s="363" t="n"/>
      <c r="AS25" s="366">
        <f>Table46[[#This Row],[Nov_26_F]]-Table46[[#This Row],[Nov_26_A]]</f>
        <v/>
      </c>
      <c r="AT25" s="363" t="n"/>
      <c r="AU25" s="363" t="n"/>
      <c r="AV25" s="366">
        <f>Table46[[#This Row],[Dec_26_F]]-Table46[[#This Row],[Dec_26_A]]</f>
        <v/>
      </c>
      <c r="AW25" s="346" t="n"/>
      <c r="AX25" s="363" t="n"/>
      <c r="AY25" s="363" t="n"/>
      <c r="AZ25" s="366">
        <f>Table46[[#This Row],[Jan_27_F]]-Table46[[#This Row],[Jan_27_Act]]</f>
        <v/>
      </c>
      <c r="BA25" s="363" t="n"/>
      <c r="BB25" s="363" t="n"/>
      <c r="BC25" s="366">
        <f>Table46[[#This Row],[Feb_27_F]]-Table46[[#This Row],[Feb_27_A]]</f>
        <v/>
      </c>
      <c r="BD25" s="363" t="n"/>
      <c r="BE25" s="363" t="n"/>
      <c r="BF25" s="366">
        <f>Table46[[#This Row],[Mar_27_F]]-Table46[[#This Row],[Mar_27_A]]</f>
        <v/>
      </c>
      <c r="BG25" s="363" t="n"/>
      <c r="BH25" s="363" t="n"/>
      <c r="BI25" s="366">
        <f>Table46[[#This Row],[Apr_27_F]]-Table46[[#This Row],[Apr_27_A]]</f>
        <v/>
      </c>
      <c r="BJ25" s="363" t="n"/>
      <c r="BK25" s="363" t="n"/>
      <c r="BL25" s="366">
        <f>Table46[[#This Row],[May_27_F]]-Table46[[#This Row],[May_27_A]]</f>
        <v/>
      </c>
      <c r="BM25" s="363" t="n"/>
      <c r="BN25" s="363" t="n"/>
      <c r="BO25" s="366">
        <f>Table46[[#This Row],[Jun_27_F]]-Table46[[#This Row],[Jun_27_A]]</f>
        <v/>
      </c>
      <c r="BP25" s="363" t="n"/>
      <c r="BQ25" s="363" t="n"/>
      <c r="BR25" s="366">
        <f>Table46[[#This Row],[Jul_27_F]]-Table46[[#This Row],[Jul_27_A]]</f>
        <v/>
      </c>
      <c r="BS25" s="363" t="n"/>
      <c r="BT25" s="363" t="n"/>
      <c r="BU25" s="366">
        <f>Table46[[#This Row],[Aug_27_F]]-Table46[[#This Row],[Aug_27_A]]</f>
        <v/>
      </c>
      <c r="BV25" s="363" t="n"/>
      <c r="BW25" s="363" t="n"/>
      <c r="BX25" s="366">
        <f>Table46[[#This Row],[Sep_27_F]]-Table46[[#This Row],[Sep_27_A]]</f>
        <v/>
      </c>
      <c r="BY25" s="363" t="n"/>
      <c r="BZ25" s="363" t="n"/>
      <c r="CA25" s="366">
        <f>Table46[[#This Row],[Oct_27_F]]-Table46[[#This Row],[Oct_27_A]]</f>
        <v/>
      </c>
      <c r="CB25" s="363" t="n"/>
      <c r="CC25" s="363" t="n"/>
      <c r="CD25" s="366">
        <f>Table46[[#This Row],[Nov_27_F]]-Table46[[#This Row],[Nov_27_A]]</f>
        <v/>
      </c>
      <c r="CE25" s="363" t="n"/>
      <c r="CF25" s="363" t="n"/>
      <c r="CG25" s="366">
        <f>Table46[[#This Row],[Dec_27_F]]-Table46[[#This Row],[Dec_27_A]]</f>
        <v/>
      </c>
    </row>
    <row r="26" ht="14.45" customHeight="1">
      <c r="B26" s="13" t="n"/>
      <c r="D26" s="367" t="n"/>
      <c r="F26" s="13" t="n"/>
      <c r="G26" s="13" t="n"/>
      <c r="H26" s="13" t="n"/>
      <c r="I26" s="13" t="n"/>
      <c r="J26" s="13" t="n"/>
      <c r="L26" s="346" t="n"/>
      <c r="M26" s="363" t="n"/>
      <c r="N26" s="363" t="n"/>
      <c r="O26" s="362">
        <f>Table46[[#This Row],[Jan_26_F]]-Table46[[#This Row],[Jan_26_Act]]</f>
        <v/>
      </c>
      <c r="P26" s="363" t="n"/>
      <c r="Q26" s="363" t="n"/>
      <c r="R26" s="362">
        <f>Table46[[#This Row],[Feb_26_F]]-Table46[[#This Row],[Feb_26_A]]</f>
        <v/>
      </c>
      <c r="S26" s="363" t="n"/>
      <c r="T26" s="363" t="n"/>
      <c r="U26" s="362">
        <f>Table46[[#This Row],[Mar_26_F]]-Table46[[#This Row],[Mar_26_A]]</f>
        <v/>
      </c>
      <c r="V26" s="363" t="n"/>
      <c r="W26" s="363" t="n"/>
      <c r="X26" s="362">
        <f>Table46[[#This Row],[Apr_26_F]]-Table46[[#This Row],[Apr_26_A]]</f>
        <v/>
      </c>
      <c r="Y26" s="363" t="n"/>
      <c r="Z26" s="363" t="n"/>
      <c r="AA26" s="362">
        <f>Table46[[#This Row],[May_26_F]]-Table46[[#This Row],[May_26_A]]</f>
        <v/>
      </c>
      <c r="AB26" s="363" t="n"/>
      <c r="AC26" s="363" t="n"/>
      <c r="AD26" s="362">
        <f>Table46[[#This Row],[Jun_26_F]]-Table46[[#This Row],[Jun_26_A]]</f>
        <v/>
      </c>
      <c r="AE26" s="363" t="n"/>
      <c r="AF26" s="363" t="n"/>
      <c r="AG26" s="362">
        <f>Table46[[#This Row],[Jul_26_F]]-Table46[[#This Row],[Jul_26_A]]</f>
        <v/>
      </c>
      <c r="AH26" s="363" t="n"/>
      <c r="AI26" s="363" t="n"/>
      <c r="AJ26" s="362">
        <f>Table46[[#This Row],[Aug_26_F]]-Table46[[#This Row],[Aug_26_A]]</f>
        <v/>
      </c>
      <c r="AK26" s="363" t="n"/>
      <c r="AL26" s="363" t="n"/>
      <c r="AM26" s="362">
        <f>Table46[[#This Row],[Sep_26_F]]-Table46[[#This Row],[Sep_26_A]]</f>
        <v/>
      </c>
      <c r="AN26" s="363" t="n"/>
      <c r="AO26" s="363" t="n"/>
      <c r="AP26" s="362">
        <f>Table46[[#This Row],[Oct_26_F]]-Table46[[#This Row],[Oct_26_A]]</f>
        <v/>
      </c>
      <c r="AQ26" s="363" t="n"/>
      <c r="AR26" s="363" t="n"/>
      <c r="AS26" s="362">
        <f>Table46[[#This Row],[Nov_26_F]]-Table46[[#This Row],[Nov_26_A]]</f>
        <v/>
      </c>
      <c r="AT26" s="363" t="n"/>
      <c r="AU26" s="363" t="n"/>
      <c r="AV26" s="362">
        <f>Table46[[#This Row],[Dec_26_F]]-Table46[[#This Row],[Dec_26_A]]</f>
        <v/>
      </c>
      <c r="AW26" s="346" t="n"/>
      <c r="AX26" s="363" t="n"/>
      <c r="AY26" s="363" t="n"/>
      <c r="AZ26" s="362">
        <f>Table46[[#This Row],[Jan_27_F]]-Table46[[#This Row],[Jan_27_Act]]</f>
        <v/>
      </c>
      <c r="BA26" s="363" t="n"/>
      <c r="BB26" s="363" t="n"/>
      <c r="BC26" s="362">
        <f>Table46[[#This Row],[Feb_27_F]]-Table46[[#This Row],[Feb_27_A]]</f>
        <v/>
      </c>
      <c r="BD26" s="363" t="n"/>
      <c r="BE26" s="363" t="n"/>
      <c r="BF26" s="362">
        <f>Table46[[#This Row],[Mar_27_F]]-Table46[[#This Row],[Mar_27_A]]</f>
        <v/>
      </c>
      <c r="BG26" s="363" t="n"/>
      <c r="BH26" s="363" t="n"/>
      <c r="BI26" s="362">
        <f>Table46[[#This Row],[Apr_27_F]]-Table46[[#This Row],[Apr_27_A]]</f>
        <v/>
      </c>
      <c r="BJ26" s="363" t="n"/>
      <c r="BK26" s="363" t="n"/>
      <c r="BL26" s="362">
        <f>Table46[[#This Row],[May_27_F]]-Table46[[#This Row],[May_27_A]]</f>
        <v/>
      </c>
      <c r="BM26" s="363" t="n"/>
      <c r="BN26" s="363" t="n"/>
      <c r="BO26" s="362">
        <f>Table46[[#This Row],[Jun_27_F]]-Table46[[#This Row],[Jun_27_A]]</f>
        <v/>
      </c>
      <c r="BP26" s="363" t="n"/>
      <c r="BQ26" s="363" t="n"/>
      <c r="BR26" s="362">
        <f>Table46[[#This Row],[Jul_27_F]]-Table46[[#This Row],[Jul_27_A]]</f>
        <v/>
      </c>
      <c r="BS26" s="363" t="n"/>
      <c r="BT26" s="363" t="n"/>
      <c r="BU26" s="362">
        <f>Table46[[#This Row],[Aug_27_F]]-Table46[[#This Row],[Aug_27_A]]</f>
        <v/>
      </c>
      <c r="BV26" s="363" t="n"/>
      <c r="BW26" s="363" t="n"/>
      <c r="BX26" s="362">
        <f>Table46[[#This Row],[Sep_27_F]]-Table46[[#This Row],[Sep_27_A]]</f>
        <v/>
      </c>
      <c r="BY26" s="363" t="n"/>
      <c r="BZ26" s="363" t="n"/>
      <c r="CA26" s="362">
        <f>Table46[[#This Row],[Oct_27_F]]-Table46[[#This Row],[Oct_27_A]]</f>
        <v/>
      </c>
      <c r="CB26" s="363" t="n"/>
      <c r="CC26" s="363" t="n"/>
      <c r="CD26" s="362">
        <f>Table46[[#This Row],[Nov_27_F]]-Table46[[#This Row],[Nov_27_A]]</f>
        <v/>
      </c>
      <c r="CE26" s="363" t="n"/>
      <c r="CF26" s="363" t="n"/>
      <c r="CG26" s="362">
        <f>Table46[[#This Row],[Dec_27_F]]-Table46[[#This Row],[Dec_27_A]]</f>
        <v/>
      </c>
    </row>
    <row r="27" ht="14.45" customHeight="1">
      <c r="B27" s="13" t="n"/>
      <c r="D27" s="367" t="n"/>
      <c r="F27" s="13" t="n"/>
      <c r="G27" s="13" t="n"/>
      <c r="H27" s="13" t="n"/>
      <c r="I27" s="13" t="n"/>
      <c r="J27" s="13" t="n"/>
      <c r="L27" s="346" t="n"/>
      <c r="M27" s="363" t="n"/>
      <c r="N27" s="363" t="n"/>
      <c r="O27" s="366">
        <f>Table46[[#This Row],[Jan_26_F]]-Table46[[#This Row],[Jan_26_Act]]</f>
        <v/>
      </c>
      <c r="P27" s="363" t="n"/>
      <c r="Q27" s="363" t="n"/>
      <c r="R27" s="366">
        <f>Table46[[#This Row],[Feb_26_F]]-Table46[[#This Row],[Feb_26_A]]</f>
        <v/>
      </c>
      <c r="S27" s="363" t="n"/>
      <c r="T27" s="363" t="n"/>
      <c r="U27" s="366">
        <f>Table46[[#This Row],[Mar_26_F]]-Table46[[#This Row],[Mar_26_A]]</f>
        <v/>
      </c>
      <c r="V27" s="363" t="n"/>
      <c r="W27" s="363" t="n"/>
      <c r="X27" s="366">
        <f>Table46[[#This Row],[Apr_26_F]]-Table46[[#This Row],[Apr_26_A]]</f>
        <v/>
      </c>
      <c r="Y27" s="363" t="n"/>
      <c r="Z27" s="363" t="n"/>
      <c r="AA27" s="366">
        <f>Table46[[#This Row],[May_26_F]]-Table46[[#This Row],[May_26_A]]</f>
        <v/>
      </c>
      <c r="AB27" s="363" t="n"/>
      <c r="AC27" s="363" t="n"/>
      <c r="AD27" s="366">
        <f>Table46[[#This Row],[Jun_26_F]]-Table46[[#This Row],[Jun_26_A]]</f>
        <v/>
      </c>
      <c r="AE27" s="363" t="n"/>
      <c r="AF27" s="363" t="n"/>
      <c r="AG27" s="366">
        <f>Table46[[#This Row],[Jul_26_F]]-Table46[[#This Row],[Jul_26_A]]</f>
        <v/>
      </c>
      <c r="AH27" s="363" t="n"/>
      <c r="AI27" s="363" t="n"/>
      <c r="AJ27" s="366">
        <f>Table46[[#This Row],[Aug_26_F]]-Table46[[#This Row],[Aug_26_A]]</f>
        <v/>
      </c>
      <c r="AK27" s="363" t="n"/>
      <c r="AL27" s="363" t="n"/>
      <c r="AM27" s="366">
        <f>Table46[[#This Row],[Sep_26_F]]-Table46[[#This Row],[Sep_26_A]]</f>
        <v/>
      </c>
      <c r="AN27" s="363" t="n"/>
      <c r="AO27" s="363" t="n"/>
      <c r="AP27" s="366">
        <f>Table46[[#This Row],[Oct_26_F]]-Table46[[#This Row],[Oct_26_A]]</f>
        <v/>
      </c>
      <c r="AQ27" s="363" t="n"/>
      <c r="AR27" s="363" t="n"/>
      <c r="AS27" s="366">
        <f>Table46[[#This Row],[Nov_26_F]]-Table46[[#This Row],[Nov_26_A]]</f>
        <v/>
      </c>
      <c r="AT27" s="363" t="n"/>
      <c r="AU27" s="363" t="n"/>
      <c r="AV27" s="366">
        <f>Table46[[#This Row],[Dec_26_F]]-Table46[[#This Row],[Dec_26_A]]</f>
        <v/>
      </c>
      <c r="AW27" s="346" t="n"/>
      <c r="AX27" s="363" t="n"/>
      <c r="AY27" s="363" t="n"/>
      <c r="AZ27" s="366">
        <f>Table46[[#This Row],[Jan_27_F]]-Table46[[#This Row],[Jan_27_Act]]</f>
        <v/>
      </c>
      <c r="BA27" s="363" t="n"/>
      <c r="BB27" s="363" t="n"/>
      <c r="BC27" s="366">
        <f>Table46[[#This Row],[Feb_27_F]]-Table46[[#This Row],[Feb_27_A]]</f>
        <v/>
      </c>
      <c r="BD27" s="363" t="n"/>
      <c r="BE27" s="363" t="n"/>
      <c r="BF27" s="366">
        <f>Table46[[#This Row],[Mar_27_F]]-Table46[[#This Row],[Mar_27_A]]</f>
        <v/>
      </c>
      <c r="BG27" s="363" t="n"/>
      <c r="BH27" s="363" t="n"/>
      <c r="BI27" s="366">
        <f>Table46[[#This Row],[Apr_27_F]]-Table46[[#This Row],[Apr_27_A]]</f>
        <v/>
      </c>
      <c r="BJ27" s="363" t="n"/>
      <c r="BK27" s="363" t="n"/>
      <c r="BL27" s="366">
        <f>Table46[[#This Row],[May_27_F]]-Table46[[#This Row],[May_27_A]]</f>
        <v/>
      </c>
      <c r="BM27" s="363" t="n"/>
      <c r="BN27" s="363" t="n"/>
      <c r="BO27" s="366">
        <f>Table46[[#This Row],[Jun_27_F]]-Table46[[#This Row],[Jun_27_A]]</f>
        <v/>
      </c>
      <c r="BP27" s="363" t="n"/>
      <c r="BQ27" s="363" t="n"/>
      <c r="BR27" s="366">
        <f>Table46[[#This Row],[Jul_27_F]]-Table46[[#This Row],[Jul_27_A]]</f>
        <v/>
      </c>
      <c r="BS27" s="363" t="n"/>
      <c r="BT27" s="363" t="n"/>
      <c r="BU27" s="366">
        <f>Table46[[#This Row],[Aug_27_F]]-Table46[[#This Row],[Aug_27_A]]</f>
        <v/>
      </c>
      <c r="BV27" s="363" t="n"/>
      <c r="BW27" s="363" t="n"/>
      <c r="BX27" s="366">
        <f>Table46[[#This Row],[Sep_27_F]]-Table46[[#This Row],[Sep_27_A]]</f>
        <v/>
      </c>
      <c r="BY27" s="363" t="n"/>
      <c r="BZ27" s="363" t="n"/>
      <c r="CA27" s="366">
        <f>Table46[[#This Row],[Oct_27_F]]-Table46[[#This Row],[Oct_27_A]]</f>
        <v/>
      </c>
      <c r="CB27" s="363" t="n"/>
      <c r="CC27" s="363" t="n"/>
      <c r="CD27" s="366">
        <f>Table46[[#This Row],[Nov_27_F]]-Table46[[#This Row],[Nov_27_A]]</f>
        <v/>
      </c>
      <c r="CE27" s="363" t="n"/>
      <c r="CF27" s="363" t="n"/>
      <c r="CG27" s="366">
        <f>Table46[[#This Row],[Dec_27_F]]-Table46[[#This Row],[Dec_27_A]]</f>
        <v/>
      </c>
    </row>
    <row r="28" ht="14.45" customHeight="1">
      <c r="B28" s="13" t="n"/>
      <c r="D28" s="367" t="n"/>
      <c r="F28" s="13" t="n"/>
      <c r="G28" s="13" t="n"/>
      <c r="H28" s="13" t="n"/>
      <c r="I28" s="13" t="n"/>
      <c r="J28" s="13" t="n"/>
      <c r="L28" s="346" t="n"/>
      <c r="M28" s="363" t="n"/>
      <c r="N28" s="363" t="n"/>
      <c r="O28" s="362">
        <f>Table46[[#This Row],[Jan_26_F]]-Table46[[#This Row],[Jan_26_Act]]</f>
        <v/>
      </c>
      <c r="P28" s="363" t="n"/>
      <c r="Q28" s="363" t="n"/>
      <c r="R28" s="362">
        <f>Table46[[#This Row],[Feb_26_F]]-Table46[[#This Row],[Feb_26_A]]</f>
        <v/>
      </c>
      <c r="S28" s="363" t="n"/>
      <c r="T28" s="363" t="n"/>
      <c r="U28" s="362">
        <f>Table46[[#This Row],[Mar_26_F]]-Table46[[#This Row],[Mar_26_A]]</f>
        <v/>
      </c>
      <c r="V28" s="363" t="n"/>
      <c r="W28" s="363" t="n"/>
      <c r="X28" s="362">
        <f>Table46[[#This Row],[Apr_26_F]]-Table46[[#This Row],[Apr_26_A]]</f>
        <v/>
      </c>
      <c r="Y28" s="363" t="n"/>
      <c r="Z28" s="363" t="n"/>
      <c r="AA28" s="362">
        <f>Table46[[#This Row],[May_26_F]]-Table46[[#This Row],[May_26_A]]</f>
        <v/>
      </c>
      <c r="AB28" s="363" t="n"/>
      <c r="AC28" s="363" t="n"/>
      <c r="AD28" s="362">
        <f>Table46[[#This Row],[Jun_26_F]]-Table46[[#This Row],[Jun_26_A]]</f>
        <v/>
      </c>
      <c r="AE28" s="363" t="n"/>
      <c r="AF28" s="363" t="n"/>
      <c r="AG28" s="362">
        <f>Table46[[#This Row],[Jul_26_F]]-Table46[[#This Row],[Jul_26_A]]</f>
        <v/>
      </c>
      <c r="AH28" s="363" t="n"/>
      <c r="AI28" s="363" t="n"/>
      <c r="AJ28" s="362">
        <f>Table46[[#This Row],[Aug_26_F]]-Table46[[#This Row],[Aug_26_A]]</f>
        <v/>
      </c>
      <c r="AK28" s="363" t="n"/>
      <c r="AL28" s="363" t="n"/>
      <c r="AM28" s="362">
        <f>Table46[[#This Row],[Sep_26_F]]-Table46[[#This Row],[Sep_26_A]]</f>
        <v/>
      </c>
      <c r="AN28" s="363" t="n"/>
      <c r="AO28" s="363" t="n"/>
      <c r="AP28" s="362">
        <f>Table46[[#This Row],[Oct_26_F]]-Table46[[#This Row],[Oct_26_A]]</f>
        <v/>
      </c>
      <c r="AQ28" s="363" t="n"/>
      <c r="AR28" s="363" t="n"/>
      <c r="AS28" s="362">
        <f>Table46[[#This Row],[Nov_26_F]]-Table46[[#This Row],[Nov_26_A]]</f>
        <v/>
      </c>
      <c r="AT28" s="363" t="n"/>
      <c r="AU28" s="363" t="n"/>
      <c r="AV28" s="362">
        <f>Table46[[#This Row],[Dec_26_F]]-Table46[[#This Row],[Dec_26_A]]</f>
        <v/>
      </c>
      <c r="AW28" s="346" t="n"/>
      <c r="AX28" s="363" t="n"/>
      <c r="AY28" s="363" t="n"/>
      <c r="AZ28" s="362">
        <f>Table46[[#This Row],[Jan_27_F]]-Table46[[#This Row],[Jan_27_Act]]</f>
        <v/>
      </c>
      <c r="BA28" s="363" t="n"/>
      <c r="BB28" s="363" t="n"/>
      <c r="BC28" s="362">
        <f>Table46[[#This Row],[Feb_27_F]]-Table46[[#This Row],[Feb_27_A]]</f>
        <v/>
      </c>
      <c r="BD28" s="363" t="n"/>
      <c r="BE28" s="363" t="n"/>
      <c r="BF28" s="362">
        <f>Table46[[#This Row],[Mar_27_F]]-Table46[[#This Row],[Mar_27_A]]</f>
        <v/>
      </c>
      <c r="BG28" s="363" t="n"/>
      <c r="BH28" s="363" t="n"/>
      <c r="BI28" s="362">
        <f>Table46[[#This Row],[Apr_27_F]]-Table46[[#This Row],[Apr_27_A]]</f>
        <v/>
      </c>
      <c r="BJ28" s="363" t="n"/>
      <c r="BK28" s="363" t="n"/>
      <c r="BL28" s="362">
        <f>Table46[[#This Row],[May_27_F]]-Table46[[#This Row],[May_27_A]]</f>
        <v/>
      </c>
      <c r="BM28" s="363" t="n"/>
      <c r="BN28" s="363" t="n"/>
      <c r="BO28" s="362">
        <f>Table46[[#This Row],[Jun_27_F]]-Table46[[#This Row],[Jun_27_A]]</f>
        <v/>
      </c>
      <c r="BP28" s="363" t="n"/>
      <c r="BQ28" s="363" t="n"/>
      <c r="BR28" s="362">
        <f>Table46[[#This Row],[Jul_27_F]]-Table46[[#This Row],[Jul_27_A]]</f>
        <v/>
      </c>
      <c r="BS28" s="363" t="n"/>
      <c r="BT28" s="363" t="n"/>
      <c r="BU28" s="362">
        <f>Table46[[#This Row],[Aug_27_F]]-Table46[[#This Row],[Aug_27_A]]</f>
        <v/>
      </c>
      <c r="BV28" s="363" t="n"/>
      <c r="BW28" s="363" t="n"/>
      <c r="BX28" s="362">
        <f>Table46[[#This Row],[Sep_27_F]]-Table46[[#This Row],[Sep_27_A]]</f>
        <v/>
      </c>
      <c r="BY28" s="363" t="n"/>
      <c r="BZ28" s="363" t="n"/>
      <c r="CA28" s="362">
        <f>Table46[[#This Row],[Oct_27_F]]-Table46[[#This Row],[Oct_27_A]]</f>
        <v/>
      </c>
      <c r="CB28" s="363" t="n"/>
      <c r="CC28" s="363" t="n"/>
      <c r="CD28" s="362">
        <f>Table46[[#This Row],[Nov_27_F]]-Table46[[#This Row],[Nov_27_A]]</f>
        <v/>
      </c>
      <c r="CE28" s="363" t="n"/>
      <c r="CF28" s="363" t="n"/>
      <c r="CG28" s="362">
        <f>Table46[[#This Row],[Dec_27_F]]-Table46[[#This Row],[Dec_27_A]]</f>
        <v/>
      </c>
    </row>
    <row r="29" ht="14.45" customHeight="1">
      <c r="B29" s="13" t="n"/>
      <c r="D29" s="367" t="n"/>
      <c r="F29" s="13" t="n"/>
      <c r="G29" s="13" t="n"/>
      <c r="H29" s="13" t="n"/>
      <c r="I29" s="13" t="n"/>
      <c r="J29" s="13" t="n"/>
      <c r="L29" s="346" t="n"/>
      <c r="M29" s="363" t="n"/>
      <c r="N29" s="363" t="n"/>
      <c r="O29" s="366">
        <f>Table46[[#This Row],[Jan_26_F]]-Table46[[#This Row],[Jan_26_Act]]</f>
        <v/>
      </c>
      <c r="P29" s="363" t="n"/>
      <c r="Q29" s="363" t="n"/>
      <c r="R29" s="366">
        <f>Table46[[#This Row],[Feb_26_F]]-Table46[[#This Row],[Feb_26_A]]</f>
        <v/>
      </c>
      <c r="S29" s="363" t="n"/>
      <c r="T29" s="363" t="n"/>
      <c r="U29" s="366">
        <f>Table46[[#This Row],[Mar_26_F]]-Table46[[#This Row],[Mar_26_A]]</f>
        <v/>
      </c>
      <c r="V29" s="363" t="n"/>
      <c r="W29" s="363" t="n"/>
      <c r="X29" s="366">
        <f>Table46[[#This Row],[Apr_26_F]]-Table46[[#This Row],[Apr_26_A]]</f>
        <v/>
      </c>
      <c r="Y29" s="363" t="n"/>
      <c r="Z29" s="363" t="n"/>
      <c r="AA29" s="366">
        <f>Table46[[#This Row],[May_26_F]]-Table46[[#This Row],[May_26_A]]</f>
        <v/>
      </c>
      <c r="AB29" s="363" t="n"/>
      <c r="AC29" s="363" t="n"/>
      <c r="AD29" s="366">
        <f>Table46[[#This Row],[Jun_26_F]]-Table46[[#This Row],[Jun_26_A]]</f>
        <v/>
      </c>
      <c r="AE29" s="363" t="n"/>
      <c r="AF29" s="363" t="n"/>
      <c r="AG29" s="366">
        <f>Table46[[#This Row],[Jul_26_F]]-Table46[[#This Row],[Jul_26_A]]</f>
        <v/>
      </c>
      <c r="AH29" s="363" t="n"/>
      <c r="AI29" s="363" t="n"/>
      <c r="AJ29" s="366">
        <f>Table46[[#This Row],[Aug_26_F]]-Table46[[#This Row],[Aug_26_A]]</f>
        <v/>
      </c>
      <c r="AK29" s="363" t="n"/>
      <c r="AL29" s="363" t="n"/>
      <c r="AM29" s="366">
        <f>Table46[[#This Row],[Sep_26_F]]-Table46[[#This Row],[Sep_26_A]]</f>
        <v/>
      </c>
      <c r="AN29" s="363" t="n"/>
      <c r="AO29" s="363" t="n"/>
      <c r="AP29" s="366">
        <f>Table46[[#This Row],[Oct_26_F]]-Table46[[#This Row],[Oct_26_A]]</f>
        <v/>
      </c>
      <c r="AQ29" s="363" t="n"/>
      <c r="AR29" s="363" t="n"/>
      <c r="AS29" s="366">
        <f>Table46[[#This Row],[Nov_26_F]]-Table46[[#This Row],[Nov_26_A]]</f>
        <v/>
      </c>
      <c r="AT29" s="363" t="n"/>
      <c r="AU29" s="363" t="n"/>
      <c r="AV29" s="366">
        <f>Table46[[#This Row],[Dec_26_F]]-Table46[[#This Row],[Dec_26_A]]</f>
        <v/>
      </c>
      <c r="AW29" s="346" t="n"/>
      <c r="AX29" s="363" t="n"/>
      <c r="AY29" s="363" t="n"/>
      <c r="AZ29" s="366">
        <f>Table46[[#This Row],[Jan_27_F]]-Table46[[#This Row],[Jan_27_Act]]</f>
        <v/>
      </c>
      <c r="BA29" s="363" t="n"/>
      <c r="BB29" s="363" t="n"/>
      <c r="BC29" s="366">
        <f>Table46[[#This Row],[Feb_27_F]]-Table46[[#This Row],[Feb_27_A]]</f>
        <v/>
      </c>
      <c r="BD29" s="363" t="n"/>
      <c r="BE29" s="363" t="n"/>
      <c r="BF29" s="366">
        <f>Table46[[#This Row],[Mar_27_F]]-Table46[[#This Row],[Mar_27_A]]</f>
        <v/>
      </c>
      <c r="BG29" s="363" t="n"/>
      <c r="BH29" s="363" t="n"/>
      <c r="BI29" s="366">
        <f>Table46[[#This Row],[Apr_27_F]]-Table46[[#This Row],[Apr_27_A]]</f>
        <v/>
      </c>
      <c r="BJ29" s="363" t="n"/>
      <c r="BK29" s="363" t="n"/>
      <c r="BL29" s="366">
        <f>Table46[[#This Row],[May_27_F]]-Table46[[#This Row],[May_27_A]]</f>
        <v/>
      </c>
      <c r="BM29" s="363" t="n"/>
      <c r="BN29" s="363" t="n"/>
      <c r="BO29" s="366">
        <f>Table46[[#This Row],[Jun_27_F]]-Table46[[#This Row],[Jun_27_A]]</f>
        <v/>
      </c>
      <c r="BP29" s="363" t="n"/>
      <c r="BQ29" s="363" t="n"/>
      <c r="BR29" s="366">
        <f>Table46[[#This Row],[Jul_27_F]]-Table46[[#This Row],[Jul_27_A]]</f>
        <v/>
      </c>
      <c r="BS29" s="363" t="n"/>
      <c r="BT29" s="363" t="n"/>
      <c r="BU29" s="366">
        <f>Table46[[#This Row],[Aug_27_F]]-Table46[[#This Row],[Aug_27_A]]</f>
        <v/>
      </c>
      <c r="BV29" s="363" t="n"/>
      <c r="BW29" s="363" t="n"/>
      <c r="BX29" s="366">
        <f>Table46[[#This Row],[Sep_27_F]]-Table46[[#This Row],[Sep_27_A]]</f>
        <v/>
      </c>
      <c r="BY29" s="363" t="n"/>
      <c r="BZ29" s="363" t="n"/>
      <c r="CA29" s="366">
        <f>Table46[[#This Row],[Oct_27_F]]-Table46[[#This Row],[Oct_27_A]]</f>
        <v/>
      </c>
      <c r="CB29" s="363" t="n"/>
      <c r="CC29" s="363" t="n"/>
      <c r="CD29" s="366">
        <f>Table46[[#This Row],[Nov_27_F]]-Table46[[#This Row],[Nov_27_A]]</f>
        <v/>
      </c>
      <c r="CE29" s="363" t="n"/>
      <c r="CF29" s="363" t="n"/>
      <c r="CG29" s="366">
        <f>Table46[[#This Row],[Dec_27_F]]-Table46[[#This Row],[Dec_27_A]]</f>
        <v/>
      </c>
    </row>
    <row r="30" ht="14.45" customHeight="1">
      <c r="B30" s="13" t="n"/>
      <c r="D30" s="367" t="n"/>
      <c r="F30" s="13" t="n"/>
      <c r="G30" s="13" t="n"/>
      <c r="H30" s="13" t="n"/>
      <c r="I30" s="13" t="n"/>
      <c r="J30" s="13" t="n"/>
      <c r="L30" s="346" t="n"/>
      <c r="M30" s="363" t="n"/>
      <c r="N30" s="363" t="n"/>
      <c r="O30" s="362">
        <f>Table46[[#This Row],[Jan_26_F]]-Table46[[#This Row],[Jan_26_Act]]</f>
        <v/>
      </c>
      <c r="P30" s="363" t="n"/>
      <c r="Q30" s="363" t="n"/>
      <c r="R30" s="362">
        <f>Table46[[#This Row],[Feb_26_F]]-Table46[[#This Row],[Feb_26_A]]</f>
        <v/>
      </c>
      <c r="S30" s="363" t="n"/>
      <c r="T30" s="363" t="n"/>
      <c r="U30" s="362">
        <f>Table46[[#This Row],[Mar_26_F]]-Table46[[#This Row],[Mar_26_A]]</f>
        <v/>
      </c>
      <c r="V30" s="363" t="n"/>
      <c r="W30" s="363" t="n"/>
      <c r="X30" s="362">
        <f>Table46[[#This Row],[Apr_26_F]]-Table46[[#This Row],[Apr_26_A]]</f>
        <v/>
      </c>
      <c r="Y30" s="363" t="n"/>
      <c r="Z30" s="363" t="n"/>
      <c r="AA30" s="362">
        <f>Table46[[#This Row],[May_26_F]]-Table46[[#This Row],[May_26_A]]</f>
        <v/>
      </c>
      <c r="AB30" s="363" t="n"/>
      <c r="AC30" s="363" t="n"/>
      <c r="AD30" s="362">
        <f>Table46[[#This Row],[Jun_26_F]]-Table46[[#This Row],[Jun_26_A]]</f>
        <v/>
      </c>
      <c r="AE30" s="363" t="n"/>
      <c r="AF30" s="363" t="n"/>
      <c r="AG30" s="362">
        <f>Table46[[#This Row],[Jul_26_F]]-Table46[[#This Row],[Jul_26_A]]</f>
        <v/>
      </c>
      <c r="AH30" s="363" t="n"/>
      <c r="AI30" s="363" t="n"/>
      <c r="AJ30" s="362">
        <f>Table46[[#This Row],[Aug_26_F]]-Table46[[#This Row],[Aug_26_A]]</f>
        <v/>
      </c>
      <c r="AK30" s="363" t="n"/>
      <c r="AL30" s="363" t="n"/>
      <c r="AM30" s="362">
        <f>Table46[[#This Row],[Sep_26_F]]-Table46[[#This Row],[Sep_26_A]]</f>
        <v/>
      </c>
      <c r="AN30" s="363" t="n"/>
      <c r="AO30" s="363" t="n"/>
      <c r="AP30" s="362">
        <f>Table46[[#This Row],[Oct_26_F]]-Table46[[#This Row],[Oct_26_A]]</f>
        <v/>
      </c>
      <c r="AQ30" s="363" t="n"/>
      <c r="AR30" s="363" t="n"/>
      <c r="AS30" s="362">
        <f>Table46[[#This Row],[Nov_26_F]]-Table46[[#This Row],[Nov_26_A]]</f>
        <v/>
      </c>
      <c r="AT30" s="363" t="n"/>
      <c r="AU30" s="363" t="n"/>
      <c r="AV30" s="362">
        <f>Table46[[#This Row],[Dec_26_F]]-Table46[[#This Row],[Dec_26_A]]</f>
        <v/>
      </c>
      <c r="AW30" s="346" t="n"/>
      <c r="AX30" s="363" t="n"/>
      <c r="AY30" s="363" t="n"/>
      <c r="AZ30" s="362">
        <f>Table46[[#This Row],[Jan_27_F]]-Table46[[#This Row],[Jan_27_Act]]</f>
        <v/>
      </c>
      <c r="BA30" s="363" t="n"/>
      <c r="BB30" s="363" t="n"/>
      <c r="BC30" s="362">
        <f>Table46[[#This Row],[Feb_27_F]]-Table46[[#This Row],[Feb_27_A]]</f>
        <v/>
      </c>
      <c r="BD30" s="363" t="n"/>
      <c r="BE30" s="363" t="n"/>
      <c r="BF30" s="362">
        <f>Table46[[#This Row],[Mar_27_F]]-Table46[[#This Row],[Mar_27_A]]</f>
        <v/>
      </c>
      <c r="BG30" s="363" t="n"/>
      <c r="BH30" s="363" t="n"/>
      <c r="BI30" s="362">
        <f>Table46[[#This Row],[Apr_27_F]]-Table46[[#This Row],[Apr_27_A]]</f>
        <v/>
      </c>
      <c r="BJ30" s="363" t="n"/>
      <c r="BK30" s="363" t="n"/>
      <c r="BL30" s="362">
        <f>Table46[[#This Row],[May_27_F]]-Table46[[#This Row],[May_27_A]]</f>
        <v/>
      </c>
      <c r="BM30" s="363" t="n"/>
      <c r="BN30" s="363" t="n"/>
      <c r="BO30" s="362">
        <f>Table46[[#This Row],[Jun_27_F]]-Table46[[#This Row],[Jun_27_A]]</f>
        <v/>
      </c>
      <c r="BP30" s="363" t="n"/>
      <c r="BQ30" s="363" t="n"/>
      <c r="BR30" s="362">
        <f>Table46[[#This Row],[Jul_27_F]]-Table46[[#This Row],[Jul_27_A]]</f>
        <v/>
      </c>
      <c r="BS30" s="363" t="n"/>
      <c r="BT30" s="363" t="n"/>
      <c r="BU30" s="362">
        <f>Table46[[#This Row],[Aug_27_F]]-Table46[[#This Row],[Aug_27_A]]</f>
        <v/>
      </c>
      <c r="BV30" s="363" t="n"/>
      <c r="BW30" s="363" t="n"/>
      <c r="BX30" s="362">
        <f>Table46[[#This Row],[Sep_27_F]]-Table46[[#This Row],[Sep_27_A]]</f>
        <v/>
      </c>
      <c r="BY30" s="363" t="n"/>
      <c r="BZ30" s="363" t="n"/>
      <c r="CA30" s="362">
        <f>Table46[[#This Row],[Oct_27_F]]-Table46[[#This Row],[Oct_27_A]]</f>
        <v/>
      </c>
      <c r="CB30" s="363" t="n"/>
      <c r="CC30" s="363" t="n"/>
      <c r="CD30" s="362">
        <f>Table46[[#This Row],[Nov_27_F]]-Table46[[#This Row],[Nov_27_A]]</f>
        <v/>
      </c>
      <c r="CE30" s="363" t="n"/>
      <c r="CF30" s="363" t="n"/>
      <c r="CG30" s="362">
        <f>Table46[[#This Row],[Dec_27_F]]-Table46[[#This Row],[Dec_27_A]]</f>
        <v/>
      </c>
    </row>
    <row r="31" ht="14.45" customHeight="1">
      <c r="B31" s="13" t="n"/>
      <c r="D31" s="367" t="n"/>
      <c r="F31" s="13" t="n"/>
      <c r="G31" s="13" t="n"/>
      <c r="H31" s="13" t="n"/>
      <c r="I31" s="13" t="n"/>
      <c r="J31" s="13" t="n"/>
      <c r="L31" s="346" t="n"/>
      <c r="M31" s="363" t="n"/>
      <c r="N31" s="363" t="n"/>
      <c r="O31" s="366">
        <f>Table46[[#This Row],[Jan_26_F]]-Table46[[#This Row],[Jan_26_Act]]</f>
        <v/>
      </c>
      <c r="P31" s="363" t="n"/>
      <c r="Q31" s="363" t="n"/>
      <c r="R31" s="366">
        <f>Table46[[#This Row],[Feb_26_F]]-Table46[[#This Row],[Feb_26_A]]</f>
        <v/>
      </c>
      <c r="S31" s="363" t="n"/>
      <c r="T31" s="363" t="n"/>
      <c r="U31" s="366">
        <f>Table46[[#This Row],[Mar_26_F]]-Table46[[#This Row],[Mar_26_A]]</f>
        <v/>
      </c>
      <c r="V31" s="363" t="n"/>
      <c r="W31" s="363" t="n"/>
      <c r="X31" s="366">
        <f>Table46[[#This Row],[Apr_26_F]]-Table46[[#This Row],[Apr_26_A]]</f>
        <v/>
      </c>
      <c r="Y31" s="363" t="n"/>
      <c r="Z31" s="363" t="n"/>
      <c r="AA31" s="366">
        <f>Table46[[#This Row],[May_26_F]]-Table46[[#This Row],[May_26_A]]</f>
        <v/>
      </c>
      <c r="AB31" s="363" t="n"/>
      <c r="AC31" s="363" t="n"/>
      <c r="AD31" s="366">
        <f>Table46[[#This Row],[Jun_26_F]]-Table46[[#This Row],[Jun_26_A]]</f>
        <v/>
      </c>
      <c r="AE31" s="363" t="n"/>
      <c r="AF31" s="363" t="n"/>
      <c r="AG31" s="366">
        <f>Table46[[#This Row],[Jul_26_F]]-Table46[[#This Row],[Jul_26_A]]</f>
        <v/>
      </c>
      <c r="AH31" s="363" t="n"/>
      <c r="AI31" s="363" t="n"/>
      <c r="AJ31" s="366">
        <f>Table46[[#This Row],[Aug_26_F]]-Table46[[#This Row],[Aug_26_A]]</f>
        <v/>
      </c>
      <c r="AK31" s="363" t="n"/>
      <c r="AL31" s="363" t="n"/>
      <c r="AM31" s="366">
        <f>Table46[[#This Row],[Sep_26_F]]-Table46[[#This Row],[Sep_26_A]]</f>
        <v/>
      </c>
      <c r="AN31" s="363" t="n"/>
      <c r="AO31" s="363" t="n"/>
      <c r="AP31" s="366">
        <f>Table46[[#This Row],[Oct_26_F]]-Table46[[#This Row],[Oct_26_A]]</f>
        <v/>
      </c>
      <c r="AQ31" s="363" t="n"/>
      <c r="AR31" s="363" t="n"/>
      <c r="AS31" s="366">
        <f>Table46[[#This Row],[Nov_26_F]]-Table46[[#This Row],[Nov_26_A]]</f>
        <v/>
      </c>
      <c r="AT31" s="363" t="n"/>
      <c r="AU31" s="363" t="n"/>
      <c r="AV31" s="366">
        <f>Table46[[#This Row],[Dec_26_F]]-Table46[[#This Row],[Dec_26_A]]</f>
        <v/>
      </c>
      <c r="AW31" s="346" t="n"/>
      <c r="AX31" s="363" t="n"/>
      <c r="AY31" s="363" t="n"/>
      <c r="AZ31" s="366">
        <f>Table46[[#This Row],[Jan_27_F]]-Table46[[#This Row],[Jan_27_Act]]</f>
        <v/>
      </c>
      <c r="BA31" s="363" t="n"/>
      <c r="BB31" s="363" t="n"/>
      <c r="BC31" s="366">
        <f>Table46[[#This Row],[Feb_27_F]]-Table46[[#This Row],[Feb_27_A]]</f>
        <v/>
      </c>
      <c r="BD31" s="363" t="n"/>
      <c r="BE31" s="363" t="n"/>
      <c r="BF31" s="366">
        <f>Table46[[#This Row],[Mar_27_F]]-Table46[[#This Row],[Mar_27_A]]</f>
        <v/>
      </c>
      <c r="BG31" s="363" t="n"/>
      <c r="BH31" s="363" t="n"/>
      <c r="BI31" s="366">
        <f>Table46[[#This Row],[Apr_27_F]]-Table46[[#This Row],[Apr_27_A]]</f>
        <v/>
      </c>
      <c r="BJ31" s="363" t="n"/>
      <c r="BK31" s="363" t="n"/>
      <c r="BL31" s="366">
        <f>Table46[[#This Row],[May_27_F]]-Table46[[#This Row],[May_27_A]]</f>
        <v/>
      </c>
      <c r="BM31" s="363" t="n"/>
      <c r="BN31" s="363" t="n"/>
      <c r="BO31" s="366">
        <f>Table46[[#This Row],[Jun_27_F]]-Table46[[#This Row],[Jun_27_A]]</f>
        <v/>
      </c>
      <c r="BP31" s="363" t="n"/>
      <c r="BQ31" s="363" t="n"/>
      <c r="BR31" s="366">
        <f>Table46[[#This Row],[Jul_27_F]]-Table46[[#This Row],[Jul_27_A]]</f>
        <v/>
      </c>
      <c r="BS31" s="363" t="n"/>
      <c r="BT31" s="363" t="n"/>
      <c r="BU31" s="366">
        <f>Table46[[#This Row],[Aug_27_F]]-Table46[[#This Row],[Aug_27_A]]</f>
        <v/>
      </c>
      <c r="BV31" s="363" t="n"/>
      <c r="BW31" s="363" t="n"/>
      <c r="BX31" s="366">
        <f>Table46[[#This Row],[Sep_27_F]]-Table46[[#This Row],[Sep_27_A]]</f>
        <v/>
      </c>
      <c r="BY31" s="363" t="n"/>
      <c r="BZ31" s="363" t="n"/>
      <c r="CA31" s="366">
        <f>Table46[[#This Row],[Oct_27_F]]-Table46[[#This Row],[Oct_27_A]]</f>
        <v/>
      </c>
      <c r="CB31" s="363" t="n"/>
      <c r="CC31" s="363" t="n"/>
      <c r="CD31" s="366">
        <f>Table46[[#This Row],[Nov_27_F]]-Table46[[#This Row],[Nov_27_A]]</f>
        <v/>
      </c>
      <c r="CE31" s="363" t="n"/>
      <c r="CF31" s="363" t="n"/>
      <c r="CG31" s="366">
        <f>Table46[[#This Row],[Dec_27_F]]-Table46[[#This Row],[Dec_27_A]]</f>
        <v/>
      </c>
    </row>
    <row r="32" ht="14.45" customHeight="1">
      <c r="B32" s="13" t="n"/>
      <c r="D32" s="367" t="n"/>
      <c r="F32" s="13" t="n"/>
      <c r="G32" s="13" t="n"/>
      <c r="H32" s="13" t="n"/>
      <c r="I32" s="13" t="n"/>
      <c r="J32" s="13" t="n"/>
      <c r="L32" s="346" t="n"/>
      <c r="M32" s="363" t="n"/>
      <c r="N32" s="363" t="n"/>
      <c r="O32" s="362">
        <f>Table46[[#This Row],[Jan_26_F]]-Table46[[#This Row],[Jan_26_Act]]</f>
        <v/>
      </c>
      <c r="P32" s="363" t="n"/>
      <c r="Q32" s="363" t="n"/>
      <c r="R32" s="362">
        <f>Table46[[#This Row],[Feb_26_F]]-Table46[[#This Row],[Feb_26_A]]</f>
        <v/>
      </c>
      <c r="S32" s="363" t="n"/>
      <c r="T32" s="363" t="n"/>
      <c r="U32" s="362">
        <f>Table46[[#This Row],[Mar_26_F]]-Table46[[#This Row],[Mar_26_A]]</f>
        <v/>
      </c>
      <c r="V32" s="363" t="n"/>
      <c r="W32" s="363" t="n"/>
      <c r="X32" s="362">
        <f>Table46[[#This Row],[Apr_26_F]]-Table46[[#This Row],[Apr_26_A]]</f>
        <v/>
      </c>
      <c r="Y32" s="363" t="n"/>
      <c r="Z32" s="363" t="n"/>
      <c r="AA32" s="362">
        <f>Table46[[#This Row],[May_26_F]]-Table46[[#This Row],[May_26_A]]</f>
        <v/>
      </c>
      <c r="AB32" s="363" t="n"/>
      <c r="AC32" s="363" t="n"/>
      <c r="AD32" s="362">
        <f>Table46[[#This Row],[Jun_26_F]]-Table46[[#This Row],[Jun_26_A]]</f>
        <v/>
      </c>
      <c r="AE32" s="363" t="n"/>
      <c r="AF32" s="363" t="n"/>
      <c r="AG32" s="362">
        <f>Table46[[#This Row],[Jul_26_F]]-Table46[[#This Row],[Jul_26_A]]</f>
        <v/>
      </c>
      <c r="AH32" s="363" t="n"/>
      <c r="AI32" s="363" t="n"/>
      <c r="AJ32" s="362">
        <f>Table46[[#This Row],[Aug_26_F]]-Table46[[#This Row],[Aug_26_A]]</f>
        <v/>
      </c>
      <c r="AK32" s="363" t="n"/>
      <c r="AL32" s="363" t="n"/>
      <c r="AM32" s="362">
        <f>Table46[[#This Row],[Sep_26_F]]-Table46[[#This Row],[Sep_26_A]]</f>
        <v/>
      </c>
      <c r="AN32" s="363" t="n"/>
      <c r="AO32" s="363" t="n"/>
      <c r="AP32" s="362">
        <f>Table46[[#This Row],[Oct_26_F]]-Table46[[#This Row],[Oct_26_A]]</f>
        <v/>
      </c>
      <c r="AQ32" s="363" t="n"/>
      <c r="AR32" s="363" t="n"/>
      <c r="AS32" s="362">
        <f>Table46[[#This Row],[Nov_26_F]]-Table46[[#This Row],[Nov_26_A]]</f>
        <v/>
      </c>
      <c r="AT32" s="363" t="n"/>
      <c r="AU32" s="363" t="n"/>
      <c r="AV32" s="362">
        <f>Table46[[#This Row],[Dec_26_F]]-Table46[[#This Row],[Dec_26_A]]</f>
        <v/>
      </c>
      <c r="AW32" s="346" t="n"/>
      <c r="AX32" s="275" t="n"/>
      <c r="AY32" s="363" t="n"/>
      <c r="AZ32" s="362">
        <f>Table46[[#This Row],[Jan_27_F]]-Table46[[#This Row],[Jan_27_Act]]</f>
        <v/>
      </c>
      <c r="BA32" s="275" t="n"/>
      <c r="BB32" s="363" t="n"/>
      <c r="BC32" s="362">
        <f>Table46[[#This Row],[Feb_27_F]]-Table46[[#This Row],[Feb_27_A]]</f>
        <v/>
      </c>
      <c r="BD32" s="275" t="n"/>
      <c r="BE32" s="363" t="n"/>
      <c r="BF32" s="362">
        <f>Table46[[#This Row],[Mar_27_F]]-Table46[[#This Row],[Mar_27_A]]</f>
        <v/>
      </c>
      <c r="BG32" s="275" t="n"/>
      <c r="BH32" s="363" t="n"/>
      <c r="BI32" s="362">
        <f>Table46[[#This Row],[Apr_27_F]]-Table46[[#This Row],[Apr_27_A]]</f>
        <v/>
      </c>
      <c r="BJ32" s="275" t="n"/>
      <c r="BK32" s="363" t="n"/>
      <c r="BL32" s="362">
        <f>Table46[[#This Row],[May_27_F]]-Table46[[#This Row],[May_27_A]]</f>
        <v/>
      </c>
      <c r="BM32" s="275" t="n"/>
      <c r="BN32" s="363" t="n"/>
      <c r="BO32" s="362">
        <f>Table46[[#This Row],[Jun_27_F]]-Table46[[#This Row],[Jun_27_A]]</f>
        <v/>
      </c>
      <c r="BP32" s="275" t="n"/>
      <c r="BQ32" s="363" t="n"/>
      <c r="BR32" s="362">
        <f>Table46[[#This Row],[Jul_27_F]]-Table46[[#This Row],[Jul_27_A]]</f>
        <v/>
      </c>
      <c r="BS32" s="275" t="n"/>
      <c r="BT32" s="363" t="n"/>
      <c r="BU32" s="362">
        <f>Table46[[#This Row],[Aug_27_F]]-Table46[[#This Row],[Aug_27_A]]</f>
        <v/>
      </c>
      <c r="BV32" s="275" t="n"/>
      <c r="BW32" s="363" t="n"/>
      <c r="BX32" s="362">
        <f>Table46[[#This Row],[Sep_27_F]]-Table46[[#This Row],[Sep_27_A]]</f>
        <v/>
      </c>
      <c r="BY32" s="275" t="n"/>
      <c r="BZ32" s="363" t="n"/>
      <c r="CA32" s="362">
        <f>Table46[[#This Row],[Oct_27_F]]-Table46[[#This Row],[Oct_27_A]]</f>
        <v/>
      </c>
      <c r="CB32" s="275" t="n"/>
      <c r="CC32" s="363" t="n"/>
      <c r="CD32" s="362">
        <f>Table46[[#This Row],[Nov_27_F]]-Table46[[#This Row],[Nov_27_A]]</f>
        <v/>
      </c>
      <c r="CE32" s="275" t="n"/>
      <c r="CF32" s="363" t="n"/>
      <c r="CG32" s="362">
        <f>Table46[[#This Row],[Dec_27_F]]-Table46[[#This Row],[Dec_27_A]]</f>
        <v/>
      </c>
    </row>
    <row r="33" ht="14.45" customHeight="1">
      <c r="B33" s="13" t="n"/>
      <c r="D33" s="367" t="n"/>
      <c r="F33" s="13" t="n"/>
      <c r="G33" s="13" t="n"/>
      <c r="H33" s="13" t="n"/>
      <c r="I33" s="13" t="n"/>
      <c r="J33" s="13" t="n"/>
      <c r="L33" s="346" t="n"/>
      <c r="M33" s="363" t="n"/>
      <c r="N33" s="363" t="n"/>
      <c r="O33" s="366">
        <f>Table46[[#This Row],[Jan_26_F]]-Table46[[#This Row],[Jan_26_Act]]</f>
        <v/>
      </c>
      <c r="P33" s="363" t="n"/>
      <c r="Q33" s="363" t="n"/>
      <c r="R33" s="366">
        <f>Table46[[#This Row],[Feb_26_F]]-Table46[[#This Row],[Feb_26_A]]</f>
        <v/>
      </c>
      <c r="S33" s="363" t="n"/>
      <c r="T33" s="363" t="n"/>
      <c r="U33" s="366">
        <f>Table46[[#This Row],[Mar_26_F]]-Table46[[#This Row],[Mar_26_A]]</f>
        <v/>
      </c>
      <c r="V33" s="363" t="n"/>
      <c r="W33" s="363" t="n"/>
      <c r="X33" s="366">
        <f>Table46[[#This Row],[Apr_26_F]]-Table46[[#This Row],[Apr_26_A]]</f>
        <v/>
      </c>
      <c r="Y33" s="363" t="n"/>
      <c r="Z33" s="363" t="n"/>
      <c r="AA33" s="366">
        <f>Table46[[#This Row],[May_26_F]]-Table46[[#This Row],[May_26_A]]</f>
        <v/>
      </c>
      <c r="AB33" s="363" t="n"/>
      <c r="AC33" s="363" t="n"/>
      <c r="AD33" s="366">
        <f>Table46[[#This Row],[Jun_26_F]]-Table46[[#This Row],[Jun_26_A]]</f>
        <v/>
      </c>
      <c r="AE33" s="363" t="n"/>
      <c r="AF33" s="363" t="n"/>
      <c r="AG33" s="366">
        <f>Table46[[#This Row],[Jul_26_F]]-Table46[[#This Row],[Jul_26_A]]</f>
        <v/>
      </c>
      <c r="AH33" s="363" t="n"/>
      <c r="AI33" s="363" t="n"/>
      <c r="AJ33" s="366">
        <f>Table46[[#This Row],[Aug_26_F]]-Table46[[#This Row],[Aug_26_A]]</f>
        <v/>
      </c>
      <c r="AK33" s="363" t="n"/>
      <c r="AL33" s="363" t="n"/>
      <c r="AM33" s="366">
        <f>Table46[[#This Row],[Sep_26_F]]-Table46[[#This Row],[Sep_26_A]]</f>
        <v/>
      </c>
      <c r="AN33" s="363" t="n"/>
      <c r="AO33" s="363" t="n"/>
      <c r="AP33" s="366">
        <f>Table46[[#This Row],[Oct_26_F]]-Table46[[#This Row],[Oct_26_A]]</f>
        <v/>
      </c>
      <c r="AQ33" s="363" t="n"/>
      <c r="AR33" s="363" t="n"/>
      <c r="AS33" s="366">
        <f>Table46[[#This Row],[Nov_26_F]]-Table46[[#This Row],[Nov_26_A]]</f>
        <v/>
      </c>
      <c r="AT33" s="363" t="n"/>
      <c r="AU33" s="363" t="n"/>
      <c r="AV33" s="366">
        <f>Table46[[#This Row],[Dec_26_F]]-Table46[[#This Row],[Dec_26_A]]</f>
        <v/>
      </c>
      <c r="AW33" s="346" t="n"/>
      <c r="AX33" s="363" t="n"/>
      <c r="AY33" s="363" t="n"/>
      <c r="AZ33" s="366">
        <f>Table46[[#This Row],[Jan_27_F]]-Table46[[#This Row],[Jan_27_Act]]</f>
        <v/>
      </c>
      <c r="BA33" s="363" t="n"/>
      <c r="BB33" s="363" t="n"/>
      <c r="BC33" s="366">
        <f>Table46[[#This Row],[Feb_27_F]]-Table46[[#This Row],[Feb_27_A]]</f>
        <v/>
      </c>
      <c r="BD33" s="363" t="n"/>
      <c r="BE33" s="363" t="n"/>
      <c r="BF33" s="366">
        <f>Table46[[#This Row],[Mar_27_F]]-Table46[[#This Row],[Mar_27_A]]</f>
        <v/>
      </c>
      <c r="BG33" s="363" t="n"/>
      <c r="BH33" s="363" t="n"/>
      <c r="BI33" s="366">
        <f>Table46[[#This Row],[Apr_27_F]]-Table46[[#This Row],[Apr_27_A]]</f>
        <v/>
      </c>
      <c r="BJ33" s="363" t="n"/>
      <c r="BK33" s="363" t="n"/>
      <c r="BL33" s="366">
        <f>Table46[[#This Row],[May_27_F]]-Table46[[#This Row],[May_27_A]]</f>
        <v/>
      </c>
      <c r="BM33" s="363" t="n"/>
      <c r="BN33" s="363" t="n"/>
      <c r="BO33" s="366">
        <f>Table46[[#This Row],[Jun_27_F]]-Table46[[#This Row],[Jun_27_A]]</f>
        <v/>
      </c>
      <c r="BP33" s="363" t="n"/>
      <c r="BQ33" s="363" t="n"/>
      <c r="BR33" s="366">
        <f>Table46[[#This Row],[Jul_27_F]]-Table46[[#This Row],[Jul_27_A]]</f>
        <v/>
      </c>
      <c r="BS33" s="363" t="n"/>
      <c r="BT33" s="363" t="n"/>
      <c r="BU33" s="366">
        <f>Table46[[#This Row],[Aug_27_F]]-Table46[[#This Row],[Aug_27_A]]</f>
        <v/>
      </c>
      <c r="BV33" s="363" t="n"/>
      <c r="BW33" s="363" t="n"/>
      <c r="BX33" s="366">
        <f>Table46[[#This Row],[Sep_27_F]]-Table46[[#This Row],[Sep_27_A]]</f>
        <v/>
      </c>
      <c r="BY33" s="363" t="n"/>
      <c r="BZ33" s="363" t="n"/>
      <c r="CA33" s="366">
        <f>Table46[[#This Row],[Oct_27_F]]-Table46[[#This Row],[Oct_27_A]]</f>
        <v/>
      </c>
      <c r="CB33" s="363" t="n"/>
      <c r="CC33" s="363" t="n"/>
      <c r="CD33" s="366">
        <f>Table46[[#This Row],[Nov_27_F]]-Table46[[#This Row],[Nov_27_A]]</f>
        <v/>
      </c>
      <c r="CE33" s="363" t="n"/>
      <c r="CF33" s="363" t="n"/>
      <c r="CG33" s="366">
        <f>Table46[[#This Row],[Dec_27_F]]-Table46[[#This Row],[Dec_27_A]]</f>
        <v/>
      </c>
    </row>
    <row r="34" ht="14.45" customHeight="1">
      <c r="B34" s="13" t="n"/>
      <c r="D34" s="367" t="n"/>
      <c r="F34" s="13" t="n"/>
      <c r="G34" s="13" t="n"/>
      <c r="H34" s="13" t="n"/>
      <c r="I34" s="13" t="n"/>
      <c r="J34" s="13" t="n"/>
      <c r="L34" s="346" t="n"/>
      <c r="M34" s="363" t="n"/>
      <c r="N34" s="363" t="n"/>
      <c r="O34" s="362">
        <f>Table46[[#This Row],[Jan_26_F]]-Table46[[#This Row],[Jan_26_Act]]</f>
        <v/>
      </c>
      <c r="P34" s="363" t="n"/>
      <c r="Q34" s="363" t="n"/>
      <c r="R34" s="362">
        <f>Table46[[#This Row],[Feb_26_F]]-Table46[[#This Row],[Feb_26_A]]</f>
        <v/>
      </c>
      <c r="S34" s="363" t="n"/>
      <c r="T34" s="363" t="n"/>
      <c r="U34" s="362">
        <f>Table46[[#This Row],[Mar_26_F]]-Table46[[#This Row],[Mar_26_A]]</f>
        <v/>
      </c>
      <c r="V34" s="363" t="n"/>
      <c r="W34" s="363" t="n"/>
      <c r="X34" s="362">
        <f>Table46[[#This Row],[Apr_26_F]]-Table46[[#This Row],[Apr_26_A]]</f>
        <v/>
      </c>
      <c r="Y34" s="363" t="n"/>
      <c r="Z34" s="363" t="n"/>
      <c r="AA34" s="362">
        <f>Table46[[#This Row],[May_26_F]]-Table46[[#This Row],[May_26_A]]</f>
        <v/>
      </c>
      <c r="AB34" s="363" t="n"/>
      <c r="AC34" s="363" t="n"/>
      <c r="AD34" s="362">
        <f>Table46[[#This Row],[Jun_26_F]]-Table46[[#This Row],[Jun_26_A]]</f>
        <v/>
      </c>
      <c r="AE34" s="363" t="n"/>
      <c r="AF34" s="363" t="n"/>
      <c r="AG34" s="362">
        <f>Table46[[#This Row],[Jul_26_F]]-Table46[[#This Row],[Jul_26_A]]</f>
        <v/>
      </c>
      <c r="AH34" s="363" t="n"/>
      <c r="AI34" s="363" t="n"/>
      <c r="AJ34" s="362">
        <f>Table46[[#This Row],[Aug_26_F]]-Table46[[#This Row],[Aug_26_A]]</f>
        <v/>
      </c>
      <c r="AK34" s="363" t="n"/>
      <c r="AL34" s="363" t="n"/>
      <c r="AM34" s="362">
        <f>Table46[[#This Row],[Sep_26_F]]-Table46[[#This Row],[Sep_26_A]]</f>
        <v/>
      </c>
      <c r="AN34" s="363" t="n"/>
      <c r="AO34" s="363" t="n"/>
      <c r="AP34" s="362">
        <f>Table46[[#This Row],[Oct_26_F]]-Table46[[#This Row],[Oct_26_A]]</f>
        <v/>
      </c>
      <c r="AQ34" s="363" t="n"/>
      <c r="AR34" s="363" t="n"/>
      <c r="AS34" s="362">
        <f>Table46[[#This Row],[Nov_26_F]]-Table46[[#This Row],[Nov_26_A]]</f>
        <v/>
      </c>
      <c r="AT34" s="363" t="n"/>
      <c r="AU34" s="363" t="n"/>
      <c r="AV34" s="362">
        <f>Table46[[#This Row],[Dec_26_F]]-Table46[[#This Row],[Dec_26_A]]</f>
        <v/>
      </c>
      <c r="AW34" s="346" t="n"/>
      <c r="AX34" s="363" t="n"/>
      <c r="AY34" s="363" t="n"/>
      <c r="AZ34" s="362">
        <f>Table46[[#This Row],[Jan_27_F]]-Table46[[#This Row],[Jan_27_Act]]</f>
        <v/>
      </c>
      <c r="BA34" s="363" t="n"/>
      <c r="BB34" s="363" t="n"/>
      <c r="BC34" s="362">
        <f>Table46[[#This Row],[Feb_27_F]]-Table46[[#This Row],[Feb_27_A]]</f>
        <v/>
      </c>
      <c r="BD34" s="363" t="n"/>
      <c r="BE34" s="363" t="n"/>
      <c r="BF34" s="362">
        <f>Table46[[#This Row],[Mar_27_F]]-Table46[[#This Row],[Mar_27_A]]</f>
        <v/>
      </c>
      <c r="BG34" s="363" t="n"/>
      <c r="BH34" s="363" t="n"/>
      <c r="BI34" s="362">
        <f>Table46[[#This Row],[Apr_27_F]]-Table46[[#This Row],[Apr_27_A]]</f>
        <v/>
      </c>
      <c r="BJ34" s="363" t="n"/>
      <c r="BK34" s="363" t="n"/>
      <c r="BL34" s="362">
        <f>Table46[[#This Row],[May_27_F]]-Table46[[#This Row],[May_27_A]]</f>
        <v/>
      </c>
      <c r="BM34" s="363" t="n"/>
      <c r="BN34" s="363" t="n"/>
      <c r="BO34" s="362">
        <f>Table46[[#This Row],[Jun_27_F]]-Table46[[#This Row],[Jun_27_A]]</f>
        <v/>
      </c>
      <c r="BP34" s="363" t="n"/>
      <c r="BQ34" s="363" t="n"/>
      <c r="BR34" s="362">
        <f>Table46[[#This Row],[Jul_27_F]]-Table46[[#This Row],[Jul_27_A]]</f>
        <v/>
      </c>
      <c r="BS34" s="363" t="n"/>
      <c r="BT34" s="363" t="n"/>
      <c r="BU34" s="362">
        <f>Table46[[#This Row],[Aug_27_F]]-Table46[[#This Row],[Aug_27_A]]</f>
        <v/>
      </c>
      <c r="BV34" s="363" t="n"/>
      <c r="BW34" s="363" t="n"/>
      <c r="BX34" s="362">
        <f>Table46[[#This Row],[Sep_27_F]]-Table46[[#This Row],[Sep_27_A]]</f>
        <v/>
      </c>
      <c r="BY34" s="363" t="n"/>
      <c r="BZ34" s="363" t="n"/>
      <c r="CA34" s="362">
        <f>Table46[[#This Row],[Oct_27_F]]-Table46[[#This Row],[Oct_27_A]]</f>
        <v/>
      </c>
      <c r="CB34" s="363" t="n"/>
      <c r="CC34" s="363" t="n"/>
      <c r="CD34" s="362">
        <f>Table46[[#This Row],[Nov_27_F]]-Table46[[#This Row],[Nov_27_A]]</f>
        <v/>
      </c>
      <c r="CE34" s="363" t="n"/>
      <c r="CF34" s="363" t="n"/>
      <c r="CG34" s="362">
        <f>Table46[[#This Row],[Dec_27_F]]-Table46[[#This Row],[Dec_27_A]]</f>
        <v/>
      </c>
    </row>
    <row r="35" ht="14.45" customHeight="1">
      <c r="B35" s="13" t="n"/>
      <c r="D35" s="367" t="n"/>
      <c r="F35" s="13" t="n"/>
      <c r="G35" s="13" t="n"/>
      <c r="H35" s="13" t="n"/>
      <c r="I35" s="13" t="n"/>
      <c r="J35" s="13" t="n"/>
      <c r="L35" s="346" t="n"/>
      <c r="M35" s="363" t="n"/>
      <c r="N35" s="363" t="n"/>
      <c r="O35" s="366">
        <f>Table46[[#This Row],[Jan_26_F]]-Table46[[#This Row],[Jan_26_Act]]</f>
        <v/>
      </c>
      <c r="P35" s="363" t="n"/>
      <c r="Q35" s="363" t="n"/>
      <c r="R35" s="366">
        <f>Table46[[#This Row],[Feb_26_F]]-Table46[[#This Row],[Feb_26_A]]</f>
        <v/>
      </c>
      <c r="S35" s="363" t="n"/>
      <c r="T35" s="363" t="n"/>
      <c r="U35" s="366">
        <f>Table46[[#This Row],[Mar_26_F]]-Table46[[#This Row],[Mar_26_A]]</f>
        <v/>
      </c>
      <c r="V35" s="363" t="n"/>
      <c r="W35" s="363" t="n"/>
      <c r="X35" s="366">
        <f>Table46[[#This Row],[Apr_26_F]]-Table46[[#This Row],[Apr_26_A]]</f>
        <v/>
      </c>
      <c r="Y35" s="363" t="n"/>
      <c r="Z35" s="363" t="n"/>
      <c r="AA35" s="366">
        <f>Table46[[#This Row],[May_26_F]]-Table46[[#This Row],[May_26_A]]</f>
        <v/>
      </c>
      <c r="AB35" s="363" t="n"/>
      <c r="AC35" s="363" t="n"/>
      <c r="AD35" s="366">
        <f>Table46[[#This Row],[Jun_26_F]]-Table46[[#This Row],[Jun_26_A]]</f>
        <v/>
      </c>
      <c r="AE35" s="363" t="n"/>
      <c r="AF35" s="363" t="n"/>
      <c r="AG35" s="366">
        <f>Table46[[#This Row],[Jul_26_F]]-Table46[[#This Row],[Jul_26_A]]</f>
        <v/>
      </c>
      <c r="AH35" s="363" t="n"/>
      <c r="AI35" s="363" t="n"/>
      <c r="AJ35" s="366">
        <f>Table46[[#This Row],[Aug_26_F]]-Table46[[#This Row],[Aug_26_A]]</f>
        <v/>
      </c>
      <c r="AK35" s="363" t="n"/>
      <c r="AL35" s="363" t="n"/>
      <c r="AM35" s="366">
        <f>Table46[[#This Row],[Sep_26_F]]-Table46[[#This Row],[Sep_26_A]]</f>
        <v/>
      </c>
      <c r="AN35" s="363" t="n"/>
      <c r="AO35" s="363" t="n"/>
      <c r="AP35" s="366">
        <f>Table46[[#This Row],[Oct_26_F]]-Table46[[#This Row],[Oct_26_A]]</f>
        <v/>
      </c>
      <c r="AQ35" s="363" t="n"/>
      <c r="AR35" s="363" t="n"/>
      <c r="AS35" s="366">
        <f>Table46[[#This Row],[Nov_26_F]]-Table46[[#This Row],[Nov_26_A]]</f>
        <v/>
      </c>
      <c r="AT35" s="363" t="n"/>
      <c r="AU35" s="363" t="n"/>
      <c r="AV35" s="366">
        <f>Table46[[#This Row],[Dec_26_F]]-Table46[[#This Row],[Dec_26_A]]</f>
        <v/>
      </c>
      <c r="AW35" s="346" t="n"/>
      <c r="AX35" s="363" t="n"/>
      <c r="AY35" s="363" t="n"/>
      <c r="AZ35" s="366">
        <f>Table46[[#This Row],[Jan_27_F]]-Table46[[#This Row],[Jan_27_Act]]</f>
        <v/>
      </c>
      <c r="BA35" s="363" t="n"/>
      <c r="BB35" s="363" t="n"/>
      <c r="BC35" s="366">
        <f>Table46[[#This Row],[Feb_27_F]]-Table46[[#This Row],[Feb_27_A]]</f>
        <v/>
      </c>
      <c r="BD35" s="363" t="n"/>
      <c r="BE35" s="363" t="n"/>
      <c r="BF35" s="366">
        <f>Table46[[#This Row],[Mar_27_F]]-Table46[[#This Row],[Mar_27_A]]</f>
        <v/>
      </c>
      <c r="BG35" s="363" t="n"/>
      <c r="BH35" s="363" t="n"/>
      <c r="BI35" s="366">
        <f>Table46[[#This Row],[Apr_27_F]]-Table46[[#This Row],[Apr_27_A]]</f>
        <v/>
      </c>
      <c r="BJ35" s="363" t="n"/>
      <c r="BK35" s="363" t="n"/>
      <c r="BL35" s="366">
        <f>Table46[[#This Row],[May_27_F]]-Table46[[#This Row],[May_27_A]]</f>
        <v/>
      </c>
      <c r="BM35" s="363" t="n"/>
      <c r="BN35" s="363" t="n"/>
      <c r="BO35" s="366">
        <f>Table46[[#This Row],[Jun_27_F]]-Table46[[#This Row],[Jun_27_A]]</f>
        <v/>
      </c>
      <c r="BP35" s="363" t="n"/>
      <c r="BQ35" s="363" t="n"/>
      <c r="BR35" s="366">
        <f>Table46[[#This Row],[Jul_27_F]]-Table46[[#This Row],[Jul_27_A]]</f>
        <v/>
      </c>
      <c r="BS35" s="363" t="n"/>
      <c r="BT35" s="363" t="n"/>
      <c r="BU35" s="366">
        <f>Table46[[#This Row],[Aug_27_F]]-Table46[[#This Row],[Aug_27_A]]</f>
        <v/>
      </c>
      <c r="BV35" s="363" t="n"/>
      <c r="BW35" s="363" t="n"/>
      <c r="BX35" s="366">
        <f>Table46[[#This Row],[Sep_27_F]]-Table46[[#This Row],[Sep_27_A]]</f>
        <v/>
      </c>
      <c r="BY35" s="363" t="n"/>
      <c r="BZ35" s="363" t="n"/>
      <c r="CA35" s="366">
        <f>Table46[[#This Row],[Oct_27_F]]-Table46[[#This Row],[Oct_27_A]]</f>
        <v/>
      </c>
      <c r="CB35" s="363" t="n"/>
      <c r="CC35" s="363" t="n"/>
      <c r="CD35" s="366">
        <f>Table46[[#This Row],[Nov_27_F]]-Table46[[#This Row],[Nov_27_A]]</f>
        <v/>
      </c>
      <c r="CE35" s="363" t="n"/>
      <c r="CF35" s="363" t="n"/>
      <c r="CG35" s="366">
        <f>Table46[[#This Row],[Dec_27_F]]-Table46[[#This Row],[Dec_27_A]]</f>
        <v/>
      </c>
    </row>
    <row r="36" ht="14.45" customHeight="1">
      <c r="B36" s="13" t="n"/>
      <c r="D36" s="367" t="n"/>
      <c r="F36" s="13" t="n"/>
      <c r="G36" s="13" t="n"/>
      <c r="H36" s="13" t="n"/>
      <c r="I36" s="13" t="n"/>
      <c r="J36" s="13" t="n"/>
      <c r="L36" s="346" t="n"/>
      <c r="M36" s="363" t="n"/>
      <c r="N36" s="363" t="n"/>
      <c r="O36" s="362">
        <f>Table46[[#This Row],[Jan_26_F]]-Table46[[#This Row],[Jan_26_Act]]</f>
        <v/>
      </c>
      <c r="P36" s="363" t="n"/>
      <c r="Q36" s="363" t="n"/>
      <c r="R36" s="362">
        <f>Table46[[#This Row],[Feb_26_F]]-Table46[[#This Row],[Feb_26_A]]</f>
        <v/>
      </c>
      <c r="S36" s="363" t="n"/>
      <c r="T36" s="363" t="n"/>
      <c r="U36" s="362">
        <f>Table46[[#This Row],[Mar_26_F]]-Table46[[#This Row],[Mar_26_A]]</f>
        <v/>
      </c>
      <c r="V36" s="363" t="n"/>
      <c r="W36" s="363" t="n"/>
      <c r="X36" s="362">
        <f>Table46[[#This Row],[Apr_26_F]]-Table46[[#This Row],[Apr_26_A]]</f>
        <v/>
      </c>
      <c r="Y36" s="363" t="n"/>
      <c r="Z36" s="363" t="n"/>
      <c r="AA36" s="362">
        <f>Table46[[#This Row],[May_26_F]]-Table46[[#This Row],[May_26_A]]</f>
        <v/>
      </c>
      <c r="AB36" s="363" t="n"/>
      <c r="AC36" s="363" t="n"/>
      <c r="AD36" s="362">
        <f>Table46[[#This Row],[Jun_26_F]]-Table46[[#This Row],[Jun_26_A]]</f>
        <v/>
      </c>
      <c r="AE36" s="363" t="n"/>
      <c r="AF36" s="363" t="n"/>
      <c r="AG36" s="362">
        <f>Table46[[#This Row],[Jul_26_F]]-Table46[[#This Row],[Jul_26_A]]</f>
        <v/>
      </c>
      <c r="AH36" s="363" t="n"/>
      <c r="AI36" s="363" t="n"/>
      <c r="AJ36" s="362">
        <f>Table46[[#This Row],[Aug_26_F]]-Table46[[#This Row],[Aug_26_A]]</f>
        <v/>
      </c>
      <c r="AK36" s="363" t="n"/>
      <c r="AL36" s="363" t="n"/>
      <c r="AM36" s="362">
        <f>Table46[[#This Row],[Sep_26_F]]-Table46[[#This Row],[Sep_26_A]]</f>
        <v/>
      </c>
      <c r="AN36" s="363" t="n"/>
      <c r="AO36" s="363" t="n"/>
      <c r="AP36" s="362">
        <f>Table46[[#This Row],[Oct_26_F]]-Table46[[#This Row],[Oct_26_A]]</f>
        <v/>
      </c>
      <c r="AQ36" s="363" t="n"/>
      <c r="AR36" s="363" t="n"/>
      <c r="AS36" s="362">
        <f>Table46[[#This Row],[Nov_26_F]]-Table46[[#This Row],[Nov_26_A]]</f>
        <v/>
      </c>
      <c r="AT36" s="363" t="n"/>
      <c r="AU36" s="363" t="n"/>
      <c r="AV36" s="362">
        <f>Table46[[#This Row],[Dec_26_F]]-Table46[[#This Row],[Dec_26_A]]</f>
        <v/>
      </c>
      <c r="AW36" s="346" t="n"/>
      <c r="AX36" s="363" t="n"/>
      <c r="AY36" s="363" t="n"/>
      <c r="AZ36" s="362">
        <f>Table46[[#This Row],[Jan_27_F]]-Table46[[#This Row],[Jan_27_Act]]</f>
        <v/>
      </c>
      <c r="BA36" s="363" t="n"/>
      <c r="BB36" s="363" t="n"/>
      <c r="BC36" s="362">
        <f>Table46[[#This Row],[Feb_27_F]]-Table46[[#This Row],[Feb_27_A]]</f>
        <v/>
      </c>
      <c r="BD36" s="363" t="n"/>
      <c r="BE36" s="363" t="n"/>
      <c r="BF36" s="362">
        <f>Table46[[#This Row],[Mar_27_F]]-Table46[[#This Row],[Mar_27_A]]</f>
        <v/>
      </c>
      <c r="BG36" s="363" t="n"/>
      <c r="BH36" s="363" t="n"/>
      <c r="BI36" s="362">
        <f>Table46[[#This Row],[Apr_27_F]]-Table46[[#This Row],[Apr_27_A]]</f>
        <v/>
      </c>
      <c r="BJ36" s="363" t="n"/>
      <c r="BK36" s="363" t="n"/>
      <c r="BL36" s="362">
        <f>Table46[[#This Row],[May_27_F]]-Table46[[#This Row],[May_27_A]]</f>
        <v/>
      </c>
      <c r="BM36" s="363" t="n"/>
      <c r="BN36" s="363" t="n"/>
      <c r="BO36" s="362">
        <f>Table46[[#This Row],[Jun_27_F]]-Table46[[#This Row],[Jun_27_A]]</f>
        <v/>
      </c>
      <c r="BP36" s="363" t="n"/>
      <c r="BQ36" s="363" t="n"/>
      <c r="BR36" s="362">
        <f>Table46[[#This Row],[Jul_27_F]]-Table46[[#This Row],[Jul_27_A]]</f>
        <v/>
      </c>
      <c r="BS36" s="363" t="n"/>
      <c r="BT36" s="363" t="n"/>
      <c r="BU36" s="362">
        <f>Table46[[#This Row],[Aug_27_F]]-Table46[[#This Row],[Aug_27_A]]</f>
        <v/>
      </c>
      <c r="BV36" s="363" t="n"/>
      <c r="BW36" s="363" t="n"/>
      <c r="BX36" s="362">
        <f>Table46[[#This Row],[Sep_27_F]]-Table46[[#This Row],[Sep_27_A]]</f>
        <v/>
      </c>
      <c r="BY36" s="363" t="n"/>
      <c r="BZ36" s="363" t="n"/>
      <c r="CA36" s="362">
        <f>Table46[[#This Row],[Oct_27_F]]-Table46[[#This Row],[Oct_27_A]]</f>
        <v/>
      </c>
      <c r="CB36" s="363" t="n"/>
      <c r="CC36" s="363" t="n"/>
      <c r="CD36" s="362">
        <f>Table46[[#This Row],[Nov_27_F]]-Table46[[#This Row],[Nov_27_A]]</f>
        <v/>
      </c>
      <c r="CE36" s="363" t="n"/>
      <c r="CF36" s="363" t="n"/>
      <c r="CG36" s="362">
        <f>Table46[[#This Row],[Dec_27_F]]-Table46[[#This Row],[Dec_27_A]]</f>
        <v/>
      </c>
    </row>
    <row r="37" ht="14.45" customHeight="1">
      <c r="B37" s="13" t="n"/>
      <c r="D37" s="367" t="n"/>
      <c r="F37" s="13" t="n"/>
      <c r="G37" s="13" t="n"/>
      <c r="H37" s="13" t="n"/>
      <c r="I37" s="13" t="n"/>
      <c r="J37" s="13" t="n"/>
      <c r="L37" s="346" t="n"/>
      <c r="M37" s="363" t="n"/>
      <c r="N37" s="363" t="n"/>
      <c r="O37" s="366">
        <f>Table46[[#This Row],[Jan_26_F]]-Table46[[#This Row],[Jan_26_Act]]</f>
        <v/>
      </c>
      <c r="P37" s="363" t="n"/>
      <c r="Q37" s="363" t="n"/>
      <c r="R37" s="366">
        <f>Table46[[#This Row],[Feb_26_F]]-Table46[[#This Row],[Feb_26_A]]</f>
        <v/>
      </c>
      <c r="S37" s="363" t="n"/>
      <c r="T37" s="363" t="n"/>
      <c r="U37" s="366">
        <f>Table46[[#This Row],[Mar_26_F]]-Table46[[#This Row],[Mar_26_A]]</f>
        <v/>
      </c>
      <c r="V37" s="363" t="n"/>
      <c r="W37" s="363" t="n"/>
      <c r="X37" s="366">
        <f>Table46[[#This Row],[Apr_26_F]]-Table46[[#This Row],[Apr_26_A]]</f>
        <v/>
      </c>
      <c r="Y37" s="363" t="n"/>
      <c r="Z37" s="363" t="n"/>
      <c r="AA37" s="366">
        <f>Table46[[#This Row],[May_26_F]]-Table46[[#This Row],[May_26_A]]</f>
        <v/>
      </c>
      <c r="AB37" s="363" t="n"/>
      <c r="AC37" s="363" t="n"/>
      <c r="AD37" s="366">
        <f>Table46[[#This Row],[Jun_26_F]]-Table46[[#This Row],[Jun_26_A]]</f>
        <v/>
      </c>
      <c r="AE37" s="363" t="n"/>
      <c r="AF37" s="363" t="n"/>
      <c r="AG37" s="366">
        <f>Table46[[#This Row],[Jul_26_F]]-Table46[[#This Row],[Jul_26_A]]</f>
        <v/>
      </c>
      <c r="AH37" s="363" t="n"/>
      <c r="AI37" s="363" t="n"/>
      <c r="AJ37" s="366">
        <f>Table46[[#This Row],[Aug_26_F]]-Table46[[#This Row],[Aug_26_A]]</f>
        <v/>
      </c>
      <c r="AK37" s="363" t="n"/>
      <c r="AL37" s="363" t="n"/>
      <c r="AM37" s="366">
        <f>Table46[[#This Row],[Sep_26_F]]-Table46[[#This Row],[Sep_26_A]]</f>
        <v/>
      </c>
      <c r="AN37" s="363" t="n"/>
      <c r="AO37" s="363" t="n"/>
      <c r="AP37" s="366">
        <f>Table46[[#This Row],[Oct_26_F]]-Table46[[#This Row],[Oct_26_A]]</f>
        <v/>
      </c>
      <c r="AQ37" s="363" t="n"/>
      <c r="AR37" s="363" t="n"/>
      <c r="AS37" s="366">
        <f>Table46[[#This Row],[Nov_26_F]]-Table46[[#This Row],[Nov_26_A]]</f>
        <v/>
      </c>
      <c r="AT37" s="363" t="n"/>
      <c r="AU37" s="363" t="n"/>
      <c r="AV37" s="366">
        <f>Table46[[#This Row],[Dec_26_F]]-Table46[[#This Row],[Dec_26_A]]</f>
        <v/>
      </c>
      <c r="AW37" s="346" t="n"/>
      <c r="AX37" s="363" t="n"/>
      <c r="AY37" s="363" t="n"/>
      <c r="AZ37" s="366">
        <f>Table46[[#This Row],[Jan_27_F]]-Table46[[#This Row],[Jan_27_Act]]</f>
        <v/>
      </c>
      <c r="BA37" s="363" t="n"/>
      <c r="BB37" s="363" t="n"/>
      <c r="BC37" s="366">
        <f>Table46[[#This Row],[Feb_27_F]]-Table46[[#This Row],[Feb_27_A]]</f>
        <v/>
      </c>
      <c r="BD37" s="363" t="n"/>
      <c r="BE37" s="363" t="n"/>
      <c r="BF37" s="366">
        <f>Table46[[#This Row],[Mar_27_F]]-Table46[[#This Row],[Mar_27_A]]</f>
        <v/>
      </c>
      <c r="BG37" s="363" t="n"/>
      <c r="BH37" s="363" t="n"/>
      <c r="BI37" s="366">
        <f>Table46[[#This Row],[Apr_27_F]]-Table46[[#This Row],[Apr_27_A]]</f>
        <v/>
      </c>
      <c r="BJ37" s="363" t="n"/>
      <c r="BK37" s="363" t="n"/>
      <c r="BL37" s="366">
        <f>Table46[[#This Row],[May_27_F]]-Table46[[#This Row],[May_27_A]]</f>
        <v/>
      </c>
      <c r="BM37" s="363" t="n"/>
      <c r="BN37" s="363" t="n"/>
      <c r="BO37" s="366">
        <f>Table46[[#This Row],[Jun_27_F]]-Table46[[#This Row],[Jun_27_A]]</f>
        <v/>
      </c>
      <c r="BP37" s="363" t="n"/>
      <c r="BQ37" s="363" t="n"/>
      <c r="BR37" s="366">
        <f>Table46[[#This Row],[Jul_27_F]]-Table46[[#This Row],[Jul_27_A]]</f>
        <v/>
      </c>
      <c r="BS37" s="363" t="n"/>
      <c r="BT37" s="363" t="n"/>
      <c r="BU37" s="366">
        <f>Table46[[#This Row],[Aug_27_F]]-Table46[[#This Row],[Aug_27_A]]</f>
        <v/>
      </c>
      <c r="BV37" s="363" t="n"/>
      <c r="BW37" s="363" t="n"/>
      <c r="BX37" s="366">
        <f>Table46[[#This Row],[Sep_27_F]]-Table46[[#This Row],[Sep_27_A]]</f>
        <v/>
      </c>
      <c r="BY37" s="363" t="n"/>
      <c r="BZ37" s="363" t="n"/>
      <c r="CA37" s="366">
        <f>Table46[[#This Row],[Oct_27_F]]-Table46[[#This Row],[Oct_27_A]]</f>
        <v/>
      </c>
      <c r="CB37" s="363" t="n"/>
      <c r="CC37" s="363" t="n"/>
      <c r="CD37" s="366">
        <f>Table46[[#This Row],[Nov_27_F]]-Table46[[#This Row],[Nov_27_A]]</f>
        <v/>
      </c>
      <c r="CE37" s="363" t="n"/>
      <c r="CF37" s="363" t="n"/>
      <c r="CG37" s="366">
        <f>Table46[[#This Row],[Dec_27_F]]-Table46[[#This Row],[Dec_27_A]]</f>
        <v/>
      </c>
    </row>
    <row r="38" ht="14.45" customHeight="1">
      <c r="B38" s="13" t="n"/>
      <c r="D38" s="367" t="n"/>
      <c r="F38" s="13" t="n"/>
      <c r="G38" s="13" t="n"/>
      <c r="H38" s="13" t="n"/>
      <c r="I38" s="13" t="n"/>
      <c r="J38" s="13" t="n"/>
      <c r="L38" s="346" t="n"/>
      <c r="M38" s="363" t="n"/>
      <c r="N38" s="363" t="n"/>
      <c r="O38" s="362">
        <f>Table46[[#This Row],[Jan_26_F]]-Table46[[#This Row],[Jan_26_Act]]</f>
        <v/>
      </c>
      <c r="P38" s="363" t="n"/>
      <c r="Q38" s="363" t="n"/>
      <c r="R38" s="362">
        <f>Table46[[#This Row],[Feb_26_F]]-Table46[[#This Row],[Feb_26_A]]</f>
        <v/>
      </c>
      <c r="S38" s="363" t="n"/>
      <c r="T38" s="363" t="n"/>
      <c r="U38" s="362">
        <f>Table46[[#This Row],[Mar_26_F]]-Table46[[#This Row],[Mar_26_A]]</f>
        <v/>
      </c>
      <c r="V38" s="363" t="n"/>
      <c r="W38" s="363" t="n"/>
      <c r="X38" s="362">
        <f>Table46[[#This Row],[Apr_26_F]]-Table46[[#This Row],[Apr_26_A]]</f>
        <v/>
      </c>
      <c r="Y38" s="363" t="n"/>
      <c r="Z38" s="363" t="n"/>
      <c r="AA38" s="362">
        <f>Table46[[#This Row],[May_26_F]]-Table46[[#This Row],[May_26_A]]</f>
        <v/>
      </c>
      <c r="AB38" s="363" t="n"/>
      <c r="AC38" s="363" t="n"/>
      <c r="AD38" s="362">
        <f>Table46[[#This Row],[Jun_26_F]]-Table46[[#This Row],[Jun_26_A]]</f>
        <v/>
      </c>
      <c r="AE38" s="363" t="n"/>
      <c r="AF38" s="363" t="n"/>
      <c r="AG38" s="362">
        <f>Table46[[#This Row],[Jul_26_F]]-Table46[[#This Row],[Jul_26_A]]</f>
        <v/>
      </c>
      <c r="AH38" s="363" t="n"/>
      <c r="AI38" s="363" t="n"/>
      <c r="AJ38" s="362">
        <f>Table46[[#This Row],[Aug_26_F]]-Table46[[#This Row],[Aug_26_A]]</f>
        <v/>
      </c>
      <c r="AK38" s="363" t="n"/>
      <c r="AL38" s="363" t="n"/>
      <c r="AM38" s="362">
        <f>Table46[[#This Row],[Sep_26_F]]-Table46[[#This Row],[Sep_26_A]]</f>
        <v/>
      </c>
      <c r="AN38" s="363" t="n"/>
      <c r="AO38" s="363" t="n"/>
      <c r="AP38" s="362">
        <f>Table46[[#This Row],[Oct_26_F]]-Table46[[#This Row],[Oct_26_A]]</f>
        <v/>
      </c>
      <c r="AQ38" s="363" t="n"/>
      <c r="AR38" s="363" t="n"/>
      <c r="AS38" s="362">
        <f>Table46[[#This Row],[Nov_26_F]]-Table46[[#This Row],[Nov_26_A]]</f>
        <v/>
      </c>
      <c r="AT38" s="363" t="n"/>
      <c r="AU38" s="363" t="n"/>
      <c r="AV38" s="362">
        <f>Table46[[#This Row],[Dec_26_F]]-Table46[[#This Row],[Dec_26_A]]</f>
        <v/>
      </c>
      <c r="AW38" s="346" t="n"/>
      <c r="AX38" s="363" t="n"/>
      <c r="AY38" s="363" t="n"/>
      <c r="AZ38" s="362">
        <f>Table46[[#This Row],[Jan_27_F]]-Table46[[#This Row],[Jan_27_Act]]</f>
        <v/>
      </c>
      <c r="BA38" s="363" t="n"/>
      <c r="BB38" s="363" t="n"/>
      <c r="BC38" s="362">
        <f>Table46[[#This Row],[Feb_27_F]]-Table46[[#This Row],[Feb_27_A]]</f>
        <v/>
      </c>
      <c r="BD38" s="363" t="n"/>
      <c r="BE38" s="363" t="n"/>
      <c r="BF38" s="362">
        <f>Table46[[#This Row],[Mar_27_F]]-Table46[[#This Row],[Mar_27_A]]</f>
        <v/>
      </c>
      <c r="BG38" s="363" t="n"/>
      <c r="BH38" s="363" t="n"/>
      <c r="BI38" s="362">
        <f>Table46[[#This Row],[Apr_27_F]]-Table46[[#This Row],[Apr_27_A]]</f>
        <v/>
      </c>
      <c r="BJ38" s="363" t="n"/>
      <c r="BK38" s="363" t="n"/>
      <c r="BL38" s="362">
        <f>Table46[[#This Row],[May_27_F]]-Table46[[#This Row],[May_27_A]]</f>
        <v/>
      </c>
      <c r="BM38" s="363" t="n"/>
      <c r="BN38" s="363" t="n"/>
      <c r="BO38" s="362">
        <f>Table46[[#This Row],[Jun_27_F]]-Table46[[#This Row],[Jun_27_A]]</f>
        <v/>
      </c>
      <c r="BP38" s="363" t="n"/>
      <c r="BQ38" s="363" t="n"/>
      <c r="BR38" s="362">
        <f>Table46[[#This Row],[Jul_27_F]]-Table46[[#This Row],[Jul_27_A]]</f>
        <v/>
      </c>
      <c r="BS38" s="363" t="n"/>
      <c r="BT38" s="363" t="n"/>
      <c r="BU38" s="362">
        <f>Table46[[#This Row],[Aug_27_F]]-Table46[[#This Row],[Aug_27_A]]</f>
        <v/>
      </c>
      <c r="BV38" s="363" t="n"/>
      <c r="BW38" s="363" t="n"/>
      <c r="BX38" s="362">
        <f>Table46[[#This Row],[Sep_27_F]]-Table46[[#This Row],[Sep_27_A]]</f>
        <v/>
      </c>
      <c r="BY38" s="363" t="n"/>
      <c r="BZ38" s="363" t="n"/>
      <c r="CA38" s="362">
        <f>Table46[[#This Row],[Oct_27_F]]-Table46[[#This Row],[Oct_27_A]]</f>
        <v/>
      </c>
      <c r="CB38" s="363" t="n"/>
      <c r="CC38" s="363" t="n"/>
      <c r="CD38" s="362">
        <f>Table46[[#This Row],[Nov_27_F]]-Table46[[#This Row],[Nov_27_A]]</f>
        <v/>
      </c>
      <c r="CE38" s="363" t="n"/>
      <c r="CF38" s="363" t="n"/>
      <c r="CG38" s="362">
        <f>Table46[[#This Row],[Dec_27_F]]-Table46[[#This Row],[Dec_27_A]]</f>
        <v/>
      </c>
    </row>
    <row r="39" ht="14.45" customHeight="1">
      <c r="B39" s="13" t="n"/>
      <c r="D39" s="367" t="n"/>
      <c r="F39" s="13" t="n"/>
      <c r="G39" s="13" t="n"/>
      <c r="H39" s="13" t="n"/>
      <c r="I39" s="13" t="n"/>
      <c r="J39" s="13" t="n"/>
      <c r="L39" s="346" t="n"/>
      <c r="M39" s="363" t="n"/>
      <c r="N39" s="363" t="n"/>
      <c r="O39" s="366">
        <f>Table46[[#This Row],[Jan_26_F]]-Table46[[#This Row],[Jan_26_Act]]</f>
        <v/>
      </c>
      <c r="P39" s="363" t="n"/>
      <c r="Q39" s="363" t="n"/>
      <c r="R39" s="366">
        <f>Table46[[#This Row],[Feb_26_F]]-Table46[[#This Row],[Feb_26_A]]</f>
        <v/>
      </c>
      <c r="S39" s="363" t="n"/>
      <c r="T39" s="363" t="n"/>
      <c r="U39" s="366">
        <f>Table46[[#This Row],[Mar_26_F]]-Table46[[#This Row],[Mar_26_A]]</f>
        <v/>
      </c>
      <c r="V39" s="363" t="n"/>
      <c r="W39" s="363" t="n"/>
      <c r="X39" s="366">
        <f>Table46[[#This Row],[Apr_26_F]]-Table46[[#This Row],[Apr_26_A]]</f>
        <v/>
      </c>
      <c r="Y39" s="363" t="n"/>
      <c r="Z39" s="363" t="n"/>
      <c r="AA39" s="366">
        <f>Table46[[#This Row],[May_26_F]]-Table46[[#This Row],[May_26_A]]</f>
        <v/>
      </c>
      <c r="AB39" s="363" t="n"/>
      <c r="AC39" s="363" t="n"/>
      <c r="AD39" s="366">
        <f>Table46[[#This Row],[Jun_26_F]]-Table46[[#This Row],[Jun_26_A]]</f>
        <v/>
      </c>
      <c r="AE39" s="363" t="n"/>
      <c r="AF39" s="363" t="n"/>
      <c r="AG39" s="366">
        <f>Table46[[#This Row],[Jul_26_F]]-Table46[[#This Row],[Jul_26_A]]</f>
        <v/>
      </c>
      <c r="AH39" s="363" t="n"/>
      <c r="AI39" s="363" t="n"/>
      <c r="AJ39" s="366">
        <f>Table46[[#This Row],[Aug_26_F]]-Table46[[#This Row],[Aug_26_A]]</f>
        <v/>
      </c>
      <c r="AK39" s="363" t="n"/>
      <c r="AL39" s="363" t="n"/>
      <c r="AM39" s="366">
        <f>Table46[[#This Row],[Sep_26_F]]-Table46[[#This Row],[Sep_26_A]]</f>
        <v/>
      </c>
      <c r="AN39" s="363" t="n"/>
      <c r="AO39" s="363" t="n"/>
      <c r="AP39" s="366">
        <f>Table46[[#This Row],[Oct_26_F]]-Table46[[#This Row],[Oct_26_A]]</f>
        <v/>
      </c>
      <c r="AQ39" s="363" t="n"/>
      <c r="AR39" s="363" t="n"/>
      <c r="AS39" s="366">
        <f>Table46[[#This Row],[Nov_26_F]]-Table46[[#This Row],[Nov_26_A]]</f>
        <v/>
      </c>
      <c r="AT39" s="363" t="n"/>
      <c r="AU39" s="363" t="n"/>
      <c r="AV39" s="366">
        <f>Table46[[#This Row],[Dec_26_F]]-Table46[[#This Row],[Dec_26_A]]</f>
        <v/>
      </c>
      <c r="AW39" s="346" t="n"/>
      <c r="AX39" s="363" t="n"/>
      <c r="AY39" s="363" t="n"/>
      <c r="AZ39" s="366">
        <f>Table46[[#This Row],[Jan_27_F]]-Table46[[#This Row],[Jan_27_Act]]</f>
        <v/>
      </c>
      <c r="BA39" s="363" t="n"/>
      <c r="BB39" s="363" t="n"/>
      <c r="BC39" s="366">
        <f>Table46[[#This Row],[Feb_27_F]]-Table46[[#This Row],[Feb_27_A]]</f>
        <v/>
      </c>
      <c r="BD39" s="363" t="n"/>
      <c r="BE39" s="363" t="n"/>
      <c r="BF39" s="366">
        <f>Table46[[#This Row],[Mar_27_F]]-Table46[[#This Row],[Mar_27_A]]</f>
        <v/>
      </c>
      <c r="BG39" s="363" t="n"/>
      <c r="BH39" s="363" t="n"/>
      <c r="BI39" s="366">
        <f>Table46[[#This Row],[Apr_27_F]]-Table46[[#This Row],[Apr_27_A]]</f>
        <v/>
      </c>
      <c r="BJ39" s="363" t="n"/>
      <c r="BK39" s="363" t="n"/>
      <c r="BL39" s="366">
        <f>Table46[[#This Row],[May_27_F]]-Table46[[#This Row],[May_27_A]]</f>
        <v/>
      </c>
      <c r="BM39" s="363" t="n"/>
      <c r="BN39" s="363" t="n"/>
      <c r="BO39" s="366">
        <f>Table46[[#This Row],[Jun_27_F]]-Table46[[#This Row],[Jun_27_A]]</f>
        <v/>
      </c>
      <c r="BP39" s="363" t="n"/>
      <c r="BQ39" s="363" t="n"/>
      <c r="BR39" s="366">
        <f>Table46[[#This Row],[Jul_27_F]]-Table46[[#This Row],[Jul_27_A]]</f>
        <v/>
      </c>
      <c r="BS39" s="363" t="n"/>
      <c r="BT39" s="363" t="n"/>
      <c r="BU39" s="366">
        <f>Table46[[#This Row],[Aug_27_F]]-Table46[[#This Row],[Aug_27_A]]</f>
        <v/>
      </c>
      <c r="BV39" s="363" t="n"/>
      <c r="BW39" s="363" t="n"/>
      <c r="BX39" s="366">
        <f>Table46[[#This Row],[Sep_27_F]]-Table46[[#This Row],[Sep_27_A]]</f>
        <v/>
      </c>
      <c r="BY39" s="363" t="n"/>
      <c r="BZ39" s="363" t="n"/>
      <c r="CA39" s="366">
        <f>Table46[[#This Row],[Oct_27_F]]-Table46[[#This Row],[Oct_27_A]]</f>
        <v/>
      </c>
      <c r="CB39" s="363" t="n"/>
      <c r="CC39" s="363" t="n"/>
      <c r="CD39" s="366">
        <f>Table46[[#This Row],[Nov_27_F]]-Table46[[#This Row],[Nov_27_A]]</f>
        <v/>
      </c>
      <c r="CE39" s="363" t="n"/>
      <c r="CF39" s="363" t="n"/>
      <c r="CG39" s="366">
        <f>Table46[[#This Row],[Dec_27_F]]-Table46[[#This Row],[Dec_27_A]]</f>
        <v/>
      </c>
    </row>
    <row r="40" ht="14.45" customHeight="1">
      <c r="B40" s="13" t="n"/>
      <c r="D40" s="367" t="n"/>
      <c r="F40" s="13" t="n"/>
      <c r="G40" s="13" t="n"/>
      <c r="H40" s="13" t="n"/>
      <c r="I40" s="13" t="n"/>
      <c r="J40" s="13" t="n"/>
      <c r="L40" s="346" t="n"/>
      <c r="M40" s="363" t="n"/>
      <c r="N40" s="363" t="n"/>
      <c r="O40" s="362">
        <f>Table46[[#This Row],[Jan_26_F]]-Table46[[#This Row],[Jan_26_Act]]</f>
        <v/>
      </c>
      <c r="P40" s="363" t="n"/>
      <c r="Q40" s="363" t="n"/>
      <c r="R40" s="362">
        <f>Table46[[#This Row],[Feb_26_F]]-Table46[[#This Row],[Feb_26_A]]</f>
        <v/>
      </c>
      <c r="S40" s="363" t="n"/>
      <c r="T40" s="363" t="n"/>
      <c r="U40" s="362">
        <f>Table46[[#This Row],[Mar_26_F]]-Table46[[#This Row],[Mar_26_A]]</f>
        <v/>
      </c>
      <c r="V40" s="363" t="n"/>
      <c r="W40" s="363" t="n"/>
      <c r="X40" s="362">
        <f>Table46[[#This Row],[Apr_26_F]]-Table46[[#This Row],[Apr_26_A]]</f>
        <v/>
      </c>
      <c r="Y40" s="363" t="n"/>
      <c r="Z40" s="363" t="n"/>
      <c r="AA40" s="362">
        <f>Table46[[#This Row],[May_26_F]]-Table46[[#This Row],[May_26_A]]</f>
        <v/>
      </c>
      <c r="AB40" s="363" t="n"/>
      <c r="AC40" s="363" t="n"/>
      <c r="AD40" s="362">
        <f>Table46[[#This Row],[Jun_26_F]]-Table46[[#This Row],[Jun_26_A]]</f>
        <v/>
      </c>
      <c r="AE40" s="363" t="n"/>
      <c r="AF40" s="363" t="n"/>
      <c r="AG40" s="362">
        <f>Table46[[#This Row],[Jul_26_F]]-Table46[[#This Row],[Jul_26_A]]</f>
        <v/>
      </c>
      <c r="AH40" s="363" t="n"/>
      <c r="AI40" s="363" t="n"/>
      <c r="AJ40" s="362">
        <f>Table46[[#This Row],[Aug_26_F]]-Table46[[#This Row],[Aug_26_A]]</f>
        <v/>
      </c>
      <c r="AK40" s="363" t="n"/>
      <c r="AL40" s="363" t="n"/>
      <c r="AM40" s="362">
        <f>Table46[[#This Row],[Sep_26_F]]-Table46[[#This Row],[Sep_26_A]]</f>
        <v/>
      </c>
      <c r="AN40" s="363" t="n"/>
      <c r="AO40" s="363" t="n"/>
      <c r="AP40" s="362">
        <f>Table46[[#This Row],[Oct_26_F]]-Table46[[#This Row],[Oct_26_A]]</f>
        <v/>
      </c>
      <c r="AQ40" s="363" t="n"/>
      <c r="AR40" s="363" t="n"/>
      <c r="AS40" s="362">
        <f>Table46[[#This Row],[Nov_26_F]]-Table46[[#This Row],[Nov_26_A]]</f>
        <v/>
      </c>
      <c r="AT40" s="363" t="n"/>
      <c r="AU40" s="363" t="n"/>
      <c r="AV40" s="362">
        <f>Table46[[#This Row],[Dec_26_F]]-Table46[[#This Row],[Dec_26_A]]</f>
        <v/>
      </c>
      <c r="AW40" s="346" t="n"/>
      <c r="AX40" s="363" t="n"/>
      <c r="AY40" s="363" t="n"/>
      <c r="AZ40" s="362">
        <f>Table46[[#This Row],[Jan_27_F]]-Table46[[#This Row],[Jan_27_Act]]</f>
        <v/>
      </c>
      <c r="BA40" s="363" t="n"/>
      <c r="BB40" s="363" t="n"/>
      <c r="BC40" s="362">
        <f>Table46[[#This Row],[Feb_27_F]]-Table46[[#This Row],[Feb_27_A]]</f>
        <v/>
      </c>
      <c r="BD40" s="363" t="n"/>
      <c r="BE40" s="363" t="n"/>
      <c r="BF40" s="362">
        <f>Table46[[#This Row],[Mar_27_F]]-Table46[[#This Row],[Mar_27_A]]</f>
        <v/>
      </c>
      <c r="BG40" s="363" t="n"/>
      <c r="BH40" s="363" t="n"/>
      <c r="BI40" s="362">
        <f>Table46[[#This Row],[Apr_27_F]]-Table46[[#This Row],[Apr_27_A]]</f>
        <v/>
      </c>
      <c r="BJ40" s="363" t="n"/>
      <c r="BK40" s="363" t="n"/>
      <c r="BL40" s="362">
        <f>Table46[[#This Row],[May_27_F]]-Table46[[#This Row],[May_27_A]]</f>
        <v/>
      </c>
      <c r="BM40" s="363" t="n"/>
      <c r="BN40" s="363" t="n"/>
      <c r="BO40" s="362">
        <f>Table46[[#This Row],[Jun_27_F]]-Table46[[#This Row],[Jun_27_A]]</f>
        <v/>
      </c>
      <c r="BP40" s="363" t="n"/>
      <c r="BQ40" s="363" t="n"/>
      <c r="BR40" s="362">
        <f>Table46[[#This Row],[Jul_27_F]]-Table46[[#This Row],[Jul_27_A]]</f>
        <v/>
      </c>
      <c r="BS40" s="363" t="n"/>
      <c r="BT40" s="363" t="n"/>
      <c r="BU40" s="362">
        <f>Table46[[#This Row],[Aug_27_F]]-Table46[[#This Row],[Aug_27_A]]</f>
        <v/>
      </c>
      <c r="BV40" s="363" t="n"/>
      <c r="BW40" s="363" t="n"/>
      <c r="BX40" s="362">
        <f>Table46[[#This Row],[Sep_27_F]]-Table46[[#This Row],[Sep_27_A]]</f>
        <v/>
      </c>
      <c r="BY40" s="363" t="n"/>
      <c r="BZ40" s="363" t="n"/>
      <c r="CA40" s="362">
        <f>Table46[[#This Row],[Oct_27_F]]-Table46[[#This Row],[Oct_27_A]]</f>
        <v/>
      </c>
      <c r="CB40" s="363" t="n"/>
      <c r="CC40" s="363" t="n"/>
      <c r="CD40" s="362">
        <f>Table46[[#This Row],[Nov_27_F]]-Table46[[#This Row],[Nov_27_A]]</f>
        <v/>
      </c>
      <c r="CE40" s="363" t="n"/>
      <c r="CF40" s="363" t="n"/>
      <c r="CG40" s="362">
        <f>Table46[[#This Row],[Dec_27_F]]-Table46[[#This Row],[Dec_27_A]]</f>
        <v/>
      </c>
    </row>
    <row r="41" ht="14.45" customHeight="1">
      <c r="B41" s="13" t="n"/>
      <c r="D41" s="367" t="n"/>
      <c r="F41" s="13" t="n"/>
      <c r="G41" s="13" t="n"/>
      <c r="H41" s="13" t="n"/>
      <c r="I41" s="13" t="n"/>
      <c r="J41" s="13" t="n"/>
      <c r="L41" s="346" t="n"/>
      <c r="M41" s="363" t="n"/>
      <c r="N41" s="363" t="n"/>
      <c r="O41" s="366">
        <f>Table46[[#This Row],[Jan_26_F]]-Table46[[#This Row],[Jan_26_Act]]</f>
        <v/>
      </c>
      <c r="P41" s="363" t="n"/>
      <c r="Q41" s="363" t="n"/>
      <c r="R41" s="366">
        <f>Table46[[#This Row],[Feb_26_F]]-Table46[[#This Row],[Feb_26_A]]</f>
        <v/>
      </c>
      <c r="S41" s="363" t="n"/>
      <c r="T41" s="363" t="n"/>
      <c r="U41" s="366">
        <f>Table46[[#This Row],[Mar_26_F]]-Table46[[#This Row],[Mar_26_A]]</f>
        <v/>
      </c>
      <c r="V41" s="363" t="n"/>
      <c r="W41" s="363" t="n"/>
      <c r="X41" s="366">
        <f>Table46[[#This Row],[Apr_26_F]]-Table46[[#This Row],[Apr_26_A]]</f>
        <v/>
      </c>
      <c r="Y41" s="363" t="n"/>
      <c r="Z41" s="363" t="n"/>
      <c r="AA41" s="366">
        <f>Table46[[#This Row],[May_26_F]]-Table46[[#This Row],[May_26_A]]</f>
        <v/>
      </c>
      <c r="AB41" s="363" t="n"/>
      <c r="AC41" s="363" t="n"/>
      <c r="AD41" s="366">
        <f>Table46[[#This Row],[Jun_26_F]]-Table46[[#This Row],[Jun_26_A]]</f>
        <v/>
      </c>
      <c r="AE41" s="363" t="n"/>
      <c r="AF41" s="363" t="n"/>
      <c r="AG41" s="366">
        <f>Table46[[#This Row],[Jul_26_F]]-Table46[[#This Row],[Jul_26_A]]</f>
        <v/>
      </c>
      <c r="AH41" s="363" t="n"/>
      <c r="AI41" s="363" t="n"/>
      <c r="AJ41" s="366">
        <f>Table46[[#This Row],[Aug_26_F]]-Table46[[#This Row],[Aug_26_A]]</f>
        <v/>
      </c>
      <c r="AK41" s="363" t="n"/>
      <c r="AL41" s="363" t="n"/>
      <c r="AM41" s="366">
        <f>Table46[[#This Row],[Sep_26_F]]-Table46[[#This Row],[Sep_26_A]]</f>
        <v/>
      </c>
      <c r="AN41" s="363" t="n"/>
      <c r="AO41" s="363" t="n"/>
      <c r="AP41" s="366">
        <f>Table46[[#This Row],[Oct_26_F]]-Table46[[#This Row],[Oct_26_A]]</f>
        <v/>
      </c>
      <c r="AQ41" s="363" t="n"/>
      <c r="AR41" s="363" t="n"/>
      <c r="AS41" s="366">
        <f>Table46[[#This Row],[Nov_26_F]]-Table46[[#This Row],[Nov_26_A]]</f>
        <v/>
      </c>
      <c r="AT41" s="363" t="n"/>
      <c r="AU41" s="363" t="n"/>
      <c r="AV41" s="366">
        <f>Table46[[#This Row],[Dec_26_F]]-Table46[[#This Row],[Dec_26_A]]</f>
        <v/>
      </c>
      <c r="AW41" s="346" t="n"/>
      <c r="AX41" s="363" t="n"/>
      <c r="AY41" s="363" t="n"/>
      <c r="AZ41" s="366">
        <f>Table46[[#This Row],[Jan_27_F]]-Table46[[#This Row],[Jan_27_Act]]</f>
        <v/>
      </c>
      <c r="BA41" s="363" t="n"/>
      <c r="BB41" s="363" t="n"/>
      <c r="BC41" s="366">
        <f>Table46[[#This Row],[Feb_27_F]]-Table46[[#This Row],[Feb_27_A]]</f>
        <v/>
      </c>
      <c r="BD41" s="363" t="n"/>
      <c r="BE41" s="363" t="n"/>
      <c r="BF41" s="366">
        <f>Table46[[#This Row],[Mar_27_F]]-Table46[[#This Row],[Mar_27_A]]</f>
        <v/>
      </c>
      <c r="BG41" s="363" t="n"/>
      <c r="BH41" s="363" t="n"/>
      <c r="BI41" s="366">
        <f>Table46[[#This Row],[Apr_27_F]]-Table46[[#This Row],[Apr_27_A]]</f>
        <v/>
      </c>
      <c r="BJ41" s="363" t="n"/>
      <c r="BK41" s="363" t="n"/>
      <c r="BL41" s="366">
        <f>Table46[[#This Row],[May_27_F]]-Table46[[#This Row],[May_27_A]]</f>
        <v/>
      </c>
      <c r="BM41" s="363" t="n"/>
      <c r="BN41" s="363" t="n"/>
      <c r="BO41" s="366">
        <f>Table46[[#This Row],[Jun_27_F]]-Table46[[#This Row],[Jun_27_A]]</f>
        <v/>
      </c>
      <c r="BP41" s="363" t="n"/>
      <c r="BQ41" s="363" t="n"/>
      <c r="BR41" s="366">
        <f>Table46[[#This Row],[Jul_27_F]]-Table46[[#This Row],[Jul_27_A]]</f>
        <v/>
      </c>
      <c r="BS41" s="363" t="n"/>
      <c r="BT41" s="363" t="n"/>
      <c r="BU41" s="366">
        <f>Table46[[#This Row],[Aug_27_F]]-Table46[[#This Row],[Aug_27_A]]</f>
        <v/>
      </c>
      <c r="BV41" s="363" t="n"/>
      <c r="BW41" s="363" t="n"/>
      <c r="BX41" s="366">
        <f>Table46[[#This Row],[Sep_27_F]]-Table46[[#This Row],[Sep_27_A]]</f>
        <v/>
      </c>
      <c r="BY41" s="363" t="n"/>
      <c r="BZ41" s="363" t="n"/>
      <c r="CA41" s="366">
        <f>Table46[[#This Row],[Oct_27_F]]-Table46[[#This Row],[Oct_27_A]]</f>
        <v/>
      </c>
      <c r="CB41" s="363" t="n"/>
      <c r="CC41" s="363" t="n"/>
      <c r="CD41" s="366">
        <f>Table46[[#This Row],[Nov_27_F]]-Table46[[#This Row],[Nov_27_A]]</f>
        <v/>
      </c>
      <c r="CE41" s="363" t="n"/>
      <c r="CF41" s="363" t="n"/>
      <c r="CG41" s="366">
        <f>Table46[[#This Row],[Dec_27_F]]-Table46[[#This Row],[Dec_27_A]]</f>
        <v/>
      </c>
    </row>
    <row r="42" ht="14.45" customHeight="1">
      <c r="B42" s="13" t="n"/>
      <c r="D42" s="367" t="n"/>
      <c r="F42" s="13" t="n"/>
      <c r="G42" s="13" t="n"/>
      <c r="H42" s="13" t="n"/>
      <c r="I42" s="13" t="n"/>
      <c r="J42" s="13" t="n"/>
      <c r="L42" s="346" t="n"/>
      <c r="M42" s="363" t="n"/>
      <c r="N42" s="363" t="n"/>
      <c r="O42" s="362">
        <f>Table46[[#This Row],[Jan_26_F]]-Table46[[#This Row],[Jan_26_Act]]</f>
        <v/>
      </c>
      <c r="P42" s="363" t="n"/>
      <c r="Q42" s="363" t="n"/>
      <c r="R42" s="362">
        <f>Table46[[#This Row],[Feb_26_F]]-Table46[[#This Row],[Feb_26_A]]</f>
        <v/>
      </c>
      <c r="S42" s="363" t="n"/>
      <c r="T42" s="363" t="n"/>
      <c r="U42" s="362">
        <f>Table46[[#This Row],[Mar_26_F]]-Table46[[#This Row],[Mar_26_A]]</f>
        <v/>
      </c>
      <c r="V42" s="363" t="n"/>
      <c r="W42" s="363" t="n"/>
      <c r="X42" s="362">
        <f>Table46[[#This Row],[Apr_26_F]]-Table46[[#This Row],[Apr_26_A]]</f>
        <v/>
      </c>
      <c r="Y42" s="363" t="n"/>
      <c r="Z42" s="363" t="n"/>
      <c r="AA42" s="362">
        <f>Table46[[#This Row],[May_26_F]]-Table46[[#This Row],[May_26_A]]</f>
        <v/>
      </c>
      <c r="AB42" s="363" t="n"/>
      <c r="AC42" s="363" t="n"/>
      <c r="AD42" s="362">
        <f>Table46[[#This Row],[Jun_26_F]]-Table46[[#This Row],[Jun_26_A]]</f>
        <v/>
      </c>
      <c r="AE42" s="363" t="n"/>
      <c r="AF42" s="363" t="n"/>
      <c r="AG42" s="362">
        <f>Table46[[#This Row],[Jul_26_F]]-Table46[[#This Row],[Jul_26_A]]</f>
        <v/>
      </c>
      <c r="AH42" s="363" t="n"/>
      <c r="AI42" s="363" t="n"/>
      <c r="AJ42" s="362">
        <f>Table46[[#This Row],[Aug_26_F]]-Table46[[#This Row],[Aug_26_A]]</f>
        <v/>
      </c>
      <c r="AK42" s="363" t="n"/>
      <c r="AL42" s="363" t="n"/>
      <c r="AM42" s="362">
        <f>Table46[[#This Row],[Sep_26_F]]-Table46[[#This Row],[Sep_26_A]]</f>
        <v/>
      </c>
      <c r="AN42" s="363" t="n"/>
      <c r="AO42" s="363" t="n"/>
      <c r="AP42" s="362">
        <f>Table46[[#This Row],[Oct_26_F]]-Table46[[#This Row],[Oct_26_A]]</f>
        <v/>
      </c>
      <c r="AQ42" s="363" t="n"/>
      <c r="AR42" s="363" t="n"/>
      <c r="AS42" s="362">
        <f>Table46[[#This Row],[Nov_26_F]]-Table46[[#This Row],[Nov_26_A]]</f>
        <v/>
      </c>
      <c r="AT42" s="363" t="n"/>
      <c r="AU42" s="363" t="n"/>
      <c r="AV42" s="362">
        <f>Table46[[#This Row],[Dec_26_F]]-Table46[[#This Row],[Dec_26_A]]</f>
        <v/>
      </c>
      <c r="AW42" s="346" t="n"/>
      <c r="AX42" s="363" t="n"/>
      <c r="AY42" s="363" t="n"/>
      <c r="AZ42" s="362">
        <f>Table46[[#This Row],[Jan_27_F]]-Table46[[#This Row],[Jan_27_Act]]</f>
        <v/>
      </c>
      <c r="BA42" s="363" t="n"/>
      <c r="BB42" s="363" t="n"/>
      <c r="BC42" s="362">
        <f>Table46[[#This Row],[Feb_27_F]]-Table46[[#This Row],[Feb_27_A]]</f>
        <v/>
      </c>
      <c r="BD42" s="363" t="n"/>
      <c r="BE42" s="363" t="n"/>
      <c r="BF42" s="362">
        <f>Table46[[#This Row],[Mar_27_F]]-Table46[[#This Row],[Mar_27_A]]</f>
        <v/>
      </c>
      <c r="BG42" s="363" t="n"/>
      <c r="BH42" s="363" t="n"/>
      <c r="BI42" s="362">
        <f>Table46[[#This Row],[Apr_27_F]]-Table46[[#This Row],[Apr_27_A]]</f>
        <v/>
      </c>
      <c r="BJ42" s="363" t="n"/>
      <c r="BK42" s="363" t="n"/>
      <c r="BL42" s="362">
        <f>Table46[[#This Row],[May_27_F]]-Table46[[#This Row],[May_27_A]]</f>
        <v/>
      </c>
      <c r="BM42" s="363" t="n"/>
      <c r="BN42" s="363" t="n"/>
      <c r="BO42" s="362">
        <f>Table46[[#This Row],[Jun_27_F]]-Table46[[#This Row],[Jun_27_A]]</f>
        <v/>
      </c>
      <c r="BP42" s="363" t="n"/>
      <c r="BQ42" s="363" t="n"/>
      <c r="BR42" s="362">
        <f>Table46[[#This Row],[Jul_27_F]]-Table46[[#This Row],[Jul_27_A]]</f>
        <v/>
      </c>
      <c r="BS42" s="363" t="n"/>
      <c r="BT42" s="363" t="n"/>
      <c r="BU42" s="362">
        <f>Table46[[#This Row],[Aug_27_F]]-Table46[[#This Row],[Aug_27_A]]</f>
        <v/>
      </c>
      <c r="BV42" s="363" t="n"/>
      <c r="BW42" s="363" t="n"/>
      <c r="BX42" s="362">
        <f>Table46[[#This Row],[Sep_27_F]]-Table46[[#This Row],[Sep_27_A]]</f>
        <v/>
      </c>
      <c r="BY42" s="363" t="n"/>
      <c r="BZ42" s="363" t="n"/>
      <c r="CA42" s="362">
        <f>Table46[[#This Row],[Oct_27_F]]-Table46[[#This Row],[Oct_27_A]]</f>
        <v/>
      </c>
      <c r="CB42" s="363" t="n"/>
      <c r="CC42" s="363" t="n"/>
      <c r="CD42" s="362">
        <f>Table46[[#This Row],[Nov_27_F]]-Table46[[#This Row],[Nov_27_A]]</f>
        <v/>
      </c>
      <c r="CE42" s="363" t="n"/>
      <c r="CF42" s="363" t="n"/>
      <c r="CG42" s="362">
        <f>Table46[[#This Row],[Dec_27_F]]-Table46[[#This Row],[Dec_27_A]]</f>
        <v/>
      </c>
    </row>
    <row r="43" ht="14.45" customHeight="1">
      <c r="B43" s="13" t="n"/>
      <c r="D43" s="367" t="n"/>
      <c r="F43" s="13" t="n"/>
      <c r="G43" s="13" t="n"/>
      <c r="H43" s="13" t="n"/>
      <c r="I43" s="13" t="n"/>
      <c r="J43" s="13" t="n"/>
      <c r="L43" s="346" t="n"/>
      <c r="M43" s="363" t="n"/>
      <c r="N43" s="363" t="n"/>
      <c r="O43" s="366">
        <f>Table46[[#This Row],[Jan_26_F]]-Table46[[#This Row],[Jan_26_Act]]</f>
        <v/>
      </c>
      <c r="P43" s="363" t="n"/>
      <c r="Q43" s="363" t="n"/>
      <c r="R43" s="366">
        <f>Table46[[#This Row],[Feb_26_F]]-Table46[[#This Row],[Feb_26_A]]</f>
        <v/>
      </c>
      <c r="S43" s="363" t="n"/>
      <c r="T43" s="363" t="n"/>
      <c r="U43" s="366">
        <f>Table46[[#This Row],[Mar_26_F]]-Table46[[#This Row],[Mar_26_A]]</f>
        <v/>
      </c>
      <c r="V43" s="363" t="n"/>
      <c r="W43" s="363" t="n"/>
      <c r="X43" s="366">
        <f>Table46[[#This Row],[Apr_26_F]]-Table46[[#This Row],[Apr_26_A]]</f>
        <v/>
      </c>
      <c r="Y43" s="363" t="n"/>
      <c r="Z43" s="363" t="n"/>
      <c r="AA43" s="366">
        <f>Table46[[#This Row],[May_26_F]]-Table46[[#This Row],[May_26_A]]</f>
        <v/>
      </c>
      <c r="AB43" s="363" t="n"/>
      <c r="AC43" s="363" t="n"/>
      <c r="AD43" s="366">
        <f>Table46[[#This Row],[Jun_26_F]]-Table46[[#This Row],[Jun_26_A]]</f>
        <v/>
      </c>
      <c r="AE43" s="363" t="n"/>
      <c r="AF43" s="363" t="n"/>
      <c r="AG43" s="366">
        <f>Table46[[#This Row],[Jul_26_F]]-Table46[[#This Row],[Jul_26_A]]</f>
        <v/>
      </c>
      <c r="AH43" s="363" t="n"/>
      <c r="AI43" s="363" t="n"/>
      <c r="AJ43" s="366">
        <f>Table46[[#This Row],[Aug_26_F]]-Table46[[#This Row],[Aug_26_A]]</f>
        <v/>
      </c>
      <c r="AK43" s="363" t="n"/>
      <c r="AL43" s="363" t="n"/>
      <c r="AM43" s="366">
        <f>Table46[[#This Row],[Sep_26_F]]-Table46[[#This Row],[Sep_26_A]]</f>
        <v/>
      </c>
      <c r="AN43" s="363" t="n"/>
      <c r="AO43" s="363" t="n"/>
      <c r="AP43" s="366">
        <f>Table46[[#This Row],[Oct_26_F]]-Table46[[#This Row],[Oct_26_A]]</f>
        <v/>
      </c>
      <c r="AQ43" s="363" t="n"/>
      <c r="AR43" s="363" t="n"/>
      <c r="AS43" s="366">
        <f>Table46[[#This Row],[Nov_26_F]]-Table46[[#This Row],[Nov_26_A]]</f>
        <v/>
      </c>
      <c r="AT43" s="363" t="n"/>
      <c r="AU43" s="363" t="n"/>
      <c r="AV43" s="366">
        <f>Table46[[#This Row],[Dec_26_F]]-Table46[[#This Row],[Dec_26_A]]</f>
        <v/>
      </c>
      <c r="AW43" s="346" t="n"/>
      <c r="AX43" s="363" t="n"/>
      <c r="AY43" s="363" t="n"/>
      <c r="AZ43" s="366">
        <f>Table46[[#This Row],[Jan_27_F]]-Table46[[#This Row],[Jan_27_Act]]</f>
        <v/>
      </c>
      <c r="BA43" s="363" t="n"/>
      <c r="BB43" s="363" t="n"/>
      <c r="BC43" s="366">
        <f>Table46[[#This Row],[Feb_27_F]]-Table46[[#This Row],[Feb_27_A]]</f>
        <v/>
      </c>
      <c r="BD43" s="363" t="n"/>
      <c r="BE43" s="363" t="n"/>
      <c r="BF43" s="366">
        <f>Table46[[#This Row],[Mar_27_F]]-Table46[[#This Row],[Mar_27_A]]</f>
        <v/>
      </c>
      <c r="BG43" s="363" t="n"/>
      <c r="BH43" s="363" t="n"/>
      <c r="BI43" s="366">
        <f>Table46[[#This Row],[Apr_27_F]]-Table46[[#This Row],[Apr_27_A]]</f>
        <v/>
      </c>
      <c r="BJ43" s="363" t="n"/>
      <c r="BK43" s="363" t="n"/>
      <c r="BL43" s="366">
        <f>Table46[[#This Row],[May_27_F]]-Table46[[#This Row],[May_27_A]]</f>
        <v/>
      </c>
      <c r="BM43" s="363" t="n"/>
      <c r="BN43" s="363" t="n"/>
      <c r="BO43" s="366">
        <f>Table46[[#This Row],[Jun_27_F]]-Table46[[#This Row],[Jun_27_A]]</f>
        <v/>
      </c>
      <c r="BP43" s="363" t="n"/>
      <c r="BQ43" s="363" t="n"/>
      <c r="BR43" s="366">
        <f>Table46[[#This Row],[Jul_27_F]]-Table46[[#This Row],[Jul_27_A]]</f>
        <v/>
      </c>
      <c r="BS43" s="363" t="n"/>
      <c r="BT43" s="363" t="n"/>
      <c r="BU43" s="366">
        <f>Table46[[#This Row],[Aug_27_F]]-Table46[[#This Row],[Aug_27_A]]</f>
        <v/>
      </c>
      <c r="BV43" s="363" t="n"/>
      <c r="BW43" s="363" t="n"/>
      <c r="BX43" s="366">
        <f>Table46[[#This Row],[Sep_27_F]]-Table46[[#This Row],[Sep_27_A]]</f>
        <v/>
      </c>
      <c r="BY43" s="363" t="n"/>
      <c r="BZ43" s="363" t="n"/>
      <c r="CA43" s="366">
        <f>Table46[[#This Row],[Oct_27_F]]-Table46[[#This Row],[Oct_27_A]]</f>
        <v/>
      </c>
      <c r="CB43" s="363" t="n"/>
      <c r="CC43" s="363" t="n"/>
      <c r="CD43" s="366">
        <f>Table46[[#This Row],[Nov_27_F]]-Table46[[#This Row],[Nov_27_A]]</f>
        <v/>
      </c>
      <c r="CE43" s="363" t="n"/>
      <c r="CF43" s="363" t="n"/>
      <c r="CG43" s="366">
        <f>Table46[[#This Row],[Dec_27_F]]-Table46[[#This Row],[Dec_27_A]]</f>
        <v/>
      </c>
    </row>
    <row r="44" ht="14.45" customHeight="1">
      <c r="B44" s="13" t="n"/>
      <c r="D44" s="367" t="n"/>
      <c r="F44" s="13" t="n"/>
      <c r="G44" s="13" t="n"/>
      <c r="H44" s="13" t="n"/>
      <c r="I44" s="13" t="n"/>
      <c r="J44" s="13" t="n"/>
      <c r="L44" s="346" t="n"/>
      <c r="M44" s="363" t="n"/>
      <c r="N44" s="363" t="n"/>
      <c r="O44" s="362">
        <f>Table46[[#This Row],[Jan_26_F]]-Table46[[#This Row],[Jan_26_Act]]</f>
        <v/>
      </c>
      <c r="P44" s="363" t="n"/>
      <c r="Q44" s="363" t="n"/>
      <c r="R44" s="362">
        <f>Table46[[#This Row],[Feb_26_F]]-Table46[[#This Row],[Feb_26_A]]</f>
        <v/>
      </c>
      <c r="S44" s="363" t="n"/>
      <c r="T44" s="363" t="n"/>
      <c r="U44" s="362">
        <f>Table46[[#This Row],[Mar_26_F]]-Table46[[#This Row],[Mar_26_A]]</f>
        <v/>
      </c>
      <c r="V44" s="363" t="n"/>
      <c r="W44" s="363" t="n"/>
      <c r="X44" s="362">
        <f>Table46[[#This Row],[Apr_26_F]]-Table46[[#This Row],[Apr_26_A]]</f>
        <v/>
      </c>
      <c r="Y44" s="363" t="n"/>
      <c r="Z44" s="363" t="n"/>
      <c r="AA44" s="362">
        <f>Table46[[#This Row],[May_26_F]]-Table46[[#This Row],[May_26_A]]</f>
        <v/>
      </c>
      <c r="AB44" s="363" t="n"/>
      <c r="AC44" s="363" t="n"/>
      <c r="AD44" s="362">
        <f>Table46[[#This Row],[Jun_26_F]]-Table46[[#This Row],[Jun_26_A]]</f>
        <v/>
      </c>
      <c r="AE44" s="363" t="n"/>
      <c r="AF44" s="363" t="n"/>
      <c r="AG44" s="362">
        <f>Table46[[#This Row],[Jul_26_F]]-Table46[[#This Row],[Jul_26_A]]</f>
        <v/>
      </c>
      <c r="AH44" s="363" t="n"/>
      <c r="AI44" s="363" t="n"/>
      <c r="AJ44" s="362">
        <f>Table46[[#This Row],[Aug_26_F]]-Table46[[#This Row],[Aug_26_A]]</f>
        <v/>
      </c>
      <c r="AK44" s="363" t="n"/>
      <c r="AL44" s="363" t="n"/>
      <c r="AM44" s="362">
        <f>Table46[[#This Row],[Sep_26_F]]-Table46[[#This Row],[Sep_26_A]]</f>
        <v/>
      </c>
      <c r="AN44" s="363" t="n"/>
      <c r="AO44" s="363" t="n"/>
      <c r="AP44" s="362">
        <f>Table46[[#This Row],[Oct_26_F]]-Table46[[#This Row],[Oct_26_A]]</f>
        <v/>
      </c>
      <c r="AQ44" s="363" t="n"/>
      <c r="AR44" s="363" t="n"/>
      <c r="AS44" s="362">
        <f>Table46[[#This Row],[Nov_26_F]]-Table46[[#This Row],[Nov_26_A]]</f>
        <v/>
      </c>
      <c r="AT44" s="363" t="n"/>
      <c r="AU44" s="363" t="n"/>
      <c r="AV44" s="362">
        <f>Table46[[#This Row],[Dec_26_F]]-Table46[[#This Row],[Dec_26_A]]</f>
        <v/>
      </c>
      <c r="AW44" s="346" t="n"/>
      <c r="AX44" s="363" t="n"/>
      <c r="AY44" s="363" t="n"/>
      <c r="AZ44" s="362">
        <f>Table46[[#This Row],[Jan_27_F]]-Table46[[#This Row],[Jan_27_Act]]</f>
        <v/>
      </c>
      <c r="BA44" s="363" t="n"/>
      <c r="BB44" s="363" t="n"/>
      <c r="BC44" s="362">
        <f>Table46[[#This Row],[Feb_27_F]]-Table46[[#This Row],[Feb_27_A]]</f>
        <v/>
      </c>
      <c r="BD44" s="363" t="n"/>
      <c r="BE44" s="363" t="n"/>
      <c r="BF44" s="362">
        <f>Table46[[#This Row],[Mar_27_F]]-Table46[[#This Row],[Mar_27_A]]</f>
        <v/>
      </c>
      <c r="BG44" s="363" t="n"/>
      <c r="BH44" s="363" t="n"/>
      <c r="BI44" s="362">
        <f>Table46[[#This Row],[Apr_27_F]]-Table46[[#This Row],[Apr_27_A]]</f>
        <v/>
      </c>
      <c r="BJ44" s="363" t="n"/>
      <c r="BK44" s="363" t="n"/>
      <c r="BL44" s="362">
        <f>Table46[[#This Row],[May_27_F]]-Table46[[#This Row],[May_27_A]]</f>
        <v/>
      </c>
      <c r="BM44" s="363" t="n"/>
      <c r="BN44" s="363" t="n"/>
      <c r="BO44" s="362">
        <f>Table46[[#This Row],[Jun_27_F]]-Table46[[#This Row],[Jun_27_A]]</f>
        <v/>
      </c>
      <c r="BP44" s="363" t="n"/>
      <c r="BQ44" s="363" t="n"/>
      <c r="BR44" s="362">
        <f>Table46[[#This Row],[Jul_27_F]]-Table46[[#This Row],[Jul_27_A]]</f>
        <v/>
      </c>
      <c r="BS44" s="363" t="n"/>
      <c r="BT44" s="363" t="n"/>
      <c r="BU44" s="362">
        <f>Table46[[#This Row],[Aug_27_F]]-Table46[[#This Row],[Aug_27_A]]</f>
        <v/>
      </c>
      <c r="BV44" s="363" t="n"/>
      <c r="BW44" s="363" t="n"/>
      <c r="BX44" s="362">
        <f>Table46[[#This Row],[Sep_27_F]]-Table46[[#This Row],[Sep_27_A]]</f>
        <v/>
      </c>
      <c r="BY44" s="363" t="n"/>
      <c r="BZ44" s="363" t="n"/>
      <c r="CA44" s="362">
        <f>Table46[[#This Row],[Oct_27_F]]-Table46[[#This Row],[Oct_27_A]]</f>
        <v/>
      </c>
      <c r="CB44" s="363" t="n"/>
      <c r="CC44" s="363" t="n"/>
      <c r="CD44" s="362">
        <f>Table46[[#This Row],[Nov_27_F]]-Table46[[#This Row],[Nov_27_A]]</f>
        <v/>
      </c>
      <c r="CE44" s="363" t="n"/>
      <c r="CF44" s="363" t="n"/>
      <c r="CG44" s="362">
        <f>Table46[[#This Row],[Dec_27_F]]-Table46[[#This Row],[Dec_27_A]]</f>
        <v/>
      </c>
    </row>
    <row r="45" ht="14.45" customHeight="1">
      <c r="B45" s="13" t="n"/>
      <c r="D45" s="367" t="n"/>
      <c r="F45" s="13" t="n"/>
      <c r="G45" s="13" t="n"/>
      <c r="H45" s="13" t="n"/>
      <c r="I45" s="13" t="n"/>
      <c r="J45" s="13" t="n"/>
      <c r="L45" s="346" t="n"/>
      <c r="M45" s="363" t="n"/>
      <c r="N45" s="363" t="n"/>
      <c r="O45" s="366">
        <f>Table46[[#This Row],[Jan_26_F]]-Table46[[#This Row],[Jan_26_Act]]</f>
        <v/>
      </c>
      <c r="P45" s="363" t="n"/>
      <c r="Q45" s="363" t="n"/>
      <c r="R45" s="366">
        <f>Table46[[#This Row],[Feb_26_F]]-Table46[[#This Row],[Feb_26_A]]</f>
        <v/>
      </c>
      <c r="S45" s="363" t="n"/>
      <c r="T45" s="363" t="n"/>
      <c r="U45" s="366">
        <f>Table46[[#This Row],[Mar_26_F]]-Table46[[#This Row],[Mar_26_A]]</f>
        <v/>
      </c>
      <c r="V45" s="363" t="n"/>
      <c r="W45" s="363" t="n"/>
      <c r="X45" s="366">
        <f>Table46[[#This Row],[Apr_26_F]]-Table46[[#This Row],[Apr_26_A]]</f>
        <v/>
      </c>
      <c r="Y45" s="363" t="n"/>
      <c r="Z45" s="363" t="n"/>
      <c r="AA45" s="366">
        <f>Table46[[#This Row],[May_26_F]]-Table46[[#This Row],[May_26_A]]</f>
        <v/>
      </c>
      <c r="AB45" s="363" t="n"/>
      <c r="AC45" s="363" t="n"/>
      <c r="AD45" s="366">
        <f>Table46[[#This Row],[Jun_26_F]]-Table46[[#This Row],[Jun_26_A]]</f>
        <v/>
      </c>
      <c r="AE45" s="363" t="n"/>
      <c r="AF45" s="363" t="n"/>
      <c r="AG45" s="366">
        <f>Table46[[#This Row],[Jul_26_F]]-Table46[[#This Row],[Jul_26_A]]</f>
        <v/>
      </c>
      <c r="AH45" s="363" t="n"/>
      <c r="AI45" s="363" t="n"/>
      <c r="AJ45" s="366">
        <f>Table46[[#This Row],[Aug_26_F]]-Table46[[#This Row],[Aug_26_A]]</f>
        <v/>
      </c>
      <c r="AK45" s="363" t="n"/>
      <c r="AL45" s="363" t="n"/>
      <c r="AM45" s="366">
        <f>Table46[[#This Row],[Sep_26_F]]-Table46[[#This Row],[Sep_26_A]]</f>
        <v/>
      </c>
      <c r="AN45" s="363" t="n"/>
      <c r="AO45" s="363" t="n"/>
      <c r="AP45" s="366">
        <f>Table46[[#This Row],[Oct_26_F]]-Table46[[#This Row],[Oct_26_A]]</f>
        <v/>
      </c>
      <c r="AQ45" s="363" t="n"/>
      <c r="AR45" s="363" t="n"/>
      <c r="AS45" s="366">
        <f>Table46[[#This Row],[Nov_26_F]]-Table46[[#This Row],[Nov_26_A]]</f>
        <v/>
      </c>
      <c r="AT45" s="363" t="n"/>
      <c r="AU45" s="363" t="n"/>
      <c r="AV45" s="366">
        <f>Table46[[#This Row],[Dec_26_F]]-Table46[[#This Row],[Dec_26_A]]</f>
        <v/>
      </c>
      <c r="AW45" s="346" t="n"/>
      <c r="AX45" s="363" t="n"/>
      <c r="AY45" s="363" t="n"/>
      <c r="AZ45" s="366">
        <f>Table46[[#This Row],[Jan_27_F]]-Table46[[#This Row],[Jan_27_Act]]</f>
        <v/>
      </c>
      <c r="BA45" s="363" t="n"/>
      <c r="BB45" s="363" t="n"/>
      <c r="BC45" s="366">
        <f>Table46[[#This Row],[Feb_27_F]]-Table46[[#This Row],[Feb_27_A]]</f>
        <v/>
      </c>
      <c r="BD45" s="363" t="n"/>
      <c r="BE45" s="363" t="n"/>
      <c r="BF45" s="366">
        <f>Table46[[#This Row],[Mar_27_F]]-Table46[[#This Row],[Mar_27_A]]</f>
        <v/>
      </c>
      <c r="BG45" s="363" t="n"/>
      <c r="BH45" s="363" t="n"/>
      <c r="BI45" s="366">
        <f>Table46[[#This Row],[Apr_27_F]]-Table46[[#This Row],[Apr_27_A]]</f>
        <v/>
      </c>
      <c r="BJ45" s="363" t="n"/>
      <c r="BK45" s="363" t="n"/>
      <c r="BL45" s="366">
        <f>Table46[[#This Row],[May_27_F]]-Table46[[#This Row],[May_27_A]]</f>
        <v/>
      </c>
      <c r="BM45" s="363" t="n"/>
      <c r="BN45" s="363" t="n"/>
      <c r="BO45" s="366">
        <f>Table46[[#This Row],[Jun_27_F]]-Table46[[#This Row],[Jun_27_A]]</f>
        <v/>
      </c>
      <c r="BP45" s="363" t="n"/>
      <c r="BQ45" s="363" t="n"/>
      <c r="BR45" s="366">
        <f>Table46[[#This Row],[Jul_27_F]]-Table46[[#This Row],[Jul_27_A]]</f>
        <v/>
      </c>
      <c r="BS45" s="363" t="n"/>
      <c r="BT45" s="363" t="n"/>
      <c r="BU45" s="366">
        <f>Table46[[#This Row],[Aug_27_F]]-Table46[[#This Row],[Aug_27_A]]</f>
        <v/>
      </c>
      <c r="BV45" s="363" t="n"/>
      <c r="BW45" s="363" t="n"/>
      <c r="BX45" s="366">
        <f>Table46[[#This Row],[Sep_27_F]]-Table46[[#This Row],[Sep_27_A]]</f>
        <v/>
      </c>
      <c r="BY45" s="363" t="n"/>
      <c r="BZ45" s="363" t="n"/>
      <c r="CA45" s="366">
        <f>Table46[[#This Row],[Oct_27_F]]-Table46[[#This Row],[Oct_27_A]]</f>
        <v/>
      </c>
      <c r="CB45" s="363" t="n"/>
      <c r="CC45" s="363" t="n"/>
      <c r="CD45" s="366">
        <f>Table46[[#This Row],[Nov_27_F]]-Table46[[#This Row],[Nov_27_A]]</f>
        <v/>
      </c>
      <c r="CE45" s="363" t="n"/>
      <c r="CF45" s="363" t="n"/>
      <c r="CG45" s="366">
        <f>Table46[[#This Row],[Dec_27_F]]-Table46[[#This Row],[Dec_27_A]]</f>
        <v/>
      </c>
    </row>
    <row r="46" ht="14.45" customHeight="1">
      <c r="B46" s="13" t="n"/>
      <c r="D46" s="367" t="n"/>
      <c r="F46" s="13" t="n"/>
      <c r="G46" s="13" t="n"/>
      <c r="H46" s="13" t="n"/>
      <c r="I46" s="13" t="n"/>
      <c r="J46" s="13" t="n"/>
      <c r="L46" s="346" t="n"/>
      <c r="M46" s="363" t="n"/>
      <c r="N46" s="363" t="n"/>
      <c r="O46" s="362">
        <f>Table46[[#This Row],[Jan_26_F]]-Table46[[#This Row],[Jan_26_Act]]</f>
        <v/>
      </c>
      <c r="P46" s="363" t="n"/>
      <c r="Q46" s="363" t="n"/>
      <c r="R46" s="362">
        <f>Table46[[#This Row],[Feb_26_F]]-Table46[[#This Row],[Feb_26_A]]</f>
        <v/>
      </c>
      <c r="S46" s="363" t="n"/>
      <c r="T46" s="363" t="n"/>
      <c r="U46" s="362">
        <f>Table46[[#This Row],[Mar_26_F]]-Table46[[#This Row],[Mar_26_A]]</f>
        <v/>
      </c>
      <c r="V46" s="363" t="n"/>
      <c r="W46" s="363" t="n"/>
      <c r="X46" s="362">
        <f>Table46[[#This Row],[Apr_26_F]]-Table46[[#This Row],[Apr_26_A]]</f>
        <v/>
      </c>
      <c r="Y46" s="363" t="n"/>
      <c r="Z46" s="363" t="n"/>
      <c r="AA46" s="362">
        <f>Table46[[#This Row],[May_26_F]]-Table46[[#This Row],[May_26_A]]</f>
        <v/>
      </c>
      <c r="AB46" s="363" t="n"/>
      <c r="AC46" s="363" t="n"/>
      <c r="AD46" s="362">
        <f>Table46[[#This Row],[Jun_26_F]]-Table46[[#This Row],[Jun_26_A]]</f>
        <v/>
      </c>
      <c r="AE46" s="363" t="n"/>
      <c r="AF46" s="363" t="n"/>
      <c r="AG46" s="362">
        <f>Table46[[#This Row],[Jul_26_F]]-Table46[[#This Row],[Jul_26_A]]</f>
        <v/>
      </c>
      <c r="AH46" s="363" t="n"/>
      <c r="AI46" s="363" t="n"/>
      <c r="AJ46" s="362">
        <f>Table46[[#This Row],[Aug_26_F]]-Table46[[#This Row],[Aug_26_A]]</f>
        <v/>
      </c>
      <c r="AK46" s="363" t="n"/>
      <c r="AL46" s="363" t="n"/>
      <c r="AM46" s="362">
        <f>Table46[[#This Row],[Sep_26_F]]-Table46[[#This Row],[Sep_26_A]]</f>
        <v/>
      </c>
      <c r="AN46" s="363" t="n"/>
      <c r="AO46" s="363" t="n"/>
      <c r="AP46" s="362">
        <f>Table46[[#This Row],[Oct_26_F]]-Table46[[#This Row],[Oct_26_A]]</f>
        <v/>
      </c>
      <c r="AQ46" s="363" t="n"/>
      <c r="AR46" s="363" t="n"/>
      <c r="AS46" s="362">
        <f>Table46[[#This Row],[Nov_26_F]]-Table46[[#This Row],[Nov_26_A]]</f>
        <v/>
      </c>
      <c r="AT46" s="363" t="n"/>
      <c r="AU46" s="363" t="n"/>
      <c r="AV46" s="362">
        <f>Table46[[#This Row],[Dec_26_F]]-Table46[[#This Row],[Dec_26_A]]</f>
        <v/>
      </c>
      <c r="AW46" s="346" t="n"/>
      <c r="AX46" s="363" t="n"/>
      <c r="AY46" s="363" t="n"/>
      <c r="AZ46" s="362">
        <f>Table46[[#This Row],[Jan_27_F]]-Table46[[#This Row],[Jan_27_Act]]</f>
        <v/>
      </c>
      <c r="BA46" s="363" t="n"/>
      <c r="BB46" s="363" t="n"/>
      <c r="BC46" s="362">
        <f>Table46[[#This Row],[Feb_27_F]]-Table46[[#This Row],[Feb_27_A]]</f>
        <v/>
      </c>
      <c r="BD46" s="363" t="n"/>
      <c r="BE46" s="363" t="n"/>
      <c r="BF46" s="362">
        <f>Table46[[#This Row],[Mar_27_F]]-Table46[[#This Row],[Mar_27_A]]</f>
        <v/>
      </c>
      <c r="BG46" s="363" t="n"/>
      <c r="BH46" s="363" t="n"/>
      <c r="BI46" s="362">
        <f>Table46[[#This Row],[Apr_27_F]]-Table46[[#This Row],[Apr_27_A]]</f>
        <v/>
      </c>
      <c r="BJ46" s="363" t="n"/>
      <c r="BK46" s="363" t="n"/>
      <c r="BL46" s="362">
        <f>Table46[[#This Row],[May_27_F]]-Table46[[#This Row],[May_27_A]]</f>
        <v/>
      </c>
      <c r="BM46" s="363" t="n"/>
      <c r="BN46" s="363" t="n"/>
      <c r="BO46" s="362">
        <f>Table46[[#This Row],[Jun_27_F]]-Table46[[#This Row],[Jun_27_A]]</f>
        <v/>
      </c>
      <c r="BP46" s="363" t="n"/>
      <c r="BQ46" s="363" t="n"/>
      <c r="BR46" s="362">
        <f>Table46[[#This Row],[Jul_27_F]]-Table46[[#This Row],[Jul_27_A]]</f>
        <v/>
      </c>
      <c r="BS46" s="363" t="n"/>
      <c r="BT46" s="363" t="n"/>
      <c r="BU46" s="362">
        <f>Table46[[#This Row],[Aug_27_F]]-Table46[[#This Row],[Aug_27_A]]</f>
        <v/>
      </c>
      <c r="BV46" s="363" t="n"/>
      <c r="BW46" s="363" t="n"/>
      <c r="BX46" s="362">
        <f>Table46[[#This Row],[Sep_27_F]]-Table46[[#This Row],[Sep_27_A]]</f>
        <v/>
      </c>
      <c r="BY46" s="363" t="n"/>
      <c r="BZ46" s="363" t="n"/>
      <c r="CA46" s="362">
        <f>Table46[[#This Row],[Oct_27_F]]-Table46[[#This Row],[Oct_27_A]]</f>
        <v/>
      </c>
      <c r="CB46" s="363" t="n"/>
      <c r="CC46" s="363" t="n"/>
      <c r="CD46" s="362">
        <f>Table46[[#This Row],[Nov_27_F]]-Table46[[#This Row],[Nov_27_A]]</f>
        <v/>
      </c>
      <c r="CE46" s="363" t="n"/>
      <c r="CF46" s="363" t="n"/>
      <c r="CG46" s="362">
        <f>Table46[[#This Row],[Dec_27_F]]-Table46[[#This Row],[Dec_27_A]]</f>
        <v/>
      </c>
    </row>
    <row r="47" ht="14.45" customHeight="1">
      <c r="B47" s="13" t="n"/>
      <c r="D47" s="367" t="n"/>
      <c r="F47" s="13" t="n"/>
      <c r="G47" s="13" t="n"/>
      <c r="H47" s="13" t="n"/>
      <c r="I47" s="13" t="n"/>
      <c r="J47" s="13" t="n"/>
      <c r="L47" s="346" t="n"/>
      <c r="M47" s="363" t="n"/>
      <c r="N47" s="363" t="n"/>
      <c r="O47" s="366">
        <f>Table46[[#This Row],[Jan_26_F]]-Table46[[#This Row],[Jan_26_Act]]</f>
        <v/>
      </c>
      <c r="P47" s="363" t="n"/>
      <c r="Q47" s="363" t="n"/>
      <c r="R47" s="366">
        <f>Table46[[#This Row],[Feb_26_F]]-Table46[[#This Row],[Feb_26_A]]</f>
        <v/>
      </c>
      <c r="S47" s="363" t="n"/>
      <c r="T47" s="363" t="n"/>
      <c r="U47" s="366">
        <f>Table46[[#This Row],[Mar_26_F]]-Table46[[#This Row],[Mar_26_A]]</f>
        <v/>
      </c>
      <c r="V47" s="363" t="n"/>
      <c r="W47" s="363" t="n"/>
      <c r="X47" s="366">
        <f>Table46[[#This Row],[Apr_26_F]]-Table46[[#This Row],[Apr_26_A]]</f>
        <v/>
      </c>
      <c r="Y47" s="363" t="n"/>
      <c r="Z47" s="363" t="n"/>
      <c r="AA47" s="366">
        <f>Table46[[#This Row],[May_26_F]]-Table46[[#This Row],[May_26_A]]</f>
        <v/>
      </c>
      <c r="AB47" s="363" t="n"/>
      <c r="AC47" s="363" t="n"/>
      <c r="AD47" s="366">
        <f>Table46[[#This Row],[Jun_26_F]]-Table46[[#This Row],[Jun_26_A]]</f>
        <v/>
      </c>
      <c r="AE47" s="363" t="n"/>
      <c r="AF47" s="363" t="n"/>
      <c r="AG47" s="366">
        <f>Table46[[#This Row],[Jul_26_F]]-Table46[[#This Row],[Jul_26_A]]</f>
        <v/>
      </c>
      <c r="AH47" s="363" t="n"/>
      <c r="AI47" s="363" t="n"/>
      <c r="AJ47" s="366">
        <f>Table46[[#This Row],[Aug_26_F]]-Table46[[#This Row],[Aug_26_A]]</f>
        <v/>
      </c>
      <c r="AK47" s="363" t="n"/>
      <c r="AL47" s="363" t="n"/>
      <c r="AM47" s="366">
        <f>Table46[[#This Row],[Sep_26_F]]-Table46[[#This Row],[Sep_26_A]]</f>
        <v/>
      </c>
      <c r="AN47" s="363" t="n"/>
      <c r="AO47" s="363" t="n"/>
      <c r="AP47" s="366">
        <f>Table46[[#This Row],[Oct_26_F]]-Table46[[#This Row],[Oct_26_A]]</f>
        <v/>
      </c>
      <c r="AQ47" s="363" t="n"/>
      <c r="AR47" s="363" t="n"/>
      <c r="AS47" s="366">
        <f>Table46[[#This Row],[Nov_26_F]]-Table46[[#This Row],[Nov_26_A]]</f>
        <v/>
      </c>
      <c r="AT47" s="363" t="n"/>
      <c r="AU47" s="363" t="n"/>
      <c r="AV47" s="366">
        <f>Table46[[#This Row],[Dec_26_F]]-Table46[[#This Row],[Dec_26_A]]</f>
        <v/>
      </c>
      <c r="AW47" s="346" t="n"/>
      <c r="AX47" s="363" t="n"/>
      <c r="AY47" s="363" t="n"/>
      <c r="AZ47" s="366">
        <f>Table46[[#This Row],[Jan_27_F]]-Table46[[#This Row],[Jan_27_Act]]</f>
        <v/>
      </c>
      <c r="BA47" s="363" t="n"/>
      <c r="BB47" s="363" t="n"/>
      <c r="BC47" s="366">
        <f>Table46[[#This Row],[Feb_27_F]]-Table46[[#This Row],[Feb_27_A]]</f>
        <v/>
      </c>
      <c r="BD47" s="363" t="n"/>
      <c r="BE47" s="363" t="n"/>
      <c r="BF47" s="366">
        <f>Table46[[#This Row],[Mar_27_F]]-Table46[[#This Row],[Mar_27_A]]</f>
        <v/>
      </c>
      <c r="BG47" s="363" t="n"/>
      <c r="BH47" s="363" t="n"/>
      <c r="BI47" s="366">
        <f>Table46[[#This Row],[Apr_27_F]]-Table46[[#This Row],[Apr_27_A]]</f>
        <v/>
      </c>
      <c r="BJ47" s="363" t="n"/>
      <c r="BK47" s="363" t="n"/>
      <c r="BL47" s="366">
        <f>Table46[[#This Row],[May_27_F]]-Table46[[#This Row],[May_27_A]]</f>
        <v/>
      </c>
      <c r="BM47" s="363" t="n"/>
      <c r="BN47" s="363" t="n"/>
      <c r="BO47" s="366">
        <f>Table46[[#This Row],[Jun_27_F]]-Table46[[#This Row],[Jun_27_A]]</f>
        <v/>
      </c>
      <c r="BP47" s="363" t="n"/>
      <c r="BQ47" s="363" t="n"/>
      <c r="BR47" s="366">
        <f>Table46[[#This Row],[Jul_27_F]]-Table46[[#This Row],[Jul_27_A]]</f>
        <v/>
      </c>
      <c r="BS47" s="363" t="n"/>
      <c r="BT47" s="363" t="n"/>
      <c r="BU47" s="366">
        <f>Table46[[#This Row],[Aug_27_F]]-Table46[[#This Row],[Aug_27_A]]</f>
        <v/>
      </c>
      <c r="BV47" s="363" t="n"/>
      <c r="BW47" s="363" t="n"/>
      <c r="BX47" s="366">
        <f>Table46[[#This Row],[Sep_27_F]]-Table46[[#This Row],[Sep_27_A]]</f>
        <v/>
      </c>
      <c r="BY47" s="363" t="n"/>
      <c r="BZ47" s="363" t="n"/>
      <c r="CA47" s="366">
        <f>Table46[[#This Row],[Oct_27_F]]-Table46[[#This Row],[Oct_27_A]]</f>
        <v/>
      </c>
      <c r="CB47" s="363" t="n"/>
      <c r="CC47" s="363" t="n"/>
      <c r="CD47" s="366">
        <f>Table46[[#This Row],[Nov_27_F]]-Table46[[#This Row],[Nov_27_A]]</f>
        <v/>
      </c>
      <c r="CE47" s="363" t="n"/>
      <c r="CF47" s="363" t="n"/>
      <c r="CG47" s="366">
        <f>Table46[[#This Row],[Dec_27_F]]-Table46[[#This Row],[Dec_27_A]]</f>
        <v/>
      </c>
    </row>
    <row r="48" ht="14.45" customHeight="1">
      <c r="B48" s="13" t="n"/>
      <c r="D48" s="367" t="n"/>
      <c r="F48" s="13" t="n"/>
      <c r="G48" s="13" t="n"/>
      <c r="H48" s="13" t="n"/>
      <c r="I48" s="13" t="n"/>
      <c r="J48" s="13" t="n"/>
      <c r="L48" s="346" t="n"/>
      <c r="M48" s="363" t="n"/>
      <c r="N48" s="363" t="n"/>
      <c r="O48" s="362">
        <f>Table46[[#This Row],[Jan_26_F]]-Table46[[#This Row],[Jan_26_Act]]</f>
        <v/>
      </c>
      <c r="P48" s="363" t="n"/>
      <c r="Q48" s="363" t="n"/>
      <c r="R48" s="362">
        <f>Table46[[#This Row],[Feb_26_F]]-Table46[[#This Row],[Feb_26_A]]</f>
        <v/>
      </c>
      <c r="S48" s="363" t="n"/>
      <c r="T48" s="363" t="n"/>
      <c r="U48" s="362">
        <f>Table46[[#This Row],[Mar_26_F]]-Table46[[#This Row],[Mar_26_A]]</f>
        <v/>
      </c>
      <c r="V48" s="363" t="n"/>
      <c r="W48" s="363" t="n"/>
      <c r="X48" s="362">
        <f>Table46[[#This Row],[Apr_26_F]]-Table46[[#This Row],[Apr_26_A]]</f>
        <v/>
      </c>
      <c r="Y48" s="363" t="n"/>
      <c r="Z48" s="363" t="n"/>
      <c r="AA48" s="362">
        <f>Table46[[#This Row],[May_26_F]]-Table46[[#This Row],[May_26_A]]</f>
        <v/>
      </c>
      <c r="AB48" s="363" t="n"/>
      <c r="AC48" s="363" t="n"/>
      <c r="AD48" s="362">
        <f>Table46[[#This Row],[Jun_26_F]]-Table46[[#This Row],[Jun_26_A]]</f>
        <v/>
      </c>
      <c r="AE48" s="363" t="n"/>
      <c r="AF48" s="363" t="n"/>
      <c r="AG48" s="362">
        <f>Table46[[#This Row],[Jul_26_F]]-Table46[[#This Row],[Jul_26_A]]</f>
        <v/>
      </c>
      <c r="AH48" s="363" t="n"/>
      <c r="AI48" s="363" t="n"/>
      <c r="AJ48" s="362">
        <f>Table46[[#This Row],[Aug_26_F]]-Table46[[#This Row],[Aug_26_A]]</f>
        <v/>
      </c>
      <c r="AK48" s="363" t="n"/>
      <c r="AL48" s="363" t="n"/>
      <c r="AM48" s="362">
        <f>Table46[[#This Row],[Sep_26_F]]-Table46[[#This Row],[Sep_26_A]]</f>
        <v/>
      </c>
      <c r="AN48" s="363" t="n"/>
      <c r="AO48" s="363" t="n"/>
      <c r="AP48" s="362">
        <f>Table46[[#This Row],[Oct_26_F]]-Table46[[#This Row],[Oct_26_A]]</f>
        <v/>
      </c>
      <c r="AQ48" s="363" t="n"/>
      <c r="AR48" s="363" t="n"/>
      <c r="AS48" s="362">
        <f>Table46[[#This Row],[Nov_26_F]]-Table46[[#This Row],[Nov_26_A]]</f>
        <v/>
      </c>
      <c r="AT48" s="363" t="n"/>
      <c r="AU48" s="363" t="n"/>
      <c r="AV48" s="362">
        <f>Table46[[#This Row],[Dec_26_F]]-Table46[[#This Row],[Dec_26_A]]</f>
        <v/>
      </c>
      <c r="AW48" s="346" t="n"/>
      <c r="AX48" s="363" t="n"/>
      <c r="AY48" s="363" t="n"/>
      <c r="AZ48" s="362">
        <f>Table46[[#This Row],[Jan_27_F]]-Table46[[#This Row],[Jan_27_Act]]</f>
        <v/>
      </c>
      <c r="BA48" s="363" t="n"/>
      <c r="BB48" s="363" t="n"/>
      <c r="BC48" s="362">
        <f>Table46[[#This Row],[Feb_27_F]]-Table46[[#This Row],[Feb_27_A]]</f>
        <v/>
      </c>
      <c r="BD48" s="363" t="n"/>
      <c r="BE48" s="363" t="n"/>
      <c r="BF48" s="362">
        <f>Table46[[#This Row],[Mar_27_F]]-Table46[[#This Row],[Mar_27_A]]</f>
        <v/>
      </c>
      <c r="BG48" s="363" t="n"/>
      <c r="BH48" s="363" t="n"/>
      <c r="BI48" s="362">
        <f>Table46[[#This Row],[Apr_27_F]]-Table46[[#This Row],[Apr_27_A]]</f>
        <v/>
      </c>
      <c r="BJ48" s="363" t="n"/>
      <c r="BK48" s="363" t="n"/>
      <c r="BL48" s="362">
        <f>Table46[[#This Row],[May_27_F]]-Table46[[#This Row],[May_27_A]]</f>
        <v/>
      </c>
      <c r="BM48" s="363" t="n"/>
      <c r="BN48" s="363" t="n"/>
      <c r="BO48" s="362">
        <f>Table46[[#This Row],[Jun_27_F]]-Table46[[#This Row],[Jun_27_A]]</f>
        <v/>
      </c>
      <c r="BP48" s="363" t="n"/>
      <c r="BQ48" s="363" t="n"/>
      <c r="BR48" s="362">
        <f>Table46[[#This Row],[Jul_27_F]]-Table46[[#This Row],[Jul_27_A]]</f>
        <v/>
      </c>
      <c r="BS48" s="363" t="n"/>
      <c r="BT48" s="363" t="n"/>
      <c r="BU48" s="362">
        <f>Table46[[#This Row],[Aug_27_F]]-Table46[[#This Row],[Aug_27_A]]</f>
        <v/>
      </c>
      <c r="BV48" s="363" t="n"/>
      <c r="BW48" s="363" t="n"/>
      <c r="BX48" s="362">
        <f>Table46[[#This Row],[Sep_27_F]]-Table46[[#This Row],[Sep_27_A]]</f>
        <v/>
      </c>
      <c r="BY48" s="363" t="n"/>
      <c r="BZ48" s="363" t="n"/>
      <c r="CA48" s="362">
        <f>Table46[[#This Row],[Oct_27_F]]-Table46[[#This Row],[Oct_27_A]]</f>
        <v/>
      </c>
      <c r="CB48" s="363" t="n"/>
      <c r="CC48" s="363" t="n"/>
      <c r="CD48" s="362">
        <f>Table46[[#This Row],[Nov_27_F]]-Table46[[#This Row],[Nov_27_A]]</f>
        <v/>
      </c>
      <c r="CE48" s="363" t="n"/>
      <c r="CF48" s="363" t="n"/>
      <c r="CG48" s="362">
        <f>Table46[[#This Row],[Dec_27_F]]-Table46[[#This Row],[Dec_27_A]]</f>
        <v/>
      </c>
    </row>
    <row r="49" ht="14.45" customHeight="1">
      <c r="B49" s="13" t="n"/>
      <c r="D49" s="367" t="n"/>
      <c r="F49" s="13" t="n"/>
      <c r="G49" s="13" t="n"/>
      <c r="H49" s="13" t="n"/>
      <c r="I49" s="13" t="n"/>
      <c r="J49" s="13" t="n"/>
      <c r="L49" s="346" t="n"/>
      <c r="M49" s="363" t="n"/>
      <c r="N49" s="363" t="n"/>
      <c r="O49" s="366">
        <f>Table46[[#This Row],[Jan_26_F]]-Table46[[#This Row],[Jan_26_Act]]</f>
        <v/>
      </c>
      <c r="P49" s="363" t="n"/>
      <c r="Q49" s="363" t="n"/>
      <c r="R49" s="366">
        <f>Table46[[#This Row],[Feb_26_F]]-Table46[[#This Row],[Feb_26_A]]</f>
        <v/>
      </c>
      <c r="S49" s="363" t="n"/>
      <c r="T49" s="363" t="n"/>
      <c r="U49" s="366">
        <f>Table46[[#This Row],[Mar_26_F]]-Table46[[#This Row],[Mar_26_A]]</f>
        <v/>
      </c>
      <c r="V49" s="363" t="n"/>
      <c r="W49" s="363" t="n"/>
      <c r="X49" s="366">
        <f>Table46[[#This Row],[Apr_26_F]]-Table46[[#This Row],[Apr_26_A]]</f>
        <v/>
      </c>
      <c r="Y49" s="363" t="n"/>
      <c r="Z49" s="363" t="n"/>
      <c r="AA49" s="366">
        <f>Table46[[#This Row],[May_26_F]]-Table46[[#This Row],[May_26_A]]</f>
        <v/>
      </c>
      <c r="AB49" s="363" t="n"/>
      <c r="AC49" s="363" t="n"/>
      <c r="AD49" s="366">
        <f>Table46[[#This Row],[Jun_26_F]]-Table46[[#This Row],[Jun_26_A]]</f>
        <v/>
      </c>
      <c r="AE49" s="363" t="n"/>
      <c r="AF49" s="363" t="n"/>
      <c r="AG49" s="366">
        <f>Table46[[#This Row],[Jul_26_F]]-Table46[[#This Row],[Jul_26_A]]</f>
        <v/>
      </c>
      <c r="AH49" s="363" t="n"/>
      <c r="AI49" s="363" t="n"/>
      <c r="AJ49" s="366">
        <f>Table46[[#This Row],[Aug_26_F]]-Table46[[#This Row],[Aug_26_A]]</f>
        <v/>
      </c>
      <c r="AK49" s="363" t="n"/>
      <c r="AL49" s="363" t="n"/>
      <c r="AM49" s="366">
        <f>Table46[[#This Row],[Sep_26_F]]-Table46[[#This Row],[Sep_26_A]]</f>
        <v/>
      </c>
      <c r="AN49" s="363" t="n"/>
      <c r="AO49" s="363" t="n"/>
      <c r="AP49" s="366">
        <f>Table46[[#This Row],[Oct_26_F]]-Table46[[#This Row],[Oct_26_A]]</f>
        <v/>
      </c>
      <c r="AQ49" s="363" t="n"/>
      <c r="AR49" s="363" t="n"/>
      <c r="AS49" s="366">
        <f>Table46[[#This Row],[Nov_26_F]]-Table46[[#This Row],[Nov_26_A]]</f>
        <v/>
      </c>
      <c r="AT49" s="363" t="n"/>
      <c r="AU49" s="363" t="n"/>
      <c r="AV49" s="366">
        <f>Table46[[#This Row],[Dec_26_F]]-Table46[[#This Row],[Dec_26_A]]</f>
        <v/>
      </c>
      <c r="AW49" s="346" t="n"/>
      <c r="AX49" s="363" t="n"/>
      <c r="AY49" s="363" t="n"/>
      <c r="AZ49" s="366">
        <f>Table46[[#This Row],[Jan_27_F]]-Table46[[#This Row],[Jan_27_Act]]</f>
        <v/>
      </c>
      <c r="BA49" s="363" t="n"/>
      <c r="BB49" s="363" t="n"/>
      <c r="BC49" s="366">
        <f>Table46[[#This Row],[Feb_27_F]]-Table46[[#This Row],[Feb_27_A]]</f>
        <v/>
      </c>
      <c r="BD49" s="363" t="n"/>
      <c r="BE49" s="363" t="n"/>
      <c r="BF49" s="366">
        <f>Table46[[#This Row],[Mar_27_F]]-Table46[[#This Row],[Mar_27_A]]</f>
        <v/>
      </c>
      <c r="BG49" s="363" t="n"/>
      <c r="BH49" s="363" t="n"/>
      <c r="BI49" s="366">
        <f>Table46[[#This Row],[Apr_27_F]]-Table46[[#This Row],[Apr_27_A]]</f>
        <v/>
      </c>
      <c r="BJ49" s="363" t="n"/>
      <c r="BK49" s="363" t="n"/>
      <c r="BL49" s="366">
        <f>Table46[[#This Row],[May_27_F]]-Table46[[#This Row],[May_27_A]]</f>
        <v/>
      </c>
      <c r="BM49" s="363" t="n"/>
      <c r="BN49" s="363" t="n"/>
      <c r="BO49" s="366">
        <f>Table46[[#This Row],[Jun_27_F]]-Table46[[#This Row],[Jun_27_A]]</f>
        <v/>
      </c>
      <c r="BP49" s="363" t="n"/>
      <c r="BQ49" s="363" t="n"/>
      <c r="BR49" s="366">
        <f>Table46[[#This Row],[Jul_27_F]]-Table46[[#This Row],[Jul_27_A]]</f>
        <v/>
      </c>
      <c r="BS49" s="363" t="n"/>
      <c r="BT49" s="363" t="n"/>
      <c r="BU49" s="366">
        <f>Table46[[#This Row],[Aug_27_F]]-Table46[[#This Row],[Aug_27_A]]</f>
        <v/>
      </c>
      <c r="BV49" s="363" t="n"/>
      <c r="BW49" s="363" t="n"/>
      <c r="BX49" s="366">
        <f>Table46[[#This Row],[Sep_27_F]]-Table46[[#This Row],[Sep_27_A]]</f>
        <v/>
      </c>
      <c r="BY49" s="363" t="n"/>
      <c r="BZ49" s="363" t="n"/>
      <c r="CA49" s="366">
        <f>Table46[[#This Row],[Oct_27_F]]-Table46[[#This Row],[Oct_27_A]]</f>
        <v/>
      </c>
      <c r="CB49" s="363" t="n"/>
      <c r="CC49" s="363" t="n"/>
      <c r="CD49" s="366">
        <f>Table46[[#This Row],[Nov_27_F]]-Table46[[#This Row],[Nov_27_A]]</f>
        <v/>
      </c>
      <c r="CE49" s="363" t="n"/>
      <c r="CF49" s="363" t="n"/>
      <c r="CG49" s="366">
        <f>Table46[[#This Row],[Dec_27_F]]-Table46[[#This Row],[Dec_27_A]]</f>
        <v/>
      </c>
    </row>
    <row r="50" ht="14.45" customHeight="1">
      <c r="B50" s="13" t="n"/>
      <c r="D50" s="367" t="n"/>
      <c r="F50" s="13" t="n"/>
      <c r="G50" s="13" t="n"/>
      <c r="H50" s="13" t="n"/>
      <c r="I50" s="13" t="n"/>
      <c r="J50" s="13" t="n"/>
      <c r="L50" s="346" t="n"/>
      <c r="M50" s="363" t="n"/>
      <c r="N50" s="363" t="n"/>
      <c r="O50" s="362">
        <f>Table46[[#This Row],[Jan_26_F]]-Table46[[#This Row],[Jan_26_Act]]</f>
        <v/>
      </c>
      <c r="P50" s="363" t="n"/>
      <c r="Q50" s="363" t="n"/>
      <c r="R50" s="362">
        <f>Table46[[#This Row],[Feb_26_F]]-Table46[[#This Row],[Feb_26_A]]</f>
        <v/>
      </c>
      <c r="S50" s="363" t="n"/>
      <c r="T50" s="363" t="n"/>
      <c r="U50" s="362">
        <f>Table46[[#This Row],[Mar_26_F]]-Table46[[#This Row],[Mar_26_A]]</f>
        <v/>
      </c>
      <c r="V50" s="363" t="n"/>
      <c r="W50" s="363" t="n"/>
      <c r="X50" s="362">
        <f>Table46[[#This Row],[Apr_26_F]]-Table46[[#This Row],[Apr_26_A]]</f>
        <v/>
      </c>
      <c r="Y50" s="363" t="n"/>
      <c r="Z50" s="363" t="n"/>
      <c r="AA50" s="362">
        <f>Table46[[#This Row],[May_26_F]]-Table46[[#This Row],[May_26_A]]</f>
        <v/>
      </c>
      <c r="AB50" s="363" t="n"/>
      <c r="AC50" s="363" t="n"/>
      <c r="AD50" s="362">
        <f>Table46[[#This Row],[Jun_26_F]]-Table46[[#This Row],[Jun_26_A]]</f>
        <v/>
      </c>
      <c r="AE50" s="363" t="n"/>
      <c r="AF50" s="363" t="n"/>
      <c r="AG50" s="362">
        <f>Table46[[#This Row],[Jul_26_F]]-Table46[[#This Row],[Jul_26_A]]</f>
        <v/>
      </c>
      <c r="AH50" s="363" t="n"/>
      <c r="AI50" s="363" t="n"/>
      <c r="AJ50" s="362">
        <f>Table46[[#This Row],[Aug_26_F]]-Table46[[#This Row],[Aug_26_A]]</f>
        <v/>
      </c>
      <c r="AK50" s="363" t="n"/>
      <c r="AL50" s="363" t="n"/>
      <c r="AM50" s="362">
        <f>Table46[[#This Row],[Sep_26_F]]-Table46[[#This Row],[Sep_26_A]]</f>
        <v/>
      </c>
      <c r="AN50" s="363" t="n"/>
      <c r="AO50" s="363" t="n"/>
      <c r="AP50" s="362">
        <f>Table46[[#This Row],[Oct_26_F]]-Table46[[#This Row],[Oct_26_A]]</f>
        <v/>
      </c>
      <c r="AQ50" s="363" t="n"/>
      <c r="AR50" s="363" t="n"/>
      <c r="AS50" s="362">
        <f>Table46[[#This Row],[Nov_26_F]]-Table46[[#This Row],[Nov_26_A]]</f>
        <v/>
      </c>
      <c r="AT50" s="363" t="n"/>
      <c r="AU50" s="363" t="n"/>
      <c r="AV50" s="362">
        <f>Table46[[#This Row],[Dec_26_F]]-Table46[[#This Row],[Dec_26_A]]</f>
        <v/>
      </c>
      <c r="AW50" s="346" t="n"/>
      <c r="AX50" s="363" t="n"/>
      <c r="AY50" s="363" t="n"/>
      <c r="AZ50" s="362">
        <f>Table46[[#This Row],[Jan_27_F]]-Table46[[#This Row],[Jan_27_Act]]</f>
        <v/>
      </c>
      <c r="BA50" s="363" t="n"/>
      <c r="BB50" s="363" t="n"/>
      <c r="BC50" s="362">
        <f>Table46[[#This Row],[Feb_27_F]]-Table46[[#This Row],[Feb_27_A]]</f>
        <v/>
      </c>
      <c r="BD50" s="363" t="n"/>
      <c r="BE50" s="363" t="n"/>
      <c r="BF50" s="362">
        <f>Table46[[#This Row],[Mar_27_F]]-Table46[[#This Row],[Mar_27_A]]</f>
        <v/>
      </c>
      <c r="BG50" s="363" t="n"/>
      <c r="BH50" s="363" t="n"/>
      <c r="BI50" s="362">
        <f>Table46[[#This Row],[Apr_27_F]]-Table46[[#This Row],[Apr_27_A]]</f>
        <v/>
      </c>
      <c r="BJ50" s="363" t="n"/>
      <c r="BK50" s="363" t="n"/>
      <c r="BL50" s="362">
        <f>Table46[[#This Row],[May_27_F]]-Table46[[#This Row],[May_27_A]]</f>
        <v/>
      </c>
      <c r="BM50" s="363" t="n"/>
      <c r="BN50" s="363" t="n"/>
      <c r="BO50" s="362">
        <f>Table46[[#This Row],[Jun_27_F]]-Table46[[#This Row],[Jun_27_A]]</f>
        <v/>
      </c>
      <c r="BP50" s="363" t="n"/>
      <c r="BQ50" s="363" t="n"/>
      <c r="BR50" s="362">
        <f>Table46[[#This Row],[Jul_27_F]]-Table46[[#This Row],[Jul_27_A]]</f>
        <v/>
      </c>
      <c r="BS50" s="363" t="n"/>
      <c r="BT50" s="363" t="n"/>
      <c r="BU50" s="362">
        <f>Table46[[#This Row],[Aug_27_F]]-Table46[[#This Row],[Aug_27_A]]</f>
        <v/>
      </c>
      <c r="BV50" s="363" t="n"/>
      <c r="BW50" s="363" t="n"/>
      <c r="BX50" s="362">
        <f>Table46[[#This Row],[Sep_27_F]]-Table46[[#This Row],[Sep_27_A]]</f>
        <v/>
      </c>
      <c r="BY50" s="363" t="n"/>
      <c r="BZ50" s="363" t="n"/>
      <c r="CA50" s="362">
        <f>Table46[[#This Row],[Oct_27_F]]-Table46[[#This Row],[Oct_27_A]]</f>
        <v/>
      </c>
      <c r="CB50" s="363" t="n"/>
      <c r="CC50" s="363" t="n"/>
      <c r="CD50" s="362">
        <f>Table46[[#This Row],[Nov_27_F]]-Table46[[#This Row],[Nov_27_A]]</f>
        <v/>
      </c>
      <c r="CE50" s="363" t="n"/>
      <c r="CF50" s="363" t="n"/>
      <c r="CG50" s="362">
        <f>Table46[[#This Row],[Dec_27_F]]-Table46[[#This Row],[Dec_27_A]]</f>
        <v/>
      </c>
    </row>
    <row r="51" ht="14.45" customHeight="1">
      <c r="B51" s="13" t="n"/>
      <c r="D51" s="367" t="n"/>
      <c r="F51" s="13" t="n"/>
      <c r="G51" s="13" t="n"/>
      <c r="H51" s="13" t="n"/>
      <c r="I51" s="13" t="n"/>
      <c r="J51" s="13" t="n"/>
      <c r="L51" s="346" t="n"/>
      <c r="M51" s="363" t="n"/>
      <c r="N51" s="363" t="n"/>
      <c r="O51" s="366">
        <f>Table46[[#This Row],[Jan_26_F]]-Table46[[#This Row],[Jan_26_Act]]</f>
        <v/>
      </c>
      <c r="P51" s="363" t="n"/>
      <c r="Q51" s="363" t="n"/>
      <c r="R51" s="366">
        <f>Table46[[#This Row],[Feb_26_F]]-Table46[[#This Row],[Feb_26_A]]</f>
        <v/>
      </c>
      <c r="S51" s="363" t="n"/>
      <c r="T51" s="363" t="n"/>
      <c r="U51" s="366">
        <f>Table46[[#This Row],[Mar_26_F]]-Table46[[#This Row],[Mar_26_A]]</f>
        <v/>
      </c>
      <c r="V51" s="363" t="n"/>
      <c r="W51" s="363" t="n"/>
      <c r="X51" s="366">
        <f>Table46[[#This Row],[Apr_26_F]]-Table46[[#This Row],[Apr_26_A]]</f>
        <v/>
      </c>
      <c r="Y51" s="363" t="n"/>
      <c r="Z51" s="363" t="n"/>
      <c r="AA51" s="366">
        <f>Table46[[#This Row],[May_26_F]]-Table46[[#This Row],[May_26_A]]</f>
        <v/>
      </c>
      <c r="AB51" s="363" t="n"/>
      <c r="AC51" s="363" t="n"/>
      <c r="AD51" s="366">
        <f>Table46[[#This Row],[Jun_26_F]]-Table46[[#This Row],[Jun_26_A]]</f>
        <v/>
      </c>
      <c r="AE51" s="363" t="n"/>
      <c r="AF51" s="363" t="n"/>
      <c r="AG51" s="366">
        <f>Table46[[#This Row],[Jul_26_F]]-Table46[[#This Row],[Jul_26_A]]</f>
        <v/>
      </c>
      <c r="AH51" s="363" t="n"/>
      <c r="AI51" s="363" t="n"/>
      <c r="AJ51" s="366">
        <f>Table46[[#This Row],[Aug_26_F]]-Table46[[#This Row],[Aug_26_A]]</f>
        <v/>
      </c>
      <c r="AK51" s="363" t="n"/>
      <c r="AL51" s="363" t="n"/>
      <c r="AM51" s="366">
        <f>Table46[[#This Row],[Sep_26_F]]-Table46[[#This Row],[Sep_26_A]]</f>
        <v/>
      </c>
      <c r="AN51" s="363" t="n"/>
      <c r="AO51" s="363" t="n"/>
      <c r="AP51" s="366">
        <f>Table46[[#This Row],[Oct_26_F]]-Table46[[#This Row],[Oct_26_A]]</f>
        <v/>
      </c>
      <c r="AQ51" s="363" t="n"/>
      <c r="AR51" s="363" t="n"/>
      <c r="AS51" s="366">
        <f>Table46[[#This Row],[Nov_26_F]]-Table46[[#This Row],[Nov_26_A]]</f>
        <v/>
      </c>
      <c r="AT51" s="363" t="n"/>
      <c r="AU51" s="363" t="n"/>
      <c r="AV51" s="366">
        <f>Table46[[#This Row],[Dec_26_F]]-Table46[[#This Row],[Dec_26_A]]</f>
        <v/>
      </c>
      <c r="AW51" s="346" t="n"/>
      <c r="AX51" s="363" t="n"/>
      <c r="AY51" s="363" t="n"/>
      <c r="AZ51" s="366">
        <f>Table46[[#This Row],[Jan_27_F]]-Table46[[#This Row],[Jan_27_Act]]</f>
        <v/>
      </c>
      <c r="BA51" s="363" t="n"/>
      <c r="BB51" s="363" t="n"/>
      <c r="BC51" s="366">
        <f>Table46[[#This Row],[Feb_27_F]]-Table46[[#This Row],[Feb_27_A]]</f>
        <v/>
      </c>
      <c r="BD51" s="363" t="n"/>
      <c r="BE51" s="363" t="n"/>
      <c r="BF51" s="366">
        <f>Table46[[#This Row],[Mar_27_F]]-Table46[[#This Row],[Mar_27_A]]</f>
        <v/>
      </c>
      <c r="BG51" s="363" t="n"/>
      <c r="BH51" s="363" t="n"/>
      <c r="BI51" s="366">
        <f>Table46[[#This Row],[Apr_27_F]]-Table46[[#This Row],[Apr_27_A]]</f>
        <v/>
      </c>
      <c r="BJ51" s="363" t="n"/>
      <c r="BK51" s="363" t="n"/>
      <c r="BL51" s="366">
        <f>Table46[[#This Row],[May_27_F]]-Table46[[#This Row],[May_27_A]]</f>
        <v/>
      </c>
      <c r="BM51" s="363" t="n"/>
      <c r="BN51" s="363" t="n"/>
      <c r="BO51" s="366">
        <f>Table46[[#This Row],[Jun_27_F]]-Table46[[#This Row],[Jun_27_A]]</f>
        <v/>
      </c>
      <c r="BP51" s="363" t="n"/>
      <c r="BQ51" s="363" t="n"/>
      <c r="BR51" s="366">
        <f>Table46[[#This Row],[Jul_27_F]]-Table46[[#This Row],[Jul_27_A]]</f>
        <v/>
      </c>
      <c r="BS51" s="363" t="n"/>
      <c r="BT51" s="363" t="n"/>
      <c r="BU51" s="366">
        <f>Table46[[#This Row],[Aug_27_F]]-Table46[[#This Row],[Aug_27_A]]</f>
        <v/>
      </c>
      <c r="BV51" s="363" t="n"/>
      <c r="BW51" s="363" t="n"/>
      <c r="BX51" s="366">
        <f>Table46[[#This Row],[Sep_27_F]]-Table46[[#This Row],[Sep_27_A]]</f>
        <v/>
      </c>
      <c r="BY51" s="363" t="n"/>
      <c r="BZ51" s="363" t="n"/>
      <c r="CA51" s="366">
        <f>Table46[[#This Row],[Oct_27_F]]-Table46[[#This Row],[Oct_27_A]]</f>
        <v/>
      </c>
      <c r="CB51" s="363" t="n"/>
      <c r="CC51" s="363" t="n"/>
      <c r="CD51" s="366">
        <f>Table46[[#This Row],[Nov_27_F]]-Table46[[#This Row],[Nov_27_A]]</f>
        <v/>
      </c>
      <c r="CE51" s="363" t="n"/>
      <c r="CF51" s="363" t="n"/>
      <c r="CG51" s="366">
        <f>Table46[[#This Row],[Dec_27_F]]-Table46[[#This Row],[Dec_27_A]]</f>
        <v/>
      </c>
    </row>
    <row r="52" ht="14.45" customHeight="1">
      <c r="B52" s="13" t="n"/>
      <c r="D52" s="367" t="n"/>
      <c r="F52" s="13" t="n"/>
      <c r="G52" s="13" t="n"/>
      <c r="H52" s="13" t="n"/>
      <c r="I52" s="13" t="n"/>
      <c r="J52" s="13" t="n"/>
      <c r="L52" s="346" t="n"/>
      <c r="M52" s="363" t="n"/>
      <c r="N52" s="363" t="n"/>
      <c r="O52" s="362">
        <f>Table46[[#This Row],[Jan_26_F]]-Table46[[#This Row],[Jan_26_Act]]</f>
        <v/>
      </c>
      <c r="P52" s="363" t="n"/>
      <c r="Q52" s="363" t="n"/>
      <c r="R52" s="362">
        <f>Table46[[#This Row],[Feb_26_F]]-Table46[[#This Row],[Feb_26_A]]</f>
        <v/>
      </c>
      <c r="S52" s="363" t="n"/>
      <c r="T52" s="363" t="n"/>
      <c r="U52" s="362">
        <f>Table46[[#This Row],[Mar_26_F]]-Table46[[#This Row],[Mar_26_A]]</f>
        <v/>
      </c>
      <c r="V52" s="363" t="n"/>
      <c r="W52" s="363" t="n"/>
      <c r="X52" s="362">
        <f>Table46[[#This Row],[Apr_26_F]]-Table46[[#This Row],[Apr_26_A]]</f>
        <v/>
      </c>
      <c r="Y52" s="363" t="n"/>
      <c r="Z52" s="363" t="n"/>
      <c r="AA52" s="362">
        <f>Table46[[#This Row],[May_26_F]]-Table46[[#This Row],[May_26_A]]</f>
        <v/>
      </c>
      <c r="AB52" s="363" t="n"/>
      <c r="AC52" s="363" t="n"/>
      <c r="AD52" s="362">
        <f>Table46[[#This Row],[Jun_26_F]]-Table46[[#This Row],[Jun_26_A]]</f>
        <v/>
      </c>
      <c r="AE52" s="363" t="n"/>
      <c r="AF52" s="363" t="n"/>
      <c r="AG52" s="362">
        <f>Table46[[#This Row],[Jul_26_F]]-Table46[[#This Row],[Jul_26_A]]</f>
        <v/>
      </c>
      <c r="AH52" s="363" t="n"/>
      <c r="AI52" s="363" t="n"/>
      <c r="AJ52" s="362">
        <f>Table46[[#This Row],[Aug_26_F]]-Table46[[#This Row],[Aug_26_A]]</f>
        <v/>
      </c>
      <c r="AK52" s="363" t="n"/>
      <c r="AL52" s="363" t="n"/>
      <c r="AM52" s="362">
        <f>Table46[[#This Row],[Sep_26_F]]-Table46[[#This Row],[Sep_26_A]]</f>
        <v/>
      </c>
      <c r="AN52" s="363" t="n"/>
      <c r="AO52" s="363" t="n"/>
      <c r="AP52" s="362">
        <f>Table46[[#This Row],[Oct_26_F]]-Table46[[#This Row],[Oct_26_A]]</f>
        <v/>
      </c>
      <c r="AQ52" s="363" t="n"/>
      <c r="AR52" s="363" t="n"/>
      <c r="AS52" s="362">
        <f>Table46[[#This Row],[Nov_26_F]]-Table46[[#This Row],[Nov_26_A]]</f>
        <v/>
      </c>
      <c r="AT52" s="363" t="n"/>
      <c r="AU52" s="363" t="n"/>
      <c r="AV52" s="362">
        <f>Table46[[#This Row],[Dec_26_F]]-Table46[[#This Row],[Dec_26_A]]</f>
        <v/>
      </c>
      <c r="AW52" s="346" t="n"/>
      <c r="AX52" s="363" t="n"/>
      <c r="AY52" s="363" t="n"/>
      <c r="AZ52" s="362">
        <f>Table46[[#This Row],[Jan_27_F]]-Table46[[#This Row],[Jan_27_Act]]</f>
        <v/>
      </c>
      <c r="BA52" s="363" t="n"/>
      <c r="BB52" s="363" t="n"/>
      <c r="BC52" s="362">
        <f>Table46[[#This Row],[Feb_27_F]]-Table46[[#This Row],[Feb_27_A]]</f>
        <v/>
      </c>
      <c r="BD52" s="363" t="n"/>
      <c r="BE52" s="363" t="n"/>
      <c r="BF52" s="362">
        <f>Table46[[#This Row],[Mar_27_F]]-Table46[[#This Row],[Mar_27_A]]</f>
        <v/>
      </c>
      <c r="BG52" s="363" t="n"/>
      <c r="BH52" s="363" t="n"/>
      <c r="BI52" s="362">
        <f>Table46[[#This Row],[Apr_27_F]]-Table46[[#This Row],[Apr_27_A]]</f>
        <v/>
      </c>
      <c r="BJ52" s="363" t="n"/>
      <c r="BK52" s="363" t="n"/>
      <c r="BL52" s="362">
        <f>Table46[[#This Row],[May_27_F]]-Table46[[#This Row],[May_27_A]]</f>
        <v/>
      </c>
      <c r="BM52" s="363" t="n"/>
      <c r="BN52" s="363" t="n"/>
      <c r="BO52" s="362">
        <f>Table46[[#This Row],[Jun_27_F]]-Table46[[#This Row],[Jun_27_A]]</f>
        <v/>
      </c>
      <c r="BP52" s="363" t="n"/>
      <c r="BQ52" s="363" t="n"/>
      <c r="BR52" s="362">
        <f>Table46[[#This Row],[Jul_27_F]]-Table46[[#This Row],[Jul_27_A]]</f>
        <v/>
      </c>
      <c r="BS52" s="363" t="n"/>
      <c r="BT52" s="363" t="n"/>
      <c r="BU52" s="362">
        <f>Table46[[#This Row],[Aug_27_F]]-Table46[[#This Row],[Aug_27_A]]</f>
        <v/>
      </c>
      <c r="BV52" s="363" t="n"/>
      <c r="BW52" s="363" t="n"/>
      <c r="BX52" s="362">
        <f>Table46[[#This Row],[Sep_27_F]]-Table46[[#This Row],[Sep_27_A]]</f>
        <v/>
      </c>
      <c r="BY52" s="363" t="n"/>
      <c r="BZ52" s="363" t="n"/>
      <c r="CA52" s="362">
        <f>Table46[[#This Row],[Oct_27_F]]-Table46[[#This Row],[Oct_27_A]]</f>
        <v/>
      </c>
      <c r="CB52" s="363" t="n"/>
      <c r="CC52" s="363" t="n"/>
      <c r="CD52" s="362">
        <f>Table46[[#This Row],[Nov_27_F]]-Table46[[#This Row],[Nov_27_A]]</f>
        <v/>
      </c>
      <c r="CE52" s="363" t="n"/>
      <c r="CF52" s="363" t="n"/>
      <c r="CG52" s="362">
        <f>Table46[[#This Row],[Dec_27_F]]-Table46[[#This Row],[Dec_27_A]]</f>
        <v/>
      </c>
    </row>
    <row r="53" ht="14.45" customHeight="1">
      <c r="B53" s="13" t="n"/>
      <c r="D53" s="367" t="n"/>
      <c r="F53" s="13" t="n"/>
      <c r="G53" s="13" t="n"/>
      <c r="H53" s="13" t="n"/>
      <c r="I53" s="13" t="n"/>
      <c r="J53" s="13" t="n"/>
      <c r="L53" s="346" t="n"/>
      <c r="M53" s="363" t="n"/>
      <c r="N53" s="363" t="n"/>
      <c r="O53" s="366">
        <f>Table46[[#This Row],[Jan_26_F]]-Table46[[#This Row],[Jan_26_Act]]</f>
        <v/>
      </c>
      <c r="P53" s="363" t="n"/>
      <c r="Q53" s="363" t="n"/>
      <c r="R53" s="366">
        <f>Table46[[#This Row],[Feb_26_F]]-Table46[[#This Row],[Feb_26_A]]</f>
        <v/>
      </c>
      <c r="S53" s="363" t="n"/>
      <c r="T53" s="363" t="n"/>
      <c r="U53" s="366">
        <f>Table46[[#This Row],[Mar_26_F]]-Table46[[#This Row],[Mar_26_A]]</f>
        <v/>
      </c>
      <c r="V53" s="363" t="n"/>
      <c r="W53" s="363" t="n"/>
      <c r="X53" s="366">
        <f>Table46[[#This Row],[Apr_26_F]]-Table46[[#This Row],[Apr_26_A]]</f>
        <v/>
      </c>
      <c r="Y53" s="363" t="n"/>
      <c r="Z53" s="363" t="n"/>
      <c r="AA53" s="366">
        <f>Table46[[#This Row],[May_26_F]]-Table46[[#This Row],[May_26_A]]</f>
        <v/>
      </c>
      <c r="AB53" s="363" t="n"/>
      <c r="AC53" s="363" t="n"/>
      <c r="AD53" s="366">
        <f>Table46[[#This Row],[Jun_26_F]]-Table46[[#This Row],[Jun_26_A]]</f>
        <v/>
      </c>
      <c r="AE53" s="363" t="n"/>
      <c r="AF53" s="363" t="n"/>
      <c r="AG53" s="366">
        <f>Table46[[#This Row],[Jul_26_F]]-Table46[[#This Row],[Jul_26_A]]</f>
        <v/>
      </c>
      <c r="AH53" s="363" t="n"/>
      <c r="AI53" s="363" t="n"/>
      <c r="AJ53" s="366">
        <f>Table46[[#This Row],[Aug_26_F]]-Table46[[#This Row],[Aug_26_A]]</f>
        <v/>
      </c>
      <c r="AK53" s="363" t="n"/>
      <c r="AL53" s="363" t="n"/>
      <c r="AM53" s="366">
        <f>Table46[[#This Row],[Sep_26_F]]-Table46[[#This Row],[Sep_26_A]]</f>
        <v/>
      </c>
      <c r="AN53" s="363" t="n"/>
      <c r="AO53" s="363" t="n"/>
      <c r="AP53" s="366">
        <f>Table46[[#This Row],[Oct_26_F]]-Table46[[#This Row],[Oct_26_A]]</f>
        <v/>
      </c>
      <c r="AQ53" s="363" t="n"/>
      <c r="AR53" s="363" t="n"/>
      <c r="AS53" s="366">
        <f>Table46[[#This Row],[Nov_26_F]]-Table46[[#This Row],[Nov_26_A]]</f>
        <v/>
      </c>
      <c r="AT53" s="363" t="n"/>
      <c r="AU53" s="363" t="n"/>
      <c r="AV53" s="366">
        <f>Table46[[#This Row],[Dec_26_F]]-Table46[[#This Row],[Dec_26_A]]</f>
        <v/>
      </c>
      <c r="AW53" s="346" t="n"/>
      <c r="AX53" s="363" t="n"/>
      <c r="AY53" s="363" t="n"/>
      <c r="AZ53" s="366">
        <f>Table46[[#This Row],[Jan_27_F]]-Table46[[#This Row],[Jan_27_Act]]</f>
        <v/>
      </c>
      <c r="BA53" s="363" t="n"/>
      <c r="BB53" s="363" t="n"/>
      <c r="BC53" s="366">
        <f>Table46[[#This Row],[Feb_27_F]]-Table46[[#This Row],[Feb_27_A]]</f>
        <v/>
      </c>
      <c r="BD53" s="363" t="n"/>
      <c r="BE53" s="363" t="n"/>
      <c r="BF53" s="366">
        <f>Table46[[#This Row],[Mar_27_F]]-Table46[[#This Row],[Mar_27_A]]</f>
        <v/>
      </c>
      <c r="BG53" s="363" t="n"/>
      <c r="BH53" s="363" t="n"/>
      <c r="BI53" s="366">
        <f>Table46[[#This Row],[Apr_27_F]]-Table46[[#This Row],[Apr_27_A]]</f>
        <v/>
      </c>
      <c r="BJ53" s="363" t="n"/>
      <c r="BK53" s="363" t="n"/>
      <c r="BL53" s="366">
        <f>Table46[[#This Row],[May_27_F]]-Table46[[#This Row],[May_27_A]]</f>
        <v/>
      </c>
      <c r="BM53" s="363" t="n"/>
      <c r="BN53" s="363" t="n"/>
      <c r="BO53" s="366">
        <f>Table46[[#This Row],[Jun_27_F]]-Table46[[#This Row],[Jun_27_A]]</f>
        <v/>
      </c>
      <c r="BP53" s="363" t="n"/>
      <c r="BQ53" s="363" t="n"/>
      <c r="BR53" s="366">
        <f>Table46[[#This Row],[Jul_27_F]]-Table46[[#This Row],[Jul_27_A]]</f>
        <v/>
      </c>
      <c r="BS53" s="363" t="n"/>
      <c r="BT53" s="363" t="n"/>
      <c r="BU53" s="366">
        <f>Table46[[#This Row],[Aug_27_F]]-Table46[[#This Row],[Aug_27_A]]</f>
        <v/>
      </c>
      <c r="BV53" s="363" t="n"/>
      <c r="BW53" s="363" t="n"/>
      <c r="BX53" s="366">
        <f>Table46[[#This Row],[Sep_27_F]]-Table46[[#This Row],[Sep_27_A]]</f>
        <v/>
      </c>
      <c r="BY53" s="363" t="n"/>
      <c r="BZ53" s="363" t="n"/>
      <c r="CA53" s="366">
        <f>Table46[[#This Row],[Oct_27_F]]-Table46[[#This Row],[Oct_27_A]]</f>
        <v/>
      </c>
      <c r="CB53" s="363" t="n"/>
      <c r="CC53" s="363" t="n"/>
      <c r="CD53" s="366">
        <f>Table46[[#This Row],[Nov_27_F]]-Table46[[#This Row],[Nov_27_A]]</f>
        <v/>
      </c>
      <c r="CE53" s="363" t="n"/>
      <c r="CF53" s="363" t="n"/>
      <c r="CG53" s="366">
        <f>Table46[[#This Row],[Dec_27_F]]-Table46[[#This Row],[Dec_27_A]]</f>
        <v/>
      </c>
    </row>
    <row r="54" ht="14.45" customHeight="1">
      <c r="B54" s="13" t="n"/>
      <c r="D54" s="367" t="n"/>
      <c r="F54" s="13" t="n"/>
      <c r="G54" s="13" t="n"/>
      <c r="H54" s="13" t="n"/>
      <c r="I54" s="13" t="n"/>
      <c r="J54" s="13" t="n"/>
      <c r="L54" s="346" t="n"/>
      <c r="M54" s="363" t="n"/>
      <c r="N54" s="363" t="n"/>
      <c r="O54" s="362">
        <f>Table46[[#This Row],[Jan_26_F]]-Table46[[#This Row],[Jan_26_Act]]</f>
        <v/>
      </c>
      <c r="P54" s="363" t="n"/>
      <c r="Q54" s="363" t="n"/>
      <c r="R54" s="362">
        <f>Table46[[#This Row],[Feb_26_F]]-Table46[[#This Row],[Feb_26_A]]</f>
        <v/>
      </c>
      <c r="S54" s="363" t="n"/>
      <c r="T54" s="363" t="n"/>
      <c r="U54" s="362">
        <f>Table46[[#This Row],[Mar_26_F]]-Table46[[#This Row],[Mar_26_A]]</f>
        <v/>
      </c>
      <c r="V54" s="363" t="n"/>
      <c r="W54" s="363" t="n"/>
      <c r="X54" s="362">
        <f>Table46[[#This Row],[Apr_26_F]]-Table46[[#This Row],[Apr_26_A]]</f>
        <v/>
      </c>
      <c r="Y54" s="363" t="n"/>
      <c r="Z54" s="363" t="n"/>
      <c r="AA54" s="362">
        <f>Table46[[#This Row],[May_26_F]]-Table46[[#This Row],[May_26_A]]</f>
        <v/>
      </c>
      <c r="AB54" s="363" t="n"/>
      <c r="AC54" s="363" t="n"/>
      <c r="AD54" s="362">
        <f>Table46[[#This Row],[Jun_26_F]]-Table46[[#This Row],[Jun_26_A]]</f>
        <v/>
      </c>
      <c r="AE54" s="363" t="n"/>
      <c r="AF54" s="363" t="n"/>
      <c r="AG54" s="362">
        <f>Table46[[#This Row],[Jul_26_F]]-Table46[[#This Row],[Jul_26_A]]</f>
        <v/>
      </c>
      <c r="AH54" s="363" t="n"/>
      <c r="AI54" s="363" t="n"/>
      <c r="AJ54" s="362">
        <f>Table46[[#This Row],[Aug_26_F]]-Table46[[#This Row],[Aug_26_A]]</f>
        <v/>
      </c>
      <c r="AK54" s="363" t="n"/>
      <c r="AL54" s="363" t="n"/>
      <c r="AM54" s="362">
        <f>Table46[[#This Row],[Sep_26_F]]-Table46[[#This Row],[Sep_26_A]]</f>
        <v/>
      </c>
      <c r="AN54" s="363" t="n"/>
      <c r="AO54" s="363" t="n"/>
      <c r="AP54" s="362">
        <f>Table46[[#This Row],[Oct_26_F]]-Table46[[#This Row],[Oct_26_A]]</f>
        <v/>
      </c>
      <c r="AQ54" s="363" t="n"/>
      <c r="AR54" s="363" t="n"/>
      <c r="AS54" s="362">
        <f>Table46[[#This Row],[Nov_26_F]]-Table46[[#This Row],[Nov_26_A]]</f>
        <v/>
      </c>
      <c r="AT54" s="363" t="n"/>
      <c r="AU54" s="363" t="n"/>
      <c r="AV54" s="362">
        <f>Table46[[#This Row],[Dec_26_F]]-Table46[[#This Row],[Dec_26_A]]</f>
        <v/>
      </c>
      <c r="AW54" s="346" t="n"/>
      <c r="AX54" s="363" t="n"/>
      <c r="AY54" s="363" t="n"/>
      <c r="AZ54" s="362">
        <f>Table46[[#This Row],[Jan_27_F]]-Table46[[#This Row],[Jan_27_Act]]</f>
        <v/>
      </c>
      <c r="BA54" s="363" t="n"/>
      <c r="BB54" s="363" t="n"/>
      <c r="BC54" s="362">
        <f>Table46[[#This Row],[Feb_27_F]]-Table46[[#This Row],[Feb_27_A]]</f>
        <v/>
      </c>
      <c r="BD54" s="363" t="n"/>
      <c r="BE54" s="363" t="n"/>
      <c r="BF54" s="362">
        <f>Table46[[#This Row],[Mar_27_F]]-Table46[[#This Row],[Mar_27_A]]</f>
        <v/>
      </c>
      <c r="BG54" s="363" t="n"/>
      <c r="BH54" s="363" t="n"/>
      <c r="BI54" s="362">
        <f>Table46[[#This Row],[Apr_27_F]]-Table46[[#This Row],[Apr_27_A]]</f>
        <v/>
      </c>
      <c r="BJ54" s="363" t="n"/>
      <c r="BK54" s="363" t="n"/>
      <c r="BL54" s="362">
        <f>Table46[[#This Row],[May_27_F]]-Table46[[#This Row],[May_27_A]]</f>
        <v/>
      </c>
      <c r="BM54" s="363" t="n"/>
      <c r="BN54" s="363" t="n"/>
      <c r="BO54" s="362">
        <f>Table46[[#This Row],[Jun_27_F]]-Table46[[#This Row],[Jun_27_A]]</f>
        <v/>
      </c>
      <c r="BP54" s="363" t="n"/>
      <c r="BQ54" s="363" t="n"/>
      <c r="BR54" s="362">
        <f>Table46[[#This Row],[Jul_27_F]]-Table46[[#This Row],[Jul_27_A]]</f>
        <v/>
      </c>
      <c r="BS54" s="363" t="n"/>
      <c r="BT54" s="363" t="n"/>
      <c r="BU54" s="362">
        <f>Table46[[#This Row],[Aug_27_F]]-Table46[[#This Row],[Aug_27_A]]</f>
        <v/>
      </c>
      <c r="BV54" s="363" t="n"/>
      <c r="BW54" s="363" t="n"/>
      <c r="BX54" s="362">
        <f>Table46[[#This Row],[Sep_27_F]]-Table46[[#This Row],[Sep_27_A]]</f>
        <v/>
      </c>
      <c r="BY54" s="363" t="n"/>
      <c r="BZ54" s="363" t="n"/>
      <c r="CA54" s="362">
        <f>Table46[[#This Row],[Oct_27_F]]-Table46[[#This Row],[Oct_27_A]]</f>
        <v/>
      </c>
      <c r="CB54" s="363" t="n"/>
      <c r="CC54" s="363" t="n"/>
      <c r="CD54" s="362">
        <f>Table46[[#This Row],[Nov_27_F]]-Table46[[#This Row],[Nov_27_A]]</f>
        <v/>
      </c>
      <c r="CE54" s="363" t="n"/>
      <c r="CF54" s="363" t="n"/>
      <c r="CG54" s="362">
        <f>Table46[[#This Row],[Dec_27_F]]-Table46[[#This Row],[Dec_27_A]]</f>
        <v/>
      </c>
    </row>
    <row r="55" ht="14.45" customHeight="1">
      <c r="B55" s="13" t="n"/>
      <c r="D55" s="367" t="n"/>
      <c r="F55" s="13" t="n"/>
      <c r="G55" s="13" t="n"/>
      <c r="H55" s="13" t="n"/>
      <c r="I55" s="13" t="n"/>
      <c r="J55" s="13" t="n"/>
      <c r="K55" s="87" t="n"/>
      <c r="L55" s="368" t="n"/>
      <c r="M55" s="363" t="n"/>
      <c r="N55" s="363" t="n"/>
      <c r="O55" s="366">
        <f>Table46[[#This Row],[Jan_26_F]]-Table46[[#This Row],[Jan_26_Act]]</f>
        <v/>
      </c>
      <c r="P55" s="363" t="n"/>
      <c r="Q55" s="363" t="n"/>
      <c r="R55" s="366">
        <f>Table46[[#This Row],[Feb_26_F]]-Table46[[#This Row],[Feb_26_A]]</f>
        <v/>
      </c>
      <c r="S55" s="363" t="n"/>
      <c r="T55" s="363" t="n"/>
      <c r="U55" s="366">
        <f>Table46[[#This Row],[Mar_26_F]]-Table46[[#This Row],[Mar_26_A]]</f>
        <v/>
      </c>
      <c r="V55" s="363" t="n"/>
      <c r="W55" s="363" t="n"/>
      <c r="X55" s="366">
        <f>Table46[[#This Row],[Apr_26_F]]-Table46[[#This Row],[Apr_26_A]]</f>
        <v/>
      </c>
      <c r="Y55" s="363" t="n"/>
      <c r="Z55" s="363" t="n"/>
      <c r="AA55" s="366">
        <f>Table46[[#This Row],[May_26_F]]-Table46[[#This Row],[May_26_A]]</f>
        <v/>
      </c>
      <c r="AB55" s="363" t="n"/>
      <c r="AC55" s="363" t="n"/>
      <c r="AD55" s="366">
        <f>Table46[[#This Row],[Jun_26_F]]-Table46[[#This Row],[Jun_26_A]]</f>
        <v/>
      </c>
      <c r="AE55" s="363" t="n"/>
      <c r="AF55" s="363" t="n"/>
      <c r="AG55" s="366">
        <f>Table46[[#This Row],[Jul_26_F]]-Table46[[#This Row],[Jul_26_A]]</f>
        <v/>
      </c>
      <c r="AH55" s="363" t="n"/>
      <c r="AI55" s="363" t="n"/>
      <c r="AJ55" s="366">
        <f>Table46[[#This Row],[Aug_26_F]]-Table46[[#This Row],[Aug_26_A]]</f>
        <v/>
      </c>
      <c r="AK55" s="363" t="n"/>
      <c r="AL55" s="363" t="n"/>
      <c r="AM55" s="366">
        <f>Table46[[#This Row],[Sep_26_F]]-Table46[[#This Row],[Sep_26_A]]</f>
        <v/>
      </c>
      <c r="AN55" s="363" t="n"/>
      <c r="AO55" s="363" t="n"/>
      <c r="AP55" s="366">
        <f>Table46[[#This Row],[Oct_26_F]]-Table46[[#This Row],[Oct_26_A]]</f>
        <v/>
      </c>
      <c r="AQ55" s="363" t="n"/>
      <c r="AR55" s="363" t="n"/>
      <c r="AS55" s="366">
        <f>Table46[[#This Row],[Nov_26_F]]-Table46[[#This Row],[Nov_26_A]]</f>
        <v/>
      </c>
      <c r="AT55" s="363" t="n"/>
      <c r="AU55" s="363" t="n"/>
      <c r="AV55" s="366">
        <f>Table46[[#This Row],[Dec_26_F]]-Table46[[#This Row],[Dec_26_A]]</f>
        <v/>
      </c>
      <c r="AW55" s="368" t="n"/>
      <c r="AX55" s="363" t="n"/>
      <c r="AY55" s="363" t="n"/>
      <c r="AZ55" s="366">
        <f>Table46[[#This Row],[Jan_27_F]]-Table46[[#This Row],[Jan_27_Act]]</f>
        <v/>
      </c>
      <c r="BA55" s="363" t="n"/>
      <c r="BB55" s="363" t="n"/>
      <c r="BC55" s="366">
        <f>Table46[[#This Row],[Feb_27_F]]-Table46[[#This Row],[Feb_27_A]]</f>
        <v/>
      </c>
      <c r="BD55" s="363" t="n"/>
      <c r="BE55" s="363" t="n"/>
      <c r="BF55" s="366">
        <f>Table46[[#This Row],[Mar_27_F]]-Table46[[#This Row],[Mar_27_A]]</f>
        <v/>
      </c>
      <c r="BG55" s="363" t="n"/>
      <c r="BH55" s="363" t="n"/>
      <c r="BI55" s="366">
        <f>Table46[[#This Row],[Apr_27_F]]-Table46[[#This Row],[Apr_27_A]]</f>
        <v/>
      </c>
      <c r="BJ55" s="363" t="n"/>
      <c r="BK55" s="363" t="n"/>
      <c r="BL55" s="366">
        <f>Table46[[#This Row],[May_27_F]]-Table46[[#This Row],[May_27_A]]</f>
        <v/>
      </c>
      <c r="BM55" s="363" t="n"/>
      <c r="BN55" s="363" t="n"/>
      <c r="BO55" s="366">
        <f>Table46[[#This Row],[Jun_27_F]]-Table46[[#This Row],[Jun_27_A]]</f>
        <v/>
      </c>
      <c r="BP55" s="363" t="n"/>
      <c r="BQ55" s="363" t="n"/>
      <c r="BR55" s="366">
        <f>Table46[[#This Row],[Jul_27_F]]-Table46[[#This Row],[Jul_27_A]]</f>
        <v/>
      </c>
      <c r="BS55" s="363" t="n"/>
      <c r="BT55" s="363" t="n"/>
      <c r="BU55" s="366">
        <f>Table46[[#This Row],[Aug_27_F]]-Table46[[#This Row],[Aug_27_A]]</f>
        <v/>
      </c>
      <c r="BV55" s="363" t="n"/>
      <c r="BW55" s="363" t="n"/>
      <c r="BX55" s="366">
        <f>Table46[[#This Row],[Sep_27_F]]-Table46[[#This Row],[Sep_27_A]]</f>
        <v/>
      </c>
      <c r="BY55" s="363" t="n"/>
      <c r="BZ55" s="363" t="n"/>
      <c r="CA55" s="366">
        <f>Table46[[#This Row],[Oct_27_F]]-Table46[[#This Row],[Oct_27_A]]</f>
        <v/>
      </c>
      <c r="CB55" s="363" t="n"/>
      <c r="CC55" s="363" t="n"/>
      <c r="CD55" s="366">
        <f>Table46[[#This Row],[Nov_27_F]]-Table46[[#This Row],[Nov_27_A]]</f>
        <v/>
      </c>
      <c r="CE55" s="363" t="n"/>
      <c r="CF55" s="363" t="n"/>
      <c r="CG55" s="366">
        <f>Table46[[#This Row],[Dec_27_F]]-Table46[[#This Row],[Dec_27_A]]</f>
        <v/>
      </c>
    </row>
    <row r="56" ht="14.45" customHeight="1">
      <c r="B56" s="13" t="n"/>
      <c r="D56" s="367" t="n"/>
      <c r="F56" s="13" t="n"/>
      <c r="G56" s="13" t="n"/>
      <c r="H56" s="13" t="n"/>
      <c r="I56" s="13" t="n"/>
      <c r="J56" s="13" t="n"/>
      <c r="K56" s="87" t="n"/>
      <c r="L56" s="368" t="n"/>
      <c r="M56" s="363" t="n"/>
      <c r="N56" s="363" t="n"/>
      <c r="O56" s="362">
        <f>Table46[[#This Row],[Jan_26_F]]-Table46[[#This Row],[Jan_26_Act]]</f>
        <v/>
      </c>
      <c r="P56" s="363" t="n"/>
      <c r="Q56" s="363" t="n"/>
      <c r="R56" s="362">
        <f>Table46[[#This Row],[Feb_26_F]]-Table46[[#This Row],[Feb_26_A]]</f>
        <v/>
      </c>
      <c r="S56" s="363" t="n"/>
      <c r="T56" s="363" t="n"/>
      <c r="U56" s="362">
        <f>Table46[[#This Row],[Mar_26_F]]-Table46[[#This Row],[Mar_26_A]]</f>
        <v/>
      </c>
      <c r="V56" s="363" t="n"/>
      <c r="W56" s="363" t="n"/>
      <c r="X56" s="362">
        <f>Table46[[#This Row],[Apr_26_F]]-Table46[[#This Row],[Apr_26_A]]</f>
        <v/>
      </c>
      <c r="Y56" s="363" t="n"/>
      <c r="Z56" s="363" t="n"/>
      <c r="AA56" s="362">
        <f>Table46[[#This Row],[May_26_F]]-Table46[[#This Row],[May_26_A]]</f>
        <v/>
      </c>
      <c r="AB56" s="363" t="n"/>
      <c r="AC56" s="363" t="n"/>
      <c r="AD56" s="362">
        <f>Table46[[#This Row],[Jun_26_F]]-Table46[[#This Row],[Jun_26_A]]</f>
        <v/>
      </c>
      <c r="AE56" s="363" t="n"/>
      <c r="AF56" s="363" t="n"/>
      <c r="AG56" s="362">
        <f>Table46[[#This Row],[Jul_26_F]]-Table46[[#This Row],[Jul_26_A]]</f>
        <v/>
      </c>
      <c r="AH56" s="363" t="n"/>
      <c r="AI56" s="363" t="n"/>
      <c r="AJ56" s="362">
        <f>Table46[[#This Row],[Aug_26_F]]-Table46[[#This Row],[Aug_26_A]]</f>
        <v/>
      </c>
      <c r="AK56" s="363" t="n"/>
      <c r="AL56" s="363" t="n"/>
      <c r="AM56" s="362">
        <f>Table46[[#This Row],[Sep_26_F]]-Table46[[#This Row],[Sep_26_A]]</f>
        <v/>
      </c>
      <c r="AN56" s="363" t="n"/>
      <c r="AO56" s="363" t="n"/>
      <c r="AP56" s="362">
        <f>Table46[[#This Row],[Oct_26_F]]-Table46[[#This Row],[Oct_26_A]]</f>
        <v/>
      </c>
      <c r="AQ56" s="363" t="n"/>
      <c r="AR56" s="363" t="n"/>
      <c r="AS56" s="362">
        <f>Table46[[#This Row],[Nov_26_F]]-Table46[[#This Row],[Nov_26_A]]</f>
        <v/>
      </c>
      <c r="AT56" s="363" t="n"/>
      <c r="AU56" s="363" t="n"/>
      <c r="AV56" s="362">
        <f>Table46[[#This Row],[Dec_26_F]]-Table46[[#This Row],[Dec_26_A]]</f>
        <v/>
      </c>
      <c r="AW56" s="368" t="n"/>
      <c r="AX56" s="363" t="n"/>
      <c r="AY56" s="363" t="n"/>
      <c r="AZ56" s="362">
        <f>Table46[[#This Row],[Jan_27_F]]-Table46[[#This Row],[Jan_27_Act]]</f>
        <v/>
      </c>
      <c r="BA56" s="363" t="n"/>
      <c r="BB56" s="363" t="n"/>
      <c r="BC56" s="362">
        <f>Table46[[#This Row],[Feb_27_F]]-Table46[[#This Row],[Feb_27_A]]</f>
        <v/>
      </c>
      <c r="BD56" s="363" t="n"/>
      <c r="BE56" s="363" t="n"/>
      <c r="BF56" s="362">
        <f>Table46[[#This Row],[Mar_27_F]]-Table46[[#This Row],[Mar_27_A]]</f>
        <v/>
      </c>
      <c r="BG56" s="363" t="n"/>
      <c r="BH56" s="363" t="n"/>
      <c r="BI56" s="362">
        <f>Table46[[#This Row],[Apr_27_F]]-Table46[[#This Row],[Apr_27_A]]</f>
        <v/>
      </c>
      <c r="BJ56" s="363" t="n"/>
      <c r="BK56" s="363" t="n"/>
      <c r="BL56" s="362">
        <f>Table46[[#This Row],[May_27_F]]-Table46[[#This Row],[May_27_A]]</f>
        <v/>
      </c>
      <c r="BM56" s="363" t="n"/>
      <c r="BN56" s="363" t="n"/>
      <c r="BO56" s="362">
        <f>Table46[[#This Row],[Jun_27_F]]-Table46[[#This Row],[Jun_27_A]]</f>
        <v/>
      </c>
      <c r="BP56" s="363" t="n"/>
      <c r="BQ56" s="363" t="n"/>
      <c r="BR56" s="362">
        <f>Table46[[#This Row],[Jul_27_F]]-Table46[[#This Row],[Jul_27_A]]</f>
        <v/>
      </c>
      <c r="BS56" s="363" t="n"/>
      <c r="BT56" s="363" t="n"/>
      <c r="BU56" s="362">
        <f>Table46[[#This Row],[Aug_27_F]]-Table46[[#This Row],[Aug_27_A]]</f>
        <v/>
      </c>
      <c r="BV56" s="363" t="n"/>
      <c r="BW56" s="363" t="n"/>
      <c r="BX56" s="362">
        <f>Table46[[#This Row],[Sep_27_F]]-Table46[[#This Row],[Sep_27_A]]</f>
        <v/>
      </c>
      <c r="BY56" s="363" t="n"/>
      <c r="BZ56" s="363" t="n"/>
      <c r="CA56" s="362">
        <f>Table46[[#This Row],[Oct_27_F]]-Table46[[#This Row],[Oct_27_A]]</f>
        <v/>
      </c>
      <c r="CB56" s="363" t="n"/>
      <c r="CC56" s="363" t="n"/>
      <c r="CD56" s="362">
        <f>Table46[[#This Row],[Nov_27_F]]-Table46[[#This Row],[Nov_27_A]]</f>
        <v/>
      </c>
      <c r="CE56" s="363" t="n"/>
      <c r="CF56" s="363" t="n"/>
      <c r="CG56" s="362">
        <f>Table46[[#This Row],[Dec_27_F]]-Table46[[#This Row],[Dec_27_A]]</f>
        <v/>
      </c>
    </row>
    <row r="57" ht="14.45" customHeight="1">
      <c r="B57" s="13" t="n"/>
      <c r="D57" s="367" t="n"/>
      <c r="F57" s="13" t="n"/>
      <c r="G57" s="13" t="n"/>
      <c r="H57" s="13" t="n"/>
      <c r="I57" s="13" t="n"/>
      <c r="J57" s="13" t="n"/>
      <c r="K57" s="87" t="n"/>
      <c r="L57" s="368" t="n"/>
      <c r="M57" s="363" t="n"/>
      <c r="N57" s="363" t="n"/>
      <c r="O57" s="366">
        <f>Table46[[#This Row],[Jan_26_F]]-Table46[[#This Row],[Jan_26_Act]]</f>
        <v/>
      </c>
      <c r="P57" s="363" t="n"/>
      <c r="Q57" s="363" t="n"/>
      <c r="R57" s="366">
        <f>Table46[[#This Row],[Feb_26_F]]-Table46[[#This Row],[Feb_26_A]]</f>
        <v/>
      </c>
      <c r="S57" s="363" t="n"/>
      <c r="T57" s="363" t="n"/>
      <c r="U57" s="366">
        <f>Table46[[#This Row],[Mar_26_F]]-Table46[[#This Row],[Mar_26_A]]</f>
        <v/>
      </c>
      <c r="V57" s="363" t="n"/>
      <c r="W57" s="363" t="n"/>
      <c r="X57" s="366">
        <f>Table46[[#This Row],[Apr_26_F]]-Table46[[#This Row],[Apr_26_A]]</f>
        <v/>
      </c>
      <c r="Y57" s="363" t="n"/>
      <c r="Z57" s="363" t="n"/>
      <c r="AA57" s="366">
        <f>Table46[[#This Row],[May_26_F]]-Table46[[#This Row],[May_26_A]]</f>
        <v/>
      </c>
      <c r="AB57" s="363" t="n"/>
      <c r="AC57" s="363" t="n"/>
      <c r="AD57" s="366">
        <f>Table46[[#This Row],[Jun_26_F]]-Table46[[#This Row],[Jun_26_A]]</f>
        <v/>
      </c>
      <c r="AE57" s="363" t="n"/>
      <c r="AF57" s="363" t="n"/>
      <c r="AG57" s="366">
        <f>Table46[[#This Row],[Jul_26_F]]-Table46[[#This Row],[Jul_26_A]]</f>
        <v/>
      </c>
      <c r="AH57" s="363" t="n"/>
      <c r="AI57" s="363" t="n"/>
      <c r="AJ57" s="366">
        <f>Table46[[#This Row],[Aug_26_F]]-Table46[[#This Row],[Aug_26_A]]</f>
        <v/>
      </c>
      <c r="AK57" s="363" t="n"/>
      <c r="AL57" s="363" t="n"/>
      <c r="AM57" s="366">
        <f>Table46[[#This Row],[Sep_26_F]]-Table46[[#This Row],[Sep_26_A]]</f>
        <v/>
      </c>
      <c r="AN57" s="363" t="n"/>
      <c r="AO57" s="363" t="n"/>
      <c r="AP57" s="366">
        <f>Table46[[#This Row],[Oct_26_F]]-Table46[[#This Row],[Oct_26_A]]</f>
        <v/>
      </c>
      <c r="AQ57" s="363" t="n"/>
      <c r="AR57" s="363" t="n"/>
      <c r="AS57" s="366">
        <f>Table46[[#This Row],[Nov_26_F]]-Table46[[#This Row],[Nov_26_A]]</f>
        <v/>
      </c>
      <c r="AT57" s="363" t="n"/>
      <c r="AU57" s="363" t="n"/>
      <c r="AV57" s="366">
        <f>Table46[[#This Row],[Dec_26_F]]-Table46[[#This Row],[Dec_26_A]]</f>
        <v/>
      </c>
      <c r="AW57" s="368" t="n"/>
      <c r="AX57" s="363" t="n"/>
      <c r="AY57" s="363" t="n"/>
      <c r="AZ57" s="366">
        <f>Table46[[#This Row],[Jan_27_F]]-Table46[[#This Row],[Jan_27_Act]]</f>
        <v/>
      </c>
      <c r="BA57" s="363" t="n"/>
      <c r="BB57" s="363" t="n"/>
      <c r="BC57" s="366">
        <f>Table46[[#This Row],[Feb_27_F]]-Table46[[#This Row],[Feb_27_A]]</f>
        <v/>
      </c>
      <c r="BD57" s="363" t="n"/>
      <c r="BE57" s="363" t="n"/>
      <c r="BF57" s="366">
        <f>Table46[[#This Row],[Mar_27_F]]-Table46[[#This Row],[Mar_27_A]]</f>
        <v/>
      </c>
      <c r="BG57" s="363" t="n"/>
      <c r="BH57" s="363" t="n"/>
      <c r="BI57" s="366">
        <f>Table46[[#This Row],[Apr_27_F]]-Table46[[#This Row],[Apr_27_A]]</f>
        <v/>
      </c>
      <c r="BJ57" s="363" t="n"/>
      <c r="BK57" s="363" t="n"/>
      <c r="BL57" s="366">
        <f>Table46[[#This Row],[May_27_F]]-Table46[[#This Row],[May_27_A]]</f>
        <v/>
      </c>
      <c r="BM57" s="363" t="n"/>
      <c r="BN57" s="363" t="n"/>
      <c r="BO57" s="366">
        <f>Table46[[#This Row],[Jun_27_F]]-Table46[[#This Row],[Jun_27_A]]</f>
        <v/>
      </c>
      <c r="BP57" s="363" t="n"/>
      <c r="BQ57" s="363" t="n"/>
      <c r="BR57" s="366">
        <f>Table46[[#This Row],[Jul_27_F]]-Table46[[#This Row],[Jul_27_A]]</f>
        <v/>
      </c>
      <c r="BS57" s="363" t="n"/>
      <c r="BT57" s="363" t="n"/>
      <c r="BU57" s="366">
        <f>Table46[[#This Row],[Aug_27_F]]-Table46[[#This Row],[Aug_27_A]]</f>
        <v/>
      </c>
      <c r="BV57" s="363" t="n"/>
      <c r="BW57" s="363" t="n"/>
      <c r="BX57" s="366">
        <f>Table46[[#This Row],[Sep_27_F]]-Table46[[#This Row],[Sep_27_A]]</f>
        <v/>
      </c>
      <c r="BY57" s="363" t="n"/>
      <c r="BZ57" s="363" t="n"/>
      <c r="CA57" s="366">
        <f>Table46[[#This Row],[Oct_27_F]]-Table46[[#This Row],[Oct_27_A]]</f>
        <v/>
      </c>
      <c r="CB57" s="363" t="n"/>
      <c r="CC57" s="363" t="n"/>
      <c r="CD57" s="366">
        <f>Table46[[#This Row],[Nov_27_F]]-Table46[[#This Row],[Nov_27_A]]</f>
        <v/>
      </c>
      <c r="CE57" s="363" t="n"/>
      <c r="CF57" s="363" t="n"/>
      <c r="CG57" s="366">
        <f>Table46[[#This Row],[Dec_27_F]]-Table46[[#This Row],[Dec_27_A]]</f>
        <v/>
      </c>
    </row>
    <row r="58" ht="14.45" customHeight="1">
      <c r="B58" s="13" t="n"/>
      <c r="D58" s="367" t="n"/>
      <c r="F58" s="13" t="n"/>
      <c r="G58" s="13" t="n"/>
      <c r="H58" s="13" t="n"/>
      <c r="I58" s="13" t="n"/>
      <c r="J58" s="13" t="n"/>
      <c r="K58" s="87" t="n"/>
      <c r="L58" s="368" t="n"/>
      <c r="M58" s="363" t="n"/>
      <c r="N58" s="363" t="n"/>
      <c r="O58" s="362">
        <f>Table46[[#This Row],[Jan_26_F]]-Table46[[#This Row],[Jan_26_Act]]</f>
        <v/>
      </c>
      <c r="P58" s="363" t="n"/>
      <c r="Q58" s="363" t="n"/>
      <c r="R58" s="362">
        <f>Table46[[#This Row],[Feb_26_F]]-Table46[[#This Row],[Feb_26_A]]</f>
        <v/>
      </c>
      <c r="S58" s="363" t="n"/>
      <c r="T58" s="363" t="n"/>
      <c r="U58" s="362">
        <f>Table46[[#This Row],[Mar_26_F]]-Table46[[#This Row],[Mar_26_A]]</f>
        <v/>
      </c>
      <c r="V58" s="363" t="n"/>
      <c r="W58" s="363" t="n"/>
      <c r="X58" s="362">
        <f>Table46[[#This Row],[Apr_26_F]]-Table46[[#This Row],[Apr_26_A]]</f>
        <v/>
      </c>
      <c r="Y58" s="363" t="n"/>
      <c r="Z58" s="363" t="n"/>
      <c r="AA58" s="362">
        <f>Table46[[#This Row],[May_26_F]]-Table46[[#This Row],[May_26_A]]</f>
        <v/>
      </c>
      <c r="AB58" s="363" t="n"/>
      <c r="AC58" s="363" t="n"/>
      <c r="AD58" s="362">
        <f>Table46[[#This Row],[Jun_26_F]]-Table46[[#This Row],[Jun_26_A]]</f>
        <v/>
      </c>
      <c r="AE58" s="363" t="n"/>
      <c r="AF58" s="363" t="n"/>
      <c r="AG58" s="362">
        <f>Table46[[#This Row],[Jul_26_F]]-Table46[[#This Row],[Jul_26_A]]</f>
        <v/>
      </c>
      <c r="AH58" s="363" t="n"/>
      <c r="AI58" s="363" t="n"/>
      <c r="AJ58" s="362">
        <f>Table46[[#This Row],[Aug_26_F]]-Table46[[#This Row],[Aug_26_A]]</f>
        <v/>
      </c>
      <c r="AK58" s="363" t="n"/>
      <c r="AL58" s="363" t="n"/>
      <c r="AM58" s="362">
        <f>Table46[[#This Row],[Sep_26_F]]-Table46[[#This Row],[Sep_26_A]]</f>
        <v/>
      </c>
      <c r="AN58" s="363" t="n"/>
      <c r="AO58" s="363" t="n"/>
      <c r="AP58" s="362">
        <f>Table46[[#This Row],[Oct_26_F]]-Table46[[#This Row],[Oct_26_A]]</f>
        <v/>
      </c>
      <c r="AQ58" s="363" t="n"/>
      <c r="AR58" s="363" t="n"/>
      <c r="AS58" s="362">
        <f>Table46[[#This Row],[Nov_26_F]]-Table46[[#This Row],[Nov_26_A]]</f>
        <v/>
      </c>
      <c r="AT58" s="363" t="n"/>
      <c r="AU58" s="363" t="n"/>
      <c r="AV58" s="362">
        <f>Table46[[#This Row],[Dec_26_F]]-Table46[[#This Row],[Dec_26_A]]</f>
        <v/>
      </c>
      <c r="AW58" s="368" t="n"/>
      <c r="AX58" s="363" t="n"/>
      <c r="AY58" s="363" t="n"/>
      <c r="AZ58" s="362">
        <f>Table46[[#This Row],[Jan_27_F]]-Table46[[#This Row],[Jan_27_Act]]</f>
        <v/>
      </c>
      <c r="BA58" s="363" t="n"/>
      <c r="BB58" s="363" t="n"/>
      <c r="BC58" s="362">
        <f>Table46[[#This Row],[Feb_27_F]]-Table46[[#This Row],[Feb_27_A]]</f>
        <v/>
      </c>
      <c r="BD58" s="363" t="n"/>
      <c r="BE58" s="363" t="n"/>
      <c r="BF58" s="362">
        <f>Table46[[#This Row],[Mar_27_F]]-Table46[[#This Row],[Mar_27_A]]</f>
        <v/>
      </c>
      <c r="BG58" s="363" t="n"/>
      <c r="BH58" s="363" t="n"/>
      <c r="BI58" s="362">
        <f>Table46[[#This Row],[Apr_27_F]]-Table46[[#This Row],[Apr_27_A]]</f>
        <v/>
      </c>
      <c r="BJ58" s="363" t="n"/>
      <c r="BK58" s="363" t="n"/>
      <c r="BL58" s="362">
        <f>Table46[[#This Row],[May_27_F]]-Table46[[#This Row],[May_27_A]]</f>
        <v/>
      </c>
      <c r="BM58" s="363" t="n"/>
      <c r="BN58" s="363" t="n"/>
      <c r="BO58" s="362">
        <f>Table46[[#This Row],[Jun_27_F]]-Table46[[#This Row],[Jun_27_A]]</f>
        <v/>
      </c>
      <c r="BP58" s="363" t="n"/>
      <c r="BQ58" s="363" t="n"/>
      <c r="BR58" s="362">
        <f>Table46[[#This Row],[Jul_27_F]]-Table46[[#This Row],[Jul_27_A]]</f>
        <v/>
      </c>
      <c r="BS58" s="363" t="n"/>
      <c r="BT58" s="363" t="n"/>
      <c r="BU58" s="362">
        <f>Table46[[#This Row],[Aug_27_F]]-Table46[[#This Row],[Aug_27_A]]</f>
        <v/>
      </c>
      <c r="BV58" s="363" t="n"/>
      <c r="BW58" s="363" t="n"/>
      <c r="BX58" s="362">
        <f>Table46[[#This Row],[Sep_27_F]]-Table46[[#This Row],[Sep_27_A]]</f>
        <v/>
      </c>
      <c r="BY58" s="363" t="n"/>
      <c r="BZ58" s="363" t="n"/>
      <c r="CA58" s="362">
        <f>Table46[[#This Row],[Oct_27_F]]-Table46[[#This Row],[Oct_27_A]]</f>
        <v/>
      </c>
      <c r="CB58" s="363" t="n"/>
      <c r="CC58" s="363" t="n"/>
      <c r="CD58" s="362">
        <f>Table46[[#This Row],[Nov_27_F]]-Table46[[#This Row],[Nov_27_A]]</f>
        <v/>
      </c>
      <c r="CE58" s="363" t="n"/>
      <c r="CF58" s="363" t="n"/>
      <c r="CG58" s="362">
        <f>Table46[[#This Row],[Dec_27_F]]-Table46[[#This Row],[Dec_27_A]]</f>
        <v/>
      </c>
    </row>
    <row r="59" ht="14.45" customHeight="1">
      <c r="B59" s="13" t="n"/>
      <c r="D59" s="367" t="n"/>
      <c r="F59" s="13" t="n"/>
      <c r="G59" s="13" t="n"/>
      <c r="H59" s="13" t="n"/>
      <c r="I59" s="13" t="n"/>
      <c r="J59" s="13" t="n"/>
      <c r="K59" s="87" t="n"/>
      <c r="L59" s="368" t="n"/>
      <c r="M59" s="363" t="n"/>
      <c r="N59" s="363" t="n"/>
      <c r="O59" s="366">
        <f>Table46[[#This Row],[Jan_26_F]]-Table46[[#This Row],[Jan_26_Act]]</f>
        <v/>
      </c>
      <c r="P59" s="363" t="n"/>
      <c r="Q59" s="363" t="n"/>
      <c r="R59" s="366">
        <f>Table46[[#This Row],[Feb_26_F]]-Table46[[#This Row],[Feb_26_A]]</f>
        <v/>
      </c>
      <c r="S59" s="363" t="n"/>
      <c r="T59" s="363" t="n"/>
      <c r="U59" s="366">
        <f>Table46[[#This Row],[Mar_26_F]]-Table46[[#This Row],[Mar_26_A]]</f>
        <v/>
      </c>
      <c r="V59" s="363" t="n"/>
      <c r="W59" s="363" t="n"/>
      <c r="X59" s="366">
        <f>Table46[[#This Row],[Apr_26_F]]-Table46[[#This Row],[Apr_26_A]]</f>
        <v/>
      </c>
      <c r="Y59" s="363" t="n"/>
      <c r="Z59" s="363" t="n"/>
      <c r="AA59" s="366">
        <f>Table46[[#This Row],[May_26_F]]-Table46[[#This Row],[May_26_A]]</f>
        <v/>
      </c>
      <c r="AB59" s="363" t="n"/>
      <c r="AC59" s="363" t="n"/>
      <c r="AD59" s="366">
        <f>Table46[[#This Row],[Jun_26_F]]-Table46[[#This Row],[Jun_26_A]]</f>
        <v/>
      </c>
      <c r="AE59" s="363" t="n"/>
      <c r="AF59" s="363" t="n"/>
      <c r="AG59" s="366">
        <f>Table46[[#This Row],[Jul_26_F]]-Table46[[#This Row],[Jul_26_A]]</f>
        <v/>
      </c>
      <c r="AH59" s="363" t="n"/>
      <c r="AI59" s="363" t="n"/>
      <c r="AJ59" s="366">
        <f>Table46[[#This Row],[Aug_26_F]]-Table46[[#This Row],[Aug_26_A]]</f>
        <v/>
      </c>
      <c r="AK59" s="363" t="n"/>
      <c r="AL59" s="363" t="n"/>
      <c r="AM59" s="366">
        <f>Table46[[#This Row],[Sep_26_F]]-Table46[[#This Row],[Sep_26_A]]</f>
        <v/>
      </c>
      <c r="AN59" s="363" t="n"/>
      <c r="AO59" s="363" t="n"/>
      <c r="AP59" s="366">
        <f>Table46[[#This Row],[Oct_26_F]]-Table46[[#This Row],[Oct_26_A]]</f>
        <v/>
      </c>
      <c r="AQ59" s="363" t="n"/>
      <c r="AR59" s="363" t="n"/>
      <c r="AS59" s="366">
        <f>Table46[[#This Row],[Nov_26_F]]-Table46[[#This Row],[Nov_26_A]]</f>
        <v/>
      </c>
      <c r="AT59" s="363" t="n"/>
      <c r="AU59" s="363" t="n"/>
      <c r="AV59" s="366">
        <f>Table46[[#This Row],[Dec_26_F]]-Table46[[#This Row],[Dec_26_A]]</f>
        <v/>
      </c>
      <c r="AW59" s="368" t="n"/>
      <c r="AX59" s="363" t="n"/>
      <c r="AY59" s="363" t="n"/>
      <c r="AZ59" s="366">
        <f>Table46[[#This Row],[Jan_27_F]]-Table46[[#This Row],[Jan_27_Act]]</f>
        <v/>
      </c>
      <c r="BA59" s="363" t="n"/>
      <c r="BB59" s="363" t="n"/>
      <c r="BC59" s="366">
        <f>Table46[[#This Row],[Feb_27_F]]-Table46[[#This Row],[Feb_27_A]]</f>
        <v/>
      </c>
      <c r="BD59" s="363" t="n"/>
      <c r="BE59" s="363" t="n"/>
      <c r="BF59" s="366">
        <f>Table46[[#This Row],[Mar_27_F]]-Table46[[#This Row],[Mar_27_A]]</f>
        <v/>
      </c>
      <c r="BG59" s="363" t="n"/>
      <c r="BH59" s="363" t="n"/>
      <c r="BI59" s="366">
        <f>Table46[[#This Row],[Apr_27_F]]-Table46[[#This Row],[Apr_27_A]]</f>
        <v/>
      </c>
      <c r="BJ59" s="363" t="n"/>
      <c r="BK59" s="363" t="n"/>
      <c r="BL59" s="366">
        <f>Table46[[#This Row],[May_27_F]]-Table46[[#This Row],[May_27_A]]</f>
        <v/>
      </c>
      <c r="BM59" s="363" t="n"/>
      <c r="BN59" s="363" t="n"/>
      <c r="BO59" s="366">
        <f>Table46[[#This Row],[Jun_27_F]]-Table46[[#This Row],[Jun_27_A]]</f>
        <v/>
      </c>
      <c r="BP59" s="363" t="n"/>
      <c r="BQ59" s="363" t="n"/>
      <c r="BR59" s="366">
        <f>Table46[[#This Row],[Jul_27_F]]-Table46[[#This Row],[Jul_27_A]]</f>
        <v/>
      </c>
      <c r="BS59" s="363" t="n"/>
      <c r="BT59" s="363" t="n"/>
      <c r="BU59" s="366">
        <f>Table46[[#This Row],[Aug_27_F]]-Table46[[#This Row],[Aug_27_A]]</f>
        <v/>
      </c>
      <c r="BV59" s="363" t="n"/>
      <c r="BW59" s="363" t="n"/>
      <c r="BX59" s="366">
        <f>Table46[[#This Row],[Sep_27_F]]-Table46[[#This Row],[Sep_27_A]]</f>
        <v/>
      </c>
      <c r="BY59" s="363" t="n"/>
      <c r="BZ59" s="363" t="n"/>
      <c r="CA59" s="366">
        <f>Table46[[#This Row],[Oct_27_F]]-Table46[[#This Row],[Oct_27_A]]</f>
        <v/>
      </c>
      <c r="CB59" s="363" t="n"/>
      <c r="CC59" s="363" t="n"/>
      <c r="CD59" s="366">
        <f>Table46[[#This Row],[Nov_27_F]]-Table46[[#This Row],[Nov_27_A]]</f>
        <v/>
      </c>
      <c r="CE59" s="363" t="n"/>
      <c r="CF59" s="363" t="n"/>
      <c r="CG59" s="366">
        <f>Table46[[#This Row],[Dec_27_F]]-Table46[[#This Row],[Dec_27_A]]</f>
        <v/>
      </c>
    </row>
    <row r="60" ht="14.45" customHeight="1">
      <c r="L60" s="346" t="n"/>
      <c r="AW60" s="346" t="n"/>
    </row>
    <row r="61" ht="14.45" customHeight="1">
      <c r="L61" s="346" t="n"/>
      <c r="AW61" s="346" t="n"/>
    </row>
    <row r="62" ht="14.45" customHeight="1">
      <c r="L62" s="346" t="n"/>
      <c r="AW62" s="346" t="n"/>
    </row>
    <row r="63" ht="14.45" customHeight="1">
      <c r="L63" s="346" t="n"/>
      <c r="AW63" s="346" t="n"/>
    </row>
    <row r="64" ht="14.45" customHeight="1">
      <c r="L64" s="346" t="n"/>
      <c r="AW64" s="346" t="n"/>
    </row>
    <row r="65" ht="14.45" customHeight="1">
      <c r="L65" s="346" t="n"/>
      <c r="AW65" s="346" t="n"/>
    </row>
    <row r="66" ht="14.45" customHeight="1">
      <c r="L66" s="346" t="n"/>
      <c r="AW66" s="346" t="n"/>
    </row>
    <row r="67" ht="14.45" customHeight="1">
      <c r="L67" s="346" t="n"/>
      <c r="AW67" s="346" t="n"/>
    </row>
    <row r="68" ht="14.45" customHeight="1">
      <c r="L68" s="346" t="n"/>
      <c r="AW68" s="346" t="n"/>
    </row>
    <row r="69" ht="14.45" customHeight="1">
      <c r="L69" s="346" t="n"/>
      <c r="AW69" s="346" t="n"/>
    </row>
    <row r="70" ht="14.45" customHeight="1">
      <c r="L70" s="346" t="n"/>
      <c r="AW70" s="346" t="n"/>
    </row>
    <row r="71" ht="14.45" customHeight="1">
      <c r="L71" s="346" t="n"/>
      <c r="AW71" s="346" t="n"/>
    </row>
    <row r="72" ht="14.45" customHeight="1">
      <c r="L72" s="346" t="n"/>
      <c r="AW72" s="346" t="n"/>
    </row>
    <row r="73" ht="14.45" customHeight="1">
      <c r="L73" s="346" t="n"/>
      <c r="AW73" s="346" t="n"/>
    </row>
    <row r="74" ht="14.45" customHeight="1">
      <c r="L74" s="346" t="n"/>
      <c r="AW74" s="346" t="n"/>
    </row>
    <row r="75" ht="14.45" customHeight="1">
      <c r="L75" s="346" t="n"/>
      <c r="AW75" s="346" t="n"/>
    </row>
    <row r="76" ht="14.45" customHeight="1">
      <c r="L76" s="346" t="n"/>
      <c r="AW76" s="346" t="n"/>
    </row>
    <row r="77" ht="14.45" customHeight="1">
      <c r="L77" s="346" t="n"/>
      <c r="AW77" s="346" t="n"/>
    </row>
    <row r="78" ht="14.45" customHeight="1">
      <c r="L78" s="346" t="n"/>
      <c r="AW78" s="346" t="n"/>
    </row>
    <row r="79" ht="14.45" customHeight="1">
      <c r="L79" s="346" t="n"/>
      <c r="AW79" s="346" t="n"/>
    </row>
    <row r="80" ht="14.45" customHeight="1">
      <c r="L80" s="346" t="n"/>
      <c r="AW80" s="346" t="n"/>
    </row>
    <row r="81" ht="14.45" customHeight="1">
      <c r="L81" s="346" t="n"/>
      <c r="AW81" s="346" t="n"/>
    </row>
    <row r="82" ht="14.45" customHeight="1">
      <c r="L82" s="346" t="n"/>
      <c r="AW82" s="346" t="n"/>
    </row>
    <row r="83" ht="14.45" customHeight="1">
      <c r="L83" s="346" t="n"/>
      <c r="AW83" s="346" t="n"/>
    </row>
    <row r="84" ht="14.45" customHeight="1">
      <c r="L84" s="346" t="n"/>
      <c r="AW84" s="346" t="n"/>
    </row>
    <row r="85" ht="14.45" customHeight="1">
      <c r="L85" s="346" t="n"/>
      <c r="AW85" s="346" t="n"/>
    </row>
    <row r="86" ht="14.45" customHeight="1">
      <c r="L86" s="346" t="n"/>
      <c r="AW86" s="346" t="n"/>
    </row>
    <row r="87" ht="14.45" customHeight="1">
      <c r="L87" s="346" t="n"/>
      <c r="AW87" s="346" t="n"/>
    </row>
    <row r="88" ht="14.45" customHeight="1">
      <c r="L88" s="346" t="n"/>
      <c r="AW88" s="346" t="n"/>
    </row>
    <row r="89" ht="14.45" customHeight="1">
      <c r="L89" s="346" t="n"/>
      <c r="AW89" s="346" t="n"/>
    </row>
    <row r="90" ht="14.45" customHeight="1">
      <c r="L90" s="346" t="n"/>
      <c r="AW90" s="346" t="n"/>
    </row>
    <row r="91" ht="14.45" customHeight="1">
      <c r="L91" s="346" t="n"/>
      <c r="AW91" s="346" t="n"/>
    </row>
    <row r="92" ht="14.45" customHeight="1">
      <c r="L92" s="346" t="n"/>
      <c r="AW92" s="346" t="n"/>
    </row>
    <row r="93" ht="14.45" customHeight="1">
      <c r="L93" s="346" t="n"/>
      <c r="AW93" s="346" t="n"/>
    </row>
    <row r="94" ht="14.45" customHeight="1">
      <c r="L94" s="346" t="n"/>
      <c r="AW94" s="346" t="n"/>
    </row>
    <row r="95" ht="14.45" customHeight="1">
      <c r="L95" s="346" t="n"/>
      <c r="AW95" s="346" t="n"/>
    </row>
    <row r="96" ht="14.45" customHeight="1">
      <c r="L96" s="346" t="n"/>
      <c r="AW96" s="346" t="n"/>
    </row>
    <row r="97" ht="14.45" customHeight="1">
      <c r="L97" s="346" t="n"/>
      <c r="AW97" s="346" t="n"/>
    </row>
    <row r="98" ht="14.45" customHeight="1">
      <c r="L98" s="346" t="n"/>
      <c r="AW98" s="346" t="n"/>
    </row>
    <row r="99" ht="14.45" customHeight="1">
      <c r="L99" s="346" t="n"/>
      <c r="AW99" s="346" t="n"/>
    </row>
    <row r="100" ht="14.45" customHeight="1">
      <c r="L100" s="346" t="n"/>
      <c r="AW100" s="346" t="n"/>
    </row>
    <row r="101" ht="14.45" customHeight="1">
      <c r="L101" s="346" t="n"/>
      <c r="AW101" s="346" t="n"/>
    </row>
    <row r="102" ht="14.45" customHeight="1">
      <c r="L102" s="346" t="n"/>
      <c r="AW102" s="346" t="n"/>
    </row>
    <row r="103" ht="14.45" customHeight="1">
      <c r="L103" s="346" t="n"/>
      <c r="AW103" s="346" t="n"/>
    </row>
    <row r="104" ht="14.45" customHeight="1">
      <c r="L104" s="346" t="n"/>
      <c r="AW104" s="346" t="n"/>
    </row>
    <row r="105" ht="14.45" customHeight="1">
      <c r="L105" s="346" t="n"/>
      <c r="AW105" s="346" t="n"/>
    </row>
    <row r="106" ht="14.45" customHeight="1">
      <c r="L106" s="346" t="n"/>
      <c r="AW106" s="346" t="n"/>
    </row>
    <row r="107" ht="14.45" customHeight="1">
      <c r="L107" s="346" t="n"/>
      <c r="AW107" s="346" t="n"/>
    </row>
    <row r="108" ht="14.45" customHeight="1">
      <c r="L108" s="346" t="n"/>
      <c r="AW108" s="346" t="n"/>
    </row>
    <row r="109" ht="14.45" customHeight="1">
      <c r="L109" s="346" t="n"/>
      <c r="AW109" s="346" t="n"/>
    </row>
    <row r="110" ht="14.45" customHeight="1">
      <c r="L110" s="346" t="n"/>
      <c r="AW110" s="346" t="n"/>
    </row>
    <row r="111" ht="14.45" customHeight="1">
      <c r="L111" s="346" t="n"/>
      <c r="AW111" s="346" t="n"/>
    </row>
    <row r="112" ht="14.45" customHeight="1">
      <c r="L112" s="346" t="n"/>
      <c r="AW112" s="346" t="n"/>
    </row>
    <row r="113" ht="14.45" customHeight="1">
      <c r="L113" s="346" t="n"/>
      <c r="AW113" s="346" t="n"/>
    </row>
    <row r="114" ht="14.45" customHeight="1">
      <c r="L114" s="346" t="n"/>
      <c r="AW114" s="346" t="n"/>
    </row>
    <row r="115" ht="14.45" customHeight="1">
      <c r="L115" s="346" t="n"/>
      <c r="AW115" s="346" t="n"/>
    </row>
    <row r="116" ht="14.45" customHeight="1">
      <c r="L116" s="346" t="n"/>
      <c r="AW116" s="346" t="n"/>
    </row>
    <row r="117" ht="14.45" customHeight="1">
      <c r="L117" s="346" t="n"/>
      <c r="AW117" s="346" t="n"/>
    </row>
    <row r="118" ht="14.45" customHeight="1">
      <c r="L118" s="346" t="n"/>
      <c r="AW118" s="346" t="n"/>
    </row>
    <row r="119" ht="14.45" customHeight="1">
      <c r="L119" s="346" t="n"/>
      <c r="AW119" s="346" t="n"/>
    </row>
    <row r="120" ht="14.45" customHeight="1">
      <c r="L120" s="346" t="n"/>
      <c r="AW120" s="346" t="n"/>
    </row>
    <row r="121" ht="14.45" customHeight="1">
      <c r="L121" s="346" t="n"/>
      <c r="AW121" s="346" t="n"/>
    </row>
    <row r="122" ht="14.45" customHeight="1">
      <c r="L122" s="346" t="n"/>
      <c r="AW122" s="346" t="n"/>
    </row>
    <row r="123" ht="14.45" customHeight="1">
      <c r="L123" s="346" t="n"/>
      <c r="AW123" s="346" t="n"/>
    </row>
    <row r="124" ht="14.45" customHeight="1">
      <c r="L124" s="346" t="n"/>
      <c r="AW124" s="346" t="n"/>
    </row>
    <row r="125" ht="14.45" customHeight="1">
      <c r="L125" s="346" t="n"/>
      <c r="AW125" s="346" t="n"/>
    </row>
    <row r="126" ht="14.45" customHeight="1">
      <c r="L126" s="346" t="n"/>
      <c r="AW126" s="346" t="n"/>
    </row>
    <row r="127" ht="14.45" customHeight="1">
      <c r="L127" s="346" t="n"/>
      <c r="AW127" s="346" t="n"/>
    </row>
    <row r="128" ht="14.45" customHeight="1">
      <c r="L128" s="346" t="n"/>
      <c r="AW128" s="346" t="n"/>
    </row>
    <row r="129" ht="14.45" customHeight="1">
      <c r="L129" s="346" t="n"/>
      <c r="AW129" s="346" t="n"/>
    </row>
    <row r="130" ht="14.45" customHeight="1">
      <c r="L130" s="346" t="n"/>
      <c r="AW130" s="346" t="n"/>
    </row>
    <row r="131" ht="14.45" customHeight="1">
      <c r="L131" s="346" t="n"/>
      <c r="AW131" s="346" t="n"/>
    </row>
    <row r="132" ht="14.45" customHeight="1">
      <c r="L132" s="346" t="n"/>
      <c r="AW132" s="346" t="n"/>
    </row>
    <row r="133" ht="14.45" customHeight="1">
      <c r="L133" s="346" t="n"/>
      <c r="AW133" s="346" t="n"/>
    </row>
    <row r="134" ht="14.45" customHeight="1">
      <c r="L134" s="346" t="n"/>
      <c r="AW134" s="346" t="n"/>
    </row>
    <row r="135" ht="14.45" customHeight="1">
      <c r="L135" s="346" t="n"/>
      <c r="AW135" s="346" t="n"/>
    </row>
    <row r="136" ht="14.45" customHeight="1">
      <c r="L136" s="346" t="n"/>
      <c r="AW136" s="346" t="n"/>
    </row>
    <row r="137" ht="14.45" customHeight="1">
      <c r="L137" s="346" t="n"/>
      <c r="AW137" s="346" t="n"/>
    </row>
    <row r="138" ht="14.45" customHeight="1">
      <c r="L138" s="346" t="n"/>
      <c r="AW138" s="346" t="n"/>
    </row>
    <row r="139" ht="14.45" customHeight="1">
      <c r="L139" s="346" t="n"/>
      <c r="AW139" s="346" t="n"/>
    </row>
    <row r="140" ht="14.45" customHeight="1">
      <c r="L140" s="346" t="n"/>
      <c r="AW140" s="346" t="n"/>
    </row>
    <row r="141" ht="14.45" customHeight="1">
      <c r="L141" s="346" t="n"/>
      <c r="AW141" s="346" t="n"/>
    </row>
    <row r="142" ht="14.45" customHeight="1">
      <c r="L142" s="346" t="n"/>
      <c r="AW142" s="346" t="n"/>
    </row>
    <row r="143" ht="14.45" customHeight="1">
      <c r="L143" s="346" t="n"/>
      <c r="AW143" s="346" t="n"/>
    </row>
    <row r="144" ht="14.45" customHeight="1">
      <c r="L144" s="346" t="n"/>
      <c r="AW144" s="346" t="n"/>
    </row>
    <row r="145" ht="14.45" customHeight="1">
      <c r="L145" s="346" t="n"/>
      <c r="AW145" s="346" t="n"/>
    </row>
    <row r="146" ht="14.45" customHeight="1">
      <c r="L146" s="346" t="n"/>
      <c r="AW146" s="346" t="n"/>
    </row>
    <row r="147" ht="14.45" customHeight="1">
      <c r="L147" s="346" t="n"/>
      <c r="AW147" s="346" t="n"/>
    </row>
    <row r="148" ht="14.45" customHeight="1">
      <c r="L148" s="346" t="n"/>
      <c r="AW148" s="346" t="n"/>
    </row>
    <row r="149" ht="14.45" customHeight="1">
      <c r="L149" s="346" t="n"/>
      <c r="AW149" s="346" t="n"/>
    </row>
    <row r="150" ht="14.45" customHeight="1">
      <c r="L150" s="346" t="n"/>
      <c r="AW150" s="346" t="n"/>
    </row>
    <row r="151" ht="14.45" customHeight="1">
      <c r="L151" s="346" t="n"/>
      <c r="AW151" s="346" t="n"/>
    </row>
    <row r="152" ht="14.45" customHeight="1">
      <c r="L152" s="346" t="n"/>
      <c r="AW152" s="346" t="n"/>
    </row>
    <row r="153" ht="14.45" customHeight="1">
      <c r="L153" s="346" t="n"/>
      <c r="AW153" s="346" t="n"/>
    </row>
    <row r="154" ht="14.45" customHeight="1">
      <c r="L154" s="346" t="n"/>
      <c r="AW154" s="346" t="n"/>
    </row>
    <row r="155" ht="14.45" customHeight="1">
      <c r="L155" s="346" t="n"/>
      <c r="AW155" s="346" t="n"/>
    </row>
    <row r="156" ht="14.45" customHeight="1">
      <c r="L156" s="346" t="n"/>
      <c r="AW156" s="346" t="n"/>
    </row>
    <row r="157" ht="14.45" customHeight="1">
      <c r="L157" s="346" t="n"/>
      <c r="AW157" s="346" t="n"/>
    </row>
    <row r="158" ht="14.45" customHeight="1">
      <c r="L158" s="346" t="n"/>
      <c r="AW158" s="346" t="n"/>
    </row>
    <row r="159" ht="14.45" customHeight="1">
      <c r="L159" s="346" t="n"/>
      <c r="AW159" s="346" t="n"/>
    </row>
    <row r="160" ht="14.45" customHeight="1">
      <c r="L160" s="346" t="n"/>
      <c r="AW160" s="346" t="n"/>
    </row>
    <row r="161" ht="14.45" customHeight="1">
      <c r="L161" s="346" t="n"/>
      <c r="AW161" s="346" t="n"/>
    </row>
    <row r="162" ht="14.45" customHeight="1">
      <c r="L162" s="346" t="n"/>
      <c r="AW162" s="346" t="n"/>
    </row>
    <row r="163" ht="14.45" customHeight="1">
      <c r="L163" s="346" t="n"/>
      <c r="AW163" s="346" t="n"/>
    </row>
    <row r="164" ht="14.45" customHeight="1">
      <c r="L164" s="346" t="n"/>
      <c r="AW164" s="346" t="n"/>
    </row>
    <row r="165" ht="14.45" customHeight="1">
      <c r="L165" s="346" t="n"/>
      <c r="AW165" s="346" t="n"/>
    </row>
    <row r="166" ht="14.45" customHeight="1">
      <c r="L166" s="346" t="n"/>
      <c r="AW166" s="346" t="n"/>
    </row>
    <row r="167" ht="14.45" customHeight="1">
      <c r="L167" s="346" t="n"/>
      <c r="AW167" s="346" t="n"/>
    </row>
    <row r="168" ht="14.45" customHeight="1">
      <c r="L168" s="346" t="n"/>
      <c r="AW168" s="346" t="n"/>
    </row>
    <row r="169" ht="14.45" customHeight="1">
      <c r="L169" s="346" t="n"/>
      <c r="AW169" s="346" t="n"/>
    </row>
    <row r="170" ht="14.45" customHeight="1">
      <c r="L170" s="346" t="n"/>
      <c r="AW170" s="346" t="n"/>
    </row>
    <row r="171" ht="14.45" customHeight="1">
      <c r="L171" s="346" t="n"/>
      <c r="AW171" s="346" t="n"/>
    </row>
    <row r="172" ht="14.45" customHeight="1">
      <c r="L172" s="346" t="n"/>
      <c r="AW172" s="346" t="n"/>
    </row>
    <row r="173" ht="14.45" customHeight="1">
      <c r="L173" s="346" t="n"/>
      <c r="AW173" s="346" t="n"/>
    </row>
    <row r="174" ht="14.45" customHeight="1">
      <c r="L174" s="346" t="n"/>
      <c r="AW174" s="346" t="n"/>
    </row>
    <row r="175" ht="14.45" customHeight="1">
      <c r="L175" s="346" t="n"/>
      <c r="AW175" s="346" t="n"/>
    </row>
    <row r="176" ht="14.45" customHeight="1">
      <c r="L176" s="346" t="n"/>
      <c r="AW176" s="346" t="n"/>
    </row>
    <row r="177" ht="14.45" customHeight="1">
      <c r="L177" s="346" t="n"/>
      <c r="AW177" s="346" t="n"/>
    </row>
    <row r="178" ht="14.45" customHeight="1">
      <c r="L178" s="346" t="n"/>
      <c r="AW178" s="346" t="n"/>
    </row>
    <row r="179" ht="14.45" customHeight="1">
      <c r="L179" s="346" t="n"/>
      <c r="AW179" s="346" t="n"/>
    </row>
    <row r="180" ht="14.45" customHeight="1">
      <c r="L180" s="346" t="n"/>
      <c r="AW180" s="346" t="n"/>
    </row>
    <row r="181" ht="14.45" customHeight="1">
      <c r="L181" s="346" t="n"/>
      <c r="AW181" s="346" t="n"/>
    </row>
    <row r="182" ht="14.45" customHeight="1">
      <c r="L182" s="346" t="n"/>
      <c r="AW182" s="346" t="n"/>
    </row>
    <row r="183" ht="14.45" customHeight="1">
      <c r="L183" s="346" t="n"/>
      <c r="AW183" s="346" t="n"/>
    </row>
    <row r="184" ht="14.45" customHeight="1">
      <c r="L184" s="346" t="n"/>
      <c r="AW184" s="346" t="n"/>
    </row>
    <row r="185" ht="14.45" customHeight="1">
      <c r="L185" s="346" t="n"/>
      <c r="AW185" s="346" t="n"/>
    </row>
    <row r="186" ht="14.45" customHeight="1">
      <c r="L186" s="346" t="n"/>
      <c r="AW186" s="346" t="n"/>
    </row>
    <row r="187" ht="14.45" customHeight="1">
      <c r="L187" s="346" t="n"/>
      <c r="AW187" s="346" t="n"/>
    </row>
    <row r="188" ht="14.45" customHeight="1">
      <c r="L188" s="346" t="n"/>
      <c r="AW188" s="346" t="n"/>
    </row>
    <row r="189" ht="14.45" customHeight="1">
      <c r="L189" s="346" t="n"/>
      <c r="AW189" s="346" t="n"/>
    </row>
    <row r="190" ht="14.45" customHeight="1">
      <c r="L190" s="346" t="n"/>
      <c r="AW190" s="346" t="n"/>
    </row>
    <row r="191" ht="14.45" customHeight="1">
      <c r="L191" s="346" t="n"/>
      <c r="AW191" s="346" t="n"/>
    </row>
    <row r="192" ht="14.45" customHeight="1">
      <c r="L192" s="346" t="n"/>
      <c r="AW192" s="346" t="n"/>
    </row>
    <row r="193" ht="14.45" customHeight="1">
      <c r="L193" s="346" t="n"/>
      <c r="AW193" s="346" t="n"/>
    </row>
    <row r="194" ht="14.45" customHeight="1">
      <c r="L194" s="346" t="n"/>
      <c r="AW194" s="346" t="n"/>
    </row>
    <row r="195" ht="14.45" customHeight="1">
      <c r="L195" s="346" t="n"/>
      <c r="AW195" s="346" t="n"/>
    </row>
    <row r="196" ht="14.45" customHeight="1">
      <c r="L196" s="346" t="n"/>
      <c r="AW196" s="346" t="n"/>
    </row>
    <row r="197" ht="14.45" customHeight="1">
      <c r="L197" s="346" t="n"/>
      <c r="AW197" s="346" t="n"/>
    </row>
    <row r="198" ht="14.45" customHeight="1">
      <c r="L198" s="346" t="n"/>
      <c r="AW198" s="346" t="n"/>
    </row>
    <row r="199" ht="14.45" customHeight="1">
      <c r="L199" s="346" t="n"/>
      <c r="AW199" s="346" t="n"/>
    </row>
    <row r="200" ht="14.45" customHeight="1">
      <c r="L200" s="346" t="n"/>
      <c r="AW200" s="346" t="n"/>
    </row>
    <row r="201" ht="14.45" customHeight="1">
      <c r="L201" s="346" t="n"/>
      <c r="AW201" s="346" t="n"/>
    </row>
    <row r="202" ht="14.45" customHeight="1">
      <c r="L202" s="346" t="n"/>
      <c r="AW202" s="346" t="n"/>
    </row>
    <row r="203" ht="14.45" customHeight="1">
      <c r="L203" s="346" t="n"/>
      <c r="AW203" s="346" t="n"/>
    </row>
    <row r="204" ht="14.45" customHeight="1">
      <c r="L204" s="346" t="n"/>
      <c r="AW204" s="346" t="n"/>
    </row>
    <row r="205" ht="14.45" customHeight="1">
      <c r="L205" s="346" t="n"/>
      <c r="AW205" s="346" t="n"/>
    </row>
    <row r="206" ht="14.45" customHeight="1">
      <c r="L206" s="346" t="n"/>
      <c r="AW206" s="346" t="n"/>
    </row>
    <row r="207" ht="14.45" customHeight="1">
      <c r="L207" s="346" t="n"/>
      <c r="AW207" s="346" t="n"/>
    </row>
    <row r="208" ht="14.45" customHeight="1">
      <c r="L208" s="346" t="n"/>
      <c r="AW208" s="346" t="n"/>
    </row>
    <row r="209" ht="14.45" customHeight="1">
      <c r="L209" s="346" t="n"/>
      <c r="AW209" s="346" t="n"/>
    </row>
    <row r="210" ht="14.45" customHeight="1">
      <c r="L210" s="346" t="n"/>
      <c r="AW210" s="346" t="n"/>
    </row>
    <row r="211" ht="14.45" customHeight="1">
      <c r="L211" s="346" t="n"/>
      <c r="AW211" s="346" t="n"/>
    </row>
    <row r="212" ht="14.45" customHeight="1">
      <c r="L212" s="346" t="n"/>
      <c r="AW212" s="346" t="n"/>
    </row>
    <row r="213" ht="14.45" customHeight="1">
      <c r="L213" s="346" t="n"/>
      <c r="AW213" s="346" t="n"/>
    </row>
    <row r="214" ht="14.45" customHeight="1">
      <c r="L214" s="346" t="n"/>
      <c r="AW214" s="346" t="n"/>
    </row>
    <row r="215" ht="14.45" customHeight="1">
      <c r="L215" s="346" t="n"/>
      <c r="AW215" s="346" t="n"/>
    </row>
    <row r="216" ht="14.45" customHeight="1">
      <c r="L216" s="346" t="n"/>
      <c r="AW216" s="346" t="n"/>
    </row>
    <row r="217" ht="14.45" customHeight="1">
      <c r="L217" s="346" t="n"/>
      <c r="AW217" s="346" t="n"/>
    </row>
    <row r="218" ht="14.45" customHeight="1">
      <c r="L218" s="346" t="n"/>
      <c r="AW218" s="346" t="n"/>
    </row>
    <row r="219" ht="14.45" customHeight="1">
      <c r="L219" s="346" t="n"/>
      <c r="AW219" s="346" t="n"/>
    </row>
    <row r="220" ht="14.45" customHeight="1">
      <c r="L220" s="346" t="n"/>
      <c r="AW220" s="346" t="n"/>
    </row>
    <row r="221" ht="14.45" customHeight="1">
      <c r="L221" s="346" t="n"/>
      <c r="AW221" s="346" t="n"/>
    </row>
    <row r="222" ht="14.45" customHeight="1">
      <c r="L222" s="346" t="n"/>
      <c r="AW222" s="346" t="n"/>
    </row>
    <row r="223" ht="14.45" customHeight="1">
      <c r="L223" s="346" t="n"/>
      <c r="AW223" s="346" t="n"/>
    </row>
    <row r="224" ht="14.45" customHeight="1">
      <c r="L224" s="346" t="n"/>
      <c r="AW224" s="346" t="n"/>
    </row>
    <row r="225" ht="14.45" customHeight="1">
      <c r="L225" s="346" t="n"/>
      <c r="AW225" s="346" t="n"/>
    </row>
    <row r="226" ht="14.45" customHeight="1">
      <c r="L226" s="346" t="n"/>
      <c r="AW226" s="346" t="n"/>
    </row>
    <row r="227" ht="14.45" customHeight="1">
      <c r="L227" s="346" t="n"/>
      <c r="AW227" s="346" t="n"/>
    </row>
    <row r="228" ht="14.45" customHeight="1">
      <c r="L228" s="346" t="n"/>
      <c r="AW228" s="346" t="n"/>
    </row>
    <row r="229" ht="14.45" customHeight="1">
      <c r="L229" s="346" t="n"/>
      <c r="AW229" s="346" t="n"/>
    </row>
    <row r="230" ht="14.45" customHeight="1">
      <c r="L230" s="346" t="n"/>
      <c r="AW230" s="346" t="n"/>
    </row>
    <row r="231" ht="14.45" customHeight="1">
      <c r="L231" s="346" t="n"/>
      <c r="AW231" s="346" t="n"/>
    </row>
    <row r="232" ht="14.45" customHeight="1">
      <c r="L232" s="346" t="n"/>
      <c r="AW232" s="346" t="n"/>
    </row>
    <row r="233" ht="14.45" customHeight="1">
      <c r="L233" s="346" t="n"/>
      <c r="AW233" s="346" t="n"/>
    </row>
    <row r="234" ht="14.45" customHeight="1">
      <c r="L234" s="346" t="n"/>
      <c r="AW234" s="346" t="n"/>
    </row>
    <row r="235" ht="14.45" customHeight="1">
      <c r="L235" s="346" t="n"/>
      <c r="AW235" s="346" t="n"/>
    </row>
    <row r="236" ht="14.45" customHeight="1">
      <c r="L236" s="346" t="n"/>
      <c r="AW236" s="346" t="n"/>
    </row>
    <row r="237" ht="14.45" customHeight="1">
      <c r="L237" s="346" t="n"/>
      <c r="AW237" s="346" t="n"/>
    </row>
    <row r="238" ht="14.45" customHeight="1">
      <c r="L238" s="346" t="n"/>
      <c r="AW238" s="346" t="n"/>
    </row>
    <row r="239" ht="14.45" customHeight="1">
      <c r="L239" s="346" t="n"/>
      <c r="AW239" s="346" t="n"/>
    </row>
    <row r="240" ht="14.45" customHeight="1">
      <c r="L240" s="346" t="n"/>
      <c r="AW240" s="346" t="n"/>
    </row>
    <row r="241" ht="14.45" customHeight="1">
      <c r="L241" s="346" t="n"/>
      <c r="AW241" s="346" t="n"/>
    </row>
    <row r="242" ht="14.45" customHeight="1">
      <c r="L242" s="346" t="n"/>
      <c r="AW242" s="346" t="n"/>
    </row>
    <row r="243" ht="14.45" customHeight="1">
      <c r="L243" s="346" t="n"/>
      <c r="AW243" s="346" t="n"/>
    </row>
    <row r="244" ht="14.45" customHeight="1">
      <c r="L244" s="346" t="n"/>
      <c r="AW244" s="346" t="n"/>
    </row>
    <row r="245" ht="14.45" customHeight="1">
      <c r="L245" s="346" t="n"/>
      <c r="AW245" s="346" t="n"/>
    </row>
    <row r="246" ht="14.45" customHeight="1">
      <c r="L246" s="346" t="n"/>
      <c r="AW246" s="346" t="n"/>
    </row>
    <row r="247" ht="14.45" customHeight="1">
      <c r="L247" s="346" t="n"/>
      <c r="AW247" s="346" t="n"/>
    </row>
    <row r="248" ht="14.45" customHeight="1">
      <c r="L248" s="346" t="n"/>
      <c r="AW248" s="346" t="n"/>
    </row>
    <row r="249" ht="14.45" customHeight="1">
      <c r="L249" s="346" t="n"/>
      <c r="AW249" s="346" t="n"/>
    </row>
    <row r="250" ht="14.45" customHeight="1">
      <c r="L250" s="346" t="n"/>
      <c r="AW250" s="346" t="n"/>
    </row>
    <row r="251" ht="14.45" customHeight="1">
      <c r="L251" s="346" t="n"/>
      <c r="AW251" s="346" t="n"/>
    </row>
    <row r="252" ht="14.45" customHeight="1">
      <c r="L252" s="346" t="n"/>
      <c r="AW252" s="346" t="n"/>
    </row>
    <row r="253" ht="14.45" customHeight="1">
      <c r="L253" s="346" t="n"/>
      <c r="AW253" s="346" t="n"/>
    </row>
    <row r="254" ht="14.45" customHeight="1">
      <c r="L254" s="346" t="n"/>
      <c r="AW254" s="346" t="n"/>
    </row>
    <row r="255" ht="14.45" customHeight="1">
      <c r="L255" s="346" t="n"/>
      <c r="AW255" s="346" t="n"/>
    </row>
    <row r="256" ht="14.45" customHeight="1">
      <c r="L256" s="346" t="n"/>
      <c r="AW256" s="346" t="n"/>
    </row>
    <row r="257" ht="14.45" customHeight="1">
      <c r="L257" s="346" t="n"/>
      <c r="AW257" s="346" t="n"/>
    </row>
    <row r="258" ht="14.45" customHeight="1">
      <c r="L258" s="346" t="n"/>
      <c r="AW258" s="346" t="n"/>
    </row>
    <row r="259" ht="14.45" customHeight="1">
      <c r="L259" s="346" t="n"/>
      <c r="AW259" s="346" t="n"/>
    </row>
    <row r="260" ht="14.45" customHeight="1">
      <c r="L260" s="346" t="n"/>
      <c r="AW260" s="346" t="n"/>
    </row>
    <row r="261" ht="14.45" customHeight="1">
      <c r="L261" s="346" t="n"/>
      <c r="AW261" s="346" t="n"/>
    </row>
    <row r="262" ht="14.45" customHeight="1">
      <c r="L262" s="346" t="n"/>
      <c r="AW262" s="346" t="n"/>
    </row>
    <row r="263" ht="14.45" customHeight="1">
      <c r="L263" s="346" t="n"/>
      <c r="AW263" s="346" t="n"/>
    </row>
    <row r="264" ht="14.45" customHeight="1">
      <c r="L264" s="346" t="n"/>
      <c r="AW264" s="346" t="n"/>
    </row>
    <row r="265" ht="14.45" customHeight="1">
      <c r="L265" s="346" t="n"/>
      <c r="AW265" s="346" t="n"/>
    </row>
    <row r="266" ht="14.45" customHeight="1">
      <c r="L266" s="346" t="n"/>
      <c r="AW266" s="346" t="n"/>
    </row>
    <row r="267" ht="14.45" customHeight="1">
      <c r="L267" s="346" t="n"/>
      <c r="AW267" s="346" t="n"/>
    </row>
    <row r="268" ht="14.45" customHeight="1">
      <c r="L268" s="346" t="n"/>
      <c r="AW268" s="346" t="n"/>
    </row>
    <row r="269" ht="14.45" customHeight="1">
      <c r="L269" s="346" t="n"/>
      <c r="AW269" s="346" t="n"/>
    </row>
    <row r="270" ht="14.45" customHeight="1">
      <c r="L270" s="346" t="n"/>
      <c r="AW270" s="346" t="n"/>
    </row>
    <row r="271" ht="14.45" customHeight="1">
      <c r="L271" s="346" t="n"/>
      <c r="AW271" s="346" t="n"/>
    </row>
    <row r="272" ht="14.45" customHeight="1">
      <c r="L272" s="346" t="n"/>
      <c r="AW272" s="346" t="n"/>
    </row>
    <row r="273" ht="14.45" customHeight="1">
      <c r="L273" s="346" t="n"/>
      <c r="AW273" s="346" t="n"/>
    </row>
    <row r="274" ht="14.45" customHeight="1">
      <c r="L274" s="346" t="n"/>
      <c r="AW274" s="346" t="n"/>
    </row>
    <row r="275" ht="14.45" customHeight="1">
      <c r="L275" s="346" t="n"/>
      <c r="AW275" s="346" t="n"/>
    </row>
    <row r="276" ht="14.45" customHeight="1">
      <c r="L276" s="346" t="n"/>
      <c r="AW276" s="346" t="n"/>
    </row>
    <row r="277" ht="14.45" customHeight="1">
      <c r="L277" s="346" t="n"/>
      <c r="AW277" s="346" t="n"/>
    </row>
    <row r="278" ht="14.45" customHeight="1">
      <c r="L278" s="346" t="n"/>
      <c r="AW278" s="346" t="n"/>
    </row>
    <row r="279" ht="14.45" customHeight="1">
      <c r="L279" s="346" t="n"/>
      <c r="AW279" s="346" t="n"/>
    </row>
    <row r="280" ht="14.45" customHeight="1">
      <c r="L280" s="346" t="n"/>
      <c r="AW280" s="346" t="n"/>
    </row>
    <row r="281" ht="14.45" customHeight="1">
      <c r="L281" s="346" t="n"/>
      <c r="AW281" s="346" t="n"/>
    </row>
    <row r="282" ht="14.45" customHeight="1">
      <c r="L282" s="346" t="n"/>
      <c r="AW282" s="346" t="n"/>
    </row>
    <row r="283" ht="14.45" customHeight="1">
      <c r="L283" s="346" t="n"/>
      <c r="AW283" s="346" t="n"/>
    </row>
    <row r="284" ht="14.45" customHeight="1">
      <c r="L284" s="346" t="n"/>
      <c r="AW284" s="346" t="n"/>
    </row>
    <row r="285" ht="14.45" customHeight="1">
      <c r="L285" s="346" t="n"/>
      <c r="AW285" s="346" t="n"/>
    </row>
    <row r="286" ht="14.45" customHeight="1">
      <c r="L286" s="346" t="n"/>
      <c r="AW286" s="346" t="n"/>
    </row>
    <row r="287" ht="14.45" customHeight="1">
      <c r="L287" s="346" t="n"/>
      <c r="AW287" s="346" t="n"/>
    </row>
    <row r="288" ht="14.45" customHeight="1">
      <c r="L288" s="346" t="n"/>
      <c r="AW288" s="346" t="n"/>
    </row>
    <row r="289" ht="14.45" customHeight="1">
      <c r="L289" s="346" t="n"/>
      <c r="AW289" s="346" t="n"/>
    </row>
    <row r="290" ht="14.45" customHeight="1">
      <c r="L290" s="346" t="n"/>
      <c r="AW290" s="346" t="n"/>
    </row>
    <row r="291" ht="14.45" customHeight="1">
      <c r="L291" s="346" t="n"/>
      <c r="AW291" s="346" t="n"/>
    </row>
    <row r="292" ht="14.45" customHeight="1">
      <c r="L292" s="346" t="n"/>
      <c r="AW292" s="346" t="n"/>
    </row>
    <row r="293" ht="14.45" customHeight="1">
      <c r="L293" s="346" t="n"/>
      <c r="AW293" s="346" t="n"/>
    </row>
    <row r="294" ht="14.45" customHeight="1">
      <c r="L294" s="346" t="n"/>
      <c r="AW294" s="346" t="n"/>
    </row>
    <row r="295" ht="14.45" customHeight="1">
      <c r="L295" s="346" t="n"/>
      <c r="AW295" s="346" t="n"/>
    </row>
    <row r="296" ht="14.45" customHeight="1">
      <c r="L296" s="346" t="n"/>
      <c r="AW296" s="346" t="n"/>
    </row>
    <row r="297" ht="14.45" customHeight="1">
      <c r="L297" s="346" t="n"/>
      <c r="AW297" s="346" t="n"/>
    </row>
    <row r="298" ht="14.45" customHeight="1">
      <c r="L298" s="346" t="n"/>
      <c r="AW298" s="346" t="n"/>
    </row>
    <row r="299" ht="14.45" customHeight="1">
      <c r="L299" s="346" t="n"/>
      <c r="AW299" s="346" t="n"/>
    </row>
    <row r="300" ht="14.45" customHeight="1">
      <c r="L300" s="346" t="n"/>
      <c r="AW300" s="346" t="n"/>
    </row>
    <row r="301" ht="14.45" customHeight="1">
      <c r="L301" s="346" t="n"/>
      <c r="AW301" s="346" t="n"/>
    </row>
    <row r="302" ht="14.45" customHeight="1">
      <c r="L302" s="346" t="n"/>
      <c r="AW302" s="346" t="n"/>
    </row>
    <row r="303" ht="14.45" customHeight="1">
      <c r="L303" s="346" t="n"/>
      <c r="AW303" s="346" t="n"/>
    </row>
    <row r="304" ht="14.45" customHeight="1">
      <c r="L304" s="346" t="n"/>
      <c r="AW304" s="346" t="n"/>
    </row>
    <row r="305" ht="14.45" customHeight="1">
      <c r="L305" s="346" t="n"/>
      <c r="AW305" s="346" t="n"/>
    </row>
    <row r="306" ht="14.45" customHeight="1">
      <c r="L306" s="346" t="n"/>
      <c r="AW306" s="346" t="n"/>
    </row>
    <row r="307" ht="14.45" customHeight="1">
      <c r="L307" s="346" t="n"/>
      <c r="AW307" s="346" t="n"/>
    </row>
    <row r="308" ht="14.45" customHeight="1">
      <c r="L308" s="346" t="n"/>
      <c r="AW308" s="346" t="n"/>
    </row>
    <row r="309" ht="14.45" customHeight="1">
      <c r="L309" s="346" t="n"/>
      <c r="AW309" s="346" t="n"/>
    </row>
    <row r="310" ht="14.45" customHeight="1">
      <c r="L310" s="346" t="n"/>
      <c r="AW310" s="346" t="n"/>
    </row>
    <row r="311" ht="14.45" customHeight="1">
      <c r="L311" s="346" t="n"/>
      <c r="AW311" s="346" t="n"/>
    </row>
    <row r="312" ht="14.45" customHeight="1">
      <c r="L312" s="346" t="n"/>
      <c r="AW312" s="346" t="n"/>
    </row>
    <row r="313" ht="14.45" customHeight="1">
      <c r="L313" s="346" t="n"/>
      <c r="AW313" s="346" t="n"/>
    </row>
    <row r="314" ht="14.45" customHeight="1">
      <c r="L314" s="346" t="n"/>
      <c r="AW314" s="346" t="n"/>
    </row>
    <row r="315" ht="14.45" customHeight="1">
      <c r="L315" s="346" t="n"/>
      <c r="AW315" s="346" t="n"/>
    </row>
    <row r="316" ht="14.45" customHeight="1">
      <c r="L316" s="346" t="n"/>
      <c r="AW316" s="346" t="n"/>
    </row>
    <row r="317" ht="14.45" customHeight="1">
      <c r="L317" s="346" t="n"/>
      <c r="AW317" s="346" t="n"/>
    </row>
    <row r="318" ht="14.45" customHeight="1">
      <c r="L318" s="346" t="n"/>
      <c r="AW318" s="346" t="n"/>
    </row>
    <row r="319" ht="14.45" customHeight="1">
      <c r="L319" s="346" t="n"/>
      <c r="AW319" s="346" t="n"/>
    </row>
    <row r="320" ht="14.45" customHeight="1">
      <c r="L320" s="346" t="n"/>
      <c r="AW320" s="346" t="n"/>
    </row>
    <row r="321" ht="14.45" customHeight="1">
      <c r="L321" s="346" t="n"/>
      <c r="AW321" s="346" t="n"/>
    </row>
    <row r="322" ht="14.45" customHeight="1">
      <c r="L322" s="346" t="n"/>
      <c r="AW322" s="346" t="n"/>
    </row>
    <row r="323" ht="14.45" customHeight="1">
      <c r="L323" s="346" t="n"/>
      <c r="AW323" s="346" t="n"/>
    </row>
    <row r="324" ht="14.45" customHeight="1">
      <c r="L324" s="346" t="n"/>
      <c r="AW324" s="346" t="n"/>
    </row>
    <row r="325" ht="14.45" customHeight="1">
      <c r="L325" s="346" t="n"/>
      <c r="AW325" s="346" t="n"/>
    </row>
    <row r="326" ht="14.45" customHeight="1">
      <c r="L326" s="346" t="n"/>
      <c r="AW326" s="346" t="n"/>
    </row>
    <row r="327" ht="14.45" customHeight="1">
      <c r="L327" s="346" t="n"/>
      <c r="AW327" s="346" t="n"/>
    </row>
    <row r="328" ht="14.45" customHeight="1">
      <c r="L328" s="346" t="n"/>
      <c r="AW328" s="346" t="n"/>
    </row>
    <row r="329" ht="14.45" customHeight="1">
      <c r="L329" s="346" t="n"/>
      <c r="AW329" s="346" t="n"/>
    </row>
    <row r="330" ht="14.45" customHeight="1">
      <c r="L330" s="346" t="n"/>
      <c r="AW330" s="346" t="n"/>
    </row>
    <row r="331" ht="14.45" customHeight="1">
      <c r="L331" s="346" t="n"/>
      <c r="AW331" s="346" t="n"/>
    </row>
    <row r="332" ht="14.45" customHeight="1">
      <c r="L332" s="346" t="n"/>
      <c r="AW332" s="346" t="n"/>
    </row>
    <row r="333" ht="14.45" customHeight="1">
      <c r="L333" s="346" t="n"/>
      <c r="AW333" s="346" t="n"/>
    </row>
    <row r="334" ht="14.45" customHeight="1">
      <c r="L334" s="346" t="n"/>
      <c r="AW334" s="346" t="n"/>
    </row>
    <row r="335" ht="14.45" customHeight="1">
      <c r="L335" s="346" t="n"/>
      <c r="AW335" s="346" t="n"/>
    </row>
    <row r="336" ht="14.45" customHeight="1">
      <c r="L336" s="346" t="n"/>
      <c r="AW336" s="346" t="n"/>
    </row>
    <row r="337" ht="14.45" customHeight="1">
      <c r="L337" s="346" t="n"/>
      <c r="AW337" s="346" t="n"/>
    </row>
    <row r="338" ht="14.45" customHeight="1">
      <c r="L338" s="346" t="n"/>
      <c r="AW338" s="346" t="n"/>
    </row>
    <row r="339" ht="14.45" customHeight="1">
      <c r="L339" s="346" t="n"/>
      <c r="AW339" s="346" t="n"/>
    </row>
    <row r="340" ht="14.45" customHeight="1">
      <c r="L340" s="346" t="n"/>
      <c r="AW340" s="346" t="n"/>
    </row>
    <row r="341" ht="14.45" customHeight="1">
      <c r="L341" s="346" t="n"/>
      <c r="AW341" s="346" t="n"/>
    </row>
    <row r="342" ht="14.45" customHeight="1">
      <c r="L342" s="346" t="n"/>
      <c r="AW342" s="346" t="n"/>
    </row>
    <row r="343" ht="14.45" customHeight="1">
      <c r="L343" s="346" t="n"/>
      <c r="AW343" s="346" t="n"/>
    </row>
    <row r="344" ht="14.45" customHeight="1">
      <c r="L344" s="346" t="n"/>
      <c r="AW344" s="346" t="n"/>
    </row>
    <row r="345" ht="14.45" customHeight="1">
      <c r="L345" s="346" t="n"/>
      <c r="AW345" s="346" t="n"/>
    </row>
    <row r="346" ht="14.45" customHeight="1">
      <c r="L346" s="346" t="n"/>
      <c r="AW346" s="346" t="n"/>
    </row>
    <row r="347" ht="14.45" customHeight="1">
      <c r="L347" s="346" t="n"/>
      <c r="AW347" s="346" t="n"/>
    </row>
    <row r="348" ht="14.45" customHeight="1">
      <c r="L348" s="346" t="n"/>
      <c r="AW348" s="346" t="n"/>
    </row>
    <row r="349" ht="14.45" customHeight="1">
      <c r="L349" s="346" t="n"/>
      <c r="AW349" s="346" t="n"/>
    </row>
    <row r="350" ht="14.45" customHeight="1">
      <c r="L350" s="346" t="n"/>
      <c r="AW350" s="346" t="n"/>
    </row>
    <row r="351" ht="14.45" customHeight="1">
      <c r="L351" s="346" t="n"/>
      <c r="AW351" s="346" t="n"/>
    </row>
    <row r="352" ht="14.45" customHeight="1">
      <c r="L352" s="346" t="n"/>
      <c r="AW352" s="346" t="n"/>
    </row>
    <row r="353" ht="14.45" customHeight="1">
      <c r="L353" s="346" t="n"/>
      <c r="AW353" s="346" t="n"/>
    </row>
    <row r="354" ht="14.45" customHeight="1">
      <c r="L354" s="346" t="n"/>
      <c r="AW354" s="346" t="n"/>
    </row>
    <row r="355" ht="14.45" customHeight="1">
      <c r="L355" s="346" t="n"/>
      <c r="AW355" s="346" t="n"/>
    </row>
    <row r="356" ht="14.45" customHeight="1">
      <c r="L356" s="346" t="n"/>
      <c r="AW356" s="346" t="n"/>
    </row>
    <row r="357" ht="14.45" customHeight="1">
      <c r="L357" s="346" t="n"/>
      <c r="AW357" s="346" t="n"/>
    </row>
    <row r="358" ht="14.45" customHeight="1">
      <c r="L358" s="346" t="n"/>
      <c r="AW358" s="346" t="n"/>
    </row>
    <row r="359" ht="14.45" customHeight="1">
      <c r="L359" s="346" t="n"/>
      <c r="AW359" s="346" t="n"/>
    </row>
    <row r="360" ht="14.45" customHeight="1">
      <c r="L360" s="346" t="n"/>
      <c r="AW360" s="346" t="n"/>
    </row>
    <row r="361" ht="14.45" customHeight="1">
      <c r="L361" s="346" t="n"/>
      <c r="AW361" s="346" t="n"/>
    </row>
    <row r="362" ht="14.45" customHeight="1">
      <c r="L362" s="346" t="n"/>
      <c r="AW362" s="346" t="n"/>
    </row>
    <row r="363" ht="14.45" customHeight="1">
      <c r="L363" s="346" t="n"/>
      <c r="AW363" s="346" t="n"/>
    </row>
    <row r="364" ht="14.45" customHeight="1">
      <c r="L364" s="346" t="n"/>
      <c r="AW364" s="346" t="n"/>
    </row>
    <row r="365" ht="14.45" customHeight="1">
      <c r="L365" s="346" t="n"/>
      <c r="AW365" s="346" t="n"/>
    </row>
    <row r="366" ht="14.45" customHeight="1">
      <c r="L366" s="346" t="n"/>
      <c r="AW366" s="346" t="n"/>
    </row>
    <row r="367" ht="14.45" customHeight="1">
      <c r="L367" s="346" t="n"/>
      <c r="AW367" s="346" t="n"/>
    </row>
    <row r="368" ht="14.45" customHeight="1">
      <c r="L368" s="346" t="n"/>
      <c r="AW368" s="346" t="n"/>
    </row>
    <row r="369" ht="14.45" customHeight="1">
      <c r="L369" s="346" t="n"/>
      <c r="AW369" s="346" t="n"/>
    </row>
    <row r="370" ht="14.45" customHeight="1">
      <c r="L370" s="346" t="n"/>
      <c r="AW370" s="346" t="n"/>
    </row>
    <row r="371" ht="14.45" customHeight="1">
      <c r="L371" s="346" t="n"/>
      <c r="AW371" s="346" t="n"/>
    </row>
    <row r="372" ht="14.45" customHeight="1">
      <c r="L372" s="346" t="n"/>
      <c r="AW372" s="346" t="n"/>
    </row>
    <row r="373" ht="14.45" customHeight="1">
      <c r="L373" s="346" t="n"/>
      <c r="AW373" s="346" t="n"/>
    </row>
    <row r="374" ht="14.45" customHeight="1">
      <c r="L374" s="346" t="n"/>
      <c r="AW374" s="346" t="n"/>
    </row>
    <row r="375" ht="14.45" customHeight="1">
      <c r="L375" s="346" t="n"/>
      <c r="AW375" s="346" t="n"/>
    </row>
    <row r="376" ht="14.45" customHeight="1">
      <c r="L376" s="346" t="n"/>
      <c r="AW376" s="346" t="n"/>
    </row>
    <row r="377" ht="14.45" customHeight="1">
      <c r="L377" s="346" t="n"/>
      <c r="AW377" s="346" t="n"/>
    </row>
    <row r="378" ht="14.45" customHeight="1">
      <c r="L378" s="346" t="n"/>
      <c r="AW378" s="346" t="n"/>
    </row>
    <row r="379" ht="14.45" customHeight="1">
      <c r="L379" s="346" t="n"/>
      <c r="AW379" s="346" t="n"/>
    </row>
    <row r="380" ht="14.45" customHeight="1">
      <c r="L380" s="346" t="n"/>
      <c r="AW380" s="346" t="n"/>
    </row>
    <row r="381" ht="14.45" customHeight="1">
      <c r="L381" s="346" t="n"/>
      <c r="AW381" s="346" t="n"/>
    </row>
    <row r="382" ht="14.45" customHeight="1">
      <c r="L382" s="346" t="n"/>
      <c r="AW382" s="346" t="n"/>
    </row>
    <row r="383" ht="14.45" customHeight="1">
      <c r="L383" s="346" t="n"/>
      <c r="AW383" s="346" t="n"/>
    </row>
    <row r="384" ht="14.45" customHeight="1">
      <c r="L384" s="346" t="n"/>
      <c r="AW384" s="346" t="n"/>
    </row>
    <row r="385" ht="14.45" customHeight="1">
      <c r="L385" s="346" t="n"/>
      <c r="AW385" s="346" t="n"/>
    </row>
    <row r="386" ht="14.45" customHeight="1">
      <c r="L386" s="346" t="n"/>
      <c r="AW386" s="346" t="n"/>
    </row>
    <row r="387" ht="14.45" customHeight="1">
      <c r="L387" s="346" t="n"/>
      <c r="AW387" s="346" t="n"/>
    </row>
    <row r="388" ht="14.45" customHeight="1">
      <c r="L388" s="346" t="n"/>
      <c r="AW388" s="346" t="n"/>
    </row>
    <row r="389" ht="14.45" customHeight="1">
      <c r="L389" s="346" t="n"/>
      <c r="AW389" s="346" t="n"/>
    </row>
    <row r="390" ht="14.45" customHeight="1">
      <c r="L390" s="346" t="n"/>
      <c r="AW390" s="346" t="n"/>
    </row>
    <row r="391" ht="14.45" customHeight="1">
      <c r="L391" s="346" t="n"/>
      <c r="AW391" s="346" t="n"/>
    </row>
    <row r="392" ht="14.45" customHeight="1">
      <c r="L392" s="346" t="n"/>
      <c r="AW392" s="346" t="n"/>
    </row>
    <row r="393" ht="14.45" customHeight="1">
      <c r="L393" s="346" t="n"/>
      <c r="AW393" s="346" t="n"/>
    </row>
    <row r="394" ht="14.45" customHeight="1">
      <c r="L394" s="346" t="n"/>
      <c r="AW394" s="346" t="n"/>
    </row>
    <row r="395" ht="14.45" customHeight="1">
      <c r="L395" s="346" t="n"/>
      <c r="AW395" s="346" t="n"/>
    </row>
    <row r="396" ht="14.45" customHeight="1">
      <c r="L396" s="346" t="n"/>
      <c r="AW396" s="346" t="n"/>
    </row>
    <row r="397" ht="14.45" customHeight="1">
      <c r="L397" s="346" t="n"/>
      <c r="AW397" s="346" t="n"/>
    </row>
    <row r="398" ht="14.45" customHeight="1">
      <c r="L398" s="346" t="n"/>
      <c r="AW398" s="346" t="n"/>
    </row>
    <row r="399" ht="14.45" customHeight="1">
      <c r="L399" s="346" t="n"/>
      <c r="AW399" s="346" t="n"/>
    </row>
    <row r="400" ht="14.45" customHeight="1">
      <c r="L400" s="346" t="n"/>
      <c r="AW400" s="346" t="n"/>
    </row>
    <row r="401" ht="14.45" customHeight="1">
      <c r="L401" s="346" t="n"/>
      <c r="AW401" s="346" t="n"/>
    </row>
    <row r="402" ht="14.45" customHeight="1">
      <c r="L402" s="346" t="n"/>
      <c r="AW402" s="346" t="n"/>
    </row>
    <row r="403" ht="14.45" customHeight="1">
      <c r="L403" s="346" t="n"/>
      <c r="AW403" s="346" t="n"/>
    </row>
    <row r="404" ht="14.45" customHeight="1">
      <c r="L404" s="346" t="n"/>
      <c r="AW404" s="346" t="n"/>
    </row>
    <row r="405" ht="14.45" customHeight="1">
      <c r="L405" s="346" t="n"/>
      <c r="AW405" s="346" t="n"/>
    </row>
    <row r="406" ht="14.45" customHeight="1">
      <c r="L406" s="346" t="n"/>
      <c r="AW406" s="346" t="n"/>
    </row>
    <row r="407" ht="14.45" customHeight="1">
      <c r="L407" s="346" t="n"/>
      <c r="AW407" s="346" t="n"/>
    </row>
    <row r="408" ht="14.45" customHeight="1">
      <c r="L408" s="346" t="n"/>
      <c r="AW408" s="346" t="n"/>
    </row>
    <row r="409" ht="14.45" customHeight="1">
      <c r="L409" s="346" t="n"/>
      <c r="AW409" s="346" t="n"/>
    </row>
    <row r="410" ht="14.45" customHeight="1">
      <c r="L410" s="346" t="n"/>
      <c r="AW410" s="346" t="n"/>
    </row>
    <row r="411" ht="14.45" customHeight="1">
      <c r="L411" s="346" t="n"/>
      <c r="AW411" s="346" t="n"/>
    </row>
    <row r="412" ht="14.45" customHeight="1">
      <c r="L412" s="346" t="n"/>
      <c r="AW412" s="346" t="n"/>
    </row>
    <row r="413" ht="14.45" customHeight="1">
      <c r="L413" s="346" t="n"/>
      <c r="AW413" s="346" t="n"/>
    </row>
    <row r="414" ht="14.45" customHeight="1">
      <c r="L414" s="346" t="n"/>
      <c r="AW414" s="346" t="n"/>
    </row>
    <row r="415" ht="14.45" customHeight="1">
      <c r="L415" s="346" t="n"/>
      <c r="AW415" s="346" t="n"/>
    </row>
    <row r="416" ht="14.45" customHeight="1">
      <c r="L416" s="346" t="n"/>
      <c r="AW416" s="346" t="n"/>
    </row>
    <row r="417" ht="14.45" customHeight="1">
      <c r="L417" s="346" t="n"/>
      <c r="AW417" s="346" t="n"/>
    </row>
    <row r="418" ht="14.45" customHeight="1">
      <c r="L418" s="346" t="n"/>
      <c r="AW418" s="346" t="n"/>
    </row>
    <row r="419" ht="14.45" customHeight="1">
      <c r="L419" s="346" t="n"/>
      <c r="AW419" s="346" t="n"/>
    </row>
    <row r="420" ht="14.45" customHeight="1">
      <c r="L420" s="346" t="n"/>
      <c r="AW420" s="346" t="n"/>
    </row>
    <row r="421" ht="14.45" customHeight="1">
      <c r="L421" s="346" t="n"/>
      <c r="AW421" s="346" t="n"/>
    </row>
    <row r="422" ht="14.45" customHeight="1">
      <c r="L422" s="346" t="n"/>
      <c r="AW422" s="346" t="n"/>
    </row>
    <row r="423" ht="14.45" customHeight="1">
      <c r="L423" s="346" t="n"/>
      <c r="AW423" s="346" t="n"/>
    </row>
    <row r="424" ht="14.45" customHeight="1">
      <c r="L424" s="346" t="n"/>
      <c r="AW424" s="346" t="n"/>
    </row>
    <row r="425" ht="14.45" customHeight="1">
      <c r="L425" s="346" t="n"/>
      <c r="AW425" s="346" t="n"/>
    </row>
    <row r="426" ht="14.45" customHeight="1">
      <c r="L426" s="346" t="n"/>
      <c r="AW426" s="346" t="n"/>
    </row>
    <row r="427" ht="14.45" customHeight="1">
      <c r="L427" s="346" t="n"/>
      <c r="AW427" s="346" t="n"/>
    </row>
    <row r="428" ht="14.45" customHeight="1">
      <c r="L428" s="346" t="n"/>
      <c r="AW428" s="346" t="n"/>
    </row>
    <row r="429" ht="14.45" customHeight="1">
      <c r="L429" s="346" t="n"/>
      <c r="AW429" s="346" t="n"/>
    </row>
    <row r="430" ht="14.45" customHeight="1">
      <c r="L430" s="346" t="n"/>
      <c r="AW430" s="346" t="n"/>
    </row>
    <row r="431" ht="14.45" customHeight="1">
      <c r="L431" s="346" t="n"/>
      <c r="AW431" s="346" t="n"/>
    </row>
    <row r="432" ht="14.45" customHeight="1">
      <c r="L432" s="346" t="n"/>
      <c r="AW432" s="346" t="n"/>
    </row>
    <row r="433" ht="14.45" customHeight="1">
      <c r="L433" s="346" t="n"/>
      <c r="AW433" s="346" t="n"/>
    </row>
    <row r="434" ht="14.45" customHeight="1">
      <c r="L434" s="346" t="n"/>
      <c r="AW434" s="346" t="n"/>
    </row>
    <row r="435" ht="14.45" customHeight="1">
      <c r="L435" s="346" t="n"/>
      <c r="AW435" s="346" t="n"/>
    </row>
    <row r="436" ht="14.45" customHeight="1">
      <c r="L436" s="346" t="n"/>
      <c r="AW436" s="346" t="n"/>
    </row>
    <row r="437" ht="14.45" customHeight="1">
      <c r="L437" s="346" t="n"/>
      <c r="AW437" s="346" t="n"/>
    </row>
    <row r="438" ht="14.45" customHeight="1">
      <c r="L438" s="346" t="n"/>
      <c r="AW438" s="346" t="n"/>
    </row>
    <row r="439" ht="14.45" customHeight="1">
      <c r="L439" s="346" t="n"/>
      <c r="AW439" s="346" t="n"/>
    </row>
    <row r="440" ht="14.45" customHeight="1">
      <c r="L440" s="346" t="n"/>
      <c r="AW440" s="346" t="n"/>
    </row>
    <row r="441" ht="14.45" customHeight="1">
      <c r="L441" s="346" t="n"/>
      <c r="AW441" s="346" t="n"/>
    </row>
    <row r="442" ht="14.45" customHeight="1">
      <c r="L442" s="346" t="n"/>
      <c r="AW442" s="346" t="n"/>
    </row>
    <row r="443" ht="14.45" customHeight="1">
      <c r="L443" s="346" t="n"/>
      <c r="AW443" s="346" t="n"/>
    </row>
    <row r="444" ht="14.45" customHeight="1">
      <c r="L444" s="346" t="n"/>
      <c r="AW444" s="346" t="n"/>
    </row>
    <row r="445" ht="14.45" customHeight="1">
      <c r="L445" s="346" t="n"/>
      <c r="AW445" s="346" t="n"/>
    </row>
    <row r="446" ht="14.45" customHeight="1">
      <c r="L446" s="346" t="n"/>
      <c r="AW446" s="346" t="n"/>
    </row>
    <row r="447" ht="14.45" customHeight="1">
      <c r="L447" s="346" t="n"/>
      <c r="AW447" s="346" t="n"/>
    </row>
    <row r="448" ht="14.45" customHeight="1">
      <c r="L448" s="346" t="n"/>
      <c r="AW448" s="346" t="n"/>
    </row>
    <row r="449" ht="14.45" customHeight="1">
      <c r="L449" s="346" t="n"/>
      <c r="AW449" s="346" t="n"/>
    </row>
    <row r="450" ht="14.45" customHeight="1">
      <c r="L450" s="346" t="n"/>
      <c r="AW450" s="346" t="n"/>
    </row>
    <row r="451" ht="14.45" customHeight="1">
      <c r="L451" s="346" t="n"/>
      <c r="AW451" s="346" t="n"/>
    </row>
    <row r="452" ht="14.45" customHeight="1">
      <c r="L452" s="346" t="n"/>
      <c r="AW452" s="346" t="n"/>
    </row>
    <row r="453" ht="14.45" customHeight="1">
      <c r="L453" s="346" t="n"/>
      <c r="AW453" s="346" t="n"/>
    </row>
    <row r="454" ht="14.45" customHeight="1">
      <c r="L454" s="346" t="n"/>
      <c r="AW454" s="346" t="n"/>
    </row>
    <row r="455" ht="14.45" customHeight="1">
      <c r="L455" s="346" t="n"/>
      <c r="AW455" s="346" t="n"/>
    </row>
    <row r="456" ht="14.45" customHeight="1">
      <c r="L456" s="346" t="n"/>
      <c r="AW456" s="346" t="n"/>
    </row>
    <row r="457" ht="14.45" customHeight="1">
      <c r="L457" s="346" t="n"/>
      <c r="AW457" s="346" t="n"/>
    </row>
    <row r="458" ht="14.45" customHeight="1">
      <c r="L458" s="346" t="n"/>
      <c r="AW458" s="346" t="n"/>
    </row>
    <row r="459" ht="14.45" customHeight="1">
      <c r="L459" s="346" t="n"/>
      <c r="AW459" s="346" t="n"/>
    </row>
    <row r="460" ht="14.45" customHeight="1">
      <c r="L460" s="346" t="n"/>
      <c r="AW460" s="346" t="n"/>
    </row>
    <row r="461" ht="14.45" customHeight="1">
      <c r="L461" s="346" t="n"/>
      <c r="AW461" s="346" t="n"/>
    </row>
    <row r="462" ht="14.45" customHeight="1">
      <c r="L462" s="346" t="n"/>
      <c r="AW462" s="346" t="n"/>
    </row>
    <row r="463" ht="14.45" customHeight="1">
      <c r="L463" s="346" t="n"/>
      <c r="AW463" s="346" t="n"/>
    </row>
    <row r="464" ht="14.45" customHeight="1">
      <c r="L464" s="346" t="n"/>
      <c r="AW464" s="346" t="n"/>
    </row>
    <row r="465" ht="14.45" customHeight="1">
      <c r="L465" s="346" t="n"/>
      <c r="AW465" s="346" t="n"/>
    </row>
    <row r="466" ht="14.45" customHeight="1">
      <c r="L466" s="346" t="n"/>
      <c r="AW466" s="346" t="n"/>
    </row>
    <row r="467" ht="14.45" customHeight="1">
      <c r="L467" s="346" t="n"/>
      <c r="AW467" s="346" t="n"/>
    </row>
    <row r="468" ht="14.45" customHeight="1">
      <c r="L468" s="346" t="n"/>
      <c r="AW468" s="346" t="n"/>
    </row>
    <row r="469" ht="14.45" customHeight="1">
      <c r="L469" s="346" t="n"/>
      <c r="AW469" s="346" t="n"/>
    </row>
    <row r="470" ht="14.45" customHeight="1">
      <c r="L470" s="346" t="n"/>
      <c r="AW470" s="346" t="n"/>
    </row>
    <row r="471" ht="14.45" customHeight="1">
      <c r="L471" s="346" t="n"/>
      <c r="AW471" s="346" t="n"/>
    </row>
    <row r="472" ht="14.45" customHeight="1">
      <c r="L472" s="346" t="n"/>
      <c r="AW472" s="346" t="n"/>
    </row>
    <row r="473" ht="14.45" customHeight="1">
      <c r="L473" s="346" t="n"/>
      <c r="AW473" s="346" t="n"/>
    </row>
    <row r="474" ht="14.45" customHeight="1">
      <c r="L474" s="346" t="n"/>
      <c r="AW474" s="346" t="n"/>
    </row>
    <row r="475" ht="14.45" customHeight="1">
      <c r="L475" s="346" t="n"/>
      <c r="AW475" s="346" t="n"/>
    </row>
    <row r="476" ht="14.45" customHeight="1">
      <c r="L476" s="346" t="n"/>
      <c r="AW476" s="346" t="n"/>
    </row>
    <row r="477" ht="14.45" customHeight="1">
      <c r="L477" s="346" t="n"/>
      <c r="AW477" s="346" t="n"/>
    </row>
    <row r="478" ht="14.45" customHeight="1">
      <c r="L478" s="346" t="n"/>
      <c r="AW478" s="346" t="n"/>
    </row>
    <row r="479" ht="14.45" customHeight="1">
      <c r="L479" s="346" t="n"/>
      <c r="AW479" s="346" t="n"/>
    </row>
    <row r="480" ht="14.45" customHeight="1">
      <c r="L480" s="346" t="n"/>
      <c r="AW480" s="346" t="n"/>
    </row>
    <row r="481" ht="14.45" customHeight="1">
      <c r="L481" s="346" t="n"/>
      <c r="AW481" s="346" t="n"/>
    </row>
    <row r="482" ht="14.45" customHeight="1">
      <c r="L482" s="346" t="n"/>
      <c r="AW482" s="346" t="n"/>
    </row>
    <row r="483" ht="14.45" customHeight="1">
      <c r="L483" s="346" t="n"/>
      <c r="AW483" s="346" t="n"/>
    </row>
    <row r="484" ht="14.45" customHeight="1">
      <c r="L484" s="346" t="n"/>
      <c r="AW484" s="346" t="n"/>
    </row>
    <row r="485" ht="14.45" customHeight="1">
      <c r="L485" s="346" t="n"/>
      <c r="AW485" s="346" t="n"/>
    </row>
    <row r="486" ht="14.45" customHeight="1">
      <c r="L486" s="346" t="n"/>
      <c r="AW486" s="346" t="n"/>
    </row>
    <row r="487" ht="14.45" customHeight="1">
      <c r="L487" s="346" t="n"/>
      <c r="AW487" s="346" t="n"/>
    </row>
    <row r="488" ht="14.45" customHeight="1">
      <c r="L488" s="346" t="n"/>
      <c r="AW488" s="346" t="n"/>
    </row>
    <row r="489" ht="14.45" customHeight="1">
      <c r="L489" s="346" t="n"/>
      <c r="AW489" s="346" t="n"/>
    </row>
    <row r="490" ht="14.45" customHeight="1">
      <c r="L490" s="346" t="n"/>
      <c r="AW490" s="346" t="n"/>
    </row>
    <row r="491" ht="14.45" customHeight="1">
      <c r="L491" s="346" t="n"/>
      <c r="AW491" s="346" t="n"/>
    </row>
    <row r="492" ht="14.45" customHeight="1">
      <c r="L492" s="346" t="n"/>
      <c r="AW492" s="346" t="n"/>
    </row>
    <row r="493" ht="14.45" customHeight="1">
      <c r="L493" s="346" t="n"/>
      <c r="AW493" s="346" t="n"/>
    </row>
    <row r="494" ht="14.45" customHeight="1">
      <c r="L494" s="346" t="n"/>
      <c r="AW494" s="346" t="n"/>
    </row>
    <row r="495" ht="14.45" customHeight="1">
      <c r="L495" s="346" t="n"/>
      <c r="AW495" s="346" t="n"/>
    </row>
    <row r="496" ht="14.45" customHeight="1">
      <c r="L496" s="346" t="n"/>
      <c r="AW496" s="346" t="n"/>
    </row>
    <row r="497" ht="14.45" customHeight="1">
      <c r="L497" s="346" t="n"/>
      <c r="AW497" s="346" t="n"/>
    </row>
    <row r="498" ht="14.45" customHeight="1">
      <c r="L498" s="346" t="n"/>
      <c r="AW498" s="346" t="n"/>
    </row>
    <row r="499" ht="14.45" customHeight="1">
      <c r="L499" s="346" t="n"/>
      <c r="AW499" s="346" t="n"/>
    </row>
    <row r="500" ht="14.45" customHeight="1">
      <c r="L500" s="346" t="n"/>
      <c r="AW500" s="346" t="n"/>
    </row>
    <row r="501" ht="14.45" customHeight="1">
      <c r="L501" s="346" t="n"/>
      <c r="AW501" s="346" t="n"/>
    </row>
    <row r="502" ht="14.45" customHeight="1">
      <c r="L502" s="346" t="n"/>
      <c r="AW502" s="346" t="n"/>
    </row>
    <row r="503" ht="14.45" customHeight="1">
      <c r="L503" s="346" t="n"/>
      <c r="AW503" s="346" t="n"/>
    </row>
    <row r="504" ht="14.45" customHeight="1">
      <c r="L504" s="346" t="n"/>
      <c r="AW504" s="346" t="n"/>
    </row>
    <row r="505" ht="14.45" customHeight="1">
      <c r="L505" s="346" t="n"/>
      <c r="AW505" s="346" t="n"/>
    </row>
    <row r="506" ht="14.45" customHeight="1">
      <c r="L506" s="346" t="n"/>
      <c r="AW506" s="346" t="n"/>
    </row>
    <row r="507" ht="14.45" customHeight="1">
      <c r="L507" s="346" t="n"/>
      <c r="AW507" s="346" t="n"/>
    </row>
    <row r="508" ht="14.45" customHeight="1">
      <c r="L508" s="346" t="n"/>
      <c r="AW508" s="346" t="n"/>
    </row>
    <row r="509" ht="14.45" customHeight="1">
      <c r="L509" s="346" t="n"/>
      <c r="AW509" s="346" t="n"/>
    </row>
    <row r="510" ht="14.45" customHeight="1">
      <c r="L510" s="346" t="n"/>
      <c r="AW510" s="346" t="n"/>
    </row>
    <row r="511" ht="14.45" customHeight="1">
      <c r="L511" s="346" t="n"/>
      <c r="AW511" s="346" t="n"/>
    </row>
    <row r="512" ht="14.45" customHeight="1">
      <c r="L512" s="346" t="n"/>
      <c r="AW512" s="346" t="n"/>
    </row>
    <row r="513" ht="14.45" customHeight="1">
      <c r="L513" s="346" t="n"/>
      <c r="AW513" s="346" t="n"/>
    </row>
    <row r="514" ht="14.45" customHeight="1">
      <c r="L514" s="346" t="n"/>
      <c r="AW514" s="346" t="n"/>
    </row>
    <row r="515" ht="14.45" customHeight="1">
      <c r="L515" s="346" t="n"/>
      <c r="AW515" s="346" t="n"/>
    </row>
    <row r="516" ht="14.45" customHeight="1">
      <c r="L516" s="346" t="n"/>
      <c r="AW516" s="346" t="n"/>
    </row>
    <row r="517" ht="14.45" customHeight="1">
      <c r="L517" s="346" t="n"/>
      <c r="AW517" s="346" t="n"/>
    </row>
    <row r="518" ht="14.45" customHeight="1">
      <c r="L518" s="346" t="n"/>
      <c r="AW518" s="346" t="n"/>
    </row>
    <row r="519" ht="14.45" customHeight="1">
      <c r="L519" s="346" t="n"/>
      <c r="AW519" s="346" t="n"/>
    </row>
    <row r="520" ht="14.45" customHeight="1">
      <c r="L520" s="346" t="n"/>
      <c r="AW520" s="346" t="n"/>
    </row>
    <row r="521" ht="14.45" customHeight="1">
      <c r="L521" s="346" t="n"/>
      <c r="AW521" s="346" t="n"/>
    </row>
    <row r="522" ht="14.45" customHeight="1">
      <c r="L522" s="346" t="n"/>
      <c r="AW522" s="346" t="n"/>
    </row>
    <row r="523" ht="14.45" customHeight="1">
      <c r="L523" s="346" t="n"/>
      <c r="AW523" s="346" t="n"/>
    </row>
    <row r="524" ht="14.45" customHeight="1">
      <c r="L524" s="346" t="n"/>
      <c r="AW524" s="346" t="n"/>
    </row>
    <row r="525" ht="14.45" customHeight="1">
      <c r="L525" s="346" t="n"/>
      <c r="AW525" s="346" t="n"/>
    </row>
    <row r="526" ht="14.45" customHeight="1">
      <c r="L526" s="346" t="n"/>
      <c r="AW526" s="346" t="n"/>
    </row>
    <row r="527" ht="14.45" customHeight="1">
      <c r="L527" s="346" t="n"/>
      <c r="AW527" s="346" t="n"/>
    </row>
    <row r="528" ht="14.45" customHeight="1">
      <c r="L528" s="346" t="n"/>
      <c r="AW528" s="346" t="n"/>
    </row>
    <row r="529" ht="14.45" customHeight="1">
      <c r="L529" s="346" t="n"/>
      <c r="AW529" s="346" t="n"/>
    </row>
    <row r="530" ht="14.45" customHeight="1">
      <c r="L530" s="346" t="n"/>
      <c r="AW530" s="346" t="n"/>
    </row>
    <row r="531" ht="14.45" customHeight="1">
      <c r="L531" s="346" t="n"/>
      <c r="AW531" s="346" t="n"/>
    </row>
    <row r="532" ht="14.45" customHeight="1">
      <c r="L532" s="346" t="n"/>
      <c r="AW532" s="346" t="n"/>
    </row>
    <row r="533" ht="14.45" customHeight="1">
      <c r="L533" s="346" t="n"/>
      <c r="AW533" s="346" t="n"/>
    </row>
    <row r="534" ht="14.45" customHeight="1">
      <c r="L534" s="346" t="n"/>
      <c r="AW534" s="346" t="n"/>
    </row>
    <row r="535" ht="14.45" customHeight="1">
      <c r="L535" s="346" t="n"/>
      <c r="AW535" s="346" t="n"/>
    </row>
    <row r="536" ht="14.45" customHeight="1">
      <c r="L536" s="346" t="n"/>
      <c r="AW536" s="346" t="n"/>
    </row>
    <row r="537" ht="14.45" customHeight="1">
      <c r="L537" s="346" t="n"/>
      <c r="AW537" s="346" t="n"/>
    </row>
    <row r="538" ht="14.45" customHeight="1">
      <c r="L538" s="346" t="n"/>
      <c r="AW538" s="346" t="n"/>
    </row>
    <row r="539" ht="14.45" customHeight="1">
      <c r="L539" s="346" t="n"/>
      <c r="AW539" s="346" t="n"/>
    </row>
    <row r="540" ht="14.45" customHeight="1">
      <c r="L540" s="346" t="n"/>
      <c r="AW540" s="346" t="n"/>
    </row>
    <row r="541" ht="14.45" customHeight="1">
      <c r="L541" s="346" t="n"/>
      <c r="AW541" s="346" t="n"/>
    </row>
    <row r="542" ht="14.45" customHeight="1">
      <c r="L542" s="346" t="n"/>
      <c r="AW542" s="346" t="n"/>
    </row>
    <row r="543" ht="14.45" customHeight="1">
      <c r="L543" s="346" t="n"/>
      <c r="AW543" s="346" t="n"/>
    </row>
    <row r="544" ht="14.45" customHeight="1">
      <c r="L544" s="346" t="n"/>
      <c r="AW544" s="346" t="n"/>
    </row>
    <row r="545" ht="14.45" customHeight="1">
      <c r="L545" s="346" t="n"/>
      <c r="AW545" s="346" t="n"/>
    </row>
    <row r="546" ht="14.45" customHeight="1">
      <c r="L546" s="346" t="n"/>
      <c r="AW546" s="346" t="n"/>
    </row>
    <row r="547" ht="14.45" customHeight="1">
      <c r="L547" s="346" t="n"/>
      <c r="AW547" s="346" t="n"/>
    </row>
    <row r="548" ht="14.45" customHeight="1">
      <c r="L548" s="346" t="n"/>
      <c r="AW548" s="346" t="n"/>
    </row>
  </sheetData>
  <mergeCells count="24">
    <mergeCell ref="V10:X10"/>
    <mergeCell ref="M10:O10"/>
    <mergeCell ref="BA10:BC10"/>
    <mergeCell ref="BG10:BI10"/>
    <mergeCell ref="Y10:AA10"/>
    <mergeCell ref="AH10:AJ10"/>
    <mergeCell ref="BM10:BO10"/>
    <mergeCell ref="BS10:BU10"/>
    <mergeCell ref="S10:U10"/>
    <mergeCell ref="AK10:AM10"/>
    <mergeCell ref="BD10:BF10"/>
    <mergeCell ref="AT10:AV10"/>
    <mergeCell ref="AE10:AG10"/>
    <mergeCell ref="AQ10:AS10"/>
    <mergeCell ref="CE10:CG10"/>
    <mergeCell ref="BP10:BR10"/>
    <mergeCell ref="CB10:CD10"/>
    <mergeCell ref="AB10:AD10"/>
    <mergeCell ref="AN10:AP10"/>
    <mergeCell ref="BY10:CA10"/>
    <mergeCell ref="AX10:AZ10"/>
    <mergeCell ref="P10:R10"/>
    <mergeCell ref="BJ10:BL10"/>
    <mergeCell ref="BV10:BX10"/>
  </mergeCells>
  <conditionalFormatting sqref="G14:G31 G33:G54">
    <cfRule type="cellIs" priority="41" operator="equal" dxfId="114">
      <formula>"NB-Offboarded"</formula>
    </cfRule>
    <cfRule type="cellIs" priority="42" operator="equal" dxfId="115">
      <formula>"NB-In-seat"</formula>
    </cfRule>
    <cfRule type="cellIs" priority="43" operator="equal" dxfId="116">
      <formula>"NB-Ready"</formula>
    </cfRule>
    <cfRule type="cellIs" priority="44" operator="equal" dxfId="119">
      <formula>"Cancelled"</formula>
    </cfRule>
    <cfRule type="cellIs" priority="45" operator="equal" dxfId="118">
      <formula>"Hold"</formula>
    </cfRule>
    <cfRule type="cellIs" priority="46" operator="equal" dxfId="117">
      <formula>"Sourcing"</formula>
    </cfRule>
    <cfRule type="cellIs" priority="47" operator="equal" dxfId="116">
      <formula>"Ready"</formula>
    </cfRule>
    <cfRule type="cellIs" priority="48" operator="equal" dxfId="115">
      <formula>"In-seat"</formula>
    </cfRule>
    <cfRule type="cellIs" priority="49" operator="equal" dxfId="114">
      <formula>"Offboarded"</formula>
    </cfRule>
  </conditionalFormatting>
  <conditionalFormatting sqref="M8:AV8">
    <cfRule type="colorScale" priority="346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M9:AV9">
    <cfRule type="colorScale" priority="348">
      <colorScale>
        <cfvo type="min"/>
        <cfvo type="percentile" val="50"/>
        <cfvo type="max"/>
        <color rgb="FF92D050"/>
        <color rgb="FFFFC000"/>
        <color theme="5" tint="-0.249977111117893"/>
      </colorScale>
    </cfRule>
  </conditionalFormatting>
  <conditionalFormatting sqref="G12:G13">
    <cfRule type="cellIs" priority="1" operator="equal" dxfId="114">
      <formula>"NB-Offboarded"</formula>
    </cfRule>
    <cfRule type="cellIs" priority="2" operator="equal" dxfId="115">
      <formula>"NB-In-seat"</formula>
    </cfRule>
    <cfRule type="cellIs" priority="3" operator="equal" dxfId="116">
      <formula>"NB-Ready"</formula>
    </cfRule>
    <cfRule type="cellIs" priority="4" operator="equal" dxfId="119">
      <formula>"Cancelled"</formula>
    </cfRule>
    <cfRule type="cellIs" priority="5" operator="equal" dxfId="118">
      <formula>"Hold"</formula>
    </cfRule>
    <cfRule type="cellIs" priority="6" operator="equal" dxfId="117">
      <formula>"Sourcing"</formula>
    </cfRule>
    <cfRule type="cellIs" priority="7" operator="equal" dxfId="116">
      <formula>"Ready"</formula>
    </cfRule>
    <cfRule type="cellIs" priority="8" operator="equal" dxfId="115">
      <formula>"In-seat"</formula>
    </cfRule>
    <cfRule type="cellIs" priority="9" operator="equal" dxfId="114">
      <formula>"Offboarded"</formula>
    </cfRule>
  </conditionalFormatting>
  <dataValidations count="1">
    <dataValidation sqref="B22:B59" showDropDown="0" showInputMessage="1" showErrorMessage="1" allowBlank="1" type="list">
      <formula1>"Program Manager Related Costs,Staff Payroll Related Costs,Travel Costs,Entertainment,Non-payroll related training costs,Admin costs/Audit/Assurance, Software Licensing Purchsing including Azure,Re-design of data &amp; process, Other hardware/software"</formula1>
    </dataValidation>
  </dataValidations>
  <pageMargins left="0.5" right="0.5" top="0.75" bottom="0.7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1">
    <tabColor rgb="FF404040"/>
    <outlinePr summaryBelow="1" summaryRight="1"/>
    <pageSetUpPr fitToPage="1"/>
  </sheetPr>
  <dimension ref="A1:X962"/>
  <sheetViews>
    <sheetView showGridLines="0" topLeftCell="D1" zoomScale="65" zoomScaleNormal="55" workbookViewId="0">
      <pane ySplit="2" topLeftCell="A3" activePane="bottomLeft" state="frozen"/>
      <selection activeCell="C3" sqref="C3:C11"/>
    </sheetView>
  </sheetViews>
  <sheetFormatPr baseColWidth="8" defaultRowHeight="15" customHeight="1"/>
  <cols>
    <col width="1.7109375" customWidth="1" min="1" max="1"/>
    <col width="53.42578125" customWidth="1" min="2" max="2"/>
    <col width="53.42578125" bestFit="1" customWidth="1" min="3" max="3"/>
    <col width="27.5703125" bestFit="1" customWidth="1" min="4" max="4"/>
    <col width="42.7109375" customWidth="1" min="5" max="5"/>
    <col width="28" customWidth="1" min="6" max="6"/>
    <col width="33.5703125" customWidth="1" min="7" max="7"/>
    <col width="1.85546875" customWidth="1" min="8" max="8"/>
    <col outlineLevel="1" width="30.7109375" customWidth="1" min="9" max="9"/>
    <col outlineLevel="1" width="15" customWidth="1" min="10" max="10"/>
    <col outlineLevel="1" width="17.85546875" customWidth="1" min="11" max="11"/>
    <col outlineLevel="1" width="30.7109375" bestFit="1" customWidth="1" min="12" max="12"/>
    <col outlineLevel="1" width="15.5703125" customWidth="1" min="13" max="13"/>
    <col outlineLevel="1" width="17.85546875" customWidth="1" min="14" max="15"/>
    <col width="14.5703125" customWidth="1" min="16" max="16"/>
    <col width="9.5703125" bestFit="1" customWidth="1" min="17" max="17"/>
    <col width="16.140625" bestFit="1" customWidth="1" min="18" max="18"/>
    <col width="37.85546875" bestFit="1" customWidth="1" min="20" max="20"/>
    <col width="24" bestFit="1" customWidth="1" min="22" max="22"/>
    <col width="22.28515625" bestFit="1" customWidth="1" min="23" max="23"/>
    <col width="34.5703125" customWidth="1" min="24" max="24"/>
  </cols>
  <sheetData>
    <row r="1" ht="21.6" customHeight="1" thickBot="1">
      <c r="G1" s="336" t="inlineStr">
        <is>
          <t>3PolandShell Business</t>
        </is>
      </c>
      <c r="I1" s="369" t="inlineStr">
        <is>
          <t>Rates @ Tariff/Contract</t>
        </is>
      </c>
      <c r="J1" s="370" t="n"/>
      <c r="K1" s="370" t="n"/>
      <c r="L1" s="370" t="n"/>
      <c r="M1" s="370" t="n"/>
      <c r="N1" s="371" t="n"/>
      <c r="O1" s="171" t="n"/>
    </row>
    <row r="2" ht="31.15" customHeight="1" thickBot="1">
      <c r="B2" s="372" t="inlineStr">
        <is>
          <t>Variance Reason (Standardized)</t>
        </is>
      </c>
      <c r="C2" s="372" t="inlineStr">
        <is>
          <t>WS Name [ServiceNow project]</t>
        </is>
      </c>
      <c r="D2" s="372" t="inlineStr">
        <is>
          <t>Staff type</t>
        </is>
      </c>
      <c r="E2" s="372" t="inlineStr">
        <is>
          <t>WS Project Manager</t>
        </is>
      </c>
      <c r="F2" s="372" t="inlineStr">
        <is>
          <t>WS PMO</t>
        </is>
      </c>
      <c r="G2" s="372" t="inlineStr">
        <is>
          <t>WBSE</t>
        </is>
      </c>
      <c r="I2" s="373" t="inlineStr">
        <is>
          <t>Assumptions/Calculations:</t>
        </is>
      </c>
      <c r="J2" s="118" t="n"/>
      <c r="K2" s="118" t="n"/>
      <c r="L2" s="118" t="n"/>
      <c r="M2" s="118" t="n"/>
      <c r="N2" s="119" t="n"/>
      <c r="O2" s="133" t="n"/>
      <c r="Q2" s="374" t="inlineStr">
        <is>
          <t>Period</t>
        </is>
      </c>
      <c r="R2" s="374" t="inlineStr">
        <is>
          <t>Provider</t>
        </is>
      </c>
      <c r="T2" s="375" t="inlineStr">
        <is>
          <t>Other LE cost type drop down</t>
        </is>
      </c>
    </row>
    <row r="3" ht="32.1" customHeight="1">
      <c r="B3" s="376" t="inlineStr">
        <is>
          <t>Missing / delayed timewriting</t>
        </is>
      </c>
      <c r="C3" s="376" t="inlineStr">
        <is>
          <t>Program Management</t>
        </is>
      </c>
      <c r="D3" s="376" t="inlineStr">
        <is>
          <t>Staff</t>
        </is>
      </c>
      <c r="E3" s="1" t="n"/>
      <c r="F3" s="1" t="n"/>
      <c r="G3" s="1" t="n"/>
      <c r="H3" s="72" t="n"/>
      <c r="I3" s="377" t="inlineStr">
        <is>
          <t>CONCAT</t>
        </is>
      </c>
      <c r="J3" s="378" t="inlineStr">
        <is>
          <t>JG</t>
        </is>
      </c>
      <c r="K3" s="378" t="inlineStr">
        <is>
          <t>Location</t>
        </is>
      </c>
      <c r="L3" s="378" t="inlineStr">
        <is>
          <t>Company</t>
        </is>
      </c>
      <c r="M3" s="379" t="inlineStr">
        <is>
          <t>2026
Daily rate</t>
        </is>
      </c>
      <c r="N3" s="380" t="inlineStr">
        <is>
          <t>2027
Daily rate</t>
        </is>
      </c>
      <c r="O3" s="381" t="inlineStr">
        <is>
          <t>Annual Rate in USD</t>
        </is>
      </c>
      <c r="Q3" s="6" t="n"/>
      <c r="R3" s="382" t="inlineStr">
        <is>
          <t>Provider 1</t>
        </is>
      </c>
      <c r="T3" s="383" t="inlineStr">
        <is>
          <t>Program Manager Related Costs</t>
        </is>
      </c>
    </row>
    <row r="4" ht="14.45" customHeight="1">
      <c r="B4" s="384" t="inlineStr">
        <is>
          <t>Vacation / leaves</t>
        </is>
      </c>
      <c r="C4" s="384" t="inlineStr">
        <is>
          <t>Prosmar Crude</t>
        </is>
      </c>
      <c r="D4" s="385" t="inlineStr">
        <is>
          <t>Contractor</t>
        </is>
      </c>
      <c r="H4" s="72" t="n"/>
      <c r="I4" s="386">
        <f>CONCAT(J4,K4,L4)</f>
        <v/>
      </c>
      <c r="J4" s="387" t="inlineStr">
        <is>
          <t>A</t>
        </is>
      </c>
      <c r="K4" s="387" t="inlineStr">
        <is>
          <t>India</t>
        </is>
      </c>
      <c r="L4" s="387" t="inlineStr">
        <is>
          <t>Shell IDT</t>
        </is>
      </c>
      <c r="M4" s="388" t="n">
        <v>1240</v>
      </c>
      <c r="N4" s="389" t="n"/>
      <c r="O4" s="390" t="n"/>
      <c r="Q4" s="391" t="n">
        <v>46023</v>
      </c>
      <c r="R4" s="392" t="inlineStr">
        <is>
          <t>TBZ</t>
        </is>
      </c>
      <c r="T4" s="385" t="inlineStr">
        <is>
          <t>Staff Payroll Related Costs</t>
        </is>
      </c>
    </row>
    <row r="5" ht="14.45" customHeight="1">
      <c r="B5" s="376" t="inlineStr">
        <is>
          <t>Delay in onboarding</t>
        </is>
      </c>
      <c r="C5" s="376" t="inlineStr">
        <is>
          <t>Prosmar Products</t>
        </is>
      </c>
      <c r="H5" s="72" t="n"/>
      <c r="I5" s="393">
        <f>CONCAT(J5,K5,L5)</f>
        <v/>
      </c>
      <c r="J5" s="394" t="inlineStr">
        <is>
          <t>B</t>
        </is>
      </c>
      <c r="K5" s="394" t="inlineStr">
        <is>
          <t>India</t>
        </is>
      </c>
      <c r="L5" s="394" t="inlineStr">
        <is>
          <t>Shell IDT</t>
        </is>
      </c>
      <c r="M5" s="395" t="n">
        <v>1240</v>
      </c>
      <c r="N5" s="396" t="n"/>
      <c r="O5" s="397" t="n"/>
      <c r="Q5" s="398" t="n">
        <v>46054</v>
      </c>
      <c r="R5" s="382" t="inlineStr">
        <is>
          <t>Provider 3</t>
        </is>
      </c>
      <c r="T5" s="383" t="inlineStr">
        <is>
          <t>Travel Costs</t>
        </is>
      </c>
    </row>
    <row r="6" ht="14.45" customHeight="1">
      <c r="B6" s="384" t="inlineStr">
        <is>
          <t>Fieldglass / Tool issues</t>
        </is>
      </c>
      <c r="C6" s="384" t="inlineStr">
        <is>
          <t>VPD</t>
        </is>
      </c>
      <c r="H6" s="72" t="n"/>
      <c r="I6" s="386">
        <f>CONCAT(J6,K6,L6)</f>
        <v/>
      </c>
      <c r="J6" s="387" t="n">
        <v>1</v>
      </c>
      <c r="K6" s="387" t="inlineStr">
        <is>
          <t>India</t>
        </is>
      </c>
      <c r="L6" s="387" t="inlineStr">
        <is>
          <t>Shell IDT</t>
        </is>
      </c>
      <c r="M6" s="388" t="n">
        <v>720</v>
      </c>
      <c r="N6" s="389" t="n"/>
      <c r="O6" s="390" t="n"/>
      <c r="Q6" s="391" t="n">
        <v>46082</v>
      </c>
      <c r="R6" s="392" t="inlineStr">
        <is>
          <t>Provider 4</t>
        </is>
      </c>
      <c r="T6" s="385" t="inlineStr">
        <is>
          <t>Team Engagement</t>
        </is>
      </c>
    </row>
    <row r="7" ht="14.45" customHeight="1">
      <c r="B7" s="376" t="inlineStr">
        <is>
          <t>Lower / higher TW than planed</t>
        </is>
      </c>
      <c r="C7" s="376" t="inlineStr">
        <is>
          <t>GATOR</t>
        </is>
      </c>
      <c r="H7" s="72" t="n"/>
      <c r="I7" s="393">
        <f>CONCAT(J7,K7,L7)</f>
        <v/>
      </c>
      <c r="J7" s="394" t="n">
        <v>2</v>
      </c>
      <c r="K7" s="394" t="inlineStr">
        <is>
          <t>India</t>
        </is>
      </c>
      <c r="L7" s="394" t="inlineStr">
        <is>
          <t>Shell IDT</t>
        </is>
      </c>
      <c r="M7" s="395" t="n">
        <v>720</v>
      </c>
      <c r="N7" s="396" t="n"/>
      <c r="O7" s="397" t="n"/>
      <c r="Q7" s="399" t="n">
        <v>46113</v>
      </c>
      <c r="R7" s="382" t="inlineStr">
        <is>
          <t>Provider 5</t>
        </is>
      </c>
      <c r="T7" s="383" t="inlineStr">
        <is>
          <t>Non-payroll related training costs</t>
        </is>
      </c>
    </row>
    <row r="8" ht="14.45" customHeight="1">
      <c r="B8" s="384" t="inlineStr">
        <is>
          <t>Delay in PO / SOW creation</t>
        </is>
      </c>
      <c r="C8" s="384" t="inlineStr">
        <is>
          <t>USDF</t>
        </is>
      </c>
      <c r="H8" s="72" t="n"/>
      <c r="I8" s="386">
        <f>CONCAT(J8,K8,L8)</f>
        <v/>
      </c>
      <c r="J8" s="387" t="n">
        <v>3</v>
      </c>
      <c r="K8" s="387" t="inlineStr">
        <is>
          <t>India</t>
        </is>
      </c>
      <c r="L8" s="387" t="inlineStr">
        <is>
          <t>Shell IDT</t>
        </is>
      </c>
      <c r="M8" s="388" t="n">
        <v>456</v>
      </c>
      <c r="N8" s="389" t="n"/>
      <c r="O8" s="390" t="n"/>
      <c r="Q8" s="391" t="n">
        <v>46143</v>
      </c>
      <c r="R8" s="392" t="inlineStr">
        <is>
          <t>Shell IDT</t>
        </is>
      </c>
      <c r="T8" s="385" t="inlineStr">
        <is>
          <t>Admin costs/Audit/Assurance</t>
        </is>
      </c>
    </row>
    <row r="9" ht="14.45" customHeight="1">
      <c r="B9" s="376" t="inlineStr">
        <is>
          <t>Missing invoices</t>
        </is>
      </c>
      <c r="C9" s="376" t="inlineStr">
        <is>
          <t>JIGSAW &amp; PDS Process work</t>
        </is>
      </c>
      <c r="H9" s="72" t="n"/>
      <c r="I9" s="393">
        <f>CONCAT(J9,K9,L9)</f>
        <v/>
      </c>
      <c r="J9" s="394" t="n">
        <v>4</v>
      </c>
      <c r="K9" s="394" t="inlineStr">
        <is>
          <t>India</t>
        </is>
      </c>
      <c r="L9" s="394" t="inlineStr">
        <is>
          <t>Shell IDT</t>
        </is>
      </c>
      <c r="M9" s="395" t="n">
        <v>456</v>
      </c>
      <c r="N9" s="396" t="n"/>
      <c r="O9" s="397" t="n"/>
      <c r="Q9" s="399" t="n">
        <v>46174</v>
      </c>
      <c r="R9" s="382" t="inlineStr">
        <is>
          <t>Shell Business</t>
        </is>
      </c>
      <c r="T9" s="383" t="inlineStr">
        <is>
          <t xml:space="preserve"> Software Licensing Purchsing including Azure</t>
        </is>
      </c>
    </row>
    <row r="10" ht="14.45" customHeight="1">
      <c r="B10" s="384" t="inlineStr">
        <is>
          <t>Accrual below threshold / not accrued</t>
        </is>
      </c>
      <c r="C10" s="384" t="inlineStr">
        <is>
          <t>DA Desk</t>
        </is>
      </c>
      <c r="H10" s="72" t="n"/>
      <c r="I10" s="386">
        <f>CONCAT(J10,K10,L10)</f>
        <v/>
      </c>
      <c r="J10" s="387" t="n">
        <v>5</v>
      </c>
      <c r="K10" s="387" t="inlineStr">
        <is>
          <t>India</t>
        </is>
      </c>
      <c r="L10" s="387" t="inlineStr">
        <is>
          <t>Shell IDT</t>
        </is>
      </c>
      <c r="M10" s="388" t="n">
        <v>304</v>
      </c>
      <c r="N10" s="389" t="n"/>
      <c r="O10" s="390" t="n"/>
      <c r="Q10" s="391" t="n">
        <v>46204</v>
      </c>
      <c r="R10" s="392" t="inlineStr">
        <is>
          <t>Wipro</t>
        </is>
      </c>
      <c r="T10" s="385" t="inlineStr">
        <is>
          <t>Re-design of data &amp; process</t>
        </is>
      </c>
    </row>
    <row r="11" ht="14.45" customHeight="1">
      <c r="B11" s="376" t="inlineStr">
        <is>
          <t>Invoice posted to incorrect CC / WBSE</t>
        </is>
      </c>
      <c r="C11" s="376" t="inlineStr">
        <is>
          <t>IDT</t>
        </is>
      </c>
      <c r="H11" s="72" t="n"/>
      <c r="I11" s="393">
        <f>CONCAT(J11,K11,L11)</f>
        <v/>
      </c>
      <c r="J11" s="394" t="n">
        <v>6</v>
      </c>
      <c r="K11" s="394" t="inlineStr">
        <is>
          <t>India</t>
        </is>
      </c>
      <c r="L11" s="394" t="inlineStr">
        <is>
          <t>Shell IDT</t>
        </is>
      </c>
      <c r="M11" s="395" t="n">
        <v>304</v>
      </c>
      <c r="N11" s="396" t="n"/>
      <c r="O11" s="397" t="n"/>
      <c r="Q11" s="399" t="n">
        <v>46235</v>
      </c>
      <c r="R11" s="382" t="inlineStr">
        <is>
          <t>TCS</t>
        </is>
      </c>
      <c r="T11" s="383" t="inlineStr">
        <is>
          <t xml:space="preserve"> Other hardware/software</t>
        </is>
      </c>
    </row>
    <row r="12" ht="14.45" customHeight="1">
      <c r="B12" s="384" t="inlineStr">
        <is>
          <t>Delay in vendor payment / posting</t>
        </is>
      </c>
      <c r="C12" s="384" t="inlineStr">
        <is>
          <t>Workstream 10</t>
        </is>
      </c>
      <c r="H12" s="72" t="n"/>
      <c r="I12" s="386">
        <f>CONCAT(J12,K12,L12)</f>
        <v/>
      </c>
      <c r="J12" s="387" t="n">
        <v>7</v>
      </c>
      <c r="K12" s="387" t="inlineStr">
        <is>
          <t>India</t>
        </is>
      </c>
      <c r="L12" s="387" t="inlineStr">
        <is>
          <t>Shell IDT</t>
        </is>
      </c>
      <c r="M12" s="388" t="n">
        <v>216</v>
      </c>
      <c r="N12" s="389" t="n"/>
      <c r="O12" s="390" t="n"/>
      <c r="Q12" s="391" t="n">
        <v>46266</v>
      </c>
      <c r="R12" s="392" t="inlineStr">
        <is>
          <t>Deloitte</t>
        </is>
      </c>
    </row>
    <row r="13" ht="14.45" customHeight="1">
      <c r="B13" s="376" t="inlineStr">
        <is>
          <t>Missing Travel cost</t>
        </is>
      </c>
      <c r="C13" s="1" t="n"/>
      <c r="H13" s="72" t="n"/>
      <c r="I13" s="393">
        <f>CONCAT(J13,K13,L13)</f>
        <v/>
      </c>
      <c r="J13" s="394" t="inlineStr">
        <is>
          <t>A</t>
        </is>
      </c>
      <c r="K13" s="394" t="inlineStr">
        <is>
          <t>United Kingdom</t>
        </is>
      </c>
      <c r="L13" s="394" t="inlineStr">
        <is>
          <t>Shell IDT</t>
        </is>
      </c>
      <c r="M13" s="395" t="n">
        <v>2872</v>
      </c>
      <c r="N13" s="396" t="n"/>
      <c r="O13" s="397" t="n"/>
      <c r="Q13" s="399" t="n">
        <v>46296</v>
      </c>
      <c r="R13" s="382" t="inlineStr">
        <is>
          <t>MRE</t>
        </is>
      </c>
    </row>
    <row r="14" ht="14.45" customHeight="1">
      <c r="B14" s="384" t="inlineStr">
        <is>
          <t>Travel no longer required</t>
        </is>
      </c>
      <c r="C14" s="1" t="n"/>
      <c r="H14" s="72" t="n"/>
      <c r="I14" s="386">
        <f>CONCAT(J14,K14,L14)</f>
        <v/>
      </c>
      <c r="J14" s="387" t="inlineStr">
        <is>
          <t>B</t>
        </is>
      </c>
      <c r="K14" s="387" t="inlineStr">
        <is>
          <t>United Kingdom</t>
        </is>
      </c>
      <c r="L14" s="387" t="inlineStr">
        <is>
          <t>Shell IDT</t>
        </is>
      </c>
      <c r="M14" s="388" t="n">
        <v>2872</v>
      </c>
      <c r="N14" s="389" t="n"/>
      <c r="O14" s="390" t="n"/>
      <c r="Q14" s="391" t="n">
        <v>46327</v>
      </c>
      <c r="R14" s="392" t="inlineStr">
        <is>
          <t>Accenture</t>
        </is>
      </c>
    </row>
    <row r="15" ht="14.45" customHeight="1">
      <c r="B15" s="376" t="inlineStr">
        <is>
          <t>Delay in infra cost recovery</t>
        </is>
      </c>
      <c r="C15" s="1" t="n"/>
      <c r="H15" s="72" t="n"/>
      <c r="I15" s="393">
        <f>CONCAT(J15,K15,L15)</f>
        <v/>
      </c>
      <c r="J15" s="394" t="n">
        <v>1</v>
      </c>
      <c r="K15" s="394" t="inlineStr">
        <is>
          <t>United Kingdom</t>
        </is>
      </c>
      <c r="L15" s="394" t="inlineStr">
        <is>
          <t>Shell IDT</t>
        </is>
      </c>
      <c r="M15" s="395" t="n">
        <v>1816</v>
      </c>
      <c r="N15" s="396" t="n"/>
      <c r="O15" s="397" t="n"/>
      <c r="Q15" s="399" t="n">
        <v>46357</v>
      </c>
      <c r="R15" s="382" t="inlineStr">
        <is>
          <t>Deloitte1</t>
        </is>
      </c>
    </row>
    <row r="16" ht="14.45" customHeight="1">
      <c r="B16" s="384" t="inlineStr">
        <is>
          <t>Infra recovery de-scoped</t>
        </is>
      </c>
      <c r="C16" s="1" t="n"/>
      <c r="H16" s="72" t="n"/>
      <c r="I16" s="386">
        <f>CONCAT(J16,K16,L16)</f>
        <v/>
      </c>
      <c r="J16" s="387" t="n">
        <v>2</v>
      </c>
      <c r="K16" s="387" t="inlineStr">
        <is>
          <t>United Kingdom</t>
        </is>
      </c>
      <c r="L16" s="387" t="inlineStr">
        <is>
          <t>Shell IDT</t>
        </is>
      </c>
      <c r="M16" s="388" t="n">
        <v>1646</v>
      </c>
      <c r="N16" s="389" t="n"/>
      <c r="O16" s="390" t="n"/>
      <c r="Q16" s="391" t="n">
        <v>46388</v>
      </c>
      <c r="R16" s="392" t="inlineStr">
        <is>
          <t>Deloitte2</t>
        </is>
      </c>
    </row>
    <row r="17" ht="14.45" customHeight="1">
      <c r="B17" s="376" t="inlineStr">
        <is>
          <t>Lower / Higher infra usage vs plan</t>
        </is>
      </c>
      <c r="C17" s="1" t="n"/>
      <c r="H17" s="72" t="n"/>
      <c r="I17" s="393">
        <f>CONCAT(J17,K17,L17)</f>
        <v/>
      </c>
      <c r="J17" s="394" t="n">
        <v>3</v>
      </c>
      <c r="K17" s="394" t="inlineStr">
        <is>
          <t>United Kingdom</t>
        </is>
      </c>
      <c r="L17" s="394" t="inlineStr">
        <is>
          <t>Shell IDT</t>
        </is>
      </c>
      <c r="M17" s="395" t="n">
        <v>1336</v>
      </c>
      <c r="N17" s="396" t="n"/>
      <c r="O17" s="397" t="n"/>
      <c r="Q17" s="399" t="n">
        <v>46419</v>
      </c>
      <c r="R17" s="382" t="inlineStr">
        <is>
          <t>MRE1</t>
        </is>
      </c>
    </row>
    <row r="18" ht="14.45" customHeight="1">
      <c r="B18" s="384" t="inlineStr">
        <is>
          <t>Incorrect cost allocation (CC/WBSE error)</t>
        </is>
      </c>
      <c r="C18" s="1" t="n"/>
      <c r="H18" s="72" t="n"/>
      <c r="I18" s="386">
        <f>CONCAT(J18,K18,L18)</f>
        <v/>
      </c>
      <c r="J18" s="387" t="n">
        <v>4</v>
      </c>
      <c r="K18" s="387" t="inlineStr">
        <is>
          <t>United Kingdom</t>
        </is>
      </c>
      <c r="L18" s="387" t="inlineStr">
        <is>
          <t>Shell IDT</t>
        </is>
      </c>
      <c r="M18" s="388" t="n">
        <v>1336</v>
      </c>
      <c r="N18" s="389" t="n"/>
      <c r="O18" s="390" t="n"/>
      <c r="Q18" s="391" t="n">
        <v>46447</v>
      </c>
      <c r="R18" s="392" t="inlineStr">
        <is>
          <t>Dummy</t>
        </is>
      </c>
    </row>
    <row r="19" ht="14.45" customHeight="1">
      <c r="B19" s="376" t="inlineStr">
        <is>
          <t>Opex/Capex or account reclassification</t>
        </is>
      </c>
      <c r="C19" s="1" t="n"/>
      <c r="H19" s="72" t="n"/>
      <c r="I19" s="393">
        <f>CONCAT(J19,K19,L19)</f>
        <v/>
      </c>
      <c r="J19" s="394" t="n">
        <v>5</v>
      </c>
      <c r="K19" s="394" t="inlineStr">
        <is>
          <t>United Kingdom</t>
        </is>
      </c>
      <c r="L19" s="394" t="inlineStr">
        <is>
          <t>Shell IDT</t>
        </is>
      </c>
      <c r="M19" s="395" t="n">
        <v>952</v>
      </c>
      <c r="N19" s="396" t="n"/>
      <c r="O19" s="397" t="n"/>
      <c r="Q19" s="399" t="n">
        <v>46478</v>
      </c>
      <c r="R19" s="382" t="inlineStr">
        <is>
          <t>NEXTSOURCE INC</t>
        </is>
      </c>
    </row>
    <row r="20" ht="14.45" customHeight="1">
      <c r="B20" s="385" t="inlineStr">
        <is>
          <t>Over/under accrual corrections</t>
        </is>
      </c>
      <c r="C20" s="1" t="n"/>
      <c r="H20" s="72" t="n"/>
      <c r="I20" s="386">
        <f>CONCAT(J20,K20,L20)</f>
        <v/>
      </c>
      <c r="J20" s="387" t="n">
        <v>6</v>
      </c>
      <c r="K20" s="387" t="inlineStr">
        <is>
          <t>United Kingdom</t>
        </is>
      </c>
      <c r="L20" s="387" t="inlineStr">
        <is>
          <t>Shell IDT</t>
        </is>
      </c>
      <c r="M20" s="388" t="n">
        <v>952</v>
      </c>
      <c r="N20" s="389" t="n"/>
      <c r="O20" s="390" t="n"/>
      <c r="Q20" s="391" t="n">
        <v>46508</v>
      </c>
      <c r="R20" s="392" t="inlineStr">
        <is>
          <t>KPMG</t>
        </is>
      </c>
    </row>
    <row r="21" ht="14.45" customHeight="1">
      <c r="B21" s="383" t="inlineStr">
        <is>
          <t>Forecast moved to future months</t>
        </is>
      </c>
      <c r="C21" s="1" t="n"/>
      <c r="H21" s="72" t="n"/>
      <c r="I21" s="393">
        <f>CONCAT(J21,K21,L21)</f>
        <v/>
      </c>
      <c r="J21" s="394" t="n">
        <v>7</v>
      </c>
      <c r="K21" s="394" t="inlineStr">
        <is>
          <t>United Kingdom</t>
        </is>
      </c>
      <c r="L21" s="394" t="inlineStr">
        <is>
          <t>Shell IDT</t>
        </is>
      </c>
      <c r="M21" s="395" t="n">
        <v>712</v>
      </c>
      <c r="N21" s="396" t="n"/>
      <c r="O21" s="397" t="n"/>
      <c r="Q21" s="399" t="n">
        <v>46539</v>
      </c>
      <c r="R21" s="383" t="inlineStr">
        <is>
          <t>TBC</t>
        </is>
      </c>
    </row>
    <row r="22" ht="14.45" customHeight="1">
      <c r="B22" s="385" t="inlineStr">
        <is>
          <t>Estimation error / correction</t>
        </is>
      </c>
      <c r="C22" s="1" t="n"/>
      <c r="H22" s="72" t="n"/>
      <c r="I22" s="386">
        <f>CONCAT(J22,K22,L22)</f>
        <v/>
      </c>
      <c r="J22" s="387" t="inlineStr">
        <is>
          <t>A</t>
        </is>
      </c>
      <c r="K22" s="387" t="inlineStr">
        <is>
          <t>United States</t>
        </is>
      </c>
      <c r="L22" s="387" t="inlineStr">
        <is>
          <t>Shell IDT</t>
        </is>
      </c>
      <c r="M22" s="388" t="n">
        <v>3464</v>
      </c>
      <c r="N22" s="389" t="n"/>
      <c r="O22" s="390" t="n"/>
      <c r="Q22" s="391" t="n">
        <v>46569</v>
      </c>
      <c r="R22" s="385" t="inlineStr">
        <is>
          <t>TBC1</t>
        </is>
      </c>
    </row>
    <row r="23" ht="14.45" customHeight="1">
      <c r="B23" s="383" t="inlineStr">
        <is>
          <t>Cost phasing mismatch (planned vs actual spread)</t>
        </is>
      </c>
      <c r="H23" s="72" t="n"/>
      <c r="I23" s="393">
        <f>CONCAT(J23,K23,L23)</f>
        <v/>
      </c>
      <c r="J23" s="394" t="inlineStr">
        <is>
          <t>B</t>
        </is>
      </c>
      <c r="K23" s="394" t="inlineStr">
        <is>
          <t>United States</t>
        </is>
      </c>
      <c r="L23" s="394" t="inlineStr">
        <is>
          <t>Shell IDT</t>
        </is>
      </c>
      <c r="M23" s="395" t="n">
        <v>3464</v>
      </c>
      <c r="N23" s="396" t="n"/>
      <c r="O23" s="397" t="n"/>
      <c r="Q23" s="399" t="n">
        <v>46600</v>
      </c>
      <c r="R23" s="383" t="inlineStr">
        <is>
          <t>EAGLECLIFF LTD</t>
        </is>
      </c>
    </row>
    <row r="24" ht="14.45" customHeight="1">
      <c r="B24" s="385" t="inlineStr">
        <is>
          <t>Scope reduced / increased</t>
        </is>
      </c>
      <c r="H24" s="72" t="n"/>
      <c r="I24" s="386">
        <f>CONCAT(J24,K24,L24)</f>
        <v/>
      </c>
      <c r="J24" s="387" t="n">
        <v>1</v>
      </c>
      <c r="K24" s="387" t="inlineStr">
        <is>
          <t>United States</t>
        </is>
      </c>
      <c r="L24" s="387" t="inlineStr">
        <is>
          <t>Shell IDT</t>
        </is>
      </c>
      <c r="M24" s="388" t="n">
        <v>2272</v>
      </c>
      <c r="N24" s="389" t="n"/>
      <c r="O24" s="390" t="n"/>
      <c r="Q24" s="391" t="n">
        <v>46631</v>
      </c>
      <c r="R24" s="385" t="inlineStr">
        <is>
          <t>BARINGA PARTNERS LLP</t>
        </is>
      </c>
    </row>
    <row r="25" ht="14.45" customHeight="1">
      <c r="B25" s="383" t="inlineStr">
        <is>
          <t>Work moved to future period</t>
        </is>
      </c>
      <c r="H25" s="72" t="n"/>
      <c r="I25" s="393">
        <f>CONCAT(J25,K25,L25)</f>
        <v/>
      </c>
      <c r="J25" s="394" t="n">
        <v>2</v>
      </c>
      <c r="K25" s="394" t="inlineStr">
        <is>
          <t>United States</t>
        </is>
      </c>
      <c r="L25" s="394" t="inlineStr">
        <is>
          <t>Shell IDT</t>
        </is>
      </c>
      <c r="M25" s="395" t="n">
        <v>2272</v>
      </c>
      <c r="N25" s="396" t="n"/>
      <c r="O25" s="397" t="n"/>
      <c r="Q25" s="399" t="n">
        <v>46661</v>
      </c>
      <c r="R25" s="383" t="inlineStr">
        <is>
          <t>TBC1</t>
        </is>
      </c>
    </row>
    <row r="26" ht="14.45" customHeight="1">
      <c r="B26" s="385" t="inlineStr">
        <is>
          <t>Funding not approved</t>
        </is>
      </c>
      <c r="H26" s="72" t="n"/>
      <c r="I26" s="386">
        <f>CONCAT(J26,K26,L26)</f>
        <v/>
      </c>
      <c r="J26" s="387" t="n">
        <v>3</v>
      </c>
      <c r="K26" s="387" t="inlineStr">
        <is>
          <t>United States</t>
        </is>
      </c>
      <c r="L26" s="387" t="inlineStr">
        <is>
          <t>Shell IDT</t>
        </is>
      </c>
      <c r="M26" s="388" t="n">
        <v>1656</v>
      </c>
      <c r="N26" s="389" t="n"/>
      <c r="O26" s="390" t="n"/>
      <c r="Q26" s="391" t="n">
        <v>46692</v>
      </c>
      <c r="R26" s="385" t="inlineStr">
        <is>
          <t>TBC2</t>
        </is>
      </c>
    </row>
    <row r="27" ht="14.45" customHeight="1">
      <c r="B27" s="383" t="inlineStr">
        <is>
          <t>Any other reason not fitting above</t>
        </is>
      </c>
      <c r="H27" s="72" t="n"/>
      <c r="I27" s="393">
        <f>CONCAT(J27,K27,L27)</f>
        <v/>
      </c>
      <c r="J27" s="394" t="n">
        <v>4</v>
      </c>
      <c r="K27" s="394" t="inlineStr">
        <is>
          <t>United States</t>
        </is>
      </c>
      <c r="L27" s="394" t="inlineStr">
        <is>
          <t>Shell IDT</t>
        </is>
      </c>
      <c r="M27" s="395" t="n">
        <v>1656</v>
      </c>
      <c r="N27" s="396" t="n"/>
      <c r="O27" s="397" t="n"/>
      <c r="Q27" s="399" t="n">
        <v>46722</v>
      </c>
      <c r="R27" s="383" t="inlineStr">
        <is>
          <t>ADVANTAGE RESOURCING UK LIMITED</t>
        </is>
      </c>
    </row>
    <row r="28" ht="14.45" customHeight="1">
      <c r="B28" s="385" t="inlineStr">
        <is>
          <t>One-time corrections / manual fixes</t>
        </is>
      </c>
      <c r="H28" s="72" t="n"/>
      <c r="I28" s="386">
        <f>CONCAT(J28,K28,L28)</f>
        <v/>
      </c>
      <c r="J28" s="387" t="n">
        <v>5</v>
      </c>
      <c r="K28" s="387" t="inlineStr">
        <is>
          <t>United States</t>
        </is>
      </c>
      <c r="L28" s="387" t="inlineStr">
        <is>
          <t>Shell IDT</t>
        </is>
      </c>
      <c r="M28" s="388" t="n">
        <v>1256</v>
      </c>
      <c r="N28" s="389" t="n"/>
      <c r="O28" s="390" t="n"/>
      <c r="Q28" s="71" t="n"/>
      <c r="R28" s="392" t="inlineStr">
        <is>
          <t>TBZ</t>
        </is>
      </c>
    </row>
    <row r="29" ht="14.45" customHeight="1">
      <c r="H29" s="72" t="n"/>
      <c r="I29" s="393">
        <f>CONCAT(J29,K29,L29)</f>
        <v/>
      </c>
      <c r="J29" s="394" t="n">
        <v>6</v>
      </c>
      <c r="K29" s="394" t="inlineStr">
        <is>
          <t>United States</t>
        </is>
      </c>
      <c r="L29" s="394" t="inlineStr">
        <is>
          <t>Shell IDT</t>
        </is>
      </c>
      <c r="M29" s="395" t="n">
        <v>1256</v>
      </c>
      <c r="N29" s="396" t="n"/>
      <c r="O29" s="397" t="n"/>
      <c r="Q29" s="71" t="n"/>
      <c r="R29" s="66" t="n"/>
    </row>
    <row r="30" ht="14.45" customHeight="1">
      <c r="H30" s="72" t="n"/>
      <c r="I30" s="386">
        <f>CONCAT(J30,K30,L30)</f>
        <v/>
      </c>
      <c r="J30" s="387" t="n">
        <v>7</v>
      </c>
      <c r="K30" s="387" t="inlineStr">
        <is>
          <t>United States</t>
        </is>
      </c>
      <c r="L30" s="387" t="inlineStr">
        <is>
          <t>Shell IDT</t>
        </is>
      </c>
      <c r="M30" s="388" t="n">
        <v>872</v>
      </c>
      <c r="N30" s="389" t="n"/>
      <c r="O30" s="390" t="n"/>
      <c r="Q30" s="71" t="n"/>
      <c r="R30" s="66" t="n"/>
    </row>
    <row r="31" ht="14.45" customHeight="1">
      <c r="H31" s="72" t="n"/>
      <c r="I31" s="393">
        <f>CONCAT(J31,K31,L31)</f>
        <v/>
      </c>
      <c r="J31" s="394" t="inlineStr">
        <is>
          <t>A</t>
        </is>
      </c>
      <c r="K31" s="394" t="inlineStr">
        <is>
          <t>Netherlands</t>
        </is>
      </c>
      <c r="L31" s="394" t="inlineStr">
        <is>
          <t>Shell IDT</t>
        </is>
      </c>
      <c r="M31" s="395" t="n">
        <v>2480</v>
      </c>
      <c r="N31" s="396" t="n"/>
      <c r="O31" s="397" t="n"/>
      <c r="Q31" s="71" t="n"/>
      <c r="R31" s="66" t="n"/>
    </row>
    <row r="32" ht="14.45" customHeight="1">
      <c r="H32" s="72" t="n"/>
      <c r="I32" s="386">
        <f>CONCAT(J32,K32,L32)</f>
        <v/>
      </c>
      <c r="J32" s="387" t="inlineStr">
        <is>
          <t>B</t>
        </is>
      </c>
      <c r="K32" s="387" t="inlineStr">
        <is>
          <t>Netherlands</t>
        </is>
      </c>
      <c r="L32" s="387" t="inlineStr">
        <is>
          <t>Shell IDT</t>
        </is>
      </c>
      <c r="M32" s="388" t="n">
        <v>2480</v>
      </c>
      <c r="N32" s="389" t="n"/>
      <c r="O32" s="390" t="n"/>
      <c r="Q32" s="71" t="n"/>
      <c r="R32" s="66" t="n"/>
    </row>
    <row r="33" ht="14.45" customHeight="1">
      <c r="H33" s="72" t="n"/>
      <c r="I33" s="393">
        <f>CONCAT(J33,K33,L33)</f>
        <v/>
      </c>
      <c r="J33" s="394" t="n">
        <v>1</v>
      </c>
      <c r="K33" s="394" t="inlineStr">
        <is>
          <t>Netherlands</t>
        </is>
      </c>
      <c r="L33" s="394" t="inlineStr">
        <is>
          <t>Shell IDT</t>
        </is>
      </c>
      <c r="M33" s="395" t="n">
        <v>1832</v>
      </c>
      <c r="N33" s="396" t="n"/>
      <c r="O33" s="397" t="n"/>
      <c r="Q33" s="71" t="n"/>
      <c r="R33" s="66" t="n"/>
      <c r="S33" s="132" t="n"/>
      <c r="V33" s="400" t="inlineStr">
        <is>
          <t>Level 1 Category</t>
        </is>
      </c>
      <c r="W33" s="400" t="inlineStr">
        <is>
          <t>Level 2 Sub-Category</t>
        </is>
      </c>
      <c r="X33" s="400" t="inlineStr">
        <is>
          <t>Variance Reason (Standardized)</t>
        </is>
      </c>
    </row>
    <row r="34" ht="14.45" customHeight="1">
      <c r="H34" s="72" t="n"/>
      <c r="I34" s="386">
        <f>CONCAT(J34,K34,L34)</f>
        <v/>
      </c>
      <c r="J34" s="387" t="n">
        <v>2</v>
      </c>
      <c r="K34" s="387" t="inlineStr">
        <is>
          <t>Netherlands</t>
        </is>
      </c>
      <c r="L34" s="387" t="inlineStr">
        <is>
          <t>Shell IDT</t>
        </is>
      </c>
      <c r="M34" s="388" t="n">
        <v>1832</v>
      </c>
      <c r="N34" s="389" t="n"/>
      <c r="O34" s="390" t="n"/>
      <c r="Q34" s="71" t="n"/>
      <c r="R34" s="66" t="n"/>
      <c r="S34" s="132" t="n"/>
      <c r="V34" s="401" t="inlineStr">
        <is>
          <t>1. Resource Cost</t>
        </is>
      </c>
      <c r="W34" s="402" t="inlineStr">
        <is>
          <t>Timewriting</t>
        </is>
      </c>
      <c r="X34" s="402" t="inlineStr">
        <is>
          <t>Missing / delayed timewriting</t>
        </is>
      </c>
    </row>
    <row r="35" ht="14.45" customHeight="1">
      <c r="H35" s="72" t="n"/>
      <c r="I35" s="393">
        <f>CONCAT(J35,K35,L35)</f>
        <v/>
      </c>
      <c r="J35" s="394" t="n">
        <v>3</v>
      </c>
      <c r="K35" s="394" t="inlineStr">
        <is>
          <t>Netherlands</t>
        </is>
      </c>
      <c r="L35" s="394" t="inlineStr">
        <is>
          <t>Shell IDT</t>
        </is>
      </c>
      <c r="M35" s="395" t="n">
        <v>1432</v>
      </c>
      <c r="N35" s="396" t="n"/>
      <c r="O35" s="397" t="n"/>
      <c r="Q35" s="71" t="n"/>
      <c r="R35" s="68" t="n"/>
      <c r="S35" s="132" t="n"/>
      <c r="V35" s="403" t="inlineStr">
        <is>
          <t>1. Resource Cost</t>
        </is>
      </c>
      <c r="W35" s="404" t="inlineStr">
        <is>
          <t>Availability</t>
        </is>
      </c>
      <c r="X35" s="404" t="inlineStr">
        <is>
          <t>Vacation / leaves</t>
        </is>
      </c>
    </row>
    <row r="36" ht="14.45" customHeight="1">
      <c r="H36" s="72" t="n"/>
      <c r="I36" s="386">
        <f>CONCAT(J36,K36,L36)</f>
        <v/>
      </c>
      <c r="J36" s="387" t="n">
        <v>4</v>
      </c>
      <c r="K36" s="387" t="inlineStr">
        <is>
          <t>Netherlands</t>
        </is>
      </c>
      <c r="L36" s="387" t="inlineStr">
        <is>
          <t>Shell IDT</t>
        </is>
      </c>
      <c r="M36" s="388" t="n">
        <v>1432</v>
      </c>
      <c r="N36" s="389" t="n"/>
      <c r="O36" s="390" t="n"/>
      <c r="Q36" s="71" t="n"/>
      <c r="R36" s="66" t="n"/>
      <c r="S36" s="132" t="n"/>
      <c r="V36" s="401" t="inlineStr">
        <is>
          <t>1. Resource Cost</t>
        </is>
      </c>
      <c r="W36" s="402" t="inlineStr">
        <is>
          <t>Onboarding</t>
        </is>
      </c>
      <c r="X36" s="402" t="inlineStr">
        <is>
          <t>Delay in onboarding</t>
        </is>
      </c>
    </row>
    <row r="37" ht="14.45" customHeight="1">
      <c r="H37" s="72" t="n"/>
      <c r="I37" s="393">
        <f>CONCAT(J37,K37,L37)</f>
        <v/>
      </c>
      <c r="J37" s="394" t="n">
        <v>5</v>
      </c>
      <c r="K37" s="394" t="inlineStr">
        <is>
          <t>Netherlands</t>
        </is>
      </c>
      <c r="L37" s="394" t="inlineStr">
        <is>
          <t>Shell IDT</t>
        </is>
      </c>
      <c r="M37" s="395" t="n">
        <v>1168</v>
      </c>
      <c r="N37" s="396" t="n"/>
      <c r="O37" s="397" t="n"/>
      <c r="Q37" s="71" t="n"/>
      <c r="R37" s="66" t="n"/>
      <c r="S37" s="132" t="n"/>
      <c r="V37" s="403" t="inlineStr">
        <is>
          <t>1. Resource Cost</t>
        </is>
      </c>
      <c r="W37" s="404" t="inlineStr">
        <is>
          <t>System Issues</t>
        </is>
      </c>
      <c r="X37" s="404" t="inlineStr">
        <is>
          <t>Fieldglass / Tool issues</t>
        </is>
      </c>
    </row>
    <row r="38" ht="14.45" customHeight="1">
      <c r="H38" s="72" t="n"/>
      <c r="I38" s="386">
        <f>CONCAT(J38,K38,L38)</f>
        <v/>
      </c>
      <c r="J38" s="387" t="n">
        <v>6</v>
      </c>
      <c r="K38" s="387" t="inlineStr">
        <is>
          <t>Netherlands</t>
        </is>
      </c>
      <c r="L38" s="387" t="inlineStr">
        <is>
          <t>Shell IDT</t>
        </is>
      </c>
      <c r="M38" s="388" t="n">
        <v>1168</v>
      </c>
      <c r="N38" s="389" t="n"/>
      <c r="O38" s="390" t="n"/>
      <c r="Q38" s="71" t="n"/>
      <c r="R38" s="66" t="n"/>
      <c r="S38" s="132" t="n"/>
      <c r="V38" s="401" t="inlineStr">
        <is>
          <t>1. Resource Cost</t>
        </is>
      </c>
      <c r="W38" s="402" t="inlineStr">
        <is>
          <t>Utilization</t>
        </is>
      </c>
      <c r="X38" s="402" t="inlineStr">
        <is>
          <t>Lower / higher TW than planed</t>
        </is>
      </c>
    </row>
    <row r="39" ht="14.45" customHeight="1">
      <c r="H39" s="72" t="n"/>
      <c r="I39" s="393">
        <f>CONCAT(J39,K39,L39)</f>
        <v/>
      </c>
      <c r="J39" s="394" t="n">
        <v>7</v>
      </c>
      <c r="K39" s="394" t="inlineStr">
        <is>
          <t>Netherlands</t>
        </is>
      </c>
      <c r="L39" s="394" t="inlineStr">
        <is>
          <t>Shell IDT</t>
        </is>
      </c>
      <c r="M39" s="395" t="n">
        <v>872</v>
      </c>
      <c r="N39" s="396" t="n"/>
      <c r="O39" s="397" t="n"/>
      <c r="Q39" s="71" t="n"/>
      <c r="R39" s="66" t="n"/>
      <c r="S39" s="132" t="n"/>
      <c r="V39" s="403" t="inlineStr">
        <is>
          <t>2. Vendor / 3rd Party Cost</t>
        </is>
      </c>
      <c r="W39" s="404" t="inlineStr">
        <is>
          <t>Procurement</t>
        </is>
      </c>
      <c r="X39" s="404" t="inlineStr">
        <is>
          <t>Delay in PO / SOW creation</t>
        </is>
      </c>
    </row>
    <row r="40" ht="14.45" customHeight="1">
      <c r="H40" s="72" t="n"/>
      <c r="I40" s="386">
        <f>CONCAT(J40,K40,L40)</f>
        <v/>
      </c>
      <c r="J40" s="387" t="n">
        <v>1</v>
      </c>
      <c r="K40" s="387" t="inlineStr">
        <is>
          <t>Malaysia</t>
        </is>
      </c>
      <c r="L40" s="387" t="inlineStr">
        <is>
          <t>Shell IDT</t>
        </is>
      </c>
      <c r="M40" s="405" t="n"/>
      <c r="N40" s="389" t="n"/>
      <c r="O40" s="390" t="n"/>
      <c r="Q40" s="71" t="n"/>
      <c r="R40" s="66" t="n"/>
      <c r="S40" s="132" t="n"/>
      <c r="V40" s="401" t="inlineStr">
        <is>
          <t>2. Vendor / 3rd Party Cost</t>
        </is>
      </c>
      <c r="W40" s="402" t="inlineStr">
        <is>
          <t>Invoicing</t>
        </is>
      </c>
      <c r="X40" s="402" t="inlineStr">
        <is>
          <t>Missing invoices</t>
        </is>
      </c>
    </row>
    <row r="41" ht="14.45" customHeight="1">
      <c r="H41" s="72" t="n"/>
      <c r="I41" s="393">
        <f>CONCAT(J41,K41,L41)</f>
        <v/>
      </c>
      <c r="J41" s="394" t="n">
        <v>2</v>
      </c>
      <c r="K41" s="394" t="inlineStr">
        <is>
          <t>Malaysia</t>
        </is>
      </c>
      <c r="L41" s="394" t="inlineStr">
        <is>
          <t>Shell IDT</t>
        </is>
      </c>
      <c r="M41" s="406" t="n"/>
      <c r="N41" s="396" t="n"/>
      <c r="O41" s="397" t="n"/>
      <c r="Q41" s="71" t="n"/>
      <c r="R41" s="66" t="n"/>
      <c r="S41" s="132" t="n"/>
      <c r="V41" s="403" t="inlineStr">
        <is>
          <t>2. Vendor / 3rd Party Cost</t>
        </is>
      </c>
      <c r="W41" s="404" t="inlineStr">
        <is>
          <t>Accruals</t>
        </is>
      </c>
      <c r="X41" s="404" t="inlineStr">
        <is>
          <t>Accrual below threshold / not accrued</t>
        </is>
      </c>
    </row>
    <row r="42" ht="14.45" customHeight="1">
      <c r="H42" s="72" t="n"/>
      <c r="I42" s="386">
        <f>CONCAT(J42,K42,L42)</f>
        <v/>
      </c>
      <c r="J42" s="387" t="n">
        <v>3</v>
      </c>
      <c r="K42" s="387" t="inlineStr">
        <is>
          <t>Malaysia</t>
        </is>
      </c>
      <c r="L42" s="387" t="inlineStr">
        <is>
          <t>Shell IDT</t>
        </is>
      </c>
      <c r="M42" s="405" t="n"/>
      <c r="N42" s="389" t="n"/>
      <c r="O42" s="390" t="n"/>
      <c r="Q42" s="71" t="n"/>
      <c r="R42" s="66" t="n"/>
      <c r="S42" s="132" t="n"/>
      <c r="V42" s="401" t="inlineStr">
        <is>
          <t>2. Vendor / 3rd Party Cost</t>
        </is>
      </c>
      <c r="W42" s="402" t="inlineStr">
        <is>
          <t>Accounting</t>
        </is>
      </c>
      <c r="X42" s="402" t="inlineStr">
        <is>
          <t>Invoice posted to incorrect CC / WBSE</t>
        </is>
      </c>
    </row>
    <row r="43" ht="14.45" customHeight="1">
      <c r="H43" s="72" t="n"/>
      <c r="I43" s="393">
        <f>CONCAT(J43,K43,L43)</f>
        <v/>
      </c>
      <c r="J43" s="394" t="n">
        <v>4</v>
      </c>
      <c r="K43" s="394" t="inlineStr">
        <is>
          <t>Malaysia</t>
        </is>
      </c>
      <c r="L43" s="394" t="inlineStr">
        <is>
          <t>Shell IDT</t>
        </is>
      </c>
      <c r="M43" s="406" t="n"/>
      <c r="N43" s="396" t="n"/>
      <c r="O43" s="397" t="n"/>
      <c r="Q43" s="71" t="n"/>
      <c r="R43" s="66" t="n"/>
      <c r="S43" s="132" t="n"/>
      <c r="V43" s="403" t="inlineStr">
        <is>
          <t>2. Vendor / 3rd Party Cost</t>
        </is>
      </c>
      <c r="W43" s="404" t="inlineStr">
        <is>
          <t>Payment Timing</t>
        </is>
      </c>
      <c r="X43" s="404" t="inlineStr">
        <is>
          <t>Delay in vendor payment / posting</t>
        </is>
      </c>
    </row>
    <row r="44" ht="14.45" customHeight="1">
      <c r="H44" s="72" t="n"/>
      <c r="I44" s="386">
        <f>CONCAT(J44,K44,L44)</f>
        <v/>
      </c>
      <c r="J44" s="387" t="n">
        <v>5</v>
      </c>
      <c r="K44" s="387" t="inlineStr">
        <is>
          <t>Malaysia</t>
        </is>
      </c>
      <c r="L44" s="387" t="inlineStr">
        <is>
          <t>Shell IDT</t>
        </is>
      </c>
      <c r="M44" s="405" t="n"/>
      <c r="N44" s="389" t="n"/>
      <c r="O44" s="390" t="n"/>
      <c r="Q44" s="71" t="n"/>
      <c r="R44" s="68" t="n"/>
      <c r="S44" s="132" t="n"/>
      <c r="V44" s="401" t="inlineStr">
        <is>
          <t>3. Travel &amp; Expenses</t>
        </is>
      </c>
      <c r="W44" s="402" t="inlineStr">
        <is>
          <t>Missing Cost</t>
        </is>
      </c>
      <c r="X44" s="402" t="inlineStr">
        <is>
          <t>Missing Travel cost</t>
        </is>
      </c>
    </row>
    <row r="45" ht="14.45" customHeight="1">
      <c r="H45" s="72" t="n"/>
      <c r="I45" s="393">
        <f>CONCAT(J45,K45,L45)</f>
        <v/>
      </c>
      <c r="J45" s="394" t="n">
        <v>6</v>
      </c>
      <c r="K45" s="394" t="inlineStr">
        <is>
          <t>Malaysia</t>
        </is>
      </c>
      <c r="L45" s="394" t="inlineStr">
        <is>
          <t>Shell IDT</t>
        </is>
      </c>
      <c r="M45" s="406" t="n"/>
      <c r="N45" s="396" t="n"/>
      <c r="O45" s="397" t="n"/>
      <c r="Q45" s="71" t="n"/>
      <c r="R45" s="66" t="n"/>
      <c r="S45" s="132" t="n"/>
      <c r="V45" s="403" t="inlineStr">
        <is>
          <t>3. Travel &amp; Expenses</t>
        </is>
      </c>
      <c r="W45" s="404" t="inlineStr">
        <is>
          <t>Cancellation / Change</t>
        </is>
      </c>
      <c r="X45" s="404" t="inlineStr">
        <is>
          <t>Travel no longer required</t>
        </is>
      </c>
    </row>
    <row r="46" ht="14.45" customHeight="1">
      <c r="H46" s="72" t="n"/>
      <c r="I46" s="386">
        <f>CONCAT(J46,K46,L46)</f>
        <v/>
      </c>
      <c r="J46" s="387" t="n">
        <v>7</v>
      </c>
      <c r="K46" s="387" t="inlineStr">
        <is>
          <t>Malaysia</t>
        </is>
      </c>
      <c r="L46" s="387" t="inlineStr">
        <is>
          <t>Shell IDT</t>
        </is>
      </c>
      <c r="M46" s="405" t="n"/>
      <c r="N46" s="389" t="n"/>
      <c r="O46" s="390" t="n"/>
      <c r="Q46" s="71" t="n"/>
      <c r="R46" s="68" t="n"/>
      <c r="S46" s="132" t="n"/>
      <c r="V46" s="401" t="inlineStr">
        <is>
          <t>4. Infrastructure / SOM</t>
        </is>
      </c>
      <c r="W46" s="402" t="inlineStr">
        <is>
          <t>Recovery Delay</t>
        </is>
      </c>
      <c r="X46" s="402" t="inlineStr">
        <is>
          <t>Delay in infra cost recovery</t>
        </is>
      </c>
    </row>
    <row r="47" ht="14.45" customHeight="1">
      <c r="H47" s="72" t="n"/>
      <c r="I47" s="393">
        <f>CONCAT(J47,K47,L47)</f>
        <v/>
      </c>
      <c r="J47" s="394" t="n">
        <v>1</v>
      </c>
      <c r="K47" s="394" t="inlineStr">
        <is>
          <t>Philippines</t>
        </is>
      </c>
      <c r="L47" s="394" t="inlineStr">
        <is>
          <t>Shell IDT</t>
        </is>
      </c>
      <c r="M47" s="406" t="n"/>
      <c r="N47" s="396" t="n"/>
      <c r="O47" s="397" t="n"/>
      <c r="Q47" s="71" t="n"/>
      <c r="R47" s="99" t="n"/>
      <c r="S47" s="132" t="n"/>
      <c r="V47" s="403" t="inlineStr">
        <is>
          <t>4. Infrastructure / SOM</t>
        </is>
      </c>
      <c r="W47" s="404" t="inlineStr">
        <is>
          <t>No Longer Required</t>
        </is>
      </c>
      <c r="X47" s="404" t="inlineStr">
        <is>
          <t>Infra recovery de-scoped</t>
        </is>
      </c>
    </row>
    <row r="48" ht="14.45" customHeight="1">
      <c r="H48" s="72" t="n"/>
      <c r="I48" s="386">
        <f>CONCAT(J48,K48,L48)</f>
        <v/>
      </c>
      <c r="J48" s="387" t="n">
        <v>2</v>
      </c>
      <c r="K48" s="387" t="inlineStr">
        <is>
          <t>Philippines</t>
        </is>
      </c>
      <c r="L48" s="387" t="inlineStr">
        <is>
          <t>Shell IDT</t>
        </is>
      </c>
      <c r="M48" s="405" t="n"/>
      <c r="N48" s="389" t="n"/>
      <c r="O48" s="390" t="n"/>
      <c r="Q48" s="71" t="n"/>
      <c r="R48" s="385" t="inlineStr">
        <is>
          <t>TBC</t>
        </is>
      </c>
      <c r="S48" s="132" t="n"/>
      <c r="V48" s="401" t="inlineStr">
        <is>
          <t>4. Infrastructure / SOM</t>
        </is>
      </c>
      <c r="W48" s="402" t="inlineStr">
        <is>
          <t>Consumption Variance</t>
        </is>
      </c>
      <c r="X48" s="402" t="inlineStr">
        <is>
          <t>Lower / Higher infra usage vs plan</t>
        </is>
      </c>
    </row>
    <row r="49" ht="14.45" customHeight="1">
      <c r="H49" s="72" t="n"/>
      <c r="I49" s="393">
        <f>CONCAT(J49,K49,L49)</f>
        <v/>
      </c>
      <c r="J49" s="394" t="n">
        <v>3</v>
      </c>
      <c r="K49" s="394" t="inlineStr">
        <is>
          <t>Philippines</t>
        </is>
      </c>
      <c r="L49" s="394" t="inlineStr">
        <is>
          <t>Shell IDT</t>
        </is>
      </c>
      <c r="M49" s="406" t="n"/>
      <c r="N49" s="396" t="n"/>
      <c r="O49" s="397" t="n"/>
      <c r="Q49" s="71" t="n"/>
      <c r="S49" s="132" t="n"/>
      <c r="V49" s="403" t="inlineStr">
        <is>
          <t>5. Financial Adjustments</t>
        </is>
      </c>
      <c r="W49" s="404" t="inlineStr">
        <is>
          <t>Incorrect Posting</t>
        </is>
      </c>
      <c r="X49" s="404" t="inlineStr">
        <is>
          <t>Incorrect cost allocation (CC/WBSE error)</t>
        </is>
      </c>
    </row>
    <row r="50" ht="14.45" customHeight="1">
      <c r="H50" s="72" t="n"/>
      <c r="I50" s="386">
        <f>CONCAT(J50,K50,L50)</f>
        <v/>
      </c>
      <c r="J50" s="387" t="n">
        <v>4</v>
      </c>
      <c r="K50" s="387" t="inlineStr">
        <is>
          <t>Philippines</t>
        </is>
      </c>
      <c r="L50" s="387" t="inlineStr">
        <is>
          <t>Shell IDT</t>
        </is>
      </c>
      <c r="M50" s="405" t="n"/>
      <c r="N50" s="389" t="n"/>
      <c r="O50" s="390" t="n"/>
      <c r="Q50" s="71" t="n"/>
      <c r="S50" s="132" t="n"/>
      <c r="V50" s="401" t="inlineStr">
        <is>
          <t>5. Financial Adjustments</t>
        </is>
      </c>
      <c r="W50" s="402" t="inlineStr">
        <is>
          <t>Reclassification</t>
        </is>
      </c>
      <c r="X50" s="402" t="inlineStr">
        <is>
          <t>Opex/Capex or account reclassification</t>
        </is>
      </c>
    </row>
    <row r="51" ht="14.45" customHeight="1">
      <c r="H51" s="72" t="n"/>
      <c r="I51" s="393">
        <f>CONCAT(J51,K51,L51)</f>
        <v/>
      </c>
      <c r="J51" s="394" t="n">
        <v>5</v>
      </c>
      <c r="K51" s="394" t="inlineStr">
        <is>
          <t>Philippines</t>
        </is>
      </c>
      <c r="L51" s="394" t="inlineStr">
        <is>
          <t>Shell IDT</t>
        </is>
      </c>
      <c r="M51" s="406" t="n"/>
      <c r="N51" s="396" t="n"/>
      <c r="O51" s="397" t="n"/>
      <c r="Q51" s="71" t="n"/>
      <c r="S51" s="132" t="n"/>
      <c r="V51" s="403" t="inlineStr">
        <is>
          <t>5. Financial Adjustments</t>
        </is>
      </c>
      <c r="W51" s="404" t="inlineStr">
        <is>
          <t>Accrual Adjustment</t>
        </is>
      </c>
      <c r="X51" s="404" t="inlineStr">
        <is>
          <t>Over/under accrual corrections</t>
        </is>
      </c>
    </row>
    <row r="52" ht="14.45" customHeight="1">
      <c r="H52" s="72" t="n"/>
      <c r="I52" s="386">
        <f>CONCAT(J52,K52,L52)</f>
        <v/>
      </c>
      <c r="J52" s="387" t="n">
        <v>6</v>
      </c>
      <c r="K52" s="387" t="inlineStr">
        <is>
          <t>Philippines</t>
        </is>
      </c>
      <c r="L52" s="387" t="inlineStr">
        <is>
          <t>Shell IDT</t>
        </is>
      </c>
      <c r="M52" s="405" t="n"/>
      <c r="N52" s="389" t="n"/>
      <c r="O52" s="390" t="n"/>
      <c r="P52" s="407" t="n"/>
      <c r="Q52" s="71" t="n"/>
      <c r="V52" s="401" t="inlineStr">
        <is>
          <t>6.  Planning Variance</t>
        </is>
      </c>
      <c r="W52" s="402" t="inlineStr">
        <is>
          <t>Timing Shift</t>
        </is>
      </c>
      <c r="X52" s="402" t="inlineStr">
        <is>
          <t>Forecast moved to future months</t>
        </is>
      </c>
    </row>
    <row r="53" ht="14.45" customHeight="1">
      <c r="H53" s="72" t="n"/>
      <c r="I53" s="393">
        <f>CONCAT(J53,K53,L53)</f>
        <v/>
      </c>
      <c r="J53" s="394" t="n">
        <v>1</v>
      </c>
      <c r="K53" s="394" t="inlineStr">
        <is>
          <t>Argentina</t>
        </is>
      </c>
      <c r="L53" s="394" t="inlineStr">
        <is>
          <t>Shell Business</t>
        </is>
      </c>
      <c r="M53" s="406" t="n"/>
      <c r="N53" s="396" t="n"/>
      <c r="O53" s="397" t="n"/>
      <c r="P53" s="407" t="n"/>
      <c r="Q53" s="71" t="n"/>
      <c r="V53" s="403" t="inlineStr">
        <is>
          <t>6.  Planning Variance</t>
        </is>
      </c>
      <c r="W53" s="404" t="inlineStr">
        <is>
          <t>Estimation</t>
        </is>
      </c>
      <c r="X53" s="404" t="inlineStr">
        <is>
          <t>Estimation error / correction</t>
        </is>
      </c>
    </row>
    <row r="54" ht="14.45" customHeight="1">
      <c r="H54" s="72" t="n"/>
      <c r="I54" s="386">
        <f>CONCAT(J54,K54,L54)</f>
        <v/>
      </c>
      <c r="J54" s="387" t="n">
        <v>2</v>
      </c>
      <c r="K54" s="387" t="inlineStr">
        <is>
          <t>Argentina</t>
        </is>
      </c>
      <c r="L54" s="387" t="inlineStr">
        <is>
          <t>Shell Business</t>
        </is>
      </c>
      <c r="M54" s="405" t="n"/>
      <c r="N54" s="389" t="n"/>
      <c r="O54" s="390" t="n"/>
      <c r="P54" s="407" t="n"/>
      <c r="Q54" s="71" t="n"/>
      <c r="V54" s="401" t="inlineStr">
        <is>
          <t>6.  Planning Variance</t>
        </is>
      </c>
      <c r="W54" s="402" t="inlineStr">
        <is>
          <t>Phasing</t>
        </is>
      </c>
      <c r="X54" s="402" t="inlineStr">
        <is>
          <t>Cost phasing mismatch (planned vs actual spread)</t>
        </is>
      </c>
    </row>
    <row r="55" ht="14.45" customHeight="1">
      <c r="H55" s="72" t="n"/>
      <c r="I55" s="393">
        <f>CONCAT(J55,K55,L55)</f>
        <v/>
      </c>
      <c r="J55" s="394" t="n">
        <v>3</v>
      </c>
      <c r="K55" s="394" t="inlineStr">
        <is>
          <t>Argentina</t>
        </is>
      </c>
      <c r="L55" s="394" t="inlineStr">
        <is>
          <t>Shell Business</t>
        </is>
      </c>
      <c r="M55" s="406" t="n"/>
      <c r="N55" s="396" t="n"/>
      <c r="O55" s="397" t="n"/>
      <c r="P55" s="407" t="n"/>
      <c r="Q55" s="71" t="n"/>
      <c r="V55" s="403" t="inlineStr">
        <is>
          <t>7. Scope Changes</t>
        </is>
      </c>
      <c r="W55" s="404" t="inlineStr">
        <is>
          <t>Scope Change</t>
        </is>
      </c>
      <c r="X55" s="404" t="inlineStr">
        <is>
          <t>Scope reduced / increased</t>
        </is>
      </c>
    </row>
    <row r="56" ht="14.45" customHeight="1">
      <c r="H56" s="72" t="n"/>
      <c r="I56" s="386">
        <f>CONCAT(J56,K56,L56)</f>
        <v/>
      </c>
      <c r="J56" s="387" t="n">
        <v>4</v>
      </c>
      <c r="K56" s="387" t="inlineStr">
        <is>
          <t>Argentina</t>
        </is>
      </c>
      <c r="L56" s="387" t="inlineStr">
        <is>
          <t>Shell Business</t>
        </is>
      </c>
      <c r="M56" s="405" t="n"/>
      <c r="N56" s="389" t="n"/>
      <c r="O56" s="390" t="n"/>
      <c r="P56" s="407" t="n"/>
      <c r="Q56" s="71" t="n"/>
      <c r="V56" s="401" t="inlineStr">
        <is>
          <t>7. Scope Changes</t>
        </is>
      </c>
      <c r="W56" s="402" t="inlineStr">
        <is>
          <t>Deferment</t>
        </is>
      </c>
      <c r="X56" s="402" t="inlineStr">
        <is>
          <t>Work moved to future period</t>
        </is>
      </c>
    </row>
    <row r="57" ht="14.45" customHeight="1">
      <c r="H57" s="72" t="n"/>
      <c r="I57" s="393">
        <f>CONCAT(J57,K57,L57)</f>
        <v/>
      </c>
      <c r="J57" s="394" t="n">
        <v>5</v>
      </c>
      <c r="K57" s="394" t="inlineStr">
        <is>
          <t>Argentina</t>
        </is>
      </c>
      <c r="L57" s="394" t="inlineStr">
        <is>
          <t>Shell Business</t>
        </is>
      </c>
      <c r="M57" s="406" t="n"/>
      <c r="N57" s="396" t="n"/>
      <c r="O57" s="397" t="n"/>
      <c r="P57" s="407" t="n"/>
      <c r="Q57" s="71" t="n"/>
      <c r="V57" s="403" t="inlineStr">
        <is>
          <t>7. Scope Changes</t>
        </is>
      </c>
      <c r="W57" s="404" t="inlineStr">
        <is>
          <t>Demand Approval</t>
        </is>
      </c>
      <c r="X57" s="404" t="inlineStr">
        <is>
          <t>Funding not approved</t>
        </is>
      </c>
    </row>
    <row r="58" ht="14.45" customHeight="1">
      <c r="H58" s="72" t="n"/>
      <c r="I58" s="386">
        <f>CONCAT(J58,K58,L58)</f>
        <v/>
      </c>
      <c r="J58" s="387" t="n">
        <v>6</v>
      </c>
      <c r="K58" s="387" t="inlineStr">
        <is>
          <t>Argentina</t>
        </is>
      </c>
      <c r="L58" s="387" t="inlineStr">
        <is>
          <t>Shell Business</t>
        </is>
      </c>
      <c r="M58" s="405" t="n"/>
      <c r="N58" s="389" t="n"/>
      <c r="O58" s="390" t="n"/>
      <c r="P58" s="407" t="n"/>
      <c r="Q58" s="71" t="n"/>
      <c r="V58" s="401" t="inlineStr">
        <is>
          <t>8. Miscellaneous</t>
        </is>
      </c>
      <c r="W58" s="402" t="inlineStr">
        <is>
          <t>Unclassified</t>
        </is>
      </c>
      <c r="X58" s="402" t="inlineStr">
        <is>
          <t>Any other reason not fitting above</t>
        </is>
      </c>
    </row>
    <row r="59" ht="14.45" customHeight="1">
      <c r="H59" s="72" t="n"/>
      <c r="I59" s="393">
        <f>CONCAT(J59,K59,L59)</f>
        <v/>
      </c>
      <c r="J59" s="394" t="n">
        <v>7</v>
      </c>
      <c r="K59" s="394" t="inlineStr">
        <is>
          <t>Argentina</t>
        </is>
      </c>
      <c r="L59" s="394" t="inlineStr">
        <is>
          <t>Shell Business</t>
        </is>
      </c>
      <c r="M59" s="406" t="n"/>
      <c r="N59" s="396" t="n"/>
      <c r="O59" s="397" t="n"/>
      <c r="P59" s="407" t="n"/>
      <c r="Q59" s="71" t="n"/>
      <c r="V59" s="403" t="inlineStr">
        <is>
          <t>8. Miscellaneous</t>
        </is>
      </c>
      <c r="W59" s="404" t="inlineStr">
        <is>
          <t>One-off Adjustment</t>
        </is>
      </c>
      <c r="X59" s="404" t="inlineStr">
        <is>
          <t>One-time corrections / manual fixes</t>
        </is>
      </c>
    </row>
    <row r="60" ht="14.45" customHeight="1">
      <c r="H60" s="72" t="n"/>
      <c r="I60" s="386">
        <f>CONCAT(J60,K60,L60)</f>
        <v/>
      </c>
      <c r="J60" s="387" t="n">
        <v>1</v>
      </c>
      <c r="K60" s="387" t="inlineStr">
        <is>
          <t>Australia</t>
        </is>
      </c>
      <c r="L60" s="387" t="inlineStr">
        <is>
          <t>Shell Business</t>
        </is>
      </c>
      <c r="M60" s="405" t="n"/>
      <c r="N60" s="389" t="n"/>
      <c r="O60" s="390" t="n"/>
      <c r="P60" s="407" t="n"/>
      <c r="Q60" s="71" t="n"/>
    </row>
    <row r="61" ht="14.45" customHeight="1">
      <c r="H61" s="72" t="n"/>
      <c r="I61" s="393">
        <f>CONCAT(J61,K61,L61)</f>
        <v/>
      </c>
      <c r="J61" s="394" t="n">
        <v>2</v>
      </c>
      <c r="K61" s="394" t="inlineStr">
        <is>
          <t>Australia</t>
        </is>
      </c>
      <c r="L61" s="394" t="inlineStr">
        <is>
          <t>Shell Business</t>
        </is>
      </c>
      <c r="M61" s="406" t="n"/>
      <c r="N61" s="396" t="n"/>
      <c r="O61" s="397" t="n"/>
      <c r="P61" s="407" t="n"/>
      <c r="Q61" s="71" t="n"/>
    </row>
    <row r="62" ht="14.45" customHeight="1">
      <c r="H62" s="72" t="n"/>
      <c r="I62" s="386">
        <f>CONCAT(J62,K62,L62)</f>
        <v/>
      </c>
      <c r="J62" s="387" t="n">
        <v>3</v>
      </c>
      <c r="K62" s="387" t="inlineStr">
        <is>
          <t>Australia</t>
        </is>
      </c>
      <c r="L62" s="387" t="inlineStr">
        <is>
          <t>Shell Business</t>
        </is>
      </c>
      <c r="M62" s="405" t="n"/>
      <c r="N62" s="389" t="n"/>
      <c r="O62" s="390" t="n"/>
      <c r="P62" s="407" t="n"/>
      <c r="Q62" s="71" t="n"/>
    </row>
    <row r="63" ht="14.45" customHeight="1">
      <c r="H63" s="72" t="n"/>
      <c r="I63" s="393">
        <f>CONCAT(J63,K63,L63)</f>
        <v/>
      </c>
      <c r="J63" s="394" t="n">
        <v>4</v>
      </c>
      <c r="K63" s="394" t="inlineStr">
        <is>
          <t>Australia</t>
        </is>
      </c>
      <c r="L63" s="394" t="inlineStr">
        <is>
          <t>Shell Business</t>
        </is>
      </c>
      <c r="M63" s="406" t="n"/>
      <c r="N63" s="396" t="n"/>
      <c r="O63" s="397" t="n"/>
      <c r="P63" s="407" t="n"/>
      <c r="Q63" s="71" t="n"/>
    </row>
    <row r="64" ht="14.45" customHeight="1">
      <c r="H64" s="72" t="n"/>
      <c r="I64" s="386">
        <f>CONCAT(J64,K64,L64)</f>
        <v/>
      </c>
      <c r="J64" s="387" t="n">
        <v>5</v>
      </c>
      <c r="K64" s="387" t="inlineStr">
        <is>
          <t>Australia</t>
        </is>
      </c>
      <c r="L64" s="387" t="inlineStr">
        <is>
          <t>Shell Business</t>
        </is>
      </c>
      <c r="M64" s="405" t="n"/>
      <c r="N64" s="389" t="n"/>
      <c r="O64" s="390" t="n"/>
      <c r="P64" s="407" t="n"/>
      <c r="Q64" s="71" t="n"/>
    </row>
    <row r="65" ht="14.45" customHeight="1">
      <c r="H65" s="72" t="n"/>
      <c r="I65" s="393">
        <f>CONCAT(J65,K65,L65)</f>
        <v/>
      </c>
      <c r="J65" s="394" t="n">
        <v>6</v>
      </c>
      <c r="K65" s="394" t="inlineStr">
        <is>
          <t>Australia</t>
        </is>
      </c>
      <c r="L65" s="394" t="inlineStr">
        <is>
          <t>Shell Business</t>
        </is>
      </c>
      <c r="M65" s="406" t="n"/>
      <c r="N65" s="396" t="n"/>
      <c r="O65" s="397" t="n"/>
      <c r="P65" s="407" t="n"/>
      <c r="Q65" s="71" t="n"/>
    </row>
    <row r="66" ht="14.45" customHeight="1">
      <c r="H66" s="72" t="n"/>
      <c r="I66" s="386">
        <f>CONCAT(J66,K66,L66)</f>
        <v/>
      </c>
      <c r="J66" s="387" t="n">
        <v>7</v>
      </c>
      <c r="K66" s="387" t="inlineStr">
        <is>
          <t>Australia</t>
        </is>
      </c>
      <c r="L66" s="387" t="inlineStr">
        <is>
          <t>Shell Business</t>
        </is>
      </c>
      <c r="M66" s="405" t="n"/>
      <c r="N66" s="389" t="n"/>
      <c r="O66" s="390" t="n"/>
      <c r="P66" s="407" t="n"/>
      <c r="Q66" s="71" t="n"/>
    </row>
    <row r="67" ht="14.45" customHeight="1">
      <c r="H67" s="72" t="n"/>
      <c r="I67" s="393">
        <f>CONCAT(J67,K67,L67)</f>
        <v/>
      </c>
      <c r="J67" s="394" t="n">
        <v>1</v>
      </c>
      <c r="K67" s="394" t="inlineStr">
        <is>
          <t>Austria</t>
        </is>
      </c>
      <c r="L67" s="394" t="inlineStr">
        <is>
          <t>Shell Business</t>
        </is>
      </c>
      <c r="M67" s="406" t="n"/>
      <c r="N67" s="396" t="n"/>
      <c r="O67" s="397" t="n"/>
      <c r="P67" s="407" t="n"/>
      <c r="Q67" s="71" t="n"/>
    </row>
    <row r="68" ht="14.45" customHeight="1">
      <c r="H68" s="72" t="n"/>
      <c r="I68" s="386">
        <f>CONCAT(J68,K68,L68)</f>
        <v/>
      </c>
      <c r="J68" s="387" t="n">
        <v>2</v>
      </c>
      <c r="K68" s="387" t="inlineStr">
        <is>
          <t>Austria</t>
        </is>
      </c>
      <c r="L68" s="387" t="inlineStr">
        <is>
          <t>Shell Business</t>
        </is>
      </c>
      <c r="M68" s="405" t="n"/>
      <c r="N68" s="389" t="n"/>
      <c r="O68" s="390" t="n"/>
      <c r="P68" s="407" t="n"/>
      <c r="Q68" s="71" t="n"/>
    </row>
    <row r="69" ht="14.45" customHeight="1">
      <c r="H69" s="72" t="n"/>
      <c r="I69" s="393">
        <f>CONCAT(J69,K69,L69)</f>
        <v/>
      </c>
      <c r="J69" s="394" t="n">
        <v>3</v>
      </c>
      <c r="K69" s="394" t="inlineStr">
        <is>
          <t>Austria</t>
        </is>
      </c>
      <c r="L69" s="394" t="inlineStr">
        <is>
          <t>Shell Business</t>
        </is>
      </c>
      <c r="M69" s="406" t="n"/>
      <c r="N69" s="396" t="n"/>
      <c r="O69" s="397" t="n"/>
      <c r="P69" s="407" t="n"/>
      <c r="Q69" s="71" t="n"/>
    </row>
    <row r="70" ht="14.45" customHeight="1">
      <c r="H70" s="72" t="n"/>
      <c r="I70" s="386">
        <f>CONCAT(J70,K70,L70)</f>
        <v/>
      </c>
      <c r="J70" s="387" t="n">
        <v>4</v>
      </c>
      <c r="K70" s="387" t="inlineStr">
        <is>
          <t>Austria</t>
        </is>
      </c>
      <c r="L70" s="387" t="inlineStr">
        <is>
          <t>Shell Business</t>
        </is>
      </c>
      <c r="M70" s="405" t="n"/>
      <c r="N70" s="389" t="n"/>
      <c r="O70" s="390" t="n"/>
      <c r="P70" s="407" t="n"/>
      <c r="Q70" s="71" t="n"/>
    </row>
    <row r="71" ht="14.45" customHeight="1">
      <c r="H71" s="72" t="n"/>
      <c r="I71" s="393">
        <f>CONCAT(J71,K71,L71)</f>
        <v/>
      </c>
      <c r="J71" s="394" t="n">
        <v>5</v>
      </c>
      <c r="K71" s="394" t="inlineStr">
        <is>
          <t>Austria</t>
        </is>
      </c>
      <c r="L71" s="394" t="inlineStr">
        <is>
          <t>Shell Business</t>
        </is>
      </c>
      <c r="M71" s="406" t="n"/>
      <c r="N71" s="396" t="n"/>
      <c r="O71" s="397" t="n"/>
      <c r="P71" s="407" t="n"/>
      <c r="Q71" s="71" t="n"/>
    </row>
    <row r="72" ht="14.45" customHeight="1">
      <c r="H72" s="72" t="n"/>
      <c r="I72" s="386">
        <f>CONCAT(J72,K72,L72)</f>
        <v/>
      </c>
      <c r="J72" s="387" t="n">
        <v>6</v>
      </c>
      <c r="K72" s="387" t="inlineStr">
        <is>
          <t>Austria</t>
        </is>
      </c>
      <c r="L72" s="387" t="inlineStr">
        <is>
          <t>Shell Business</t>
        </is>
      </c>
      <c r="M72" s="405" t="n"/>
      <c r="N72" s="389" t="n"/>
      <c r="O72" s="390" t="n"/>
      <c r="P72" s="407" t="n"/>
      <c r="Q72" s="71" t="n"/>
    </row>
    <row r="73" ht="14.45" customHeight="1">
      <c r="H73" s="72" t="n"/>
      <c r="I73" s="393">
        <f>CONCAT(J73,K73,L73)</f>
        <v/>
      </c>
      <c r="J73" s="394" t="n">
        <v>7</v>
      </c>
      <c r="K73" s="394" t="inlineStr">
        <is>
          <t>Austria</t>
        </is>
      </c>
      <c r="L73" s="394" t="inlineStr">
        <is>
          <t>Shell Business</t>
        </is>
      </c>
      <c r="M73" s="406" t="n"/>
      <c r="N73" s="396" t="n"/>
      <c r="O73" s="397" t="n"/>
      <c r="P73" s="407" t="n"/>
      <c r="Q73" s="71" t="n"/>
    </row>
    <row r="74" ht="14.45" customHeight="1">
      <c r="H74" s="72" t="n"/>
      <c r="I74" s="386">
        <f>CONCAT(J74,K74,L74)</f>
        <v/>
      </c>
      <c r="J74" s="387" t="n">
        <v>1</v>
      </c>
      <c r="K74" s="387" t="inlineStr">
        <is>
          <t>Belgium</t>
        </is>
      </c>
      <c r="L74" s="387" t="inlineStr">
        <is>
          <t>Shell Business</t>
        </is>
      </c>
      <c r="M74" s="405" t="n"/>
      <c r="N74" s="389" t="n"/>
      <c r="O74" s="390" t="n"/>
      <c r="P74" s="407" t="n"/>
      <c r="Q74" s="71" t="n"/>
    </row>
    <row r="75" ht="14.45" customHeight="1">
      <c r="H75" s="72" t="n"/>
      <c r="I75" s="393">
        <f>CONCAT(J75,K75,L75)</f>
        <v/>
      </c>
      <c r="J75" s="394" t="n">
        <v>2</v>
      </c>
      <c r="K75" s="394" t="inlineStr">
        <is>
          <t>Belgium</t>
        </is>
      </c>
      <c r="L75" s="394" t="inlineStr">
        <is>
          <t>Shell Business</t>
        </is>
      </c>
      <c r="M75" s="406" t="n"/>
      <c r="N75" s="396" t="n"/>
      <c r="O75" s="397" t="n"/>
      <c r="P75" s="407" t="n"/>
      <c r="Q75" s="71" t="n"/>
    </row>
    <row r="76" ht="14.45" customHeight="1">
      <c r="H76" s="72" t="n"/>
      <c r="I76" s="386">
        <f>CONCAT(J76,K76,L76)</f>
        <v/>
      </c>
      <c r="J76" s="387" t="n">
        <v>3</v>
      </c>
      <c r="K76" s="387" t="inlineStr">
        <is>
          <t>Belgium</t>
        </is>
      </c>
      <c r="L76" s="387" t="inlineStr">
        <is>
          <t>Shell Business</t>
        </is>
      </c>
      <c r="M76" s="405" t="n"/>
      <c r="N76" s="389" t="n"/>
      <c r="O76" s="390" t="n"/>
      <c r="P76" s="407" t="n"/>
      <c r="Q76" s="71" t="n"/>
    </row>
    <row r="77" ht="14.45" customHeight="1">
      <c r="H77" s="72" t="n"/>
      <c r="I77" s="393">
        <f>CONCAT(J77,K77,L77)</f>
        <v/>
      </c>
      <c r="J77" s="394" t="n">
        <v>4</v>
      </c>
      <c r="K77" s="394" t="inlineStr">
        <is>
          <t>Belgium</t>
        </is>
      </c>
      <c r="L77" s="394" t="inlineStr">
        <is>
          <t>Shell Business</t>
        </is>
      </c>
      <c r="M77" s="406" t="n"/>
      <c r="N77" s="396" t="n"/>
      <c r="O77" s="397" t="n"/>
      <c r="P77" s="407" t="n"/>
      <c r="Q77" s="71" t="n"/>
    </row>
    <row r="78" ht="14.45" customHeight="1">
      <c r="H78" s="72" t="n"/>
      <c r="I78" s="386">
        <f>CONCAT(J78,K78,L78)</f>
        <v/>
      </c>
      <c r="J78" s="387" t="n">
        <v>5</v>
      </c>
      <c r="K78" s="387" t="inlineStr">
        <is>
          <t>Belgium</t>
        </is>
      </c>
      <c r="L78" s="387" t="inlineStr">
        <is>
          <t>Shell Business</t>
        </is>
      </c>
      <c r="M78" s="405" t="n"/>
      <c r="N78" s="389" t="n"/>
      <c r="O78" s="390" t="n"/>
      <c r="P78" s="407" t="n"/>
      <c r="Q78" s="71" t="n"/>
    </row>
    <row r="79" ht="14.45" customHeight="1">
      <c r="H79" s="72" t="n"/>
      <c r="I79" s="393">
        <f>CONCAT(J79,K79,L79)</f>
        <v/>
      </c>
      <c r="J79" s="394" t="n">
        <v>6</v>
      </c>
      <c r="K79" s="394" t="inlineStr">
        <is>
          <t>Belgium</t>
        </is>
      </c>
      <c r="L79" s="394" t="inlineStr">
        <is>
          <t>Shell Business</t>
        </is>
      </c>
      <c r="M79" s="406" t="n"/>
      <c r="N79" s="396" t="n"/>
      <c r="O79" s="397" t="n"/>
      <c r="P79" s="407" t="n"/>
      <c r="Q79" s="71" t="n"/>
    </row>
    <row r="80" ht="14.45" customHeight="1">
      <c r="H80" s="72" t="n"/>
      <c r="I80" s="386">
        <f>CONCAT(J80,K80,L80)</f>
        <v/>
      </c>
      <c r="J80" s="387" t="n">
        <v>7</v>
      </c>
      <c r="K80" s="387" t="inlineStr">
        <is>
          <t>Belgium</t>
        </is>
      </c>
      <c r="L80" s="387" t="inlineStr">
        <is>
          <t>Shell Business</t>
        </is>
      </c>
      <c r="M80" s="405" t="n"/>
      <c r="N80" s="389" t="n"/>
      <c r="O80" s="390" t="n"/>
      <c r="P80" s="407" t="n"/>
      <c r="Q80" s="71" t="n"/>
    </row>
    <row r="81" ht="14.45" customHeight="1">
      <c r="H81" s="72" t="n"/>
      <c r="I81" s="393">
        <f>CONCAT(J81,K81,L81)</f>
        <v/>
      </c>
      <c r="J81" s="394" t="n">
        <v>1</v>
      </c>
      <c r="K81" s="394" t="inlineStr">
        <is>
          <t>Brazil</t>
        </is>
      </c>
      <c r="L81" s="394" t="inlineStr">
        <is>
          <t>Shell Business</t>
        </is>
      </c>
      <c r="M81" s="406" t="n"/>
      <c r="N81" s="396" t="n"/>
      <c r="O81" s="397" t="n"/>
      <c r="P81" s="407" t="n"/>
      <c r="Q81" s="71" t="n"/>
    </row>
    <row r="82" ht="14.45" customHeight="1">
      <c r="H82" s="72" t="n"/>
      <c r="I82" s="386">
        <f>CONCAT(J82,K82,L82)</f>
        <v/>
      </c>
      <c r="J82" s="387" t="n">
        <v>2</v>
      </c>
      <c r="K82" s="387" t="inlineStr">
        <is>
          <t>Brazil</t>
        </is>
      </c>
      <c r="L82" s="387" t="inlineStr">
        <is>
          <t>Shell Business</t>
        </is>
      </c>
      <c r="M82" s="405" t="n"/>
      <c r="N82" s="389" t="n"/>
      <c r="O82" s="390" t="n"/>
      <c r="P82" s="407" t="n"/>
      <c r="Q82" s="71" t="n"/>
    </row>
    <row r="83" ht="14.45" customHeight="1">
      <c r="H83" s="72" t="n"/>
      <c r="I83" s="393">
        <f>CONCAT(J83,K83,L83)</f>
        <v/>
      </c>
      <c r="J83" s="394" t="n">
        <v>3</v>
      </c>
      <c r="K83" s="394" t="inlineStr">
        <is>
          <t>Brazil</t>
        </is>
      </c>
      <c r="L83" s="394" t="inlineStr">
        <is>
          <t>Shell Business</t>
        </is>
      </c>
      <c r="M83" s="406" t="n"/>
      <c r="N83" s="396" t="n"/>
      <c r="O83" s="397" t="n"/>
      <c r="P83" s="407" t="n"/>
      <c r="Q83" s="71" t="n"/>
    </row>
    <row r="84" ht="14.45" customHeight="1">
      <c r="H84" s="72" t="n"/>
      <c r="I84" s="386">
        <f>CONCAT(J84,K84,L84)</f>
        <v/>
      </c>
      <c r="J84" s="387" t="n">
        <v>4</v>
      </c>
      <c r="K84" s="387" t="inlineStr">
        <is>
          <t>Brazil</t>
        </is>
      </c>
      <c r="L84" s="387" t="inlineStr">
        <is>
          <t>Shell Business</t>
        </is>
      </c>
      <c r="M84" s="405" t="n"/>
      <c r="N84" s="389" t="n"/>
      <c r="O84" s="390" t="n"/>
      <c r="P84" s="407" t="n"/>
      <c r="Q84" s="71" t="n"/>
    </row>
    <row r="85" ht="14.45" customHeight="1">
      <c r="H85" s="72" t="n"/>
      <c r="I85" s="393">
        <f>CONCAT(J85,K85,L85)</f>
        <v/>
      </c>
      <c r="J85" s="394" t="n">
        <v>5</v>
      </c>
      <c r="K85" s="394" t="inlineStr">
        <is>
          <t>Brazil</t>
        </is>
      </c>
      <c r="L85" s="394" t="inlineStr">
        <is>
          <t>Shell Business</t>
        </is>
      </c>
      <c r="M85" s="406" t="n"/>
      <c r="N85" s="396" t="n"/>
      <c r="O85" s="397" t="n"/>
      <c r="P85" s="407" t="n"/>
      <c r="Q85" s="71" t="n"/>
    </row>
    <row r="86" ht="14.45" customHeight="1">
      <c r="H86" s="72" t="n"/>
      <c r="I86" s="386">
        <f>CONCAT(J86,K86,L86)</f>
        <v/>
      </c>
      <c r="J86" s="387" t="n">
        <v>6</v>
      </c>
      <c r="K86" s="387" t="inlineStr">
        <is>
          <t>Brazil</t>
        </is>
      </c>
      <c r="L86" s="387" t="inlineStr">
        <is>
          <t>Shell Business</t>
        </is>
      </c>
      <c r="M86" s="405" t="n"/>
      <c r="N86" s="389" t="n"/>
      <c r="O86" s="390" t="n"/>
      <c r="P86" s="407" t="n"/>
      <c r="Q86" s="71" t="n"/>
    </row>
    <row r="87" ht="14.45" customHeight="1">
      <c r="H87" s="72" t="n"/>
      <c r="I87" s="393">
        <f>CONCAT(J87,K87,L87)</f>
        <v/>
      </c>
      <c r="J87" s="394" t="n">
        <v>7</v>
      </c>
      <c r="K87" s="394" t="inlineStr">
        <is>
          <t>Brazil</t>
        </is>
      </c>
      <c r="L87" s="394" t="inlineStr">
        <is>
          <t>Shell Business</t>
        </is>
      </c>
      <c r="M87" s="406" t="n"/>
      <c r="N87" s="396" t="n"/>
      <c r="O87" s="397" t="n"/>
      <c r="P87" s="407" t="n"/>
      <c r="Q87" s="71" t="n"/>
    </row>
    <row r="88" ht="14.45" customHeight="1">
      <c r="H88" s="72" t="n"/>
      <c r="I88" s="386">
        <f>CONCAT(J88,K88,L88)</f>
        <v/>
      </c>
      <c r="J88" s="387" t="n">
        <v>1</v>
      </c>
      <c r="K88" s="387" t="inlineStr">
        <is>
          <t>Canada</t>
        </is>
      </c>
      <c r="L88" s="387" t="inlineStr">
        <is>
          <t>Shell Business</t>
        </is>
      </c>
      <c r="M88" s="405" t="n"/>
      <c r="N88" s="389" t="n"/>
      <c r="O88" s="390" t="n"/>
      <c r="P88" s="407" t="n"/>
      <c r="Q88" s="71" t="n"/>
    </row>
    <row r="89" ht="14.45" customHeight="1">
      <c r="H89" s="72" t="n"/>
      <c r="I89" s="393">
        <f>CONCAT(J89,K89,L89)</f>
        <v/>
      </c>
      <c r="J89" s="394" t="n">
        <v>2</v>
      </c>
      <c r="K89" s="394" t="inlineStr">
        <is>
          <t>Canada</t>
        </is>
      </c>
      <c r="L89" s="394" t="inlineStr">
        <is>
          <t>Shell Business</t>
        </is>
      </c>
      <c r="M89" s="406" t="n"/>
      <c r="N89" s="396" t="n"/>
      <c r="O89" s="397" t="n"/>
      <c r="P89" s="407" t="n"/>
      <c r="Q89" s="71" t="n"/>
    </row>
    <row r="90" ht="14.45" customHeight="1">
      <c r="H90" s="72" t="n"/>
      <c r="I90" s="386">
        <f>CONCAT(J90,K90,L90)</f>
        <v/>
      </c>
      <c r="J90" s="387" t="n">
        <v>3</v>
      </c>
      <c r="K90" s="387" t="inlineStr">
        <is>
          <t>Canada</t>
        </is>
      </c>
      <c r="L90" s="387" t="inlineStr">
        <is>
          <t>Shell Business</t>
        </is>
      </c>
      <c r="M90" s="388" t="n">
        <v>850</v>
      </c>
      <c r="N90" s="389" t="n"/>
      <c r="O90" s="390" t="n"/>
      <c r="P90" s="408" t="n">
        <v>1255</v>
      </c>
      <c r="Q90" s="71" t="n"/>
    </row>
    <row r="91" ht="14.45" customHeight="1">
      <c r="H91" s="72" t="n"/>
      <c r="I91" s="393">
        <f>CONCAT(J91,K91,L91)</f>
        <v/>
      </c>
      <c r="J91" s="394" t="n">
        <v>4</v>
      </c>
      <c r="K91" s="394" t="inlineStr">
        <is>
          <t>Canada</t>
        </is>
      </c>
      <c r="L91" s="394" t="inlineStr">
        <is>
          <t>Shell Business</t>
        </is>
      </c>
      <c r="M91" s="406" t="n"/>
      <c r="N91" s="396" t="n"/>
      <c r="O91" s="397" t="n"/>
      <c r="P91" s="407" t="n"/>
      <c r="Q91" s="71" t="n"/>
    </row>
    <row r="92" ht="14.45" customHeight="1">
      <c r="H92" s="72" t="n"/>
      <c r="I92" s="386">
        <f>CONCAT(J92,K92,L92)</f>
        <v/>
      </c>
      <c r="J92" s="387" t="n">
        <v>5</v>
      </c>
      <c r="K92" s="387" t="inlineStr">
        <is>
          <t>Canada</t>
        </is>
      </c>
      <c r="L92" s="387" t="inlineStr">
        <is>
          <t>Shell Business</t>
        </is>
      </c>
      <c r="M92" s="405" t="n"/>
      <c r="N92" s="389" t="n"/>
      <c r="O92" s="390" t="n"/>
      <c r="P92" s="407" t="n"/>
      <c r="Q92" s="71" t="n"/>
    </row>
    <row r="93" ht="14.45" customHeight="1">
      <c r="H93" s="72" t="n"/>
      <c r="I93" s="393">
        <f>CONCAT(J93,K93,L93)</f>
        <v/>
      </c>
      <c r="J93" s="394" t="n">
        <v>6</v>
      </c>
      <c r="K93" s="394" t="inlineStr">
        <is>
          <t>Canada</t>
        </is>
      </c>
      <c r="L93" s="394" t="inlineStr">
        <is>
          <t>Shell Business</t>
        </is>
      </c>
      <c r="M93" s="406" t="n"/>
      <c r="N93" s="396" t="n"/>
      <c r="O93" s="397" t="n"/>
      <c r="P93" s="407" t="n"/>
      <c r="Q93" s="71" t="n"/>
    </row>
    <row r="94" ht="14.45" customHeight="1">
      <c r="H94" s="72" t="n"/>
      <c r="I94" s="386">
        <f>CONCAT(J94,K94,L94)</f>
        <v/>
      </c>
      <c r="J94" s="387" t="n">
        <v>7</v>
      </c>
      <c r="K94" s="387" t="inlineStr">
        <is>
          <t>Canada</t>
        </is>
      </c>
      <c r="L94" s="387" t="inlineStr">
        <is>
          <t>Shell Business</t>
        </is>
      </c>
      <c r="M94" s="405" t="n"/>
      <c r="N94" s="389" t="n"/>
      <c r="O94" s="390" t="n"/>
      <c r="P94" s="407" t="n"/>
      <c r="Q94" s="71" t="n"/>
    </row>
    <row r="95" ht="14.45" customHeight="1">
      <c r="H95" s="72" t="n"/>
      <c r="I95" s="393">
        <f>CONCAT(J95,K95,L95)</f>
        <v/>
      </c>
      <c r="J95" s="394" t="n">
        <v>1</v>
      </c>
      <c r="K95" s="394" t="inlineStr">
        <is>
          <t>China</t>
        </is>
      </c>
      <c r="L95" s="394" t="inlineStr">
        <is>
          <t>Shell Business</t>
        </is>
      </c>
      <c r="M95" s="406" t="n"/>
      <c r="N95" s="396" t="n"/>
      <c r="O95" s="397" t="n"/>
      <c r="P95" s="407" t="n"/>
      <c r="Q95" s="71" t="n"/>
    </row>
    <row r="96" ht="14.45" customHeight="1">
      <c r="H96" s="72" t="n"/>
      <c r="I96" s="386">
        <f>CONCAT(J96,K96,L96)</f>
        <v/>
      </c>
      <c r="J96" s="387" t="n">
        <v>2</v>
      </c>
      <c r="K96" s="387" t="inlineStr">
        <is>
          <t>China</t>
        </is>
      </c>
      <c r="L96" s="387" t="inlineStr">
        <is>
          <t>Shell Business</t>
        </is>
      </c>
      <c r="M96" s="405" t="n"/>
      <c r="N96" s="389" t="n"/>
      <c r="O96" s="390" t="n"/>
      <c r="P96" s="407" t="n"/>
      <c r="Q96" s="71" t="n"/>
    </row>
    <row r="97" ht="14.45" customHeight="1">
      <c r="H97" s="72" t="n"/>
      <c r="I97" s="393">
        <f>CONCAT(J97,K97,L97)</f>
        <v/>
      </c>
      <c r="J97" s="394" t="n">
        <v>3</v>
      </c>
      <c r="K97" s="394" t="inlineStr">
        <is>
          <t>China</t>
        </is>
      </c>
      <c r="L97" s="394" t="inlineStr">
        <is>
          <t>Shell Business</t>
        </is>
      </c>
      <c r="M97" s="406" t="n"/>
      <c r="N97" s="396" t="n"/>
      <c r="O97" s="397" t="n"/>
      <c r="P97" s="407" t="n"/>
      <c r="Q97" s="71" t="n"/>
    </row>
    <row r="98" ht="14.45" customHeight="1">
      <c r="H98" s="72" t="n"/>
      <c r="I98" s="386">
        <f>CONCAT(J98,K98,L98)</f>
        <v/>
      </c>
      <c r="J98" s="387" t="n">
        <v>4</v>
      </c>
      <c r="K98" s="387" t="inlineStr">
        <is>
          <t>China</t>
        </is>
      </c>
      <c r="L98" s="387" t="inlineStr">
        <is>
          <t>Shell Business</t>
        </is>
      </c>
      <c r="M98" s="405" t="n"/>
      <c r="N98" s="389" t="n"/>
      <c r="O98" s="390" t="n"/>
      <c r="P98" s="407" t="n"/>
      <c r="Q98" s="71" t="n"/>
    </row>
    <row r="99" ht="14.45" customHeight="1">
      <c r="H99" s="72" t="n"/>
      <c r="I99" s="393">
        <f>CONCAT(J99,K99,L99)</f>
        <v/>
      </c>
      <c r="J99" s="394" t="n">
        <v>5</v>
      </c>
      <c r="K99" s="394" t="inlineStr">
        <is>
          <t>China</t>
        </is>
      </c>
      <c r="L99" s="394" t="inlineStr">
        <is>
          <t>Shell Business</t>
        </is>
      </c>
      <c r="M99" s="406" t="n"/>
      <c r="N99" s="396" t="n"/>
      <c r="O99" s="397" t="n"/>
      <c r="P99" s="407" t="n"/>
      <c r="Q99" s="71" t="n"/>
    </row>
    <row r="100" ht="14.45" customHeight="1">
      <c r="H100" s="72" t="n"/>
      <c r="I100" s="386">
        <f>CONCAT(J100,K100,L100)</f>
        <v/>
      </c>
      <c r="J100" s="387" t="n">
        <v>6</v>
      </c>
      <c r="K100" s="387" t="inlineStr">
        <is>
          <t>China</t>
        </is>
      </c>
      <c r="L100" s="387" t="inlineStr">
        <is>
          <t>Shell Business</t>
        </is>
      </c>
      <c r="M100" s="405" t="n"/>
      <c r="N100" s="389" t="n"/>
      <c r="O100" s="390" t="n"/>
      <c r="P100" s="407" t="n"/>
      <c r="Q100" s="71" t="n"/>
    </row>
    <row r="101" ht="14.45" customHeight="1">
      <c r="H101" s="72" t="n"/>
      <c r="I101" s="393">
        <f>CONCAT(J101,K101,L101)</f>
        <v/>
      </c>
      <c r="J101" s="394" t="n">
        <v>7</v>
      </c>
      <c r="K101" s="394" t="inlineStr">
        <is>
          <t>China</t>
        </is>
      </c>
      <c r="L101" s="394" t="inlineStr">
        <is>
          <t>Shell Business</t>
        </is>
      </c>
      <c r="M101" s="406" t="n"/>
      <c r="N101" s="396" t="n"/>
      <c r="O101" s="397" t="n"/>
      <c r="P101" s="407" t="n"/>
      <c r="Q101" s="71" t="n"/>
    </row>
    <row r="102" ht="14.45" customHeight="1">
      <c r="H102" s="72" t="n"/>
      <c r="I102" s="386">
        <f>CONCAT(J102,K102,L102)</f>
        <v/>
      </c>
      <c r="J102" s="387" t="n">
        <v>1</v>
      </c>
      <c r="K102" s="387" t="inlineStr">
        <is>
          <t>Czech Republic</t>
        </is>
      </c>
      <c r="L102" s="387" t="inlineStr">
        <is>
          <t>Shell Business</t>
        </is>
      </c>
      <c r="M102" s="405" t="n"/>
      <c r="N102" s="389" t="n"/>
      <c r="O102" s="390" t="n"/>
      <c r="P102" s="407" t="n"/>
      <c r="Q102" s="71" t="n"/>
    </row>
    <row r="103" ht="14.45" customHeight="1">
      <c r="H103" s="72" t="n"/>
      <c r="I103" s="393">
        <f>CONCAT(J103,K103,L103)</f>
        <v/>
      </c>
      <c r="J103" s="394" t="n">
        <v>2</v>
      </c>
      <c r="K103" s="394" t="inlineStr">
        <is>
          <t>Czech Republic</t>
        </is>
      </c>
      <c r="L103" s="394" t="inlineStr">
        <is>
          <t>Shell Business</t>
        </is>
      </c>
      <c r="M103" s="406" t="n"/>
      <c r="N103" s="396" t="n"/>
      <c r="O103" s="397" t="n"/>
      <c r="P103" s="407" t="n"/>
      <c r="Q103" s="71" t="n"/>
    </row>
    <row r="104" ht="14.45" customHeight="1">
      <c r="H104" s="72" t="n"/>
      <c r="I104" s="386">
        <f>CONCAT(J104,K104,L104)</f>
        <v/>
      </c>
      <c r="J104" s="387" t="n">
        <v>3</v>
      </c>
      <c r="K104" s="387" t="inlineStr">
        <is>
          <t>Czech Republic</t>
        </is>
      </c>
      <c r="L104" s="387" t="inlineStr">
        <is>
          <t>Shell Business</t>
        </is>
      </c>
      <c r="M104" s="405" t="n"/>
      <c r="N104" s="389" t="n"/>
      <c r="O104" s="390" t="n"/>
      <c r="P104" s="407" t="n"/>
      <c r="Q104" s="71" t="n"/>
    </row>
    <row r="105" ht="14.45" customHeight="1">
      <c r="H105" s="72" t="n"/>
      <c r="I105" s="393">
        <f>CONCAT(J105,K105,L105)</f>
        <v/>
      </c>
      <c r="J105" s="394" t="n">
        <v>4</v>
      </c>
      <c r="K105" s="394" t="inlineStr">
        <is>
          <t>Czech Republic</t>
        </is>
      </c>
      <c r="L105" s="394" t="inlineStr">
        <is>
          <t>Shell Business</t>
        </is>
      </c>
      <c r="M105" s="406" t="n"/>
      <c r="N105" s="396" t="n"/>
      <c r="O105" s="397" t="n"/>
      <c r="P105" s="407" t="n"/>
      <c r="Q105" s="71" t="n"/>
    </row>
    <row r="106" ht="14.45" customHeight="1">
      <c r="H106" s="72" t="n"/>
      <c r="I106" s="386">
        <f>CONCAT(J106,K106,L106)</f>
        <v/>
      </c>
      <c r="J106" s="387" t="n">
        <v>5</v>
      </c>
      <c r="K106" s="387" t="inlineStr">
        <is>
          <t>Czech Republic</t>
        </is>
      </c>
      <c r="L106" s="387" t="inlineStr">
        <is>
          <t>Shell Business</t>
        </is>
      </c>
      <c r="M106" s="405" t="n"/>
      <c r="N106" s="389" t="n"/>
      <c r="O106" s="390" t="n"/>
      <c r="P106" s="407" t="n"/>
      <c r="Q106" s="71" t="n"/>
    </row>
    <row r="107" ht="14.45" customHeight="1">
      <c r="H107" s="72" t="n"/>
      <c r="I107" s="393">
        <f>CONCAT(J107,K107,L107)</f>
        <v/>
      </c>
      <c r="J107" s="394" t="n">
        <v>6</v>
      </c>
      <c r="K107" s="394" t="inlineStr">
        <is>
          <t>Czech Republic</t>
        </is>
      </c>
      <c r="L107" s="394" t="inlineStr">
        <is>
          <t>Shell Business</t>
        </is>
      </c>
      <c r="M107" s="406" t="n"/>
      <c r="N107" s="396" t="n"/>
      <c r="O107" s="397" t="n"/>
      <c r="P107" s="407" t="n"/>
      <c r="Q107" s="71" t="n"/>
    </row>
    <row r="108" ht="14.45" customHeight="1">
      <c r="H108" s="72" t="n"/>
      <c r="I108" s="386">
        <f>CONCAT(J108,K108,L108)</f>
        <v/>
      </c>
      <c r="J108" s="387" t="n">
        <v>7</v>
      </c>
      <c r="K108" s="387" t="inlineStr">
        <is>
          <t>Czech Republic</t>
        </is>
      </c>
      <c r="L108" s="387" t="inlineStr">
        <is>
          <t>Shell Business</t>
        </is>
      </c>
      <c r="M108" s="405" t="n"/>
      <c r="N108" s="389" t="n"/>
      <c r="O108" s="390" t="n"/>
      <c r="P108" s="407" t="n"/>
      <c r="Q108" s="71" t="n"/>
    </row>
    <row r="109" ht="14.45" customHeight="1">
      <c r="H109" s="72" t="n"/>
      <c r="I109" s="393">
        <f>CONCAT(J109,K109,L109)</f>
        <v/>
      </c>
      <c r="J109" s="394" t="n">
        <v>1</v>
      </c>
      <c r="K109" s="394" t="inlineStr">
        <is>
          <t>Colombia</t>
        </is>
      </c>
      <c r="L109" s="394" t="inlineStr">
        <is>
          <t>Shell Business</t>
        </is>
      </c>
      <c r="M109" s="406" t="n"/>
      <c r="N109" s="396" t="n"/>
      <c r="O109" s="397" t="n"/>
      <c r="P109" s="407" t="n"/>
      <c r="Q109" s="71" t="n"/>
    </row>
    <row r="110" ht="14.45" customHeight="1">
      <c r="H110" s="72" t="n"/>
      <c r="I110" s="386">
        <f>CONCAT(J110,K110,L110)</f>
        <v/>
      </c>
      <c r="J110" s="387" t="n">
        <v>2</v>
      </c>
      <c r="K110" s="387" t="inlineStr">
        <is>
          <t>Colombia</t>
        </is>
      </c>
      <c r="L110" s="387" t="inlineStr">
        <is>
          <t>Shell Business</t>
        </is>
      </c>
      <c r="M110" s="405" t="n"/>
      <c r="N110" s="389" t="n"/>
      <c r="O110" s="390" t="n"/>
      <c r="P110" s="407" t="n"/>
      <c r="Q110" s="71" t="n"/>
    </row>
    <row r="111" ht="14.45" customHeight="1">
      <c r="H111" s="72" t="n"/>
      <c r="I111" s="393">
        <f>CONCAT(J111,K111,L111)</f>
        <v/>
      </c>
      <c r="J111" s="394" t="n">
        <v>3</v>
      </c>
      <c r="K111" s="394" t="inlineStr">
        <is>
          <t>Colombia</t>
        </is>
      </c>
      <c r="L111" s="394" t="inlineStr">
        <is>
          <t>Shell Business</t>
        </is>
      </c>
      <c r="M111" s="406" t="n"/>
      <c r="N111" s="396" t="n"/>
      <c r="O111" s="397" t="n"/>
      <c r="P111" s="407" t="n"/>
      <c r="Q111" s="71" t="n"/>
    </row>
    <row r="112" ht="14.45" customHeight="1">
      <c r="H112" s="72" t="n"/>
      <c r="I112" s="386">
        <f>CONCAT(J112,K112,L112)</f>
        <v/>
      </c>
      <c r="J112" s="387" t="n">
        <v>4</v>
      </c>
      <c r="K112" s="387" t="inlineStr">
        <is>
          <t>Colombia</t>
        </is>
      </c>
      <c r="L112" s="387" t="inlineStr">
        <is>
          <t>Shell Business</t>
        </is>
      </c>
      <c r="M112" s="405" t="n"/>
      <c r="N112" s="389" t="n"/>
      <c r="O112" s="390" t="n"/>
      <c r="P112" s="407" t="n"/>
      <c r="Q112" s="71" t="n"/>
    </row>
    <row r="113" ht="14.45" customHeight="1">
      <c r="H113" s="72" t="n"/>
      <c r="I113" s="393">
        <f>CONCAT(J113,K113,L113)</f>
        <v/>
      </c>
      <c r="J113" s="394" t="n">
        <v>5</v>
      </c>
      <c r="K113" s="394" t="inlineStr">
        <is>
          <t>Colombia</t>
        </is>
      </c>
      <c r="L113" s="394" t="inlineStr">
        <is>
          <t>Shell Business</t>
        </is>
      </c>
      <c r="M113" s="406" t="n"/>
      <c r="N113" s="396" t="n"/>
      <c r="O113" s="397" t="n"/>
      <c r="P113" s="407" t="n"/>
      <c r="Q113" s="71" t="n"/>
    </row>
    <row r="114" ht="14.45" customHeight="1">
      <c r="H114" s="72" t="n"/>
      <c r="I114" s="386">
        <f>CONCAT(J114,K114,L114)</f>
        <v/>
      </c>
      <c r="J114" s="387" t="n">
        <v>6</v>
      </c>
      <c r="K114" s="387" t="inlineStr">
        <is>
          <t>Colombia</t>
        </is>
      </c>
      <c r="L114" s="387" t="inlineStr">
        <is>
          <t>Shell Business</t>
        </is>
      </c>
      <c r="M114" s="405" t="n"/>
      <c r="N114" s="389" t="n"/>
      <c r="O114" s="390" t="n"/>
      <c r="P114" s="407" t="n"/>
      <c r="Q114" s="71" t="n"/>
    </row>
    <row r="115" ht="14.45" customHeight="1">
      <c r="H115" s="72" t="n"/>
      <c r="I115" s="393">
        <f>CONCAT(J115,K115,L115)</f>
        <v/>
      </c>
      <c r="J115" s="394" t="n">
        <v>7</v>
      </c>
      <c r="K115" s="394" t="inlineStr">
        <is>
          <t>Colombia</t>
        </is>
      </c>
      <c r="L115" s="394" t="inlineStr">
        <is>
          <t>Shell Business</t>
        </is>
      </c>
      <c r="M115" s="406" t="n"/>
      <c r="N115" s="396" t="n"/>
      <c r="O115" s="397" t="n"/>
      <c r="P115" s="407" t="n"/>
      <c r="Q115" s="71" t="n"/>
    </row>
    <row r="116" ht="14.45" customHeight="1">
      <c r="H116" s="72" t="n"/>
      <c r="I116" s="386">
        <f>CONCAT(J116,K116,L116)</f>
        <v/>
      </c>
      <c r="J116" s="387" t="n">
        <v>1</v>
      </c>
      <c r="K116" s="387" t="inlineStr">
        <is>
          <t>Denmark</t>
        </is>
      </c>
      <c r="L116" s="387" t="inlineStr">
        <is>
          <t>Shell Business</t>
        </is>
      </c>
      <c r="M116" s="405" t="n"/>
      <c r="N116" s="389" t="n"/>
      <c r="O116" s="390" t="n"/>
      <c r="P116" s="407" t="n"/>
      <c r="Q116" s="71" t="n"/>
    </row>
    <row r="117" ht="14.45" customHeight="1">
      <c r="H117" s="72" t="n"/>
      <c r="I117" s="393">
        <f>CONCAT(J117,K117,L117)</f>
        <v/>
      </c>
      <c r="J117" s="394" t="n">
        <v>2</v>
      </c>
      <c r="K117" s="394" t="inlineStr">
        <is>
          <t>Denmark</t>
        </is>
      </c>
      <c r="L117" s="394" t="inlineStr">
        <is>
          <t>Shell Business</t>
        </is>
      </c>
      <c r="M117" s="406" t="n"/>
      <c r="N117" s="396" t="n"/>
      <c r="O117" s="397" t="n"/>
      <c r="P117" s="407" t="n"/>
      <c r="Q117" s="71" t="n"/>
    </row>
    <row r="118" ht="14.45" customHeight="1">
      <c r="H118" s="72" t="n"/>
      <c r="I118" s="386">
        <f>CONCAT(J118,K118,L118)</f>
        <v/>
      </c>
      <c r="J118" s="387" t="n">
        <v>3</v>
      </c>
      <c r="K118" s="387" t="inlineStr">
        <is>
          <t>Denmark</t>
        </is>
      </c>
      <c r="L118" s="387" t="inlineStr">
        <is>
          <t>Shell Business</t>
        </is>
      </c>
      <c r="M118" s="405" t="n"/>
      <c r="N118" s="389" t="n"/>
      <c r="O118" s="390" t="n"/>
      <c r="P118" s="407" t="n"/>
      <c r="Q118" s="71" t="n"/>
    </row>
    <row r="119" ht="14.45" customHeight="1">
      <c r="H119" s="72" t="n"/>
      <c r="I119" s="393">
        <f>CONCAT(J119,K119,L119)</f>
        <v/>
      </c>
      <c r="J119" s="394" t="n">
        <v>4</v>
      </c>
      <c r="K119" s="394" t="inlineStr">
        <is>
          <t>Denmark</t>
        </is>
      </c>
      <c r="L119" s="394" t="inlineStr">
        <is>
          <t>Shell Business</t>
        </is>
      </c>
      <c r="M119" s="406" t="n"/>
      <c r="N119" s="396" t="n"/>
      <c r="O119" s="397" t="n"/>
      <c r="P119" s="407" t="n"/>
      <c r="Q119" s="71" t="n"/>
    </row>
    <row r="120" ht="14.45" customHeight="1">
      <c r="H120" s="72" t="n"/>
      <c r="I120" s="386">
        <f>CONCAT(J120,K120,L120)</f>
        <v/>
      </c>
      <c r="J120" s="387" t="n">
        <v>5</v>
      </c>
      <c r="K120" s="387" t="inlineStr">
        <is>
          <t>Denmark</t>
        </is>
      </c>
      <c r="L120" s="387" t="inlineStr">
        <is>
          <t>Shell Business</t>
        </is>
      </c>
      <c r="M120" s="405" t="n"/>
      <c r="N120" s="389" t="n"/>
      <c r="O120" s="390" t="n"/>
      <c r="P120" s="407" t="n"/>
      <c r="Q120" s="71" t="n"/>
    </row>
    <row r="121" ht="14.45" customHeight="1">
      <c r="H121" s="72" t="n"/>
      <c r="I121" s="393">
        <f>CONCAT(J121,K121,L121)</f>
        <v/>
      </c>
      <c r="J121" s="394" t="n">
        <v>6</v>
      </c>
      <c r="K121" s="394" t="inlineStr">
        <is>
          <t>Denmark</t>
        </is>
      </c>
      <c r="L121" s="394" t="inlineStr">
        <is>
          <t>Shell Business</t>
        </is>
      </c>
      <c r="M121" s="406" t="n"/>
      <c r="N121" s="396" t="n"/>
      <c r="O121" s="397" t="n"/>
      <c r="P121" s="407" t="n"/>
      <c r="Q121" s="71" t="n"/>
    </row>
    <row r="122" ht="14.45" customHeight="1">
      <c r="H122" s="72" t="n"/>
      <c r="I122" s="386">
        <f>CONCAT(J122,K122,L122)</f>
        <v/>
      </c>
      <c r="J122" s="387" t="n">
        <v>7</v>
      </c>
      <c r="K122" s="387" t="inlineStr">
        <is>
          <t>Denmark</t>
        </is>
      </c>
      <c r="L122" s="387" t="inlineStr">
        <is>
          <t>Shell Business</t>
        </is>
      </c>
      <c r="M122" s="405" t="n"/>
      <c r="N122" s="389" t="n"/>
      <c r="O122" s="390" t="n"/>
      <c r="P122" s="407" t="n"/>
      <c r="Q122" s="71" t="n"/>
    </row>
    <row r="123" ht="14.45" customHeight="1">
      <c r="H123" s="72" t="n"/>
      <c r="I123" s="393">
        <f>CONCAT(J123,K123,L123)</f>
        <v/>
      </c>
      <c r="J123" s="394" t="n">
        <v>1</v>
      </c>
      <c r="K123" s="394" t="inlineStr">
        <is>
          <t>France</t>
        </is>
      </c>
      <c r="L123" s="394" t="inlineStr">
        <is>
          <t>Shell Business</t>
        </is>
      </c>
      <c r="M123" s="406" t="n"/>
      <c r="N123" s="396" t="n"/>
      <c r="O123" s="397" t="n"/>
      <c r="P123" s="407" t="n"/>
      <c r="Q123" s="71" t="n"/>
    </row>
    <row r="124" ht="14.45" customHeight="1">
      <c r="H124" s="72" t="n"/>
      <c r="I124" s="386">
        <f>CONCAT(J124,K124,L124)</f>
        <v/>
      </c>
      <c r="J124" s="387" t="n">
        <v>2</v>
      </c>
      <c r="K124" s="387" t="inlineStr">
        <is>
          <t>France</t>
        </is>
      </c>
      <c r="L124" s="387" t="inlineStr">
        <is>
          <t>Shell Business</t>
        </is>
      </c>
      <c r="M124" s="405" t="n"/>
      <c r="N124" s="389" t="n"/>
      <c r="O124" s="390" t="n"/>
      <c r="P124" s="407" t="n"/>
      <c r="Q124" s="71" t="n"/>
    </row>
    <row r="125" ht="14.45" customHeight="1">
      <c r="H125" s="72" t="n"/>
      <c r="I125" s="393">
        <f>CONCAT(J125,K125,L125)</f>
        <v/>
      </c>
      <c r="J125" s="394" t="n">
        <v>3</v>
      </c>
      <c r="K125" s="394" t="inlineStr">
        <is>
          <t>France</t>
        </is>
      </c>
      <c r="L125" s="394" t="inlineStr">
        <is>
          <t>Shell Business</t>
        </is>
      </c>
      <c r="M125" s="406" t="n"/>
      <c r="N125" s="396" t="n"/>
      <c r="O125" s="397" t="n"/>
      <c r="P125" s="407" t="n"/>
      <c r="Q125" s="71" t="n"/>
    </row>
    <row r="126" ht="14.45" customHeight="1">
      <c r="H126" s="72" t="n"/>
      <c r="I126" s="386">
        <f>CONCAT(J126,K126,L126)</f>
        <v/>
      </c>
      <c r="J126" s="387" t="n">
        <v>4</v>
      </c>
      <c r="K126" s="387" t="inlineStr">
        <is>
          <t>France</t>
        </is>
      </c>
      <c r="L126" s="387" t="inlineStr">
        <is>
          <t>Shell Business</t>
        </is>
      </c>
      <c r="M126" s="405" t="n"/>
      <c r="N126" s="389" t="n"/>
      <c r="O126" s="390" t="n"/>
      <c r="P126" s="407" t="n"/>
      <c r="Q126" s="71" t="n"/>
    </row>
    <row r="127" ht="14.45" customHeight="1">
      <c r="H127" s="72" t="n"/>
      <c r="I127" s="393">
        <f>CONCAT(J127,K127,L127)</f>
        <v/>
      </c>
      <c r="J127" s="394" t="n">
        <v>5</v>
      </c>
      <c r="K127" s="394" t="inlineStr">
        <is>
          <t>France</t>
        </is>
      </c>
      <c r="L127" s="394" t="inlineStr">
        <is>
          <t>Shell Business</t>
        </is>
      </c>
      <c r="M127" s="406" t="n"/>
      <c r="N127" s="396" t="n"/>
      <c r="O127" s="397" t="n"/>
      <c r="P127" s="407" t="n"/>
      <c r="Q127" s="71" t="n"/>
    </row>
    <row r="128" ht="14.45" customHeight="1">
      <c r="H128" s="72" t="n"/>
      <c r="I128" s="386">
        <f>CONCAT(J128,K128,L128)</f>
        <v/>
      </c>
      <c r="J128" s="387" t="n">
        <v>6</v>
      </c>
      <c r="K128" s="387" t="inlineStr">
        <is>
          <t>France</t>
        </is>
      </c>
      <c r="L128" s="387" t="inlineStr">
        <is>
          <t>Shell Business</t>
        </is>
      </c>
      <c r="M128" s="405" t="n"/>
      <c r="N128" s="389" t="n"/>
      <c r="O128" s="390" t="n"/>
      <c r="P128" s="407" t="n"/>
      <c r="Q128" s="71" t="n"/>
    </row>
    <row r="129" ht="14.45" customHeight="1">
      <c r="H129" s="72" t="n"/>
      <c r="I129" s="393">
        <f>CONCAT(J129,K129,L129)</f>
        <v/>
      </c>
      <c r="J129" s="394" t="n">
        <v>7</v>
      </c>
      <c r="K129" s="394" t="inlineStr">
        <is>
          <t>France</t>
        </is>
      </c>
      <c r="L129" s="394" t="inlineStr">
        <is>
          <t>Shell Business</t>
        </is>
      </c>
      <c r="M129" s="406" t="n"/>
      <c r="N129" s="396" t="n"/>
      <c r="O129" s="397" t="n"/>
      <c r="P129" s="407" t="n"/>
      <c r="Q129" s="71" t="n"/>
    </row>
    <row r="130" ht="14.45" customHeight="1">
      <c r="H130" s="72" t="n"/>
      <c r="I130" s="386">
        <f>CONCAT(J130,K130,L130)</f>
        <v/>
      </c>
      <c r="J130" s="387" t="n">
        <v>1</v>
      </c>
      <c r="K130" s="387" t="inlineStr">
        <is>
          <t>Germany</t>
        </is>
      </c>
      <c r="L130" s="387" t="inlineStr">
        <is>
          <t>Shell Business</t>
        </is>
      </c>
      <c r="M130" s="405" t="n"/>
      <c r="N130" s="389" t="n"/>
      <c r="O130" s="390" t="n"/>
      <c r="P130" s="407" t="n"/>
      <c r="Q130" s="71" t="n"/>
    </row>
    <row r="131" ht="14.45" customHeight="1">
      <c r="H131" s="72" t="n"/>
      <c r="I131" s="393">
        <f>CONCAT(J131,K131,L131)</f>
        <v/>
      </c>
      <c r="J131" s="394" t="n">
        <v>2</v>
      </c>
      <c r="K131" s="394" t="inlineStr">
        <is>
          <t>Germany</t>
        </is>
      </c>
      <c r="L131" s="394" t="inlineStr">
        <is>
          <t>Shell Business</t>
        </is>
      </c>
      <c r="M131" s="406" t="n"/>
      <c r="N131" s="396" t="n"/>
      <c r="O131" s="397" t="n"/>
      <c r="P131" s="407" t="n"/>
      <c r="Q131" s="71" t="n"/>
    </row>
    <row r="132" ht="14.45" customHeight="1">
      <c r="H132" s="72" t="n"/>
      <c r="I132" s="386">
        <f>CONCAT(J132,K132,L132)</f>
        <v/>
      </c>
      <c r="J132" s="387" t="n">
        <v>3</v>
      </c>
      <c r="K132" s="387" t="inlineStr">
        <is>
          <t>Germany</t>
        </is>
      </c>
      <c r="L132" s="387" t="inlineStr">
        <is>
          <t>Shell Business</t>
        </is>
      </c>
      <c r="M132" s="388" t="n">
        <v>850</v>
      </c>
      <c r="N132" s="389" t="n"/>
      <c r="O132" s="390" t="n"/>
      <c r="P132" s="407" t="n"/>
      <c r="Q132" s="71" t="n"/>
    </row>
    <row r="133" ht="14.45" customHeight="1">
      <c r="H133" s="72" t="n"/>
      <c r="I133" s="393">
        <f>CONCAT(J133,K133,L133)</f>
        <v/>
      </c>
      <c r="J133" s="394" t="n">
        <v>4</v>
      </c>
      <c r="K133" s="394" t="inlineStr">
        <is>
          <t>Germany</t>
        </is>
      </c>
      <c r="L133" s="394" t="inlineStr">
        <is>
          <t>Shell Business</t>
        </is>
      </c>
      <c r="M133" s="406" t="n"/>
      <c r="N133" s="396" t="n"/>
      <c r="O133" s="397" t="n"/>
      <c r="P133" s="407" t="n"/>
      <c r="Q133" s="71" t="n"/>
    </row>
    <row r="134" ht="14.45" customHeight="1">
      <c r="H134" s="72" t="n"/>
      <c r="I134" s="386">
        <f>CONCAT(J134,K134,L134)</f>
        <v/>
      </c>
      <c r="J134" s="387" t="n">
        <v>5</v>
      </c>
      <c r="K134" s="387" t="inlineStr">
        <is>
          <t>Germany</t>
        </is>
      </c>
      <c r="L134" s="387" t="inlineStr">
        <is>
          <t>Shell Business</t>
        </is>
      </c>
      <c r="M134" s="405" t="n"/>
      <c r="N134" s="389" t="n"/>
      <c r="O134" s="390" t="n"/>
      <c r="P134" s="407" t="n"/>
      <c r="Q134" s="71" t="n"/>
    </row>
    <row r="135" ht="14.45" customHeight="1">
      <c r="H135" s="72" t="n"/>
      <c r="I135" s="393">
        <f>CONCAT(J135,K135,L135)</f>
        <v/>
      </c>
      <c r="J135" s="394" t="n">
        <v>6</v>
      </c>
      <c r="K135" s="394" t="inlineStr">
        <is>
          <t>Germany</t>
        </is>
      </c>
      <c r="L135" s="394" t="inlineStr">
        <is>
          <t>Shell Business</t>
        </is>
      </c>
      <c r="M135" s="406" t="n"/>
      <c r="N135" s="396" t="n"/>
      <c r="O135" s="397" t="n"/>
      <c r="P135" s="407" t="n"/>
      <c r="Q135" s="71" t="n"/>
    </row>
    <row r="136" ht="14.45" customHeight="1">
      <c r="H136" s="72" t="n"/>
      <c r="I136" s="386">
        <f>CONCAT(J136,K136,L136)</f>
        <v/>
      </c>
      <c r="J136" s="387" t="n">
        <v>7</v>
      </c>
      <c r="K136" s="387" t="inlineStr">
        <is>
          <t>Germany</t>
        </is>
      </c>
      <c r="L136" s="387" t="inlineStr">
        <is>
          <t>Shell Business</t>
        </is>
      </c>
      <c r="M136" s="405" t="n"/>
      <c r="N136" s="389" t="n"/>
      <c r="O136" s="390" t="n"/>
      <c r="P136" s="407" t="n"/>
      <c r="Q136" s="71" t="n"/>
    </row>
    <row r="137" ht="14.45" customHeight="1">
      <c r="H137" s="72" t="n"/>
      <c r="I137" s="393">
        <f>CONCAT(J137,K137,L137)</f>
        <v/>
      </c>
      <c r="J137" s="394" t="n">
        <v>1</v>
      </c>
      <c r="K137" s="394" t="inlineStr">
        <is>
          <t>Hong Kong</t>
        </is>
      </c>
      <c r="L137" s="394" t="inlineStr">
        <is>
          <t>Shell Business</t>
        </is>
      </c>
      <c r="M137" s="406" t="n"/>
      <c r="N137" s="396" t="n"/>
      <c r="O137" s="397" t="n"/>
      <c r="P137" s="407" t="n"/>
      <c r="Q137" s="71" t="n"/>
    </row>
    <row r="138" ht="14.45" customHeight="1">
      <c r="H138" s="72" t="n"/>
      <c r="I138" s="386">
        <f>CONCAT(J138,K138,L138)</f>
        <v/>
      </c>
      <c r="J138" s="387" t="n">
        <v>2</v>
      </c>
      <c r="K138" s="387" t="inlineStr">
        <is>
          <t>Hong Kong</t>
        </is>
      </c>
      <c r="L138" s="387" t="inlineStr">
        <is>
          <t>Shell Business</t>
        </is>
      </c>
      <c r="M138" s="405" t="n"/>
      <c r="N138" s="389" t="n"/>
      <c r="O138" s="390" t="n"/>
      <c r="P138" s="407" t="n"/>
      <c r="Q138" s="71" t="n"/>
    </row>
    <row r="139" ht="14.45" customHeight="1">
      <c r="H139" s="72" t="n"/>
      <c r="I139" s="393">
        <f>CONCAT(J139,K139,L139)</f>
        <v/>
      </c>
      <c r="J139" s="394" t="n">
        <v>3</v>
      </c>
      <c r="K139" s="394" t="inlineStr">
        <is>
          <t>Hong Kong</t>
        </is>
      </c>
      <c r="L139" s="394" t="inlineStr">
        <is>
          <t>Shell Business</t>
        </is>
      </c>
      <c r="M139" s="406" t="n"/>
      <c r="N139" s="396" t="n"/>
      <c r="O139" s="397" t="n"/>
      <c r="P139" s="407" t="n"/>
      <c r="Q139" s="71" t="n"/>
    </row>
    <row r="140" ht="14.45" customHeight="1">
      <c r="H140" s="72" t="n"/>
      <c r="I140" s="386">
        <f>CONCAT(J140,K140,L140)</f>
        <v/>
      </c>
      <c r="J140" s="387" t="n">
        <v>4</v>
      </c>
      <c r="K140" s="387" t="inlineStr">
        <is>
          <t>Hong Kong</t>
        </is>
      </c>
      <c r="L140" s="387" t="inlineStr">
        <is>
          <t>Shell Business</t>
        </is>
      </c>
      <c r="M140" s="405" t="n"/>
      <c r="N140" s="389" t="n"/>
      <c r="O140" s="390" t="n"/>
      <c r="P140" s="407" t="n"/>
      <c r="Q140" s="71" t="n"/>
    </row>
    <row r="141" ht="14.45" customHeight="1">
      <c r="H141" s="72" t="n"/>
      <c r="I141" s="393">
        <f>CONCAT(J141,K141,L141)</f>
        <v/>
      </c>
      <c r="J141" s="394" t="n">
        <v>5</v>
      </c>
      <c r="K141" s="394" t="inlineStr">
        <is>
          <t>Hong Kong</t>
        </is>
      </c>
      <c r="L141" s="394" t="inlineStr">
        <is>
          <t>Shell Business</t>
        </is>
      </c>
      <c r="M141" s="406" t="n"/>
      <c r="N141" s="396" t="n"/>
      <c r="O141" s="397" t="n"/>
      <c r="P141" s="407" t="n"/>
      <c r="Q141" s="71" t="n"/>
    </row>
    <row r="142" ht="14.45" customHeight="1">
      <c r="H142" s="72" t="n"/>
      <c r="I142" s="386">
        <f>CONCAT(J142,K142,L142)</f>
        <v/>
      </c>
      <c r="J142" s="387" t="n">
        <v>6</v>
      </c>
      <c r="K142" s="387" t="inlineStr">
        <is>
          <t>Hong Kong</t>
        </is>
      </c>
      <c r="L142" s="387" t="inlineStr">
        <is>
          <t>Shell Business</t>
        </is>
      </c>
      <c r="M142" s="405" t="n"/>
      <c r="N142" s="389" t="n"/>
      <c r="O142" s="390" t="n"/>
      <c r="P142" s="407" t="n"/>
      <c r="Q142" s="71" t="n"/>
    </row>
    <row r="143" ht="14.45" customHeight="1">
      <c r="H143" s="72" t="n"/>
      <c r="I143" s="393">
        <f>CONCAT(J143,K143,L143)</f>
        <v/>
      </c>
      <c r="J143" s="394" t="n">
        <v>7</v>
      </c>
      <c r="K143" s="394" t="inlineStr">
        <is>
          <t>Hong Kong</t>
        </is>
      </c>
      <c r="L143" s="394" t="inlineStr">
        <is>
          <t>Shell Business</t>
        </is>
      </c>
      <c r="M143" s="406" t="n"/>
      <c r="N143" s="396" t="n"/>
      <c r="O143" s="397" t="n"/>
      <c r="P143" s="407" t="n"/>
      <c r="Q143" s="71" t="n"/>
    </row>
    <row r="144" ht="14.45" customHeight="1">
      <c r="H144" s="72" t="n"/>
      <c r="I144" s="386">
        <f>CONCAT(J144,K144,L144)</f>
        <v/>
      </c>
      <c r="J144" s="387" t="n">
        <v>1</v>
      </c>
      <c r="K144" s="387" t="inlineStr">
        <is>
          <t>Hungary</t>
        </is>
      </c>
      <c r="L144" s="387" t="inlineStr">
        <is>
          <t>Shell Business</t>
        </is>
      </c>
      <c r="M144" s="405" t="n"/>
      <c r="N144" s="389" t="n"/>
      <c r="O144" s="390" t="n"/>
      <c r="P144" s="407" t="n"/>
      <c r="Q144" s="71" t="n"/>
    </row>
    <row r="145" ht="14.45" customHeight="1">
      <c r="H145" s="72" t="n"/>
      <c r="I145" s="393">
        <f>CONCAT(J145,K145,L145)</f>
        <v/>
      </c>
      <c r="J145" s="394" t="n">
        <v>2</v>
      </c>
      <c r="K145" s="394" t="inlineStr">
        <is>
          <t>Hungary</t>
        </is>
      </c>
      <c r="L145" s="394" t="inlineStr">
        <is>
          <t>Shell Business</t>
        </is>
      </c>
      <c r="M145" s="406" t="n"/>
      <c r="N145" s="396" t="n"/>
      <c r="O145" s="397" t="n"/>
      <c r="P145" s="407" t="n"/>
      <c r="Q145" s="71" t="n"/>
    </row>
    <row r="146" ht="14.45" customHeight="1">
      <c r="H146" s="72" t="n"/>
      <c r="I146" s="386">
        <f>CONCAT(J146,K146,L146)</f>
        <v/>
      </c>
      <c r="J146" s="387" t="n">
        <v>3</v>
      </c>
      <c r="K146" s="387" t="inlineStr">
        <is>
          <t>Hungary</t>
        </is>
      </c>
      <c r="L146" s="387" t="inlineStr">
        <is>
          <t>Shell Business</t>
        </is>
      </c>
      <c r="M146" s="405" t="n"/>
      <c r="N146" s="389" t="n"/>
      <c r="O146" s="390" t="n"/>
      <c r="P146" s="407" t="n"/>
      <c r="Q146" s="71" t="n"/>
    </row>
    <row r="147" ht="14.45" customHeight="1">
      <c r="H147" s="72" t="n"/>
      <c r="I147" s="393">
        <f>CONCAT(J147,K147,L147)</f>
        <v/>
      </c>
      <c r="J147" s="394" t="n">
        <v>4</v>
      </c>
      <c r="K147" s="394" t="inlineStr">
        <is>
          <t>Hungary</t>
        </is>
      </c>
      <c r="L147" s="394" t="inlineStr">
        <is>
          <t>Shell Business</t>
        </is>
      </c>
      <c r="M147" s="406" t="n"/>
      <c r="N147" s="396" t="n"/>
      <c r="O147" s="397" t="n"/>
      <c r="P147" s="407" t="n"/>
      <c r="Q147" s="71" t="n"/>
    </row>
    <row r="148" ht="14.45" customHeight="1">
      <c r="H148" s="72" t="n"/>
      <c r="I148" s="386">
        <f>CONCAT(J148,K148,L148)</f>
        <v/>
      </c>
      <c r="J148" s="387" t="n">
        <v>5</v>
      </c>
      <c r="K148" s="387" t="inlineStr">
        <is>
          <t>Hungary</t>
        </is>
      </c>
      <c r="L148" s="387" t="inlineStr">
        <is>
          <t>Shell Business</t>
        </is>
      </c>
      <c r="M148" s="405" t="n"/>
      <c r="N148" s="389" t="n"/>
      <c r="O148" s="390" t="n"/>
      <c r="P148" s="407" t="n"/>
      <c r="Q148" s="71" t="n"/>
    </row>
    <row r="149" ht="14.45" customHeight="1">
      <c r="H149" s="72" t="n"/>
      <c r="I149" s="393">
        <f>CONCAT(J149,K149,L149)</f>
        <v/>
      </c>
      <c r="J149" s="394" t="n">
        <v>6</v>
      </c>
      <c r="K149" s="394" t="inlineStr">
        <is>
          <t>Hungary</t>
        </is>
      </c>
      <c r="L149" s="394" t="inlineStr">
        <is>
          <t>Shell Business</t>
        </is>
      </c>
      <c r="M149" s="406" t="n"/>
      <c r="N149" s="396" t="n"/>
      <c r="O149" s="397" t="n"/>
      <c r="P149" s="407" t="n"/>
      <c r="Q149" s="71" t="n"/>
    </row>
    <row r="150" ht="14.45" customHeight="1">
      <c r="H150" s="72" t="n"/>
      <c r="I150" s="386">
        <f>CONCAT(J150,K150,L150)</f>
        <v/>
      </c>
      <c r="J150" s="387" t="n">
        <v>7</v>
      </c>
      <c r="K150" s="387" t="inlineStr">
        <is>
          <t>Hungary</t>
        </is>
      </c>
      <c r="L150" s="387" t="inlineStr">
        <is>
          <t>Shell Business</t>
        </is>
      </c>
      <c r="M150" s="405" t="n"/>
      <c r="N150" s="389" t="n"/>
      <c r="O150" s="390" t="n"/>
      <c r="P150" s="407" t="n"/>
      <c r="Q150" s="71" t="n"/>
    </row>
    <row r="151" ht="14.45" customHeight="1">
      <c r="H151" s="72" t="n"/>
      <c r="I151" s="393">
        <f>CONCAT(J151,K151,L151)</f>
        <v/>
      </c>
      <c r="J151" s="394" t="n">
        <v>1</v>
      </c>
      <c r="K151" s="394" t="inlineStr">
        <is>
          <t>Indonesia</t>
        </is>
      </c>
      <c r="L151" s="394" t="inlineStr">
        <is>
          <t>Shell Business</t>
        </is>
      </c>
      <c r="M151" s="406" t="n"/>
      <c r="N151" s="396" t="n"/>
      <c r="O151" s="397" t="n"/>
      <c r="P151" s="407" t="n"/>
      <c r="Q151" s="71" t="n"/>
    </row>
    <row r="152" ht="14.45" customHeight="1">
      <c r="H152" s="72" t="n"/>
      <c r="I152" s="386">
        <f>CONCAT(J152,K152,L152)</f>
        <v/>
      </c>
      <c r="J152" s="387" t="n">
        <v>2</v>
      </c>
      <c r="K152" s="387" t="inlineStr">
        <is>
          <t>Indonesia</t>
        </is>
      </c>
      <c r="L152" s="387" t="inlineStr">
        <is>
          <t>Shell Business</t>
        </is>
      </c>
      <c r="M152" s="405" t="n"/>
      <c r="N152" s="389" t="n"/>
      <c r="O152" s="390" t="n"/>
      <c r="P152" s="407" t="n"/>
      <c r="Q152" s="71" t="n"/>
    </row>
    <row r="153" ht="14.45" customHeight="1">
      <c r="H153" s="72" t="n"/>
      <c r="I153" s="393">
        <f>CONCAT(J153,K153,L153)</f>
        <v/>
      </c>
      <c r="J153" s="394" t="n">
        <v>3</v>
      </c>
      <c r="K153" s="394" t="inlineStr">
        <is>
          <t>Indonesia</t>
        </is>
      </c>
      <c r="L153" s="394" t="inlineStr">
        <is>
          <t>Shell Business</t>
        </is>
      </c>
      <c r="M153" s="406" t="n"/>
      <c r="N153" s="396" t="n"/>
      <c r="O153" s="397" t="n"/>
      <c r="P153" s="407" t="n"/>
      <c r="Q153" s="71" t="n"/>
    </row>
    <row r="154" ht="14.45" customHeight="1">
      <c r="H154" s="72" t="n"/>
      <c r="I154" s="386">
        <f>CONCAT(J154,K154,L154)</f>
        <v/>
      </c>
      <c r="J154" s="387" t="n">
        <v>4</v>
      </c>
      <c r="K154" s="387" t="inlineStr">
        <is>
          <t>Indonesia</t>
        </is>
      </c>
      <c r="L154" s="387" t="inlineStr">
        <is>
          <t>Shell Business</t>
        </is>
      </c>
      <c r="M154" s="405" t="n"/>
      <c r="N154" s="389" t="n"/>
      <c r="O154" s="390" t="n"/>
      <c r="P154" s="407" t="n"/>
      <c r="Q154" s="71" t="n"/>
    </row>
    <row r="155" ht="14.45" customHeight="1">
      <c r="H155" s="72" t="n"/>
      <c r="I155" s="393">
        <f>CONCAT(J155,K155,L155)</f>
        <v/>
      </c>
      <c r="J155" s="394" t="n">
        <v>5</v>
      </c>
      <c r="K155" s="394" t="inlineStr">
        <is>
          <t>Indonesia</t>
        </is>
      </c>
      <c r="L155" s="394" t="inlineStr">
        <is>
          <t>Shell Business</t>
        </is>
      </c>
      <c r="M155" s="406" t="n"/>
      <c r="N155" s="396" t="n"/>
      <c r="O155" s="397" t="n"/>
      <c r="P155" s="407" t="n"/>
      <c r="Q155" s="71" t="n"/>
    </row>
    <row r="156" ht="14.45" customHeight="1">
      <c r="H156" s="72" t="n"/>
      <c r="I156" s="386">
        <f>CONCAT(J156,K156,L156)</f>
        <v/>
      </c>
      <c r="J156" s="387" t="n">
        <v>6</v>
      </c>
      <c r="K156" s="387" t="inlineStr">
        <is>
          <t>Indonesia</t>
        </is>
      </c>
      <c r="L156" s="387" t="inlineStr">
        <is>
          <t>Shell Business</t>
        </is>
      </c>
      <c r="M156" s="405" t="n"/>
      <c r="N156" s="389" t="n"/>
      <c r="O156" s="390" t="n"/>
      <c r="P156" s="407" t="n"/>
      <c r="Q156" s="71" t="n"/>
    </row>
    <row r="157" ht="14.45" customHeight="1">
      <c r="H157" s="72" t="n"/>
      <c r="I157" s="393">
        <f>CONCAT(J157,K157,L157)</f>
        <v/>
      </c>
      <c r="J157" s="394" t="n">
        <v>7</v>
      </c>
      <c r="K157" s="394" t="inlineStr">
        <is>
          <t>Indonesia</t>
        </is>
      </c>
      <c r="L157" s="394" t="inlineStr">
        <is>
          <t>Shell Business</t>
        </is>
      </c>
      <c r="M157" s="406" t="n"/>
      <c r="N157" s="396" t="n"/>
      <c r="O157" s="397" t="n"/>
      <c r="P157" s="407" t="n"/>
      <c r="Q157" s="71" t="n"/>
    </row>
    <row r="158" ht="14.45" customHeight="1">
      <c r="H158" s="72" t="n"/>
      <c r="I158" s="386">
        <f>CONCAT(J158,K158,L158)</f>
        <v/>
      </c>
      <c r="J158" s="387" t="n">
        <v>1</v>
      </c>
      <c r="K158" s="387" t="inlineStr">
        <is>
          <t>Malaysia</t>
        </is>
      </c>
      <c r="L158" s="387" t="inlineStr">
        <is>
          <t>Shell Business</t>
        </is>
      </c>
      <c r="M158" s="405" t="n"/>
      <c r="N158" s="389" t="n"/>
      <c r="O158" s="390" t="n"/>
      <c r="P158" s="407" t="n"/>
      <c r="Q158" s="71" t="n"/>
    </row>
    <row r="159" ht="14.45" customHeight="1">
      <c r="H159" s="72" t="n"/>
      <c r="I159" s="393">
        <f>CONCAT(J159,K159,L159)</f>
        <v/>
      </c>
      <c r="J159" s="394" t="n">
        <v>2</v>
      </c>
      <c r="K159" s="394" t="inlineStr">
        <is>
          <t>Malaysia</t>
        </is>
      </c>
      <c r="L159" s="394" t="inlineStr">
        <is>
          <t>Shell Business</t>
        </is>
      </c>
      <c r="M159" s="406" t="n"/>
      <c r="N159" s="396" t="n"/>
      <c r="O159" s="397" t="n"/>
      <c r="P159" s="407" t="n"/>
      <c r="Q159" s="71" t="n"/>
    </row>
    <row r="160" ht="14.45" customHeight="1">
      <c r="H160" s="72" t="n"/>
      <c r="I160" s="386">
        <f>CONCAT(J160,K160,L160)</f>
        <v/>
      </c>
      <c r="J160" s="387" t="n">
        <v>3</v>
      </c>
      <c r="K160" s="387" t="inlineStr">
        <is>
          <t>Malaysia</t>
        </is>
      </c>
      <c r="L160" s="387" t="inlineStr">
        <is>
          <t>Shell Business</t>
        </is>
      </c>
      <c r="M160" s="405" t="n"/>
      <c r="N160" s="389" t="n"/>
      <c r="O160" s="390" t="n"/>
      <c r="P160" s="407" t="n"/>
      <c r="Q160" s="71" t="n"/>
    </row>
    <row r="161" ht="14.45" customHeight="1">
      <c r="H161" s="72" t="n"/>
      <c r="I161" s="393">
        <f>CONCAT(J161,K161,L161)</f>
        <v/>
      </c>
      <c r="J161" s="394" t="n">
        <v>4</v>
      </c>
      <c r="K161" s="394" t="inlineStr">
        <is>
          <t>Malaysia</t>
        </is>
      </c>
      <c r="L161" s="394" t="inlineStr">
        <is>
          <t>Shell Business</t>
        </is>
      </c>
      <c r="M161" s="406" t="n"/>
      <c r="N161" s="396" t="n"/>
      <c r="O161" s="397" t="n"/>
      <c r="P161" s="407" t="n"/>
      <c r="Q161" s="71" t="n"/>
    </row>
    <row r="162" ht="14.45" customHeight="1">
      <c r="H162" s="72" t="n"/>
      <c r="I162" s="386">
        <f>CONCAT(J162,K162,L162)</f>
        <v/>
      </c>
      <c r="J162" s="387" t="n">
        <v>5</v>
      </c>
      <c r="K162" s="387" t="inlineStr">
        <is>
          <t>Malaysia</t>
        </is>
      </c>
      <c r="L162" s="387" t="inlineStr">
        <is>
          <t>Shell Business</t>
        </is>
      </c>
      <c r="M162" s="405" t="n"/>
      <c r="N162" s="389" t="n"/>
      <c r="O162" s="390" t="n"/>
      <c r="P162" s="407" t="n"/>
      <c r="Q162" s="71" t="n"/>
    </row>
    <row r="163" ht="14.45" customHeight="1">
      <c r="H163" s="72" t="n"/>
      <c r="I163" s="393">
        <f>CONCAT(J163,K163,L163)</f>
        <v/>
      </c>
      <c r="J163" s="394" t="n">
        <v>6</v>
      </c>
      <c r="K163" s="394" t="inlineStr">
        <is>
          <t>Malaysia</t>
        </is>
      </c>
      <c r="L163" s="394" t="inlineStr">
        <is>
          <t>Shell Business</t>
        </is>
      </c>
      <c r="M163" s="406" t="n"/>
      <c r="N163" s="396" t="n"/>
      <c r="O163" s="397" t="n"/>
      <c r="P163" s="407" t="n"/>
      <c r="Q163" s="71" t="n"/>
    </row>
    <row r="164" ht="14.45" customHeight="1">
      <c r="H164" s="72" t="n"/>
      <c r="I164" s="386">
        <f>CONCAT(J164,K164,L164)</f>
        <v/>
      </c>
      <c r="J164" s="387" t="n">
        <v>7</v>
      </c>
      <c r="K164" s="387" t="inlineStr">
        <is>
          <t>Malaysia</t>
        </is>
      </c>
      <c r="L164" s="387" t="inlineStr">
        <is>
          <t>Shell Business</t>
        </is>
      </c>
      <c r="M164" s="405" t="n"/>
      <c r="N164" s="389" t="n"/>
      <c r="O164" s="390" t="n"/>
      <c r="P164" s="407" t="n"/>
      <c r="Q164" s="71" t="n"/>
    </row>
    <row r="165" ht="14.45" customHeight="1">
      <c r="H165" s="72" t="n"/>
      <c r="I165" s="393">
        <f>CONCAT(J165,K165,L165)</f>
        <v/>
      </c>
      <c r="J165" s="394" t="n">
        <v>1</v>
      </c>
      <c r="K165" s="394" t="inlineStr">
        <is>
          <t>Mexico</t>
        </is>
      </c>
      <c r="L165" s="394" t="inlineStr">
        <is>
          <t>Shell Business</t>
        </is>
      </c>
      <c r="M165" s="406" t="n"/>
      <c r="N165" s="396" t="n"/>
      <c r="O165" s="397" t="n"/>
      <c r="P165" s="407" t="n"/>
      <c r="Q165" s="71" t="n"/>
    </row>
    <row r="166" ht="14.45" customHeight="1">
      <c r="H166" s="72" t="n"/>
      <c r="I166" s="386">
        <f>CONCAT(J166,K166,L166)</f>
        <v/>
      </c>
      <c r="J166" s="387" t="n">
        <v>2</v>
      </c>
      <c r="K166" s="387" t="inlineStr">
        <is>
          <t>Mexico</t>
        </is>
      </c>
      <c r="L166" s="387" t="inlineStr">
        <is>
          <t>Shell Business</t>
        </is>
      </c>
      <c r="M166" s="405" t="n"/>
      <c r="N166" s="389" t="n"/>
      <c r="O166" s="390" t="n"/>
      <c r="P166" s="407" t="n"/>
      <c r="Q166" s="71" t="n"/>
    </row>
    <row r="167" ht="14.45" customHeight="1">
      <c r="H167" s="72" t="n"/>
      <c r="I167" s="393">
        <f>CONCAT(J167,K167,L167)</f>
        <v/>
      </c>
      <c r="J167" s="394" t="n">
        <v>3</v>
      </c>
      <c r="K167" s="394" t="inlineStr">
        <is>
          <t>Mexico</t>
        </is>
      </c>
      <c r="L167" s="394" t="inlineStr">
        <is>
          <t>Shell Business</t>
        </is>
      </c>
      <c r="M167" s="406" t="n"/>
      <c r="N167" s="396" t="n"/>
      <c r="O167" s="397" t="n"/>
      <c r="P167" s="407" t="n"/>
      <c r="Q167" s="71" t="n"/>
    </row>
    <row r="168" ht="14.45" customHeight="1">
      <c r="H168" s="72" t="n"/>
      <c r="I168" s="386">
        <f>CONCAT(J168,K168,L168)</f>
        <v/>
      </c>
      <c r="J168" s="387" t="n">
        <v>4</v>
      </c>
      <c r="K168" s="387" t="inlineStr">
        <is>
          <t>Mexico</t>
        </is>
      </c>
      <c r="L168" s="387" t="inlineStr">
        <is>
          <t>Shell Business</t>
        </is>
      </c>
      <c r="M168" s="405" t="n"/>
      <c r="N168" s="389" t="n"/>
      <c r="O168" s="390" t="n"/>
      <c r="P168" s="407" t="n"/>
      <c r="Q168" s="71" t="n"/>
    </row>
    <row r="169" ht="14.45" customHeight="1">
      <c r="H169" s="72" t="n"/>
      <c r="I169" s="393">
        <f>CONCAT(J169,K169,L169)</f>
        <v/>
      </c>
      <c r="J169" s="394" t="n">
        <v>5</v>
      </c>
      <c r="K169" s="394" t="inlineStr">
        <is>
          <t>Mexico</t>
        </is>
      </c>
      <c r="L169" s="394" t="inlineStr">
        <is>
          <t>Shell Business</t>
        </is>
      </c>
      <c r="M169" s="406" t="n"/>
      <c r="N169" s="396" t="n"/>
      <c r="O169" s="397" t="n"/>
      <c r="P169" s="407" t="n"/>
      <c r="Q169" s="71" t="n"/>
    </row>
    <row r="170" ht="14.45" customHeight="1">
      <c r="H170" s="72" t="n"/>
      <c r="I170" s="386">
        <f>CONCAT(J170,K170,L170)</f>
        <v/>
      </c>
      <c r="J170" s="387" t="n">
        <v>6</v>
      </c>
      <c r="K170" s="387" t="inlineStr">
        <is>
          <t>Mexico</t>
        </is>
      </c>
      <c r="L170" s="387" t="inlineStr">
        <is>
          <t>Shell Business</t>
        </is>
      </c>
      <c r="M170" s="405" t="n"/>
      <c r="N170" s="389" t="n"/>
      <c r="O170" s="390" t="n"/>
      <c r="P170" s="407" t="n"/>
      <c r="Q170" s="71" t="n"/>
    </row>
    <row r="171" ht="14.45" customHeight="1">
      <c r="H171" s="72" t="n"/>
      <c r="I171" s="393">
        <f>CONCAT(J171,K171,L171)</f>
        <v/>
      </c>
      <c r="J171" s="394" t="n">
        <v>7</v>
      </c>
      <c r="K171" s="394" t="inlineStr">
        <is>
          <t>Mexico</t>
        </is>
      </c>
      <c r="L171" s="394" t="inlineStr">
        <is>
          <t>Shell Business</t>
        </is>
      </c>
      <c r="M171" s="406" t="n"/>
      <c r="N171" s="396" t="n"/>
      <c r="O171" s="397" t="n"/>
      <c r="P171" s="407" t="n"/>
      <c r="Q171" s="71" t="n"/>
    </row>
    <row r="172" ht="14.45" customHeight="1">
      <c r="H172" s="72" t="n"/>
      <c r="I172" s="386">
        <f>CONCAT(J172,K172,L172)</f>
        <v/>
      </c>
      <c r="J172" s="387" t="n">
        <v>1</v>
      </c>
      <c r="K172" s="387" t="inlineStr">
        <is>
          <t>Netherlands</t>
        </is>
      </c>
      <c r="L172" s="387" t="inlineStr">
        <is>
          <t>Shell Business</t>
        </is>
      </c>
      <c r="M172" s="388" t="n">
        <v>1062</v>
      </c>
      <c r="N172" s="389" t="n"/>
      <c r="O172" s="390" t="n"/>
      <c r="P172" s="408" t="n">
        <v>1760</v>
      </c>
      <c r="Q172" s="71" t="n"/>
    </row>
    <row r="173" ht="14.45" customHeight="1">
      <c r="H173" s="72" t="n"/>
      <c r="I173" s="393">
        <f>CONCAT(J173,K173,L173)</f>
        <v/>
      </c>
      <c r="J173" s="394" t="n">
        <v>2</v>
      </c>
      <c r="K173" s="394" t="inlineStr">
        <is>
          <t>Netherlands</t>
        </is>
      </c>
      <c r="L173" s="394" t="inlineStr">
        <is>
          <t>Shell Business</t>
        </is>
      </c>
      <c r="M173" s="395" t="n">
        <v>850</v>
      </c>
      <c r="N173" s="396" t="n"/>
      <c r="O173" s="397" t="n"/>
      <c r="P173" s="409" t="n">
        <v>1496</v>
      </c>
      <c r="Q173" s="71" t="n"/>
    </row>
    <row r="174" ht="14.45" customHeight="1">
      <c r="H174" s="72" t="n"/>
      <c r="I174" s="386">
        <f>CONCAT(J174,K174,L174)</f>
        <v/>
      </c>
      <c r="J174" s="387" t="n">
        <v>3</v>
      </c>
      <c r="K174" s="387" t="inlineStr">
        <is>
          <t>Netherlands</t>
        </is>
      </c>
      <c r="L174" s="387" t="inlineStr">
        <is>
          <t>Shell Business</t>
        </is>
      </c>
      <c r="M174" s="388" t="n">
        <v>660</v>
      </c>
      <c r="N174" s="389" t="n"/>
      <c r="O174" s="390" t="n"/>
      <c r="P174" s="408" t="n">
        <v>1296</v>
      </c>
      <c r="Q174" s="71" t="n"/>
    </row>
    <row r="175" ht="14.45" customHeight="1">
      <c r="H175" s="72" t="n"/>
      <c r="I175" s="393">
        <f>CONCAT(J175,K175,L175)</f>
        <v/>
      </c>
      <c r="J175" s="394" t="n">
        <v>4</v>
      </c>
      <c r="K175" s="394" t="inlineStr">
        <is>
          <t>Netherlands</t>
        </is>
      </c>
      <c r="L175" s="394" t="inlineStr">
        <is>
          <t>Shell Business</t>
        </is>
      </c>
      <c r="M175" s="395" t="n">
        <v>1128</v>
      </c>
      <c r="N175" s="396" t="n"/>
      <c r="O175" s="397" t="n"/>
      <c r="P175" s="409" t="n">
        <v>1128</v>
      </c>
      <c r="Q175" s="71" t="n"/>
    </row>
    <row r="176" ht="14.45" customHeight="1">
      <c r="H176" s="72" t="n"/>
      <c r="I176" s="386">
        <f>CONCAT(J176,K176,L176)</f>
        <v/>
      </c>
      <c r="J176" s="387" t="n">
        <v>5</v>
      </c>
      <c r="K176" s="387" t="inlineStr">
        <is>
          <t>Netherlands</t>
        </is>
      </c>
      <c r="L176" s="387" t="inlineStr">
        <is>
          <t>Shell Business</t>
        </is>
      </c>
      <c r="M176" s="388" t="n">
        <v>992</v>
      </c>
      <c r="N176" s="389" t="n"/>
      <c r="O176" s="390" t="n"/>
      <c r="P176" s="408" t="n">
        <v>992</v>
      </c>
      <c r="Q176" s="71" t="n"/>
    </row>
    <row r="177" ht="14.45" customHeight="1">
      <c r="H177" s="72" t="n"/>
      <c r="I177" s="393">
        <f>CONCAT(J177,K177,L177)</f>
        <v/>
      </c>
      <c r="J177" s="394" t="n">
        <v>6</v>
      </c>
      <c r="K177" s="394" t="inlineStr">
        <is>
          <t>Netherlands</t>
        </is>
      </c>
      <c r="L177" s="394" t="inlineStr">
        <is>
          <t>Shell Business</t>
        </is>
      </c>
      <c r="M177" s="395" t="n">
        <v>912</v>
      </c>
      <c r="N177" s="396" t="n"/>
      <c r="O177" s="397" t="n"/>
      <c r="P177" s="409" t="n">
        <v>912</v>
      </c>
      <c r="Q177" s="71" t="n"/>
    </row>
    <row r="178" ht="14.45" customHeight="1">
      <c r="H178" s="72" t="n"/>
      <c r="I178" s="386">
        <f>CONCAT(J178,K178,L178)</f>
        <v/>
      </c>
      <c r="J178" s="387" t="n">
        <v>7</v>
      </c>
      <c r="K178" s="387" t="inlineStr">
        <is>
          <t>Netherlands</t>
        </is>
      </c>
      <c r="L178" s="387" t="inlineStr">
        <is>
          <t>Shell Business</t>
        </is>
      </c>
      <c r="M178" s="388" t="n">
        <v>816</v>
      </c>
      <c r="N178" s="389" t="n"/>
      <c r="O178" s="390" t="n"/>
      <c r="P178" s="408" t="n">
        <v>816</v>
      </c>
      <c r="Q178" s="71" t="n"/>
    </row>
    <row r="179" ht="14.45" customHeight="1">
      <c r="H179" s="72" t="n"/>
      <c r="I179" s="393">
        <f>CONCAT(J179,K179,L179)</f>
        <v/>
      </c>
      <c r="J179" s="394" t="n">
        <v>1</v>
      </c>
      <c r="K179" s="394" t="inlineStr">
        <is>
          <t>Pakistan</t>
        </is>
      </c>
      <c r="L179" s="394" t="inlineStr">
        <is>
          <t>Shell Business</t>
        </is>
      </c>
      <c r="M179" s="406" t="n"/>
      <c r="N179" s="396" t="n"/>
      <c r="O179" s="397" t="n"/>
      <c r="P179" s="407" t="n"/>
      <c r="Q179" s="71" t="n"/>
    </row>
    <row r="180" ht="14.45" customHeight="1">
      <c r="H180" s="72" t="n"/>
      <c r="I180" s="386">
        <f>CONCAT(J180,K180,L180)</f>
        <v/>
      </c>
      <c r="J180" s="387" t="n">
        <v>2</v>
      </c>
      <c r="K180" s="387" t="inlineStr">
        <is>
          <t>Pakistan</t>
        </is>
      </c>
      <c r="L180" s="387" t="inlineStr">
        <is>
          <t>Shell Business</t>
        </is>
      </c>
      <c r="M180" s="405" t="n"/>
      <c r="N180" s="389" t="n"/>
      <c r="O180" s="390" t="n"/>
      <c r="P180" s="407" t="n"/>
      <c r="Q180" s="71" t="n"/>
    </row>
    <row r="181" ht="14.45" customHeight="1">
      <c r="H181" s="72" t="n"/>
      <c r="I181" s="393">
        <f>CONCAT(J181,K181,L181)</f>
        <v/>
      </c>
      <c r="J181" s="394" t="n">
        <v>3</v>
      </c>
      <c r="K181" s="394" t="inlineStr">
        <is>
          <t>Pakistan</t>
        </is>
      </c>
      <c r="L181" s="394" t="inlineStr">
        <is>
          <t>Shell Business</t>
        </is>
      </c>
      <c r="M181" s="406" t="n"/>
      <c r="N181" s="396" t="n"/>
      <c r="O181" s="397" t="n"/>
      <c r="P181" s="407" t="n"/>
      <c r="Q181" s="71" t="n"/>
    </row>
    <row r="182" ht="14.45" customHeight="1">
      <c r="H182" s="72" t="n"/>
      <c r="I182" s="386">
        <f>CONCAT(J182,K182,L182)</f>
        <v/>
      </c>
      <c r="J182" s="387" t="n">
        <v>4</v>
      </c>
      <c r="K182" s="387" t="inlineStr">
        <is>
          <t>Pakistan</t>
        </is>
      </c>
      <c r="L182" s="387" t="inlineStr">
        <is>
          <t>Shell Business</t>
        </is>
      </c>
      <c r="M182" s="405" t="n"/>
      <c r="N182" s="389" t="n"/>
      <c r="O182" s="390" t="n"/>
      <c r="P182" s="407" t="n"/>
      <c r="Q182" s="71" t="n"/>
    </row>
    <row r="183" ht="14.45" customHeight="1">
      <c r="H183" s="72" t="n"/>
      <c r="I183" s="393">
        <f>CONCAT(J183,K183,L183)</f>
        <v/>
      </c>
      <c r="J183" s="394" t="n">
        <v>5</v>
      </c>
      <c r="K183" s="394" t="inlineStr">
        <is>
          <t>Pakistan</t>
        </is>
      </c>
      <c r="L183" s="394" t="inlineStr">
        <is>
          <t>Shell Business</t>
        </is>
      </c>
      <c r="M183" s="406" t="n"/>
      <c r="N183" s="396" t="n"/>
      <c r="O183" s="397" t="n"/>
      <c r="P183" s="407" t="n"/>
      <c r="Q183" s="71" t="n"/>
    </row>
    <row r="184" ht="14.45" customHeight="1">
      <c r="H184" s="72" t="n"/>
      <c r="I184" s="386">
        <f>CONCAT(J184,K184,L184)</f>
        <v/>
      </c>
      <c r="J184" s="387" t="n">
        <v>6</v>
      </c>
      <c r="K184" s="387" t="inlineStr">
        <is>
          <t>Pakistan</t>
        </is>
      </c>
      <c r="L184" s="387" t="inlineStr">
        <is>
          <t>Shell Business</t>
        </is>
      </c>
      <c r="M184" s="405" t="n"/>
      <c r="N184" s="389" t="n"/>
      <c r="O184" s="390" t="n"/>
      <c r="P184" s="407" t="n"/>
      <c r="Q184" s="71" t="n"/>
    </row>
    <row r="185" ht="14.45" customHeight="1">
      <c r="H185" s="72" t="n"/>
      <c r="I185" s="393">
        <f>CONCAT(J185,K185,L185)</f>
        <v/>
      </c>
      <c r="J185" s="394" t="n">
        <v>7</v>
      </c>
      <c r="K185" s="394" t="inlineStr">
        <is>
          <t>Pakistan</t>
        </is>
      </c>
      <c r="L185" s="394" t="inlineStr">
        <is>
          <t>Shell Business</t>
        </is>
      </c>
      <c r="M185" s="406" t="n"/>
      <c r="N185" s="396" t="n"/>
      <c r="O185" s="397" t="n"/>
      <c r="P185" s="407" t="n"/>
      <c r="Q185" s="71" t="n"/>
    </row>
    <row r="186" ht="14.45" customHeight="1">
      <c r="H186" s="72" t="n"/>
      <c r="I186" s="386">
        <f>CONCAT(J186,K186,L186)</f>
        <v/>
      </c>
      <c r="J186" s="387" t="n">
        <v>1</v>
      </c>
      <c r="K186" s="387" t="inlineStr">
        <is>
          <t>Philippines</t>
        </is>
      </c>
      <c r="L186" s="387" t="inlineStr">
        <is>
          <t>Shell Business</t>
        </is>
      </c>
      <c r="M186" s="405" t="n"/>
      <c r="N186" s="389" t="n"/>
      <c r="O186" s="390" t="n"/>
      <c r="P186" s="407" t="n"/>
      <c r="Q186" s="71" t="n"/>
    </row>
    <row r="187" ht="14.45" customHeight="1">
      <c r="H187" s="72" t="n"/>
      <c r="I187" s="393">
        <f>CONCAT(J187,K187,L187)</f>
        <v/>
      </c>
      <c r="J187" s="394" t="n">
        <v>2</v>
      </c>
      <c r="K187" s="394" t="inlineStr">
        <is>
          <t>Philippines</t>
        </is>
      </c>
      <c r="L187" s="394" t="inlineStr">
        <is>
          <t>Shell Business</t>
        </is>
      </c>
      <c r="M187" s="406" t="n"/>
      <c r="N187" s="396" t="n"/>
      <c r="O187" s="397" t="n"/>
      <c r="P187" s="407" t="n"/>
      <c r="Q187" s="71" t="n"/>
    </row>
    <row r="188" ht="14.45" customHeight="1">
      <c r="H188" s="72" t="n"/>
      <c r="I188" s="386">
        <f>CONCAT(J188,K188,L188)</f>
        <v/>
      </c>
      <c r="J188" s="387" t="n">
        <v>3</v>
      </c>
      <c r="K188" s="387" t="inlineStr">
        <is>
          <t>Philippines</t>
        </is>
      </c>
      <c r="L188" s="387" t="inlineStr">
        <is>
          <t>Shell Business</t>
        </is>
      </c>
      <c r="M188" s="388" t="n">
        <v>314</v>
      </c>
      <c r="N188" s="389" t="n"/>
      <c r="O188" s="390" t="n"/>
      <c r="P188" s="407" t="n"/>
      <c r="Q188" s="71" t="n"/>
    </row>
    <row r="189" ht="14.45" customHeight="1">
      <c r="H189" s="72" t="n"/>
      <c r="I189" s="393">
        <f>CONCAT(J189,K189,L189)</f>
        <v/>
      </c>
      <c r="J189" s="394" t="n">
        <v>4</v>
      </c>
      <c r="K189" s="394" t="inlineStr">
        <is>
          <t>Philippines</t>
        </is>
      </c>
      <c r="L189" s="394" t="inlineStr">
        <is>
          <t>Shell Business</t>
        </is>
      </c>
      <c r="M189" s="395" t="n">
        <v>314</v>
      </c>
      <c r="N189" s="396" t="n"/>
      <c r="O189" s="397" t="n"/>
      <c r="P189" s="407" t="n"/>
      <c r="Q189" s="71" t="n"/>
    </row>
    <row r="190" ht="14.45" customHeight="1">
      <c r="H190" s="72" t="n"/>
      <c r="I190" s="386">
        <f>CONCAT(J190,K190,L190)</f>
        <v/>
      </c>
      <c r="J190" s="387" t="n">
        <v>5</v>
      </c>
      <c r="K190" s="387" t="inlineStr">
        <is>
          <t>Philippines</t>
        </is>
      </c>
      <c r="L190" s="387" t="inlineStr">
        <is>
          <t>Shell Business</t>
        </is>
      </c>
      <c r="M190" s="388" t="n">
        <v>314</v>
      </c>
      <c r="N190" s="389" t="n"/>
      <c r="O190" s="390" t="n"/>
      <c r="P190" s="407" t="n"/>
      <c r="Q190" s="71" t="n"/>
    </row>
    <row r="191" ht="14.45" customHeight="1">
      <c r="H191" s="72" t="n"/>
      <c r="I191" s="393">
        <f>CONCAT(J191,K191,L191)</f>
        <v/>
      </c>
      <c r="J191" s="394" t="n">
        <v>6</v>
      </c>
      <c r="K191" s="394" t="inlineStr">
        <is>
          <t>Philippines</t>
        </is>
      </c>
      <c r="L191" s="394" t="inlineStr">
        <is>
          <t>Shell Business</t>
        </is>
      </c>
      <c r="M191" s="406" t="n"/>
      <c r="N191" s="396" t="n"/>
      <c r="O191" s="397" t="n"/>
      <c r="P191" s="407" t="n"/>
      <c r="Q191" s="71" t="n"/>
    </row>
    <row r="192" ht="14.45" customHeight="1">
      <c r="H192" s="72" t="n"/>
      <c r="I192" s="386">
        <f>CONCAT(J192,K192,L192)</f>
        <v/>
      </c>
      <c r="J192" s="387" t="n">
        <v>7</v>
      </c>
      <c r="K192" s="387" t="inlineStr">
        <is>
          <t>Philippines</t>
        </is>
      </c>
      <c r="L192" s="387" t="inlineStr">
        <is>
          <t>Shell Business</t>
        </is>
      </c>
      <c r="M192" s="405" t="n"/>
      <c r="N192" s="389" t="n"/>
      <c r="O192" s="390" t="n"/>
      <c r="P192" s="407" t="n"/>
      <c r="Q192" s="71" t="n"/>
    </row>
    <row r="193" ht="14.45" customHeight="1">
      <c r="H193" s="72" t="n"/>
      <c r="I193" s="393">
        <f>CONCAT(J193,K193,L193)</f>
        <v/>
      </c>
      <c r="J193" s="394" t="n">
        <v>1</v>
      </c>
      <c r="K193" s="394" t="inlineStr">
        <is>
          <t>Poland</t>
        </is>
      </c>
      <c r="L193" s="394" t="inlineStr">
        <is>
          <t>Shell Business</t>
        </is>
      </c>
      <c r="M193" s="406" t="n"/>
      <c r="N193" s="396" t="n"/>
      <c r="O193" s="397" t="n"/>
      <c r="P193" s="407" t="n"/>
      <c r="Q193" s="71" t="n"/>
    </row>
    <row r="194" ht="14.45" customHeight="1">
      <c r="H194" s="72" t="n"/>
      <c r="I194" s="386">
        <f>CONCAT(J194,K194,L194)</f>
        <v/>
      </c>
      <c r="J194" s="387" t="n">
        <v>2</v>
      </c>
      <c r="K194" s="387" t="inlineStr">
        <is>
          <t>Poland</t>
        </is>
      </c>
      <c r="L194" s="387" t="inlineStr">
        <is>
          <t>Shell Business</t>
        </is>
      </c>
      <c r="M194" s="388" t="n">
        <v>826</v>
      </c>
      <c r="N194" s="389" t="n"/>
      <c r="O194" s="390" t="n"/>
      <c r="P194" s="407" t="n"/>
      <c r="Q194" s="71" t="n"/>
    </row>
    <row r="195" ht="14.45" customHeight="1">
      <c r="H195" s="72" t="n"/>
      <c r="I195" s="393">
        <f>CONCAT(J195,K195,L195)</f>
        <v/>
      </c>
      <c r="J195" s="394" t="n">
        <v>3</v>
      </c>
      <c r="K195" s="394" t="inlineStr">
        <is>
          <t>Poland</t>
        </is>
      </c>
      <c r="L195" s="394" t="inlineStr">
        <is>
          <t>Shell Business</t>
        </is>
      </c>
      <c r="M195" s="395" t="n">
        <v>620</v>
      </c>
      <c r="N195" s="396" t="n"/>
      <c r="O195" s="397" t="n"/>
      <c r="P195" s="407" t="n"/>
      <c r="Q195" s="71" t="n"/>
    </row>
    <row r="196" ht="14.45" customHeight="1">
      <c r="H196" s="72" t="n"/>
      <c r="I196" s="386">
        <f>CONCAT(J196,K196,L196)</f>
        <v/>
      </c>
      <c r="J196" s="387" t="n">
        <v>4</v>
      </c>
      <c r="K196" s="387" t="inlineStr">
        <is>
          <t>Poland</t>
        </is>
      </c>
      <c r="L196" s="387" t="inlineStr">
        <is>
          <t>Shell Business</t>
        </is>
      </c>
      <c r="M196" s="388" t="n">
        <v>600</v>
      </c>
      <c r="N196" s="389" t="n"/>
      <c r="O196" s="390" t="n"/>
      <c r="P196" s="407" t="n"/>
      <c r="Q196" s="71" t="n"/>
    </row>
    <row r="197" ht="14.45" customHeight="1">
      <c r="H197" s="72" t="n"/>
      <c r="I197" s="393">
        <f>CONCAT(J197,K197,L197)</f>
        <v/>
      </c>
      <c r="J197" s="394" t="n">
        <v>5</v>
      </c>
      <c r="K197" s="394" t="inlineStr">
        <is>
          <t>Poland</t>
        </is>
      </c>
      <c r="L197" s="394" t="inlineStr">
        <is>
          <t>Shell Business</t>
        </is>
      </c>
      <c r="M197" s="395" t="n">
        <v>500</v>
      </c>
      <c r="N197" s="396" t="n"/>
      <c r="O197" s="397" t="n"/>
      <c r="P197" s="407" t="n"/>
      <c r="Q197" s="71" t="n"/>
    </row>
    <row r="198" ht="14.45" customHeight="1">
      <c r="H198" s="72" t="n"/>
      <c r="I198" s="386">
        <f>CONCAT(J198,K198,L198)</f>
        <v/>
      </c>
      <c r="J198" s="387" t="n">
        <v>6</v>
      </c>
      <c r="K198" s="387" t="inlineStr">
        <is>
          <t>Poland</t>
        </is>
      </c>
      <c r="L198" s="387" t="inlineStr">
        <is>
          <t>Shell Business</t>
        </is>
      </c>
      <c r="M198" s="405" t="n"/>
      <c r="N198" s="389" t="n"/>
      <c r="O198" s="390" t="n"/>
      <c r="P198" s="407" t="n"/>
      <c r="Q198" s="71" t="n"/>
    </row>
    <row r="199" ht="14.45" customHeight="1">
      <c r="H199" s="72" t="n"/>
      <c r="I199" s="393">
        <f>CONCAT(J199,K199,L199)</f>
        <v/>
      </c>
      <c r="J199" s="394" t="n">
        <v>7</v>
      </c>
      <c r="K199" s="394" t="inlineStr">
        <is>
          <t>Poland</t>
        </is>
      </c>
      <c r="L199" s="394" t="inlineStr">
        <is>
          <t>Shell Business</t>
        </is>
      </c>
      <c r="M199" s="406" t="n"/>
      <c r="N199" s="396" t="n"/>
      <c r="O199" s="397" t="n"/>
      <c r="P199" s="407" t="n"/>
      <c r="Q199" s="71" t="n"/>
    </row>
    <row r="200" ht="14.45" customHeight="1">
      <c r="H200" s="72" t="n"/>
      <c r="I200" s="386">
        <f>CONCAT(J200,K200,L200)</f>
        <v/>
      </c>
      <c r="J200" s="387" t="n">
        <v>1</v>
      </c>
      <c r="K200" s="387" t="inlineStr">
        <is>
          <t>Russia</t>
        </is>
      </c>
      <c r="L200" s="387" t="inlineStr">
        <is>
          <t>Shell Business</t>
        </is>
      </c>
      <c r="M200" s="405" t="n"/>
      <c r="N200" s="389" t="n"/>
      <c r="O200" s="390" t="n"/>
      <c r="P200" s="407" t="n"/>
      <c r="Q200" s="71" t="n"/>
    </row>
    <row r="201" ht="14.45" customHeight="1">
      <c r="H201" s="72" t="n"/>
      <c r="I201" s="393">
        <f>CONCAT(J201,K201,L201)</f>
        <v/>
      </c>
      <c r="J201" s="394" t="n">
        <v>2</v>
      </c>
      <c r="K201" s="394" t="inlineStr">
        <is>
          <t>Russia</t>
        </is>
      </c>
      <c r="L201" s="394" t="inlineStr">
        <is>
          <t>Shell Business</t>
        </is>
      </c>
      <c r="M201" s="406" t="n"/>
      <c r="N201" s="396" t="n"/>
      <c r="O201" s="397" t="n"/>
      <c r="P201" s="407" t="n"/>
      <c r="Q201" s="71" t="n"/>
    </row>
    <row r="202" ht="14.45" customHeight="1">
      <c r="H202" s="72" t="n"/>
      <c r="I202" s="386">
        <f>CONCAT(J202,K202,L202)</f>
        <v/>
      </c>
      <c r="J202" s="387" t="n">
        <v>3</v>
      </c>
      <c r="K202" s="387" t="inlineStr">
        <is>
          <t>Russia</t>
        </is>
      </c>
      <c r="L202" s="387" t="inlineStr">
        <is>
          <t>Shell Business</t>
        </is>
      </c>
      <c r="M202" s="405" t="n"/>
      <c r="N202" s="389" t="n"/>
      <c r="O202" s="390" t="n"/>
      <c r="P202" s="407" t="n"/>
      <c r="Q202" s="71" t="n"/>
    </row>
    <row r="203" ht="14.45" customHeight="1">
      <c r="H203" s="72" t="n"/>
      <c r="I203" s="393">
        <f>CONCAT(J203,K203,L203)</f>
        <v/>
      </c>
      <c r="J203" s="394" t="n">
        <v>4</v>
      </c>
      <c r="K203" s="394" t="inlineStr">
        <is>
          <t>Russia</t>
        </is>
      </c>
      <c r="L203" s="394" t="inlineStr">
        <is>
          <t>Shell Business</t>
        </is>
      </c>
      <c r="M203" s="406" t="n"/>
      <c r="N203" s="396" t="n"/>
      <c r="O203" s="397" t="n"/>
      <c r="P203" s="407" t="n"/>
      <c r="Q203" s="71" t="n"/>
    </row>
    <row r="204" ht="14.45" customHeight="1">
      <c r="H204" s="72" t="n"/>
      <c r="I204" s="386">
        <f>CONCAT(J204,K204,L204)</f>
        <v/>
      </c>
      <c r="J204" s="387" t="n">
        <v>5</v>
      </c>
      <c r="K204" s="387" t="inlineStr">
        <is>
          <t>Russia</t>
        </is>
      </c>
      <c r="L204" s="387" t="inlineStr">
        <is>
          <t>Shell Business</t>
        </is>
      </c>
      <c r="M204" s="405" t="n"/>
      <c r="N204" s="389" t="n"/>
      <c r="O204" s="390" t="n"/>
      <c r="P204" s="407" t="n"/>
      <c r="Q204" s="71" t="n"/>
    </row>
    <row r="205" ht="14.45" customHeight="1">
      <c r="H205" s="72" t="n"/>
      <c r="I205" s="393">
        <f>CONCAT(J205,K205,L205)</f>
        <v/>
      </c>
      <c r="J205" s="394" t="n">
        <v>6</v>
      </c>
      <c r="K205" s="394" t="inlineStr">
        <is>
          <t>Russia</t>
        </is>
      </c>
      <c r="L205" s="394" t="inlineStr">
        <is>
          <t>Shell Business</t>
        </is>
      </c>
      <c r="M205" s="406" t="n"/>
      <c r="N205" s="396" t="n"/>
      <c r="O205" s="397" t="n"/>
      <c r="P205" s="407" t="n"/>
      <c r="Q205" s="71" t="n"/>
    </row>
    <row r="206" ht="14.45" customHeight="1">
      <c r="H206" s="72" t="n"/>
      <c r="I206" s="386">
        <f>CONCAT(J206,K206,L206)</f>
        <v/>
      </c>
      <c r="J206" s="387" t="n">
        <v>7</v>
      </c>
      <c r="K206" s="387" t="inlineStr">
        <is>
          <t>Russia</t>
        </is>
      </c>
      <c r="L206" s="387" t="inlineStr">
        <is>
          <t>Shell Business</t>
        </is>
      </c>
      <c r="M206" s="405" t="n"/>
      <c r="N206" s="389" t="n"/>
      <c r="O206" s="390" t="n"/>
      <c r="P206" s="407" t="n"/>
      <c r="Q206" s="71" t="n"/>
    </row>
    <row r="207" ht="14.45" customHeight="1">
      <c r="H207" s="72" t="n"/>
      <c r="I207" s="393">
        <f>CONCAT(J207,K207,L207)</f>
        <v/>
      </c>
      <c r="J207" s="394" t="n">
        <v>1</v>
      </c>
      <c r="K207" s="394" t="inlineStr">
        <is>
          <t>Singapore</t>
        </is>
      </c>
      <c r="L207" s="394" t="inlineStr">
        <is>
          <t>Shell Business</t>
        </is>
      </c>
      <c r="M207" s="406" t="n"/>
      <c r="N207" s="396" t="n"/>
      <c r="O207" s="397" t="n"/>
      <c r="P207" s="407" t="n"/>
      <c r="Q207" s="71" t="n"/>
    </row>
    <row r="208" ht="14.45" customHeight="1">
      <c r="H208" s="72" t="n"/>
      <c r="I208" s="386">
        <f>CONCAT(J208,K208,L208)</f>
        <v/>
      </c>
      <c r="J208" s="387" t="n">
        <v>2</v>
      </c>
      <c r="K208" s="387" t="inlineStr">
        <is>
          <t>Singapore</t>
        </is>
      </c>
      <c r="L208" s="387" t="inlineStr">
        <is>
          <t>Shell Business</t>
        </is>
      </c>
      <c r="M208" s="388" t="n">
        <v>1200</v>
      </c>
      <c r="N208" s="389" t="n"/>
      <c r="O208" s="390" t="n"/>
      <c r="P208" s="407" t="n"/>
      <c r="Q208" s="71" t="n"/>
    </row>
    <row r="209" ht="14.45" customHeight="1">
      <c r="H209" s="72" t="n"/>
      <c r="I209" s="393">
        <f>CONCAT(J209,K209,L209)</f>
        <v/>
      </c>
      <c r="J209" s="394" t="n">
        <v>3</v>
      </c>
      <c r="K209" s="394" t="inlineStr">
        <is>
          <t>Singapore</t>
        </is>
      </c>
      <c r="L209" s="394" t="inlineStr">
        <is>
          <t>Shell Business</t>
        </is>
      </c>
      <c r="M209" s="395" t="n">
        <v>1100</v>
      </c>
      <c r="N209" s="396" t="n"/>
      <c r="O209" s="397" t="n"/>
      <c r="P209" s="407" t="n"/>
      <c r="Q209" s="71" t="n"/>
    </row>
    <row r="210" ht="14.45" customHeight="1">
      <c r="H210" s="72" t="n"/>
      <c r="I210" s="386">
        <f>CONCAT(J210,K210,L210)</f>
        <v/>
      </c>
      <c r="J210" s="387" t="n">
        <v>4</v>
      </c>
      <c r="K210" s="387" t="inlineStr">
        <is>
          <t>Singapore</t>
        </is>
      </c>
      <c r="L210" s="387" t="inlineStr">
        <is>
          <t>Shell Business</t>
        </is>
      </c>
      <c r="M210" s="388" t="n">
        <v>900</v>
      </c>
      <c r="N210" s="389" t="n"/>
      <c r="O210" s="390" t="n"/>
      <c r="P210" s="407" t="n"/>
      <c r="Q210" s="71" t="n"/>
    </row>
    <row r="211" ht="14.45" customHeight="1">
      <c r="H211" s="72" t="n"/>
      <c r="I211" s="393">
        <f>CONCAT(J211,K211,L211)</f>
        <v/>
      </c>
      <c r="J211" s="394" t="n">
        <v>5</v>
      </c>
      <c r="K211" s="394" t="inlineStr">
        <is>
          <t>Singapore</t>
        </is>
      </c>
      <c r="L211" s="394" t="inlineStr">
        <is>
          <t>Shell Business</t>
        </is>
      </c>
      <c r="M211" s="395" t="n">
        <v>700</v>
      </c>
      <c r="N211" s="396" t="n"/>
      <c r="O211" s="397" t="n"/>
      <c r="P211" s="407" t="n"/>
      <c r="Q211" s="71" t="n"/>
    </row>
    <row r="212" ht="14.45" customHeight="1">
      <c r="H212" s="72" t="n"/>
      <c r="I212" s="386">
        <f>CONCAT(J212,K212,L212)</f>
        <v/>
      </c>
      <c r="J212" s="387" t="n">
        <v>6</v>
      </c>
      <c r="K212" s="387" t="inlineStr">
        <is>
          <t>Singapore</t>
        </is>
      </c>
      <c r="L212" s="387" t="inlineStr">
        <is>
          <t>Shell Business</t>
        </is>
      </c>
      <c r="M212" s="405" t="n"/>
      <c r="N212" s="389" t="n"/>
      <c r="O212" s="390" t="n"/>
      <c r="P212" s="407" t="n"/>
      <c r="Q212" s="71" t="n"/>
    </row>
    <row r="213" ht="14.45" customHeight="1">
      <c r="H213" s="72" t="n"/>
      <c r="I213" s="393">
        <f>CONCAT(J213,K213,L213)</f>
        <v/>
      </c>
      <c r="J213" s="394" t="n">
        <v>7</v>
      </c>
      <c r="K213" s="394" t="inlineStr">
        <is>
          <t>Singapore</t>
        </is>
      </c>
      <c r="L213" s="394" t="inlineStr">
        <is>
          <t>Shell Business</t>
        </is>
      </c>
      <c r="M213" s="406" t="n"/>
      <c r="N213" s="396" t="n"/>
      <c r="O213" s="397" t="n"/>
      <c r="P213" s="407" t="n"/>
      <c r="Q213" s="71" t="n"/>
    </row>
    <row r="214" ht="14.45" customHeight="1">
      <c r="H214" s="72" t="n"/>
      <c r="I214" s="386">
        <f>CONCAT(J214,K214,L214)</f>
        <v/>
      </c>
      <c r="J214" s="387" t="n">
        <v>1</v>
      </c>
      <c r="K214" s="387" t="inlineStr">
        <is>
          <t>Slovakia</t>
        </is>
      </c>
      <c r="L214" s="387" t="inlineStr">
        <is>
          <t>Shell Business</t>
        </is>
      </c>
      <c r="M214" s="405" t="n"/>
      <c r="N214" s="389" t="n"/>
      <c r="O214" s="390" t="n"/>
      <c r="P214" s="407" t="n"/>
      <c r="Q214" s="71" t="n"/>
    </row>
    <row r="215" ht="14.45" customHeight="1">
      <c r="H215" s="72" t="n"/>
      <c r="I215" s="393">
        <f>CONCAT(J215,K215,L215)</f>
        <v/>
      </c>
      <c r="J215" s="394" t="n">
        <v>2</v>
      </c>
      <c r="K215" s="394" t="inlineStr">
        <is>
          <t>Slovakia</t>
        </is>
      </c>
      <c r="L215" s="394" t="inlineStr">
        <is>
          <t>Shell Business</t>
        </is>
      </c>
      <c r="M215" s="406" t="n"/>
      <c r="N215" s="396" t="n"/>
      <c r="O215" s="397" t="n"/>
      <c r="P215" s="407" t="n"/>
      <c r="Q215" s="71" t="n"/>
    </row>
    <row r="216" ht="14.45" customHeight="1">
      <c r="H216" s="72" t="n"/>
      <c r="I216" s="386">
        <f>CONCAT(J216,K216,L216)</f>
        <v/>
      </c>
      <c r="J216" s="387" t="n">
        <v>3</v>
      </c>
      <c r="K216" s="387" t="inlineStr">
        <is>
          <t>Slovakia</t>
        </is>
      </c>
      <c r="L216" s="387" t="inlineStr">
        <is>
          <t>Shell Business</t>
        </is>
      </c>
      <c r="M216" s="405" t="n"/>
      <c r="N216" s="389" t="n"/>
      <c r="O216" s="390" t="n"/>
      <c r="P216" s="407" t="n"/>
      <c r="Q216" s="71" t="n"/>
    </row>
    <row r="217" ht="14.45" customHeight="1">
      <c r="H217" s="72" t="n"/>
      <c r="I217" s="393">
        <f>CONCAT(J217,K217,L217)</f>
        <v/>
      </c>
      <c r="J217" s="394" t="n">
        <v>4</v>
      </c>
      <c r="K217" s="394" t="inlineStr">
        <is>
          <t>Slovakia</t>
        </is>
      </c>
      <c r="L217" s="394" t="inlineStr">
        <is>
          <t>Shell Business</t>
        </is>
      </c>
      <c r="M217" s="406" t="n"/>
      <c r="N217" s="396" t="n"/>
      <c r="O217" s="397" t="n"/>
      <c r="P217" s="407" t="n"/>
      <c r="Q217" s="71" t="n"/>
    </row>
    <row r="218" ht="14.45" customHeight="1">
      <c r="H218" s="72" t="n"/>
      <c r="I218" s="386">
        <f>CONCAT(J218,K218,L218)</f>
        <v/>
      </c>
      <c r="J218" s="387" t="n">
        <v>5</v>
      </c>
      <c r="K218" s="387" t="inlineStr">
        <is>
          <t>Slovakia</t>
        </is>
      </c>
      <c r="L218" s="387" t="inlineStr">
        <is>
          <t>Shell Business</t>
        </is>
      </c>
      <c r="M218" s="405" t="n"/>
      <c r="N218" s="389" t="n"/>
      <c r="O218" s="390" t="n"/>
      <c r="P218" s="407" t="n"/>
      <c r="Q218" s="71" t="n"/>
    </row>
    <row r="219" ht="14.45" customHeight="1">
      <c r="H219" s="72" t="n"/>
      <c r="I219" s="393">
        <f>CONCAT(J219,K219,L219)</f>
        <v/>
      </c>
      <c r="J219" s="394" t="n">
        <v>6</v>
      </c>
      <c r="K219" s="394" t="inlineStr">
        <is>
          <t>Slovakia</t>
        </is>
      </c>
      <c r="L219" s="394" t="inlineStr">
        <is>
          <t>Shell Business</t>
        </is>
      </c>
      <c r="M219" s="406" t="n"/>
      <c r="N219" s="396" t="n"/>
      <c r="O219" s="397" t="n"/>
      <c r="P219" s="407" t="n"/>
      <c r="Q219" s="71" t="n"/>
    </row>
    <row r="220" ht="14.45" customHeight="1">
      <c r="H220" s="72" t="n"/>
      <c r="I220" s="386">
        <f>CONCAT(J220,K220,L220)</f>
        <v/>
      </c>
      <c r="J220" s="387" t="n">
        <v>7</v>
      </c>
      <c r="K220" s="387" t="inlineStr">
        <is>
          <t>Slovakia</t>
        </is>
      </c>
      <c r="L220" s="387" t="inlineStr">
        <is>
          <t>Shell Business</t>
        </is>
      </c>
      <c r="M220" s="405" t="n"/>
      <c r="N220" s="389" t="n"/>
      <c r="O220" s="390" t="n"/>
      <c r="P220" s="407" t="n"/>
      <c r="Q220" s="71" t="n"/>
    </row>
    <row r="221" ht="14.45" customHeight="1">
      <c r="H221" s="72" t="n"/>
      <c r="I221" s="393">
        <f>CONCAT(J221,K221,L221)</f>
        <v/>
      </c>
      <c r="J221" s="394" t="n">
        <v>1</v>
      </c>
      <c r="K221" s="394" t="inlineStr">
        <is>
          <t>South Africa</t>
        </is>
      </c>
      <c r="L221" s="394" t="inlineStr">
        <is>
          <t>Shell Business</t>
        </is>
      </c>
      <c r="M221" s="406" t="n"/>
      <c r="N221" s="396" t="n"/>
      <c r="O221" s="397" t="n"/>
      <c r="P221" s="407" t="n"/>
      <c r="Q221" s="71" t="n"/>
    </row>
    <row r="222" ht="14.45" customHeight="1">
      <c r="H222" s="72" t="n"/>
      <c r="I222" s="386">
        <f>CONCAT(J222,K222,L222)</f>
        <v/>
      </c>
      <c r="J222" s="387" t="n">
        <v>2</v>
      </c>
      <c r="K222" s="387" t="inlineStr">
        <is>
          <t>South Africa</t>
        </is>
      </c>
      <c r="L222" s="387" t="inlineStr">
        <is>
          <t>Shell Business</t>
        </is>
      </c>
      <c r="M222" s="405" t="n"/>
      <c r="N222" s="389" t="n"/>
      <c r="O222" s="390" t="n"/>
      <c r="P222" s="407" t="n"/>
      <c r="Q222" s="71" t="n"/>
    </row>
    <row r="223" ht="14.45" customHeight="1">
      <c r="H223" s="72" t="n"/>
      <c r="I223" s="393">
        <f>CONCAT(J223,K223,L223)</f>
        <v/>
      </c>
      <c r="J223" s="394" t="n">
        <v>3</v>
      </c>
      <c r="K223" s="394" t="inlineStr">
        <is>
          <t>South Africa</t>
        </is>
      </c>
      <c r="L223" s="394" t="inlineStr">
        <is>
          <t>Shell Business</t>
        </is>
      </c>
      <c r="M223" s="406" t="n"/>
      <c r="N223" s="396" t="n"/>
      <c r="O223" s="397" t="n"/>
      <c r="P223" s="407" t="n"/>
      <c r="Q223" s="71" t="n"/>
    </row>
    <row r="224" ht="14.45" customHeight="1">
      <c r="H224" s="72" t="n"/>
      <c r="I224" s="386">
        <f>CONCAT(J224,K224,L224)</f>
        <v/>
      </c>
      <c r="J224" s="387" t="n">
        <v>4</v>
      </c>
      <c r="K224" s="387" t="inlineStr">
        <is>
          <t>South Africa</t>
        </is>
      </c>
      <c r="L224" s="387" t="inlineStr">
        <is>
          <t>Shell Business</t>
        </is>
      </c>
      <c r="M224" s="405" t="n"/>
      <c r="N224" s="389" t="n"/>
      <c r="O224" s="390" t="n"/>
      <c r="P224" s="407" t="n"/>
      <c r="Q224" s="71" t="n"/>
    </row>
    <row r="225" ht="14.45" customHeight="1">
      <c r="H225" s="72" t="n"/>
      <c r="I225" s="393">
        <f>CONCAT(J225,K225,L225)</f>
        <v/>
      </c>
      <c r="J225" s="394" t="n">
        <v>5</v>
      </c>
      <c r="K225" s="394" t="inlineStr">
        <is>
          <t>South Africa</t>
        </is>
      </c>
      <c r="L225" s="394" t="inlineStr">
        <is>
          <t>Shell Business</t>
        </is>
      </c>
      <c r="M225" s="406" t="n"/>
      <c r="N225" s="396" t="n"/>
      <c r="O225" s="397" t="n"/>
      <c r="P225" s="407" t="n"/>
      <c r="Q225" s="71" t="n"/>
    </row>
    <row r="226" ht="14.45" customHeight="1">
      <c r="H226" s="72" t="n"/>
      <c r="I226" s="386">
        <f>CONCAT(J226,K226,L226)</f>
        <v/>
      </c>
      <c r="J226" s="387" t="n">
        <v>6</v>
      </c>
      <c r="K226" s="387" t="inlineStr">
        <is>
          <t>South Africa</t>
        </is>
      </c>
      <c r="L226" s="387" t="inlineStr">
        <is>
          <t>Shell Business</t>
        </is>
      </c>
      <c r="M226" s="405" t="n"/>
      <c r="N226" s="389" t="n"/>
      <c r="O226" s="390" t="n"/>
      <c r="P226" s="407" t="n"/>
      <c r="Q226" s="71" t="n"/>
    </row>
    <row r="227" ht="14.45" customHeight="1">
      <c r="H227" s="72" t="n"/>
      <c r="I227" s="393">
        <f>CONCAT(J227,K227,L227)</f>
        <v/>
      </c>
      <c r="J227" s="394" t="n">
        <v>7</v>
      </c>
      <c r="K227" s="394" t="inlineStr">
        <is>
          <t>South Africa</t>
        </is>
      </c>
      <c r="L227" s="394" t="inlineStr">
        <is>
          <t>Shell Business</t>
        </is>
      </c>
      <c r="M227" s="406" t="n"/>
      <c r="N227" s="396" t="n"/>
      <c r="O227" s="397" t="n"/>
      <c r="P227" s="407" t="n"/>
      <c r="Q227" s="71" t="n"/>
    </row>
    <row r="228" ht="14.45" customHeight="1">
      <c r="H228" s="72" t="n"/>
      <c r="I228" s="386">
        <f>CONCAT(J228,K228,L228)</f>
        <v/>
      </c>
      <c r="J228" s="387" t="n">
        <v>1</v>
      </c>
      <c r="K228" s="387" t="inlineStr">
        <is>
          <t>Thailand</t>
        </is>
      </c>
      <c r="L228" s="387" t="inlineStr">
        <is>
          <t>Shell Business</t>
        </is>
      </c>
      <c r="M228" s="405" t="n"/>
      <c r="N228" s="389" t="n"/>
      <c r="O228" s="390" t="n"/>
      <c r="P228" s="407" t="n"/>
      <c r="Q228" s="71" t="n"/>
    </row>
    <row r="229" ht="14.45" customHeight="1">
      <c r="H229" s="72" t="n"/>
      <c r="I229" s="393">
        <f>CONCAT(J229,K229,L229)</f>
        <v/>
      </c>
      <c r="J229" s="394" t="n">
        <v>2</v>
      </c>
      <c r="K229" s="394" t="inlineStr">
        <is>
          <t>Thailand</t>
        </is>
      </c>
      <c r="L229" s="394" t="inlineStr">
        <is>
          <t>Shell Business</t>
        </is>
      </c>
      <c r="M229" s="406" t="n"/>
      <c r="N229" s="396" t="n"/>
      <c r="O229" s="397" t="n"/>
      <c r="P229" s="407" t="n"/>
      <c r="Q229" s="71" t="n"/>
    </row>
    <row r="230" ht="14.45" customHeight="1">
      <c r="H230" s="72" t="n"/>
      <c r="I230" s="386">
        <f>CONCAT(J230,K230,L230)</f>
        <v/>
      </c>
      <c r="J230" s="387" t="n">
        <v>3</v>
      </c>
      <c r="K230" s="387" t="inlineStr">
        <is>
          <t>Thailand</t>
        </is>
      </c>
      <c r="L230" s="387" t="inlineStr">
        <is>
          <t>Shell Business</t>
        </is>
      </c>
      <c r="M230" s="405" t="n"/>
      <c r="N230" s="389" t="n"/>
      <c r="O230" s="390" t="n"/>
      <c r="P230" s="407" t="n"/>
      <c r="Q230" s="71" t="n"/>
    </row>
    <row r="231" ht="14.45" customHeight="1">
      <c r="H231" s="72" t="n"/>
      <c r="I231" s="393">
        <f>CONCAT(J231,K231,L231)</f>
        <v/>
      </c>
      <c r="J231" s="394" t="n">
        <v>4</v>
      </c>
      <c r="K231" s="394" t="inlineStr">
        <is>
          <t>Thailand</t>
        </is>
      </c>
      <c r="L231" s="394" t="inlineStr">
        <is>
          <t>Shell Business</t>
        </is>
      </c>
      <c r="M231" s="406" t="n"/>
      <c r="N231" s="396" t="n"/>
      <c r="O231" s="397" t="n"/>
      <c r="P231" s="407" t="n"/>
      <c r="Q231" s="71" t="n"/>
    </row>
    <row r="232" ht="14.45" customHeight="1">
      <c r="H232" s="72" t="n"/>
      <c r="I232" s="386">
        <f>CONCAT(J232,K232,L232)</f>
        <v/>
      </c>
      <c r="J232" s="387" t="n">
        <v>5</v>
      </c>
      <c r="K232" s="387" t="inlineStr">
        <is>
          <t>Thailand</t>
        </is>
      </c>
      <c r="L232" s="387" t="inlineStr">
        <is>
          <t>Shell Business</t>
        </is>
      </c>
      <c r="M232" s="405" t="n"/>
      <c r="N232" s="389" t="n"/>
      <c r="O232" s="390" t="n"/>
      <c r="P232" s="407" t="n"/>
      <c r="Q232" s="71" t="n"/>
    </row>
    <row r="233" ht="14.45" customHeight="1">
      <c r="H233" s="72" t="n"/>
      <c r="I233" s="393">
        <f>CONCAT(J233,K233,L233)</f>
        <v/>
      </c>
      <c r="J233" s="394" t="n">
        <v>6</v>
      </c>
      <c r="K233" s="394" t="inlineStr">
        <is>
          <t>Thailand</t>
        </is>
      </c>
      <c r="L233" s="394" t="inlineStr">
        <is>
          <t>Shell Business</t>
        </is>
      </c>
      <c r="M233" s="406" t="n"/>
      <c r="N233" s="396" t="n"/>
      <c r="O233" s="397" t="n"/>
      <c r="P233" s="407" t="n"/>
      <c r="Q233" s="71" t="n"/>
    </row>
    <row r="234" ht="14.45" customHeight="1">
      <c r="H234" s="72" t="n"/>
      <c r="I234" s="386">
        <f>CONCAT(J234,K234,L234)</f>
        <v/>
      </c>
      <c r="J234" s="387" t="n">
        <v>7</v>
      </c>
      <c r="K234" s="387" t="inlineStr">
        <is>
          <t>Thailand</t>
        </is>
      </c>
      <c r="L234" s="387" t="inlineStr">
        <is>
          <t>Shell Business</t>
        </is>
      </c>
      <c r="M234" s="405" t="n"/>
      <c r="N234" s="389" t="n"/>
      <c r="O234" s="390" t="n"/>
      <c r="P234" s="407" t="n"/>
      <c r="Q234" s="71" t="n"/>
    </row>
    <row r="235" ht="14.45" customHeight="1">
      <c r="H235" s="72" t="n"/>
      <c r="I235" s="393">
        <f>CONCAT(J235,K235,L235)</f>
        <v/>
      </c>
      <c r="J235" s="394" t="n">
        <v>1</v>
      </c>
      <c r="K235" s="394" t="inlineStr">
        <is>
          <t>United Kingdom</t>
        </is>
      </c>
      <c r="L235" s="394" t="inlineStr">
        <is>
          <t>Shell Business</t>
        </is>
      </c>
      <c r="M235" s="395" t="n">
        <v>1384</v>
      </c>
      <c r="N235" s="396" t="n"/>
      <c r="O235" s="397" t="n"/>
      <c r="P235" s="409" t="n">
        <v>1711</v>
      </c>
      <c r="Q235" s="71" t="n"/>
    </row>
    <row r="236" ht="14.45" customHeight="1">
      <c r="H236" s="72" t="n"/>
      <c r="I236" s="386">
        <f>CONCAT(J236,K236,L236)</f>
        <v/>
      </c>
      <c r="J236" s="387" t="n">
        <v>2</v>
      </c>
      <c r="K236" s="387" t="inlineStr">
        <is>
          <t>United Kingdom</t>
        </is>
      </c>
      <c r="L236" s="387" t="inlineStr">
        <is>
          <t>Shell Business</t>
        </is>
      </c>
      <c r="M236" s="388" t="n">
        <v>1062</v>
      </c>
      <c r="N236" s="389" t="n"/>
      <c r="O236" s="390" t="n"/>
      <c r="P236" s="408" t="n">
        <v>1370</v>
      </c>
      <c r="Q236" s="71" t="n"/>
    </row>
    <row r="237" ht="14.45" customHeight="1">
      <c r="H237" s="72" t="n"/>
      <c r="I237" s="393">
        <f>CONCAT(J237,K237,L237)</f>
        <v/>
      </c>
      <c r="J237" s="394" t="n">
        <v>3</v>
      </c>
      <c r="K237" s="394" t="inlineStr">
        <is>
          <t>United Kingdom</t>
        </is>
      </c>
      <c r="L237" s="394" t="inlineStr">
        <is>
          <t>Shell Business</t>
        </is>
      </c>
      <c r="M237" s="395" t="n">
        <v>850</v>
      </c>
      <c r="N237" s="396" t="n"/>
      <c r="O237" s="397" t="n"/>
      <c r="P237" s="409" t="n">
        <v>1138</v>
      </c>
      <c r="Q237" s="71" t="n"/>
    </row>
    <row r="238" ht="14.45" customHeight="1">
      <c r="H238" s="72" t="n"/>
      <c r="I238" s="386">
        <f>CONCAT(J238,K238,L238)</f>
        <v/>
      </c>
      <c r="J238" s="387" t="n">
        <v>4</v>
      </c>
      <c r="K238" s="387" t="inlineStr">
        <is>
          <t>United Kingdom</t>
        </is>
      </c>
      <c r="L238" s="387" t="inlineStr">
        <is>
          <t>Shell Business</t>
        </is>
      </c>
      <c r="M238" s="388" t="n">
        <v>935</v>
      </c>
      <c r="N238" s="389" t="n"/>
      <c r="O238" s="390" t="n"/>
      <c r="P238" s="407" t="n"/>
      <c r="Q238" s="71" t="n"/>
    </row>
    <row r="239" ht="14.45" customHeight="1">
      <c r="H239" s="72" t="n"/>
      <c r="I239" s="393">
        <f>CONCAT(J239,K239,L239)</f>
        <v/>
      </c>
      <c r="J239" s="394" t="n">
        <v>5</v>
      </c>
      <c r="K239" s="394" t="inlineStr">
        <is>
          <t>United Kingdom</t>
        </is>
      </c>
      <c r="L239" s="394" t="inlineStr">
        <is>
          <t>Shell Business</t>
        </is>
      </c>
      <c r="M239" s="395" t="n">
        <v>790</v>
      </c>
      <c r="N239" s="396" t="n"/>
      <c r="O239" s="397" t="n"/>
      <c r="P239" s="407" t="n"/>
      <c r="Q239" s="71" t="n"/>
    </row>
    <row r="240" ht="14.45" customHeight="1">
      <c r="H240" s="72" t="n"/>
      <c r="I240" s="386">
        <f>CONCAT(J240,K240,L240)</f>
        <v/>
      </c>
      <c r="J240" s="387" t="n">
        <v>6</v>
      </c>
      <c r="K240" s="387" t="inlineStr">
        <is>
          <t>United Kingdom</t>
        </is>
      </c>
      <c r="L240" s="387" t="inlineStr">
        <is>
          <t>Shell Business</t>
        </is>
      </c>
      <c r="M240" s="388" t="n">
        <v>689</v>
      </c>
      <c r="N240" s="389" t="n"/>
      <c r="O240" s="390" t="n"/>
      <c r="P240" s="407" t="n"/>
      <c r="Q240" s="71" t="n"/>
    </row>
    <row r="241" ht="14.45" customHeight="1">
      <c r="H241" s="72" t="n"/>
      <c r="I241" s="393">
        <f>CONCAT(J241,K241,L241)</f>
        <v/>
      </c>
      <c r="J241" s="394" t="n">
        <v>7</v>
      </c>
      <c r="K241" s="394" t="inlineStr">
        <is>
          <t>United Kingdom</t>
        </is>
      </c>
      <c r="L241" s="394" t="inlineStr">
        <is>
          <t>Shell Business</t>
        </is>
      </c>
      <c r="M241" s="395" t="n">
        <v>616</v>
      </c>
      <c r="N241" s="396" t="n"/>
      <c r="O241" s="397" t="n"/>
      <c r="P241" s="407" t="n"/>
      <c r="Q241" s="71" t="n"/>
    </row>
    <row r="242" ht="14.45" customHeight="1">
      <c r="H242" s="72" t="n"/>
      <c r="I242" s="386">
        <f>CONCAT(J242,K242,L242)</f>
        <v/>
      </c>
      <c r="J242" s="387" t="n">
        <v>1</v>
      </c>
      <c r="K242" s="387" t="inlineStr">
        <is>
          <t>United States</t>
        </is>
      </c>
      <c r="L242" s="387" t="inlineStr">
        <is>
          <t>Shell Business</t>
        </is>
      </c>
      <c r="M242" s="388" t="n">
        <v>1765</v>
      </c>
      <c r="N242" s="389" t="n"/>
      <c r="O242" s="390" t="n"/>
      <c r="P242" s="408" t="n">
        <v>2464</v>
      </c>
      <c r="Q242" s="71" t="n"/>
    </row>
    <row r="243" ht="14.45" customHeight="1">
      <c r="H243" s="72" t="n"/>
      <c r="I243" s="393">
        <f>CONCAT(J243,K243,L243)</f>
        <v/>
      </c>
      <c r="J243" s="394" t="n">
        <v>2</v>
      </c>
      <c r="K243" s="394" t="inlineStr">
        <is>
          <t>United States</t>
        </is>
      </c>
      <c r="L243" s="394" t="inlineStr">
        <is>
          <t>Shell Business</t>
        </is>
      </c>
      <c r="M243" s="395" t="n">
        <v>2032</v>
      </c>
      <c r="N243" s="396" t="n"/>
      <c r="O243" s="397" t="n"/>
      <c r="P243" s="407" t="n"/>
      <c r="Q243" s="71" t="n"/>
    </row>
    <row r="244" ht="14.45" customHeight="1">
      <c r="H244" s="72" t="n"/>
      <c r="I244" s="386">
        <f>CONCAT(J244,K244,L244)</f>
        <v/>
      </c>
      <c r="J244" s="387" t="n">
        <v>3</v>
      </c>
      <c r="K244" s="387" t="inlineStr">
        <is>
          <t>United States</t>
        </is>
      </c>
      <c r="L244" s="387" t="inlineStr">
        <is>
          <t>Shell Business</t>
        </is>
      </c>
      <c r="M244" s="388" t="n">
        <v>1155</v>
      </c>
      <c r="N244" s="389" t="n"/>
      <c r="O244" s="390" t="n"/>
      <c r="P244" s="408" t="n">
        <v>1688</v>
      </c>
      <c r="Q244" s="71" t="n"/>
    </row>
    <row r="245" ht="14.45" customHeight="1">
      <c r="H245" s="72" t="n"/>
      <c r="I245" s="393">
        <f>CONCAT(J245,K245,L245)</f>
        <v/>
      </c>
      <c r="J245" s="394" t="n">
        <v>4</v>
      </c>
      <c r="K245" s="394" t="inlineStr">
        <is>
          <t>United States</t>
        </is>
      </c>
      <c r="L245" s="394" t="inlineStr">
        <is>
          <t>Shell Business</t>
        </is>
      </c>
      <c r="M245" s="395" t="n">
        <v>1408</v>
      </c>
      <c r="N245" s="396" t="n"/>
      <c r="O245" s="397" t="n"/>
      <c r="P245" s="407" t="n"/>
      <c r="Q245" s="71" t="n"/>
    </row>
    <row r="246" ht="14.45" customHeight="1">
      <c r="H246" s="72" t="n"/>
      <c r="I246" s="386">
        <f>CONCAT(J246,K246,L246)</f>
        <v/>
      </c>
      <c r="J246" s="387" t="n">
        <v>5</v>
      </c>
      <c r="K246" s="387" t="inlineStr">
        <is>
          <t>United States</t>
        </is>
      </c>
      <c r="L246" s="387" t="inlineStr">
        <is>
          <t>Shell Business</t>
        </is>
      </c>
      <c r="M246" s="388" t="n">
        <v>1184</v>
      </c>
      <c r="N246" s="389" t="n"/>
      <c r="O246" s="390" t="n"/>
      <c r="P246" s="407" t="n"/>
      <c r="Q246" s="71" t="n"/>
    </row>
    <row r="247" ht="14.45" customHeight="1">
      <c r="H247" s="72" t="n"/>
      <c r="I247" s="393">
        <f>CONCAT(J247,K247,L247)</f>
        <v/>
      </c>
      <c r="J247" s="394" t="n">
        <v>6</v>
      </c>
      <c r="K247" s="394" t="inlineStr">
        <is>
          <t>United States</t>
        </is>
      </c>
      <c r="L247" s="394" t="inlineStr">
        <is>
          <t>Shell Business</t>
        </is>
      </c>
      <c r="M247" s="395" t="n">
        <v>1056</v>
      </c>
      <c r="N247" s="396" t="n"/>
      <c r="O247" s="397" t="n"/>
      <c r="P247" s="407" t="n"/>
      <c r="Q247" s="71" t="n"/>
    </row>
    <row r="248" ht="14.45" customHeight="1">
      <c r="H248" s="72" t="n"/>
      <c r="I248" s="386">
        <f>CONCAT(J248,K248,L248)</f>
        <v/>
      </c>
      <c r="J248" s="387" t="n">
        <v>7</v>
      </c>
      <c r="K248" s="387" t="inlineStr">
        <is>
          <t>United States</t>
        </is>
      </c>
      <c r="L248" s="387" t="inlineStr">
        <is>
          <t>Shell Business</t>
        </is>
      </c>
      <c r="M248" s="388" t="n">
        <v>928</v>
      </c>
      <c r="N248" s="389" t="n"/>
      <c r="O248" s="390" t="n"/>
      <c r="P248" s="407" t="n"/>
      <c r="Q248" s="71" t="n"/>
    </row>
    <row r="249" ht="14.45" customHeight="1">
      <c r="H249" s="72" t="n"/>
      <c r="I249" s="393">
        <f>CONCAT(J249,K249,L249)</f>
        <v/>
      </c>
      <c r="J249" s="394" t="n">
        <v>1</v>
      </c>
      <c r="K249" s="394" t="inlineStr">
        <is>
          <t>Turkey</t>
        </is>
      </c>
      <c r="L249" s="394" t="inlineStr">
        <is>
          <t>Shell Business</t>
        </is>
      </c>
      <c r="M249" s="406" t="n"/>
      <c r="N249" s="396" t="n"/>
      <c r="O249" s="397" t="n"/>
      <c r="P249" s="407" t="n"/>
      <c r="Q249" s="71" t="n"/>
    </row>
    <row r="250" ht="14.45" customHeight="1">
      <c r="H250" s="72" t="n"/>
      <c r="I250" s="386">
        <f>CONCAT(J250,K250,L250)</f>
        <v/>
      </c>
      <c r="J250" s="387" t="n">
        <v>2</v>
      </c>
      <c r="K250" s="387" t="inlineStr">
        <is>
          <t>Turkey</t>
        </is>
      </c>
      <c r="L250" s="387" t="inlineStr">
        <is>
          <t>Shell Business</t>
        </is>
      </c>
      <c r="M250" s="405" t="n"/>
      <c r="N250" s="389" t="n"/>
      <c r="O250" s="390" t="n"/>
      <c r="P250" s="407" t="n"/>
      <c r="Q250" s="71" t="n"/>
    </row>
    <row r="251" ht="14.45" customHeight="1">
      <c r="H251" s="72" t="n"/>
      <c r="I251" s="393">
        <f>CONCAT(J251,K251,L251)</f>
        <v/>
      </c>
      <c r="J251" s="394" t="n">
        <v>3</v>
      </c>
      <c r="K251" s="394" t="inlineStr">
        <is>
          <t>Turkey</t>
        </is>
      </c>
      <c r="L251" s="394" t="inlineStr">
        <is>
          <t>Shell Business</t>
        </is>
      </c>
      <c r="M251" s="406" t="n"/>
      <c r="N251" s="396" t="n"/>
      <c r="O251" s="397" t="n"/>
      <c r="P251" s="407" t="n"/>
      <c r="Q251" s="71" t="n"/>
    </row>
    <row r="252" ht="14.45" customHeight="1">
      <c r="H252" s="72" t="n"/>
      <c r="I252" s="386">
        <f>CONCAT(J252,K252,L252)</f>
        <v/>
      </c>
      <c r="J252" s="387" t="n">
        <v>4</v>
      </c>
      <c r="K252" s="387" t="inlineStr">
        <is>
          <t>Turkey</t>
        </is>
      </c>
      <c r="L252" s="387" t="inlineStr">
        <is>
          <t>Shell Business</t>
        </is>
      </c>
      <c r="M252" s="405" t="n"/>
      <c r="N252" s="389" t="n"/>
      <c r="O252" s="390" t="n"/>
      <c r="P252" s="407" t="n"/>
      <c r="Q252" s="71" t="n"/>
    </row>
    <row r="253" ht="14.45" customHeight="1">
      <c r="H253" s="72" t="n"/>
      <c r="I253" s="393">
        <f>CONCAT(J253,K253,L253)</f>
        <v/>
      </c>
      <c r="J253" s="394" t="n">
        <v>5</v>
      </c>
      <c r="K253" s="394" t="inlineStr">
        <is>
          <t>Turkey</t>
        </is>
      </c>
      <c r="L253" s="394" t="inlineStr">
        <is>
          <t>Shell Business</t>
        </is>
      </c>
      <c r="M253" s="406" t="n"/>
      <c r="N253" s="396" t="n"/>
      <c r="O253" s="397" t="n"/>
      <c r="P253" s="407" t="n"/>
      <c r="Q253" s="71" t="n"/>
    </row>
    <row r="254" ht="14.45" customHeight="1">
      <c r="H254" s="72" t="n"/>
      <c r="I254" s="386">
        <f>CONCAT(J254,K254,L254)</f>
        <v/>
      </c>
      <c r="J254" s="387" t="n">
        <v>6</v>
      </c>
      <c r="K254" s="387" t="inlineStr">
        <is>
          <t>Turkey</t>
        </is>
      </c>
      <c r="L254" s="387" t="inlineStr">
        <is>
          <t>Shell Business</t>
        </is>
      </c>
      <c r="M254" s="405" t="n"/>
      <c r="N254" s="389" t="n"/>
      <c r="O254" s="390" t="n"/>
      <c r="P254" s="407" t="n"/>
      <c r="Q254" s="71" t="n"/>
    </row>
    <row r="255" ht="14.45" customHeight="1">
      <c r="H255" s="72" t="n"/>
      <c r="I255" s="393">
        <f>CONCAT(J255,K255,L255)</f>
        <v/>
      </c>
      <c r="J255" s="394" t="n">
        <v>7</v>
      </c>
      <c r="K255" s="394" t="inlineStr">
        <is>
          <t>Turkey</t>
        </is>
      </c>
      <c r="L255" s="394" t="inlineStr">
        <is>
          <t>Shell Business</t>
        </is>
      </c>
      <c r="M255" s="406" t="n"/>
      <c r="N255" s="396" t="n"/>
      <c r="O255" s="397" t="n"/>
      <c r="P255" s="407" t="n"/>
      <c r="Q255" s="71" t="n"/>
    </row>
    <row r="256" ht="14.45" customHeight="1">
      <c r="H256" s="72" t="n"/>
      <c r="I256" s="386">
        <f>CONCAT(J256,K256,L256)</f>
        <v/>
      </c>
      <c r="J256" s="387" t="n">
        <v>1</v>
      </c>
      <c r="K256" s="387" t="inlineStr">
        <is>
          <t>India</t>
        </is>
      </c>
      <c r="L256" s="387" t="inlineStr">
        <is>
          <t>Shell Business</t>
        </is>
      </c>
      <c r="M256" s="388" t="n">
        <v>896</v>
      </c>
      <c r="N256" s="389" t="n"/>
      <c r="O256" s="390" t="n"/>
      <c r="P256" s="407" t="n"/>
      <c r="Q256" s="71" t="n"/>
    </row>
    <row r="257" ht="14.45" customHeight="1">
      <c r="H257" s="72" t="n"/>
      <c r="I257" s="393">
        <f>CONCAT(J257,K257,L257)</f>
        <v/>
      </c>
      <c r="J257" s="394" t="n">
        <v>2</v>
      </c>
      <c r="K257" s="394" t="inlineStr">
        <is>
          <t>India</t>
        </is>
      </c>
      <c r="L257" s="394" t="inlineStr">
        <is>
          <t>Shell Business</t>
        </is>
      </c>
      <c r="M257" s="395" t="n">
        <v>1062</v>
      </c>
      <c r="N257" s="396" t="n"/>
      <c r="O257" s="397" t="n"/>
      <c r="P257" s="409" t="n">
        <v>688</v>
      </c>
      <c r="Q257" s="71" t="n"/>
    </row>
    <row r="258" ht="14.45" customHeight="1">
      <c r="H258" s="72" t="n"/>
      <c r="I258" s="386">
        <f>CONCAT(J258,K258,L258)</f>
        <v/>
      </c>
      <c r="J258" s="387" t="n">
        <v>3</v>
      </c>
      <c r="K258" s="387" t="inlineStr">
        <is>
          <t>India</t>
        </is>
      </c>
      <c r="L258" s="387" t="inlineStr">
        <is>
          <t>Shell Business</t>
        </is>
      </c>
      <c r="M258" s="388" t="n">
        <v>360</v>
      </c>
      <c r="N258" s="389" t="n"/>
      <c r="O258" s="390" t="n"/>
      <c r="P258" s="408" t="n">
        <v>560</v>
      </c>
      <c r="Q258" s="71" t="n"/>
    </row>
    <row r="259" ht="14.45" customHeight="1">
      <c r="H259" s="72" t="n"/>
      <c r="I259" s="393">
        <f>CONCAT(J259,K259,L259)</f>
        <v/>
      </c>
      <c r="J259" s="394" t="n">
        <v>4</v>
      </c>
      <c r="K259" s="394" t="inlineStr">
        <is>
          <t>India</t>
        </is>
      </c>
      <c r="L259" s="394" t="inlineStr">
        <is>
          <t>Shell Business</t>
        </is>
      </c>
      <c r="M259" s="395" t="n">
        <v>440</v>
      </c>
      <c r="N259" s="396" t="n"/>
      <c r="O259" s="397" t="n"/>
      <c r="P259" s="407" t="n"/>
      <c r="Q259" s="71" t="n"/>
    </row>
    <row r="260" ht="14.45" customHeight="1">
      <c r="H260" s="72" t="n"/>
      <c r="I260" s="386">
        <f>CONCAT(J260,K260,L260)</f>
        <v/>
      </c>
      <c r="J260" s="387" t="n">
        <v>5</v>
      </c>
      <c r="K260" s="387" t="inlineStr">
        <is>
          <t>India</t>
        </is>
      </c>
      <c r="L260" s="387" t="inlineStr">
        <is>
          <t>Shell Business</t>
        </is>
      </c>
      <c r="M260" s="388" t="n">
        <v>368</v>
      </c>
      <c r="N260" s="389" t="n"/>
      <c r="O260" s="390" t="n"/>
      <c r="P260" s="407" t="n"/>
      <c r="Q260" s="71" t="n"/>
    </row>
    <row r="261" ht="14.45" customHeight="1">
      <c r="H261" s="72" t="n"/>
      <c r="I261" s="393">
        <f>CONCAT(J261,K261,L261)</f>
        <v/>
      </c>
      <c r="J261" s="394" t="n">
        <v>6</v>
      </c>
      <c r="K261" s="394" t="inlineStr">
        <is>
          <t>India</t>
        </is>
      </c>
      <c r="L261" s="394" t="inlineStr">
        <is>
          <t>Shell Business</t>
        </is>
      </c>
      <c r="M261" s="395" t="n">
        <v>320</v>
      </c>
      <c r="N261" s="396" t="n"/>
      <c r="O261" s="397" t="n"/>
      <c r="P261" s="407" t="n"/>
      <c r="Q261" s="71" t="n"/>
    </row>
    <row r="262" ht="14.45" customHeight="1">
      <c r="H262" s="72" t="n"/>
      <c r="I262" s="386">
        <f>CONCAT(J262,K262,L262)</f>
        <v/>
      </c>
      <c r="J262" s="387" t="n">
        <v>7</v>
      </c>
      <c r="K262" s="387" t="inlineStr">
        <is>
          <t>India</t>
        </is>
      </c>
      <c r="L262" s="387" t="inlineStr">
        <is>
          <t>Shell Business</t>
        </is>
      </c>
      <c r="M262" s="388" t="n">
        <v>280</v>
      </c>
      <c r="N262" s="389" t="n"/>
      <c r="O262" s="390" t="n"/>
      <c r="P262" s="407" t="n"/>
      <c r="Q262" s="71" t="n"/>
    </row>
    <row r="263" ht="14.45" customHeight="1">
      <c r="H263" s="72" t="n"/>
      <c r="I263" s="393">
        <f>CONCAT(J263,K263,L263)</f>
        <v/>
      </c>
      <c r="J263" s="394" t="n">
        <v>1</v>
      </c>
      <c r="K263" s="394" t="inlineStr">
        <is>
          <t>Bulgaria</t>
        </is>
      </c>
      <c r="L263" s="394" t="inlineStr">
        <is>
          <t>Shell Business</t>
        </is>
      </c>
      <c r="M263" s="406" t="n"/>
      <c r="N263" s="396" t="n"/>
      <c r="O263" s="397" t="n"/>
      <c r="P263" s="407" t="n"/>
      <c r="Q263" s="71" t="n"/>
    </row>
    <row r="264" ht="14.45" customHeight="1">
      <c r="H264" s="72" t="n"/>
      <c r="I264" s="386">
        <f>CONCAT(J264,K264,L264)</f>
        <v/>
      </c>
      <c r="J264" s="387" t="n">
        <v>2</v>
      </c>
      <c r="K264" s="387" t="inlineStr">
        <is>
          <t>Bulgaria</t>
        </is>
      </c>
      <c r="L264" s="387" t="inlineStr">
        <is>
          <t>Shell Business</t>
        </is>
      </c>
      <c r="M264" s="405" t="n"/>
      <c r="N264" s="389" t="n"/>
      <c r="O264" s="390" t="n"/>
      <c r="P264" s="407" t="n"/>
      <c r="Q264" s="71" t="n"/>
    </row>
    <row r="265" ht="14.45" customHeight="1">
      <c r="H265" s="72" t="n"/>
      <c r="I265" s="393">
        <f>CONCAT(J265,K265,L265)</f>
        <v/>
      </c>
      <c r="J265" s="394" t="n">
        <v>3</v>
      </c>
      <c r="K265" s="394" t="inlineStr">
        <is>
          <t>Bulgaria</t>
        </is>
      </c>
      <c r="L265" s="394" t="inlineStr">
        <is>
          <t>Shell Business</t>
        </is>
      </c>
      <c r="M265" s="406" t="n"/>
      <c r="N265" s="396" t="n"/>
      <c r="O265" s="397" t="n"/>
      <c r="P265" s="407" t="n"/>
      <c r="Q265" s="71" t="n"/>
    </row>
    <row r="266" ht="14.45" customHeight="1">
      <c r="E266" s="407" t="n"/>
      <c r="H266" s="72" t="n"/>
      <c r="I266" s="386">
        <f>CONCAT(J266,K266,L266)</f>
        <v/>
      </c>
      <c r="J266" s="387" t="n">
        <v>4</v>
      </c>
      <c r="K266" s="387" t="inlineStr">
        <is>
          <t>Bulgaria</t>
        </is>
      </c>
      <c r="L266" s="387" t="inlineStr">
        <is>
          <t>Shell Business</t>
        </is>
      </c>
      <c r="M266" s="405" t="n"/>
      <c r="N266" s="389" t="n"/>
      <c r="O266" s="390" t="n"/>
      <c r="P266" s="407" t="n"/>
      <c r="Q266" s="71" t="n"/>
    </row>
    <row r="267" ht="14.45" customHeight="1">
      <c r="E267" s="407" t="n"/>
      <c r="H267" s="72" t="n"/>
      <c r="I267" s="393">
        <f>CONCAT(J267,K267,L267)</f>
        <v/>
      </c>
      <c r="J267" s="394" t="n">
        <v>5</v>
      </c>
      <c r="K267" s="394" t="inlineStr">
        <is>
          <t>Bulgaria</t>
        </is>
      </c>
      <c r="L267" s="394" t="inlineStr">
        <is>
          <t>Shell Business</t>
        </is>
      </c>
      <c r="M267" s="406" t="n"/>
      <c r="N267" s="396" t="n"/>
      <c r="O267" s="397" t="n"/>
      <c r="P267" s="407" t="n"/>
      <c r="Q267" s="71" t="n"/>
    </row>
    <row r="268" ht="14.45" customHeight="1">
      <c r="E268" s="407" t="n"/>
      <c r="H268" s="72" t="n"/>
      <c r="I268" s="386">
        <f>CONCAT(J268,K268,L268)</f>
        <v/>
      </c>
      <c r="J268" s="387" t="n">
        <v>6</v>
      </c>
      <c r="K268" s="387" t="inlineStr">
        <is>
          <t>Bulgaria</t>
        </is>
      </c>
      <c r="L268" s="387" t="inlineStr">
        <is>
          <t>Shell Business</t>
        </is>
      </c>
      <c r="M268" s="405" t="n"/>
      <c r="N268" s="389" t="n"/>
      <c r="O268" s="390" t="n"/>
      <c r="P268" s="407" t="n"/>
      <c r="Q268" s="71" t="n"/>
    </row>
    <row r="269" ht="14.45" customHeight="1">
      <c r="I269" s="393">
        <f>CONCAT(J269,K269,L269)</f>
        <v/>
      </c>
      <c r="J269" s="394" t="n">
        <v>7</v>
      </c>
      <c r="K269" s="394" t="inlineStr">
        <is>
          <t>Bulgaria</t>
        </is>
      </c>
      <c r="L269" s="394" t="inlineStr">
        <is>
          <t>Shell Business</t>
        </is>
      </c>
      <c r="M269" s="406" t="n"/>
      <c r="N269" s="396" t="n"/>
      <c r="O269" s="397" t="n"/>
    </row>
    <row r="270" ht="14.45" customHeight="1">
      <c r="I270" s="386">
        <f>CONCAT(J270,K270,L270)</f>
        <v/>
      </c>
      <c r="J270" s="387" t="n">
        <v>4</v>
      </c>
      <c r="K270" s="387" t="inlineStr">
        <is>
          <t>India</t>
        </is>
      </c>
      <c r="L270" s="387" t="inlineStr">
        <is>
          <t>Deloitte</t>
        </is>
      </c>
      <c r="M270" s="388" t="n">
        <v>100</v>
      </c>
      <c r="N270" s="389" t="n"/>
      <c r="O270" s="390" t="n"/>
    </row>
    <row r="271" ht="14.45" customHeight="1">
      <c r="I271" s="393">
        <f>CONCAT(J271,K271,L271)</f>
        <v/>
      </c>
      <c r="J271" s="394" t="n">
        <v>5</v>
      </c>
      <c r="K271" s="394" t="inlineStr">
        <is>
          <t>United States</t>
        </is>
      </c>
      <c r="L271" s="394" t="inlineStr">
        <is>
          <t>Deloitte</t>
        </is>
      </c>
      <c r="M271" s="395" t="n">
        <v>510</v>
      </c>
      <c r="N271" s="396" t="n"/>
      <c r="O271" s="397" t="n"/>
    </row>
    <row r="272" ht="14.45" customHeight="1">
      <c r="I272" s="386">
        <f>CONCAT(J272,K272,L272)</f>
        <v/>
      </c>
      <c r="J272" s="387" t="n">
        <v>5</v>
      </c>
      <c r="K272" s="387" t="inlineStr">
        <is>
          <t>United Kingdom</t>
        </is>
      </c>
      <c r="L272" s="387" t="inlineStr">
        <is>
          <t>TCS</t>
        </is>
      </c>
      <c r="M272" s="388" t="n">
        <v>1052</v>
      </c>
      <c r="N272" s="389" t="n"/>
      <c r="O272" s="390" t="n"/>
    </row>
    <row r="273" ht="14.45" customHeight="1">
      <c r="I273" s="393">
        <f>CONCAT(J273,K273,L273)</f>
        <v/>
      </c>
      <c r="J273" s="394" t="n">
        <v>4</v>
      </c>
      <c r="K273" s="394" t="inlineStr">
        <is>
          <t>India</t>
        </is>
      </c>
      <c r="L273" s="394" t="inlineStr">
        <is>
          <t>Wipro</t>
        </is>
      </c>
      <c r="M273" s="395" t="n">
        <v>450</v>
      </c>
      <c r="N273" s="396" t="n"/>
      <c r="O273" s="397" t="n"/>
    </row>
    <row r="274" ht="14.45" customHeight="1">
      <c r="I274" s="386">
        <f>CONCAT(J274,K274,L274)</f>
        <v/>
      </c>
      <c r="J274" s="387" t="n">
        <v>2</v>
      </c>
      <c r="K274" s="387" t="inlineStr">
        <is>
          <t>United States</t>
        </is>
      </c>
      <c r="L274" s="387" t="inlineStr">
        <is>
          <t>Deloitte</t>
        </is>
      </c>
      <c r="M274" s="388" t="n">
        <v>920</v>
      </c>
      <c r="N274" s="389" t="n"/>
      <c r="O274" s="390" t="n"/>
    </row>
    <row r="275" thickBot="1">
      <c r="I275" s="393">
        <f>CONCAT(J275,K275,L275)</f>
        <v/>
      </c>
      <c r="J275" s="394" t="n">
        <v>3</v>
      </c>
      <c r="K275" s="394" t="inlineStr">
        <is>
          <t>United States</t>
        </is>
      </c>
      <c r="L275" s="394" t="inlineStr">
        <is>
          <t>Deloitte</t>
        </is>
      </c>
      <c r="M275" s="395" t="n">
        <v>750</v>
      </c>
      <c r="N275" s="396" t="n"/>
      <c r="O275" s="397" t="n"/>
    </row>
    <row r="276" ht="14.45" customHeight="1">
      <c r="I276" s="410">
        <f>CONCAT(J276,K276,L276)</f>
        <v/>
      </c>
      <c r="J276" s="410" t="n">
        <v>3</v>
      </c>
      <c r="K276" s="410" t="inlineStr">
        <is>
          <t>Singapore</t>
        </is>
      </c>
      <c r="L276" s="410" t="inlineStr">
        <is>
          <t>Deloitte</t>
        </is>
      </c>
      <c r="M276" s="411" t="n">
        <v>450</v>
      </c>
      <c r="N276" s="412" t="n"/>
      <c r="O276" s="390" t="n"/>
    </row>
    <row r="277" ht="14.45" customHeight="1">
      <c r="I277" s="394">
        <f>CONCAT(J277,K277,L277)</f>
        <v/>
      </c>
      <c r="J277" s="394" t="n">
        <v>5</v>
      </c>
      <c r="K277" s="394" t="inlineStr">
        <is>
          <t>India</t>
        </is>
      </c>
      <c r="L277" s="394" t="inlineStr">
        <is>
          <t>TCS</t>
        </is>
      </c>
      <c r="M277" s="395" t="n">
        <v>210</v>
      </c>
      <c r="N277" s="413" t="n"/>
      <c r="O277" s="397" t="n"/>
    </row>
    <row r="278" ht="14.45" customHeight="1">
      <c r="I278" s="387">
        <f>CONCAT(J278,K278,L278)</f>
        <v/>
      </c>
      <c r="J278" s="387" t="n">
        <v>4</v>
      </c>
      <c r="K278" s="387" t="inlineStr">
        <is>
          <t>India</t>
        </is>
      </c>
      <c r="L278" s="387" t="inlineStr">
        <is>
          <t>TCS</t>
        </is>
      </c>
      <c r="M278" s="388" t="n">
        <v>260</v>
      </c>
      <c r="N278" s="414" t="n"/>
      <c r="O278" s="390" t="n"/>
    </row>
    <row r="279" ht="14.45" customHeight="1">
      <c r="I279" s="394">
        <f>CONCAT(J279,K279,L279)</f>
        <v/>
      </c>
      <c r="J279" s="394" t="n">
        <v>3</v>
      </c>
      <c r="K279" s="394" t="inlineStr">
        <is>
          <t>United States</t>
        </is>
      </c>
      <c r="L279" s="394" t="inlineStr">
        <is>
          <t>Wipro</t>
        </is>
      </c>
      <c r="M279" s="395" t="n">
        <v>1200</v>
      </c>
      <c r="N279" s="413" t="n"/>
      <c r="O279" s="397" t="n"/>
    </row>
    <row r="280" ht="14.45" customHeight="1">
      <c r="I280" s="387">
        <f>CONCAT(J280,K280,L280)</f>
        <v/>
      </c>
      <c r="J280" s="387" t="n">
        <v>4</v>
      </c>
      <c r="K280" s="387" t="inlineStr">
        <is>
          <t>United States</t>
        </is>
      </c>
      <c r="L280" s="387" t="inlineStr">
        <is>
          <t>Deloitte</t>
        </is>
      </c>
      <c r="M280" s="388" t="n">
        <v>900</v>
      </c>
      <c r="N280" s="414" t="n"/>
      <c r="O280" s="390" t="n"/>
    </row>
    <row r="281" ht="14.45" customHeight="1">
      <c r="I281" s="394">
        <f>CONCAT(J281,K281,L281)</f>
        <v/>
      </c>
      <c r="J281" s="394" t="n">
        <v>5</v>
      </c>
      <c r="K281" s="394" t="inlineStr">
        <is>
          <t>United Kingdom</t>
        </is>
      </c>
      <c r="L281" s="394" t="inlineStr">
        <is>
          <t>Wipro</t>
        </is>
      </c>
      <c r="M281" s="395" t="n">
        <v>1230</v>
      </c>
      <c r="N281" s="413" t="n"/>
      <c r="O281" s="397" t="n"/>
    </row>
    <row r="282" ht="14.45" customHeight="1">
      <c r="I282" s="415">
        <f>CONCAT(J282,K282,L282)</f>
        <v/>
      </c>
      <c r="J282" s="416" t="n">
        <v>2</v>
      </c>
      <c r="K282" s="416" t="inlineStr">
        <is>
          <t>United States</t>
        </is>
      </c>
      <c r="L282" s="416" t="inlineStr">
        <is>
          <t>MRE</t>
        </is>
      </c>
      <c r="M282" s="417" t="n">
        <v>2000</v>
      </c>
      <c r="N282" s="418" t="n"/>
      <c r="O282" s="390" t="n"/>
    </row>
    <row r="283" ht="14.45" customHeight="1">
      <c r="I283" s="419">
        <f>CONCAT(J283,K283,L283)</f>
        <v/>
      </c>
      <c r="J283" s="404" t="n">
        <v>4</v>
      </c>
      <c r="K283" s="404" t="inlineStr">
        <is>
          <t>India</t>
        </is>
      </c>
      <c r="L283" s="404" t="inlineStr">
        <is>
          <t>MRE</t>
        </is>
      </c>
      <c r="M283" s="420" t="n">
        <v>942.91</v>
      </c>
      <c r="N283" s="421" t="n"/>
      <c r="O283" s="397" t="n"/>
    </row>
    <row r="284" ht="14.45" customHeight="1">
      <c r="I284" s="422">
        <f>CONCAT(J284,K284,L284)</f>
        <v/>
      </c>
      <c r="J284" s="402" t="n">
        <v>4</v>
      </c>
      <c r="K284" s="402" t="inlineStr">
        <is>
          <t>United States</t>
        </is>
      </c>
      <c r="L284" s="402" t="inlineStr">
        <is>
          <t>Accenture</t>
        </is>
      </c>
      <c r="M284" s="423" t="n">
        <v>2143</v>
      </c>
      <c r="N284" s="424" t="n"/>
      <c r="O284" s="390" t="n"/>
    </row>
    <row r="285" ht="14.45" customHeight="1">
      <c r="I285" s="419">
        <f>CONCAT(J285,K285,L285)</f>
        <v/>
      </c>
      <c r="J285" s="404" t="n">
        <v>4</v>
      </c>
      <c r="K285" s="404" t="inlineStr">
        <is>
          <t>India</t>
        </is>
      </c>
      <c r="L285" s="404" t="inlineStr">
        <is>
          <t>Accenture</t>
        </is>
      </c>
      <c r="M285" s="420" t="n">
        <v>420</v>
      </c>
      <c r="N285" s="421" t="n"/>
      <c r="O285" s="397" t="n"/>
    </row>
    <row r="286" ht="14.45" customHeight="1">
      <c r="I286" s="422">
        <f>CONCAT(J286,K286,L286)</f>
        <v/>
      </c>
      <c r="J286" s="402" t="n">
        <v>3</v>
      </c>
      <c r="K286" s="402" t="inlineStr">
        <is>
          <t>United States</t>
        </is>
      </c>
      <c r="L286" s="402" t="inlineStr">
        <is>
          <t>MRE</t>
        </is>
      </c>
      <c r="M286" s="423" t="n">
        <v>1824</v>
      </c>
      <c r="N286" s="424" t="n"/>
      <c r="O286" s="390" t="n"/>
    </row>
    <row r="287" ht="14.45" customHeight="1">
      <c r="I287" s="419">
        <f>CONCAT(J287,K287,L287)</f>
        <v/>
      </c>
      <c r="J287" s="404" t="n">
        <v>1</v>
      </c>
      <c r="K287" s="404" t="inlineStr">
        <is>
          <t>United Kingdom</t>
        </is>
      </c>
      <c r="L287" s="404" t="inlineStr">
        <is>
          <t>BARINGA PARTNERS LLP</t>
        </is>
      </c>
      <c r="M287" s="420" t="n">
        <v>3181</v>
      </c>
      <c r="N287" s="421" t="n"/>
      <c r="O287" s="397" t="n"/>
    </row>
    <row r="288" ht="14.45" customHeight="1">
      <c r="I288" s="422">
        <f>CONCAT(J288,K288,L288)</f>
        <v/>
      </c>
      <c r="J288" s="402" t="n">
        <v>2</v>
      </c>
      <c r="K288" s="402" t="inlineStr">
        <is>
          <t>United Kingdom</t>
        </is>
      </c>
      <c r="L288" s="402" t="inlineStr">
        <is>
          <t>EAGLECLIFF LTD</t>
        </is>
      </c>
      <c r="M288" s="423" t="n">
        <v>1667</v>
      </c>
      <c r="N288" s="424" t="n"/>
      <c r="O288" s="390" t="n"/>
    </row>
    <row r="289" ht="14.45" customHeight="1">
      <c r="I289" s="419">
        <f>CONCAT(J289,K289,L289)</f>
        <v/>
      </c>
      <c r="J289" s="404" t="n">
        <v>5</v>
      </c>
      <c r="K289" s="404" t="inlineStr">
        <is>
          <t>United Kingdom</t>
        </is>
      </c>
      <c r="L289" s="404" t="inlineStr">
        <is>
          <t>EAGLECLIFF LTD</t>
        </is>
      </c>
      <c r="M289" s="420" t="n">
        <v>1086</v>
      </c>
      <c r="N289" s="421" t="n"/>
      <c r="O289" s="397" t="n"/>
    </row>
    <row r="290" ht="14.45" customHeight="1">
      <c r="I290" s="422">
        <f>CONCAT(J290,K290,L290)</f>
        <v/>
      </c>
      <c r="J290" s="402" t="n">
        <v>3</v>
      </c>
      <c r="K290" s="402" t="inlineStr">
        <is>
          <t>United Kingdom</t>
        </is>
      </c>
      <c r="L290" s="402" t="inlineStr">
        <is>
          <t>Deloitte</t>
        </is>
      </c>
      <c r="M290" s="423" t="n">
        <v>1513</v>
      </c>
      <c r="N290" s="424" t="n"/>
      <c r="O290" s="390" t="n"/>
    </row>
    <row r="291" ht="14.45" customHeight="1">
      <c r="I291" s="419">
        <f>CONCAT(J291,K291,L291)</f>
        <v/>
      </c>
      <c r="J291" s="404" t="n">
        <v>4</v>
      </c>
      <c r="K291" s="404" t="inlineStr">
        <is>
          <t>United Kingdom</t>
        </is>
      </c>
      <c r="L291" s="404" t="inlineStr">
        <is>
          <t>ADVANTAGE RESOURCING UK LIMITED</t>
        </is>
      </c>
      <c r="M291" s="420" t="n">
        <v>1250</v>
      </c>
      <c r="N291" s="421" t="n"/>
      <c r="O291" s="397" t="n"/>
    </row>
    <row r="292" ht="14.45" customHeight="1">
      <c r="I292" s="422">
        <f>CONCAT(J292,K292,L292)</f>
        <v/>
      </c>
      <c r="J292" s="402" t="n">
        <v>5</v>
      </c>
      <c r="K292" s="402" t="inlineStr">
        <is>
          <t>United Kingdom</t>
        </is>
      </c>
      <c r="L292" s="402" t="inlineStr">
        <is>
          <t>Deloitte</t>
        </is>
      </c>
      <c r="M292" s="423" t="n">
        <v>1086</v>
      </c>
      <c r="N292" s="424" t="n"/>
      <c r="O292" s="390" t="n"/>
    </row>
    <row r="293" ht="14.45" customHeight="1">
      <c r="I293" s="419">
        <f>CONCAT(J293,K293,L293)</f>
        <v/>
      </c>
      <c r="J293" s="404" t="n">
        <v>5</v>
      </c>
      <c r="K293" s="404" t="inlineStr">
        <is>
          <t>United Kingdom</t>
        </is>
      </c>
      <c r="L293" s="404" t="inlineStr">
        <is>
          <t>Deloitte1</t>
        </is>
      </c>
      <c r="M293" s="420" t="n">
        <v>863</v>
      </c>
      <c r="N293" s="421" t="n"/>
      <c r="O293" s="397" t="n"/>
    </row>
    <row r="294" ht="14.45" customHeight="1">
      <c r="I294" s="422">
        <f>CONCAT(J294,K294,L294)</f>
        <v/>
      </c>
      <c r="J294" s="402" t="n">
        <v>4</v>
      </c>
      <c r="K294" s="402" t="inlineStr">
        <is>
          <t>United Kingdom</t>
        </is>
      </c>
      <c r="L294" s="402" t="inlineStr">
        <is>
          <t>Deloitte2</t>
        </is>
      </c>
      <c r="M294" s="423" t="n">
        <v>1208</v>
      </c>
      <c r="N294" s="424" t="n"/>
      <c r="O294" s="390" t="n"/>
    </row>
    <row r="295" ht="14.45" customHeight="1">
      <c r="I295" s="419">
        <f>CONCAT(J295,K295,L295)</f>
        <v/>
      </c>
      <c r="J295" s="404" t="n">
        <v>3</v>
      </c>
      <c r="K295" s="404" t="inlineStr">
        <is>
          <t>Singapore</t>
        </is>
      </c>
      <c r="L295" s="404" t="inlineStr">
        <is>
          <t>Shell IDT</t>
        </is>
      </c>
      <c r="M295" s="420" t="n">
        <v>1081.6</v>
      </c>
      <c r="N295" s="421" t="n"/>
      <c r="O295" s="397" t="n"/>
    </row>
    <row r="296" ht="14.45" customHeight="1">
      <c r="I296" s="422">
        <f>CONCAT(J296,K296,L296)</f>
        <v/>
      </c>
      <c r="J296" s="402" t="n">
        <v>4</v>
      </c>
      <c r="K296" s="402" t="inlineStr">
        <is>
          <t>India</t>
        </is>
      </c>
      <c r="L296" s="402" t="inlineStr">
        <is>
          <t>MRE1</t>
        </is>
      </c>
      <c r="M296" s="423" t="n">
        <v>1824</v>
      </c>
      <c r="N296" s="424" t="n"/>
      <c r="O296" s="390" t="n"/>
    </row>
    <row r="297" ht="14.45" customHeight="1">
      <c r="I297" s="419">
        <f>CONCAT(J297,K297,L297)</f>
        <v/>
      </c>
      <c r="J297" s="404" t="n">
        <v>4</v>
      </c>
      <c r="K297" s="404" t="inlineStr">
        <is>
          <t>United Kingdom</t>
        </is>
      </c>
      <c r="L297" s="404" t="inlineStr">
        <is>
          <t>Dummy</t>
        </is>
      </c>
      <c r="M297" s="420" t="n">
        <v>1611</v>
      </c>
      <c r="N297" s="421" t="n"/>
      <c r="O297" s="397" t="n"/>
    </row>
    <row r="298" ht="14.45" customHeight="1">
      <c r="I298" s="422">
        <f>CONCAT(J298,K298,L298)</f>
        <v/>
      </c>
      <c r="J298" s="402" t="n">
        <v>4</v>
      </c>
      <c r="K298" s="402" t="inlineStr">
        <is>
          <t>United States</t>
        </is>
      </c>
      <c r="L298" s="402" t="inlineStr">
        <is>
          <t>NEXTSOURCE INC</t>
        </is>
      </c>
      <c r="M298" s="423" t="n">
        <v>1680</v>
      </c>
      <c r="N298" s="159" t="n"/>
      <c r="O298" s="175" t="n"/>
    </row>
    <row r="299" ht="14.45" customHeight="1">
      <c r="I299" s="419">
        <f>CONCAT(J299,K299,L299)</f>
        <v/>
      </c>
      <c r="J299" s="404" t="n">
        <v>4</v>
      </c>
      <c r="K299" s="404" t="inlineStr">
        <is>
          <t>United States</t>
        </is>
      </c>
      <c r="L299" s="404" t="inlineStr">
        <is>
          <t>MRE</t>
        </is>
      </c>
      <c r="M299" s="420" t="n">
        <v>1840</v>
      </c>
      <c r="N299" s="160" t="n"/>
      <c r="O299" s="69" t="n"/>
    </row>
    <row r="300" ht="14.45" customHeight="1">
      <c r="I300" s="422">
        <f>CONCAT(J300,K300,L300)</f>
        <v/>
      </c>
      <c r="J300" s="402" t="n">
        <v>5</v>
      </c>
      <c r="K300" s="402" t="inlineStr">
        <is>
          <t>India</t>
        </is>
      </c>
      <c r="L300" s="402" t="inlineStr">
        <is>
          <t>KPMG</t>
        </is>
      </c>
      <c r="M300" s="423" t="n">
        <v>400</v>
      </c>
      <c r="N300" s="159" t="n"/>
      <c r="O300" s="175" t="n"/>
    </row>
    <row r="301" ht="14.45" customHeight="1">
      <c r="I301" s="419">
        <f>CONCAT(J301,K301,L301)</f>
        <v/>
      </c>
      <c r="J301" s="404" t="n">
        <v>2</v>
      </c>
      <c r="K301" s="404" t="inlineStr">
        <is>
          <t>United Kingdom</t>
        </is>
      </c>
      <c r="L301" s="404" t="inlineStr">
        <is>
          <t>TBC</t>
        </is>
      </c>
      <c r="M301" s="420" t="n">
        <v>3000</v>
      </c>
      <c r="N301" s="160" t="n"/>
      <c r="O301" s="69" t="n"/>
    </row>
    <row r="302" ht="14.45" customHeight="1">
      <c r="I302" s="422">
        <f>CONCAT(J302,K302,L302)</f>
        <v/>
      </c>
      <c r="J302" s="402" t="n">
        <v>3</v>
      </c>
      <c r="K302" s="402" t="inlineStr">
        <is>
          <t>United Kingdom</t>
        </is>
      </c>
      <c r="L302" s="402" t="inlineStr">
        <is>
          <t>TBC1</t>
        </is>
      </c>
      <c r="M302" s="423" t="n">
        <v>2000</v>
      </c>
      <c r="N302" s="159" t="n"/>
      <c r="O302" s="175" t="n"/>
    </row>
    <row r="303" ht="14.45" customHeight="1">
      <c r="I303" s="419">
        <f>CONCAT(J303,K303,L303)</f>
        <v/>
      </c>
      <c r="J303" s="404" t="n">
        <v>4</v>
      </c>
      <c r="K303" s="404" t="inlineStr">
        <is>
          <t>United Kingdom</t>
        </is>
      </c>
      <c r="L303" s="404" t="inlineStr">
        <is>
          <t>TBC2</t>
        </is>
      </c>
      <c r="M303" s="420" t="n">
        <v>1400</v>
      </c>
      <c r="N303" s="160" t="n"/>
      <c r="O303" s="69" t="n"/>
    </row>
    <row r="304" ht="14.45" customHeight="1">
      <c r="I304" s="422">
        <f>CONCAT(J304,K304,L304)</f>
        <v/>
      </c>
      <c r="J304" s="402" t="n">
        <v>3</v>
      </c>
      <c r="K304" s="402" t="inlineStr">
        <is>
          <t>United States</t>
        </is>
      </c>
      <c r="L304" s="402" t="inlineStr">
        <is>
          <t>TBC</t>
        </is>
      </c>
      <c r="M304" s="423" t="n">
        <v>2000</v>
      </c>
      <c r="N304" s="159" t="n"/>
      <c r="O304" s="175" t="n"/>
    </row>
    <row r="305" ht="14.45" customHeight="1">
      <c r="I305" s="419">
        <f>CONCAT(J305,K305,L305)</f>
        <v/>
      </c>
      <c r="J305" s="404" t="n">
        <v>4</v>
      </c>
      <c r="K305" s="404" t="inlineStr">
        <is>
          <t>United States</t>
        </is>
      </c>
      <c r="L305" s="404" t="inlineStr">
        <is>
          <t>TBC1</t>
        </is>
      </c>
      <c r="M305" s="420" t="n">
        <v>1400</v>
      </c>
      <c r="N305" s="160" t="n"/>
      <c r="O305" s="69" t="n"/>
    </row>
    <row r="306" ht="14.45" customHeight="1">
      <c r="I306" s="422">
        <f>CONCAT(J306,K306,L306)</f>
        <v/>
      </c>
      <c r="J306" s="402" t="n">
        <v>3</v>
      </c>
      <c r="K306" s="402" t="inlineStr">
        <is>
          <t>India</t>
        </is>
      </c>
      <c r="L306" s="402" t="inlineStr">
        <is>
          <t>TBC</t>
        </is>
      </c>
      <c r="M306" s="423" t="n">
        <v>1400</v>
      </c>
      <c r="N306" s="159" t="n"/>
      <c r="O306" s="175" t="n"/>
    </row>
    <row r="307" ht="14.45" customHeight="1">
      <c r="I307" s="419">
        <f>CONCAT(J307,K307,L307)</f>
        <v/>
      </c>
      <c r="J307" s="404" t="n">
        <v>4</v>
      </c>
      <c r="K307" s="404" t="inlineStr">
        <is>
          <t>United Kingdom</t>
        </is>
      </c>
      <c r="L307" s="404" t="inlineStr">
        <is>
          <t>TBZ</t>
        </is>
      </c>
      <c r="M307" s="420" t="n">
        <v>1400</v>
      </c>
      <c r="N307" s="160" t="n"/>
      <c r="O307" s="69" t="n"/>
    </row>
    <row r="308" ht="14.45" customHeight="1">
      <c r="I308" s="422">
        <f>CONCAT(J308,K308,L308)</f>
        <v/>
      </c>
      <c r="J308" s="402" t="n">
        <v>3</v>
      </c>
      <c r="K308" s="402" t="inlineStr">
        <is>
          <t>Canada</t>
        </is>
      </c>
      <c r="L308" s="402" t="inlineStr">
        <is>
          <t>Shell IDT</t>
        </is>
      </c>
      <c r="M308" s="423" t="n">
        <v>1406.48</v>
      </c>
      <c r="N308" s="159" t="n"/>
      <c r="O308" s="175" t="n"/>
    </row>
    <row r="309" ht="14.45" customHeight="1">
      <c r="I309" s="419" t="inlineStr">
        <is>
          <t>3PhilippinesShell Business</t>
        </is>
      </c>
      <c r="J309" s="425" t="n">
        <v>3</v>
      </c>
      <c r="K309" s="404" t="inlineStr">
        <is>
          <t>Philippines</t>
        </is>
      </c>
      <c r="L309" s="404" t="inlineStr">
        <is>
          <t>Shell Business</t>
        </is>
      </c>
      <c r="M309" s="420" t="n">
        <v>314</v>
      </c>
      <c r="N309" s="159" t="n"/>
      <c r="O309" s="175" t="n"/>
    </row>
    <row r="310" ht="14.45" customHeight="1">
      <c r="I310" s="422" t="inlineStr">
        <is>
          <t>4indiaBOSS</t>
        </is>
      </c>
      <c r="J310" s="426" t="n">
        <v>4</v>
      </c>
      <c r="K310" s="402" t="inlineStr">
        <is>
          <t>india</t>
        </is>
      </c>
      <c r="L310" s="402" t="inlineStr">
        <is>
          <t>BOSS</t>
        </is>
      </c>
      <c r="M310" s="423" t="n">
        <v>450</v>
      </c>
      <c r="N310" s="159" t="n"/>
      <c r="O310" s="69" t="n"/>
    </row>
    <row r="311" ht="14.45" customHeight="1">
      <c r="I311" s="419" t="inlineStr">
        <is>
          <t>3United StatesVeson</t>
        </is>
      </c>
      <c r="J311" s="425" t="n">
        <v>2</v>
      </c>
      <c r="K311" s="404" t="inlineStr">
        <is>
          <t>United States</t>
        </is>
      </c>
      <c r="L311" s="404" t="inlineStr">
        <is>
          <t>VESON</t>
        </is>
      </c>
      <c r="M311" s="420" t="n">
        <v>1200</v>
      </c>
      <c r="N311" s="159" t="n"/>
      <c r="O311" s="175" t="n"/>
    </row>
    <row r="312" ht="14.45" customHeight="1">
      <c r="I312" s="155" t="n"/>
      <c r="J312" s="161" t="n"/>
      <c r="K312" s="152" t="n"/>
      <c r="L312" s="152" t="n"/>
      <c r="M312" s="427" t="n"/>
      <c r="N312" s="160" t="n"/>
      <c r="O312" s="69" t="n"/>
    </row>
    <row r="313" ht="14.45" customHeight="1">
      <c r="I313" s="155" t="n"/>
      <c r="J313" s="162" t="n"/>
      <c r="K313" s="156" t="n"/>
      <c r="L313" s="156" t="n"/>
      <c r="M313" s="428" t="n"/>
      <c r="N313" s="159" t="n"/>
      <c r="O313" s="175" t="n"/>
    </row>
    <row r="314" ht="14.45" customHeight="1">
      <c r="I314" s="155" t="n"/>
      <c r="J314" s="161" t="n"/>
      <c r="K314" s="152" t="n"/>
      <c r="L314" s="152" t="n"/>
      <c r="M314" s="427" t="n"/>
      <c r="N314" s="160" t="n"/>
      <c r="O314" s="69" t="n"/>
    </row>
    <row r="315" ht="14.45" customHeight="1">
      <c r="I315" s="155" t="n"/>
      <c r="J315" s="162" t="n"/>
      <c r="K315" s="156" t="n"/>
      <c r="L315" s="156" t="n"/>
      <c r="M315" s="428" t="n"/>
      <c r="N315" s="159" t="n"/>
      <c r="O315" s="175" t="n"/>
    </row>
    <row r="316" ht="14.45" customHeight="1">
      <c r="I316" s="155" t="n"/>
      <c r="J316" s="161" t="n"/>
      <c r="K316" s="152" t="n"/>
      <c r="L316" s="152" t="n"/>
      <c r="M316" s="427" t="n"/>
      <c r="N316" s="160" t="n"/>
      <c r="O316" s="69" t="n"/>
    </row>
    <row r="317" ht="14.45" customHeight="1">
      <c r="I317" s="155" t="n"/>
      <c r="J317" s="162" t="n"/>
      <c r="K317" s="156" t="n"/>
      <c r="L317" s="156" t="n"/>
      <c r="M317" s="428" t="n"/>
      <c r="N317" s="159" t="n"/>
      <c r="O317" s="175" t="n"/>
    </row>
    <row r="318" ht="14.45" customHeight="1">
      <c r="I318" s="155" t="n"/>
      <c r="J318" s="161" t="n"/>
      <c r="K318" s="152" t="n"/>
      <c r="L318" s="152" t="n"/>
      <c r="M318" s="427" t="n"/>
      <c r="N318" s="160" t="n"/>
      <c r="O318" s="69" t="n"/>
    </row>
    <row r="319" ht="14.45" customHeight="1">
      <c r="I319" s="155" t="n"/>
      <c r="J319" s="162" t="n"/>
      <c r="K319" s="156" t="n"/>
      <c r="L319" s="156" t="n"/>
      <c r="M319" s="428" t="n"/>
      <c r="N319" s="159" t="n"/>
      <c r="O319" s="175" t="n"/>
    </row>
    <row r="320" ht="14.45" customHeight="1">
      <c r="I320" s="155" t="n"/>
      <c r="J320" s="161" t="n"/>
      <c r="K320" s="152" t="n"/>
      <c r="L320" s="152" t="n"/>
      <c r="M320" s="427" t="n"/>
      <c r="N320" s="160" t="n"/>
      <c r="O320" s="69" t="n"/>
    </row>
    <row r="321" ht="14.45" customHeight="1">
      <c r="I321" s="155" t="n"/>
      <c r="J321" s="162" t="n"/>
      <c r="K321" s="156" t="n"/>
      <c r="L321" s="156" t="n"/>
      <c r="M321" s="428" t="n"/>
      <c r="N321" s="159" t="n"/>
      <c r="O321" s="175" t="n"/>
    </row>
    <row r="322" ht="14.45" customHeight="1">
      <c r="I322" s="155" t="n"/>
      <c r="J322" s="161" t="n"/>
      <c r="K322" s="152" t="n"/>
      <c r="L322" s="152" t="n"/>
      <c r="M322" s="427" t="n"/>
      <c r="N322" s="160" t="n"/>
      <c r="O322" s="69" t="n"/>
    </row>
    <row r="323" ht="14.45" customHeight="1">
      <c r="I323" s="69" t="n"/>
      <c r="J323" s="69" t="n"/>
      <c r="K323" s="69" t="n"/>
      <c r="L323" s="69" t="n"/>
      <c r="M323" s="69" t="n"/>
      <c r="N323" s="69" t="n"/>
      <c r="O323" s="175" t="n"/>
    </row>
    <row r="324" ht="14.45" customHeight="1">
      <c r="I324" s="155" t="n"/>
      <c r="J324" s="161" t="n"/>
      <c r="K324" s="152" t="n"/>
      <c r="L324" s="152" t="n"/>
      <c r="M324" s="427" t="n"/>
      <c r="N324" s="160" t="n"/>
      <c r="O324" s="69" t="n"/>
    </row>
    <row r="325" ht="14.45" customHeight="1">
      <c r="I325" s="155" t="n"/>
      <c r="J325" s="162" t="n"/>
      <c r="K325" s="156" t="n"/>
      <c r="L325" s="156" t="n"/>
      <c r="M325" s="428" t="n"/>
      <c r="N325" s="159" t="n"/>
      <c r="O325" s="175" t="n"/>
    </row>
    <row r="326" ht="14.45" customHeight="1">
      <c r="I326" s="155" t="n"/>
      <c r="J326" s="163" t="n"/>
      <c r="K326" s="164" t="n"/>
      <c r="L326" s="164" t="n"/>
      <c r="M326" s="429" t="n"/>
      <c r="N326" s="166" t="n"/>
      <c r="O326" s="69" t="n"/>
    </row>
    <row r="327" ht="14.45" customHeight="1">
      <c r="I327" s="383">
        <f>CONCAT(J327,K327,L327)</f>
        <v/>
      </c>
      <c r="J327" s="69" t="n"/>
      <c r="K327" s="69" t="n"/>
      <c r="L327" s="69" t="n"/>
      <c r="M327" s="69" t="n"/>
      <c r="N327" s="69" t="n"/>
      <c r="O327" s="69" t="n"/>
    </row>
    <row r="328" ht="14.45" customHeight="1">
      <c r="O328" s="69" t="n"/>
    </row>
    <row r="329" ht="14.45" customHeight="1">
      <c r="O329" s="69" t="n"/>
    </row>
    <row r="330" ht="14.45" customHeight="1">
      <c r="O330" s="69" t="n"/>
    </row>
    <row r="331" ht="14.45" customHeight="1">
      <c r="O331" s="69" t="n"/>
    </row>
    <row r="332" ht="14.45" customHeight="1">
      <c r="O332" s="69" t="n"/>
    </row>
    <row r="333" ht="14.45" customHeight="1">
      <c r="O333" s="69" t="n"/>
    </row>
    <row r="334" ht="14.45" customHeight="1">
      <c r="O334" s="69" t="n"/>
    </row>
    <row r="335" ht="14.45" customHeight="1">
      <c r="O335" s="69" t="n"/>
    </row>
    <row r="336" ht="14.45" customHeight="1">
      <c r="O336" s="69" t="n"/>
    </row>
    <row r="337" ht="14.45" customHeight="1">
      <c r="O337" s="69" t="n"/>
    </row>
    <row r="338" ht="14.45" customHeight="1">
      <c r="O338" s="69" t="n"/>
    </row>
    <row r="339" ht="14.45" customHeight="1">
      <c r="O339" s="69" t="n"/>
    </row>
    <row r="340" ht="14.45" customHeight="1">
      <c r="O340" s="69" t="n"/>
    </row>
    <row r="341" ht="14.45" customHeight="1">
      <c r="O341" s="69" t="n"/>
    </row>
    <row r="342" ht="14.45" customHeight="1">
      <c r="O342" s="69" t="n"/>
    </row>
    <row r="343" ht="14.45" customHeight="1">
      <c r="O343" s="69" t="n"/>
    </row>
    <row r="344" ht="14.45" customHeight="1">
      <c r="O344" s="69" t="n"/>
    </row>
    <row r="345" ht="14.45" customHeight="1">
      <c r="O345" s="69" t="n"/>
    </row>
    <row r="346" ht="14.45" customHeight="1">
      <c r="O346" s="69" t="n"/>
    </row>
    <row r="347" ht="14.45" customHeight="1">
      <c r="O347" s="69" t="n"/>
    </row>
    <row r="348" ht="14.45" customHeight="1">
      <c r="O348" s="69" t="n"/>
    </row>
    <row r="349" ht="14.45" customHeight="1">
      <c r="O349" s="69" t="n"/>
    </row>
    <row r="350" ht="14.45" customHeight="1">
      <c r="O350" s="69" t="n"/>
    </row>
    <row r="351" ht="14.45" customHeight="1">
      <c r="O351" s="69" t="n"/>
    </row>
    <row r="352" ht="14.45" customHeight="1">
      <c r="O352" s="69" t="n"/>
    </row>
    <row r="353" ht="14.45" customHeight="1">
      <c r="O353" s="69" t="n"/>
    </row>
    <row r="354" ht="14.45" customHeight="1">
      <c r="O354" s="69" t="n"/>
    </row>
    <row r="355" ht="14.45" customHeight="1">
      <c r="O355" s="69" t="n"/>
    </row>
    <row r="356" ht="14.45" customHeight="1">
      <c r="O356" s="69" t="n"/>
    </row>
    <row r="357" ht="14.45" customHeight="1">
      <c r="O357" s="69" t="n"/>
    </row>
    <row r="358" ht="14.45" customHeight="1">
      <c r="O358" s="69" t="n"/>
    </row>
    <row r="359" ht="14.45" customHeight="1">
      <c r="O359" s="69" t="n"/>
    </row>
    <row r="360" ht="14.45" customHeight="1">
      <c r="O360" s="69" t="n"/>
    </row>
    <row r="361" ht="14.45" customHeight="1">
      <c r="O361" s="69" t="n"/>
    </row>
    <row r="362" ht="14.45" customHeight="1">
      <c r="O362" s="69" t="n"/>
    </row>
    <row r="363" ht="14.45" customHeight="1">
      <c r="O363" s="69" t="n"/>
    </row>
    <row r="364" ht="14.45" customHeight="1">
      <c r="O364" s="69" t="n"/>
    </row>
    <row r="365" ht="14.45" customHeight="1">
      <c r="O365" s="69" t="n"/>
    </row>
    <row r="366" ht="14.45" customHeight="1">
      <c r="O366" s="69" t="n"/>
    </row>
    <row r="367" ht="14.45" customHeight="1">
      <c r="O367" s="69" t="n"/>
    </row>
    <row r="368" ht="14.45" customHeight="1">
      <c r="O368" s="69" t="n"/>
    </row>
    <row r="369" ht="14.45" customHeight="1">
      <c r="O369" s="69" t="n"/>
    </row>
    <row r="370" ht="14.45" customHeight="1">
      <c r="O370" s="69" t="n"/>
    </row>
    <row r="371" ht="14.45" customHeight="1">
      <c r="O371" s="69" t="n"/>
    </row>
    <row r="372" ht="14.45" customHeight="1">
      <c r="O372" s="69" t="n"/>
    </row>
    <row r="373" ht="14.45" customHeight="1">
      <c r="O373" s="69" t="n"/>
    </row>
    <row r="374" ht="14.45" customHeight="1">
      <c r="O374" s="69" t="n"/>
    </row>
    <row r="375" ht="14.45" customHeight="1">
      <c r="O375" s="69" t="n"/>
    </row>
    <row r="376" ht="14.45" customHeight="1">
      <c r="O376" s="69" t="n"/>
    </row>
    <row r="377" ht="14.45" customHeight="1">
      <c r="O377" s="69" t="n"/>
    </row>
    <row r="378" ht="14.45" customHeight="1">
      <c r="O378" s="69" t="n"/>
    </row>
    <row r="379" ht="14.45" customHeight="1">
      <c r="O379" s="69" t="n"/>
    </row>
    <row r="380" ht="14.45" customHeight="1">
      <c r="O380" s="69" t="n"/>
    </row>
    <row r="381" ht="14.45" customHeight="1">
      <c r="O381" s="69" t="n"/>
    </row>
    <row r="382" ht="14.45" customHeight="1">
      <c r="O382" s="69" t="n"/>
    </row>
    <row r="383" ht="14.45" customHeight="1">
      <c r="O383" s="69" t="n"/>
    </row>
    <row r="384" ht="14.45" customHeight="1">
      <c r="O384" s="69" t="n"/>
    </row>
    <row r="385" ht="14.45" customHeight="1">
      <c r="O385" s="69" t="n"/>
    </row>
    <row r="386" ht="14.45" customHeight="1">
      <c r="O386" s="69" t="n"/>
    </row>
    <row r="387" ht="14.45" customHeight="1">
      <c r="O387" s="69" t="n"/>
    </row>
    <row r="388" ht="14.45" customHeight="1">
      <c r="O388" s="69" t="n"/>
    </row>
    <row r="389" ht="14.45" customHeight="1">
      <c r="O389" s="69" t="n"/>
    </row>
    <row r="390" ht="14.45" customHeight="1">
      <c r="O390" s="69" t="n"/>
    </row>
    <row r="391" ht="14.45" customHeight="1">
      <c r="O391" s="69" t="n"/>
    </row>
    <row r="392" ht="14.45" customHeight="1">
      <c r="O392" s="69" t="n"/>
    </row>
    <row r="393" ht="14.45" customHeight="1">
      <c r="O393" s="69" t="n"/>
    </row>
    <row r="394" ht="14.45" customHeight="1">
      <c r="O394" s="69" t="n"/>
    </row>
    <row r="395" ht="14.45" customHeight="1">
      <c r="O395" s="69" t="n"/>
    </row>
    <row r="396" ht="14.45" customHeight="1">
      <c r="O396" s="69" t="n"/>
    </row>
    <row r="397" ht="14.45" customHeight="1">
      <c r="O397" s="69" t="n"/>
    </row>
    <row r="398" ht="14.45" customHeight="1">
      <c r="O398" s="69" t="n"/>
    </row>
    <row r="399" ht="14.45" customHeight="1">
      <c r="O399" s="69" t="n"/>
    </row>
    <row r="400" ht="14.45" customHeight="1">
      <c r="O400" s="69" t="n"/>
    </row>
    <row r="401" ht="14.45" customHeight="1">
      <c r="O401" s="69" t="n"/>
    </row>
    <row r="402" ht="14.45" customHeight="1">
      <c r="O402" s="69" t="n"/>
    </row>
    <row r="403" ht="14.45" customHeight="1">
      <c r="O403" s="69" t="n"/>
    </row>
    <row r="404" ht="14.45" customHeight="1">
      <c r="O404" s="69" t="n"/>
    </row>
    <row r="405" ht="14.45" customHeight="1">
      <c r="O405" s="69" t="n"/>
    </row>
    <row r="406" ht="14.45" customHeight="1">
      <c r="O406" s="69" t="n"/>
    </row>
    <row r="407" ht="14.45" customHeight="1">
      <c r="O407" s="69" t="n"/>
    </row>
    <row r="408" ht="14.45" customHeight="1">
      <c r="O408" s="69" t="n"/>
    </row>
    <row r="409" ht="14.45" customHeight="1">
      <c r="O409" s="69" t="n"/>
    </row>
    <row r="410" ht="14.45" customHeight="1">
      <c r="O410" s="69" t="n"/>
    </row>
    <row r="411" ht="14.45" customHeight="1">
      <c r="O411" s="69" t="n"/>
    </row>
    <row r="412" ht="14.45" customHeight="1">
      <c r="O412" s="69" t="n"/>
    </row>
    <row r="413" ht="14.45" customHeight="1">
      <c r="O413" s="69" t="n"/>
    </row>
    <row r="414" ht="14.45" customHeight="1">
      <c r="O414" s="69" t="n"/>
    </row>
    <row r="415" ht="14.45" customHeight="1">
      <c r="O415" s="69" t="n"/>
    </row>
    <row r="416" ht="14.45" customHeight="1">
      <c r="O416" s="69" t="n"/>
    </row>
    <row r="417" ht="14.45" customHeight="1">
      <c r="O417" s="69" t="n"/>
    </row>
    <row r="418" ht="14.45" customHeight="1">
      <c r="O418" s="69" t="n"/>
    </row>
    <row r="419" ht="14.45" customHeight="1">
      <c r="O419" s="69" t="n"/>
    </row>
    <row r="420" ht="14.45" customHeight="1">
      <c r="O420" s="69" t="n"/>
    </row>
    <row r="421" ht="14.45" customHeight="1">
      <c r="O421" s="69" t="n"/>
    </row>
    <row r="422" ht="14.45" customHeight="1">
      <c r="O422" s="69" t="n"/>
    </row>
    <row r="423" ht="14.45" customHeight="1">
      <c r="O423" s="69" t="n"/>
    </row>
    <row r="424" ht="14.45" customHeight="1">
      <c r="O424" s="69" t="n"/>
    </row>
    <row r="425" ht="14.45" customHeight="1">
      <c r="O425" s="69" t="n"/>
    </row>
    <row r="426" ht="14.45" customHeight="1">
      <c r="O426" s="69" t="n"/>
    </row>
    <row r="427" ht="14.45" customHeight="1">
      <c r="O427" s="69" t="n"/>
    </row>
    <row r="428" ht="14.45" customHeight="1">
      <c r="O428" s="69" t="n"/>
    </row>
    <row r="429" ht="14.45" customHeight="1">
      <c r="O429" s="69" t="n"/>
    </row>
    <row r="430" ht="14.45" customHeight="1">
      <c r="O430" s="69" t="n"/>
    </row>
    <row r="431" ht="14.45" customHeight="1">
      <c r="O431" s="69" t="n"/>
    </row>
    <row r="432" ht="14.45" customHeight="1">
      <c r="O432" s="69" t="n"/>
    </row>
    <row r="433" ht="14.45" customHeight="1">
      <c r="O433" s="69" t="n"/>
    </row>
    <row r="434" ht="14.45" customHeight="1">
      <c r="O434" s="69" t="n"/>
    </row>
    <row r="435" ht="14.45" customHeight="1">
      <c r="O435" s="69" t="n"/>
    </row>
    <row r="436" ht="14.45" customHeight="1">
      <c r="O436" s="69" t="n"/>
    </row>
    <row r="437" ht="14.45" customHeight="1">
      <c r="O437" s="69" t="n"/>
    </row>
    <row r="438" ht="14.45" customHeight="1">
      <c r="O438" s="69" t="n"/>
    </row>
    <row r="439" ht="14.45" customHeight="1">
      <c r="O439" s="69" t="n"/>
    </row>
    <row r="440" ht="14.45" customHeight="1">
      <c r="O440" s="69" t="n"/>
    </row>
    <row r="441" ht="14.45" customHeight="1">
      <c r="O441" s="69" t="n"/>
    </row>
    <row r="442" ht="14.45" customHeight="1">
      <c r="O442" s="69" t="n"/>
    </row>
    <row r="443" ht="14.45" customHeight="1">
      <c r="O443" s="69" t="n"/>
    </row>
    <row r="444" ht="14.45" customHeight="1">
      <c r="O444" s="69" t="n"/>
    </row>
    <row r="445" ht="14.45" customHeight="1">
      <c r="O445" s="69" t="n"/>
    </row>
    <row r="446" ht="14.45" customHeight="1">
      <c r="O446" s="69" t="n"/>
    </row>
    <row r="447" ht="14.45" customHeight="1">
      <c r="O447" s="69" t="n"/>
    </row>
    <row r="448" ht="14.45" customHeight="1">
      <c r="O448" s="69" t="n"/>
    </row>
    <row r="449" ht="14.45" customHeight="1">
      <c r="O449" s="69" t="n"/>
    </row>
    <row r="450" ht="14.45" customHeight="1">
      <c r="O450" s="69" t="n"/>
    </row>
    <row r="451" ht="14.45" customHeight="1">
      <c r="O451" s="69" t="n"/>
    </row>
    <row r="452" ht="14.45" customHeight="1">
      <c r="O452" s="69" t="n"/>
    </row>
    <row r="453" ht="14.45" customHeight="1">
      <c r="O453" s="69" t="n"/>
    </row>
    <row r="454" ht="14.45" customHeight="1">
      <c r="O454" s="69" t="n"/>
    </row>
    <row r="455" ht="14.45" customHeight="1">
      <c r="O455" s="69" t="n"/>
    </row>
    <row r="456" ht="14.45" customHeight="1">
      <c r="O456" s="69" t="n"/>
    </row>
    <row r="457" ht="14.45" customHeight="1">
      <c r="O457" s="69" t="n"/>
    </row>
    <row r="458" ht="14.45" customHeight="1">
      <c r="O458" s="69" t="n"/>
    </row>
    <row r="459" ht="14.45" customHeight="1">
      <c r="O459" s="69" t="n"/>
    </row>
    <row r="460" ht="14.45" customHeight="1">
      <c r="O460" s="69" t="n"/>
    </row>
    <row r="461" ht="14.45" customHeight="1">
      <c r="O461" s="69" t="n"/>
    </row>
    <row r="462" ht="14.45" customHeight="1">
      <c r="O462" s="69" t="n"/>
    </row>
    <row r="463" ht="14.45" customHeight="1">
      <c r="O463" s="69" t="n"/>
    </row>
    <row r="464" ht="14.45" customHeight="1">
      <c r="O464" s="69" t="n"/>
    </row>
    <row r="465" ht="14.45" customHeight="1">
      <c r="O465" s="69" t="n"/>
    </row>
    <row r="466" ht="14.45" customHeight="1">
      <c r="O466" s="69" t="n"/>
    </row>
    <row r="467" ht="14.45" customHeight="1">
      <c r="O467" s="69" t="n"/>
    </row>
    <row r="468" ht="14.45" customHeight="1">
      <c r="O468" s="69" t="n"/>
    </row>
    <row r="469" ht="14.45" customHeight="1">
      <c r="O469" s="69" t="n"/>
    </row>
    <row r="470" ht="14.45" customHeight="1">
      <c r="O470" s="69" t="n"/>
    </row>
    <row r="471" ht="14.45" customHeight="1">
      <c r="O471" s="69" t="n"/>
    </row>
    <row r="472" ht="14.45" customHeight="1">
      <c r="O472" s="69" t="n"/>
    </row>
    <row r="473" ht="14.45" customHeight="1">
      <c r="O473" s="69" t="n"/>
    </row>
    <row r="474" ht="14.45" customHeight="1">
      <c r="O474" s="69" t="n"/>
    </row>
    <row r="475" ht="14.45" customHeight="1">
      <c r="O475" s="69" t="n"/>
    </row>
    <row r="476" ht="14.45" customHeight="1">
      <c r="O476" s="69" t="n"/>
    </row>
    <row r="477" ht="14.45" customHeight="1">
      <c r="O477" s="69" t="n"/>
    </row>
    <row r="478" ht="14.45" customHeight="1">
      <c r="O478" s="69" t="n"/>
    </row>
    <row r="479" ht="14.45" customHeight="1">
      <c r="O479" s="69" t="n"/>
    </row>
    <row r="480" ht="14.45" customHeight="1">
      <c r="O480" s="69" t="n"/>
    </row>
    <row r="481" ht="14.45" customHeight="1">
      <c r="O481" s="69" t="n"/>
    </row>
    <row r="482" ht="14.45" customHeight="1">
      <c r="O482" s="69" t="n"/>
    </row>
    <row r="483" ht="14.45" customHeight="1">
      <c r="O483" s="69" t="n"/>
    </row>
    <row r="484" ht="14.45" customHeight="1">
      <c r="O484" s="69" t="n"/>
    </row>
    <row r="485" ht="14.45" customHeight="1">
      <c r="O485" s="69" t="n"/>
    </row>
    <row r="486" ht="14.45" customHeight="1">
      <c r="O486" s="69" t="n"/>
    </row>
    <row r="487" ht="14.45" customHeight="1">
      <c r="O487" s="69" t="n"/>
    </row>
    <row r="488" ht="14.45" customHeight="1">
      <c r="O488" s="69" t="n"/>
    </row>
    <row r="489" ht="14.45" customHeight="1">
      <c r="O489" s="69" t="n"/>
    </row>
    <row r="490" ht="14.45" customHeight="1">
      <c r="O490" s="69" t="n"/>
    </row>
    <row r="491" ht="14.45" customHeight="1">
      <c r="O491" s="69" t="n"/>
    </row>
    <row r="492" ht="14.45" customHeight="1">
      <c r="O492" s="69" t="n"/>
    </row>
    <row r="493" ht="14.45" customHeight="1">
      <c r="O493" s="69" t="n"/>
    </row>
    <row r="494" ht="14.45" customHeight="1">
      <c r="O494" s="69" t="n"/>
    </row>
    <row r="495" ht="14.45" customHeight="1">
      <c r="O495" s="69" t="n"/>
    </row>
    <row r="496" ht="14.45" customHeight="1">
      <c r="O496" s="69" t="n"/>
    </row>
    <row r="497" ht="14.45" customHeight="1">
      <c r="O497" s="69" t="n"/>
    </row>
    <row r="498" ht="14.45" customHeight="1">
      <c r="O498" s="69" t="n"/>
    </row>
    <row r="499" ht="14.45" customHeight="1">
      <c r="O499" s="69" t="n"/>
    </row>
    <row r="500" ht="14.45" customHeight="1">
      <c r="O500" s="69" t="n"/>
    </row>
    <row r="501" ht="14.45" customHeight="1">
      <c r="O501" s="69" t="n"/>
    </row>
    <row r="502" ht="14.45" customHeight="1">
      <c r="O502" s="69" t="n"/>
    </row>
    <row r="503" ht="14.45" customHeight="1">
      <c r="O503" s="69" t="n"/>
    </row>
    <row r="504" ht="14.45" customHeight="1">
      <c r="O504" s="69" t="n"/>
    </row>
    <row r="505" ht="14.45" customHeight="1">
      <c r="O505" s="69" t="n"/>
    </row>
    <row r="506" ht="14.45" customHeight="1">
      <c r="O506" s="69" t="n"/>
    </row>
    <row r="507" ht="14.45" customHeight="1">
      <c r="O507" s="69" t="n"/>
    </row>
    <row r="508" ht="14.45" customHeight="1">
      <c r="O508" s="69" t="n"/>
    </row>
    <row r="509" ht="14.45" customHeight="1">
      <c r="O509" s="69" t="n"/>
    </row>
    <row r="510" ht="14.45" customHeight="1">
      <c r="O510" s="69" t="n"/>
    </row>
    <row r="511" ht="14.45" customHeight="1">
      <c r="O511" s="69" t="n"/>
    </row>
    <row r="512" ht="14.45" customHeight="1">
      <c r="O512" s="69" t="n"/>
    </row>
    <row r="513" ht="14.45" customHeight="1">
      <c r="O513" s="69" t="n"/>
    </row>
    <row r="514" ht="14.45" customHeight="1">
      <c r="O514" s="69" t="n"/>
    </row>
    <row r="515" ht="14.45" customHeight="1">
      <c r="O515" s="69" t="n"/>
    </row>
    <row r="516" ht="14.45" customHeight="1">
      <c r="O516" s="69" t="n"/>
    </row>
    <row r="517" ht="14.45" customHeight="1">
      <c r="O517" s="69" t="n"/>
    </row>
    <row r="518" ht="14.45" customHeight="1">
      <c r="O518" s="69" t="n"/>
    </row>
    <row r="519" ht="14.45" customHeight="1">
      <c r="O519" s="69" t="n"/>
    </row>
    <row r="520" ht="14.45" customHeight="1">
      <c r="O520" s="69" t="n"/>
    </row>
    <row r="521" ht="14.45" customHeight="1">
      <c r="O521" s="69" t="n"/>
    </row>
    <row r="522" ht="14.45" customHeight="1">
      <c r="O522" s="69" t="n"/>
    </row>
    <row r="523" ht="14.45" customHeight="1">
      <c r="O523" s="69" t="n"/>
    </row>
    <row r="524" ht="14.45" customHeight="1">
      <c r="O524" s="69" t="n"/>
    </row>
    <row r="525" ht="14.45" customHeight="1">
      <c r="O525" s="69" t="n"/>
    </row>
    <row r="526" ht="14.45" customHeight="1">
      <c r="O526" s="69" t="n"/>
    </row>
    <row r="527" ht="14.45" customHeight="1">
      <c r="O527" s="69" t="n"/>
    </row>
    <row r="528" ht="14.45" customHeight="1">
      <c r="O528" s="69" t="n"/>
    </row>
    <row r="529" ht="14.45" customHeight="1">
      <c r="O529" s="69" t="n"/>
    </row>
    <row r="530" ht="14.45" customHeight="1">
      <c r="O530" s="69" t="n"/>
    </row>
    <row r="531" ht="14.45" customHeight="1">
      <c r="O531" s="69" t="n"/>
    </row>
    <row r="532" ht="14.45" customHeight="1">
      <c r="O532" s="69" t="n"/>
    </row>
    <row r="533" ht="14.45" customHeight="1">
      <c r="O533" s="69" t="n"/>
    </row>
    <row r="534" ht="14.45" customHeight="1">
      <c r="O534" s="69" t="n"/>
    </row>
    <row r="535" ht="14.45" customHeight="1">
      <c r="O535" s="69" t="n"/>
    </row>
    <row r="536" ht="14.45" customHeight="1">
      <c r="O536" s="69" t="n"/>
    </row>
    <row r="537" ht="14.45" customHeight="1">
      <c r="O537" s="69" t="n"/>
    </row>
    <row r="538" ht="14.45" customHeight="1">
      <c r="O538" s="69" t="n"/>
    </row>
    <row r="539" ht="14.45" customHeight="1">
      <c r="O539" s="69" t="n"/>
    </row>
    <row r="540" ht="14.45" customHeight="1">
      <c r="O540" s="69" t="n"/>
    </row>
    <row r="541" ht="14.45" customHeight="1">
      <c r="O541" s="69" t="n"/>
    </row>
    <row r="542" ht="14.45" customHeight="1">
      <c r="O542" s="69" t="n"/>
    </row>
    <row r="543" ht="14.45" customHeight="1">
      <c r="O543" s="69" t="n"/>
    </row>
    <row r="544" ht="14.45" customHeight="1">
      <c r="O544" s="69" t="n"/>
    </row>
    <row r="545" ht="14.45" customHeight="1">
      <c r="O545" s="69" t="n"/>
    </row>
    <row r="546" ht="14.45" customHeight="1">
      <c r="O546" s="69" t="n"/>
    </row>
    <row r="547" ht="14.45" customHeight="1">
      <c r="O547" s="69" t="n"/>
    </row>
    <row r="548" ht="14.45" customHeight="1">
      <c r="O548" s="69" t="n"/>
    </row>
    <row r="549" ht="14.45" customHeight="1">
      <c r="O549" s="69" t="n"/>
    </row>
    <row r="550" ht="14.45" customHeight="1">
      <c r="O550" s="69" t="n"/>
    </row>
    <row r="551" ht="14.45" customHeight="1">
      <c r="O551" s="69" t="n"/>
    </row>
    <row r="552" ht="14.45" customHeight="1">
      <c r="O552" s="69" t="n"/>
    </row>
    <row r="553" ht="14.45" customHeight="1">
      <c r="O553" s="69" t="n"/>
    </row>
    <row r="554" ht="14.45" customHeight="1">
      <c r="O554" s="69" t="n"/>
    </row>
    <row r="555" ht="14.45" customHeight="1">
      <c r="O555" s="69" t="n"/>
    </row>
    <row r="556" ht="14.45" customHeight="1">
      <c r="O556" s="69" t="n"/>
    </row>
    <row r="557" ht="14.45" customHeight="1">
      <c r="O557" s="69" t="n"/>
    </row>
    <row r="558" ht="14.45" customHeight="1">
      <c r="O558" s="69" t="n"/>
    </row>
    <row r="559" ht="14.45" customHeight="1">
      <c r="O559" s="69" t="n"/>
    </row>
    <row r="560" ht="14.45" customHeight="1">
      <c r="O560" s="69" t="n"/>
    </row>
    <row r="561" ht="14.45" customHeight="1">
      <c r="O561" s="69" t="n"/>
    </row>
    <row r="562" ht="14.45" customHeight="1">
      <c r="O562" s="69" t="n"/>
    </row>
    <row r="563" ht="14.45" customHeight="1">
      <c r="O563" s="69" t="n"/>
    </row>
    <row r="564" ht="14.45" customHeight="1">
      <c r="O564" s="69" t="n"/>
    </row>
    <row r="565" ht="14.45" customHeight="1">
      <c r="O565" s="69" t="n"/>
    </row>
    <row r="566" ht="14.45" customHeight="1">
      <c r="O566" s="69" t="n"/>
    </row>
    <row r="567" ht="14.45" customHeight="1">
      <c r="O567" s="69" t="n"/>
    </row>
    <row r="568" ht="14.45" customHeight="1">
      <c r="O568" s="69" t="n"/>
    </row>
    <row r="569" ht="14.45" customHeight="1">
      <c r="O569" s="69" t="n"/>
    </row>
    <row r="570" ht="14.45" customHeight="1">
      <c r="O570" s="69" t="n"/>
    </row>
    <row r="571" ht="14.45" customHeight="1">
      <c r="O571" s="69" t="n"/>
    </row>
    <row r="572" ht="14.45" customHeight="1">
      <c r="O572" s="69" t="n"/>
    </row>
    <row r="573" ht="14.45" customHeight="1">
      <c r="O573" s="69" t="n"/>
    </row>
    <row r="574" ht="14.45" customHeight="1">
      <c r="O574" s="69" t="n"/>
    </row>
    <row r="575" ht="14.45" customHeight="1">
      <c r="O575" s="69" t="n"/>
    </row>
    <row r="576" ht="14.45" customHeight="1">
      <c r="O576" s="69" t="n"/>
    </row>
    <row r="577" ht="14.45" customHeight="1">
      <c r="O577" s="69" t="n"/>
    </row>
    <row r="578" ht="14.45" customHeight="1">
      <c r="O578" s="69" t="n"/>
    </row>
    <row r="579" ht="14.45" customHeight="1">
      <c r="O579" s="69" t="n"/>
    </row>
    <row r="580" ht="14.45" customHeight="1">
      <c r="O580" s="69" t="n"/>
    </row>
    <row r="581" ht="14.45" customHeight="1">
      <c r="O581" s="69" t="n"/>
    </row>
    <row r="582" ht="14.45" customHeight="1">
      <c r="O582" s="69" t="n"/>
    </row>
    <row r="583" ht="14.45" customHeight="1">
      <c r="O583" s="69" t="n"/>
    </row>
    <row r="584" ht="14.45" customHeight="1">
      <c r="O584" s="69" t="n"/>
    </row>
    <row r="585" ht="14.45" customHeight="1">
      <c r="O585" s="69" t="n"/>
    </row>
    <row r="586" ht="14.45" customHeight="1">
      <c r="O586" s="69" t="n"/>
    </row>
    <row r="587" ht="14.45" customHeight="1">
      <c r="O587" s="69" t="n"/>
    </row>
    <row r="588" ht="14.45" customHeight="1">
      <c r="O588" s="69" t="n"/>
    </row>
    <row r="589" ht="14.45" customHeight="1">
      <c r="O589" s="69" t="n"/>
    </row>
    <row r="590" ht="14.45" customHeight="1">
      <c r="O590" s="69" t="n"/>
    </row>
    <row r="591" ht="14.45" customHeight="1">
      <c r="O591" s="69" t="n"/>
    </row>
    <row r="592" ht="14.45" customHeight="1">
      <c r="O592" s="69" t="n"/>
    </row>
    <row r="593" ht="14.45" customHeight="1">
      <c r="O593" s="69" t="n"/>
    </row>
    <row r="594" ht="14.45" customHeight="1">
      <c r="O594" s="69" t="n"/>
    </row>
    <row r="595" ht="14.45" customHeight="1">
      <c r="O595" s="69" t="n"/>
    </row>
    <row r="596" ht="14.45" customHeight="1">
      <c r="O596" s="69" t="n"/>
    </row>
    <row r="597" ht="14.45" customHeight="1">
      <c r="O597" s="69" t="n"/>
    </row>
    <row r="598" ht="14.45" customHeight="1">
      <c r="O598" s="69" t="n"/>
    </row>
    <row r="599" ht="14.45" customHeight="1">
      <c r="O599" s="69" t="n"/>
    </row>
    <row r="600" ht="14.45" customHeight="1">
      <c r="O600" s="69" t="n"/>
    </row>
    <row r="601" ht="14.45" customHeight="1">
      <c r="O601" s="69" t="n"/>
    </row>
    <row r="602" ht="14.45" customHeight="1">
      <c r="O602" s="69" t="n"/>
    </row>
    <row r="603" ht="14.45" customHeight="1">
      <c r="O603" s="69" t="n"/>
    </row>
    <row r="604" ht="14.45" customHeight="1">
      <c r="O604" s="69" t="n"/>
    </row>
    <row r="605" ht="14.45" customHeight="1">
      <c r="O605" s="69" t="n"/>
    </row>
    <row r="606" ht="14.45" customHeight="1">
      <c r="O606" s="69" t="n"/>
    </row>
    <row r="607" ht="14.45" customHeight="1">
      <c r="O607" s="69" t="n"/>
    </row>
    <row r="608" ht="14.45" customHeight="1">
      <c r="O608" s="69" t="n"/>
    </row>
    <row r="609" ht="14.45" customHeight="1">
      <c r="O609" s="69" t="n"/>
    </row>
    <row r="610" ht="14.45" customHeight="1">
      <c r="O610" s="69" t="n"/>
    </row>
    <row r="611" ht="14.45" customHeight="1">
      <c r="O611" s="69" t="n"/>
    </row>
    <row r="612" ht="14.45" customHeight="1">
      <c r="O612" s="69" t="n"/>
    </row>
    <row r="613" ht="14.45" customHeight="1">
      <c r="O613" s="69" t="n"/>
    </row>
    <row r="614" ht="14.45" customHeight="1">
      <c r="O614" s="69" t="n"/>
    </row>
    <row r="615" ht="14.45" customHeight="1">
      <c r="O615" s="69" t="n"/>
    </row>
    <row r="616" ht="14.45" customHeight="1">
      <c r="O616" s="69" t="n"/>
    </row>
    <row r="617" ht="14.45" customHeight="1">
      <c r="O617" s="69" t="n"/>
    </row>
    <row r="618" ht="14.45" customHeight="1">
      <c r="O618" s="69" t="n"/>
    </row>
    <row r="619" ht="14.45" customHeight="1">
      <c r="O619" s="69" t="n"/>
    </row>
    <row r="620" ht="14.45" customHeight="1">
      <c r="O620" s="69" t="n"/>
    </row>
    <row r="621" ht="14.45" customHeight="1">
      <c r="O621" s="69" t="n"/>
    </row>
    <row r="622" ht="14.45" customHeight="1">
      <c r="O622" s="69" t="n"/>
    </row>
    <row r="623" ht="14.45" customHeight="1">
      <c r="O623" s="69" t="n"/>
    </row>
    <row r="624" ht="14.45" customHeight="1">
      <c r="O624" s="69" t="n"/>
    </row>
    <row r="625" ht="14.45" customHeight="1">
      <c r="O625" s="69" t="n"/>
    </row>
    <row r="626" ht="14.45" customHeight="1">
      <c r="O626" s="69" t="n"/>
    </row>
    <row r="627" ht="14.45" customHeight="1">
      <c r="O627" s="69" t="n"/>
    </row>
    <row r="628" ht="14.45" customHeight="1">
      <c r="O628" s="69" t="n"/>
    </row>
    <row r="629" ht="14.45" customHeight="1">
      <c r="O629" s="69" t="n"/>
    </row>
    <row r="630" ht="14.45" customHeight="1">
      <c r="O630" s="69" t="n"/>
    </row>
    <row r="631" ht="14.45" customHeight="1">
      <c r="O631" s="69" t="n"/>
    </row>
    <row r="632" ht="14.45" customHeight="1">
      <c r="O632" s="69" t="n"/>
    </row>
    <row r="633" ht="14.45" customHeight="1">
      <c r="O633" s="69" t="n"/>
    </row>
    <row r="634" ht="14.45" customHeight="1">
      <c r="O634" s="69" t="n"/>
    </row>
    <row r="635" ht="14.45" customHeight="1">
      <c r="O635" s="69" t="n"/>
    </row>
    <row r="636" ht="14.45" customHeight="1">
      <c r="O636" s="69" t="n"/>
    </row>
    <row r="637" ht="14.45" customHeight="1">
      <c r="O637" s="69" t="n"/>
    </row>
    <row r="638" ht="14.45" customHeight="1">
      <c r="O638" s="69" t="n"/>
    </row>
    <row r="639" ht="14.45" customHeight="1">
      <c r="O639" s="69" t="n"/>
    </row>
    <row r="640" ht="14.45" customHeight="1">
      <c r="O640" s="69" t="n"/>
    </row>
    <row r="641" ht="14.45" customHeight="1">
      <c r="O641" s="69" t="n"/>
    </row>
    <row r="642" ht="14.45" customHeight="1">
      <c r="O642" s="69" t="n"/>
    </row>
    <row r="643" ht="14.45" customHeight="1">
      <c r="O643" s="69" t="n"/>
    </row>
    <row r="644" ht="14.45" customHeight="1">
      <c r="O644" s="69" t="n"/>
    </row>
    <row r="645" ht="14.45" customHeight="1">
      <c r="O645" s="69" t="n"/>
    </row>
    <row r="646" ht="14.45" customHeight="1">
      <c r="O646" s="69" t="n"/>
    </row>
    <row r="647" ht="14.45" customHeight="1">
      <c r="O647" s="69" t="n"/>
    </row>
    <row r="648" ht="14.45" customHeight="1">
      <c r="O648" s="69" t="n"/>
    </row>
    <row r="649" ht="14.45" customHeight="1">
      <c r="O649" s="69" t="n"/>
    </row>
    <row r="650" ht="14.45" customHeight="1">
      <c r="O650" s="69" t="n"/>
    </row>
    <row r="651" ht="14.45" customHeight="1">
      <c r="O651" s="69" t="n"/>
    </row>
    <row r="652" ht="14.45" customHeight="1">
      <c r="O652" s="69" t="n"/>
    </row>
    <row r="653" ht="14.45" customHeight="1">
      <c r="O653" s="69" t="n"/>
    </row>
    <row r="654" ht="14.45" customHeight="1">
      <c r="O654" s="69" t="n"/>
    </row>
    <row r="655" ht="14.45" customHeight="1">
      <c r="O655" s="69" t="n"/>
    </row>
    <row r="656" ht="14.45" customHeight="1">
      <c r="O656" s="69" t="n"/>
    </row>
    <row r="657" ht="14.45" customHeight="1">
      <c r="O657" s="69" t="n"/>
    </row>
    <row r="658" ht="14.45" customHeight="1">
      <c r="O658" s="69" t="n"/>
    </row>
    <row r="659" ht="14.45" customHeight="1">
      <c r="O659" s="69" t="n"/>
    </row>
    <row r="660" ht="14.45" customHeight="1">
      <c r="O660" s="69" t="n"/>
    </row>
    <row r="661" ht="14.45" customHeight="1">
      <c r="O661" s="69" t="n"/>
    </row>
    <row r="662" ht="14.45" customHeight="1">
      <c r="O662" s="69" t="n"/>
    </row>
    <row r="663" ht="14.45" customHeight="1">
      <c r="O663" s="69" t="n"/>
    </row>
    <row r="664" ht="14.45" customHeight="1">
      <c r="O664" s="69" t="n"/>
    </row>
    <row r="665" ht="14.45" customHeight="1">
      <c r="O665" s="69" t="n"/>
    </row>
    <row r="666" ht="14.45" customHeight="1">
      <c r="O666" s="69" t="n"/>
    </row>
    <row r="667" ht="14.45" customHeight="1">
      <c r="O667" s="69" t="n"/>
    </row>
    <row r="668" ht="14.45" customHeight="1">
      <c r="O668" s="69" t="n"/>
    </row>
    <row r="669" ht="14.45" customHeight="1">
      <c r="O669" s="69" t="n"/>
    </row>
    <row r="670" ht="14.45" customHeight="1">
      <c r="O670" s="69" t="n"/>
    </row>
    <row r="671" ht="14.45" customHeight="1">
      <c r="O671" s="69" t="n"/>
    </row>
    <row r="672" ht="14.45" customHeight="1">
      <c r="O672" s="69" t="n"/>
    </row>
    <row r="673" ht="14.45" customHeight="1">
      <c r="O673" s="69" t="n"/>
    </row>
    <row r="674" ht="14.45" customHeight="1">
      <c r="O674" s="69" t="n"/>
    </row>
    <row r="675" ht="14.45" customHeight="1">
      <c r="O675" s="69" t="n"/>
    </row>
    <row r="676" ht="14.45" customHeight="1">
      <c r="O676" s="69" t="n"/>
    </row>
    <row r="677" ht="14.45" customHeight="1">
      <c r="O677" s="69" t="n"/>
    </row>
    <row r="678" ht="14.45" customHeight="1">
      <c r="O678" s="69" t="n"/>
    </row>
    <row r="679" ht="14.45" customHeight="1">
      <c r="O679" s="69" t="n"/>
    </row>
    <row r="680" ht="14.45" customHeight="1">
      <c r="O680" s="69" t="n"/>
    </row>
    <row r="681" ht="14.45" customHeight="1">
      <c r="O681" s="69" t="n"/>
    </row>
    <row r="682" ht="14.45" customHeight="1">
      <c r="O682" s="69" t="n"/>
    </row>
    <row r="683" ht="14.45" customHeight="1">
      <c r="O683" s="69" t="n"/>
    </row>
    <row r="684" ht="14.45" customHeight="1">
      <c r="O684" s="69" t="n"/>
    </row>
    <row r="685" ht="14.45" customHeight="1">
      <c r="O685" s="69" t="n"/>
    </row>
    <row r="686" ht="14.45" customHeight="1">
      <c r="O686" s="69" t="n"/>
    </row>
    <row r="687" ht="14.45" customHeight="1">
      <c r="O687" s="69" t="n"/>
    </row>
    <row r="688" ht="14.45" customHeight="1">
      <c r="O688" s="69" t="n"/>
    </row>
    <row r="689" ht="14.45" customHeight="1">
      <c r="O689" s="69" t="n"/>
    </row>
    <row r="690" ht="14.45" customHeight="1">
      <c r="O690" s="69" t="n"/>
    </row>
    <row r="691" ht="14.45" customHeight="1">
      <c r="O691" s="69" t="n"/>
    </row>
    <row r="692" ht="14.45" customHeight="1">
      <c r="O692" s="69" t="n"/>
    </row>
    <row r="693" ht="14.45" customHeight="1">
      <c r="O693" s="69" t="n"/>
    </row>
    <row r="694" ht="14.45" customHeight="1">
      <c r="O694" s="69" t="n"/>
    </row>
    <row r="695" ht="14.45" customHeight="1">
      <c r="O695" s="69" t="n"/>
    </row>
    <row r="696" ht="14.45" customHeight="1">
      <c r="O696" s="69" t="n"/>
    </row>
    <row r="697" ht="14.45" customHeight="1">
      <c r="O697" s="69" t="n"/>
    </row>
    <row r="698" ht="14.45" customHeight="1">
      <c r="O698" s="69" t="n"/>
    </row>
    <row r="699" ht="14.45" customHeight="1">
      <c r="O699" s="69" t="n"/>
    </row>
    <row r="700" ht="14.45" customHeight="1">
      <c r="O700" s="69" t="n"/>
    </row>
    <row r="701" ht="14.45" customHeight="1">
      <c r="O701" s="69" t="n"/>
    </row>
    <row r="702" ht="14.45" customHeight="1">
      <c r="O702" s="69" t="n"/>
    </row>
    <row r="703" ht="14.45" customHeight="1">
      <c r="O703" s="69" t="n"/>
    </row>
    <row r="704" ht="14.45" customHeight="1">
      <c r="O704" s="69" t="n"/>
    </row>
    <row r="705" ht="14.45" customHeight="1">
      <c r="O705" s="69" t="n"/>
    </row>
    <row r="706" ht="14.45" customHeight="1">
      <c r="O706" s="69" t="n"/>
    </row>
    <row r="707" ht="14.45" customHeight="1">
      <c r="O707" s="69" t="n"/>
    </row>
    <row r="708" ht="14.45" customHeight="1">
      <c r="O708" s="69" t="n"/>
    </row>
    <row r="709" ht="14.45" customHeight="1">
      <c r="O709" s="69" t="n"/>
    </row>
    <row r="710" ht="14.45" customHeight="1">
      <c r="O710" s="69" t="n"/>
    </row>
    <row r="711" ht="14.45" customHeight="1">
      <c r="O711" s="69" t="n"/>
    </row>
    <row r="712" ht="14.45" customHeight="1">
      <c r="O712" s="69" t="n"/>
    </row>
    <row r="713" ht="14.45" customHeight="1">
      <c r="O713" s="69" t="n"/>
    </row>
    <row r="714" ht="14.45" customHeight="1">
      <c r="O714" s="69" t="n"/>
    </row>
    <row r="715" ht="14.45" customHeight="1">
      <c r="O715" s="69" t="n"/>
    </row>
    <row r="716" ht="14.45" customHeight="1">
      <c r="O716" s="69" t="n"/>
    </row>
    <row r="717" ht="14.45" customHeight="1">
      <c r="O717" s="69" t="n"/>
    </row>
    <row r="718" ht="14.45" customHeight="1">
      <c r="O718" s="69" t="n"/>
    </row>
    <row r="719" ht="14.45" customHeight="1">
      <c r="O719" s="69" t="n"/>
    </row>
    <row r="720" ht="14.45" customHeight="1">
      <c r="O720" s="69" t="n"/>
    </row>
    <row r="721" ht="14.45" customHeight="1">
      <c r="O721" s="69" t="n"/>
    </row>
    <row r="722" ht="14.45" customHeight="1">
      <c r="O722" s="69" t="n"/>
    </row>
    <row r="723" ht="14.45" customHeight="1">
      <c r="O723" s="69" t="n"/>
    </row>
    <row r="724" ht="14.45" customHeight="1">
      <c r="O724" s="69" t="n"/>
    </row>
    <row r="725" ht="14.45" customHeight="1">
      <c r="O725" s="69" t="n"/>
    </row>
    <row r="726" ht="14.45" customHeight="1">
      <c r="O726" s="69" t="n"/>
    </row>
    <row r="727" ht="14.45" customHeight="1">
      <c r="O727" s="69" t="n"/>
    </row>
    <row r="728" ht="14.45" customHeight="1">
      <c r="O728" s="69" t="n"/>
    </row>
    <row r="729" ht="14.45" customHeight="1">
      <c r="O729" s="69" t="n"/>
    </row>
    <row r="730" ht="14.45" customHeight="1">
      <c r="O730" s="69" t="n"/>
    </row>
    <row r="731" ht="14.45" customHeight="1">
      <c r="O731" s="69" t="n"/>
    </row>
    <row r="732" ht="14.45" customHeight="1">
      <c r="O732" s="69" t="n"/>
    </row>
    <row r="733" ht="14.45" customHeight="1">
      <c r="O733" s="69" t="n"/>
    </row>
    <row r="734" ht="14.45" customHeight="1">
      <c r="O734" s="69" t="n"/>
    </row>
    <row r="735" ht="14.45" customHeight="1">
      <c r="O735" s="69" t="n"/>
    </row>
    <row r="736" ht="14.45" customHeight="1">
      <c r="O736" s="69" t="n"/>
    </row>
    <row r="737" ht="14.45" customHeight="1">
      <c r="O737" s="69" t="n"/>
    </row>
    <row r="738" ht="14.45" customHeight="1">
      <c r="O738" s="69" t="n"/>
    </row>
    <row r="739" ht="14.45" customHeight="1">
      <c r="O739" s="69" t="n"/>
    </row>
    <row r="740" ht="14.45" customHeight="1">
      <c r="O740" s="69" t="n"/>
    </row>
    <row r="741" ht="14.45" customHeight="1">
      <c r="O741" s="69" t="n"/>
    </row>
    <row r="742" ht="14.45" customHeight="1">
      <c r="O742" s="69" t="n"/>
    </row>
    <row r="743" ht="14.45" customHeight="1">
      <c r="O743" s="69" t="n"/>
    </row>
    <row r="744" ht="14.45" customHeight="1">
      <c r="O744" s="69" t="n"/>
    </row>
    <row r="745" ht="14.45" customHeight="1">
      <c r="O745" s="69" t="n"/>
    </row>
    <row r="746" ht="14.45" customHeight="1">
      <c r="O746" s="69" t="n"/>
    </row>
    <row r="747" ht="14.45" customHeight="1">
      <c r="O747" s="69" t="n"/>
    </row>
    <row r="748" ht="14.45" customHeight="1">
      <c r="O748" s="69" t="n"/>
    </row>
    <row r="749" ht="14.45" customHeight="1">
      <c r="O749" s="69" t="n"/>
    </row>
    <row r="750" ht="14.45" customHeight="1">
      <c r="O750" s="69" t="n"/>
    </row>
    <row r="751" ht="14.45" customHeight="1">
      <c r="O751" s="69" t="n"/>
    </row>
    <row r="752" ht="14.45" customHeight="1">
      <c r="O752" s="69" t="n"/>
    </row>
    <row r="753" ht="14.45" customHeight="1">
      <c r="O753" s="69" t="n"/>
    </row>
    <row r="754" ht="14.45" customHeight="1">
      <c r="O754" s="69" t="n"/>
    </row>
    <row r="755" ht="14.45" customHeight="1">
      <c r="O755" s="69" t="n"/>
    </row>
    <row r="756" ht="14.45" customHeight="1">
      <c r="O756" s="69" t="n"/>
    </row>
    <row r="757" ht="14.45" customHeight="1">
      <c r="O757" s="69" t="n"/>
    </row>
    <row r="758" ht="14.45" customHeight="1">
      <c r="O758" s="69" t="n"/>
    </row>
    <row r="759" ht="14.45" customHeight="1">
      <c r="O759" s="69" t="n"/>
    </row>
    <row r="760" ht="14.45" customHeight="1">
      <c r="O760" s="69" t="n"/>
    </row>
    <row r="761" ht="14.45" customHeight="1">
      <c r="O761" s="69" t="n"/>
    </row>
    <row r="762" ht="14.45" customHeight="1">
      <c r="O762" s="69" t="n"/>
    </row>
    <row r="763" ht="14.45" customHeight="1">
      <c r="O763" s="69" t="n"/>
    </row>
    <row r="764" ht="14.45" customHeight="1">
      <c r="O764" s="69" t="n"/>
    </row>
    <row r="765" ht="14.45" customHeight="1">
      <c r="O765" s="69" t="n"/>
    </row>
    <row r="766" ht="14.45" customHeight="1">
      <c r="O766" s="69" t="n"/>
    </row>
    <row r="767" ht="14.45" customHeight="1">
      <c r="O767" s="69" t="n"/>
    </row>
    <row r="768" ht="14.45" customHeight="1">
      <c r="O768" s="69" t="n"/>
    </row>
    <row r="769" ht="14.45" customHeight="1">
      <c r="O769" s="69" t="n"/>
    </row>
    <row r="770" ht="14.45" customHeight="1">
      <c r="O770" s="69" t="n"/>
    </row>
    <row r="771" ht="14.45" customHeight="1">
      <c r="O771" s="69" t="n"/>
    </row>
    <row r="772" ht="14.45" customHeight="1">
      <c r="O772" s="69" t="n"/>
    </row>
    <row r="773" ht="14.45" customHeight="1">
      <c r="O773" s="69" t="n"/>
    </row>
    <row r="774" ht="14.45" customHeight="1">
      <c r="O774" s="69" t="n"/>
    </row>
    <row r="775" ht="14.45" customHeight="1">
      <c r="O775" s="69" t="n"/>
    </row>
    <row r="776" ht="14.45" customHeight="1">
      <c r="O776" s="69" t="n"/>
    </row>
    <row r="777" ht="14.45" customHeight="1">
      <c r="O777" s="69" t="n"/>
    </row>
    <row r="778" ht="14.45" customHeight="1">
      <c r="O778" s="69" t="n"/>
    </row>
    <row r="779" ht="14.45" customHeight="1">
      <c r="O779" s="69" t="n"/>
    </row>
    <row r="780" ht="14.45" customHeight="1">
      <c r="O780" s="69" t="n"/>
    </row>
    <row r="781" ht="14.45" customHeight="1">
      <c r="O781" s="69" t="n"/>
    </row>
    <row r="782" ht="14.45" customHeight="1">
      <c r="O782" s="69" t="n"/>
    </row>
    <row r="783" ht="14.45" customHeight="1">
      <c r="O783" s="69" t="n"/>
    </row>
    <row r="784" ht="14.45" customHeight="1">
      <c r="O784" s="69" t="n"/>
    </row>
    <row r="785" ht="14.45" customHeight="1">
      <c r="O785" s="69" t="n"/>
    </row>
    <row r="786" ht="14.45" customHeight="1">
      <c r="O786" s="69" t="n"/>
    </row>
    <row r="787" ht="14.45" customHeight="1">
      <c r="O787" s="69" t="n"/>
    </row>
    <row r="788" ht="14.45" customHeight="1">
      <c r="O788" s="69" t="n"/>
    </row>
    <row r="789" ht="14.45" customHeight="1">
      <c r="O789" s="69" t="n"/>
    </row>
    <row r="790" ht="14.45" customHeight="1">
      <c r="O790" s="69" t="n"/>
    </row>
    <row r="791" ht="14.45" customHeight="1">
      <c r="O791" s="69" t="n"/>
    </row>
    <row r="792" ht="14.45" customHeight="1">
      <c r="O792" s="69" t="n"/>
    </row>
    <row r="793" ht="14.45" customHeight="1">
      <c r="O793" s="69" t="n"/>
    </row>
    <row r="794" ht="14.45" customHeight="1">
      <c r="O794" s="69" t="n"/>
    </row>
    <row r="795" ht="14.45" customHeight="1">
      <c r="O795" s="69" t="n"/>
    </row>
    <row r="796" ht="14.45" customHeight="1">
      <c r="O796" s="69" t="n"/>
    </row>
    <row r="797" ht="14.45" customHeight="1">
      <c r="O797" s="69" t="n"/>
    </row>
    <row r="798" ht="14.45" customHeight="1">
      <c r="O798" s="69" t="n"/>
    </row>
    <row r="799" ht="14.45" customHeight="1">
      <c r="O799" s="69" t="n"/>
    </row>
    <row r="800" ht="14.45" customHeight="1">
      <c r="O800" s="69" t="n"/>
    </row>
    <row r="801" ht="14.45" customHeight="1">
      <c r="O801" s="69" t="n"/>
    </row>
    <row r="802" ht="14.45" customHeight="1">
      <c r="O802" s="69" t="n"/>
    </row>
    <row r="803" ht="14.45" customHeight="1">
      <c r="O803" s="69" t="n"/>
    </row>
    <row r="804" ht="14.45" customHeight="1">
      <c r="O804" s="69" t="n"/>
    </row>
    <row r="805" ht="14.45" customHeight="1">
      <c r="O805" s="69" t="n"/>
    </row>
    <row r="806" ht="14.45" customHeight="1">
      <c r="O806" s="69" t="n"/>
    </row>
    <row r="807" ht="14.45" customHeight="1">
      <c r="O807" s="69" t="n"/>
    </row>
    <row r="808" ht="14.45" customHeight="1">
      <c r="O808" s="69" t="n"/>
    </row>
    <row r="809" ht="14.45" customHeight="1">
      <c r="O809" s="69" t="n"/>
    </row>
    <row r="810" ht="14.45" customHeight="1">
      <c r="O810" s="69" t="n"/>
    </row>
    <row r="811" ht="14.45" customHeight="1">
      <c r="O811" s="69" t="n"/>
    </row>
    <row r="812" ht="14.45" customHeight="1">
      <c r="O812" s="69" t="n"/>
    </row>
    <row r="813" ht="14.45" customHeight="1">
      <c r="O813" s="69" t="n"/>
    </row>
    <row r="814" ht="14.45" customHeight="1">
      <c r="O814" s="69" t="n"/>
    </row>
    <row r="815" ht="14.45" customHeight="1">
      <c r="O815" s="69" t="n"/>
    </row>
    <row r="816" ht="14.45" customHeight="1">
      <c r="O816" s="69" t="n"/>
    </row>
    <row r="817" ht="14.45" customHeight="1">
      <c r="O817" s="69" t="n"/>
    </row>
    <row r="818" ht="14.45" customHeight="1">
      <c r="O818" s="69" t="n"/>
    </row>
    <row r="819" ht="14.45" customHeight="1">
      <c r="O819" s="69" t="n"/>
    </row>
    <row r="820" ht="14.45" customHeight="1">
      <c r="O820" s="69" t="n"/>
    </row>
    <row r="821" ht="14.45" customHeight="1">
      <c r="O821" s="69" t="n"/>
    </row>
    <row r="822" ht="14.45" customHeight="1">
      <c r="O822" s="69" t="n"/>
    </row>
    <row r="823" ht="14.45" customHeight="1">
      <c r="O823" s="69" t="n"/>
    </row>
    <row r="824" ht="14.45" customHeight="1">
      <c r="O824" s="69" t="n"/>
    </row>
    <row r="825" ht="14.45" customHeight="1">
      <c r="O825" s="69" t="n"/>
    </row>
    <row r="826" ht="14.45" customHeight="1">
      <c r="O826" s="69" t="n"/>
    </row>
    <row r="827" ht="14.45" customHeight="1">
      <c r="O827" s="69" t="n"/>
    </row>
    <row r="828" ht="14.45" customHeight="1">
      <c r="O828" s="69" t="n"/>
    </row>
    <row r="829" ht="14.45" customHeight="1">
      <c r="O829" s="69" t="n"/>
    </row>
    <row r="830" ht="14.45" customHeight="1">
      <c r="O830" s="69" t="n"/>
    </row>
    <row r="831" ht="14.45" customHeight="1">
      <c r="O831" s="69" t="n"/>
    </row>
    <row r="832" ht="14.45" customHeight="1">
      <c r="O832" s="69" t="n"/>
    </row>
    <row r="833" ht="14.45" customHeight="1">
      <c r="O833" s="69" t="n"/>
    </row>
    <row r="834" ht="14.45" customHeight="1">
      <c r="O834" s="69" t="n"/>
    </row>
    <row r="835" ht="14.45" customHeight="1">
      <c r="O835" s="69" t="n"/>
    </row>
    <row r="836" ht="14.45" customHeight="1">
      <c r="O836" s="69" t="n"/>
    </row>
    <row r="837" ht="14.45" customHeight="1">
      <c r="O837" s="69" t="n"/>
    </row>
    <row r="838" ht="14.45" customHeight="1">
      <c r="O838" s="69" t="n"/>
    </row>
    <row r="839" ht="14.45" customHeight="1">
      <c r="O839" s="69" t="n"/>
    </row>
    <row r="840" ht="14.45" customHeight="1">
      <c r="O840" s="69" t="n"/>
    </row>
    <row r="841" ht="14.45" customHeight="1">
      <c r="O841" s="69" t="n"/>
    </row>
    <row r="842" ht="14.45" customHeight="1">
      <c r="O842" s="69" t="n"/>
    </row>
    <row r="843" ht="14.45" customHeight="1">
      <c r="O843" s="69" t="n"/>
    </row>
    <row r="844" ht="14.45" customHeight="1">
      <c r="O844" s="69" t="n"/>
    </row>
    <row r="845" ht="14.45" customHeight="1">
      <c r="O845" s="69" t="n"/>
    </row>
    <row r="846" ht="14.45" customHeight="1">
      <c r="O846" s="69" t="n"/>
    </row>
    <row r="847" ht="14.45" customHeight="1">
      <c r="O847" s="69" t="n"/>
    </row>
    <row r="848" ht="14.45" customHeight="1">
      <c r="O848" s="69" t="n"/>
    </row>
    <row r="849" ht="14.45" customHeight="1">
      <c r="O849" s="69" t="n"/>
    </row>
    <row r="850" ht="14.45" customHeight="1">
      <c r="O850" s="69" t="n"/>
    </row>
    <row r="851" ht="14.45" customHeight="1">
      <c r="O851" s="69" t="n"/>
    </row>
    <row r="852" ht="14.45" customHeight="1">
      <c r="O852" s="69" t="n"/>
    </row>
    <row r="853" ht="14.45" customHeight="1">
      <c r="O853" s="69" t="n"/>
    </row>
    <row r="854" ht="14.45" customHeight="1">
      <c r="O854" s="69" t="n"/>
    </row>
    <row r="855" ht="14.45" customHeight="1">
      <c r="O855" s="69" t="n"/>
    </row>
    <row r="856" ht="14.45" customHeight="1">
      <c r="O856" s="69" t="n"/>
    </row>
    <row r="857" ht="14.45" customHeight="1">
      <c r="O857" s="69" t="n"/>
    </row>
    <row r="858" ht="14.45" customHeight="1">
      <c r="O858" s="69" t="n"/>
    </row>
    <row r="859" ht="14.45" customHeight="1">
      <c r="O859" s="69" t="n"/>
    </row>
    <row r="860" ht="14.45" customHeight="1">
      <c r="O860" s="69" t="n"/>
    </row>
    <row r="861" ht="14.45" customHeight="1">
      <c r="O861" s="69" t="n"/>
    </row>
    <row r="862" ht="14.45" customHeight="1">
      <c r="O862" s="69" t="n"/>
    </row>
    <row r="863" ht="14.45" customHeight="1">
      <c r="O863" s="69" t="n"/>
    </row>
    <row r="864" ht="14.45" customHeight="1">
      <c r="O864" s="69" t="n"/>
    </row>
    <row r="865" ht="14.45" customHeight="1">
      <c r="O865" s="69" t="n"/>
    </row>
    <row r="866" ht="14.45" customHeight="1">
      <c r="O866" s="69" t="n"/>
    </row>
    <row r="867" ht="14.45" customHeight="1">
      <c r="O867" s="69" t="n"/>
    </row>
    <row r="868" ht="14.45" customHeight="1">
      <c r="O868" s="69" t="n"/>
    </row>
    <row r="869" ht="14.45" customHeight="1">
      <c r="O869" s="69" t="n"/>
    </row>
    <row r="870" ht="14.45" customHeight="1">
      <c r="O870" s="69" t="n"/>
    </row>
    <row r="871" ht="14.45" customHeight="1">
      <c r="O871" s="69" t="n"/>
    </row>
    <row r="872" ht="14.45" customHeight="1">
      <c r="O872" s="69" t="n"/>
    </row>
    <row r="873" ht="14.45" customHeight="1">
      <c r="O873" s="69" t="n"/>
    </row>
    <row r="874" ht="14.45" customHeight="1">
      <c r="O874" s="69" t="n"/>
    </row>
    <row r="875" ht="14.45" customHeight="1">
      <c r="O875" s="69" t="n"/>
    </row>
    <row r="876" ht="14.45" customHeight="1">
      <c r="O876" s="69" t="n"/>
    </row>
    <row r="877" ht="14.45" customHeight="1">
      <c r="O877" s="69" t="n"/>
    </row>
    <row r="878" ht="14.45" customHeight="1">
      <c r="O878" s="69" t="n"/>
    </row>
    <row r="879" ht="14.45" customHeight="1">
      <c r="O879" s="69" t="n"/>
    </row>
    <row r="880" ht="14.45" customHeight="1">
      <c r="O880" s="69" t="n"/>
    </row>
    <row r="881" ht="14.45" customHeight="1">
      <c r="O881" s="69" t="n"/>
    </row>
    <row r="882" ht="14.45" customHeight="1">
      <c r="O882" s="69" t="n"/>
    </row>
    <row r="883" ht="14.45" customHeight="1">
      <c r="O883" s="69" t="n"/>
    </row>
    <row r="884" ht="14.45" customHeight="1">
      <c r="O884" s="69" t="n"/>
    </row>
    <row r="885" ht="14.45" customHeight="1">
      <c r="O885" s="69" t="n"/>
    </row>
    <row r="886" ht="14.45" customHeight="1">
      <c r="O886" s="69" t="n"/>
    </row>
    <row r="887" ht="14.45" customHeight="1">
      <c r="O887" s="69" t="n"/>
    </row>
    <row r="888" ht="14.45" customHeight="1">
      <c r="O888" s="69" t="n"/>
    </row>
    <row r="889" ht="14.45" customHeight="1">
      <c r="O889" s="69" t="n"/>
    </row>
    <row r="890" ht="14.45" customHeight="1">
      <c r="O890" s="69" t="n"/>
    </row>
    <row r="891" ht="14.45" customHeight="1">
      <c r="O891" s="69" t="n"/>
    </row>
    <row r="892" ht="14.45" customHeight="1">
      <c r="O892" s="69" t="n"/>
    </row>
    <row r="893" ht="14.45" customHeight="1">
      <c r="O893" s="69" t="n"/>
    </row>
    <row r="894" ht="14.45" customHeight="1">
      <c r="O894" s="69" t="n"/>
    </row>
    <row r="895" ht="14.45" customHeight="1">
      <c r="O895" s="69" t="n"/>
    </row>
    <row r="896" ht="14.45" customHeight="1">
      <c r="O896" s="69" t="n"/>
    </row>
    <row r="897" ht="14.45" customHeight="1">
      <c r="O897" s="69" t="n"/>
    </row>
    <row r="898" ht="14.45" customHeight="1">
      <c r="O898" s="69" t="n"/>
    </row>
    <row r="899" ht="14.45" customHeight="1">
      <c r="O899" s="69" t="n"/>
    </row>
    <row r="900" ht="14.45" customHeight="1">
      <c r="O900" s="69" t="n"/>
    </row>
    <row r="901" ht="14.45" customHeight="1">
      <c r="O901" s="69" t="n"/>
    </row>
    <row r="902" ht="14.45" customHeight="1">
      <c r="O902" s="69" t="n"/>
    </row>
    <row r="903" ht="14.45" customHeight="1">
      <c r="O903" s="69" t="n"/>
    </row>
    <row r="904" ht="14.45" customHeight="1">
      <c r="O904" s="69" t="n"/>
    </row>
    <row r="905" ht="14.45" customHeight="1">
      <c r="O905" s="69" t="n"/>
    </row>
    <row r="906" ht="14.45" customHeight="1">
      <c r="O906" s="69" t="n"/>
    </row>
    <row r="907" ht="14.45" customHeight="1">
      <c r="O907" s="69" t="n"/>
    </row>
    <row r="908" ht="14.45" customHeight="1">
      <c r="O908" s="69" t="n"/>
    </row>
    <row r="909" ht="14.45" customHeight="1">
      <c r="O909" s="69" t="n"/>
    </row>
    <row r="910" ht="14.45" customHeight="1">
      <c r="O910" s="69" t="n"/>
    </row>
    <row r="911" ht="14.45" customHeight="1">
      <c r="O911" s="69" t="n"/>
    </row>
    <row r="912" ht="14.45" customHeight="1">
      <c r="O912" s="69" t="n"/>
    </row>
    <row r="913" ht="14.45" customHeight="1">
      <c r="O913" s="69" t="n"/>
    </row>
    <row r="914" ht="14.45" customHeight="1">
      <c r="O914" s="69" t="n"/>
    </row>
    <row r="915" ht="14.45" customHeight="1">
      <c r="O915" s="69" t="n"/>
    </row>
    <row r="916" ht="14.45" customHeight="1">
      <c r="O916" s="69" t="n"/>
    </row>
    <row r="917" ht="14.45" customHeight="1">
      <c r="O917" s="69" t="n"/>
    </row>
    <row r="918" ht="14.45" customHeight="1">
      <c r="O918" s="69" t="n"/>
    </row>
    <row r="919" ht="14.45" customHeight="1">
      <c r="O919" s="69" t="n"/>
    </row>
    <row r="920" ht="14.45" customHeight="1">
      <c r="O920" s="69" t="n"/>
    </row>
    <row r="921" ht="14.45" customHeight="1">
      <c r="O921" s="69" t="n"/>
    </row>
    <row r="922" ht="14.45" customHeight="1">
      <c r="O922" s="69" t="n"/>
    </row>
    <row r="923" ht="14.45" customHeight="1">
      <c r="O923" s="69" t="n"/>
    </row>
    <row r="924" ht="14.45" customHeight="1">
      <c r="O924" s="69" t="n"/>
    </row>
    <row r="925" ht="14.45" customHeight="1">
      <c r="O925" s="69" t="n"/>
    </row>
    <row r="926" ht="14.45" customHeight="1">
      <c r="O926" s="69" t="n"/>
    </row>
    <row r="927" ht="14.45" customHeight="1">
      <c r="O927" s="69" t="n"/>
    </row>
    <row r="928" ht="14.45" customHeight="1">
      <c r="O928" s="69" t="n"/>
    </row>
    <row r="929" ht="14.45" customHeight="1">
      <c r="O929" s="69" t="n"/>
    </row>
    <row r="930" ht="14.45" customHeight="1">
      <c r="O930" s="69" t="n"/>
    </row>
    <row r="931" ht="14.45" customHeight="1">
      <c r="O931" s="69" t="n"/>
    </row>
    <row r="932" ht="14.45" customHeight="1">
      <c r="O932" s="69" t="n"/>
    </row>
    <row r="933" ht="14.45" customHeight="1">
      <c r="O933" s="69" t="n"/>
    </row>
    <row r="934" ht="14.45" customHeight="1">
      <c r="O934" s="69" t="n"/>
    </row>
    <row r="935" ht="14.45" customHeight="1">
      <c r="O935" s="69" t="n"/>
    </row>
    <row r="936" ht="14.45" customHeight="1">
      <c r="O936" s="69" t="n"/>
    </row>
    <row r="937" ht="14.45" customHeight="1">
      <c r="O937" s="69" t="n"/>
    </row>
    <row r="938" ht="14.45" customHeight="1">
      <c r="O938" s="69" t="n"/>
    </row>
    <row r="939" ht="14.45" customHeight="1">
      <c r="O939" s="69" t="n"/>
    </row>
    <row r="940" ht="14.45" customHeight="1">
      <c r="O940" s="69" t="n"/>
    </row>
    <row r="941" ht="14.45" customHeight="1">
      <c r="O941" s="69" t="n"/>
    </row>
    <row r="942" ht="14.45" customHeight="1">
      <c r="O942" s="69" t="n"/>
    </row>
    <row r="943" ht="14.45" customHeight="1">
      <c r="O943" s="69" t="n"/>
    </row>
    <row r="944" ht="14.45" customHeight="1">
      <c r="O944" s="69" t="n"/>
    </row>
    <row r="945" ht="14.45" customHeight="1">
      <c r="O945" s="69" t="n"/>
    </row>
    <row r="946" ht="14.45" customHeight="1">
      <c r="O946" s="69" t="n"/>
    </row>
    <row r="947" ht="14.45" customHeight="1">
      <c r="O947" s="69" t="n"/>
    </row>
    <row r="948" ht="14.45" customHeight="1">
      <c r="O948" s="69" t="n"/>
    </row>
    <row r="949" ht="14.45" customHeight="1">
      <c r="O949" s="69" t="n"/>
    </row>
    <row r="950" ht="14.45" customHeight="1">
      <c r="O950" s="69" t="n"/>
    </row>
    <row r="951" ht="14.45" customHeight="1">
      <c r="O951" s="69" t="n"/>
    </row>
    <row r="952" ht="14.45" customHeight="1">
      <c r="O952" s="69" t="n"/>
    </row>
    <row r="953" ht="14.45" customHeight="1">
      <c r="O953" s="69" t="n"/>
    </row>
    <row r="954" ht="14.45" customHeight="1">
      <c r="O954" s="69" t="n"/>
    </row>
    <row r="955" ht="14.45" customHeight="1">
      <c r="O955" s="69" t="n"/>
    </row>
    <row r="956" ht="14.45" customHeight="1">
      <c r="O956" s="69" t="n"/>
    </row>
    <row r="957" ht="14.45" customHeight="1">
      <c r="O957" s="69" t="n"/>
    </row>
    <row r="958" ht="14.45" customHeight="1">
      <c r="O958" s="69" t="n"/>
    </row>
    <row r="959" ht="14.45" customHeight="1">
      <c r="O959" s="69" t="n"/>
    </row>
    <row r="960" ht="14.45" customHeight="1">
      <c r="O960" s="69" t="n"/>
    </row>
    <row r="961" ht="14.45" customHeight="1">
      <c r="O961" s="69" t="n"/>
    </row>
    <row r="962" ht="15" customHeight="1">
      <c r="O962" s="69" t="n"/>
    </row>
  </sheetData>
  <mergeCells count="1">
    <mergeCell ref="I1:N1"/>
  </mergeCells>
  <pageMargins left="0.5" right="0.5" top="0.75" bottom="0.75" header="0.3" footer="0.3"/>
  <pageSetup orientation="portrait" paperSize="9" fitToHeight="0" fitToWidth="1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RAVISANKAR, VIGNESH SITINC-PTIY/TP/U</dc:creator>
  <dcterms:created xsi:type="dcterms:W3CDTF">2025-07-12T23:21:47Z</dcterms:created>
  <dcterms:modified xsi:type="dcterms:W3CDTF">2026-07-23T13:53:19Z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0x0101006F0A470EEB1140E7AA14F4CE8A50B54C0001CB1477F4DD432AA86DD56CC3887AF40001B599DFFF2EF1478BFB7D97B9B88EE8</vt:lpwstr>
  </property>
  <property name="SAEFCountryOfJurisdiction" fmtid="{D5CDD505-2E9C-101B-9397-08002B2CF9AE}" pid="3">
    <vt:lpwstr>3;# NETHERLANDS|54565ecb-470f-40ea-a584-819150a65a13</vt:lpwstr>
  </property>
  <property name="_dlc_DocIdItemGuid" fmtid="{D5CDD505-2E9C-101B-9397-08002B2CF9AE}" pid="4">
    <vt:lpwstr>6212d1f4-4804-4b23-9fc3-a2420d07e3d4</vt:lpwstr>
  </property>
  <property name="SAEFSecurityClassification" fmtid="{D5CDD505-2E9C-101B-9397-08002B2CF9AE}" pid="5">
    <vt:lpwstr>1;#Confidential|e4bc29b2-6e76-48cc-b090-8b544c0802ae</vt:lpwstr>
  </property>
  <property name="SAEFLegalEntity" fmtid="{D5CDD505-2E9C-101B-9397-08002B2CF9AE}" pid="6">
    <vt:lpwstr>2;# Shell International Trading And Shipping Company Limited|ed2a6304-d00a-4ec0-a256-b56696a1788e</vt:lpwstr>
  </property>
  <property name="MediaServiceImageTags" fmtid="{D5CDD505-2E9C-101B-9397-08002B2CF9AE}" pid="7">
    <vt:lpwstr/>
  </property>
</Properties>
</file>