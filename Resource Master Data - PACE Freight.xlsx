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drawings/drawing4.xml" ContentType="application/vnd.openxmlformats-officedocument.drawing+xml"/>
  <Override PartName="/xl/tables/table4.xml" ContentType="application/vnd.openxmlformats-officedocument.spreadsheetml.table+xml"/>
  <Override PartName="/xl/slicers/slicer3.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mc:AlternateContent xmlns:mc="http://schemas.openxmlformats.org/markup-compatibility/2006">
    <mc:Choice Requires="x15">
      <x15ac:absPath xmlns:x15ac="http://schemas.microsoft.com/office/spreadsheetml/2010/11/ac" url="https://eu001-sp.shell.com/sites/SPO004966/Shared Documents/Workstreams/Integration team/Reporting Dashboard - Operational Excellence/PACE/Freight/"/>
    </mc:Choice>
  </mc:AlternateContent>
  <xr:revisionPtr revIDLastSave="0" documentId="8_{F4B08328-4091-4EE6-83C9-E192DCD25366}" xr6:coauthVersionLast="47" xr6:coauthVersionMax="47" xr10:uidLastSave="{00000000-0000-0000-0000-000000000000}"/>
  <bookViews>
    <workbookView xWindow="-110" yWindow="-110" windowWidth="19420" windowHeight="11500" tabRatio="643" firstSheet="1" activeTab="2" xr2:uid="{59671255-63A4-4DF8-B21C-AF68BCD279B3}"/>
  </bookViews>
  <sheets>
    <sheet name="Read me" sheetId="15" r:id="rId1"/>
    <sheet name="$ Dashboard" sheetId="7" r:id="rId2"/>
    <sheet name="Business Manpower LE" sheetId="14" r:id="rId3"/>
    <sheet name="IT Manpower LE" sheetId="2" r:id="rId4"/>
    <sheet name="Other LE" sheetId="10" r:id="rId5"/>
    <sheet name="Tables" sheetId="1" r:id="rId6"/>
  </sheets>
  <definedNames>
    <definedName name="_xlnm._FilterDatabase" localSheetId="1" hidden="1">'$ Dashboard'!$B$10:$E$30</definedName>
    <definedName name="_xlnm._FilterDatabase" localSheetId="2" hidden="1">'IT Manpower LE'!$CC$4:$CE$8</definedName>
    <definedName name="_xlnm._FilterDatabase" localSheetId="3" hidden="1">'IT Manpower LE'!$CC$4:$CE$8</definedName>
    <definedName name="Slicer_Cost_type">#N/A</definedName>
    <definedName name="Slicer_Resource_Provider">#N/A</definedName>
    <definedName name="Slicer_Resource_Provider1">#N/A</definedName>
    <definedName name="Slicer_Resource_provider21">#N/A</definedName>
    <definedName name="Slicer_Status">#N/A</definedName>
    <definedName name="Slicer_Status2">#N/A</definedName>
    <definedName name="Slicer_Workstream">#N/A</definedName>
    <definedName name="Slicer_Workstream2">#N/A</definedName>
    <definedName name="Slicer_Workstream3">#N/A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7" l="1"/>
  <c r="D5" i="7"/>
  <c r="D4" i="7"/>
  <c r="D3" i="7"/>
  <c r="E3" i="7"/>
  <c r="E4" i="7"/>
  <c r="E5" i="7"/>
  <c r="AF45" i="7"/>
  <c r="AF46" i="7"/>
  <c r="AF47" i="7"/>
  <c r="AE45" i="7"/>
  <c r="AE46" i="7"/>
  <c r="AE47" i="7"/>
  <c r="AD45" i="7"/>
  <c r="AD46" i="7"/>
  <c r="AD47" i="7"/>
  <c r="AC45" i="7"/>
  <c r="AC46" i="7"/>
  <c r="AC47" i="7"/>
  <c r="AB45" i="7"/>
  <c r="AB46" i="7"/>
  <c r="AB47" i="7"/>
  <c r="AA45" i="7"/>
  <c r="AA46" i="7"/>
  <c r="AA47" i="7"/>
  <c r="Z45" i="7"/>
  <c r="Z46" i="7"/>
  <c r="Z47" i="7"/>
  <c r="Z48" i="7"/>
  <c r="Y45" i="7"/>
  <c r="Y46" i="7"/>
  <c r="Y47" i="7"/>
  <c r="X45" i="7"/>
  <c r="X46" i="7"/>
  <c r="X47" i="7"/>
  <c r="W45" i="7"/>
  <c r="W46" i="7"/>
  <c r="W47" i="7"/>
  <c r="V45" i="7"/>
  <c r="V46" i="7"/>
  <c r="V47" i="7"/>
  <c r="U45" i="7"/>
  <c r="U46" i="7"/>
  <c r="U47" i="7"/>
  <c r="T45" i="7"/>
  <c r="T46" i="7"/>
  <c r="T47" i="7"/>
  <c r="S45" i="7"/>
  <c r="S46" i="7"/>
  <c r="S47" i="7"/>
  <c r="R45" i="7"/>
  <c r="R46" i="7"/>
  <c r="R47" i="7"/>
  <c r="Q45" i="7"/>
  <c r="Q46" i="7"/>
  <c r="Q47" i="7"/>
  <c r="P45" i="7"/>
  <c r="P46" i="7"/>
  <c r="P47" i="7"/>
  <c r="T15" i="7"/>
  <c r="T16" i="7"/>
  <c r="T17" i="7"/>
  <c r="T18" i="7"/>
  <c r="T19" i="7"/>
  <c r="T20" i="7"/>
  <c r="T21" i="7"/>
  <c r="O45" i="7"/>
  <c r="O46" i="7"/>
  <c r="O47" i="7"/>
  <c r="N45" i="7"/>
  <c r="N46" i="7"/>
  <c r="N47" i="7"/>
  <c r="M45" i="7"/>
  <c r="M46" i="7"/>
  <c r="M47" i="7"/>
  <c r="S19" i="7"/>
  <c r="L45" i="7"/>
  <c r="L46" i="7"/>
  <c r="L47" i="7"/>
  <c r="K45" i="7"/>
  <c r="K46" i="7"/>
  <c r="K47" i="7"/>
  <c r="J45" i="7"/>
  <c r="J46" i="7"/>
  <c r="J47" i="7"/>
  <c r="I45" i="7"/>
  <c r="I46" i="7"/>
  <c r="I47" i="7"/>
  <c r="AN10" i="2"/>
  <c r="Z84" i="2"/>
  <c r="CP84" i="2" s="1"/>
  <c r="Y11" i="2"/>
  <c r="Z11" i="2" s="1"/>
  <c r="Y12" i="2"/>
  <c r="Z12" i="2" s="1"/>
  <c r="Y13" i="2"/>
  <c r="Z13" i="2" s="1"/>
  <c r="Y14" i="2"/>
  <c r="Z14" i="2" s="1"/>
  <c r="Y15" i="2"/>
  <c r="Z15" i="2" s="1"/>
  <c r="Y16" i="2"/>
  <c r="Z16" i="2" s="1"/>
  <c r="Y10" i="2"/>
  <c r="Z10" i="2" s="1"/>
  <c r="BR126" i="14"/>
  <c r="BR127" i="14"/>
  <c r="BR128" i="14"/>
  <c r="BR129" i="14"/>
  <c r="BR130" i="14"/>
  <c r="BR131" i="14"/>
  <c r="BR132" i="14"/>
  <c r="BR133" i="14"/>
  <c r="BQ126" i="14"/>
  <c r="BS126" i="14" s="1"/>
  <c r="BQ127" i="14"/>
  <c r="BQ128" i="14"/>
  <c r="BQ129" i="14"/>
  <c r="BS129" i="14" s="1"/>
  <c r="BQ130" i="14"/>
  <c r="BQ131" i="14"/>
  <c r="BQ132" i="14"/>
  <c r="BS132" i="14" s="1"/>
  <c r="BQ133" i="14"/>
  <c r="BS133" i="14" s="1"/>
  <c r="BU126" i="14"/>
  <c r="BU127" i="14"/>
  <c r="BU128" i="14"/>
  <c r="BU129" i="14"/>
  <c r="BU130" i="14"/>
  <c r="BU131" i="14"/>
  <c r="BU132" i="14"/>
  <c r="BU133" i="14"/>
  <c r="Z126" i="14"/>
  <c r="Z127" i="14"/>
  <c r="Z128" i="14"/>
  <c r="Z129" i="14"/>
  <c r="Z130" i="14"/>
  <c r="Z131" i="14"/>
  <c r="Z132" i="14"/>
  <c r="Z133" i="14"/>
  <c r="CP85" i="2"/>
  <c r="CP86" i="2"/>
  <c r="AC6" i="7"/>
  <c r="AH39" i="7"/>
  <c r="DB48" i="7"/>
  <c r="DA48" i="7"/>
  <c r="CZ48" i="7"/>
  <c r="CY48" i="7"/>
  <c r="CX48" i="7"/>
  <c r="CW48" i="7"/>
  <c r="CV48" i="7"/>
  <c r="CU48" i="7"/>
  <c r="CT48" i="7"/>
  <c r="CS48" i="7"/>
  <c r="CR48" i="7"/>
  <c r="CQ48" i="7"/>
  <c r="CP48" i="7"/>
  <c r="CO48" i="7"/>
  <c r="CN48" i="7"/>
  <c r="CM48" i="7"/>
  <c r="CL48" i="7"/>
  <c r="CK48" i="7"/>
  <c r="CJ48" i="7"/>
  <c r="CI48" i="7"/>
  <c r="CH48" i="7"/>
  <c r="CG48" i="7"/>
  <c r="CF48" i="7"/>
  <c r="CE48" i="7"/>
  <c r="BG48" i="7"/>
  <c r="BF48" i="7"/>
  <c r="BE48" i="7"/>
  <c r="BD48" i="7"/>
  <c r="BC48" i="7"/>
  <c r="BB48" i="7"/>
  <c r="BA48" i="7"/>
  <c r="AZ48" i="7"/>
  <c r="AY48" i="7"/>
  <c r="AX48" i="7"/>
  <c r="AW48" i="7"/>
  <c r="AV48" i="7"/>
  <c r="AU48" i="7"/>
  <c r="AT48" i="7"/>
  <c r="AS48" i="7"/>
  <c r="AR48" i="7"/>
  <c r="AQ48" i="7"/>
  <c r="AP48" i="7"/>
  <c r="AO48" i="7"/>
  <c r="AN48" i="7"/>
  <c r="AM48" i="7"/>
  <c r="AL48" i="7"/>
  <c r="AK48" i="7"/>
  <c r="AJ48" i="7"/>
  <c r="AH38" i="7"/>
  <c r="CD38" i="7"/>
  <c r="AH40" i="7"/>
  <c r="AH41" i="7"/>
  <c r="CD41" i="7"/>
  <c r="AH42" i="7"/>
  <c r="CD42" i="7"/>
  <c r="AH43" i="7"/>
  <c r="CD43" i="7"/>
  <c r="AH44" i="7"/>
  <c r="CD44" i="7"/>
  <c r="AK37" i="7"/>
  <c r="AM37" i="7"/>
  <c r="AO37" i="7"/>
  <c r="AQ37" i="7"/>
  <c r="AS37" i="7"/>
  <c r="AU37" i="7"/>
  <c r="AW37" i="7"/>
  <c r="AY37" i="7"/>
  <c r="BA37" i="7"/>
  <c r="BC37" i="7"/>
  <c r="BE37" i="7"/>
  <c r="BG37" i="7"/>
  <c r="AH45" i="7"/>
  <c r="CD45" i="7"/>
  <c r="AH46" i="7"/>
  <c r="CD46" i="7"/>
  <c r="AH47" i="7"/>
  <c r="CD47" i="7"/>
  <c r="BS131" i="14" l="1"/>
  <c r="BS130" i="14"/>
  <c r="BS127" i="14"/>
  <c r="BS128" i="14"/>
  <c r="AH48" i="7"/>
  <c r="CD48" i="7"/>
  <c r="G47" i="7"/>
  <c r="D47" i="7" s="1"/>
  <c r="H45" i="7"/>
  <c r="G45" i="7"/>
  <c r="D45" i="7" s="1"/>
  <c r="G46" i="7"/>
  <c r="D46" i="7" s="1"/>
  <c r="H47" i="7"/>
  <c r="BQ5" i="7" l="1"/>
  <c r="AH24" i="7"/>
  <c r="AH25" i="7"/>
  <c r="Y116" i="14"/>
  <c r="BR116" i="14" s="1"/>
  <c r="Y117" i="14"/>
  <c r="BR117" i="14" s="1"/>
  <c r="Y118" i="14"/>
  <c r="BR118" i="14" s="1"/>
  <c r="Y119" i="14"/>
  <c r="BR119" i="14" s="1"/>
  <c r="Y120" i="14"/>
  <c r="BR120" i="14" s="1"/>
  <c r="Y121" i="14"/>
  <c r="BR121" i="14" s="1"/>
  <c r="Y122" i="14"/>
  <c r="BR122" i="14" s="1"/>
  <c r="Y123" i="14"/>
  <c r="BR123" i="14" s="1"/>
  <c r="Y124" i="14"/>
  <c r="BR124" i="14" s="1"/>
  <c r="Y125" i="14"/>
  <c r="BR125" i="14" s="1"/>
  <c r="AN116" i="14"/>
  <c r="AN117" i="14"/>
  <c r="AN118" i="14"/>
  <c r="AN119" i="14"/>
  <c r="AN120" i="14"/>
  <c r="AN121" i="14"/>
  <c r="AN122" i="14"/>
  <c r="AN123" i="14"/>
  <c r="AN124" i="14"/>
  <c r="AN125" i="14"/>
  <c r="AN126" i="14"/>
  <c r="AN127" i="14"/>
  <c r="AN128" i="14"/>
  <c r="AN129" i="14"/>
  <c r="AN130" i="14"/>
  <c r="AN131" i="14"/>
  <c r="AN132" i="14"/>
  <c r="AN133" i="14"/>
  <c r="AO116" i="14"/>
  <c r="AO117" i="14"/>
  <c r="AO118" i="14"/>
  <c r="AO119" i="14"/>
  <c r="AO120" i="14"/>
  <c r="AO121" i="14"/>
  <c r="AO122" i="14"/>
  <c r="AO123" i="14"/>
  <c r="AO124" i="14"/>
  <c r="AO125" i="14"/>
  <c r="AO126" i="14"/>
  <c r="AO127" i="14"/>
  <c r="AO128" i="14"/>
  <c r="AO129" i="14"/>
  <c r="AO130" i="14"/>
  <c r="AO131" i="14"/>
  <c r="AO132" i="14"/>
  <c r="AO133" i="14"/>
  <c r="BB116" i="14"/>
  <c r="BB117" i="14"/>
  <c r="BB118" i="14"/>
  <c r="BB119" i="14"/>
  <c r="BB120" i="14"/>
  <c r="BB121" i="14"/>
  <c r="BB122" i="14"/>
  <c r="BB123" i="14"/>
  <c r="BB124" i="14"/>
  <c r="BB125" i="14"/>
  <c r="BB126" i="14"/>
  <c r="BB127" i="14"/>
  <c r="BB128" i="14"/>
  <c r="BB129" i="14"/>
  <c r="BB130" i="14"/>
  <c r="BB131" i="14"/>
  <c r="BB132" i="14"/>
  <c r="BB133" i="14"/>
  <c r="BU125" i="14" l="1"/>
  <c r="BQ125" i="14"/>
  <c r="BS125" i="14" s="1"/>
  <c r="BU124" i="14"/>
  <c r="BQ124" i="14"/>
  <c r="BS124" i="14" s="1"/>
  <c r="BU123" i="14"/>
  <c r="BQ123" i="14"/>
  <c r="BS123" i="14" s="1"/>
  <c r="BU122" i="14"/>
  <c r="BQ122" i="14"/>
  <c r="BS122" i="14" s="1"/>
  <c r="BU121" i="14"/>
  <c r="BQ121" i="14"/>
  <c r="BS121" i="14" s="1"/>
  <c r="BU120" i="14"/>
  <c r="BQ120" i="14"/>
  <c r="BS120" i="14" s="1"/>
  <c r="BU119" i="14"/>
  <c r="BQ119" i="14"/>
  <c r="BS119" i="14" s="1"/>
  <c r="BU118" i="14"/>
  <c r="BQ118" i="14"/>
  <c r="BS118" i="14" s="1"/>
  <c r="BU117" i="14"/>
  <c r="BQ117" i="14"/>
  <c r="BS117" i="14" s="1"/>
  <c r="BU116" i="14"/>
  <c r="BQ116" i="14"/>
  <c r="BS116" i="14" s="1"/>
  <c r="Y87" i="14"/>
  <c r="BR87" i="14" s="1"/>
  <c r="Y88" i="14"/>
  <c r="BR88" i="14" s="1"/>
  <c r="Y89" i="14"/>
  <c r="BR89" i="14" s="1"/>
  <c r="Y90" i="14"/>
  <c r="BR90" i="14" s="1"/>
  <c r="Y91" i="14"/>
  <c r="BR91" i="14" s="1"/>
  <c r="Y92" i="14"/>
  <c r="BR92" i="14" s="1"/>
  <c r="Y93" i="14"/>
  <c r="BR93" i="14" s="1"/>
  <c r="Y94" i="14"/>
  <c r="BR94" i="14" s="1"/>
  <c r="Y95" i="14"/>
  <c r="BR95" i="14" s="1"/>
  <c r="Y96" i="14"/>
  <c r="BR96" i="14" s="1"/>
  <c r="Y97" i="14"/>
  <c r="BR97" i="14" s="1"/>
  <c r="Y98" i="14"/>
  <c r="BR98" i="14" s="1"/>
  <c r="Y99" i="14"/>
  <c r="BR99" i="14" s="1"/>
  <c r="Y100" i="14"/>
  <c r="BR100" i="14" s="1"/>
  <c r="Y101" i="14"/>
  <c r="BR101" i="14" s="1"/>
  <c r="Y102" i="14"/>
  <c r="BR102" i="14" s="1"/>
  <c r="Y103" i="14"/>
  <c r="BR103" i="14" s="1"/>
  <c r="Y104" i="14"/>
  <c r="BR104" i="14" s="1"/>
  <c r="Y105" i="14"/>
  <c r="BR105" i="14" s="1"/>
  <c r="Y106" i="14"/>
  <c r="BR106" i="14" s="1"/>
  <c r="Y107" i="14"/>
  <c r="BR107" i="14" s="1"/>
  <c r="Y108" i="14"/>
  <c r="BR108" i="14" s="1"/>
  <c r="Y109" i="14"/>
  <c r="BR109" i="14" s="1"/>
  <c r="Y110" i="14"/>
  <c r="BR110" i="14" s="1"/>
  <c r="Y111" i="14"/>
  <c r="BR111" i="14" s="1"/>
  <c r="Y112" i="14"/>
  <c r="BR112" i="14" s="1"/>
  <c r="Y113" i="14"/>
  <c r="BR113" i="14" s="1"/>
  <c r="Y114" i="14"/>
  <c r="BR114" i="14" s="1"/>
  <c r="Y115" i="14"/>
  <c r="BR115" i="14" s="1"/>
  <c r="AN87" i="14"/>
  <c r="AN88" i="14"/>
  <c r="AN89" i="14"/>
  <c r="AN90" i="14"/>
  <c r="AN91" i="14"/>
  <c r="AN92" i="14"/>
  <c r="AN93" i="14"/>
  <c r="AN94" i="14"/>
  <c r="AN95" i="14"/>
  <c r="AN96" i="14"/>
  <c r="AN97" i="14"/>
  <c r="AN98" i="14"/>
  <c r="AN99" i="14"/>
  <c r="AN100" i="14"/>
  <c r="AN101" i="14"/>
  <c r="AN102" i="14"/>
  <c r="AN103" i="14"/>
  <c r="AN104" i="14"/>
  <c r="AN105" i="14"/>
  <c r="AN106" i="14"/>
  <c r="AN107" i="14"/>
  <c r="AN108" i="14"/>
  <c r="AN109" i="14"/>
  <c r="AN110" i="14"/>
  <c r="AN111" i="14"/>
  <c r="AN112" i="14"/>
  <c r="AN113" i="14"/>
  <c r="AN114" i="14"/>
  <c r="AN115" i="14"/>
  <c r="AO87" i="14"/>
  <c r="AO88" i="14"/>
  <c r="AO89" i="14"/>
  <c r="AO90" i="14"/>
  <c r="AO91" i="14"/>
  <c r="AO92" i="14"/>
  <c r="AO93" i="14"/>
  <c r="AO94" i="14"/>
  <c r="AO95" i="14"/>
  <c r="AO96" i="14"/>
  <c r="AO97" i="14"/>
  <c r="AO98" i="14"/>
  <c r="AO99" i="14"/>
  <c r="AO100" i="14"/>
  <c r="AO101" i="14"/>
  <c r="AO102" i="14"/>
  <c r="AO103" i="14"/>
  <c r="AO104" i="14"/>
  <c r="AO105" i="14"/>
  <c r="AO106" i="14"/>
  <c r="AO107" i="14"/>
  <c r="AO108" i="14"/>
  <c r="AO109" i="14"/>
  <c r="AO110" i="14"/>
  <c r="AO111" i="14"/>
  <c r="AO112" i="14"/>
  <c r="AO113" i="14"/>
  <c r="AO114" i="14"/>
  <c r="AO115" i="14"/>
  <c r="BB87" i="14"/>
  <c r="BB88" i="14"/>
  <c r="BB89" i="14"/>
  <c r="BB90" i="14"/>
  <c r="BB91" i="14"/>
  <c r="BB92" i="14"/>
  <c r="BB93" i="14"/>
  <c r="BB94" i="14"/>
  <c r="BB95" i="14"/>
  <c r="BB96" i="14"/>
  <c r="BB97" i="14"/>
  <c r="BB98" i="14"/>
  <c r="BB99" i="14"/>
  <c r="BB100" i="14"/>
  <c r="BB101" i="14"/>
  <c r="BB102" i="14"/>
  <c r="BB103" i="14"/>
  <c r="BB104" i="14"/>
  <c r="BB105" i="14"/>
  <c r="BB106" i="14"/>
  <c r="BB107" i="14"/>
  <c r="BB108" i="14"/>
  <c r="BB109" i="14"/>
  <c r="BB110" i="14"/>
  <c r="BB111" i="14"/>
  <c r="BB112" i="14"/>
  <c r="BB113" i="14"/>
  <c r="BB114" i="14"/>
  <c r="BB115" i="14"/>
  <c r="BU115" i="14" l="1"/>
  <c r="BQ115" i="14"/>
  <c r="BS115" i="14" s="1"/>
  <c r="BU114" i="14"/>
  <c r="BQ114" i="14"/>
  <c r="BS114" i="14" s="1"/>
  <c r="BU113" i="14"/>
  <c r="BQ113" i="14"/>
  <c r="BS113" i="14" s="1"/>
  <c r="BU112" i="14"/>
  <c r="BQ112" i="14"/>
  <c r="BS112" i="14" s="1"/>
  <c r="BU111" i="14"/>
  <c r="BQ111" i="14"/>
  <c r="BS111" i="14" s="1"/>
  <c r="BU110" i="14"/>
  <c r="BQ110" i="14"/>
  <c r="BS110" i="14" s="1"/>
  <c r="BU109" i="14"/>
  <c r="BQ109" i="14"/>
  <c r="BS109" i="14" s="1"/>
  <c r="BU108" i="14"/>
  <c r="BQ108" i="14"/>
  <c r="BS108" i="14" s="1"/>
  <c r="BU107" i="14"/>
  <c r="BQ107" i="14"/>
  <c r="BS107" i="14" s="1"/>
  <c r="BU106" i="14"/>
  <c r="BQ106" i="14"/>
  <c r="BS106" i="14" s="1"/>
  <c r="BU105" i="14"/>
  <c r="BQ105" i="14"/>
  <c r="BS105" i="14" s="1"/>
  <c r="BU104" i="14"/>
  <c r="BQ104" i="14"/>
  <c r="BS104" i="14" s="1"/>
  <c r="BU103" i="14"/>
  <c r="BQ103" i="14"/>
  <c r="BS103" i="14" s="1"/>
  <c r="BU102" i="14"/>
  <c r="BQ102" i="14"/>
  <c r="BS102" i="14" s="1"/>
  <c r="BU101" i="14"/>
  <c r="BQ101" i="14"/>
  <c r="BS101" i="14" s="1"/>
  <c r="BU100" i="14"/>
  <c r="BQ100" i="14"/>
  <c r="BS100" i="14" s="1"/>
  <c r="BU99" i="14"/>
  <c r="BQ99" i="14"/>
  <c r="BS99" i="14" s="1"/>
  <c r="BU98" i="14"/>
  <c r="BQ98" i="14"/>
  <c r="BS98" i="14" s="1"/>
  <c r="BU97" i="14"/>
  <c r="BQ97" i="14"/>
  <c r="BS97" i="14" s="1"/>
  <c r="BU96" i="14"/>
  <c r="BQ96" i="14"/>
  <c r="BS96" i="14" s="1"/>
  <c r="BU95" i="14"/>
  <c r="BQ95" i="14"/>
  <c r="BS95" i="14" s="1"/>
  <c r="BU94" i="14"/>
  <c r="BQ94" i="14"/>
  <c r="BS94" i="14" s="1"/>
  <c r="BU93" i="14"/>
  <c r="BQ93" i="14"/>
  <c r="BS93" i="14" s="1"/>
  <c r="BU92" i="14"/>
  <c r="BQ92" i="14"/>
  <c r="BS92" i="14" s="1"/>
  <c r="BU91" i="14"/>
  <c r="BQ91" i="14"/>
  <c r="BS91" i="14" s="1"/>
  <c r="BU90" i="14"/>
  <c r="BQ90" i="14"/>
  <c r="BS90" i="14" s="1"/>
  <c r="BU89" i="14"/>
  <c r="BQ89" i="14"/>
  <c r="BS89" i="14" s="1"/>
  <c r="BU88" i="14"/>
  <c r="BQ88" i="14"/>
  <c r="BS88" i="14" s="1"/>
  <c r="BU87" i="14"/>
  <c r="BQ87" i="14"/>
  <c r="BS87" i="14" s="1"/>
  <c r="BB86" i="14"/>
  <c r="AO86" i="14"/>
  <c r="AN86" i="14"/>
  <c r="Y86" i="14"/>
  <c r="BR86" i="14" s="1"/>
  <c r="BB85" i="14"/>
  <c r="AO85" i="14"/>
  <c r="AN85" i="14"/>
  <c r="Y85" i="14"/>
  <c r="BR85" i="14" s="1"/>
  <c r="BB84" i="14"/>
  <c r="AO84" i="14"/>
  <c r="AN84" i="14"/>
  <c r="Y84" i="14"/>
  <c r="BR84" i="14" s="1"/>
  <c r="BB83" i="14"/>
  <c r="AO83" i="14"/>
  <c r="AN83" i="14"/>
  <c r="Y83" i="14"/>
  <c r="BR83" i="14" s="1"/>
  <c r="BB82" i="14"/>
  <c r="AO82" i="14"/>
  <c r="AN82" i="14"/>
  <c r="Y82" i="14"/>
  <c r="BR82" i="14" s="1"/>
  <c r="BB81" i="14"/>
  <c r="AO81" i="14"/>
  <c r="AN81" i="14"/>
  <c r="Y81" i="14"/>
  <c r="BR81" i="14" s="1"/>
  <c r="BB80" i="14"/>
  <c r="AO80" i="14"/>
  <c r="AN80" i="14"/>
  <c r="Y80" i="14"/>
  <c r="BR80" i="14" s="1"/>
  <c r="BB79" i="14"/>
  <c r="AO79" i="14"/>
  <c r="Y79" i="14"/>
  <c r="BR79" i="14" s="1"/>
  <c r="BB78" i="14"/>
  <c r="AO78" i="14"/>
  <c r="Y78" i="14"/>
  <c r="BR78" i="14" s="1"/>
  <c r="BB77" i="14"/>
  <c r="AO77" i="14"/>
  <c r="Y77" i="14"/>
  <c r="BR77" i="14" s="1"/>
  <c r="BB76" i="14"/>
  <c r="AO76" i="14"/>
  <c r="Y76" i="14"/>
  <c r="BR76" i="14" s="1"/>
  <c r="BB75" i="14"/>
  <c r="AO75" i="14"/>
  <c r="Y75" i="14"/>
  <c r="BR75" i="14" s="1"/>
  <c r="BB74" i="14"/>
  <c r="AO74" i="14"/>
  <c r="Y74" i="14"/>
  <c r="BR74" i="14" s="1"/>
  <c r="BB73" i="14"/>
  <c r="AO73" i="14"/>
  <c r="Y73" i="14"/>
  <c r="BR73" i="14" s="1"/>
  <c r="BB72" i="14"/>
  <c r="AO72" i="14"/>
  <c r="Y72" i="14"/>
  <c r="BR72" i="14" s="1"/>
  <c r="BB71" i="14"/>
  <c r="AO71" i="14"/>
  <c r="Y71" i="14"/>
  <c r="BR71" i="14" s="1"/>
  <c r="BB70" i="14"/>
  <c r="AO70" i="14"/>
  <c r="Y70" i="14"/>
  <c r="BR70" i="14" s="1"/>
  <c r="BB69" i="14"/>
  <c r="AO69" i="14"/>
  <c r="AN69" i="14"/>
  <c r="Y69" i="14"/>
  <c r="BR69" i="14" s="1"/>
  <c r="BB68" i="14"/>
  <c r="AO68" i="14"/>
  <c r="AN68" i="14"/>
  <c r="Y68" i="14"/>
  <c r="BR68" i="14" s="1"/>
  <c r="BB67" i="14"/>
  <c r="AO67" i="14"/>
  <c r="AN67" i="14"/>
  <c r="Y67" i="14"/>
  <c r="BR67" i="14" s="1"/>
  <c r="BB66" i="14"/>
  <c r="AO66" i="14"/>
  <c r="AN66" i="14"/>
  <c r="Y66" i="14"/>
  <c r="BR66" i="14" s="1"/>
  <c r="BB65" i="14"/>
  <c r="AO65" i="14"/>
  <c r="AN65" i="14"/>
  <c r="Y65" i="14"/>
  <c r="BR65" i="14" s="1"/>
  <c r="BB64" i="14"/>
  <c r="AO64" i="14"/>
  <c r="AN64" i="14"/>
  <c r="Y64" i="14"/>
  <c r="BR64" i="14" s="1"/>
  <c r="BB63" i="14"/>
  <c r="AO63" i="14"/>
  <c r="AN63" i="14"/>
  <c r="Y63" i="14"/>
  <c r="BR63" i="14" s="1"/>
  <c r="BB62" i="14"/>
  <c r="AO62" i="14"/>
  <c r="AN62" i="14"/>
  <c r="Y62" i="14"/>
  <c r="BR62" i="14" s="1"/>
  <c r="BB61" i="14"/>
  <c r="AO61" i="14"/>
  <c r="AN61" i="14"/>
  <c r="Y61" i="14"/>
  <c r="BR61" i="14" s="1"/>
  <c r="BB60" i="14"/>
  <c r="AO60" i="14"/>
  <c r="AN60" i="14"/>
  <c r="Y60" i="14"/>
  <c r="BR60" i="14" s="1"/>
  <c r="BB59" i="14"/>
  <c r="AO59" i="14"/>
  <c r="AN59" i="14"/>
  <c r="Y59" i="14"/>
  <c r="BR59" i="14" s="1"/>
  <c r="BB58" i="14"/>
  <c r="AO58" i="14"/>
  <c r="Y58" i="14"/>
  <c r="BR58" i="14" s="1"/>
  <c r="BB57" i="14"/>
  <c r="AO57" i="14"/>
  <c r="AN57" i="14"/>
  <c r="Y57" i="14"/>
  <c r="BR57" i="14" s="1"/>
  <c r="BB56" i="14"/>
  <c r="AO56" i="14"/>
  <c r="AN56" i="14"/>
  <c r="Y56" i="14"/>
  <c r="BR56" i="14" s="1"/>
  <c r="BB55" i="14"/>
  <c r="AO55" i="14"/>
  <c r="AN55" i="14"/>
  <c r="Y55" i="14"/>
  <c r="BR55" i="14" s="1"/>
  <c r="BB54" i="14"/>
  <c r="AO54" i="14"/>
  <c r="AN54" i="14"/>
  <c r="Y54" i="14"/>
  <c r="BR54" i="14" s="1"/>
  <c r="BB53" i="14"/>
  <c r="AO53" i="14"/>
  <c r="AN53" i="14"/>
  <c r="Y53" i="14"/>
  <c r="BR53" i="14" s="1"/>
  <c r="BB52" i="14"/>
  <c r="AO52" i="14"/>
  <c r="AN52" i="14"/>
  <c r="Y52" i="14"/>
  <c r="BR52" i="14" s="1"/>
  <c r="BB51" i="14"/>
  <c r="AO51" i="14"/>
  <c r="AN51" i="14"/>
  <c r="Y51" i="14"/>
  <c r="BR51" i="14" s="1"/>
  <c r="BB50" i="14"/>
  <c r="AO50" i="14"/>
  <c r="Y50" i="14"/>
  <c r="BR50" i="14" s="1"/>
  <c r="BB49" i="14"/>
  <c r="AO49" i="14"/>
  <c r="AN49" i="14"/>
  <c r="Y49" i="14"/>
  <c r="BR49" i="14" s="1"/>
  <c r="BB48" i="14"/>
  <c r="AO48" i="14"/>
  <c r="AN48" i="14"/>
  <c r="Y48" i="14"/>
  <c r="BR48" i="14" s="1"/>
  <c r="BB47" i="14"/>
  <c r="AO47" i="14"/>
  <c r="AN47" i="14"/>
  <c r="Y47" i="14"/>
  <c r="BR47" i="14" s="1"/>
  <c r="BB46" i="14"/>
  <c r="AO46" i="14"/>
  <c r="Y46" i="14"/>
  <c r="BR46" i="14" s="1"/>
  <c r="BB45" i="14"/>
  <c r="AO45" i="14"/>
  <c r="AN45" i="14"/>
  <c r="Y45" i="14"/>
  <c r="BR45" i="14" s="1"/>
  <c r="BB44" i="14"/>
  <c r="AO44" i="14"/>
  <c r="AN44" i="14"/>
  <c r="Y44" i="14"/>
  <c r="BR44" i="14" s="1"/>
  <c r="BB43" i="14"/>
  <c r="AO43" i="14"/>
  <c r="AN43" i="14"/>
  <c r="Y43" i="14"/>
  <c r="BR43" i="14" s="1"/>
  <c r="BB42" i="14"/>
  <c r="AO42" i="14"/>
  <c r="AN42" i="14"/>
  <c r="Y42" i="14"/>
  <c r="BR42" i="14" s="1"/>
  <c r="BB41" i="14"/>
  <c r="AO41" i="14"/>
  <c r="AN41" i="14"/>
  <c r="Y41" i="14"/>
  <c r="BR41" i="14" s="1"/>
  <c r="BB40" i="14"/>
  <c r="AO40" i="14"/>
  <c r="AN40" i="14"/>
  <c r="Y40" i="14"/>
  <c r="BR40" i="14" s="1"/>
  <c r="BB39" i="14"/>
  <c r="AO39" i="14"/>
  <c r="AN39" i="14"/>
  <c r="Y39" i="14"/>
  <c r="BR39" i="14" s="1"/>
  <c r="BB38" i="14"/>
  <c r="AO38" i="14"/>
  <c r="AN38" i="14"/>
  <c r="Y38" i="14"/>
  <c r="BR38" i="14" s="1"/>
  <c r="BB37" i="14"/>
  <c r="AO37" i="14"/>
  <c r="AN37" i="14"/>
  <c r="Y37" i="14"/>
  <c r="BR37" i="14" s="1"/>
  <c r="BB36" i="14"/>
  <c r="AO36" i="14"/>
  <c r="AN36" i="14"/>
  <c r="Y36" i="14"/>
  <c r="BR36" i="14" s="1"/>
  <c r="BB35" i="14"/>
  <c r="AO35" i="14"/>
  <c r="AN35" i="14"/>
  <c r="Y35" i="14"/>
  <c r="BR35" i="14" s="1"/>
  <c r="BB34" i="14"/>
  <c r="AO34" i="14"/>
  <c r="AN34" i="14"/>
  <c r="Y34" i="14"/>
  <c r="BR34" i="14" s="1"/>
  <c r="BB33" i="14"/>
  <c r="AO33" i="14"/>
  <c r="AN33" i="14"/>
  <c r="Y33" i="14"/>
  <c r="BR33" i="14" s="1"/>
  <c r="BB32" i="14"/>
  <c r="AO32" i="14"/>
  <c r="AN32" i="14"/>
  <c r="Y32" i="14"/>
  <c r="BR32" i="14" s="1"/>
  <c r="BB31" i="14"/>
  <c r="AO31" i="14"/>
  <c r="AN31" i="14"/>
  <c r="Y31" i="14"/>
  <c r="BR31" i="14" s="1"/>
  <c r="BB30" i="14"/>
  <c r="AO30" i="14"/>
  <c r="AN30" i="14"/>
  <c r="Y30" i="14"/>
  <c r="BR30" i="14" s="1"/>
  <c r="BB29" i="14"/>
  <c r="AO29" i="14"/>
  <c r="AN29" i="14"/>
  <c r="Y29" i="14"/>
  <c r="BR29" i="14" s="1"/>
  <c r="BB28" i="14"/>
  <c r="AO28" i="14"/>
  <c r="AN28" i="14"/>
  <c r="Y28" i="14"/>
  <c r="BR28" i="14" s="1"/>
  <c r="BB27" i="14"/>
  <c r="AO27" i="14"/>
  <c r="AN27" i="14"/>
  <c r="Y27" i="14"/>
  <c r="BR27" i="14" s="1"/>
  <c r="BB26" i="14"/>
  <c r="AO26" i="14"/>
  <c r="AN26" i="14"/>
  <c r="Y26" i="14"/>
  <c r="BR26" i="14" s="1"/>
  <c r="BB25" i="14"/>
  <c r="AO25" i="14"/>
  <c r="AN25" i="14"/>
  <c r="Y25" i="14"/>
  <c r="BR25" i="14" s="1"/>
  <c r="BB24" i="14"/>
  <c r="AO24" i="14"/>
  <c r="AN24" i="14"/>
  <c r="Y24" i="14"/>
  <c r="BR24" i="14" s="1"/>
  <c r="BB23" i="14"/>
  <c r="AO23" i="14"/>
  <c r="AN23" i="14"/>
  <c r="Y23" i="14"/>
  <c r="BR23" i="14" s="1"/>
  <c r="BB22" i="14"/>
  <c r="AO22" i="14"/>
  <c r="AN22" i="14"/>
  <c r="Y22" i="14"/>
  <c r="BR22" i="14" s="1"/>
  <c r="BB21" i="14"/>
  <c r="AO21" i="14"/>
  <c r="AN21" i="14"/>
  <c r="Y21" i="14"/>
  <c r="BR21" i="14" s="1"/>
  <c r="BB20" i="14"/>
  <c r="AO20" i="14"/>
  <c r="AN20" i="14"/>
  <c r="Y20" i="14"/>
  <c r="BR20" i="14" s="1"/>
  <c r="BB19" i="14"/>
  <c r="AO19" i="14"/>
  <c r="AN19" i="14"/>
  <c r="Y19" i="14"/>
  <c r="BR19" i="14" s="1"/>
  <c r="BB18" i="14"/>
  <c r="AO18" i="14"/>
  <c r="AN18" i="14"/>
  <c r="Y18" i="14"/>
  <c r="BR18" i="14" s="1"/>
  <c r="BB17" i="14"/>
  <c r="AO17" i="14"/>
  <c r="AN17" i="14"/>
  <c r="Y17" i="14"/>
  <c r="BR17" i="14" s="1"/>
  <c r="BB16" i="14"/>
  <c r="AO16" i="14"/>
  <c r="AN16" i="14"/>
  <c r="Y16" i="14"/>
  <c r="BR16" i="14" s="1"/>
  <c r="BB15" i="14"/>
  <c r="AO15" i="14"/>
  <c r="AN15" i="14"/>
  <c r="Y15" i="14"/>
  <c r="BR15" i="14" s="1"/>
  <c r="BB14" i="14"/>
  <c r="AO14" i="14"/>
  <c r="AN14" i="14"/>
  <c r="Y14" i="14"/>
  <c r="BR14" i="14" s="1"/>
  <c r="BB13" i="14"/>
  <c r="AO13" i="14"/>
  <c r="AN13" i="14"/>
  <c r="Y13" i="14"/>
  <c r="BB12" i="14"/>
  <c r="AO12" i="14"/>
  <c r="AN12" i="14"/>
  <c r="Y12" i="14"/>
  <c r="BB11" i="14"/>
  <c r="AO11" i="14"/>
  <c r="AN11" i="14"/>
  <c r="Y11" i="14"/>
  <c r="ES10" i="14"/>
  <c r="ES6" i="14" s="1"/>
  <c r="BB10" i="14"/>
  <c r="AO10" i="14"/>
  <c r="AN10" i="14"/>
  <c r="Y10" i="14"/>
  <c r="BR10" i="14" s="1"/>
  <c r="EV7" i="14"/>
  <c r="EP7" i="14"/>
  <c r="EM7" i="14"/>
  <c r="EJ7" i="14"/>
  <c r="EG7" i="14"/>
  <c r="ED7" i="14"/>
  <c r="EA7" i="14"/>
  <c r="DX7" i="14"/>
  <c r="DU7" i="14"/>
  <c r="DR7" i="14"/>
  <c r="DO7" i="14"/>
  <c r="BN7" i="14"/>
  <c r="BM7" i="14"/>
  <c r="BL7" i="14"/>
  <c r="BK7" i="14"/>
  <c r="BJ7" i="14"/>
  <c r="BI7" i="14"/>
  <c r="BH7" i="14"/>
  <c r="BG7" i="14"/>
  <c r="BF7" i="14"/>
  <c r="BE7" i="14"/>
  <c r="BD7" i="14"/>
  <c r="BC7" i="14"/>
  <c r="BA7" i="14"/>
  <c r="AZ7" i="14"/>
  <c r="AY7" i="14"/>
  <c r="AX7" i="14"/>
  <c r="AW7" i="14"/>
  <c r="AV7" i="14"/>
  <c r="AU7" i="14"/>
  <c r="AT7" i="14"/>
  <c r="AS7" i="14"/>
  <c r="AR7" i="14"/>
  <c r="AQ7" i="14"/>
  <c r="AP7" i="14"/>
  <c r="EV6" i="14"/>
  <c r="EP6" i="14"/>
  <c r="EM6" i="14"/>
  <c r="EJ6" i="14"/>
  <c r="EG6" i="14"/>
  <c r="ED6" i="14"/>
  <c r="EA6" i="14"/>
  <c r="DX6" i="14"/>
  <c r="DU6" i="14"/>
  <c r="DR6" i="14"/>
  <c r="DO6" i="14"/>
  <c r="BN6" i="14"/>
  <c r="BM6" i="14"/>
  <c r="BL6" i="14"/>
  <c r="BK6" i="14"/>
  <c r="BJ6" i="14"/>
  <c r="BI6" i="14"/>
  <c r="BH6" i="14"/>
  <c r="BG6" i="14"/>
  <c r="BF6" i="14"/>
  <c r="BE6" i="14"/>
  <c r="BD6" i="14"/>
  <c r="BC6" i="14"/>
  <c r="BA6" i="14"/>
  <c r="AZ6" i="14"/>
  <c r="AY6" i="14"/>
  <c r="AX6" i="14"/>
  <c r="AW6" i="14"/>
  <c r="AV6" i="14"/>
  <c r="AU6" i="14"/>
  <c r="AT6" i="14"/>
  <c r="AS6" i="14"/>
  <c r="AR6" i="14"/>
  <c r="AQ6" i="14"/>
  <c r="AP6" i="14"/>
  <c r="AF63" i="7"/>
  <c r="AF64" i="7"/>
  <c r="AF65" i="7"/>
  <c r="AF66" i="7"/>
  <c r="AF67" i="7"/>
  <c r="AF68" i="7"/>
  <c r="AF69" i="7"/>
  <c r="AF70" i="7"/>
  <c r="AF71" i="7"/>
  <c r="AF72" i="7"/>
  <c r="AF73" i="7"/>
  <c r="AF74" i="7"/>
  <c r="AF75" i="7"/>
  <c r="AF76" i="7"/>
  <c r="AF62" i="7"/>
  <c r="AE63" i="7"/>
  <c r="AE64" i="7"/>
  <c r="AE65" i="7"/>
  <c r="AE66" i="7"/>
  <c r="AE67" i="7"/>
  <c r="AE68" i="7"/>
  <c r="AE69" i="7"/>
  <c r="AE70" i="7"/>
  <c r="AE71" i="7"/>
  <c r="AE72" i="7"/>
  <c r="AE73" i="7"/>
  <c r="AE74" i="7"/>
  <c r="AE75" i="7"/>
  <c r="AE76" i="7"/>
  <c r="AE62" i="7"/>
  <c r="AD63" i="7"/>
  <c r="AD64" i="7"/>
  <c r="AD65" i="7"/>
  <c r="AD66" i="7"/>
  <c r="AD67" i="7"/>
  <c r="AD68" i="7"/>
  <c r="AD69" i="7"/>
  <c r="AD70" i="7"/>
  <c r="AD71" i="7"/>
  <c r="AD72" i="7"/>
  <c r="AD73" i="7"/>
  <c r="AD74" i="7"/>
  <c r="AD75" i="7"/>
  <c r="AD76" i="7"/>
  <c r="AD62" i="7"/>
  <c r="AC63" i="7"/>
  <c r="AC64" i="7"/>
  <c r="AC65" i="7"/>
  <c r="AC66" i="7"/>
  <c r="AC67" i="7"/>
  <c r="AC68" i="7"/>
  <c r="AC69" i="7"/>
  <c r="AC70" i="7"/>
  <c r="AC71" i="7"/>
  <c r="AC72" i="7"/>
  <c r="AC73" i="7"/>
  <c r="AC74" i="7"/>
  <c r="AC75" i="7"/>
  <c r="AC76" i="7"/>
  <c r="AC62" i="7"/>
  <c r="AB63" i="7"/>
  <c r="AB64" i="7"/>
  <c r="AB65" i="7"/>
  <c r="AB66" i="7"/>
  <c r="AB67" i="7"/>
  <c r="AB68" i="7"/>
  <c r="AB69" i="7"/>
  <c r="AB70" i="7"/>
  <c r="AB71" i="7"/>
  <c r="AB72" i="7"/>
  <c r="AB73" i="7"/>
  <c r="AB74" i="7"/>
  <c r="AB75" i="7"/>
  <c r="AB76" i="7"/>
  <c r="AB62" i="7"/>
  <c r="AA63" i="7"/>
  <c r="AA64" i="7"/>
  <c r="AA65" i="7"/>
  <c r="AA66" i="7"/>
  <c r="AA67" i="7"/>
  <c r="AA68" i="7"/>
  <c r="AA69" i="7"/>
  <c r="AA70" i="7"/>
  <c r="AA71" i="7"/>
  <c r="AA72" i="7"/>
  <c r="AA73" i="7"/>
  <c r="AA74" i="7"/>
  <c r="AA75" i="7"/>
  <c r="AA76" i="7"/>
  <c r="AA62" i="7"/>
  <c r="Z63" i="7"/>
  <c r="Z64" i="7"/>
  <c r="Z65" i="7"/>
  <c r="Z66" i="7"/>
  <c r="Z67" i="7"/>
  <c r="Z68" i="7"/>
  <c r="Z69" i="7"/>
  <c r="Z70" i="7"/>
  <c r="Z71" i="7"/>
  <c r="Z72" i="7"/>
  <c r="Z73" i="7"/>
  <c r="Z74" i="7"/>
  <c r="Z75" i="7"/>
  <c r="Z76" i="7"/>
  <c r="Z62" i="7"/>
  <c r="Y63" i="7"/>
  <c r="Y64" i="7"/>
  <c r="Y65" i="7"/>
  <c r="Y66" i="7"/>
  <c r="Y67" i="7"/>
  <c r="Y68" i="7"/>
  <c r="Y69" i="7"/>
  <c r="Y70" i="7"/>
  <c r="Y71" i="7"/>
  <c r="Y72" i="7"/>
  <c r="Y73" i="7"/>
  <c r="Y74" i="7"/>
  <c r="Y75" i="7"/>
  <c r="Y76" i="7"/>
  <c r="Y62" i="7"/>
  <c r="X63" i="7"/>
  <c r="X64" i="7"/>
  <c r="X65" i="7"/>
  <c r="X66" i="7"/>
  <c r="X67" i="7"/>
  <c r="X68" i="7"/>
  <c r="X69" i="7"/>
  <c r="X70" i="7"/>
  <c r="X71" i="7"/>
  <c r="X72" i="7"/>
  <c r="X73" i="7"/>
  <c r="X74" i="7"/>
  <c r="X75" i="7"/>
  <c r="X76" i="7"/>
  <c r="X62" i="7"/>
  <c r="W63" i="7"/>
  <c r="W64" i="7"/>
  <c r="W65" i="7"/>
  <c r="W66" i="7"/>
  <c r="W67" i="7"/>
  <c r="W68" i="7"/>
  <c r="W69" i="7"/>
  <c r="W70" i="7"/>
  <c r="W71" i="7"/>
  <c r="W72" i="7"/>
  <c r="W73" i="7"/>
  <c r="W74" i="7"/>
  <c r="W75" i="7"/>
  <c r="W76" i="7"/>
  <c r="W62" i="7"/>
  <c r="V63" i="7"/>
  <c r="V64" i="7"/>
  <c r="V65" i="7"/>
  <c r="V66" i="7"/>
  <c r="V67" i="7"/>
  <c r="V68" i="7"/>
  <c r="V69" i="7"/>
  <c r="V70" i="7"/>
  <c r="V71" i="7"/>
  <c r="V72" i="7"/>
  <c r="V73" i="7"/>
  <c r="V74" i="7"/>
  <c r="V75" i="7"/>
  <c r="V76" i="7"/>
  <c r="V62" i="7"/>
  <c r="U63" i="7"/>
  <c r="U64" i="7"/>
  <c r="U65" i="7"/>
  <c r="U66" i="7"/>
  <c r="U67" i="7"/>
  <c r="U68" i="7"/>
  <c r="U69" i="7"/>
  <c r="U70" i="7"/>
  <c r="U71" i="7"/>
  <c r="U72" i="7"/>
  <c r="U73" i="7"/>
  <c r="U74" i="7"/>
  <c r="U75" i="7"/>
  <c r="U76" i="7"/>
  <c r="U62" i="7"/>
  <c r="T63" i="7"/>
  <c r="T64" i="7"/>
  <c r="T65" i="7"/>
  <c r="T66" i="7"/>
  <c r="T67" i="7"/>
  <c r="T68" i="7"/>
  <c r="T69" i="7"/>
  <c r="T70" i="7"/>
  <c r="T71" i="7"/>
  <c r="T72" i="7"/>
  <c r="T73" i="7"/>
  <c r="T74" i="7"/>
  <c r="T75" i="7"/>
  <c r="T76" i="7"/>
  <c r="S63" i="7"/>
  <c r="S64" i="7"/>
  <c r="S65" i="7"/>
  <c r="S66" i="7"/>
  <c r="S67" i="7"/>
  <c r="S68" i="7"/>
  <c r="S69" i="7"/>
  <c r="S70" i="7"/>
  <c r="S71" i="7"/>
  <c r="S72" i="7"/>
  <c r="S73" i="7"/>
  <c r="S74" i="7"/>
  <c r="S75" i="7"/>
  <c r="S76" i="7"/>
  <c r="S62" i="7"/>
  <c r="Q63" i="7"/>
  <c r="Q64" i="7"/>
  <c r="Q65" i="7"/>
  <c r="Q66" i="7"/>
  <c r="Q67" i="7"/>
  <c r="Q68" i="7"/>
  <c r="Q69" i="7"/>
  <c r="Q70" i="7"/>
  <c r="Q71" i="7"/>
  <c r="Q72" i="7"/>
  <c r="Q73" i="7"/>
  <c r="Q74" i="7"/>
  <c r="Q75" i="7"/>
  <c r="Q76" i="7"/>
  <c r="Q62" i="7"/>
  <c r="O63" i="7"/>
  <c r="O64" i="7"/>
  <c r="O65" i="7"/>
  <c r="O66" i="7"/>
  <c r="O67" i="7"/>
  <c r="O68" i="7"/>
  <c r="O69" i="7"/>
  <c r="O70" i="7"/>
  <c r="O71" i="7"/>
  <c r="O72" i="7"/>
  <c r="O73" i="7"/>
  <c r="O74" i="7"/>
  <c r="O75" i="7"/>
  <c r="O76" i="7"/>
  <c r="O62" i="7"/>
  <c r="M63" i="7"/>
  <c r="M64" i="7"/>
  <c r="M65" i="7"/>
  <c r="M66" i="7"/>
  <c r="M67" i="7"/>
  <c r="M68" i="7"/>
  <c r="M69" i="7"/>
  <c r="M70" i="7"/>
  <c r="M71" i="7"/>
  <c r="M72" i="7"/>
  <c r="M73" i="7"/>
  <c r="M74" i="7"/>
  <c r="M75" i="7"/>
  <c r="M76" i="7"/>
  <c r="M62" i="7"/>
  <c r="T62" i="7"/>
  <c r="R63" i="7"/>
  <c r="R64" i="7"/>
  <c r="R65" i="7"/>
  <c r="R66" i="7"/>
  <c r="R67" i="7"/>
  <c r="R68" i="7"/>
  <c r="R69" i="7"/>
  <c r="R70" i="7"/>
  <c r="R71" i="7"/>
  <c r="R72" i="7"/>
  <c r="R73" i="7"/>
  <c r="R74" i="7"/>
  <c r="R75" i="7"/>
  <c r="R76" i="7"/>
  <c r="R62" i="7"/>
  <c r="P63" i="7"/>
  <c r="P64" i="7"/>
  <c r="P65" i="7"/>
  <c r="P66" i="7"/>
  <c r="P67" i="7"/>
  <c r="P68" i="7"/>
  <c r="P69" i="7"/>
  <c r="P70" i="7"/>
  <c r="P71" i="7"/>
  <c r="P72" i="7"/>
  <c r="P73" i="7"/>
  <c r="P74" i="7"/>
  <c r="P75" i="7"/>
  <c r="P76" i="7"/>
  <c r="P62" i="7"/>
  <c r="N63" i="7"/>
  <c r="N64" i="7"/>
  <c r="N65" i="7"/>
  <c r="N66" i="7"/>
  <c r="N67" i="7"/>
  <c r="N68" i="7"/>
  <c r="N69" i="7"/>
  <c r="N70" i="7"/>
  <c r="N71" i="7"/>
  <c r="N72" i="7"/>
  <c r="N73" i="7"/>
  <c r="N74" i="7"/>
  <c r="N75" i="7"/>
  <c r="N76" i="7"/>
  <c r="N62" i="7"/>
  <c r="L63" i="7"/>
  <c r="L64" i="7"/>
  <c r="L65" i="7"/>
  <c r="L66" i="7"/>
  <c r="L67" i="7"/>
  <c r="L68" i="7"/>
  <c r="L69" i="7"/>
  <c r="L70" i="7"/>
  <c r="L71" i="7"/>
  <c r="L72" i="7"/>
  <c r="L73" i="7"/>
  <c r="L74" i="7"/>
  <c r="L75" i="7"/>
  <c r="L76" i="7"/>
  <c r="L62" i="7"/>
  <c r="K63" i="7"/>
  <c r="K64" i="7"/>
  <c r="K65" i="7"/>
  <c r="K66" i="7"/>
  <c r="K67" i="7"/>
  <c r="K68" i="7"/>
  <c r="K69" i="7"/>
  <c r="K70" i="7"/>
  <c r="K71" i="7"/>
  <c r="K72" i="7"/>
  <c r="K73" i="7"/>
  <c r="K74" i="7"/>
  <c r="K75" i="7"/>
  <c r="K76" i="7"/>
  <c r="K62" i="7"/>
  <c r="J63" i="7"/>
  <c r="J64" i="7"/>
  <c r="J65" i="7"/>
  <c r="J66" i="7"/>
  <c r="J67" i="7"/>
  <c r="J68" i="7"/>
  <c r="J69" i="7"/>
  <c r="J70" i="7"/>
  <c r="J71" i="7"/>
  <c r="J72" i="7"/>
  <c r="J73" i="7"/>
  <c r="J74" i="7"/>
  <c r="J75" i="7"/>
  <c r="J76" i="7"/>
  <c r="J62" i="7"/>
  <c r="I19" i="7"/>
  <c r="I22" i="7"/>
  <c r="I63" i="7"/>
  <c r="I64" i="7"/>
  <c r="I65" i="7"/>
  <c r="I66" i="7"/>
  <c r="I67" i="7"/>
  <c r="I68" i="7"/>
  <c r="I69" i="7"/>
  <c r="I70" i="7"/>
  <c r="I71" i="7"/>
  <c r="I72" i="7"/>
  <c r="I73" i="7"/>
  <c r="I74" i="7"/>
  <c r="I75" i="7"/>
  <c r="I76" i="7"/>
  <c r="I62" i="7"/>
  <c r="Y50" i="2"/>
  <c r="AO50" i="2"/>
  <c r="BB50" i="2"/>
  <c r="BQ11" i="14" l="1"/>
  <c r="BR11" i="14"/>
  <c r="BQ12" i="14"/>
  <c r="BR12" i="14"/>
  <c r="BQ13" i="14"/>
  <c r="BR13" i="14"/>
  <c r="BU10" i="14"/>
  <c r="BQ10" i="14"/>
  <c r="BS10" i="14" s="1"/>
  <c r="BU14" i="14"/>
  <c r="BW14" i="14" s="1"/>
  <c r="BQ14" i="14"/>
  <c r="BS14" i="14" s="1"/>
  <c r="BU15" i="14"/>
  <c r="BQ15" i="14"/>
  <c r="BS15" i="14" s="1"/>
  <c r="BU16" i="14"/>
  <c r="BQ16" i="14"/>
  <c r="BS16" i="14" s="1"/>
  <c r="BU17" i="14"/>
  <c r="BQ17" i="14"/>
  <c r="BS17" i="14" s="1"/>
  <c r="BU18" i="14"/>
  <c r="BQ18" i="14"/>
  <c r="BS18" i="14" s="1"/>
  <c r="BU19" i="14"/>
  <c r="BW19" i="14" s="1"/>
  <c r="BQ19" i="14"/>
  <c r="BS19" i="14" s="1"/>
  <c r="BU20" i="14"/>
  <c r="BQ20" i="14"/>
  <c r="BS20" i="14" s="1"/>
  <c r="BU21" i="14"/>
  <c r="BW21" i="14" s="1"/>
  <c r="BQ21" i="14"/>
  <c r="BS21" i="14" s="1"/>
  <c r="BU22" i="14"/>
  <c r="BW22" i="14" s="1"/>
  <c r="BQ22" i="14"/>
  <c r="BS22" i="14" s="1"/>
  <c r="BU23" i="14"/>
  <c r="BQ23" i="14"/>
  <c r="BS23" i="14" s="1"/>
  <c r="BU24" i="14"/>
  <c r="BQ24" i="14"/>
  <c r="BS24" i="14" s="1"/>
  <c r="BU25" i="14"/>
  <c r="BQ25" i="14"/>
  <c r="BS25" i="14" s="1"/>
  <c r="BU26" i="14"/>
  <c r="BQ26" i="14"/>
  <c r="BS26" i="14" s="1"/>
  <c r="BU27" i="14"/>
  <c r="BQ27" i="14"/>
  <c r="BS27" i="14" s="1"/>
  <c r="BU28" i="14"/>
  <c r="BQ28" i="14"/>
  <c r="BS28" i="14" s="1"/>
  <c r="BU29" i="14"/>
  <c r="BQ29" i="14"/>
  <c r="BS29" i="14" s="1"/>
  <c r="BU30" i="14"/>
  <c r="BQ30" i="14"/>
  <c r="BS30" i="14" s="1"/>
  <c r="BU31" i="14"/>
  <c r="BQ31" i="14"/>
  <c r="BS31" i="14" s="1"/>
  <c r="BU32" i="14"/>
  <c r="BQ32" i="14"/>
  <c r="BS32" i="14" s="1"/>
  <c r="BU33" i="14"/>
  <c r="BQ33" i="14"/>
  <c r="BS33" i="14" s="1"/>
  <c r="BU34" i="14"/>
  <c r="BQ34" i="14"/>
  <c r="BS34" i="14" s="1"/>
  <c r="BU35" i="14"/>
  <c r="BQ35" i="14"/>
  <c r="BS35" i="14" s="1"/>
  <c r="BU36" i="14"/>
  <c r="BQ36" i="14"/>
  <c r="BS36" i="14" s="1"/>
  <c r="BU37" i="14"/>
  <c r="BQ37" i="14"/>
  <c r="BS37" i="14" s="1"/>
  <c r="BU38" i="14"/>
  <c r="BQ38" i="14"/>
  <c r="BS38" i="14" s="1"/>
  <c r="BU39" i="14"/>
  <c r="BQ39" i="14"/>
  <c r="BS39" i="14" s="1"/>
  <c r="BU40" i="14"/>
  <c r="BQ40" i="14"/>
  <c r="BS40" i="14" s="1"/>
  <c r="BU41" i="14"/>
  <c r="BQ41" i="14"/>
  <c r="BS41" i="14" s="1"/>
  <c r="BU42" i="14"/>
  <c r="BQ42" i="14"/>
  <c r="BS42" i="14" s="1"/>
  <c r="BU43" i="14"/>
  <c r="BQ43" i="14"/>
  <c r="BS43" i="14" s="1"/>
  <c r="BU44" i="14"/>
  <c r="BQ44" i="14"/>
  <c r="BS44" i="14" s="1"/>
  <c r="BU45" i="14"/>
  <c r="BQ45" i="14"/>
  <c r="BS45" i="14" s="1"/>
  <c r="BU46" i="14"/>
  <c r="BQ46" i="14"/>
  <c r="BS46" i="14" s="1"/>
  <c r="BU47" i="14"/>
  <c r="BQ47" i="14"/>
  <c r="BS47" i="14" s="1"/>
  <c r="BU48" i="14"/>
  <c r="BQ48" i="14"/>
  <c r="BS48" i="14" s="1"/>
  <c r="BU49" i="14"/>
  <c r="BQ49" i="14"/>
  <c r="BS49" i="14" s="1"/>
  <c r="BU50" i="14"/>
  <c r="BQ50" i="14"/>
  <c r="BS50" i="14" s="1"/>
  <c r="BU51" i="14"/>
  <c r="BQ51" i="14"/>
  <c r="BS51" i="14" s="1"/>
  <c r="BU52" i="14"/>
  <c r="BQ52" i="14"/>
  <c r="BS52" i="14" s="1"/>
  <c r="BU53" i="14"/>
  <c r="BQ53" i="14"/>
  <c r="BS53" i="14" s="1"/>
  <c r="BU54" i="14"/>
  <c r="BQ54" i="14"/>
  <c r="BS54" i="14" s="1"/>
  <c r="BU55" i="14"/>
  <c r="BQ55" i="14"/>
  <c r="BS55" i="14" s="1"/>
  <c r="BU56" i="14"/>
  <c r="BQ56" i="14"/>
  <c r="BS56" i="14" s="1"/>
  <c r="BU57" i="14"/>
  <c r="BQ57" i="14"/>
  <c r="BS57" i="14" s="1"/>
  <c r="BU58" i="14"/>
  <c r="BQ58" i="14"/>
  <c r="BS58" i="14" s="1"/>
  <c r="BU59" i="14"/>
  <c r="BQ59" i="14"/>
  <c r="BS59" i="14" s="1"/>
  <c r="BU60" i="14"/>
  <c r="BQ60" i="14"/>
  <c r="BS60" i="14" s="1"/>
  <c r="BU61" i="14"/>
  <c r="BQ61" i="14"/>
  <c r="BS61" i="14" s="1"/>
  <c r="BU62" i="14"/>
  <c r="BQ62" i="14"/>
  <c r="BS62" i="14" s="1"/>
  <c r="BU63" i="14"/>
  <c r="BQ63" i="14"/>
  <c r="BS63" i="14" s="1"/>
  <c r="BU64" i="14"/>
  <c r="BQ64" i="14"/>
  <c r="BS64" i="14" s="1"/>
  <c r="BU65" i="14"/>
  <c r="BQ65" i="14"/>
  <c r="BS65" i="14" s="1"/>
  <c r="BU66" i="14"/>
  <c r="BQ66" i="14"/>
  <c r="BS66" i="14" s="1"/>
  <c r="BU67" i="14"/>
  <c r="BQ67" i="14"/>
  <c r="BS67" i="14" s="1"/>
  <c r="BU68" i="14"/>
  <c r="BQ68" i="14"/>
  <c r="BS68" i="14" s="1"/>
  <c r="BU69" i="14"/>
  <c r="BQ69" i="14"/>
  <c r="BS69" i="14" s="1"/>
  <c r="BU70" i="14"/>
  <c r="BQ70" i="14"/>
  <c r="BS70" i="14" s="1"/>
  <c r="BU71" i="14"/>
  <c r="BQ71" i="14"/>
  <c r="BS71" i="14" s="1"/>
  <c r="BU72" i="14"/>
  <c r="BQ72" i="14"/>
  <c r="BS72" i="14" s="1"/>
  <c r="BU73" i="14"/>
  <c r="BQ73" i="14"/>
  <c r="BS73" i="14" s="1"/>
  <c r="BU74" i="14"/>
  <c r="BQ74" i="14"/>
  <c r="BS74" i="14" s="1"/>
  <c r="BU75" i="14"/>
  <c r="BQ75" i="14"/>
  <c r="BS75" i="14" s="1"/>
  <c r="BU76" i="14"/>
  <c r="BQ76" i="14"/>
  <c r="BS76" i="14" s="1"/>
  <c r="BU77" i="14"/>
  <c r="BQ77" i="14"/>
  <c r="BS77" i="14" s="1"/>
  <c r="BU78" i="14"/>
  <c r="BQ78" i="14"/>
  <c r="BS78" i="14" s="1"/>
  <c r="BU79" i="14"/>
  <c r="BQ79" i="14"/>
  <c r="BS79" i="14" s="1"/>
  <c r="BU80" i="14"/>
  <c r="BQ80" i="14"/>
  <c r="BS80" i="14" s="1"/>
  <c r="BU81" i="14"/>
  <c r="BQ81" i="14"/>
  <c r="BS81" i="14" s="1"/>
  <c r="BU82" i="14"/>
  <c r="BQ82" i="14"/>
  <c r="BS82" i="14" s="1"/>
  <c r="BU83" i="14"/>
  <c r="BQ83" i="14"/>
  <c r="BS83" i="14" s="1"/>
  <c r="BU84" i="14"/>
  <c r="BQ84" i="14"/>
  <c r="BS84" i="14" s="1"/>
  <c r="BU85" i="14"/>
  <c r="BQ85" i="14"/>
  <c r="BS85" i="14" s="1"/>
  <c r="BU86" i="14"/>
  <c r="BQ86" i="14"/>
  <c r="BS86" i="14" s="1"/>
  <c r="BU11" i="14"/>
  <c r="BV11" i="14"/>
  <c r="BU12" i="14"/>
  <c r="BV12" i="14"/>
  <c r="BU13" i="14"/>
  <c r="BV13" i="14"/>
  <c r="DI50" i="2"/>
  <c r="DJ50" i="2"/>
  <c r="DE50" i="2"/>
  <c r="DF50" i="2"/>
  <c r="DA50" i="2"/>
  <c r="DB50" i="2"/>
  <c r="CW50" i="2"/>
  <c r="CX50" i="2"/>
  <c r="CS50" i="2"/>
  <c r="CT50" i="2"/>
  <c r="CL50" i="2"/>
  <c r="CO50" i="2"/>
  <c r="CH50" i="2"/>
  <c r="CK50" i="2"/>
  <c r="CM50" i="2" s="1"/>
  <c r="CD50" i="2"/>
  <c r="CG50" i="2"/>
  <c r="BZ50" i="2"/>
  <c r="CC50" i="2"/>
  <c r="BU50" i="2"/>
  <c r="BY50" i="2"/>
  <c r="BR50" i="2"/>
  <c r="BV50" i="2"/>
  <c r="BW50" i="2" s="1"/>
  <c r="G68" i="7"/>
  <c r="G75" i="7"/>
  <c r="G65" i="7"/>
  <c r="G76" i="7"/>
  <c r="G67" i="7"/>
  <c r="G69" i="7"/>
  <c r="G66" i="7"/>
  <c r="G64" i="7"/>
  <c r="G63" i="7"/>
  <c r="G62" i="7"/>
  <c r="G74" i="7"/>
  <c r="G73" i="7"/>
  <c r="G72" i="7"/>
  <c r="G71" i="7"/>
  <c r="G70" i="7"/>
  <c r="ES7" i="14"/>
  <c r="AN46" i="14"/>
  <c r="AN50" i="14"/>
  <c r="AN58" i="14"/>
  <c r="AN70" i="14"/>
  <c r="AN71" i="14"/>
  <c r="AN72" i="14"/>
  <c r="AN73" i="14"/>
  <c r="AN74" i="14"/>
  <c r="AN75" i="14"/>
  <c r="AN76" i="14"/>
  <c r="AN77" i="14"/>
  <c r="AN78" i="14"/>
  <c r="AN79" i="14"/>
  <c r="AN50" i="2"/>
  <c r="CI50" i="2" l="1"/>
  <c r="CA50" i="2"/>
  <c r="CE50" i="2"/>
  <c r="BS13" i="14"/>
  <c r="BS12" i="14"/>
  <c r="BS11" i="14"/>
  <c r="BW13" i="14"/>
  <c r="BW12" i="14"/>
  <c r="BW11" i="14"/>
  <c r="DK50" i="2"/>
  <c r="DG50" i="2"/>
  <c r="DC50" i="2"/>
  <c r="CY50" i="2"/>
  <c r="CU50" i="2"/>
  <c r="I289" i="1"/>
  <c r="AK61" i="7"/>
  <c r="AM61" i="7"/>
  <c r="AO61" i="7"/>
  <c r="AQ61" i="7"/>
  <c r="AS61" i="7"/>
  <c r="AU61" i="7"/>
  <c r="AW61" i="7"/>
  <c r="AY61" i="7"/>
  <c r="BA61" i="7"/>
  <c r="BC61" i="7"/>
  <c r="BE61" i="7"/>
  <c r="BG61" i="7"/>
  <c r="AH62" i="7"/>
  <c r="CD62" i="7"/>
  <c r="AH63" i="7"/>
  <c r="CD63" i="7"/>
  <c r="AH64" i="7"/>
  <c r="CD64" i="7"/>
  <c r="AH65" i="7"/>
  <c r="CD65" i="7"/>
  <c r="AH66" i="7"/>
  <c r="CD66" i="7"/>
  <c r="AH67" i="7"/>
  <c r="CD67" i="7"/>
  <c r="AH68" i="7"/>
  <c r="CD68" i="7"/>
  <c r="AH69" i="7"/>
  <c r="CD69" i="7"/>
  <c r="AH70" i="7"/>
  <c r="CD70" i="7"/>
  <c r="AH71" i="7"/>
  <c r="CD71" i="7"/>
  <c r="AH72" i="7"/>
  <c r="CD72" i="7"/>
  <c r="AH73" i="7"/>
  <c r="CD73" i="7"/>
  <c r="AH74" i="7"/>
  <c r="CD74" i="7"/>
  <c r="AH75" i="7"/>
  <c r="CD75" i="7"/>
  <c r="AH76" i="7"/>
  <c r="CD76" i="7"/>
  <c r="J77" i="7"/>
  <c r="H6" i="7" s="1"/>
  <c r="L77" i="7"/>
  <c r="N77" i="7"/>
  <c r="L6" i="7" s="1"/>
  <c r="P77" i="7"/>
  <c r="R77" i="7"/>
  <c r="T77" i="7"/>
  <c r="V77" i="7"/>
  <c r="X77" i="7"/>
  <c r="Z77" i="7"/>
  <c r="AB77" i="7"/>
  <c r="AD77" i="7"/>
  <c r="AF77" i="7"/>
  <c r="AD6" i="7" s="1"/>
  <c r="AJ77" i="7"/>
  <c r="AJ80" i="7" s="1"/>
  <c r="AK77" i="7"/>
  <c r="AK78" i="7" s="1"/>
  <c r="AL77" i="7"/>
  <c r="AL80" i="7" s="1"/>
  <c r="AM77" i="7"/>
  <c r="AN77" i="7"/>
  <c r="AN80" i="7" s="1"/>
  <c r="AO77" i="7"/>
  <c r="AO78" i="7" s="1"/>
  <c r="AP77" i="7"/>
  <c r="AP80" i="7" s="1"/>
  <c r="AQ77" i="7"/>
  <c r="AQ78" i="7" s="1"/>
  <c r="AR77" i="7"/>
  <c r="AR80" i="7" s="1"/>
  <c r="AS77" i="7"/>
  <c r="AT77" i="7"/>
  <c r="AT80" i="7" s="1"/>
  <c r="AU77" i="7"/>
  <c r="AU80" i="7" s="1"/>
  <c r="AV77" i="7"/>
  <c r="AV80" i="7" s="1"/>
  <c r="AW77" i="7"/>
  <c r="AX77" i="7"/>
  <c r="AY77" i="7"/>
  <c r="AZ77" i="7"/>
  <c r="AZ80" i="7" s="1"/>
  <c r="BA77" i="7"/>
  <c r="BA80" i="7" s="1"/>
  <c r="BB77" i="7"/>
  <c r="BB80" i="7" s="1"/>
  <c r="BC77" i="7"/>
  <c r="BC80" i="7" s="1"/>
  <c r="BD77" i="7"/>
  <c r="BD80" i="7" s="1"/>
  <c r="BE77" i="7"/>
  <c r="BE80" i="7" s="1"/>
  <c r="BF77" i="7"/>
  <c r="BF80" i="7" s="1"/>
  <c r="BG77" i="7"/>
  <c r="BG80" i="7" s="1"/>
  <c r="CE77" i="7"/>
  <c r="CE80" i="7" s="1"/>
  <c r="CF77" i="7"/>
  <c r="CF80" i="7" s="1"/>
  <c r="CG77" i="7"/>
  <c r="CG80" i="7" s="1"/>
  <c r="CH77" i="7"/>
  <c r="CH80" i="7" s="1"/>
  <c r="CI77" i="7"/>
  <c r="CI80" i="7" s="1"/>
  <c r="CJ77" i="7"/>
  <c r="CJ80" i="7" s="1"/>
  <c r="CK77" i="7"/>
  <c r="CK80" i="7" s="1"/>
  <c r="CL77" i="7"/>
  <c r="CL80" i="7" s="1"/>
  <c r="CM77" i="7"/>
  <c r="CM80" i="7" s="1"/>
  <c r="CN77" i="7"/>
  <c r="CN80" i="7" s="1"/>
  <c r="CO77" i="7"/>
  <c r="CO80" i="7" s="1"/>
  <c r="CP77" i="7"/>
  <c r="CP80" i="7" s="1"/>
  <c r="CQ77" i="7"/>
  <c r="CQ80" i="7" s="1"/>
  <c r="CR77" i="7"/>
  <c r="CR80" i="7" s="1"/>
  <c r="CS77" i="7"/>
  <c r="CS80" i="7" s="1"/>
  <c r="CT77" i="7"/>
  <c r="CT80" i="7" s="1"/>
  <c r="CU77" i="7"/>
  <c r="CU80" i="7" s="1"/>
  <c r="CV77" i="7"/>
  <c r="CV80" i="7" s="1"/>
  <c r="CW77" i="7"/>
  <c r="CW80" i="7" s="1"/>
  <c r="CX77" i="7"/>
  <c r="CX80" i="7" s="1"/>
  <c r="CY77" i="7"/>
  <c r="CY80" i="7" s="1"/>
  <c r="CZ77" i="7"/>
  <c r="CZ80" i="7" s="1"/>
  <c r="DA77" i="7"/>
  <c r="DA80" i="7" s="1"/>
  <c r="DB77" i="7"/>
  <c r="DB80" i="7" s="1"/>
  <c r="I79" i="7"/>
  <c r="AH79" i="7"/>
  <c r="CD79" i="7"/>
  <c r="AW80" i="7"/>
  <c r="AX80" i="7"/>
  <c r="AY80" i="7"/>
  <c r="AF80" i="7" l="1"/>
  <c r="AD80" i="7"/>
  <c r="AB6" i="7"/>
  <c r="AB80" i="7"/>
  <c r="Z6" i="7"/>
  <c r="Z80" i="7"/>
  <c r="X6" i="7"/>
  <c r="X80" i="7"/>
  <c r="V6" i="7"/>
  <c r="V80" i="7"/>
  <c r="T6" i="7"/>
  <c r="T80" i="7"/>
  <c r="R6" i="7"/>
  <c r="R80" i="7"/>
  <c r="P6" i="7"/>
  <c r="P80" i="7"/>
  <c r="N6" i="7"/>
  <c r="L80" i="7"/>
  <c r="J6" i="7"/>
  <c r="AY78" i="7"/>
  <c r="AM78" i="7"/>
  <c r="BA78" i="7"/>
  <c r="BC78" i="7"/>
  <c r="AW78" i="7"/>
  <c r="AS78" i="7"/>
  <c r="CD77" i="7"/>
  <c r="AH77" i="7"/>
  <c r="AH80" i="7" s="1"/>
  <c r="BG78" i="7"/>
  <c r="BE78" i="7"/>
  <c r="CD80" i="7"/>
  <c r="AU78" i="7"/>
  <c r="AS80" i="7"/>
  <c r="AQ80" i="7"/>
  <c r="J80" i="7"/>
  <c r="AM80" i="7"/>
  <c r="N80" i="7"/>
  <c r="AO80" i="7"/>
  <c r="AK80" i="7"/>
  <c r="E6" i="7" l="1"/>
  <c r="O12" i="10"/>
  <c r="R12" i="10"/>
  <c r="U12" i="10"/>
  <c r="X12" i="10"/>
  <c r="AA12" i="10"/>
  <c r="AD12" i="10"/>
  <c r="AG12" i="10"/>
  <c r="AJ12" i="10"/>
  <c r="AM12" i="10"/>
  <c r="AP12" i="10"/>
  <c r="AS12" i="10"/>
  <c r="AV12" i="10"/>
  <c r="O13" i="10"/>
  <c r="R13" i="10"/>
  <c r="U13" i="10"/>
  <c r="X13" i="10"/>
  <c r="AA13" i="10"/>
  <c r="AD13" i="10"/>
  <c r="AG13" i="10"/>
  <c r="AJ13" i="10"/>
  <c r="AM13" i="10"/>
  <c r="AP13" i="10"/>
  <c r="AS13" i="10"/>
  <c r="AV13" i="10"/>
  <c r="O14" i="10"/>
  <c r="R14" i="10"/>
  <c r="U14" i="10"/>
  <c r="X14" i="10"/>
  <c r="AA14" i="10"/>
  <c r="AD14" i="10"/>
  <c r="AG14" i="10"/>
  <c r="AJ14" i="10"/>
  <c r="AM14" i="10"/>
  <c r="AP14" i="10"/>
  <c r="AS14" i="10"/>
  <c r="AV14" i="10"/>
  <c r="O15" i="10"/>
  <c r="R15" i="10"/>
  <c r="U15" i="10"/>
  <c r="X15" i="10"/>
  <c r="AA15" i="10"/>
  <c r="AD15" i="10"/>
  <c r="AG15" i="10"/>
  <c r="AJ15" i="10"/>
  <c r="AM15" i="10"/>
  <c r="AP15" i="10"/>
  <c r="AS15" i="10"/>
  <c r="AV15" i="10"/>
  <c r="O16" i="10"/>
  <c r="R16" i="10"/>
  <c r="U16" i="10"/>
  <c r="X16" i="10"/>
  <c r="AA16" i="10"/>
  <c r="AD16" i="10"/>
  <c r="AG16" i="10"/>
  <c r="AJ16" i="10"/>
  <c r="AM16" i="10"/>
  <c r="AP16" i="10"/>
  <c r="AS16" i="10"/>
  <c r="AV16" i="10"/>
  <c r="O17" i="10"/>
  <c r="R17" i="10"/>
  <c r="U17" i="10"/>
  <c r="X17" i="10"/>
  <c r="AA17" i="10"/>
  <c r="AD17" i="10"/>
  <c r="AG17" i="10"/>
  <c r="AJ17" i="10"/>
  <c r="AM17" i="10"/>
  <c r="AP17" i="10"/>
  <c r="AS17" i="10"/>
  <c r="AV17" i="10"/>
  <c r="O18" i="10"/>
  <c r="R18" i="10"/>
  <c r="U18" i="10"/>
  <c r="X18" i="10"/>
  <c r="AA18" i="10"/>
  <c r="AD18" i="10"/>
  <c r="AG18" i="10"/>
  <c r="AJ18" i="10"/>
  <c r="AM18" i="10"/>
  <c r="AP18" i="10"/>
  <c r="AS18" i="10"/>
  <c r="AV18" i="10"/>
  <c r="O19" i="10"/>
  <c r="R19" i="10"/>
  <c r="U19" i="10"/>
  <c r="X19" i="10"/>
  <c r="AA19" i="10"/>
  <c r="AD19" i="10"/>
  <c r="AG19" i="10"/>
  <c r="AJ19" i="10"/>
  <c r="AM19" i="10"/>
  <c r="AP19" i="10"/>
  <c r="AS19" i="10"/>
  <c r="AV19" i="10"/>
  <c r="Y70" i="2" l="1"/>
  <c r="AO70" i="2"/>
  <c r="BB70" i="2"/>
  <c r="Y71" i="2"/>
  <c r="AO71" i="2"/>
  <c r="BB71" i="2"/>
  <c r="Y58" i="2"/>
  <c r="AO58" i="2"/>
  <c r="BB58" i="2"/>
  <c r="Y59" i="2"/>
  <c r="AO59" i="2"/>
  <c r="BB59" i="2"/>
  <c r="Y60" i="2"/>
  <c r="AO60" i="2"/>
  <c r="BB60" i="2"/>
  <c r="Y61" i="2"/>
  <c r="AO61" i="2"/>
  <c r="BB61" i="2"/>
  <c r="Y62" i="2"/>
  <c r="AO62" i="2"/>
  <c r="BB62" i="2"/>
  <c r="Y63" i="2"/>
  <c r="AO63" i="2"/>
  <c r="BB63" i="2"/>
  <c r="Y64" i="2"/>
  <c r="AO64" i="2"/>
  <c r="BB64" i="2"/>
  <c r="Y72" i="2"/>
  <c r="AO72" i="2"/>
  <c r="BB72" i="2"/>
  <c r="Y73" i="2"/>
  <c r="AO73" i="2"/>
  <c r="BB73" i="2"/>
  <c r="Y74" i="2"/>
  <c r="AO74" i="2"/>
  <c r="BB74" i="2"/>
  <c r="Y57" i="2"/>
  <c r="AO57" i="2"/>
  <c r="BB57" i="2"/>
  <c r="Y75" i="2"/>
  <c r="AO75" i="2"/>
  <c r="BB75" i="2"/>
  <c r="Y76" i="2"/>
  <c r="AO76" i="2"/>
  <c r="BB76" i="2"/>
  <c r="Y77" i="2"/>
  <c r="AO77" i="2"/>
  <c r="BB77" i="2"/>
  <c r="Y78" i="2"/>
  <c r="AO78" i="2"/>
  <c r="BB78" i="2"/>
  <c r="Y79" i="2"/>
  <c r="AO79" i="2"/>
  <c r="BB79" i="2"/>
  <c r="Y51" i="2"/>
  <c r="AO51" i="2"/>
  <c r="BB51" i="2"/>
  <c r="Y67" i="2"/>
  <c r="AO67" i="2"/>
  <c r="BB67" i="2"/>
  <c r="Y80" i="2"/>
  <c r="AO80" i="2"/>
  <c r="BB80" i="2"/>
  <c r="Y68" i="2"/>
  <c r="AO68" i="2"/>
  <c r="BB68" i="2"/>
  <c r="Y69" i="2"/>
  <c r="AO69" i="2"/>
  <c r="BB69" i="2"/>
  <c r="Y81" i="2"/>
  <c r="AO81" i="2"/>
  <c r="BB81" i="2"/>
  <c r="Y65" i="2"/>
  <c r="AO65" i="2"/>
  <c r="BB65" i="2"/>
  <c r="Y66" i="2"/>
  <c r="AO66" i="2"/>
  <c r="BB66" i="2"/>
  <c r="Y82" i="2"/>
  <c r="AO82" i="2"/>
  <c r="BB82" i="2"/>
  <c r="Y83" i="2"/>
  <c r="AO83" i="2"/>
  <c r="BB83" i="2"/>
  <c r="DI83" i="2" l="1"/>
  <c r="DJ83" i="2"/>
  <c r="DI82" i="2"/>
  <c r="DJ82" i="2"/>
  <c r="DI66" i="2"/>
  <c r="DJ66" i="2"/>
  <c r="DI65" i="2"/>
  <c r="DJ65" i="2"/>
  <c r="DI81" i="2"/>
  <c r="DJ81" i="2"/>
  <c r="DI69" i="2"/>
  <c r="DJ69" i="2"/>
  <c r="DI68" i="2"/>
  <c r="DJ68" i="2"/>
  <c r="DI80" i="2"/>
  <c r="DJ80" i="2"/>
  <c r="DI67" i="2"/>
  <c r="DJ67" i="2"/>
  <c r="DI51" i="2"/>
  <c r="DJ51" i="2"/>
  <c r="DI79" i="2"/>
  <c r="DJ79" i="2"/>
  <c r="DI78" i="2"/>
  <c r="DJ78" i="2"/>
  <c r="DI77" i="2"/>
  <c r="DJ77" i="2"/>
  <c r="DI76" i="2"/>
  <c r="DJ76" i="2"/>
  <c r="DI75" i="2"/>
  <c r="DJ75" i="2"/>
  <c r="DI57" i="2"/>
  <c r="DJ57" i="2"/>
  <c r="DI74" i="2"/>
  <c r="DJ74" i="2"/>
  <c r="DI73" i="2"/>
  <c r="DJ73" i="2"/>
  <c r="DI72" i="2"/>
  <c r="DJ72" i="2"/>
  <c r="DI64" i="2"/>
  <c r="DJ64" i="2"/>
  <c r="DI63" i="2"/>
  <c r="DJ63" i="2"/>
  <c r="DI62" i="2"/>
  <c r="DJ62" i="2"/>
  <c r="DI61" i="2"/>
  <c r="DJ61" i="2"/>
  <c r="DI60" i="2"/>
  <c r="DJ60" i="2"/>
  <c r="DI59" i="2"/>
  <c r="DJ59" i="2"/>
  <c r="DI58" i="2"/>
  <c r="DJ58" i="2"/>
  <c r="DI71" i="2"/>
  <c r="DJ71" i="2"/>
  <c r="DI70" i="2"/>
  <c r="DJ70" i="2"/>
  <c r="DE83" i="2"/>
  <c r="DF83" i="2"/>
  <c r="DE82" i="2"/>
  <c r="DF82" i="2"/>
  <c r="DE66" i="2"/>
  <c r="DF66" i="2"/>
  <c r="DE65" i="2"/>
  <c r="DF65" i="2"/>
  <c r="DE81" i="2"/>
  <c r="DF81" i="2"/>
  <c r="DE69" i="2"/>
  <c r="DF69" i="2"/>
  <c r="DE68" i="2"/>
  <c r="DF68" i="2"/>
  <c r="DE80" i="2"/>
  <c r="DF80" i="2"/>
  <c r="DE67" i="2"/>
  <c r="DF67" i="2"/>
  <c r="DE51" i="2"/>
  <c r="DF51" i="2"/>
  <c r="DE79" i="2"/>
  <c r="DF79" i="2"/>
  <c r="DE78" i="2"/>
  <c r="DF78" i="2"/>
  <c r="DE77" i="2"/>
  <c r="DF77" i="2"/>
  <c r="DE76" i="2"/>
  <c r="DF76" i="2"/>
  <c r="DE75" i="2"/>
  <c r="DF75" i="2"/>
  <c r="DE57" i="2"/>
  <c r="DF57" i="2"/>
  <c r="DE74" i="2"/>
  <c r="DF74" i="2"/>
  <c r="DE73" i="2"/>
  <c r="DF73" i="2"/>
  <c r="DE72" i="2"/>
  <c r="DF72" i="2"/>
  <c r="DE64" i="2"/>
  <c r="DF64" i="2"/>
  <c r="DE63" i="2"/>
  <c r="DF63" i="2"/>
  <c r="DE62" i="2"/>
  <c r="DF62" i="2"/>
  <c r="DE61" i="2"/>
  <c r="DF61" i="2"/>
  <c r="DE60" i="2"/>
  <c r="DF60" i="2"/>
  <c r="DE59" i="2"/>
  <c r="DF59" i="2"/>
  <c r="DE58" i="2"/>
  <c r="DF58" i="2"/>
  <c r="DE71" i="2"/>
  <c r="DF71" i="2"/>
  <c r="DE70" i="2"/>
  <c r="DF70" i="2"/>
  <c r="DA83" i="2"/>
  <c r="DB83" i="2"/>
  <c r="DA82" i="2"/>
  <c r="DB82" i="2"/>
  <c r="DA66" i="2"/>
  <c r="DB66" i="2"/>
  <c r="DA65" i="2"/>
  <c r="DB65" i="2"/>
  <c r="DA81" i="2"/>
  <c r="DB81" i="2"/>
  <c r="DA69" i="2"/>
  <c r="DB69" i="2"/>
  <c r="DA68" i="2"/>
  <c r="DB68" i="2"/>
  <c r="DA80" i="2"/>
  <c r="DB80" i="2"/>
  <c r="DA67" i="2"/>
  <c r="DB67" i="2"/>
  <c r="DA51" i="2"/>
  <c r="DB51" i="2"/>
  <c r="DA79" i="2"/>
  <c r="DB79" i="2"/>
  <c r="DA78" i="2"/>
  <c r="DB78" i="2"/>
  <c r="DA77" i="2"/>
  <c r="DB77" i="2"/>
  <c r="DA76" i="2"/>
  <c r="DB76" i="2"/>
  <c r="DA75" i="2"/>
  <c r="DB75" i="2"/>
  <c r="DA57" i="2"/>
  <c r="DB57" i="2"/>
  <c r="DA74" i="2"/>
  <c r="DB74" i="2"/>
  <c r="DA73" i="2"/>
  <c r="DB73" i="2"/>
  <c r="DA72" i="2"/>
  <c r="DB72" i="2"/>
  <c r="DA64" i="2"/>
  <c r="DB64" i="2"/>
  <c r="DA63" i="2"/>
  <c r="DB63" i="2"/>
  <c r="DA62" i="2"/>
  <c r="DB62" i="2"/>
  <c r="DA61" i="2"/>
  <c r="DB61" i="2"/>
  <c r="DA60" i="2"/>
  <c r="DB60" i="2"/>
  <c r="DA59" i="2"/>
  <c r="DB59" i="2"/>
  <c r="DA58" i="2"/>
  <c r="DB58" i="2"/>
  <c r="DA71" i="2"/>
  <c r="DB71" i="2"/>
  <c r="DA70" i="2"/>
  <c r="DB70" i="2"/>
  <c r="CW83" i="2"/>
  <c r="CX83" i="2"/>
  <c r="CW82" i="2"/>
  <c r="CX82" i="2"/>
  <c r="CW66" i="2"/>
  <c r="CX66" i="2"/>
  <c r="CW65" i="2"/>
  <c r="CX65" i="2"/>
  <c r="CW81" i="2"/>
  <c r="CX81" i="2"/>
  <c r="CW69" i="2"/>
  <c r="CX69" i="2"/>
  <c r="CW68" i="2"/>
  <c r="CX68" i="2"/>
  <c r="CW80" i="2"/>
  <c r="CX80" i="2"/>
  <c r="CW67" i="2"/>
  <c r="CX67" i="2"/>
  <c r="CW51" i="2"/>
  <c r="CX51" i="2"/>
  <c r="CW79" i="2"/>
  <c r="CX79" i="2"/>
  <c r="CW78" i="2"/>
  <c r="CX78" i="2"/>
  <c r="CW77" i="2"/>
  <c r="CX77" i="2"/>
  <c r="CW76" i="2"/>
  <c r="CX76" i="2"/>
  <c r="CW75" i="2"/>
  <c r="CX75" i="2"/>
  <c r="CW57" i="2"/>
  <c r="CX57" i="2"/>
  <c r="CW74" i="2"/>
  <c r="CX74" i="2"/>
  <c r="CW73" i="2"/>
  <c r="CX73" i="2"/>
  <c r="CW72" i="2"/>
  <c r="CX72" i="2"/>
  <c r="CW64" i="2"/>
  <c r="CX64" i="2"/>
  <c r="CW63" i="2"/>
  <c r="CX63" i="2"/>
  <c r="CW62" i="2"/>
  <c r="CX62" i="2"/>
  <c r="CW61" i="2"/>
  <c r="CX61" i="2"/>
  <c r="CW60" i="2"/>
  <c r="CX60" i="2"/>
  <c r="CW59" i="2"/>
  <c r="CX59" i="2"/>
  <c r="CW58" i="2"/>
  <c r="CX58" i="2"/>
  <c r="CW71" i="2"/>
  <c r="CX71" i="2"/>
  <c r="CW70" i="2"/>
  <c r="CX70" i="2"/>
  <c r="CS83" i="2"/>
  <c r="CT83" i="2"/>
  <c r="CS82" i="2"/>
  <c r="CT82" i="2"/>
  <c r="CS66" i="2"/>
  <c r="CT66" i="2"/>
  <c r="CS65" i="2"/>
  <c r="CT65" i="2"/>
  <c r="CS81" i="2"/>
  <c r="CT81" i="2"/>
  <c r="CS69" i="2"/>
  <c r="CT69" i="2"/>
  <c r="CS68" i="2"/>
  <c r="CT68" i="2"/>
  <c r="CS80" i="2"/>
  <c r="CT80" i="2"/>
  <c r="CS67" i="2"/>
  <c r="CT67" i="2"/>
  <c r="CS51" i="2"/>
  <c r="CT51" i="2"/>
  <c r="CS79" i="2"/>
  <c r="CT79" i="2"/>
  <c r="CS78" i="2"/>
  <c r="CT78" i="2"/>
  <c r="CS77" i="2"/>
  <c r="CT77" i="2"/>
  <c r="CS76" i="2"/>
  <c r="CT76" i="2"/>
  <c r="CS75" i="2"/>
  <c r="CT75" i="2"/>
  <c r="CS57" i="2"/>
  <c r="CT57" i="2"/>
  <c r="CS74" i="2"/>
  <c r="CT74" i="2"/>
  <c r="CS73" i="2"/>
  <c r="CT73" i="2"/>
  <c r="CS72" i="2"/>
  <c r="CT72" i="2"/>
  <c r="CS64" i="2"/>
  <c r="CT64" i="2"/>
  <c r="CS63" i="2"/>
  <c r="CT63" i="2"/>
  <c r="CS62" i="2"/>
  <c r="CT62" i="2"/>
  <c r="CS61" i="2"/>
  <c r="CT61" i="2"/>
  <c r="CS60" i="2"/>
  <c r="CT60" i="2"/>
  <c r="CS59" i="2"/>
  <c r="CT59" i="2"/>
  <c r="CS58" i="2"/>
  <c r="CT58" i="2"/>
  <c r="CS71" i="2"/>
  <c r="CT71" i="2"/>
  <c r="CS70" i="2"/>
  <c r="CT70" i="2"/>
  <c r="CL83" i="2"/>
  <c r="CO83" i="2"/>
  <c r="CL82" i="2"/>
  <c r="CO82" i="2"/>
  <c r="CL66" i="2"/>
  <c r="CO66" i="2"/>
  <c r="CL65" i="2"/>
  <c r="CO65" i="2"/>
  <c r="CL81" i="2"/>
  <c r="CO81" i="2"/>
  <c r="CL69" i="2"/>
  <c r="CO69" i="2"/>
  <c r="CL68" i="2"/>
  <c r="CO68" i="2"/>
  <c r="CL80" i="2"/>
  <c r="CO80" i="2"/>
  <c r="CL67" i="2"/>
  <c r="CO67" i="2"/>
  <c r="CL51" i="2"/>
  <c r="CO51" i="2"/>
  <c r="CL79" i="2"/>
  <c r="CO79" i="2"/>
  <c r="CL78" i="2"/>
  <c r="CO78" i="2"/>
  <c r="CL77" i="2"/>
  <c r="CO77" i="2"/>
  <c r="CL76" i="2"/>
  <c r="CO76" i="2"/>
  <c r="CL75" i="2"/>
  <c r="CO75" i="2"/>
  <c r="CL57" i="2"/>
  <c r="CO57" i="2"/>
  <c r="CL74" i="2"/>
  <c r="CO74" i="2"/>
  <c r="CL73" i="2"/>
  <c r="CO73" i="2"/>
  <c r="CL72" i="2"/>
  <c r="CO72" i="2"/>
  <c r="CL64" i="2"/>
  <c r="CO64" i="2"/>
  <c r="CL63" i="2"/>
  <c r="CO63" i="2"/>
  <c r="CL62" i="2"/>
  <c r="CO62" i="2"/>
  <c r="CL61" i="2"/>
  <c r="CO61" i="2"/>
  <c r="CL60" i="2"/>
  <c r="CO60" i="2"/>
  <c r="CL59" i="2"/>
  <c r="CO59" i="2"/>
  <c r="CL58" i="2"/>
  <c r="CO58" i="2"/>
  <c r="CL71" i="2"/>
  <c r="CO71" i="2"/>
  <c r="CL70" i="2"/>
  <c r="CO70" i="2"/>
  <c r="CH83" i="2"/>
  <c r="CK83" i="2"/>
  <c r="CM83" i="2" s="1"/>
  <c r="CH82" i="2"/>
  <c r="CK82" i="2"/>
  <c r="CH66" i="2"/>
  <c r="CK66" i="2"/>
  <c r="CM66" i="2" s="1"/>
  <c r="CH65" i="2"/>
  <c r="CK65" i="2"/>
  <c r="CH81" i="2"/>
  <c r="CK81" i="2"/>
  <c r="CM81" i="2" s="1"/>
  <c r="CH69" i="2"/>
  <c r="CK69" i="2"/>
  <c r="CH68" i="2"/>
  <c r="CK68" i="2"/>
  <c r="CM68" i="2" s="1"/>
  <c r="CH80" i="2"/>
  <c r="CK80" i="2"/>
  <c r="CH67" i="2"/>
  <c r="CK67" i="2"/>
  <c r="CM67" i="2" s="1"/>
  <c r="CH51" i="2"/>
  <c r="CK51" i="2"/>
  <c r="CH79" i="2"/>
  <c r="CK79" i="2"/>
  <c r="CM79" i="2" s="1"/>
  <c r="CH78" i="2"/>
  <c r="CK78" i="2"/>
  <c r="CH77" i="2"/>
  <c r="CK77" i="2"/>
  <c r="CM77" i="2" s="1"/>
  <c r="CH76" i="2"/>
  <c r="CK76" i="2"/>
  <c r="CM76" i="2" s="1"/>
  <c r="CH75" i="2"/>
  <c r="CK75" i="2"/>
  <c r="CM75" i="2" s="1"/>
  <c r="CH57" i="2"/>
  <c r="CK57" i="2"/>
  <c r="CH74" i="2"/>
  <c r="CK74" i="2"/>
  <c r="CM74" i="2" s="1"/>
  <c r="CH73" i="2"/>
  <c r="CK73" i="2"/>
  <c r="CH72" i="2"/>
  <c r="CK72" i="2"/>
  <c r="CM72" i="2" s="1"/>
  <c r="CH64" i="2"/>
  <c r="CK64" i="2"/>
  <c r="CH63" i="2"/>
  <c r="CK63" i="2"/>
  <c r="CM63" i="2" s="1"/>
  <c r="CH62" i="2"/>
  <c r="CK62" i="2"/>
  <c r="CH61" i="2"/>
  <c r="CK61" i="2"/>
  <c r="CM61" i="2" s="1"/>
  <c r="CH60" i="2"/>
  <c r="CK60" i="2"/>
  <c r="CH59" i="2"/>
  <c r="CK59" i="2"/>
  <c r="CM59" i="2" s="1"/>
  <c r="CH58" i="2"/>
  <c r="CK58" i="2"/>
  <c r="CH71" i="2"/>
  <c r="CK71" i="2"/>
  <c r="CM71" i="2" s="1"/>
  <c r="CH70" i="2"/>
  <c r="CK70" i="2"/>
  <c r="CD83" i="2"/>
  <c r="CG83" i="2"/>
  <c r="CI83" i="2" s="1"/>
  <c r="CD82" i="2"/>
  <c r="CG82" i="2"/>
  <c r="CD66" i="2"/>
  <c r="CG66" i="2"/>
  <c r="CI66" i="2" s="1"/>
  <c r="CD65" i="2"/>
  <c r="CG65" i="2"/>
  <c r="CD81" i="2"/>
  <c r="CG81" i="2"/>
  <c r="CI81" i="2" s="1"/>
  <c r="CD69" i="2"/>
  <c r="CG69" i="2"/>
  <c r="CD68" i="2"/>
  <c r="CG68" i="2"/>
  <c r="CI68" i="2" s="1"/>
  <c r="CD80" i="2"/>
  <c r="CG80" i="2"/>
  <c r="CD67" i="2"/>
  <c r="CG67" i="2"/>
  <c r="CI67" i="2" s="1"/>
  <c r="CD51" i="2"/>
  <c r="CG51" i="2"/>
  <c r="CD79" i="2"/>
  <c r="CG79" i="2"/>
  <c r="CI79" i="2" s="1"/>
  <c r="CD78" i="2"/>
  <c r="CG78" i="2"/>
  <c r="CD77" i="2"/>
  <c r="CG77" i="2"/>
  <c r="CI77" i="2" s="1"/>
  <c r="CD76" i="2"/>
  <c r="CG76" i="2"/>
  <c r="CD75" i="2"/>
  <c r="CG75" i="2"/>
  <c r="CI75" i="2" s="1"/>
  <c r="CD57" i="2"/>
  <c r="CG57" i="2"/>
  <c r="CD74" i="2"/>
  <c r="CG74" i="2"/>
  <c r="CI74" i="2" s="1"/>
  <c r="CD73" i="2"/>
  <c r="CG73" i="2"/>
  <c r="CD72" i="2"/>
  <c r="CG72" i="2"/>
  <c r="CI72" i="2" s="1"/>
  <c r="CD64" i="2"/>
  <c r="CG64" i="2"/>
  <c r="CD63" i="2"/>
  <c r="CG63" i="2"/>
  <c r="CI63" i="2" s="1"/>
  <c r="CD62" i="2"/>
  <c r="CG62" i="2"/>
  <c r="CD61" i="2"/>
  <c r="CG61" i="2"/>
  <c r="CI61" i="2" s="1"/>
  <c r="CD60" i="2"/>
  <c r="CG60" i="2"/>
  <c r="CD59" i="2"/>
  <c r="CG59" i="2"/>
  <c r="CI59" i="2" s="1"/>
  <c r="CD58" i="2"/>
  <c r="CG58" i="2"/>
  <c r="CD71" i="2"/>
  <c r="CG71" i="2"/>
  <c r="CI71" i="2" s="1"/>
  <c r="CD70" i="2"/>
  <c r="CG70" i="2"/>
  <c r="BZ83" i="2"/>
  <c r="CC83" i="2"/>
  <c r="CE83" i="2" s="1"/>
  <c r="BZ82" i="2"/>
  <c r="CC82" i="2"/>
  <c r="BZ66" i="2"/>
  <c r="CC66" i="2"/>
  <c r="CE66" i="2" s="1"/>
  <c r="BZ65" i="2"/>
  <c r="CC65" i="2"/>
  <c r="BZ81" i="2"/>
  <c r="CC81" i="2"/>
  <c r="CE81" i="2" s="1"/>
  <c r="BZ69" i="2"/>
  <c r="CC69" i="2"/>
  <c r="BZ68" i="2"/>
  <c r="CC68" i="2"/>
  <c r="CE68" i="2" s="1"/>
  <c r="BZ80" i="2"/>
  <c r="CC80" i="2"/>
  <c r="BZ67" i="2"/>
  <c r="CC67" i="2"/>
  <c r="CE67" i="2" s="1"/>
  <c r="BZ51" i="2"/>
  <c r="CC51" i="2"/>
  <c r="BZ79" i="2"/>
  <c r="CC79" i="2"/>
  <c r="CE79" i="2" s="1"/>
  <c r="BZ78" i="2"/>
  <c r="CC78" i="2"/>
  <c r="BZ77" i="2"/>
  <c r="CC77" i="2"/>
  <c r="CE77" i="2" s="1"/>
  <c r="BZ76" i="2"/>
  <c r="CC76" i="2"/>
  <c r="BZ75" i="2"/>
  <c r="CC75" i="2"/>
  <c r="CE75" i="2" s="1"/>
  <c r="BZ57" i="2"/>
  <c r="CC57" i="2"/>
  <c r="BZ74" i="2"/>
  <c r="CC74" i="2"/>
  <c r="CE74" i="2" s="1"/>
  <c r="BZ73" i="2"/>
  <c r="CC73" i="2"/>
  <c r="BZ72" i="2"/>
  <c r="CC72" i="2"/>
  <c r="CE72" i="2" s="1"/>
  <c r="BZ64" i="2"/>
  <c r="CC64" i="2"/>
  <c r="BZ63" i="2"/>
  <c r="CC63" i="2"/>
  <c r="CE63" i="2" s="1"/>
  <c r="BZ62" i="2"/>
  <c r="CC62" i="2"/>
  <c r="BZ61" i="2"/>
  <c r="CC61" i="2"/>
  <c r="CE61" i="2" s="1"/>
  <c r="BZ60" i="2"/>
  <c r="CC60" i="2"/>
  <c r="BZ59" i="2"/>
  <c r="CC59" i="2"/>
  <c r="CE59" i="2" s="1"/>
  <c r="BZ58" i="2"/>
  <c r="CC58" i="2"/>
  <c r="BZ71" i="2"/>
  <c r="CC71" i="2"/>
  <c r="CE71" i="2" s="1"/>
  <c r="BZ70" i="2"/>
  <c r="CC70" i="2"/>
  <c r="BU83" i="2"/>
  <c r="BY83" i="2"/>
  <c r="CA83" i="2" s="1"/>
  <c r="BU82" i="2"/>
  <c r="BY82" i="2"/>
  <c r="BU66" i="2"/>
  <c r="BY66" i="2"/>
  <c r="CA66" i="2" s="1"/>
  <c r="BU65" i="2"/>
  <c r="BY65" i="2"/>
  <c r="BU81" i="2"/>
  <c r="BY81" i="2"/>
  <c r="CA81" i="2" s="1"/>
  <c r="BU69" i="2"/>
  <c r="BY69" i="2"/>
  <c r="BU68" i="2"/>
  <c r="BY68" i="2"/>
  <c r="CA68" i="2" s="1"/>
  <c r="BU80" i="2"/>
  <c r="BY80" i="2"/>
  <c r="BU67" i="2"/>
  <c r="BY67" i="2"/>
  <c r="CA67" i="2" s="1"/>
  <c r="BU51" i="2"/>
  <c r="BY51" i="2"/>
  <c r="BU79" i="2"/>
  <c r="BY79" i="2"/>
  <c r="CA79" i="2" s="1"/>
  <c r="BU78" i="2"/>
  <c r="BY78" i="2"/>
  <c r="BU77" i="2"/>
  <c r="BY77" i="2"/>
  <c r="CA77" i="2" s="1"/>
  <c r="BU76" i="2"/>
  <c r="BY76" i="2"/>
  <c r="BU75" i="2"/>
  <c r="BY75" i="2"/>
  <c r="CA75" i="2" s="1"/>
  <c r="BU57" i="2"/>
  <c r="BY57" i="2"/>
  <c r="BU74" i="2"/>
  <c r="BY74" i="2"/>
  <c r="CA74" i="2" s="1"/>
  <c r="BU73" i="2"/>
  <c r="BY73" i="2"/>
  <c r="BU72" i="2"/>
  <c r="BY72" i="2"/>
  <c r="CA72" i="2" s="1"/>
  <c r="BU64" i="2"/>
  <c r="BY64" i="2"/>
  <c r="BU63" i="2"/>
  <c r="BY63" i="2"/>
  <c r="CA63" i="2" s="1"/>
  <c r="BU62" i="2"/>
  <c r="BY62" i="2"/>
  <c r="BU61" i="2"/>
  <c r="BY61" i="2"/>
  <c r="CA61" i="2" s="1"/>
  <c r="BU60" i="2"/>
  <c r="BY60" i="2"/>
  <c r="BU59" i="2"/>
  <c r="BY59" i="2"/>
  <c r="CA59" i="2" s="1"/>
  <c r="BU58" i="2"/>
  <c r="BY58" i="2"/>
  <c r="BU71" i="2"/>
  <c r="BY71" i="2"/>
  <c r="CA71" i="2" s="1"/>
  <c r="BU70" i="2"/>
  <c r="BY70" i="2"/>
  <c r="BR83" i="2"/>
  <c r="BV83" i="2"/>
  <c r="BW83" i="2" s="1"/>
  <c r="BR82" i="2"/>
  <c r="BV82" i="2"/>
  <c r="BR66" i="2"/>
  <c r="BV66" i="2"/>
  <c r="BW66" i="2" s="1"/>
  <c r="BR65" i="2"/>
  <c r="BV65" i="2"/>
  <c r="BR81" i="2"/>
  <c r="BV81" i="2"/>
  <c r="BW81" i="2" s="1"/>
  <c r="BR69" i="2"/>
  <c r="BV69" i="2"/>
  <c r="BR68" i="2"/>
  <c r="BV68" i="2"/>
  <c r="BW68" i="2" s="1"/>
  <c r="BR80" i="2"/>
  <c r="BV80" i="2"/>
  <c r="BR67" i="2"/>
  <c r="BV67" i="2"/>
  <c r="BW67" i="2" s="1"/>
  <c r="BR51" i="2"/>
  <c r="BV51" i="2"/>
  <c r="BR79" i="2"/>
  <c r="BV79" i="2"/>
  <c r="BW79" i="2" s="1"/>
  <c r="BR78" i="2"/>
  <c r="BV78" i="2"/>
  <c r="BR77" i="2"/>
  <c r="BV77" i="2"/>
  <c r="BW77" i="2" s="1"/>
  <c r="BR76" i="2"/>
  <c r="BV76" i="2"/>
  <c r="BR75" i="2"/>
  <c r="BV75" i="2"/>
  <c r="BW75" i="2" s="1"/>
  <c r="BR57" i="2"/>
  <c r="BV57" i="2"/>
  <c r="BR74" i="2"/>
  <c r="BV74" i="2"/>
  <c r="BW74" i="2" s="1"/>
  <c r="BR73" i="2"/>
  <c r="BV73" i="2"/>
  <c r="BR72" i="2"/>
  <c r="BV72" i="2"/>
  <c r="BW72" i="2" s="1"/>
  <c r="BR64" i="2"/>
  <c r="BV64" i="2"/>
  <c r="BR63" i="2"/>
  <c r="BV63" i="2"/>
  <c r="BW63" i="2" s="1"/>
  <c r="BR62" i="2"/>
  <c r="BV62" i="2"/>
  <c r="BR61" i="2"/>
  <c r="BV61" i="2"/>
  <c r="BW61" i="2" s="1"/>
  <c r="BR60" i="2"/>
  <c r="BV60" i="2"/>
  <c r="BR59" i="2"/>
  <c r="BV59" i="2"/>
  <c r="BW59" i="2" s="1"/>
  <c r="BR58" i="2"/>
  <c r="BV58" i="2"/>
  <c r="BR71" i="2"/>
  <c r="BV71" i="2"/>
  <c r="BW71" i="2" s="1"/>
  <c r="BR70" i="2"/>
  <c r="BV70" i="2"/>
  <c r="AN76" i="2"/>
  <c r="AN73" i="2"/>
  <c r="AN59" i="2"/>
  <c r="AN58" i="2"/>
  <c r="AN66" i="2"/>
  <c r="AN72" i="2"/>
  <c r="AN83" i="2"/>
  <c r="AN82" i="2"/>
  <c r="AN65" i="2"/>
  <c r="AN68" i="2"/>
  <c r="AN78" i="2"/>
  <c r="AN77" i="2"/>
  <c r="AN75" i="2"/>
  <c r="AN79" i="2"/>
  <c r="AN67" i="2"/>
  <c r="AN69" i="2"/>
  <c r="AN81" i="2"/>
  <c r="AN74" i="2"/>
  <c r="AN61" i="2"/>
  <c r="AN51" i="2"/>
  <c r="AN64" i="2"/>
  <c r="AN80" i="2"/>
  <c r="AN57" i="2"/>
  <c r="AN62" i="2"/>
  <c r="AN60" i="2"/>
  <c r="AN63" i="2"/>
  <c r="AN70" i="2"/>
  <c r="AN71" i="2"/>
  <c r="CM69" i="2" l="1"/>
  <c r="BW70" i="2"/>
  <c r="BW60" i="2"/>
  <c r="BW64" i="2"/>
  <c r="BW57" i="2"/>
  <c r="BW78" i="2"/>
  <c r="BW80" i="2"/>
  <c r="BW65" i="2"/>
  <c r="CA70" i="2"/>
  <c r="CA60" i="2"/>
  <c r="CA64" i="2"/>
  <c r="CA57" i="2"/>
  <c r="CA78" i="2"/>
  <c r="CA80" i="2"/>
  <c r="CA65" i="2"/>
  <c r="CE70" i="2"/>
  <c r="CE60" i="2"/>
  <c r="CE64" i="2"/>
  <c r="CE57" i="2"/>
  <c r="CE78" i="2"/>
  <c r="CE80" i="2"/>
  <c r="CE65" i="2"/>
  <c r="CI70" i="2"/>
  <c r="CI60" i="2"/>
  <c r="CI64" i="2"/>
  <c r="CI57" i="2"/>
  <c r="CI78" i="2"/>
  <c r="CI80" i="2"/>
  <c r="CI65" i="2"/>
  <c r="CM70" i="2"/>
  <c r="CM60" i="2"/>
  <c r="CM64" i="2"/>
  <c r="CM57" i="2"/>
  <c r="CM78" i="2"/>
  <c r="CM80" i="2"/>
  <c r="CM65" i="2"/>
  <c r="BW58" i="2"/>
  <c r="BW62" i="2"/>
  <c r="BW73" i="2"/>
  <c r="BW76" i="2"/>
  <c r="BW51" i="2"/>
  <c r="BW69" i="2"/>
  <c r="BW82" i="2"/>
  <c r="CA58" i="2"/>
  <c r="CA62" i="2"/>
  <c r="CA73" i="2"/>
  <c r="CA76" i="2"/>
  <c r="CA51" i="2"/>
  <c r="CA69" i="2"/>
  <c r="CA82" i="2"/>
  <c r="CE58" i="2"/>
  <c r="CE62" i="2"/>
  <c r="CE73" i="2"/>
  <c r="CE76" i="2"/>
  <c r="CE51" i="2"/>
  <c r="CE69" i="2"/>
  <c r="CE82" i="2"/>
  <c r="CI58" i="2"/>
  <c r="CI62" i="2"/>
  <c r="CI73" i="2"/>
  <c r="CI76" i="2"/>
  <c r="CI51" i="2"/>
  <c r="CI69" i="2"/>
  <c r="CI82" i="2"/>
  <c r="CM58" i="2"/>
  <c r="CM62" i="2"/>
  <c r="CM73" i="2"/>
  <c r="CM51" i="2"/>
  <c r="CM82" i="2"/>
  <c r="DK70" i="2"/>
  <c r="DK71" i="2"/>
  <c r="DK58" i="2"/>
  <c r="DK59" i="2"/>
  <c r="DK60" i="2"/>
  <c r="DK61" i="2"/>
  <c r="DK62" i="2"/>
  <c r="DK63" i="2"/>
  <c r="DK64" i="2"/>
  <c r="DK72" i="2"/>
  <c r="DK73" i="2"/>
  <c r="DK74" i="2"/>
  <c r="DK57" i="2"/>
  <c r="DK75" i="2"/>
  <c r="DK76" i="2"/>
  <c r="DK77" i="2"/>
  <c r="DK78" i="2"/>
  <c r="DK79" i="2"/>
  <c r="DK51" i="2"/>
  <c r="DK67" i="2"/>
  <c r="DK80" i="2"/>
  <c r="DK68" i="2"/>
  <c r="DK69" i="2"/>
  <c r="DK81" i="2"/>
  <c r="DK65" i="2"/>
  <c r="DK66" i="2"/>
  <c r="DK82" i="2"/>
  <c r="DK83" i="2"/>
  <c r="DG70" i="2"/>
  <c r="DG71" i="2"/>
  <c r="DG58" i="2"/>
  <c r="DG59" i="2"/>
  <c r="DG60" i="2"/>
  <c r="DG61" i="2"/>
  <c r="DG62" i="2"/>
  <c r="DG63" i="2"/>
  <c r="DG64" i="2"/>
  <c r="DG72" i="2"/>
  <c r="DG73" i="2"/>
  <c r="DG74" i="2"/>
  <c r="DG57" i="2"/>
  <c r="DG75" i="2"/>
  <c r="DG76" i="2"/>
  <c r="DG77" i="2"/>
  <c r="DG78" i="2"/>
  <c r="DG79" i="2"/>
  <c r="DG51" i="2"/>
  <c r="DG67" i="2"/>
  <c r="DG80" i="2"/>
  <c r="DG68" i="2"/>
  <c r="DG69" i="2"/>
  <c r="DG81" i="2"/>
  <c r="DG65" i="2"/>
  <c r="DG66" i="2"/>
  <c r="DG82" i="2"/>
  <c r="DG83" i="2"/>
  <c r="DC70" i="2"/>
  <c r="DC71" i="2"/>
  <c r="DC58" i="2"/>
  <c r="DC59" i="2"/>
  <c r="DC60" i="2"/>
  <c r="DC61" i="2"/>
  <c r="DC62" i="2"/>
  <c r="DC63" i="2"/>
  <c r="DC64" i="2"/>
  <c r="DC72" i="2"/>
  <c r="DC73" i="2"/>
  <c r="DC74" i="2"/>
  <c r="DC57" i="2"/>
  <c r="DC75" i="2"/>
  <c r="DC76" i="2"/>
  <c r="DC77" i="2"/>
  <c r="DC78" i="2"/>
  <c r="DC79" i="2"/>
  <c r="DC51" i="2"/>
  <c r="DC67" i="2"/>
  <c r="DC80" i="2"/>
  <c r="DC68" i="2"/>
  <c r="DC69" i="2"/>
  <c r="DC81" i="2"/>
  <c r="DC65" i="2"/>
  <c r="DC66" i="2"/>
  <c r="DC82" i="2"/>
  <c r="DC83" i="2"/>
  <c r="CY70" i="2"/>
  <c r="CY71" i="2"/>
  <c r="CY58" i="2"/>
  <c r="CY59" i="2"/>
  <c r="CY60" i="2"/>
  <c r="CY61" i="2"/>
  <c r="CY62" i="2"/>
  <c r="CY63" i="2"/>
  <c r="CY64" i="2"/>
  <c r="CY72" i="2"/>
  <c r="CY73" i="2"/>
  <c r="CY74" i="2"/>
  <c r="CY57" i="2"/>
  <c r="CY75" i="2"/>
  <c r="CY76" i="2"/>
  <c r="CY77" i="2"/>
  <c r="CY78" i="2"/>
  <c r="CY79" i="2"/>
  <c r="CY51" i="2"/>
  <c r="CY67" i="2"/>
  <c r="CY80" i="2"/>
  <c r="CY68" i="2"/>
  <c r="CY69" i="2"/>
  <c r="CY81" i="2"/>
  <c r="CY65" i="2"/>
  <c r="CY66" i="2"/>
  <c r="CY82" i="2"/>
  <c r="CY83" i="2"/>
  <c r="CU70" i="2"/>
  <c r="CU71" i="2"/>
  <c r="CU58" i="2"/>
  <c r="CU59" i="2"/>
  <c r="CU60" i="2"/>
  <c r="CU61" i="2"/>
  <c r="CU62" i="2"/>
  <c r="CU63" i="2"/>
  <c r="CU64" i="2"/>
  <c r="CU72" i="2"/>
  <c r="CU73" i="2"/>
  <c r="CU74" i="2"/>
  <c r="CU57" i="2"/>
  <c r="CU75" i="2"/>
  <c r="CU76" i="2"/>
  <c r="CU77" i="2"/>
  <c r="CU78" i="2"/>
  <c r="CU79" i="2"/>
  <c r="CU51" i="2"/>
  <c r="CU67" i="2"/>
  <c r="CU80" i="2"/>
  <c r="CU68" i="2"/>
  <c r="CU69" i="2"/>
  <c r="CU81" i="2"/>
  <c r="CU65" i="2"/>
  <c r="CU66" i="2"/>
  <c r="CU82" i="2"/>
  <c r="CU83" i="2"/>
  <c r="DJ11" i="2"/>
  <c r="DJ12" i="2"/>
  <c r="DJ13" i="2"/>
  <c r="DJ14" i="2"/>
  <c r="DJ15" i="2"/>
  <c r="DJ16" i="2"/>
  <c r="Y17" i="2"/>
  <c r="DJ17" i="2" s="1"/>
  <c r="Y18" i="2"/>
  <c r="DJ18" i="2" s="1"/>
  <c r="Y19" i="2"/>
  <c r="DJ19" i="2" s="1"/>
  <c r="Y20" i="2"/>
  <c r="DJ20" i="2" s="1"/>
  <c r="Y21" i="2"/>
  <c r="DJ21" i="2" s="1"/>
  <c r="Y22" i="2"/>
  <c r="DJ22" i="2" s="1"/>
  <c r="Y23" i="2"/>
  <c r="Y24" i="2"/>
  <c r="Y25" i="2"/>
  <c r="Y26" i="2"/>
  <c r="Y27" i="2"/>
  <c r="Y28" i="2"/>
  <c r="Y29" i="2"/>
  <c r="Y30" i="2"/>
  <c r="Y31" i="2"/>
  <c r="Y32" i="2"/>
  <c r="Y33" i="2"/>
  <c r="Y34" i="2"/>
  <c r="Y35" i="2"/>
  <c r="Y36" i="2"/>
  <c r="Y37" i="2"/>
  <c r="Y38" i="2"/>
  <c r="Y39" i="2"/>
  <c r="Y40" i="2"/>
  <c r="Y41" i="2"/>
  <c r="Y42" i="2"/>
  <c r="Y43" i="2"/>
  <c r="Y44" i="2"/>
  <c r="Y45" i="2"/>
  <c r="Y46" i="2"/>
  <c r="Y48" i="2"/>
  <c r="Y52" i="2"/>
  <c r="Y53" i="2"/>
  <c r="Y54" i="2"/>
  <c r="Y47" i="2"/>
  <c r="Y55" i="2"/>
  <c r="Y56" i="2"/>
  <c r="Y49" i="2"/>
  <c r="DI49" i="2" l="1"/>
  <c r="DJ49" i="2"/>
  <c r="DI56" i="2"/>
  <c r="DJ56" i="2"/>
  <c r="DI55" i="2"/>
  <c r="DJ55" i="2"/>
  <c r="DI47" i="2"/>
  <c r="DJ47" i="2"/>
  <c r="DI54" i="2"/>
  <c r="DJ54" i="2"/>
  <c r="DI53" i="2"/>
  <c r="DJ53" i="2"/>
  <c r="DI52" i="2"/>
  <c r="DJ52" i="2"/>
  <c r="DI48" i="2"/>
  <c r="DJ48" i="2"/>
  <c r="DI46" i="2"/>
  <c r="DJ46" i="2"/>
  <c r="DI45" i="2"/>
  <c r="DJ45" i="2"/>
  <c r="DI44" i="2"/>
  <c r="DJ44" i="2"/>
  <c r="DI43" i="2"/>
  <c r="DJ43" i="2"/>
  <c r="DI42" i="2"/>
  <c r="DJ42" i="2"/>
  <c r="DI41" i="2"/>
  <c r="DJ41" i="2"/>
  <c r="DI40" i="2"/>
  <c r="DJ40" i="2"/>
  <c r="DI39" i="2"/>
  <c r="DJ39" i="2"/>
  <c r="DI38" i="2"/>
  <c r="DJ38" i="2"/>
  <c r="DI37" i="2"/>
  <c r="DJ37" i="2"/>
  <c r="DI36" i="2"/>
  <c r="DJ36" i="2"/>
  <c r="DI35" i="2"/>
  <c r="DJ35" i="2"/>
  <c r="DI34" i="2"/>
  <c r="DJ34" i="2"/>
  <c r="DI33" i="2"/>
  <c r="DJ33" i="2"/>
  <c r="DI32" i="2"/>
  <c r="DJ32" i="2"/>
  <c r="DI31" i="2"/>
  <c r="DJ31" i="2"/>
  <c r="DI30" i="2"/>
  <c r="DJ30" i="2"/>
  <c r="DI29" i="2"/>
  <c r="DJ29" i="2"/>
  <c r="DI28" i="2"/>
  <c r="DJ28" i="2"/>
  <c r="DI27" i="2"/>
  <c r="DJ27" i="2"/>
  <c r="DI26" i="2"/>
  <c r="DJ26" i="2"/>
  <c r="DI25" i="2"/>
  <c r="DJ25" i="2"/>
  <c r="DI24" i="2"/>
  <c r="DJ24" i="2"/>
  <c r="DI23" i="2"/>
  <c r="DJ23" i="2"/>
  <c r="DF22" i="2"/>
  <c r="DI22" i="2"/>
  <c r="DK22" i="2" s="1"/>
  <c r="DF21" i="2"/>
  <c r="DI21" i="2"/>
  <c r="DK21" i="2" s="1"/>
  <c r="DF20" i="2"/>
  <c r="DI20" i="2"/>
  <c r="DK20" i="2" s="1"/>
  <c r="DF19" i="2"/>
  <c r="DI19" i="2"/>
  <c r="DK19" i="2" s="1"/>
  <c r="DF18" i="2"/>
  <c r="DI18" i="2"/>
  <c r="DK18" i="2" s="1"/>
  <c r="DF17" i="2"/>
  <c r="DI17" i="2"/>
  <c r="DK17" i="2" s="1"/>
  <c r="DF16" i="2"/>
  <c r="DI16" i="2"/>
  <c r="DK16" i="2" s="1"/>
  <c r="DF15" i="2"/>
  <c r="DI15" i="2"/>
  <c r="DK15" i="2" s="1"/>
  <c r="DF14" i="2"/>
  <c r="DI14" i="2"/>
  <c r="DK14" i="2" s="1"/>
  <c r="DF13" i="2"/>
  <c r="DI13" i="2"/>
  <c r="DK13" i="2" s="1"/>
  <c r="DF12" i="2"/>
  <c r="DI12" i="2"/>
  <c r="DK12" i="2" s="1"/>
  <c r="DF11" i="2"/>
  <c r="DI11" i="2"/>
  <c r="DK11" i="2" s="1"/>
  <c r="DE49" i="2"/>
  <c r="DF49" i="2"/>
  <c r="DE56" i="2"/>
  <c r="DF56" i="2"/>
  <c r="DE55" i="2"/>
  <c r="DF55" i="2"/>
  <c r="DE47" i="2"/>
  <c r="DF47" i="2"/>
  <c r="DE54" i="2"/>
  <c r="DF54" i="2"/>
  <c r="DE53" i="2"/>
  <c r="DF53" i="2"/>
  <c r="DE52" i="2"/>
  <c r="DF52" i="2"/>
  <c r="DE48" i="2"/>
  <c r="DF48" i="2"/>
  <c r="DE46" i="2"/>
  <c r="DF46" i="2"/>
  <c r="DE45" i="2"/>
  <c r="DF45" i="2"/>
  <c r="DE44" i="2"/>
  <c r="DF44" i="2"/>
  <c r="DE43" i="2"/>
  <c r="DF43" i="2"/>
  <c r="DE42" i="2"/>
  <c r="DF42" i="2"/>
  <c r="DE41" i="2"/>
  <c r="DF41" i="2"/>
  <c r="DE40" i="2"/>
  <c r="DF40" i="2"/>
  <c r="DE39" i="2"/>
  <c r="DF39" i="2"/>
  <c r="DE38" i="2"/>
  <c r="DF38" i="2"/>
  <c r="DE37" i="2"/>
  <c r="DF37" i="2"/>
  <c r="DE36" i="2"/>
  <c r="DF36" i="2"/>
  <c r="DE35" i="2"/>
  <c r="DF35" i="2"/>
  <c r="DE34" i="2"/>
  <c r="DF34" i="2"/>
  <c r="DE33" i="2"/>
  <c r="DF33" i="2"/>
  <c r="DE32" i="2"/>
  <c r="DF32" i="2"/>
  <c r="DE31" i="2"/>
  <c r="DF31" i="2"/>
  <c r="DE30" i="2"/>
  <c r="DF30" i="2"/>
  <c r="DE29" i="2"/>
  <c r="DF29" i="2"/>
  <c r="DE28" i="2"/>
  <c r="DF28" i="2"/>
  <c r="DE27" i="2"/>
  <c r="DF27" i="2"/>
  <c r="DE26" i="2"/>
  <c r="DF26" i="2"/>
  <c r="DE25" i="2"/>
  <c r="DF25" i="2"/>
  <c r="DE24" i="2"/>
  <c r="DF24" i="2"/>
  <c r="DE23" i="2"/>
  <c r="DF23" i="2"/>
  <c r="DB22" i="2"/>
  <c r="DE22" i="2"/>
  <c r="DG22" i="2" s="1"/>
  <c r="DB21" i="2"/>
  <c r="DE21" i="2"/>
  <c r="DG21" i="2" s="1"/>
  <c r="DB20" i="2"/>
  <c r="DE20" i="2"/>
  <c r="DG20" i="2" s="1"/>
  <c r="DB19" i="2"/>
  <c r="DE19" i="2"/>
  <c r="DB18" i="2"/>
  <c r="DE18" i="2"/>
  <c r="DG18" i="2" s="1"/>
  <c r="DB17" i="2"/>
  <c r="DE17" i="2"/>
  <c r="DG17" i="2" s="1"/>
  <c r="DB16" i="2"/>
  <c r="DE16" i="2"/>
  <c r="DG16" i="2" s="1"/>
  <c r="DB15" i="2"/>
  <c r="DE15" i="2"/>
  <c r="DB14" i="2"/>
  <c r="DE14" i="2"/>
  <c r="DG14" i="2" s="1"/>
  <c r="DB13" i="2"/>
  <c r="DE13" i="2"/>
  <c r="DG13" i="2" s="1"/>
  <c r="DB12" i="2"/>
  <c r="DE12" i="2"/>
  <c r="DG12" i="2" s="1"/>
  <c r="DB11" i="2"/>
  <c r="DE11" i="2"/>
  <c r="DA49" i="2"/>
  <c r="DB49" i="2"/>
  <c r="DA56" i="2"/>
  <c r="DB56" i="2"/>
  <c r="DA55" i="2"/>
  <c r="DB55" i="2"/>
  <c r="DA47" i="2"/>
  <c r="DB47" i="2"/>
  <c r="DA54" i="2"/>
  <c r="DB54" i="2"/>
  <c r="DA53" i="2"/>
  <c r="DB53" i="2"/>
  <c r="DA52" i="2"/>
  <c r="DB52" i="2"/>
  <c r="DA48" i="2"/>
  <c r="DB48" i="2"/>
  <c r="DA46" i="2"/>
  <c r="DB46" i="2"/>
  <c r="DA45" i="2"/>
  <c r="DB45" i="2"/>
  <c r="DA44" i="2"/>
  <c r="DB44" i="2"/>
  <c r="DA43" i="2"/>
  <c r="DB43" i="2"/>
  <c r="DA42" i="2"/>
  <c r="DB42" i="2"/>
  <c r="DA41" i="2"/>
  <c r="DB41" i="2"/>
  <c r="DA40" i="2"/>
  <c r="DB40" i="2"/>
  <c r="DA39" i="2"/>
  <c r="DB39" i="2"/>
  <c r="DA38" i="2"/>
  <c r="DB38" i="2"/>
  <c r="DA37" i="2"/>
  <c r="DB37" i="2"/>
  <c r="DA36" i="2"/>
  <c r="DB36" i="2"/>
  <c r="DA35" i="2"/>
  <c r="DB35" i="2"/>
  <c r="DA34" i="2"/>
  <c r="DB34" i="2"/>
  <c r="DA33" i="2"/>
  <c r="DB33" i="2"/>
  <c r="DA32" i="2"/>
  <c r="DB32" i="2"/>
  <c r="DA31" i="2"/>
  <c r="DB31" i="2"/>
  <c r="DA30" i="2"/>
  <c r="DB30" i="2"/>
  <c r="DA29" i="2"/>
  <c r="DB29" i="2"/>
  <c r="DA28" i="2"/>
  <c r="DB28" i="2"/>
  <c r="DA27" i="2"/>
  <c r="DB27" i="2"/>
  <c r="DA26" i="2"/>
  <c r="DB26" i="2"/>
  <c r="DA25" i="2"/>
  <c r="DB25" i="2"/>
  <c r="DA24" i="2"/>
  <c r="DB24" i="2"/>
  <c r="DA23" i="2"/>
  <c r="DB23" i="2"/>
  <c r="CX22" i="2"/>
  <c r="DA22" i="2"/>
  <c r="DC22" i="2" s="1"/>
  <c r="CX21" i="2"/>
  <c r="DA21" i="2"/>
  <c r="DC21" i="2" s="1"/>
  <c r="CX20" i="2"/>
  <c r="DA20" i="2"/>
  <c r="CX19" i="2"/>
  <c r="DA19" i="2"/>
  <c r="CX18" i="2"/>
  <c r="DA18" i="2"/>
  <c r="DC18" i="2" s="1"/>
  <c r="CX17" i="2"/>
  <c r="DA17" i="2"/>
  <c r="DC17" i="2" s="1"/>
  <c r="CX16" i="2"/>
  <c r="DA16" i="2"/>
  <c r="CX15" i="2"/>
  <c r="DA15" i="2"/>
  <c r="CX14" i="2"/>
  <c r="DA14" i="2"/>
  <c r="DC14" i="2" s="1"/>
  <c r="CX13" i="2"/>
  <c r="DA13" i="2"/>
  <c r="CX12" i="2"/>
  <c r="DA12" i="2"/>
  <c r="CX11" i="2"/>
  <c r="DA11" i="2"/>
  <c r="CW49" i="2"/>
  <c r="CX49" i="2"/>
  <c r="CW56" i="2"/>
  <c r="CX56" i="2"/>
  <c r="CW55" i="2"/>
  <c r="CX55" i="2"/>
  <c r="CW47" i="2"/>
  <c r="CX47" i="2"/>
  <c r="CW54" i="2"/>
  <c r="CX54" i="2"/>
  <c r="CW53" i="2"/>
  <c r="CX53" i="2"/>
  <c r="CW52" i="2"/>
  <c r="CX52" i="2"/>
  <c r="CW48" i="2"/>
  <c r="CX48" i="2"/>
  <c r="CW46" i="2"/>
  <c r="CX46" i="2"/>
  <c r="CW45" i="2"/>
  <c r="CX45" i="2"/>
  <c r="CW44" i="2"/>
  <c r="CX44" i="2"/>
  <c r="CW43" i="2"/>
  <c r="CX43" i="2"/>
  <c r="CW42" i="2"/>
  <c r="CX42" i="2"/>
  <c r="CW41" i="2"/>
  <c r="CX41" i="2"/>
  <c r="CW40" i="2"/>
  <c r="CX40" i="2"/>
  <c r="CW39" i="2"/>
  <c r="CX39" i="2"/>
  <c r="CW38" i="2"/>
  <c r="CX38" i="2"/>
  <c r="CW37" i="2"/>
  <c r="CX37" i="2"/>
  <c r="CW36" i="2"/>
  <c r="CX36" i="2"/>
  <c r="CW35" i="2"/>
  <c r="CX35" i="2"/>
  <c r="CW34" i="2"/>
  <c r="CX34" i="2"/>
  <c r="CW33" i="2"/>
  <c r="CX33" i="2"/>
  <c r="CW32" i="2"/>
  <c r="CX32" i="2"/>
  <c r="CW31" i="2"/>
  <c r="CX31" i="2"/>
  <c r="CW30" i="2"/>
  <c r="CX30" i="2"/>
  <c r="CW29" i="2"/>
  <c r="CX29" i="2"/>
  <c r="CW28" i="2"/>
  <c r="CX28" i="2"/>
  <c r="CW27" i="2"/>
  <c r="CX27" i="2"/>
  <c r="CW26" i="2"/>
  <c r="CX26" i="2"/>
  <c r="CW25" i="2"/>
  <c r="CX25" i="2"/>
  <c r="CW24" i="2"/>
  <c r="CX24" i="2"/>
  <c r="CW23" i="2"/>
  <c r="CX23" i="2"/>
  <c r="CT22" i="2"/>
  <c r="CW22" i="2"/>
  <c r="CY22" i="2" s="1"/>
  <c r="CT21" i="2"/>
  <c r="CW21" i="2"/>
  <c r="CT20" i="2"/>
  <c r="CW20" i="2"/>
  <c r="CT19" i="2"/>
  <c r="CW19" i="2"/>
  <c r="CT18" i="2"/>
  <c r="CW18" i="2"/>
  <c r="CY18" i="2" s="1"/>
  <c r="CT17" i="2"/>
  <c r="CW17" i="2"/>
  <c r="CT16" i="2"/>
  <c r="CW16" i="2"/>
  <c r="CT15" i="2"/>
  <c r="CW15" i="2"/>
  <c r="CT14" i="2"/>
  <c r="CW14" i="2"/>
  <c r="CY14" i="2" s="1"/>
  <c r="CT13" i="2"/>
  <c r="CW13" i="2"/>
  <c r="CT12" i="2"/>
  <c r="CW12" i="2"/>
  <c r="CT11" i="2"/>
  <c r="CW11" i="2"/>
  <c r="CS49" i="2"/>
  <c r="CT49" i="2"/>
  <c r="CS56" i="2"/>
  <c r="CT56" i="2"/>
  <c r="CS55" i="2"/>
  <c r="CT55" i="2"/>
  <c r="CS47" i="2"/>
  <c r="CT47" i="2"/>
  <c r="CS54" i="2"/>
  <c r="CT54" i="2"/>
  <c r="CS53" i="2"/>
  <c r="CT53" i="2"/>
  <c r="CS52" i="2"/>
  <c r="CT52" i="2"/>
  <c r="CS48" i="2"/>
  <c r="CT48" i="2"/>
  <c r="CS46" i="2"/>
  <c r="CT46" i="2"/>
  <c r="CS45" i="2"/>
  <c r="CT45" i="2"/>
  <c r="CS44" i="2"/>
  <c r="CT44" i="2"/>
  <c r="CS43" i="2"/>
  <c r="CT43" i="2"/>
  <c r="CS42" i="2"/>
  <c r="CT42" i="2"/>
  <c r="CS41" i="2"/>
  <c r="CT41" i="2"/>
  <c r="CS40" i="2"/>
  <c r="CT40" i="2"/>
  <c r="CS39" i="2"/>
  <c r="CT39" i="2"/>
  <c r="CS38" i="2"/>
  <c r="CT38" i="2"/>
  <c r="CS37" i="2"/>
  <c r="CT37" i="2"/>
  <c r="CS36" i="2"/>
  <c r="CT36" i="2"/>
  <c r="CS35" i="2"/>
  <c r="CT35" i="2"/>
  <c r="CS34" i="2"/>
  <c r="CT34" i="2"/>
  <c r="CS33" i="2"/>
  <c r="CT33" i="2"/>
  <c r="CS32" i="2"/>
  <c r="CT32" i="2"/>
  <c r="CS31" i="2"/>
  <c r="CT31" i="2"/>
  <c r="CS30" i="2"/>
  <c r="CT30" i="2"/>
  <c r="CS29" i="2"/>
  <c r="CT29" i="2"/>
  <c r="CS28" i="2"/>
  <c r="CT28" i="2"/>
  <c r="CS27" i="2"/>
  <c r="CT27" i="2"/>
  <c r="CS26" i="2"/>
  <c r="CT26" i="2"/>
  <c r="CS25" i="2"/>
  <c r="CT25" i="2"/>
  <c r="CS24" i="2"/>
  <c r="CT24" i="2"/>
  <c r="CS23" i="2"/>
  <c r="CT23" i="2"/>
  <c r="CO22" i="2"/>
  <c r="CS22" i="2"/>
  <c r="CU22" i="2" s="1"/>
  <c r="CO21" i="2"/>
  <c r="CS21" i="2"/>
  <c r="CO20" i="2"/>
  <c r="CS20" i="2"/>
  <c r="CO19" i="2"/>
  <c r="CS19" i="2"/>
  <c r="CO18" i="2"/>
  <c r="CS18" i="2"/>
  <c r="CU18" i="2" s="1"/>
  <c r="CO17" i="2"/>
  <c r="CS17" i="2"/>
  <c r="CU17" i="2" s="1"/>
  <c r="CO16" i="2"/>
  <c r="CS16" i="2"/>
  <c r="CO15" i="2"/>
  <c r="CS15" i="2"/>
  <c r="CO14" i="2"/>
  <c r="CS14" i="2"/>
  <c r="CU14" i="2" s="1"/>
  <c r="CO13" i="2"/>
  <c r="CS13" i="2"/>
  <c r="CU13" i="2" s="1"/>
  <c r="CO12" i="2"/>
  <c r="CS12" i="2"/>
  <c r="CO11" i="2"/>
  <c r="CS11" i="2"/>
  <c r="CL49" i="2"/>
  <c r="CO49" i="2"/>
  <c r="CL56" i="2"/>
  <c r="CO56" i="2"/>
  <c r="CL55" i="2"/>
  <c r="CO55" i="2"/>
  <c r="CL47" i="2"/>
  <c r="CO47" i="2"/>
  <c r="CL54" i="2"/>
  <c r="CO54" i="2"/>
  <c r="CL53" i="2"/>
  <c r="CO53" i="2"/>
  <c r="CL52" i="2"/>
  <c r="CO52" i="2"/>
  <c r="CL48" i="2"/>
  <c r="CO48" i="2"/>
  <c r="CL46" i="2"/>
  <c r="CO46" i="2"/>
  <c r="CL45" i="2"/>
  <c r="CO45" i="2"/>
  <c r="CL44" i="2"/>
  <c r="CO44" i="2"/>
  <c r="CL43" i="2"/>
  <c r="CO43" i="2"/>
  <c r="CL42" i="2"/>
  <c r="CO42" i="2"/>
  <c r="CL41" i="2"/>
  <c r="CO41" i="2"/>
  <c r="CL40" i="2"/>
  <c r="CO40" i="2"/>
  <c r="CL39" i="2"/>
  <c r="CO39" i="2"/>
  <c r="CL38" i="2"/>
  <c r="CO38" i="2"/>
  <c r="CL37" i="2"/>
  <c r="CO37" i="2"/>
  <c r="CL36" i="2"/>
  <c r="CO36" i="2"/>
  <c r="CL35" i="2"/>
  <c r="CO35" i="2"/>
  <c r="CL34" i="2"/>
  <c r="CO34" i="2"/>
  <c r="CL33" i="2"/>
  <c r="CO33" i="2"/>
  <c r="CL32" i="2"/>
  <c r="CO32" i="2"/>
  <c r="CL31" i="2"/>
  <c r="CO31" i="2"/>
  <c r="CL30" i="2"/>
  <c r="CO30" i="2"/>
  <c r="CL29" i="2"/>
  <c r="CO29" i="2"/>
  <c r="CL28" i="2"/>
  <c r="CO28" i="2"/>
  <c r="CL27" i="2"/>
  <c r="CO27" i="2"/>
  <c r="CL26" i="2"/>
  <c r="CO26" i="2"/>
  <c r="CL25" i="2"/>
  <c r="CO25" i="2"/>
  <c r="CL24" i="2"/>
  <c r="CO24" i="2"/>
  <c r="CL23" i="2"/>
  <c r="CO23" i="2"/>
  <c r="CK22" i="2"/>
  <c r="CL22" i="2"/>
  <c r="CK21" i="2"/>
  <c r="CL21" i="2"/>
  <c r="CK20" i="2"/>
  <c r="CL20" i="2"/>
  <c r="CK19" i="2"/>
  <c r="CL19" i="2"/>
  <c r="CK18" i="2"/>
  <c r="CL18" i="2"/>
  <c r="CK17" i="2"/>
  <c r="CL17" i="2"/>
  <c r="CK16" i="2"/>
  <c r="CL16" i="2"/>
  <c r="CK15" i="2"/>
  <c r="CL15" i="2"/>
  <c r="CK14" i="2"/>
  <c r="CL14" i="2"/>
  <c r="CK13" i="2"/>
  <c r="CL13" i="2"/>
  <c r="CK12" i="2"/>
  <c r="CL12" i="2"/>
  <c r="CK11" i="2"/>
  <c r="CL11" i="2"/>
  <c r="CH49" i="2"/>
  <c r="CK49" i="2"/>
  <c r="CM49" i="2" s="1"/>
  <c r="CH56" i="2"/>
  <c r="CK56" i="2"/>
  <c r="CM56" i="2" s="1"/>
  <c r="CH55" i="2"/>
  <c r="CK55" i="2"/>
  <c r="CH47" i="2"/>
  <c r="CK47" i="2"/>
  <c r="CH54" i="2"/>
  <c r="CK54" i="2"/>
  <c r="CM54" i="2" s="1"/>
  <c r="CH53" i="2"/>
  <c r="CK53" i="2"/>
  <c r="CM53" i="2" s="1"/>
  <c r="CH52" i="2"/>
  <c r="CK52" i="2"/>
  <c r="CH48" i="2"/>
  <c r="CK48" i="2"/>
  <c r="CH46" i="2"/>
  <c r="CK46" i="2"/>
  <c r="CM46" i="2" s="1"/>
  <c r="CH45" i="2"/>
  <c r="CK45" i="2"/>
  <c r="CM45" i="2" s="1"/>
  <c r="CH44" i="2"/>
  <c r="CK44" i="2"/>
  <c r="CH43" i="2"/>
  <c r="CK43" i="2"/>
  <c r="CH42" i="2"/>
  <c r="CK42" i="2"/>
  <c r="CM42" i="2" s="1"/>
  <c r="CH41" i="2"/>
  <c r="CK41" i="2"/>
  <c r="CM41" i="2" s="1"/>
  <c r="CH40" i="2"/>
  <c r="CK40" i="2"/>
  <c r="CH39" i="2"/>
  <c r="CK39" i="2"/>
  <c r="CH38" i="2"/>
  <c r="CK38" i="2"/>
  <c r="CM38" i="2" s="1"/>
  <c r="CH37" i="2"/>
  <c r="CK37" i="2"/>
  <c r="CM37" i="2" s="1"/>
  <c r="CH36" i="2"/>
  <c r="CK36" i="2"/>
  <c r="CH35" i="2"/>
  <c r="CK35" i="2"/>
  <c r="CH34" i="2"/>
  <c r="CK34" i="2"/>
  <c r="CM34" i="2" s="1"/>
  <c r="CH33" i="2"/>
  <c r="CK33" i="2"/>
  <c r="CM33" i="2" s="1"/>
  <c r="CH32" i="2"/>
  <c r="CK32" i="2"/>
  <c r="CH31" i="2"/>
  <c r="CK31" i="2"/>
  <c r="CH30" i="2"/>
  <c r="CK30" i="2"/>
  <c r="CM30" i="2" s="1"/>
  <c r="CH29" i="2"/>
  <c r="CK29" i="2"/>
  <c r="CM29" i="2" s="1"/>
  <c r="CH28" i="2"/>
  <c r="CK28" i="2"/>
  <c r="CH27" i="2"/>
  <c r="CK27" i="2"/>
  <c r="CH26" i="2"/>
  <c r="CK26" i="2"/>
  <c r="CM26" i="2" s="1"/>
  <c r="CH25" i="2"/>
  <c r="CK25" i="2"/>
  <c r="CM25" i="2" s="1"/>
  <c r="CH24" i="2"/>
  <c r="CK24" i="2"/>
  <c r="CH23" i="2"/>
  <c r="CK23" i="2"/>
  <c r="CG22" i="2"/>
  <c r="CH22" i="2"/>
  <c r="CG21" i="2"/>
  <c r="CH21" i="2"/>
  <c r="CG20" i="2"/>
  <c r="CH20" i="2"/>
  <c r="CG19" i="2"/>
  <c r="CH19" i="2"/>
  <c r="CG18" i="2"/>
  <c r="CH18" i="2"/>
  <c r="CG17" i="2"/>
  <c r="CH17" i="2"/>
  <c r="CG16" i="2"/>
  <c r="CH16" i="2"/>
  <c r="CG15" i="2"/>
  <c r="CH15" i="2"/>
  <c r="CG14" i="2"/>
  <c r="CH14" i="2"/>
  <c r="CG13" i="2"/>
  <c r="CH13" i="2"/>
  <c r="CG12" i="2"/>
  <c r="CH12" i="2"/>
  <c r="CG11" i="2"/>
  <c r="CH11" i="2"/>
  <c r="CD49" i="2"/>
  <c r="CG49" i="2"/>
  <c r="CI49" i="2" s="1"/>
  <c r="CD56" i="2"/>
  <c r="CG56" i="2"/>
  <c r="CI56" i="2" s="1"/>
  <c r="CD55" i="2"/>
  <c r="CG55" i="2"/>
  <c r="CD47" i="2"/>
  <c r="CG47" i="2"/>
  <c r="CD54" i="2"/>
  <c r="CG54" i="2"/>
  <c r="CI54" i="2" s="1"/>
  <c r="CD53" i="2"/>
  <c r="CG53" i="2"/>
  <c r="CI53" i="2" s="1"/>
  <c r="CD52" i="2"/>
  <c r="CG52" i="2"/>
  <c r="CD48" i="2"/>
  <c r="CG48" i="2"/>
  <c r="CD46" i="2"/>
  <c r="CG46" i="2"/>
  <c r="CI46" i="2" s="1"/>
  <c r="CD45" i="2"/>
  <c r="CG45" i="2"/>
  <c r="CI45" i="2" s="1"/>
  <c r="CD44" i="2"/>
  <c r="CG44" i="2"/>
  <c r="CD43" i="2"/>
  <c r="CG43" i="2"/>
  <c r="CD42" i="2"/>
  <c r="CG42" i="2"/>
  <c r="CI42" i="2" s="1"/>
  <c r="CD41" i="2"/>
  <c r="CG41" i="2"/>
  <c r="CI41" i="2" s="1"/>
  <c r="CD40" i="2"/>
  <c r="CG40" i="2"/>
  <c r="CD39" i="2"/>
  <c r="CG39" i="2"/>
  <c r="CD38" i="2"/>
  <c r="CG38" i="2"/>
  <c r="CI38" i="2" s="1"/>
  <c r="CD37" i="2"/>
  <c r="CG37" i="2"/>
  <c r="CI37" i="2" s="1"/>
  <c r="CD36" i="2"/>
  <c r="CG36" i="2"/>
  <c r="CD35" i="2"/>
  <c r="CG35" i="2"/>
  <c r="CD34" i="2"/>
  <c r="CG34" i="2"/>
  <c r="CI34" i="2" s="1"/>
  <c r="CD33" i="2"/>
  <c r="CG33" i="2"/>
  <c r="CI33" i="2" s="1"/>
  <c r="CD32" i="2"/>
  <c r="CG32" i="2"/>
  <c r="CD31" i="2"/>
  <c r="CG31" i="2"/>
  <c r="CD30" i="2"/>
  <c r="CG30" i="2"/>
  <c r="CI30" i="2" s="1"/>
  <c r="CD29" i="2"/>
  <c r="CG29" i="2"/>
  <c r="CI29" i="2" s="1"/>
  <c r="CD28" i="2"/>
  <c r="CG28" i="2"/>
  <c r="CD27" i="2"/>
  <c r="CG27" i="2"/>
  <c r="CD26" i="2"/>
  <c r="CG26" i="2"/>
  <c r="CI26" i="2" s="1"/>
  <c r="CD25" i="2"/>
  <c r="CG25" i="2"/>
  <c r="CI25" i="2" s="1"/>
  <c r="CD24" i="2"/>
  <c r="CG24" i="2"/>
  <c r="CD23" i="2"/>
  <c r="CG23" i="2"/>
  <c r="CC22" i="2"/>
  <c r="CD22" i="2"/>
  <c r="CC21" i="2"/>
  <c r="CD21" i="2"/>
  <c r="CC20" i="2"/>
  <c r="CD20" i="2"/>
  <c r="CC19" i="2"/>
  <c r="CD19" i="2"/>
  <c r="CC18" i="2"/>
  <c r="CD18" i="2"/>
  <c r="CC17" i="2"/>
  <c r="CD17" i="2"/>
  <c r="CC16" i="2"/>
  <c r="CD16" i="2"/>
  <c r="CC15" i="2"/>
  <c r="CD15" i="2"/>
  <c r="CC14" i="2"/>
  <c r="CD14" i="2"/>
  <c r="CC13" i="2"/>
  <c r="CD13" i="2"/>
  <c r="CC12" i="2"/>
  <c r="CD12" i="2"/>
  <c r="CC11" i="2"/>
  <c r="CD11" i="2"/>
  <c r="BZ49" i="2"/>
  <c r="CC49" i="2"/>
  <c r="CE49" i="2" s="1"/>
  <c r="BZ56" i="2"/>
  <c r="CC56" i="2"/>
  <c r="CE56" i="2" s="1"/>
  <c r="BZ55" i="2"/>
  <c r="CC55" i="2"/>
  <c r="BZ47" i="2"/>
  <c r="CC47" i="2"/>
  <c r="BZ54" i="2"/>
  <c r="CC54" i="2"/>
  <c r="CE54" i="2" s="1"/>
  <c r="BZ53" i="2"/>
  <c r="CC53" i="2"/>
  <c r="CE53" i="2" s="1"/>
  <c r="BZ52" i="2"/>
  <c r="CC52" i="2"/>
  <c r="BZ48" i="2"/>
  <c r="CC48" i="2"/>
  <c r="BZ46" i="2"/>
  <c r="CC46" i="2"/>
  <c r="CE46" i="2" s="1"/>
  <c r="BZ45" i="2"/>
  <c r="CC45" i="2"/>
  <c r="CE45" i="2" s="1"/>
  <c r="BZ44" i="2"/>
  <c r="CC44" i="2"/>
  <c r="BZ43" i="2"/>
  <c r="CC43" i="2"/>
  <c r="BZ42" i="2"/>
  <c r="CC42" i="2"/>
  <c r="CE42" i="2" s="1"/>
  <c r="BZ41" i="2"/>
  <c r="CC41" i="2"/>
  <c r="CE41" i="2" s="1"/>
  <c r="BZ40" i="2"/>
  <c r="CC40" i="2"/>
  <c r="BZ39" i="2"/>
  <c r="CC39" i="2"/>
  <c r="BZ38" i="2"/>
  <c r="CC38" i="2"/>
  <c r="CE38" i="2" s="1"/>
  <c r="BZ37" i="2"/>
  <c r="CC37" i="2"/>
  <c r="CE37" i="2" s="1"/>
  <c r="BZ36" i="2"/>
  <c r="CC36" i="2"/>
  <c r="BZ35" i="2"/>
  <c r="CC35" i="2"/>
  <c r="BZ34" i="2"/>
  <c r="CC34" i="2"/>
  <c r="CE34" i="2" s="1"/>
  <c r="BZ33" i="2"/>
  <c r="CC33" i="2"/>
  <c r="CE33" i="2" s="1"/>
  <c r="BZ32" i="2"/>
  <c r="CC32" i="2"/>
  <c r="BZ31" i="2"/>
  <c r="CC31" i="2"/>
  <c r="BZ30" i="2"/>
  <c r="CC30" i="2"/>
  <c r="CE30" i="2" s="1"/>
  <c r="BZ29" i="2"/>
  <c r="CC29" i="2"/>
  <c r="CE29" i="2" s="1"/>
  <c r="BZ28" i="2"/>
  <c r="CC28" i="2"/>
  <c r="BZ27" i="2"/>
  <c r="CC27" i="2"/>
  <c r="BZ26" i="2"/>
  <c r="CC26" i="2"/>
  <c r="CE26" i="2" s="1"/>
  <c r="BZ25" i="2"/>
  <c r="CC25" i="2"/>
  <c r="CE25" i="2" s="1"/>
  <c r="BZ24" i="2"/>
  <c r="CC24" i="2"/>
  <c r="BZ23" i="2"/>
  <c r="CC23" i="2"/>
  <c r="BY22" i="2"/>
  <c r="BZ22" i="2"/>
  <c r="BY21" i="2"/>
  <c r="BZ21" i="2"/>
  <c r="BY20" i="2"/>
  <c r="BZ20" i="2"/>
  <c r="BY19" i="2"/>
  <c r="BZ19" i="2"/>
  <c r="BY18" i="2"/>
  <c r="BZ18" i="2"/>
  <c r="BY17" i="2"/>
  <c r="BZ17" i="2"/>
  <c r="BY16" i="2"/>
  <c r="BZ16" i="2"/>
  <c r="BY15" i="2"/>
  <c r="BZ15" i="2"/>
  <c r="BY14" i="2"/>
  <c r="BZ14" i="2"/>
  <c r="BY13" i="2"/>
  <c r="BZ13" i="2"/>
  <c r="BY12" i="2"/>
  <c r="BZ12" i="2"/>
  <c r="BY11" i="2"/>
  <c r="BZ11" i="2"/>
  <c r="BU49" i="2"/>
  <c r="BY49" i="2"/>
  <c r="CA49" i="2" s="1"/>
  <c r="BU56" i="2"/>
  <c r="BY56" i="2"/>
  <c r="CA56" i="2" s="1"/>
  <c r="BU55" i="2"/>
  <c r="BY55" i="2"/>
  <c r="BU47" i="2"/>
  <c r="BY47" i="2"/>
  <c r="BU54" i="2"/>
  <c r="BY54" i="2"/>
  <c r="CA54" i="2" s="1"/>
  <c r="BU53" i="2"/>
  <c r="BY53" i="2"/>
  <c r="CA53" i="2" s="1"/>
  <c r="BU52" i="2"/>
  <c r="BY52" i="2"/>
  <c r="BU48" i="2"/>
  <c r="BY48" i="2"/>
  <c r="BU46" i="2"/>
  <c r="BY46" i="2"/>
  <c r="CA46" i="2" s="1"/>
  <c r="BU45" i="2"/>
  <c r="BY45" i="2"/>
  <c r="CA45" i="2" s="1"/>
  <c r="BU44" i="2"/>
  <c r="BY44" i="2"/>
  <c r="BU43" i="2"/>
  <c r="BY43" i="2"/>
  <c r="BU42" i="2"/>
  <c r="BY42" i="2"/>
  <c r="CA42" i="2" s="1"/>
  <c r="BU41" i="2"/>
  <c r="BY41" i="2"/>
  <c r="CA41" i="2" s="1"/>
  <c r="BU40" i="2"/>
  <c r="BY40" i="2"/>
  <c r="BU39" i="2"/>
  <c r="BY39" i="2"/>
  <c r="BU38" i="2"/>
  <c r="BY38" i="2"/>
  <c r="CA38" i="2" s="1"/>
  <c r="BU37" i="2"/>
  <c r="BY37" i="2"/>
  <c r="CA37" i="2" s="1"/>
  <c r="BU36" i="2"/>
  <c r="BY36" i="2"/>
  <c r="BU35" i="2"/>
  <c r="BY35" i="2"/>
  <c r="BU34" i="2"/>
  <c r="BY34" i="2"/>
  <c r="CA34" i="2" s="1"/>
  <c r="BU33" i="2"/>
  <c r="BY33" i="2"/>
  <c r="CA33" i="2" s="1"/>
  <c r="BU32" i="2"/>
  <c r="BY32" i="2"/>
  <c r="BU31" i="2"/>
  <c r="BY31" i="2"/>
  <c r="BU30" i="2"/>
  <c r="BY30" i="2"/>
  <c r="CA30" i="2" s="1"/>
  <c r="BU29" i="2"/>
  <c r="BY29" i="2"/>
  <c r="CA29" i="2" s="1"/>
  <c r="BU28" i="2"/>
  <c r="BY28" i="2"/>
  <c r="BU27" i="2"/>
  <c r="BY27" i="2"/>
  <c r="BU26" i="2"/>
  <c r="BY26" i="2"/>
  <c r="CA26" i="2" s="1"/>
  <c r="BU25" i="2"/>
  <c r="BY25" i="2"/>
  <c r="CA25" i="2" s="1"/>
  <c r="BU24" i="2"/>
  <c r="BY24" i="2"/>
  <c r="BU23" i="2"/>
  <c r="BY23" i="2"/>
  <c r="BV22" i="2"/>
  <c r="BU22" i="2"/>
  <c r="BW22" i="2" s="1"/>
  <c r="BV21" i="2"/>
  <c r="BU21" i="2"/>
  <c r="BW21" i="2" s="1"/>
  <c r="BV20" i="2"/>
  <c r="BU20" i="2"/>
  <c r="BV19" i="2"/>
  <c r="BU19" i="2"/>
  <c r="BV18" i="2"/>
  <c r="BU18" i="2"/>
  <c r="BW18" i="2" s="1"/>
  <c r="BV17" i="2"/>
  <c r="BU17" i="2"/>
  <c r="BW17" i="2" s="1"/>
  <c r="BV16" i="2"/>
  <c r="BU16" i="2"/>
  <c r="BV15" i="2"/>
  <c r="BU15" i="2"/>
  <c r="BV14" i="2"/>
  <c r="BU14" i="2"/>
  <c r="BW14" i="2" s="1"/>
  <c r="BV13" i="2"/>
  <c r="BU13" i="2"/>
  <c r="BW13" i="2" s="1"/>
  <c r="BV12" i="2"/>
  <c r="BU12" i="2"/>
  <c r="BV11" i="2"/>
  <c r="BU11" i="2"/>
  <c r="BR49" i="2"/>
  <c r="BV49" i="2"/>
  <c r="BW49" i="2" s="1"/>
  <c r="BR56" i="2"/>
  <c r="BV56" i="2"/>
  <c r="BW56" i="2" s="1"/>
  <c r="BR55" i="2"/>
  <c r="BV55" i="2"/>
  <c r="BR47" i="2"/>
  <c r="BV47" i="2"/>
  <c r="BR54" i="2"/>
  <c r="BV54" i="2"/>
  <c r="BW54" i="2" s="1"/>
  <c r="BR53" i="2"/>
  <c r="BV53" i="2"/>
  <c r="BW53" i="2" s="1"/>
  <c r="BR52" i="2"/>
  <c r="BV52" i="2"/>
  <c r="BR48" i="2"/>
  <c r="BV48" i="2"/>
  <c r="BR46" i="2"/>
  <c r="BV46" i="2"/>
  <c r="BW46" i="2" s="1"/>
  <c r="BR45" i="2"/>
  <c r="BV45" i="2"/>
  <c r="BW45" i="2" s="1"/>
  <c r="BR44" i="2"/>
  <c r="BV44" i="2"/>
  <c r="BR43" i="2"/>
  <c r="BV43" i="2"/>
  <c r="BR42" i="2"/>
  <c r="BV42" i="2"/>
  <c r="BW42" i="2" s="1"/>
  <c r="BR41" i="2"/>
  <c r="BV41" i="2"/>
  <c r="BW41" i="2" s="1"/>
  <c r="BR40" i="2"/>
  <c r="BV40" i="2"/>
  <c r="BR39" i="2"/>
  <c r="BV39" i="2"/>
  <c r="BR38" i="2"/>
  <c r="BV38" i="2"/>
  <c r="BW38" i="2" s="1"/>
  <c r="BR37" i="2"/>
  <c r="BV37" i="2"/>
  <c r="BW37" i="2" s="1"/>
  <c r="BR36" i="2"/>
  <c r="BV36" i="2"/>
  <c r="BR35" i="2"/>
  <c r="BV35" i="2"/>
  <c r="BR34" i="2"/>
  <c r="BV34" i="2"/>
  <c r="BW34" i="2" s="1"/>
  <c r="BR33" i="2"/>
  <c r="BV33" i="2"/>
  <c r="BW33" i="2" s="1"/>
  <c r="BR32" i="2"/>
  <c r="BV32" i="2"/>
  <c r="BR31" i="2"/>
  <c r="BV31" i="2"/>
  <c r="BR30" i="2"/>
  <c r="BV30" i="2"/>
  <c r="BW30" i="2" s="1"/>
  <c r="BR29" i="2"/>
  <c r="BV29" i="2"/>
  <c r="BW29" i="2" s="1"/>
  <c r="BR28" i="2"/>
  <c r="BV28" i="2"/>
  <c r="BR27" i="2"/>
  <c r="BV27" i="2"/>
  <c r="BR26" i="2"/>
  <c r="BV26" i="2"/>
  <c r="BW26" i="2" s="1"/>
  <c r="BR25" i="2"/>
  <c r="BV25" i="2"/>
  <c r="BW25" i="2" s="1"/>
  <c r="BR24" i="2"/>
  <c r="BV24" i="2"/>
  <c r="BR23" i="2"/>
  <c r="BV23" i="2"/>
  <c r="Z22" i="2"/>
  <c r="CP22" i="2" s="1"/>
  <c r="CQ22" i="2" s="1"/>
  <c r="BR22" i="2"/>
  <c r="BQ21" i="2"/>
  <c r="BR21" i="2"/>
  <c r="BQ20" i="2"/>
  <c r="BR20" i="2"/>
  <c r="BQ19" i="2"/>
  <c r="BR19" i="2"/>
  <c r="BQ18" i="2"/>
  <c r="BR18" i="2"/>
  <c r="BQ17" i="2"/>
  <c r="BR17" i="2"/>
  <c r="BQ16" i="2"/>
  <c r="BR16" i="2"/>
  <c r="BQ15" i="2"/>
  <c r="BR15" i="2"/>
  <c r="BQ14" i="2"/>
  <c r="BR14" i="2"/>
  <c r="BQ13" i="2"/>
  <c r="BR13" i="2"/>
  <c r="BQ12" i="2"/>
  <c r="BR12" i="2"/>
  <c r="H46" i="7" s="1"/>
  <c r="BQ11" i="2"/>
  <c r="BR11" i="2"/>
  <c r="Y84" i="2"/>
  <c r="Y85" i="2"/>
  <c r="I18" i="7" l="1"/>
  <c r="BW24" i="2"/>
  <c r="BW28" i="2"/>
  <c r="BW32" i="2"/>
  <c r="BW36" i="2"/>
  <c r="BW40" i="2"/>
  <c r="BW44" i="2"/>
  <c r="BW52" i="2"/>
  <c r="BW55" i="2"/>
  <c r="BW12" i="2"/>
  <c r="BW16" i="2"/>
  <c r="BW20" i="2"/>
  <c r="CA24" i="2"/>
  <c r="CA28" i="2"/>
  <c r="CA32" i="2"/>
  <c r="CA36" i="2"/>
  <c r="CA40" i="2"/>
  <c r="CA44" i="2"/>
  <c r="CA52" i="2"/>
  <c r="CA55" i="2"/>
  <c r="CE24" i="2"/>
  <c r="CE28" i="2"/>
  <c r="CE32" i="2"/>
  <c r="CE36" i="2"/>
  <c r="CE40" i="2"/>
  <c r="CE44" i="2"/>
  <c r="CE52" i="2"/>
  <c r="CE55" i="2"/>
  <c r="CI24" i="2"/>
  <c r="CI28" i="2"/>
  <c r="CI32" i="2"/>
  <c r="CI36" i="2"/>
  <c r="CI40" i="2"/>
  <c r="CI44" i="2"/>
  <c r="CI52" i="2"/>
  <c r="CI55" i="2"/>
  <c r="CM24" i="2"/>
  <c r="CM28" i="2"/>
  <c r="CM32" i="2"/>
  <c r="CM36" i="2"/>
  <c r="CM40" i="2"/>
  <c r="CM44" i="2"/>
  <c r="CM52" i="2"/>
  <c r="CM55" i="2"/>
  <c r="CU12" i="2"/>
  <c r="CU16" i="2"/>
  <c r="CU20" i="2"/>
  <c r="CY12" i="2"/>
  <c r="CY16" i="2"/>
  <c r="CY20" i="2"/>
  <c r="DC12" i="2"/>
  <c r="DC16" i="2"/>
  <c r="DC20" i="2"/>
  <c r="BW23" i="2"/>
  <c r="BW27" i="2"/>
  <c r="BW31" i="2"/>
  <c r="BW35" i="2"/>
  <c r="BW39" i="2"/>
  <c r="BW43" i="2"/>
  <c r="BW48" i="2"/>
  <c r="BW47" i="2"/>
  <c r="BW11" i="2"/>
  <c r="BW15" i="2"/>
  <c r="BW19" i="2"/>
  <c r="CA23" i="2"/>
  <c r="CA27" i="2"/>
  <c r="CA31" i="2"/>
  <c r="CA35" i="2"/>
  <c r="CA39" i="2"/>
  <c r="CA43" i="2"/>
  <c r="CA48" i="2"/>
  <c r="CA47" i="2"/>
  <c r="CE23" i="2"/>
  <c r="CE27" i="2"/>
  <c r="CE31" i="2"/>
  <c r="CE35" i="2"/>
  <c r="CE39" i="2"/>
  <c r="CE43" i="2"/>
  <c r="CE48" i="2"/>
  <c r="CE47" i="2"/>
  <c r="CI23" i="2"/>
  <c r="CI27" i="2"/>
  <c r="CI31" i="2"/>
  <c r="CI35" i="2"/>
  <c r="CI39" i="2"/>
  <c r="CI43" i="2"/>
  <c r="CI48" i="2"/>
  <c r="CI47" i="2"/>
  <c r="CM23" i="2"/>
  <c r="CM27" i="2"/>
  <c r="CM31" i="2"/>
  <c r="CM35" i="2"/>
  <c r="CM39" i="2"/>
  <c r="CM43" i="2"/>
  <c r="CM48" i="2"/>
  <c r="CM47" i="2"/>
  <c r="CU11" i="2"/>
  <c r="CU15" i="2"/>
  <c r="CU19" i="2"/>
  <c r="CY11" i="2"/>
  <c r="CY15" i="2"/>
  <c r="CY19" i="2"/>
  <c r="DC11" i="2"/>
  <c r="DC19" i="2"/>
  <c r="DG11" i="2"/>
  <c r="DG15" i="2"/>
  <c r="DG19" i="2"/>
  <c r="CU21" i="2"/>
  <c r="CY13" i="2"/>
  <c r="CY17" i="2"/>
  <c r="CY21" i="2"/>
  <c r="DC13" i="2"/>
  <c r="DC15" i="2"/>
  <c r="DK23" i="2"/>
  <c r="DK24" i="2"/>
  <c r="DK25" i="2"/>
  <c r="DK26" i="2"/>
  <c r="DK27" i="2"/>
  <c r="DK28" i="2"/>
  <c r="DK29" i="2"/>
  <c r="DK30" i="2"/>
  <c r="DK31" i="2"/>
  <c r="DK32" i="2"/>
  <c r="DK33" i="2"/>
  <c r="DK34" i="2"/>
  <c r="DK35" i="2"/>
  <c r="DK36" i="2"/>
  <c r="DK37" i="2"/>
  <c r="DK38" i="2"/>
  <c r="DK39" i="2"/>
  <c r="DK40" i="2"/>
  <c r="DK41" i="2"/>
  <c r="DK42" i="2"/>
  <c r="DK43" i="2"/>
  <c r="DK44" i="2"/>
  <c r="DK45" i="2"/>
  <c r="DK46" i="2"/>
  <c r="DK48" i="2"/>
  <c r="DK52" i="2"/>
  <c r="DK53" i="2"/>
  <c r="DK54" i="2"/>
  <c r="DK47" i="2"/>
  <c r="DK55" i="2"/>
  <c r="DK56" i="2"/>
  <c r="DK49" i="2"/>
  <c r="DI85" i="2"/>
  <c r="DJ85" i="2"/>
  <c r="DI84" i="2"/>
  <c r="DJ84" i="2"/>
  <c r="DG23" i="2"/>
  <c r="DG24" i="2"/>
  <c r="DG25" i="2"/>
  <c r="DG26" i="2"/>
  <c r="DG27" i="2"/>
  <c r="DG28" i="2"/>
  <c r="DG29" i="2"/>
  <c r="DG30" i="2"/>
  <c r="DG31" i="2"/>
  <c r="DG32" i="2"/>
  <c r="DG33" i="2"/>
  <c r="DG34" i="2"/>
  <c r="DG35" i="2"/>
  <c r="DG36" i="2"/>
  <c r="DG37" i="2"/>
  <c r="DG38" i="2"/>
  <c r="DG39" i="2"/>
  <c r="DG40" i="2"/>
  <c r="DG41" i="2"/>
  <c r="DG42" i="2"/>
  <c r="DG43" i="2"/>
  <c r="DG44" i="2"/>
  <c r="DG45" i="2"/>
  <c r="DG46" i="2"/>
  <c r="DG48" i="2"/>
  <c r="DG52" i="2"/>
  <c r="DG53" i="2"/>
  <c r="DG54" i="2"/>
  <c r="DG47" i="2"/>
  <c r="DG55" i="2"/>
  <c r="DG56" i="2"/>
  <c r="DG49" i="2"/>
  <c r="DE85" i="2"/>
  <c r="DF85" i="2"/>
  <c r="DE84" i="2"/>
  <c r="DF84" i="2"/>
  <c r="DC23" i="2"/>
  <c r="DC24" i="2"/>
  <c r="DC25" i="2"/>
  <c r="DC26" i="2"/>
  <c r="DC27" i="2"/>
  <c r="DC28" i="2"/>
  <c r="DC29" i="2"/>
  <c r="DC30" i="2"/>
  <c r="DC31" i="2"/>
  <c r="DC32" i="2"/>
  <c r="DC33" i="2"/>
  <c r="DC34" i="2"/>
  <c r="DC35" i="2"/>
  <c r="DC36" i="2"/>
  <c r="DC37" i="2"/>
  <c r="DC38" i="2"/>
  <c r="DC39" i="2"/>
  <c r="DC40" i="2"/>
  <c r="DC41" i="2"/>
  <c r="DC42" i="2"/>
  <c r="DC43" i="2"/>
  <c r="DC44" i="2"/>
  <c r="DC45" i="2"/>
  <c r="DC46" i="2"/>
  <c r="DC48" i="2"/>
  <c r="DC52" i="2"/>
  <c r="DC53" i="2"/>
  <c r="DC54" i="2"/>
  <c r="DC47" i="2"/>
  <c r="DC55" i="2"/>
  <c r="DC56" i="2"/>
  <c r="DC49" i="2"/>
  <c r="DA85" i="2"/>
  <c r="DB85" i="2"/>
  <c r="DA84" i="2"/>
  <c r="DB84" i="2"/>
  <c r="CY23" i="2"/>
  <c r="CY24" i="2"/>
  <c r="CY25" i="2"/>
  <c r="CY26" i="2"/>
  <c r="CY27" i="2"/>
  <c r="CY28" i="2"/>
  <c r="CY29" i="2"/>
  <c r="CY30" i="2"/>
  <c r="CY31" i="2"/>
  <c r="CY32" i="2"/>
  <c r="CY33" i="2"/>
  <c r="CY34" i="2"/>
  <c r="CY35" i="2"/>
  <c r="CY36" i="2"/>
  <c r="CY37" i="2"/>
  <c r="CY38" i="2"/>
  <c r="CY39" i="2"/>
  <c r="CY40" i="2"/>
  <c r="CY41" i="2"/>
  <c r="CY42" i="2"/>
  <c r="CY43" i="2"/>
  <c r="CY44" i="2"/>
  <c r="CY45" i="2"/>
  <c r="CY46" i="2"/>
  <c r="CY48" i="2"/>
  <c r="CY52" i="2"/>
  <c r="CY53" i="2"/>
  <c r="CY54" i="2"/>
  <c r="CY47" i="2"/>
  <c r="CY55" i="2"/>
  <c r="CY56" i="2"/>
  <c r="CY49" i="2"/>
  <c r="CW85" i="2"/>
  <c r="CX85" i="2"/>
  <c r="CW84" i="2"/>
  <c r="CX84" i="2"/>
  <c r="CU23" i="2"/>
  <c r="CU24" i="2"/>
  <c r="CU25" i="2"/>
  <c r="CU26" i="2"/>
  <c r="CU27" i="2"/>
  <c r="CU28" i="2"/>
  <c r="CU29" i="2"/>
  <c r="CU30" i="2"/>
  <c r="CU31" i="2"/>
  <c r="CU32" i="2"/>
  <c r="CU33" i="2"/>
  <c r="CU34" i="2"/>
  <c r="CU35" i="2"/>
  <c r="CU36" i="2"/>
  <c r="CU37" i="2"/>
  <c r="CU38" i="2"/>
  <c r="CU39" i="2"/>
  <c r="CU40" i="2"/>
  <c r="CU41" i="2"/>
  <c r="CU42" i="2"/>
  <c r="CU43" i="2"/>
  <c r="CU44" i="2"/>
  <c r="CU45" i="2"/>
  <c r="CU46" i="2"/>
  <c r="CU48" i="2"/>
  <c r="CU52" i="2"/>
  <c r="CU53" i="2"/>
  <c r="CU54" i="2"/>
  <c r="CU47" i="2"/>
  <c r="CU55" i="2"/>
  <c r="CU56" i="2"/>
  <c r="CU49" i="2"/>
  <c r="CS85" i="2"/>
  <c r="CT85" i="2"/>
  <c r="CS84" i="2"/>
  <c r="CT84" i="2"/>
  <c r="CL85" i="2"/>
  <c r="CO85" i="2"/>
  <c r="CQ85" i="2" s="1"/>
  <c r="CL84" i="2"/>
  <c r="CO84" i="2"/>
  <c r="CQ84" i="2" s="1"/>
  <c r="CM11" i="2"/>
  <c r="CM12" i="2"/>
  <c r="CM13" i="2"/>
  <c r="CM14" i="2"/>
  <c r="CM15" i="2"/>
  <c r="CM16" i="2"/>
  <c r="CM17" i="2"/>
  <c r="CM18" i="2"/>
  <c r="CM19" i="2"/>
  <c r="CM20" i="2"/>
  <c r="CM21" i="2"/>
  <c r="CM22" i="2"/>
  <c r="CH85" i="2"/>
  <c r="CK85" i="2"/>
  <c r="CH84" i="2"/>
  <c r="CK84" i="2"/>
  <c r="CI11" i="2"/>
  <c r="CI12" i="2"/>
  <c r="CI13" i="2"/>
  <c r="CI14" i="2"/>
  <c r="CI15" i="2"/>
  <c r="CI16" i="2"/>
  <c r="CI17" i="2"/>
  <c r="CI18" i="2"/>
  <c r="CI19" i="2"/>
  <c r="CI20" i="2"/>
  <c r="CI21" i="2"/>
  <c r="CI22" i="2"/>
  <c r="CD85" i="2"/>
  <c r="CG85" i="2"/>
  <c r="CD84" i="2"/>
  <c r="CG84" i="2"/>
  <c r="CE11" i="2"/>
  <c r="CE12" i="2"/>
  <c r="CE13" i="2"/>
  <c r="CE14" i="2"/>
  <c r="CE15" i="2"/>
  <c r="CE16" i="2"/>
  <c r="CE17" i="2"/>
  <c r="CE18" i="2"/>
  <c r="CE19" i="2"/>
  <c r="CE20" i="2"/>
  <c r="CE21" i="2"/>
  <c r="CE22" i="2"/>
  <c r="BZ85" i="2"/>
  <c r="CC85" i="2"/>
  <c r="BZ84" i="2"/>
  <c r="CC84" i="2"/>
  <c r="CA11" i="2"/>
  <c r="CA12" i="2"/>
  <c r="CA13" i="2"/>
  <c r="CA14" i="2"/>
  <c r="CA15" i="2"/>
  <c r="CA16" i="2"/>
  <c r="CA17" i="2"/>
  <c r="CA18" i="2"/>
  <c r="CA19" i="2"/>
  <c r="CA20" i="2"/>
  <c r="CA21" i="2"/>
  <c r="CA22" i="2"/>
  <c r="BU85" i="2"/>
  <c r="BY85" i="2"/>
  <c r="BU84" i="2"/>
  <c r="BY84" i="2"/>
  <c r="BR85" i="2"/>
  <c r="BV85" i="2"/>
  <c r="BR84" i="2"/>
  <c r="BV84" i="2"/>
  <c r="I294" i="1"/>
  <c r="I293" i="1"/>
  <c r="I292" i="1"/>
  <c r="I291" i="1"/>
  <c r="I290" i="1"/>
  <c r="I288" i="1"/>
  <c r="I287" i="1"/>
  <c r="I286" i="1"/>
  <c r="I285" i="1"/>
  <c r="I284" i="1"/>
  <c r="I283" i="1"/>
  <c r="I282" i="1"/>
  <c r="CA84" i="2" l="1"/>
  <c r="CE84" i="2"/>
  <c r="CI84" i="2"/>
  <c r="CM84" i="2"/>
  <c r="CA85" i="2"/>
  <c r="CE85" i="2"/>
  <c r="CI85" i="2"/>
  <c r="CM85" i="2"/>
  <c r="BW85" i="2"/>
  <c r="BW84" i="2"/>
  <c r="DK84" i="2"/>
  <c r="DK85" i="2"/>
  <c r="DG84" i="2"/>
  <c r="DG85" i="2"/>
  <c r="DC84" i="2"/>
  <c r="DC85" i="2"/>
  <c r="CY84" i="2"/>
  <c r="CY85" i="2"/>
  <c r="CU84" i="2"/>
  <c r="CU85" i="2"/>
  <c r="AO45" i="2"/>
  <c r="BB45" i="2"/>
  <c r="AN45" i="2" l="1"/>
  <c r="AN41" i="2" l="1"/>
  <c r="AN32" i="2"/>
  <c r="AN24" i="2"/>
  <c r="AN36" i="2"/>
  <c r="ES10" i="2"/>
  <c r="ES7" i="2" s="1"/>
  <c r="DO6" i="2"/>
  <c r="DR6" i="2"/>
  <c r="DU6" i="2"/>
  <c r="DX6" i="2"/>
  <c r="EA6" i="2"/>
  <c r="ED6" i="2"/>
  <c r="EG6" i="2"/>
  <c r="EJ6" i="2"/>
  <c r="EM6" i="2"/>
  <c r="EP6" i="2"/>
  <c r="EV6" i="2"/>
  <c r="DO7" i="2"/>
  <c r="DR7" i="2"/>
  <c r="DU7" i="2"/>
  <c r="DX7" i="2"/>
  <c r="EA7" i="2"/>
  <c r="ED7" i="2"/>
  <c r="EG7" i="2"/>
  <c r="EJ7" i="2"/>
  <c r="EM7" i="2"/>
  <c r="EP7" i="2"/>
  <c r="EV7" i="2"/>
  <c r="BC7" i="2"/>
  <c r="BE7" i="2"/>
  <c r="BF7" i="2"/>
  <c r="BG7" i="2"/>
  <c r="BH7" i="2"/>
  <c r="BI7" i="2"/>
  <c r="BJ7" i="2"/>
  <c r="BK7" i="2"/>
  <c r="BL7" i="2"/>
  <c r="BM7" i="2"/>
  <c r="BN7" i="2"/>
  <c r="BD7" i="2"/>
  <c r="AQ7" i="2"/>
  <c r="AR7" i="2"/>
  <c r="AS7" i="2"/>
  <c r="AT7" i="2"/>
  <c r="AU7" i="2"/>
  <c r="AV7" i="2"/>
  <c r="AW7" i="2"/>
  <c r="AX7" i="2"/>
  <c r="AY7" i="2"/>
  <c r="AZ7" i="2"/>
  <c r="BA7" i="2"/>
  <c r="AP7" i="2"/>
  <c r="BD6" i="2"/>
  <c r="BE6" i="2"/>
  <c r="BF6" i="2"/>
  <c r="BG6" i="2"/>
  <c r="BH6" i="2"/>
  <c r="BI6" i="2"/>
  <c r="BJ6" i="2"/>
  <c r="BK6" i="2"/>
  <c r="BL6" i="2"/>
  <c r="BM6" i="2"/>
  <c r="BN6" i="2"/>
  <c r="BC6" i="2"/>
  <c r="AS6" i="2"/>
  <c r="AT6" i="2"/>
  <c r="AU6" i="2"/>
  <c r="AV6" i="2"/>
  <c r="AW6" i="2"/>
  <c r="AX6" i="2"/>
  <c r="AY6" i="2"/>
  <c r="AZ6" i="2"/>
  <c r="BA6" i="2"/>
  <c r="AR6" i="2"/>
  <c r="AQ6" i="2"/>
  <c r="AP6" i="2"/>
  <c r="BB10" i="2"/>
  <c r="BB12" i="2"/>
  <c r="BB13" i="2"/>
  <c r="BB14" i="2"/>
  <c r="BB15" i="2"/>
  <c r="BB16" i="2"/>
  <c r="BB17" i="2"/>
  <c r="BB18" i="2"/>
  <c r="BB19" i="2"/>
  <c r="BB20" i="2"/>
  <c r="BB21" i="2"/>
  <c r="BB22" i="2"/>
  <c r="BB23" i="2"/>
  <c r="BB24" i="2"/>
  <c r="BB25" i="2"/>
  <c r="BB26" i="2"/>
  <c r="BB27" i="2"/>
  <c r="BB28" i="2"/>
  <c r="BB29" i="2"/>
  <c r="BB30" i="2"/>
  <c r="BB31" i="2"/>
  <c r="BB32" i="2"/>
  <c r="BB33" i="2"/>
  <c r="BB34" i="2"/>
  <c r="BB35" i="2"/>
  <c r="BB36" i="2"/>
  <c r="BB37" i="2"/>
  <c r="BB38" i="2"/>
  <c r="BB39" i="2"/>
  <c r="BB40" i="2"/>
  <c r="BB41" i="2"/>
  <c r="BB42" i="2"/>
  <c r="BB43" i="2"/>
  <c r="BB44" i="2"/>
  <c r="BB46" i="2"/>
  <c r="BB48" i="2"/>
  <c r="BB52" i="2"/>
  <c r="BB53" i="2"/>
  <c r="BB54" i="2"/>
  <c r="BB47" i="2"/>
  <c r="BB55" i="2"/>
  <c r="BB56" i="2"/>
  <c r="BB49" i="2"/>
  <c r="BB84" i="2"/>
  <c r="BB85" i="2"/>
  <c r="BB86" i="2"/>
  <c r="BB11"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6" i="2"/>
  <c r="AO48" i="2"/>
  <c r="AO52" i="2"/>
  <c r="AO53" i="2"/>
  <c r="AO54" i="2"/>
  <c r="AO47" i="2"/>
  <c r="AO55" i="2"/>
  <c r="AO56" i="2"/>
  <c r="AO49" i="2"/>
  <c r="AO84" i="2"/>
  <c r="AO85" i="2"/>
  <c r="AO86" i="2"/>
  <c r="AN11" i="2"/>
  <c r="AN12" i="2"/>
  <c r="AN13" i="2"/>
  <c r="AN14" i="2"/>
  <c r="AN15" i="2"/>
  <c r="AN16" i="2"/>
  <c r="AN17" i="2"/>
  <c r="AN18" i="2"/>
  <c r="AN19" i="2"/>
  <c r="AN20" i="2"/>
  <c r="AN21" i="2"/>
  <c r="AN22" i="2"/>
  <c r="AN23" i="2"/>
  <c r="AN25" i="2"/>
  <c r="AN26" i="2"/>
  <c r="AN27" i="2"/>
  <c r="AN28" i="2"/>
  <c r="AN29" i="2"/>
  <c r="AN30" i="2"/>
  <c r="AN31" i="2"/>
  <c r="AN33" i="2"/>
  <c r="AN34" i="2"/>
  <c r="AN35" i="2"/>
  <c r="AN37" i="2"/>
  <c r="AN38" i="2"/>
  <c r="AN39" i="2"/>
  <c r="AN40" i="2"/>
  <c r="AN42" i="2"/>
  <c r="AN43" i="2"/>
  <c r="AN44" i="2"/>
  <c r="AN46" i="2"/>
  <c r="AN48" i="2"/>
  <c r="AN52" i="2"/>
  <c r="AN53" i="2"/>
  <c r="AN54" i="2"/>
  <c r="AN47" i="2"/>
  <c r="AN55" i="2"/>
  <c r="AN56" i="2"/>
  <c r="AN49" i="2"/>
  <c r="AN84" i="2"/>
  <c r="AN85" i="2"/>
  <c r="AN86" i="2"/>
  <c r="AO10" i="2"/>
  <c r="I275" i="1"/>
  <c r="I274" i="1"/>
  <c r="I273" i="1"/>
  <c r="I272" i="1"/>
  <c r="I271" i="1"/>
  <c r="Y86" i="2"/>
  <c r="I270" i="1"/>
  <c r="DI86" i="2" l="1"/>
  <c r="DJ86" i="2"/>
  <c r="DE86" i="2"/>
  <c r="DF86" i="2"/>
  <c r="DA86" i="2"/>
  <c r="DB86" i="2"/>
  <c r="CW86" i="2"/>
  <c r="CX86" i="2"/>
  <c r="CS86" i="2"/>
  <c r="CT86" i="2"/>
  <c r="CL86" i="2"/>
  <c r="CO86" i="2"/>
  <c r="CQ86" i="2" s="1"/>
  <c r="CH86" i="2"/>
  <c r="CK86" i="2"/>
  <c r="CM86" i="2" s="1"/>
  <c r="CD86" i="2"/>
  <c r="CG86" i="2"/>
  <c r="BZ86" i="2"/>
  <c r="CC86" i="2"/>
  <c r="BU86" i="2"/>
  <c r="BY86" i="2"/>
  <c r="CA86" i="2" s="1"/>
  <c r="BR86" i="2"/>
  <c r="BV86" i="2"/>
  <c r="BW86" i="2" s="1"/>
  <c r="ES6" i="2"/>
  <c r="CD52" i="7"/>
  <c r="CD14" i="7"/>
  <c r="CD15" i="7"/>
  <c r="CD16" i="7"/>
  <c r="CD17" i="7"/>
  <c r="CD18" i="7"/>
  <c r="CD19" i="7"/>
  <c r="CD20" i="7"/>
  <c r="CD21" i="7"/>
  <c r="CD22" i="7"/>
  <c r="CD23" i="7"/>
  <c r="CD26" i="7"/>
  <c r="CD27" i="7"/>
  <c r="CD28" i="7"/>
  <c r="CD29" i="7"/>
  <c r="CD13" i="7"/>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X20" i="10"/>
  <c r="X21" i="10"/>
  <c r="X22" i="10"/>
  <c r="X23" i="10"/>
  <c r="X24" i="10"/>
  <c r="X25" i="10"/>
  <c r="X26" i="10"/>
  <c r="X27" i="10"/>
  <c r="X28" i="10"/>
  <c r="X29"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G20" i="10"/>
  <c r="AG21" i="10"/>
  <c r="AG22" i="10"/>
  <c r="AG23" i="10"/>
  <c r="AG24" i="10"/>
  <c r="AG25" i="10"/>
  <c r="AG26" i="10"/>
  <c r="AG27" i="10"/>
  <c r="AG28" i="10"/>
  <c r="AG29"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P20" i="10"/>
  <c r="AP21" i="10"/>
  <c r="AP22" i="10"/>
  <c r="AP23" i="10"/>
  <c r="AP24" i="10"/>
  <c r="AP25" i="10"/>
  <c r="AP26" i="10"/>
  <c r="AP27" i="10"/>
  <c r="AP28" i="10"/>
  <c r="AP29"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S20" i="10"/>
  <c r="AS21" i="10"/>
  <c r="AS22" i="10"/>
  <c r="AS23" i="10"/>
  <c r="AS24" i="10"/>
  <c r="AS25" i="10"/>
  <c r="AS26" i="10"/>
  <c r="AS27" i="10"/>
  <c r="AS28" i="10"/>
  <c r="AS29"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Z12" i="10"/>
  <c r="AZ13" i="10"/>
  <c r="AZ14" i="10"/>
  <c r="AZ15" i="10"/>
  <c r="AZ16" i="10"/>
  <c r="AZ17" i="10"/>
  <c r="AZ18" i="10"/>
  <c r="AZ19" i="10"/>
  <c r="AZ20" i="10"/>
  <c r="AZ21" i="10"/>
  <c r="AZ22" i="10"/>
  <c r="AZ23" i="10"/>
  <c r="AZ24" i="10"/>
  <c r="AZ25" i="10"/>
  <c r="AZ26" i="10"/>
  <c r="AZ27" i="10"/>
  <c r="AZ28" i="10"/>
  <c r="AZ29"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BC12" i="10"/>
  <c r="BC13" i="10"/>
  <c r="BC14" i="10"/>
  <c r="BC15" i="10"/>
  <c r="BC16" i="10"/>
  <c r="BC17" i="10"/>
  <c r="BC18" i="10"/>
  <c r="BC19" i="10"/>
  <c r="BC20" i="10"/>
  <c r="BC21" i="10"/>
  <c r="BC22" i="10"/>
  <c r="BC23" i="10"/>
  <c r="BC24" i="10"/>
  <c r="BC25" i="10"/>
  <c r="BC26" i="10"/>
  <c r="BC27" i="10"/>
  <c r="BC28" i="10"/>
  <c r="BC29"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F12" i="10"/>
  <c r="BF13" i="10"/>
  <c r="BF14" i="10"/>
  <c r="BF15" i="10"/>
  <c r="BF16" i="10"/>
  <c r="BF17" i="10"/>
  <c r="BF18" i="10"/>
  <c r="BF19" i="10"/>
  <c r="BF20" i="10"/>
  <c r="BF21" i="10"/>
  <c r="BF22" i="10"/>
  <c r="BF23" i="10"/>
  <c r="BF24" i="10"/>
  <c r="BF25" i="10"/>
  <c r="BF26" i="10"/>
  <c r="BF27" i="10"/>
  <c r="BF28" i="10"/>
  <c r="BF29"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I12" i="10"/>
  <c r="BI13" i="10"/>
  <c r="BI14" i="10"/>
  <c r="BI15" i="10"/>
  <c r="BI16" i="10"/>
  <c r="BI17" i="10"/>
  <c r="BI18" i="10"/>
  <c r="BI19" i="10"/>
  <c r="BI20" i="10"/>
  <c r="BI21" i="10"/>
  <c r="BI22" i="10"/>
  <c r="BI23" i="10"/>
  <c r="BI24" i="10"/>
  <c r="BI25" i="10"/>
  <c r="BI26" i="10"/>
  <c r="BI27" i="10"/>
  <c r="BI28" i="10"/>
  <c r="BI29"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L12" i="10"/>
  <c r="BL13" i="10"/>
  <c r="BL14" i="10"/>
  <c r="BL15" i="10"/>
  <c r="BL16" i="10"/>
  <c r="BL17" i="10"/>
  <c r="BL18" i="10"/>
  <c r="BL19" i="10"/>
  <c r="BL20" i="10"/>
  <c r="BL21" i="10"/>
  <c r="BL22" i="10"/>
  <c r="BL23" i="10"/>
  <c r="BL24" i="10"/>
  <c r="BL25" i="10"/>
  <c r="BL26" i="10"/>
  <c r="BL27" i="10"/>
  <c r="BL28" i="10"/>
  <c r="BL29"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O12" i="10"/>
  <c r="BO13" i="10"/>
  <c r="BO14" i="10"/>
  <c r="BO15" i="10"/>
  <c r="BO16" i="10"/>
  <c r="BO17" i="10"/>
  <c r="BO18" i="10"/>
  <c r="BO19" i="10"/>
  <c r="BO20" i="10"/>
  <c r="BO21" i="10"/>
  <c r="BO22" i="10"/>
  <c r="BO23" i="10"/>
  <c r="BO24" i="10"/>
  <c r="BO25" i="10"/>
  <c r="BO26" i="10"/>
  <c r="BO27" i="10"/>
  <c r="BO28" i="10"/>
  <c r="BO29" i="10"/>
  <c r="BO30" i="10"/>
  <c r="BO31" i="10"/>
  <c r="BO32" i="10"/>
  <c r="BO33" i="10"/>
  <c r="BO34" i="10"/>
  <c r="BO35" i="10"/>
  <c r="BO36" i="10"/>
  <c r="BO37" i="10"/>
  <c r="BO38" i="10"/>
  <c r="BO39" i="10"/>
  <c r="BO40" i="10"/>
  <c r="BO41" i="10"/>
  <c r="BO42" i="10"/>
  <c r="BO43" i="10"/>
  <c r="BO44" i="10"/>
  <c r="BO45" i="10"/>
  <c r="BO46" i="10"/>
  <c r="BO47" i="10"/>
  <c r="BO48" i="10"/>
  <c r="BO49" i="10"/>
  <c r="BO50" i="10"/>
  <c r="BO51" i="10"/>
  <c r="BO52" i="10"/>
  <c r="BO53" i="10"/>
  <c r="BO54" i="10"/>
  <c r="BO55" i="10"/>
  <c r="BO56" i="10"/>
  <c r="BO57" i="10"/>
  <c r="BO58" i="10"/>
  <c r="BO59" i="10"/>
  <c r="BR12" i="10"/>
  <c r="BR13" i="10"/>
  <c r="BR14" i="10"/>
  <c r="BR15" i="10"/>
  <c r="BR16" i="10"/>
  <c r="BR17" i="10"/>
  <c r="BR18" i="10"/>
  <c r="BR19" i="10"/>
  <c r="BR20" i="10"/>
  <c r="BR21" i="10"/>
  <c r="BR22" i="10"/>
  <c r="BR23" i="10"/>
  <c r="BR24" i="10"/>
  <c r="BR25" i="10"/>
  <c r="BR26" i="10"/>
  <c r="BR27" i="10"/>
  <c r="BR28" i="10"/>
  <c r="BR29" i="10"/>
  <c r="BR30" i="10"/>
  <c r="BR31" i="10"/>
  <c r="BR32" i="10"/>
  <c r="BR33" i="10"/>
  <c r="BR34" i="10"/>
  <c r="BR35" i="10"/>
  <c r="BR36" i="10"/>
  <c r="BR37" i="10"/>
  <c r="BR38" i="10"/>
  <c r="BR39" i="10"/>
  <c r="BR40" i="10"/>
  <c r="BR41" i="10"/>
  <c r="BR42" i="10"/>
  <c r="BR43" i="10"/>
  <c r="BR44" i="10"/>
  <c r="BR45" i="10"/>
  <c r="BR46" i="10"/>
  <c r="BR47" i="10"/>
  <c r="BR48" i="10"/>
  <c r="BR49" i="10"/>
  <c r="BR50" i="10"/>
  <c r="BR51" i="10"/>
  <c r="BR52" i="10"/>
  <c r="BR53" i="10"/>
  <c r="BR54" i="10"/>
  <c r="BR55" i="10"/>
  <c r="BR56" i="10"/>
  <c r="BR57" i="10"/>
  <c r="BR58" i="10"/>
  <c r="BR59" i="10"/>
  <c r="BU12" i="10"/>
  <c r="BU13" i="10"/>
  <c r="BU14" i="10"/>
  <c r="BU15" i="10"/>
  <c r="BU16" i="10"/>
  <c r="BU17" i="10"/>
  <c r="BU18" i="10"/>
  <c r="BU19" i="10"/>
  <c r="BU20" i="10"/>
  <c r="BU21" i="10"/>
  <c r="BU22" i="10"/>
  <c r="BU23" i="10"/>
  <c r="BU24" i="10"/>
  <c r="BU25" i="10"/>
  <c r="BU26" i="10"/>
  <c r="BU27" i="10"/>
  <c r="BU28" i="10"/>
  <c r="BU29" i="10"/>
  <c r="BU30" i="10"/>
  <c r="BU31" i="10"/>
  <c r="BU32" i="10"/>
  <c r="BU33" i="10"/>
  <c r="BU34" i="10"/>
  <c r="BU35" i="10"/>
  <c r="BU36" i="10"/>
  <c r="BU37" i="10"/>
  <c r="BU38" i="10"/>
  <c r="BU39" i="10"/>
  <c r="BU40" i="10"/>
  <c r="BU41" i="10"/>
  <c r="BU42" i="10"/>
  <c r="BU43" i="10"/>
  <c r="BU44" i="10"/>
  <c r="BU45" i="10"/>
  <c r="BU46" i="10"/>
  <c r="BU47" i="10"/>
  <c r="BU48" i="10"/>
  <c r="BU49" i="10"/>
  <c r="BU50" i="10"/>
  <c r="BU51" i="10"/>
  <c r="BU52" i="10"/>
  <c r="BU53" i="10"/>
  <c r="BU54" i="10"/>
  <c r="BU55" i="10"/>
  <c r="BU56" i="10"/>
  <c r="BU57" i="10"/>
  <c r="BU58" i="10"/>
  <c r="BU59" i="10"/>
  <c r="BX12" i="10"/>
  <c r="BX13" i="10"/>
  <c r="BX14" i="10"/>
  <c r="BX15" i="10"/>
  <c r="BX16" i="10"/>
  <c r="BX17" i="10"/>
  <c r="BX18" i="10"/>
  <c r="BX19" i="10"/>
  <c r="BX20" i="10"/>
  <c r="BX21" i="10"/>
  <c r="BX22" i="10"/>
  <c r="BX23" i="10"/>
  <c r="BX24" i="10"/>
  <c r="BX25" i="10"/>
  <c r="BX26" i="10"/>
  <c r="BX27" i="10"/>
  <c r="BX28" i="10"/>
  <c r="BX29" i="10"/>
  <c r="BX30" i="10"/>
  <c r="BX31" i="10"/>
  <c r="BX32" i="10"/>
  <c r="BX33" i="10"/>
  <c r="BX34" i="10"/>
  <c r="BX35" i="10"/>
  <c r="BX36" i="10"/>
  <c r="BX37" i="10"/>
  <c r="BX38" i="10"/>
  <c r="BX39" i="10"/>
  <c r="BX40" i="10"/>
  <c r="BX41" i="10"/>
  <c r="BX42" i="10"/>
  <c r="BX43" i="10"/>
  <c r="BX44" i="10"/>
  <c r="BX45" i="10"/>
  <c r="BX46" i="10"/>
  <c r="BX47" i="10"/>
  <c r="BX48" i="10"/>
  <c r="BX49" i="10"/>
  <c r="BX50" i="10"/>
  <c r="BX51" i="10"/>
  <c r="BX52" i="10"/>
  <c r="BX53" i="10"/>
  <c r="BX54" i="10"/>
  <c r="BX55" i="10"/>
  <c r="BX56" i="10"/>
  <c r="BX57" i="10"/>
  <c r="BX58" i="10"/>
  <c r="BX59" i="10"/>
  <c r="CA12" i="10"/>
  <c r="CA13" i="10"/>
  <c r="CA14" i="10"/>
  <c r="CA15" i="10"/>
  <c r="CA16" i="10"/>
  <c r="CA17" i="10"/>
  <c r="CA18" i="10"/>
  <c r="CA19" i="10"/>
  <c r="CA20" i="10"/>
  <c r="CA21" i="10"/>
  <c r="CA22" i="10"/>
  <c r="CA23" i="10"/>
  <c r="CA24" i="10"/>
  <c r="CA25" i="10"/>
  <c r="CA26" i="10"/>
  <c r="CA27" i="10"/>
  <c r="CA28" i="10"/>
  <c r="CA29" i="10"/>
  <c r="CA30" i="10"/>
  <c r="CA31" i="10"/>
  <c r="CA32" i="10"/>
  <c r="CA33" i="10"/>
  <c r="CA34" i="10"/>
  <c r="CA35" i="10"/>
  <c r="CA36" i="10"/>
  <c r="CA37" i="10"/>
  <c r="CA38" i="10"/>
  <c r="CA39" i="10"/>
  <c r="CA40" i="10"/>
  <c r="CA41" i="10"/>
  <c r="CA42" i="10"/>
  <c r="CA43" i="10"/>
  <c r="CA44" i="10"/>
  <c r="CA45" i="10"/>
  <c r="CA46" i="10"/>
  <c r="CA47" i="10"/>
  <c r="CA48" i="10"/>
  <c r="CA49" i="10"/>
  <c r="CA50" i="10"/>
  <c r="CA51" i="10"/>
  <c r="CA52" i="10"/>
  <c r="CA53" i="10"/>
  <c r="CA54" i="10"/>
  <c r="CA55" i="10"/>
  <c r="CA56" i="10"/>
  <c r="CA57" i="10"/>
  <c r="CA58" i="10"/>
  <c r="CA59" i="10"/>
  <c r="CD12" i="10"/>
  <c r="CD13" i="10"/>
  <c r="CD14" i="10"/>
  <c r="CD15" i="10"/>
  <c r="CD16" i="10"/>
  <c r="CD17" i="10"/>
  <c r="CD18" i="10"/>
  <c r="CD19" i="10"/>
  <c r="CD20" i="10"/>
  <c r="CD21" i="10"/>
  <c r="CD22" i="10"/>
  <c r="CD23" i="10"/>
  <c r="CD24" i="10"/>
  <c r="CD25" i="10"/>
  <c r="CD26" i="10"/>
  <c r="CD27" i="10"/>
  <c r="CD28" i="10"/>
  <c r="CD29" i="10"/>
  <c r="CD30" i="10"/>
  <c r="CD31" i="10"/>
  <c r="CD32" i="10"/>
  <c r="CD33" i="10"/>
  <c r="CD34" i="10"/>
  <c r="CD35" i="10"/>
  <c r="CD36" i="10"/>
  <c r="CD37" i="10"/>
  <c r="CD38" i="10"/>
  <c r="CD39" i="10"/>
  <c r="CD40" i="10"/>
  <c r="CD41" i="10"/>
  <c r="CD42" i="10"/>
  <c r="CD43" i="10"/>
  <c r="CD44" i="10"/>
  <c r="CD45" i="10"/>
  <c r="CD46" i="10"/>
  <c r="CD47" i="10"/>
  <c r="CD48" i="10"/>
  <c r="CD49" i="10"/>
  <c r="CD50" i="10"/>
  <c r="CD51" i="10"/>
  <c r="CD52" i="10"/>
  <c r="CD53" i="10"/>
  <c r="CD54" i="10"/>
  <c r="CD55" i="10"/>
  <c r="CD56" i="10"/>
  <c r="CD57" i="10"/>
  <c r="CD58" i="10"/>
  <c r="CD59" i="10"/>
  <c r="CG12" i="10"/>
  <c r="CG13" i="10"/>
  <c r="CG14" i="10"/>
  <c r="CG15" i="10"/>
  <c r="CG16" i="10"/>
  <c r="CG17" i="10"/>
  <c r="CG18" i="10"/>
  <c r="CG19" i="10"/>
  <c r="CG20" i="10"/>
  <c r="CG21" i="10"/>
  <c r="CG22" i="10"/>
  <c r="CG23" i="10"/>
  <c r="CG24" i="10"/>
  <c r="CG25" i="10"/>
  <c r="CG26" i="10"/>
  <c r="CG27" i="10"/>
  <c r="CG28" i="10"/>
  <c r="CG29" i="10"/>
  <c r="CG30" i="10"/>
  <c r="CG31" i="10"/>
  <c r="CG32" i="10"/>
  <c r="CG33" i="10"/>
  <c r="CG34" i="10"/>
  <c r="CG35" i="10"/>
  <c r="CG36" i="10"/>
  <c r="CG37" i="10"/>
  <c r="CG38" i="10"/>
  <c r="CG39" i="10"/>
  <c r="CG40" i="10"/>
  <c r="CG41" i="10"/>
  <c r="CG42" i="10"/>
  <c r="CG43" i="10"/>
  <c r="CG44" i="10"/>
  <c r="CG45" i="10"/>
  <c r="CG46" i="10"/>
  <c r="CG47" i="10"/>
  <c r="CG48" i="10"/>
  <c r="CG49" i="10"/>
  <c r="CG50" i="10"/>
  <c r="CG51" i="10"/>
  <c r="CG52" i="10"/>
  <c r="CG53" i="10"/>
  <c r="CG54" i="10"/>
  <c r="CG55" i="10"/>
  <c r="CG56" i="10"/>
  <c r="CG57" i="10"/>
  <c r="CG58" i="10"/>
  <c r="CG59" i="10"/>
  <c r="CI86" i="2" l="1"/>
  <c r="CE86" i="2"/>
  <c r="DK86" i="2"/>
  <c r="DG86" i="2"/>
  <c r="DC86" i="2"/>
  <c r="CY86" i="2"/>
  <c r="CU86" i="2"/>
  <c r="I52" i="7"/>
  <c r="N8" i="10"/>
  <c r="P8" i="10"/>
  <c r="Q8" i="10"/>
  <c r="S8" i="10"/>
  <c r="T8" i="10"/>
  <c r="V8" i="10"/>
  <c r="W8" i="10"/>
  <c r="Y8" i="10"/>
  <c r="Z8" i="10"/>
  <c r="AB8" i="10"/>
  <c r="AC8" i="10"/>
  <c r="AE8" i="10"/>
  <c r="AF8" i="10"/>
  <c r="AH8" i="10"/>
  <c r="AI8" i="10"/>
  <c r="AK8" i="10"/>
  <c r="AL8" i="10"/>
  <c r="AN8" i="10"/>
  <c r="AO8" i="10"/>
  <c r="AQ8" i="10"/>
  <c r="AR8" i="10"/>
  <c r="AT8" i="10"/>
  <c r="AU8" i="10"/>
  <c r="M8" i="10"/>
  <c r="N9" i="10"/>
  <c r="P9" i="10"/>
  <c r="Q9" i="10"/>
  <c r="S9" i="10"/>
  <c r="T9" i="10"/>
  <c r="V9" i="10"/>
  <c r="W9" i="10"/>
  <c r="Y9" i="10"/>
  <c r="Z9" i="10"/>
  <c r="AB9" i="10"/>
  <c r="AC9" i="10"/>
  <c r="AE9" i="10"/>
  <c r="AF9" i="10"/>
  <c r="AH9" i="10"/>
  <c r="AI9" i="10"/>
  <c r="AK9" i="10"/>
  <c r="AL9" i="10"/>
  <c r="AN9" i="10"/>
  <c r="AO9" i="10"/>
  <c r="AQ9" i="10"/>
  <c r="AR9" i="10"/>
  <c r="AT9" i="10"/>
  <c r="AU9" i="10"/>
  <c r="M9" i="10"/>
  <c r="CE30" i="7" l="1"/>
  <c r="CE53" i="7" s="1"/>
  <c r="CF30" i="7"/>
  <c r="CF53" i="7" s="1"/>
  <c r="CG30" i="7"/>
  <c r="CG53" i="7" s="1"/>
  <c r="CH30" i="7"/>
  <c r="CH53" i="7" s="1"/>
  <c r="CI30" i="7"/>
  <c r="CI53" i="7" s="1"/>
  <c r="CJ30" i="7"/>
  <c r="CJ53" i="7" s="1"/>
  <c r="CK30" i="7"/>
  <c r="CK53" i="7" s="1"/>
  <c r="CL30" i="7"/>
  <c r="CL53" i="7" s="1"/>
  <c r="CM30" i="7"/>
  <c r="CM53" i="7" s="1"/>
  <c r="CN30" i="7"/>
  <c r="CN53" i="7" s="1"/>
  <c r="CO30" i="7"/>
  <c r="CO53" i="7" s="1"/>
  <c r="CP30" i="7"/>
  <c r="CP53" i="7" s="1"/>
  <c r="CQ30" i="7"/>
  <c r="CQ53" i="7" s="1"/>
  <c r="CR30" i="7"/>
  <c r="CR53" i="7" s="1"/>
  <c r="CS30" i="7"/>
  <c r="CS53" i="7" s="1"/>
  <c r="CT30" i="7"/>
  <c r="CT53" i="7" s="1"/>
  <c r="CU30" i="7"/>
  <c r="CU53" i="7" s="1"/>
  <c r="CV30" i="7"/>
  <c r="CV53" i="7" s="1"/>
  <c r="CW30" i="7"/>
  <c r="CW53" i="7" s="1"/>
  <c r="CX30" i="7"/>
  <c r="CX53" i="7" s="1"/>
  <c r="CY30" i="7"/>
  <c r="CY53" i="7" s="1"/>
  <c r="CZ30" i="7"/>
  <c r="CZ53" i="7" s="1"/>
  <c r="DA30" i="7"/>
  <c r="DA53" i="7" s="1"/>
  <c r="DB30" i="7"/>
  <c r="DB53" i="7" s="1"/>
  <c r="AH29" i="7"/>
  <c r="AH21" i="7"/>
  <c r="CD53" i="7" l="1"/>
  <c r="CD30" i="7"/>
  <c r="AK30" i="7" l="1"/>
  <c r="AL30" i="7"/>
  <c r="AM30" i="7"/>
  <c r="AN30" i="7"/>
  <c r="AO30" i="7"/>
  <c r="AP30" i="7"/>
  <c r="AQ30" i="7"/>
  <c r="AR30" i="7"/>
  <c r="AS30" i="7"/>
  <c r="AT30" i="7"/>
  <c r="AU30" i="7"/>
  <c r="AV30" i="7"/>
  <c r="AW30" i="7"/>
  <c r="AX30" i="7"/>
  <c r="AY30" i="7"/>
  <c r="AZ30" i="7"/>
  <c r="BA30" i="7"/>
  <c r="BB30" i="7"/>
  <c r="BC30" i="7"/>
  <c r="BD30" i="7"/>
  <c r="BE30" i="7"/>
  <c r="BF30" i="7"/>
  <c r="BG30" i="7"/>
  <c r="AJ30" i="7"/>
  <c r="AS9" i="10" l="1"/>
  <c r="X9" i="10"/>
  <c r="U9" i="10"/>
  <c r="AA9" i="10"/>
  <c r="AG9" i="10"/>
  <c r="AD9" i="10"/>
  <c r="R9" i="10"/>
  <c r="AJ9" i="10"/>
  <c r="AP9" i="10"/>
  <c r="AM9" i="10"/>
  <c r="AV9" i="10"/>
  <c r="AD8" i="10"/>
  <c r="AG8" i="10"/>
  <c r="AJ8" i="10"/>
  <c r="AV8" i="10"/>
  <c r="R8" i="10"/>
  <c r="AM8" i="10"/>
  <c r="AP8" i="10"/>
  <c r="U8" i="10"/>
  <c r="AA8" i="10"/>
  <c r="X8" i="10"/>
  <c r="AS8" i="10"/>
  <c r="I132" i="1" l="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AW9" i="10" l="1"/>
  <c r="AW8" i="10"/>
  <c r="L9" i="10"/>
  <c r="L8" i="10"/>
  <c r="O9" i="10" l="1"/>
  <c r="O8" i="10"/>
  <c r="AH52" i="7" l="1"/>
  <c r="AH14" i="7"/>
  <c r="AH15" i="7"/>
  <c r="AH16" i="7"/>
  <c r="AH17" i="7"/>
  <c r="AH18" i="7"/>
  <c r="AH19" i="7"/>
  <c r="AH20" i="7"/>
  <c r="AH22" i="7"/>
  <c r="AH23" i="7"/>
  <c r="AH26" i="7"/>
  <c r="AH27" i="7"/>
  <c r="AH28" i="7"/>
  <c r="AH13" i="7"/>
  <c r="AH30" i="7" l="1"/>
  <c r="BG12" i="7" l="1"/>
  <c r="BE12" i="7"/>
  <c r="BC12" i="7"/>
  <c r="BA12" i="7"/>
  <c r="AY12" i="7"/>
  <c r="AW12" i="7"/>
  <c r="AU12" i="7"/>
  <c r="AS12" i="7"/>
  <c r="AQ12" i="7"/>
  <c r="AO12" i="7"/>
  <c r="AM12" i="7"/>
  <c r="AK12" i="7"/>
  <c r="AI39" i="7" s="1"/>
  <c r="AU53" i="7"/>
  <c r="AT53" i="7"/>
  <c r="AS53" i="7"/>
  <c r="AR53" i="7"/>
  <c r="AQ53" i="7"/>
  <c r="AP53" i="7"/>
  <c r="AN53" i="7"/>
  <c r="AM53" i="7"/>
  <c r="AL53" i="7"/>
  <c r="AK53" i="7"/>
  <c r="AJ53" i="7"/>
  <c r="AI40" i="7" l="1"/>
  <c r="AI43" i="7"/>
  <c r="AI38" i="7"/>
  <c r="AI44" i="7"/>
  <c r="AI41" i="7"/>
  <c r="AI42" i="7"/>
  <c r="AI45" i="7"/>
  <c r="E45" i="7" s="1"/>
  <c r="AI46" i="7"/>
  <c r="E46" i="7" s="1"/>
  <c r="AI47" i="7"/>
  <c r="E47" i="7" s="1"/>
  <c r="AI25" i="7"/>
  <c r="AI24" i="7"/>
  <c r="AI52" i="7"/>
  <c r="AI67" i="7"/>
  <c r="AI75" i="7"/>
  <c r="AI68" i="7"/>
  <c r="AI74" i="7"/>
  <c r="AI65" i="7"/>
  <c r="AI71" i="7"/>
  <c r="AI73" i="7"/>
  <c r="AI62" i="7"/>
  <c r="AI63" i="7"/>
  <c r="AI64" i="7"/>
  <c r="AI66" i="7"/>
  <c r="AI70" i="7"/>
  <c r="AI72" i="7"/>
  <c r="AI76" i="7"/>
  <c r="AI69" i="7"/>
  <c r="AI79" i="7"/>
  <c r="H64" i="7"/>
  <c r="H70" i="7"/>
  <c r="H75" i="7"/>
  <c r="H66" i="7"/>
  <c r="H79" i="7"/>
  <c r="H68" i="7"/>
  <c r="H71" i="7"/>
  <c r="H73" i="7"/>
  <c r="D73" i="7" s="1"/>
  <c r="H74" i="7"/>
  <c r="H76" i="7"/>
  <c r="D76" i="7" s="1"/>
  <c r="H62" i="7"/>
  <c r="H63" i="7"/>
  <c r="E63" i="7" s="1"/>
  <c r="H65" i="7"/>
  <c r="H67" i="7"/>
  <c r="H69" i="7"/>
  <c r="H72" i="7"/>
  <c r="D72" i="7" s="1"/>
  <c r="AI13" i="7"/>
  <c r="AI14" i="7"/>
  <c r="AI22" i="7"/>
  <c r="AI15" i="7"/>
  <c r="AI16" i="7"/>
  <c r="AI17" i="7"/>
  <c r="AI20" i="7"/>
  <c r="AI21" i="7"/>
  <c r="AI18" i="7"/>
  <c r="AI19" i="7"/>
  <c r="AI23" i="7"/>
  <c r="AI26" i="7"/>
  <c r="AI27" i="7"/>
  <c r="AI28" i="7"/>
  <c r="AI29" i="7"/>
  <c r="AU31" i="7"/>
  <c r="H52" i="7"/>
  <c r="AS31" i="7"/>
  <c r="AO31" i="7"/>
  <c r="AM31" i="7"/>
  <c r="AO53" i="7"/>
  <c r="AK31" i="7"/>
  <c r="AQ31" i="7"/>
  <c r="AH53" i="7"/>
  <c r="BB53" i="7"/>
  <c r="BD53" i="7"/>
  <c r="BF53" i="7"/>
  <c r="AV53" i="7"/>
  <c r="AX53" i="7"/>
  <c r="AZ53" i="7"/>
  <c r="E65" i="7" l="1"/>
  <c r="AI48" i="7"/>
  <c r="E74" i="7"/>
  <c r="E69" i="7"/>
  <c r="E75" i="7"/>
  <c r="E67" i="7"/>
  <c r="E79" i="7"/>
  <c r="E66" i="7"/>
  <c r="D75" i="7"/>
  <c r="G79" i="7" a="1"/>
  <c r="G79" i="7" s="1"/>
  <c r="D79" i="7" s="1"/>
  <c r="D74" i="7"/>
  <c r="AI77" i="7"/>
  <c r="AI80" i="7" s="1"/>
  <c r="E62" i="7"/>
  <c r="H77" i="7"/>
  <c r="H80" i="7" s="1"/>
  <c r="E70" i="7"/>
  <c r="E73" i="7"/>
  <c r="E71" i="7"/>
  <c r="E64" i="7"/>
  <c r="E76" i="7"/>
  <c r="E72" i="7"/>
  <c r="E68" i="7"/>
  <c r="AI30" i="7"/>
  <c r="AI53" i="7" s="1"/>
  <c r="G52" i="7" a="1"/>
  <c r="G52" i="7" s="1"/>
  <c r="D52" i="7" s="1"/>
  <c r="E52" i="7"/>
  <c r="BA53" i="7"/>
  <c r="BA31" i="7"/>
  <c r="BC53" i="7"/>
  <c r="BC31" i="7"/>
  <c r="BE53" i="7"/>
  <c r="BE31" i="7"/>
  <c r="AY53" i="7"/>
  <c r="AY31" i="7"/>
  <c r="AW53" i="7"/>
  <c r="AW31" i="7"/>
  <c r="BG53" i="7"/>
  <c r="BG31" i="7"/>
  <c r="E77" i="7" l="1"/>
  <c r="E80" i="7" s="1"/>
  <c r="I131" i="1" l="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l="1"/>
  <c r="I81" i="1"/>
  <c r="I80" i="1"/>
  <c r="I79" i="1"/>
  <c r="I78" i="1"/>
  <c r="I77" i="1"/>
  <c r="I76" i="1"/>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278" i="1"/>
  <c r="I279" i="1"/>
  <c r="I280" i="1"/>
  <c r="I281" i="1"/>
  <c r="I295" i="1"/>
  <c r="I296" i="1"/>
  <c r="I297" i="1"/>
  <c r="I298" i="1"/>
  <c r="I299" i="1"/>
  <c r="I300" i="1"/>
  <c r="I301" i="1"/>
  <c r="I302" i="1"/>
  <c r="I303" i="1"/>
  <c r="I304" i="1"/>
  <c r="I305" i="1"/>
  <c r="I306" i="1"/>
  <c r="I307" i="1"/>
  <c r="I308" i="1"/>
  <c r="I327" i="1"/>
  <c r="I4" i="1"/>
  <c r="EO100" i="14" l="1"/>
  <c r="EQ100" i="14" s="1"/>
  <c r="CH92" i="14"/>
  <c r="DZ89" i="14"/>
  <c r="EB89" i="14" s="1"/>
  <c r="EL92" i="14"/>
  <c r="EN92" i="14" s="1"/>
  <c r="DI89" i="14"/>
  <c r="DF91" i="14"/>
  <c r="DZ100" i="14"/>
  <c r="EB100" i="14" s="1"/>
  <c r="DE106" i="14"/>
  <c r="DI108" i="14"/>
  <c r="DQ101" i="14"/>
  <c r="DS101" i="14" s="1"/>
  <c r="EF100" i="14"/>
  <c r="EH100" i="14" s="1"/>
  <c r="CK89" i="14"/>
  <c r="EC89" i="14"/>
  <c r="EE89" i="14" s="1"/>
  <c r="CK88" i="14"/>
  <c r="EO109" i="14"/>
  <c r="EQ109" i="14" s="1"/>
  <c r="DQ108" i="14"/>
  <c r="DS108" i="14" s="1"/>
  <c r="DT92" i="14"/>
  <c r="DV92" i="14" s="1"/>
  <c r="DB88" i="14"/>
  <c r="BZ101" i="14"/>
  <c r="BZ105" i="14"/>
  <c r="BZ104" i="14"/>
  <c r="CT87" i="14"/>
  <c r="DW102" i="14"/>
  <c r="DY102" i="14" s="1"/>
  <c r="BY102" i="14"/>
  <c r="DI102" i="14"/>
  <c r="EU87" i="14"/>
  <c r="EW87" i="14" s="1"/>
  <c r="CC105" i="14"/>
  <c r="CP115" i="14"/>
  <c r="CG113" i="14"/>
  <c r="DN115" i="14"/>
  <c r="DP115" i="14" s="1"/>
  <c r="DN114" i="14"/>
  <c r="DP114" i="14" s="1"/>
  <c r="CW108" i="14"/>
  <c r="DT113" i="14"/>
  <c r="DV113" i="14" s="1"/>
  <c r="BY92" i="14"/>
  <c r="CD114" i="14"/>
  <c r="BZ115" i="14"/>
  <c r="EO94" i="14"/>
  <c r="EQ94" i="14" s="1"/>
  <c r="ER95" i="14"/>
  <c r="ET95" i="14" s="1"/>
  <c r="CO110" i="14"/>
  <c r="DE112" i="14"/>
  <c r="DT95" i="14"/>
  <c r="DV95" i="14" s="1"/>
  <c r="CP109" i="14"/>
  <c r="CC91" i="14"/>
  <c r="DE110" i="14"/>
  <c r="DN111" i="14"/>
  <c r="DP111" i="14" s="1"/>
  <c r="CK94" i="14"/>
  <c r="ER93" i="14"/>
  <c r="ET93" i="14" s="1"/>
  <c r="EC110" i="14"/>
  <c r="EE110" i="14" s="1"/>
  <c r="CH109" i="14"/>
  <c r="DQ111" i="14"/>
  <c r="DS111" i="14" s="1"/>
  <c r="BV107" i="14"/>
  <c r="BW107" i="14" s="1"/>
  <c r="DB106" i="14"/>
  <c r="DZ90" i="14"/>
  <c r="EB90" i="14" s="1"/>
  <c r="DW106" i="14"/>
  <c r="DY106" i="14" s="1"/>
  <c r="EC101" i="14"/>
  <c r="EE101" i="14" s="1"/>
  <c r="Z108" i="14"/>
  <c r="DW101" i="14"/>
  <c r="DY101" i="14" s="1"/>
  <c r="CK101" i="14"/>
  <c r="DT104" i="14"/>
  <c r="DV104" i="14" s="1"/>
  <c r="CL107" i="14"/>
  <c r="CG101" i="14"/>
  <c r="DI100" i="14"/>
  <c r="DJ89" i="14"/>
  <c r="EL89" i="14"/>
  <c r="EN89" i="14" s="1"/>
  <c r="CX88" i="14"/>
  <c r="EI108" i="14"/>
  <c r="EK108" i="14" s="1"/>
  <c r="BY108" i="14"/>
  <c r="DN92" i="14"/>
  <c r="DP92" i="14" s="1"/>
  <c r="CP88" i="14"/>
  <c r="CS89" i="14"/>
  <c r="DJ105" i="14"/>
  <c r="CX87" i="14"/>
  <c r="CO105" i="14"/>
  <c r="CO104" i="14"/>
  <c r="CK87" i="14"/>
  <c r="DF87" i="14"/>
  <c r="CL87" i="14"/>
  <c r="EO87" i="14"/>
  <c r="EQ87" i="14" s="1"/>
  <c r="CX113" i="14"/>
  <c r="CD92" i="14"/>
  <c r="CG115" i="14"/>
  <c r="CC114" i="14"/>
  <c r="DI95" i="14"/>
  <c r="DW95" i="14"/>
  <c r="DY95" i="14" s="1"/>
  <c r="CT110" i="14"/>
  <c r="EC111" i="14"/>
  <c r="EE111" i="14" s="1"/>
  <c r="CH112" i="14"/>
  <c r="CC95" i="14"/>
  <c r="BZ109" i="14"/>
  <c r="CL109" i="14"/>
  <c r="CH91" i="14"/>
  <c r="EC91" i="14"/>
  <c r="EE91" i="14" s="1"/>
  <c r="EI94" i="14"/>
  <c r="EK94" i="14" s="1"/>
  <c r="DT93" i="14"/>
  <c r="DV93" i="14" s="1"/>
  <c r="EC94" i="14"/>
  <c r="EE94" i="14" s="1"/>
  <c r="CG95" i="14"/>
  <c r="EI111" i="14"/>
  <c r="EK111" i="14" s="1"/>
  <c r="BY107" i="14"/>
  <c r="DW107" i="14"/>
  <c r="DY107" i="14" s="1"/>
  <c r="CC106" i="14"/>
  <c r="DB90" i="14"/>
  <c r="BV106" i="14"/>
  <c r="BW106" i="14" s="1"/>
  <c r="CL100" i="14"/>
  <c r="DI91" i="14"/>
  <c r="Z89" i="14"/>
  <c r="Z102" i="14"/>
  <c r="CX101" i="14"/>
  <c r="ER101" i="14"/>
  <c r="ET101" i="14" s="1"/>
  <c r="EU104" i="14"/>
  <c r="EW104" i="14" s="1"/>
  <c r="ER107" i="14"/>
  <c r="ET107" i="14" s="1"/>
  <c r="EL100" i="14"/>
  <c r="EN100" i="14" s="1"/>
  <c r="CW100" i="14"/>
  <c r="CT89" i="14"/>
  <c r="DE88" i="14"/>
  <c r="DQ88" i="14"/>
  <c r="DS88" i="14" s="1"/>
  <c r="DN90" i="14"/>
  <c r="DP90" i="14" s="1"/>
  <c r="ER108" i="14"/>
  <c r="ET108" i="14" s="1"/>
  <c r="CS113" i="14"/>
  <c r="CH101" i="14"/>
  <c r="EO113" i="14"/>
  <c r="EQ113" i="14" s="1"/>
  <c r="DW87" i="14"/>
  <c r="DY87" i="14" s="1"/>
  <c r="DW105" i="14"/>
  <c r="DY105" i="14" s="1"/>
  <c r="DW104" i="14"/>
  <c r="DY104" i="14" s="1"/>
  <c r="EL87" i="14"/>
  <c r="EN87" i="14" s="1"/>
  <c r="CW102" i="14"/>
  <c r="DZ113" i="14"/>
  <c r="EB113" i="14" s="1"/>
  <c r="CW114" i="14"/>
  <c r="EF114" i="14"/>
  <c r="EH114" i="14" s="1"/>
  <c r="DF114" i="14"/>
  <c r="DF113" i="14"/>
  <c r="EI114" i="14"/>
  <c r="EK114" i="14" s="1"/>
  <c r="BY89" i="14"/>
  <c r="DZ115" i="14"/>
  <c r="EB115" i="14" s="1"/>
  <c r="DF110" i="14"/>
  <c r="DI110" i="14"/>
  <c r="CD110" i="14"/>
  <c r="DW110" i="14"/>
  <c r="DY110" i="14" s="1"/>
  <c r="DQ112" i="14"/>
  <c r="DS112" i="14" s="1"/>
  <c r="CL95" i="14"/>
  <c r="CO109" i="14"/>
  <c r="EU109" i="14"/>
  <c r="EW109" i="14" s="1"/>
  <c r="DB91" i="14"/>
  <c r="DJ110" i="14"/>
  <c r="DE107" i="14"/>
  <c r="EU94" i="14"/>
  <c r="EW94" i="14" s="1"/>
  <c r="EL93" i="14"/>
  <c r="EN93" i="14" s="1"/>
  <c r="DJ95" i="14"/>
  <c r="CC110" i="14"/>
  <c r="CX111" i="14"/>
  <c r="DN107" i="14"/>
  <c r="DP107" i="14" s="1"/>
  <c r="DJ107" i="14"/>
  <c r="CH106" i="14"/>
  <c r="CC90" i="14"/>
  <c r="EL90" i="14"/>
  <c r="EN90" i="14" s="1"/>
  <c r="DI106" i="14"/>
  <c r="Z92" i="14"/>
  <c r="Z91" i="14"/>
  <c r="DE101" i="14"/>
  <c r="CP106" i="14"/>
  <c r="CH100" i="14"/>
  <c r="CT100" i="14"/>
  <c r="EL108" i="14"/>
  <c r="EN108" i="14" s="1"/>
  <c r="CK107" i="14"/>
  <c r="DW100" i="14"/>
  <c r="DY100" i="14" s="1"/>
  <c r="BY100" i="14"/>
  <c r="CH89" i="14"/>
  <c r="CH88" i="14"/>
  <c r="DF88" i="14"/>
  <c r="DI90" i="14"/>
  <c r="DQ107" i="14"/>
  <c r="DS107" i="14" s="1"/>
  <c r="BZ108" i="14"/>
  <c r="CG90" i="14"/>
  <c r="CD88" i="14"/>
  <c r="CT114" i="14"/>
  <c r="EO110" i="14"/>
  <c r="EQ110" i="14" s="1"/>
  <c r="DF102" i="14"/>
  <c r="CW105" i="14"/>
  <c r="CW104" i="14"/>
  <c r="BY87" i="14"/>
  <c r="CL102" i="14"/>
  <c r="CS102" i="14"/>
  <c r="ER87" i="14"/>
  <c r="ET87" i="14" s="1"/>
  <c r="DZ114" i="14"/>
  <c r="EB114" i="14" s="1"/>
  <c r="DI113" i="14"/>
  <c r="CW94" i="14"/>
  <c r="DE92" i="14"/>
  <c r="CP113" i="14"/>
  <c r="CW109" i="14"/>
  <c r="CL114" i="14"/>
  <c r="EC112" i="14"/>
  <c r="EE112" i="14" s="1"/>
  <c r="BV92" i="14"/>
  <c r="BW92" i="14" s="1"/>
  <c r="CS112" i="14"/>
  <c r="DI93" i="14"/>
  <c r="BV112" i="14"/>
  <c r="BW112" i="14" s="1"/>
  <c r="DT112" i="14"/>
  <c r="DV112" i="14" s="1"/>
  <c r="BV95" i="14"/>
  <c r="BW95" i="14" s="1"/>
  <c r="CT109" i="14"/>
  <c r="DA109" i="14"/>
  <c r="CG91" i="14"/>
  <c r="DE109" i="14"/>
  <c r="CD112" i="14"/>
  <c r="CP94" i="14"/>
  <c r="DT94" i="14"/>
  <c r="DV94" i="14" s="1"/>
  <c r="CD93" i="14"/>
  <c r="DE95" i="14"/>
  <c r="CK111" i="14"/>
  <c r="EU111" i="14"/>
  <c r="EW111" i="14" s="1"/>
  <c r="DZ107" i="14"/>
  <c r="EB107" i="14" s="1"/>
  <c r="EO112" i="14"/>
  <c r="EQ112" i="14" s="1"/>
  <c r="CW106" i="14"/>
  <c r="CH90" i="14"/>
  <c r="DW90" i="14"/>
  <c r="DY90" i="14" s="1"/>
  <c r="EC100" i="14"/>
  <c r="EE100" i="14" s="1"/>
  <c r="CG106" i="14"/>
  <c r="CW88" i="14"/>
  <c r="ER92" i="14"/>
  <c r="ET92" i="14" s="1"/>
  <c r="DT101" i="14"/>
  <c r="DV101" i="14" s="1"/>
  <c r="DN100" i="14"/>
  <c r="DP100" i="14" s="1"/>
  <c r="DQ106" i="14"/>
  <c r="DS106" i="14" s="1"/>
  <c r="DI107" i="14"/>
  <c r="DB100" i="14"/>
  <c r="DW89" i="14"/>
  <c r="DY89" i="14" s="1"/>
  <c r="EL88" i="14"/>
  <c r="EN88" i="14" s="1"/>
  <c r="CW91" i="14"/>
  <c r="EC92" i="14"/>
  <c r="EE92" i="14" s="1"/>
  <c r="EU106" i="14"/>
  <c r="EW106" i="14" s="1"/>
  <c r="BV101" i="14"/>
  <c r="BW101" i="14" s="1"/>
  <c r="BY104" i="14"/>
  <c r="DB111" i="14"/>
  <c r="DA102" i="14"/>
  <c r="CL104" i="14"/>
  <c r="CS87" i="14"/>
  <c r="DB102" i="14"/>
  <c r="CH102" i="14"/>
  <c r="EI105" i="14"/>
  <c r="EK105" i="14" s="1"/>
  <c r="DN104" i="14"/>
  <c r="DP104" i="14" s="1"/>
  <c r="EU102" i="14"/>
  <c r="EW102" i="14" s="1"/>
  <c r="EF113" i="14"/>
  <c r="EH113" i="14" s="1"/>
  <c r="DQ114" i="14"/>
  <c r="DS114" i="14" s="1"/>
  <c r="CW110" i="14"/>
  <c r="CK92" i="14"/>
  <c r="DT108" i="14"/>
  <c r="DV108" i="14" s="1"/>
  <c r="EI113" i="14"/>
  <c r="EK113" i="14" s="1"/>
  <c r="DW115" i="14"/>
  <c r="DY115" i="14" s="1"/>
  <c r="CG111" i="14"/>
  <c r="DB93" i="14"/>
  <c r="BY110" i="14"/>
  <c r="CK112" i="14"/>
  <c r="EI112" i="14"/>
  <c r="EK112" i="14" s="1"/>
  <c r="DB95" i="14"/>
  <c r="EF109" i="14"/>
  <c r="EH109" i="14" s="1"/>
  <c r="DW109" i="14"/>
  <c r="DY109" i="14" s="1"/>
  <c r="CP107" i="14"/>
  <c r="EL95" i="14"/>
  <c r="EN95" i="14" s="1"/>
  <c r="CL94" i="14"/>
  <c r="BY93" i="14"/>
  <c r="DJ112" i="14"/>
  <c r="CP111" i="14"/>
  <c r="DA111" i="14"/>
  <c r="CS107" i="14"/>
  <c r="EO95" i="14"/>
  <c r="EQ95" i="14" s="1"/>
  <c r="DF106" i="14"/>
  <c r="CW90" i="14"/>
  <c r="EL106" i="14"/>
  <c r="EN106" i="14" s="1"/>
  <c r="DF100" i="14"/>
  <c r="Z101" i="14"/>
  <c r="Z106" i="14"/>
  <c r="CP89" i="14"/>
  <c r="ER88" i="14"/>
  <c r="ET88" i="14" s="1"/>
  <c r="EU101" i="14"/>
  <c r="EW101" i="14" s="1"/>
  <c r="CS100" i="14"/>
  <c r="DQ105" i="14"/>
  <c r="DS105" i="14" s="1"/>
  <c r="ER106" i="14"/>
  <c r="ET106" i="14" s="1"/>
  <c r="CP100" i="14"/>
  <c r="EO89" i="14"/>
  <c r="EQ89" i="14" s="1"/>
  <c r="DW88" i="14"/>
  <c r="DY88" i="14" s="1"/>
  <c r="BV88" i="14"/>
  <c r="BW88" i="14" s="1"/>
  <c r="CP90" i="14"/>
  <c r="EO93" i="14"/>
  <c r="EQ93" i="14" s="1"/>
  <c r="DI92" i="14"/>
  <c r="CG89" i="14"/>
  <c r="CS88" i="14"/>
  <c r="DQ104" i="14"/>
  <c r="DS104" i="14" s="1"/>
  <c r="CL105" i="14"/>
  <c r="CP102" i="14"/>
  <c r="DB104" i="14"/>
  <c r="DA87" i="14"/>
  <c r="DE102" i="14"/>
  <c r="EC87" i="14"/>
  <c r="EE87" i="14" s="1"/>
  <c r="DA105" i="14"/>
  <c r="EC102" i="14"/>
  <c r="EE102" i="14" s="1"/>
  <c r="DJ113" i="14"/>
  <c r="ER115" i="14"/>
  <c r="ET115" i="14" s="1"/>
  <c r="CW115" i="14"/>
  <c r="BZ92" i="14"/>
  <c r="DN108" i="14"/>
  <c r="DP108" i="14" s="1"/>
  <c r="EC108" i="14"/>
  <c r="EE108" i="14" s="1"/>
  <c r="DQ113" i="14"/>
  <c r="DS113" i="14" s="1"/>
  <c r="DJ115" i="14"/>
  <c r="CG93" i="14"/>
  <c r="CW112" i="14"/>
  <c r="DN110" i="14"/>
  <c r="DP110" i="14" s="1"/>
  <c r="CP112" i="14"/>
  <c r="CX112" i="14"/>
  <c r="DQ95" i="14"/>
  <c r="DS95" i="14" s="1"/>
  <c r="ER109" i="14"/>
  <c r="ET109" i="14" s="1"/>
  <c r="EF95" i="14"/>
  <c r="EH95" i="14" s="1"/>
  <c r="EI91" i="14"/>
  <c r="EK91" i="14" s="1"/>
  <c r="CX94" i="14"/>
  <c r="CS93" i="14"/>
  <c r="EF91" i="14"/>
  <c r="EH91" i="14" s="1"/>
  <c r="EL111" i="14"/>
  <c r="EN111" i="14" s="1"/>
  <c r="CX107" i="14"/>
  <c r="DF111" i="14"/>
  <c r="CL106" i="14"/>
  <c r="DF90" i="14"/>
  <c r="DT90" i="14"/>
  <c r="DV90" i="14" s="1"/>
  <c r="DE100" i="14"/>
  <c r="ER105" i="14"/>
  <c r="ET105" i="14" s="1"/>
  <c r="BY112" i="14"/>
  <c r="CW101" i="14"/>
  <c r="EI106" i="14"/>
  <c r="EK106" i="14" s="1"/>
  <c r="CK106" i="14"/>
  <c r="CG100" i="14"/>
  <c r="EF89" i="14"/>
  <c r="EH89" i="14" s="1"/>
  <c r="CT88" i="14"/>
  <c r="ER91" i="14"/>
  <c r="ET91" i="14" s="1"/>
  <c r="CK90" i="14"/>
  <c r="CX108" i="14"/>
  <c r="DB110" i="14"/>
  <c r="BY105" i="14"/>
  <c r="CO89" i="14"/>
  <c r="CT113" i="14"/>
  <c r="BY88" i="14"/>
  <c r="CO87" i="14"/>
  <c r="DE104" i="14"/>
  <c r="DN87" i="14"/>
  <c r="DP87" i="14" s="1"/>
  <c r="CD102" i="14"/>
  <c r="EF102" i="14"/>
  <c r="EH102" i="14" s="1"/>
  <c r="DT87" i="14"/>
  <c r="DV87" i="14" s="1"/>
  <c r="BY114" i="14"/>
  <c r="BY115" i="14"/>
  <c r="DQ115" i="14"/>
  <c r="DS115" i="14" s="1"/>
  <c r="EF115" i="14"/>
  <c r="EH115" i="14" s="1"/>
  <c r="CO108" i="14"/>
  <c r="CL115" i="14"/>
  <c r="DJ92" i="14"/>
  <c r="CW95" i="14"/>
  <c r="CH110" i="14"/>
  <c r="DI112" i="14"/>
  <c r="EU112" i="14"/>
  <c r="EW112" i="14" s="1"/>
  <c r="EI95" i="14"/>
  <c r="EK95" i="14" s="1"/>
  <c r="DT109" i="14"/>
  <c r="DV109" i="14" s="1"/>
  <c r="DZ111" i="14"/>
  <c r="EB111" i="14" s="1"/>
  <c r="BZ91" i="14"/>
  <c r="BV91" i="14"/>
  <c r="BW91" i="14" s="1"/>
  <c r="DQ110" i="14"/>
  <c r="DS110" i="14" s="1"/>
  <c r="BZ94" i="14"/>
  <c r="DA94" i="14"/>
  <c r="CX93" i="14"/>
  <c r="DJ111" i="14"/>
  <c r="EC95" i="14"/>
  <c r="EE95" i="14" s="1"/>
  <c r="CC107" i="14"/>
  <c r="DF93" i="14"/>
  <c r="CL90" i="14"/>
  <c r="DA106" i="14"/>
  <c r="CL101" i="14"/>
  <c r="CM101" i="14" s="1"/>
  <c r="Z100" i="14"/>
  <c r="Z105" i="14"/>
  <c r="Z112" i="14"/>
  <c r="EF111" i="14"/>
  <c r="EH111" i="14" s="1"/>
  <c r="EU100" i="14"/>
  <c r="EW100" i="14" s="1"/>
  <c r="EO101" i="14"/>
  <c r="EQ101" i="14" s="1"/>
  <c r="EI104" i="14"/>
  <c r="EK104" i="14" s="1"/>
  <c r="EO105" i="14"/>
  <c r="EQ105" i="14" s="1"/>
  <c r="DA100" i="14"/>
  <c r="CG92" i="14"/>
  <c r="DE89" i="14"/>
  <c r="CG88" i="14"/>
  <c r="DT107" i="14"/>
  <c r="DV107" i="14" s="1"/>
  <c r="CC88" i="14"/>
  <c r="EU108" i="14"/>
  <c r="EW108" i="14" s="1"/>
  <c r="CC101" i="14"/>
  <c r="BV113" i="14"/>
  <c r="BW113" i="14" s="1"/>
  <c r="CH105" i="14"/>
  <c r="CG102" i="14"/>
  <c r="DZ87" i="14"/>
  <c r="EB87" i="14" s="1"/>
  <c r="EF87" i="14"/>
  <c r="EH87" i="14" s="1"/>
  <c r="DT102" i="14"/>
  <c r="DV102" i="14" s="1"/>
  <c r="DQ87" i="14"/>
  <c r="DS87" i="14" s="1"/>
  <c r="DB87" i="14"/>
  <c r="BV115" i="14"/>
  <c r="BW115" i="14" s="1"/>
  <c r="DA115" i="14"/>
  <c r="DF108" i="14"/>
  <c r="DE108" i="14"/>
  <c r="EI115" i="14"/>
  <c r="EK115" i="14" s="1"/>
  <c r="DB114" i="14"/>
  <c r="DW112" i="14"/>
  <c r="DY112" i="14" s="1"/>
  <c r="BV110" i="14"/>
  <c r="BW110" i="14" s="1"/>
  <c r="DA112" i="14"/>
  <c r="BY95" i="14"/>
  <c r="EL109" i="14"/>
  <c r="EN109" i="14" s="1"/>
  <c r="CL91" i="14"/>
  <c r="EI93" i="14"/>
  <c r="EK93" i="14" s="1"/>
  <c r="DN109" i="14"/>
  <c r="DP109" i="14" s="1"/>
  <c r="EF94" i="14"/>
  <c r="EH94" i="14" s="1"/>
  <c r="EL94" i="14"/>
  <c r="EN94" i="14" s="1"/>
  <c r="DZ93" i="14"/>
  <c r="EB93" i="14" s="1"/>
  <c r="DE93" i="14"/>
  <c r="BZ111" i="14"/>
  <c r="DZ112" i="14"/>
  <c r="EB112" i="14" s="1"/>
  <c r="CH107" i="14"/>
  <c r="CS94" i="14"/>
  <c r="DA90" i="14"/>
  <c r="CS110" i="14"/>
  <c r="BZ88" i="14"/>
  <c r="EF104" i="14"/>
  <c r="EH104" i="14" s="1"/>
  <c r="Z111" i="14"/>
  <c r="DQ102" i="14"/>
  <c r="DS102" i="14" s="1"/>
  <c r="DJ100" i="14"/>
  <c r="DN106" i="14"/>
  <c r="DP106" i="14" s="1"/>
  <c r="DI105" i="14"/>
  <c r="CD100" i="14"/>
  <c r="DQ92" i="14"/>
  <c r="DS92" i="14" s="1"/>
  <c r="DT89" i="14"/>
  <c r="DV89" i="14" s="1"/>
  <c r="DI88" i="14"/>
  <c r="CW107" i="14"/>
  <c r="EU91" i="14"/>
  <c r="EW91" i="14" s="1"/>
  <c r="CS108" i="14"/>
  <c r="EI90" i="14"/>
  <c r="EK90" i="14" s="1"/>
  <c r="DQ89" i="14"/>
  <c r="DS89" i="14" s="1"/>
  <c r="DB113" i="14"/>
  <c r="EF105" i="14"/>
  <c r="EH105" i="14" s="1"/>
  <c r="CP105" i="14"/>
  <c r="CC102" i="14"/>
  <c r="BZ114" i="14"/>
  <c r="EI87" i="14"/>
  <c r="EK87" i="14" s="1"/>
  <c r="EO102" i="14"/>
  <c r="EQ102" i="14" s="1"/>
  <c r="DJ102" i="14"/>
  <c r="CT104" i="14"/>
  <c r="CW113" i="14"/>
  <c r="DF115" i="14"/>
  <c r="ER114" i="14"/>
  <c r="ET114" i="14" s="1"/>
  <c r="CG108" i="14"/>
  <c r="CO115" i="14"/>
  <c r="DE114" i="14"/>
  <c r="DB115" i="14"/>
  <c r="DB92" i="14"/>
  <c r="BY111" i="14"/>
  <c r="CK110" i="14"/>
  <c r="CK95" i="14"/>
  <c r="CH95" i="14"/>
  <c r="CD109" i="14"/>
  <c r="CO91" i="14"/>
  <c r="DA91" i="14"/>
  <c r="DQ94" i="14"/>
  <c r="DS94" i="14" s="1"/>
  <c r="DF95" i="14"/>
  <c r="ER94" i="14"/>
  <c r="ET94" i="14" s="1"/>
  <c r="BV93" i="14"/>
  <c r="BW93" i="14" s="1"/>
  <c r="DN95" i="14"/>
  <c r="DP95" i="14" s="1"/>
  <c r="CO111" i="14"/>
  <c r="EC109" i="14"/>
  <c r="EE109" i="14" s="1"/>
  <c r="DB107" i="14"/>
  <c r="CG94" i="14"/>
  <c r="BZ106" i="14"/>
  <c r="Z110" i="14"/>
  <c r="Z88" i="14"/>
  <c r="Z104" i="14"/>
  <c r="DZ95" i="14"/>
  <c r="EB95" i="14" s="1"/>
  <c r="CD101" i="14"/>
  <c r="CP101" i="14"/>
  <c r="ER104" i="14"/>
  <c r="ET104" i="14" s="1"/>
  <c r="EO104" i="14"/>
  <c r="EQ104" i="14" s="1"/>
  <c r="CC100" i="14"/>
  <c r="EF92" i="14"/>
  <c r="EH92" i="14" s="1"/>
  <c r="CX89" i="14"/>
  <c r="EF88" i="14"/>
  <c r="EH88" i="14" s="1"/>
  <c r="ER90" i="14"/>
  <c r="ET90" i="14" s="1"/>
  <c r="EO108" i="14"/>
  <c r="EQ108" i="14" s="1"/>
  <c r="EO92" i="14"/>
  <c r="EQ92" i="14" s="1"/>
  <c r="EU105" i="14"/>
  <c r="EW105" i="14" s="1"/>
  <c r="EC90" i="14"/>
  <c r="EE90" i="14" s="1"/>
  <c r="DF89" i="14"/>
  <c r="CH104" i="14"/>
  <c r="EU113" i="14"/>
  <c r="EW113" i="14" s="1"/>
  <c r="CX105" i="14"/>
  <c r="BV114" i="14"/>
  <c r="BW114" i="14" s="1"/>
  <c r="CH87" i="14"/>
  <c r="CT102" i="14"/>
  <c r="CT105" i="14"/>
  <c r="CK105" i="14"/>
  <c r="DN105" i="14"/>
  <c r="DP105" i="14" s="1"/>
  <c r="CW93" i="14"/>
  <c r="CP114" i="14"/>
  <c r="EL115" i="14"/>
  <c r="EN115" i="14" s="1"/>
  <c r="CD89" i="14"/>
  <c r="CH114" i="14"/>
  <c r="DE113" i="14"/>
  <c r="CS111" i="14"/>
  <c r="DW111" i="14"/>
  <c r="DY111" i="14" s="1"/>
  <c r="EI110" i="14"/>
  <c r="EK110" i="14" s="1"/>
  <c r="BZ112" i="14"/>
  <c r="CP95" i="14"/>
  <c r="EU95" i="14"/>
  <c r="EW95" i="14" s="1"/>
  <c r="CT91" i="14"/>
  <c r="DT91" i="14"/>
  <c r="DV91" i="14" s="1"/>
  <c r="DN112" i="14"/>
  <c r="DP112" i="14" s="1"/>
  <c r="CC112" i="14"/>
  <c r="CO94" i="14"/>
  <c r="CK93" i="14"/>
  <c r="CT111" i="14"/>
  <c r="EC93" i="14"/>
  <c r="EE93" i="14" s="1"/>
  <c r="CG107" i="14"/>
  <c r="CC109" i="14"/>
  <c r="CO106" i="14"/>
  <c r="BZ90" i="14"/>
  <c r="CC94" i="14"/>
  <c r="EO115" i="14"/>
  <c r="EQ115" i="14" s="1"/>
  <c r="EC107" i="14"/>
  <c r="EE107" i="14" s="1"/>
  <c r="Z95" i="14"/>
  <c r="ER102" i="14"/>
  <c r="ET102" i="14" s="1"/>
  <c r="DJ101" i="14"/>
  <c r="CS104" i="14"/>
  <c r="EL102" i="14"/>
  <c r="EN102" i="14" s="1"/>
  <c r="EI100" i="14"/>
  <c r="EK100" i="14" s="1"/>
  <c r="CO92" i="14"/>
  <c r="EU89" i="14"/>
  <c r="EW89" i="14" s="1"/>
  <c r="DA88" i="14"/>
  <c r="DC88" i="14" s="1"/>
  <c r="EC106" i="14"/>
  <c r="EE106" i="14" s="1"/>
  <c r="EI107" i="14"/>
  <c r="EK107" i="14" s="1"/>
  <c r="DZ108" i="14"/>
  <c r="EB108" i="14" s="1"/>
  <c r="EF108" i="14"/>
  <c r="EH108" i="14" s="1"/>
  <c r="DT106" i="14"/>
  <c r="DV106" i="14" s="1"/>
  <c r="ER89" i="14"/>
  <c r="ET89" i="14" s="1"/>
  <c r="EL104" i="14"/>
  <c r="EN104" i="14" s="1"/>
  <c r="EC105" i="14"/>
  <c r="EE105" i="14" s="1"/>
  <c r="CX104" i="14"/>
  <c r="DJ114" i="14"/>
  <c r="DI87" i="14"/>
  <c r="CD104" i="14"/>
  <c r="CO114" i="14"/>
  <c r="CW111" i="14"/>
  <c r="DW114" i="14"/>
  <c r="DY114" i="14" s="1"/>
  <c r="ER113" i="14"/>
  <c r="ET113" i="14" s="1"/>
  <c r="CC92" i="14"/>
  <c r="CT92" i="14"/>
  <c r="EU115" i="14"/>
  <c r="EW115" i="14" s="1"/>
  <c r="CT115" i="14"/>
  <c r="CG110" i="14"/>
  <c r="CP110" i="14"/>
  <c r="CL110" i="14"/>
  <c r="CO112" i="14"/>
  <c r="CX95" i="14"/>
  <c r="BY109" i="14"/>
  <c r="CD91" i="14"/>
  <c r="DW91" i="14"/>
  <c r="DY91" i="14" s="1"/>
  <c r="DN93" i="14"/>
  <c r="DP93" i="14" s="1"/>
  <c r="CT94" i="14"/>
  <c r="CP93" i="14"/>
  <c r="EI109" i="14"/>
  <c r="EK109" i="14" s="1"/>
  <c r="CD111" i="14"/>
  <c r="DJ94" i="14"/>
  <c r="CD106" i="14"/>
  <c r="CT106" i="14"/>
  <c r="CO90" i="14"/>
  <c r="Z94" i="14"/>
  <c r="Z115" i="14"/>
  <c r="Z87" i="14"/>
  <c r="Z107" i="14"/>
  <c r="EL101" i="14"/>
  <c r="EN101" i="14" s="1"/>
  <c r="DQ100" i="14"/>
  <c r="DS100" i="14" s="1"/>
  <c r="DZ88" i="14"/>
  <c r="EB88" i="14" s="1"/>
  <c r="DI104" i="14"/>
  <c r="DI101" i="14"/>
  <c r="ER100" i="14"/>
  <c r="ET100" i="14" s="1"/>
  <c r="DF92" i="14"/>
  <c r="CL89" i="14"/>
  <c r="DN88" i="14"/>
  <c r="DP88" i="14" s="1"/>
  <c r="DB108" i="14"/>
  <c r="EO107" i="14"/>
  <c r="EQ107" i="14" s="1"/>
  <c r="CS114" i="14"/>
  <c r="DZ92" i="14"/>
  <c r="EB92" i="14" s="1"/>
  <c r="DI115" i="14"/>
  <c r="EF106" i="14"/>
  <c r="EH106" i="14" s="1"/>
  <c r="DJ104" i="14"/>
  <c r="CS115" i="14"/>
  <c r="CG105" i="14"/>
  <c r="EC104" i="14"/>
  <c r="EE104" i="14" s="1"/>
  <c r="BV87" i="14"/>
  <c r="BW87" i="14" s="1"/>
  <c r="CG87" i="14"/>
  <c r="BV104" i="14"/>
  <c r="BW104" i="14" s="1"/>
  <c r="CK104" i="14"/>
  <c r="DW113" i="14"/>
  <c r="DY113" i="14" s="1"/>
  <c r="CW92" i="14"/>
  <c r="EL114" i="14"/>
  <c r="EN114" i="14" s="1"/>
  <c r="ER112" i="14"/>
  <c r="ET112" i="14" s="1"/>
  <c r="EL112" i="14"/>
  <c r="EN112" i="14" s="1"/>
  <c r="CX110" i="14"/>
  <c r="CT112" i="14"/>
  <c r="DA95" i="14"/>
  <c r="CS109" i="14"/>
  <c r="BY91" i="14"/>
  <c r="EL91" i="14"/>
  <c r="EN91" i="14" s="1"/>
  <c r="DJ109" i="14"/>
  <c r="CD94" i="14"/>
  <c r="EU93" i="14"/>
  <c r="EW93" i="14" s="1"/>
  <c r="DQ109" i="14"/>
  <c r="DS109" i="14" s="1"/>
  <c r="DT111" i="14"/>
  <c r="DV111" i="14" s="1"/>
  <c r="DE111" i="14"/>
  <c r="CT90" i="14"/>
  <c r="CD108" i="14"/>
  <c r="CG109" i="14"/>
  <c r="CP92" i="14"/>
  <c r="BV90" i="14"/>
  <c r="BW90" i="14" s="1"/>
  <c r="CO101" i="14"/>
  <c r="CT101" i="14"/>
  <c r="EU92" i="14"/>
  <c r="EW92" i="14" s="1"/>
  <c r="DI109" i="14"/>
  <c r="CS101" i="14"/>
  <c r="DT100" i="14"/>
  <c r="DV100" i="14" s="1"/>
  <c r="DE90" i="14"/>
  <c r="EI89" i="14"/>
  <c r="EK89" i="14" s="1"/>
  <c r="EO88" i="14"/>
  <c r="EQ88" i="14" s="1"/>
  <c r="DB105" i="14"/>
  <c r="CT108" i="14"/>
  <c r="BZ113" i="14"/>
  <c r="DB109" i="14"/>
  <c r="EI88" i="14"/>
  <c r="EK88" i="14" s="1"/>
  <c r="CW89" i="14"/>
  <c r="DB112" i="14"/>
  <c r="DZ102" i="14"/>
  <c r="EB102" i="14" s="1"/>
  <c r="DF105" i="14"/>
  <c r="CG104" i="14"/>
  <c r="DI114" i="14"/>
  <c r="CP87" i="14"/>
  <c r="DE105" i="14"/>
  <c r="EI102" i="14"/>
  <c r="EK102" i="14" s="1"/>
  <c r="CX114" i="14"/>
  <c r="CH113" i="14"/>
  <c r="CO113" i="14"/>
  <c r="CX115" i="14"/>
  <c r="EL113" i="14"/>
  <c r="EN113" i="14" s="1"/>
  <c r="DN113" i="14"/>
  <c r="DP113" i="14" s="1"/>
  <c r="CL113" i="14"/>
  <c r="CS92" i="14"/>
  <c r="CK108" i="14"/>
  <c r="DT110" i="14"/>
  <c r="DV110" i="14" s="1"/>
  <c r="EF112" i="14"/>
  <c r="EH112" i="14" s="1"/>
  <c r="BZ95" i="14"/>
  <c r="CX109" i="14"/>
  <c r="DN91" i="14"/>
  <c r="DP91" i="14" s="1"/>
  <c r="DJ91" i="14"/>
  <c r="DE91" i="14"/>
  <c r="BY94" i="14"/>
  <c r="BZ93" i="14"/>
  <c r="CH93" i="14"/>
  <c r="DQ91" i="14"/>
  <c r="DS91" i="14" s="1"/>
  <c r="CC111" i="14"/>
  <c r="DE94" i="14"/>
  <c r="BZ107" i="14"/>
  <c r="BY106" i="14"/>
  <c r="CD90" i="14"/>
  <c r="EO106" i="14"/>
  <c r="EQ106" i="14" s="1"/>
  <c r="Z109" i="14"/>
  <c r="EC113" i="14"/>
  <c r="EE113" i="14" s="1"/>
  <c r="Z90" i="14"/>
  <c r="DZ101" i="14"/>
  <c r="EB101" i="14" s="1"/>
  <c r="BY101" i="14"/>
  <c r="DW94" i="14"/>
  <c r="DY94" i="14" s="1"/>
  <c r="BV108" i="14"/>
  <c r="BW108" i="14" s="1"/>
  <c r="EI101" i="14"/>
  <c r="EK101" i="14" s="1"/>
  <c r="CX100" i="14"/>
  <c r="EU90" i="14"/>
  <c r="EW90" i="14" s="1"/>
  <c r="DB89" i="14"/>
  <c r="EU88" i="14"/>
  <c r="EW88" i="14" s="1"/>
  <c r="CP91" i="14"/>
  <c r="DJ108" i="14"/>
  <c r="EU107" i="14"/>
  <c r="EW107" i="14" s="1"/>
  <c r="CX92" i="14"/>
  <c r="EC88" i="14"/>
  <c r="EE88" i="14" s="1"/>
  <c r="CO88" i="14"/>
  <c r="CP104" i="14"/>
  <c r="DN102" i="14"/>
  <c r="DP102" i="14" s="1"/>
  <c r="DZ105" i="14"/>
  <c r="EB105" i="14" s="1"/>
  <c r="DF104" i="14"/>
  <c r="CD105" i="14"/>
  <c r="CC87" i="14"/>
  <c r="CW87" i="14"/>
  <c r="CG114" i="14"/>
  <c r="CL92" i="14"/>
  <c r="EC115" i="14"/>
  <c r="EE115" i="14" s="1"/>
  <c r="BV100" i="14"/>
  <c r="BW100" i="14" s="1"/>
  <c r="EC114" i="14"/>
  <c r="EE114" i="14" s="1"/>
  <c r="DA114" i="14"/>
  <c r="CK115" i="14"/>
  <c r="CK113" i="14"/>
  <c r="DI111" i="14"/>
  <c r="BZ110" i="14"/>
  <c r="EU110" i="14"/>
  <c r="EW110" i="14" s="1"/>
  <c r="CG112" i="14"/>
  <c r="CO95" i="14"/>
  <c r="DZ94" i="14"/>
  <c r="EB94" i="14" s="1"/>
  <c r="DZ109" i="14"/>
  <c r="EB109" i="14" s="1"/>
  <c r="DZ91" i="14"/>
  <c r="EB91" i="14" s="1"/>
  <c r="DZ110" i="14"/>
  <c r="EB110" i="14" s="1"/>
  <c r="DN94" i="14"/>
  <c r="DP94" i="14" s="1"/>
  <c r="CO93" i="14"/>
  <c r="CL93" i="14"/>
  <c r="DF112" i="14"/>
  <c r="CL111" i="14"/>
  <c r="CO107" i="14"/>
  <c r="DA107" i="14"/>
  <c r="CS106" i="14"/>
  <c r="BY90" i="14"/>
  <c r="EO90" i="14"/>
  <c r="EQ90" i="14" s="1"/>
  <c r="CC93" i="14"/>
  <c r="EO114" i="14"/>
  <c r="EQ114" i="14" s="1"/>
  <c r="Z113" i="14"/>
  <c r="DA101" i="14"/>
  <c r="DB101" i="14"/>
  <c r="DW92" i="14"/>
  <c r="DY92" i="14" s="1"/>
  <c r="CP108" i="14"/>
  <c r="DF101" i="14"/>
  <c r="CO100" i="14"/>
  <c r="EF90" i="14"/>
  <c r="EH90" i="14" s="1"/>
  <c r="BZ89" i="14"/>
  <c r="DT88" i="14"/>
  <c r="DV88" i="14" s="1"/>
  <c r="CK91" i="14"/>
  <c r="DA108" i="14"/>
  <c r="EO91" i="14"/>
  <c r="EQ91" i="14" s="1"/>
  <c r="CS105" i="14"/>
  <c r="DT105" i="14"/>
  <c r="DV105" i="14" s="1"/>
  <c r="BV89" i="14"/>
  <c r="BW89" i="14" s="1"/>
  <c r="CC104" i="14"/>
  <c r="DJ87" i="14"/>
  <c r="DZ104" i="14"/>
  <c r="EB104" i="14" s="1"/>
  <c r="CX102" i="14"/>
  <c r="BZ102" i="14"/>
  <c r="BV105" i="14"/>
  <c r="BW105" i="14" s="1"/>
  <c r="BZ87" i="14"/>
  <c r="DA104" i="14"/>
  <c r="DA113" i="14"/>
  <c r="DF109" i="14"/>
  <c r="CD115" i="14"/>
  <c r="CL108" i="14"/>
  <c r="CD113" i="14"/>
  <c r="CC108" i="14"/>
  <c r="DI94" i="14"/>
  <c r="EF110" i="14"/>
  <c r="EH110" i="14" s="1"/>
  <c r="DA110" i="14"/>
  <c r="CL112" i="14"/>
  <c r="CT95" i="14"/>
  <c r="BV109" i="14"/>
  <c r="BW109" i="14" s="1"/>
  <c r="CS91" i="14"/>
  <c r="EF107" i="14"/>
  <c r="EH107" i="14" s="1"/>
  <c r="CH94" i="14"/>
  <c r="CT93" i="14"/>
  <c r="DA93" i="14"/>
  <c r="DF94" i="14"/>
  <c r="BV111" i="14"/>
  <c r="BW111" i="14" s="1"/>
  <c r="CT107" i="14"/>
  <c r="EL107" i="14"/>
  <c r="EN107" i="14" s="1"/>
  <c r="CX106" i="14"/>
  <c r="CS90" i="14"/>
  <c r="DJ106" i="14"/>
  <c r="Z93" i="14"/>
  <c r="Z114" i="14"/>
  <c r="CK100" i="14"/>
  <c r="DN101" i="14"/>
  <c r="DP101" i="14" s="1"/>
  <c r="DA92" i="14"/>
  <c r="DW108" i="14"/>
  <c r="DY108" i="14" s="1"/>
  <c r="EF101" i="14"/>
  <c r="EH101" i="14" s="1"/>
  <c r="BZ100" i="14"/>
  <c r="DA89" i="14"/>
  <c r="DN89" i="14"/>
  <c r="DP89" i="14" s="1"/>
  <c r="DJ88" i="14"/>
  <c r="CC89" i="14"/>
  <c r="BY113" i="14"/>
  <c r="EI92" i="14"/>
  <c r="EK92" i="14" s="1"/>
  <c r="DQ90" i="14"/>
  <c r="DS90" i="14" s="1"/>
  <c r="CL88" i="14"/>
  <c r="EL105" i="14"/>
  <c r="EN105" i="14" s="1"/>
  <c r="DE87" i="14"/>
  <c r="CD87" i="14"/>
  <c r="CO102" i="14"/>
  <c r="BV102" i="14"/>
  <c r="BW102" i="14" s="1"/>
  <c r="CK102" i="14"/>
  <c r="CH108" i="14"/>
  <c r="CH115" i="14"/>
  <c r="DT115" i="14"/>
  <c r="DV115" i="14" s="1"/>
  <c r="DT114" i="14"/>
  <c r="DV114" i="14" s="1"/>
  <c r="DE115" i="14"/>
  <c r="ER111" i="14"/>
  <c r="ET111" i="14" s="1"/>
  <c r="CC115" i="14"/>
  <c r="CK114" i="14"/>
  <c r="CC113" i="14"/>
  <c r="EU114" i="14"/>
  <c r="EW114" i="14" s="1"/>
  <c r="EO111" i="14"/>
  <c r="EQ111" i="14" s="1"/>
  <c r="DB94" i="14"/>
  <c r="ER110" i="14"/>
  <c r="ET110" i="14" s="1"/>
  <c r="EL110" i="14"/>
  <c r="EN110" i="14" s="1"/>
  <c r="CD95" i="14"/>
  <c r="CK109" i="14"/>
  <c r="CX91" i="14"/>
  <c r="DJ93" i="14"/>
  <c r="DQ93" i="14"/>
  <c r="DS93" i="14" s="1"/>
  <c r="BV94" i="14"/>
  <c r="BW94" i="14" s="1"/>
  <c r="EF93" i="14"/>
  <c r="EH93" i="14" s="1"/>
  <c r="DW93" i="14"/>
  <c r="DY93" i="14" s="1"/>
  <c r="CS95" i="14"/>
  <c r="CH111" i="14"/>
  <c r="CD107" i="14"/>
  <c r="DF107" i="14"/>
  <c r="DZ106" i="14"/>
  <c r="EB106" i="14" s="1"/>
  <c r="CX90" i="14"/>
  <c r="DJ90" i="14"/>
  <c r="Z60" i="14"/>
  <c r="Z14" i="14"/>
  <c r="Z47" i="14"/>
  <c r="Z41" i="14"/>
  <c r="Z15" i="14"/>
  <c r="Z42" i="14"/>
  <c r="Z27" i="14"/>
  <c r="Z71" i="14"/>
  <c r="Z44" i="14"/>
  <c r="Z18" i="14"/>
  <c r="Z72" i="14"/>
  <c r="Z48" i="14"/>
  <c r="Z37" i="14"/>
  <c r="Z22" i="14"/>
  <c r="Z56" i="14"/>
  <c r="Z74" i="14"/>
  <c r="Z66" i="14"/>
  <c r="Z78" i="14"/>
  <c r="Z86" i="14"/>
  <c r="Z11" i="14"/>
  <c r="Z23" i="14"/>
  <c r="Z58" i="14"/>
  <c r="Z35" i="14"/>
  <c r="Z21" i="14"/>
  <c r="Z20" i="14"/>
  <c r="Z84" i="14"/>
  <c r="Z10" i="14"/>
  <c r="Z39" i="14"/>
  <c r="Z81" i="14"/>
  <c r="Z19" i="14"/>
  <c r="Z57" i="14"/>
  <c r="Z13" i="14"/>
  <c r="Z67" i="14"/>
  <c r="Z55" i="14"/>
  <c r="Z38" i="14"/>
  <c r="Z53" i="14"/>
  <c r="Z54" i="14"/>
  <c r="Z28" i="14"/>
  <c r="Z76" i="14"/>
  <c r="Z46" i="14"/>
  <c r="Z32" i="14"/>
  <c r="Z36" i="14"/>
  <c r="Z25" i="14"/>
  <c r="CD76" i="14"/>
  <c r="CH21" i="14"/>
  <c r="CD78" i="14"/>
  <c r="CH15" i="14"/>
  <c r="DQ10" i="14"/>
  <c r="CH10" i="14"/>
  <c r="EC11" i="14"/>
  <c r="EE11" i="14" s="1"/>
  <c r="CP11" i="14"/>
  <c r="EU13" i="14"/>
  <c r="EW13" i="14" s="1"/>
  <c r="DB13" i="14"/>
  <c r="DI14" i="14"/>
  <c r="BY14" i="14"/>
  <c r="CA14" i="14" s="1"/>
  <c r="DI15" i="14"/>
  <c r="BY15" i="14"/>
  <c r="DQ18" i="14"/>
  <c r="DS18" i="14" s="1"/>
  <c r="CG18" i="14"/>
  <c r="DT19" i="14"/>
  <c r="DV19" i="14" s="1"/>
  <c r="CK19" i="14"/>
  <c r="DQ20" i="14"/>
  <c r="DS20" i="14" s="1"/>
  <c r="CG20" i="14"/>
  <c r="DT21" i="14"/>
  <c r="DV21" i="14" s="1"/>
  <c r="CK21" i="14"/>
  <c r="DQ22" i="14"/>
  <c r="DS22" i="14" s="1"/>
  <c r="CG22" i="14"/>
  <c r="CI22" i="14" s="1"/>
  <c r="DN23" i="14"/>
  <c r="DP23" i="14" s="1"/>
  <c r="CC23" i="14"/>
  <c r="DT25" i="14"/>
  <c r="DV25" i="14" s="1"/>
  <c r="CK25" i="14"/>
  <c r="DZ27" i="14"/>
  <c r="EB27" i="14" s="1"/>
  <c r="CO27" i="14"/>
  <c r="EC28" i="14"/>
  <c r="EE28" i="14" s="1"/>
  <c r="CP28" i="14"/>
  <c r="EO32" i="14"/>
  <c r="EQ32" i="14" s="1"/>
  <c r="CX32" i="14"/>
  <c r="DE35" i="14"/>
  <c r="DF36" i="14"/>
  <c r="BV36" i="14"/>
  <c r="BW36" i="14" s="1"/>
  <c r="DI37" i="14"/>
  <c r="BY37" i="14"/>
  <c r="DJ38" i="14"/>
  <c r="BZ38" i="14"/>
  <c r="DN39" i="14"/>
  <c r="DP39" i="14" s="1"/>
  <c r="CC39" i="14"/>
  <c r="DT41" i="14"/>
  <c r="DV41" i="14" s="1"/>
  <c r="CK41" i="14"/>
  <c r="CD25" i="14"/>
  <c r="CD15" i="14"/>
  <c r="CH37" i="14"/>
  <c r="CH53" i="14"/>
  <c r="DN10" i="14"/>
  <c r="CG10" i="14"/>
  <c r="DZ11" i="14"/>
  <c r="EB11" i="14" s="1"/>
  <c r="CO11" i="14"/>
  <c r="ER13" i="14"/>
  <c r="ET13" i="14" s="1"/>
  <c r="DA13" i="14"/>
  <c r="DF14" i="14"/>
  <c r="DF15" i="14"/>
  <c r="BV15" i="14"/>
  <c r="BW15" i="14" s="1"/>
  <c r="DN18" i="14"/>
  <c r="DP18" i="14" s="1"/>
  <c r="CC18" i="14"/>
  <c r="DQ19" i="14"/>
  <c r="DS19" i="14" s="1"/>
  <c r="CG19" i="14"/>
  <c r="DN20" i="14"/>
  <c r="DP20" i="14" s="1"/>
  <c r="CC20" i="14"/>
  <c r="DQ21" i="14"/>
  <c r="DS21" i="14" s="1"/>
  <c r="CG21" i="14"/>
  <c r="DN22" i="14"/>
  <c r="DP22" i="14" s="1"/>
  <c r="CC22" i="14"/>
  <c r="CE22" i="14" s="1"/>
  <c r="DJ23" i="14"/>
  <c r="BZ23" i="14"/>
  <c r="DQ25" i="14"/>
  <c r="DS25" i="14" s="1"/>
  <c r="CG25" i="14"/>
  <c r="DW27" i="14"/>
  <c r="DY27" i="14" s="1"/>
  <c r="CL27" i="14"/>
  <c r="DZ28" i="14"/>
  <c r="EB28" i="14" s="1"/>
  <c r="CO28" i="14"/>
  <c r="EL32" i="14"/>
  <c r="EN32" i="14" s="1"/>
  <c r="CW32" i="14"/>
  <c r="EU35" i="14"/>
  <c r="EW35" i="14" s="1"/>
  <c r="DB35" i="14"/>
  <c r="DE36" i="14"/>
  <c r="DF37" i="14"/>
  <c r="BV37" i="14"/>
  <c r="BW37" i="14" s="1"/>
  <c r="DI38" i="14"/>
  <c r="BY38" i="14"/>
  <c r="DJ39" i="14"/>
  <c r="BZ39" i="14"/>
  <c r="DQ41" i="14"/>
  <c r="DS41" i="14" s="1"/>
  <c r="CG41" i="14"/>
  <c r="CD55" i="14"/>
  <c r="CH19" i="14"/>
  <c r="CD32" i="14"/>
  <c r="CH86" i="14"/>
  <c r="DJ10" i="14"/>
  <c r="CD10" i="14"/>
  <c r="DW11" i="14"/>
  <c r="DY11" i="14" s="1"/>
  <c r="CL11" i="14"/>
  <c r="EO13" i="14"/>
  <c r="EQ13" i="14" s="1"/>
  <c r="CX13" i="14"/>
  <c r="DE14" i="14"/>
  <c r="DE15" i="14"/>
  <c r="DJ18" i="14"/>
  <c r="BZ18" i="14"/>
  <c r="DN19" i="14"/>
  <c r="DP19" i="14" s="1"/>
  <c r="CC19" i="14"/>
  <c r="CE19" i="14" s="1"/>
  <c r="DJ20" i="14"/>
  <c r="BZ20" i="14"/>
  <c r="DN21" i="14"/>
  <c r="DP21" i="14" s="1"/>
  <c r="CC21" i="14"/>
  <c r="CE21" i="14" s="1"/>
  <c r="DJ22" i="14"/>
  <c r="BY22" i="14"/>
  <c r="CA22" i="14" s="1"/>
  <c r="DI23" i="14"/>
  <c r="BY23" i="14"/>
  <c r="DN25" i="14"/>
  <c r="DP25" i="14" s="1"/>
  <c r="CC25" i="14"/>
  <c r="DT27" i="14"/>
  <c r="DV27" i="14" s="1"/>
  <c r="CK27" i="14"/>
  <c r="DW28" i="14"/>
  <c r="DY28" i="14" s="1"/>
  <c r="CL28" i="14"/>
  <c r="EI32" i="14"/>
  <c r="EK32" i="14" s="1"/>
  <c r="CT32" i="14"/>
  <c r="ER35" i="14"/>
  <c r="ET35" i="14" s="1"/>
  <c r="DA35" i="14"/>
  <c r="EU36" i="14"/>
  <c r="EW36" i="14" s="1"/>
  <c r="DB36" i="14"/>
  <c r="DE37" i="14"/>
  <c r="DF38" i="14"/>
  <c r="BV38" i="14"/>
  <c r="BW38" i="14" s="1"/>
  <c r="DI39" i="14"/>
  <c r="BY39" i="14"/>
  <c r="DN41" i="14"/>
  <c r="DP41" i="14" s="1"/>
  <c r="CC41" i="14"/>
  <c r="CD23" i="14"/>
  <c r="CD86" i="14"/>
  <c r="CH38" i="14"/>
  <c r="CH46" i="14"/>
  <c r="CH54" i="14"/>
  <c r="CH78" i="14"/>
  <c r="DI10" i="14"/>
  <c r="CC10" i="14"/>
  <c r="DT11" i="14"/>
  <c r="DV11" i="14" s="1"/>
  <c r="CK11" i="14"/>
  <c r="EL13" i="14"/>
  <c r="EN13" i="14" s="1"/>
  <c r="CW13" i="14"/>
  <c r="EU14" i="14"/>
  <c r="EW14" i="14" s="1"/>
  <c r="DB14" i="14"/>
  <c r="EU15" i="14"/>
  <c r="EW15" i="14" s="1"/>
  <c r="DB15" i="14"/>
  <c r="DI18" i="14"/>
  <c r="BY18" i="14"/>
  <c r="DJ19" i="14"/>
  <c r="BY19" i="14"/>
  <c r="CA19" i="14" s="1"/>
  <c r="DI20" i="14"/>
  <c r="BY20" i="14"/>
  <c r="DJ21" i="14"/>
  <c r="BY21" i="14"/>
  <c r="CA21" i="14" s="1"/>
  <c r="DI22" i="14"/>
  <c r="DF23" i="14"/>
  <c r="BV23" i="14"/>
  <c r="BW23" i="14" s="1"/>
  <c r="DJ25" i="14"/>
  <c r="BZ25" i="14"/>
  <c r="DQ27" i="14"/>
  <c r="DS27" i="14" s="1"/>
  <c r="CG27" i="14"/>
  <c r="DT28" i="14"/>
  <c r="DV28" i="14" s="1"/>
  <c r="CK28" i="14"/>
  <c r="EF32" i="14"/>
  <c r="EH32" i="14" s="1"/>
  <c r="CS32" i="14"/>
  <c r="EO35" i="14"/>
  <c r="EQ35" i="14" s="1"/>
  <c r="CX35" i="14"/>
  <c r="ER36" i="14"/>
  <c r="ET36" i="14" s="1"/>
  <c r="DA36" i="14"/>
  <c r="EU37" i="14"/>
  <c r="EW37" i="14" s="1"/>
  <c r="DB37" i="14"/>
  <c r="DE38" i="14"/>
  <c r="DF39" i="14"/>
  <c r="BV39" i="14"/>
  <c r="BW39" i="14" s="1"/>
  <c r="DJ41" i="14"/>
  <c r="BZ41" i="14"/>
  <c r="CD81" i="14"/>
  <c r="CD28" i="14"/>
  <c r="CD27" i="14"/>
  <c r="CD53" i="14"/>
  <c r="DF10" i="14"/>
  <c r="BZ10" i="14"/>
  <c r="DQ11" i="14"/>
  <c r="DS11" i="14" s="1"/>
  <c r="CH11" i="14"/>
  <c r="EI13" i="14"/>
  <c r="EK13" i="14" s="1"/>
  <c r="CT13" i="14"/>
  <c r="ER14" i="14"/>
  <c r="ET14" i="14" s="1"/>
  <c r="DA14" i="14"/>
  <c r="ER15" i="14"/>
  <c r="ET15" i="14" s="1"/>
  <c r="DA15" i="14"/>
  <c r="DF18" i="14"/>
  <c r="BV18" i="14"/>
  <c r="BW18" i="14" s="1"/>
  <c r="DI19" i="14"/>
  <c r="DF20" i="14"/>
  <c r="BV20" i="14"/>
  <c r="BW20" i="14" s="1"/>
  <c r="DI21" i="14"/>
  <c r="DF22" i="14"/>
  <c r="DE23" i="14"/>
  <c r="DI25" i="14"/>
  <c r="BY25" i="14"/>
  <c r="DN27" i="14"/>
  <c r="DP27" i="14" s="1"/>
  <c r="CC27" i="14"/>
  <c r="DQ28" i="14"/>
  <c r="DS28" i="14" s="1"/>
  <c r="CG28" i="14"/>
  <c r="EC32" i="14"/>
  <c r="EE32" i="14" s="1"/>
  <c r="CP32" i="14"/>
  <c r="EL35" i="14"/>
  <c r="EN35" i="14" s="1"/>
  <c r="CW35" i="14"/>
  <c r="EO36" i="14"/>
  <c r="EQ36" i="14" s="1"/>
  <c r="CX36" i="14"/>
  <c r="ER37" i="14"/>
  <c r="ET37" i="14" s="1"/>
  <c r="DA37" i="14"/>
  <c r="EU38" i="14"/>
  <c r="EW38" i="14" s="1"/>
  <c r="DB38" i="14"/>
  <c r="DE39" i="14"/>
  <c r="DI41" i="14"/>
  <c r="BY41" i="14"/>
  <c r="CD58" i="14"/>
  <c r="CH23" i="14"/>
  <c r="CH39" i="14"/>
  <c r="CH47" i="14"/>
  <c r="CH55" i="14"/>
  <c r="CH71" i="14"/>
  <c r="DE10" i="14"/>
  <c r="BY10" i="14"/>
  <c r="DN11" i="14"/>
  <c r="DP11" i="14" s="1"/>
  <c r="CG11" i="14"/>
  <c r="EF13" i="14"/>
  <c r="EH13" i="14" s="1"/>
  <c r="CS13" i="14"/>
  <c r="EO14" i="14"/>
  <c r="EQ14" i="14" s="1"/>
  <c r="CX14" i="14"/>
  <c r="EO15" i="14"/>
  <c r="EQ15" i="14" s="1"/>
  <c r="CX15" i="14"/>
  <c r="DE18" i="14"/>
  <c r="DF19" i="14"/>
  <c r="DE20" i="14"/>
  <c r="DF21" i="14"/>
  <c r="DE22" i="14"/>
  <c r="EU23" i="14"/>
  <c r="EW23" i="14" s="1"/>
  <c r="DB23" i="14"/>
  <c r="DF25" i="14"/>
  <c r="BV25" i="14"/>
  <c r="BW25" i="14" s="1"/>
  <c r="DJ27" i="14"/>
  <c r="BZ27" i="14"/>
  <c r="DN28" i="14"/>
  <c r="DP28" i="14" s="1"/>
  <c r="CC28" i="14"/>
  <c r="DZ32" i="14"/>
  <c r="EB32" i="14" s="1"/>
  <c r="CO32" i="14"/>
  <c r="EI35" i="14"/>
  <c r="EK35" i="14" s="1"/>
  <c r="CT35" i="14"/>
  <c r="EL36" i="14"/>
  <c r="EN36" i="14" s="1"/>
  <c r="CW36" i="14"/>
  <c r="EO37" i="14"/>
  <c r="EQ37" i="14" s="1"/>
  <c r="CX37" i="14"/>
  <c r="ER38" i="14"/>
  <c r="ET38" i="14" s="1"/>
  <c r="DA38" i="14"/>
  <c r="EU39" i="14"/>
  <c r="EW39" i="14" s="1"/>
  <c r="DB39" i="14"/>
  <c r="DF41" i="14"/>
  <c r="BV41" i="14"/>
  <c r="BW41" i="14" s="1"/>
  <c r="CD35" i="14"/>
  <c r="CD66" i="14"/>
  <c r="CH18" i="14"/>
  <c r="EU10" i="14"/>
  <c r="DB10" i="14"/>
  <c r="BV10" i="14"/>
  <c r="DJ11" i="14"/>
  <c r="CD11" i="14"/>
  <c r="EC13" i="14"/>
  <c r="EE13" i="14" s="1"/>
  <c r="CP13" i="14"/>
  <c r="EL14" i="14"/>
  <c r="EN14" i="14" s="1"/>
  <c r="CW14" i="14"/>
  <c r="EL15" i="14"/>
  <c r="EN15" i="14" s="1"/>
  <c r="CW15" i="14"/>
  <c r="EU18" i="14"/>
  <c r="EW18" i="14" s="1"/>
  <c r="DB18" i="14"/>
  <c r="DE19" i="14"/>
  <c r="EU20" i="14"/>
  <c r="EW20" i="14" s="1"/>
  <c r="DB20" i="14"/>
  <c r="DE21" i="14"/>
  <c r="EU22" i="14"/>
  <c r="EW22" i="14" s="1"/>
  <c r="DB22" i="14"/>
  <c r="ER23" i="14"/>
  <c r="ET23" i="14" s="1"/>
  <c r="DA23" i="14"/>
  <c r="DE25" i="14"/>
  <c r="DI27" i="14"/>
  <c r="BY27" i="14"/>
  <c r="DJ28" i="14"/>
  <c r="BZ28" i="14"/>
  <c r="DW32" i="14"/>
  <c r="DY32" i="14" s="1"/>
  <c r="CL32" i="14"/>
  <c r="EF35" i="14"/>
  <c r="EH35" i="14" s="1"/>
  <c r="CS35" i="14"/>
  <c r="EI36" i="14"/>
  <c r="EK36" i="14" s="1"/>
  <c r="CT36" i="14"/>
  <c r="EL37" i="14"/>
  <c r="EN37" i="14" s="1"/>
  <c r="CW37" i="14"/>
  <c r="EO38" i="14"/>
  <c r="EQ38" i="14" s="1"/>
  <c r="CX38" i="14"/>
  <c r="ER39" i="14"/>
  <c r="ET39" i="14" s="1"/>
  <c r="DA39" i="14"/>
  <c r="DE41" i="14"/>
  <c r="CD38" i="14"/>
  <c r="CD74" i="14"/>
  <c r="CD48" i="14"/>
  <c r="CH67" i="14"/>
  <c r="CP10" i="14"/>
  <c r="DB11" i="14"/>
  <c r="CC13" i="14"/>
  <c r="CL14" i="14"/>
  <c r="CP15" i="14"/>
  <c r="EC18" i="14"/>
  <c r="EE18" i="14" s="1"/>
  <c r="EL19" i="14"/>
  <c r="EN19" i="14" s="1"/>
  <c r="EO20" i="14"/>
  <c r="EQ20" i="14" s="1"/>
  <c r="CK20" i="14"/>
  <c r="CP21" i="14"/>
  <c r="CS22" i="14"/>
  <c r="CT23" i="14"/>
  <c r="DZ25" i="14"/>
  <c r="EB25" i="14" s="1"/>
  <c r="ER27" i="14"/>
  <c r="ET27" i="14" s="1"/>
  <c r="CS28" i="14"/>
  <c r="DT32" i="14"/>
  <c r="DV32" i="14" s="1"/>
  <c r="CO35" i="14"/>
  <c r="DI36" i="14"/>
  <c r="DQ37" i="14"/>
  <c r="DS37" i="14" s="1"/>
  <c r="DZ38" i="14"/>
  <c r="EB38" i="14" s="1"/>
  <c r="EI39" i="14"/>
  <c r="EK39" i="14" s="1"/>
  <c r="CS41" i="14"/>
  <c r="DN42" i="14"/>
  <c r="DP42" i="14" s="1"/>
  <c r="CC42" i="14"/>
  <c r="DT44" i="14"/>
  <c r="DV44" i="14" s="1"/>
  <c r="CK44" i="14"/>
  <c r="DZ46" i="14"/>
  <c r="EB46" i="14" s="1"/>
  <c r="CO46" i="14"/>
  <c r="EF47" i="14"/>
  <c r="EH47" i="14" s="1"/>
  <c r="CS47" i="14"/>
  <c r="EI48" i="14"/>
  <c r="EK48" i="14" s="1"/>
  <c r="CT48" i="14"/>
  <c r="DF53" i="14"/>
  <c r="BV53" i="14"/>
  <c r="BW53" i="14" s="1"/>
  <c r="DI54" i="14"/>
  <c r="BY54" i="14"/>
  <c r="DJ55" i="14"/>
  <c r="BZ55" i="14"/>
  <c r="DN56" i="14"/>
  <c r="DP56" i="14" s="1"/>
  <c r="CC56" i="14"/>
  <c r="DQ57" i="14"/>
  <c r="DS57" i="14" s="1"/>
  <c r="BV57" i="14"/>
  <c r="BW57" i="14" s="1"/>
  <c r="DT58" i="14"/>
  <c r="DV58" i="14" s="1"/>
  <c r="BZ58" i="14"/>
  <c r="CD57" i="14"/>
  <c r="CH41" i="14"/>
  <c r="CH56" i="14"/>
  <c r="CO10" i="14"/>
  <c r="DA11" i="14"/>
  <c r="DZ13" i="14"/>
  <c r="EB13" i="14" s="1"/>
  <c r="BZ13" i="14"/>
  <c r="CK14" i="14"/>
  <c r="CO15" i="14"/>
  <c r="DZ18" i="14"/>
  <c r="EB18" i="14" s="1"/>
  <c r="EI19" i="14"/>
  <c r="EK19" i="14" s="1"/>
  <c r="EL20" i="14"/>
  <c r="EN20" i="14" s="1"/>
  <c r="EU21" i="14"/>
  <c r="EW21" i="14" s="1"/>
  <c r="CO21" i="14"/>
  <c r="CP22" i="14"/>
  <c r="CS23" i="14"/>
  <c r="DW25" i="14"/>
  <c r="DY25" i="14" s="1"/>
  <c r="EO27" i="14"/>
  <c r="EQ27" i="14" s="1"/>
  <c r="BY28" i="14"/>
  <c r="DQ32" i="14"/>
  <c r="DS32" i="14" s="1"/>
  <c r="CL35" i="14"/>
  <c r="CS36" i="14"/>
  <c r="DN37" i="14"/>
  <c r="DP37" i="14" s="1"/>
  <c r="DW38" i="14"/>
  <c r="DY38" i="14" s="1"/>
  <c r="EF39" i="14"/>
  <c r="EH39" i="14" s="1"/>
  <c r="CP41" i="14"/>
  <c r="DJ42" i="14"/>
  <c r="BZ42" i="14"/>
  <c r="DQ44" i="14"/>
  <c r="DS44" i="14" s="1"/>
  <c r="CG44" i="14"/>
  <c r="DW46" i="14"/>
  <c r="DY46" i="14" s="1"/>
  <c r="CL46" i="14"/>
  <c r="EC47" i="14"/>
  <c r="EE47" i="14" s="1"/>
  <c r="CP47" i="14"/>
  <c r="EF48" i="14"/>
  <c r="EH48" i="14" s="1"/>
  <c r="CS48" i="14"/>
  <c r="DE53" i="14"/>
  <c r="DF54" i="14"/>
  <c r="BV54" i="14"/>
  <c r="BW54" i="14" s="1"/>
  <c r="DI55" i="14"/>
  <c r="BY55" i="14"/>
  <c r="DJ56" i="14"/>
  <c r="BZ56" i="14"/>
  <c r="DN57" i="14"/>
  <c r="DP57" i="14" s="1"/>
  <c r="DQ58" i="14"/>
  <c r="DS58" i="14" s="1"/>
  <c r="BV58" i="14"/>
  <c r="BW58" i="14" s="1"/>
  <c r="CD39" i="14"/>
  <c r="ER10" i="14"/>
  <c r="CL10" i="14"/>
  <c r="CX11" i="14"/>
  <c r="DW13" i="14"/>
  <c r="DY13" i="14" s="1"/>
  <c r="BY13" i="14"/>
  <c r="CH14" i="14"/>
  <c r="CL15" i="14"/>
  <c r="DW18" i="14"/>
  <c r="DY18" i="14" s="1"/>
  <c r="EF19" i="14"/>
  <c r="EH19" i="14" s="1"/>
  <c r="EI20" i="14"/>
  <c r="EK20" i="14" s="1"/>
  <c r="ER21" i="14"/>
  <c r="ET21" i="14" s="1"/>
  <c r="CL21" i="14"/>
  <c r="CO22" i="14"/>
  <c r="CP23" i="14"/>
  <c r="DB25" i="14"/>
  <c r="EL27" i="14"/>
  <c r="EN27" i="14" s="1"/>
  <c r="EU28" i="14"/>
  <c r="EW28" i="14" s="1"/>
  <c r="BV28" i="14"/>
  <c r="BW28" i="14" s="1"/>
  <c r="DN32" i="14"/>
  <c r="DP32" i="14" s="1"/>
  <c r="CK35" i="14"/>
  <c r="CP36" i="14"/>
  <c r="DJ37" i="14"/>
  <c r="DT38" i="14"/>
  <c r="DV38" i="14" s="1"/>
  <c r="EC39" i="14"/>
  <c r="EE39" i="14" s="1"/>
  <c r="EU41" i="14"/>
  <c r="EW41" i="14" s="1"/>
  <c r="CO41" i="14"/>
  <c r="DI42" i="14"/>
  <c r="BY42" i="14"/>
  <c r="DN44" i="14"/>
  <c r="DP44" i="14" s="1"/>
  <c r="CC44" i="14"/>
  <c r="DT46" i="14"/>
  <c r="DV46" i="14" s="1"/>
  <c r="CK46" i="14"/>
  <c r="DZ47" i="14"/>
  <c r="EB47" i="14" s="1"/>
  <c r="CO47" i="14"/>
  <c r="EC48" i="14"/>
  <c r="EE48" i="14" s="1"/>
  <c r="CP48" i="14"/>
  <c r="EU53" i="14"/>
  <c r="EW53" i="14" s="1"/>
  <c r="DB53" i="14"/>
  <c r="DE54" i="14"/>
  <c r="DF55" i="14"/>
  <c r="BV55" i="14"/>
  <c r="BW55" i="14" s="1"/>
  <c r="DI56" i="14"/>
  <c r="BY56" i="14"/>
  <c r="DJ57" i="14"/>
  <c r="DN58" i="14"/>
  <c r="DP58" i="14" s="1"/>
  <c r="CD67" i="14"/>
  <c r="Z50" i="2"/>
  <c r="CP50" i="2" s="1"/>
  <c r="CQ50" i="2" s="1"/>
  <c r="CH27" i="14"/>
  <c r="CH42" i="14"/>
  <c r="CH57" i="14"/>
  <c r="CH72" i="14"/>
  <c r="EO10" i="14"/>
  <c r="CK10" i="14"/>
  <c r="CW11" i="14"/>
  <c r="DT13" i="14"/>
  <c r="DV13" i="14" s="1"/>
  <c r="EI14" i="14"/>
  <c r="EK14" i="14" s="1"/>
  <c r="CG14" i="14"/>
  <c r="CK15" i="14"/>
  <c r="DT18" i="14"/>
  <c r="DV18" i="14" s="1"/>
  <c r="EC19" i="14"/>
  <c r="EE19" i="14" s="1"/>
  <c r="EF20" i="14"/>
  <c r="EH20" i="14" s="1"/>
  <c r="EO21" i="14"/>
  <c r="EQ21" i="14" s="1"/>
  <c r="ER22" i="14"/>
  <c r="ET22" i="14" s="1"/>
  <c r="CL22" i="14"/>
  <c r="CO23" i="14"/>
  <c r="DA25" i="14"/>
  <c r="EI27" i="14"/>
  <c r="EK27" i="14" s="1"/>
  <c r="ER28" i="14"/>
  <c r="ET28" i="14" s="1"/>
  <c r="DJ32" i="14"/>
  <c r="CG35" i="14"/>
  <c r="CO36" i="14"/>
  <c r="CT37" i="14"/>
  <c r="DQ38" i="14"/>
  <c r="DS38" i="14" s="1"/>
  <c r="DZ39" i="14"/>
  <c r="EB39" i="14" s="1"/>
  <c r="ER41" i="14"/>
  <c r="ET41" i="14" s="1"/>
  <c r="CL41" i="14"/>
  <c r="DF42" i="14"/>
  <c r="BV42" i="14"/>
  <c r="BW42" i="14" s="1"/>
  <c r="DJ44" i="14"/>
  <c r="BZ44" i="14"/>
  <c r="DQ46" i="14"/>
  <c r="DS46" i="14" s="1"/>
  <c r="CG46" i="14"/>
  <c r="DW47" i="14"/>
  <c r="DY47" i="14" s="1"/>
  <c r="CL47" i="14"/>
  <c r="DZ48" i="14"/>
  <c r="EB48" i="14" s="1"/>
  <c r="CO48" i="14"/>
  <c r="ER53" i="14"/>
  <c r="ET53" i="14" s="1"/>
  <c r="DA53" i="14"/>
  <c r="EU54" i="14"/>
  <c r="EW54" i="14" s="1"/>
  <c r="DB54" i="14"/>
  <c r="DE55" i="14"/>
  <c r="DF56" i="14"/>
  <c r="BV56" i="14"/>
  <c r="BW56" i="14" s="1"/>
  <c r="DI57" i="14"/>
  <c r="BY57" i="14"/>
  <c r="DJ58" i="14"/>
  <c r="CD44" i="14"/>
  <c r="CD36" i="14"/>
  <c r="CD18" i="14"/>
  <c r="EL10" i="14"/>
  <c r="CT11" i="14"/>
  <c r="DQ13" i="14"/>
  <c r="DS13" i="14" s="1"/>
  <c r="EF14" i="14"/>
  <c r="EH14" i="14" s="1"/>
  <c r="CC14" i="14"/>
  <c r="CE14" i="14" s="1"/>
  <c r="CG15" i="14"/>
  <c r="DA18" i="14"/>
  <c r="DZ19" i="14"/>
  <c r="EB19" i="14" s="1"/>
  <c r="EC20" i="14"/>
  <c r="EE20" i="14" s="1"/>
  <c r="EL21" i="14"/>
  <c r="EN21" i="14" s="1"/>
  <c r="EO22" i="14"/>
  <c r="EQ22" i="14" s="1"/>
  <c r="CK22" i="14"/>
  <c r="CL23" i="14"/>
  <c r="CX25" i="14"/>
  <c r="EF27" i="14"/>
  <c r="EH27" i="14" s="1"/>
  <c r="EO28" i="14"/>
  <c r="EQ28" i="14" s="1"/>
  <c r="DI32" i="14"/>
  <c r="CC35" i="14"/>
  <c r="CL36" i="14"/>
  <c r="CS37" i="14"/>
  <c r="DN38" i="14"/>
  <c r="DP38" i="14" s="1"/>
  <c r="DW39" i="14"/>
  <c r="DY39" i="14" s="1"/>
  <c r="EO41" i="14"/>
  <c r="EQ41" i="14" s="1"/>
  <c r="DE42" i="14"/>
  <c r="DI44" i="14"/>
  <c r="BY44" i="14"/>
  <c r="DN46" i="14"/>
  <c r="DP46" i="14" s="1"/>
  <c r="CC46" i="14"/>
  <c r="DT47" i="14"/>
  <c r="DV47" i="14" s="1"/>
  <c r="CK47" i="14"/>
  <c r="DW48" i="14"/>
  <c r="DY48" i="14" s="1"/>
  <c r="CL48" i="14"/>
  <c r="EO53" i="14"/>
  <c r="EQ53" i="14" s="1"/>
  <c r="CX53" i="14"/>
  <c r="ER54" i="14"/>
  <c r="ET54" i="14" s="1"/>
  <c r="DA54" i="14"/>
  <c r="EU55" i="14"/>
  <c r="EW55" i="14" s="1"/>
  <c r="DB55" i="14"/>
  <c r="CH20" i="14"/>
  <c r="CH28" i="14"/>
  <c r="CH58" i="14"/>
  <c r="EI10" i="14"/>
  <c r="CS11" i="14"/>
  <c r="DN13" i="14"/>
  <c r="DP13" i="14" s="1"/>
  <c r="EC14" i="14"/>
  <c r="EE14" i="14" s="1"/>
  <c r="EI15" i="14"/>
  <c r="EK15" i="14" s="1"/>
  <c r="CC15" i="14"/>
  <c r="CX18" i="14"/>
  <c r="DW19" i="14"/>
  <c r="DY19" i="14" s="1"/>
  <c r="DZ20" i="14"/>
  <c r="EB20" i="14" s="1"/>
  <c r="EI21" i="14"/>
  <c r="EK21" i="14" s="1"/>
  <c r="EL22" i="14"/>
  <c r="EN22" i="14" s="1"/>
  <c r="EO23" i="14"/>
  <c r="EQ23" i="14" s="1"/>
  <c r="CK23" i="14"/>
  <c r="CW25" i="14"/>
  <c r="EC27" i="14"/>
  <c r="EE27" i="14" s="1"/>
  <c r="EL28" i="14"/>
  <c r="EN28" i="14" s="1"/>
  <c r="DF32" i="14"/>
  <c r="BZ35" i="14"/>
  <c r="CK36" i="14"/>
  <c r="CP37" i="14"/>
  <c r="CW38" i="14"/>
  <c r="DT39" i="14"/>
  <c r="DV39" i="14" s="1"/>
  <c r="EL41" i="14"/>
  <c r="EN41" i="14" s="1"/>
  <c r="EU42" i="14"/>
  <c r="EW42" i="14" s="1"/>
  <c r="DB42" i="14"/>
  <c r="DF44" i="14"/>
  <c r="BV44" i="14"/>
  <c r="BW44" i="14" s="1"/>
  <c r="DJ46" i="14"/>
  <c r="BZ46" i="14"/>
  <c r="DQ47" i="14"/>
  <c r="DS47" i="14" s="1"/>
  <c r="CG47" i="14"/>
  <c r="DT48" i="14"/>
  <c r="DV48" i="14" s="1"/>
  <c r="CK48" i="14"/>
  <c r="EL53" i="14"/>
  <c r="EN53" i="14" s="1"/>
  <c r="CW53" i="14"/>
  <c r="EO54" i="14"/>
  <c r="EQ54" i="14" s="1"/>
  <c r="CX54" i="14"/>
  <c r="ER55" i="14"/>
  <c r="ET55" i="14" s="1"/>
  <c r="DA55" i="14"/>
  <c r="CD37" i="14"/>
  <c r="CD20" i="14"/>
  <c r="CH32" i="14"/>
  <c r="EF10" i="14"/>
  <c r="CC11" i="14"/>
  <c r="DJ13" i="14"/>
  <c r="DZ14" i="14"/>
  <c r="EB14" i="14" s="1"/>
  <c r="EF15" i="14"/>
  <c r="EH15" i="14" s="1"/>
  <c r="BZ15" i="14"/>
  <c r="CW18" i="14"/>
  <c r="DB19" i="14"/>
  <c r="DW20" i="14"/>
  <c r="DY20" i="14" s="1"/>
  <c r="EF21" i="14"/>
  <c r="EH21" i="14" s="1"/>
  <c r="EI22" i="14"/>
  <c r="EK22" i="14" s="1"/>
  <c r="EL23" i="14"/>
  <c r="EN23" i="14" s="1"/>
  <c r="CG23" i="14"/>
  <c r="CT25" i="14"/>
  <c r="DF27" i="14"/>
  <c r="EI28" i="14"/>
  <c r="EK28" i="14" s="1"/>
  <c r="DE32" i="14"/>
  <c r="EC35" i="14"/>
  <c r="EE35" i="14" s="1"/>
  <c r="BY35" i="14"/>
  <c r="CG36" i="14"/>
  <c r="CO37" i="14"/>
  <c r="CT38" i="14"/>
  <c r="DQ39" i="14"/>
  <c r="DS39" i="14" s="1"/>
  <c r="EI41" i="14"/>
  <c r="EK41" i="14" s="1"/>
  <c r="ER42" i="14"/>
  <c r="ET42" i="14" s="1"/>
  <c r="DA42" i="14"/>
  <c r="DE44" i="14"/>
  <c r="DI46" i="14"/>
  <c r="BV46" i="14"/>
  <c r="BW46" i="14" s="1"/>
  <c r="DN47" i="14"/>
  <c r="DP47" i="14" s="1"/>
  <c r="CC47" i="14"/>
  <c r="DQ48" i="14"/>
  <c r="DS48" i="14" s="1"/>
  <c r="CG48" i="14"/>
  <c r="EI53" i="14"/>
  <c r="EK53" i="14" s="1"/>
  <c r="CT53" i="14"/>
  <c r="EL54" i="14"/>
  <c r="EN54" i="14" s="1"/>
  <c r="CW54" i="14"/>
  <c r="EO55" i="14"/>
  <c r="EQ55" i="14" s="1"/>
  <c r="CX55" i="14"/>
  <c r="ER56" i="14"/>
  <c r="ET56" i="14" s="1"/>
  <c r="DA56" i="14"/>
  <c r="EU57" i="14"/>
  <c r="EW57" i="14" s="1"/>
  <c r="DB57" i="14"/>
  <c r="CD41" i="14"/>
  <c r="CH35" i="14"/>
  <c r="CW10" i="14"/>
  <c r="DE13" i="14"/>
  <c r="EC15" i="14"/>
  <c r="EE15" i="14" s="1"/>
  <c r="EO18" i="14"/>
  <c r="EQ18" i="14" s="1"/>
  <c r="CT19" i="14"/>
  <c r="DZ21" i="14"/>
  <c r="EB21" i="14" s="1"/>
  <c r="CT22" i="14"/>
  <c r="DA27" i="14"/>
  <c r="DW35" i="14"/>
  <c r="DY35" i="14" s="1"/>
  <c r="DJ36" i="14"/>
  <c r="EI38" i="14"/>
  <c r="EK38" i="14" s="1"/>
  <c r="CP39" i="14"/>
  <c r="DZ41" i="14"/>
  <c r="EB41" i="14" s="1"/>
  <c r="CX42" i="14"/>
  <c r="EF44" i="14"/>
  <c r="EH44" i="14" s="1"/>
  <c r="CP46" i="14"/>
  <c r="CX47" i="14"/>
  <c r="DE48" i="14"/>
  <c r="CS53" i="14"/>
  <c r="DN54" i="14"/>
  <c r="DP54" i="14" s="1"/>
  <c r="DW55" i="14"/>
  <c r="DY55" i="14" s="1"/>
  <c r="EL56" i="14"/>
  <c r="EN56" i="14" s="1"/>
  <c r="CL56" i="14"/>
  <c r="DA57" i="14"/>
  <c r="EI58" i="14"/>
  <c r="EK58" i="14" s="1"/>
  <c r="CL58" i="14"/>
  <c r="DJ60" i="14"/>
  <c r="EC66" i="14"/>
  <c r="EE66" i="14" s="1"/>
  <c r="CP66" i="14"/>
  <c r="EF67" i="14"/>
  <c r="EH67" i="14" s="1"/>
  <c r="CS67" i="14"/>
  <c r="CD54" i="14"/>
  <c r="CT10" i="14"/>
  <c r="CO13" i="14"/>
  <c r="DZ15" i="14"/>
  <c r="EB15" i="14" s="1"/>
  <c r="EL18" i="14"/>
  <c r="EN18" i="14" s="1"/>
  <c r="CS19" i="14"/>
  <c r="DW21" i="14"/>
  <c r="DY21" i="14" s="1"/>
  <c r="EI23" i="14"/>
  <c r="EK23" i="14" s="1"/>
  <c r="CX27" i="14"/>
  <c r="DT35" i="14"/>
  <c r="DV35" i="14" s="1"/>
  <c r="CC36" i="14"/>
  <c r="EF38" i="14"/>
  <c r="EH38" i="14" s="1"/>
  <c r="CO39" i="14"/>
  <c r="DW41" i="14"/>
  <c r="DY41" i="14" s="1"/>
  <c r="CW42" i="14"/>
  <c r="EC44" i="14"/>
  <c r="EE44" i="14" s="1"/>
  <c r="EU46" i="14"/>
  <c r="EW46" i="14" s="1"/>
  <c r="CW47" i="14"/>
  <c r="DB48" i="14"/>
  <c r="CP53" i="14"/>
  <c r="DJ54" i="14"/>
  <c r="DT55" i="14"/>
  <c r="DV55" i="14" s="1"/>
  <c r="EI56" i="14"/>
  <c r="EK56" i="14" s="1"/>
  <c r="CK56" i="14"/>
  <c r="CX57" i="14"/>
  <c r="EF58" i="14"/>
  <c r="EH58" i="14" s="1"/>
  <c r="DI60" i="14"/>
  <c r="BY60" i="14"/>
  <c r="DZ66" i="14"/>
  <c r="EB66" i="14" s="1"/>
  <c r="CO66" i="14"/>
  <c r="EC67" i="14"/>
  <c r="EE67" i="14" s="1"/>
  <c r="CP67" i="14"/>
  <c r="ER71" i="14"/>
  <c r="ET71" i="14" s="1"/>
  <c r="DA71" i="14"/>
  <c r="CK71" i="14"/>
  <c r="DE72" i="14"/>
  <c r="CC72" i="14"/>
  <c r="DN74" i="14"/>
  <c r="DP74" i="14" s="1"/>
  <c r="DZ76" i="14"/>
  <c r="EB76" i="14" s="1"/>
  <c r="CO76" i="14"/>
  <c r="CH36" i="14"/>
  <c r="CS10" i="14"/>
  <c r="CL13" i="14"/>
  <c r="DW15" i="14"/>
  <c r="DY15" i="14" s="1"/>
  <c r="EI18" i="14"/>
  <c r="EK18" i="14" s="1"/>
  <c r="CP19" i="14"/>
  <c r="DB21" i="14"/>
  <c r="EF23" i="14"/>
  <c r="EH23" i="14" s="1"/>
  <c r="CW27" i="14"/>
  <c r="EU32" i="14"/>
  <c r="EW32" i="14" s="1"/>
  <c r="DQ35" i="14"/>
  <c r="DS35" i="14" s="1"/>
  <c r="BZ36" i="14"/>
  <c r="EC38" i="14"/>
  <c r="EE38" i="14" s="1"/>
  <c r="CL39" i="14"/>
  <c r="DB41" i="14"/>
  <c r="CT42" i="14"/>
  <c r="DZ44" i="14"/>
  <c r="EB44" i="14" s="1"/>
  <c r="ER46" i="14"/>
  <c r="ET46" i="14" s="1"/>
  <c r="CT47" i="14"/>
  <c r="DA48" i="14"/>
  <c r="CO53" i="14"/>
  <c r="CT54" i="14"/>
  <c r="DQ55" i="14"/>
  <c r="DS55" i="14" s="1"/>
  <c r="EF56" i="14"/>
  <c r="EH56" i="14" s="1"/>
  <c r="CG56" i="14"/>
  <c r="CW57" i="14"/>
  <c r="EC58" i="14"/>
  <c r="EE58" i="14" s="1"/>
  <c r="DF60" i="14"/>
  <c r="CC60" i="14"/>
  <c r="DW66" i="14"/>
  <c r="DY66" i="14" s="1"/>
  <c r="CL66" i="14"/>
  <c r="DZ67" i="14"/>
  <c r="EB67" i="14" s="1"/>
  <c r="CO67" i="14"/>
  <c r="EO71" i="14"/>
  <c r="EQ71" i="14" s="1"/>
  <c r="CX71" i="14"/>
  <c r="CD42" i="14"/>
  <c r="EU11" i="14"/>
  <c r="EW11" i="14" s="1"/>
  <c r="CK13" i="14"/>
  <c r="DT15" i="14"/>
  <c r="DV15" i="14" s="1"/>
  <c r="EF18" i="14"/>
  <c r="EH18" i="14" s="1"/>
  <c r="CO19" i="14"/>
  <c r="DA21" i="14"/>
  <c r="EC23" i="14"/>
  <c r="EE23" i="14" s="1"/>
  <c r="CT27" i="14"/>
  <c r="ER32" i="14"/>
  <c r="ET32" i="14" s="1"/>
  <c r="DN35" i="14"/>
  <c r="DP35" i="14" s="1"/>
  <c r="BY36" i="14"/>
  <c r="CS38" i="14"/>
  <c r="CK39" i="14"/>
  <c r="DA41" i="14"/>
  <c r="CS42" i="14"/>
  <c r="DW44" i="14"/>
  <c r="DY44" i="14" s="1"/>
  <c r="EO46" i="14"/>
  <c r="EQ46" i="14" s="1"/>
  <c r="BZ47" i="14"/>
  <c r="CX48" i="14"/>
  <c r="CL53" i="14"/>
  <c r="CS54" i="14"/>
  <c r="DN55" i="14"/>
  <c r="DP55" i="14" s="1"/>
  <c r="EC56" i="14"/>
  <c r="EE56" i="14" s="1"/>
  <c r="CT57" i="14"/>
  <c r="DZ58" i="14"/>
  <c r="EB58" i="14" s="1"/>
  <c r="BY58" i="14"/>
  <c r="DE60" i="14"/>
  <c r="CG60" i="14"/>
  <c r="DT66" i="14"/>
  <c r="DV66" i="14" s="1"/>
  <c r="BZ66" i="14"/>
  <c r="DW67" i="14"/>
  <c r="DY67" i="14" s="1"/>
  <c r="CL67" i="14"/>
  <c r="EL71" i="14"/>
  <c r="EN71" i="14" s="1"/>
  <c r="CW71" i="14"/>
  <c r="ER72" i="14"/>
  <c r="ET72" i="14" s="1"/>
  <c r="DA72" i="14"/>
  <c r="CK72" i="14"/>
  <c r="DI74" i="14"/>
  <c r="DT76" i="14"/>
  <c r="DV76" i="14" s="1"/>
  <c r="BZ76" i="14"/>
  <c r="CD46" i="14"/>
  <c r="CH44" i="14"/>
  <c r="CH66" i="14"/>
  <c r="ER11" i="14"/>
  <c r="ET11" i="14" s="1"/>
  <c r="CH13" i="14"/>
  <c r="DQ15" i="14"/>
  <c r="DS15" i="14" s="1"/>
  <c r="CT18" i="14"/>
  <c r="CL19" i="14"/>
  <c r="CX21" i="14"/>
  <c r="DZ23" i="14"/>
  <c r="EB23" i="14" s="1"/>
  <c r="CS27" i="14"/>
  <c r="DB32" i="14"/>
  <c r="DJ35" i="14"/>
  <c r="EI37" i="14"/>
  <c r="EK37" i="14" s="1"/>
  <c r="CP38" i="14"/>
  <c r="CG39" i="14"/>
  <c r="CX41" i="14"/>
  <c r="CP42" i="14"/>
  <c r="DB44" i="14"/>
  <c r="EL46" i="14"/>
  <c r="EN46" i="14" s="1"/>
  <c r="BY46" i="14"/>
  <c r="BY47" i="14"/>
  <c r="CW48" i="14"/>
  <c r="CK53" i="14"/>
  <c r="CP54" i="14"/>
  <c r="CW55" i="14"/>
  <c r="DZ56" i="14"/>
  <c r="EB56" i="14" s="1"/>
  <c r="CS57" i="14"/>
  <c r="DW58" i="14"/>
  <c r="DY58" i="14" s="1"/>
  <c r="CC58" i="14"/>
  <c r="EU60" i="14"/>
  <c r="EW60" i="14" s="1"/>
  <c r="DB60" i="14"/>
  <c r="CK60" i="14"/>
  <c r="DQ66" i="14"/>
  <c r="DS66" i="14" s="1"/>
  <c r="BV66" i="14"/>
  <c r="BW66" i="14" s="1"/>
  <c r="DT67" i="14"/>
  <c r="DV67" i="14" s="1"/>
  <c r="BZ67" i="14"/>
  <c r="EI71" i="14"/>
  <c r="EK71" i="14" s="1"/>
  <c r="CT71" i="14"/>
  <c r="EO72" i="14"/>
  <c r="EQ72" i="14" s="1"/>
  <c r="CX72" i="14"/>
  <c r="CD71" i="14"/>
  <c r="CH48" i="14"/>
  <c r="EO11" i="14"/>
  <c r="EQ11" i="14" s="1"/>
  <c r="CG13" i="14"/>
  <c r="DN15" i="14"/>
  <c r="DP15" i="14" s="1"/>
  <c r="CS18" i="14"/>
  <c r="ER20" i="14"/>
  <c r="ET20" i="14" s="1"/>
  <c r="CW21" i="14"/>
  <c r="DW23" i="14"/>
  <c r="DY23" i="14" s="1"/>
  <c r="EU25" i="14"/>
  <c r="EW25" i="14" s="1"/>
  <c r="CP27" i="14"/>
  <c r="DA32" i="14"/>
  <c r="DI35" i="14"/>
  <c r="EF37" i="14"/>
  <c r="EH37" i="14" s="1"/>
  <c r="CO38" i="14"/>
  <c r="CW41" i="14"/>
  <c r="CO42" i="14"/>
  <c r="DA44" i="14"/>
  <c r="EI46" i="14"/>
  <c r="EK46" i="14" s="1"/>
  <c r="EU47" i="14"/>
  <c r="EW47" i="14" s="1"/>
  <c r="BV47" i="14"/>
  <c r="BW47" i="14" s="1"/>
  <c r="CC48" i="14"/>
  <c r="CG53" i="14"/>
  <c r="CO54" i="14"/>
  <c r="CT55" i="14"/>
  <c r="DW56" i="14"/>
  <c r="DY56" i="14" s="1"/>
  <c r="ER57" i="14"/>
  <c r="ET57" i="14" s="1"/>
  <c r="CP57" i="14"/>
  <c r="DI58" i="14"/>
  <c r="CG58" i="14"/>
  <c r="ER60" i="14"/>
  <c r="ET60" i="14" s="1"/>
  <c r="DA60" i="14"/>
  <c r="DN66" i="14"/>
  <c r="DP66" i="14" s="1"/>
  <c r="DQ67" i="14"/>
  <c r="DS67" i="14" s="1"/>
  <c r="BV67" i="14"/>
  <c r="BW67" i="14" s="1"/>
  <c r="EF71" i="14"/>
  <c r="EH71" i="14" s="1"/>
  <c r="CS71" i="14"/>
  <c r="EL72" i="14"/>
  <c r="EN72" i="14" s="1"/>
  <c r="CW72" i="14"/>
  <c r="CD47" i="14"/>
  <c r="CH84" i="14"/>
  <c r="CH74" i="14"/>
  <c r="EL11" i="14"/>
  <c r="EN11" i="14" s="1"/>
  <c r="CD13" i="14"/>
  <c r="DJ15" i="14"/>
  <c r="CP18" i="14"/>
  <c r="DT20" i="14"/>
  <c r="DV20" i="14" s="1"/>
  <c r="CT21" i="14"/>
  <c r="DT23" i="14"/>
  <c r="DV23" i="14" s="1"/>
  <c r="ER25" i="14"/>
  <c r="ET25" i="14" s="1"/>
  <c r="BV27" i="14"/>
  <c r="BW27" i="14" s="1"/>
  <c r="CK32" i="14"/>
  <c r="DF35" i="14"/>
  <c r="EC37" i="14"/>
  <c r="EE37" i="14" s="1"/>
  <c r="CL38" i="14"/>
  <c r="CT41" i="14"/>
  <c r="CL42" i="14"/>
  <c r="CX44" i="14"/>
  <c r="EF46" i="14"/>
  <c r="EH46" i="14" s="1"/>
  <c r="ER47" i="14"/>
  <c r="ET47" i="14" s="1"/>
  <c r="BZ48" i="14"/>
  <c r="CC53" i="14"/>
  <c r="CL54" i="14"/>
  <c r="CS55" i="14"/>
  <c r="DT56" i="14"/>
  <c r="DV56" i="14" s="1"/>
  <c r="EO57" i="14"/>
  <c r="EQ57" i="14" s="1"/>
  <c r="CO57" i="14"/>
  <c r="DF58" i="14"/>
  <c r="CK58" i="14"/>
  <c r="EO60" i="14"/>
  <c r="EQ60" i="14" s="1"/>
  <c r="CX60" i="14"/>
  <c r="DJ66" i="14"/>
  <c r="DN67" i="14"/>
  <c r="DP67" i="14" s="1"/>
  <c r="EC71" i="14"/>
  <c r="EE71" i="14" s="1"/>
  <c r="CD72" i="14"/>
  <c r="EC10" i="14"/>
  <c r="CO14" i="14"/>
  <c r="CS20" i="14"/>
  <c r="CW23" i="14"/>
  <c r="CW28" i="14"/>
  <c r="DW37" i="14"/>
  <c r="DY37" i="14" s="1"/>
  <c r="CS39" i="14"/>
  <c r="DW42" i="14"/>
  <c r="DY42" i="14" s="1"/>
  <c r="EU44" i="14"/>
  <c r="EW44" i="14" s="1"/>
  <c r="DJ48" i="14"/>
  <c r="EF53" i="14"/>
  <c r="EH53" i="14" s="1"/>
  <c r="DT54" i="14"/>
  <c r="DV54" i="14" s="1"/>
  <c r="CC55" i="14"/>
  <c r="EC57" i="14"/>
  <c r="EE57" i="14" s="1"/>
  <c r="DB58" i="14"/>
  <c r="DW60" i="14"/>
  <c r="DY60" i="14" s="1"/>
  <c r="DI66" i="14"/>
  <c r="EL67" i="14"/>
  <c r="EN67" i="14" s="1"/>
  <c r="DZ71" i="14"/>
  <c r="EB71" i="14" s="1"/>
  <c r="DF72" i="14"/>
  <c r="DQ74" i="14"/>
  <c r="DS74" i="14" s="1"/>
  <c r="BY74" i="14"/>
  <c r="DB76" i="14"/>
  <c r="DE78" i="14"/>
  <c r="CC78" i="14"/>
  <c r="DQ81" i="14"/>
  <c r="DS81" i="14" s="1"/>
  <c r="BV81" i="14"/>
  <c r="BW81" i="14" s="1"/>
  <c r="DZ84" i="14"/>
  <c r="EB84" i="14" s="1"/>
  <c r="CO84" i="14"/>
  <c r="EF86" i="14"/>
  <c r="EH86" i="14" s="1"/>
  <c r="CS86" i="14"/>
  <c r="BQ50" i="2"/>
  <c r="DT50" i="2"/>
  <c r="DV50" i="2" s="1"/>
  <c r="ER19" i="14"/>
  <c r="ET19" i="14" s="1"/>
  <c r="DE27" i="14"/>
  <c r="DG27" i="14" s="1"/>
  <c r="CS44" i="14"/>
  <c r="CX56" i="14"/>
  <c r="CT66" i="14"/>
  <c r="EF72" i="14"/>
  <c r="EH72" i="14" s="1"/>
  <c r="EF76" i="14"/>
  <c r="EH76" i="14" s="1"/>
  <c r="CH81" i="14"/>
  <c r="DZ10" i="14"/>
  <c r="CT15" i="14"/>
  <c r="CP20" i="14"/>
  <c r="CT28" i="14"/>
  <c r="DT37" i="14"/>
  <c r="DV37" i="14" s="1"/>
  <c r="DT42" i="14"/>
  <c r="DV42" i="14" s="1"/>
  <c r="ER44" i="14"/>
  <c r="ET44" i="14" s="1"/>
  <c r="EO47" i="14"/>
  <c r="EQ47" i="14" s="1"/>
  <c r="DI48" i="14"/>
  <c r="EC53" i="14"/>
  <c r="EE53" i="14" s="1"/>
  <c r="DQ54" i="14"/>
  <c r="DS54" i="14" s="1"/>
  <c r="DZ57" i="14"/>
  <c r="EB57" i="14" s="1"/>
  <c r="DA58" i="14"/>
  <c r="DT60" i="14"/>
  <c r="DV60" i="14" s="1"/>
  <c r="DF66" i="14"/>
  <c r="EI67" i="14"/>
  <c r="EK67" i="14" s="1"/>
  <c r="DW71" i="14"/>
  <c r="DY71" i="14" s="1"/>
  <c r="DB72" i="14"/>
  <c r="DJ74" i="14"/>
  <c r="CC74" i="14"/>
  <c r="DA76" i="14"/>
  <c r="EU78" i="14"/>
  <c r="EW78" i="14" s="1"/>
  <c r="DB78" i="14"/>
  <c r="CG78" i="14"/>
  <c r="DN81" i="14"/>
  <c r="DP81" i="14" s="1"/>
  <c r="DW84" i="14"/>
  <c r="DY84" i="14" s="1"/>
  <c r="CL84" i="14"/>
  <c r="EC86" i="14"/>
  <c r="EE86" i="14" s="1"/>
  <c r="CP86" i="14"/>
  <c r="DQ50" i="2"/>
  <c r="DS50" i="2" s="1"/>
  <c r="CC81" i="14"/>
  <c r="DN84" i="14"/>
  <c r="DP84" i="14" s="1"/>
  <c r="DT86" i="14"/>
  <c r="DV86" i="14" s="1"/>
  <c r="DZ50" i="2"/>
  <c r="EB50" i="2" s="1"/>
  <c r="EC46" i="14"/>
  <c r="EE46" i="14" s="1"/>
  <c r="BZ57" i="14"/>
  <c r="ER74" i="14"/>
  <c r="ET74" i="14" s="1"/>
  <c r="DW10" i="14"/>
  <c r="CS15" i="14"/>
  <c r="ER18" i="14"/>
  <c r="ET18" i="14" s="1"/>
  <c r="CO20" i="14"/>
  <c r="CL37" i="14"/>
  <c r="DQ42" i="14"/>
  <c r="DS42" i="14" s="1"/>
  <c r="EO44" i="14"/>
  <c r="EQ44" i="14" s="1"/>
  <c r="EL47" i="14"/>
  <c r="EN47" i="14" s="1"/>
  <c r="DF48" i="14"/>
  <c r="DZ53" i="14"/>
  <c r="EB53" i="14" s="1"/>
  <c r="CK54" i="14"/>
  <c r="EU56" i="14"/>
  <c r="EW56" i="14" s="1"/>
  <c r="DW57" i="14"/>
  <c r="DY57" i="14" s="1"/>
  <c r="CX58" i="14"/>
  <c r="DQ60" i="14"/>
  <c r="DS60" i="14" s="1"/>
  <c r="DE66" i="14"/>
  <c r="DJ67" i="14"/>
  <c r="DT71" i="14"/>
  <c r="DV71" i="14" s="1"/>
  <c r="BY71" i="14"/>
  <c r="CT72" i="14"/>
  <c r="DF74" i="14"/>
  <c r="CG74" i="14"/>
  <c r="EU76" i="14"/>
  <c r="EW76" i="14" s="1"/>
  <c r="CX76" i="14"/>
  <c r="ER78" i="14"/>
  <c r="ET78" i="14" s="1"/>
  <c r="DA78" i="14"/>
  <c r="CK78" i="14"/>
  <c r="DJ81" i="14"/>
  <c r="DT84" i="14"/>
  <c r="DV84" i="14" s="1"/>
  <c r="CK84" i="14"/>
  <c r="DZ86" i="14"/>
  <c r="EB86" i="14" s="1"/>
  <c r="CO86" i="14"/>
  <c r="EO50" i="2"/>
  <c r="EQ50" i="2" s="1"/>
  <c r="CC84" i="14"/>
  <c r="CK86" i="14"/>
  <c r="EL50" i="2"/>
  <c r="EN50" i="2" s="1"/>
  <c r="EF11" i="14"/>
  <c r="EH11" i="14" s="1"/>
  <c r="DJ53" i="14"/>
  <c r="CD60" i="14"/>
  <c r="DT10" i="14"/>
  <c r="CO18" i="14"/>
  <c r="CL20" i="14"/>
  <c r="CK37" i="14"/>
  <c r="CK42" i="14"/>
  <c r="EL44" i="14"/>
  <c r="EN44" i="14" s="1"/>
  <c r="EI47" i="14"/>
  <c r="EK47" i="14" s="1"/>
  <c r="BY48" i="14"/>
  <c r="DW53" i="14"/>
  <c r="DY53" i="14" s="1"/>
  <c r="CG54" i="14"/>
  <c r="EO56" i="14"/>
  <c r="EQ56" i="14" s="1"/>
  <c r="DT57" i="14"/>
  <c r="DV57" i="14" s="1"/>
  <c r="CW58" i="14"/>
  <c r="DN60" i="14"/>
  <c r="DP60" i="14" s="1"/>
  <c r="DB66" i="14"/>
  <c r="DI67" i="14"/>
  <c r="DQ71" i="14"/>
  <c r="DS71" i="14" s="1"/>
  <c r="CC71" i="14"/>
  <c r="CS72" i="14"/>
  <c r="DE74" i="14"/>
  <c r="CK74" i="14"/>
  <c r="ER76" i="14"/>
  <c r="ET76" i="14" s="1"/>
  <c r="CW76" i="14"/>
  <c r="EO78" i="14"/>
  <c r="EQ78" i="14" s="1"/>
  <c r="CX78" i="14"/>
  <c r="DI81" i="14"/>
  <c r="BY81" i="14"/>
  <c r="DQ84" i="14"/>
  <c r="DS84" i="14" s="1"/>
  <c r="CG84" i="14"/>
  <c r="DW86" i="14"/>
  <c r="DY86" i="14" s="1"/>
  <c r="CL86" i="14"/>
  <c r="EC50" i="2"/>
  <c r="EE50" i="2" s="1"/>
  <c r="EO25" i="14"/>
  <c r="EQ25" i="14" s="1"/>
  <c r="BV35" i="14"/>
  <c r="BW35" i="14" s="1"/>
  <c r="DF71" i="14"/>
  <c r="DA10" i="14"/>
  <c r="CL18" i="14"/>
  <c r="EC21" i="14"/>
  <c r="EE21" i="14" s="1"/>
  <c r="CG32" i="14"/>
  <c r="CG37" i="14"/>
  <c r="CG42" i="14"/>
  <c r="EI44" i="14"/>
  <c r="EK44" i="14" s="1"/>
  <c r="DJ47" i="14"/>
  <c r="BV48" i="14"/>
  <c r="BW48" i="14" s="1"/>
  <c r="DT53" i="14"/>
  <c r="DV53" i="14" s="1"/>
  <c r="CC54" i="14"/>
  <c r="DQ56" i="14"/>
  <c r="DS56" i="14" s="1"/>
  <c r="DF57" i="14"/>
  <c r="CT58" i="14"/>
  <c r="CW60" i="14"/>
  <c r="DA66" i="14"/>
  <c r="DF67" i="14"/>
  <c r="DN71" i="14"/>
  <c r="DP71" i="14" s="1"/>
  <c r="CG71" i="14"/>
  <c r="CP72" i="14"/>
  <c r="DB74" i="14"/>
  <c r="EO76" i="14"/>
  <c r="EQ76" i="14" s="1"/>
  <c r="CT76" i="14"/>
  <c r="EL78" i="14"/>
  <c r="EN78" i="14" s="1"/>
  <c r="CW78" i="14"/>
  <c r="DF81" i="14"/>
  <c r="DF13" i="14"/>
  <c r="CP60" i="14"/>
  <c r="DA67" i="14"/>
  <c r="BZ72" i="14"/>
  <c r="CL76" i="14"/>
  <c r="CX10" i="14"/>
  <c r="CK18" i="14"/>
  <c r="CS21" i="14"/>
  <c r="CC32" i="14"/>
  <c r="CE32" i="14" s="1"/>
  <c r="DZ35" i="14"/>
  <c r="EB35" i="14" s="1"/>
  <c r="CC37" i="14"/>
  <c r="CW44" i="14"/>
  <c r="DI47" i="14"/>
  <c r="DQ53" i="14"/>
  <c r="DS53" i="14" s="1"/>
  <c r="BZ54" i="14"/>
  <c r="DE56" i="14"/>
  <c r="DE57" i="14"/>
  <c r="CS58" i="14"/>
  <c r="CT60" i="14"/>
  <c r="CX66" i="14"/>
  <c r="DE67" i="14"/>
  <c r="DJ71" i="14"/>
  <c r="EU72" i="14"/>
  <c r="EW72" i="14" s="1"/>
  <c r="CO72" i="14"/>
  <c r="DA74" i="14"/>
  <c r="EL76" i="14"/>
  <c r="EN76" i="14" s="1"/>
  <c r="CS76" i="14"/>
  <c r="EI78" i="14"/>
  <c r="EK78" i="14" s="1"/>
  <c r="CT78" i="14"/>
  <c r="DE81" i="14"/>
  <c r="CG81" i="14"/>
  <c r="DJ84" i="14"/>
  <c r="BZ84" i="14"/>
  <c r="DQ86" i="14"/>
  <c r="DS86" i="14" s="1"/>
  <c r="CG86" i="14"/>
  <c r="EL38" i="14"/>
  <c r="EN38" i="14" s="1"/>
  <c r="EI55" i="14"/>
  <c r="EK55" i="14" s="1"/>
  <c r="EI11" i="14"/>
  <c r="EK11" i="14" s="1"/>
  <c r="DI13" i="14"/>
  <c r="EU19" i="14"/>
  <c r="EW19" i="14" s="1"/>
  <c r="EF22" i="14"/>
  <c r="EH22" i="14" s="1"/>
  <c r="EU27" i="14"/>
  <c r="EW27" i="14" s="1"/>
  <c r="BZ32" i="14"/>
  <c r="CP35" i="14"/>
  <c r="BZ37" i="14"/>
  <c r="CT44" i="14"/>
  <c r="DF47" i="14"/>
  <c r="DN53" i="14"/>
  <c r="DP53" i="14" s="1"/>
  <c r="EL55" i="14"/>
  <c r="EN55" i="14" s="1"/>
  <c r="DB56" i="14"/>
  <c r="CL57" i="14"/>
  <c r="CP58" i="14"/>
  <c r="CS60" i="14"/>
  <c r="CW66" i="14"/>
  <c r="DB67" i="14"/>
  <c r="DI71" i="14"/>
  <c r="EI72" i="14"/>
  <c r="EK72" i="14" s="1"/>
  <c r="CL72" i="14"/>
  <c r="EU74" i="14"/>
  <c r="EW74" i="14" s="1"/>
  <c r="CX74" i="14"/>
  <c r="EI76" i="14"/>
  <c r="EK76" i="14" s="1"/>
  <c r="CP76" i="14"/>
  <c r="EF78" i="14"/>
  <c r="EH78" i="14" s="1"/>
  <c r="CS78" i="14"/>
  <c r="EU81" i="14"/>
  <c r="EW81" i="14" s="1"/>
  <c r="DB81" i="14"/>
  <c r="CK81" i="14"/>
  <c r="DI84" i="14"/>
  <c r="BY84" i="14"/>
  <c r="DN86" i="14"/>
  <c r="DP86" i="14" s="1"/>
  <c r="CC86" i="14"/>
  <c r="CD56" i="14"/>
  <c r="EC22" i="14"/>
  <c r="EE22" i="14" s="1"/>
  <c r="BY32" i="14"/>
  <c r="DE47" i="14"/>
  <c r="CO58" i="14"/>
  <c r="CW74" i="14"/>
  <c r="DW14" i="14"/>
  <c r="DY14" i="14" s="1"/>
  <c r="EO19" i="14"/>
  <c r="EQ19" i="14" s="1"/>
  <c r="EL25" i="14"/>
  <c r="EN25" i="14" s="1"/>
  <c r="EF36" i="14"/>
  <c r="EH36" i="14" s="1"/>
  <c r="EF41" i="14"/>
  <c r="EH41" i="14" s="1"/>
  <c r="CP44" i="14"/>
  <c r="CK55" i="14"/>
  <c r="EL58" i="14"/>
  <c r="EN58" i="14" s="1"/>
  <c r="EC60" i="14"/>
  <c r="EE60" i="14" s="1"/>
  <c r="ER67" i="14"/>
  <c r="ET67" i="14" s="1"/>
  <c r="BV71" i="14"/>
  <c r="BW71" i="14" s="1"/>
  <c r="CG72" i="14"/>
  <c r="EC74" i="14"/>
  <c r="EE74" i="14" s="1"/>
  <c r="DJ76" i="14"/>
  <c r="DT78" i="14"/>
  <c r="DV78" i="14" s="1"/>
  <c r="CS81" i="14"/>
  <c r="EF84" i="14"/>
  <c r="EH84" i="14" s="1"/>
  <c r="BV86" i="14"/>
  <c r="BW86" i="14" s="1"/>
  <c r="ER50" i="2"/>
  <c r="ET50" i="2" s="1"/>
  <c r="EC84" i="14"/>
  <c r="EE84" i="14" s="1"/>
  <c r="EU86" i="14"/>
  <c r="EW86" i="14" s="1"/>
  <c r="DN50" i="2"/>
  <c r="DP50" i="2" s="1"/>
  <c r="ER81" i="14"/>
  <c r="ET81" i="14" s="1"/>
  <c r="DE84" i="14"/>
  <c r="EI50" i="2"/>
  <c r="EK50" i="2" s="1"/>
  <c r="CP14" i="14"/>
  <c r="EL48" i="14"/>
  <c r="EN48" i="14" s="1"/>
  <c r="EF81" i="14"/>
  <c r="EH81" i="14" s="1"/>
  <c r="EF50" i="2"/>
  <c r="EH50" i="2" s="1"/>
  <c r="CK38" i="14"/>
  <c r="EI57" i="14"/>
  <c r="EK57" i="14" s="1"/>
  <c r="CG67" i="14"/>
  <c r="CT84" i="14"/>
  <c r="DW22" i="14"/>
  <c r="DY22" i="14" s="1"/>
  <c r="DJ72" i="14"/>
  <c r="DE86" i="14"/>
  <c r="DI28" i="14"/>
  <c r="EF55" i="14"/>
  <c r="EH55" i="14" s="1"/>
  <c r="CG76" i="14"/>
  <c r="BV84" i="14"/>
  <c r="BW84" i="14" s="1"/>
  <c r="DE28" i="14"/>
  <c r="CP71" i="14"/>
  <c r="CW22" i="14"/>
  <c r="CD84" i="14"/>
  <c r="DT14" i="14"/>
  <c r="DV14" i="14" s="1"/>
  <c r="DA19" i="14"/>
  <c r="EI25" i="14"/>
  <c r="EK25" i="14" s="1"/>
  <c r="EC36" i="14"/>
  <c r="EE36" i="14" s="1"/>
  <c r="EC41" i="14"/>
  <c r="EE41" i="14" s="1"/>
  <c r="CO44" i="14"/>
  <c r="DB47" i="14"/>
  <c r="CG55" i="14"/>
  <c r="DE58" i="14"/>
  <c r="DZ60" i="14"/>
  <c r="EB60" i="14" s="1"/>
  <c r="EO67" i="14"/>
  <c r="EQ67" i="14" s="1"/>
  <c r="DZ74" i="14"/>
  <c r="EB74" i="14" s="1"/>
  <c r="DI76" i="14"/>
  <c r="DQ78" i="14"/>
  <c r="DS78" i="14" s="1"/>
  <c r="CP81" i="14"/>
  <c r="ER86" i="14"/>
  <c r="ET86" i="14" s="1"/>
  <c r="CL81" i="14"/>
  <c r="BZ81" i="14"/>
  <c r="EL86" i="14"/>
  <c r="EN86" i="14" s="1"/>
  <c r="EI81" i="14"/>
  <c r="EK81" i="14" s="1"/>
  <c r="EL57" i="14"/>
  <c r="EN57" i="14" s="1"/>
  <c r="DI11" i="14"/>
  <c r="DF46" i="14"/>
  <c r="CG38" i="14"/>
  <c r="EU71" i="14"/>
  <c r="EW71" i="14" s="1"/>
  <c r="BZ78" i="14"/>
  <c r="CS84" i="14"/>
  <c r="CS66" i="14"/>
  <c r="DT81" i="14"/>
  <c r="DV81" i="14" s="1"/>
  <c r="EU50" i="2"/>
  <c r="EW50" i="2" s="1"/>
  <c r="EL39" i="14"/>
  <c r="EN39" i="14" s="1"/>
  <c r="CK57" i="14"/>
  <c r="EO74" i="14"/>
  <c r="EQ74" i="14" s="1"/>
  <c r="CX86" i="14"/>
  <c r="DQ14" i="14"/>
  <c r="DS14" i="14" s="1"/>
  <c r="CX19" i="14"/>
  <c r="EF25" i="14"/>
  <c r="EH25" i="14" s="1"/>
  <c r="DZ36" i="14"/>
  <c r="EB36" i="14" s="1"/>
  <c r="EO42" i="14"/>
  <c r="EQ42" i="14" s="1"/>
  <c r="CL44" i="14"/>
  <c r="DA47" i="14"/>
  <c r="DI53" i="14"/>
  <c r="CW56" i="14"/>
  <c r="CO60" i="14"/>
  <c r="CX67" i="14"/>
  <c r="DW74" i="14"/>
  <c r="DY74" i="14" s="1"/>
  <c r="DF76" i="14"/>
  <c r="DN78" i="14"/>
  <c r="DP78" i="14" s="1"/>
  <c r="CO81" i="14"/>
  <c r="DF84" i="14"/>
  <c r="DI78" i="14"/>
  <c r="EO81" i="14"/>
  <c r="EQ81" i="14" s="1"/>
  <c r="EL81" i="14"/>
  <c r="EN81" i="14" s="1"/>
  <c r="DA84" i="14"/>
  <c r="DJ86" i="14"/>
  <c r="CT20" i="14"/>
  <c r="EC54" i="14"/>
  <c r="EE54" i="14" s="1"/>
  <c r="EL66" i="14"/>
  <c r="EN66" i="14" s="1"/>
  <c r="DN72" i="14"/>
  <c r="DP72" i="14" s="1"/>
  <c r="EC81" i="14"/>
  <c r="EE81" i="14" s="1"/>
  <c r="DW54" i="14"/>
  <c r="DY54" i="14" s="1"/>
  <c r="CK67" i="14"/>
  <c r="BZ74" i="14"/>
  <c r="DT22" i="14"/>
  <c r="DV22" i="14" s="1"/>
  <c r="BV74" i="14"/>
  <c r="BW74" i="14" s="1"/>
  <c r="DW81" i="14"/>
  <c r="DY81" i="14" s="1"/>
  <c r="EO39" i="14"/>
  <c r="EQ39" i="14" s="1"/>
  <c r="BV72" i="14"/>
  <c r="BW72" i="14" s="1"/>
  <c r="DA86" i="14"/>
  <c r="CX46" i="14"/>
  <c r="DA81" i="14"/>
  <c r="DW50" i="2"/>
  <c r="DY50" i="2" s="1"/>
  <c r="DN14" i="14"/>
  <c r="DP14" i="14" s="1"/>
  <c r="CW19" i="14"/>
  <c r="EC25" i="14"/>
  <c r="EE25" i="14" s="1"/>
  <c r="DW36" i="14"/>
  <c r="DY36" i="14" s="1"/>
  <c r="EL42" i="14"/>
  <c r="EN42" i="14" s="1"/>
  <c r="BZ53" i="14"/>
  <c r="CT56" i="14"/>
  <c r="CL60" i="14"/>
  <c r="CW67" i="14"/>
  <c r="EC72" i="14"/>
  <c r="EE72" i="14" s="1"/>
  <c r="DT74" i="14"/>
  <c r="DV74" i="14" s="1"/>
  <c r="DE76" i="14"/>
  <c r="DJ78" i="14"/>
  <c r="EO86" i="14"/>
  <c r="EQ86" i="14" s="1"/>
  <c r="CC67" i="14"/>
  <c r="CW84" i="14"/>
  <c r="DN48" i="14"/>
  <c r="DP48" i="14" s="1"/>
  <c r="CL74" i="14"/>
  <c r="EF66" i="14"/>
  <c r="EH66" i="14" s="1"/>
  <c r="CC76" i="14"/>
  <c r="CH60" i="14"/>
  <c r="DB46" i="14"/>
  <c r="DB86" i="14"/>
  <c r="DF28" i="14"/>
  <c r="EC55" i="14"/>
  <c r="EE55" i="14" s="1"/>
  <c r="BY11" i="14"/>
  <c r="CW46" i="14"/>
  <c r="CH25" i="14"/>
  <c r="DJ14" i="14"/>
  <c r="DA20" i="14"/>
  <c r="CS25" i="14"/>
  <c r="DT36" i="14"/>
  <c r="DV36" i="14" s="1"/>
  <c r="EI42" i="14"/>
  <c r="EK42" i="14" s="1"/>
  <c r="EU48" i="14"/>
  <c r="EW48" i="14" s="1"/>
  <c r="BY53" i="14"/>
  <c r="CS56" i="14"/>
  <c r="BZ60" i="14"/>
  <c r="EU66" i="14"/>
  <c r="EW66" i="14" s="1"/>
  <c r="CT67" i="14"/>
  <c r="DZ72" i="14"/>
  <c r="EB72" i="14" s="1"/>
  <c r="CT74" i="14"/>
  <c r="BV76" i="14"/>
  <c r="BW76" i="14" s="1"/>
  <c r="DB84" i="14"/>
  <c r="CX84" i="14"/>
  <c r="DQ72" i="14"/>
  <c r="DS72" i="14" s="1"/>
  <c r="DI86" i="14"/>
  <c r="DB27" i="14"/>
  <c r="DZ54" i="14"/>
  <c r="EB54" i="14" s="1"/>
  <c r="BY76" i="14"/>
  <c r="DF86" i="14"/>
  <c r="EF28" i="14"/>
  <c r="EH28" i="14" s="1"/>
  <c r="DZ81" i="14"/>
  <c r="EB81" i="14" s="1"/>
  <c r="CC38" i="14"/>
  <c r="CE38" i="14" s="1"/>
  <c r="DE71" i="14"/>
  <c r="BZ11" i="14"/>
  <c r="DA46" i="14"/>
  <c r="BY66" i="14"/>
  <c r="CK76" i="14"/>
  <c r="EU84" i="14"/>
  <c r="EW84" i="14" s="1"/>
  <c r="CX22" i="14"/>
  <c r="DZ55" i="14"/>
  <c r="EB55" i="14" s="1"/>
  <c r="EC76" i="14"/>
  <c r="EE76" i="14" s="1"/>
  <c r="ER84" i="14"/>
  <c r="ET84" i="14" s="1"/>
  <c r="CT14" i="14"/>
  <c r="CX20" i="14"/>
  <c r="CP25" i="14"/>
  <c r="DQ36" i="14"/>
  <c r="DS36" i="14" s="1"/>
  <c r="EF42" i="14"/>
  <c r="EH42" i="14" s="1"/>
  <c r="ER48" i="14"/>
  <c r="ET48" i="14" s="1"/>
  <c r="EI54" i="14"/>
  <c r="EK54" i="14" s="1"/>
  <c r="CP56" i="14"/>
  <c r="BV60" i="14"/>
  <c r="BW60" i="14" s="1"/>
  <c r="ER66" i="14"/>
  <c r="ET66" i="14" s="1"/>
  <c r="DW72" i="14"/>
  <c r="DY72" i="14" s="1"/>
  <c r="CS74" i="14"/>
  <c r="DF78" i="14"/>
  <c r="EI86" i="14"/>
  <c r="EK86" i="14" s="1"/>
  <c r="CP78" i="14"/>
  <c r="DZ37" i="14"/>
  <c r="EB37" i="14" s="1"/>
  <c r="CO74" i="14"/>
  <c r="BV32" i="14"/>
  <c r="BW32" i="14" s="1"/>
  <c r="CL78" i="14"/>
  <c r="DF11" i="14"/>
  <c r="DE46" i="14"/>
  <c r="DE11" i="14"/>
  <c r="DI72" i="14"/>
  <c r="CC66" i="14"/>
  <c r="CX39" i="14"/>
  <c r="CS14" i="14"/>
  <c r="CW20" i="14"/>
  <c r="CO25" i="14"/>
  <c r="DN36" i="14"/>
  <c r="DP36" i="14" s="1"/>
  <c r="EC42" i="14"/>
  <c r="EE42" i="14" s="1"/>
  <c r="EO48" i="14"/>
  <c r="EQ48" i="14" s="1"/>
  <c r="EF54" i="14"/>
  <c r="EH54" i="14" s="1"/>
  <c r="CO56" i="14"/>
  <c r="EO66" i="14"/>
  <c r="EQ66" i="14" s="1"/>
  <c r="BY67" i="14"/>
  <c r="DT72" i="14"/>
  <c r="DV72" i="14" s="1"/>
  <c r="CP74" i="14"/>
  <c r="CL25" i="14"/>
  <c r="DZ42" i="14"/>
  <c r="EB42" i="14" s="1"/>
  <c r="CO78" i="14"/>
  <c r="DZ22" i="14"/>
  <c r="EB22" i="14" s="1"/>
  <c r="EI66" i="14"/>
  <c r="EK66" i="14" s="1"/>
  <c r="EF57" i="14"/>
  <c r="EH57" i="14" s="1"/>
  <c r="CC57" i="14"/>
  <c r="BV78" i="14"/>
  <c r="BW78" i="14" s="1"/>
  <c r="CP84" i="14"/>
  <c r="DA22" i="14"/>
  <c r="CG57" i="14"/>
  <c r="DB71" i="14"/>
  <c r="DB28" i="14"/>
  <c r="CH76" i="14"/>
  <c r="CT46" i="14"/>
  <c r="EI74" i="14"/>
  <c r="EK74" i="14" s="1"/>
  <c r="DZ78" i="14"/>
  <c r="EB78" i="14" s="1"/>
  <c r="CT86" i="14"/>
  <c r="BZ86" i="14"/>
  <c r="CA86" i="14" s="1"/>
  <c r="EF60" i="14"/>
  <c r="EH60" i="14" s="1"/>
  <c r="EL84" i="14"/>
  <c r="EN84" i="14" s="1"/>
  <c r="CO55" i="14"/>
  <c r="CG66" i="14"/>
  <c r="EO58" i="14"/>
  <c r="EQ58" i="14" s="1"/>
  <c r="CS46" i="14"/>
  <c r="EL60" i="14"/>
  <c r="EN60" i="14" s="1"/>
  <c r="EF74" i="14"/>
  <c r="EH74" i="14" s="1"/>
  <c r="DW78" i="14"/>
  <c r="DY78" i="14" s="1"/>
  <c r="DQ23" i="14"/>
  <c r="DS23" i="14" s="1"/>
  <c r="CX28" i="14"/>
  <c r="CW86" i="14"/>
  <c r="EI60" i="14"/>
  <c r="EK60" i="14" s="1"/>
  <c r="CX23" i="14"/>
  <c r="EI84" i="14"/>
  <c r="EK84" i="14" s="1"/>
  <c r="ER58" i="14"/>
  <c r="ET58" i="14" s="1"/>
  <c r="BY78" i="14"/>
  <c r="EO84" i="14"/>
  <c r="EQ84" i="14" s="1"/>
  <c r="DQ76" i="14"/>
  <c r="DS76" i="14" s="1"/>
  <c r="DN76" i="14"/>
  <c r="DP76" i="14" s="1"/>
  <c r="CW39" i="14"/>
  <c r="CW81" i="14"/>
  <c r="EL74" i="14"/>
  <c r="EN74" i="14" s="1"/>
  <c r="DW76" i="14"/>
  <c r="DY76" i="14" s="1"/>
  <c r="DA28" i="14"/>
  <c r="BZ71" i="14"/>
  <c r="CP55" i="14"/>
  <c r="BY72" i="14"/>
  <c r="CK66" i="14"/>
  <c r="EU67" i="14"/>
  <c r="EW67" i="14" s="1"/>
  <c r="CL71" i="14"/>
  <c r="CT39" i="14"/>
  <c r="EC78" i="14"/>
  <c r="EE78" i="14" s="1"/>
  <c r="CO71" i="14"/>
  <c r="CL55" i="14"/>
  <c r="EU58" i="14"/>
  <c r="EW58" i="14" s="1"/>
  <c r="CX81" i="14"/>
  <c r="CT81" i="14"/>
  <c r="Z58" i="2"/>
  <c r="CP58" i="2" s="1"/>
  <c r="CQ58" i="2" s="1"/>
  <c r="Z56" i="2"/>
  <c r="CP56" i="2" s="1"/>
  <c r="CQ56" i="2" s="1"/>
  <c r="CP10" i="2"/>
  <c r="CP15" i="2"/>
  <c r="CQ15" i="2" s="1"/>
  <c r="Z49" i="2"/>
  <c r="CP49" i="2" s="1"/>
  <c r="CQ49" i="2" s="1"/>
  <c r="Z35" i="2"/>
  <c r="CP35" i="2" s="1"/>
  <c r="CQ35" i="2" s="1"/>
  <c r="Z48" i="2"/>
  <c r="CP48" i="2" s="1"/>
  <c r="CQ48" i="2" s="1"/>
  <c r="Z27" i="2"/>
  <c r="CP27" i="2" s="1"/>
  <c r="CQ27" i="2" s="1"/>
  <c r="Z55" i="2"/>
  <c r="CP55" i="2" s="1"/>
  <c r="CQ55" i="2" s="1"/>
  <c r="Z40" i="2"/>
  <c r="CP40" i="2" s="1"/>
  <c r="CQ40" i="2" s="1"/>
  <c r="Z24" i="2"/>
  <c r="CP24" i="2" s="1"/>
  <c r="CQ24" i="2" s="1"/>
  <c r="Z47" i="2"/>
  <c r="CP47" i="2" s="1"/>
  <c r="CQ47" i="2" s="1"/>
  <c r="Z42" i="2"/>
  <c r="CP42" i="2" s="1"/>
  <c r="CQ42" i="2" s="1"/>
  <c r="Z36" i="2"/>
  <c r="CP36" i="2" s="1"/>
  <c r="CQ36" i="2" s="1"/>
  <c r="Z29" i="2"/>
  <c r="CP29" i="2" s="1"/>
  <c r="CQ29" i="2" s="1"/>
  <c r="Z26" i="2"/>
  <c r="CP26" i="2" s="1"/>
  <c r="CQ26" i="2" s="1"/>
  <c r="Z23" i="2"/>
  <c r="CP23" i="2" s="1"/>
  <c r="CQ23" i="2" s="1"/>
  <c r="Z52" i="2"/>
  <c r="CP52" i="2" s="1"/>
  <c r="CQ52" i="2" s="1"/>
  <c r="Z32" i="2"/>
  <c r="CP32" i="2" s="1"/>
  <c r="CQ32" i="2" s="1"/>
  <c r="Z39" i="2"/>
  <c r="CP39" i="2" s="1"/>
  <c r="CQ39" i="2" s="1"/>
  <c r="Z53" i="2"/>
  <c r="CP53" i="2" s="1"/>
  <c r="CQ53" i="2" s="1"/>
  <c r="Z28" i="2"/>
  <c r="CP28" i="2" s="1"/>
  <c r="CQ28" i="2" s="1"/>
  <c r="Z17" i="2"/>
  <c r="CP17" i="2" s="1"/>
  <c r="CQ17" i="2" s="1"/>
  <c r="Z25" i="2"/>
  <c r="CP25" i="2" s="1"/>
  <c r="CQ25" i="2" s="1"/>
  <c r="Z18" i="2"/>
  <c r="CP18" i="2" s="1"/>
  <c r="CQ18" i="2" s="1"/>
  <c r="Z45" i="2"/>
  <c r="CP45" i="2" s="1"/>
  <c r="CQ45" i="2" s="1"/>
  <c r="Z31" i="2"/>
  <c r="CP31" i="2" s="1"/>
  <c r="CQ31" i="2" s="1"/>
  <c r="BQ56" i="2"/>
  <c r="BQ27" i="2"/>
  <c r="BQ39" i="2"/>
  <c r="BQ47" i="2"/>
  <c r="BQ53" i="2"/>
  <c r="BQ35" i="2"/>
  <c r="BQ36" i="2"/>
  <c r="BQ42" i="2"/>
  <c r="BQ23" i="2"/>
  <c r="BQ48" i="2"/>
  <c r="BQ29" i="2"/>
  <c r="BQ26" i="2"/>
  <c r="BQ25" i="2"/>
  <c r="BQ55" i="2"/>
  <c r="BQ49" i="2"/>
  <c r="BQ31" i="2"/>
  <c r="BQ32" i="2"/>
  <c r="BQ52" i="2"/>
  <c r="BQ28" i="2"/>
  <c r="BQ24" i="2"/>
  <c r="EI28" i="2"/>
  <c r="EK28" i="2" s="1"/>
  <c r="EC31" i="2"/>
  <c r="EE31" i="2" s="1"/>
  <c r="EC18" i="2"/>
  <c r="EE18" i="2" s="1"/>
  <c r="ER25" i="2"/>
  <c r="ET25" i="2" s="1"/>
  <c r="EC10" i="2"/>
  <c r="EE10" i="2" s="1"/>
  <c r="DW26" i="2"/>
  <c r="DY26" i="2" s="1"/>
  <c r="DQ31" i="2"/>
  <c r="DS31" i="2" s="1"/>
  <c r="DN17" i="2"/>
  <c r="DP17" i="2" s="1"/>
  <c r="DB10" i="2"/>
  <c r="EI26" i="2"/>
  <c r="EK26" i="2" s="1"/>
  <c r="EC17" i="2"/>
  <c r="EE17" i="2" s="1"/>
  <c r="EL32" i="2"/>
  <c r="EN32" i="2" s="1"/>
  <c r="ER23" i="2"/>
  <c r="ET23" i="2" s="1"/>
  <c r="EF26" i="2"/>
  <c r="EH26" i="2" s="1"/>
  <c r="EF15" i="2"/>
  <c r="EH15" i="2" s="1"/>
  <c r="DZ17" i="2"/>
  <c r="EB17" i="2" s="1"/>
  <c r="EO32" i="2"/>
  <c r="EQ32" i="2" s="1"/>
  <c r="EU23" i="2"/>
  <c r="EW23" i="2" s="1"/>
  <c r="DT25" i="2"/>
  <c r="DV25" i="2" s="1"/>
  <c r="DQ15" i="2"/>
  <c r="DS15" i="2" s="1"/>
  <c r="DJ10" i="2"/>
  <c r="EI15" i="2"/>
  <c r="EK15" i="2" s="1"/>
  <c r="BQ10" i="2"/>
  <c r="EF25" i="2"/>
  <c r="EH25" i="2" s="1"/>
  <c r="DZ28" i="2"/>
  <c r="EB28" i="2" s="1"/>
  <c r="EO31" i="2"/>
  <c r="EQ31" i="2" s="1"/>
  <c r="EO18" i="2"/>
  <c r="EQ18" i="2" s="1"/>
  <c r="DW18" i="2"/>
  <c r="DY18" i="2" s="1"/>
  <c r="DT23" i="2"/>
  <c r="DV23" i="2" s="1"/>
  <c r="DN28" i="2"/>
  <c r="DP28" i="2" s="1"/>
  <c r="EI25" i="2"/>
  <c r="EK25" i="2" s="1"/>
  <c r="EC28" i="2"/>
  <c r="EE28" i="2" s="1"/>
  <c r="EL31" i="2"/>
  <c r="EN31" i="2" s="1"/>
  <c r="EL18" i="2"/>
  <c r="EN18" i="2" s="1"/>
  <c r="DW17" i="2"/>
  <c r="DY17" i="2" s="1"/>
  <c r="DW23" i="2"/>
  <c r="DY23" i="2" s="1"/>
  <c r="DQ28" i="2"/>
  <c r="DS28" i="2" s="1"/>
  <c r="EF23" i="2"/>
  <c r="EH23" i="2" s="1"/>
  <c r="DZ26" i="2"/>
  <c r="EB26" i="2" s="1"/>
  <c r="DZ15" i="2"/>
  <c r="EB15" i="2" s="1"/>
  <c r="EO17" i="2"/>
  <c r="EQ17" i="2" s="1"/>
  <c r="EU32" i="2"/>
  <c r="EW32" i="2" s="1"/>
  <c r="EI23" i="2"/>
  <c r="EK23" i="2" s="1"/>
  <c r="EC26" i="2"/>
  <c r="EE26" i="2" s="1"/>
  <c r="EC15" i="2"/>
  <c r="EE15" i="2" s="1"/>
  <c r="EL17" i="2"/>
  <c r="EN17" i="2" s="1"/>
  <c r="ER32" i="2"/>
  <c r="ET32" i="2" s="1"/>
  <c r="DW15" i="2"/>
  <c r="DY15" i="2" s="1"/>
  <c r="DQ26" i="2"/>
  <c r="DS26" i="2" s="1"/>
  <c r="DQ10" i="2"/>
  <c r="DS10" i="2" s="1"/>
  <c r="CD10" i="2"/>
  <c r="DQ18" i="2"/>
  <c r="DS18" i="2" s="1"/>
  <c r="DZ25" i="2"/>
  <c r="EB25" i="2" s="1"/>
  <c r="EO28" i="2"/>
  <c r="EQ28" i="2" s="1"/>
  <c r="EU31" i="2"/>
  <c r="EW31" i="2" s="1"/>
  <c r="EU18" i="2"/>
  <c r="EW18" i="2" s="1"/>
  <c r="DT32" i="2"/>
  <c r="DV32" i="2" s="1"/>
  <c r="DN25" i="2"/>
  <c r="DP25" i="2" s="1"/>
  <c r="CW10" i="2"/>
  <c r="CH10" i="2"/>
  <c r="EC25" i="2"/>
  <c r="EE25" i="2" s="1"/>
  <c r="EL28" i="2"/>
  <c r="EN28" i="2" s="1"/>
  <c r="ER31" i="2"/>
  <c r="ET31" i="2" s="1"/>
  <c r="ER18" i="2"/>
  <c r="ET18" i="2" s="1"/>
  <c r="DW32" i="2"/>
  <c r="DY32" i="2" s="1"/>
  <c r="DQ25" i="2"/>
  <c r="DS25" i="2" s="1"/>
  <c r="DE10" i="2"/>
  <c r="BR10" i="2"/>
  <c r="EF18" i="2"/>
  <c r="EH18" i="2" s="1"/>
  <c r="EL10" i="2"/>
  <c r="EN10" i="2" s="1"/>
  <c r="EF32" i="2"/>
  <c r="EH32" i="2" s="1"/>
  <c r="DZ23" i="2"/>
  <c r="EB23" i="2" s="1"/>
  <c r="EO26" i="2"/>
  <c r="EQ26" i="2" s="1"/>
  <c r="EO15" i="2"/>
  <c r="EQ15" i="2" s="1"/>
  <c r="EU17" i="2"/>
  <c r="EW17" i="2" s="1"/>
  <c r="ER10" i="2"/>
  <c r="ET10" i="2" s="1"/>
  <c r="DT31" i="2"/>
  <c r="DV31" i="2" s="1"/>
  <c r="DT10" i="2"/>
  <c r="DV10" i="2" s="1"/>
  <c r="DN23" i="2"/>
  <c r="DP23" i="2" s="1"/>
  <c r="BU10" i="2"/>
  <c r="EO25" i="2"/>
  <c r="EQ25" i="2" s="1"/>
  <c r="EI32" i="2"/>
  <c r="EK32" i="2" s="1"/>
  <c r="EC23" i="2"/>
  <c r="EE23" i="2" s="1"/>
  <c r="EL26" i="2"/>
  <c r="EN26" i="2" s="1"/>
  <c r="EL15" i="2"/>
  <c r="EN15" i="2" s="1"/>
  <c r="ER17" i="2"/>
  <c r="ET17" i="2" s="1"/>
  <c r="EU10" i="2"/>
  <c r="EW10" i="2" s="1"/>
  <c r="DW31" i="2"/>
  <c r="DY31" i="2" s="1"/>
  <c r="DW10" i="2"/>
  <c r="DY10" i="2" s="1"/>
  <c r="DQ23" i="2"/>
  <c r="DS23" i="2" s="1"/>
  <c r="EF31" i="2"/>
  <c r="EH31" i="2" s="1"/>
  <c r="EU28" i="2"/>
  <c r="EW28" i="2" s="1"/>
  <c r="EI31" i="2"/>
  <c r="EK31" i="2" s="1"/>
  <c r="EI18" i="2"/>
  <c r="EK18" i="2" s="1"/>
  <c r="EL25" i="2"/>
  <c r="EN25" i="2" s="1"/>
  <c r="ER28" i="2"/>
  <c r="ET28" i="2" s="1"/>
  <c r="EO10" i="2"/>
  <c r="EQ10" i="2" s="1"/>
  <c r="DT18" i="2"/>
  <c r="DV18" i="2" s="1"/>
  <c r="EF17" i="2"/>
  <c r="EH17" i="2" s="1"/>
  <c r="DZ32" i="2"/>
  <c r="EB32" i="2" s="1"/>
  <c r="EO23" i="2"/>
  <c r="EQ23" i="2" s="1"/>
  <c r="EU26" i="2"/>
  <c r="EW26" i="2" s="1"/>
  <c r="EU15" i="2"/>
  <c r="EW15" i="2" s="1"/>
  <c r="EF10" i="2"/>
  <c r="EH10" i="2" s="1"/>
  <c r="DT28" i="2"/>
  <c r="DV28" i="2" s="1"/>
  <c r="DQ17" i="2"/>
  <c r="DS17" i="2" s="1"/>
  <c r="DN32" i="2"/>
  <c r="DP32" i="2" s="1"/>
  <c r="EI17" i="2"/>
  <c r="EK17" i="2" s="1"/>
  <c r="EC32" i="2"/>
  <c r="EE32" i="2" s="1"/>
  <c r="EL23" i="2"/>
  <c r="EN23" i="2" s="1"/>
  <c r="ER26" i="2"/>
  <c r="ET26" i="2" s="1"/>
  <c r="ER15" i="2"/>
  <c r="ET15" i="2" s="1"/>
  <c r="EF28" i="2"/>
  <c r="EH28" i="2" s="1"/>
  <c r="DZ31" i="2"/>
  <c r="EB31" i="2" s="1"/>
  <c r="DZ18" i="2"/>
  <c r="EB18" i="2" s="1"/>
  <c r="EU25" i="2"/>
  <c r="EW25" i="2" s="1"/>
  <c r="DZ10" i="2"/>
  <c r="EB10" i="2" s="1"/>
  <c r="DT26" i="2"/>
  <c r="DV26" i="2" s="1"/>
  <c r="DN31" i="2"/>
  <c r="DP31" i="2" s="1"/>
  <c r="DN18" i="2"/>
  <c r="DP18" i="2" s="1"/>
  <c r="DF10" i="2"/>
  <c r="DN10" i="2"/>
  <c r="DP10" i="2" s="1"/>
  <c r="CL10" i="2"/>
  <c r="EI10" i="2"/>
  <c r="EK10" i="2" s="1"/>
  <c r="DA10" i="2"/>
  <c r="DW28" i="2"/>
  <c r="DY28" i="2" s="1"/>
  <c r="CX10" i="2"/>
  <c r="DW25" i="2"/>
  <c r="DY25" i="2" s="1"/>
  <c r="CT10" i="2"/>
  <c r="DI10" i="2"/>
  <c r="CO10" i="2"/>
  <c r="DT17" i="2"/>
  <c r="DV17" i="2" s="1"/>
  <c r="CG10" i="2"/>
  <c r="BZ10" i="2"/>
  <c r="CC10" i="2"/>
  <c r="DT15" i="2"/>
  <c r="DV15" i="2" s="1"/>
  <c r="CS10" i="2"/>
  <c r="CK10" i="2"/>
  <c r="DQ32" i="2"/>
  <c r="DS32" i="2" s="1"/>
  <c r="BV10" i="2"/>
  <c r="DN26" i="2"/>
  <c r="DP26" i="2" s="1"/>
  <c r="BY10" i="2"/>
  <c r="DN15" i="2"/>
  <c r="DP15" i="2" s="1"/>
  <c r="CQ112" i="14" l="1"/>
  <c r="CM107" i="14"/>
  <c r="DC104" i="14"/>
  <c r="DG91" i="14"/>
  <c r="CI66" i="14"/>
  <c r="CY36" i="14"/>
  <c r="DG113" i="14"/>
  <c r="DC90" i="14"/>
  <c r="CE74" i="14"/>
  <c r="CI78" i="14"/>
  <c r="DG111" i="14"/>
  <c r="DC113" i="14"/>
  <c r="CM95" i="14"/>
  <c r="CE88" i="14"/>
  <c r="CE93" i="14"/>
  <c r="CQ109" i="14"/>
  <c r="CM102" i="14"/>
  <c r="CI105" i="14"/>
  <c r="CE57" i="14"/>
  <c r="CE76" i="14"/>
  <c r="CI112" i="14"/>
  <c r="CQ95" i="14"/>
  <c r="CY88" i="14"/>
  <c r="DC22" i="14"/>
  <c r="CE100" i="14"/>
  <c r="CQ32" i="14"/>
  <c r="CU114" i="14"/>
  <c r="CE78" i="14"/>
  <c r="CY113" i="14"/>
  <c r="DC106" i="14"/>
  <c r="DC89" i="14"/>
  <c r="DG90" i="14"/>
  <c r="CM91" i="14"/>
  <c r="CE55" i="14"/>
  <c r="CQ115" i="14"/>
  <c r="DC38" i="14"/>
  <c r="CY101" i="14"/>
  <c r="CM105" i="14"/>
  <c r="CE11" i="14"/>
  <c r="CU25" i="14"/>
  <c r="CU109" i="14"/>
  <c r="DC110" i="14"/>
  <c r="CY14" i="14"/>
  <c r="CE109" i="14"/>
  <c r="CQ94" i="14"/>
  <c r="CQ88" i="14"/>
  <c r="CI81" i="14"/>
  <c r="CI110" i="14"/>
  <c r="CU84" i="14"/>
  <c r="DG19" i="14"/>
  <c r="CM58" i="14"/>
  <c r="CQ48" i="14"/>
  <c r="DK106" i="14"/>
  <c r="CI114" i="14"/>
  <c r="DC76" i="14"/>
  <c r="CI58" i="14"/>
  <c r="CA76" i="14"/>
  <c r="DK110" i="14"/>
  <c r="CQ36" i="14"/>
  <c r="CY15" i="14"/>
  <c r="DC39" i="14"/>
  <c r="CE108" i="14"/>
  <c r="CQ114" i="14"/>
  <c r="CM56" i="14"/>
  <c r="DC23" i="14"/>
  <c r="CQ89" i="14"/>
  <c r="CM57" i="14"/>
  <c r="DC114" i="14"/>
  <c r="DK100" i="14"/>
  <c r="CU95" i="14"/>
  <c r="CI39" i="14"/>
  <c r="CI57" i="14"/>
  <c r="CE87" i="14"/>
  <c r="CI92" i="14"/>
  <c r="CY95" i="14"/>
  <c r="CY110" i="14"/>
  <c r="CY105" i="14"/>
  <c r="CA89" i="14"/>
  <c r="DK95" i="14"/>
  <c r="DG87" i="14"/>
  <c r="DC101" i="14"/>
  <c r="DG101" i="14"/>
  <c r="CU91" i="14"/>
  <c r="CQ106" i="14"/>
  <c r="CQ91" i="14"/>
  <c r="CI100" i="14"/>
  <c r="CM87" i="14"/>
  <c r="DK114" i="14"/>
  <c r="CY93" i="14"/>
  <c r="CM106" i="14"/>
  <c r="CA110" i="14"/>
  <c r="CY91" i="14"/>
  <c r="CA102" i="14"/>
  <c r="CI104" i="14"/>
  <c r="CI87" i="14"/>
  <c r="CI107" i="14"/>
  <c r="DG104" i="14"/>
  <c r="CU93" i="14"/>
  <c r="DC111" i="14"/>
  <c r="CQ105" i="14"/>
  <c r="CA113" i="14"/>
  <c r="CU90" i="14"/>
  <c r="CE94" i="14"/>
  <c r="DK101" i="14"/>
  <c r="CU108" i="14"/>
  <c r="CQ87" i="14"/>
  <c r="DG102" i="14"/>
  <c r="DK108" i="14"/>
  <c r="CE89" i="14"/>
  <c r="CQ101" i="14"/>
  <c r="DK104" i="14"/>
  <c r="CI94" i="14"/>
  <c r="CE101" i="14"/>
  <c r="DC87" i="14"/>
  <c r="DK113" i="14"/>
  <c r="DK90" i="14"/>
  <c r="CE90" i="14"/>
  <c r="DG106" i="14"/>
  <c r="DG36" i="14"/>
  <c r="DC108" i="14"/>
  <c r="CM110" i="14"/>
  <c r="CA95" i="14"/>
  <c r="DC115" i="14"/>
  <c r="CA88" i="14"/>
  <c r="CA93" i="14"/>
  <c r="DK93" i="14"/>
  <c r="CY108" i="14"/>
  <c r="CA90" i="14"/>
  <c r="DK87" i="14"/>
  <c r="CU104" i="14"/>
  <c r="CM93" i="14"/>
  <c r="CA111" i="14"/>
  <c r="CY107" i="14"/>
  <c r="CQ108" i="14"/>
  <c r="CU100" i="14"/>
  <c r="CM111" i="14"/>
  <c r="CU112" i="14"/>
  <c r="CY114" i="14"/>
  <c r="CI115" i="14"/>
  <c r="CU89" i="14"/>
  <c r="DG110" i="14"/>
  <c r="CU106" i="14"/>
  <c r="DG95" i="14"/>
  <c r="CE91" i="14"/>
  <c r="CE113" i="14"/>
  <c r="CQ113" i="14"/>
  <c r="DK111" i="14"/>
  <c r="DC95" i="14"/>
  <c r="CU88" i="14"/>
  <c r="DK94" i="14"/>
  <c r="DK107" i="14"/>
  <c r="DC92" i="14"/>
  <c r="CY87" i="14"/>
  <c r="DG94" i="14"/>
  <c r="CY92" i="14"/>
  <c r="CE92" i="14"/>
  <c r="DK105" i="14"/>
  <c r="DG93" i="14"/>
  <c r="DG89" i="14"/>
  <c r="CE107" i="14"/>
  <c r="CM90" i="14"/>
  <c r="CI89" i="14"/>
  <c r="CY104" i="14"/>
  <c r="CY100" i="14"/>
  <c r="DG112" i="14"/>
  <c r="CE111" i="14"/>
  <c r="DG114" i="14"/>
  <c r="CA109" i="14"/>
  <c r="CA115" i="14"/>
  <c r="DK92" i="14"/>
  <c r="CA104" i="14"/>
  <c r="CY102" i="14"/>
  <c r="CE53" i="14"/>
  <c r="CM100" i="14"/>
  <c r="CQ93" i="14"/>
  <c r="CM113" i="14"/>
  <c r="CM108" i="14"/>
  <c r="CQ90" i="14"/>
  <c r="CE102" i="14"/>
  <c r="DG108" i="14"/>
  <c r="DC100" i="14"/>
  <c r="CA114" i="14"/>
  <c r="CI106" i="14"/>
  <c r="DG109" i="14"/>
  <c r="CY109" i="14"/>
  <c r="DK89" i="14"/>
  <c r="CQ110" i="14"/>
  <c r="CE105" i="14"/>
  <c r="CM104" i="14"/>
  <c r="CY111" i="14"/>
  <c r="CY90" i="14"/>
  <c r="CI91" i="14"/>
  <c r="CM88" i="14"/>
  <c r="DC112" i="14"/>
  <c r="CI95" i="14"/>
  <c r="CM109" i="14"/>
  <c r="CM115" i="14"/>
  <c r="DG105" i="14"/>
  <c r="DC91" i="14"/>
  <c r="CY112" i="14"/>
  <c r="DC109" i="14"/>
  <c r="DG92" i="14"/>
  <c r="DG107" i="14"/>
  <c r="CE114" i="14"/>
  <c r="CI101" i="14"/>
  <c r="CI109" i="14"/>
  <c r="DG115" i="14"/>
  <c r="CE104" i="14"/>
  <c r="CA94" i="14"/>
  <c r="CU92" i="14"/>
  <c r="CU101" i="14"/>
  <c r="CI108" i="14"/>
  <c r="CI102" i="14"/>
  <c r="DC94" i="14"/>
  <c r="CI93" i="14"/>
  <c r="DC105" i="14"/>
  <c r="CM112" i="14"/>
  <c r="DK102" i="14"/>
  <c r="CM89" i="14"/>
  <c r="DK109" i="14"/>
  <c r="CA112" i="14"/>
  <c r="CU107" i="14"/>
  <c r="CI90" i="14"/>
  <c r="CQ104" i="14"/>
  <c r="CY106" i="14"/>
  <c r="CM94" i="14"/>
  <c r="CU105" i="14"/>
  <c r="CQ92" i="14"/>
  <c r="CI111" i="14"/>
  <c r="CY94" i="14"/>
  <c r="DK91" i="14"/>
  <c r="CA92" i="14"/>
  <c r="CU111" i="14"/>
  <c r="CU113" i="14"/>
  <c r="CY89" i="14"/>
  <c r="CU115" i="14"/>
  <c r="CQ111" i="14"/>
  <c r="DK88" i="14"/>
  <c r="CU87" i="14"/>
  <c r="DC107" i="14"/>
  <c r="CA91" i="14"/>
  <c r="CA105" i="14"/>
  <c r="CY115" i="14"/>
  <c r="CU102" i="14"/>
  <c r="CA100" i="14"/>
  <c r="CE106" i="14"/>
  <c r="CA101" i="14"/>
  <c r="CU94" i="14"/>
  <c r="CE95" i="14"/>
  <c r="CM114" i="14"/>
  <c r="CQ102" i="14"/>
  <c r="DC93" i="14"/>
  <c r="CQ107" i="14"/>
  <c r="CA106" i="14"/>
  <c r="DG100" i="14"/>
  <c r="CM92" i="14"/>
  <c r="CE110" i="14"/>
  <c r="DG88" i="14"/>
  <c r="CA108" i="14"/>
  <c r="CE115" i="14"/>
  <c r="CQ100" i="14"/>
  <c r="DK115" i="14"/>
  <c r="CE112" i="14"/>
  <c r="CI88" i="14"/>
  <c r="DK112" i="14"/>
  <c r="DC102" i="14"/>
  <c r="CA87" i="14"/>
  <c r="CA107" i="14"/>
  <c r="CU110" i="14"/>
  <c r="CI113" i="14"/>
  <c r="CM54" i="14"/>
  <c r="CY55" i="14"/>
  <c r="CE36" i="14"/>
  <c r="DK48" i="14"/>
  <c r="CE66" i="14"/>
  <c r="CI46" i="14"/>
  <c r="CU36" i="14"/>
  <c r="CE25" i="14"/>
  <c r="CM15" i="14"/>
  <c r="CY37" i="14"/>
  <c r="DG41" i="14"/>
  <c r="DG25" i="14"/>
  <c r="DK58" i="14"/>
  <c r="CQ11" i="14"/>
  <c r="DK55" i="14"/>
  <c r="CQ56" i="14"/>
  <c r="CQ58" i="14"/>
  <c r="CQ72" i="14"/>
  <c r="CA58" i="14"/>
  <c r="CE58" i="14"/>
  <c r="CI38" i="14"/>
  <c r="CY38" i="14"/>
  <c r="CE35" i="14"/>
  <c r="CU35" i="14"/>
  <c r="CA27" i="14"/>
  <c r="DG22" i="14"/>
  <c r="CI21" i="14"/>
  <c r="DG21" i="14"/>
  <c r="DC18" i="14"/>
  <c r="CI15" i="14"/>
  <c r="CI55" i="14"/>
  <c r="CU46" i="14"/>
  <c r="DG32" i="14"/>
  <c r="CY18" i="14"/>
  <c r="DK27" i="14"/>
  <c r="DC20" i="14"/>
  <c r="CE67" i="14"/>
  <c r="CI67" i="14"/>
  <c r="DC66" i="14"/>
  <c r="CI54" i="14"/>
  <c r="CE48" i="14"/>
  <c r="CI23" i="14"/>
  <c r="DK11" i="14"/>
  <c r="DK28" i="14"/>
  <c r="CQ78" i="14"/>
  <c r="CM81" i="14"/>
  <c r="DG81" i="14"/>
  <c r="CY23" i="14"/>
  <c r="DC21" i="14"/>
  <c r="DG44" i="14"/>
  <c r="CE46" i="14"/>
  <c r="CQ21" i="14"/>
  <c r="DC15" i="14"/>
  <c r="DK76" i="14"/>
  <c r="DC14" i="14"/>
  <c r="CA67" i="14"/>
  <c r="CY42" i="14"/>
  <c r="CM66" i="14"/>
  <c r="CA46" i="14"/>
  <c r="CY74" i="14"/>
  <c r="CQ44" i="14"/>
  <c r="CM53" i="14"/>
  <c r="CU32" i="14"/>
  <c r="CM42" i="14"/>
  <c r="BS50" i="2"/>
  <c r="CU13" i="14"/>
  <c r="DG39" i="14"/>
  <c r="DG23" i="14"/>
  <c r="CI47" i="14"/>
  <c r="CM38" i="14"/>
  <c r="CI14" i="14"/>
  <c r="CU66" i="14"/>
  <c r="CM47" i="14"/>
  <c r="CY19" i="14"/>
  <c r="DG28" i="14"/>
  <c r="CQ19" i="14"/>
  <c r="DG47" i="14"/>
  <c r="CU42" i="14"/>
  <c r="DG46" i="14"/>
  <c r="DG57" i="14"/>
  <c r="DG66" i="14"/>
  <c r="DK53" i="14"/>
  <c r="DG56" i="14"/>
  <c r="DC48" i="14"/>
  <c r="CY27" i="14"/>
  <c r="DG53" i="14"/>
  <c r="DC37" i="14"/>
  <c r="DG38" i="14"/>
  <c r="DK22" i="14"/>
  <c r="CY46" i="14"/>
  <c r="CM55" i="14"/>
  <c r="CU58" i="14"/>
  <c r="CM48" i="14"/>
  <c r="CY25" i="14"/>
  <c r="CU11" i="14"/>
  <c r="CE44" i="14"/>
  <c r="CQ55" i="14"/>
  <c r="CQ14" i="14"/>
  <c r="DC41" i="14"/>
  <c r="CU47" i="14"/>
  <c r="CE18" i="14"/>
  <c r="CI20" i="14"/>
  <c r="CM84" i="14"/>
  <c r="DG78" i="14"/>
  <c r="CM39" i="14"/>
  <c r="CU38" i="14"/>
  <c r="DG20" i="14"/>
  <c r="CQ25" i="14"/>
  <c r="CA47" i="14"/>
  <c r="CU27" i="14"/>
  <c r="CY57" i="14"/>
  <c r="DC25" i="14"/>
  <c r="CY11" i="14"/>
  <c r="DK86" i="14"/>
  <c r="CE15" i="14"/>
  <c r="DC74" i="14"/>
  <c r="DC67" i="14"/>
  <c r="CY28" i="14"/>
  <c r="CE72" i="14"/>
  <c r="DC28" i="14"/>
  <c r="CY20" i="14"/>
  <c r="DC32" i="14"/>
  <c r="CY86" i="14"/>
  <c r="DK71" i="14"/>
  <c r="CU78" i="14"/>
  <c r="DK60" i="14"/>
  <c r="CY47" i="14"/>
  <c r="CY13" i="14"/>
  <c r="DK39" i="14"/>
  <c r="DK23" i="14"/>
  <c r="DG15" i="14"/>
  <c r="DG42" i="14"/>
  <c r="CA28" i="14"/>
  <c r="CA78" i="14"/>
  <c r="CA44" i="14"/>
  <c r="DK84" i="14"/>
  <c r="CE54" i="14"/>
  <c r="CQ66" i="14"/>
  <c r="CY54" i="14"/>
  <c r="CA35" i="14"/>
  <c r="CI42" i="14"/>
  <c r="CQ57" i="14"/>
  <c r="CU21" i="14"/>
  <c r="CY72" i="14"/>
  <c r="CY41" i="14"/>
  <c r="DK32" i="14"/>
  <c r="CQ74" i="14"/>
  <c r="DK46" i="14"/>
  <c r="CY84" i="14"/>
  <c r="CY78" i="14"/>
  <c r="DG13" i="14"/>
  <c r="CU48" i="14"/>
  <c r="DC11" i="14"/>
  <c r="CU28" i="14"/>
  <c r="CE39" i="14"/>
  <c r="CE23" i="14"/>
  <c r="CA15" i="14"/>
  <c r="DG71" i="14"/>
  <c r="DG58" i="14"/>
  <c r="DK67" i="14"/>
  <c r="CQ20" i="14"/>
  <c r="CU57" i="14"/>
  <c r="CQ53" i="14"/>
  <c r="CQ13" i="14"/>
  <c r="CM46" i="14"/>
  <c r="CQ22" i="14"/>
  <c r="CE13" i="14"/>
  <c r="CA41" i="14"/>
  <c r="CA25" i="14"/>
  <c r="CA18" i="14"/>
  <c r="DC13" i="14"/>
  <c r="DK15" i="14"/>
  <c r="DG11" i="14"/>
  <c r="CE37" i="14"/>
  <c r="CM78" i="14"/>
  <c r="CU44" i="14"/>
  <c r="DK74" i="14"/>
  <c r="CI35" i="14"/>
  <c r="DG54" i="14"/>
  <c r="CM35" i="14"/>
  <c r="CA55" i="14"/>
  <c r="CU23" i="14"/>
  <c r="CU41" i="14"/>
  <c r="DK41" i="14"/>
  <c r="DK25" i="14"/>
  <c r="DK18" i="14"/>
  <c r="DC35" i="14"/>
  <c r="CM27" i="14"/>
  <c r="CQ28" i="14"/>
  <c r="CE20" i="14"/>
  <c r="CQ86" i="14"/>
  <c r="DC78" i="14"/>
  <c r="CU15" i="14"/>
  <c r="CU60" i="14"/>
  <c r="DC53" i="14"/>
  <c r="CY76" i="14"/>
  <c r="CA32" i="14"/>
  <c r="CU22" i="14"/>
  <c r="CU56" i="14"/>
  <c r="CM18" i="14"/>
  <c r="CI37" i="14"/>
  <c r="CM74" i="14"/>
  <c r="CM37" i="14"/>
  <c r="DC27" i="14"/>
  <c r="CI44" i="14"/>
  <c r="CQ46" i="14"/>
  <c r="DG74" i="14"/>
  <c r="DK21" i="14"/>
  <c r="DK42" i="14"/>
  <c r="CI11" i="14"/>
  <c r="CA39" i="14"/>
  <c r="CA23" i="14"/>
  <c r="CY32" i="14"/>
  <c r="CU74" i="14"/>
  <c r="CM76" i="14"/>
  <c r="DK81" i="14"/>
  <c r="CU72" i="14"/>
  <c r="CY58" i="14"/>
  <c r="CY48" i="14"/>
  <c r="CQ41" i="14"/>
  <c r="CA13" i="14"/>
  <c r="CQ15" i="14"/>
  <c r="CA57" i="14"/>
  <c r="CA48" i="14"/>
  <c r="DV10" i="14"/>
  <c r="CU10" i="14"/>
  <c r="DG72" i="14"/>
  <c r="DK10" i="14"/>
  <c r="CE81" i="14"/>
  <c r="DC58" i="14"/>
  <c r="CY21" i="14"/>
  <c r="CM71" i="14"/>
  <c r="CU53" i="14"/>
  <c r="CE56" i="14"/>
  <c r="DK14" i="14"/>
  <c r="CU81" i="14"/>
  <c r="CU20" i="14"/>
  <c r="DC44" i="14"/>
  <c r="DC71" i="14"/>
  <c r="DC54" i="14"/>
  <c r="CI19" i="14"/>
  <c r="CA37" i="14"/>
  <c r="CM21" i="14"/>
  <c r="CY67" i="14"/>
  <c r="CQ60" i="14"/>
  <c r="CI84" i="14"/>
  <c r="DY10" i="14"/>
  <c r="CU18" i="14"/>
  <c r="CM72" i="14"/>
  <c r="DK37" i="14"/>
  <c r="CQ81" i="14"/>
  <c r="CY56" i="14"/>
  <c r="CQ42" i="14"/>
  <c r="DC72" i="14"/>
  <c r="CE60" i="14"/>
  <c r="DC42" i="14"/>
  <c r="CE41" i="14"/>
  <c r="DG84" i="14"/>
  <c r="CU86" i="14"/>
  <c r="CU54" i="14"/>
  <c r="DC55" i="14"/>
  <c r="CM23" i="14"/>
  <c r="EK10" i="14"/>
  <c r="CA54" i="14"/>
  <c r="CI10" i="14"/>
  <c r="DC81" i="14"/>
  <c r="CI86" i="14"/>
  <c r="EE10" i="14"/>
  <c r="CQ54" i="14"/>
  <c r="CI13" i="14"/>
  <c r="CY71" i="14"/>
  <c r="CM13" i="14"/>
  <c r="DG48" i="14"/>
  <c r="CM36" i="14"/>
  <c r="DK44" i="14"/>
  <c r="DK54" i="14"/>
  <c r="DK36" i="14"/>
  <c r="CI41" i="14"/>
  <c r="CI25" i="14"/>
  <c r="DP10" i="14"/>
  <c r="CQ27" i="14"/>
  <c r="CM19" i="14"/>
  <c r="CY81" i="14"/>
  <c r="CA53" i="14"/>
  <c r="DC47" i="14"/>
  <c r="CE86" i="14"/>
  <c r="CY60" i="14"/>
  <c r="EB10" i="14"/>
  <c r="DK66" i="14"/>
  <c r="CU55" i="14"/>
  <c r="CU71" i="14"/>
  <c r="CI53" i="14"/>
  <c r="CQ38" i="14"/>
  <c r="CA36" i="14"/>
  <c r="CQ67" i="14"/>
  <c r="CA60" i="14"/>
  <c r="CA42" i="14"/>
  <c r="CQ35" i="14"/>
  <c r="CM20" i="14"/>
  <c r="DG35" i="14"/>
  <c r="EN10" i="14"/>
  <c r="ET10" i="14"/>
  <c r="CE42" i="14"/>
  <c r="DC10" i="14"/>
  <c r="CQ39" i="14"/>
  <c r="CY10" i="14"/>
  <c r="CU37" i="14"/>
  <c r="CM22" i="14"/>
  <c r="DG55" i="14"/>
  <c r="CQ10" i="14"/>
  <c r="CE10" i="14"/>
  <c r="CA11" i="14"/>
  <c r="DC84" i="14"/>
  <c r="DC19" i="14"/>
  <c r="CI32" i="14"/>
  <c r="CA81" i="14"/>
  <c r="CI74" i="14"/>
  <c r="CQ76" i="14"/>
  <c r="DC56" i="14"/>
  <c r="CI48" i="14"/>
  <c r="CI18" i="14"/>
  <c r="CA72" i="14"/>
  <c r="CM67" i="14"/>
  <c r="CI76" i="14"/>
  <c r="DK13" i="14"/>
  <c r="DG67" i="14"/>
  <c r="CI71" i="14"/>
  <c r="CQ84" i="14"/>
  <c r="DK35" i="14"/>
  <c r="CM60" i="14"/>
  <c r="CU67" i="14"/>
  <c r="CY53" i="14"/>
  <c r="CE28" i="14"/>
  <c r="CI28" i="14"/>
  <c r="CY39" i="14"/>
  <c r="CA66" i="14"/>
  <c r="CI72" i="14"/>
  <c r="CE71" i="14"/>
  <c r="CE47" i="14"/>
  <c r="CQ37" i="14"/>
  <c r="EH10" i="14"/>
  <c r="CM14" i="14"/>
  <c r="CM44" i="14"/>
  <c r="CA10" i="14"/>
  <c r="DG14" i="14"/>
  <c r="CM41" i="14"/>
  <c r="CM25" i="14"/>
  <c r="DS10" i="14"/>
  <c r="CQ71" i="14"/>
  <c r="DC46" i="14"/>
  <c r="DC86" i="14"/>
  <c r="CA84" i="14"/>
  <c r="CY66" i="14"/>
  <c r="CU76" i="14"/>
  <c r="DK47" i="14"/>
  <c r="CM86" i="14"/>
  <c r="CU39" i="14"/>
  <c r="CI60" i="14"/>
  <c r="CI56" i="14"/>
  <c r="CU19" i="14"/>
  <c r="CI36" i="14"/>
  <c r="DK57" i="14"/>
  <c r="CA56" i="14"/>
  <c r="DG18" i="14"/>
  <c r="DG10" i="14"/>
  <c r="CY35" i="14"/>
  <c r="CE27" i="14"/>
  <c r="DK19" i="14"/>
  <c r="DC36" i="14"/>
  <c r="CM28" i="14"/>
  <c r="CA20" i="14"/>
  <c r="CU14" i="14"/>
  <c r="DK78" i="14"/>
  <c r="CY22" i="14"/>
  <c r="CE84" i="14"/>
  <c r="CA74" i="14"/>
  <c r="DG60" i="14"/>
  <c r="DC57" i="14"/>
  <c r="CM10" i="14"/>
  <c r="DK56" i="14"/>
  <c r="EW10" i="14"/>
  <c r="DK20" i="14"/>
  <c r="CA38" i="14"/>
  <c r="DK72" i="14"/>
  <c r="DG76" i="14"/>
  <c r="DG86" i="14"/>
  <c r="CY44" i="14"/>
  <c r="CQ18" i="14"/>
  <c r="CA71" i="14"/>
  <c r="CM32" i="14"/>
  <c r="DC60" i="14"/>
  <c r="BW10" i="14"/>
  <c r="CQ23" i="14"/>
  <c r="EQ10" i="14"/>
  <c r="CQ47" i="14"/>
  <c r="CI27" i="14"/>
  <c r="CM11" i="14"/>
  <c r="DG37" i="14"/>
  <c r="DK38" i="14"/>
  <c r="BS17" i="2"/>
  <c r="BS28" i="2"/>
  <c r="DK10" i="2"/>
  <c r="CA10" i="2"/>
  <c r="DC10" i="2"/>
  <c r="CI10" i="2"/>
  <c r="CU10" i="2"/>
  <c r="CQ10" i="2"/>
  <c r="BS26" i="2"/>
  <c r="CE10" i="2"/>
  <c r="BS15" i="2"/>
  <c r="BW10" i="2"/>
  <c r="CY10" i="2"/>
  <c r="BS23" i="2"/>
  <c r="CM10" i="2"/>
  <c r="BS18" i="2"/>
  <c r="BS32" i="2"/>
  <c r="BS10" i="2"/>
  <c r="BS31" i="2"/>
  <c r="DG10" i="2"/>
  <c r="BS25" i="2"/>
  <c r="I276" i="1" l="1"/>
  <c r="I277" i="1"/>
  <c r="EL86" i="2"/>
  <c r="EN86" i="2" s="1"/>
  <c r="EL84" i="2"/>
  <c r="EN84" i="2" s="1"/>
  <c r="EO56" i="2"/>
  <c r="EQ56" i="2" s="1"/>
  <c r="EL55" i="2"/>
  <c r="EN55" i="2" s="1"/>
  <c r="EL53" i="2"/>
  <c r="EN53" i="2" s="1"/>
  <c r="EL48" i="2"/>
  <c r="EN48" i="2" s="1"/>
  <c r="EO44" i="2"/>
  <c r="EQ44" i="2" s="1"/>
  <c r="EO42" i="2"/>
  <c r="EQ42" i="2" s="1"/>
  <c r="EL34" i="2"/>
  <c r="EN34" i="2" s="1"/>
  <c r="EL29" i="2"/>
  <c r="EN29" i="2" s="1"/>
  <c r="EO24" i="2"/>
  <c r="EQ24" i="2" s="1"/>
  <c r="EO22" i="2"/>
  <c r="EQ22" i="2" s="1"/>
  <c r="EO19" i="2"/>
  <c r="EQ19" i="2" s="1"/>
  <c r="EO85" i="2"/>
  <c r="EQ85" i="2" s="1"/>
  <c r="EO47" i="2"/>
  <c r="EQ47" i="2" s="1"/>
  <c r="EO54" i="2"/>
  <c r="EQ54" i="2" s="1"/>
  <c r="EO52" i="2"/>
  <c r="EQ52" i="2" s="1"/>
  <c r="EO46" i="2"/>
  <c r="EQ46" i="2" s="1"/>
  <c r="EO43" i="2"/>
  <c r="EQ43" i="2" s="1"/>
  <c r="EO34" i="2"/>
  <c r="EQ34" i="2" s="1"/>
  <c r="EO29" i="2"/>
  <c r="EQ29" i="2" s="1"/>
  <c r="EO86" i="2"/>
  <c r="EQ86" i="2" s="1"/>
  <c r="EO84" i="2"/>
  <c r="EQ84" i="2" s="1"/>
  <c r="EL49" i="2"/>
  <c r="EN49" i="2" s="1"/>
  <c r="EO55" i="2"/>
  <c r="EQ55" i="2" s="1"/>
  <c r="EL47" i="2"/>
  <c r="EN47" i="2" s="1"/>
  <c r="EO53" i="2"/>
  <c r="EQ53" i="2" s="1"/>
  <c r="EL52" i="2"/>
  <c r="EN52" i="2" s="1"/>
  <c r="EO48" i="2"/>
  <c r="EQ48" i="2" s="1"/>
  <c r="EL46" i="2"/>
  <c r="EN46" i="2" s="1"/>
  <c r="EL43" i="2"/>
  <c r="EN43" i="2" s="1"/>
  <c r="EO35" i="2"/>
  <c r="EQ35" i="2" s="1"/>
  <c r="EL14" i="2"/>
  <c r="EN14" i="2" s="1"/>
  <c r="EL12" i="2"/>
  <c r="EF86" i="2"/>
  <c r="EH86" i="2" s="1"/>
  <c r="EI86" i="2"/>
  <c r="EK86" i="2" s="1"/>
  <c r="EF85" i="2"/>
  <c r="EH85" i="2" s="1"/>
  <c r="EI85" i="2"/>
  <c r="EK85" i="2" s="1"/>
  <c r="EF84" i="2"/>
  <c r="EH84" i="2" s="1"/>
  <c r="EI84" i="2"/>
  <c r="EK84" i="2" s="1"/>
  <c r="EF49" i="2"/>
  <c r="EH49" i="2" s="1"/>
  <c r="EI49" i="2"/>
  <c r="EK49" i="2" s="1"/>
  <c r="EF56" i="2"/>
  <c r="EH56" i="2" s="1"/>
  <c r="EI56" i="2"/>
  <c r="EK56" i="2" s="1"/>
  <c r="EF55" i="2"/>
  <c r="EH55" i="2" s="1"/>
  <c r="EI55" i="2"/>
  <c r="EK55" i="2" s="1"/>
  <c r="EF47" i="2"/>
  <c r="EH47" i="2" s="1"/>
  <c r="EI47" i="2"/>
  <c r="EK47" i="2" s="1"/>
  <c r="EF54" i="2"/>
  <c r="EH54" i="2" s="1"/>
  <c r="EI54" i="2"/>
  <c r="EK54" i="2" s="1"/>
  <c r="EF53" i="2"/>
  <c r="EH53" i="2" s="1"/>
  <c r="EI53" i="2"/>
  <c r="EK53" i="2" s="1"/>
  <c r="EF52" i="2"/>
  <c r="EH52" i="2" s="1"/>
  <c r="EI52" i="2"/>
  <c r="EK52" i="2" s="1"/>
  <c r="EF48" i="2"/>
  <c r="EH48" i="2" s="1"/>
  <c r="EI48" i="2"/>
  <c r="EK48" i="2" s="1"/>
  <c r="EF46" i="2"/>
  <c r="EH46" i="2" s="1"/>
  <c r="EI46" i="2"/>
  <c r="EK46" i="2" s="1"/>
  <c r="EF44" i="2"/>
  <c r="EH44" i="2" s="1"/>
  <c r="EI44" i="2"/>
  <c r="EK44" i="2" s="1"/>
  <c r="EF43" i="2"/>
  <c r="EH43" i="2" s="1"/>
  <c r="EI43" i="2"/>
  <c r="EK43" i="2" s="1"/>
  <c r="EF42" i="2"/>
  <c r="EH42" i="2" s="1"/>
  <c r="EI42" i="2"/>
  <c r="EK42" i="2" s="1"/>
  <c r="EF35" i="2"/>
  <c r="EH35" i="2" s="1"/>
  <c r="EI35" i="2"/>
  <c r="EK35" i="2" s="1"/>
  <c r="EF34" i="2"/>
  <c r="EH34" i="2" s="1"/>
  <c r="EI34" i="2"/>
  <c r="EK34" i="2" s="1"/>
  <c r="EF29" i="2"/>
  <c r="EH29" i="2" s="1"/>
  <c r="EI29" i="2"/>
  <c r="EK29" i="2" s="1"/>
  <c r="EF24" i="2"/>
  <c r="EH24" i="2" s="1"/>
  <c r="EI24" i="2"/>
  <c r="EK24" i="2" s="1"/>
  <c r="EF22" i="2"/>
  <c r="EH22" i="2" s="1"/>
  <c r="EI22" i="2"/>
  <c r="EK22" i="2" s="1"/>
  <c r="EF19" i="2"/>
  <c r="EH19" i="2" s="1"/>
  <c r="EI19" i="2"/>
  <c r="EK19" i="2" s="1"/>
  <c r="EF14" i="2"/>
  <c r="EH14" i="2" s="1"/>
  <c r="EI14" i="2"/>
  <c r="EK14" i="2" s="1"/>
  <c r="EF12" i="2"/>
  <c r="EI12" i="2"/>
  <c r="DZ86" i="2"/>
  <c r="EB86" i="2" s="1"/>
  <c r="EC86" i="2"/>
  <c r="EE86" i="2" s="1"/>
  <c r="DZ85" i="2"/>
  <c r="EB85" i="2" s="1"/>
  <c r="EC85" i="2"/>
  <c r="EE85" i="2" s="1"/>
  <c r="DZ84" i="2"/>
  <c r="EB84" i="2" s="1"/>
  <c r="EC84" i="2"/>
  <c r="EE84" i="2" s="1"/>
  <c r="DZ49" i="2"/>
  <c r="EB49" i="2" s="1"/>
  <c r="EC49" i="2"/>
  <c r="EE49" i="2" s="1"/>
  <c r="DZ56" i="2"/>
  <c r="EB56" i="2" s="1"/>
  <c r="EC56" i="2"/>
  <c r="EE56" i="2" s="1"/>
  <c r="DZ55" i="2"/>
  <c r="EB55" i="2" s="1"/>
  <c r="EC55" i="2"/>
  <c r="EE55" i="2" s="1"/>
  <c r="DZ47" i="2"/>
  <c r="EB47" i="2" s="1"/>
  <c r="EC47" i="2"/>
  <c r="EE47" i="2" s="1"/>
  <c r="DZ54" i="2"/>
  <c r="EB54" i="2" s="1"/>
  <c r="EC54" i="2"/>
  <c r="EE54" i="2" s="1"/>
  <c r="DZ53" i="2"/>
  <c r="EB53" i="2" s="1"/>
  <c r="EC53" i="2"/>
  <c r="EE53" i="2" s="1"/>
  <c r="DZ52" i="2"/>
  <c r="EB52" i="2" s="1"/>
  <c r="EC52" i="2"/>
  <c r="EE52" i="2" s="1"/>
  <c r="DZ48" i="2"/>
  <c r="EB48" i="2" s="1"/>
  <c r="EC48" i="2"/>
  <c r="EE48" i="2" s="1"/>
  <c r="DZ46" i="2"/>
  <c r="EB46" i="2" s="1"/>
  <c r="EC46" i="2"/>
  <c r="EE46" i="2" s="1"/>
  <c r="DZ44" i="2"/>
  <c r="EB44" i="2" s="1"/>
  <c r="EC44" i="2"/>
  <c r="EE44" i="2" s="1"/>
  <c r="DZ43" i="2"/>
  <c r="EB43" i="2" s="1"/>
  <c r="EC43" i="2"/>
  <c r="EE43" i="2" s="1"/>
  <c r="DZ42" i="2"/>
  <c r="EB42" i="2" s="1"/>
  <c r="EC42" i="2"/>
  <c r="EE42" i="2" s="1"/>
  <c r="DZ35" i="2"/>
  <c r="EB35" i="2" s="1"/>
  <c r="EC35" i="2"/>
  <c r="EE35" i="2" s="1"/>
  <c r="DZ34" i="2"/>
  <c r="EB34" i="2" s="1"/>
  <c r="EC34" i="2"/>
  <c r="EE34" i="2" s="1"/>
  <c r="DZ29" i="2"/>
  <c r="EB29" i="2" s="1"/>
  <c r="EC29" i="2"/>
  <c r="EE29" i="2" s="1"/>
  <c r="DZ24" i="2"/>
  <c r="EB24" i="2" s="1"/>
  <c r="EC24" i="2"/>
  <c r="EE24" i="2" s="1"/>
  <c r="DZ22" i="2"/>
  <c r="EB22" i="2" s="1"/>
  <c r="EC22" i="2"/>
  <c r="EE22" i="2" s="1"/>
  <c r="DZ19" i="2"/>
  <c r="EB19" i="2" s="1"/>
  <c r="EC19" i="2"/>
  <c r="EE19" i="2" s="1"/>
  <c r="DZ14" i="2"/>
  <c r="EB14" i="2" s="1"/>
  <c r="EC14" i="2"/>
  <c r="EE14" i="2" s="1"/>
  <c r="DZ12" i="2"/>
  <c r="EC12" i="2"/>
  <c r="EL85" i="2"/>
  <c r="EN85" i="2" s="1"/>
  <c r="EO49" i="2"/>
  <c r="EQ49" i="2" s="1"/>
  <c r="EL56" i="2"/>
  <c r="EN56" i="2" s="1"/>
  <c r="EL54" i="2"/>
  <c r="EN54" i="2" s="1"/>
  <c r="EL44" i="2"/>
  <c r="EN44" i="2" s="1"/>
  <c r="EL42" i="2"/>
  <c r="EN42" i="2" s="1"/>
  <c r="EL35" i="2"/>
  <c r="EN35" i="2" s="1"/>
  <c r="EL24" i="2"/>
  <c r="EN24" i="2" s="1"/>
  <c r="EL22" i="2"/>
  <c r="EN22" i="2" s="1"/>
  <c r="EL19" i="2"/>
  <c r="EN19" i="2" s="1"/>
  <c r="EO14" i="2"/>
  <c r="EQ14" i="2" s="1"/>
  <c r="EO12" i="2"/>
  <c r="EU86" i="2"/>
  <c r="EW86" i="2" s="1"/>
  <c r="ER86" i="2"/>
  <c r="ET86" i="2" s="1"/>
  <c r="EU85" i="2"/>
  <c r="EW85" i="2" s="1"/>
  <c r="ER85" i="2"/>
  <c r="ET85" i="2" s="1"/>
  <c r="EU84" i="2"/>
  <c r="EW84" i="2" s="1"/>
  <c r="ER84" i="2"/>
  <c r="ET84" i="2" s="1"/>
  <c r="EU49" i="2"/>
  <c r="EW49" i="2" s="1"/>
  <c r="ER49" i="2"/>
  <c r="ET49" i="2" s="1"/>
  <c r="EU56" i="2"/>
  <c r="EW56" i="2" s="1"/>
  <c r="ER56" i="2"/>
  <c r="ET56" i="2" s="1"/>
  <c r="EU55" i="2"/>
  <c r="EW55" i="2" s="1"/>
  <c r="ER55" i="2"/>
  <c r="ET55" i="2" s="1"/>
  <c r="EU47" i="2"/>
  <c r="EW47" i="2" s="1"/>
  <c r="ER47" i="2"/>
  <c r="ET47" i="2" s="1"/>
  <c r="EU54" i="2"/>
  <c r="EW54" i="2" s="1"/>
  <c r="ER54" i="2"/>
  <c r="ET54" i="2" s="1"/>
  <c r="EU53" i="2"/>
  <c r="EW53" i="2" s="1"/>
  <c r="ER53" i="2"/>
  <c r="ET53" i="2" s="1"/>
  <c r="EU52" i="2"/>
  <c r="EW52" i="2" s="1"/>
  <c r="ER52" i="2"/>
  <c r="ET52" i="2" s="1"/>
  <c r="EU48" i="2"/>
  <c r="EW48" i="2" s="1"/>
  <c r="ER48" i="2"/>
  <c r="ET48" i="2" s="1"/>
  <c r="EU46" i="2"/>
  <c r="EW46" i="2" s="1"/>
  <c r="ER46" i="2"/>
  <c r="ET46" i="2" s="1"/>
  <c r="EU44" i="2"/>
  <c r="EW44" i="2" s="1"/>
  <c r="ER44" i="2"/>
  <c r="ET44" i="2" s="1"/>
  <c r="EU43" i="2"/>
  <c r="EW43" i="2" s="1"/>
  <c r="ER43" i="2"/>
  <c r="ET43" i="2" s="1"/>
  <c r="EU42" i="2"/>
  <c r="EW42" i="2" s="1"/>
  <c r="ER42" i="2"/>
  <c r="ET42" i="2" s="1"/>
  <c r="EU35" i="2"/>
  <c r="EW35" i="2" s="1"/>
  <c r="ER35" i="2"/>
  <c r="ET35" i="2" s="1"/>
  <c r="EU34" i="2"/>
  <c r="EW34" i="2" s="1"/>
  <c r="ER34" i="2"/>
  <c r="ET34" i="2" s="1"/>
  <c r="EU29" i="2"/>
  <c r="EW29" i="2" s="1"/>
  <c r="ER29" i="2"/>
  <c r="ET29" i="2" s="1"/>
  <c r="EU24" i="2"/>
  <c r="EW24" i="2" s="1"/>
  <c r="ER24" i="2"/>
  <c r="ET24" i="2" s="1"/>
  <c r="EU22" i="2"/>
  <c r="EW22" i="2" s="1"/>
  <c r="ER22" i="2"/>
  <c r="ET22" i="2" s="1"/>
  <c r="EU19" i="2"/>
  <c r="EW19" i="2" s="1"/>
  <c r="ER19" i="2"/>
  <c r="ET19" i="2" s="1"/>
  <c r="EU14" i="2"/>
  <c r="EW14" i="2" s="1"/>
  <c r="ER14" i="2"/>
  <c r="ET14" i="2" s="1"/>
  <c r="EU12" i="2"/>
  <c r="ER12" i="2"/>
  <c r="DW19" i="2"/>
  <c r="DY19" i="2" s="1"/>
  <c r="DW14" i="2"/>
  <c r="DY14" i="2" s="1"/>
  <c r="DW12" i="2"/>
  <c r="DT86" i="2"/>
  <c r="DV86" i="2" s="1"/>
  <c r="DW86" i="2"/>
  <c r="DY86" i="2" s="1"/>
  <c r="DT85" i="2"/>
  <c r="DV85" i="2" s="1"/>
  <c r="DW85" i="2"/>
  <c r="DY85" i="2" s="1"/>
  <c r="DT84" i="2"/>
  <c r="DV84" i="2" s="1"/>
  <c r="DW84" i="2"/>
  <c r="DY84" i="2" s="1"/>
  <c r="DT49" i="2"/>
  <c r="DV49" i="2" s="1"/>
  <c r="DW49" i="2"/>
  <c r="DY49" i="2" s="1"/>
  <c r="DT56" i="2"/>
  <c r="DV56" i="2" s="1"/>
  <c r="DW56" i="2"/>
  <c r="DY56" i="2" s="1"/>
  <c r="DT55" i="2"/>
  <c r="DV55" i="2" s="1"/>
  <c r="DW55" i="2"/>
  <c r="DY55" i="2" s="1"/>
  <c r="DT47" i="2"/>
  <c r="DV47" i="2" s="1"/>
  <c r="DW47" i="2"/>
  <c r="DY47" i="2" s="1"/>
  <c r="DT54" i="2"/>
  <c r="DV54" i="2" s="1"/>
  <c r="DW54" i="2"/>
  <c r="DY54" i="2" s="1"/>
  <c r="DT53" i="2"/>
  <c r="DV53" i="2" s="1"/>
  <c r="DW53" i="2"/>
  <c r="DY53" i="2" s="1"/>
  <c r="DT52" i="2"/>
  <c r="DV52" i="2" s="1"/>
  <c r="DW52" i="2"/>
  <c r="DY52" i="2" s="1"/>
  <c r="DT48" i="2"/>
  <c r="DV48" i="2" s="1"/>
  <c r="DW48" i="2"/>
  <c r="DY48" i="2" s="1"/>
  <c r="DT46" i="2"/>
  <c r="DV46" i="2" s="1"/>
  <c r="DW46" i="2"/>
  <c r="DY46" i="2" s="1"/>
  <c r="DT44" i="2"/>
  <c r="DV44" i="2" s="1"/>
  <c r="DW44" i="2"/>
  <c r="DY44" i="2" s="1"/>
  <c r="DT43" i="2"/>
  <c r="DV43" i="2" s="1"/>
  <c r="DW43" i="2"/>
  <c r="DY43" i="2" s="1"/>
  <c r="DT42" i="2"/>
  <c r="DV42" i="2" s="1"/>
  <c r="DW42" i="2"/>
  <c r="DY42" i="2" s="1"/>
  <c r="DT35" i="2"/>
  <c r="DV35" i="2" s="1"/>
  <c r="DW35" i="2"/>
  <c r="DY35" i="2" s="1"/>
  <c r="DT34" i="2"/>
  <c r="DV34" i="2" s="1"/>
  <c r="DW34" i="2"/>
  <c r="DY34" i="2" s="1"/>
  <c r="DT29" i="2"/>
  <c r="DV29" i="2" s="1"/>
  <c r="DW29" i="2"/>
  <c r="DY29" i="2" s="1"/>
  <c r="DT24" i="2"/>
  <c r="DV24" i="2" s="1"/>
  <c r="DW24" i="2"/>
  <c r="DY24" i="2" s="1"/>
  <c r="DT22" i="2"/>
  <c r="DV22" i="2" s="1"/>
  <c r="DW22" i="2"/>
  <c r="DY22" i="2" s="1"/>
  <c r="DQ19" i="2"/>
  <c r="DS19" i="2" s="1"/>
  <c r="DT19" i="2"/>
  <c r="DV19" i="2" s="1"/>
  <c r="DQ14" i="2"/>
  <c r="DS14" i="2" s="1"/>
  <c r="DT14" i="2"/>
  <c r="DV14" i="2" s="1"/>
  <c r="DQ12" i="2"/>
  <c r="DT12" i="2"/>
  <c r="DN86" i="2"/>
  <c r="DP86" i="2" s="1"/>
  <c r="DQ86" i="2"/>
  <c r="DS86" i="2" s="1"/>
  <c r="DN85" i="2"/>
  <c r="DP85" i="2" s="1"/>
  <c r="DQ85" i="2"/>
  <c r="DS85" i="2" s="1"/>
  <c r="DN84" i="2"/>
  <c r="DP84" i="2" s="1"/>
  <c r="DQ84" i="2"/>
  <c r="DS84" i="2" s="1"/>
  <c r="DN49" i="2"/>
  <c r="DP49" i="2" s="1"/>
  <c r="DQ49" i="2"/>
  <c r="DS49" i="2" s="1"/>
  <c r="DN56" i="2"/>
  <c r="DP56" i="2" s="1"/>
  <c r="DQ56" i="2"/>
  <c r="DS56" i="2" s="1"/>
  <c r="DN55" i="2"/>
  <c r="DP55" i="2" s="1"/>
  <c r="DQ55" i="2"/>
  <c r="DS55" i="2" s="1"/>
  <c r="DN47" i="2"/>
  <c r="DP47" i="2" s="1"/>
  <c r="DQ47" i="2"/>
  <c r="DS47" i="2" s="1"/>
  <c r="DN54" i="2"/>
  <c r="DP54" i="2" s="1"/>
  <c r="DQ54" i="2"/>
  <c r="DS54" i="2" s="1"/>
  <c r="DN53" i="2"/>
  <c r="DP53" i="2" s="1"/>
  <c r="DQ53" i="2"/>
  <c r="DS53" i="2" s="1"/>
  <c r="DN52" i="2"/>
  <c r="DP52" i="2" s="1"/>
  <c r="DQ52" i="2"/>
  <c r="DS52" i="2" s="1"/>
  <c r="DN48" i="2"/>
  <c r="DP48" i="2" s="1"/>
  <c r="DQ48" i="2"/>
  <c r="DS48" i="2" s="1"/>
  <c r="DN46" i="2"/>
  <c r="DP46" i="2" s="1"/>
  <c r="DQ46" i="2"/>
  <c r="DS46" i="2" s="1"/>
  <c r="DN44" i="2"/>
  <c r="DP44" i="2" s="1"/>
  <c r="DQ44" i="2"/>
  <c r="DS44" i="2" s="1"/>
  <c r="DN43" i="2"/>
  <c r="DP43" i="2" s="1"/>
  <c r="DQ43" i="2"/>
  <c r="DS43" i="2" s="1"/>
  <c r="DN42" i="2"/>
  <c r="DP42" i="2" s="1"/>
  <c r="DQ42" i="2"/>
  <c r="DS42" i="2" s="1"/>
  <c r="DN35" i="2"/>
  <c r="DP35" i="2" s="1"/>
  <c r="DQ35" i="2"/>
  <c r="DS35" i="2" s="1"/>
  <c r="DN34" i="2"/>
  <c r="DP34" i="2" s="1"/>
  <c r="DQ34" i="2"/>
  <c r="DS34" i="2" s="1"/>
  <c r="DN29" i="2"/>
  <c r="DP29" i="2" s="1"/>
  <c r="DQ29" i="2"/>
  <c r="DS29" i="2" s="1"/>
  <c r="DN24" i="2"/>
  <c r="DP24" i="2" s="1"/>
  <c r="DQ24" i="2"/>
  <c r="DS24" i="2" s="1"/>
  <c r="DN22" i="2"/>
  <c r="DP22" i="2" s="1"/>
  <c r="DQ22" i="2"/>
  <c r="DS22" i="2" s="1"/>
  <c r="DN19" i="2"/>
  <c r="DP19" i="2" s="1"/>
  <c r="DN14" i="2"/>
  <c r="DP14" i="2" s="1"/>
  <c r="DN12" i="2"/>
  <c r="DE120" i="14" l="1"/>
  <c r="DE125" i="14"/>
  <c r="DN118" i="14"/>
  <c r="DP118" i="14" s="1"/>
  <c r="CW121" i="14"/>
  <c r="CL116" i="14"/>
  <c r="CH130" i="14"/>
  <c r="CD117" i="14"/>
  <c r="DJ131" i="14"/>
  <c r="CX129" i="14"/>
  <c r="CS132" i="14"/>
  <c r="DW128" i="14"/>
  <c r="DY128" i="14" s="1"/>
  <c r="BV116" i="14"/>
  <c r="BW116" i="14" s="1"/>
  <c r="ER123" i="14"/>
  <c r="ET123" i="14" s="1"/>
  <c r="CO125" i="14"/>
  <c r="DA120" i="14"/>
  <c r="CG128" i="14"/>
  <c r="CL117" i="14"/>
  <c r="Z123" i="14"/>
  <c r="DZ117" i="14"/>
  <c r="EB117" i="14" s="1"/>
  <c r="EF131" i="14"/>
  <c r="EH131" i="14" s="1"/>
  <c r="EU127" i="14"/>
  <c r="EW127" i="14" s="1"/>
  <c r="EL119" i="14"/>
  <c r="EN119" i="14" s="1"/>
  <c r="CS130" i="14"/>
  <c r="CO131" i="14"/>
  <c r="BV133" i="14"/>
  <c r="BW133" i="14" s="1"/>
  <c r="CH131" i="14"/>
  <c r="EC122" i="14"/>
  <c r="EE122" i="14" s="1"/>
  <c r="CS126" i="14"/>
  <c r="BY117" i="14"/>
  <c r="EU129" i="14"/>
  <c r="EW129" i="14" s="1"/>
  <c r="DF124" i="14"/>
  <c r="EL122" i="14"/>
  <c r="EN122" i="14" s="1"/>
  <c r="DE130" i="14"/>
  <c r="DA127" i="14"/>
  <c r="EU121" i="14"/>
  <c r="EW121" i="14" s="1"/>
  <c r="CK129" i="14"/>
  <c r="CH97" i="14"/>
  <c r="EF103" i="14"/>
  <c r="EH103" i="14" s="1"/>
  <c r="CT98" i="14"/>
  <c r="EI99" i="14"/>
  <c r="EK99" i="14" s="1"/>
  <c r="ER97" i="14"/>
  <c r="ET97" i="14" s="1"/>
  <c r="ER96" i="14"/>
  <c r="ET96" i="14" s="1"/>
  <c r="DJ96" i="14"/>
  <c r="EU99" i="14"/>
  <c r="EW99" i="14" s="1"/>
  <c r="DF98" i="14"/>
  <c r="CO103" i="14"/>
  <c r="EU96" i="14"/>
  <c r="EW96" i="14" s="1"/>
  <c r="DZ121" i="14"/>
  <c r="EB121" i="14" s="1"/>
  <c r="EF122" i="14"/>
  <c r="EH122" i="14" s="1"/>
  <c r="EI122" i="14"/>
  <c r="EK122" i="14" s="1"/>
  <c r="DW123" i="14"/>
  <c r="DY123" i="14" s="1"/>
  <c r="CO133" i="14"/>
  <c r="DW131" i="14"/>
  <c r="DY131" i="14" s="1"/>
  <c r="CX118" i="14"/>
  <c r="CC125" i="14"/>
  <c r="EC117" i="14"/>
  <c r="EE117" i="14" s="1"/>
  <c r="CX133" i="14"/>
  <c r="CC128" i="14"/>
  <c r="CS131" i="14"/>
  <c r="DI127" i="14"/>
  <c r="ER122" i="14"/>
  <c r="ET122" i="14" s="1"/>
  <c r="EC120" i="14"/>
  <c r="EE120" i="14" s="1"/>
  <c r="EF126" i="14"/>
  <c r="EH126" i="14" s="1"/>
  <c r="DN120" i="14"/>
  <c r="DP120" i="14" s="1"/>
  <c r="EI119" i="14"/>
  <c r="EK119" i="14" s="1"/>
  <c r="CX119" i="14"/>
  <c r="CX124" i="14"/>
  <c r="EI127" i="14"/>
  <c r="EK127" i="14" s="1"/>
  <c r="CH132" i="14"/>
  <c r="CK121" i="14"/>
  <c r="CK131" i="14"/>
  <c r="CO130" i="14"/>
  <c r="DQ128" i="14"/>
  <c r="DS128" i="14" s="1"/>
  <c r="CH116" i="14"/>
  <c r="CK125" i="14"/>
  <c r="DJ120" i="14"/>
  <c r="BV119" i="14"/>
  <c r="BW119" i="14" s="1"/>
  <c r="DQ126" i="14"/>
  <c r="DS126" i="14" s="1"/>
  <c r="DE116" i="14"/>
  <c r="CG132" i="14"/>
  <c r="CO124" i="14"/>
  <c r="Z121" i="14"/>
  <c r="DQ116" i="14"/>
  <c r="DS116" i="14" s="1"/>
  <c r="DA124" i="14"/>
  <c r="EU132" i="14"/>
  <c r="EW132" i="14" s="1"/>
  <c r="EL116" i="14"/>
  <c r="EN116" i="14" s="1"/>
  <c r="CX98" i="14"/>
  <c r="CD99" i="14"/>
  <c r="EI103" i="14"/>
  <c r="EK103" i="14" s="1"/>
  <c r="EL103" i="14"/>
  <c r="EN103" i="14" s="1"/>
  <c r="CT99" i="14"/>
  <c r="CL99" i="14"/>
  <c r="DZ97" i="14"/>
  <c r="EB97" i="14" s="1"/>
  <c r="DB99" i="14"/>
  <c r="DA96" i="14"/>
  <c r="BV99" i="14"/>
  <c r="BW99" i="14" s="1"/>
  <c r="DN103" i="14"/>
  <c r="DP103" i="14" s="1"/>
  <c r="DI103" i="14"/>
  <c r="DQ98" i="14"/>
  <c r="DS98" i="14" s="1"/>
  <c r="Z45" i="14"/>
  <c r="EU119" i="14"/>
  <c r="EW119" i="14" s="1"/>
  <c r="BV132" i="14"/>
  <c r="BW132" i="14" s="1"/>
  <c r="ER119" i="14"/>
  <c r="ET119" i="14" s="1"/>
  <c r="BV131" i="14"/>
  <c r="BW131" i="14" s="1"/>
  <c r="DI133" i="14"/>
  <c r="DZ132" i="14"/>
  <c r="EB132" i="14" s="1"/>
  <c r="CG120" i="14"/>
  <c r="CD130" i="14"/>
  <c r="ER127" i="14"/>
  <c r="ET127" i="14" s="1"/>
  <c r="CS117" i="14"/>
  <c r="CT119" i="14"/>
  <c r="CL122" i="14"/>
  <c r="DZ123" i="14"/>
  <c r="EB123" i="14" s="1"/>
  <c r="CS116" i="14"/>
  <c r="DF122" i="14"/>
  <c r="DB120" i="14"/>
  <c r="BZ122" i="14"/>
  <c r="DT119" i="14"/>
  <c r="DV119" i="14" s="1"/>
  <c r="DJ124" i="14"/>
  <c r="CP133" i="14"/>
  <c r="EO131" i="14"/>
  <c r="EQ131" i="14" s="1"/>
  <c r="DT122" i="14"/>
  <c r="DV122" i="14" s="1"/>
  <c r="CC120" i="14"/>
  <c r="DJ133" i="14"/>
  <c r="DQ124" i="14"/>
  <c r="DS124" i="14" s="1"/>
  <c r="CW123" i="14"/>
  <c r="EO129" i="14"/>
  <c r="EQ129" i="14" s="1"/>
  <c r="DA118" i="14"/>
  <c r="CD123" i="14"/>
  <c r="DN130" i="14"/>
  <c r="DP130" i="14" s="1"/>
  <c r="EF132" i="14"/>
  <c r="EH132" i="14" s="1"/>
  <c r="CC132" i="14"/>
  <c r="DZ133" i="14"/>
  <c r="EB133" i="14" s="1"/>
  <c r="DF131" i="14"/>
  <c r="CL128" i="14"/>
  <c r="DJ126" i="14"/>
  <c r="CW127" i="14"/>
  <c r="Z97" i="14"/>
  <c r="DE103" i="14"/>
  <c r="CG96" i="14"/>
  <c r="CG97" i="14"/>
  <c r="BV96" i="14"/>
  <c r="BW96" i="14" s="1"/>
  <c r="BZ98" i="14"/>
  <c r="CW97" i="14"/>
  <c r="EU103" i="14"/>
  <c r="EW103" i="14" s="1"/>
  <c r="Z69" i="14"/>
  <c r="Z68" i="14"/>
  <c r="Z24" i="14"/>
  <c r="DE123" i="14"/>
  <c r="CD120" i="14"/>
  <c r="CL120" i="14"/>
  <c r="EF119" i="14"/>
  <c r="EH119" i="14" s="1"/>
  <c r="ER120" i="14"/>
  <c r="ET120" i="14" s="1"/>
  <c r="BZ125" i="14"/>
  <c r="DQ121" i="14"/>
  <c r="DS121" i="14" s="1"/>
  <c r="DB132" i="14"/>
  <c r="CT121" i="14"/>
  <c r="EF124" i="14"/>
  <c r="EH124" i="14" s="1"/>
  <c r="DN124" i="14"/>
  <c r="DP124" i="14" s="1"/>
  <c r="CS125" i="14"/>
  <c r="EU123" i="14"/>
  <c r="EW123" i="14" s="1"/>
  <c r="CL129" i="14"/>
  <c r="ER121" i="14"/>
  <c r="ET121" i="14" s="1"/>
  <c r="CH128" i="14"/>
  <c r="DZ124" i="14"/>
  <c r="EB124" i="14" s="1"/>
  <c r="EL133" i="14"/>
  <c r="EN133" i="14" s="1"/>
  <c r="DF120" i="14"/>
  <c r="DQ120" i="14"/>
  <c r="DS120" i="14" s="1"/>
  <c r="CH123" i="14"/>
  <c r="EU128" i="14"/>
  <c r="EW128" i="14" s="1"/>
  <c r="DQ133" i="14"/>
  <c r="DS133" i="14" s="1"/>
  <c r="DZ131" i="14"/>
  <c r="EB131" i="14" s="1"/>
  <c r="EC127" i="14"/>
  <c r="EE127" i="14" s="1"/>
  <c r="EC125" i="14"/>
  <c r="EE125" i="14" s="1"/>
  <c r="CH120" i="14"/>
  <c r="CO123" i="14"/>
  <c r="DE127" i="14"/>
  <c r="EL121" i="14"/>
  <c r="EN121" i="14" s="1"/>
  <c r="CS133" i="14"/>
  <c r="EO127" i="14"/>
  <c r="EQ127" i="14" s="1"/>
  <c r="DB128" i="14"/>
  <c r="Z116" i="14"/>
  <c r="DA126" i="14"/>
  <c r="DT116" i="14"/>
  <c r="DV116" i="14" s="1"/>
  <c r="EI124" i="14"/>
  <c r="EK124" i="14" s="1"/>
  <c r="BZ127" i="14"/>
  <c r="BZ133" i="14"/>
  <c r="DT130" i="14"/>
  <c r="DV130" i="14" s="1"/>
  <c r="DQ103" i="14"/>
  <c r="DS103" i="14" s="1"/>
  <c r="DF99" i="14"/>
  <c r="DW97" i="14"/>
  <c r="DY97" i="14" s="1"/>
  <c r="CP103" i="14"/>
  <c r="CS99" i="14"/>
  <c r="CC96" i="14"/>
  <c r="DT97" i="14"/>
  <c r="DV97" i="14" s="1"/>
  <c r="EC97" i="14"/>
  <c r="EE97" i="14" s="1"/>
  <c r="CG103" i="14"/>
  <c r="CW96" i="14"/>
  <c r="DB97" i="14"/>
  <c r="EI96" i="14"/>
  <c r="EK96" i="14" s="1"/>
  <c r="DW103" i="14"/>
  <c r="DY103" i="14" s="1"/>
  <c r="CS103" i="14"/>
  <c r="DE121" i="14"/>
  <c r="DF129" i="14"/>
  <c r="DN121" i="14"/>
  <c r="DP121" i="14" s="1"/>
  <c r="DE119" i="14"/>
  <c r="DW122" i="14"/>
  <c r="DY122" i="14" s="1"/>
  <c r="EC126" i="14"/>
  <c r="EE126" i="14" s="1"/>
  <c r="CG119" i="14"/>
  <c r="DN131" i="14"/>
  <c r="DP131" i="14" s="1"/>
  <c r="ER116" i="14"/>
  <c r="ET116" i="14" s="1"/>
  <c r="EL127" i="14"/>
  <c r="EN127" i="14" s="1"/>
  <c r="DB119" i="14"/>
  <c r="EL120" i="14"/>
  <c r="EN120" i="14" s="1"/>
  <c r="CG117" i="14"/>
  <c r="EI128" i="14"/>
  <c r="EK128" i="14" s="1"/>
  <c r="DJ132" i="14"/>
  <c r="ER117" i="14"/>
  <c r="ET117" i="14" s="1"/>
  <c r="CP117" i="14"/>
  <c r="CG123" i="14"/>
  <c r="CC122" i="14"/>
  <c r="CT118" i="14"/>
  <c r="CO122" i="14"/>
  <c r="CP130" i="14"/>
  <c r="DZ130" i="14"/>
  <c r="EB130" i="14" s="1"/>
  <c r="CW124" i="14"/>
  <c r="CS122" i="14"/>
  <c r="BZ123" i="14"/>
  <c r="DT129" i="14"/>
  <c r="DV129" i="14" s="1"/>
  <c r="DJ121" i="14"/>
  <c r="CH124" i="14"/>
  <c r="CS121" i="14"/>
  <c r="CK117" i="14"/>
  <c r="BY116" i="14"/>
  <c r="BY130" i="14"/>
  <c r="CP129" i="14"/>
  <c r="CW122" i="14"/>
  <c r="CK123" i="14"/>
  <c r="DA103" i="14"/>
  <c r="Z98" i="14"/>
  <c r="CX97" i="14"/>
  <c r="EI98" i="14"/>
  <c r="EK98" i="14" s="1"/>
  <c r="EO99" i="14"/>
  <c r="EQ99" i="14" s="1"/>
  <c r="DB98" i="14"/>
  <c r="EI97" i="14"/>
  <c r="EK97" i="14" s="1"/>
  <c r="Z73" i="14"/>
  <c r="Z80" i="14"/>
  <c r="Z50" i="14"/>
  <c r="Z85" i="14"/>
  <c r="CS29" i="14"/>
  <c r="EI12" i="14"/>
  <c r="CG26" i="14"/>
  <c r="CX34" i="14"/>
  <c r="CD77" i="14"/>
  <c r="DF17" i="14"/>
  <c r="EI33" i="14"/>
  <c r="EK33" i="14" s="1"/>
  <c r="DF24" i="14"/>
  <c r="DF40" i="14"/>
  <c r="DZ122" i="14"/>
  <c r="EB122" i="14" s="1"/>
  <c r="EF129" i="14"/>
  <c r="EH129" i="14" s="1"/>
  <c r="EI129" i="14"/>
  <c r="EK129" i="14" s="1"/>
  <c r="DW129" i="14"/>
  <c r="DY129" i="14" s="1"/>
  <c r="BZ120" i="14"/>
  <c r="CK122" i="14"/>
  <c r="CP119" i="14"/>
  <c r="CK124" i="14"/>
  <c r="EO130" i="14"/>
  <c r="EQ130" i="14" s="1"/>
  <c r="BZ130" i="14"/>
  <c r="DN129" i="14"/>
  <c r="DP129" i="14" s="1"/>
  <c r="CG127" i="14"/>
  <c r="CT126" i="14"/>
  <c r="EF125" i="14"/>
  <c r="EH125" i="14" s="1"/>
  <c r="Z120" i="14"/>
  <c r="CG116" i="14"/>
  <c r="CX127" i="14"/>
  <c r="DW120" i="14"/>
  <c r="DY120" i="14" s="1"/>
  <c r="DI117" i="14"/>
  <c r="DA117" i="14"/>
  <c r="CD116" i="14"/>
  <c r="CH125" i="14"/>
  <c r="CK127" i="14"/>
  <c r="DT123" i="14"/>
  <c r="DV123" i="14" s="1"/>
  <c r="CX117" i="14"/>
  <c r="CO126" i="14"/>
  <c r="CO117" i="14"/>
  <c r="BY121" i="14"/>
  <c r="DF117" i="14"/>
  <c r="BY133" i="14"/>
  <c r="DN117" i="14"/>
  <c r="DP117" i="14" s="1"/>
  <c r="DW130" i="14"/>
  <c r="DY130" i="14" s="1"/>
  <c r="CW128" i="14"/>
  <c r="BV117" i="14"/>
  <c r="BW117" i="14" s="1"/>
  <c r="DN132" i="14"/>
  <c r="DP132" i="14" s="1"/>
  <c r="CO121" i="14"/>
  <c r="DF132" i="14"/>
  <c r="CW131" i="14"/>
  <c r="CX121" i="14"/>
  <c r="DQ119" i="14"/>
  <c r="DS119" i="14" s="1"/>
  <c r="DJ99" i="14"/>
  <c r="CD103" i="14"/>
  <c r="CO98" i="14"/>
  <c r="CL96" i="14"/>
  <c r="CO99" i="14"/>
  <c r="DN97" i="14"/>
  <c r="DP97" i="14" s="1"/>
  <c r="CW98" i="14"/>
  <c r="DA97" i="14"/>
  <c r="EO96" i="14"/>
  <c r="EQ96" i="14" s="1"/>
  <c r="CH103" i="14"/>
  <c r="DA98" i="14"/>
  <c r="CG98" i="14"/>
  <c r="CK96" i="14"/>
  <c r="BY99" i="14"/>
  <c r="Z99" i="14"/>
  <c r="DT99" i="14"/>
  <c r="DV99" i="14" s="1"/>
  <c r="ER98" i="14"/>
  <c r="ET98" i="14" s="1"/>
  <c r="CW103" i="14"/>
  <c r="Z77" i="14"/>
  <c r="EI30" i="14"/>
  <c r="EK30" i="14" s="1"/>
  <c r="CH45" i="14"/>
  <c r="CT12" i="14"/>
  <c r="CH16" i="14"/>
  <c r="BV17" i="14"/>
  <c r="BW17" i="14" s="1"/>
  <c r="CT33" i="14"/>
  <c r="EU16" i="14"/>
  <c r="EW16" i="14" s="1"/>
  <c r="BV24" i="14"/>
  <c r="BW24" i="14" s="1"/>
  <c r="BV40" i="14"/>
  <c r="BW40" i="14" s="1"/>
  <c r="EU120" i="14"/>
  <c r="EW120" i="14" s="1"/>
  <c r="BY128" i="14"/>
  <c r="CT123" i="14"/>
  <c r="ER129" i="14"/>
  <c r="ET129" i="14" s="1"/>
  <c r="DZ119" i="14"/>
  <c r="EB119" i="14" s="1"/>
  <c r="CH122" i="14"/>
  <c r="CG133" i="14"/>
  <c r="CK120" i="14"/>
  <c r="DT131" i="14"/>
  <c r="DV131" i="14" s="1"/>
  <c r="CS129" i="14"/>
  <c r="CD126" i="14"/>
  <c r="DB127" i="14"/>
  <c r="BY124" i="14"/>
  <c r="DJ116" i="14"/>
  <c r="DI131" i="14"/>
  <c r="CL127" i="14"/>
  <c r="EO116" i="14"/>
  <c r="EQ116" i="14" s="1"/>
  <c r="CC130" i="14"/>
  <c r="EU131" i="14"/>
  <c r="EW131" i="14" s="1"/>
  <c r="CG121" i="14"/>
  <c r="DB122" i="14"/>
  <c r="DB116" i="14"/>
  <c r="DJ117" i="14"/>
  <c r="BY122" i="14"/>
  <c r="CP121" i="14"/>
  <c r="DA125" i="14"/>
  <c r="BZ132" i="14"/>
  <c r="EO123" i="14"/>
  <c r="EQ123" i="14" s="1"/>
  <c r="EO124" i="14"/>
  <c r="EQ124" i="14" s="1"/>
  <c r="EO119" i="14"/>
  <c r="EQ119" i="14" s="1"/>
  <c r="CX122" i="14"/>
  <c r="CD118" i="14"/>
  <c r="CS128" i="14"/>
  <c r="BV122" i="14"/>
  <c r="BW122" i="14" s="1"/>
  <c r="EL131" i="14"/>
  <c r="EN131" i="14" s="1"/>
  <c r="DB117" i="14"/>
  <c r="CP126" i="14"/>
  <c r="BY120" i="14"/>
  <c r="BZ96" i="14"/>
  <c r="CC97" i="14"/>
  <c r="DQ97" i="14"/>
  <c r="DS97" i="14" s="1"/>
  <c r="CC103" i="14"/>
  <c r="DE98" i="14"/>
  <c r="ER103" i="14"/>
  <c r="ET103" i="14" s="1"/>
  <c r="DF103" i="14"/>
  <c r="CS97" i="14"/>
  <c r="BY96" i="14"/>
  <c r="CD97" i="14"/>
  <c r="Z82" i="14"/>
  <c r="Z59" i="14"/>
  <c r="Z43" i="14"/>
  <c r="Z62" i="14"/>
  <c r="CT30" i="14"/>
  <c r="CD69" i="14"/>
  <c r="DN26" i="14"/>
  <c r="DP26" i="14" s="1"/>
  <c r="EL34" i="14"/>
  <c r="EN34" i="14" s="1"/>
  <c r="DB16" i="14"/>
  <c r="EF33" i="14"/>
  <c r="EH33" i="14" s="1"/>
  <c r="EC33" i="14"/>
  <c r="EE33" i="14" s="1"/>
  <c r="BV123" i="14"/>
  <c r="BW123" i="14" s="1"/>
  <c r="CC129" i="14"/>
  <c r="EO121" i="14"/>
  <c r="EQ121" i="14" s="1"/>
  <c r="BZ119" i="14"/>
  <c r="DZ118" i="14"/>
  <c r="EB118" i="14" s="1"/>
  <c r="DA123" i="14"/>
  <c r="ER125" i="14"/>
  <c r="ET125" i="14" s="1"/>
  <c r="CW130" i="14"/>
  <c r="EO117" i="14"/>
  <c r="EQ117" i="14" s="1"/>
  <c r="EU124" i="14"/>
  <c r="EW124" i="14" s="1"/>
  <c r="DW116" i="14"/>
  <c r="DY116" i="14" s="1"/>
  <c r="DZ126" i="14"/>
  <c r="EB126" i="14" s="1"/>
  <c r="DQ131" i="14"/>
  <c r="DS131" i="14" s="1"/>
  <c r="CC127" i="14"/>
  <c r="CH119" i="14"/>
  <c r="DE128" i="14"/>
  <c r="DJ122" i="14"/>
  <c r="DN126" i="14"/>
  <c r="DP126" i="14" s="1"/>
  <c r="CD122" i="14"/>
  <c r="DI118" i="14"/>
  <c r="CW125" i="14"/>
  <c r="CT130" i="14"/>
  <c r="DN125" i="14"/>
  <c r="DP125" i="14" s="1"/>
  <c r="CD119" i="14"/>
  <c r="CG125" i="14"/>
  <c r="BV127" i="14"/>
  <c r="BW127" i="14" s="1"/>
  <c r="CK119" i="14"/>
  <c r="BV121" i="14"/>
  <c r="BW121" i="14" s="1"/>
  <c r="CT124" i="14"/>
  <c r="DT126" i="14"/>
  <c r="DV126" i="14" s="1"/>
  <c r="CT120" i="14"/>
  <c r="CX120" i="14"/>
  <c r="EI118" i="14"/>
  <c r="EK118" i="14" s="1"/>
  <c r="CT117" i="14"/>
  <c r="CL125" i="14"/>
  <c r="CT122" i="14"/>
  <c r="DJ130" i="14"/>
  <c r="DW124" i="14"/>
  <c r="DY124" i="14" s="1"/>
  <c r="CX96" i="14"/>
  <c r="DJ98" i="14"/>
  <c r="CD98" i="14"/>
  <c r="BY97" i="14"/>
  <c r="BY103" i="14"/>
  <c r="CK98" i="14"/>
  <c r="BV103" i="14"/>
  <c r="BW103" i="14" s="1"/>
  <c r="DA99" i="14"/>
  <c r="CK99" i="14"/>
  <c r="EC98" i="14"/>
  <c r="EE98" i="14" s="1"/>
  <c r="Z26" i="14"/>
  <c r="Z83" i="14"/>
  <c r="EL31" i="14"/>
  <c r="EN31" i="14" s="1"/>
  <c r="CH61" i="14"/>
  <c r="EC29" i="14"/>
  <c r="EE29" i="14" s="1"/>
  <c r="CD16" i="14"/>
  <c r="CC26" i="14"/>
  <c r="CW34" i="14"/>
  <c r="DE17" i="14"/>
  <c r="CS33" i="14"/>
  <c r="DE122" i="14"/>
  <c r="DE129" i="14"/>
  <c r="DW121" i="14"/>
  <c r="DY121" i="14" s="1"/>
  <c r="BZ116" i="14"/>
  <c r="CC123" i="14"/>
  <c r="DF126" i="14"/>
  <c r="BZ124" i="14"/>
  <c r="EI117" i="14"/>
  <c r="EK117" i="14" s="1"/>
  <c r="EL128" i="14"/>
  <c r="EN128" i="14" s="1"/>
  <c r="DQ117" i="14"/>
  <c r="DS117" i="14" s="1"/>
  <c r="CO128" i="14"/>
  <c r="CD128" i="14"/>
  <c r="EL117" i="14"/>
  <c r="EN117" i="14" s="1"/>
  <c r="DF123" i="14"/>
  <c r="EL123" i="14"/>
  <c r="EN123" i="14" s="1"/>
  <c r="EI126" i="14"/>
  <c r="EK126" i="14" s="1"/>
  <c r="DA129" i="14"/>
  <c r="DQ118" i="14"/>
  <c r="DS118" i="14" s="1"/>
  <c r="DA128" i="14"/>
  <c r="DA116" i="14"/>
  <c r="EF121" i="14"/>
  <c r="EH121" i="14" s="1"/>
  <c r="BZ118" i="14"/>
  <c r="EU125" i="14"/>
  <c r="EW125" i="14" s="1"/>
  <c r="EL126" i="14"/>
  <c r="EN126" i="14" s="1"/>
  <c r="CX125" i="14"/>
  <c r="BZ117" i="14"/>
  <c r="DZ125" i="14"/>
  <c r="EB125" i="14" s="1"/>
  <c r="DN119" i="14"/>
  <c r="DP119" i="14" s="1"/>
  <c r="DA132" i="14"/>
  <c r="CG131" i="14"/>
  <c r="DB123" i="14"/>
  <c r="CK126" i="14"/>
  <c r="EI120" i="14"/>
  <c r="EK120" i="14" s="1"/>
  <c r="DQ123" i="14"/>
  <c r="DS123" i="14" s="1"/>
  <c r="CC117" i="14"/>
  <c r="DJ119" i="14"/>
  <c r="CK118" i="14"/>
  <c r="CT97" i="14"/>
  <c r="DF96" i="14"/>
  <c r="DN99" i="14"/>
  <c r="DP99" i="14" s="1"/>
  <c r="CH98" i="14"/>
  <c r="DJ103" i="14"/>
  <c r="DE96" i="14"/>
  <c r="DE99" i="14"/>
  <c r="CW99" i="14"/>
  <c r="DZ103" i="14"/>
  <c r="EB103" i="14" s="1"/>
  <c r="CX99" i="14"/>
  <c r="CP96" i="14"/>
  <c r="CC98" i="14"/>
  <c r="Z64" i="14"/>
  <c r="Z52" i="14"/>
  <c r="CP14" i="2"/>
  <c r="CQ14" i="2" s="1"/>
  <c r="CW31" i="14"/>
  <c r="CH69" i="14"/>
  <c r="CP29" i="14"/>
  <c r="EF12" i="14"/>
  <c r="DJ26" i="14"/>
  <c r="EI34" i="14"/>
  <c r="EK34" i="14" s="1"/>
  <c r="EF118" i="14"/>
  <c r="EH118" i="14" s="1"/>
  <c r="EF123" i="14"/>
  <c r="EH123" i="14" s="1"/>
  <c r="CD133" i="14"/>
  <c r="EL130" i="14"/>
  <c r="EN130" i="14" s="1"/>
  <c r="CL132" i="14"/>
  <c r="BV125" i="14"/>
  <c r="BW125" i="14" s="1"/>
  <c r="DZ127" i="14"/>
  <c r="EB127" i="14" s="1"/>
  <c r="EC119" i="14"/>
  <c r="EE119" i="14" s="1"/>
  <c r="DQ122" i="14"/>
  <c r="DS122" i="14" s="1"/>
  <c r="DW125" i="14"/>
  <c r="DY125" i="14" s="1"/>
  <c r="EU117" i="14"/>
  <c r="EW117" i="14" s="1"/>
  <c r="EF127" i="14"/>
  <c r="EH127" i="14" s="1"/>
  <c r="CT133" i="14"/>
  <c r="CT128" i="14"/>
  <c r="DF116" i="14"/>
  <c r="CL130" i="14"/>
  <c r="EI116" i="14"/>
  <c r="EK116" i="14" s="1"/>
  <c r="DT121" i="14"/>
  <c r="DV121" i="14" s="1"/>
  <c r="DJ129" i="14"/>
  <c r="DB129" i="14"/>
  <c r="EC118" i="14"/>
  <c r="EE118" i="14" s="1"/>
  <c r="CD127" i="14"/>
  <c r="CK130" i="14"/>
  <c r="CO127" i="14"/>
  <c r="CC133" i="14"/>
  <c r="CX126" i="14"/>
  <c r="CP127" i="14"/>
  <c r="CT132" i="14"/>
  <c r="DB130" i="14"/>
  <c r="BY125" i="14"/>
  <c r="BY118" i="14"/>
  <c r="Z124" i="14"/>
  <c r="BZ131" i="14"/>
  <c r="DI128" i="14"/>
  <c r="DW127" i="14"/>
  <c r="DY127" i="14" s="1"/>
  <c r="ER118" i="14"/>
  <c r="ET118" i="14" s="1"/>
  <c r="CC118" i="14"/>
  <c r="EF133" i="14"/>
  <c r="EH133" i="14" s="1"/>
  <c r="ER126" i="14"/>
  <c r="ET126" i="14" s="1"/>
  <c r="EF130" i="14"/>
  <c r="EH130" i="14" s="1"/>
  <c r="DE133" i="14"/>
  <c r="DI123" i="14"/>
  <c r="EU97" i="14"/>
  <c r="EW97" i="14" s="1"/>
  <c r="CO96" i="14"/>
  <c r="EL97" i="14"/>
  <c r="EN97" i="14" s="1"/>
  <c r="BZ99" i="14"/>
  <c r="DW99" i="14"/>
  <c r="DY99" i="14" s="1"/>
  <c r="CK97" i="14"/>
  <c r="CT103" i="14"/>
  <c r="EO98" i="14"/>
  <c r="EQ98" i="14" s="1"/>
  <c r="CD96" i="14"/>
  <c r="DJ97" i="14"/>
  <c r="EL96" i="14"/>
  <c r="EN96" i="14" s="1"/>
  <c r="DZ99" i="14"/>
  <c r="EB99" i="14" s="1"/>
  <c r="CO97" i="14"/>
  <c r="Z30" i="14"/>
  <c r="Z49" i="14"/>
  <c r="CD61" i="14"/>
  <c r="DJ16" i="14"/>
  <c r="DQ24" i="14"/>
  <c r="DS24" i="14" s="1"/>
  <c r="DQ40" i="14"/>
  <c r="DS40" i="14" s="1"/>
  <c r="CH77" i="14"/>
  <c r="EF30" i="14"/>
  <c r="EH30" i="14" s="1"/>
  <c r="CS12" i="14"/>
  <c r="DZ29" i="14"/>
  <c r="EB29" i="14" s="1"/>
  <c r="CH30" i="14"/>
  <c r="BZ26" i="14"/>
  <c r="CT34" i="14"/>
  <c r="EU17" i="14"/>
  <c r="EW17" i="14" s="1"/>
  <c r="BY26" i="14"/>
  <c r="CS34" i="14"/>
  <c r="CD26" i="14"/>
  <c r="CP122" i="14"/>
  <c r="CG124" i="14"/>
  <c r="CC121" i="14"/>
  <c r="CT127" i="14"/>
  <c r="DT125" i="14"/>
  <c r="DV125" i="14" s="1"/>
  <c r="DJ127" i="14"/>
  <c r="DN133" i="14"/>
  <c r="DP133" i="14" s="1"/>
  <c r="CH126" i="14"/>
  <c r="DA133" i="14"/>
  <c r="DB124" i="14"/>
  <c r="CK133" i="14"/>
  <c r="EI131" i="14"/>
  <c r="EK131" i="14" s="1"/>
  <c r="ER133" i="14"/>
  <c r="ET133" i="14" s="1"/>
  <c r="CL126" i="14"/>
  <c r="DF133" i="14"/>
  <c r="EC124" i="14"/>
  <c r="EE124" i="14" s="1"/>
  <c r="CD129" i="14"/>
  <c r="ER128" i="14"/>
  <c r="ET128" i="14" s="1"/>
  <c r="CL123" i="14"/>
  <c r="EU116" i="14"/>
  <c r="EW116" i="14" s="1"/>
  <c r="DE132" i="14"/>
  <c r="CS124" i="14"/>
  <c r="EL132" i="14"/>
  <c r="EN132" i="14" s="1"/>
  <c r="EU122" i="14"/>
  <c r="EW122" i="14" s="1"/>
  <c r="CW119" i="14"/>
  <c r="DT128" i="14"/>
  <c r="DV128" i="14" s="1"/>
  <c r="CK132" i="14"/>
  <c r="Z122" i="14"/>
  <c r="CC131" i="14"/>
  <c r="CW116" i="14"/>
  <c r="EI132" i="14"/>
  <c r="EK132" i="14" s="1"/>
  <c r="CW133" i="14"/>
  <c r="DQ125" i="14"/>
  <c r="DS125" i="14" s="1"/>
  <c r="CS120" i="14"/>
  <c r="DN127" i="14"/>
  <c r="DP127" i="14" s="1"/>
  <c r="CL118" i="14"/>
  <c r="DI125" i="14"/>
  <c r="EO97" i="14"/>
  <c r="EQ97" i="14" s="1"/>
  <c r="BV97" i="14"/>
  <c r="BW97" i="14" s="1"/>
  <c r="EC96" i="14"/>
  <c r="EE96" i="14" s="1"/>
  <c r="CC99" i="14"/>
  <c r="CL98" i="14"/>
  <c r="DI98" i="14"/>
  <c r="BV98" i="14"/>
  <c r="BW98" i="14" s="1"/>
  <c r="CS96" i="14"/>
  <c r="DE97" i="14"/>
  <c r="EC99" i="14"/>
  <c r="EE99" i="14" s="1"/>
  <c r="CP97" i="14"/>
  <c r="DI96" i="14"/>
  <c r="CK103" i="14"/>
  <c r="Z33" i="14"/>
  <c r="BZ16" i="14"/>
  <c r="CG24" i="14"/>
  <c r="CG40" i="14"/>
  <c r="CS30" i="14"/>
  <c r="CO29" i="14"/>
  <c r="EC12" i="14"/>
  <c r="CH17" i="14"/>
  <c r="CD31" i="14"/>
  <c r="DB17" i="14"/>
  <c r="BZ121" i="14"/>
  <c r="CD121" i="14"/>
  <c r="DT118" i="14"/>
  <c r="DV118" i="14" s="1"/>
  <c r="DI130" i="14"/>
  <c r="CW118" i="14"/>
  <c r="DI121" i="14"/>
  <c r="EI123" i="14"/>
  <c r="EK123" i="14" s="1"/>
  <c r="EI133" i="14"/>
  <c r="EK133" i="14" s="1"/>
  <c r="DZ116" i="14"/>
  <c r="EB116" i="14" s="1"/>
  <c r="DW133" i="14"/>
  <c r="DY133" i="14" s="1"/>
  <c r="EL125" i="14"/>
  <c r="EN125" i="14" s="1"/>
  <c r="DA119" i="14"/>
  <c r="EC121" i="14"/>
  <c r="EE121" i="14" s="1"/>
  <c r="CW129" i="14"/>
  <c r="CX116" i="14"/>
  <c r="CH121" i="14"/>
  <c r="CK128" i="14"/>
  <c r="CX128" i="14"/>
  <c r="CH129" i="14"/>
  <c r="DE131" i="14"/>
  <c r="DJ128" i="14"/>
  <c r="DF119" i="14"/>
  <c r="DG119" i="14" s="1"/>
  <c r="EC123" i="14"/>
  <c r="EE123" i="14" s="1"/>
  <c r="DT120" i="14"/>
  <c r="DV120" i="14" s="1"/>
  <c r="CD131" i="14"/>
  <c r="DE117" i="14"/>
  <c r="CX130" i="14"/>
  <c r="DZ120" i="14"/>
  <c r="EB120" i="14" s="1"/>
  <c r="DJ123" i="14"/>
  <c r="ER132" i="14"/>
  <c r="ET132" i="14" s="1"/>
  <c r="DA130" i="14"/>
  <c r="DB126" i="14"/>
  <c r="CP131" i="14"/>
  <c r="CD124" i="14"/>
  <c r="CS98" i="14"/>
  <c r="EF97" i="14"/>
  <c r="EH97" i="14" s="1"/>
  <c r="EU98" i="14"/>
  <c r="EW98" i="14" s="1"/>
  <c r="DB96" i="14"/>
  <c r="CP98" i="14"/>
  <c r="DT103" i="14"/>
  <c r="DV103" i="14" s="1"/>
  <c r="CH96" i="14"/>
  <c r="DZ98" i="14"/>
  <c r="EB98" i="14" s="1"/>
  <c r="DN96" i="14"/>
  <c r="DP96" i="14" s="1"/>
  <c r="EF120" i="14"/>
  <c r="EH120" i="14" s="1"/>
  <c r="EI121" i="14"/>
  <c r="EK121" i="14" s="1"/>
  <c r="DW118" i="14"/>
  <c r="DY118" i="14" s="1"/>
  <c r="CO132" i="14"/>
  <c r="CH118" i="14"/>
  <c r="EC128" i="14"/>
  <c r="EE128" i="14" s="1"/>
  <c r="BV120" i="14"/>
  <c r="BW120" i="14" s="1"/>
  <c r="BV118" i="14"/>
  <c r="BW118" i="14" s="1"/>
  <c r="EO125" i="14"/>
  <c r="EQ125" i="14" s="1"/>
  <c r="DJ118" i="14"/>
  <c r="DT127" i="14"/>
  <c r="DV127" i="14" s="1"/>
  <c r="CS127" i="14"/>
  <c r="CG126" i="14"/>
  <c r="CO118" i="14"/>
  <c r="CT125" i="14"/>
  <c r="CC119" i="14"/>
  <c r="DI119" i="14"/>
  <c r="DT117" i="14"/>
  <c r="DV117" i="14" s="1"/>
  <c r="EO133" i="14"/>
  <c r="EQ133" i="14" s="1"/>
  <c r="BV128" i="14"/>
  <c r="BW128" i="14" s="1"/>
  <c r="BZ126" i="14"/>
  <c r="EO118" i="14"/>
  <c r="EQ118" i="14" s="1"/>
  <c r="Z118" i="14"/>
  <c r="EU130" i="14"/>
  <c r="EW130" i="14" s="1"/>
  <c r="CP128" i="14"/>
  <c r="Z119" i="14"/>
  <c r="BY119" i="14"/>
  <c r="DN122" i="14"/>
  <c r="DP122" i="14" s="1"/>
  <c r="DB125" i="14"/>
  <c r="EC133" i="14"/>
  <c r="EE133" i="14" s="1"/>
  <c r="BY123" i="14"/>
  <c r="EC131" i="14"/>
  <c r="EE131" i="14" s="1"/>
  <c r="DF128" i="14"/>
  <c r="CW120" i="14"/>
  <c r="DB131" i="14"/>
  <c r="DA122" i="14"/>
  <c r="CS123" i="14"/>
  <c r="EF98" i="14"/>
  <c r="EH98" i="14" s="1"/>
  <c r="Z96" i="14"/>
  <c r="EC103" i="14"/>
  <c r="EE103" i="14" s="1"/>
  <c r="ER99" i="14"/>
  <c r="ET99" i="14" s="1"/>
  <c r="Z29" i="14"/>
  <c r="Z61" i="14"/>
  <c r="DF127" i="14"/>
  <c r="BY131" i="14"/>
  <c r="CT129" i="14"/>
  <c r="CL133" i="14"/>
  <c r="DB133" i="14"/>
  <c r="EO128" i="14"/>
  <c r="EQ128" i="14" s="1"/>
  <c r="DQ130" i="14"/>
  <c r="DS130" i="14" s="1"/>
  <c r="EC129" i="14"/>
  <c r="EE129" i="14" s="1"/>
  <c r="CK116" i="14"/>
  <c r="EU126" i="14"/>
  <c r="EW126" i="14" s="1"/>
  <c r="DF118" i="14"/>
  <c r="EO132" i="14"/>
  <c r="EQ132" i="14" s="1"/>
  <c r="DA131" i="14"/>
  <c r="EU118" i="14"/>
  <c r="EW118" i="14" s="1"/>
  <c r="EI125" i="14"/>
  <c r="EK125" i="14" s="1"/>
  <c r="CL131" i="14"/>
  <c r="EC116" i="14"/>
  <c r="EE116" i="14" s="1"/>
  <c r="EC132" i="14"/>
  <c r="EE132" i="14" s="1"/>
  <c r="CS119" i="14"/>
  <c r="DF125" i="14"/>
  <c r="EF128" i="14"/>
  <c r="EH128" i="14" s="1"/>
  <c r="DE126" i="14"/>
  <c r="CP116" i="14"/>
  <c r="CD132" i="14"/>
  <c r="BZ128" i="14"/>
  <c r="BV129" i="14"/>
  <c r="BW129" i="14" s="1"/>
  <c r="CO119" i="14"/>
  <c r="BV124" i="14"/>
  <c r="BW124" i="14" s="1"/>
  <c r="CO116" i="14"/>
  <c r="DB118" i="14"/>
  <c r="EO126" i="14"/>
  <c r="EQ126" i="14" s="1"/>
  <c r="DN128" i="14"/>
  <c r="DP128" i="14" s="1"/>
  <c r="DQ129" i="14"/>
  <c r="DS129" i="14" s="1"/>
  <c r="CP120" i="14"/>
  <c r="CO129" i="14"/>
  <c r="CT116" i="14"/>
  <c r="BY126" i="14"/>
  <c r="DI120" i="14"/>
  <c r="CP118" i="14"/>
  <c r="DT98" i="14"/>
  <c r="DV98" i="14" s="1"/>
  <c r="DZ96" i="14"/>
  <c r="EB96" i="14" s="1"/>
  <c r="DN98" i="14"/>
  <c r="DP98" i="14" s="1"/>
  <c r="DQ96" i="14"/>
  <c r="DS96" i="14" s="1"/>
  <c r="CL97" i="14"/>
  <c r="BZ103" i="14"/>
  <c r="DW96" i="14"/>
  <c r="DY96" i="14" s="1"/>
  <c r="DW98" i="14"/>
  <c r="DY98" i="14" s="1"/>
  <c r="DT96" i="14"/>
  <c r="DV96" i="14" s="1"/>
  <c r="Z65" i="14"/>
  <c r="BZ129" i="14"/>
  <c r="CL119" i="14"/>
  <c r="EO122" i="14"/>
  <c r="EQ122" i="14" s="1"/>
  <c r="EF116" i="14"/>
  <c r="EH116" i="14" s="1"/>
  <c r="CG129" i="14"/>
  <c r="CS118" i="14"/>
  <c r="BY132" i="14"/>
  <c r="CA132" i="14" s="1"/>
  <c r="BY127" i="14"/>
  <c r="ER130" i="14"/>
  <c r="ET130" i="14" s="1"/>
  <c r="CL121" i="14"/>
  <c r="CL124" i="14"/>
  <c r="CP132" i="14"/>
  <c r="CW132" i="14"/>
  <c r="DI126" i="14"/>
  <c r="Z117" i="14"/>
  <c r="DF121" i="14"/>
  <c r="CX132" i="14"/>
  <c r="ER131" i="14"/>
  <c r="ET131" i="14" s="1"/>
  <c r="CW126" i="14"/>
  <c r="DT124" i="14"/>
  <c r="DV124" i="14" s="1"/>
  <c r="CW117" i="14"/>
  <c r="DI124" i="14"/>
  <c r="DA121" i="14"/>
  <c r="EC130" i="14"/>
  <c r="EE130" i="14" s="1"/>
  <c r="CP123" i="14"/>
  <c r="Z125" i="14"/>
  <c r="CG130" i="14"/>
  <c r="DZ128" i="14"/>
  <c r="EB128" i="14" s="1"/>
  <c r="ER124" i="14"/>
  <c r="ET124" i="14" s="1"/>
  <c r="DZ129" i="14"/>
  <c r="EB129" i="14" s="1"/>
  <c r="DI116" i="14"/>
  <c r="DI129" i="14"/>
  <c r="CH133" i="14"/>
  <c r="DQ127" i="14"/>
  <c r="DS127" i="14" s="1"/>
  <c r="CX131" i="14"/>
  <c r="DN123" i="14"/>
  <c r="DP123" i="14" s="1"/>
  <c r="DB103" i="14"/>
  <c r="CX103" i="14"/>
  <c r="CG99" i="14"/>
  <c r="EF96" i="14"/>
  <c r="EH96" i="14" s="1"/>
  <c r="DF97" i="14"/>
  <c r="EL98" i="14"/>
  <c r="EN98" i="14" s="1"/>
  <c r="DI99" i="14"/>
  <c r="BY98" i="14"/>
  <c r="CH99" i="14"/>
  <c r="Z75" i="14"/>
  <c r="CD62" i="14"/>
  <c r="DE124" i="14"/>
  <c r="EF117" i="14"/>
  <c r="EH117" i="14" s="1"/>
  <c r="BV130" i="14"/>
  <c r="BW130" i="14" s="1"/>
  <c r="BZ17" i="14"/>
  <c r="EC30" i="14"/>
  <c r="EE30" i="14" s="1"/>
  <c r="DZ12" i="14"/>
  <c r="CD17" i="14"/>
  <c r="CL12" i="14"/>
  <c r="CX16" i="14"/>
  <c r="CO33" i="14"/>
  <c r="CL50" i="14"/>
  <c r="EO40" i="14"/>
  <c r="EQ40" i="14" s="1"/>
  <c r="CD80" i="14"/>
  <c r="BV29" i="14"/>
  <c r="BW29" i="14" s="1"/>
  <c r="DE43" i="14"/>
  <c r="EF51" i="14"/>
  <c r="EH51" i="14" s="1"/>
  <c r="DT34" i="14"/>
  <c r="DV34" i="14" s="1"/>
  <c r="BV45" i="14"/>
  <c r="BW45" i="14" s="1"/>
  <c r="DZ65" i="14"/>
  <c r="EB65" i="14" s="1"/>
  <c r="CL65" i="14"/>
  <c r="DI73" i="14"/>
  <c r="DQ64" i="14"/>
  <c r="DS64" i="14" s="1"/>
  <c r="EO26" i="14"/>
  <c r="EQ26" i="14" s="1"/>
  <c r="DF59" i="14"/>
  <c r="DN75" i="14"/>
  <c r="DP75" i="14" s="1"/>
  <c r="CX26" i="14"/>
  <c r="DT68" i="14"/>
  <c r="DV68" i="14" s="1"/>
  <c r="EU31" i="14"/>
  <c r="EW31" i="14" s="1"/>
  <c r="CX49" i="14"/>
  <c r="ER61" i="14"/>
  <c r="ET61" i="14" s="1"/>
  <c r="DT69" i="14"/>
  <c r="DV69" i="14" s="1"/>
  <c r="CC31" i="14"/>
  <c r="CL73" i="14"/>
  <c r="DT82" i="14"/>
  <c r="DV82" i="14" s="1"/>
  <c r="CW61" i="14"/>
  <c r="DE34" i="14"/>
  <c r="EC61" i="14"/>
  <c r="EE61" i="14" s="1"/>
  <c r="BZ73" i="14"/>
  <c r="DQ82" i="14"/>
  <c r="DS82" i="14" s="1"/>
  <c r="EO24" i="14"/>
  <c r="EQ24" i="14" s="1"/>
  <c r="CC79" i="14"/>
  <c r="CG80" i="14"/>
  <c r="EL16" i="14"/>
  <c r="EN16" i="14" s="1"/>
  <c r="CO51" i="14"/>
  <c r="EL68" i="14"/>
  <c r="EN68" i="14" s="1"/>
  <c r="EU79" i="14"/>
  <c r="EW79" i="14" s="1"/>
  <c r="CL51" i="14"/>
  <c r="DN68" i="14"/>
  <c r="DP68" i="14" s="1"/>
  <c r="ER43" i="14"/>
  <c r="ET43" i="14" s="1"/>
  <c r="EI63" i="14"/>
  <c r="EK63" i="14" s="1"/>
  <c r="ER75" i="14"/>
  <c r="ET75" i="14" s="1"/>
  <c r="CC82" i="14"/>
  <c r="CS75" i="14"/>
  <c r="EO43" i="14"/>
  <c r="EQ43" i="14" s="1"/>
  <c r="EO64" i="14"/>
  <c r="EQ64" i="14" s="1"/>
  <c r="CT75" i="14"/>
  <c r="DF83" i="14"/>
  <c r="CD73" i="14"/>
  <c r="DF65" i="14"/>
  <c r="EO85" i="14"/>
  <c r="EQ85" i="14" s="1"/>
  <c r="DE85" i="14"/>
  <c r="CS79" i="14"/>
  <c r="CG77" i="14"/>
  <c r="DE69" i="14"/>
  <c r="DQ69" i="14"/>
  <c r="DS69" i="14" s="1"/>
  <c r="CS82" i="14"/>
  <c r="EL61" i="14"/>
  <c r="EN61" i="14" s="1"/>
  <c r="CS61" i="14"/>
  <c r="ER31" i="14"/>
  <c r="ET31" i="14" s="1"/>
  <c r="DI75" i="14"/>
  <c r="BY77" i="14"/>
  <c r="EO61" i="14"/>
  <c r="EQ61" i="14" s="1"/>
  <c r="CT61" i="14"/>
  <c r="CH33" i="14"/>
  <c r="DZ17" i="14"/>
  <c r="EB17" i="14" s="1"/>
  <c r="EF83" i="14"/>
  <c r="EH83" i="14" s="1"/>
  <c r="DF130" i="14"/>
  <c r="EL129" i="14"/>
  <c r="EN129" i="14" s="1"/>
  <c r="CG118" i="14"/>
  <c r="BZ97" i="14"/>
  <c r="EF29" i="14"/>
  <c r="EH29" i="14" s="1"/>
  <c r="DT26" i="14"/>
  <c r="DV26" i="14" s="1"/>
  <c r="CP30" i="14"/>
  <c r="CO12" i="14"/>
  <c r="CD30" i="14"/>
  <c r="ER17" i="14"/>
  <c r="ET17" i="14" s="1"/>
  <c r="DF26" i="14"/>
  <c r="EC34" i="14"/>
  <c r="EE34" i="14" s="1"/>
  <c r="CX29" i="14"/>
  <c r="DQ43" i="14"/>
  <c r="DS43" i="14" s="1"/>
  <c r="EU51" i="14"/>
  <c r="EW51" i="14" s="1"/>
  <c r="DJ12" i="14"/>
  <c r="EF26" i="14"/>
  <c r="EH26" i="14" s="1"/>
  <c r="CK40" i="14"/>
  <c r="EI49" i="14"/>
  <c r="EK49" i="14" s="1"/>
  <c r="CW24" i="14"/>
  <c r="CS24" i="14"/>
  <c r="CL16" i="14"/>
  <c r="CC30" i="14"/>
  <c r="CS51" i="14"/>
  <c r="CO65" i="14"/>
  <c r="DN16" i="14"/>
  <c r="DP16" i="14" s="1"/>
  <c r="BV64" i="14"/>
  <c r="BW64" i="14" s="1"/>
  <c r="CD82" i="14"/>
  <c r="CK59" i="14"/>
  <c r="DZ68" i="14"/>
  <c r="EB68" i="14" s="1"/>
  <c r="EC45" i="14"/>
  <c r="EE45" i="14" s="1"/>
  <c r="CD83" i="14"/>
  <c r="BZ68" i="14"/>
  <c r="CX50" i="14"/>
  <c r="DA61" i="14"/>
  <c r="BZ69" i="14"/>
  <c r="DF34" i="14"/>
  <c r="EF61" i="14"/>
  <c r="EH61" i="14" s="1"/>
  <c r="BZ82" i="14"/>
  <c r="EL62" i="14"/>
  <c r="EN62" i="14" s="1"/>
  <c r="BV82" i="14"/>
  <c r="BW82" i="14" s="1"/>
  <c r="DZ16" i="14"/>
  <c r="EB16" i="14" s="1"/>
  <c r="CP26" i="14"/>
  <c r="DI80" i="14"/>
  <c r="DJ83" i="14"/>
  <c r="CK68" i="14"/>
  <c r="DB79" i="14"/>
  <c r="BY82" i="14"/>
  <c r="EI16" i="14"/>
  <c r="EK16" i="14" s="1"/>
  <c r="EU69" i="14"/>
  <c r="EW69" i="14" s="1"/>
  <c r="ER79" i="14"/>
  <c r="ET79" i="14" s="1"/>
  <c r="ER64" i="14"/>
  <c r="ET64" i="14" s="1"/>
  <c r="CW75" i="14"/>
  <c r="DI83" i="14"/>
  <c r="CD52" i="14"/>
  <c r="CK64" i="14"/>
  <c r="CC83" i="14"/>
  <c r="EO120" i="14"/>
  <c r="EQ120" i="14" s="1"/>
  <c r="DT133" i="14"/>
  <c r="DV133" i="14" s="1"/>
  <c r="CP125" i="14"/>
  <c r="EF99" i="14"/>
  <c r="EH99" i="14" s="1"/>
  <c r="EL12" i="14"/>
  <c r="CK26" i="14"/>
  <c r="EF31" i="14"/>
  <c r="EH31" i="14" s="1"/>
  <c r="CH31" i="14"/>
  <c r="DE24" i="14"/>
  <c r="CP33" i="14"/>
  <c r="DA17" i="14"/>
  <c r="BV26" i="14"/>
  <c r="BW26" i="14" s="1"/>
  <c r="CP34" i="14"/>
  <c r="CW16" i="14"/>
  <c r="DE30" i="14"/>
  <c r="CG43" i="14"/>
  <c r="DB51" i="14"/>
  <c r="DZ59" i="14"/>
  <c r="EB59" i="14" s="1"/>
  <c r="CT49" i="14"/>
  <c r="CT24" i="14"/>
  <c r="EF40" i="14"/>
  <c r="EH40" i="14" s="1"/>
  <c r="DZ49" i="14"/>
  <c r="EB49" i="14" s="1"/>
  <c r="CS17" i="14"/>
  <c r="DA31" i="14"/>
  <c r="EI52" i="14"/>
  <c r="EK52" i="14" s="1"/>
  <c r="DQ16" i="14"/>
  <c r="DS16" i="14" s="1"/>
  <c r="DT43" i="14"/>
  <c r="DV43" i="14" s="1"/>
  <c r="CG16" i="14"/>
  <c r="DT65" i="14"/>
  <c r="DV65" i="14" s="1"/>
  <c r="CH40" i="14"/>
  <c r="DJ29" i="14"/>
  <c r="CO68" i="14"/>
  <c r="CK24" i="14"/>
  <c r="DE59" i="14"/>
  <c r="DF29" i="14"/>
  <c r="DA49" i="14"/>
  <c r="EU61" i="14"/>
  <c r="EW61" i="14" s="1"/>
  <c r="DW69" i="14"/>
  <c r="DY69" i="14" s="1"/>
  <c r="DQ34" i="14"/>
  <c r="DS34" i="14" s="1"/>
  <c r="DQ51" i="14"/>
  <c r="DS51" i="14" s="1"/>
  <c r="EU62" i="14"/>
  <c r="EW62" i="14" s="1"/>
  <c r="DW70" i="14"/>
  <c r="DY70" i="14" s="1"/>
  <c r="EO62" i="14"/>
  <c r="EQ62" i="14" s="1"/>
  <c r="DW83" i="14"/>
  <c r="DY83" i="14" s="1"/>
  <c r="DA40" i="14"/>
  <c r="EU63" i="14"/>
  <c r="EW63" i="14" s="1"/>
  <c r="DT83" i="14"/>
  <c r="DV83" i="14" s="1"/>
  <c r="DB29" i="14"/>
  <c r="CX59" i="14"/>
  <c r="BY80" i="14"/>
  <c r="DB70" i="14"/>
  <c r="CG79" i="14"/>
  <c r="CG85" i="14"/>
  <c r="DA79" i="14"/>
  <c r="CD68" i="14"/>
  <c r="CO45" i="14"/>
  <c r="CG64" i="14"/>
  <c r="BY83" i="14"/>
  <c r="CH51" i="14"/>
  <c r="CP65" i="14"/>
  <c r="DN70" i="14"/>
  <c r="DP70" i="14" s="1"/>
  <c r="CS63" i="14"/>
  <c r="EL85" i="14"/>
  <c r="EN85" i="14" s="1"/>
  <c r="CP83" i="14"/>
  <c r="EF82" i="14"/>
  <c r="EH82" i="14" s="1"/>
  <c r="CW80" i="14"/>
  <c r="DE77" i="14"/>
  <c r="DF73" i="14"/>
  <c r="BY70" i="14"/>
  <c r="EO82" i="14"/>
  <c r="EQ82" i="14" s="1"/>
  <c r="CP79" i="14"/>
  <c r="DF69" i="14"/>
  <c r="CL79" i="14"/>
  <c r="DZ75" i="14"/>
  <c r="EB75" i="14" s="1"/>
  <c r="CW68" i="14"/>
  <c r="DJ34" i="14"/>
  <c r="DT77" i="14"/>
  <c r="DV77" i="14" s="1"/>
  <c r="Z62" i="2"/>
  <c r="CP62" i="2" s="1"/>
  <c r="CQ62" i="2" s="1"/>
  <c r="Z83" i="2"/>
  <c r="CP83" i="2" s="1"/>
  <c r="CQ83" i="2" s="1"/>
  <c r="Z37" i="2"/>
  <c r="CP37" i="2" s="1"/>
  <c r="CQ37" i="2" s="1"/>
  <c r="EU133" i="14"/>
  <c r="EW133" i="14" s="1"/>
  <c r="DI132" i="14"/>
  <c r="Z34" i="14"/>
  <c r="CW12" i="14"/>
  <c r="CS31" i="14"/>
  <c r="DJ40" i="14"/>
  <c r="EF34" i="14"/>
  <c r="EH34" i="14" s="1"/>
  <c r="DT17" i="14"/>
  <c r="DV17" i="14" s="1"/>
  <c r="DJ31" i="14"/>
  <c r="CK51" i="14"/>
  <c r="CO59" i="14"/>
  <c r="EL50" i="14"/>
  <c r="EN50" i="14" s="1"/>
  <c r="DI12" i="14"/>
  <c r="EC26" i="14"/>
  <c r="EE26" i="14" s="1"/>
  <c r="EL40" i="14"/>
  <c r="EN40" i="14" s="1"/>
  <c r="EI40" i="14"/>
  <c r="EK40" i="14" s="1"/>
  <c r="DE12" i="14"/>
  <c r="DE26" i="14"/>
  <c r="CO49" i="14"/>
  <c r="CH43" i="14"/>
  <c r="CT52" i="14"/>
  <c r="DW43" i="14"/>
  <c r="DY43" i="14" s="1"/>
  <c r="DT75" i="14"/>
  <c r="DV75" i="14" s="1"/>
  <c r="BZ65" i="14"/>
  <c r="BV30" i="14"/>
  <c r="BW30" i="14" s="1"/>
  <c r="DE49" i="14"/>
  <c r="EC69" i="14"/>
  <c r="EE69" i="14" s="1"/>
  <c r="EL26" i="14"/>
  <c r="EN26" i="14" s="1"/>
  <c r="DW68" i="14"/>
  <c r="DY68" i="14" s="1"/>
  <c r="DB50" i="14"/>
  <c r="DB61" i="14"/>
  <c r="CL69" i="14"/>
  <c r="DZ52" i="14"/>
  <c r="EB52" i="14" s="1"/>
  <c r="DB62" i="14"/>
  <c r="CL70" i="14"/>
  <c r="BZ62" i="14"/>
  <c r="DF75" i="14"/>
  <c r="CL83" i="14"/>
  <c r="CO63" i="14"/>
  <c r="DE75" i="14"/>
  <c r="BZ83" i="14"/>
  <c r="BY31" i="14"/>
  <c r="EC73" i="14"/>
  <c r="EE73" i="14" s="1"/>
  <c r="EL24" i="14"/>
  <c r="EN24" i="14" s="1"/>
  <c r="DF80" i="14"/>
  <c r="DA70" i="14"/>
  <c r="CK79" i="14"/>
  <c r="CS65" i="14"/>
  <c r="DZ77" i="14"/>
  <c r="EB77" i="14" s="1"/>
  <c r="DB121" i="14"/>
  <c r="BV126" i="14"/>
  <c r="BW126" i="14" s="1"/>
  <c r="DI122" i="14"/>
  <c r="Z103" i="14"/>
  <c r="CH85" i="14"/>
  <c r="ER33" i="14"/>
  <c r="ET33" i="14" s="1"/>
  <c r="BZ40" i="14"/>
  <c r="DE52" i="14"/>
  <c r="CD59" i="14"/>
  <c r="CW29" i="14"/>
  <c r="BZ50" i="14"/>
  <c r="DW59" i="14"/>
  <c r="DY59" i="14" s="1"/>
  <c r="EF49" i="14"/>
  <c r="EH49" i="14" s="1"/>
  <c r="DF12" i="14"/>
  <c r="DZ26" i="14"/>
  <c r="EB26" i="14" s="1"/>
  <c r="EC49" i="14"/>
  <c r="EE49" i="14" s="1"/>
  <c r="EC50" i="14"/>
  <c r="EE50" i="14" s="1"/>
  <c r="DN33" i="14"/>
  <c r="DP33" i="14" s="1"/>
  <c r="DI45" i="14"/>
  <c r="EL45" i="14"/>
  <c r="EN45" i="14" s="1"/>
  <c r="DJ59" i="14"/>
  <c r="BZ75" i="14"/>
  <c r="DA43" i="14"/>
  <c r="DJ50" i="14"/>
  <c r="DF61" i="14"/>
  <c r="CP69" i="14"/>
  <c r="CH83" i="14"/>
  <c r="CL68" i="14"/>
  <c r="BZ33" i="14"/>
  <c r="DT51" i="14"/>
  <c r="DV51" i="14" s="1"/>
  <c r="CK61" i="14"/>
  <c r="DZ70" i="14"/>
  <c r="EB70" i="14" s="1"/>
  <c r="CH12" i="14"/>
  <c r="BV52" i="14"/>
  <c r="BW52" i="14" s="1"/>
  <c r="CK62" i="14"/>
  <c r="CP63" i="14"/>
  <c r="CG75" i="14"/>
  <c r="CD40" i="14"/>
  <c r="CT64" i="14"/>
  <c r="CK75" i="14"/>
  <c r="EC63" i="14"/>
  <c r="EE63" i="14" s="1"/>
  <c r="CO34" i="14"/>
  <c r="DZ61" i="14"/>
  <c r="EB61" i="14" s="1"/>
  <c r="BV73" i="14"/>
  <c r="BW73" i="14" s="1"/>
  <c r="CO26" i="14"/>
  <c r="CC80" i="14"/>
  <c r="EI24" i="14"/>
  <c r="EK24" i="14" s="1"/>
  <c r="DE80" i="14"/>
  <c r="EC77" i="14"/>
  <c r="EE77" i="14" s="1"/>
  <c r="CP50" i="14"/>
  <c r="CO77" i="14"/>
  <c r="DJ85" i="14"/>
  <c r="CT73" i="14"/>
  <c r="DE68" i="14"/>
  <c r="DW79" i="14"/>
  <c r="DY79" i="14" s="1"/>
  <c r="DQ49" i="14"/>
  <c r="DS49" i="14" s="1"/>
  <c r="DI85" i="14"/>
  <c r="DE33" i="14"/>
  <c r="EI80" i="14"/>
  <c r="EK80" i="14" s="1"/>
  <c r="CC75" i="14"/>
  <c r="EU45" i="14"/>
  <c r="EW45" i="14" s="1"/>
  <c r="CX73" i="14"/>
  <c r="DF33" i="14"/>
  <c r="DA69" i="14"/>
  <c r="BZ79" i="14"/>
  <c r="DI34" i="14"/>
  <c r="CO80" i="14"/>
  <c r="CP124" i="14"/>
  <c r="CC126" i="14"/>
  <c r="EL118" i="14"/>
  <c r="EN118" i="14" s="1"/>
  <c r="DI97" i="14"/>
  <c r="Z16" i="14"/>
  <c r="DA33" i="14"/>
  <c r="CD51" i="14"/>
  <c r="DW29" i="14"/>
  <c r="DY29" i="14" s="1"/>
  <c r="DI26" i="14"/>
  <c r="BY33" i="14"/>
  <c r="DW45" i="14"/>
  <c r="DY45" i="14" s="1"/>
  <c r="DB30" i="14"/>
  <c r="DN43" i="14"/>
  <c r="DP43" i="14" s="1"/>
  <c r="ER51" i="14"/>
  <c r="ET51" i="14" s="1"/>
  <c r="CL59" i="14"/>
  <c r="CS49" i="14"/>
  <c r="CP49" i="14"/>
  <c r="V39" i="7" s="1"/>
  <c r="EI51" i="14"/>
  <c r="EK51" i="14" s="1"/>
  <c r="CH73" i="14"/>
  <c r="DW34" i="14"/>
  <c r="DY34" i="14" s="1"/>
  <c r="BY45" i="14"/>
  <c r="CO24" i="14"/>
  <c r="EO45" i="14"/>
  <c r="EQ45" i="14" s="1"/>
  <c r="DN59" i="14"/>
  <c r="DP59" i="14" s="1"/>
  <c r="CC59" i="14"/>
  <c r="EF68" i="14"/>
  <c r="EH68" i="14" s="1"/>
  <c r="CG33" i="14"/>
  <c r="DZ51" i="14"/>
  <c r="EB51" i="14" s="1"/>
  <c r="CC61" i="14"/>
  <c r="EF70" i="14"/>
  <c r="EH70" i="14" s="1"/>
  <c r="DI29" i="14"/>
  <c r="DZ69" i="14"/>
  <c r="EB69" i="14" s="1"/>
  <c r="EC52" i="14"/>
  <c r="EE52" i="14" s="1"/>
  <c r="DE62" i="14"/>
  <c r="AC41" i="7" s="1"/>
  <c r="CO70" i="14"/>
  <c r="DE63" i="14"/>
  <c r="CW64" i="14"/>
  <c r="CW45" i="14"/>
  <c r="DA65" i="14"/>
  <c r="EL69" i="14"/>
  <c r="EN69" i="14" s="1"/>
  <c r="EI62" i="14"/>
  <c r="EK62" i="14" s="1"/>
  <c r="DN82" i="14"/>
  <c r="DP82" i="14" s="1"/>
  <c r="DA29" i="14"/>
  <c r="CT50" i="14"/>
  <c r="CP77" i="14"/>
  <c r="DN85" i="14"/>
  <c r="DP85" i="14" s="1"/>
  <c r="BV51" i="14"/>
  <c r="BW51" i="14" s="1"/>
  <c r="DI68" i="14"/>
  <c r="BZ85" i="14"/>
  <c r="EL30" i="14"/>
  <c r="EN30" i="14" s="1"/>
  <c r="CO62" i="14"/>
  <c r="EO65" i="14"/>
  <c r="EQ65" i="14" s="1"/>
  <c r="DF77" i="14"/>
  <c r="CX83" i="14"/>
  <c r="EL82" i="14"/>
  <c r="EN82" i="14" s="1"/>
  <c r="EL83" i="14"/>
  <c r="EN83" i="14" s="1"/>
  <c r="EF80" i="14"/>
  <c r="EH80" i="14" s="1"/>
  <c r="EU83" i="14"/>
  <c r="EW83" i="14" s="1"/>
  <c r="EF59" i="14"/>
  <c r="EH59" i="14" s="1"/>
  <c r="DQ52" i="14"/>
  <c r="DS52" i="14" s="1"/>
  <c r="DN31" i="14"/>
  <c r="DP31" i="14" s="1"/>
  <c r="CW73" i="14"/>
  <c r="DA63" i="14"/>
  <c r="EF75" i="14"/>
  <c r="EH75" i="14" s="1"/>
  <c r="BY85" i="14"/>
  <c r="CS80" i="14"/>
  <c r="Z66" i="2"/>
  <c r="CP66" i="2" s="1"/>
  <c r="CQ66" i="2" s="1"/>
  <c r="Z80" i="2"/>
  <c r="CP80" i="2" s="1"/>
  <c r="CQ80" i="2" s="1"/>
  <c r="DN116" i="14"/>
  <c r="DP116" i="14" s="1"/>
  <c r="DJ125" i="14"/>
  <c r="CL103" i="14"/>
  <c r="EU34" i="14"/>
  <c r="EW34" i="14" s="1"/>
  <c r="CD24" i="14"/>
  <c r="EL33" i="14"/>
  <c r="EN33" i="14" s="1"/>
  <c r="CL29" i="14"/>
  <c r="CH63" i="14"/>
  <c r="CH52" i="14"/>
  <c r="CG34" i="14"/>
  <c r="CL45" i="14"/>
  <c r="CD79" i="14"/>
  <c r="CT16" i="14"/>
  <c r="DI31" i="14"/>
  <c r="CC43" i="14"/>
  <c r="DA51" i="14"/>
  <c r="CD63" i="14"/>
  <c r="EI50" i="14"/>
  <c r="EK50" i="14" s="1"/>
  <c r="EF50" i="14"/>
  <c r="EH50" i="14" s="1"/>
  <c r="BY29" i="14"/>
  <c r="DF43" i="14"/>
  <c r="CT51" i="14"/>
  <c r="BY59" i="14"/>
  <c r="EI68" i="14"/>
  <c r="EK68" i="14" s="1"/>
  <c r="DW24" i="14"/>
  <c r="DY24" i="14" s="1"/>
  <c r="CS68" i="14"/>
  <c r="EI45" i="14"/>
  <c r="EK45" i="14" s="1"/>
  <c r="CC51" i="14"/>
  <c r="DI62" i="14"/>
  <c r="CS70" i="14"/>
  <c r="DB49" i="14"/>
  <c r="AB39" i="7" s="1"/>
  <c r="DE61" i="14"/>
  <c r="CO69" i="14"/>
  <c r="BY52" i="14"/>
  <c r="CG62" i="14"/>
  <c r="DT40" i="14"/>
  <c r="DV40" i="14" s="1"/>
  <c r="CG63" i="14"/>
  <c r="Q42" i="7" s="1"/>
  <c r="CH34" i="14"/>
  <c r="CX45" i="14"/>
  <c r="DB65" i="14"/>
  <c r="EU77" i="14"/>
  <c r="EW77" i="14" s="1"/>
  <c r="EC85" i="14"/>
  <c r="EE85" i="14" s="1"/>
  <c r="ER77" i="14"/>
  <c r="ET77" i="14" s="1"/>
  <c r="DZ85" i="14"/>
  <c r="EB85" i="14" s="1"/>
  <c r="CX40" i="14"/>
  <c r="ER63" i="14"/>
  <c r="ET63" i="14" s="1"/>
  <c r="DQ83" i="14"/>
  <c r="DS83" i="14" s="1"/>
  <c r="CO40" i="14"/>
  <c r="BV31" i="14"/>
  <c r="BW31" i="14" s="1"/>
  <c r="CW59" i="14"/>
  <c r="CY59" i="14" s="1"/>
  <c r="DZ73" i="14"/>
  <c r="EB73" i="14" s="1"/>
  <c r="CT59" i="14"/>
  <c r="DI82" i="14"/>
  <c r="BZ51" i="14"/>
  <c r="DJ68" i="14"/>
  <c r="CC85" i="14"/>
  <c r="EC16" i="14"/>
  <c r="EE16" i="14" s="1"/>
  <c r="EO69" i="14"/>
  <c r="EQ69" i="14" s="1"/>
  <c r="CH127" i="14"/>
  <c r="EL124" i="14"/>
  <c r="EN124" i="14" s="1"/>
  <c r="CD125" i="14"/>
  <c r="EO103" i="14"/>
  <c r="EQ103" i="14" s="1"/>
  <c r="CP99" i="14"/>
  <c r="DB34" i="14"/>
  <c r="EI31" i="14"/>
  <c r="EK31" i="14" s="1"/>
  <c r="DF16" i="14"/>
  <c r="DJ24" i="14"/>
  <c r="CW33" i="14"/>
  <c r="CD50" i="14"/>
  <c r="DZ30" i="14"/>
  <c r="EB30" i="14" s="1"/>
  <c r="DI40" i="14"/>
  <c r="ER16" i="14"/>
  <c r="ET16" i="14" s="1"/>
  <c r="DT12" i="14"/>
  <c r="DN29" i="14"/>
  <c r="DP29" i="14" s="1"/>
  <c r="CH26" i="14"/>
  <c r="DQ17" i="14"/>
  <c r="DS17" i="14" s="1"/>
  <c r="EU52" i="14"/>
  <c r="EW52" i="14" s="1"/>
  <c r="CT29" i="14"/>
  <c r="BV50" i="14"/>
  <c r="BW50" i="14" s="1"/>
  <c r="EL51" i="14"/>
  <c r="EN51" i="14" s="1"/>
  <c r="CW30" i="14"/>
  <c r="BV43" i="14"/>
  <c r="BW43" i="14" s="1"/>
  <c r="EL52" i="14"/>
  <c r="EN52" i="14" s="1"/>
  <c r="DA12" i="14"/>
  <c r="DA26" i="14"/>
  <c r="DZ40" i="14"/>
  <c r="EB40" i="14" s="1"/>
  <c r="DT49" i="14"/>
  <c r="DV49" i="14" s="1"/>
  <c r="DZ24" i="14"/>
  <c r="EB24" i="14" s="1"/>
  <c r="EU26" i="14"/>
  <c r="EW26" i="14" s="1"/>
  <c r="EI69" i="14"/>
  <c r="EK69" i="14" s="1"/>
  <c r="EF77" i="14"/>
  <c r="EH77" i="14" s="1"/>
  <c r="DT24" i="14"/>
  <c r="DV24" i="14" s="1"/>
  <c r="DI59" i="14"/>
  <c r="EO12" i="14"/>
  <c r="CC52" i="14"/>
  <c r="BY62" i="14"/>
  <c r="DF50" i="14"/>
  <c r="CG61" i="14"/>
  <c r="EC70" i="14"/>
  <c r="EE70" i="14" s="1"/>
  <c r="CX12" i="14"/>
  <c r="DF63" i="14"/>
  <c r="EI17" i="14"/>
  <c r="EK17" i="14" s="1"/>
  <c r="DF64" i="14"/>
  <c r="DA77" i="14"/>
  <c r="CP85" i="14"/>
  <c r="CX77" i="14"/>
  <c r="CO85" i="14"/>
  <c r="CL77" i="14"/>
  <c r="CL63" i="14"/>
  <c r="DB75" i="14"/>
  <c r="BV83" i="14"/>
  <c r="BW83" i="14" s="1"/>
  <c r="CL34" i="14"/>
  <c r="DJ82" i="14"/>
  <c r="EU49" i="14"/>
  <c r="EW49" i="14" s="1"/>
  <c r="CK34" i="14"/>
  <c r="DW73" i="14"/>
  <c r="DY73" i="14" s="1"/>
  <c r="EF16" i="14"/>
  <c r="EH16" i="14" s="1"/>
  <c r="ER69" i="14"/>
  <c r="ET69" i="14" s="1"/>
  <c r="CC69" i="14"/>
  <c r="EL79" i="14"/>
  <c r="EN79" i="14" s="1"/>
  <c r="EO73" i="14"/>
  <c r="EQ73" i="14" s="1"/>
  <c r="CP75" i="14"/>
  <c r="DT80" i="14"/>
  <c r="DV80" i="14" s="1"/>
  <c r="DZ79" i="14"/>
  <c r="EB79" i="14" s="1"/>
  <c r="ER82" i="14"/>
  <c r="ET82" i="14" s="1"/>
  <c r="DQ80" i="14"/>
  <c r="DS80" i="14" s="1"/>
  <c r="EI75" i="14"/>
  <c r="EK75" i="14" s="1"/>
  <c r="DB77" i="14"/>
  <c r="EF43" i="14"/>
  <c r="EH43" i="14" s="1"/>
  <c r="DN52" i="14"/>
  <c r="DP52" i="14" s="1"/>
  <c r="EC80" i="14"/>
  <c r="EE80" i="14" s="1"/>
  <c r="BZ77" i="14"/>
  <c r="EC82" i="14"/>
  <c r="EE82" i="14" s="1"/>
  <c r="DZ80" i="14"/>
  <c r="EB80" i="14" s="1"/>
  <c r="DI33" i="14"/>
  <c r="CX68" i="14"/>
  <c r="DI52" i="14"/>
  <c r="CG49" i="14"/>
  <c r="DT132" i="14"/>
  <c r="DV132" i="14" s="1"/>
  <c r="DW132" i="14"/>
  <c r="DY132" i="14" s="1"/>
  <c r="DW119" i="14"/>
  <c r="DY119" i="14" s="1"/>
  <c r="Z70" i="14"/>
  <c r="Z17" i="14"/>
  <c r="J40" i="7"/>
  <c r="CD85" i="14"/>
  <c r="CT31" i="14"/>
  <c r="BV16" i="14"/>
  <c r="BW16" i="14" s="1"/>
  <c r="BZ24" i="14"/>
  <c r="EO34" i="14"/>
  <c r="EQ34" i="14" s="1"/>
  <c r="CP12" i="14"/>
  <c r="CO30" i="14"/>
  <c r="BY40" i="14"/>
  <c r="CH79" i="14"/>
  <c r="DA16" i="14"/>
  <c r="CK12" i="14"/>
  <c r="CC29" i="14"/>
  <c r="EU33" i="14"/>
  <c r="EW33" i="14" s="1"/>
  <c r="DB52" i="14"/>
  <c r="CS16" i="14"/>
  <c r="DA30" i="14"/>
  <c r="DJ43" i="14"/>
  <c r="EO51" i="14"/>
  <c r="EQ51" i="14" s="1"/>
  <c r="CD43" i="14"/>
  <c r="BZ29" i="14"/>
  <c r="DI43" i="14"/>
  <c r="CW51" i="14"/>
  <c r="CO16" i="14"/>
  <c r="DB31" i="14"/>
  <c r="CW52" i="14"/>
  <c r="CK49" i="14"/>
  <c r="CD70" i="14"/>
  <c r="DI49" i="14"/>
  <c r="DJ61" i="14"/>
  <c r="CT69" i="14"/>
  <c r="CD34" i="14"/>
  <c r="ER26" i="14"/>
  <c r="ET26" i="14" s="1"/>
  <c r="CG59" i="14"/>
  <c r="EC68" i="14"/>
  <c r="EE68" i="14" s="1"/>
  <c r="DJ63" i="14"/>
  <c r="CC33" i="14"/>
  <c r="DW51" i="14"/>
  <c r="DY51" i="14" s="1"/>
  <c r="DF62" i="14"/>
  <c r="CP70" i="14"/>
  <c r="DW40" i="14"/>
  <c r="DY40" i="14" s="1"/>
  <c r="CC63" i="14"/>
  <c r="O42" i="7" s="1"/>
  <c r="CC64" i="14"/>
  <c r="BV49" i="14"/>
  <c r="CK77" i="14"/>
  <c r="CC12" i="14"/>
  <c r="ER68" i="14"/>
  <c r="ET68" i="14" s="1"/>
  <c r="CD75" i="14"/>
  <c r="CS64" i="14"/>
  <c r="W43" i="7" s="1"/>
  <c r="DT62" i="14"/>
  <c r="DV62" i="14" s="1"/>
  <c r="DW61" i="14"/>
  <c r="DY61" i="14" s="1"/>
  <c r="BZ59" i="14"/>
  <c r="DT61" i="14"/>
  <c r="DV61" i="14" s="1"/>
  <c r="DQ85" i="14"/>
  <c r="DS85" i="14" s="1"/>
  <c r="BY69" i="14"/>
  <c r="EO79" i="14"/>
  <c r="EQ79" i="14" s="1"/>
  <c r="BZ70" i="14"/>
  <c r="CW79" i="14"/>
  <c r="DJ77" i="14"/>
  <c r="DZ43" i="14"/>
  <c r="EB43" i="14" s="1"/>
  <c r="DN30" i="14"/>
  <c r="DP30" i="14" s="1"/>
  <c r="CC50" i="14"/>
  <c r="EL80" i="14"/>
  <c r="EN80" i="14" s="1"/>
  <c r="CX85" i="14"/>
  <c r="CX62" i="14"/>
  <c r="CP82" i="14"/>
  <c r="ER70" i="14"/>
  <c r="ET70" i="14" s="1"/>
  <c r="CT83" i="14"/>
  <c r="ER49" i="14"/>
  <c r="ET49" i="14" s="1"/>
  <c r="CO50" i="14"/>
  <c r="CO83" i="14"/>
  <c r="CT85" i="14"/>
  <c r="DB45" i="14"/>
  <c r="DF52" i="14"/>
  <c r="EO70" i="14"/>
  <c r="EQ70" i="14" s="1"/>
  <c r="CL17" i="14"/>
  <c r="Z65" i="2"/>
  <c r="CP65" i="2" s="1"/>
  <c r="CQ65" i="2" s="1"/>
  <c r="Z33" i="2"/>
  <c r="CP33" i="2" s="1"/>
  <c r="CQ33" i="2" s="1"/>
  <c r="CG122" i="14"/>
  <c r="CC124" i="14"/>
  <c r="DQ99" i="14"/>
  <c r="DS99" i="14" s="1"/>
  <c r="Z79" i="14"/>
  <c r="CH29" i="14"/>
  <c r="DN40" i="14"/>
  <c r="DP40" i="14" s="1"/>
  <c r="DI17" i="14"/>
  <c r="EC31" i="14"/>
  <c r="EE31" i="14" s="1"/>
  <c r="DT29" i="14"/>
  <c r="DV29" i="14" s="1"/>
  <c r="DQ30" i="14"/>
  <c r="DS30" i="14" s="1"/>
  <c r="BV33" i="14"/>
  <c r="BW33" i="14" s="1"/>
  <c r="DT45" i="14"/>
  <c r="DV45" i="14" s="1"/>
  <c r="CX17" i="14"/>
  <c r="DF31" i="14"/>
  <c r="BZ43" i="14"/>
  <c r="CX51" i="14"/>
  <c r="CP16" i="14"/>
  <c r="CX30" i="14"/>
  <c r="BY43" i="14"/>
  <c r="EO52" i="14"/>
  <c r="EQ52" i="14" s="1"/>
  <c r="CT17" i="14"/>
  <c r="DW50" i="14"/>
  <c r="DY50" i="14" s="1"/>
  <c r="EO29" i="14"/>
  <c r="EQ29" i="14" s="1"/>
  <c r="DJ49" i="14"/>
  <c r="AF39" i="7" s="1"/>
  <c r="DN61" i="14"/>
  <c r="DP61" i="14" s="1"/>
  <c r="EL29" i="14"/>
  <c r="EN29" i="14" s="1"/>
  <c r="DQ50" i="14"/>
  <c r="DS50" i="14" s="1"/>
  <c r="EL70" i="14"/>
  <c r="EN70" i="14" s="1"/>
  <c r="CH82" i="14"/>
  <c r="CP68" i="14"/>
  <c r="CG51" i="14"/>
  <c r="CC62" i="14"/>
  <c r="DI64" i="14"/>
  <c r="CS43" i="14"/>
  <c r="DI65" i="14"/>
  <c r="CD12" i="14"/>
  <c r="DI51" i="14"/>
  <c r="EU68" i="14"/>
  <c r="EW68" i="14" s="1"/>
  <c r="DF51" i="14"/>
  <c r="CC68" i="14"/>
  <c r="CH49" i="14"/>
  <c r="CT45" i="14"/>
  <c r="CX65" i="14"/>
  <c r="DF68" i="14"/>
  <c r="CW40" i="14"/>
  <c r="EF62" i="14"/>
  <c r="EH62" i="14" s="1"/>
  <c r="DA75" i="14"/>
  <c r="DN83" i="14"/>
  <c r="DP83" i="14" s="1"/>
  <c r="CC65" i="14"/>
  <c r="CT40" i="14"/>
  <c r="EC62" i="14"/>
  <c r="EE62" i="14" s="1"/>
  <c r="EU75" i="14"/>
  <c r="EW75" i="14" s="1"/>
  <c r="CX70" i="14"/>
  <c r="CX79" i="14"/>
  <c r="EC24" i="14"/>
  <c r="EE24" i="14" s="1"/>
  <c r="ER80" i="14"/>
  <c r="ET80" i="14" s="1"/>
  <c r="BY49" i="14"/>
  <c r="DB68" i="14"/>
  <c r="DQ75" i="14"/>
  <c r="DS75" i="14" s="1"/>
  <c r="BV80" i="14"/>
  <c r="BW80" i="14" s="1"/>
  <c r="EF64" i="14"/>
  <c r="EH64" i="14" s="1"/>
  <c r="DZ82" i="14"/>
  <c r="EB82" i="14" s="1"/>
  <c r="ER59" i="14"/>
  <c r="ET59" i="14" s="1"/>
  <c r="EI61" i="14"/>
  <c r="EK61" i="14" s="1"/>
  <c r="DA68" i="14"/>
  <c r="DQ79" i="14"/>
  <c r="DS79" i="14" s="1"/>
  <c r="CH75" i="14"/>
  <c r="CK69" i="14"/>
  <c r="EI65" i="14"/>
  <c r="EK65" i="14" s="1"/>
  <c r="ER85" i="14"/>
  <c r="ET85" i="14" s="1"/>
  <c r="CC49" i="14"/>
  <c r="O39" i="7" s="1"/>
  <c r="CO17" i="14"/>
  <c r="BZ49" i="14"/>
  <c r="N39" i="7" s="1"/>
  <c r="CK43" i="14"/>
  <c r="Z71" i="2"/>
  <c r="CP71" i="2" s="1"/>
  <c r="CQ71" i="2" s="1"/>
  <c r="Z38" i="2"/>
  <c r="CP38" i="2" s="1"/>
  <c r="CQ38" i="2" s="1"/>
  <c r="Z54" i="2"/>
  <c r="CP54" i="2" s="1"/>
  <c r="CQ54" i="2" s="1"/>
  <c r="DW126" i="14"/>
  <c r="DY126" i="14" s="1"/>
  <c r="DW117" i="14"/>
  <c r="DY117" i="14" s="1"/>
  <c r="DN17" i="14"/>
  <c r="DP17" i="14" s="1"/>
  <c r="DW26" i="14"/>
  <c r="DY26" i="14" s="1"/>
  <c r="EO33" i="14"/>
  <c r="EQ33" i="14" s="1"/>
  <c r="DQ26" i="14"/>
  <c r="DS26" i="14" s="1"/>
  <c r="DW30" i="14"/>
  <c r="DY30" i="14" s="1"/>
  <c r="CG29" i="14"/>
  <c r="DT31" i="14"/>
  <c r="DV31" i="14" s="1"/>
  <c r="DA24" i="14"/>
  <c r="DW33" i="14"/>
  <c r="DY33" i="14" s="1"/>
  <c r="DA52" i="14"/>
  <c r="DZ34" i="14"/>
  <c r="EB34" i="14" s="1"/>
  <c r="BZ45" i="14"/>
  <c r="EU43" i="14"/>
  <c r="EW43" i="14" s="1"/>
  <c r="EC51" i="14"/>
  <c r="EE51" i="14" s="1"/>
  <c r="DA50" i="14"/>
  <c r="BV62" i="14"/>
  <c r="BW62" i="14" s="1"/>
  <c r="CL33" i="14"/>
  <c r="DQ63" i="14"/>
  <c r="DS63" i="14" s="1"/>
  <c r="CH65" i="14"/>
  <c r="BY30" i="14"/>
  <c r="DN50" i="14"/>
  <c r="DP50" i="14" s="1"/>
  <c r="DI61" i="14"/>
  <c r="CS69" i="14"/>
  <c r="DQ65" i="14"/>
  <c r="DS65" i="14" s="1"/>
  <c r="BY63" i="14"/>
  <c r="CT43" i="14"/>
  <c r="DJ65" i="14"/>
  <c r="DA73" i="14"/>
  <c r="DE45" i="14"/>
  <c r="CK17" i="14"/>
  <c r="CX69" i="14"/>
  <c r="DI79" i="14"/>
  <c r="DF70" i="14"/>
  <c r="DF79" i="14"/>
  <c r="CW77" i="14"/>
  <c r="CL85" i="14"/>
  <c r="CK63" i="14"/>
  <c r="EL75" i="14"/>
  <c r="EN75" i="14" s="1"/>
  <c r="EU64" i="14"/>
  <c r="EW64" i="14" s="1"/>
  <c r="EO30" i="14"/>
  <c r="EQ30" i="14" s="1"/>
  <c r="EU30" i="14"/>
  <c r="EW30" i="14" s="1"/>
  <c r="DB80" i="14"/>
  <c r="ER30" i="14"/>
  <c r="ET30" i="14" s="1"/>
  <c r="CP59" i="14"/>
  <c r="CL80" i="14"/>
  <c r="DT79" i="14"/>
  <c r="DV79" i="14" s="1"/>
  <c r="DI77" i="14"/>
  <c r="DF85" i="14"/>
  <c r="CT82" i="14"/>
  <c r="ER65" i="14"/>
  <c r="ET65" i="14" s="1"/>
  <c r="CS83" i="14"/>
  <c r="CW62" i="14"/>
  <c r="EO59" i="14"/>
  <c r="EQ59" i="14" s="1"/>
  <c r="CX64" i="14"/>
  <c r="CG70" i="14"/>
  <c r="DQ70" i="14"/>
  <c r="DS70" i="14" s="1"/>
  <c r="Z69" i="2"/>
  <c r="CP69" i="2" s="1"/>
  <c r="CQ69" i="2" s="1"/>
  <c r="Z61" i="2"/>
  <c r="CP61" i="2" s="1"/>
  <c r="CQ61" i="2" s="1"/>
  <c r="Z20" i="2"/>
  <c r="CP20" i="2" s="1"/>
  <c r="CQ20" i="2" s="1"/>
  <c r="CO120" i="14"/>
  <c r="Z12" i="14"/>
  <c r="DI16" i="14"/>
  <c r="DN24" i="14"/>
  <c r="DP24" i="14" s="1"/>
  <c r="ER34" i="14"/>
  <c r="ET34" i="14" s="1"/>
  <c r="CD45" i="14"/>
  <c r="CH62" i="14"/>
  <c r="DI24" i="14"/>
  <c r="DZ31" i="14"/>
  <c r="EB31" i="14" s="1"/>
  <c r="CK30" i="14"/>
  <c r="EU24" i="14"/>
  <c r="EW24" i="14" s="1"/>
  <c r="EU40" i="14"/>
  <c r="EW40" i="14" s="1"/>
  <c r="EI26" i="14"/>
  <c r="EK26" i="14" s="1"/>
  <c r="CL40" i="14"/>
  <c r="EL49" i="14"/>
  <c r="EN49" i="14" s="1"/>
  <c r="BZ34" i="14"/>
  <c r="CG45" i="14"/>
  <c r="BY34" i="14"/>
  <c r="CC45" i="14"/>
  <c r="CL49" i="14"/>
  <c r="CP17" i="14"/>
  <c r="CX31" i="14"/>
  <c r="EF52" i="14"/>
  <c r="EH52" i="14" s="1"/>
  <c r="BZ63" i="14"/>
  <c r="DT64" i="14"/>
  <c r="DV64" i="14" s="1"/>
  <c r="CK33" i="14"/>
  <c r="BY51" i="14"/>
  <c r="DJ62" i="14"/>
  <c r="CT70" i="14"/>
  <c r="CC73" i="14"/>
  <c r="EO17" i="14"/>
  <c r="EQ17" i="14" s="1"/>
  <c r="EU73" i="14"/>
  <c r="EW73" i="14" s="1"/>
  <c r="DZ45" i="14"/>
  <c r="EB45" i="14" s="1"/>
  <c r="CW26" i="14"/>
  <c r="DA59" i="14"/>
  <c r="DN80" i="14"/>
  <c r="DP80" i="14" s="1"/>
  <c r="CS26" i="14"/>
  <c r="DJ80" i="14"/>
  <c r="CG68" i="14"/>
  <c r="CW65" i="14"/>
  <c r="CT77" i="14"/>
  <c r="CK85" i="14"/>
  <c r="CH50" i="14"/>
  <c r="CT65" i="14"/>
  <c r="EI77" i="14"/>
  <c r="EK77" i="14" s="1"/>
  <c r="DW52" i="14"/>
  <c r="DY52" i="14" s="1"/>
  <c r="DT73" i="14"/>
  <c r="DV73" i="14" s="1"/>
  <c r="CX61" i="14"/>
  <c r="CH117" i="14"/>
  <c r="DQ132" i="14"/>
  <c r="DS132" i="14" s="1"/>
  <c r="EL99" i="14"/>
  <c r="EN99" i="14" s="1"/>
  <c r="BY16" i="14"/>
  <c r="CC24" i="14"/>
  <c r="DA34" i="14"/>
  <c r="CH70" i="14"/>
  <c r="BY24" i="14"/>
  <c r="CO31" i="14"/>
  <c r="DW31" i="14"/>
  <c r="DY31" i="14" s="1"/>
  <c r="DE40" i="14"/>
  <c r="DB24" i="14"/>
  <c r="DB40" i="14"/>
  <c r="DN12" i="14"/>
  <c r="CW49" i="14"/>
  <c r="DZ50" i="14"/>
  <c r="EB50" i="14" s="1"/>
  <c r="CS52" i="14"/>
  <c r="DW64" i="14"/>
  <c r="DY64" i="14" s="1"/>
  <c r="EU12" i="14"/>
  <c r="BZ64" i="14"/>
  <c r="CG52" i="14"/>
  <c r="K41" i="7"/>
  <c r="EF45" i="14"/>
  <c r="EH45" i="14" s="1"/>
  <c r="DN65" i="14"/>
  <c r="DP65" i="14" s="1"/>
  <c r="DB73" i="14"/>
  <c r="DQ68" i="14"/>
  <c r="DS68" i="14" s="1"/>
  <c r="CT26" i="14"/>
  <c r="DQ59" i="14"/>
  <c r="DS59" i="14" s="1"/>
  <c r="BV69" i="14"/>
  <c r="BW69" i="14" s="1"/>
  <c r="CS77" i="14"/>
  <c r="DQ61" i="14"/>
  <c r="DS61" i="14" s="1"/>
  <c r="BY73" i="14"/>
  <c r="EL64" i="14"/>
  <c r="EN64" i="14" s="1"/>
  <c r="DW62" i="14"/>
  <c r="DY62" i="14" s="1"/>
  <c r="DE82" i="14"/>
  <c r="BV70" i="14"/>
  <c r="BW70" i="14" s="1"/>
  <c r="BV61" i="14"/>
  <c r="BW61" i="14" s="1"/>
  <c r="DE83" i="14"/>
  <c r="CX123" i="14"/>
  <c r="CC116" i="14"/>
  <c r="Z31" i="14"/>
  <c r="DJ17" i="14"/>
  <c r="DE16" i="14"/>
  <c r="CD29" i="14"/>
  <c r="DW12" i="14"/>
  <c r="CL31" i="14"/>
  <c r="EO16" i="14"/>
  <c r="EQ16" i="14" s="1"/>
  <c r="DZ33" i="14"/>
  <c r="EB33" i="14" s="1"/>
  <c r="EO50" i="14"/>
  <c r="EQ50" i="14" s="1"/>
  <c r="CX24" i="14"/>
  <c r="CD65" i="14"/>
  <c r="EU29" i="14"/>
  <c r="EW29" i="14" s="1"/>
  <c r="DJ33" i="14"/>
  <c r="DF45" i="14"/>
  <c r="CL64" i="14"/>
  <c r="DW65" i="14"/>
  <c r="DY65" i="14" s="1"/>
  <c r="ER12" i="14"/>
  <c r="DN63" i="14"/>
  <c r="DP63" i="14" s="1"/>
  <c r="CL24" i="14"/>
  <c r="CW43" i="14"/>
  <c r="CG73" i="14"/>
  <c r="DB59" i="14"/>
  <c r="DE29" i="14"/>
  <c r="BV68" i="14"/>
  <c r="BW68" i="14" s="1"/>
  <c r="DT59" i="14"/>
  <c r="DV59" i="14" s="1"/>
  <c r="EI73" i="14"/>
  <c r="EK73" i="14" s="1"/>
  <c r="BZ31" i="14"/>
  <c r="EF73" i="14"/>
  <c r="EH73" i="14" s="1"/>
  <c r="DE70" i="14"/>
  <c r="DE79" i="14"/>
  <c r="BY12" i="14"/>
  <c r="EU50" i="14"/>
  <c r="EW50" i="14" s="1"/>
  <c r="ER50" i="14"/>
  <c r="ET50" i="14" s="1"/>
  <c r="CS40" i="14"/>
  <c r="DZ62" i="14"/>
  <c r="EB62" i="14" s="1"/>
  <c r="DF82" i="14"/>
  <c r="CG69" i="14"/>
  <c r="CP40" i="14"/>
  <c r="EF63" i="14"/>
  <c r="EH63" i="14" s="1"/>
  <c r="EO75" i="14"/>
  <c r="EQ75" i="14" s="1"/>
  <c r="CG82" i="14"/>
  <c r="DE118" i="14"/>
  <c r="CL26" i="14"/>
  <c r="DT30" i="14"/>
  <c r="DV30" i="14" s="1"/>
  <c r="CX43" i="14"/>
  <c r="DN64" i="14"/>
  <c r="DP64" i="14" s="1"/>
  <c r="BZ12" i="14"/>
  <c r="CP64" i="14"/>
  <c r="CT79" i="14"/>
  <c r="DE65" i="14"/>
  <c r="EU82" i="14"/>
  <c r="EW82" i="14" s="1"/>
  <c r="DT52" i="14"/>
  <c r="DV52" i="14" s="1"/>
  <c r="BV75" i="14"/>
  <c r="BW75" i="14" s="1"/>
  <c r="CK50" i="14"/>
  <c r="DQ31" i="14"/>
  <c r="DS31" i="14" s="1"/>
  <c r="CP80" i="14"/>
  <c r="Z51" i="2"/>
  <c r="CP51" i="2" s="1"/>
  <c r="CQ51" i="2" s="1"/>
  <c r="Z78" i="2"/>
  <c r="CP78" i="2" s="1"/>
  <c r="CQ78" i="2" s="1"/>
  <c r="DZ83" i="14"/>
  <c r="EB83" i="14" s="1"/>
  <c r="BY129" i="14"/>
  <c r="CC17" i="14"/>
  <c r="DE31" i="14"/>
  <c r="DW49" i="14"/>
  <c r="DY49" i="14" s="1"/>
  <c r="BV65" i="14"/>
  <c r="BW65" i="14" s="1"/>
  <c r="DT85" i="14"/>
  <c r="DV85" i="14" s="1"/>
  <c r="EU65" i="14"/>
  <c r="EW65" i="14" s="1"/>
  <c r="EI83" i="14"/>
  <c r="EK83" i="14" s="1"/>
  <c r="CL75" i="14"/>
  <c r="DJ30" i="14"/>
  <c r="CK82" i="14"/>
  <c r="EU59" i="14"/>
  <c r="EW59" i="14" s="1"/>
  <c r="DJ79" i="14"/>
  <c r="DW80" i="14"/>
  <c r="DY80" i="14" s="1"/>
  <c r="CO82" i="14"/>
  <c r="EC43" i="14"/>
  <c r="EE43" i="14" s="1"/>
  <c r="DB85" i="14"/>
  <c r="CS85" i="14"/>
  <c r="CL61" i="14"/>
  <c r="T40" i="7" s="1"/>
  <c r="Z63" i="2"/>
  <c r="CP63" i="2" s="1"/>
  <c r="CQ63" i="2" s="1"/>
  <c r="Z79" i="2"/>
  <c r="CP79" i="2" s="1"/>
  <c r="CQ79" i="2" s="1"/>
  <c r="CP11" i="2"/>
  <c r="CQ11" i="2" s="1"/>
  <c r="Z30" i="2"/>
  <c r="CP30" i="2" s="1"/>
  <c r="CQ30" i="2" s="1"/>
  <c r="DB83" i="14"/>
  <c r="CT131" i="14"/>
  <c r="CC34" i="14"/>
  <c r="DI30" i="14"/>
  <c r="BY64" i="14"/>
  <c r="EO68" i="14"/>
  <c r="EQ68" i="14" s="1"/>
  <c r="DW85" i="14"/>
  <c r="DY85" i="14" s="1"/>
  <c r="CP45" i="14"/>
  <c r="DJ70" i="14"/>
  <c r="BY75" i="14"/>
  <c r="DW16" i="14"/>
  <c r="DY16" i="14" s="1"/>
  <c r="CS50" i="14"/>
  <c r="CT68" i="14"/>
  <c r="BV85" i="14"/>
  <c r="BW85" i="14" s="1"/>
  <c r="Z64" i="2"/>
  <c r="CP64" i="2" s="1"/>
  <c r="CQ64" i="2" s="1"/>
  <c r="Z81" i="2"/>
  <c r="CP81" i="2" s="1"/>
  <c r="CQ81" i="2" s="1"/>
  <c r="Z44" i="2"/>
  <c r="CP44" i="2" s="1"/>
  <c r="CQ44" i="2" s="1"/>
  <c r="EF69" i="14"/>
  <c r="EH69" i="14" s="1"/>
  <c r="DZ64" i="14"/>
  <c r="EB64" i="14" s="1"/>
  <c r="Z67" i="2"/>
  <c r="CP67" i="2" s="1"/>
  <c r="CQ67" i="2" s="1"/>
  <c r="BZ52" i="14"/>
  <c r="EL63" i="14"/>
  <c r="EN63" i="14" s="1"/>
  <c r="Z74" i="2"/>
  <c r="CP74" i="2" s="1"/>
  <c r="CQ74" i="2" s="1"/>
  <c r="CX33" i="14"/>
  <c r="CH24" i="14"/>
  <c r="EI130" i="14"/>
  <c r="EK130" i="14" s="1"/>
  <c r="DT33" i="14"/>
  <c r="DV33" i="14" s="1"/>
  <c r="ER29" i="14"/>
  <c r="ET29" i="14" s="1"/>
  <c r="DB33" i="14"/>
  <c r="DN62" i="14"/>
  <c r="DP62" i="14" s="1"/>
  <c r="CC16" i="14"/>
  <c r="CX75" i="14"/>
  <c r="EF24" i="14"/>
  <c r="EH24" i="14" s="1"/>
  <c r="DW75" i="14"/>
  <c r="DY75" i="14" s="1"/>
  <c r="DJ51" i="14"/>
  <c r="CG31" i="14"/>
  <c r="EC17" i="14"/>
  <c r="EE17" i="14" s="1"/>
  <c r="DA83" i="14"/>
  <c r="EI43" i="14"/>
  <c r="EK43" i="14" s="1"/>
  <c r="DB63" i="14"/>
  <c r="CK65" i="14"/>
  <c r="CH59" i="14"/>
  <c r="EU70" i="14"/>
  <c r="EW70" i="14" s="1"/>
  <c r="ER45" i="14"/>
  <c r="ET45" i="14" s="1"/>
  <c r="CW85" i="14"/>
  <c r="DN51" i="14"/>
  <c r="DP51" i="14" s="1"/>
  <c r="DA82" i="14"/>
  <c r="Z77" i="2"/>
  <c r="CP77" i="2" s="1"/>
  <c r="CQ77" i="2" s="1"/>
  <c r="Z76" i="2"/>
  <c r="CP76" i="2" s="1"/>
  <c r="CQ76" i="2" s="1"/>
  <c r="CP12" i="2"/>
  <c r="CQ12" i="2" s="1"/>
  <c r="CP51" i="14"/>
  <c r="DW17" i="14"/>
  <c r="DY17" i="14" s="1"/>
  <c r="EI70" i="14"/>
  <c r="EK70" i="14" s="1"/>
  <c r="CP52" i="14"/>
  <c r="ER83" i="14"/>
  <c r="ET83" i="14" s="1"/>
  <c r="CX63" i="14"/>
  <c r="CC77" i="14"/>
  <c r="DB26" i="14"/>
  <c r="CK80" i="14"/>
  <c r="EO31" i="14"/>
  <c r="EQ31" i="14" s="1"/>
  <c r="CT96" i="14"/>
  <c r="ER40" i="14"/>
  <c r="ET40" i="14" s="1"/>
  <c r="CH68" i="14"/>
  <c r="DQ45" i="14"/>
  <c r="DS45" i="14" s="1"/>
  <c r="BZ30" i="14"/>
  <c r="BV63" i="14"/>
  <c r="BW63" i="14" s="1"/>
  <c r="BY61" i="14"/>
  <c r="M40" i="7" s="1"/>
  <c r="CG17" i="14"/>
  <c r="CW69" i="14"/>
  <c r="DA80" i="14"/>
  <c r="CW83" i="14"/>
  <c r="CL62" i="14"/>
  <c r="EC64" i="14"/>
  <c r="EE64" i="14" s="1"/>
  <c r="CL82" i="14"/>
  <c r="DW63" i="14"/>
  <c r="DY63" i="14" s="1"/>
  <c r="CL43" i="14"/>
  <c r="DT70" i="14"/>
  <c r="DV70" i="14" s="1"/>
  <c r="EU85" i="14"/>
  <c r="EW85" i="14" s="1"/>
  <c r="Z60" i="2"/>
  <c r="CP60" i="2" s="1"/>
  <c r="CQ60" i="2" s="1"/>
  <c r="Z19" i="2"/>
  <c r="CP19" i="2" s="1"/>
  <c r="CQ19" i="2" s="1"/>
  <c r="CW70" i="14"/>
  <c r="Z70" i="2"/>
  <c r="CP70" i="2" s="1"/>
  <c r="CQ70" i="2" s="1"/>
  <c r="ER73" i="14"/>
  <c r="ET73" i="14" s="1"/>
  <c r="EC59" i="14"/>
  <c r="EE59" i="14" s="1"/>
  <c r="EC83" i="14"/>
  <c r="EE83" i="14" s="1"/>
  <c r="EI29" i="14"/>
  <c r="EK29" i="14" s="1"/>
  <c r="CW82" i="14"/>
  <c r="DI69" i="14"/>
  <c r="Z41" i="2"/>
  <c r="CP41" i="2" s="1"/>
  <c r="CQ41" i="2" s="1"/>
  <c r="J43" i="7"/>
  <c r="CW17" i="14"/>
  <c r="EC40" i="14"/>
  <c r="EE40" i="14" s="1"/>
  <c r="CD33" i="14"/>
  <c r="DI63" i="14"/>
  <c r="EI85" i="14"/>
  <c r="EK85" i="14" s="1"/>
  <c r="DN69" i="14"/>
  <c r="DP69" i="14" s="1"/>
  <c r="DA64" i="14"/>
  <c r="AA43" i="7" s="1"/>
  <c r="DB69" i="14"/>
  <c r="DN49" i="14"/>
  <c r="DP49" i="14" s="1"/>
  <c r="EL59" i="14"/>
  <c r="EN59" i="14" s="1"/>
  <c r="DA85" i="14"/>
  <c r="CO61" i="14"/>
  <c r="EF65" i="14"/>
  <c r="EH65" i="14" s="1"/>
  <c r="Z57" i="2"/>
  <c r="CP57" i="2" s="1"/>
  <c r="CQ57" i="2" s="1"/>
  <c r="CG12" i="14"/>
  <c r="CP16" i="2"/>
  <c r="CQ16" i="2" s="1"/>
  <c r="DI50" i="14"/>
  <c r="DB82" i="14"/>
  <c r="DQ62" i="14"/>
  <c r="DS62" i="14" s="1"/>
  <c r="EO77" i="14"/>
  <c r="EQ77" i="14" s="1"/>
  <c r="EI64" i="14"/>
  <c r="EK64" i="14" s="1"/>
  <c r="CC70" i="14"/>
  <c r="EL43" i="14"/>
  <c r="EN43" i="14" s="1"/>
  <c r="CK73" i="14"/>
  <c r="Z51" i="14"/>
  <c r="CP31" i="14"/>
  <c r="CX52" i="14"/>
  <c r="DQ12" i="14"/>
  <c r="DJ64" i="14"/>
  <c r="EL17" i="14"/>
  <c r="EN17" i="14" s="1"/>
  <c r="ER24" i="14"/>
  <c r="ET24" i="14" s="1"/>
  <c r="CS45" i="14"/>
  <c r="EF79" i="14"/>
  <c r="EH79" i="14" s="1"/>
  <c r="EC79" i="14"/>
  <c r="EE79" i="14" s="1"/>
  <c r="DT16" i="14"/>
  <c r="DV16" i="14" s="1"/>
  <c r="DN34" i="14"/>
  <c r="DP34" i="14" s="1"/>
  <c r="CS62" i="14"/>
  <c r="W41" i="7" s="1"/>
  <c r="CH80" i="14"/>
  <c r="DQ77" i="14"/>
  <c r="DS77" i="14" s="1"/>
  <c r="CD64" i="14"/>
  <c r="CO43" i="14"/>
  <c r="Z34" i="2"/>
  <c r="CP34" i="2" s="1"/>
  <c r="CQ34" i="2" s="1"/>
  <c r="DE73" i="14"/>
  <c r="CO52" i="14"/>
  <c r="CO64" i="14"/>
  <c r="U43" i="7" s="1"/>
  <c r="CC40" i="14"/>
  <c r="CG30" i="14"/>
  <c r="CH64" i="14"/>
  <c r="BY68" i="14"/>
  <c r="DN79" i="14"/>
  <c r="DP79" i="14" s="1"/>
  <c r="EO80" i="14"/>
  <c r="EQ80" i="14" s="1"/>
  <c r="DJ73" i="14"/>
  <c r="DJ69" i="14"/>
  <c r="DW77" i="14"/>
  <c r="DY77" i="14" s="1"/>
  <c r="DE64" i="14"/>
  <c r="AC43" i="7" s="1"/>
  <c r="DW82" i="14"/>
  <c r="DY82" i="14" s="1"/>
  <c r="BZ61" i="14"/>
  <c r="N40" i="7" s="1"/>
  <c r="Z73" i="2"/>
  <c r="CP73" i="2" s="1"/>
  <c r="CQ73" i="2" s="1"/>
  <c r="Z43" i="2"/>
  <c r="CP43" i="2" s="1"/>
  <c r="CQ43" i="2" s="1"/>
  <c r="CP13" i="2"/>
  <c r="CQ13" i="2" s="1"/>
  <c r="CK52" i="14"/>
  <c r="DE51" i="14"/>
  <c r="CP73" i="14"/>
  <c r="CP24" i="14"/>
  <c r="CK83" i="14"/>
  <c r="CK70" i="14"/>
  <c r="DT63" i="14"/>
  <c r="DV63" i="14" s="1"/>
  <c r="EU80" i="14"/>
  <c r="EW80" i="14" s="1"/>
  <c r="EO49" i="14"/>
  <c r="EQ49" i="14" s="1"/>
  <c r="DN73" i="14"/>
  <c r="DP73" i="14" s="1"/>
  <c r="DJ52" i="14"/>
  <c r="CK31" i="14"/>
  <c r="CD49" i="14"/>
  <c r="P39" i="7" s="1"/>
  <c r="CK16" i="14"/>
  <c r="BY50" i="14"/>
  <c r="DE50" i="14"/>
  <c r="DF49" i="14"/>
  <c r="DI70" i="14"/>
  <c r="CX82" i="14"/>
  <c r="BZ80" i="14"/>
  <c r="CS73" i="14"/>
  <c r="EL65" i="14"/>
  <c r="EN65" i="14" s="1"/>
  <c r="CT62" i="14"/>
  <c r="CG83" i="14"/>
  <c r="Z59" i="2"/>
  <c r="CP59" i="2" s="1"/>
  <c r="CQ59" i="2" s="1"/>
  <c r="Z63" i="14"/>
  <c r="DJ45" i="14"/>
  <c r="DA62" i="14"/>
  <c r="AA41" i="7" s="1"/>
  <c r="Z21" i="2"/>
  <c r="CP21" i="2" s="1"/>
  <c r="CQ21" i="2" s="1"/>
  <c r="EL77" i="14"/>
  <c r="EN77" i="14" s="1"/>
  <c r="CP62" i="14"/>
  <c r="ER52" i="14"/>
  <c r="ET52" i="14" s="1"/>
  <c r="CK29" i="14"/>
  <c r="I40" i="7"/>
  <c r="CK45" i="14"/>
  <c r="DQ33" i="14"/>
  <c r="DS33" i="14" s="1"/>
  <c r="DF30" i="14"/>
  <c r="DQ73" i="14"/>
  <c r="DS73" i="14" s="1"/>
  <c r="EF85" i="14"/>
  <c r="EH85" i="14" s="1"/>
  <c r="EL73" i="14"/>
  <c r="EN73" i="14" s="1"/>
  <c r="BV77" i="14"/>
  <c r="BW77" i="14" s="1"/>
  <c r="DZ63" i="14"/>
  <c r="EB63" i="14" s="1"/>
  <c r="BV59" i="14"/>
  <c r="BW59" i="14" s="1"/>
  <c r="BV79" i="14"/>
  <c r="BW79" i="14" s="1"/>
  <c r="EC65" i="14"/>
  <c r="EE65" i="14" s="1"/>
  <c r="Z75" i="2"/>
  <c r="CP75" i="2" s="1"/>
  <c r="CQ75" i="2" s="1"/>
  <c r="CG65" i="14"/>
  <c r="Z40" i="14"/>
  <c r="CL30" i="14"/>
  <c r="BV34" i="14"/>
  <c r="BW34" i="14" s="1"/>
  <c r="DB12" i="14"/>
  <c r="DT50" i="14"/>
  <c r="DV50" i="14" s="1"/>
  <c r="BY65" i="14"/>
  <c r="BY79" i="14"/>
  <c r="CT63" i="14"/>
  <c r="CP43" i="14"/>
  <c r="CG50" i="14"/>
  <c r="CO73" i="14"/>
  <c r="CW50" i="14"/>
  <c r="EC75" i="14"/>
  <c r="EE75" i="14" s="1"/>
  <c r="DN77" i="14"/>
  <c r="DP77" i="14" s="1"/>
  <c r="Z72" i="2"/>
  <c r="CP72" i="2" s="1"/>
  <c r="CQ72" i="2" s="1"/>
  <c r="Z46" i="2"/>
  <c r="CP46" i="2" s="1"/>
  <c r="CQ46" i="2" s="1"/>
  <c r="CW63" i="14"/>
  <c r="BY17" i="14"/>
  <c r="DQ29" i="14"/>
  <c r="DS29" i="14" s="1"/>
  <c r="DN45" i="14"/>
  <c r="DP45" i="14" s="1"/>
  <c r="DB43" i="14"/>
  <c r="CL52" i="14"/>
  <c r="EO63" i="14"/>
  <c r="EQ63" i="14" s="1"/>
  <c r="CS59" i="14"/>
  <c r="CP61" i="14"/>
  <c r="V40" i="7" s="1"/>
  <c r="ER62" i="14"/>
  <c r="ET62" i="14" s="1"/>
  <c r="EF17" i="14"/>
  <c r="EH17" i="14" s="1"/>
  <c r="DJ75" i="14"/>
  <c r="DA45" i="14"/>
  <c r="CX80" i="14"/>
  <c r="DB64" i="14"/>
  <c r="EO83" i="14"/>
  <c r="EQ83" i="14" s="1"/>
  <c r="CO75" i="14"/>
  <c r="EI82" i="14"/>
  <c r="EK82" i="14" s="1"/>
  <c r="EI59" i="14"/>
  <c r="EK59" i="14" s="1"/>
  <c r="CO79" i="14"/>
  <c r="EI79" i="14"/>
  <c r="EK79" i="14" s="1"/>
  <c r="Z82" i="2"/>
  <c r="CP82" i="2" s="1"/>
  <c r="CQ82" i="2" s="1"/>
  <c r="CT80" i="14"/>
  <c r="Z68" i="2"/>
  <c r="CP68" i="2" s="1"/>
  <c r="CQ68" i="2" s="1"/>
  <c r="EL58" i="2"/>
  <c r="EN58" i="2" s="1"/>
  <c r="EI71" i="2"/>
  <c r="EK71" i="2" s="1"/>
  <c r="DW70" i="2"/>
  <c r="DY70" i="2" s="1"/>
  <c r="DW82" i="2"/>
  <c r="DY82" i="2" s="1"/>
  <c r="EO78" i="2"/>
  <c r="EQ78" i="2" s="1"/>
  <c r="EL68" i="2"/>
  <c r="EN68" i="2" s="1"/>
  <c r="DZ77" i="2"/>
  <c r="EB77" i="2" s="1"/>
  <c r="EU80" i="2"/>
  <c r="EW80" i="2" s="1"/>
  <c r="EO79" i="2"/>
  <c r="EQ79" i="2" s="1"/>
  <c r="DN70" i="2"/>
  <c r="DP70" i="2" s="1"/>
  <c r="DN82" i="2"/>
  <c r="DP82" i="2" s="1"/>
  <c r="DT72" i="2"/>
  <c r="DV72" i="2" s="1"/>
  <c r="DN71" i="2"/>
  <c r="DP71" i="2" s="1"/>
  <c r="BQ33" i="2"/>
  <c r="BS14" i="2"/>
  <c r="BQ46" i="2"/>
  <c r="BS46" i="2" s="1"/>
  <c r="EO57" i="2"/>
  <c r="EQ57" i="2" s="1"/>
  <c r="EC67" i="2"/>
  <c r="EE67" i="2" s="1"/>
  <c r="DN59" i="2"/>
  <c r="DP59" i="2" s="1"/>
  <c r="DW67" i="2"/>
  <c r="DY67" i="2" s="1"/>
  <c r="DW60" i="2"/>
  <c r="DY60" i="2" s="1"/>
  <c r="EL57" i="2"/>
  <c r="EN57" i="2" s="1"/>
  <c r="DZ69" i="2"/>
  <c r="EB69" i="2" s="1"/>
  <c r="EL51" i="2"/>
  <c r="EN51" i="2" s="1"/>
  <c r="EU59" i="2"/>
  <c r="EW59" i="2" s="1"/>
  <c r="EF81" i="2"/>
  <c r="EH81" i="2" s="1"/>
  <c r="EI75" i="2"/>
  <c r="EK75" i="2" s="1"/>
  <c r="EI58" i="2"/>
  <c r="EK58" i="2" s="1"/>
  <c r="EI70" i="2"/>
  <c r="EK70" i="2" s="1"/>
  <c r="DW68" i="2"/>
  <c r="DY68" i="2" s="1"/>
  <c r="ER80" i="2"/>
  <c r="ET80" i="2" s="1"/>
  <c r="EI76" i="2"/>
  <c r="EK76" i="2" s="1"/>
  <c r="EC81" i="2"/>
  <c r="EE81" i="2" s="1"/>
  <c r="BQ77" i="2"/>
  <c r="EO75" i="2"/>
  <c r="EQ75" i="2" s="1"/>
  <c r="EU74" i="2"/>
  <c r="EW74" i="2" s="1"/>
  <c r="DQ71" i="2"/>
  <c r="DS71" i="2" s="1"/>
  <c r="BQ34" i="2"/>
  <c r="BS34" i="2" s="1"/>
  <c r="BQ41" i="2"/>
  <c r="DT60" i="2"/>
  <c r="DV60" i="2" s="1"/>
  <c r="DT67" i="2"/>
  <c r="DV67" i="2" s="1"/>
  <c r="DQ63" i="2"/>
  <c r="DS63" i="2" s="1"/>
  <c r="EC66" i="2"/>
  <c r="EE66" i="2" s="1"/>
  <c r="EU51" i="2"/>
  <c r="EW51" i="2" s="1"/>
  <c r="EC51" i="2"/>
  <c r="EE51" i="2" s="1"/>
  <c r="AF22" i="7"/>
  <c r="T22" i="7"/>
  <c r="DW51" i="2"/>
  <c r="DY51" i="2" s="1"/>
  <c r="EF69" i="2"/>
  <c r="EH69" i="2" s="1"/>
  <c r="DZ66" i="2"/>
  <c r="EB66" i="2" s="1"/>
  <c r="AB22" i="7"/>
  <c r="DQ59" i="2"/>
  <c r="DS59" i="2" s="1"/>
  <c r="W22" i="7"/>
  <c r="EF58" i="2"/>
  <c r="EH58" i="2" s="1"/>
  <c r="DW58" i="2"/>
  <c r="DY58" i="2" s="1"/>
  <c r="DQ80" i="2"/>
  <c r="DS80" i="2" s="1"/>
  <c r="EF74" i="2"/>
  <c r="EH74" i="2" s="1"/>
  <c r="DQ75" i="2"/>
  <c r="DS75" i="2" s="1"/>
  <c r="EU73" i="2"/>
  <c r="EW73" i="2" s="1"/>
  <c r="EI82" i="2"/>
  <c r="EK82" i="2" s="1"/>
  <c r="BS80" i="2"/>
  <c r="EO68" i="2"/>
  <c r="EQ68" i="2" s="1"/>
  <c r="DT79" i="2"/>
  <c r="DV79" i="2" s="1"/>
  <c r="BQ79" i="2"/>
  <c r="DZ81" i="2"/>
  <c r="EB81" i="2" s="1"/>
  <c r="BS81" i="2"/>
  <c r="EC68" i="2"/>
  <c r="EE68" i="2" s="1"/>
  <c r="EU72" i="2"/>
  <c r="EW72" i="2" s="1"/>
  <c r="P22" i="7"/>
  <c r="O22" i="7"/>
  <c r="EF61" i="2"/>
  <c r="EH61" i="2" s="1"/>
  <c r="EL69" i="2"/>
  <c r="EN69" i="2" s="1"/>
  <c r="R22" i="7"/>
  <c r="BS57" i="2"/>
  <c r="EC63" i="2"/>
  <c r="EE63" i="2" s="1"/>
  <c r="ER62" i="2"/>
  <c r="ET62" i="2" s="1"/>
  <c r="Q22" i="7"/>
  <c r="EC65" i="2"/>
  <c r="EE65" i="2" s="1"/>
  <c r="EC83" i="2"/>
  <c r="EE83" i="2" s="1"/>
  <c r="ER69" i="2"/>
  <c r="ET69" i="2" s="1"/>
  <c r="EL63" i="2"/>
  <c r="EN63" i="2" s="1"/>
  <c r="DN72" i="2"/>
  <c r="DP72" i="2" s="1"/>
  <c r="DQ58" i="2"/>
  <c r="DS58" i="2" s="1"/>
  <c r="DQ72" i="2"/>
  <c r="DS72" i="2" s="1"/>
  <c r="EO80" i="2"/>
  <c r="EQ80" i="2" s="1"/>
  <c r="DQ68" i="2"/>
  <c r="DS68" i="2" s="1"/>
  <c r="ER78" i="2"/>
  <c r="ET78" i="2" s="1"/>
  <c r="DW75" i="2"/>
  <c r="DY75" i="2" s="1"/>
  <c r="DQ77" i="2"/>
  <c r="DS77" i="2" s="1"/>
  <c r="EF75" i="2"/>
  <c r="EH75" i="2" s="1"/>
  <c r="BQ70" i="2"/>
  <c r="DN58" i="2"/>
  <c r="DP58" i="2" s="1"/>
  <c r="EL82" i="2"/>
  <c r="EN82" i="2" s="1"/>
  <c r="EO76" i="2"/>
  <c r="EQ76" i="2" s="1"/>
  <c r="DW59" i="2"/>
  <c r="DY59" i="2" s="1"/>
  <c r="BS83" i="2"/>
  <c r="BS65" i="2"/>
  <c r="DZ57" i="2"/>
  <c r="EB57" i="2" s="1"/>
  <c r="DW62" i="2"/>
  <c r="DY62" i="2" s="1"/>
  <c r="ER59" i="2"/>
  <c r="ET59" i="2" s="1"/>
  <c r="DN69" i="2"/>
  <c r="DP69" i="2" s="1"/>
  <c r="EO62" i="2"/>
  <c r="EQ62" i="2" s="1"/>
  <c r="EI67" i="2"/>
  <c r="EK67" i="2" s="1"/>
  <c r="DT57" i="2"/>
  <c r="DV57" i="2" s="1"/>
  <c r="EU66" i="2"/>
  <c r="EW66" i="2" s="1"/>
  <c r="EI64" i="2"/>
  <c r="EK64" i="2" s="1"/>
  <c r="EF83" i="2"/>
  <c r="EH83" i="2" s="1"/>
  <c r="DQ69" i="2"/>
  <c r="DS69" i="2" s="1"/>
  <c r="ER51" i="2"/>
  <c r="ET51" i="2" s="1"/>
  <c r="EL75" i="2"/>
  <c r="EN75" i="2" s="1"/>
  <c r="BS68" i="2"/>
  <c r="EF80" i="2"/>
  <c r="EH80" i="2" s="1"/>
  <c r="EO73" i="2"/>
  <c r="EQ73" i="2" s="1"/>
  <c r="EC80" i="2"/>
  <c r="EE80" i="2" s="1"/>
  <c r="DZ71" i="2"/>
  <c r="EB71" i="2" s="1"/>
  <c r="DT58" i="2"/>
  <c r="DV58" i="2" s="1"/>
  <c r="BQ58" i="2"/>
  <c r="DW72" i="2"/>
  <c r="DY72" i="2" s="1"/>
  <c r="EO72" i="2"/>
  <c r="EQ72" i="2" s="1"/>
  <c r="EC76" i="2"/>
  <c r="EE76" i="2" s="1"/>
  <c r="EF70" i="2"/>
  <c r="EH70" i="2" s="1"/>
  <c r="DQ81" i="2"/>
  <c r="DS81" i="2" s="1"/>
  <c r="DT75" i="2"/>
  <c r="DV75" i="2" s="1"/>
  <c r="L22" i="7"/>
  <c r="DT65" i="2"/>
  <c r="DV65" i="2" s="1"/>
  <c r="AD22" i="7"/>
  <c r="DQ51" i="2"/>
  <c r="DS51" i="2" s="1"/>
  <c r="DT61" i="2"/>
  <c r="DV61" i="2" s="1"/>
  <c r="EO61" i="2"/>
  <c r="EQ61" i="2" s="1"/>
  <c r="EC69" i="2"/>
  <c r="EE69" i="2" s="1"/>
  <c r="DW63" i="2"/>
  <c r="DY63" i="2" s="1"/>
  <c r="DT51" i="2"/>
  <c r="DV51" i="2" s="1"/>
  <c r="EL59" i="2"/>
  <c r="EN59" i="2" s="1"/>
  <c r="EI59" i="2"/>
  <c r="EK59" i="2" s="1"/>
  <c r="DQ60" i="2"/>
  <c r="DS60" i="2" s="1"/>
  <c r="DZ58" i="2"/>
  <c r="EB58" i="2" s="1"/>
  <c r="EU58" i="2"/>
  <c r="EW58" i="2" s="1"/>
  <c r="DT68" i="2"/>
  <c r="DV68" i="2" s="1"/>
  <c r="BQ71" i="2"/>
  <c r="BQ78" i="2"/>
  <c r="ER58" i="2"/>
  <c r="ET58" i="2" s="1"/>
  <c r="DQ79" i="2"/>
  <c r="DS79" i="2" s="1"/>
  <c r="EL78" i="2"/>
  <c r="EN78" i="2" s="1"/>
  <c r="DZ80" i="2"/>
  <c r="EB80" i="2" s="1"/>
  <c r="BQ76" i="2"/>
  <c r="EF79" i="2"/>
  <c r="EH79" i="2" s="1"/>
  <c r="Z22" i="7"/>
  <c r="EL65" i="2"/>
  <c r="EN65" i="2" s="1"/>
  <c r="EU60" i="2"/>
  <c r="EW60" i="2" s="1"/>
  <c r="EF62" i="2"/>
  <c r="EH62" i="2" s="1"/>
  <c r="DQ67" i="2"/>
  <c r="DS67" i="2" s="1"/>
  <c r="AE22" i="7"/>
  <c r="DQ83" i="2"/>
  <c r="DS83" i="2" s="1"/>
  <c r="ER65" i="2"/>
  <c r="ET65" i="2" s="1"/>
  <c r="DT69" i="2"/>
  <c r="DV69" i="2" s="1"/>
  <c r="DT74" i="2"/>
  <c r="DV74" i="2" s="1"/>
  <c r="ER72" i="2"/>
  <c r="ET72" i="2" s="1"/>
  <c r="DT70" i="2"/>
  <c r="DV70" i="2" s="1"/>
  <c r="EL76" i="2"/>
  <c r="EN76" i="2" s="1"/>
  <c r="BQ75" i="2"/>
  <c r="EL74" i="2"/>
  <c r="EN74" i="2" s="1"/>
  <c r="DQ82" i="2"/>
  <c r="DS82" i="2" s="1"/>
  <c r="DN81" i="2"/>
  <c r="DP81" i="2" s="1"/>
  <c r="EI78" i="2"/>
  <c r="EK78" i="2" s="1"/>
  <c r="EC70" i="2"/>
  <c r="EE70" i="2" s="1"/>
  <c r="DZ70" i="2"/>
  <c r="EB70" i="2" s="1"/>
  <c r="BQ43" i="2"/>
  <c r="BS43" i="2" s="1"/>
  <c r="EI66" i="2"/>
  <c r="EK66" i="2" s="1"/>
  <c r="AC22" i="7"/>
  <c r="ER61" i="2"/>
  <c r="ET61" i="2" s="1"/>
  <c r="BS66" i="2"/>
  <c r="EU62" i="2"/>
  <c r="EW62" i="2" s="1"/>
  <c r="M22" i="7"/>
  <c r="DQ66" i="2"/>
  <c r="DS66" i="2" s="1"/>
  <c r="DZ65" i="2"/>
  <c r="EB65" i="2" s="1"/>
  <c r="DZ51" i="2"/>
  <c r="EB51" i="2" s="1"/>
  <c r="EU64" i="2"/>
  <c r="EW64" i="2" s="1"/>
  <c r="DQ64" i="2"/>
  <c r="DS64" i="2" s="1"/>
  <c r="DZ61" i="2"/>
  <c r="EB61" i="2" s="1"/>
  <c r="DT80" i="2"/>
  <c r="DV80" i="2" s="1"/>
  <c r="EU81" i="2"/>
  <c r="EW81" i="2" s="1"/>
  <c r="DT78" i="2"/>
  <c r="DV78" i="2" s="1"/>
  <c r="ER77" i="2"/>
  <c r="ET77" i="2" s="1"/>
  <c r="EU68" i="2"/>
  <c r="EW68" i="2" s="1"/>
  <c r="DW81" i="2"/>
  <c r="DY81" i="2" s="1"/>
  <c r="EU70" i="2"/>
  <c r="EW70" i="2" s="1"/>
  <c r="ER74" i="2"/>
  <c r="ET74" i="2" s="1"/>
  <c r="EC71" i="2"/>
  <c r="EE71" i="2" s="1"/>
  <c r="DZ72" i="2"/>
  <c r="EB72" i="2" s="1"/>
  <c r="EF76" i="2"/>
  <c r="EH76" i="2" s="1"/>
  <c r="DW77" i="2"/>
  <c r="DY77" i="2" s="1"/>
  <c r="DN80" i="2"/>
  <c r="DP80" i="2" s="1"/>
  <c r="EO64" i="2"/>
  <c r="EQ64" i="2" s="1"/>
  <c r="EU63" i="2"/>
  <c r="EW63" i="2" s="1"/>
  <c r="EU67" i="2"/>
  <c r="EW67" i="2" s="1"/>
  <c r="EF63" i="2"/>
  <c r="EH63" i="2" s="1"/>
  <c r="EL61" i="2"/>
  <c r="EN61" i="2" s="1"/>
  <c r="ER57" i="2"/>
  <c r="ET57" i="2" s="1"/>
  <c r="EI62" i="2"/>
  <c r="EK62" i="2" s="1"/>
  <c r="EI69" i="2"/>
  <c r="EK69" i="2" s="1"/>
  <c r="EO60" i="2"/>
  <c r="EQ60" i="2" s="1"/>
  <c r="DQ57" i="2"/>
  <c r="DS57" i="2" s="1"/>
  <c r="EF59" i="2"/>
  <c r="EH59" i="2" s="1"/>
  <c r="DW65" i="2"/>
  <c r="DY65" i="2" s="1"/>
  <c r="DT73" i="2"/>
  <c r="DV73" i="2" s="1"/>
  <c r="DZ79" i="2"/>
  <c r="EB79" i="2" s="1"/>
  <c r="EI74" i="2"/>
  <c r="EK74" i="2" s="1"/>
  <c r="EL72" i="2"/>
  <c r="EN72" i="2" s="1"/>
  <c r="DW73" i="2"/>
  <c r="DY73" i="2" s="1"/>
  <c r="EI77" i="2"/>
  <c r="EK77" i="2" s="1"/>
  <c r="DQ76" i="2"/>
  <c r="DS76" i="2" s="1"/>
  <c r="DN74" i="2"/>
  <c r="DP74" i="2" s="1"/>
  <c r="EF82" i="2"/>
  <c r="EH82" i="2" s="1"/>
  <c r="EI63" i="2"/>
  <c r="EK63" i="2" s="1"/>
  <c r="EI57" i="2"/>
  <c r="EK57" i="2" s="1"/>
  <c r="U22" i="7"/>
  <c r="EI65" i="2"/>
  <c r="EK65" i="2" s="1"/>
  <c r="EU57" i="2"/>
  <c r="EW57" i="2" s="1"/>
  <c r="EF65" i="2"/>
  <c r="EH65" i="2" s="1"/>
  <c r="EF60" i="2"/>
  <c r="EH60" i="2" s="1"/>
  <c r="EC62" i="2"/>
  <c r="EE62" i="2" s="1"/>
  <c r="EC59" i="2"/>
  <c r="EE59" i="2" s="1"/>
  <c r="DQ74" i="2"/>
  <c r="DS74" i="2" s="1"/>
  <c r="EO82" i="2"/>
  <c r="EQ82" i="2" s="1"/>
  <c r="EO74" i="2"/>
  <c r="EQ74" i="2" s="1"/>
  <c r="DZ68" i="2"/>
  <c r="EB68" i="2" s="1"/>
  <c r="EF73" i="2"/>
  <c r="EH73" i="2" s="1"/>
  <c r="EC74" i="2"/>
  <c r="EE74" i="2" s="1"/>
  <c r="ER81" i="2"/>
  <c r="ET81" i="2" s="1"/>
  <c r="DT77" i="2"/>
  <c r="DV77" i="2" s="1"/>
  <c r="EU71" i="2"/>
  <c r="EW71" i="2" s="1"/>
  <c r="EC77" i="2"/>
  <c r="EE77" i="2" s="1"/>
  <c r="EC73" i="2"/>
  <c r="EE73" i="2" s="1"/>
  <c r="BS19" i="2"/>
  <c r="BQ44" i="2"/>
  <c r="BS44" i="2" s="1"/>
  <c r="DZ59" i="2"/>
  <c r="EB59" i="2" s="1"/>
  <c r="DN83" i="2"/>
  <c r="DP83" i="2" s="1"/>
  <c r="EU83" i="2"/>
  <c r="EW83" i="2" s="1"/>
  <c r="EL62" i="2"/>
  <c r="EN62" i="2" s="1"/>
  <c r="ER60" i="2"/>
  <c r="ET60" i="2" s="1"/>
  <c r="DN63" i="2"/>
  <c r="DP63" i="2" s="1"/>
  <c r="EC64" i="2"/>
  <c r="EE64" i="2" s="1"/>
  <c r="DQ65" i="2"/>
  <c r="DS65" i="2" s="1"/>
  <c r="DT64" i="2"/>
  <c r="DV64" i="2" s="1"/>
  <c r="DZ62" i="2"/>
  <c r="EB62" i="2" s="1"/>
  <c r="N22" i="7"/>
  <c r="EU79" i="2"/>
  <c r="EW79" i="2" s="1"/>
  <c r="EC75" i="2"/>
  <c r="EE75" i="2" s="1"/>
  <c r="EC58" i="2"/>
  <c r="EE58" i="2" s="1"/>
  <c r="EU78" i="2"/>
  <c r="EW78" i="2" s="1"/>
  <c r="ER76" i="2"/>
  <c r="ET76" i="2" s="1"/>
  <c r="EL77" i="2"/>
  <c r="EN77" i="2" s="1"/>
  <c r="EF72" i="2"/>
  <c r="EH72" i="2" s="1"/>
  <c r="DQ78" i="2"/>
  <c r="DS78" i="2" s="1"/>
  <c r="EL80" i="2"/>
  <c r="EN80" i="2" s="1"/>
  <c r="DZ74" i="2"/>
  <c r="EB74" i="2" s="1"/>
  <c r="EL70" i="2"/>
  <c r="EN70" i="2" s="1"/>
  <c r="DQ73" i="2"/>
  <c r="DS73" i="2" s="1"/>
  <c r="EI73" i="2"/>
  <c r="EK73" i="2" s="1"/>
  <c r="ER73" i="2"/>
  <c r="ET73" i="2" s="1"/>
  <c r="EF78" i="2"/>
  <c r="EH78" i="2" s="1"/>
  <c r="DZ76" i="2"/>
  <c r="EB76" i="2" s="1"/>
  <c r="BQ38" i="2"/>
  <c r="BS12" i="2"/>
  <c r="X22" i="7"/>
  <c r="ER64" i="2"/>
  <c r="ET64" i="2" s="1"/>
  <c r="BS67" i="2"/>
  <c r="BS69" i="2"/>
  <c r="EF51" i="2"/>
  <c r="EH51" i="2" s="1"/>
  <c r="EU61" i="2"/>
  <c r="EW61" i="2" s="1"/>
  <c r="DW61" i="2"/>
  <c r="DY61" i="2" s="1"/>
  <c r="EC57" i="2"/>
  <c r="EE57" i="2" s="1"/>
  <c r="DQ61" i="2"/>
  <c r="DS61" i="2" s="1"/>
  <c r="K22" i="7"/>
  <c r="EU69" i="2"/>
  <c r="EW69" i="2" s="1"/>
  <c r="DT83" i="2"/>
  <c r="DV83" i="2" s="1"/>
  <c r="EF77" i="2"/>
  <c r="EH77" i="2" s="1"/>
  <c r="DW78" i="2"/>
  <c r="DY78" i="2" s="1"/>
  <c r="DN73" i="2"/>
  <c r="DP73" i="2" s="1"/>
  <c r="DW71" i="2"/>
  <c r="DY71" i="2" s="1"/>
  <c r="DN68" i="2"/>
  <c r="DP68" i="2" s="1"/>
  <c r="EC72" i="2"/>
  <c r="EE72" i="2" s="1"/>
  <c r="EO77" i="2"/>
  <c r="EQ77" i="2" s="1"/>
  <c r="DT76" i="2"/>
  <c r="DV76" i="2" s="1"/>
  <c r="EL73" i="2"/>
  <c r="EN73" i="2" s="1"/>
  <c r="BQ73" i="2"/>
  <c r="DT82" i="2"/>
  <c r="DV82" i="2" s="1"/>
  <c r="DT81" i="2"/>
  <c r="DV81" i="2" s="1"/>
  <c r="DN78" i="2"/>
  <c r="DP78" i="2" s="1"/>
  <c r="BQ37" i="2"/>
  <c r="DW69" i="2"/>
  <c r="DY69" i="2" s="1"/>
  <c r="DT63" i="2"/>
  <c r="DV63" i="2" s="1"/>
  <c r="EL83" i="2"/>
  <c r="EN83" i="2" s="1"/>
  <c r="DN62" i="2"/>
  <c r="DP62" i="2" s="1"/>
  <c r="DT59" i="2"/>
  <c r="DV59" i="2" s="1"/>
  <c r="EO65" i="2"/>
  <c r="EQ65" i="2" s="1"/>
  <c r="BS64" i="2"/>
  <c r="DT66" i="2"/>
  <c r="DV66" i="2" s="1"/>
  <c r="DZ64" i="2"/>
  <c r="EB64" i="2" s="1"/>
  <c r="AA22" i="7"/>
  <c r="ER63" i="2"/>
  <c r="ET63" i="2" s="1"/>
  <c r="EC61" i="2"/>
  <c r="EE61" i="2" s="1"/>
  <c r="DZ67" i="2"/>
  <c r="EB67" i="2" s="1"/>
  <c r="BQ74" i="2"/>
  <c r="EO58" i="2"/>
  <c r="EQ58" i="2" s="1"/>
  <c r="EI81" i="2"/>
  <c r="EK81" i="2" s="1"/>
  <c r="EU77" i="2"/>
  <c r="EW77" i="2" s="1"/>
  <c r="EO71" i="2"/>
  <c r="EQ71" i="2" s="1"/>
  <c r="EU76" i="2"/>
  <c r="EW76" i="2" s="1"/>
  <c r="EL71" i="2"/>
  <c r="EN71" i="2" s="1"/>
  <c r="EF71" i="2"/>
  <c r="EH71" i="2" s="1"/>
  <c r="EL81" i="2"/>
  <c r="EN81" i="2" s="1"/>
  <c r="DZ75" i="2"/>
  <c r="EB75" i="2" s="1"/>
  <c r="DW79" i="2"/>
  <c r="DY79" i="2" s="1"/>
  <c r="DW74" i="2"/>
  <c r="DY74" i="2" s="1"/>
  <c r="BQ72" i="2"/>
  <c r="EO81" i="2"/>
  <c r="EQ81" i="2" s="1"/>
  <c r="ER75" i="2"/>
  <c r="ET75" i="2" s="1"/>
  <c r="ER79" i="2"/>
  <c r="ET79" i="2" s="1"/>
  <c r="EU65" i="2"/>
  <c r="EW65" i="2" s="1"/>
  <c r="EO69" i="2"/>
  <c r="EQ69" i="2" s="1"/>
  <c r="DN60" i="2"/>
  <c r="DP60" i="2" s="1"/>
  <c r="EI61" i="2"/>
  <c r="EK61" i="2" s="1"/>
  <c r="DQ62" i="2"/>
  <c r="DS62" i="2" s="1"/>
  <c r="BS63" i="2"/>
  <c r="EL67" i="2"/>
  <c r="EN67" i="2" s="1"/>
  <c r="DW64" i="2"/>
  <c r="DY64" i="2" s="1"/>
  <c r="DW66" i="2"/>
  <c r="DY66" i="2" s="1"/>
  <c r="EF57" i="2"/>
  <c r="EH57" i="2" s="1"/>
  <c r="EO83" i="2"/>
  <c r="EQ83" i="2" s="1"/>
  <c r="DN67" i="2"/>
  <c r="DP67" i="2" s="1"/>
  <c r="DN76" i="2"/>
  <c r="DP76" i="2" s="1"/>
  <c r="DZ78" i="2"/>
  <c r="EB78" i="2" s="1"/>
  <c r="DQ70" i="2"/>
  <c r="DS70" i="2" s="1"/>
  <c r="EL79" i="2"/>
  <c r="EN79" i="2" s="1"/>
  <c r="EU82" i="2"/>
  <c r="EW82" i="2" s="1"/>
  <c r="EC78" i="2"/>
  <c r="EE78" i="2" s="1"/>
  <c r="DN75" i="2"/>
  <c r="DP75" i="2" s="1"/>
  <c r="DZ73" i="2"/>
  <c r="EB73" i="2" s="1"/>
  <c r="EC79" i="2"/>
  <c r="EE79" i="2" s="1"/>
  <c r="EI68" i="2"/>
  <c r="EK68" i="2" s="1"/>
  <c r="BS21" i="2"/>
  <c r="ER66" i="2"/>
  <c r="ET66" i="2" s="1"/>
  <c r="DN65" i="2"/>
  <c r="DP65" i="2" s="1"/>
  <c r="EF67" i="2"/>
  <c r="EH67" i="2" s="1"/>
  <c r="DN61" i="2"/>
  <c r="DP61" i="2" s="1"/>
  <c r="Y22" i="7"/>
  <c r="EI60" i="2"/>
  <c r="EK60" i="2" s="1"/>
  <c r="ER67" i="2"/>
  <c r="ET67" i="2" s="1"/>
  <c r="V22" i="7"/>
  <c r="DN51" i="2"/>
  <c r="DP51" i="2" s="1"/>
  <c r="EU75" i="2"/>
  <c r="EW75" i="2" s="1"/>
  <c r="ER68" i="2"/>
  <c r="ET68" i="2" s="1"/>
  <c r="EI79" i="2"/>
  <c r="EK79" i="2" s="1"/>
  <c r="DZ82" i="2"/>
  <c r="EB82" i="2" s="1"/>
  <c r="EI80" i="2"/>
  <c r="EK80" i="2" s="1"/>
  <c r="BS82" i="2"/>
  <c r="DW80" i="2"/>
  <c r="DY80" i="2" s="1"/>
  <c r="BQ45" i="2"/>
  <c r="BQ30" i="2"/>
  <c r="EC60" i="2"/>
  <c r="EE60" i="2" s="1"/>
  <c r="DT62" i="2"/>
  <c r="DV62" i="2" s="1"/>
  <c r="ER83" i="2"/>
  <c r="ET83" i="2" s="1"/>
  <c r="EL66" i="2"/>
  <c r="EN66" i="2" s="1"/>
  <c r="DZ83" i="2"/>
  <c r="EB83" i="2" s="1"/>
  <c r="EI83" i="2"/>
  <c r="EK83" i="2" s="1"/>
  <c r="EO63" i="2"/>
  <c r="EQ63" i="2" s="1"/>
  <c r="DN66" i="2"/>
  <c r="DP66" i="2" s="1"/>
  <c r="DZ60" i="2"/>
  <c r="EB60" i="2" s="1"/>
  <c r="EO67" i="2"/>
  <c r="EQ67" i="2" s="1"/>
  <c r="EO66" i="2"/>
  <c r="EQ66" i="2" s="1"/>
  <c r="EF64" i="2"/>
  <c r="EH64" i="2" s="1"/>
  <c r="DZ63" i="2"/>
  <c r="EB63" i="2" s="1"/>
  <c r="S22" i="7"/>
  <c r="DN57" i="2"/>
  <c r="DP57" i="2" s="1"/>
  <c r="ER71" i="2"/>
  <c r="ET71" i="2" s="1"/>
  <c r="DN79" i="2"/>
  <c r="DP79" i="2" s="1"/>
  <c r="EI72" i="2"/>
  <c r="EK72" i="2" s="1"/>
  <c r="DT71" i="2"/>
  <c r="DV71" i="2" s="1"/>
  <c r="ER82" i="2"/>
  <c r="ET82" i="2" s="1"/>
  <c r="ER70" i="2"/>
  <c r="ET70" i="2" s="1"/>
  <c r="DN77" i="2"/>
  <c r="DP77" i="2" s="1"/>
  <c r="DW76" i="2"/>
  <c r="DY76" i="2" s="1"/>
  <c r="EO70" i="2"/>
  <c r="EQ70" i="2" s="1"/>
  <c r="EC82" i="2"/>
  <c r="EE82" i="2" s="1"/>
  <c r="EF68" i="2"/>
  <c r="EH68" i="2" s="1"/>
  <c r="DN64" i="2"/>
  <c r="DP64" i="2" s="1"/>
  <c r="EO51" i="2"/>
  <c r="EQ51" i="2" s="1"/>
  <c r="EL64" i="2"/>
  <c r="EN64" i="2" s="1"/>
  <c r="EI51" i="2"/>
  <c r="EK51" i="2" s="1"/>
  <c r="EL60" i="2"/>
  <c r="EN60" i="2" s="1"/>
  <c r="EF66" i="2"/>
  <c r="EH66" i="2" s="1"/>
  <c r="DW57" i="2"/>
  <c r="DY57" i="2" s="1"/>
  <c r="DW83" i="2"/>
  <c r="DY83" i="2" s="1"/>
  <c r="EO59" i="2"/>
  <c r="EQ59" i="2" s="1"/>
  <c r="BS51" i="2"/>
  <c r="DT16" i="2"/>
  <c r="DV16" i="2" s="1"/>
  <c r="EF38" i="2"/>
  <c r="EH38" i="2" s="1"/>
  <c r="DW13" i="2"/>
  <c r="DY13" i="2" s="1"/>
  <c r="EI21" i="2"/>
  <c r="EK21" i="2" s="1"/>
  <c r="EI20" i="2"/>
  <c r="EK20" i="2" s="1"/>
  <c r="DN20" i="2"/>
  <c r="DP20" i="2" s="1"/>
  <c r="DQ30" i="2"/>
  <c r="DS30" i="2" s="1"/>
  <c r="ER33" i="2"/>
  <c r="ET33" i="2" s="1"/>
  <c r="EO38" i="2"/>
  <c r="EQ38" i="2" s="1"/>
  <c r="EC38" i="2"/>
  <c r="EE38" i="2" s="1"/>
  <c r="DN21" i="2"/>
  <c r="DP21" i="2" s="1"/>
  <c r="EC37" i="2"/>
  <c r="EE37" i="2" s="1"/>
  <c r="EU13" i="2"/>
  <c r="EW13" i="2" s="1"/>
  <c r="DQ20" i="2"/>
  <c r="DS20" i="2" s="1"/>
  <c r="EO20" i="2"/>
  <c r="EQ20" i="2" s="1"/>
  <c r="EF13" i="2"/>
  <c r="EH13" i="2" s="1"/>
  <c r="ER21" i="2"/>
  <c r="ET21" i="2" s="1"/>
  <c r="EF37" i="2"/>
  <c r="EH37" i="2" s="1"/>
  <c r="EI37" i="2"/>
  <c r="EK37" i="2" s="1"/>
  <c r="DT20" i="2"/>
  <c r="DV20" i="2" s="1"/>
  <c r="EU37" i="2"/>
  <c r="EW37" i="2" s="1"/>
  <c r="DN38" i="2"/>
  <c r="DP38" i="2" s="1"/>
  <c r="EC13" i="2"/>
  <c r="EE13" i="2" s="1"/>
  <c r="DN37" i="2"/>
  <c r="DP37" i="2" s="1"/>
  <c r="EC11" i="2"/>
  <c r="EE11" i="2" s="1"/>
  <c r="EC33" i="2"/>
  <c r="EE33" i="2" s="1"/>
  <c r="EF30" i="2"/>
  <c r="EH30" i="2" s="1"/>
  <c r="DQ11" i="2"/>
  <c r="DS11" i="2" s="1"/>
  <c r="DZ16" i="2"/>
  <c r="EB16" i="2" s="1"/>
  <c r="DW37" i="2"/>
  <c r="DY37" i="2" s="1"/>
  <c r="EF11" i="2"/>
  <c r="EH11" i="2" s="1"/>
  <c r="EI11" i="2"/>
  <c r="EK11" i="2" s="1"/>
  <c r="EC21" i="2"/>
  <c r="EE21" i="2" s="1"/>
  <c r="DQ16" i="2"/>
  <c r="DS16" i="2" s="1"/>
  <c r="DT33" i="2"/>
  <c r="DV33" i="2" s="1"/>
  <c r="EI30" i="2"/>
  <c r="EK30" i="2" s="1"/>
  <c r="EU11" i="2"/>
  <c r="EW11" i="2" s="1"/>
  <c r="EL16" i="2"/>
  <c r="EN16" i="2" s="1"/>
  <c r="EL38" i="2"/>
  <c r="EN38" i="2" s="1"/>
  <c r="EI16" i="2"/>
  <c r="EK16" i="2" s="1"/>
  <c r="DT38" i="2"/>
  <c r="DV38" i="2" s="1"/>
  <c r="DT13" i="2"/>
  <c r="DV13" i="2" s="1"/>
  <c r="ER30" i="2"/>
  <c r="ET30" i="2" s="1"/>
  <c r="DZ33" i="2"/>
  <c r="EB33" i="2" s="1"/>
  <c r="DZ20" i="2"/>
  <c r="EB20" i="2" s="1"/>
  <c r="EU33" i="2"/>
  <c r="EW33" i="2" s="1"/>
  <c r="EO30" i="2"/>
  <c r="EQ30" i="2" s="1"/>
  <c r="EL30" i="2"/>
  <c r="EN30" i="2" s="1"/>
  <c r="EF33" i="2"/>
  <c r="EH33" i="2" s="1"/>
  <c r="EO13" i="2"/>
  <c r="EQ13" i="2" s="1"/>
  <c r="EL13" i="2"/>
  <c r="EN13" i="2" s="1"/>
  <c r="EO37" i="2"/>
  <c r="EQ37" i="2" s="1"/>
  <c r="EU21" i="2"/>
  <c r="EW21" i="2" s="1"/>
  <c r="DN11" i="2"/>
  <c r="DP11" i="2" s="1"/>
  <c r="EF21" i="2"/>
  <c r="EH21" i="2" s="1"/>
  <c r="DW11" i="2"/>
  <c r="DY11" i="2" s="1"/>
  <c r="EF20" i="2"/>
  <c r="EH20" i="2" s="1"/>
  <c r="EC20" i="2"/>
  <c r="EE20" i="2" s="1"/>
  <c r="EL33" i="2"/>
  <c r="EN33" i="2" s="1"/>
  <c r="DN30" i="2"/>
  <c r="DP30" i="2" s="1"/>
  <c r="DZ38" i="2"/>
  <c r="EB38" i="2" s="1"/>
  <c r="DZ37" i="2"/>
  <c r="EB37" i="2" s="1"/>
  <c r="EU16" i="2"/>
  <c r="EW16" i="2" s="1"/>
  <c r="ER16" i="2"/>
  <c r="ET16" i="2" s="1"/>
  <c r="EO11" i="2"/>
  <c r="EQ11" i="2" s="1"/>
  <c r="DW38" i="2"/>
  <c r="DY38" i="2" s="1"/>
  <c r="EL21" i="2"/>
  <c r="EN21" i="2" s="1"/>
  <c r="DN16" i="2"/>
  <c r="DP16" i="2" s="1"/>
  <c r="EC30" i="2"/>
  <c r="EE30" i="2" s="1"/>
  <c r="DT37" i="2"/>
  <c r="DV37" i="2" s="1"/>
  <c r="EI38" i="2"/>
  <c r="EK38" i="2" s="1"/>
  <c r="EU20" i="2"/>
  <c r="EW20" i="2" s="1"/>
  <c r="ER20" i="2"/>
  <c r="ET20" i="2" s="1"/>
  <c r="DW20" i="2"/>
  <c r="DY20" i="2" s="1"/>
  <c r="DT30" i="2"/>
  <c r="DV30" i="2" s="1"/>
  <c r="DN33" i="2"/>
  <c r="DP33" i="2" s="1"/>
  <c r="EF16" i="2"/>
  <c r="EH16" i="2" s="1"/>
  <c r="ER38" i="2"/>
  <c r="ET38" i="2" s="1"/>
  <c r="EL20" i="2"/>
  <c r="EN20" i="2" s="1"/>
  <c r="DW16" i="2"/>
  <c r="DY16" i="2" s="1"/>
  <c r="DZ13" i="2"/>
  <c r="EB13" i="2" s="1"/>
  <c r="DQ38" i="2"/>
  <c r="DS38" i="2" s="1"/>
  <c r="DZ11" i="2"/>
  <c r="EB11" i="2" s="1"/>
  <c r="DQ37" i="2"/>
  <c r="DS37" i="2" s="1"/>
  <c r="DW30" i="2"/>
  <c r="DY30" i="2" s="1"/>
  <c r="ER11" i="2"/>
  <c r="ET11" i="2" s="1"/>
  <c r="DQ13" i="2"/>
  <c r="DS13" i="2" s="1"/>
  <c r="EI13" i="2"/>
  <c r="EK13" i="2" s="1"/>
  <c r="DW33" i="2"/>
  <c r="DY33" i="2" s="1"/>
  <c r="DZ21" i="2"/>
  <c r="EB21" i="2" s="1"/>
  <c r="EL37" i="2"/>
  <c r="EN37" i="2" s="1"/>
  <c r="ER13" i="2"/>
  <c r="ET13" i="2" s="1"/>
  <c r="ER37" i="2"/>
  <c r="ET37" i="2" s="1"/>
  <c r="DW21" i="2"/>
  <c r="DY21" i="2" s="1"/>
  <c r="EO16" i="2"/>
  <c r="EQ16" i="2" s="1"/>
  <c r="DQ33" i="2"/>
  <c r="DS33" i="2" s="1"/>
  <c r="EO33" i="2"/>
  <c r="EQ33" i="2" s="1"/>
  <c r="DT21" i="2"/>
  <c r="DV21" i="2" s="1"/>
  <c r="DN13" i="2"/>
  <c r="DP13" i="2" s="1"/>
  <c r="EC16" i="2"/>
  <c r="EE16" i="2" s="1"/>
  <c r="DT11" i="2"/>
  <c r="DV11" i="2" s="1"/>
  <c r="EU30" i="2"/>
  <c r="EW30" i="2" s="1"/>
  <c r="DQ21" i="2"/>
  <c r="DS21" i="2" s="1"/>
  <c r="EL11" i="2"/>
  <c r="EN11" i="2" s="1"/>
  <c r="EO21" i="2"/>
  <c r="EQ21" i="2" s="1"/>
  <c r="DZ30" i="2"/>
  <c r="EB30" i="2" s="1"/>
  <c r="EI33" i="2"/>
  <c r="EK33" i="2" s="1"/>
  <c r="EU38" i="2"/>
  <c r="EW38" i="2" s="1"/>
  <c r="DT40" i="2"/>
  <c r="DV40" i="2" s="1"/>
  <c r="EC40" i="2"/>
  <c r="EE40" i="2" s="1"/>
  <c r="DQ39" i="2"/>
  <c r="DS39" i="2" s="1"/>
  <c r="EL27" i="2"/>
  <c r="EN27" i="2" s="1"/>
  <c r="EU45" i="2"/>
  <c r="EW45" i="2" s="1"/>
  <c r="DW39" i="2"/>
  <c r="DY39" i="2" s="1"/>
  <c r="EC36" i="2"/>
  <c r="EE36" i="2" s="1"/>
  <c r="EF27" i="2"/>
  <c r="EH27" i="2" s="1"/>
  <c r="EC41" i="2"/>
  <c r="EE41" i="2" s="1"/>
  <c r="EO27" i="2"/>
  <c r="EQ27" i="2" s="1"/>
  <c r="EL45" i="2"/>
  <c r="EN45" i="2" s="1"/>
  <c r="EF36" i="2"/>
  <c r="EH36" i="2" s="1"/>
  <c r="DN41" i="2"/>
  <c r="DP41" i="2" s="1"/>
  <c r="EL40" i="2"/>
  <c r="EN40" i="2" s="1"/>
  <c r="ER27" i="2"/>
  <c r="ET27" i="2" s="1"/>
  <c r="DQ27" i="2"/>
  <c r="DS27" i="2" s="1"/>
  <c r="EI36" i="2"/>
  <c r="EK36" i="2" s="1"/>
  <c r="DW36" i="2"/>
  <c r="DY36" i="2" s="1"/>
  <c r="EL36" i="2"/>
  <c r="EN36" i="2" s="1"/>
  <c r="EF45" i="2"/>
  <c r="EH45" i="2" s="1"/>
  <c r="EO39" i="2"/>
  <c r="EQ39" i="2" s="1"/>
  <c r="DZ36" i="2"/>
  <c r="EB36" i="2" s="1"/>
  <c r="ER40" i="2"/>
  <c r="ET40" i="2" s="1"/>
  <c r="EO36" i="2"/>
  <c r="EQ36" i="2" s="1"/>
  <c r="EU36" i="2"/>
  <c r="EW36" i="2" s="1"/>
  <c r="DQ40" i="2"/>
  <c r="DS40" i="2" s="1"/>
  <c r="DQ36" i="2"/>
  <c r="DS36" i="2" s="1"/>
  <c r="ER41" i="2"/>
  <c r="ET41" i="2" s="1"/>
  <c r="EI45" i="2"/>
  <c r="EK45" i="2" s="1"/>
  <c r="DZ27" i="2"/>
  <c r="EB27" i="2" s="1"/>
  <c r="DN36" i="2"/>
  <c r="DP36" i="2" s="1"/>
  <c r="DT27" i="2"/>
  <c r="DV27" i="2" s="1"/>
  <c r="DW45" i="2"/>
  <c r="DY45" i="2" s="1"/>
  <c r="DN27" i="2"/>
  <c r="DP27" i="2" s="1"/>
  <c r="DT45" i="2"/>
  <c r="DV45" i="2" s="1"/>
  <c r="EO45" i="2"/>
  <c r="EQ45" i="2" s="1"/>
  <c r="DN45" i="2"/>
  <c r="DP45" i="2" s="1"/>
  <c r="DW40" i="2"/>
  <c r="DY40" i="2" s="1"/>
  <c r="ER45" i="2"/>
  <c r="ET45" i="2" s="1"/>
  <c r="EU39" i="2"/>
  <c r="EW39" i="2" s="1"/>
  <c r="DQ45" i="2"/>
  <c r="DS45" i="2" s="1"/>
  <c r="EC45" i="2"/>
  <c r="EE45" i="2" s="1"/>
  <c r="DZ40" i="2"/>
  <c r="EB40" i="2" s="1"/>
  <c r="DN39" i="2"/>
  <c r="DP39" i="2" s="1"/>
  <c r="EI39" i="2"/>
  <c r="EK39" i="2" s="1"/>
  <c r="EO40" i="2"/>
  <c r="EQ40" i="2" s="1"/>
  <c r="BS42" i="2"/>
  <c r="DT36" i="2"/>
  <c r="DV36" i="2" s="1"/>
  <c r="EL41" i="2"/>
  <c r="EN41" i="2" s="1"/>
  <c r="EU27" i="2"/>
  <c r="EW27" i="2" s="1"/>
  <c r="EF41" i="2"/>
  <c r="EH41" i="2" s="1"/>
  <c r="EC39" i="2"/>
  <c r="EE39" i="2" s="1"/>
  <c r="EI41" i="2"/>
  <c r="EK41" i="2" s="1"/>
  <c r="ER36" i="2"/>
  <c r="ET36" i="2" s="1"/>
  <c r="EF39" i="2"/>
  <c r="EH39" i="2" s="1"/>
  <c r="DZ41" i="2"/>
  <c r="EB41" i="2" s="1"/>
  <c r="EU40" i="2"/>
  <c r="EW40" i="2" s="1"/>
  <c r="EL39" i="2"/>
  <c r="EN39" i="2" s="1"/>
  <c r="DT41" i="2"/>
  <c r="DV41" i="2" s="1"/>
  <c r="EO41" i="2"/>
  <c r="EQ41" i="2" s="1"/>
  <c r="DT39" i="2"/>
  <c r="DV39" i="2" s="1"/>
  <c r="ER39" i="2"/>
  <c r="ET39" i="2" s="1"/>
  <c r="EI27" i="2"/>
  <c r="EK27" i="2" s="1"/>
  <c r="DZ39" i="2"/>
  <c r="EB39" i="2" s="1"/>
  <c r="DQ41" i="2"/>
  <c r="DS41" i="2" s="1"/>
  <c r="DZ45" i="2"/>
  <c r="EB45" i="2" s="1"/>
  <c r="DW41" i="2"/>
  <c r="DY41" i="2" s="1"/>
  <c r="EU41" i="2"/>
  <c r="EW41" i="2" s="1"/>
  <c r="DN40" i="2"/>
  <c r="DP40" i="2" s="1"/>
  <c r="EI40" i="2"/>
  <c r="EK40" i="2" s="1"/>
  <c r="DW27" i="2"/>
  <c r="DY27" i="2" s="1"/>
  <c r="EC27" i="2"/>
  <c r="EE27" i="2" s="1"/>
  <c r="EF40" i="2"/>
  <c r="EH40" i="2" s="1"/>
  <c r="BS53" i="2"/>
  <c r="BS48" i="2"/>
  <c r="BS55" i="2"/>
  <c r="BS54" i="2"/>
  <c r="BS56" i="2"/>
  <c r="BS85" i="2"/>
  <c r="BS22" i="2"/>
  <c r="BS24" i="2"/>
  <c r="BS29" i="2"/>
  <c r="BS35" i="2"/>
  <c r="BS52" i="2"/>
  <c r="BS47" i="2"/>
  <c r="BS49" i="2"/>
  <c r="BS86" i="2"/>
  <c r="EN12" i="2"/>
  <c r="EH12" i="2"/>
  <c r="EK12" i="2"/>
  <c r="EB12" i="2"/>
  <c r="EE12" i="2"/>
  <c r="EQ12" i="2"/>
  <c r="EW12" i="2"/>
  <c r="ET12" i="2"/>
  <c r="DY12" i="2"/>
  <c r="DS12" i="2"/>
  <c r="DV12" i="2"/>
  <c r="DP12" i="2"/>
  <c r="Z43" i="7" l="1"/>
  <c r="N41" i="7"/>
  <c r="N43" i="7"/>
  <c r="AF43" i="7"/>
  <c r="P43" i="7"/>
  <c r="AD43" i="7"/>
  <c r="V41" i="7"/>
  <c r="X41" i="7"/>
  <c r="T43" i="7"/>
  <c r="R43" i="7"/>
  <c r="V43" i="7"/>
  <c r="AB43" i="7"/>
  <c r="CE99" i="14"/>
  <c r="CY126" i="14"/>
  <c r="CY16" i="14"/>
  <c r="L39" i="7"/>
  <c r="BW49" i="14"/>
  <c r="Y27" i="7"/>
  <c r="Y42" i="7"/>
  <c r="U29" i="7"/>
  <c r="U44" i="7"/>
  <c r="X27" i="7"/>
  <c r="X42" i="7"/>
  <c r="AB38" i="7"/>
  <c r="W29" i="7"/>
  <c r="W44" i="7"/>
  <c r="AD24" i="7"/>
  <c r="AD39" i="7"/>
  <c r="J29" i="7"/>
  <c r="J44" i="7"/>
  <c r="V29" i="7"/>
  <c r="V44" i="7"/>
  <c r="AF29" i="7"/>
  <c r="AF44" i="7"/>
  <c r="AC29" i="7"/>
  <c r="AC44" i="7"/>
  <c r="S29" i="7"/>
  <c r="S44" i="7"/>
  <c r="Q38" i="7"/>
  <c r="U40" i="7"/>
  <c r="AE27" i="7"/>
  <c r="AE42" i="7"/>
  <c r="T26" i="7"/>
  <c r="T41" i="7"/>
  <c r="L27" i="7"/>
  <c r="L42" i="7"/>
  <c r="Z27" i="7"/>
  <c r="Z42" i="7"/>
  <c r="AB27" i="7"/>
  <c r="AB42" i="7"/>
  <c r="M43" i="7"/>
  <c r="N38" i="7"/>
  <c r="M38" i="7"/>
  <c r="J39" i="7"/>
  <c r="Q29" i="7"/>
  <c r="Q44" i="7"/>
  <c r="I27" i="7"/>
  <c r="I42" i="7"/>
  <c r="L40" i="7"/>
  <c r="M29" i="7"/>
  <c r="M44" i="7"/>
  <c r="AB29" i="7"/>
  <c r="AB44" i="7"/>
  <c r="Y39" i="7"/>
  <c r="Z40" i="7"/>
  <c r="K43" i="7"/>
  <c r="O29" i="7"/>
  <c r="O44" i="7"/>
  <c r="AF41" i="7"/>
  <c r="N27" i="7"/>
  <c r="N42" i="7"/>
  <c r="T24" i="7"/>
  <c r="T39" i="7"/>
  <c r="J38" i="7"/>
  <c r="I41" i="7"/>
  <c r="R41" i="7"/>
  <c r="Y41" i="7"/>
  <c r="S27" i="7"/>
  <c r="S42" i="7"/>
  <c r="AA29" i="7"/>
  <c r="AA44" i="7"/>
  <c r="M27" i="7"/>
  <c r="M42" i="7"/>
  <c r="AE40" i="7"/>
  <c r="L41" i="7"/>
  <c r="I38" i="7"/>
  <c r="M39" i="7"/>
  <c r="R39" i="7"/>
  <c r="P38" i="7"/>
  <c r="AE43" i="7"/>
  <c r="O41" i="7"/>
  <c r="K27" i="7"/>
  <c r="K42" i="7"/>
  <c r="K40" i="7"/>
  <c r="Z41" i="7"/>
  <c r="K39" i="7"/>
  <c r="O38" i="7"/>
  <c r="O43" i="7"/>
  <c r="AD41" i="7"/>
  <c r="AF27" i="7"/>
  <c r="AF42" i="7"/>
  <c r="AF40" i="7"/>
  <c r="AE39" i="7"/>
  <c r="S39" i="7"/>
  <c r="S38" i="7"/>
  <c r="V38" i="7"/>
  <c r="Q39" i="7"/>
  <c r="T27" i="7"/>
  <c r="T42" i="7"/>
  <c r="AD27" i="7"/>
  <c r="AD42" i="7"/>
  <c r="Z38" i="7"/>
  <c r="Q40" i="7"/>
  <c r="M41" i="7"/>
  <c r="AA38" i="7"/>
  <c r="K38" i="7"/>
  <c r="Q41" i="7"/>
  <c r="AC40" i="7"/>
  <c r="AE41" i="7"/>
  <c r="P27" i="7"/>
  <c r="P42" i="7"/>
  <c r="R27" i="7"/>
  <c r="R42" i="7"/>
  <c r="AA27" i="7"/>
  <c r="AA42" i="7"/>
  <c r="Y29" i="7"/>
  <c r="Y44" i="7"/>
  <c r="U41" i="7"/>
  <c r="Y43" i="7"/>
  <c r="AC27" i="7"/>
  <c r="AC42" i="7"/>
  <c r="O40" i="7"/>
  <c r="R29" i="7"/>
  <c r="R44" i="7"/>
  <c r="W39" i="7"/>
  <c r="J41" i="7"/>
  <c r="Z29" i="7"/>
  <c r="Z44" i="7"/>
  <c r="I39" i="7"/>
  <c r="X29" i="7"/>
  <c r="X44" i="7"/>
  <c r="L29" i="7"/>
  <c r="L44" i="7"/>
  <c r="X43" i="7"/>
  <c r="V27" i="7"/>
  <c r="V42" i="7"/>
  <c r="S41" i="7"/>
  <c r="R38" i="7"/>
  <c r="S40" i="7"/>
  <c r="AD40" i="7"/>
  <c r="AD38" i="7"/>
  <c r="J27" i="7"/>
  <c r="J42" i="7"/>
  <c r="U27" i="7"/>
  <c r="U42" i="7"/>
  <c r="AB41" i="7"/>
  <c r="AB40" i="7"/>
  <c r="AC39" i="7"/>
  <c r="U39" i="7"/>
  <c r="AC38" i="7"/>
  <c r="AE38" i="7"/>
  <c r="Y38" i="7"/>
  <c r="AD29" i="7"/>
  <c r="AD44" i="7"/>
  <c r="W27" i="7"/>
  <c r="W42" i="7"/>
  <c r="Q43" i="7"/>
  <c r="AA39" i="7"/>
  <c r="X39" i="7"/>
  <c r="S43" i="7"/>
  <c r="AA40" i="7"/>
  <c r="L43" i="7"/>
  <c r="K29" i="7"/>
  <c r="K44" i="7"/>
  <c r="AF38" i="7"/>
  <c r="U38" i="7"/>
  <c r="X40" i="7"/>
  <c r="W40" i="7"/>
  <c r="P29" i="7"/>
  <c r="P44" i="7"/>
  <c r="L38" i="7"/>
  <c r="N29" i="7"/>
  <c r="N44" i="7"/>
  <c r="Y40" i="7"/>
  <c r="T29" i="7"/>
  <c r="T44" i="7"/>
  <c r="Z39" i="7"/>
  <c r="AE29" i="7"/>
  <c r="AE44" i="7"/>
  <c r="I43" i="7"/>
  <c r="T38" i="7"/>
  <c r="P41" i="7"/>
  <c r="W38" i="7"/>
  <c r="P40" i="7"/>
  <c r="R40" i="7"/>
  <c r="X38" i="7"/>
  <c r="I29" i="7"/>
  <c r="I44" i="7"/>
  <c r="R28" i="7"/>
  <c r="V25" i="7"/>
  <c r="J28" i="7"/>
  <c r="P24" i="7"/>
  <c r="I25" i="7"/>
  <c r="AA28" i="7"/>
  <c r="V28" i="7"/>
  <c r="AB28" i="7"/>
  <c r="DK26" i="14"/>
  <c r="U28" i="7"/>
  <c r="T28" i="7"/>
  <c r="N28" i="7"/>
  <c r="AD28" i="7"/>
  <c r="V26" i="7"/>
  <c r="N25" i="7"/>
  <c r="W26" i="7"/>
  <c r="CY70" i="14"/>
  <c r="N24" i="7"/>
  <c r="P28" i="7"/>
  <c r="AF24" i="7"/>
  <c r="J25" i="7"/>
  <c r="CA120" i="14"/>
  <c r="AF28" i="7"/>
  <c r="K26" i="7"/>
  <c r="W28" i="7"/>
  <c r="X26" i="7"/>
  <c r="CM31" i="14"/>
  <c r="AC28" i="7"/>
  <c r="N26" i="7"/>
  <c r="T25" i="7"/>
  <c r="DC52" i="14"/>
  <c r="M25" i="7"/>
  <c r="L24" i="7"/>
  <c r="V24" i="7"/>
  <c r="Q23" i="7"/>
  <c r="Z28" i="7"/>
  <c r="O24" i="7"/>
  <c r="U25" i="7"/>
  <c r="R26" i="7"/>
  <c r="Q25" i="7"/>
  <c r="AC25" i="7"/>
  <c r="AD25" i="7"/>
  <c r="Z24" i="7"/>
  <c r="AF26" i="7"/>
  <c r="R24" i="7"/>
  <c r="G22" i="7"/>
  <c r="N23" i="7"/>
  <c r="L25" i="7"/>
  <c r="Z26" i="7"/>
  <c r="O23" i="7"/>
  <c r="O28" i="7"/>
  <c r="V23" i="7"/>
  <c r="Q24" i="7"/>
  <c r="Q26" i="7"/>
  <c r="U26" i="7"/>
  <c r="W24" i="7"/>
  <c r="S25" i="7"/>
  <c r="AC24" i="7"/>
  <c r="AC23" i="7"/>
  <c r="Q28" i="7"/>
  <c r="S28" i="7"/>
  <c r="AA25" i="7"/>
  <c r="L28" i="7"/>
  <c r="U23" i="7"/>
  <c r="L23" i="7"/>
  <c r="Y25" i="7"/>
  <c r="BS75" i="2"/>
  <c r="AB23" i="7"/>
  <c r="DC85" i="14"/>
  <c r="K28" i="7"/>
  <c r="J23" i="7"/>
  <c r="L26" i="7"/>
  <c r="M24" i="7"/>
  <c r="P23" i="7"/>
  <c r="AE28" i="7"/>
  <c r="AD26" i="7"/>
  <c r="AF25" i="7"/>
  <c r="S24" i="7"/>
  <c r="S23" i="7"/>
  <c r="CA40" i="14"/>
  <c r="Z23" i="7"/>
  <c r="AB24" i="7"/>
  <c r="AE26" i="7"/>
  <c r="Y28" i="7"/>
  <c r="AC26" i="7"/>
  <c r="O25" i="7"/>
  <c r="X28" i="7"/>
  <c r="R23" i="7"/>
  <c r="AB26" i="7"/>
  <c r="AB25" i="7"/>
  <c r="U24" i="7"/>
  <c r="AE23" i="7"/>
  <c r="Y23" i="7"/>
  <c r="X24" i="7"/>
  <c r="AF23" i="7"/>
  <c r="T23" i="7"/>
  <c r="R25" i="7"/>
  <c r="X23" i="7"/>
  <c r="M28" i="7"/>
  <c r="M23" i="7"/>
  <c r="J24" i="7"/>
  <c r="Y24" i="7"/>
  <c r="Z25" i="7"/>
  <c r="I26" i="7"/>
  <c r="Y26" i="7"/>
  <c r="I23" i="7"/>
  <c r="O26" i="7"/>
  <c r="K25" i="7"/>
  <c r="K24" i="7"/>
  <c r="AE24" i="7"/>
  <c r="M26" i="7"/>
  <c r="AA23" i="7"/>
  <c r="K23" i="7"/>
  <c r="J26" i="7"/>
  <c r="I24" i="7"/>
  <c r="S26" i="7"/>
  <c r="AD23" i="7"/>
  <c r="AA24" i="7"/>
  <c r="X25" i="7"/>
  <c r="W25" i="7"/>
  <c r="I28" i="7"/>
  <c r="P26" i="7"/>
  <c r="W23" i="7"/>
  <c r="P25" i="7"/>
  <c r="DC62" i="14"/>
  <c r="AA26" i="7"/>
  <c r="DK61" i="14"/>
  <c r="AE25" i="7"/>
  <c r="CE63" i="14"/>
  <c r="O27" i="7"/>
  <c r="CI63" i="14"/>
  <c r="Q27" i="7"/>
  <c r="CQ73" i="14"/>
  <c r="CM83" i="14"/>
  <c r="DG40" i="14"/>
  <c r="DK96" i="14"/>
  <c r="CY85" i="14"/>
  <c r="CI52" i="14"/>
  <c r="DK122" i="14"/>
  <c r="CM16" i="14"/>
  <c r="CQ79" i="14"/>
  <c r="CA16" i="14"/>
  <c r="CA79" i="14"/>
  <c r="CY83" i="14"/>
  <c r="CM65" i="14"/>
  <c r="CU52" i="14"/>
  <c r="CM80" i="14"/>
  <c r="CI131" i="14"/>
  <c r="DG65" i="14"/>
  <c r="CA73" i="14"/>
  <c r="CM122" i="14"/>
  <c r="CU118" i="14"/>
  <c r="CU40" i="14"/>
  <c r="CU16" i="14"/>
  <c r="DG73" i="14"/>
  <c r="CM70" i="14"/>
  <c r="CQ30" i="14"/>
  <c r="DK121" i="14"/>
  <c r="CQ50" i="14"/>
  <c r="CI30" i="14"/>
  <c r="CA98" i="14"/>
  <c r="CU98" i="14"/>
  <c r="CY50" i="14"/>
  <c r="CE40" i="14"/>
  <c r="CE124" i="14"/>
  <c r="CA17" i="14"/>
  <c r="CA129" i="14"/>
  <c r="CE17" i="14"/>
  <c r="DK120" i="14"/>
  <c r="CA65" i="14"/>
  <c r="CA75" i="14"/>
  <c r="CM73" i="14"/>
  <c r="CI45" i="14"/>
  <c r="DC16" i="14"/>
  <c r="CU73" i="14"/>
  <c r="CA68" i="14"/>
  <c r="CQ120" i="14"/>
  <c r="CI17" i="14"/>
  <c r="CU69" i="14"/>
  <c r="CE73" i="14"/>
  <c r="DC51" i="14"/>
  <c r="DC29" i="14"/>
  <c r="CI130" i="14"/>
  <c r="DK99" i="14"/>
  <c r="CU45" i="14"/>
  <c r="CA50" i="14"/>
  <c r="CI69" i="14"/>
  <c r="CE103" i="14"/>
  <c r="CQ119" i="14"/>
  <c r="CQ69" i="14"/>
  <c r="CY63" i="14"/>
  <c r="CE117" i="14"/>
  <c r="CE126" i="14"/>
  <c r="CQ129" i="14"/>
  <c r="DG125" i="14"/>
  <c r="CU99" i="14"/>
  <c r="DG118" i="14"/>
  <c r="CE116" i="14"/>
  <c r="DG131" i="14"/>
  <c r="DK30" i="14"/>
  <c r="CA123" i="14"/>
  <c r="CI50" i="14"/>
  <c r="CA128" i="14"/>
  <c r="CA119" i="14"/>
  <c r="CY96" i="14"/>
  <c r="DG120" i="14"/>
  <c r="DC132" i="14"/>
  <c r="DG117" i="14"/>
  <c r="CY69" i="14"/>
  <c r="CE68" i="14"/>
  <c r="CA69" i="14"/>
  <c r="DK118" i="14"/>
  <c r="DG99" i="14"/>
  <c r="DC75" i="14"/>
  <c r="CI51" i="14"/>
  <c r="CQ49" i="14"/>
  <c r="CI118" i="14"/>
  <c r="CA127" i="14"/>
  <c r="DK130" i="14"/>
  <c r="CE120" i="14"/>
  <c r="DC30" i="14"/>
  <c r="CU127" i="14"/>
  <c r="DC119" i="14"/>
  <c r="CE26" i="14"/>
  <c r="CE77" i="14"/>
  <c r="CA62" i="14"/>
  <c r="CA122" i="14"/>
  <c r="DK116" i="14"/>
  <c r="CQ82" i="14"/>
  <c r="CY119" i="14"/>
  <c r="CM45" i="14"/>
  <c r="CI31" i="14"/>
  <c r="CU119" i="14"/>
  <c r="CY120" i="14"/>
  <c r="DC50" i="14"/>
  <c r="DC68" i="14"/>
  <c r="CE59" i="14"/>
  <c r="CQ116" i="14"/>
  <c r="DK119" i="14"/>
  <c r="CM52" i="14"/>
  <c r="DG82" i="14"/>
  <c r="CI34" i="14"/>
  <c r="CA82" i="14"/>
  <c r="CE121" i="14"/>
  <c r="CA125" i="14"/>
  <c r="DK69" i="14"/>
  <c r="CE50" i="14"/>
  <c r="CY30" i="14"/>
  <c r="DG62" i="14"/>
  <c r="DG97" i="14"/>
  <c r="CY116" i="14"/>
  <c r="CI98" i="14"/>
  <c r="CY82" i="14"/>
  <c r="DK68" i="14"/>
  <c r="DC33" i="14"/>
  <c r="CM79" i="14"/>
  <c r="CI129" i="14"/>
  <c r="CQ118" i="14"/>
  <c r="DK123" i="14"/>
  <c r="DC98" i="14"/>
  <c r="CY122" i="14"/>
  <c r="CQ122" i="14"/>
  <c r="CI103" i="14"/>
  <c r="DC127" i="14"/>
  <c r="CE52" i="14"/>
  <c r="CY73" i="14"/>
  <c r="DK133" i="14"/>
  <c r="CQ43" i="14"/>
  <c r="CY62" i="14"/>
  <c r="DK49" i="14"/>
  <c r="DK97" i="14"/>
  <c r="DK117" i="14"/>
  <c r="CA130" i="14"/>
  <c r="DC83" i="14"/>
  <c r="DK59" i="14"/>
  <c r="DK29" i="14"/>
  <c r="DG70" i="14"/>
  <c r="CY77" i="14"/>
  <c r="CM51" i="14"/>
  <c r="CE98" i="14"/>
  <c r="CE130" i="14"/>
  <c r="DC77" i="14"/>
  <c r="DG129" i="14"/>
  <c r="DC99" i="14"/>
  <c r="DC65" i="14"/>
  <c r="CA33" i="14"/>
  <c r="DG24" i="14"/>
  <c r="DC130" i="14"/>
  <c r="CM97" i="14"/>
  <c r="CI97" i="14"/>
  <c r="CY17" i="14"/>
  <c r="CI68" i="14"/>
  <c r="CU17" i="14"/>
  <c r="DG69" i="14"/>
  <c r="CU33" i="14"/>
  <c r="CY117" i="14"/>
  <c r="DG103" i="14"/>
  <c r="CU117" i="14"/>
  <c r="CI132" i="14"/>
  <c r="CQ131" i="14"/>
  <c r="DK124" i="14"/>
  <c r="CE129" i="14"/>
  <c r="DG17" i="14"/>
  <c r="CI126" i="14"/>
  <c r="DG31" i="14"/>
  <c r="DK24" i="14"/>
  <c r="CI83" i="14"/>
  <c r="DC80" i="14"/>
  <c r="CU85" i="14"/>
  <c r="DG59" i="14"/>
  <c r="DK129" i="14"/>
  <c r="CE133" i="14"/>
  <c r="CM118" i="14"/>
  <c r="CQ103" i="14"/>
  <c r="CM132" i="14"/>
  <c r="CE122" i="14"/>
  <c r="CI119" i="14"/>
  <c r="CU133" i="14"/>
  <c r="DG64" i="14"/>
  <c r="DG79" i="14"/>
  <c r="CA34" i="14"/>
  <c r="CU83" i="14"/>
  <c r="CA30" i="14"/>
  <c r="DC24" i="14"/>
  <c r="CQ17" i="14"/>
  <c r="CY79" i="14"/>
  <c r="CQ40" i="14"/>
  <c r="DG61" i="14"/>
  <c r="CU49" i="14"/>
  <c r="CM75" i="14"/>
  <c r="CQ68" i="14"/>
  <c r="CI43" i="14"/>
  <c r="CE83" i="14"/>
  <c r="CI80" i="14"/>
  <c r="DG121" i="14"/>
  <c r="CU123" i="14"/>
  <c r="CA26" i="14"/>
  <c r="CQ97" i="14"/>
  <c r="CM130" i="14"/>
  <c r="CY130" i="14"/>
  <c r="DC97" i="14"/>
  <c r="CY128" i="14"/>
  <c r="CA116" i="14"/>
  <c r="CI123" i="14"/>
  <c r="CE96" i="14"/>
  <c r="CE132" i="14"/>
  <c r="DK127" i="14"/>
  <c r="DG124" i="14"/>
  <c r="CA61" i="14"/>
  <c r="DG16" i="14"/>
  <c r="CY49" i="14"/>
  <c r="CE49" i="14"/>
  <c r="CM49" i="14"/>
  <c r="CI49" i="14"/>
  <c r="DG68" i="14"/>
  <c r="DC43" i="14"/>
  <c r="CQ59" i="14"/>
  <c r="CA77" i="14"/>
  <c r="CE79" i="14"/>
  <c r="CQ33" i="14"/>
  <c r="CQ29" i="14"/>
  <c r="CM133" i="14"/>
  <c r="CY98" i="14"/>
  <c r="CM117" i="14"/>
  <c r="DG127" i="14"/>
  <c r="DG122" i="14"/>
  <c r="CU131" i="14"/>
  <c r="CY121" i="14"/>
  <c r="CQ85" i="14"/>
  <c r="CU121" i="14"/>
  <c r="L21" i="7"/>
  <c r="CA64" i="14"/>
  <c r="DK16" i="14"/>
  <c r="CQ83" i="14"/>
  <c r="CU70" i="14"/>
  <c r="CQ80" i="14"/>
  <c r="CI75" i="14"/>
  <c r="DK83" i="14"/>
  <c r="DK126" i="14"/>
  <c r="CI40" i="14"/>
  <c r="CA133" i="14"/>
  <c r="CM131" i="14"/>
  <c r="CE69" i="14"/>
  <c r="DG29" i="14"/>
  <c r="CM33" i="14"/>
  <c r="CE65" i="14"/>
  <c r="DK64" i="14"/>
  <c r="CA43" i="14"/>
  <c r="CE85" i="14"/>
  <c r="CU68" i="14"/>
  <c r="CU82" i="14"/>
  <c r="CM128" i="14"/>
  <c r="DG128" i="14"/>
  <c r="DK131" i="14"/>
  <c r="CU59" i="14"/>
  <c r="DG50" i="14"/>
  <c r="CU96" i="14"/>
  <c r="CE16" i="14"/>
  <c r="DC73" i="14"/>
  <c r="CE62" i="14"/>
  <c r="DK40" i="14"/>
  <c r="DC79" i="14"/>
  <c r="CY118" i="14"/>
  <c r="CU120" i="14"/>
  <c r="CM12" i="14"/>
  <c r="CK7" i="14"/>
  <c r="CK6" i="14"/>
  <c r="DC59" i="14"/>
  <c r="CI62" i="14"/>
  <c r="DK85" i="14"/>
  <c r="CA80" i="14"/>
  <c r="DK80" i="14"/>
  <c r="CM59" i="14"/>
  <c r="CM116" i="14"/>
  <c r="CE131" i="14"/>
  <c r="CQ121" i="14"/>
  <c r="CQ61" i="14"/>
  <c r="BZ6" i="14"/>
  <c r="BZ7" i="14"/>
  <c r="ET12" i="14"/>
  <c r="ER7" i="14"/>
  <c r="ER6" i="14"/>
  <c r="CU77" i="14"/>
  <c r="CY26" i="14"/>
  <c r="CM43" i="14"/>
  <c r="CC7" i="14"/>
  <c r="CC6" i="14"/>
  <c r="CE12" i="14"/>
  <c r="CA52" i="14"/>
  <c r="CQ34" i="14"/>
  <c r="CY29" i="14"/>
  <c r="DC70" i="14"/>
  <c r="CQ51" i="14"/>
  <c r="DG133" i="14"/>
  <c r="CY31" i="14"/>
  <c r="CI125" i="14"/>
  <c r="CM120" i="14"/>
  <c r="DC117" i="14"/>
  <c r="DG130" i="14"/>
  <c r="CQ75" i="14"/>
  <c r="BY6" i="14"/>
  <c r="BY7" i="14"/>
  <c r="CA12" i="14"/>
  <c r="DY12" i="14"/>
  <c r="DW6" i="14"/>
  <c r="DW7" i="14"/>
  <c r="CE45" i="14"/>
  <c r="CM63" i="14"/>
  <c r="BQ7" i="14"/>
  <c r="BQ6" i="14"/>
  <c r="CA49" i="14"/>
  <c r="CM77" i="14"/>
  <c r="CE29" i="14"/>
  <c r="EQ12" i="14"/>
  <c r="EO7" i="14"/>
  <c r="EO6" i="14"/>
  <c r="CA29" i="14"/>
  <c r="DK12" i="14"/>
  <c r="DI6" i="14"/>
  <c r="DI7" i="14"/>
  <c r="CU63" i="14"/>
  <c r="CM24" i="14"/>
  <c r="CA126" i="14"/>
  <c r="DG126" i="14"/>
  <c r="DK98" i="14"/>
  <c r="CU34" i="14"/>
  <c r="CQ127" i="14"/>
  <c r="CI133" i="14"/>
  <c r="CM125" i="14"/>
  <c r="DB7" i="14"/>
  <c r="DB6" i="14"/>
  <c r="CT7" i="14"/>
  <c r="CT6" i="14"/>
  <c r="DP12" i="14"/>
  <c r="DN7" i="14"/>
  <c r="DN6" i="14"/>
  <c r="CY52" i="14"/>
  <c r="DK52" i="14"/>
  <c r="CE61" i="14"/>
  <c r="CA31" i="14"/>
  <c r="DG49" i="14"/>
  <c r="CY68" i="14"/>
  <c r="DC40" i="14"/>
  <c r="CQ65" i="14"/>
  <c r="DC122" i="14"/>
  <c r="CU30" i="14"/>
  <c r="CE118" i="14"/>
  <c r="DC128" i="14"/>
  <c r="CE123" i="14"/>
  <c r="CY125" i="14"/>
  <c r="DC123" i="14"/>
  <c r="CU128" i="14"/>
  <c r="CI121" i="14"/>
  <c r="CI116" i="14"/>
  <c r="CQ123" i="14"/>
  <c r="CU116" i="14"/>
  <c r="CQ130" i="14"/>
  <c r="CE128" i="14"/>
  <c r="CA117" i="14"/>
  <c r="DG30" i="14"/>
  <c r="DC45" i="14"/>
  <c r="CU62" i="14"/>
  <c r="CE70" i="14"/>
  <c r="DC64" i="14"/>
  <c r="BR6" i="14"/>
  <c r="BR7" i="14"/>
  <c r="CI29" i="14"/>
  <c r="DK51" i="14"/>
  <c r="CU51" i="14"/>
  <c r="DK75" i="14"/>
  <c r="CL7" i="14"/>
  <c r="CL6" i="14"/>
  <c r="DC133" i="14"/>
  <c r="CQ99" i="14"/>
  <c r="CU125" i="14"/>
  <c r="CE64" i="14"/>
  <c r="CM29" i="14"/>
  <c r="DK77" i="14"/>
  <c r="DK79" i="14"/>
  <c r="CM69" i="14"/>
  <c r="CD6" i="14"/>
  <c r="CD7" i="14"/>
  <c r="DK17" i="14"/>
  <c r="CQ16" i="14"/>
  <c r="DK33" i="14"/>
  <c r="DV12" i="14"/>
  <c r="DT7" i="14"/>
  <c r="DT6" i="14"/>
  <c r="DK62" i="14"/>
  <c r="CE43" i="14"/>
  <c r="CI33" i="14"/>
  <c r="DK34" i="14"/>
  <c r="CQ77" i="14"/>
  <c r="DG75" i="14"/>
  <c r="CA83" i="14"/>
  <c r="CI16" i="14"/>
  <c r="CY75" i="14"/>
  <c r="CO6" i="14"/>
  <c r="CQ12" i="14"/>
  <c r="CO7" i="14"/>
  <c r="CU75" i="14"/>
  <c r="CY132" i="14"/>
  <c r="CI24" i="14"/>
  <c r="CU124" i="14"/>
  <c r="DC129" i="14"/>
  <c r="CA96" i="14"/>
  <c r="CI124" i="14"/>
  <c r="CY97" i="14"/>
  <c r="DC118" i="14"/>
  <c r="CM121" i="14"/>
  <c r="CI128" i="14"/>
  <c r="CI65" i="14"/>
  <c r="CM82" i="14"/>
  <c r="CI82" i="14"/>
  <c r="DK65" i="14"/>
  <c r="CY51" i="14"/>
  <c r="CP7" i="14"/>
  <c r="CP6" i="14"/>
  <c r="CE51" i="14"/>
  <c r="DK31" i="14"/>
  <c r="CM62" i="14"/>
  <c r="DK45" i="14"/>
  <c r="CQ63" i="14"/>
  <c r="CI64" i="14"/>
  <c r="DC17" i="14"/>
  <c r="CE30" i="14"/>
  <c r="CU61" i="14"/>
  <c r="CE82" i="14"/>
  <c r="DK73" i="14"/>
  <c r="EB12" i="14"/>
  <c r="DZ7" i="14"/>
  <c r="DZ6" i="14"/>
  <c r="CQ132" i="14"/>
  <c r="DK125" i="14"/>
  <c r="DG132" i="14"/>
  <c r="DK128" i="14"/>
  <c r="CM126" i="14"/>
  <c r="CM99" i="14"/>
  <c r="CU97" i="14"/>
  <c r="CQ98" i="14"/>
  <c r="DC124" i="14"/>
  <c r="CE125" i="14"/>
  <c r="CU126" i="14"/>
  <c r="DC120" i="14"/>
  <c r="EE12" i="14"/>
  <c r="EC6" i="14"/>
  <c r="EC7" i="14"/>
  <c r="CM64" i="14"/>
  <c r="DC116" i="14"/>
  <c r="DK70" i="14"/>
  <c r="DK63" i="14"/>
  <c r="CE34" i="14"/>
  <c r="DG83" i="14"/>
  <c r="CM85" i="14"/>
  <c r="CA51" i="14"/>
  <c r="CM17" i="14"/>
  <c r="CU43" i="14"/>
  <c r="DK43" i="14"/>
  <c r="DC69" i="14"/>
  <c r="CQ45" i="14"/>
  <c r="DC61" i="14"/>
  <c r="DG34" i="14"/>
  <c r="CA131" i="14"/>
  <c r="CY99" i="14"/>
  <c r="CY103" i="14"/>
  <c r="CA121" i="14"/>
  <c r="CI127" i="14"/>
  <c r="CI117" i="14"/>
  <c r="CU103" i="14"/>
  <c r="CY123" i="14"/>
  <c r="CQ125" i="14"/>
  <c r="DC82" i="14"/>
  <c r="CM50" i="14"/>
  <c r="CQ31" i="14"/>
  <c r="DG45" i="14"/>
  <c r="CE33" i="14"/>
  <c r="CH7" i="14"/>
  <c r="CH6" i="14"/>
  <c r="CU31" i="14"/>
  <c r="CU24" i="14"/>
  <c r="CY61" i="14"/>
  <c r="CI99" i="14"/>
  <c r="CS7" i="14"/>
  <c r="CS6" i="14"/>
  <c r="CU12" i="14"/>
  <c r="CQ117" i="14"/>
  <c r="DK103" i="14"/>
  <c r="DG51" i="14"/>
  <c r="DK50" i="14"/>
  <c r="CA24" i="14"/>
  <c r="CY65" i="14"/>
  <c r="DC26" i="14"/>
  <c r="CY45" i="14"/>
  <c r="DG80" i="14"/>
  <c r="CY12" i="14"/>
  <c r="CW7" i="14"/>
  <c r="CW6" i="14"/>
  <c r="CA70" i="14"/>
  <c r="DC31" i="14"/>
  <c r="CY24" i="14"/>
  <c r="DC121" i="14"/>
  <c r="CE119" i="14"/>
  <c r="CM103" i="14"/>
  <c r="CA118" i="14"/>
  <c r="DG96" i="14"/>
  <c r="DG123" i="14"/>
  <c r="CM98" i="14"/>
  <c r="DG98" i="14"/>
  <c r="CQ126" i="14"/>
  <c r="CI96" i="14"/>
  <c r="CQ124" i="14"/>
  <c r="CQ133" i="14"/>
  <c r="CX6" i="14"/>
  <c r="CX7" i="14"/>
  <c r="DC12" i="14"/>
  <c r="DA7" i="14"/>
  <c r="DA6" i="14"/>
  <c r="CU80" i="14"/>
  <c r="CQ62" i="14"/>
  <c r="CY64" i="14"/>
  <c r="CM61" i="14"/>
  <c r="DC131" i="14"/>
  <c r="CA103" i="14"/>
  <c r="CA124" i="14"/>
  <c r="CU122" i="14"/>
  <c r="DG52" i="14"/>
  <c r="Q16" i="7"/>
  <c r="CG7" i="14"/>
  <c r="CG6" i="14"/>
  <c r="CI12" i="14"/>
  <c r="CI73" i="14"/>
  <c r="DC34" i="14"/>
  <c r="CU64" i="14"/>
  <c r="CI59" i="14"/>
  <c r="CM34" i="14"/>
  <c r="BU7" i="14"/>
  <c r="BU6" i="14"/>
  <c r="CA59" i="14"/>
  <c r="CA85" i="14"/>
  <c r="DG63" i="14"/>
  <c r="CQ24" i="14"/>
  <c r="CE75" i="14"/>
  <c r="CE80" i="14"/>
  <c r="DF7" i="14"/>
  <c r="DF6" i="14"/>
  <c r="DG26" i="14"/>
  <c r="DG77" i="14"/>
  <c r="CI85" i="14"/>
  <c r="CM26" i="14"/>
  <c r="CM40" i="14"/>
  <c r="CI77" i="14"/>
  <c r="CE31" i="14"/>
  <c r="CY129" i="14"/>
  <c r="CY133" i="14"/>
  <c r="CA97" i="14"/>
  <c r="CE127" i="14"/>
  <c r="CA99" i="14"/>
  <c r="CM124" i="14"/>
  <c r="CI26" i="14"/>
  <c r="CY124" i="14"/>
  <c r="DC96" i="14"/>
  <c r="DG116" i="14"/>
  <c r="CQ64" i="14"/>
  <c r="CY43" i="14"/>
  <c r="EW12" i="14"/>
  <c r="EU6" i="14"/>
  <c r="EU7" i="14"/>
  <c r="CE24" i="14"/>
  <c r="CU26" i="14"/>
  <c r="CM30" i="14"/>
  <c r="CI70" i="14"/>
  <c r="CA63" i="14"/>
  <c r="CY40" i="14"/>
  <c r="CI122" i="14"/>
  <c r="CI61" i="14"/>
  <c r="CY33" i="14"/>
  <c r="DK82" i="14"/>
  <c r="CQ70" i="14"/>
  <c r="CA45" i="14"/>
  <c r="CQ26" i="14"/>
  <c r="CU65" i="14"/>
  <c r="DG12" i="14"/>
  <c r="DE6" i="14"/>
  <c r="DE7" i="14"/>
  <c r="DK132" i="14"/>
  <c r="CY80" i="14"/>
  <c r="CI79" i="14"/>
  <c r="EN12" i="14"/>
  <c r="EL7" i="14"/>
  <c r="EL6" i="14"/>
  <c r="CM68" i="14"/>
  <c r="CU79" i="14"/>
  <c r="BV6" i="14"/>
  <c r="BV7" i="14"/>
  <c r="DG43" i="14"/>
  <c r="CQ96" i="14"/>
  <c r="EH12" i="14"/>
  <c r="EF6" i="14"/>
  <c r="EF7" i="14"/>
  <c r="CY34" i="14"/>
  <c r="CE97" i="14"/>
  <c r="DC125" i="14"/>
  <c r="CM96" i="14"/>
  <c r="CY131" i="14"/>
  <c r="CM127" i="14"/>
  <c r="EK12" i="14"/>
  <c r="EI7" i="14"/>
  <c r="EI6" i="14"/>
  <c r="DC103" i="14"/>
  <c r="DC126" i="14"/>
  <c r="CY127" i="14"/>
  <c r="CM129" i="14"/>
  <c r="CU130" i="14"/>
  <c r="CU132" i="14"/>
  <c r="CQ52" i="14"/>
  <c r="DS12" i="14"/>
  <c r="DQ7" i="14"/>
  <c r="DQ6" i="14"/>
  <c r="CU50" i="14"/>
  <c r="DC63" i="14"/>
  <c r="DG33" i="14"/>
  <c r="DC49" i="14"/>
  <c r="DJ6" i="14"/>
  <c r="DJ7" i="14"/>
  <c r="DG85" i="14"/>
  <c r="CQ128" i="14"/>
  <c r="CM119" i="14"/>
  <c r="CU129" i="14"/>
  <c r="CU29" i="14"/>
  <c r="CM123" i="14"/>
  <c r="CI120" i="14"/>
  <c r="AB21" i="7"/>
  <c r="N16" i="7"/>
  <c r="O16" i="7"/>
  <c r="M16" i="7"/>
  <c r="AC16" i="7"/>
  <c r="AD16" i="7"/>
  <c r="S16" i="7"/>
  <c r="V19" i="7"/>
  <c r="I21" i="7"/>
  <c r="Y21" i="7"/>
  <c r="S13" i="7"/>
  <c r="AA16" i="7"/>
  <c r="U13" i="7"/>
  <c r="U16" i="7"/>
  <c r="O13" i="7"/>
  <c r="P16" i="7"/>
  <c r="V16" i="7"/>
  <c r="L15" i="7"/>
  <c r="K18" i="7"/>
  <c r="AC21" i="7"/>
  <c r="K17" i="7"/>
  <c r="P15" i="7"/>
  <c r="O17" i="7"/>
  <c r="J16" i="7"/>
  <c r="W20" i="7"/>
  <c r="AB15" i="7"/>
  <c r="Z16" i="7"/>
  <c r="Y13" i="7"/>
  <c r="R17" i="7"/>
  <c r="AD19" i="7"/>
  <c r="V17" i="7"/>
  <c r="AF16" i="7"/>
  <c r="AE18" i="7"/>
  <c r="P21" i="7"/>
  <c r="K16" i="7"/>
  <c r="X16" i="7"/>
  <c r="W16" i="7"/>
  <c r="AE16" i="7"/>
  <c r="L16" i="7"/>
  <c r="AA21" i="7"/>
  <c r="AC15" i="7"/>
  <c r="J20" i="7"/>
  <c r="Y19" i="7"/>
  <c r="AD15" i="7"/>
  <c r="Y16" i="7"/>
  <c r="AE15" i="7"/>
  <c r="AF15" i="7"/>
  <c r="X20" i="7"/>
  <c r="O21" i="7"/>
  <c r="M15" i="7"/>
  <c r="Z20" i="7"/>
  <c r="W15" i="7"/>
  <c r="P20" i="7"/>
  <c r="N15" i="7"/>
  <c r="I20" i="7"/>
  <c r="AF20" i="7"/>
  <c r="M20" i="7"/>
  <c r="R16" i="7"/>
  <c r="Q14" i="7"/>
  <c r="AB20" i="7"/>
  <c r="S20" i="7"/>
  <c r="R15" i="7"/>
  <c r="Q19" i="7"/>
  <c r="P18" i="7"/>
  <c r="S21" i="7"/>
  <c r="U14" i="7"/>
  <c r="O14" i="7"/>
  <c r="X13" i="7"/>
  <c r="L18" i="7"/>
  <c r="U19" i="7"/>
  <c r="P19" i="7"/>
  <c r="Q17" i="7"/>
  <c r="I16" i="7"/>
  <c r="Y20" i="7"/>
  <c r="V20" i="7"/>
  <c r="AD21" i="7"/>
  <c r="AB19" i="7"/>
  <c r="AD20" i="7"/>
  <c r="S15" i="7"/>
  <c r="M21" i="7"/>
  <c r="AA20" i="7"/>
  <c r="M13" i="7"/>
  <c r="K15" i="7"/>
  <c r="AB18" i="7"/>
  <c r="W17" i="7"/>
  <c r="L20" i="7"/>
  <c r="N20" i="7"/>
  <c r="V15" i="7"/>
  <c r="Q15" i="7"/>
  <c r="Y15" i="7"/>
  <c r="K20" i="7"/>
  <c r="AE20" i="7"/>
  <c r="AA15" i="7"/>
  <c r="J15" i="7"/>
  <c r="AB16" i="7"/>
  <c r="Q20" i="7"/>
  <c r="Z15" i="7"/>
  <c r="U15" i="7"/>
  <c r="O20" i="7"/>
  <c r="AD13" i="7"/>
  <c r="R20" i="7"/>
  <c r="X15" i="7"/>
  <c r="R13" i="7"/>
  <c r="U20" i="7"/>
  <c r="AE21" i="7"/>
  <c r="Y14" i="7"/>
  <c r="P13" i="7"/>
  <c r="AD14" i="7"/>
  <c r="T13" i="7"/>
  <c r="BS60" i="2"/>
  <c r="J19" i="7"/>
  <c r="AB17" i="7"/>
  <c r="U17" i="7"/>
  <c r="AE17" i="7"/>
  <c r="Y17" i="7"/>
  <c r="AF17" i="7"/>
  <c r="AA18" i="7"/>
  <c r="S17" i="7"/>
  <c r="S18" i="7"/>
  <c r="R18" i="7"/>
  <c r="P17" i="7"/>
  <c r="W13" i="7"/>
  <c r="AA13" i="7"/>
  <c r="X21" i="7"/>
  <c r="Z17" i="7"/>
  <c r="AA19" i="7"/>
  <c r="O18" i="7"/>
  <c r="P14" i="7"/>
  <c r="AC14" i="7"/>
  <c r="AC19" i="7"/>
  <c r="N19" i="7"/>
  <c r="I15" i="7"/>
  <c r="O19" i="7"/>
  <c r="Q21" i="7"/>
  <c r="BS61" i="2"/>
  <c r="J21" i="7"/>
  <c r="Q13" i="7"/>
  <c r="N13" i="7"/>
  <c r="K14" i="7"/>
  <c r="W19" i="7"/>
  <c r="AD17" i="7"/>
  <c r="K19" i="7"/>
  <c r="AF19" i="7"/>
  <c r="AC17" i="7"/>
  <c r="X19" i="7"/>
  <c r="I13" i="7"/>
  <c r="AA17" i="7"/>
  <c r="Z18" i="7"/>
  <c r="K13" i="7"/>
  <c r="J14" i="7"/>
  <c r="T14" i="7"/>
  <c r="AE13" i="7"/>
  <c r="BS59" i="2"/>
  <c r="J18" i="7"/>
  <c r="V21" i="7"/>
  <c r="I17" i="7"/>
  <c r="K21" i="7"/>
  <c r="AF21" i="7"/>
  <c r="W21" i="7"/>
  <c r="AD18" i="7"/>
  <c r="AB14" i="7"/>
  <c r="AF18" i="7"/>
  <c r="L14" i="7"/>
  <c r="Z13" i="7"/>
  <c r="I14" i="7"/>
  <c r="AC18" i="7"/>
  <c r="N21" i="7"/>
  <c r="M18" i="7"/>
  <c r="Z21" i="7"/>
  <c r="J17" i="7"/>
  <c r="Q18" i="7"/>
  <c r="AC20" i="7"/>
  <c r="AE14" i="7"/>
  <c r="Z14" i="7"/>
  <c r="X17" i="7"/>
  <c r="N18" i="7"/>
  <c r="L17" i="7"/>
  <c r="O15" i="7"/>
  <c r="AF13" i="7"/>
  <c r="AB13" i="7"/>
  <c r="R14" i="7"/>
  <c r="Z19" i="7"/>
  <c r="BS62" i="2"/>
  <c r="J22" i="7"/>
  <c r="H22" i="7" s="1"/>
  <c r="E22" i="7" s="1"/>
  <c r="R19" i="7"/>
  <c r="S14" i="7"/>
  <c r="M14" i="7"/>
  <c r="AA14" i="7"/>
  <c r="M19" i="7"/>
  <c r="U21" i="7"/>
  <c r="W14" i="7"/>
  <c r="X18" i="7"/>
  <c r="V18" i="7"/>
  <c r="L19" i="7"/>
  <c r="N17" i="7"/>
  <c r="U18" i="7"/>
  <c r="N14" i="7"/>
  <c r="X14" i="7"/>
  <c r="AC13" i="7"/>
  <c r="AE19" i="7"/>
  <c r="Y18" i="7"/>
  <c r="W18" i="7"/>
  <c r="R21" i="7"/>
  <c r="L13" i="7"/>
  <c r="V13" i="7"/>
  <c r="J13" i="7"/>
  <c r="AF14" i="7"/>
  <c r="V14" i="7"/>
  <c r="M17" i="7"/>
  <c r="BS58" i="2"/>
  <c r="BS79" i="2"/>
  <c r="BS72" i="2"/>
  <c r="BS73" i="2"/>
  <c r="BS16" i="2"/>
  <c r="BS13" i="2"/>
  <c r="BS76" i="2"/>
  <c r="BS77" i="2"/>
  <c r="BS20" i="2"/>
  <c r="BS74" i="2"/>
  <c r="BS70" i="2"/>
  <c r="BS37" i="2"/>
  <c r="BS38" i="2"/>
  <c r="BS78" i="2"/>
  <c r="BS11" i="2"/>
  <c r="BS33" i="2"/>
  <c r="BS30" i="2"/>
  <c r="BS71" i="2"/>
  <c r="BQ7" i="2"/>
  <c r="BQ6" i="2"/>
  <c r="CX6" i="2"/>
  <c r="BZ6" i="2"/>
  <c r="CS7" i="2"/>
  <c r="CT7" i="2"/>
  <c r="CW7" i="2"/>
  <c r="EO6" i="2"/>
  <c r="EF6" i="2"/>
  <c r="CS6" i="2"/>
  <c r="DT6" i="2"/>
  <c r="DT7" i="2"/>
  <c r="CD6" i="2"/>
  <c r="DA7" i="2"/>
  <c r="BR6" i="2"/>
  <c r="BU7" i="2"/>
  <c r="DJ6" i="2"/>
  <c r="CD7" i="2"/>
  <c r="DA6" i="2"/>
  <c r="BR7" i="2"/>
  <c r="CG6" i="2"/>
  <c r="CG7" i="2"/>
  <c r="BU6" i="2"/>
  <c r="CH6" i="2"/>
  <c r="CP7" i="2"/>
  <c r="DB6" i="2"/>
  <c r="CX7" i="2"/>
  <c r="DJ7" i="2"/>
  <c r="BY7" i="2"/>
  <c r="BZ7" i="2"/>
  <c r="CH7" i="2"/>
  <c r="CT6" i="2"/>
  <c r="BV6" i="2"/>
  <c r="CC6" i="2"/>
  <c r="CL7" i="2"/>
  <c r="CK6" i="2"/>
  <c r="DF6" i="2"/>
  <c r="DQ6" i="2"/>
  <c r="EO7" i="2"/>
  <c r="EL7" i="2"/>
  <c r="DE6" i="2"/>
  <c r="EL6" i="2"/>
  <c r="DQ7" i="2"/>
  <c r="BY6" i="2"/>
  <c r="CP6" i="2"/>
  <c r="EC6" i="2"/>
  <c r="DB7" i="2"/>
  <c r="BV7" i="2"/>
  <c r="DZ7" i="2"/>
  <c r="CO6" i="2"/>
  <c r="CC7" i="2"/>
  <c r="DW6" i="2"/>
  <c r="CO7" i="2"/>
  <c r="EI7" i="2"/>
  <c r="DW7" i="2"/>
  <c r="CL6" i="2"/>
  <c r="EI6" i="2"/>
  <c r="EC7" i="2"/>
  <c r="DZ6" i="2"/>
  <c r="DN6" i="2"/>
  <c r="ER6" i="2"/>
  <c r="CK7" i="2"/>
  <c r="DN7" i="2"/>
  <c r="ER7" i="2"/>
  <c r="CW6" i="2"/>
  <c r="EF7" i="2"/>
  <c r="BS36" i="2"/>
  <c r="BS39" i="2"/>
  <c r="BS41" i="2"/>
  <c r="BS45" i="2"/>
  <c r="BS27" i="2"/>
  <c r="BS40" i="2"/>
  <c r="DF7" i="2"/>
  <c r="DI7" i="2"/>
  <c r="DI6" i="2"/>
  <c r="DE7" i="2"/>
  <c r="EU6" i="2"/>
  <c r="EU7" i="2"/>
  <c r="EN7" i="2"/>
  <c r="EN6" i="2"/>
  <c r="EH6" i="2"/>
  <c r="EH7" i="2"/>
  <c r="EK6" i="2"/>
  <c r="EK7" i="2"/>
  <c r="EB6" i="2"/>
  <c r="EB7" i="2"/>
  <c r="EE6" i="2"/>
  <c r="EE7" i="2"/>
  <c r="EQ6" i="2"/>
  <c r="EQ7" i="2"/>
  <c r="EW7" i="2"/>
  <c r="EW6" i="2"/>
  <c r="ET6" i="2"/>
  <c r="ET7" i="2"/>
  <c r="DY6" i="2"/>
  <c r="DY7" i="2"/>
  <c r="DS6" i="2"/>
  <c r="DS7" i="2"/>
  <c r="DV7" i="2"/>
  <c r="DV6" i="2"/>
  <c r="DP6" i="2"/>
  <c r="DP7" i="2"/>
  <c r="G29" i="7" l="1"/>
  <c r="D29" i="7" s="1"/>
  <c r="H43" i="7"/>
  <c r="E43" i="7" s="1"/>
  <c r="H27" i="7"/>
  <c r="E27" i="7" s="1"/>
  <c r="G44" i="7"/>
  <c r="D44" i="7" s="1"/>
  <c r="G43" i="7"/>
  <c r="D43" i="7" s="1"/>
  <c r="U48" i="7"/>
  <c r="S3" i="7" s="1"/>
  <c r="H29" i="7"/>
  <c r="E29" i="7" s="1"/>
  <c r="L48" i="7"/>
  <c r="J3" i="7" s="1"/>
  <c r="X48" i="7"/>
  <c r="V3" i="7" s="1"/>
  <c r="W48" i="7"/>
  <c r="U3" i="7" s="1"/>
  <c r="H42" i="7"/>
  <c r="E42" i="7" s="1"/>
  <c r="AC48" i="7"/>
  <c r="AA3" i="7" s="1"/>
  <c r="T48" i="7"/>
  <c r="R3" i="7" s="1"/>
  <c r="AF48" i="7"/>
  <c r="AD3" i="7" s="1"/>
  <c r="H40" i="7"/>
  <c r="E40" i="7" s="1"/>
  <c r="Y48" i="7"/>
  <c r="W3" i="7" s="1"/>
  <c r="AE48" i="7"/>
  <c r="AC3" i="7" s="1"/>
  <c r="AD48" i="7"/>
  <c r="AB3" i="7" s="1"/>
  <c r="R48" i="7"/>
  <c r="P3" i="7" s="1"/>
  <c r="G39" i="7"/>
  <c r="D39" i="7" s="1"/>
  <c r="H41" i="7"/>
  <c r="E41" i="7" s="1"/>
  <c r="K48" i="7"/>
  <c r="I3" i="7" s="1"/>
  <c r="AA48" i="7"/>
  <c r="Y3" i="7" s="1"/>
  <c r="X3" i="7"/>
  <c r="V48" i="7"/>
  <c r="T3" i="7" s="1"/>
  <c r="S48" i="7"/>
  <c r="Q3" i="7" s="1"/>
  <c r="O48" i="7"/>
  <c r="M3" i="7" s="1"/>
  <c r="G40" i="7"/>
  <c r="D40" i="7" s="1"/>
  <c r="P48" i="7"/>
  <c r="N3" i="7" s="1"/>
  <c r="I48" i="7"/>
  <c r="G3" i="7" s="1"/>
  <c r="G38" i="7"/>
  <c r="G41" i="7"/>
  <c r="D41" i="7" s="1"/>
  <c r="J48" i="7"/>
  <c r="H3" i="7" s="1"/>
  <c r="H38" i="7"/>
  <c r="G42" i="7"/>
  <c r="D42" i="7" s="1"/>
  <c r="H39" i="7"/>
  <c r="E39" i="7" s="1"/>
  <c r="M48" i="7"/>
  <c r="K3" i="7" s="1"/>
  <c r="N48" i="7"/>
  <c r="L3" i="7" s="1"/>
  <c r="Q48" i="7"/>
  <c r="O3" i="7" s="1"/>
  <c r="H44" i="7"/>
  <c r="E44" i="7" s="1"/>
  <c r="AB48" i="7"/>
  <c r="Z3" i="7" s="1"/>
  <c r="H24" i="7"/>
  <c r="E24" i="7" s="1"/>
  <c r="G27" i="7"/>
  <c r="D27" i="7" s="1"/>
  <c r="H25" i="7"/>
  <c r="E25" i="7" s="1"/>
  <c r="H26" i="7"/>
  <c r="E26" i="7" s="1"/>
  <c r="G25" i="7"/>
  <c r="D25" i="7" s="1"/>
  <c r="H28" i="7"/>
  <c r="E28" i="7" s="1"/>
  <c r="G17" i="7"/>
  <c r="G19" i="7"/>
  <c r="G16" i="7"/>
  <c r="G26" i="7"/>
  <c r="D26" i="7" s="1"/>
  <c r="H23" i="7"/>
  <c r="E23" i="7" s="1"/>
  <c r="G20" i="7"/>
  <c r="G21" i="7"/>
  <c r="G28" i="7"/>
  <c r="D28" i="7" s="1"/>
  <c r="G24" i="7"/>
  <c r="D24" i="7" s="1"/>
  <c r="G23" i="7"/>
  <c r="D23" i="7" s="1"/>
  <c r="G14" i="7"/>
  <c r="G13" i="7"/>
  <c r="G15" i="7"/>
  <c r="G18" i="7"/>
  <c r="EN6" i="14"/>
  <c r="EN7" i="14"/>
  <c r="CU7" i="14"/>
  <c r="CU6" i="14"/>
  <c r="CY7" i="14"/>
  <c r="CY6" i="14"/>
  <c r="DV7" i="14"/>
  <c r="DV6" i="14"/>
  <c r="EQ6" i="14"/>
  <c r="EQ7" i="14"/>
  <c r="CI7" i="14"/>
  <c r="CI6" i="14"/>
  <c r="DG7" i="14"/>
  <c r="DG6" i="14"/>
  <c r="BS6" i="14"/>
  <c r="BS7" i="14"/>
  <c r="EH7" i="14"/>
  <c r="EH6" i="14"/>
  <c r="CE7" i="14"/>
  <c r="CE6" i="14"/>
  <c r="EW7" i="14"/>
  <c r="EW6" i="14"/>
  <c r="BW7" i="14"/>
  <c r="BW6" i="14"/>
  <c r="DS7" i="14"/>
  <c r="DS6" i="14"/>
  <c r="DC6" i="14"/>
  <c r="DC7" i="14"/>
  <c r="CQ7" i="14"/>
  <c r="CQ6" i="14"/>
  <c r="EE7" i="14"/>
  <c r="EE6" i="14"/>
  <c r="DP7" i="14"/>
  <c r="DP6" i="14"/>
  <c r="DY7" i="14"/>
  <c r="DY6" i="14"/>
  <c r="ET6" i="14"/>
  <c r="ET7" i="14"/>
  <c r="EK7" i="14"/>
  <c r="EK6" i="14"/>
  <c r="EB7" i="14"/>
  <c r="EB6" i="14"/>
  <c r="DK7" i="14"/>
  <c r="DK6" i="14"/>
  <c r="CA6" i="14"/>
  <c r="CA7" i="14"/>
  <c r="CM7" i="14"/>
  <c r="CM6" i="14"/>
  <c r="V30" i="7"/>
  <c r="H15" i="7"/>
  <c r="E15" i="7" s="1"/>
  <c r="H16" i="7"/>
  <c r="E16" i="7" s="1"/>
  <c r="H20" i="7"/>
  <c r="E20" i="7" s="1"/>
  <c r="H17" i="7"/>
  <c r="E17" i="7" s="1"/>
  <c r="AD30" i="7"/>
  <c r="X30" i="7"/>
  <c r="R30" i="7"/>
  <c r="L30" i="7"/>
  <c r="H19" i="7"/>
  <c r="E19" i="7" s="1"/>
  <c r="AB30" i="7"/>
  <c r="H18" i="7"/>
  <c r="E18" i="7" s="1"/>
  <c r="AF30" i="7"/>
  <c r="N30" i="7"/>
  <c r="T30" i="7"/>
  <c r="P30" i="7"/>
  <c r="Z30" i="7"/>
  <c r="J30" i="7"/>
  <c r="H13" i="7"/>
  <c r="H14" i="7"/>
  <c r="E14" i="7" s="1"/>
  <c r="H21" i="7"/>
  <c r="E21" i="7" s="1"/>
  <c r="I77" i="7"/>
  <c r="I30" i="7"/>
  <c r="M30" i="7"/>
  <c r="K4" i="7" s="1"/>
  <c r="K5" i="7" s="1"/>
  <c r="D62" i="7"/>
  <c r="AC30" i="7"/>
  <c r="AA4" i="7" s="1"/>
  <c r="D64" i="7"/>
  <c r="AE30" i="7"/>
  <c r="AC4" i="7" s="1"/>
  <c r="AA30" i="7"/>
  <c r="Y4" i="7" s="1"/>
  <c r="D71" i="7"/>
  <c r="O30" i="7"/>
  <c r="M4" i="7" s="1"/>
  <c r="W30" i="7"/>
  <c r="U4" i="7" s="1"/>
  <c r="D22" i="7"/>
  <c r="Y30" i="7"/>
  <c r="W4" i="7" s="1"/>
  <c r="K30" i="7"/>
  <c r="I4" i="7" s="1"/>
  <c r="D70" i="7"/>
  <c r="Q30" i="7"/>
  <c r="O4" i="7" s="1"/>
  <c r="D68" i="7"/>
  <c r="D67" i="7"/>
  <c r="U30" i="7"/>
  <c r="S4" i="7" s="1"/>
  <c r="D66" i="7"/>
  <c r="S30" i="7"/>
  <c r="Q4" i="7" s="1"/>
  <c r="U77" i="7"/>
  <c r="AE77" i="7"/>
  <c r="AE80" i="7" s="1"/>
  <c r="O77" i="7"/>
  <c r="O80" i="7" s="1"/>
  <c r="K77" i="7"/>
  <c r="L78" i="7" s="1"/>
  <c r="S77" i="7"/>
  <c r="S80" i="7" s="1"/>
  <c r="Y77" i="7"/>
  <c r="Q77" i="7"/>
  <c r="W77" i="7"/>
  <c r="W80" i="7" s="1"/>
  <c r="M77" i="7"/>
  <c r="D69" i="7"/>
  <c r="D63" i="7"/>
  <c r="AC77" i="7"/>
  <c r="D65" i="7"/>
  <c r="AA77" i="7"/>
  <c r="CM7" i="2"/>
  <c r="BS7" i="2"/>
  <c r="CU7" i="2"/>
  <c r="CY6" i="2"/>
  <c r="CE6" i="2"/>
  <c r="BW6" i="2"/>
  <c r="BS6" i="2"/>
  <c r="CU6" i="2"/>
  <c r="CM6" i="2"/>
  <c r="CA7" i="2"/>
  <c r="CI7" i="2"/>
  <c r="CQ6" i="2"/>
  <c r="CQ7" i="2"/>
  <c r="DC6" i="2"/>
  <c r="DK7" i="2"/>
  <c r="DC7" i="2"/>
  <c r="CA6" i="2"/>
  <c r="CE7" i="2"/>
  <c r="DK6" i="2"/>
  <c r="CI6" i="2"/>
  <c r="CY7" i="2"/>
  <c r="BW7" i="2"/>
  <c r="DG6" i="2"/>
  <c r="DG7" i="2"/>
  <c r="I5" i="7" l="1"/>
  <c r="Q5" i="7"/>
  <c r="U5" i="7"/>
  <c r="M5" i="7"/>
  <c r="W5" i="7"/>
  <c r="S5" i="7"/>
  <c r="O5" i="7"/>
  <c r="Y5" i="7"/>
  <c r="AA5" i="7"/>
  <c r="H48" i="7"/>
  <c r="E38" i="7"/>
  <c r="E48" i="7" s="1"/>
  <c r="D38" i="7"/>
  <c r="D48" i="7" s="1"/>
  <c r="G48" i="7"/>
  <c r="AC5" i="7"/>
  <c r="AC7" i="7" s="1"/>
  <c r="I53" i="7"/>
  <c r="G4" i="7"/>
  <c r="J53" i="7"/>
  <c r="H4" i="7"/>
  <c r="Z53" i="7"/>
  <c r="X4" i="7"/>
  <c r="T53" i="7"/>
  <c r="R4" i="7"/>
  <c r="N53" i="7"/>
  <c r="L4" i="7"/>
  <c r="AB53" i="7"/>
  <c r="Z4" i="7"/>
  <c r="L53" i="7"/>
  <c r="J4" i="7"/>
  <c r="R53" i="7"/>
  <c r="P4" i="7"/>
  <c r="X53" i="7"/>
  <c r="V4" i="7"/>
  <c r="AD53" i="7"/>
  <c r="AB4" i="7"/>
  <c r="V53" i="7"/>
  <c r="T4" i="7"/>
  <c r="Y6" i="7"/>
  <c r="AA6" i="7"/>
  <c r="M80" i="7"/>
  <c r="K6" i="7"/>
  <c r="K7" i="7" s="1"/>
  <c r="I6" i="7"/>
  <c r="I7" i="7" s="1"/>
  <c r="R78" i="7"/>
  <c r="M6" i="7"/>
  <c r="O6" i="7"/>
  <c r="Z78" i="7"/>
  <c r="U6" i="7"/>
  <c r="W6" i="7"/>
  <c r="V78" i="7"/>
  <c r="Q6" i="7"/>
  <c r="S6" i="7"/>
  <c r="J78" i="7"/>
  <c r="G6" i="7"/>
  <c r="AF53" i="7"/>
  <c r="AD4" i="7"/>
  <c r="P53" i="7"/>
  <c r="N4" i="7"/>
  <c r="G30" i="7"/>
  <c r="S53" i="7"/>
  <c r="U53" i="7"/>
  <c r="Q53" i="7"/>
  <c r="K53" i="7"/>
  <c r="Y53" i="7"/>
  <c r="W53" i="7"/>
  <c r="O53" i="7"/>
  <c r="AA53" i="7"/>
  <c r="AE53" i="7"/>
  <c r="AC53" i="7"/>
  <c r="M53" i="7"/>
  <c r="D19" i="7"/>
  <c r="D20" i="7"/>
  <c r="D17" i="7"/>
  <c r="D21" i="7"/>
  <c r="D16" i="7"/>
  <c r="D15" i="7"/>
  <c r="D18" i="7"/>
  <c r="D14" i="7"/>
  <c r="E13" i="7"/>
  <c r="H30" i="7"/>
  <c r="D13" i="7"/>
  <c r="I80" i="7"/>
  <c r="U80" i="7"/>
  <c r="AF78" i="7"/>
  <c r="K80" i="7"/>
  <c r="P78" i="7"/>
  <c r="Y80" i="7"/>
  <c r="Q80" i="7"/>
  <c r="X78" i="7"/>
  <c r="T78" i="7"/>
  <c r="N78" i="7"/>
  <c r="G77" i="7"/>
  <c r="G80" i="7" s="1"/>
  <c r="D77" i="7"/>
  <c r="AB78" i="7"/>
  <c r="AA80" i="7"/>
  <c r="AC80" i="7"/>
  <c r="AD78" i="7"/>
  <c r="U7" i="7" l="1"/>
  <c r="W7" i="7"/>
  <c r="M7" i="7"/>
  <c r="Q7" i="7"/>
  <c r="S7" i="7"/>
  <c r="Y7" i="7"/>
  <c r="H53" i="7"/>
  <c r="AA7" i="7"/>
  <c r="O7" i="7"/>
  <c r="G53" i="7"/>
  <c r="T5" i="7"/>
  <c r="T7" i="7" s="1"/>
  <c r="AB5" i="7"/>
  <c r="AB7" i="7" s="1"/>
  <c r="V5" i="7"/>
  <c r="V7" i="7" s="1"/>
  <c r="P5" i="7"/>
  <c r="P7" i="7" s="1"/>
  <c r="J5" i="7"/>
  <c r="J7" i="7" s="1"/>
  <c r="Z5" i="7"/>
  <c r="Z7" i="7" s="1"/>
  <c r="L5" i="7"/>
  <c r="L7" i="7" s="1"/>
  <c r="R5" i="7"/>
  <c r="R7" i="7" s="1"/>
  <c r="X5" i="7"/>
  <c r="X7" i="7" s="1"/>
  <c r="H5" i="7"/>
  <c r="H7" i="7"/>
  <c r="G5" i="7"/>
  <c r="AD5" i="7"/>
  <c r="AD7" i="7" s="1"/>
  <c r="N5" i="7"/>
  <c r="D30" i="7"/>
  <c r="D53" i="7" s="1"/>
  <c r="E30" i="7"/>
  <c r="E53" i="7" s="1"/>
  <c r="D80" i="7"/>
  <c r="E7" i="7" l="1"/>
  <c r="D7" i="7"/>
  <c r="G7" i="7"/>
  <c r="N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Hegde, Vinayak M SBOBNG-PTIY/TP/BP</author>
  </authors>
  <commentList>
    <comment ref="O9" authorId="0" shapeId="0" xr:uid="{0E93148F-9579-4638-8994-54784263B913}">
      <text>
        <r>
          <rPr>
            <b/>
            <sz val="9"/>
            <color indexed="81"/>
            <rFont val="Tahoma"/>
            <family val="2"/>
          </rPr>
          <t>Hegde, Vinayak M SBOBNG-PTIY/TP/BP:</t>
        </r>
        <r>
          <rPr>
            <sz val="9"/>
            <color indexed="81"/>
            <rFont val="Tahoma"/>
            <family val="2"/>
          </rPr>
          <t xml:space="preserve">
Need to formulate this column from AL to add the Opex/Capex based on FTE &gt;25%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Hegde, Vinayak M SBOBNG-PTIY/TP/BP</author>
  </authors>
  <commentList>
    <comment ref="O9" authorId="0" shapeId="0" xr:uid="{059E3E3B-43DB-43B0-92BF-4999E9350F1C}">
      <text>
        <r>
          <rPr>
            <sz val="11"/>
            <color theme="1"/>
            <rFont val="Aptos Narrow"/>
            <family val="2"/>
            <scheme val="minor"/>
          </rP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<sst xmlns="http://schemas.openxmlformats.org/spreadsheetml/2006/main" count="1985" uniqueCount="605">
  <si>
    <t>Page Level Info</t>
  </si>
  <si>
    <t>Pages</t>
  </si>
  <si>
    <t>Information</t>
  </si>
  <si>
    <t>Connected to the Dashboard</t>
  </si>
  <si>
    <t>DO NOT EDIT,DELETE ANY FORMULAS.
 IF IT IS NEEDED PLEASE INFORM THE DEVELOPER</t>
  </si>
  <si>
    <t>Resource Static</t>
  </si>
  <si>
    <t>Static Page to Capture Manpower LE details</t>
  </si>
  <si>
    <t>No</t>
  </si>
  <si>
    <t>$Dashboard</t>
  </si>
  <si>
    <t>Overview of Planned vs Actual monthly and Total views
Data is fetched from IT Manpower LE and Other LE tabs - Update these tabs to view the correct information</t>
  </si>
  <si>
    <t>Business Manpower LE</t>
  </si>
  <si>
    <t>Manpower LE details captured and maintained by business</t>
  </si>
  <si>
    <t>IT Manpower LE</t>
  </si>
  <si>
    <t>Manpower LE details connected to the Power BI dashboard</t>
  </si>
  <si>
    <t>Yes</t>
  </si>
  <si>
    <t>Other LE</t>
  </si>
  <si>
    <t>Non-Resource details connected to the Power BI dashboard</t>
  </si>
  <si>
    <t>Tables</t>
  </si>
  <si>
    <t>Contains the columns connected to the dropdowns used in the following columns:
1. Workstream - All pages 
2. Cost Type - Other LE
3. Rate Concat - Resource Static, Business &amp; IT Manpower LE
4. Variance Reasons - Resource Static, Business &amp; IT Manpower LE</t>
  </si>
  <si>
    <t>Updating dropdowns example</t>
  </si>
  <si>
    <t>As shown in the image below:
To find out the source of the dropdowns - Click on the cell &gt; Click on Data &gt; Click on Data Validation, this will navigate to the source column where any editing, addition, deletion needed in the dropdown should be done in the destinaion as shown in image 2 only then it will reflect in the column dropdown</t>
  </si>
  <si>
    <t>Category</t>
  </si>
  <si>
    <t>Program LE 2026</t>
  </si>
  <si>
    <t>Program YTD Actual 2026</t>
  </si>
  <si>
    <t>Plan</t>
  </si>
  <si>
    <t>Actual</t>
  </si>
  <si>
    <t>Business Resource</t>
  </si>
  <si>
    <t>IT Resource</t>
  </si>
  <si>
    <t>Resource Total</t>
  </si>
  <si>
    <t>10,95 - it</t>
  </si>
  <si>
    <t>5,87-business</t>
  </si>
  <si>
    <t>Non-Resource</t>
  </si>
  <si>
    <t>Total</t>
  </si>
  <si>
    <t>[2026 - 2027]</t>
  </si>
  <si>
    <t>[2026]</t>
  </si>
  <si>
    <t>[2027]</t>
  </si>
  <si>
    <t>IT Resource cost by WS/PH</t>
  </si>
  <si>
    <t>Business/IT</t>
  </si>
  <si>
    <t>Program LE</t>
  </si>
  <si>
    <t>Program YTD Actual</t>
  </si>
  <si>
    <t>LE</t>
  </si>
  <si>
    <t>GIP</t>
  </si>
  <si>
    <t>Program Management</t>
  </si>
  <si>
    <t>IT</t>
  </si>
  <si>
    <t>Prosmar Crude</t>
  </si>
  <si>
    <t>Prosmar Products</t>
  </si>
  <si>
    <t>VPD</t>
  </si>
  <si>
    <t>GATOR</t>
  </si>
  <si>
    <t>USDF</t>
  </si>
  <si>
    <t>JIGSAW &amp; PDS Process work</t>
  </si>
  <si>
    <t>DA Desk</t>
  </si>
  <si>
    <t>IDT</t>
  </si>
  <si>
    <t>Business Resource cost by WS/PH</t>
  </si>
  <si>
    <t>Business</t>
  </si>
  <si>
    <t>Totals</t>
  </si>
  <si>
    <t>Resource + Non-Resource</t>
  </si>
  <si>
    <t>Non-Resource Cost by cost type</t>
  </si>
  <si>
    <t>Travel Costs</t>
  </si>
  <si>
    <t>Staff Payroll Related Costs</t>
  </si>
  <si>
    <t>Non-payroll related training costs</t>
  </si>
  <si>
    <t>Admin costs/Audit/Assurance</t>
  </si>
  <si>
    <t xml:space="preserve"> Software Licensing Purchsing including Azure</t>
  </si>
  <si>
    <t>Program Total w contingency</t>
  </si>
  <si>
    <t>Hub days [excluding public holidays]</t>
  </si>
  <si>
    <t>Service Center days [excluding public holidays]</t>
  </si>
  <si>
    <t>Personal Number</t>
  </si>
  <si>
    <t>Workstream</t>
  </si>
  <si>
    <t>Staff Type</t>
  </si>
  <si>
    <t>Resource Name</t>
  </si>
  <si>
    <t>Resource Provider</t>
  </si>
  <si>
    <t>Resource Plan Number</t>
  </si>
  <si>
    <t>Country</t>
  </si>
  <si>
    <t>JG</t>
  </si>
  <si>
    <t>Resource Group / Team</t>
  </si>
  <si>
    <t>Project Role</t>
  </si>
  <si>
    <t>Status</t>
  </si>
  <si>
    <t>Cost Boolean</t>
  </si>
  <si>
    <t>Location</t>
  </si>
  <si>
    <t>Capability</t>
  </si>
  <si>
    <t>OPEX/CAPEX</t>
  </si>
  <si>
    <t>Tag</t>
  </si>
  <si>
    <t>WBSE</t>
  </si>
  <si>
    <t>Planned Start Date</t>
  </si>
  <si>
    <t>Planned End Date</t>
  </si>
  <si>
    <t>Revised Start Date</t>
  </si>
  <si>
    <t>Revised End Date</t>
  </si>
  <si>
    <t>Actual Start Date</t>
  </si>
  <si>
    <t>Actual End Date</t>
  </si>
  <si>
    <t>Comments</t>
  </si>
  <si>
    <t>RATE CONCAT</t>
  </si>
  <si>
    <t>Rate</t>
  </si>
  <si>
    <t>DAYS</t>
  </si>
  <si>
    <t>Jan_2026_Days_Forecast</t>
  </si>
  <si>
    <t>Feb_2026_Days_Forecast</t>
  </si>
  <si>
    <t>Mar_2026_Days_Forecast</t>
  </si>
  <si>
    <t>Apr_2026_Days_Forecast</t>
  </si>
  <si>
    <t>May_2026_Days_Forecast</t>
  </si>
  <si>
    <t>Jun_2026_Days_Forecast</t>
  </si>
  <si>
    <t>Jul_2026_Days_Forecast</t>
  </si>
  <si>
    <t>Aug_2026_Days_Forecast</t>
  </si>
  <si>
    <t>Sep_2026_Days_Forecast</t>
  </si>
  <si>
    <t>Oct_2026_Days_Forecast</t>
  </si>
  <si>
    <t>Nov_2026_Days_Forecast</t>
  </si>
  <si>
    <t>Dec_2026_Days_Forecast</t>
  </si>
  <si>
    <t>FTE</t>
  </si>
  <si>
    <t>2026_FTE</t>
  </si>
  <si>
    <t>Jan_2026_Days_Actual</t>
  </si>
  <si>
    <t>Feb_2026_Days_Actual</t>
  </si>
  <si>
    <t>Mar_2026_Days_Actual</t>
  </si>
  <si>
    <t>Apr_2026_Days_Actual</t>
  </si>
  <si>
    <t>May_2026_Days_Actual</t>
  </si>
  <si>
    <t>Jun_2026_Days_Actual</t>
  </si>
  <si>
    <t>Jul_2026_Days_Actual</t>
  </si>
  <si>
    <t>Aug_2026_Days_Actual</t>
  </si>
  <si>
    <t>Sep_2026_Days_Actual</t>
  </si>
  <si>
    <t>Oct_2026_Days_Actual</t>
  </si>
  <si>
    <t>Nov_2026_Days_Actual</t>
  </si>
  <si>
    <t>Dec_2026_Days_Actual</t>
  </si>
  <si>
    <t>2027_FTE</t>
  </si>
  <si>
    <t>Jan_2027_Days_Forecast</t>
  </si>
  <si>
    <t>Feb_2027_Days_Forecast</t>
  </si>
  <si>
    <t>Mar_2027_Days_Forecast</t>
  </si>
  <si>
    <t>Apr_2027_Days_Forecast</t>
  </si>
  <si>
    <t>May_2027_Days_Forecast</t>
  </si>
  <si>
    <t>Jun_2027_Days_Forecast</t>
  </si>
  <si>
    <t>Jul_2027_Days_Forecast</t>
  </si>
  <si>
    <t>Aug_2027_Days_Forecast</t>
  </si>
  <si>
    <t>Sep_2027_Days_Forecast</t>
  </si>
  <si>
    <t>Oct_2027_Days_Forecast</t>
  </si>
  <si>
    <t>Nov_2027_Days_Forecast</t>
  </si>
  <si>
    <t>Dec_2027_Days_Forecast</t>
  </si>
  <si>
    <t>COSTS</t>
  </si>
  <si>
    <t>2026_C</t>
  </si>
  <si>
    <t>Jan_2026_F</t>
  </si>
  <si>
    <t>Jan_2026_A</t>
  </si>
  <si>
    <t>Jan_2026_V</t>
  </si>
  <si>
    <t>Jan_2026_V_Reason</t>
  </si>
  <si>
    <t>Feb_2026_F</t>
  </si>
  <si>
    <t>Feb_2026_A</t>
  </si>
  <si>
    <t>Feb_2026_D</t>
  </si>
  <si>
    <t>Feb_2026_V_Reason</t>
  </si>
  <si>
    <t>Mar_2026_F</t>
  </si>
  <si>
    <t>Mar_2026_A</t>
  </si>
  <si>
    <t>Mar_2026_D</t>
  </si>
  <si>
    <t>Mar_2026_V_Reason</t>
  </si>
  <si>
    <t>Apr_2026_F</t>
  </si>
  <si>
    <t>Apr_2026_A</t>
  </si>
  <si>
    <t>Apr_2026_D</t>
  </si>
  <si>
    <t>Apr_2026_V_Reason</t>
  </si>
  <si>
    <t>May_2026_F</t>
  </si>
  <si>
    <t>May_2026_A</t>
  </si>
  <si>
    <t>May_2026_D</t>
  </si>
  <si>
    <t>May_2026_V_Reason</t>
  </si>
  <si>
    <t>Jun_2026_F</t>
  </si>
  <si>
    <t>Jun_2026_A</t>
  </si>
  <si>
    <t>Jun_2026_D</t>
  </si>
  <si>
    <t>Jun_2026_V_Reason</t>
  </si>
  <si>
    <t>Jul_2026_F</t>
  </si>
  <si>
    <t>Jul_2026_A</t>
  </si>
  <si>
    <t>Jul_2026_D</t>
  </si>
  <si>
    <t>Jul_2026_V_Reason</t>
  </si>
  <si>
    <t>Aug_2026_F</t>
  </si>
  <si>
    <t>Aug_2026_A</t>
  </si>
  <si>
    <t>Aug_2026_D</t>
  </si>
  <si>
    <t>Aug_2026_V_Reason</t>
  </si>
  <si>
    <t>Sep_2026_F</t>
  </si>
  <si>
    <t>Sep_2026_A</t>
  </si>
  <si>
    <t>Sep_2026_D</t>
  </si>
  <si>
    <t>Sep_2026_V_Reason</t>
  </si>
  <si>
    <t>Oct_2026_F</t>
  </si>
  <si>
    <t>Oct_2026_A</t>
  </si>
  <si>
    <t>Oct_2026_D</t>
  </si>
  <si>
    <t>Oct_2026_V_Reason</t>
  </si>
  <si>
    <t>Nov_2026_F</t>
  </si>
  <si>
    <t>Nov_2026_A</t>
  </si>
  <si>
    <t>Nov_2026_D</t>
  </si>
  <si>
    <t>Nov_2026_V_Reason</t>
  </si>
  <si>
    <t>Dec_2026_F</t>
  </si>
  <si>
    <t>Dec_2026_A</t>
  </si>
  <si>
    <t>Dec_2026_D</t>
  </si>
  <si>
    <t>Dec_2026_V_Reason</t>
  </si>
  <si>
    <t>2027_C</t>
  </si>
  <si>
    <t>Jan_2027_F</t>
  </si>
  <si>
    <t>Jan_2027_A</t>
  </si>
  <si>
    <t>Jan_2027_D</t>
  </si>
  <si>
    <t>Feb_2027_F</t>
  </si>
  <si>
    <t>Feb_2027_A</t>
  </si>
  <si>
    <t>Feb_2027_D</t>
  </si>
  <si>
    <t>Mar_2027_F</t>
  </si>
  <si>
    <t>Mar_2027_A</t>
  </si>
  <si>
    <t>Mar_2027_D</t>
  </si>
  <si>
    <t>Apr_2027_F</t>
  </si>
  <si>
    <t>Apr_2027_A</t>
  </si>
  <si>
    <t>Apr_2027_D</t>
  </si>
  <si>
    <t>May_2027_F</t>
  </si>
  <si>
    <t>May_2027_A</t>
  </si>
  <si>
    <t>May_2027_D</t>
  </si>
  <si>
    <t>Jun_2027_F</t>
  </si>
  <si>
    <t>Jun_2027_A</t>
  </si>
  <si>
    <t>Jun_2027_D</t>
  </si>
  <si>
    <t>Jul_2027_F</t>
  </si>
  <si>
    <t>Jul_2027_A</t>
  </si>
  <si>
    <t>Jul_2027_D</t>
  </si>
  <si>
    <t>Aug_2027_F</t>
  </si>
  <si>
    <t>Aug_2027_A</t>
  </si>
  <si>
    <t>Aug_2027_D</t>
  </si>
  <si>
    <t>Sep_2027_F</t>
  </si>
  <si>
    <t>Sep_2027_A</t>
  </si>
  <si>
    <t>Sep_2027_D</t>
  </si>
  <si>
    <t>Oct_2027_F</t>
  </si>
  <si>
    <t>Oct_2027_A</t>
  </si>
  <si>
    <t>Oct_2027_D</t>
  </si>
  <si>
    <t>Nov_2027_F</t>
  </si>
  <si>
    <t>Nov_2027_A</t>
  </si>
  <si>
    <t>Nov_2027_D</t>
  </si>
  <si>
    <t>Dec_2027_F</t>
  </si>
  <si>
    <t>Dec_2027_A</t>
  </si>
  <si>
    <t>Dec_2027_D</t>
  </si>
  <si>
    <t>PDSFS1001</t>
  </si>
  <si>
    <t>Staff</t>
  </si>
  <si>
    <t>Anna Kordek</t>
  </si>
  <si>
    <t>Shell Business</t>
  </si>
  <si>
    <t>United Kingdom</t>
  </si>
  <si>
    <t>Business PM</t>
  </si>
  <si>
    <t>In-seat</t>
  </si>
  <si>
    <t>LON</t>
  </si>
  <si>
    <t>Project Management</t>
  </si>
  <si>
    <t>Capex</t>
  </si>
  <si>
    <t>TBD</t>
  </si>
  <si>
    <t>PDSFS1002</t>
  </si>
  <si>
    <t>Ben Poppelaars</t>
  </si>
  <si>
    <t>United States</t>
  </si>
  <si>
    <t>BOM</t>
  </si>
  <si>
    <t>HOU</t>
  </si>
  <si>
    <t>PDSFS1003</t>
  </si>
  <si>
    <t>Shalini Mandala</t>
  </si>
  <si>
    <t>Developer</t>
  </si>
  <si>
    <t>Software development</t>
  </si>
  <si>
    <t>PDSFS1009</t>
  </si>
  <si>
    <t>Dilan Velani</t>
  </si>
  <si>
    <t>Market Risk Analyst</t>
  </si>
  <si>
    <t>Market Risk</t>
  </si>
  <si>
    <t>PDSFS1012</t>
  </si>
  <si>
    <t>Karina Toh</t>
  </si>
  <si>
    <t>Singapore</t>
  </si>
  <si>
    <t>SGP</t>
  </si>
  <si>
    <t>PDSFS1016</t>
  </si>
  <si>
    <t>Ding Luo</t>
  </si>
  <si>
    <t>Netherlands</t>
  </si>
  <si>
    <t>PDT Data Analyst</t>
  </si>
  <si>
    <t>ROT</t>
  </si>
  <si>
    <t>Data integration</t>
  </si>
  <si>
    <t>PDSFS1019</t>
  </si>
  <si>
    <t>Daniel Harlow</t>
  </si>
  <si>
    <t>Charterer</t>
  </si>
  <si>
    <t>Chartering</t>
  </si>
  <si>
    <t>PDSFS1024</t>
  </si>
  <si>
    <t>Anishka Irving</t>
  </si>
  <si>
    <t>Finance Lead</t>
  </si>
  <si>
    <t>Finance</t>
  </si>
  <si>
    <t>Opex</t>
  </si>
  <si>
    <t>PDSFS1027</t>
  </si>
  <si>
    <t>Raquel Alvarado</t>
  </si>
  <si>
    <t>USDF Business Lead</t>
  </si>
  <si>
    <t>Chartering management</t>
  </si>
  <si>
    <t>PDSFS1032</t>
  </si>
  <si>
    <t>Aravind Nair</t>
  </si>
  <si>
    <t>India</t>
  </si>
  <si>
    <t>Finance Analyst</t>
  </si>
  <si>
    <t>CHN</t>
  </si>
  <si>
    <t>PDSFS1035</t>
  </si>
  <si>
    <t>Anne Ong</t>
  </si>
  <si>
    <t>PNL Analyst</t>
  </si>
  <si>
    <t>P&amp;L Analysis</t>
  </si>
  <si>
    <t>PDSFS1037</t>
  </si>
  <si>
    <t>Carlos Lorenzo Fernandez</t>
  </si>
  <si>
    <t>Philippines</t>
  </si>
  <si>
    <t>Voyage Claims SME</t>
  </si>
  <si>
    <t>MLA</t>
  </si>
  <si>
    <t>Voyage Claims</t>
  </si>
  <si>
    <t>PDSFS1040</t>
  </si>
  <si>
    <t>Mary Ann Asis</t>
  </si>
  <si>
    <t>Oil Demurrage SME</t>
  </si>
  <si>
    <t>Oil Demurrage</t>
  </si>
  <si>
    <t>PDSFS1004</t>
  </si>
  <si>
    <t>Swati Bhatia</t>
  </si>
  <si>
    <t>Business Lead</t>
  </si>
  <si>
    <t>SME</t>
  </si>
  <si>
    <t>PDSFS1005</t>
  </si>
  <si>
    <t>Yafet Wolde</t>
  </si>
  <si>
    <t xml:space="preserve">LON </t>
  </si>
  <si>
    <t>Software Development</t>
  </si>
  <si>
    <t>PDSFS1006</t>
  </si>
  <si>
    <t>Amit Mishra</t>
  </si>
  <si>
    <t>Tester</t>
  </si>
  <si>
    <t>Testing</t>
  </si>
  <si>
    <t>PDSFS1007</t>
  </si>
  <si>
    <t>Arun Tharakan</t>
  </si>
  <si>
    <t>Business Analyst</t>
  </si>
  <si>
    <t>Vessel Performance</t>
  </si>
  <si>
    <t>PDSFS1010</t>
  </si>
  <si>
    <t>Tracy Quirk</t>
  </si>
  <si>
    <t>PDSFS1017</t>
  </si>
  <si>
    <t>Barry Davis</t>
  </si>
  <si>
    <t>IT Strategist SME</t>
  </si>
  <si>
    <t>AI SME</t>
  </si>
  <si>
    <t>PDSFS1018</t>
  </si>
  <si>
    <t>Rachel Zhuo</t>
  </si>
  <si>
    <t>S&amp;M PDS Analyst</t>
  </si>
  <si>
    <t>PDSFS1020</t>
  </si>
  <si>
    <t>Josh Gonzalez</t>
  </si>
  <si>
    <t>Crude BIAM Process Lead</t>
  </si>
  <si>
    <t>Process Analysis</t>
  </si>
  <si>
    <t>PDSFS1021</t>
  </si>
  <si>
    <t>Ilona Blachnicka</t>
  </si>
  <si>
    <t>Poland</t>
  </si>
  <si>
    <t>Products PDS Freight Controls Lead</t>
  </si>
  <si>
    <t>KRW</t>
  </si>
  <si>
    <t xml:space="preserve"> Freight Controls</t>
  </si>
  <si>
    <t>PDSFS1022</t>
  </si>
  <si>
    <t>Aneta Markocka</t>
  </si>
  <si>
    <t>PDT Process Analyst</t>
  </si>
  <si>
    <t>PDSFS1023</t>
  </si>
  <si>
    <t>Matthew Joseph</t>
  </si>
  <si>
    <t>OPS Lead</t>
  </si>
  <si>
    <t>Comm OPS</t>
  </si>
  <si>
    <t>PDSFS1025</t>
  </si>
  <si>
    <t>Ryan McAllister</t>
  </si>
  <si>
    <t>PDSFS1026</t>
  </si>
  <si>
    <t>Heidi Hearn</t>
  </si>
  <si>
    <t>Freight Operations</t>
  </si>
  <si>
    <t>PDSFS1028</t>
  </si>
  <si>
    <t>Kennette Richards</t>
  </si>
  <si>
    <t>USDF Freight OPS Lead</t>
  </si>
  <si>
    <t>Freight OPS</t>
  </si>
  <si>
    <t>PDSFS1029</t>
  </si>
  <si>
    <t>Shrinivasan Venkhatram</t>
  </si>
  <si>
    <t>USDF Finance Lead</t>
  </si>
  <si>
    <t>PDSFS1030</t>
  </si>
  <si>
    <t>Lawrence Turner</t>
  </si>
  <si>
    <t>Operator</t>
  </si>
  <si>
    <t>PDSFS1031</t>
  </si>
  <si>
    <t>Juan Olguin</t>
  </si>
  <si>
    <t>PDSFS1036</t>
  </si>
  <si>
    <t>Deniz Akcelikli</t>
  </si>
  <si>
    <t>Demurrage Lead</t>
  </si>
  <si>
    <t>Demurrage</t>
  </si>
  <si>
    <t>PDSFS1038</t>
  </si>
  <si>
    <t>Anitra Adams</t>
  </si>
  <si>
    <t>Data Manager</t>
  </si>
  <si>
    <t>Masterdata and VIP SME</t>
  </si>
  <si>
    <t>PDSFS1039</t>
  </si>
  <si>
    <t>Ram Kumar</t>
  </si>
  <si>
    <t>PDSFS1041</t>
  </si>
  <si>
    <t>Courtney Ledbetter</t>
  </si>
  <si>
    <t>BIAM PM</t>
  </si>
  <si>
    <t>Business Integration and Assurance</t>
  </si>
  <si>
    <t>geoff</t>
  </si>
  <si>
    <t>PDSFS1008</t>
  </si>
  <si>
    <t>Contractor</t>
  </si>
  <si>
    <t>Sourabh Kaintura</t>
  </si>
  <si>
    <t>Shell IDT</t>
  </si>
  <si>
    <t>BNG</t>
  </si>
  <si>
    <t>PDSFS1011</t>
  </si>
  <si>
    <t>Jocelyn Patenia</t>
  </si>
  <si>
    <t>IDT Advisor</t>
  </si>
  <si>
    <t>IDT Portfolio Management</t>
  </si>
  <si>
    <t>PDSFS1013</t>
  </si>
  <si>
    <t>Peter Williams</t>
  </si>
  <si>
    <t>PDSFS1014</t>
  </si>
  <si>
    <t>Smrithi Gade</t>
  </si>
  <si>
    <t>IT SME</t>
  </si>
  <si>
    <t>IDT Business Analysis</t>
  </si>
  <si>
    <t>PDSFS1015</t>
  </si>
  <si>
    <t>Vinayak Chinchkar</t>
  </si>
  <si>
    <t>IT PM</t>
  </si>
  <si>
    <t>IT Project Management</t>
  </si>
  <si>
    <t>PDSFS1033</t>
  </si>
  <si>
    <t>Jay Campbell</t>
  </si>
  <si>
    <t>Veson</t>
  </si>
  <si>
    <t>FO VESON Lead</t>
  </si>
  <si>
    <t>Veson Software SME</t>
  </si>
  <si>
    <t>PDSFS1034</t>
  </si>
  <si>
    <t>Gavin Hamilton</t>
  </si>
  <si>
    <t>VESON Account Manager</t>
  </si>
  <si>
    <t>Missing / delayed timewriting</t>
  </si>
  <si>
    <t>Cost type</t>
  </si>
  <si>
    <t>Item Description</t>
  </si>
  <si>
    <t>Supplier</t>
  </si>
  <si>
    <t>Tags</t>
  </si>
  <si>
    <t>Focal</t>
  </si>
  <si>
    <t>Document reference #</t>
  </si>
  <si>
    <t>Foundational Cost</t>
  </si>
  <si>
    <t>2026_LE</t>
  </si>
  <si>
    <t>Jan_26_F</t>
  </si>
  <si>
    <t>Jan_26_Act</t>
  </si>
  <si>
    <t>Jan_26_D</t>
  </si>
  <si>
    <t>Feb_26_F</t>
  </si>
  <si>
    <t>Feb_26_A</t>
  </si>
  <si>
    <t>Feb_26_D</t>
  </si>
  <si>
    <t>Mar_26_F</t>
  </si>
  <si>
    <t>Mar_26_A</t>
  </si>
  <si>
    <t>Mar_26_D</t>
  </si>
  <si>
    <t>Apr_26_F</t>
  </si>
  <si>
    <t>Apr_26_A</t>
  </si>
  <si>
    <t>Apr_26_D</t>
  </si>
  <si>
    <t>May_26_F</t>
  </si>
  <si>
    <t>May_26_A</t>
  </si>
  <si>
    <t>May_26_D</t>
  </si>
  <si>
    <t>Jun_26_F</t>
  </si>
  <si>
    <t>Jun_26_A</t>
  </si>
  <si>
    <t>Jun_26_D</t>
  </si>
  <si>
    <t>Jul_26_F</t>
  </si>
  <si>
    <t>Jul_26_A</t>
  </si>
  <si>
    <t>Jul_26_D</t>
  </si>
  <si>
    <t>Aug_26_F</t>
  </si>
  <si>
    <t>Aug_26_A</t>
  </si>
  <si>
    <t>Aug_26_D</t>
  </si>
  <si>
    <t>Sep_26_F</t>
  </si>
  <si>
    <t>Sep_26_A</t>
  </si>
  <si>
    <t>Sep_26_D</t>
  </si>
  <si>
    <t>Oct_26_F</t>
  </si>
  <si>
    <t>Oct_26_A</t>
  </si>
  <si>
    <t>Oct_26_D</t>
  </si>
  <si>
    <t>Nov_26_F</t>
  </si>
  <si>
    <t>Nov_26_A</t>
  </si>
  <si>
    <t>Nov_26_D</t>
  </si>
  <si>
    <t>Dec_26_F</t>
  </si>
  <si>
    <t>Dec_26_A</t>
  </si>
  <si>
    <t>Dec_26_D</t>
  </si>
  <si>
    <t>2027_LE</t>
  </si>
  <si>
    <t>Jan_27_F</t>
  </si>
  <si>
    <t>Jan_27_Act</t>
  </si>
  <si>
    <t>Jan_27_D</t>
  </si>
  <si>
    <t>Feb_27_F</t>
  </si>
  <si>
    <t>Feb_27_A</t>
  </si>
  <si>
    <t>Feb_27_D</t>
  </si>
  <si>
    <t>Mar_27_F</t>
  </si>
  <si>
    <t>Mar_27_A</t>
  </si>
  <si>
    <t>Mar_27_D</t>
  </si>
  <si>
    <t>Apr_27_F</t>
  </si>
  <si>
    <t>Apr_27_A</t>
  </si>
  <si>
    <t>Apr_27_D</t>
  </si>
  <si>
    <t>May_27_F</t>
  </si>
  <si>
    <t>May_27_A</t>
  </si>
  <si>
    <t>May_27_D</t>
  </si>
  <si>
    <t>Jun_27_F</t>
  </si>
  <si>
    <t>Jun_27_A</t>
  </si>
  <si>
    <t>Jun_27_D</t>
  </si>
  <si>
    <t>Jul_27_F</t>
  </si>
  <si>
    <t>Jul_27_A</t>
  </si>
  <si>
    <t>Jul_27_D</t>
  </si>
  <si>
    <t>Aug_27_F</t>
  </si>
  <si>
    <t>Aug_27_A</t>
  </si>
  <si>
    <t>Aug_27_D</t>
  </si>
  <si>
    <t>Sep_27_F</t>
  </si>
  <si>
    <t>Sep_27_A</t>
  </si>
  <si>
    <t>Sep_27_D</t>
  </si>
  <si>
    <t>Oct_27_F</t>
  </si>
  <si>
    <t>Oct_27_A</t>
  </si>
  <si>
    <t>Oct_27_D</t>
  </si>
  <si>
    <t>Nov_27_F</t>
  </si>
  <si>
    <t>Nov_27_A</t>
  </si>
  <si>
    <t>Nov_27_D</t>
  </si>
  <si>
    <t>Dec_27_F</t>
  </si>
  <si>
    <t>Dec_27_A</t>
  </si>
  <si>
    <t>Dec_27_D</t>
  </si>
  <si>
    <t>Annual Licensing costs</t>
  </si>
  <si>
    <t>Prosmar</t>
  </si>
  <si>
    <t>3PolandShell Business</t>
  </si>
  <si>
    <t>Rates @ Tariff/Contract</t>
  </si>
  <si>
    <t>Variance Reason (Standardized)</t>
  </si>
  <si>
    <t>WS Name [ServiceNow project]</t>
  </si>
  <si>
    <t>Staff type</t>
  </si>
  <si>
    <t>WS Project Manager</t>
  </si>
  <si>
    <t>WS PMO</t>
  </si>
  <si>
    <t>Assumptions/Calculations:</t>
  </si>
  <si>
    <t>Period</t>
  </si>
  <si>
    <t>Provider</t>
  </si>
  <si>
    <t>Other LE cost type drop down</t>
  </si>
  <si>
    <t>CONCAT</t>
  </si>
  <si>
    <t>Company</t>
  </si>
  <si>
    <t>2026
Daily rate</t>
  </si>
  <si>
    <t>2027
Daily rate</t>
  </si>
  <si>
    <t>Annual Rate in USD</t>
  </si>
  <si>
    <t>Provider 1</t>
  </si>
  <si>
    <t>Program Manager Related Costs</t>
  </si>
  <si>
    <t>Vacation / leaves</t>
  </si>
  <si>
    <t>A</t>
  </si>
  <si>
    <t>TBZ</t>
  </si>
  <si>
    <t>Delay in onboarding</t>
  </si>
  <si>
    <t>B</t>
  </si>
  <si>
    <t>Provider 3</t>
  </si>
  <si>
    <t>Fieldglass / Tool issues</t>
  </si>
  <si>
    <t>Provider 4</t>
  </si>
  <si>
    <t>Team Engagement</t>
  </si>
  <si>
    <t>Lower / higher TW than planed</t>
  </si>
  <si>
    <t>Provider 5</t>
  </si>
  <si>
    <t>Delay in PO / SOW creation</t>
  </si>
  <si>
    <t>Missing invoices</t>
  </si>
  <si>
    <t>Accrual below threshold / not accrued</t>
  </si>
  <si>
    <t>Wipro</t>
  </si>
  <si>
    <t>Re-design of data &amp; process</t>
  </si>
  <si>
    <t>Invoice posted to incorrect CC / WBSE</t>
  </si>
  <si>
    <t>TCS</t>
  </si>
  <si>
    <t xml:space="preserve"> Other hardware/software</t>
  </si>
  <si>
    <t>Delay in vendor payment / posting</t>
  </si>
  <si>
    <t>Workstream 10</t>
  </si>
  <si>
    <t>Deloitte</t>
  </si>
  <si>
    <t>Missing Travel cost</t>
  </si>
  <si>
    <t>MRE</t>
  </si>
  <si>
    <t>Travel no longer required</t>
  </si>
  <si>
    <t>Accenture</t>
  </si>
  <si>
    <t>Delay in infra cost recovery</t>
  </si>
  <si>
    <t>Deloitte1</t>
  </si>
  <si>
    <t>Infra recovery de-scoped</t>
  </si>
  <si>
    <t>Deloitte2</t>
  </si>
  <si>
    <t>Lower / Higher infra usage vs plan</t>
  </si>
  <si>
    <t>MRE1</t>
  </si>
  <si>
    <t>Incorrect cost allocation (CC/WBSE error)</t>
  </si>
  <si>
    <t>Dummy</t>
  </si>
  <si>
    <t>Opex/Capex or account reclassification</t>
  </si>
  <si>
    <t>NEXTSOURCE INC</t>
  </si>
  <si>
    <t>Over/under accrual corrections</t>
  </si>
  <si>
    <t>KPMG</t>
  </si>
  <si>
    <t>Forecast moved to future months</t>
  </si>
  <si>
    <t>TBC</t>
  </si>
  <si>
    <t>Estimation error / correction</t>
  </si>
  <si>
    <t>TBC1</t>
  </si>
  <si>
    <t>Cost phasing mismatch (planned vs actual spread)</t>
  </si>
  <si>
    <t>EAGLECLIFF LTD</t>
  </si>
  <si>
    <t>Scope reduced / increased</t>
  </si>
  <si>
    <t>BARINGA PARTNERS LLP</t>
  </si>
  <si>
    <t>Work moved to future period</t>
  </si>
  <si>
    <t>Funding not approved</t>
  </si>
  <si>
    <t>TBC2</t>
  </si>
  <si>
    <t>Any other reason not fitting above</t>
  </si>
  <si>
    <t>ADVANTAGE RESOURCING UK LIMITED</t>
  </si>
  <si>
    <t>One-time corrections / manual fixes</t>
  </si>
  <si>
    <t>Level 1 Category</t>
  </si>
  <si>
    <t>Level 2 Sub-Category</t>
  </si>
  <si>
    <t>1. Resource Cost</t>
  </si>
  <si>
    <t>Timewriting</t>
  </si>
  <si>
    <t>Availability</t>
  </si>
  <si>
    <t>Onboarding</t>
  </si>
  <si>
    <t>System Issues</t>
  </si>
  <si>
    <t>Utilization</t>
  </si>
  <si>
    <t>2. Vendor / 3rd Party Cost</t>
  </si>
  <si>
    <t>Procurement</t>
  </si>
  <si>
    <t>Malaysia</t>
  </si>
  <si>
    <t>Invoicing</t>
  </si>
  <si>
    <t>Accruals</t>
  </si>
  <si>
    <t>Accounting</t>
  </si>
  <si>
    <t>Payment Timing</t>
  </si>
  <si>
    <t>3. Travel &amp; Expenses</t>
  </si>
  <si>
    <t>Missing Cost</t>
  </si>
  <si>
    <t>Cancellation / Change</t>
  </si>
  <si>
    <t>4. Infrastructure / SOM</t>
  </si>
  <si>
    <t>Recovery Delay</t>
  </si>
  <si>
    <t>No Longer Required</t>
  </si>
  <si>
    <t>Consumption Variance</t>
  </si>
  <si>
    <t>5. Financial Adjustments</t>
  </si>
  <si>
    <t>Incorrect Posting</t>
  </si>
  <si>
    <t>Reclassification</t>
  </si>
  <si>
    <t>Accrual Adjustment</t>
  </si>
  <si>
    <t>6.  Planning Variance</t>
  </si>
  <si>
    <t>Timing Shift</t>
  </si>
  <si>
    <t>Argentina</t>
  </si>
  <si>
    <t>Estimation</t>
  </si>
  <si>
    <t>Phasing</t>
  </si>
  <si>
    <t>7. Scope Changes</t>
  </si>
  <si>
    <t>Scope Change</t>
  </si>
  <si>
    <t>Deferment</t>
  </si>
  <si>
    <t>Demand Approval</t>
  </si>
  <si>
    <t>8. Miscellaneous</t>
  </si>
  <si>
    <t>Unclassified</t>
  </si>
  <si>
    <t>One-off Adjustment</t>
  </si>
  <si>
    <t>Australia</t>
  </si>
  <si>
    <t>Austria</t>
  </si>
  <si>
    <t>Belgium</t>
  </si>
  <si>
    <t>Brazil</t>
  </si>
  <si>
    <t>Canada</t>
  </si>
  <si>
    <t>China</t>
  </si>
  <si>
    <t>Czech Republic</t>
  </si>
  <si>
    <t>Colombia</t>
  </si>
  <si>
    <t>Denmark</t>
  </si>
  <si>
    <t>France</t>
  </si>
  <si>
    <t>Germany</t>
  </si>
  <si>
    <t>Hong Kong</t>
  </si>
  <si>
    <t>Hungary</t>
  </si>
  <si>
    <t>Indonesia</t>
  </si>
  <si>
    <t>Mexico</t>
  </si>
  <si>
    <t>Pakistan</t>
  </si>
  <si>
    <t>Russia</t>
  </si>
  <si>
    <t>Slovakia</t>
  </si>
  <si>
    <t>South Africa</t>
  </si>
  <si>
    <t>Thailand</t>
  </si>
  <si>
    <t>Turkey</t>
  </si>
  <si>
    <t>Bulgaria</t>
  </si>
  <si>
    <t>3PhilippinesShell Business</t>
  </si>
  <si>
    <t>4indiaBOSS</t>
  </si>
  <si>
    <t>india</t>
  </si>
  <si>
    <t>BOSS</t>
  </si>
  <si>
    <t>3United StatesVeson</t>
  </si>
  <si>
    <t>VESON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</si>
</sst>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_-* #,##0.00_-;\-* #,##0.00_-;_-* &quot;-&quot;??_-;_-@_-"/>
    <numFmt numFmtId="165" formatCode="_(&quot;$&quot;* #,##0_);_(&quot;$&quot;* \(#,##0\);_(&quot;$&quot;* &quot;-&quot;??_);_(@_)"/>
    <numFmt numFmtId="166" formatCode="dd\-mmm\-yy"/>
    <numFmt numFmtId="167" formatCode="_(&quot;$&quot;* #,##0.0_);_(&quot;$&quot;* \(#,##0.0\);_(&quot;$&quot;* &quot;-&quot;?_);_(@_)"/>
    <numFmt numFmtId="168" formatCode="_-[$$-409]* #,##0.00_ ;_-[$$-409]* \-#,##0.00\ ;_-[$$-409]* &quot;-&quot;??_ ;_-@_ "/>
  </numFmts>
  <fonts count="29">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color rgb="FF000000"/>
      <name val="Arial"/>
      <family val="2"/>
    </font>
    <font>
      <i/>
      <sz val="11"/>
      <color theme="1"/>
      <name val="Aptos Narrow"/>
      <family val="2"/>
      <scheme val="minor"/>
    </font>
    <font>
      <b/>
      <sz val="16"/>
      <color theme="1"/>
      <name val="Aptos Narrow"/>
      <family val="2"/>
      <scheme val="minor"/>
    </font>
    <font>
      <b/>
      <sz val="16"/>
      <color rgb="FFC00000"/>
      <name val="Aptos Narrow"/>
      <family val="2"/>
      <scheme val="minor"/>
    </font>
    <font>
      <sz val="11"/>
      <color rgb="FFC00000"/>
      <name val="Aptos Narrow"/>
      <family val="2"/>
      <scheme val="minor"/>
    </font>
    <font>
      <b/>
      <sz val="11"/>
      <color rgb="FFC00000"/>
      <name val="Aptos Narrow"/>
      <family val="2"/>
      <scheme val="minor"/>
    </font>
    <font>
      <sz val="9"/>
      <color theme="1"/>
      <name val="Aptos Narrow"/>
      <family val="2"/>
      <scheme val="minor"/>
    </font>
    <font>
      <b/>
      <sz val="14"/>
      <color theme="0"/>
      <name val="Aptos Narrow"/>
      <family val="2"/>
      <scheme val="minor"/>
    </font>
    <font>
      <b/>
      <sz val="10"/>
      <color theme="0"/>
      <name val="ShellLight"/>
    </font>
    <font>
      <b/>
      <sz val="10"/>
      <color theme="1"/>
      <name val="ShellLight"/>
    </font>
    <font>
      <b/>
      <sz val="11"/>
      <color theme="0"/>
      <name val="Aptos Narrow"/>
      <family val="2"/>
      <scheme val="minor"/>
    </font>
    <font>
      <b/>
      <sz val="12"/>
      <color rgb="FFC00000"/>
      <name val="Aptos Narrow"/>
      <family val="2"/>
      <scheme val="minor"/>
    </font>
    <font>
      <sz val="11"/>
      <color theme="0"/>
      <name val="Aptos Narrow"/>
      <family val="2"/>
      <scheme val="minor"/>
    </font>
    <font>
      <sz val="11"/>
      <color theme="0" tint="-0.14999847407452621"/>
      <name val="Aptos Narrow"/>
      <family val="2"/>
      <scheme val="minor"/>
    </font>
    <font>
      <sz val="11"/>
      <color rgb="FFFFC000"/>
      <name val="Aptos Narrow"/>
      <family val="2"/>
      <scheme val="minor"/>
    </font>
    <font>
      <b/>
      <sz val="11"/>
      <color rgb="FFFFC000"/>
      <name val="Aptos Narrow"/>
      <family val="2"/>
      <scheme val="minor"/>
    </font>
    <font>
      <sz val="9"/>
      <color rgb="FFFFC000"/>
      <name val="Aptos Narrow"/>
      <family val="2"/>
      <scheme val="minor"/>
    </font>
    <font>
      <b/>
      <u/>
      <sz val="14"/>
      <color theme="1"/>
      <name val="Aptos Narrow"/>
      <family val="2"/>
      <scheme val="minor"/>
    </font>
    <font>
      <sz val="11"/>
      <color theme="9" tint="0.39997558519241921"/>
      <name val="Aptos Narrow"/>
      <family val="2"/>
      <scheme val="minor"/>
    </font>
    <font>
      <sz val="8"/>
      <color theme="1"/>
      <name val="Aptos Narrow"/>
      <family val="2"/>
      <scheme val="minor"/>
    </font>
    <font>
      <b/>
      <sz val="48"/>
      <color theme="1"/>
      <name val="Aptos Narrow"/>
      <family val="2"/>
      <scheme val="minor"/>
    </font>
    <font>
      <sz val="9"/>
      <color indexed="81"/>
      <name val="Tahoma"/>
      <family val="2"/>
    </font>
    <font>
      <b/>
      <sz val="9"/>
      <color indexed="81"/>
      <name val="Tahoma"/>
      <family val="2"/>
    </font>
    <font>
      <sz val="11"/>
      <color rgb="FFFF0000"/>
      <name val="Aptos Narrow"/>
      <family val="2"/>
      <scheme val="minor"/>
    </font>
    <font>
      <b/>
      <sz val="18"/>
      <color rgb="FFFF0000"/>
      <name val="Aptos Narrow"/>
      <family val="2"/>
      <scheme val="minor"/>
    </font>
  </fonts>
  <fills count="25">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FFD54F"/>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FFFCC"/>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3399"/>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6" tint="0.59999389629810485"/>
        <bgColor theme="6" tint="0.59999389629810485"/>
      </patternFill>
    </fill>
    <fill>
      <patternFill patternType="solid">
        <fgColor rgb="FFC1F0C8"/>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theme="4" tint="0.79998168889431442"/>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theme="1"/>
      </top>
      <bottom style="thin">
        <color theme="1"/>
      </bottom>
      <diagonal/>
    </border>
    <border>
      <left/>
      <right/>
      <top/>
      <bottom style="medium">
        <color theme="1"/>
      </bottom>
      <diagonal/>
    </border>
    <border>
      <left/>
      <right/>
      <top style="thin">
        <color theme="1"/>
      </top>
      <bottom/>
      <diagonal/>
    </border>
    <border>
      <left/>
      <right style="thin">
        <color auto="1"/>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top style="thin">
        <color auto="1"/>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bottom/>
      <diagonal/>
    </border>
    <border>
      <left style="medium">
        <color theme="0"/>
      </left>
      <right style="medium">
        <color theme="0"/>
      </right>
      <top style="medium">
        <color theme="0"/>
      </top>
      <bottom/>
      <diagonal/>
    </border>
    <border>
      <left style="medium">
        <color theme="0"/>
      </left>
      <right/>
      <top/>
      <bottom/>
      <diagonal/>
    </border>
    <border>
      <left style="thin">
        <color rgb="FFFFC000"/>
      </left>
      <right style="thin">
        <color rgb="FFFFC000"/>
      </right>
      <top style="thin">
        <color rgb="FFFFC000"/>
      </top>
      <bottom style="thin">
        <color rgb="FFFFC000"/>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theme="0"/>
      </right>
      <top style="thin">
        <color auto="1"/>
      </top>
      <bottom style="thin">
        <color auto="1"/>
      </bottom>
      <diagonal/>
    </border>
    <border>
      <left style="medium">
        <color theme="0"/>
      </left>
      <right/>
      <top style="thin">
        <color auto="1"/>
      </top>
      <bottom style="thin">
        <color auto="1"/>
      </bottom>
      <diagonal/>
    </border>
    <border>
      <left style="medium">
        <color theme="0"/>
      </left>
      <right/>
      <top style="thin">
        <color auto="1"/>
      </top>
      <bottom/>
      <diagonal/>
    </border>
    <border>
      <left/>
      <right/>
      <top style="thin">
        <color auto="1"/>
      </top>
      <bottom/>
      <diagonal/>
    </border>
    <border>
      <left/>
      <right style="medium">
        <color theme="0"/>
      </right>
      <top style="thin">
        <color auto="1"/>
      </top>
      <bottom/>
      <diagonal/>
    </border>
    <border>
      <left style="medium">
        <color theme="0"/>
      </left>
      <right/>
      <top style="medium">
        <color theme="0"/>
      </top>
      <bottom/>
      <diagonal/>
    </border>
    <border>
      <left style="medium">
        <color theme="0"/>
      </left>
      <right style="medium">
        <color theme="0"/>
      </right>
      <top style="thin">
        <color rgb="FFFFC000"/>
      </top>
      <bottom style="thin">
        <color rgb="FFFFC000"/>
      </bottom>
      <diagonal/>
    </border>
    <border>
      <left style="thin">
        <color auto="1"/>
      </left>
      <right/>
      <top style="thin">
        <color auto="1"/>
      </top>
      <bottom/>
      <diagonal/>
    </border>
    <border>
      <left style="thin">
        <color auto="1"/>
      </left>
      <right/>
      <top/>
      <bottom/>
      <diagonal/>
    </border>
    <border>
      <left/>
      <right/>
      <top style="thin">
        <color theme="4" tint="0.39997558519241921"/>
      </top>
      <bottom/>
      <diagonal/>
    </border>
    <border>
      <left style="thin">
        <color theme="1"/>
      </left>
      <right style="thin">
        <color theme="4" tint="0.39997558519241921"/>
      </right>
      <top style="medium">
        <color theme="1"/>
      </top>
      <bottom style="medium">
        <color theme="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rgb="FF000000"/>
      </left>
      <right/>
      <top/>
      <bottom/>
      <diagonal/>
    </border>
    <border>
      <left style="medium">
        <color indexed="64"/>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style="thin">
        <color auto="1"/>
      </left>
      <right style="medium">
        <color indexed="64"/>
      </right>
      <top style="thin">
        <color auto="1"/>
      </top>
      <bottom/>
      <diagonal/>
    </border>
    <border>
      <left style="thin">
        <color auto="1"/>
      </left>
      <right/>
      <top style="medium">
        <color indexed="64"/>
      </top>
      <bottom/>
      <diagonal/>
    </border>
    <border>
      <left style="thin">
        <color auto="1"/>
      </left>
      <right style="thin">
        <color auto="1"/>
      </right>
      <top style="medium">
        <color indexed="64"/>
      </top>
      <bottom/>
      <diagonal/>
    </border>
    <border>
      <left style="thin">
        <color theme="4" tint="0.39997558519241921"/>
      </left>
      <right/>
      <top style="thin">
        <color auto="1"/>
      </top>
      <bottom/>
      <diagonal/>
    </border>
    <border>
      <left/>
      <right style="thin">
        <color theme="4" tint="0.39997558519241921"/>
      </right>
      <top style="thin">
        <color auto="1"/>
      </top>
      <bottom/>
      <diagonal/>
    </border>
    <border>
      <left style="thin">
        <color auto="1"/>
      </left>
      <right/>
      <top style="thin">
        <color theme="4" tint="0.39997558519241921"/>
      </top>
      <bottom/>
      <diagonal/>
    </border>
    <border>
      <left style="thin">
        <color auto="1"/>
      </left>
      <right/>
      <top style="thin">
        <color theme="4" tint="0.39997558519241921"/>
      </top>
      <bottom style="thin">
        <color theme="4" tint="0.39997558519241921"/>
      </bottom>
      <diagonal/>
    </border>
    <border>
      <left style="thin">
        <color indexed="64"/>
      </left>
      <right style="medium">
        <color indexed="64"/>
      </right>
      <top/>
      <bottom/>
      <diagonal/>
    </border>
    <border>
      <left style="thin">
        <color auto="1"/>
      </left>
      <right/>
      <top style="thin">
        <color auto="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4" fontId="1" fillId="0" borderId="0" applyFont="0" applyFill="0" applyBorder="0" applyAlignment="0" applyProtection="0"/>
    <xf numFmtId="0" fontId="4" fillId="0" borderId="0"/>
    <xf numFmtId="9" fontId="1" fillId="0" borderId="0" applyFont="0" applyFill="0" applyBorder="0" applyAlignment="0" applyProtection="0"/>
  </cellStyleXfs>
  <cellXfs count="235">
    <xf numFmtId="0" fontId="0" fillId="0" borderId="0" xfId="0"/>
    <xf numFmtId="0" fontId="2" fillId="0" borderId="0" xfId="0" applyFont="1"/>
    <xf numFmtId="0" fontId="0" fillId="0" borderId="0" xfId="0" applyAlignment="1">
      <alignment horizontal="center" vertical="center"/>
    </xf>
    <xf numFmtId="44" fontId="0" fillId="0" borderId="0" xfId="1" applyFont="1"/>
    <xf numFmtId="44" fontId="5" fillId="4" borderId="1" xfId="1" applyFont="1" applyFill="1" applyBorder="1" applyAlignment="1">
      <alignment horizontal="center" vertical="center"/>
    </xf>
    <xf numFmtId="0" fontId="13" fillId="0" borderId="8" xfId="0" applyFont="1" applyBorder="1" applyAlignment="1">
      <alignment vertical="center"/>
    </xf>
    <xf numFmtId="0" fontId="2" fillId="7" borderId="14" xfId="0" applyFont="1" applyFill="1" applyBorder="1"/>
    <xf numFmtId="0" fontId="14" fillId="6" borderId="15" xfId="0" applyFont="1" applyFill="1" applyBorder="1" applyAlignment="1">
      <alignment horizontal="center" vertical="center"/>
    </xf>
    <xf numFmtId="17" fontId="0" fillId="7" borderId="14" xfId="0" applyNumberFormat="1" applyFill="1" applyBorder="1"/>
    <xf numFmtId="17" fontId="0" fillId="0" borderId="14" xfId="0" applyNumberFormat="1" applyBorder="1"/>
    <xf numFmtId="17" fontId="0" fillId="7" borderId="16" xfId="0" applyNumberFormat="1" applyFill="1" applyBorder="1"/>
    <xf numFmtId="0" fontId="5" fillId="0" borderId="0" xfId="0" applyFont="1"/>
    <xf numFmtId="0" fontId="12" fillId="2" borderId="9" xfId="0" applyFont="1" applyFill="1" applyBorder="1" applyAlignment="1">
      <alignment horizontal="left" vertical="center"/>
    </xf>
    <xf numFmtId="0" fontId="0" fillId="0" borderId="0" xfId="0" applyAlignment="1" applyProtection="1">
      <alignment horizontal="center" vertical="center"/>
      <protection locked="0"/>
    </xf>
    <xf numFmtId="0" fontId="0" fillId="0" borderId="0" xfId="0" applyProtection="1">
      <protection locked="0"/>
    </xf>
    <xf numFmtId="166" fontId="0" fillId="0" borderId="0" xfId="0" applyNumberFormat="1" applyAlignment="1" applyProtection="1">
      <alignment horizontal="center" vertical="center"/>
      <protection locked="0"/>
    </xf>
    <xf numFmtId="2" fontId="10" fillId="0" borderId="0" xfId="0" applyNumberFormat="1" applyFont="1" applyAlignment="1" applyProtection="1">
      <alignment horizontal="center" vertical="center"/>
      <protection locked="0"/>
    </xf>
    <xf numFmtId="0" fontId="9"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13" fillId="0" borderId="11" xfId="0" applyFont="1" applyBorder="1" applyAlignment="1">
      <alignment vertical="center"/>
    </xf>
    <xf numFmtId="44" fontId="13" fillId="0" borderId="11" xfId="1" applyFont="1" applyBorder="1" applyAlignment="1">
      <alignment vertical="center"/>
    </xf>
    <xf numFmtId="44" fontId="13" fillId="0" borderId="4" xfId="1" applyFont="1" applyFill="1" applyBorder="1" applyAlignment="1">
      <alignment vertical="center"/>
    </xf>
    <xf numFmtId="0" fontId="12" fillId="2" borderId="9" xfId="0" applyFont="1" applyFill="1" applyBorder="1" applyAlignment="1">
      <alignment vertical="center"/>
    </xf>
    <xf numFmtId="44" fontId="12" fillId="2" borderId="9" xfId="1" applyFont="1" applyFill="1" applyBorder="1" applyAlignment="1">
      <alignment vertical="center"/>
    </xf>
    <xf numFmtId="44" fontId="12" fillId="2" borderId="1" xfId="1" applyFont="1" applyFill="1" applyBorder="1" applyAlignment="1">
      <alignment vertical="center"/>
    </xf>
    <xf numFmtId="0" fontId="13" fillId="0" borderId="0" xfId="0" applyFont="1" applyAlignment="1">
      <alignment vertical="center"/>
    </xf>
    <xf numFmtId="0" fontId="13" fillId="8" borderId="7" xfId="0" applyFont="1" applyFill="1" applyBorder="1" applyAlignment="1">
      <alignment vertical="center"/>
    </xf>
    <xf numFmtId="44" fontId="13" fillId="8" borderId="7" xfId="1" applyFont="1" applyFill="1" applyBorder="1" applyAlignment="1">
      <alignment vertical="center"/>
    </xf>
    <xf numFmtId="44" fontId="13" fillId="8" borderId="4" xfId="1" applyFont="1" applyFill="1" applyBorder="1" applyAlignment="1">
      <alignment vertical="center"/>
    </xf>
    <xf numFmtId="44" fontId="12" fillId="2" borderId="9" xfId="1" applyFont="1" applyFill="1" applyBorder="1" applyAlignment="1">
      <alignment horizontal="left" vertical="center"/>
    </xf>
    <xf numFmtId="44" fontId="12" fillId="2" borderId="1" xfId="1" applyFont="1" applyFill="1" applyBorder="1" applyAlignment="1">
      <alignment horizontal="left" vertical="center"/>
    </xf>
    <xf numFmtId="17" fontId="12" fillId="2" borderId="19" xfId="0" applyNumberFormat="1" applyFont="1" applyFill="1" applyBorder="1" applyAlignment="1">
      <alignment horizontal="center" vertical="center"/>
    </xf>
    <xf numFmtId="9" fontId="2" fillId="0" borderId="0" xfId="3" applyFont="1" applyAlignment="1">
      <alignment horizontal="center" vertical="center"/>
    </xf>
    <xf numFmtId="9" fontId="2" fillId="0" borderId="1" xfId="3" applyFont="1" applyBorder="1" applyAlignment="1">
      <alignment horizontal="center" vertical="center"/>
    </xf>
    <xf numFmtId="44" fontId="13" fillId="9" borderId="11" xfId="1" applyFont="1" applyFill="1" applyBorder="1" applyAlignment="1">
      <alignment vertical="center"/>
    </xf>
    <xf numFmtId="44" fontId="13" fillId="9" borderId="7" xfId="1" applyFont="1" applyFill="1" applyBorder="1" applyAlignment="1">
      <alignment vertical="center"/>
    </xf>
    <xf numFmtId="0" fontId="9" fillId="0" borderId="22" xfId="0" applyFont="1" applyBorder="1" applyAlignment="1">
      <alignment horizontal="center" vertical="center"/>
    </xf>
    <xf numFmtId="44" fontId="13" fillId="0" borderId="1" xfId="1" applyFont="1" applyBorder="1" applyAlignment="1">
      <alignment vertical="center"/>
    </xf>
    <xf numFmtId="44" fontId="12" fillId="2" borderId="4" xfId="1" applyFont="1" applyFill="1" applyBorder="1" applyAlignment="1">
      <alignment vertical="center"/>
    </xf>
    <xf numFmtId="44" fontId="13" fillId="8" borderId="1" xfId="1" applyFont="1" applyFill="1" applyBorder="1" applyAlignment="1">
      <alignment vertical="center"/>
    </xf>
    <xf numFmtId="1" fontId="17"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18" fillId="0" borderId="0" xfId="0" applyFont="1" applyAlignment="1" applyProtection="1">
      <alignment horizontal="center" vertical="top" wrapText="1"/>
      <protection locked="0"/>
    </xf>
    <xf numFmtId="0" fontId="0" fillId="0" borderId="0" xfId="0" applyAlignment="1" applyProtection="1">
      <alignment horizontal="center" vertical="top" wrapText="1"/>
      <protection locked="0"/>
    </xf>
    <xf numFmtId="17" fontId="0" fillId="0" borderId="0" xfId="0" applyNumberFormat="1" applyAlignment="1" applyProtection="1">
      <alignment horizontal="center" vertical="top" textRotation="90" wrapText="1"/>
      <protection locked="0"/>
    </xf>
    <xf numFmtId="17" fontId="0" fillId="0" borderId="0" xfId="0" applyNumberFormat="1" applyAlignment="1">
      <alignment horizontal="center" vertical="top" textRotation="90" wrapText="1"/>
    </xf>
    <xf numFmtId="0" fontId="0" fillId="0" borderId="0" xfId="0" applyAlignment="1">
      <alignment horizontal="center" vertical="top" textRotation="90" wrapText="1"/>
    </xf>
    <xf numFmtId="0" fontId="0" fillId="0" borderId="0" xfId="0" applyAlignment="1">
      <alignment vertical="top"/>
    </xf>
    <xf numFmtId="1" fontId="5" fillId="4" borderId="4" xfId="1" applyNumberFormat="1" applyFont="1" applyFill="1" applyBorder="1" applyAlignment="1" applyProtection="1">
      <alignment horizontal="center" vertical="center"/>
      <protection locked="0"/>
    </xf>
    <xf numFmtId="0" fontId="0" fillId="2" borderId="23" xfId="0" applyFill="1" applyBorder="1" applyProtection="1">
      <protection locked="0"/>
    </xf>
    <xf numFmtId="0" fontId="0" fillId="2" borderId="24" xfId="0" applyFill="1" applyBorder="1" applyProtection="1">
      <protection locked="0"/>
    </xf>
    <xf numFmtId="0" fontId="0" fillId="2" borderId="23" xfId="0" applyFill="1" applyBorder="1" applyAlignment="1" applyProtection="1">
      <alignment horizontal="center" vertical="top" textRotation="90" wrapText="1"/>
      <protection locked="0"/>
    </xf>
    <xf numFmtId="2" fontId="18" fillId="2" borderId="23" xfId="0" applyNumberFormat="1" applyFont="1" applyFill="1" applyBorder="1" applyAlignment="1" applyProtection="1">
      <alignment horizontal="center" vertical="center"/>
      <protection locked="0"/>
    </xf>
    <xf numFmtId="0" fontId="0" fillId="2" borderId="24" xfId="0" applyFill="1" applyBorder="1"/>
    <xf numFmtId="0" fontId="0" fillId="2" borderId="23" xfId="0" applyFill="1" applyBorder="1"/>
    <xf numFmtId="0" fontId="0" fillId="2" borderId="25" xfId="0" applyFill="1" applyBorder="1"/>
    <xf numFmtId="0" fontId="0" fillId="2" borderId="23" xfId="0" applyFill="1" applyBorder="1" applyAlignment="1">
      <alignment horizontal="center" vertical="top" textRotation="90" wrapText="1"/>
    </xf>
    <xf numFmtId="165" fontId="19" fillId="2" borderId="26" xfId="1" applyNumberFormat="1" applyFont="1" applyFill="1" applyBorder="1" applyAlignment="1">
      <alignment vertical="center"/>
    </xf>
    <xf numFmtId="165" fontId="18" fillId="2" borderId="26" xfId="1" applyNumberFormat="1" applyFont="1" applyFill="1" applyBorder="1" applyAlignment="1">
      <alignment vertical="center"/>
    </xf>
    <xf numFmtId="165" fontId="18" fillId="2" borderId="23" xfId="1" applyNumberFormat="1" applyFont="1" applyFill="1" applyBorder="1"/>
    <xf numFmtId="166" fontId="0" fillId="0" borderId="0" xfId="0" applyNumberFormat="1" applyAlignment="1" applyProtection="1">
      <alignment horizontal="left" vertical="center"/>
      <protection locked="0"/>
    </xf>
    <xf numFmtId="0" fontId="16" fillId="0" borderId="0" xfId="0" applyFont="1" applyAlignment="1" applyProtection="1">
      <alignment horizontal="center" vertical="top" wrapText="1"/>
      <protection locked="0"/>
    </xf>
    <xf numFmtId="44" fontId="0" fillId="0" borderId="0" xfId="1" applyFont="1" applyAlignment="1" applyProtection="1">
      <alignment horizontal="center" vertical="center"/>
      <protection locked="0"/>
    </xf>
    <xf numFmtId="17" fontId="0" fillId="10" borderId="0" xfId="0" applyNumberFormat="1" applyFill="1" applyAlignment="1">
      <alignment horizontal="center" vertical="top" textRotation="90" wrapText="1"/>
    </xf>
    <xf numFmtId="44" fontId="5" fillId="4" borderId="27" xfId="1" applyFont="1" applyFill="1" applyBorder="1" applyAlignment="1">
      <alignment horizontal="center" vertical="center"/>
    </xf>
    <xf numFmtId="0" fontId="0" fillId="7" borderId="14" xfId="0" applyFill="1" applyBorder="1"/>
    <xf numFmtId="0" fontId="0" fillId="0" borderId="14" xfId="0" applyBorder="1"/>
    <xf numFmtId="0" fontId="0" fillId="7" borderId="16" xfId="0" applyFill="1" applyBorder="1"/>
    <xf numFmtId="0" fontId="8" fillId="0" borderId="0" xfId="0" applyFont="1" applyAlignment="1">
      <alignment horizontal="center" vertical="center"/>
    </xf>
    <xf numFmtId="44" fontId="0" fillId="0" borderId="0" xfId="0" applyNumberFormat="1"/>
    <xf numFmtId="167" fontId="0" fillId="0" borderId="0" xfId="0" applyNumberFormat="1"/>
    <xf numFmtId="0" fontId="0" fillId="10" borderId="0" xfId="0" applyFill="1"/>
    <xf numFmtId="0" fontId="22" fillId="0" borderId="0" xfId="0" applyFont="1" applyAlignment="1" applyProtection="1">
      <alignment horizontal="center" vertical="top" wrapText="1"/>
      <protection locked="0"/>
    </xf>
    <xf numFmtId="44" fontId="23" fillId="0" borderId="0" xfId="0" applyNumberFormat="1" applyFont="1" applyProtection="1">
      <protection locked="0"/>
    </xf>
    <xf numFmtId="17" fontId="0" fillId="12" borderId="0" xfId="0" applyNumberFormat="1" applyFill="1" applyAlignment="1">
      <alignment horizontal="center" vertical="top" textRotation="90" wrapText="1"/>
    </xf>
    <xf numFmtId="0" fontId="0" fillId="12" borderId="0" xfId="0" applyFill="1" applyAlignment="1">
      <alignment horizontal="center" vertical="top" textRotation="90" wrapText="1"/>
    </xf>
    <xf numFmtId="0" fontId="0" fillId="0" borderId="23" xfId="0" applyBorder="1"/>
    <xf numFmtId="0" fontId="0" fillId="0" borderId="0" xfId="0" applyAlignment="1" applyProtection="1">
      <alignment wrapText="1"/>
      <protection locked="0"/>
    </xf>
    <xf numFmtId="0" fontId="0" fillId="0" borderId="23" xfId="0" applyBorder="1" applyProtection="1">
      <protection locked="0"/>
    </xf>
    <xf numFmtId="165" fontId="18" fillId="2" borderId="23" xfId="1" applyNumberFormat="1" applyFont="1" applyFill="1" applyBorder="1" applyAlignment="1" applyProtection="1">
      <alignment horizontal="center" vertical="center"/>
      <protection locked="0"/>
    </xf>
    <xf numFmtId="17" fontId="0" fillId="0" borderId="0" xfId="0" applyNumberFormat="1" applyAlignment="1" applyProtection="1">
      <alignment horizontal="center" vertical="top" textRotation="90"/>
      <protection locked="0"/>
    </xf>
    <xf numFmtId="1" fontId="5" fillId="11" borderId="4" xfId="1" applyNumberFormat="1" applyFont="1" applyFill="1" applyBorder="1" applyAlignment="1" applyProtection="1">
      <alignment horizontal="center" vertical="center"/>
      <protection locked="0"/>
    </xf>
    <xf numFmtId="1" fontId="5" fillId="13" borderId="4" xfId="1" applyNumberFormat="1" applyFont="1" applyFill="1" applyBorder="1" applyAlignment="1" applyProtection="1">
      <alignment horizontal="center" vertical="center"/>
      <protection locked="0"/>
    </xf>
    <xf numFmtId="1" fontId="10" fillId="0" borderId="0" xfId="0" applyNumberFormat="1" applyFont="1" applyAlignment="1" applyProtection="1">
      <alignment horizontal="center" vertical="center"/>
      <protection locked="0"/>
    </xf>
    <xf numFmtId="0" fontId="0" fillId="2" borderId="36" xfId="0" applyFill="1" applyBorder="1"/>
    <xf numFmtId="0" fontId="0" fillId="2" borderId="25" xfId="0" applyFill="1" applyBorder="1" applyAlignment="1">
      <alignment horizontal="center" vertical="top" textRotation="90" wrapText="1"/>
    </xf>
    <xf numFmtId="0" fontId="0" fillId="2" borderId="25" xfId="0" applyFill="1" applyBorder="1" applyAlignment="1" applyProtection="1">
      <alignment horizontal="center" vertical="center"/>
      <protection locked="0"/>
    </xf>
    <xf numFmtId="44" fontId="5" fillId="4" borderId="4" xfId="1" applyFont="1" applyFill="1" applyBorder="1" applyAlignment="1">
      <alignment horizontal="center" vertical="center"/>
    </xf>
    <xf numFmtId="165" fontId="19" fillId="2" borderId="37" xfId="1" applyNumberFormat="1" applyFont="1" applyFill="1" applyBorder="1" applyAlignment="1">
      <alignment vertical="center"/>
    </xf>
    <xf numFmtId="165" fontId="18" fillId="2" borderId="37" xfId="1" applyNumberFormat="1" applyFont="1" applyFill="1" applyBorder="1" applyAlignment="1">
      <alignment vertical="center"/>
    </xf>
    <xf numFmtId="0" fontId="24" fillId="0" borderId="0" xfId="0" applyFont="1" applyAlignment="1" applyProtection="1">
      <alignment horizontal="center" vertical="center"/>
      <protection locked="0"/>
    </xf>
    <xf numFmtId="0" fontId="0" fillId="0" borderId="0" xfId="0" applyAlignment="1" applyProtection="1">
      <alignment horizontal="center" vertical="top"/>
      <protection locked="0"/>
    </xf>
    <xf numFmtId="0" fontId="0" fillId="0" borderId="0" xfId="0" applyAlignment="1" applyProtection="1">
      <alignment horizontal="center" vertical="center" wrapText="1"/>
      <protection locked="0"/>
    </xf>
    <xf numFmtId="165" fontId="0" fillId="0" borderId="0" xfId="1" applyNumberFormat="1" applyFont="1" applyAlignment="1" applyProtection="1">
      <alignment horizontal="left" vertical="center"/>
      <protection locked="0"/>
    </xf>
    <xf numFmtId="0" fontId="0" fillId="14" borderId="0" xfId="0" applyFill="1" applyAlignment="1" applyProtection="1">
      <alignment horizontal="center" vertical="top" wrapText="1"/>
      <protection locked="0"/>
    </xf>
    <xf numFmtId="0" fontId="16" fillId="14" borderId="0" xfId="0" applyFont="1" applyFill="1" applyAlignment="1" applyProtection="1">
      <alignment horizontal="center" vertical="top" wrapText="1"/>
      <protection locked="0"/>
    </xf>
    <xf numFmtId="0" fontId="0" fillId="15" borderId="0" xfId="0" applyFill="1" applyAlignment="1" applyProtection="1">
      <alignment horizontal="center" vertical="top" wrapText="1"/>
      <protection locked="0"/>
    </xf>
    <xf numFmtId="0" fontId="16" fillId="15" borderId="0" xfId="0" applyFont="1" applyFill="1" applyAlignment="1" applyProtection="1">
      <alignment horizontal="center" vertical="top" wrapText="1"/>
      <protection locked="0"/>
    </xf>
    <xf numFmtId="0" fontId="0" fillId="16" borderId="0" xfId="0" applyFill="1"/>
    <xf numFmtId="17" fontId="2" fillId="3" borderId="6" xfId="0" applyNumberFormat="1" applyFont="1" applyFill="1" applyBorder="1" applyAlignment="1">
      <alignment horizontal="center"/>
    </xf>
    <xf numFmtId="44" fontId="5" fillId="4" borderId="0" xfId="1" applyFont="1" applyFill="1" applyBorder="1" applyAlignment="1">
      <alignment horizontal="center" vertical="center"/>
    </xf>
    <xf numFmtId="17" fontId="2" fillId="3" borderId="0" xfId="0" applyNumberFormat="1" applyFont="1" applyFill="1" applyAlignment="1">
      <alignment horizontal="center"/>
    </xf>
    <xf numFmtId="9" fontId="0" fillId="0" borderId="0" xfId="3" applyFont="1"/>
    <xf numFmtId="17" fontId="0" fillId="17" borderId="0" xfId="0" applyNumberFormat="1" applyFill="1" applyAlignment="1">
      <alignment horizontal="center" vertical="top" textRotation="90" wrapText="1"/>
    </xf>
    <xf numFmtId="0" fontId="0" fillId="17" borderId="0" xfId="0" applyFill="1" applyAlignment="1">
      <alignment horizontal="center" vertical="top" textRotation="90" wrapText="1"/>
    </xf>
    <xf numFmtId="44" fontId="13" fillId="0" borderId="4" xfId="1" applyFont="1" applyBorder="1" applyAlignment="1">
      <alignment vertical="center"/>
    </xf>
    <xf numFmtId="49" fontId="0" fillId="0" borderId="0" xfId="3" applyNumberFormat="1" applyFont="1"/>
    <xf numFmtId="0" fontId="0" fillId="18" borderId="40" xfId="0" applyFill="1" applyBorder="1"/>
    <xf numFmtId="0" fontId="0" fillId="0" borderId="40" xfId="0" applyBorder="1"/>
    <xf numFmtId="0" fontId="2" fillId="18" borderId="40" xfId="0" applyFont="1" applyFill="1" applyBorder="1"/>
    <xf numFmtId="0" fontId="2" fillId="0" borderId="40" xfId="0" applyFont="1" applyBorder="1"/>
    <xf numFmtId="0" fontId="14" fillId="19" borderId="0" xfId="0" applyFont="1" applyFill="1"/>
    <xf numFmtId="0" fontId="14" fillId="6" borderId="41" xfId="0" applyFont="1" applyFill="1" applyBorder="1" applyAlignment="1">
      <alignment horizontal="center" vertical="center"/>
    </xf>
    <xf numFmtId="49" fontId="0" fillId="0" borderId="0" xfId="1" applyNumberFormat="1" applyFont="1"/>
    <xf numFmtId="9" fontId="2" fillId="0" borderId="4" xfId="3" applyFont="1" applyBorder="1" applyAlignment="1">
      <alignment horizontal="center" vertical="center"/>
    </xf>
    <xf numFmtId="0" fontId="0" fillId="0" borderId="0" xfId="0" applyAlignment="1" applyProtection="1">
      <alignment horizontal="center"/>
      <protection locked="0"/>
    </xf>
    <xf numFmtId="0" fontId="21" fillId="5" borderId="28" xfId="0" applyFont="1" applyFill="1" applyBorder="1" applyAlignment="1">
      <alignment horizontal="left" vertical="center" wrapText="1"/>
    </xf>
    <xf numFmtId="0" fontId="6" fillId="5" borderId="29" xfId="0" applyFont="1" applyFill="1" applyBorder="1" applyAlignment="1">
      <alignment horizontal="left" vertical="center"/>
    </xf>
    <xf numFmtId="0" fontId="6" fillId="5" borderId="30" xfId="0" applyFont="1" applyFill="1" applyBorder="1" applyAlignment="1">
      <alignment horizontal="left" vertical="center"/>
    </xf>
    <xf numFmtId="0" fontId="0" fillId="0" borderId="0" xfId="0" applyAlignment="1">
      <alignment wrapText="1"/>
    </xf>
    <xf numFmtId="0" fontId="0" fillId="21" borderId="0" xfId="0" applyFill="1"/>
    <xf numFmtId="0" fontId="0" fillId="21" borderId="0" xfId="0" applyFill="1" applyAlignment="1">
      <alignment vertical="center"/>
    </xf>
    <xf numFmtId="2" fontId="20" fillId="2" borderId="23" xfId="0" applyNumberFormat="1" applyFont="1" applyFill="1" applyBorder="1" applyAlignment="1" applyProtection="1">
      <alignment horizontal="center" vertical="top" textRotation="90" wrapText="1"/>
      <protection locked="0"/>
    </xf>
    <xf numFmtId="1" fontId="10" fillId="0" borderId="23" xfId="0" applyNumberFormat="1" applyFont="1" applyBorder="1" applyAlignment="1" applyProtection="1">
      <alignment horizontal="center" vertical="center"/>
      <protection locked="0"/>
    </xf>
    <xf numFmtId="2" fontId="10" fillId="0" borderId="23" xfId="0" applyNumberFormat="1" applyFont="1" applyBorder="1" applyAlignment="1" applyProtection="1">
      <alignment horizontal="center" vertical="center"/>
      <protection locked="0"/>
    </xf>
    <xf numFmtId="44" fontId="0" fillId="0" borderId="23" xfId="1" applyFont="1" applyBorder="1"/>
    <xf numFmtId="9" fontId="0" fillId="0" borderId="0" xfId="0" applyNumberFormat="1"/>
    <xf numFmtId="9" fontId="0" fillId="16" borderId="0" xfId="0" applyNumberFormat="1" applyFill="1"/>
    <xf numFmtId="9" fontId="27" fillId="0" borderId="0" xfId="0" applyNumberFormat="1" applyFont="1"/>
    <xf numFmtId="2" fontId="0" fillId="0" borderId="0" xfId="0" applyNumberFormat="1"/>
    <xf numFmtId="2" fontId="27" fillId="0" borderId="0" xfId="0" applyNumberFormat="1" applyFont="1"/>
    <xf numFmtId="0" fontId="0" fillId="9" borderId="1" xfId="0" applyFill="1" applyBorder="1" applyAlignment="1">
      <alignment horizontal="center" vertical="center"/>
    </xf>
    <xf numFmtId="0" fontId="6" fillId="5" borderId="0" xfId="0" applyFont="1" applyFill="1" applyAlignment="1">
      <alignment horizontal="left" vertical="center"/>
    </xf>
    <xf numFmtId="0" fontId="8" fillId="18" borderId="20" xfId="0" applyFont="1" applyFill="1" applyBorder="1" applyAlignment="1">
      <alignment horizontal="center" vertical="center"/>
    </xf>
    <xf numFmtId="0" fontId="8" fillId="18" borderId="38" xfId="0" applyFont="1" applyFill="1" applyBorder="1" applyAlignment="1">
      <alignment horizontal="center" vertical="center"/>
    </xf>
    <xf numFmtId="44" fontId="8" fillId="18" borderId="38" xfId="1" applyFont="1" applyFill="1" applyBorder="1" applyAlignment="1">
      <alignment horizontal="center" vertical="center"/>
    </xf>
    <xf numFmtId="44" fontId="8" fillId="18" borderId="51" xfId="1" applyFont="1" applyFill="1" applyBorder="1" applyAlignment="1">
      <alignment horizontal="center" vertical="center"/>
    </xf>
    <xf numFmtId="0" fontId="8" fillId="0" borderId="20" xfId="0" applyFont="1" applyBorder="1" applyAlignment="1">
      <alignment horizontal="center" vertical="center"/>
    </xf>
    <xf numFmtId="0" fontId="8" fillId="0" borderId="38" xfId="0" applyFont="1" applyBorder="1" applyAlignment="1">
      <alignment horizontal="center" vertical="center"/>
    </xf>
    <xf numFmtId="44" fontId="8" fillId="0" borderId="38" xfId="1" applyFont="1" applyBorder="1" applyAlignment="1">
      <alignment horizontal="center" vertical="center"/>
    </xf>
    <xf numFmtId="44" fontId="8" fillId="0" borderId="51" xfId="1" applyFont="1" applyBorder="1" applyAlignment="1">
      <alignment horizontal="center" vertical="center"/>
    </xf>
    <xf numFmtId="0" fontId="8" fillId="18" borderId="52" xfId="0" applyFont="1" applyFill="1" applyBorder="1" applyAlignment="1">
      <alignment horizontal="center" vertical="center"/>
    </xf>
    <xf numFmtId="44" fontId="8" fillId="18" borderId="52" xfId="1" applyFont="1" applyFill="1" applyBorder="1" applyAlignment="1">
      <alignment horizontal="center" vertical="center"/>
    </xf>
    <xf numFmtId="44" fontId="8" fillId="18" borderId="53" xfId="1" applyFont="1" applyFill="1" applyBorder="1" applyAlignment="1">
      <alignment horizontal="center" vertical="center"/>
    </xf>
    <xf numFmtId="44" fontId="8" fillId="0" borderId="2" xfId="1" applyFont="1" applyBorder="1" applyAlignment="1">
      <alignment horizontal="center" vertical="center"/>
    </xf>
    <xf numFmtId="44" fontId="8" fillId="18" borderId="2" xfId="1" applyFont="1" applyFill="1" applyBorder="1" applyAlignment="1">
      <alignment horizontal="center" vertical="center"/>
    </xf>
    <xf numFmtId="0" fontId="8" fillId="18" borderId="54" xfId="0" applyFont="1" applyFill="1" applyBorder="1" applyAlignment="1">
      <alignment horizontal="center" vertical="center"/>
    </xf>
    <xf numFmtId="0" fontId="8" fillId="18" borderId="34" xfId="0" applyFont="1" applyFill="1" applyBorder="1" applyAlignment="1">
      <alignment horizontal="center" vertical="center"/>
    </xf>
    <xf numFmtId="44" fontId="8" fillId="18" borderId="34" xfId="1" applyFont="1" applyFill="1" applyBorder="1" applyAlignment="1">
      <alignment horizontal="center" vertical="center"/>
    </xf>
    <xf numFmtId="44" fontId="8" fillId="18" borderId="55" xfId="1" applyFont="1" applyFill="1" applyBorder="1" applyAlignment="1">
      <alignment horizontal="center" vertical="center"/>
    </xf>
    <xf numFmtId="0" fontId="8" fillId="0" borderId="48" xfId="0" applyFont="1" applyBorder="1" applyAlignment="1">
      <alignment horizontal="center" vertical="center"/>
    </xf>
    <xf numFmtId="0" fontId="8" fillId="0" borderId="40" xfId="0" applyFont="1" applyBorder="1" applyAlignment="1">
      <alignment horizontal="center" vertical="center"/>
    </xf>
    <xf numFmtId="44" fontId="8" fillId="0" borderId="40" xfId="1" applyFont="1" applyBorder="1" applyAlignment="1">
      <alignment horizontal="center" vertical="center"/>
    </xf>
    <xf numFmtId="44" fontId="8" fillId="0" borderId="50" xfId="1" applyFont="1" applyBorder="1" applyAlignment="1">
      <alignment horizontal="center" vertical="center"/>
    </xf>
    <xf numFmtId="0" fontId="8" fillId="18" borderId="48" xfId="0" applyFont="1" applyFill="1" applyBorder="1" applyAlignment="1">
      <alignment horizontal="center" vertical="center"/>
    </xf>
    <xf numFmtId="0" fontId="8" fillId="18" borderId="40" xfId="0" applyFont="1" applyFill="1" applyBorder="1" applyAlignment="1">
      <alignment horizontal="center" vertical="center"/>
    </xf>
    <xf numFmtId="44" fontId="8" fillId="18" borderId="40" xfId="1" applyFont="1" applyFill="1" applyBorder="1" applyAlignment="1">
      <alignment horizontal="center" vertical="center"/>
    </xf>
    <xf numFmtId="44" fontId="8" fillId="18" borderId="50" xfId="1" applyFont="1" applyFill="1" applyBorder="1" applyAlignment="1">
      <alignment horizontal="center" vertical="center"/>
    </xf>
    <xf numFmtId="0" fontId="8" fillId="18" borderId="50" xfId="0" applyFont="1" applyFill="1" applyBorder="1" applyAlignment="1">
      <alignment horizontal="center" vertical="center"/>
    </xf>
    <xf numFmtId="0" fontId="8" fillId="0" borderId="50" xfId="0" applyFont="1" applyBorder="1" applyAlignment="1">
      <alignment horizontal="center" vertical="center"/>
    </xf>
    <xf numFmtId="0" fontId="8" fillId="0" borderId="56" xfId="0" applyFont="1" applyBorder="1" applyAlignment="1">
      <alignment horizontal="center" vertical="center"/>
    </xf>
    <xf numFmtId="0" fontId="8" fillId="18" borderId="56" xfId="0" applyFont="1" applyFill="1" applyBorder="1" applyAlignment="1">
      <alignment horizontal="center" vertical="center"/>
    </xf>
    <xf numFmtId="0" fontId="8" fillId="0" borderId="57" xfId="0" applyFont="1" applyBorder="1" applyAlignment="1">
      <alignment horizontal="center" vertical="center"/>
    </xf>
    <xf numFmtId="0" fontId="8" fillId="0" borderId="47" xfId="0" applyFont="1" applyBorder="1" applyAlignment="1">
      <alignment horizontal="center" vertical="center"/>
    </xf>
    <xf numFmtId="44" fontId="8" fillId="0" borderId="47" xfId="1" applyFont="1" applyBorder="1" applyAlignment="1">
      <alignment horizontal="center" vertical="center"/>
    </xf>
    <xf numFmtId="0" fontId="8" fillId="0" borderId="49" xfId="0" applyFont="1" applyBorder="1" applyAlignment="1">
      <alignment horizontal="center" vertical="center"/>
    </xf>
    <xf numFmtId="0" fontId="7" fillId="5" borderId="46" xfId="0" applyFont="1" applyFill="1" applyBorder="1" applyAlignment="1">
      <alignment horizontal="center" vertical="center"/>
    </xf>
    <xf numFmtId="0" fontId="7" fillId="5" borderId="39" xfId="0" applyFont="1" applyFill="1" applyBorder="1" applyAlignment="1">
      <alignment horizontal="center" vertical="center"/>
    </xf>
    <xf numFmtId="0" fontId="15" fillId="5" borderId="39" xfId="0" applyFont="1" applyFill="1" applyBorder="1" applyAlignment="1">
      <alignment horizontal="center" vertical="center" wrapText="1"/>
    </xf>
    <xf numFmtId="0" fontId="15" fillId="5" borderId="58" xfId="0" applyFont="1" applyFill="1" applyBorder="1" applyAlignment="1">
      <alignment horizontal="center" vertical="center" wrapText="1"/>
    </xf>
    <xf numFmtId="0" fontId="6" fillId="5" borderId="0" xfId="0" applyFont="1" applyFill="1" applyAlignment="1">
      <alignment horizontal="center"/>
    </xf>
    <xf numFmtId="0" fontId="15" fillId="5" borderId="0" xfId="0" applyFont="1" applyFill="1" applyAlignment="1">
      <alignment horizontal="center" vertical="center" wrapText="1"/>
    </xf>
    <xf numFmtId="44" fontId="8" fillId="18" borderId="0" xfId="1" applyFont="1" applyFill="1" applyBorder="1" applyAlignment="1">
      <alignment horizontal="center" vertical="center"/>
    </xf>
    <xf numFmtId="44" fontId="8" fillId="0" borderId="0" xfId="1" applyFont="1" applyBorder="1" applyAlignment="1">
      <alignment horizontal="center" vertical="center"/>
    </xf>
    <xf numFmtId="0" fontId="8" fillId="18" borderId="0" xfId="0" applyFont="1" applyFill="1" applyAlignment="1">
      <alignment horizontal="center" vertical="center"/>
    </xf>
    <xf numFmtId="2" fontId="18" fillId="2" borderId="0" xfId="0" applyNumberFormat="1" applyFont="1" applyFill="1" applyAlignment="1" applyProtection="1">
      <alignment horizontal="center" vertical="center"/>
      <protection locked="0"/>
    </xf>
    <xf numFmtId="44" fontId="8" fillId="18" borderId="59" xfId="1" applyFont="1" applyFill="1" applyBorder="1" applyAlignment="1">
      <alignment horizontal="center" vertical="center"/>
    </xf>
    <xf numFmtId="44" fontId="8" fillId="0" borderId="59" xfId="1" applyFont="1" applyBorder="1" applyAlignment="1">
      <alignment horizontal="center" vertical="center"/>
    </xf>
    <xf numFmtId="164" fontId="0" fillId="0" borderId="0" xfId="0" applyNumberFormat="1"/>
    <xf numFmtId="9" fontId="2" fillId="0" borderId="0" xfId="3" applyFont="1" applyBorder="1" applyAlignment="1">
      <alignment horizontal="center" vertical="center"/>
    </xf>
    <xf numFmtId="17" fontId="11" fillId="2" borderId="0" xfId="0" applyNumberFormat="1" applyFont="1" applyFill="1" applyAlignment="1">
      <alignment horizontal="center" vertical="center"/>
    </xf>
    <xf numFmtId="0" fontId="0" fillId="0" borderId="60" xfId="0" applyBorder="1"/>
    <xf numFmtId="17" fontId="12" fillId="2" borderId="60" xfId="0" applyNumberFormat="1" applyFont="1" applyFill="1" applyBorder="1" applyAlignment="1">
      <alignment horizontal="center" vertical="center"/>
    </xf>
    <xf numFmtId="44" fontId="0" fillId="0" borderId="60" xfId="0" applyNumberFormat="1" applyBorder="1"/>
    <xf numFmtId="0" fontId="2" fillId="22" borderId="60" xfId="0" applyFont="1" applyFill="1" applyBorder="1"/>
    <xf numFmtId="44" fontId="2" fillId="22" borderId="60" xfId="0" applyNumberFormat="1" applyFont="1" applyFill="1" applyBorder="1"/>
    <xf numFmtId="168" fontId="0" fillId="0" borderId="60" xfId="0" applyNumberFormat="1" applyBorder="1"/>
    <xf numFmtId="168" fontId="2" fillId="22" borderId="60" xfId="0" applyNumberFormat="1" applyFont="1" applyFill="1" applyBorder="1"/>
    <xf numFmtId="168" fontId="0" fillId="22" borderId="60" xfId="0" applyNumberFormat="1" applyFill="1" applyBorder="1"/>
    <xf numFmtId="0" fontId="0" fillId="23" borderId="0" xfId="0" applyFill="1"/>
    <xf numFmtId="166" fontId="0" fillId="9" borderId="1" xfId="0" applyNumberFormat="1" applyFill="1" applyBorder="1" applyAlignment="1">
      <alignment horizontal="center" vertical="center"/>
    </xf>
    <xf numFmtId="2" fontId="0" fillId="9" borderId="1" xfId="0" applyNumberFormat="1" applyFill="1" applyBorder="1"/>
    <xf numFmtId="14" fontId="0" fillId="0" borderId="0" xfId="0" applyNumberFormat="1" applyAlignment="1" applyProtection="1">
      <alignment horizontal="center" vertical="center"/>
      <protection locked="0"/>
    </xf>
    <xf numFmtId="44" fontId="8" fillId="24" borderId="38" xfId="1" applyFont="1" applyFill="1" applyBorder="1" applyAlignment="1">
      <alignment horizontal="center" vertical="center"/>
    </xf>
    <xf numFmtId="44" fontId="8" fillId="16" borderId="38" xfId="1" applyFont="1" applyFill="1" applyBorder="1" applyAlignment="1">
      <alignment horizontal="center" vertical="center"/>
    </xf>
    <xf numFmtId="0" fontId="14" fillId="2" borderId="60" xfId="0" applyFont="1" applyFill="1" applyBorder="1" applyAlignment="1">
      <alignment horizontal="center" vertical="center"/>
    </xf>
    <xf numFmtId="17" fontId="12" fillId="2" borderId="2" xfId="0" applyNumberFormat="1" applyFont="1" applyFill="1" applyBorder="1" applyAlignment="1">
      <alignment horizontal="center" vertical="center"/>
    </xf>
    <xf numFmtId="0" fontId="12" fillId="2" borderId="60" xfId="0" applyFont="1" applyFill="1" applyBorder="1" applyAlignment="1">
      <alignment horizontal="center" vertical="center"/>
    </xf>
    <xf numFmtId="17" fontId="12" fillId="2" borderId="60" xfId="0" applyNumberFormat="1" applyFont="1" applyFill="1" applyBorder="1" applyAlignment="1">
      <alignment horizontal="center" vertical="center"/>
    </xf>
    <xf numFmtId="17" fontId="12" fillId="2" borderId="20" xfId="0" applyNumberFormat="1" applyFont="1" applyFill="1" applyBorder="1" applyAlignment="1">
      <alignment horizontal="center" vertical="center"/>
    </xf>
    <xf numFmtId="0" fontId="12" fillId="2" borderId="10" xfId="0" applyFont="1" applyFill="1" applyBorder="1" applyAlignment="1">
      <alignment horizontal="center" vertical="center"/>
    </xf>
    <xf numFmtId="17" fontId="11" fillId="2" borderId="10" xfId="0" applyNumberFormat="1" applyFont="1" applyFill="1" applyBorder="1" applyAlignment="1">
      <alignment horizontal="center" vertical="center"/>
    </xf>
    <xf numFmtId="0" fontId="9" fillId="0" borderId="0" xfId="0" applyFont="1" applyAlignment="1">
      <alignment horizontal="center" vertical="center"/>
    </xf>
    <xf numFmtId="0" fontId="9" fillId="0" borderId="21" xfId="0" applyFont="1" applyBorder="1" applyAlignment="1">
      <alignment horizontal="center" vertical="center"/>
    </xf>
    <xf numFmtId="17" fontId="11" fillId="2" borderId="18" xfId="0" applyNumberFormat="1" applyFont="1" applyFill="1" applyBorder="1" applyAlignment="1">
      <alignment horizontal="center" vertical="center"/>
    </xf>
    <xf numFmtId="0" fontId="12" fillId="2" borderId="11" xfId="0" applyFont="1" applyFill="1" applyBorder="1" applyAlignment="1">
      <alignment horizontal="center" vertical="center"/>
    </xf>
    <xf numFmtId="17" fontId="12" fillId="2" borderId="3" xfId="0" applyNumberFormat="1" applyFont="1" applyFill="1" applyBorder="1" applyAlignment="1">
      <alignment horizontal="center" vertical="center"/>
    </xf>
    <xf numFmtId="0" fontId="12" fillId="2" borderId="5" xfId="0" applyFont="1" applyFill="1" applyBorder="1" applyAlignment="1">
      <alignment horizontal="center" vertical="center"/>
    </xf>
    <xf numFmtId="0" fontId="2" fillId="20" borderId="42" xfId="0" applyFont="1" applyFill="1" applyBorder="1" applyAlignment="1">
      <alignment horizontal="center"/>
    </xf>
    <xf numFmtId="0" fontId="2" fillId="20" borderId="43" xfId="0" applyFont="1" applyFill="1" applyBorder="1" applyAlignment="1">
      <alignment horizontal="center"/>
    </xf>
    <xf numFmtId="0" fontId="2" fillId="20" borderId="44" xfId="0" applyFont="1" applyFill="1" applyBorder="1" applyAlignment="1">
      <alignment horizontal="center"/>
    </xf>
    <xf numFmtId="0" fontId="2" fillId="0" borderId="0" xfId="0" applyFont="1" applyAlignment="1">
      <alignment horizontal="center"/>
    </xf>
    <xf numFmtId="0" fontId="0" fillId="16" borderId="45" xfId="0" applyFill="1" applyBorder="1" applyAlignment="1">
      <alignment horizontal="center" wrapText="1"/>
    </xf>
    <xf numFmtId="0" fontId="0" fillId="16" borderId="0" xfId="0" applyFill="1" applyAlignment="1">
      <alignment horizontal="center" wrapText="1"/>
    </xf>
    <xf numFmtId="0" fontId="2" fillId="16" borderId="45" xfId="0" applyFont="1" applyFill="1" applyBorder="1" applyAlignment="1">
      <alignment horizontal="center"/>
    </xf>
    <xf numFmtId="0" fontId="2" fillId="16" borderId="0" xfId="0" applyFont="1" applyFill="1" applyAlignment="1">
      <alignment horizontal="center"/>
    </xf>
    <xf numFmtId="0" fontId="28" fillId="21" borderId="0" xfId="0" applyFont="1" applyFill="1" applyAlignment="1">
      <alignment horizontal="center" vertical="center" wrapText="1"/>
    </xf>
    <xf numFmtId="0" fontId="0" fillId="21" borderId="0" xfId="0" applyFill="1" applyAlignment="1">
      <alignment horizontal="center" vertical="center"/>
    </xf>
    <xf numFmtId="17" fontId="2" fillId="3" borderId="32" xfId="0" applyNumberFormat="1" applyFont="1" applyFill="1" applyBorder="1" applyAlignment="1">
      <alignment horizontal="center"/>
    </xf>
    <xf numFmtId="17" fontId="2" fillId="3" borderId="6" xfId="0" applyNumberFormat="1" applyFont="1" applyFill="1" applyBorder="1" applyAlignment="1">
      <alignment horizontal="center"/>
    </xf>
    <xf numFmtId="17" fontId="2" fillId="3" borderId="4" xfId="0" applyNumberFormat="1" applyFont="1" applyFill="1" applyBorder="1" applyAlignment="1">
      <alignment horizontal="center"/>
    </xf>
    <xf numFmtId="0" fontId="2" fillId="3" borderId="32"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2" fillId="3" borderId="31" xfId="0" applyFont="1" applyFill="1" applyBorder="1" applyAlignment="1" applyProtection="1">
      <alignment horizontal="center" vertical="center"/>
      <protection locked="0"/>
    </xf>
    <xf numFmtId="0" fontId="2" fillId="3" borderId="32" xfId="0" applyFont="1" applyFill="1" applyBorder="1" applyAlignment="1" applyProtection="1">
      <alignment horizontal="center"/>
      <protection locked="0"/>
    </xf>
    <xf numFmtId="0" fontId="2" fillId="3" borderId="6" xfId="0" applyFont="1" applyFill="1" applyBorder="1" applyAlignment="1" applyProtection="1">
      <alignment horizontal="center"/>
      <protection locked="0"/>
    </xf>
    <xf numFmtId="0" fontId="2" fillId="3" borderId="31" xfId="0" applyFont="1" applyFill="1" applyBorder="1" applyAlignment="1" applyProtection="1">
      <alignment horizontal="center"/>
      <protection locked="0"/>
    </xf>
    <xf numFmtId="0" fontId="2" fillId="3" borderId="33" xfId="0" applyFont="1" applyFill="1" applyBorder="1" applyAlignment="1" applyProtection="1">
      <alignment horizontal="center"/>
      <protection locked="0"/>
    </xf>
    <xf numFmtId="0" fontId="2" fillId="3" borderId="34" xfId="0" applyFont="1" applyFill="1" applyBorder="1" applyAlignment="1" applyProtection="1">
      <alignment horizontal="center"/>
      <protection locked="0"/>
    </xf>
    <xf numFmtId="0" fontId="2" fillId="3" borderId="35" xfId="0" applyFont="1" applyFill="1" applyBorder="1" applyAlignment="1" applyProtection="1">
      <alignment horizontal="center"/>
      <protection locked="0"/>
    </xf>
    <xf numFmtId="17" fontId="2" fillId="3" borderId="27" xfId="0" applyNumberFormat="1"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6" fillId="5" borderId="17" xfId="0" applyFont="1" applyFill="1" applyBorder="1" applyAlignment="1">
      <alignment horizontal="center"/>
    </xf>
  </cellXfs>
  <cellStyles count="4">
    <cellStyle name="Currency" xfId="1" builtinId="4"/>
    <cellStyle name="Normal" xfId="0" builtinId="0"/>
    <cellStyle name="Normal 3" xfId="2" xr:uid="{02AB6D61-A619-4B41-84AB-3659D798F7D0}"/>
    <cellStyle name="Per cent" xfId="3" builtinId="5"/>
  </cellStyles>
  <dxfs count="496">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border outline="0">
        <top style="medium">
          <color indexed="64"/>
        </top>
      </border>
    </dxf>
    <dxf>
      <font>
        <b val="0"/>
        <i val="0"/>
        <strike val="0"/>
        <condense val="0"/>
        <extend val="0"/>
        <outline val="0"/>
        <shadow val="0"/>
        <u val="none"/>
        <vertAlign val="baseline"/>
        <sz val="11"/>
        <color rgb="FFC00000"/>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rgb="FFC00000"/>
        <name val="Aptos Narrow"/>
        <family val="2"/>
        <scheme val="minor"/>
      </font>
      <fill>
        <patternFill patternType="solid">
          <fgColor indexed="64"/>
          <bgColor rgb="FFFFD54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border outline="0">
        <top style="thin">
          <color theme="1"/>
        </top>
      </border>
    </dxf>
    <dxf>
      <border outline="0">
        <bottom style="medium">
          <color theme="1"/>
        </bottom>
      </border>
    </dxf>
    <dxf>
      <border outline="0">
        <left style="thin">
          <color theme="1"/>
        </left>
        <top style="medium">
          <color theme="1"/>
        </top>
        <bottom style="medium">
          <color theme="1"/>
        </bottom>
      </border>
    </dxf>
    <dxf>
      <fill>
        <patternFill patternType="solid">
          <fgColor theme="0" tint="-0.14999847407452621"/>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1"/>
        </top>
        <bottom style="thin">
          <color theme="1"/>
        </bottom>
        <vertical/>
        <horizontal/>
      </border>
    </dxf>
    <dxf>
      <border outline="0">
        <top style="thin">
          <color theme="1"/>
        </top>
      </border>
    </dxf>
    <dxf>
      <border outline="0">
        <bottom style="medium">
          <color theme="1"/>
        </bottom>
      </border>
    </dxf>
    <dxf>
      <border outline="0">
        <left style="thin">
          <color theme="1"/>
        </left>
        <right style="thin">
          <color theme="1"/>
        </right>
        <top style="medium">
          <color theme="1"/>
        </top>
        <bottom style="medium">
          <color theme="1"/>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style="thin">
          <color theme="4" tint="0.39997558519241921"/>
        </right>
        <top style="thin">
          <color theme="4" tint="0.39997558519241921"/>
        </top>
        <bottom/>
        <vertical/>
        <horizontal/>
      </border>
    </dxf>
    <dxf>
      <alignment horizontal="center" vertical="center" textRotation="0" wrapText="0" indent="0" justifyLastLine="0" shrinkToFit="0" readingOrder="0"/>
    </dxf>
    <dxf>
      <numFmt numFmtId="34" formatCode="_(&quot;$&quot;* #,##0.00_);_(&quot;$&quot;* \(#,##0.00\);_(&quot;$&quot;* &quot;-&quot;??_);_(@_)"/>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color rgb="FFFFC000"/>
      </font>
      <numFmt numFmtId="165" formatCode="_(&quot;$&quot;* #,##0_);_(&quot;$&quot;* \(#,##0\);_(&quot;$&quot;* &quot;-&quot;??_);_(@_)"/>
      <fill>
        <patternFill patternType="solid">
          <fgColor indexed="64"/>
          <bgColor theme="1"/>
        </patternFill>
      </fill>
      <alignment horizontal="center" vertical="center" textRotation="0" wrapText="0" indent="0" justifyLastLine="0" shrinkToFit="0" readingOrder="0"/>
      <border diagonalUp="0" diagonalDown="0">
        <left style="medium">
          <color theme="0"/>
        </left>
        <right style="medium">
          <color theme="0"/>
        </right>
        <top/>
        <bottom/>
        <vertical/>
        <horizontal/>
      </border>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numFmt numFmtId="34" formatCode="_(&quot;$&quot;* #,##0.00_);_(&quot;$&quot;* \(#,##0.00\);_(&quot;$&quot;*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color rgb="FFFFC000"/>
      </font>
      <numFmt numFmtId="165" formatCode="_(&quot;$&quot;* #,##0_);_(&quot;$&quot;* \(#,##0\);_(&quot;$&quot;* &quot;-&quot;??_);_(@_)"/>
      <fill>
        <patternFill patternType="solid">
          <fgColor indexed="64"/>
          <bgColor theme="1"/>
        </patternFill>
      </fill>
      <alignment horizontal="center" vertical="center" textRotation="0" wrapText="0" indent="0" justifyLastLine="0" shrinkToFit="0" readingOrder="0"/>
      <border diagonalUp="0" diagonalDown="0">
        <left style="medium">
          <color theme="0"/>
        </left>
        <right style="medium">
          <color theme="0"/>
        </right>
        <top/>
        <bottom/>
        <vertical/>
        <horizontal/>
      </border>
      <protection locked="0" hidden="0"/>
    </dxf>
    <dxf>
      <fill>
        <patternFill patternType="solid">
          <fgColor indexed="64"/>
          <bgColor theme="1"/>
        </patternFill>
      </fill>
      <alignment horizontal="center" vertical="center" textRotation="0" wrapText="0" indent="0" justifyLastLine="0" shrinkToFit="0" readingOrder="0"/>
      <border diagonalUp="0" diagonalDown="0">
        <left style="medium">
          <color theme="0"/>
        </left>
        <right style="medium">
          <color theme="0"/>
        </right>
        <top/>
        <bottom/>
        <vertical/>
        <horizontal/>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protection locked="0" hidden="0"/>
    </dxf>
    <dxf>
      <numFmt numFmtId="166" formatCode="dd\-mmm\-yy"/>
      <alignment horizontal="left" vertical="center" textRotation="0" wrapText="0" indent="0" justifyLastLine="0" shrinkToFit="0" readingOrder="0"/>
      <protection locked="0" hidden="0"/>
    </dxf>
    <dxf>
      <alignment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top" textRotation="0" wrapText="1" indent="0" justifyLastLine="0" shrinkToFit="0" readingOrder="0"/>
    </dxf>
    <dxf>
      <fill>
        <patternFill>
          <bgColor theme="0" tint="-0.24994659260841701"/>
        </patternFill>
      </fill>
    </dxf>
    <dxf>
      <fill>
        <patternFill>
          <bgColor theme="9" tint="0.59996337778862885"/>
        </patternFill>
      </fill>
    </dxf>
    <dxf>
      <fill>
        <patternFill>
          <bgColor theme="4" tint="0.59996337778862885"/>
        </patternFill>
      </fill>
    </dxf>
    <dxf>
      <fill>
        <patternFill>
          <bgColor rgb="FFFFCCFF"/>
        </patternFill>
      </fill>
    </dxf>
    <dxf>
      <fill>
        <patternFill>
          <bgColor rgb="FFFFCC66"/>
        </patternFill>
      </fill>
    </dxf>
    <dxf>
      <font>
        <strike/>
      </font>
    </dxf>
    <dxf>
      <fill>
        <patternFill>
          <bgColor theme="4"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4" tint="0.59996337778862885"/>
        </patternFill>
      </fill>
    </dxf>
    <dxf>
      <fill>
        <patternFill>
          <bgColor rgb="FFFFCCFF"/>
        </patternFill>
      </fill>
    </dxf>
    <dxf>
      <fill>
        <patternFill>
          <bgColor rgb="FFFFCC66"/>
        </patternFill>
      </fill>
    </dxf>
    <dxf>
      <font>
        <strike/>
      </font>
    </dxf>
    <dxf>
      <fill>
        <patternFill>
          <bgColor theme="4" tint="0.59996337778862885"/>
        </patternFill>
      </fill>
    </dxf>
    <dxf>
      <fill>
        <patternFill>
          <bgColor theme="9" tint="0.59996337778862885"/>
        </patternFill>
      </fill>
    </dxf>
    <dxf>
      <fill>
        <patternFill>
          <bgColor theme="0" tint="-0.24994659260841701"/>
        </patternFill>
      </fill>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rgb="FFFFC000"/>
        <name val="Aptos Narrow"/>
        <family val="2"/>
        <scheme val="minor"/>
      </font>
      <numFmt numFmtId="165" formatCode="_(&quot;$&quot;* #,##0_);_(&quot;$&quot;* \(#,##0\);_(&quot;$&quot;* &quot;-&quot;??_);_(@_)"/>
      <fill>
        <patternFill patternType="solid">
          <fgColor indexed="64"/>
          <bgColor theme="1"/>
        </patternFill>
      </fill>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0" formatCode="@"/>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rgb="FFFFC000"/>
        <name val="Aptos Narrow"/>
        <family val="2"/>
        <scheme val="minor"/>
      </font>
      <numFmt numFmtId="165" formatCode="_(&quot;$&quot;* #,##0_);_(&quot;$&quot;* \(#,##0\);_(&quot;$&quot;* &quot;-&quot;??_);_(@_)"/>
      <fill>
        <patternFill patternType="solid">
          <fgColor indexed="64"/>
          <bgColor theme="1"/>
        </patternFill>
      </fill>
      <border diagonalUp="0" diagonalDown="0">
        <left style="medium">
          <color theme="0"/>
        </left>
        <right style="medium">
          <color theme="0"/>
        </right>
        <top/>
        <bottom/>
        <vertical/>
        <horizontal/>
      </border>
    </dxf>
    <dxf>
      <fill>
        <patternFill patternType="solid">
          <fgColor indexed="64"/>
          <bgColor theme="1"/>
        </patternFill>
      </fill>
      <border diagonalUp="0" diagonalDown="0">
        <left style="medium">
          <color theme="0"/>
        </left>
        <right style="medium">
          <color theme="0"/>
        </right>
        <top/>
        <bottom/>
        <vertical/>
        <horizontal/>
      </border>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FFC000"/>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border diagonalUp="0" diagonalDown="0">
        <left style="medium">
          <color theme="0"/>
        </left>
        <right style="medium">
          <color theme="0"/>
        </right>
        <top/>
        <bottom/>
        <vertical/>
        <horizontal/>
      </border>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FFC000"/>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border diagonalUp="0" diagonalDown="0">
        <left style="medium">
          <color theme="0"/>
        </left>
        <right style="medium">
          <color theme="0"/>
        </right>
        <top/>
        <bottom/>
        <vertical/>
        <horizontal/>
      </border>
      <protection locked="0" hidden="0"/>
    </dxf>
    <dxf>
      <font>
        <sz val="9"/>
        <color rgb="FFFFC000"/>
      </font>
      <numFmt numFmtId="2" formatCode="0.00"/>
      <fill>
        <patternFill patternType="solid">
          <fgColor indexed="64"/>
          <bgColor theme="1"/>
        </patternFill>
      </fill>
      <alignment horizontal="center" vertical="center" textRotation="0" wrapText="0" indent="0" justifyLastLine="0" shrinkToFit="0" readingOrder="0"/>
      <border diagonalUp="0" diagonalDown="0">
        <left/>
        <right style="medium">
          <color theme="0"/>
        </right>
        <top/>
        <bottom/>
      </border>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font>
      <numFmt numFmtId="2" formatCode="0.00"/>
      <alignment horizontal="center" vertical="center" textRotation="0" wrapText="0" indent="0" justifyLastLine="0" shrinkToFit="0" readingOrder="0"/>
      <protection locked="0" hidden="0"/>
    </dxf>
    <dxf>
      <font>
        <sz val="9"/>
        <color rgb="FFFFC000"/>
      </font>
      <numFmt numFmtId="2" formatCode="0.00"/>
      <fill>
        <patternFill patternType="solid">
          <fgColor indexed="64"/>
          <bgColor theme="1"/>
        </patternFill>
      </fill>
      <alignment horizontal="center" vertical="center" textRotation="0" wrapText="0" indent="0" justifyLastLine="0" shrinkToFit="0" readingOrder="0"/>
      <border diagonalUp="0" diagonalDown="0" outline="0">
        <left style="medium">
          <color theme="0"/>
        </left>
        <right/>
        <top/>
        <bottom/>
      </border>
      <protection locked="0" hidden="0"/>
    </dxf>
    <dxf>
      <numFmt numFmtId="168" formatCode="_-[$$-409]* #,##0.00_ ;_-[$$-409]* \-#,##0.00\ ;_-[$$-409]* &quot;-&quot;??_ ;_-@_ "/>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strike val="0"/>
        <outline val="0"/>
        <shadow val="0"/>
        <u val="none"/>
        <vertAlign val="baseline"/>
        <sz val="11"/>
        <color auto="1"/>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top" textRotation="0" wrapText="1" indent="0" justifyLastLine="0" shrinkToFit="0" readingOrder="0"/>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0" tint="-0.24994659260841701"/>
        </patternFill>
      </fill>
    </dxf>
    <dxf>
      <fill>
        <patternFill>
          <bgColor theme="9" tint="0.59996337778862885"/>
        </patternFill>
      </fill>
    </dxf>
    <dxf>
      <fill>
        <patternFill>
          <bgColor theme="4" tint="0.59996337778862885"/>
        </patternFill>
      </fill>
    </dxf>
    <dxf>
      <fill>
        <patternFill>
          <bgColor rgb="FFFFCCFF"/>
        </patternFill>
      </fill>
    </dxf>
    <dxf>
      <fill>
        <patternFill>
          <bgColor rgb="FFFFCC66"/>
        </patternFill>
      </fill>
    </dxf>
    <dxf>
      <font>
        <strike/>
      </font>
    </dxf>
    <dxf>
      <fill>
        <patternFill>
          <bgColor theme="4" tint="0.59996337778862885"/>
        </patternFill>
      </fill>
    </dxf>
    <dxf>
      <fill>
        <patternFill>
          <bgColor theme="9" tint="0.59996337778862885"/>
        </patternFill>
      </fill>
    </dxf>
    <dxf>
      <fill>
        <patternFill>
          <bgColor theme="0" tint="-0.24994659260841701"/>
        </patternFill>
      </fill>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rgb="FFFFC000"/>
        <name val="Aptos Narrow"/>
        <family val="2"/>
        <scheme val="minor"/>
      </font>
      <numFmt numFmtId="165" formatCode="_(&quot;$&quot;* #,##0_);_(&quot;$&quot;* \(#,##0\);_(&quot;$&quot;* &quot;-&quot;??_);_(@_)"/>
      <fill>
        <patternFill patternType="solid">
          <fgColor indexed="64"/>
          <bgColor theme="1"/>
        </patternFill>
      </fill>
      <border diagonalUp="0" diagonalDown="0">
        <left style="medium">
          <color theme="0"/>
        </left>
        <right style="medium">
          <color theme="0"/>
        </right>
        <top/>
        <bottom/>
        <vertical/>
        <horizontal/>
      </border>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font>
        <b val="0"/>
        <i val="0"/>
        <strike val="0"/>
        <condense val="0"/>
        <extend val="0"/>
        <outline val="0"/>
        <shadow val="0"/>
        <u val="none"/>
        <vertAlign val="baseline"/>
        <sz val="11"/>
        <color theme="1"/>
        <name val="Aptos Narrow"/>
        <family val="2"/>
        <scheme val="minor"/>
      </font>
      <numFmt numFmtId="30" formatCode="@"/>
    </dxf>
    <dxf>
      <numFmt numFmtId="34" formatCode="_(&quot;$&quot;* #,##0.00_);_(&quot;$&quot;* \(#,##0.00\);_(&quot;$&quot;* &quot;-&quot;??_);_(@_)"/>
    </dxf>
    <dxf>
      <numFmt numFmtId="0" formatCode="General"/>
    </dxf>
    <dxf>
      <numFmt numFmtId="0" formatCode="General"/>
    </dxf>
    <dxf>
      <font>
        <b val="0"/>
        <i val="0"/>
        <strike val="0"/>
        <condense val="0"/>
        <extend val="0"/>
        <outline val="0"/>
        <shadow val="0"/>
        <u val="none"/>
        <vertAlign val="baseline"/>
        <sz val="11"/>
        <color rgb="FFFFC000"/>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border diagonalUp="0" diagonalDown="0" outline="0">
        <left style="medium">
          <color theme="0"/>
        </left>
        <right style="medium">
          <color theme="0"/>
        </right>
        <top/>
        <bottom/>
      </border>
      <protection locked="0" hidden="0"/>
    </dxf>
    <dxf>
      <font>
        <color rgb="FFFFC000"/>
      </font>
      <numFmt numFmtId="2" formatCode="0.00"/>
      <fill>
        <patternFill patternType="solid">
          <fgColor indexed="64"/>
          <bgColor theme="1"/>
        </patternFill>
      </fill>
      <alignment horizontal="center" vertical="center" textRotation="0" wrapText="0" indent="0" justifyLastLine="0" shrinkToFit="0" readingOrder="0"/>
      <border diagonalUp="0" diagonalDown="0" outline="0">
        <left style="medium">
          <color theme="0"/>
        </left>
        <right style="medium">
          <color theme="0"/>
        </right>
        <top/>
        <bottom/>
      </border>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ptos Narrow"/>
        <family val="2"/>
        <scheme val="minor"/>
      </font>
      <numFmt numFmtId="2" formatCode="0.00"/>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FFC000"/>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border diagonalUp="0" diagonalDown="0" outline="0">
        <left style="medium">
          <color theme="0"/>
        </left>
        <right style="medium">
          <color theme="0"/>
        </right>
        <top/>
        <bottom/>
      </border>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strike val="0"/>
        <outline val="0"/>
        <shadow val="0"/>
        <u val="none"/>
        <vertAlign val="baseline"/>
        <sz val="9"/>
        <color theme="1"/>
        <name val="Aptos Narrow"/>
        <family val="2"/>
        <scheme val="minor"/>
      </font>
      <numFmt numFmtId="2" formatCode="0.00"/>
      <fill>
        <patternFill patternType="solid">
          <fgColor indexed="64"/>
          <bgColor theme="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FFC000"/>
        <name val="Aptos Narrow"/>
        <family val="2"/>
        <scheme val="minor"/>
      </font>
      <numFmt numFmtId="2" formatCode="0.00"/>
      <fill>
        <patternFill patternType="solid">
          <fgColor indexed="64"/>
          <bgColor theme="1"/>
        </patternFill>
      </fill>
      <alignment horizontal="center" vertical="top" textRotation="255" wrapText="1" indent="0" justifyLastLine="0" shrinkToFit="0" readingOrder="0"/>
      <border diagonalUp="0" diagonalDown="0">
        <left style="medium">
          <color theme="0"/>
        </left>
        <right style="medium">
          <color theme="0"/>
        </right>
        <top/>
        <bottom/>
        <vertical/>
        <horizontal/>
      </border>
      <protection locked="0" hidden="0"/>
    </dxf>
    <dxf>
      <font>
        <sz val="9"/>
        <color rgb="FFFFC000"/>
      </font>
      <numFmt numFmtId="2" formatCode="0.00"/>
      <fill>
        <patternFill patternType="solid">
          <fgColor indexed="64"/>
          <bgColor theme="1"/>
        </patternFill>
      </fill>
      <alignment horizontal="center" vertical="top" textRotation="255" wrapText="1" indent="0" justifyLastLine="0" shrinkToFit="0" readingOrder="0"/>
      <border diagonalUp="0" diagonalDown="0">
        <left style="medium">
          <color theme="0"/>
        </left>
        <right style="medium">
          <color theme="0"/>
        </right>
        <top/>
        <bottom/>
        <vertical/>
        <horizontal/>
      </border>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font>
      <numFmt numFmtId="1" formatCode="0"/>
      <alignment horizontal="center" vertical="center" textRotation="0" wrapText="0" indent="0" justifyLastLine="0" shrinkToFit="0" readingOrder="0"/>
      <protection locked="0" hidden="0"/>
    </dxf>
    <dxf>
      <font>
        <sz val="9"/>
        <color rgb="FFFFC000"/>
      </font>
      <numFmt numFmtId="2" formatCode="0.00"/>
      <fill>
        <patternFill patternType="solid">
          <fgColor indexed="64"/>
          <bgColor theme="1"/>
        </patternFill>
      </fill>
      <alignment horizontal="center" vertical="top" textRotation="90" wrapText="1" indent="0" justifyLastLine="0" shrinkToFit="0" readingOrder="0"/>
      <border diagonalUp="0" diagonalDown="0">
        <left style="medium">
          <color theme="0"/>
        </left>
        <right style="medium">
          <color theme="0"/>
        </right>
        <top/>
        <bottom/>
        <vertical/>
        <horizontal/>
      </border>
      <protection locked="0" hidden="0"/>
    </dxf>
    <dxf>
      <numFmt numFmtId="0" formatCode="General"/>
      <protection locked="0" hidden="0"/>
    </dxf>
    <dxf>
      <numFmt numFmtId="0" formatCode="General"/>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166" formatCode="dd\-mmm\-yy"/>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color rgb="FF000000"/>
        <name val="Calibri"/>
        <family val="2"/>
        <scheme val="none"/>
      </font>
      <fill>
        <patternFill patternType="solid">
          <fgColor rgb="FFD9E1F2"/>
          <bgColor rgb="FFD9E1F2"/>
        </patternFill>
      </fill>
      <alignment horizontal="center" vertical="center" textRotation="0" wrapText="0" indent="0" justifyLastLine="0" shrinkToFit="0" readingOrder="0"/>
      <border diagonalUp="0" diagonalDown="0" outline="0">
        <left/>
        <right/>
        <top style="thin">
          <color rgb="FF8EA9DB"/>
        </top>
        <bottom style="thin">
          <color rgb="FF8EA9DB"/>
        </bottom>
      </border>
      <protection locked="0" hidden="0"/>
    </dxf>
    <dxf>
      <font>
        <strike val="0"/>
        <outline val="0"/>
        <shadow val="0"/>
        <u val="none"/>
        <vertAlign val="baseline"/>
        <sz val="11"/>
        <color rgb="FF000000"/>
        <name val="Calibri"/>
        <family val="2"/>
        <scheme val="none"/>
      </font>
      <numFmt numFmtId="0" formatCode="General"/>
      <fill>
        <patternFill patternType="solid">
          <fgColor rgb="FFD9E1F2"/>
          <bgColor rgb="FFD9E1F2"/>
        </patternFill>
      </fill>
      <alignment horizontal="center" vertical="center" textRotation="0" wrapText="0" indent="0" justifyLastLine="0" shrinkToFit="0" readingOrder="0"/>
      <border diagonalUp="0" diagonalDown="0" outline="0">
        <left/>
        <right/>
        <top style="thin">
          <color rgb="FF8EA9DB"/>
        </top>
        <bottom style="thin">
          <color rgb="FF8EA9DB"/>
        </bottom>
      </border>
      <protection locked="0" hidden="0"/>
    </dxf>
    <dxf>
      <font>
        <color rgb="FF000000"/>
        <name val="Calibri"/>
        <family val="2"/>
        <scheme val="none"/>
      </font>
      <fill>
        <patternFill patternType="solid">
          <fgColor rgb="FFD9E1F2"/>
          <bgColor rgb="FFD9E1F2"/>
        </patternFill>
      </fill>
      <alignment horizontal="center" vertical="center" textRotation="0" wrapText="0" indent="0" justifyLastLine="0" shrinkToFit="0" readingOrder="0"/>
      <border diagonalUp="0" diagonalDown="0" outline="0">
        <left/>
        <right/>
        <top style="thin">
          <color rgb="FF8EA9DB"/>
        </top>
        <bottom style="thin">
          <color rgb="FF8EA9DB"/>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color rgb="FF000000"/>
        <name val="Calibri"/>
        <family val="2"/>
        <scheme val="none"/>
      </font>
      <fill>
        <patternFill patternType="solid">
          <fgColor rgb="FF000000"/>
          <bgColor rgb="FF00B050"/>
        </patternFill>
      </fill>
      <alignment horizontal="center" vertical="center" textRotation="0" wrapText="0" indent="0" justifyLastLine="0" shrinkToFit="0" readingOrder="0"/>
      <border diagonalUp="0" diagonalDown="0" outline="0">
        <left/>
        <right/>
        <top style="thin">
          <color rgb="FF8EA9DB"/>
        </top>
        <bottom style="thin">
          <color rgb="FF8EA9DB"/>
        </bottom>
      </border>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top" textRotation="0" wrapText="1" indent="0" justifyLastLine="0" shrinkToFit="0" readingOrder="0"/>
    </dxf>
    <dxf>
      <fill>
        <patternFill>
          <bgColor theme="8" tint="0.59996337778862885"/>
        </patternFill>
      </fill>
    </dxf>
    <dxf>
      <fill>
        <patternFill>
          <bgColor theme="8" tint="0.79998168889431442"/>
        </patternFill>
      </fill>
    </dxf>
    <dxf>
      <fill>
        <patternFill>
          <bgColor theme="0" tint="-0.24994659260841701"/>
        </patternFill>
      </fill>
    </dxf>
    <dxf>
      <fill>
        <patternFill>
          <bgColor theme="9" tint="0.59996337778862885"/>
        </patternFill>
      </fill>
    </dxf>
    <dxf>
      <fill>
        <patternFill>
          <bgColor theme="4" tint="0.59996337778862885"/>
        </patternFill>
      </fill>
    </dxf>
    <dxf>
      <fill>
        <patternFill>
          <bgColor rgb="FFFFCCFF"/>
        </patternFill>
      </fill>
    </dxf>
    <dxf>
      <fill>
        <patternFill>
          <bgColor rgb="FFFFCC66"/>
        </patternFill>
      </fill>
    </dxf>
    <dxf>
      <font>
        <strike/>
      </font>
    </dxf>
    <dxf>
      <fill>
        <patternFill>
          <bgColor theme="4" tint="0.59996337778862885"/>
        </patternFill>
      </fill>
    </dxf>
    <dxf>
      <fill>
        <patternFill>
          <bgColor theme="9" tint="0.59996337778862885"/>
        </patternFill>
      </fill>
    </dxf>
    <dxf>
      <fill>
        <patternFill>
          <bgColor theme="0" tint="-0.24994659260841701"/>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9" tint="0.79998168889431442"/>
        </patternFill>
      </fill>
    </dxf>
    <dxf>
      <fill>
        <patternFill>
          <bgColor theme="9" tint="0.79998168889431442"/>
        </patternFill>
      </fill>
    </dxf>
    <dxf>
      <fill>
        <patternFill>
          <bgColor rgb="FFFFFFCC"/>
        </patternFill>
      </fill>
    </dxf>
    <dxf>
      <fill>
        <patternFill>
          <bgColor rgb="FFFFFFCC"/>
        </patternFill>
      </fill>
    </dxf>
    <dxf>
      <fill>
        <patternFill>
          <bgColor rgb="FFFFFFCC"/>
        </patternFill>
      </fill>
    </dxf>
    <dxf>
      <fill>
        <patternFill>
          <bgColor rgb="FFFFFFCC"/>
        </patternFill>
      </fill>
    </dxf>
    <dxf>
      <font>
        <b/>
        <i val="0"/>
        <color theme="0"/>
      </font>
      <fill>
        <patternFill>
          <bgColor theme="3" tint="0.24994659260841701"/>
        </patternFill>
      </fill>
    </dxf>
    <dxf>
      <fill>
        <patternFill>
          <bgColor theme="3" tint="0.89996032593768116"/>
        </patternFill>
      </fill>
      <border>
        <left style="thin">
          <color auto="1"/>
        </left>
        <right style="thin">
          <color auto="1"/>
        </right>
        <top style="thin">
          <color auto="1"/>
        </top>
        <bottom style="thin">
          <color auto="1"/>
        </bottom>
        <vertical style="thin">
          <color auto="1"/>
        </vertical>
        <horizontal style="thin">
          <color auto="1"/>
        </horizontal>
      </border>
    </dxf>
    <dxf>
      <font>
        <b/>
        <i val="0"/>
        <color theme="0"/>
      </font>
      <fill>
        <patternFill>
          <bgColor theme="9" tint="-0.499984740745262"/>
        </patternFill>
      </fill>
    </dxf>
    <dxf>
      <fill>
        <patternFill>
          <bgColor theme="9"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b/>
        <i val="0"/>
        <color theme="0"/>
      </font>
      <fill>
        <patternFill>
          <bgColor theme="3" tint="0.24994659260841701"/>
        </patternFill>
      </fill>
    </dxf>
    <dxf>
      <border>
        <left style="thin">
          <color auto="1"/>
        </left>
        <right style="thin">
          <color auto="1"/>
        </right>
        <top style="thin">
          <color auto="1"/>
        </top>
        <bottom style="thin">
          <color auto="1"/>
        </bottom>
      </border>
    </dxf>
    <dxf>
      <font>
        <b/>
        <i val="0"/>
        <color theme="0"/>
      </font>
      <fill>
        <patternFill>
          <bgColor theme="9" tint="-0.24994659260841701"/>
        </patternFill>
      </fill>
    </dxf>
    <dxf>
      <border>
        <left style="thin">
          <color auto="1"/>
        </left>
        <right style="thin">
          <color auto="1"/>
        </right>
        <top style="thin">
          <color auto="1"/>
        </top>
        <bottom style="thin">
          <color auto="1"/>
        </bottom>
      </border>
    </dxf>
    <dxf>
      <font>
        <b/>
        <i val="0"/>
        <color theme="0" tint="-0.14996795556505021"/>
      </font>
      <fill>
        <patternFill>
          <bgColor theme="1"/>
        </patternFill>
      </fill>
    </dxf>
    <dxf>
      <fill>
        <patternFill>
          <bgColor theme="2"/>
        </patternFill>
      </fill>
    </dxf>
    <dxf>
      <font>
        <b/>
        <i val="0"/>
        <color theme="0"/>
      </font>
      <fill>
        <patternFill>
          <bgColor theme="4"/>
        </patternFill>
      </fill>
      <border>
        <left style="thin">
          <color auto="1"/>
        </left>
        <right style="thin">
          <color auto="1"/>
        </right>
        <top style="thin">
          <color auto="1"/>
        </top>
        <bottom style="thin">
          <color auto="1"/>
        </bottom>
      </border>
    </dxf>
    <dxf>
      <fill>
        <patternFill>
          <bgColor rgb="FFFFFFCC"/>
        </patternFill>
      </fill>
      <border>
        <left style="thin">
          <color auto="1"/>
        </left>
        <right style="thin">
          <color auto="1"/>
        </right>
        <top style="thin">
          <color auto="1"/>
        </top>
        <bottom style="thin">
          <color auto="1"/>
        </bottom>
        <vertical style="thin">
          <color auto="1"/>
        </vertical>
        <horizontal style="thin">
          <color auto="1"/>
        </horizontal>
      </border>
    </dxf>
  </dxfs>
  <tableStyles count="6" defaultTableStyle="TableStyleMedium2" defaultPivotStyle="PivotStyleLight16">
    <tableStyle name="Input table" pivot="0" count="2" xr9:uid="{B0F9C0F5-E3C1-4F5D-9270-5FF72B6EFA5A}">
      <tableStyleElement type="wholeTable" dxfId="495"/>
      <tableStyleElement type="headerRow" dxfId="494"/>
    </tableStyle>
    <tableStyle name="Slicer Style 1" pivot="0" table="0" count="3" xr9:uid="{2447E1BA-0E62-44AF-8EB0-731D112DCDDD}">
      <tableStyleElement type="wholeTable" dxfId="493"/>
      <tableStyleElement type="headerRow" dxfId="492"/>
    </tableStyle>
    <tableStyle name="Slicer Style 2" pivot="0" table="0" count="3" xr9:uid="{964B8582-24E9-4585-9394-C5CA99B8B52A}">
      <tableStyleElement type="wholeTable" dxfId="491"/>
      <tableStyleElement type="headerRow" dxfId="490"/>
    </tableStyle>
    <tableStyle name="Slicer Style 3" pivot="0" table="0" count="3" xr9:uid="{74226391-A1EF-469B-8CDF-DFD32B522856}">
      <tableStyleElement type="wholeTable" dxfId="489"/>
      <tableStyleElement type="headerRow" dxfId="488"/>
    </tableStyle>
    <tableStyle name="Table Style 1" pivot="0" count="2" xr9:uid="{FF1D62FE-0014-473A-A49D-B395254B55A2}">
      <tableStyleElement type="wholeTable" dxfId="487"/>
      <tableStyleElement type="headerRow" dxfId="486"/>
    </tableStyle>
    <tableStyle name="Table Style 2" pivot="0" count="2" xr9:uid="{7434D8B8-0B1F-43D5-B296-9327782373A7}">
      <tableStyleElement type="wholeTable" dxfId="485"/>
      <tableStyleElement type="headerRow" dxfId="484"/>
    </tableStyle>
  </tableStyles>
  <colors>
    <mruColors>
      <color rgb="FFFF3399"/>
      <color rgb="FFFFFFCC"/>
      <color rgb="FFCCCC00"/>
      <color rgb="FFCCFFCC"/>
      <color rgb="FFCCFF99"/>
    </mruColors>
  </colors>
  <extLst>
    <ext xmlns:x14="http://schemas.microsoft.com/office/spreadsheetml/2009/9/main" uri="{46F421CA-312F-682f-3DD2-61675219B42D}">
      <x14:dxfs count="3">
        <dxf>
          <fill>
            <patternFill>
              <bgColor theme="3" tint="0.89996032593768116"/>
            </patternFill>
          </fill>
        </dxf>
        <dxf>
          <fill>
            <patternFill>
              <bgColor theme="9" tint="0.79998168889431442"/>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9.xml"/><Relationship Id="rId23" Type="http://schemas.openxmlformats.org/officeDocument/2006/relationships/customXml" Target="../customXml/item3.xml"/><Relationship Id="rId10" Type="http://schemas.microsoft.com/office/2007/relationships/slicerCache" Target="slicerCaches/slicerCache4.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2</xdr:col>
      <xdr:colOff>1581150</xdr:colOff>
      <xdr:row>30</xdr:row>
      <xdr:rowOff>0</xdr:rowOff>
    </xdr:to>
    <xdr:pic>
      <xdr:nvPicPr>
        <xdr:cNvPr id="4" name="Picture 3">
          <a:extLst>
            <a:ext uri="{FF2B5EF4-FFF2-40B4-BE49-F238E27FC236}">
              <a16:creationId xmlns:a16="http://schemas.microsoft.com/office/drawing/2014/main" id="{64BE6347-4670-8E1E-0DD5-59D33C05E59A}"/>
            </a:ext>
            <a:ext uri="{147F2762-F138-4A5C-976F-8EAC2B608ADB}">
              <a16:predDERef xmlns:a16="http://schemas.microsoft.com/office/drawing/2014/main" pred="{27962476-894A-22BC-B792-CDFAF6A0D43E}"/>
            </a:ext>
          </a:extLst>
        </xdr:cNvPr>
        <xdr:cNvPicPr>
          <a:picLocks noChangeAspect="1"/>
        </xdr:cNvPicPr>
      </xdr:nvPicPr>
      <xdr:blipFill>
        <a:blip xmlns:r="http://schemas.openxmlformats.org/officeDocument/2006/relationships" r:embed="rId1"/>
        <a:stretch>
          <a:fillRect/>
        </a:stretch>
      </xdr:blipFill>
      <xdr:spPr>
        <a:xfrm>
          <a:off x="0" y="4848225"/>
          <a:ext cx="7981950" cy="3238500"/>
        </a:xfrm>
        <a:prstGeom prst="rect">
          <a:avLst/>
        </a:prstGeom>
      </xdr:spPr>
    </xdr:pic>
    <xdr:clientData/>
  </xdr:twoCellAnchor>
  <xdr:twoCellAnchor editAs="oneCell">
    <xdr:from>
      <xdr:col>0</xdr:col>
      <xdr:colOff>1266825</xdr:colOff>
      <xdr:row>30</xdr:row>
      <xdr:rowOff>123825</xdr:rowOff>
    </xdr:from>
    <xdr:to>
      <xdr:col>2</xdr:col>
      <xdr:colOff>114300</xdr:colOff>
      <xdr:row>63</xdr:row>
      <xdr:rowOff>133350</xdr:rowOff>
    </xdr:to>
    <xdr:pic>
      <xdr:nvPicPr>
        <xdr:cNvPr id="5" name="Picture 4">
          <a:extLst>
            <a:ext uri="{FF2B5EF4-FFF2-40B4-BE49-F238E27FC236}">
              <a16:creationId xmlns:a16="http://schemas.microsoft.com/office/drawing/2014/main" id="{D6ABCA72-AD14-7CCC-3437-B0E5FA4B6C73}"/>
            </a:ext>
            <a:ext uri="{147F2762-F138-4A5C-976F-8EAC2B608ADB}">
              <a16:predDERef xmlns:a16="http://schemas.microsoft.com/office/drawing/2014/main" pred="{64BE6347-4670-8E1E-0DD5-59D33C05E59A}"/>
            </a:ext>
          </a:extLst>
        </xdr:cNvPr>
        <xdr:cNvPicPr>
          <a:picLocks noChangeAspect="1"/>
        </xdr:cNvPicPr>
      </xdr:nvPicPr>
      <xdr:blipFill>
        <a:blip xmlns:r="http://schemas.openxmlformats.org/officeDocument/2006/relationships" r:embed="rId2"/>
        <a:stretch>
          <a:fillRect/>
        </a:stretch>
      </xdr:blipFill>
      <xdr:spPr>
        <a:xfrm>
          <a:off x="1266825" y="8210550"/>
          <a:ext cx="5248275" cy="6296025"/>
        </a:xfrm>
        <a:prstGeom prst="rect">
          <a:avLst/>
        </a:prstGeom>
      </xdr:spPr>
    </xdr:pic>
    <xdr:clientData/>
  </xdr:twoCellAnchor>
  <xdr:twoCellAnchor editAs="oneCell">
    <xdr:from>
      <xdr:col>0</xdr:col>
      <xdr:colOff>1600200</xdr:colOff>
      <xdr:row>0</xdr:row>
      <xdr:rowOff>0</xdr:rowOff>
    </xdr:from>
    <xdr:to>
      <xdr:col>0</xdr:col>
      <xdr:colOff>1600200</xdr:colOff>
      <xdr:row>0</xdr:row>
      <xdr:rowOff>0</xdr:rowOff>
    </xdr:to>
    <xdr:pic>
      <xdr:nvPicPr>
        <xdr:cNvPr id="10" name="Picture 5">
          <a:extLst>
            <a:ext uri="{FF2B5EF4-FFF2-40B4-BE49-F238E27FC236}">
              <a16:creationId xmlns:a16="http://schemas.microsoft.com/office/drawing/2014/main" id="{37BD5658-EC19-E1A4-B607-B3657055F2EB}"/>
            </a:ext>
            <a:ext uri="{147F2762-F138-4A5C-976F-8EAC2B608ADB}">
              <a16:predDERef xmlns:a16="http://schemas.microsoft.com/office/drawing/2014/main" pred="{D6ABCA72-AD14-7CCC-3437-B0E5FA4B6C73}"/>
            </a:ext>
          </a:extLst>
        </xdr:cNvPr>
        <xdr:cNvPicPr>
          <a:picLocks noChangeAspect="1"/>
        </xdr:cNvPicPr>
      </xdr:nvPicPr>
      <xdr:blipFill>
        <a:blip xmlns:r="http://schemas.openxmlformats.org/officeDocument/2006/relationships" r:embed="rId3"/>
        <a:stretch>
          <a:fillRect/>
        </a:stretch>
      </xdr:blipFill>
      <xdr:spPr>
        <a:xfrm>
          <a:off x="1600200" y="0"/>
          <a:ext cx="0" cy="0"/>
        </a:xfrm>
        <a:prstGeom prst="rect">
          <a:avLst/>
        </a:prstGeom>
      </xdr:spPr>
    </xdr:pic>
    <xdr:clientData/>
  </xdr:twoCellAnchor>
  <xdr:twoCellAnchor editAs="oneCell">
    <xdr:from>
      <xdr:col>3</xdr:col>
      <xdr:colOff>933450</xdr:colOff>
      <xdr:row>9</xdr:row>
      <xdr:rowOff>19050</xdr:rowOff>
    </xdr:from>
    <xdr:to>
      <xdr:col>11</xdr:col>
      <xdr:colOff>266700</xdr:colOff>
      <xdr:row>43</xdr:row>
      <xdr:rowOff>155575</xdr:rowOff>
    </xdr:to>
    <xdr:pic>
      <xdr:nvPicPr>
        <xdr:cNvPr id="16" name="Picture 7">
          <a:extLst>
            <a:ext uri="{FF2B5EF4-FFF2-40B4-BE49-F238E27FC236}">
              <a16:creationId xmlns:a16="http://schemas.microsoft.com/office/drawing/2014/main" id="{1C469068-1E66-0B70-6CB5-116D7545255B}"/>
            </a:ext>
            <a:ext uri="{147F2762-F138-4A5C-976F-8EAC2B608ADB}">
              <a16:predDERef xmlns:a16="http://schemas.microsoft.com/office/drawing/2014/main" pred="{37BD5658-EC19-E1A4-B607-B3657055F2EB}"/>
            </a:ext>
          </a:extLst>
        </xdr:cNvPr>
        <xdr:cNvPicPr>
          <a:picLocks noChangeAspect="1"/>
        </xdr:cNvPicPr>
      </xdr:nvPicPr>
      <xdr:blipFill>
        <a:blip xmlns:r="http://schemas.openxmlformats.org/officeDocument/2006/relationships" r:embed="rId4"/>
        <a:stretch>
          <a:fillRect/>
        </a:stretch>
      </xdr:blipFill>
      <xdr:spPr>
        <a:xfrm>
          <a:off x="9286875" y="3371850"/>
          <a:ext cx="11353800" cy="7134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66675</xdr:colOff>
      <xdr:row>0</xdr:row>
      <xdr:rowOff>66675</xdr:rowOff>
    </xdr:from>
    <xdr:to>
      <xdr:col>2</xdr:col>
      <xdr:colOff>114300</xdr:colOff>
      <xdr:row>4</xdr:row>
      <xdr:rowOff>57150</xdr:rowOff>
    </xdr:to>
    <mc:AlternateContent xmlns:mc="http://schemas.openxmlformats.org/markup-compatibility/2006" xmlns:a15="http://schemas.microsoft.com/office/drawing/2012/main">
      <mc:Choice Requires="a15">
        <xdr:graphicFrame macro="">
          <xdr:nvGraphicFramePr>
            <xdr:cNvPr id="2" name="Workstream 3">
              <a:extLst>
                <a:ext uri="{FF2B5EF4-FFF2-40B4-BE49-F238E27FC236}">
                  <a16:creationId xmlns:a16="http://schemas.microsoft.com/office/drawing/2014/main" id="{074B649E-0E24-9121-35A7-F42DDD110DF1}"/>
                </a:ext>
              </a:extLst>
            </xdr:cNvPr>
            <xdr:cNvGraphicFramePr/>
          </xdr:nvGraphicFramePr>
          <xdr:xfrm>
            <a:off x="0" y="0"/>
            <a:ext cx="0" cy="0"/>
          </xdr:xfrm>
          <a:graphic>
            <a:graphicData uri="http://schemas.microsoft.com/office/drawing/2010/slicer">
              <sle:slicer xmlns:sle="http://schemas.microsoft.com/office/drawing/2010/slicer" name="Workstream 3"/>
            </a:graphicData>
          </a:graphic>
        </xdr:graphicFrame>
      </mc:Choice>
      <mc:Fallback xmlns="">
        <xdr:sp macro="" textlink="">
          <xdr:nvSpPr>
            <xdr:cNvPr id="0" name=""/>
            <xdr:cNvSpPr>
              <a:spLocks noTextEdit="1"/>
            </xdr:cNvSpPr>
          </xdr:nvSpPr>
          <xdr:spPr>
            <a:xfrm>
              <a:off x="66675" y="66675"/>
              <a:ext cx="2247900" cy="12096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absolute">
    <xdr:from>
      <xdr:col>2</xdr:col>
      <xdr:colOff>304800</xdr:colOff>
      <xdr:row>0</xdr:row>
      <xdr:rowOff>47625</xdr:rowOff>
    </xdr:from>
    <xdr:to>
      <xdr:col>3</xdr:col>
      <xdr:colOff>1562100</xdr:colOff>
      <xdr:row>4</xdr:row>
      <xdr:rowOff>47625</xdr:rowOff>
    </xdr:to>
    <mc:AlternateContent xmlns:mc="http://schemas.openxmlformats.org/markup-compatibility/2006" xmlns:a15="http://schemas.microsoft.com/office/drawing/2012/main">
      <mc:Choice Requires="a15">
        <xdr:graphicFrame macro="">
          <xdr:nvGraphicFramePr>
            <xdr:cNvPr id="3" name="Resource Provider 1">
              <a:extLst>
                <a:ext uri="{FF2B5EF4-FFF2-40B4-BE49-F238E27FC236}">
                  <a16:creationId xmlns:a16="http://schemas.microsoft.com/office/drawing/2014/main" id="{273858B5-689C-F0DB-5C97-1B2EC056A686}"/>
                </a:ext>
                <a:ext uri="{147F2762-F138-4A5C-976F-8EAC2B608ADB}">
                  <a16:predDERef xmlns:a16="http://schemas.microsoft.com/office/drawing/2014/main" pred="{074B649E-0E24-9121-35A7-F42DDD110DF1}"/>
                </a:ext>
              </a:extLst>
            </xdr:cNvPr>
            <xdr:cNvGraphicFramePr/>
          </xdr:nvGraphicFramePr>
          <xdr:xfrm>
            <a:off x="0" y="0"/>
            <a:ext cx="0" cy="0"/>
          </xdr:xfrm>
          <a:graphic>
            <a:graphicData uri="http://schemas.microsoft.com/office/drawing/2010/slicer">
              <sle:slicer xmlns:sle="http://schemas.microsoft.com/office/drawing/2010/slicer" name="Resource Provider 1"/>
            </a:graphicData>
          </a:graphic>
        </xdr:graphicFrame>
      </mc:Choice>
      <mc:Fallback xmlns="">
        <xdr:sp macro="" textlink="">
          <xdr:nvSpPr>
            <xdr:cNvPr id="0" name=""/>
            <xdr:cNvSpPr>
              <a:spLocks noTextEdit="1"/>
            </xdr:cNvSpPr>
          </xdr:nvSpPr>
          <xdr:spPr>
            <a:xfrm>
              <a:off x="2505075" y="47625"/>
              <a:ext cx="2305050" cy="12192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absolute">
    <xdr:from>
      <xdr:col>4</xdr:col>
      <xdr:colOff>57150</xdr:colOff>
      <xdr:row>0</xdr:row>
      <xdr:rowOff>47625</xdr:rowOff>
    </xdr:from>
    <xdr:to>
      <xdr:col>5</xdr:col>
      <xdr:colOff>1133475</xdr:colOff>
      <xdr:row>4</xdr:row>
      <xdr:rowOff>123825</xdr:rowOff>
    </xdr:to>
    <mc:AlternateContent xmlns:mc="http://schemas.openxmlformats.org/markup-compatibility/2006" xmlns:a15="http://schemas.microsoft.com/office/drawing/2012/main">
      <mc:Choice Requires="a15">
        <xdr:graphicFrame macro="">
          <xdr:nvGraphicFramePr>
            <xdr:cNvPr id="4" name="Status 2">
              <a:extLst>
                <a:ext uri="{FF2B5EF4-FFF2-40B4-BE49-F238E27FC236}">
                  <a16:creationId xmlns:a16="http://schemas.microsoft.com/office/drawing/2014/main" id="{117827B1-FAC5-77E8-3B34-1CB565C82E5B}"/>
                </a:ext>
                <a:ext uri="{147F2762-F138-4A5C-976F-8EAC2B608ADB}">
                  <a16:predDERef xmlns:a16="http://schemas.microsoft.com/office/drawing/2014/main" pred="{273858B5-689C-F0DB-5C97-1B2EC056A686}"/>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5305425" y="47625"/>
              <a:ext cx="2105025" cy="12954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19050</xdr:colOff>
      <xdr:row>0</xdr:row>
      <xdr:rowOff>0</xdr:rowOff>
    </xdr:from>
    <xdr:to>
      <xdr:col>3</xdr:col>
      <xdr:colOff>1238250</xdr:colOff>
      <xdr:row>5</xdr:row>
      <xdr:rowOff>28575</xdr:rowOff>
    </xdr:to>
    <mc:AlternateContent xmlns:mc="http://schemas.openxmlformats.org/markup-compatibility/2006" xmlns:a15="http://schemas.microsoft.com/office/drawing/2012/main">
      <mc:Choice Requires="a15">
        <xdr:graphicFrame macro="">
          <xdr:nvGraphicFramePr>
            <xdr:cNvPr id="5" name="Workstream">
              <a:extLst>
                <a:ext uri="{FF2B5EF4-FFF2-40B4-BE49-F238E27FC236}">
                  <a16:creationId xmlns:a16="http://schemas.microsoft.com/office/drawing/2014/main" id="{F80B07E3-CDF4-D973-723A-B89609C56E88}"/>
                </a:ext>
              </a:extLst>
            </xdr:cNvPr>
            <xdr:cNvGraphicFramePr/>
          </xdr:nvGraphicFramePr>
          <xdr:xfrm>
            <a:off x="0" y="0"/>
            <a:ext cx="0" cy="0"/>
          </xdr:xfrm>
          <a:graphic>
            <a:graphicData uri="http://schemas.microsoft.com/office/drawing/2010/slicer">
              <sle:slicer xmlns:sle="http://schemas.microsoft.com/office/drawing/2010/slicer" name="Workstream"/>
            </a:graphicData>
          </a:graphic>
        </xdr:graphicFrame>
      </mc:Choice>
      <mc:Fallback xmlns="">
        <xdr:sp macro="" textlink="">
          <xdr:nvSpPr>
            <xdr:cNvPr id="0" name=""/>
            <xdr:cNvSpPr>
              <a:spLocks noTextEdit="1"/>
            </xdr:cNvSpPr>
          </xdr:nvSpPr>
          <xdr:spPr>
            <a:xfrm>
              <a:off x="19050" y="0"/>
              <a:ext cx="4467225" cy="14287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absolute">
    <xdr:from>
      <xdr:col>3</xdr:col>
      <xdr:colOff>1381125</xdr:colOff>
      <xdr:row>0</xdr:row>
      <xdr:rowOff>38100</xdr:rowOff>
    </xdr:from>
    <xdr:to>
      <xdr:col>8</xdr:col>
      <xdr:colOff>1321733</xdr:colOff>
      <xdr:row>3</xdr:row>
      <xdr:rowOff>171450</xdr:rowOff>
    </xdr:to>
    <mc:AlternateContent xmlns:mc="http://schemas.openxmlformats.org/markup-compatibility/2006" xmlns:a15="http://schemas.microsoft.com/office/drawing/2012/main">
      <mc:Choice Requires="a15">
        <xdr:graphicFrame macro="">
          <xdr:nvGraphicFramePr>
            <xdr:cNvPr id="6" name="Resource Provider">
              <a:extLst>
                <a:ext uri="{FF2B5EF4-FFF2-40B4-BE49-F238E27FC236}">
                  <a16:creationId xmlns:a16="http://schemas.microsoft.com/office/drawing/2014/main" id="{F1DCD36E-D9D9-32B1-0C12-F46061268484}"/>
                </a:ext>
                <a:ext uri="{147F2762-F138-4A5C-976F-8EAC2B608ADB}">
                  <a16:predDERef xmlns:a16="http://schemas.microsoft.com/office/drawing/2014/main" pred="{F80B07E3-CDF4-D973-723A-B89609C56E88}"/>
                </a:ext>
              </a:extLst>
            </xdr:cNvPr>
            <xdr:cNvGraphicFramePr/>
          </xdr:nvGraphicFramePr>
          <xdr:xfrm>
            <a:off x="0" y="0"/>
            <a:ext cx="0" cy="0"/>
          </xdr:xfrm>
          <a:graphic>
            <a:graphicData uri="http://schemas.microsoft.com/office/drawing/2010/slicer">
              <sle:slicer xmlns:sle="http://schemas.microsoft.com/office/drawing/2010/slicer" name="Resource Provider"/>
            </a:graphicData>
          </a:graphic>
        </xdr:graphicFrame>
      </mc:Choice>
      <mc:Fallback xmlns="">
        <xdr:sp macro="" textlink="">
          <xdr:nvSpPr>
            <xdr:cNvPr id="0" name=""/>
            <xdr:cNvSpPr>
              <a:spLocks noTextEdit="1"/>
            </xdr:cNvSpPr>
          </xdr:nvSpPr>
          <xdr:spPr>
            <a:xfrm>
              <a:off x="4629150" y="38100"/>
              <a:ext cx="5476875" cy="11715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absolute">
    <xdr:from>
      <xdr:col>8</xdr:col>
      <xdr:colOff>1550333</xdr:colOff>
      <xdr:row>0</xdr:row>
      <xdr:rowOff>152400</xdr:rowOff>
    </xdr:from>
    <xdr:to>
      <xdr:col>9</xdr:col>
      <xdr:colOff>1953559</xdr:colOff>
      <xdr:row>3</xdr:row>
      <xdr:rowOff>161925</xdr:rowOff>
    </xdr:to>
    <mc:AlternateContent xmlns:mc="http://schemas.openxmlformats.org/markup-compatibility/2006" xmlns:a15="http://schemas.microsoft.com/office/drawing/2012/main">
      <mc:Choice Requires="a15">
        <xdr:graphicFrame macro="">
          <xdr:nvGraphicFramePr>
            <xdr:cNvPr id="7" name="Status">
              <a:extLst>
                <a:ext uri="{FF2B5EF4-FFF2-40B4-BE49-F238E27FC236}">
                  <a16:creationId xmlns:a16="http://schemas.microsoft.com/office/drawing/2014/main" id="{E493802A-0BC3-FA1C-BA9B-742FFBFADE9B}"/>
                </a:ext>
                <a:ext uri="{147F2762-F138-4A5C-976F-8EAC2B608ADB}">
                  <a16:predDERef xmlns:a16="http://schemas.microsoft.com/office/drawing/2014/main" pred="{F1DCD36E-D9D9-32B1-0C12-F4606126848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334625" y="152400"/>
              <a:ext cx="3381375" cy="10477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112568</xdr:colOff>
      <xdr:row>0</xdr:row>
      <xdr:rowOff>45039</xdr:rowOff>
    </xdr:from>
    <xdr:to>
      <xdr:col>2</xdr:col>
      <xdr:colOff>792634</xdr:colOff>
      <xdr:row>3</xdr:row>
      <xdr:rowOff>357266</xdr:rowOff>
    </xdr:to>
    <mc:AlternateContent xmlns:mc="http://schemas.openxmlformats.org/markup-compatibility/2006" xmlns:sle15="http://schemas.microsoft.com/office/drawing/2012/slicer">
      <mc:Choice Requires="sle15">
        <xdr:graphicFrame macro="">
          <xdr:nvGraphicFramePr>
            <xdr:cNvPr id="2" name="Workstream 2">
              <a:extLst>
                <a:ext uri="{FF2B5EF4-FFF2-40B4-BE49-F238E27FC236}">
                  <a16:creationId xmlns:a16="http://schemas.microsoft.com/office/drawing/2014/main" id="{C829972F-D4C2-46CB-9356-96D0C5C39B8E}"/>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Workstream 2"/>
            </a:graphicData>
          </a:graphic>
        </xdr:graphicFrame>
      </mc:Choice>
      <mc:Fallback xmlns="">
        <xdr:sp macro="" textlink="">
          <xdr:nvSpPr>
            <xdr:cNvPr id="0" name=""/>
            <xdr:cNvSpPr>
              <a:spLocks noTextEdit="1"/>
            </xdr:cNvSpPr>
          </xdr:nvSpPr>
          <xdr:spPr>
            <a:xfrm>
              <a:off x="112568" y="48214"/>
              <a:ext cx="4537513" cy="132138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1001480</xdr:colOff>
      <xdr:row>0</xdr:row>
      <xdr:rowOff>83609</xdr:rowOff>
    </xdr:from>
    <xdr:to>
      <xdr:col>3</xdr:col>
      <xdr:colOff>1043042</xdr:colOff>
      <xdr:row>3</xdr:row>
      <xdr:rowOff>389828</xdr:rowOff>
    </xdr:to>
    <mc:AlternateContent xmlns:mc="http://schemas.openxmlformats.org/markup-compatibility/2006" xmlns:sle15="http://schemas.microsoft.com/office/drawing/2012/slicer">
      <mc:Choice Requires="sle15">
        <xdr:graphicFrame macro="">
          <xdr:nvGraphicFramePr>
            <xdr:cNvPr id="3" name="Resource provider 3">
              <a:extLst>
                <a:ext uri="{FF2B5EF4-FFF2-40B4-BE49-F238E27FC236}">
                  <a16:creationId xmlns:a16="http://schemas.microsoft.com/office/drawing/2014/main" id="{10CB51D8-624F-4E7C-9216-B4C47BF5385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ource provider 3"/>
            </a:graphicData>
          </a:graphic>
        </xdr:graphicFrame>
      </mc:Choice>
      <mc:Fallback xmlns="">
        <xdr:sp macro="" textlink="">
          <xdr:nvSpPr>
            <xdr:cNvPr id="0" name=""/>
            <xdr:cNvSpPr>
              <a:spLocks noTextEdit="1"/>
            </xdr:cNvSpPr>
          </xdr:nvSpPr>
          <xdr:spPr>
            <a:xfrm>
              <a:off x="4858927" y="86784"/>
              <a:ext cx="3281773" cy="1325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1194043</xdr:colOff>
      <xdr:row>0</xdr:row>
      <xdr:rowOff>25889</xdr:rowOff>
    </xdr:from>
    <xdr:to>
      <xdr:col>4</xdr:col>
      <xdr:colOff>720969</xdr:colOff>
      <xdr:row>9</xdr:row>
      <xdr:rowOff>161925</xdr:rowOff>
    </xdr:to>
    <mc:AlternateContent xmlns:mc="http://schemas.openxmlformats.org/markup-compatibility/2006" xmlns:sle15="http://schemas.microsoft.com/office/drawing/2012/slicer">
      <mc:Choice Requires="sle15">
        <xdr:graphicFrame macro="">
          <xdr:nvGraphicFramePr>
            <xdr:cNvPr id="4" name="Cost type">
              <a:extLst>
                <a:ext uri="{FF2B5EF4-FFF2-40B4-BE49-F238E27FC236}">
                  <a16:creationId xmlns:a16="http://schemas.microsoft.com/office/drawing/2014/main" id="{87D46915-C1A9-7337-654E-DB8E001872A6}"/>
                </a:ext>
                <a:ext uri="{147F2762-F138-4A5C-976F-8EAC2B608ADB}">
                  <a16:predDERef xmlns:a16="http://schemas.microsoft.com/office/drawing/2014/main" pred="{10CB51D8-624F-4E7C-9216-B4C47BF538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st type"/>
            </a:graphicData>
          </a:graphic>
        </xdr:graphicFrame>
      </mc:Choice>
      <mc:Fallback xmlns="">
        <xdr:sp macro="" textlink="">
          <xdr:nvSpPr>
            <xdr:cNvPr id="0" name=""/>
            <xdr:cNvSpPr>
              <a:spLocks noTextEdit="1"/>
            </xdr:cNvSpPr>
          </xdr:nvSpPr>
          <xdr:spPr>
            <a:xfrm>
              <a:off x="8253534" y="25889"/>
              <a:ext cx="2121389" cy="26508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stream2" xr10:uid="{1E7CF1B4-CF73-480C-9F57-4F84BD870552}" sourceName="Workstream">
  <extLst>
    <x:ext xmlns:x15="http://schemas.microsoft.com/office/spreadsheetml/2010/11/main" uri="{2F2917AC-EB37-4324-AD4E-5DD8C200BD13}">
      <x15:tableSlicerCache tableId="5" column="2"/>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_provider21" xr10:uid="{422E15EA-4149-4913-8E8B-E0D5110F22E9}" sourceName="Supplier">
  <extLst>
    <x:ext xmlns:x15="http://schemas.microsoft.com/office/spreadsheetml/2010/11/main" uri="{2F2917AC-EB37-4324-AD4E-5DD8C200BD13}">
      <x15:tableSlicerCache tableId="5" column="5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type" xr10:uid="{86421906-E449-4BA4-A318-63B4BB1E67C9}" sourceName="Cost type">
  <extLst>
    <x:ext xmlns:x15="http://schemas.microsoft.com/office/spreadsheetml/2010/11/main" uri="{2F2917AC-EB37-4324-AD4E-5DD8C200BD13}">
      <x15:tableSlicerCache tableId="5" column="6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stream" xr10:uid="{FE20ECD7-3A28-44AA-BE79-FCFEAF0D07BE}" sourceName="Workstream">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_Provider" xr10:uid="{E1C83E12-0D74-4E0B-BD5C-0598C4B77B7C}" sourceName="Resource Provider">
  <extLst>
    <x:ext xmlns:x15="http://schemas.microsoft.com/office/spreadsheetml/2010/11/main" uri="{2F2917AC-EB37-4324-AD4E-5DD8C200BD13}">
      <x15:tableSlicerCache tableId="4" column="5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D3F98B3-B86D-4831-9BA5-653B3596EF8A}" sourceName="Status">
  <extLst>
    <x:ext xmlns:x15="http://schemas.microsoft.com/office/spreadsheetml/2010/11/main" uri="{2F2917AC-EB37-4324-AD4E-5DD8C200BD13}">
      <x15:tableSlicerCache tableId="4"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stream3" xr10:uid="{EAA2C87C-77BD-4309-B4FB-DCD43D8BC650}" sourceName="Workstream">
  <extLst>
    <x:ext xmlns:x15="http://schemas.microsoft.com/office/spreadsheetml/2010/11/main" uri="{2F2917AC-EB37-4324-AD4E-5DD8C200BD13}">
      <x15:tableSlicerCache tableId="9"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_Provider1" xr10:uid="{A1AD0521-E4A4-4A45-8298-E33E36A313AC}" sourceName="Resource Provider">
  <extLst>
    <x:ext xmlns:x15="http://schemas.microsoft.com/office/spreadsheetml/2010/11/main" uri="{2F2917AC-EB37-4324-AD4E-5DD8C200BD13}">
      <x15:tableSlicerCache tableId="9" column="5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2" xr10:uid="{4F306F6B-1A41-4ED3-8C1D-1E86E3E4CD27}" sourceName="Status">
  <extLst>
    <x:ext xmlns:x15="http://schemas.microsoft.com/office/spreadsheetml/2010/11/main" uri="{2F2917AC-EB37-4324-AD4E-5DD8C200BD13}">
      <x15:tableSlicerCache tableId="9"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stream 3" xr10:uid="{BE65C376-FFD8-4AE8-ADF8-33F8096FA4E4}" cache="Slicer_Workstream3" caption="Workstream" rowHeight="228600"/>
  <slicer name="Resource Provider 1" xr10:uid="{A41D7476-AE11-4E30-AD26-B6D35BB3787B}" cache="Slicer_Resource_Provider1" caption="Resource Provider" rowHeight="228600"/>
  <slicer name="Status 2" xr10:uid="{DB36BDCB-DAE3-41B9-BBB0-FD0E19E81635}" cache="Slicer_Status2" caption="Status"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stream" xr10:uid="{48A84BD4-0328-4FD5-836C-6560753882DE}" cache="Slicer_Workstream" caption="Workstream" columnCount="4" style="Slicer Style 1" rowHeight="228600"/>
  <slicer name="Resource Provider" xr10:uid="{177CB502-A1AC-449D-AD09-D1C9A5D0E46F}" cache="Slicer_Resource_Provider" caption="Resource Provider" columnCount="3" rowHeight="228600"/>
  <slicer name="Status" xr10:uid="{386E9E4A-A117-4E0C-89F8-BB1BF62C0A10}" cache="Slicer_Status" caption="Status" columnCount="2"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stream 2" xr10:uid="{8A4EE936-935E-43B9-B953-E5320B1BE817}" cache="Slicer_Workstream2" caption="Workstream" columnCount="3" style="Slicer Style 1" lockedPosition="1" rowHeight="257175"/>
  <slicer name="Resource provider 3" xr10:uid="{06301F21-50FD-4844-86A1-0AA9F8065BB4}" cache="Slicer_Resource_provider21" caption="Supplier" columnCount="3" style="Slicer Style 1" lockedPosition="1" rowHeight="251883"/>
  <slicer name="Cost type" xr10:uid="{C7E84ADB-476F-4B85-91B1-197D6C36CE09}" cache="Slicer_Cost_type" caption="Cost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A7E9A9-C152-4BF8-BFDF-04707F6168EF}" name="Table8" displayName="Table8" ref="A2:C8" totalsRowShown="0">
  <autoFilter ref="A2:C8" xr:uid="{27A7E9A9-C152-4BF8-BFDF-04707F6168EF}">
    <filterColumn colId="0" hiddenButton="1"/>
    <filterColumn colId="1" hiddenButton="1"/>
    <filterColumn colId="2" hiddenButton="1"/>
  </autoFilter>
  <tableColumns count="3">
    <tableColumn id="1" xr3:uid="{ED835411-8CB5-43F5-84A5-A3BB4D546A11}" name="Pages"/>
    <tableColumn id="2" xr3:uid="{3ADC0FD9-503D-4897-A10D-534CB7B339FE}" name="Information"/>
    <tableColumn id="3" xr3:uid="{6C039AEA-940B-4018-902D-97F1806F56C3}" name="Connected to the Dashboard"/>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C335CC-89CC-411D-B95D-92338BAF6CFD}" name="Table410" displayName="Table410" ref="A9:EW133" totalsRowShown="0" headerRowDxfId="440">
  <autoFilter ref="A9:EW133" xr:uid="{E97D0594-433E-4249-8DB1-6F0AE1C0B589}"/>
  <tableColumns count="153">
    <tableColumn id="1" xr3:uid="{38818C88-330E-48B1-AB93-19795D612EE9}" name="Personal Number" dataDxfId="439"/>
    <tableColumn id="2" xr3:uid="{FEE13FC1-C9FC-4568-9990-ABC4D01751C0}" name="Workstream" dataDxfId="438"/>
    <tableColumn id="66" xr3:uid="{177735CA-33A1-484E-A217-9389C7598A21}" name="Staff Type" dataDxfId="437"/>
    <tableColumn id="53" xr3:uid="{CFB7401F-1764-439A-A97D-CE58A4C6BA0C}" name="Resource Name" dataDxfId="436"/>
    <tableColumn id="54" xr3:uid="{53E77336-41D4-4984-9AEB-458B31BA6B3A}" name="Resource Provider" dataDxfId="435"/>
    <tableColumn id="3" xr3:uid="{D23B0B39-92F0-4DB2-A7A3-08AA49C1FAF4}" name="Resource Plan Number" dataDxfId="434"/>
    <tableColumn id="5" xr3:uid="{B43ABB61-C749-4FBE-A40E-4E58A0370136}" name="Country" dataDxfId="433"/>
    <tableColumn id="6" xr3:uid="{6639FC55-B1E5-4669-8AB3-EC095AF740E9}" name="JG" dataDxfId="432"/>
    <tableColumn id="79" xr3:uid="{4CBA75FC-F09D-45E0-8A64-53300DF5617D}" name="Resource Group / Team" dataDxfId="431"/>
    <tableColumn id="8" xr3:uid="{9D06C676-9040-4C21-9E11-86BDC5C2A98D}" name="Project Role" dataDxfId="430"/>
    <tableColumn id="9" xr3:uid="{48895564-AD47-42D1-A389-C9E088F11815}" name="Status" dataDxfId="429"/>
    <tableColumn id="82" xr3:uid="{D4BA5A19-A4FC-4A73-AE46-118EC92A3371}" name="Cost Boolean" dataDxfId="428"/>
    <tableColumn id="7" xr3:uid="{60A0784E-319D-4D9F-B750-6255A99E24B5}" name="Location" dataDxfId="427"/>
    <tableColumn id="44" xr3:uid="{F29C47B2-E8E3-4299-864E-5F649EDF7D8F}" name="Capability" dataDxfId="426"/>
    <tableColumn id="81" xr3:uid="{C067F668-FB96-40B5-BC40-3F6F8F365585}" name="OPEX/CAPEX" dataDxfId="425"/>
    <tableColumn id="80" xr3:uid="{8C005F72-66D3-48BB-8804-E1F5DCA3062B}" name="Tag" dataDxfId="424"/>
    <tableColumn id="256" xr3:uid="{CE13C1B4-390F-4378-801D-7F573E2C573A}" name="WBSE" dataDxfId="423"/>
    <tableColumn id="67" xr3:uid="{B90307C3-9862-4823-A51B-BC0D58A576A0}" name="Planned Start Date" dataDxfId="422"/>
    <tableColumn id="68" xr3:uid="{09DA6DE7-8641-4BA7-B112-C23CE67D22CF}" name="Planned End Date" dataDxfId="421"/>
    <tableColumn id="69" xr3:uid="{8B2AA402-11AF-4894-AE5B-AB36081C2D0A}" name="Revised Start Date" dataDxfId="420"/>
    <tableColumn id="70" xr3:uid="{B6AD6D67-221C-49A0-8C09-78C8349CA900}" name="Revised End Date" dataDxfId="419"/>
    <tableColumn id="40" xr3:uid="{F840776B-7DA8-4972-BFE0-DB745174EBE5}" name="Actual Start Date" dataDxfId="418"/>
    <tableColumn id="41" xr3:uid="{13268230-00E0-470E-BBE3-414CBB4BD6B4}" name="Actual End Date" dataDxfId="417"/>
    <tableColumn id="85" xr3:uid="{F4A4AA95-19CD-4FA5-9D20-EFB739EE8101}" name="Comments" dataDxfId="416"/>
    <tableColumn id="191" xr3:uid="{B49D96E5-ACBC-4F01-97B9-679463CEFC39}" name="RATE CONCAT" dataDxfId="415">
      <calculatedColumnFormula>CONCATENATE(Table410[[#This Row],[JG]],Table410[[#This Row],[Country]],Table410[[#This Row],[Resource Provider]])</calculatedColumnFormula>
    </tableColumn>
    <tableColumn id="23" xr3:uid="{8D64056D-80F4-47F0-8E99-7561D9C8B308}" name="Rate" dataDxfId="414">
      <calculatedColumnFormula>VLOOKUP(Table410[[#This Row],[RATE CONCAT]],Tables!I:N,5,0)</calculatedColumnFormula>
    </tableColumn>
    <tableColumn id="258" xr3:uid="{2F49960A-42FD-463D-A635-9A68632F9CDB}" name="DAYS" dataDxfId="413"/>
    <tableColumn id="257" xr3:uid="{BFCB0458-7A5B-415F-9B89-CB1A008CF199}" name="Jan_2026_Days_Forecast" dataDxfId="412"/>
    <tableColumn id="255" xr3:uid="{08B09A57-C75F-4BBF-A46D-27A2C2BF3A2C}" name="Feb_2026_Days_Forecast" dataDxfId="411"/>
    <tableColumn id="254" xr3:uid="{7D5FA620-DF1B-4622-B734-477C0EA8E459}" name="Mar_2026_Days_Forecast" dataDxfId="410"/>
    <tableColumn id="253" xr3:uid="{76E1060E-B751-4CC8-8811-5131D8424448}" name="Apr_2026_Days_Forecast" dataDxfId="409"/>
    <tableColumn id="252" xr3:uid="{7FAF847E-CC19-4E07-9A23-7A53D9AE1D29}" name="May_2026_Days_Forecast" dataDxfId="408"/>
    <tableColumn id="251" xr3:uid="{AD615DC8-FC50-42A3-A442-BBCC9C069634}" name="Jun_2026_Days_Forecast" dataDxfId="407"/>
    <tableColumn id="250" xr3:uid="{5732BCAE-B392-4C1C-94F1-EAF6CD9E5903}" name="Jul_2026_Days_Forecast" dataDxfId="406"/>
    <tableColumn id="224" xr3:uid="{99F52305-6499-4B44-B070-6621F364B5A6}" name="Aug_2026_Days_Forecast" dataDxfId="405"/>
    <tableColumn id="190" xr3:uid="{4CC968AB-19EC-4473-B71B-7ECBCB9B75A4}" name="Sep_2026_Days_Forecast" dataDxfId="404"/>
    <tableColumn id="102" xr3:uid="{496A5C8C-3725-4A71-8A3B-A5B5332512F0}" name="Oct_2026_Days_Forecast" dataDxfId="403"/>
    <tableColumn id="100" xr3:uid="{FE28230C-6E0E-4DDF-8551-FD1883626D49}" name="Nov_2026_Days_Forecast" dataDxfId="402"/>
    <tableColumn id="97" xr3:uid="{FCF784CB-A0B9-482F-BDF1-D4CFED3B9503}" name="Dec_2026_Days_Forecast" dataDxfId="401"/>
    <tableColumn id="64" xr3:uid="{FE010016-BE00-4A6B-89E6-4EB28EAC6806}" name="FTE" dataDxfId="400">
      <calculatedColumnFormula>IFERROR(AVERAGE(Table410[[#This Row],[Jan_2026_Days_Forecast]:[Dec_2026_Days_Forecast]]),0)/19</calculatedColumnFormula>
    </tableColumn>
    <tableColumn id="34" xr3:uid="{0AF40A11-E2AE-45DA-B7A8-E0534FABDB0E}" name="2026_FTE" dataDxfId="399">
      <calculatedColumnFormula>IFERROR(AVERAGE(Table410[[#This Row],[Jan_2026_Days_Actual]:[Dec_2026_Days_Actual]]),0)/19</calculatedColumnFormula>
    </tableColumn>
    <tableColumn id="120" xr3:uid="{88259399-76BB-4235-B9F4-5044D47D7744}" name="Jan_2026_Days_Actual" dataDxfId="398"/>
    <tableColumn id="121" xr3:uid="{5FB966C1-F3C5-4ECB-B5E0-0D1A25DE58F3}" name="Feb_2026_Days_Actual" dataDxfId="397"/>
    <tableColumn id="122" xr3:uid="{399A37E4-A62B-4074-B51A-5C6A8858B470}" name="Mar_2026_Days_Actual" dataDxfId="396"/>
    <tableColumn id="123" xr3:uid="{41F85199-39DF-4AEA-88AE-37C1A9D7C6C7}" name="Apr_2026_Days_Actual" dataDxfId="395"/>
    <tableColumn id="124" xr3:uid="{D509EC7F-045D-43E1-9E2C-38B39B1CA12E}" name="May_2026_Days_Actual" dataDxfId="394"/>
    <tableColumn id="125" xr3:uid="{9200B7D4-CF22-47A4-85E4-57A80A4687C8}" name="Jun_2026_Days_Actual" dataDxfId="393"/>
    <tableColumn id="126" xr3:uid="{8F4F8A57-833D-434F-9A17-667ED50216E1}" name="Jul_2026_Days_Actual" dataDxfId="392"/>
    <tableColumn id="127" xr3:uid="{F2CD0D7E-A5C8-47AB-8CA3-404AD6800B14}" name="Aug_2026_Days_Actual" dataDxfId="391"/>
    <tableColumn id="128" xr3:uid="{182DA418-76B9-4ECB-9236-D20FEF188BBB}" name="Sep_2026_Days_Actual" dataDxfId="390"/>
    <tableColumn id="129" xr3:uid="{FB5E071B-5DC5-4A1C-8CB6-915484001164}" name="Oct_2026_Days_Actual" dataDxfId="389"/>
    <tableColumn id="130" xr3:uid="{2272F66F-9FF7-4699-A64A-9C9653E39E9C}" name="Nov_2026_Days_Actual" dataDxfId="388"/>
    <tableColumn id="131" xr3:uid="{EF09732E-2C33-43F0-90D4-75B29D56ECA0}" name="Dec_2026_Days_Actual" dataDxfId="387"/>
    <tableColumn id="35" xr3:uid="{E9197FA0-2226-4B2F-A697-9A8600782FB7}" name="2027_FTE" dataDxfId="386">
      <calculatedColumnFormula>IFERROR(AVERAGE(Table410[[#This Row],[Jan_2027_Days_Forecast]:[Dec_2027_Days_Forecast]]),0)</calculatedColumnFormula>
    </tableColumn>
    <tableColumn id="132" xr3:uid="{293DC895-D09C-42E2-A43C-08EFAADA91E8}" name="Jan_2027_Days_Forecast" dataDxfId="385"/>
    <tableColumn id="133" xr3:uid="{6B6731B6-455F-41A7-A999-0A21D6983139}" name="Feb_2027_Days_Forecast" dataDxfId="384"/>
    <tableColumn id="134" xr3:uid="{F126D736-3564-485C-B0A7-E2508780B87B}" name="Mar_2027_Days_Forecast" dataDxfId="383"/>
    <tableColumn id="135" xr3:uid="{791D9CC7-B5E3-410F-9393-DA4DEC4B8A4C}" name="Apr_2027_Days_Forecast" dataDxfId="382"/>
    <tableColumn id="136" xr3:uid="{CC1996B9-F7BD-4BFD-A1C5-EF67EA605B5B}" name="May_2027_Days_Forecast" dataDxfId="381"/>
    <tableColumn id="137" xr3:uid="{36E92CB2-BE4D-41BA-90E3-FC2D0E75DCFB}" name="Jun_2027_Days_Forecast" dataDxfId="380"/>
    <tableColumn id="78" xr3:uid="{C432E73E-0754-4563-ABFE-774E5489E0DB}" name="Jul_2027_Days_Forecast" dataDxfId="379"/>
    <tableColumn id="77" xr3:uid="{221BE0BE-34C9-4EED-8B2B-BA742F0F60E4}" name="Aug_2027_Days_Forecast" dataDxfId="378"/>
    <tableColumn id="76" xr3:uid="{9706098E-39EB-488C-B090-77355CCF24D3}" name="Sep_2027_Days_Forecast" dataDxfId="377"/>
    <tableColumn id="75" xr3:uid="{1A573C58-2A6A-452D-ABD3-F79FD9F28853}" name="Oct_2027_Days_Forecast" dataDxfId="376"/>
    <tableColumn id="74" xr3:uid="{1B1F8376-81A9-4D8A-976C-AF4ED79CC7F6}" name="Nov_2027_Days_Forecast" dataDxfId="375"/>
    <tableColumn id="73" xr3:uid="{2A189B74-3F5B-406C-BCDD-A8A82CE47038}" name="Dec_2027_Days_Forecast" dataDxfId="374"/>
    <tableColumn id="138" xr3:uid="{E8D46050-C41B-486B-88A8-FDE32119BA32}" name="COSTS" dataDxfId="373"/>
    <tableColumn id="10" xr3:uid="{13280A0F-3C30-4C9A-978D-4B1022F2BB5C}" name="2026_C" dataDxfId="372" dataCellStyle="Currency"/>
    <tableColumn id="31" xr3:uid="{8F1A7337-6847-4AC5-8F5A-C0CD0FEF9AEA}" name="Jan_2026_F" dataDxfId="371" dataCellStyle="Currency">
      <calculatedColumnFormula>IFERROR(Table410[[#This Row],[Jan_2026_Days_Forecast]]*Table410[[#This Row],[Cost Boolean]]*(VLOOKUP(Table410[[#This Row],[RATE CONCAT]],Tables!I:N,5,0)),0)</calculatedColumnFormula>
    </tableColumn>
    <tableColumn id="32" xr3:uid="{40374EBC-67C8-4198-ADD0-28D99E68188A}" name="Jan_2026_A" dataDxfId="370" dataCellStyle="Currency">
      <calculatedColumnFormula>IFERROR(Table410[[#This Row],[Jan_2026_Days_Actual]]*Table410[[#This Row],[Cost Boolean]]*(VLOOKUP(Table410[[#This Row],[RATE CONCAT]],Tables!I:N,5,0)),0)</calculatedColumnFormula>
    </tableColumn>
    <tableColumn id="33" xr3:uid="{279904E8-3F72-4C00-AF80-4ADCA3279A98}" name="Jan_2026_V" dataDxfId="369" dataCellStyle="Currency">
      <calculatedColumnFormula>Table410[[#This Row],[Jan_2026_F]]-Table410[[#This Row],[Jan_2026_A]]</calculatedColumnFormula>
    </tableColumn>
    <tableColumn id="4" xr3:uid="{53E897DD-582C-4BAD-BD73-948D579FE60C}" name="Jan_2026_V_Reason" dataDxfId="368" dataCellStyle="Currency"/>
    <tableColumn id="139" xr3:uid="{5B0F01F2-6474-472A-9204-26CB753BA365}" name="Feb_2026_F" dataDxfId="367" dataCellStyle="Currency">
      <calculatedColumnFormula>IFERROR(Table410[[#This Row],[Feb_2026_Days_Forecast]]*Table410[[#This Row],[Cost Boolean]]*(VLOOKUP(Table410[[#This Row],[RATE CONCAT]],Tables!I:N,5,0)),0)</calculatedColumnFormula>
    </tableColumn>
    <tableColumn id="140" xr3:uid="{CA7E98E0-F36C-464A-9F7A-05B3CD5EE8E3}" name="Feb_2026_A" dataDxfId="366" dataCellStyle="Currency">
      <calculatedColumnFormula>IFERROR(Table410[[#This Row],[Feb_2026_Days_Actual]]*Table410[[#This Row],[Cost Boolean]]*(VLOOKUP(Table410[[#This Row],[RATE CONCAT]],Tables!I:N,5,0)),0)</calculatedColumnFormula>
    </tableColumn>
    <tableColumn id="141" xr3:uid="{6055D30C-0812-4BB6-BF1C-20F446404428}" name="Feb_2026_D" dataDxfId="365" dataCellStyle="Currency">
      <calculatedColumnFormula>Table410[[#This Row],[Feb_2026_F]]-Table410[[#This Row],[Feb_2026_A]]</calculatedColumnFormula>
    </tableColumn>
    <tableColumn id="12" xr3:uid="{BFBF2773-2861-4C78-ADB1-FD112F206457}" name="Feb_2026_V_Reason" dataDxfId="364" dataCellStyle="Currency"/>
    <tableColumn id="142" xr3:uid="{88291320-0C42-4AB0-9E23-DB3FB765FAC6}" name="Mar_2026_F" dataDxfId="363" dataCellStyle="Currency">
      <calculatedColumnFormula>IFERROR(Table410[[#This Row],[Mar_2026_Days_Forecast]]*Table410[[#This Row],[Cost Boolean]]*(VLOOKUP(Table410[[#This Row],[RATE CONCAT]],Tables!I:N,5,0)),0)</calculatedColumnFormula>
    </tableColumn>
    <tableColumn id="143" xr3:uid="{6B834BEB-2A55-4011-8882-176EB0332F3F}" name="Mar_2026_A" dataDxfId="362" dataCellStyle="Currency">
      <calculatedColumnFormula>IFERROR(Table410[[#This Row],[Mar_2026_Days_Actual]]*Table410[[#This Row],[Cost Boolean]]*(VLOOKUP(Table410[[#This Row],[RATE CONCAT]],Tables!I:N,5,0)),0)</calculatedColumnFormula>
    </tableColumn>
    <tableColumn id="144" xr3:uid="{CAD6A285-C7CE-4CDB-84FF-0790F2F5E9C0}" name="Mar_2026_D" dataDxfId="361" dataCellStyle="Currency">
      <calculatedColumnFormula>Table410[[#This Row],[Mar_2026_F]]-Table410[[#This Row],[Mar_2026_A]]</calculatedColumnFormula>
    </tableColumn>
    <tableColumn id="13" xr3:uid="{FD921068-1023-4096-BE94-57D973EEBCA1}" name="Mar_2026_V_Reason" dataDxfId="360"/>
    <tableColumn id="145" xr3:uid="{97399AFA-0A45-457B-A5DE-95A3227D8C27}" name="Apr_2026_F" dataDxfId="359" dataCellStyle="Currency">
      <calculatedColumnFormula>IFERROR(Table410[[#This Row],[Apr_2026_Days_Forecast]]*Table410[[#This Row],[Cost Boolean]]*(VLOOKUP(Table410[[#This Row],[RATE CONCAT]],Tables!I:N,5,0)),0)</calculatedColumnFormula>
    </tableColumn>
    <tableColumn id="146" xr3:uid="{E2497377-F2A4-4149-8C36-226A08A02CE5}" name="Apr_2026_A" dataDxfId="358" dataCellStyle="Currency">
      <calculatedColumnFormula>IFERROR(Table410[[#This Row],[Apr_2026_Days_Actual]]*Table410[[#This Row],[Cost Boolean]]*(VLOOKUP(Table410[[#This Row],[RATE CONCAT]],Tables!I:N,5,0)),0)</calculatedColumnFormula>
    </tableColumn>
    <tableColumn id="147" xr3:uid="{16E4D8C7-DC14-4E34-9F47-FCB4ADEC31BE}" name="Apr_2026_D" dataDxfId="357" dataCellStyle="Currency">
      <calculatedColumnFormula>Table410[[#This Row],[Apr_2026_F]]-Table410[[#This Row],[Apr_2026_A]]</calculatedColumnFormula>
    </tableColumn>
    <tableColumn id="14" xr3:uid="{45DE08CA-D794-4D48-A137-0D991DE81CC8}" name="Apr_2026_V_Reason" dataDxfId="356"/>
    <tableColumn id="148" xr3:uid="{92331815-5FC7-4A65-B842-AB45B89114BE}" name="May_2026_F" dataDxfId="355" dataCellStyle="Currency">
      <calculatedColumnFormula>IFERROR(Table410[[#This Row],[May_2026_Days_Forecast]] *Table410[[#This Row],[Cost Boolean]]*(VLOOKUP(Table410[[#This Row],[RATE CONCAT]],Tables!I:N,5,0)),0)</calculatedColumnFormula>
    </tableColumn>
    <tableColumn id="149" xr3:uid="{708F89B5-6C07-4E7F-8356-E4D5468E5213}" name="May_2026_A" dataDxfId="354" dataCellStyle="Currency">
      <calculatedColumnFormula>IFERROR(Table410[[#This Row],[May_2026_Days_Actual]]*Table410[[#This Row],[Cost Boolean]]*(VLOOKUP(Table410[[#This Row],[RATE CONCAT]],Tables!I:N,5,0)),0)</calculatedColumnFormula>
    </tableColumn>
    <tableColumn id="150" xr3:uid="{4C8FE377-CB98-4C40-B7D1-16728E5C6789}" name="May_2026_D" dataDxfId="353" dataCellStyle="Currency">
      <calculatedColumnFormula>Table410[[#This Row],[May_2026_F]]-Table410[[#This Row],[May_2026_A]]</calculatedColumnFormula>
    </tableColumn>
    <tableColumn id="15" xr3:uid="{D094AAF0-B245-45C6-91C3-140F9054894C}" name="May_2026_V_Reason" dataDxfId="352"/>
    <tableColumn id="151" xr3:uid="{370C99D3-1004-47A3-96CF-96D54482AB3B}" name="Jun_2026_F" dataDxfId="351" dataCellStyle="Currency">
      <calculatedColumnFormula>IFERROR(Table410[[#This Row],[Jun_2026_Days_Forecast]]*Table410[[#This Row],[Cost Boolean]]*(VLOOKUP(Table410[[#This Row],[RATE CONCAT]],Tables!I:N,5,0)),0)</calculatedColumnFormula>
    </tableColumn>
    <tableColumn id="152" xr3:uid="{6775B057-0D76-421F-9A2A-16B0E996C0A5}" name="Jun_2026_A" dataDxfId="350" dataCellStyle="Currency">
      <calculatedColumnFormula>IFERROR(Table410[[#This Row],[Jun_2026_Days_Actual]]*Table410[[#This Row],[Cost Boolean]]*(VLOOKUP(Table410[[#This Row],[RATE CONCAT]],Tables!I:N,5,0)),0)</calculatedColumnFormula>
    </tableColumn>
    <tableColumn id="153" xr3:uid="{CE95BD12-A5DA-4471-AE9B-4F72427FEDAD}" name="Jun_2026_D" dataDxfId="349" dataCellStyle="Currency">
      <calculatedColumnFormula>Table410[[#This Row],[Jun_2026_F]]-Table410[[#This Row],[Jun_2026_A]]</calculatedColumnFormula>
    </tableColumn>
    <tableColumn id="16" xr3:uid="{43B67753-72BB-42E8-A338-95951F09366D}" name="Jun_2026_V_Reason" dataDxfId="348"/>
    <tableColumn id="154" xr3:uid="{DCE91378-B6DE-4BB5-8C57-3E12A40A50FD}" name="Jul_2026_F" dataDxfId="347" dataCellStyle="Currency">
      <calculatedColumnFormula>IFERROR(Table410[[#This Row],[Jul_2026_Days_Forecast]]*Table410[[#This Row],[Cost Boolean]]*(VLOOKUP(Table410[[#This Row],[RATE CONCAT]],Tables!I:N,5,0)),0)</calculatedColumnFormula>
    </tableColumn>
    <tableColumn id="155" xr3:uid="{C9E6AA96-8566-4A4D-922E-DE978B018C25}" name="Jul_2026_A" dataDxfId="346" dataCellStyle="Currency">
      <calculatedColumnFormula>IFERROR(Table410[[#This Row],[Jul_2026_Days_Actual]]*Table410[[#This Row],[Cost Boolean]]*(VLOOKUP(Table410[[#This Row],[RATE CONCAT]],Tables!I:N,5,0)),0)</calculatedColumnFormula>
    </tableColumn>
    <tableColumn id="156" xr3:uid="{82880E69-24B9-4C11-B370-C9E313DB3BD9}" name="Jul_2026_D" dataDxfId="345" dataCellStyle="Currency">
      <calculatedColumnFormula>Table410[[#This Row],[Jul_2026_F]]-Table410[[#This Row],[Jul_2026_A]]</calculatedColumnFormula>
    </tableColumn>
    <tableColumn id="17" xr3:uid="{BAAFD73A-FB21-4A2B-843F-18774D7BD5EB}" name="Jul_2026_V_Reason" dataDxfId="344"/>
    <tableColumn id="157" xr3:uid="{31FEFA50-E28F-4D44-8855-C9BA03C3D955}" name="Aug_2026_F" dataDxfId="343" dataCellStyle="Currency">
      <calculatedColumnFormula>IFERROR(Table410[[#This Row],[Aug_2026_Days_Forecast]]*Table410[[#This Row],[Cost Boolean]]*(VLOOKUP(Table410[[#This Row],[RATE CONCAT]],Tables!I:N,5,0)),0)</calculatedColumnFormula>
    </tableColumn>
    <tableColumn id="158" xr3:uid="{EE3B9298-E0A8-452A-82E2-E911BEE1E151}" name="Aug_2026_A" dataDxfId="342" dataCellStyle="Currency">
      <calculatedColumnFormula>IFERROR(Table410[[#This Row],[Aug_2026_Days_Actual]]*Table410[[#This Row],[Cost Boolean]]*(VLOOKUP(Table410[[#This Row],[RATE CONCAT]],Tables!I:N,5,0)),0)</calculatedColumnFormula>
    </tableColumn>
    <tableColumn id="159" xr3:uid="{4D565027-0807-4226-B10A-65F5D2C7BFEF}" name="Aug_2026_D" dataDxfId="341" dataCellStyle="Currency">
      <calculatedColumnFormula>Table410[[#This Row],[Aug_2026_F]]-Table410[[#This Row],[Aug_2026_A]]</calculatedColumnFormula>
    </tableColumn>
    <tableColumn id="18" xr3:uid="{D294901C-EB12-48E8-84CB-624F748A95A5}" name="Aug_2026_V_Reason" dataDxfId="340"/>
    <tableColumn id="160" xr3:uid="{E72E3004-2E75-4582-85C2-8C5B949C36A6}" name="Sep_2026_F" dataDxfId="339" dataCellStyle="Currency">
      <calculatedColumnFormula>IFERROR(Table410[[#This Row],[Sep_2026_Days_Forecast]]*Table410[[#This Row],[Cost Boolean]]*(VLOOKUP(Table410[[#This Row],[RATE CONCAT]],Tables!I:N,5,0)),0)</calculatedColumnFormula>
    </tableColumn>
    <tableColumn id="161" xr3:uid="{DC28AEB7-88F3-44D3-B9E7-DA9FA696A63C}" name="Sep_2026_A" dataDxfId="338" dataCellStyle="Currency">
      <calculatedColumnFormula>IFERROR(Table410[[#This Row],[Sep_2026_Days_Actual]]*Table410[[#This Row],[Cost Boolean]]*(VLOOKUP(Table410[[#This Row],[RATE CONCAT]],Tables!I:N,5,0)),0)</calculatedColumnFormula>
    </tableColumn>
    <tableColumn id="162" xr3:uid="{F8E186D0-DCBC-45A0-BBC4-77D44C5F0020}" name="Sep_2026_D" dataDxfId="337" dataCellStyle="Currency">
      <calculatedColumnFormula>Table410[[#This Row],[Sep_2026_F]]-Table410[[#This Row],[Sep_2026_A]]</calculatedColumnFormula>
    </tableColumn>
    <tableColumn id="19" xr3:uid="{B6E0BC7B-E1A6-44AF-B022-7C095DD8257E}" name="Sep_2026_V_Reason" dataDxfId="336"/>
    <tableColumn id="163" xr3:uid="{CD961C16-2D47-441B-97F1-9BEA6474AB4E}" name="Oct_2026_F" dataDxfId="335" dataCellStyle="Currency">
      <calculatedColumnFormula>IFERROR(Table410[[#This Row],[Oct_2026_Days_Forecast]]*Table410[[#This Row],[Cost Boolean]]*(VLOOKUP(Table410[[#This Row],[RATE CONCAT]],Tables!I:N,5,0)),0)</calculatedColumnFormula>
    </tableColumn>
    <tableColumn id="164" xr3:uid="{C1F2E93D-AD39-4317-9E2B-737A24BDE2F1}" name="Oct_2026_A" dataDxfId="334" dataCellStyle="Currency">
      <calculatedColumnFormula>IFERROR(Table410[[#This Row],[Oct_2026_Days_Actual]]*Table410[[#This Row],[Cost Boolean]]*(VLOOKUP(Table410[[#This Row],[RATE CONCAT]],Tables!I:N,5,0)),0)</calculatedColumnFormula>
    </tableColumn>
    <tableColumn id="165" xr3:uid="{522D9850-D9EA-44E8-A0BD-1978D058134B}" name="Oct_2026_D" dataDxfId="333" dataCellStyle="Currency">
      <calculatedColumnFormula>Table410[[#This Row],[Oct_2026_F]]-Table410[[#This Row],[Oct_2026_A]]</calculatedColumnFormula>
    </tableColumn>
    <tableColumn id="20" xr3:uid="{DE4B90F1-21F6-480F-9D60-C2D585D131A6}" name="Oct_2026_V_Reason" dataDxfId="332"/>
    <tableColumn id="166" xr3:uid="{A0A97670-624D-4FC8-8D60-3D9240B40999}" name="Nov_2026_F" dataDxfId="331" dataCellStyle="Currency">
      <calculatedColumnFormula>IFERROR(Table410[[#This Row],[Nov_2026_Days_Forecast]]*Table410[[#This Row],[Cost Boolean]]*(VLOOKUP(Table410[[#This Row],[RATE CONCAT]],Tables!I:N,5,0)),0)</calculatedColumnFormula>
    </tableColumn>
    <tableColumn id="167" xr3:uid="{8B138727-07B4-4A54-8112-FE7819B57ABF}" name="Nov_2026_A" dataDxfId="330" dataCellStyle="Currency">
      <calculatedColumnFormula>IFERROR(Table410[[#This Row],[Nov_2026_Days_Actual]]*Table410[[#This Row],[Cost Boolean]]*(VLOOKUP(Table410[[#This Row],[RATE CONCAT]],Tables!I:N,5,0)),0)</calculatedColumnFormula>
    </tableColumn>
    <tableColumn id="168" xr3:uid="{3C0C6E8A-F623-4631-8BF4-BFAAAE628506}" name="Nov_2026_D" dataDxfId="329" dataCellStyle="Currency">
      <calculatedColumnFormula>Table410[[#This Row],[Nov_2026_F]]-Table410[[#This Row],[Nov_2026_A]]</calculatedColumnFormula>
    </tableColumn>
    <tableColumn id="21" xr3:uid="{4F8983F4-0006-4D2B-8F04-43418D0CF690}" name="Nov_2026_V_Reason" dataDxfId="328"/>
    <tableColumn id="169" xr3:uid="{0E7F5EB8-D355-4871-8DBF-99E664D56149}" name="Dec_2026_F" dataDxfId="327" dataCellStyle="Currency">
      <calculatedColumnFormula>IFERROR(Table410[[#This Row],[Dec_2026_Days_Forecast]]*Table410[[#This Row],[Cost Boolean]]*(VLOOKUP(Table410[[#This Row],[RATE CONCAT]],Tables!I:N,5,0)),0)</calculatedColumnFormula>
    </tableColumn>
    <tableColumn id="170" xr3:uid="{72774800-696B-4039-8239-F34AB4E18126}" name="Dec_2026_A" dataDxfId="326" dataCellStyle="Currency">
      <calculatedColumnFormula>IFERROR(Table410[[#This Row],[Dec_2026_Days_Actual]]*Table410[[#This Row],[Cost Boolean]]*(VLOOKUP(Table410[[#This Row],[RATE CONCAT]],Tables!I:N,5,0)),0)</calculatedColumnFormula>
    </tableColumn>
    <tableColumn id="171" xr3:uid="{BE7275D9-959D-4861-8BF4-C3A8FC07EC7B}" name="Dec_2026_D" dataDxfId="325" dataCellStyle="Currency">
      <calculatedColumnFormula>Table410[[#This Row],[Dec_2026_F]]-Table410[[#This Row],[Dec_2026_A]]</calculatedColumnFormula>
    </tableColumn>
    <tableColumn id="22" xr3:uid="{88FA3A52-2315-41D3-8B51-16D458F41244}" name="Dec_2026_V_Reason" dataDxfId="324"/>
    <tableColumn id="11" xr3:uid="{34DC501D-4752-4F7A-877D-BAE1F4548135}" name="2027_C" dataDxfId="323" dataCellStyle="Currency"/>
    <tableColumn id="172" xr3:uid="{C0FC42BB-AD84-4A63-9E81-E977B9F9A09A}" name="Jan_2027_F" dataDxfId="322" dataCellStyle="Currency">
      <calculatedColumnFormula>IFERROR(Table410[[#This Row],[Jan_2027_Days_Forecast]]*Table410[[#This Row],[Cost Boolean]]*(VLOOKUP(Table410[[#This Row],[RATE CONCAT]],Tables!I:N,6,0)),0)</calculatedColumnFormula>
    </tableColumn>
    <tableColumn id="173" xr3:uid="{74303E6B-B6E2-4365-A9DB-F1A0F4376805}" name="Jan_2027_A" dataCellStyle="Currency"/>
    <tableColumn id="174" xr3:uid="{0B69E655-1F25-4F54-BEA5-050443E01981}" name="Jan_2027_D" dataDxfId="321" dataCellStyle="Currency">
      <calculatedColumnFormula>Table410[[#This Row],[Jan_2027_F]]-Table410[[#This Row],[Jan_2027_A]]</calculatedColumnFormula>
    </tableColumn>
    <tableColumn id="175" xr3:uid="{128F2F69-B985-41CE-89A8-3DD1B1C6DCBA}" name="Feb_2027_F" dataDxfId="320" dataCellStyle="Currency">
      <calculatedColumnFormula>IFERROR(Table410[[#This Row],[Feb_2027_Days_Forecast]]*Table410[[#This Row],[Cost Boolean]]*(VLOOKUP(Table410[[#This Row],[RATE CONCAT]],Tables!I:N,6,0)),0)</calculatedColumnFormula>
    </tableColumn>
    <tableColumn id="176" xr3:uid="{37D6662B-2D9C-4270-AA4D-F41C78E4CD3F}" name="Feb_2027_A" dataCellStyle="Currency"/>
    <tableColumn id="177" xr3:uid="{E01471BE-2A81-4295-9F26-9A89450FF62F}" name="Feb_2027_D" dataDxfId="319" dataCellStyle="Currency">
      <calculatedColumnFormula>Table410[[#This Row],[Feb_2027_F]]-Table410[[#This Row],[Feb_2027_A]]</calculatedColumnFormula>
    </tableColumn>
    <tableColumn id="178" xr3:uid="{A369D453-588B-435E-B088-09A3E9198071}" name="Mar_2027_F" dataDxfId="318" dataCellStyle="Currency">
      <calculatedColumnFormula>IFERROR(Table410[[#This Row],[Mar_2027_Days_Forecast]]*Table410[[#This Row],[Cost Boolean]]*(VLOOKUP(Table410[[#This Row],[RATE CONCAT]],Tables!I:N,6,0)),0)</calculatedColumnFormula>
    </tableColumn>
    <tableColumn id="179" xr3:uid="{60675DA2-665E-4005-85E3-5870D4584CF6}" name="Mar_2027_A" dataCellStyle="Currency"/>
    <tableColumn id="180" xr3:uid="{CF7435CF-BF96-4CF8-BD73-0A9462A1F332}" name="Mar_2027_D" dataDxfId="317" dataCellStyle="Currency">
      <calculatedColumnFormula>Table410[[#This Row],[Mar_2027_F]]-Table410[[#This Row],[Mar_2027_A]]</calculatedColumnFormula>
    </tableColumn>
    <tableColumn id="181" xr3:uid="{A2A82C4A-6CAE-41B5-BCC4-E2229CC5E33D}" name="Apr_2027_F" dataDxfId="316" dataCellStyle="Currency">
      <calculatedColumnFormula>IFERROR(Table410[[#This Row],[Apr_2027_Days_Forecast]]*Table410[[#This Row],[Cost Boolean]]*(VLOOKUP(Table410[[#This Row],[RATE CONCAT]],Tables!I:N,6,0)),0)</calculatedColumnFormula>
    </tableColumn>
    <tableColumn id="182" xr3:uid="{399923AF-F3C9-489E-B74A-3BC8DDD088DF}" name="Apr_2027_A" dataCellStyle="Currency"/>
    <tableColumn id="183" xr3:uid="{246C1765-5D1F-4CB6-85BD-33DC0448183A}" name="Apr_2027_D" dataDxfId="315" dataCellStyle="Currency">
      <calculatedColumnFormula>Table410[[#This Row],[Apr_2027_F]]-Table410[[#This Row],[Apr_2027_A]]</calculatedColumnFormula>
    </tableColumn>
    <tableColumn id="184" xr3:uid="{6EEAF20C-D66A-42E7-B8C3-F23823223C85}" name="May_2027_F" dataDxfId="314" dataCellStyle="Currency">
      <calculatedColumnFormula>IFERROR(Table410[[#This Row],[May_2027_Days_Forecast]]*Table410[[#This Row],[Cost Boolean]]*(VLOOKUP(Table410[[#This Row],[RATE CONCAT]],Tables!I:N,6,0)),0)</calculatedColumnFormula>
    </tableColumn>
    <tableColumn id="185" xr3:uid="{059B5C7E-9279-457D-A305-872B1B609C7A}" name="May_2027_A" dataCellStyle="Currency"/>
    <tableColumn id="186" xr3:uid="{ED75CD25-99E2-4B58-9BB1-EA2E486B219B}" name="May_2027_D" dataDxfId="313" dataCellStyle="Currency">
      <calculatedColumnFormula>Table410[[#This Row],[May_2027_F]]-Table410[[#This Row],[May_2027_A]]</calculatedColumnFormula>
    </tableColumn>
    <tableColumn id="187" xr3:uid="{ADD7A740-ADB8-475E-A546-4027333AF265}" name="Jun_2027_F" dataDxfId="312" dataCellStyle="Currency">
      <calculatedColumnFormula>IFERROR(Table410[[#This Row],[Jun_2027_Days_Forecast]]*Table410[[#This Row],[Cost Boolean]]*(VLOOKUP(Table410[[#This Row],[RATE CONCAT]],Tables!I:N,6,0)),0)</calculatedColumnFormula>
    </tableColumn>
    <tableColumn id="188" xr3:uid="{E2107B81-CE50-48C7-BEAF-58E81B65414C}" name="Jun_2027_A" dataCellStyle="Currency"/>
    <tableColumn id="189" xr3:uid="{87FDE0BA-D0E7-44E1-87AC-77754A7743B8}" name="Jun_2027_D" dataDxfId="311" dataCellStyle="Currency">
      <calculatedColumnFormula>Table410[[#This Row],[Jun_2027_F]]-Table410[[#This Row],[Jun_2027_A]]</calculatedColumnFormula>
    </tableColumn>
    <tableColumn id="219" xr3:uid="{C5D96474-E56D-44A8-9F4E-DED3DA726041}" name="Jul_2027_F" dataDxfId="310" dataCellStyle="Currency">
      <calculatedColumnFormula>IFERROR(Table410[[#This Row],[Jul_2027_Days_Forecast]]*Table410[[#This Row],[Cost Boolean]]*(VLOOKUP(Table410[[#This Row],[RATE CONCAT]],Tables!I:N,6,0)),0)</calculatedColumnFormula>
    </tableColumn>
    <tableColumn id="220" xr3:uid="{1CBC0DF1-4350-4845-BA11-7DBD0E120FBF}" name="Jul_2027_A" dataDxfId="309" dataCellStyle="Currency"/>
    <tableColumn id="223" xr3:uid="{239B0957-AC7E-4824-BACC-99C6C1C6F2E0}" name="Jul_2027_D" dataDxfId="308" dataCellStyle="Currency">
      <calculatedColumnFormula>Table410[[#This Row],[Jul_2027_F]]-Table410[[#This Row],[Jul_2027_A]]</calculatedColumnFormula>
    </tableColumn>
    <tableColumn id="225" xr3:uid="{8F6E2633-8E26-4442-976A-5D71E8344010}" name="Aug_2027_F" dataDxfId="307" dataCellStyle="Currency">
      <calculatedColumnFormula>IFERROR(Table410[[#This Row],[Aug_2027_Days_Forecast]]*Table410[[#This Row],[Cost Boolean]]*(VLOOKUP(Table410[[#This Row],[RATE CONCAT]],Tables!I:N,6,0)),0)</calculatedColumnFormula>
    </tableColumn>
    <tableColumn id="226" xr3:uid="{66F55C85-CEAD-4283-B473-2E4C0E5E6D7C}" name="Aug_2027_A" dataDxfId="306" dataCellStyle="Currency"/>
    <tableColumn id="229" xr3:uid="{0F4D3C5F-97F9-4438-BE48-DCBB884F7549}" name="Aug_2027_D" dataDxfId="305" dataCellStyle="Currency">
      <calculatedColumnFormula>Table410[[#This Row],[Aug_2027_F]]-Table410[[#This Row],[Aug_2027_A]]</calculatedColumnFormula>
    </tableColumn>
    <tableColumn id="230" xr3:uid="{D0B5ABDE-3E7D-4A9B-9BBA-E24C0BB3595D}" name="Sep_2027_F" dataDxfId="304" dataCellStyle="Currency">
      <calculatedColumnFormula>IFERROR(Table410[[#This Row],[Sep_2027_Days_Forecast]]*Table410[[#This Row],[Cost Boolean]]*(VLOOKUP(Table410[[#This Row],[RATE CONCAT]],Tables!I:N,6,0)),0)</calculatedColumnFormula>
    </tableColumn>
    <tableColumn id="231" xr3:uid="{61FAE34E-E078-4FAB-9F7E-037FB9CDD958}" name="Sep_2027_A" dataDxfId="303" dataCellStyle="Currency"/>
    <tableColumn id="234" xr3:uid="{7893FACB-ADD4-48D9-8DAC-280A1E8BD750}" name="Sep_2027_D" dataDxfId="302" dataCellStyle="Currency">
      <calculatedColumnFormula>Table410[[#This Row],[Sep_2027_F]]-Table410[[#This Row],[Sep_2027_A]]</calculatedColumnFormula>
    </tableColumn>
    <tableColumn id="235" xr3:uid="{BE8D623E-A845-42E1-97DA-90F2338F1FB0}" name="Oct_2027_F" dataDxfId="301" dataCellStyle="Currency">
      <calculatedColumnFormula>IFERROR(Table410[[#This Row],[Oct_2027_Days_Forecast]]*Table410[[#This Row],[Cost Boolean]]*(VLOOKUP(Table410[[#This Row],[RATE CONCAT]],Tables!I:N,6,0)),0)</calculatedColumnFormula>
    </tableColumn>
    <tableColumn id="236" xr3:uid="{A36E4D4A-23DD-437D-9D2F-38955DE9FC10}" name="Oct_2027_A" dataDxfId="300" dataCellStyle="Currency"/>
    <tableColumn id="239" xr3:uid="{F2A5407A-1472-4A91-95F9-534FE8A2107F}" name="Oct_2027_D" dataDxfId="299" dataCellStyle="Currency">
      <calculatedColumnFormula>Table410[[#This Row],[Oct_2027_F]]-Table410[[#This Row],[Oct_2027_A]]</calculatedColumnFormula>
    </tableColumn>
    <tableColumn id="240" xr3:uid="{F0C4CA81-A7CA-4D42-A1B7-DB490F6DED2B}" name="Nov_2027_F" dataDxfId="298" dataCellStyle="Currency">
      <calculatedColumnFormula>IFERROR(Table410[[#This Row],[Nov_2027_Days_Forecast]]*Table410[[#This Row],[Cost Boolean]]*(VLOOKUP(Table410[[#This Row],[RATE CONCAT]],Tables!I:N,6,0)),0)</calculatedColumnFormula>
    </tableColumn>
    <tableColumn id="241" xr3:uid="{84DCF9BE-0FC4-4918-B91E-1B3E5B48CF30}" name="Nov_2027_A" dataDxfId="297" dataCellStyle="Currency"/>
    <tableColumn id="244" xr3:uid="{1F8C88E7-3198-47DB-8F40-C7E3E471544D}" name="Nov_2027_D" dataDxfId="296" dataCellStyle="Currency">
      <calculatedColumnFormula>Table410[[#This Row],[Nov_2027_F]]-Table410[[#This Row],[Nov_2027_A]]</calculatedColumnFormula>
    </tableColumn>
    <tableColumn id="245" xr3:uid="{E9728F2C-74B8-4AC1-86CE-32F8ECFAD3A7}" name="Dec_2027_F" dataDxfId="295" dataCellStyle="Currency">
      <calculatedColumnFormula>IFERROR(Table410[[#This Row],[Dec_2027_Days_Forecast]]*Table410[[#This Row],[Cost Boolean]]*(VLOOKUP(Table410[[#This Row],[RATE CONCAT]],Tables!I:N,6,0)),0)</calculatedColumnFormula>
    </tableColumn>
    <tableColumn id="246" xr3:uid="{644036B9-D5EA-4664-893A-BC85500D8505}" name="Dec_2027_A" dataDxfId="294" dataCellStyle="Currency"/>
    <tableColumn id="249" xr3:uid="{8E9A59A3-A240-403D-B5BB-73D478348743}" name="Dec_2027_D" dataDxfId="293" dataCellStyle="Currency">
      <calculatedColumnFormula>Table410[[#This Row],[Dec_2027_F]]-Table410[[#This Row],[Dec_2027_A]]</calculatedColumnFormula>
    </tableColumn>
  </tableColumns>
  <tableStyleInfo name="Input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7D0594-433E-4249-8DB1-6F0AE1C0B589}" name="Table4" displayName="Table4" ref="A9:EW86" totalsRowShown="0" headerRowDxfId="279">
  <autoFilter ref="A9:EW86" xr:uid="{E97D0594-433E-4249-8DB1-6F0AE1C0B5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autoFilter>
  <tableColumns count="153">
    <tableColumn id="1" xr3:uid="{7EECFB2D-D734-4780-8038-90CA148F97D9}" name="Personal Number" dataDxfId="278"/>
    <tableColumn id="2" xr3:uid="{A9B24BEC-8548-47C5-BB8C-B6B882BCF90D}" name="Workstream" dataDxfId="277"/>
    <tableColumn id="66" xr3:uid="{54470428-061A-40EC-A72C-5CCB9DDBD1AD}" name="Staff Type" dataDxfId="276"/>
    <tableColumn id="53" xr3:uid="{9E477F4C-3B83-4F5A-8591-F8715AE02838}" name="Resource Name" dataDxfId="275"/>
    <tableColumn id="54" xr3:uid="{250450C7-3246-4AA9-85DA-AD2FA2D66029}" name="Resource Provider" dataDxfId="274"/>
    <tableColumn id="3" xr3:uid="{2CD62FD7-D691-47A9-9461-7F27D8BEADE8}" name="Resource Plan Number" dataDxfId="273"/>
    <tableColumn id="5" xr3:uid="{7D944643-8367-42A6-A80E-8B099BADB054}" name="Country" dataDxfId="272"/>
    <tableColumn id="6" xr3:uid="{4E2FB9C6-4CFE-4809-A366-E31631A77F07}" name="JG" dataDxfId="271"/>
    <tableColumn id="79" xr3:uid="{12F638E7-A542-418D-ABA3-90DAB469CA37}" name="Resource Group / Team" dataDxfId="270"/>
    <tableColumn id="8" xr3:uid="{C439640F-EFA0-47EE-B6D8-30E80C9468B3}" name="Project Role" dataDxfId="269"/>
    <tableColumn id="9" xr3:uid="{A6909262-CE36-4952-8357-169DAD7F556D}" name="Status" dataDxfId="268"/>
    <tableColumn id="82" xr3:uid="{D82658B4-B247-4FBE-AA65-D471F27C898D}" name="Cost Boolean" dataDxfId="267"/>
    <tableColumn id="7" xr3:uid="{E872EC5D-56CD-47A6-9710-A64531766418}" name="Location" dataDxfId="266"/>
    <tableColumn id="44" xr3:uid="{5DBA4C3A-9449-4611-B7D4-0A94DD4916CD}" name="Capability" dataDxfId="265"/>
    <tableColumn id="81" xr3:uid="{B1FC7CEE-6575-430F-AA08-C03DDE966445}" name="OPEX/CAPEX" dataDxfId="264"/>
    <tableColumn id="80" xr3:uid="{B50568FF-85D3-4582-ACD4-7681195F0A56}" name="Tag" dataDxfId="263"/>
    <tableColumn id="256" xr3:uid="{BA10EAAA-D22C-42D0-B814-89CDDF0B0159}" name="WBSE" dataDxfId="262"/>
    <tableColumn id="67" xr3:uid="{89E45732-D3D8-443A-AE39-C10AE544DEBB}" name="Planned Start Date" dataDxfId="261"/>
    <tableColumn id="68" xr3:uid="{11892E69-2481-4F7E-91E4-B5955276284F}" name="Planned End Date" dataDxfId="260"/>
    <tableColumn id="69" xr3:uid="{CA488E4D-CAEC-4B84-9634-4F4F66B703C1}" name="Revised Start Date" dataDxfId="259"/>
    <tableColumn id="70" xr3:uid="{669A1A01-C5A5-4DD6-8BCB-1085E1704CC2}" name="Revised End Date" dataDxfId="258"/>
    <tableColumn id="40" xr3:uid="{74E92C73-CCCF-40D3-8F81-F39F4A9811C4}" name="Actual Start Date" dataDxfId="257"/>
    <tableColumn id="41" xr3:uid="{402C0B51-CFA8-4738-970B-096E319411EF}" name="Actual End Date" dataDxfId="256"/>
    <tableColumn id="85" xr3:uid="{123AE8C4-5612-4701-8A41-09CE87A26E18}" name="Comments" dataDxfId="255"/>
    <tableColumn id="191" xr3:uid="{0D03C8CF-4CF5-473B-BA88-1ED61C5DED68}" name="RATE CONCAT" dataDxfId="254">
      <calculatedColumnFormula>CONCATENATE(Table4[[#This Row],[JG]],Table4[[#This Row],[Country]],Table4[[#This Row],[Resource Provider]])</calculatedColumnFormula>
    </tableColumn>
    <tableColumn id="23" xr3:uid="{A629CA04-5D38-4601-A666-8100575ECB47}" name="Rate" dataDxfId="253">
      <calculatedColumnFormula>VLOOKUP(Table4[[#This Row],[RATE CONCAT]],Tables!I:N,5,0)</calculatedColumnFormula>
    </tableColumn>
    <tableColumn id="258" xr3:uid="{0966FA0F-432B-4966-B43E-525A76BDEEA7}" name="DAYS" dataDxfId="252"/>
    <tableColumn id="257" xr3:uid="{DE6C515D-A47E-4533-8D56-4A2AEE9E590C}" name="Jan_2026_Days_Forecast" dataDxfId="251"/>
    <tableColumn id="255" xr3:uid="{7D1CE339-B26F-4DA7-B14C-AF4D659F6FE5}" name="Feb_2026_Days_Forecast" dataDxfId="250"/>
    <tableColumn id="254" xr3:uid="{8449374E-9CC9-4B78-B4A9-82B5B64D3DBB}" name="Mar_2026_Days_Forecast" dataDxfId="249"/>
    <tableColumn id="253" xr3:uid="{4AB656D0-22CC-46DF-88AC-D4F918F13E63}" name="Apr_2026_Days_Forecast" dataDxfId="248"/>
    <tableColumn id="252" xr3:uid="{6348CF25-CDDC-4D2B-8D28-CAB092BB90F8}" name="May_2026_Days_Forecast" dataDxfId="247"/>
    <tableColumn id="251" xr3:uid="{185B61CA-9F47-4967-8948-0FFDE88F84B6}" name="Jun_2026_Days_Forecast" dataDxfId="246"/>
    <tableColumn id="250" xr3:uid="{63CD50F0-3484-40AA-A9D6-8EE47BFE3010}" name="Jul_2026_Days_Forecast" dataDxfId="245"/>
    <tableColumn id="224" xr3:uid="{B4873002-3F56-4DDB-8E80-D2589C39DFA3}" name="Aug_2026_Days_Forecast" dataDxfId="244"/>
    <tableColumn id="190" xr3:uid="{A7091D27-3FC2-4814-83D3-68715B6B4B5A}" name="Sep_2026_Days_Forecast" dataDxfId="243"/>
    <tableColumn id="102" xr3:uid="{F0D8AFCD-4663-41CF-939C-33C05FDD2182}" name="Oct_2026_Days_Forecast" dataDxfId="242"/>
    <tableColumn id="100" xr3:uid="{617209F6-BBF8-4BF1-80B7-6E3D1819D182}" name="Nov_2026_Days_Forecast" dataDxfId="241"/>
    <tableColumn id="97" xr3:uid="{56CBBDA1-45C7-4D50-9A93-9036D9C1AFD2}" name="Dec_2026_Days_Forecast" dataDxfId="240"/>
    <tableColumn id="64" xr3:uid="{2381FF70-737D-4A1A-A134-0BB1CDDE8607}" name="FTE" dataDxfId="239">
      <calculatedColumnFormula>IFERROR(AVERAGE(Table4[[#This Row],[Jan_2026_Days_Forecast]:[Dec_2026_Days_Forecast]]),0)/19</calculatedColumnFormula>
    </tableColumn>
    <tableColumn id="34" xr3:uid="{63201EA9-4447-4C14-B896-4FE65F46BFD1}" name="2026_FTE" dataDxfId="238">
      <calculatedColumnFormula>IFERROR(AVERAGE(Table4[[#This Row],[Jan_2026_Days_Actual]:[Dec_2026_Days_Actual]]),0)/19</calculatedColumnFormula>
    </tableColumn>
    <tableColumn id="120" xr3:uid="{42E54859-5443-4D1E-9BE9-CFE18682C1DC}" name="Jan_2026_Days_Actual" dataDxfId="237"/>
    <tableColumn id="121" xr3:uid="{D9A0F5B7-43A3-43F8-9DC1-840E1242A25B}" name="Feb_2026_Days_Actual" dataDxfId="236"/>
    <tableColumn id="122" xr3:uid="{2806615D-7071-40B3-B6C0-348618DC9E86}" name="Mar_2026_Days_Actual" dataDxfId="235"/>
    <tableColumn id="123" xr3:uid="{4E4CE0B1-0C3B-4581-9205-40277855B0E1}" name="Apr_2026_Days_Actual" dataDxfId="234"/>
    <tableColumn id="124" xr3:uid="{BBE0AA2B-38A4-4D01-8386-32C23D7952A4}" name="May_2026_Days_Actual" dataDxfId="233"/>
    <tableColumn id="125" xr3:uid="{A087022B-D030-4F1F-BD09-4163F07F0090}" name="Jun_2026_Days_Actual" dataDxfId="232"/>
    <tableColumn id="126" xr3:uid="{592CC0CF-8ECD-46FC-8842-0E01780E0699}" name="Jul_2026_Days_Actual" dataDxfId="231"/>
    <tableColumn id="127" xr3:uid="{0711C84A-1FC2-44E4-9705-60DBCADF8198}" name="Aug_2026_Days_Actual" dataDxfId="230"/>
    <tableColumn id="128" xr3:uid="{F01AEA09-CAF7-46BC-9792-F24C4FC6DFF4}" name="Sep_2026_Days_Actual" dataDxfId="229"/>
    <tableColumn id="129" xr3:uid="{FC608072-B023-48AF-B16C-BFA0D08E8E89}" name="Oct_2026_Days_Actual" dataDxfId="228"/>
    <tableColumn id="130" xr3:uid="{002AD748-E4C7-4337-B4EF-0035A9AB6AAD}" name="Nov_2026_Days_Actual" dataDxfId="227"/>
    <tableColumn id="131" xr3:uid="{7001FBFC-EF2E-42C3-9A80-7411718AAD8E}" name="Dec_2026_Days_Actual" dataDxfId="226"/>
    <tableColumn id="35" xr3:uid="{2F4CD631-9C7E-4418-ADAA-1EF43DA6A174}" name="2027_FTE" dataDxfId="225">
      <calculatedColumnFormula>IFERROR(AVERAGE(Table4[[#This Row],[Jan_2027_Days_Forecast]:[Dec_2027_Days_Forecast]]),0)</calculatedColumnFormula>
    </tableColumn>
    <tableColumn id="132" xr3:uid="{9D407336-CB16-4A7B-A56E-2A4344AAE509}" name="Jan_2027_Days_Forecast" dataDxfId="224"/>
    <tableColumn id="133" xr3:uid="{C267E883-0521-464E-85E0-BD36BC2E33EE}" name="Feb_2027_Days_Forecast" dataDxfId="223"/>
    <tableColumn id="134" xr3:uid="{C87E4BC6-AFDB-4971-B5D5-4FD14F2EAA24}" name="Mar_2027_Days_Forecast" dataDxfId="222"/>
    <tableColumn id="135" xr3:uid="{4E81C8EF-7906-42C3-B788-47CACABE26A5}" name="Apr_2027_Days_Forecast" dataDxfId="221"/>
    <tableColumn id="136" xr3:uid="{2AA3F328-1882-4F92-B147-9AFACAB860C0}" name="May_2027_Days_Forecast" dataDxfId="220"/>
    <tableColumn id="137" xr3:uid="{9E63C06E-B11B-4E0C-9DDA-DF89EC1AFDFA}" name="Jun_2027_Days_Forecast" dataDxfId="219"/>
    <tableColumn id="78" xr3:uid="{E0665526-BDB8-4816-87BA-6BC440F9FD61}" name="Jul_2027_Days_Forecast" dataDxfId="218"/>
    <tableColumn id="77" xr3:uid="{B1D6AA31-F71D-4CFD-98B1-8A0E3B398A85}" name="Aug_2027_Days_Forecast" dataDxfId="217"/>
    <tableColumn id="76" xr3:uid="{3A9CA087-D63D-4E0C-B2DC-3F04FE05B933}" name="Sep_2027_Days_Forecast" dataDxfId="216"/>
    <tableColumn id="75" xr3:uid="{8E06249C-2BCD-45A4-810C-E254B79AA0E4}" name="Oct_2027_Days_Forecast" dataDxfId="215"/>
    <tableColumn id="74" xr3:uid="{BA7A15F4-9287-4291-B3AB-7CC7B560430C}" name="Nov_2027_Days_Forecast" dataDxfId="214"/>
    <tableColumn id="73" xr3:uid="{F6B7F6D1-687E-4194-BB77-FC1BAD31A834}" name="Dec_2027_Days_Forecast" dataDxfId="213"/>
    <tableColumn id="138" xr3:uid="{F094A932-E3AA-42A9-878A-EBD2B75C678D}" name="COSTS" dataDxfId="212"/>
    <tableColumn id="10" xr3:uid="{CD7FAEF8-E705-4599-91DC-3689D31C96F1}" name="2026_C" dataDxfId="211" dataCellStyle="Currency"/>
    <tableColumn id="31" xr3:uid="{6DFC4983-C4B8-4BC9-85B1-CE42E2767660}" name="Jan_2026_F" dataDxfId="210" dataCellStyle="Currency">
      <calculatedColumnFormula>Table4[[#This Row],[Jan_2026_Days_Forecast]]*Table4[[#This Row],[Cost Boolean]]*VLOOKUP(Table4[[#This Row],[RATE CONCAT]],Tables!I:N,5,0)</calculatedColumnFormula>
    </tableColumn>
    <tableColumn id="32" xr3:uid="{FB8D99C5-B5AE-44D1-9DB2-1B7247295CE6}" name="Jan_2026_A" dataDxfId="209" dataCellStyle="Currency">
      <calculatedColumnFormula>IFERROR(Table4[[#This Row],[Jan_2026_Days_Actual]]*Table4[[#This Row],[Cost Boolean]]*(VLOOKUP(Table4[[#This Row],[RATE CONCAT]],Tables!I:N,5,0)),0)</calculatedColumnFormula>
    </tableColumn>
    <tableColumn id="33" xr3:uid="{FE68A5B5-EDBB-4072-99CD-812C6FC97FD5}" name="Jan_2026_V" dataDxfId="208" dataCellStyle="Currency">
      <calculatedColumnFormula>Table4[[#This Row],[Jan_2026_F]]-Table4[[#This Row],[Jan_2026_A]]</calculatedColumnFormula>
    </tableColumn>
    <tableColumn id="4" xr3:uid="{4640CB0B-269E-4C35-954E-CE79F808B694}" name="Jan_2026_V_Reason" dataDxfId="207" dataCellStyle="Currency"/>
    <tableColumn id="139" xr3:uid="{FF93CD4E-5A2D-419B-8468-D4C9F6FB7D18}" name="Feb_2026_F" dataDxfId="206" dataCellStyle="Currency">
      <calculatedColumnFormula>IFERROR(Table4[[#This Row],[Feb_2026_Days_Forecast]]*Table4[[#This Row],[Cost Boolean]]*(VLOOKUP(Table4[[#This Row],[RATE CONCAT]],Tables!I:N,5,0)),0)</calculatedColumnFormula>
    </tableColumn>
    <tableColumn id="140" xr3:uid="{FA27A09E-A74D-46A3-93C0-D510812DA426}" name="Feb_2026_A" dataDxfId="205" dataCellStyle="Currency">
      <calculatedColumnFormula>IFERROR(Table4[[#This Row],[Feb_2026_Days_Actual]]*Table4[[#This Row],[Cost Boolean]]*(VLOOKUP(Table4[[#This Row],[RATE CONCAT]],Tables!I:N,5,0)),0)</calculatedColumnFormula>
    </tableColumn>
    <tableColumn id="141" xr3:uid="{2D2D0A18-6977-4F63-AD8A-E90E694C66E0}" name="Feb_2026_D" dataDxfId="204" dataCellStyle="Currency">
      <calculatedColumnFormula>Table4[[#This Row],[Feb_2026_F]]-Table4[[#This Row],[Feb_2026_A]]</calculatedColumnFormula>
    </tableColumn>
    <tableColumn id="12" xr3:uid="{367BB7FC-BF18-413E-B489-56929ABD85E3}" name="Feb_2026_V_Reason" dataDxfId="203" dataCellStyle="Currency"/>
    <tableColumn id="142" xr3:uid="{F3EBDB15-F662-41EC-94BA-8F194696BF19}" name="Mar_2026_F" dataDxfId="202" dataCellStyle="Currency">
      <calculatedColumnFormula>IFERROR(Table4[[#This Row],[Mar_2026_Days_Forecast]]*Table4[[#This Row],[Cost Boolean]]*(VLOOKUP(Table4[[#This Row],[RATE CONCAT]],Tables!I:N,5,0)),0)</calculatedColumnFormula>
    </tableColumn>
    <tableColumn id="143" xr3:uid="{92179199-CEB4-4517-A7BE-34D733B91AD5}" name="Mar_2026_A" dataDxfId="201" dataCellStyle="Currency">
      <calculatedColumnFormula>IFERROR(Table4[[#This Row],[Mar_2026_Days_Actual]]*Table4[[#This Row],[Cost Boolean]]*(VLOOKUP(Table4[[#This Row],[RATE CONCAT]],Tables!I:N,5,0)),0)</calculatedColumnFormula>
    </tableColumn>
    <tableColumn id="144" xr3:uid="{65392C08-46B0-4D30-9384-4DF37C6E1033}" name="Mar_2026_D" dataDxfId="200" dataCellStyle="Currency">
      <calculatedColumnFormula>Table4[[#This Row],[Mar_2026_F]]-Table4[[#This Row],[Mar_2026_A]]</calculatedColumnFormula>
    </tableColumn>
    <tableColumn id="13" xr3:uid="{3705217A-A87C-43B3-B3A2-3E8D1A64BEB4}" name="Mar_2026_V_Reason" dataDxfId="199"/>
    <tableColumn id="145" xr3:uid="{E11255E1-CF71-4F62-8EF5-5C61AF7F084E}" name="Apr_2026_F" dataDxfId="198" dataCellStyle="Currency">
      <calculatedColumnFormula>IFERROR(Table4[[#This Row],[Apr_2026_Days_Forecast]]*Table4[[#This Row],[Cost Boolean]]*(VLOOKUP(Table4[[#This Row],[RATE CONCAT]],Tables!I:N,5,0)),0)</calculatedColumnFormula>
    </tableColumn>
    <tableColumn id="146" xr3:uid="{BD4B71EB-9A7E-4273-BC03-953481581B86}" name="Apr_2026_A" dataDxfId="197" dataCellStyle="Currency">
      <calculatedColumnFormula>IFERROR(Table4[[#This Row],[Apr_2026_Days_Actual]]*Table4[[#This Row],[Cost Boolean]]*(VLOOKUP(Table4[[#This Row],[RATE CONCAT]],Tables!I:N,5,0)),0)</calculatedColumnFormula>
    </tableColumn>
    <tableColumn id="147" xr3:uid="{3471C093-4F85-45FA-8718-F4C854D62752}" name="Apr_2026_D" dataDxfId="196" dataCellStyle="Currency">
      <calculatedColumnFormula>Table4[[#This Row],[Apr_2026_F]]-Table4[[#This Row],[Apr_2026_A]]</calculatedColumnFormula>
    </tableColumn>
    <tableColumn id="14" xr3:uid="{46B976CA-D980-49DC-8977-3EC4AB14A971}" name="Apr_2026_V_Reason" dataDxfId="195"/>
    <tableColumn id="148" xr3:uid="{9D52584F-77DC-4045-BCD2-FC916FB80D3C}" name="May_2026_F" dataDxfId="194" dataCellStyle="Currency">
      <calculatedColumnFormula>IFERROR(Table4[[#This Row],[May_2026_Days_Forecast]] *Table4[[#This Row],[Cost Boolean]]*(VLOOKUP(Table4[[#This Row],[RATE CONCAT]],Tables!I:N,5,0)),0)</calculatedColumnFormula>
    </tableColumn>
    <tableColumn id="149" xr3:uid="{8469DC5C-04F6-42FA-AA2C-F5E4C842181D}" name="May_2026_A" dataDxfId="193" dataCellStyle="Currency">
      <calculatedColumnFormula>IFERROR(Table4[[#This Row],[May_2026_Days_Actual]]*Table4[[#This Row],[Cost Boolean]]*(VLOOKUP(Table4[[#This Row],[RATE CONCAT]],Tables!I:N,5,0)),0)</calculatedColumnFormula>
    </tableColumn>
    <tableColumn id="150" xr3:uid="{0EAD3E25-D300-4D4E-A1E7-7389FDE13926}" name="May_2026_D" dataDxfId="192" dataCellStyle="Currency">
      <calculatedColumnFormula>Table4[[#This Row],[May_2026_F]]-Table4[[#This Row],[May_2026_A]]</calculatedColumnFormula>
    </tableColumn>
    <tableColumn id="15" xr3:uid="{A6A4785D-C4F2-4A18-9620-4FA1A8C1D95C}" name="May_2026_V_Reason" dataDxfId="191"/>
    <tableColumn id="151" xr3:uid="{D50ADA6B-0AFF-471E-AFFF-160BC0F7CF60}" name="Jun_2026_F" dataDxfId="190" dataCellStyle="Currency">
      <calculatedColumnFormula>IFERROR(Table4[[#This Row],[Jun_2026_Days_Forecast]]*Table4[[#This Row],[Cost Boolean]]*(VLOOKUP(Table4[[#This Row],[RATE CONCAT]],Tables!I:N,5,0)),0)</calculatedColumnFormula>
    </tableColumn>
    <tableColumn id="152" xr3:uid="{6C052C54-4A0B-4834-894D-E12A47DB8016}" name="Jun_2026_A" dataDxfId="189" dataCellStyle="Currency">
      <calculatedColumnFormula>IFERROR(Table4[[#This Row],[Jun_2026_Days_Actual]]*Table4[[#This Row],[Cost Boolean]]*(VLOOKUP(Table4[[#This Row],[RATE CONCAT]],Tables!I:N,5,0)),0)</calculatedColumnFormula>
    </tableColumn>
    <tableColumn id="153" xr3:uid="{B8BE2CD3-3812-4AE3-A257-BA939F3A5604}" name="Jun_2026_D" dataDxfId="188" dataCellStyle="Currency">
      <calculatedColumnFormula>Table4[[#This Row],[Jun_2026_F]]-Table4[[#This Row],[Jun_2026_A]]</calculatedColumnFormula>
    </tableColumn>
    <tableColumn id="16" xr3:uid="{D115AE6C-BE3B-4FD5-9D2B-05506B2DE3A9}" name="Jun_2026_V_Reason" dataDxfId="187"/>
    <tableColumn id="154" xr3:uid="{20699F37-3E88-4525-BC0E-1E764F6CE0CA}" name="Jul_2026_F" dataDxfId="186" dataCellStyle="Currency">
      <calculatedColumnFormula>IFERROR(Table4[[#This Row],[Jul_2026_Days_Forecast]]*Table4[[#This Row],[Cost Boolean]]*(VLOOKUP(Table4[[#This Row],[RATE CONCAT]],Tables!I:N,5,0)),0)</calculatedColumnFormula>
    </tableColumn>
    <tableColumn id="155" xr3:uid="{D99A058C-09A9-4FD7-AE6E-C201A98E0259}" name="Jul_2026_A" dataDxfId="185" dataCellStyle="Currency">
      <calculatedColumnFormula>IFERROR(Table4[[#This Row],[Aug_2026_Days_Forecast]]*Table4[[#This Row],[Location]]*(VLOOKUP(Table4[[#This Row],[Rate]],Tables!J:O,5,0)),0)</calculatedColumnFormula>
    </tableColumn>
    <tableColumn id="156" xr3:uid="{DDF2FCA1-7423-4311-AE0B-3875D8316C37}" name="Jul_2026_D" dataDxfId="184" dataCellStyle="Currency">
      <calculatedColumnFormula>Table4[[#This Row],[Jul_2026_F]]-Table4[[#This Row],[Jul_2026_A]]</calculatedColumnFormula>
    </tableColumn>
    <tableColumn id="17" xr3:uid="{4FC1C56D-6574-4BCC-A2A1-138701ED3E2F}" name="Jul_2026_V_Reason" dataDxfId="183"/>
    <tableColumn id="157" xr3:uid="{10708992-488E-4F01-B197-ED98F540F6DD}" name="Aug_2026_F" dataDxfId="182" dataCellStyle="Currency">
      <calculatedColumnFormula>IFERROR(Table4[[#This Row],[Aug_2026_Days_Forecast]]*Table4[[#This Row],[Cost Boolean]]*(VLOOKUP(Table4[[#This Row],[RATE CONCAT]],Tables!I:N,5,0)),0)</calculatedColumnFormula>
    </tableColumn>
    <tableColumn id="158" xr3:uid="{7107C961-4CA7-43BC-B1E7-3C4D4420BB56}" name="Aug_2026_A" dataDxfId="181" dataCellStyle="Currency">
      <calculatedColumnFormula>IFERROR(Table4[[#This Row],[Aug_2026_Days_Actual]]*Table4[[#This Row],[Cost Boolean]]*(VLOOKUP(Table4[[#This Row],[RATE CONCAT]],Tables!I:N,5,0)),0)</calculatedColumnFormula>
    </tableColumn>
    <tableColumn id="159" xr3:uid="{4CBEED5B-B537-4803-8EE0-938D710BAF1E}" name="Aug_2026_D" dataDxfId="180" dataCellStyle="Currency">
      <calculatedColumnFormula>Table4[[#This Row],[Aug_2026_F]]-Table4[[#This Row],[Aug_2026_A]]</calculatedColumnFormula>
    </tableColumn>
    <tableColumn id="18" xr3:uid="{59CAC19F-22EA-4947-9A6B-D85749C7E704}" name="Aug_2026_V_Reason" dataDxfId="179"/>
    <tableColumn id="160" xr3:uid="{2ED02FDE-A808-46FB-9289-635207EDCB84}" name="Sep_2026_F" dataDxfId="178" dataCellStyle="Currency">
      <calculatedColumnFormula>IFERROR(Table4[[#This Row],[Sep_2026_Days_Forecast]]*Table4[[#This Row],[Cost Boolean]]*(VLOOKUP(Table4[[#This Row],[RATE CONCAT]],Tables!I:N,5,0)),0)</calculatedColumnFormula>
    </tableColumn>
    <tableColumn id="161" xr3:uid="{E13A5F9F-762F-4D27-B0AB-80653DC13A45}" name="Sep_2026_A" dataDxfId="177" dataCellStyle="Currency">
      <calculatedColumnFormula>IFERROR(Table4[[#This Row],[Sep_2026_Days_Actual]]*Table4[[#This Row],[Cost Boolean]]*(VLOOKUP(Table4[[#This Row],[RATE CONCAT]],Tables!I:N,5,0)),0)</calculatedColumnFormula>
    </tableColumn>
    <tableColumn id="162" xr3:uid="{87DD5E9C-D51C-483B-B52A-B38867688BBB}" name="Sep_2026_D" dataDxfId="176" dataCellStyle="Currency">
      <calculatedColumnFormula>Table4[[#This Row],[Sep_2026_F]]-Table4[[#This Row],[Sep_2026_A]]</calculatedColumnFormula>
    </tableColumn>
    <tableColumn id="19" xr3:uid="{94C9F438-75D1-4BCF-B2E4-A0A122F18688}" name="Sep_2026_V_Reason" dataDxfId="175"/>
    <tableColumn id="163" xr3:uid="{1EAA3C34-68C9-4B5D-9A3F-CDBB8B9DF2A8}" name="Oct_2026_F" dataDxfId="174" dataCellStyle="Currency">
      <calculatedColumnFormula>IFERROR(Table4[[#This Row],[Oct_2026_Days_Forecast]]*Table4[[#This Row],[Cost Boolean]]*(VLOOKUP(Table4[[#This Row],[RATE CONCAT]],Tables!I:N,5,0)),0)</calculatedColumnFormula>
    </tableColumn>
    <tableColumn id="164" xr3:uid="{68ED6A06-5B45-4276-A7C3-20C06724829C}" name="Oct_2026_A" dataDxfId="173" dataCellStyle="Currency">
      <calculatedColumnFormula>IFERROR(Table4[[#This Row],[Oct_2026_Days_Actual]]*Table4[[#This Row],[Cost Boolean]]*(VLOOKUP(Table4[[#This Row],[RATE CONCAT]],Tables!I:N,5,0)),0)</calculatedColumnFormula>
    </tableColumn>
    <tableColumn id="165" xr3:uid="{602C3E1A-2BCF-4234-9FF2-4053FDD4F396}" name="Oct_2026_D" dataDxfId="172" dataCellStyle="Currency">
      <calculatedColumnFormula>Table4[[#This Row],[Oct_2026_F]]-Table4[[#This Row],[Oct_2026_A]]</calculatedColumnFormula>
    </tableColumn>
    <tableColumn id="20" xr3:uid="{CDDD1E4A-83DA-4864-BC29-E9BC49893984}" name="Oct_2026_V_Reason" dataDxfId="171"/>
    <tableColumn id="166" xr3:uid="{663FD921-6BD3-4259-AD7A-00EF010B998D}" name="Nov_2026_F" dataDxfId="170" dataCellStyle="Currency">
      <calculatedColumnFormula>IFERROR(Table4[[#This Row],[Nov_2026_Days_Forecast]]*Table4[[#This Row],[Cost Boolean]]*(VLOOKUP(Table4[[#This Row],[RATE CONCAT]],Tables!I:N,5,0)),0)</calculatedColumnFormula>
    </tableColumn>
    <tableColumn id="167" xr3:uid="{E2A8A4E6-54F9-4484-A2DA-47BE15F25068}" name="Nov_2026_A" dataDxfId="169" dataCellStyle="Currency">
      <calculatedColumnFormula>IFERROR(Table4[[#This Row],[Nov_2026_Days_Actual]]*Table4[[#This Row],[Cost Boolean]]*(VLOOKUP(Table4[[#This Row],[RATE CONCAT]],Tables!I:N,5,0)),0)</calculatedColumnFormula>
    </tableColumn>
    <tableColumn id="168" xr3:uid="{B87FE1EA-5A07-4BBB-875C-9FDE848B07B6}" name="Nov_2026_D" dataDxfId="168" dataCellStyle="Currency">
      <calculatedColumnFormula>Table4[[#This Row],[Nov_2026_F]]-Table4[[#This Row],[Nov_2026_A]]</calculatedColumnFormula>
    </tableColumn>
    <tableColumn id="21" xr3:uid="{38AE6051-FFA5-41E4-B247-E41C988BF5EC}" name="Nov_2026_V_Reason" dataDxfId="167"/>
    <tableColumn id="169" xr3:uid="{E7261E20-8B26-4222-A7BF-F289FB443879}" name="Dec_2026_F" dataDxfId="166" dataCellStyle="Currency">
      <calculatedColumnFormula>IFERROR(Table4[[#This Row],[Dec_2026_Days_Forecast]]*Table4[[#This Row],[Cost Boolean]]*(VLOOKUP(Table4[[#This Row],[RATE CONCAT]],Tables!I:N,5,0)),0)</calculatedColumnFormula>
    </tableColumn>
    <tableColumn id="170" xr3:uid="{E554C176-FD02-4ABE-AB1F-0A092DB66338}" name="Dec_2026_A" dataDxfId="165" dataCellStyle="Currency">
      <calculatedColumnFormula>IFERROR(Table4[[#This Row],[Dec_2026_Days_Actual]]*Table4[[#This Row],[Cost Boolean]]*(VLOOKUP(Table4[[#This Row],[RATE CONCAT]],Tables!I:N,5,0)),0)</calculatedColumnFormula>
    </tableColumn>
    <tableColumn id="171" xr3:uid="{83192BDF-6701-4979-87C5-7FE3DD5E6C65}" name="Dec_2026_D" dataDxfId="164" dataCellStyle="Currency">
      <calculatedColumnFormula>Table4[[#This Row],[Dec_2026_F]]-Table4[[#This Row],[Dec_2026_A]]</calculatedColumnFormula>
    </tableColumn>
    <tableColumn id="22" xr3:uid="{5CF4A990-3EE7-4B37-97DB-FD9AFBF99657}" name="Dec_2026_V_Reason" dataDxfId="163"/>
    <tableColumn id="11" xr3:uid="{95F133B4-9E77-455D-90BA-D611D6FD8800}" name="2027_C" dataDxfId="162" dataCellStyle="Currency"/>
    <tableColumn id="172" xr3:uid="{D0C4C98F-624C-4C44-B289-34ECF05A3DDF}" name="Jan_2027_F" dataDxfId="161" dataCellStyle="Currency">
      <calculatedColumnFormula>IFERROR(Table4[[#This Row],[Jan_2027_Days_Forecast]]*Table4[[#This Row],[Cost Boolean]]*(VLOOKUP(Table4[[#This Row],[RATE CONCAT]],Tables!I:N,6,0)),0)</calculatedColumnFormula>
    </tableColumn>
    <tableColumn id="173" xr3:uid="{22DA0B7A-1F67-446F-90D6-463ED3D78B6D}" name="Jan_2027_A" dataCellStyle="Currency"/>
    <tableColumn id="174" xr3:uid="{13B2F50B-A7A5-45F5-88E4-657AA8288846}" name="Jan_2027_D" dataDxfId="160" dataCellStyle="Currency">
      <calculatedColumnFormula>Table4[[#This Row],[Jan_2027_F]]-Table4[[#This Row],[Jan_2027_A]]</calculatedColumnFormula>
    </tableColumn>
    <tableColumn id="175" xr3:uid="{9A4FAC2A-F4D5-40EE-B5F4-E5E136BB90EE}" name="Feb_2027_F" dataDxfId="159" dataCellStyle="Currency">
      <calculatedColumnFormula>IFERROR(Table4[[#This Row],[Feb_2027_Days_Forecast]]*Table4[[#This Row],[Cost Boolean]]*(VLOOKUP(Table4[[#This Row],[RATE CONCAT]],Tables!I:N,6,0)),0)</calculatedColumnFormula>
    </tableColumn>
    <tableColumn id="176" xr3:uid="{8A96D55D-0889-464E-B9CB-4FD2E6EA4B81}" name="Feb_2027_A" dataCellStyle="Currency"/>
    <tableColumn id="177" xr3:uid="{891B7395-12A7-46C8-9129-3B415C293E2F}" name="Feb_2027_D" dataDxfId="158" dataCellStyle="Currency">
      <calculatedColumnFormula>Table4[[#This Row],[Feb_2027_F]]-Table4[[#This Row],[Feb_2027_A]]</calculatedColumnFormula>
    </tableColumn>
    <tableColumn id="178" xr3:uid="{7B5698F8-C136-4EA3-A93F-E7E3CFE70116}" name="Mar_2027_F" dataDxfId="157" dataCellStyle="Currency">
      <calculatedColumnFormula>IFERROR(Table4[[#This Row],[Mar_2027_Days_Forecast]]*Table4[[#This Row],[Cost Boolean]]*(VLOOKUP(Table4[[#This Row],[RATE CONCAT]],Tables!I:N,6,0)),0)</calculatedColumnFormula>
    </tableColumn>
    <tableColumn id="179" xr3:uid="{66D6889B-B1EB-413A-BB4C-DF793DB84094}" name="Mar_2027_A" dataCellStyle="Currency"/>
    <tableColumn id="180" xr3:uid="{B164E959-2243-408D-91B3-A36AAA478032}" name="Mar_2027_D" dataDxfId="156" dataCellStyle="Currency">
      <calculatedColumnFormula>Table4[[#This Row],[Mar_2027_F]]-Table4[[#This Row],[Mar_2027_A]]</calculatedColumnFormula>
    </tableColumn>
    <tableColumn id="181" xr3:uid="{3F1A565B-9A6E-4D90-AA37-E0DC2B831965}" name="Apr_2027_F" dataDxfId="155" dataCellStyle="Currency">
      <calculatedColumnFormula>IFERROR(Table4[[#This Row],[Apr_2027_Days_Forecast]]*Table4[[#This Row],[Cost Boolean]]*(VLOOKUP(Table4[[#This Row],[RATE CONCAT]],Tables!I:N,6,0)),0)</calculatedColumnFormula>
    </tableColumn>
    <tableColumn id="182" xr3:uid="{FB27B010-20AF-401C-A7AC-D4A976F7EB32}" name="Apr_2027_A" dataCellStyle="Currency"/>
    <tableColumn id="183" xr3:uid="{9B5808C1-7264-4470-9F81-02475B6A387A}" name="Apr_2027_D" dataDxfId="154" dataCellStyle="Currency">
      <calculatedColumnFormula>Table4[[#This Row],[Apr_2027_F]]-Table4[[#This Row],[Apr_2027_A]]</calculatedColumnFormula>
    </tableColumn>
    <tableColumn id="184" xr3:uid="{7CE86FDA-A5DC-4FD5-A1DC-853F3D3AC390}" name="May_2027_F" dataDxfId="153" dataCellStyle="Currency">
      <calculatedColumnFormula>IFERROR(Table4[[#This Row],[May_2027_Days_Forecast]]*Table4[[#This Row],[Cost Boolean]]*(VLOOKUP(Table4[[#This Row],[RATE CONCAT]],Tables!I:N,6,0)),0)</calculatedColumnFormula>
    </tableColumn>
    <tableColumn id="185" xr3:uid="{0F0B7CC2-7488-4D16-BE56-5F43196CD2A3}" name="May_2027_A" dataCellStyle="Currency"/>
    <tableColumn id="186" xr3:uid="{093AE64F-EDDE-4227-8B87-08F29395DCA8}" name="May_2027_D" dataDxfId="152" dataCellStyle="Currency">
      <calculatedColumnFormula>Table4[[#This Row],[May_2027_F]]-Table4[[#This Row],[May_2027_A]]</calculatedColumnFormula>
    </tableColumn>
    <tableColumn id="187" xr3:uid="{5F8F41B3-7360-4A93-BE19-1369D23E4569}" name="Jun_2027_F" dataDxfId="151" dataCellStyle="Currency">
      <calculatedColumnFormula>IFERROR(Table4[[#This Row],[Jun_2027_Days_Forecast]]*Table4[[#This Row],[Cost Boolean]]*(VLOOKUP(Table4[[#This Row],[RATE CONCAT]],Tables!I:N,6,0)),0)</calculatedColumnFormula>
    </tableColumn>
    <tableColumn id="188" xr3:uid="{F720B238-8731-404A-9315-4231EF81EC5B}" name="Jun_2027_A" dataCellStyle="Currency"/>
    <tableColumn id="189" xr3:uid="{D870074E-1F5F-44A7-A7AF-371A87A14ED3}" name="Jun_2027_D" dataDxfId="150" dataCellStyle="Currency">
      <calculatedColumnFormula>Table4[[#This Row],[Jun_2027_F]]-Table4[[#This Row],[Jun_2027_A]]</calculatedColumnFormula>
    </tableColumn>
    <tableColumn id="219" xr3:uid="{313E568A-6464-4B4A-BE66-B5CC2F6350AF}" name="Jul_2027_F" dataDxfId="149" dataCellStyle="Currency">
      <calculatedColumnFormula>IFERROR(Table4[[#This Row],[Jul_2027_Days_Forecast]]*Table4[[#This Row],[Cost Boolean]]*(VLOOKUP(Table4[[#This Row],[RATE CONCAT]],Tables!I:N,6,0)),0)</calculatedColumnFormula>
    </tableColumn>
    <tableColumn id="220" xr3:uid="{7AD29B3D-9861-4B0E-9570-E523FAAC5069}" name="Jul_2027_A" dataDxfId="148" dataCellStyle="Currency"/>
    <tableColumn id="223" xr3:uid="{709D139D-5809-4D67-BCDF-4FCA10BACD49}" name="Jul_2027_D" dataDxfId="147" dataCellStyle="Currency">
      <calculatedColumnFormula>Table4[[#This Row],[Jul_2027_F]]-Table4[[#This Row],[Jul_2027_A]]</calculatedColumnFormula>
    </tableColumn>
    <tableColumn id="225" xr3:uid="{41040A21-1CBB-4688-BAF1-66D3BDAD7641}" name="Aug_2027_F" dataDxfId="146" dataCellStyle="Currency">
      <calculatedColumnFormula>IFERROR(Table4[[#This Row],[Aug_2027_Days_Forecast]]*Table4[[#This Row],[Cost Boolean]]*(VLOOKUP(Table4[[#This Row],[RATE CONCAT]],Tables!I:N,6,0)),0)</calculatedColumnFormula>
    </tableColumn>
    <tableColumn id="226" xr3:uid="{C40F398F-A82A-4DF1-8D19-9AA9A9CAA44B}" name="Aug_2027_A" dataDxfId="145" dataCellStyle="Currency"/>
    <tableColumn id="229" xr3:uid="{CD7A331F-EA1E-4232-A936-C97F8243EA04}" name="Aug_2027_D" dataDxfId="144" dataCellStyle="Currency">
      <calculatedColumnFormula>Table4[[#This Row],[Aug_2027_F]]-Table4[[#This Row],[Aug_2027_A]]</calculatedColumnFormula>
    </tableColumn>
    <tableColumn id="230" xr3:uid="{C147B42B-463A-4E71-A416-47636933ADF5}" name="Sep_2027_F" dataDxfId="143" dataCellStyle="Currency">
      <calculatedColumnFormula>IFERROR(Table4[[#This Row],[Sep_2027_Days_Forecast]]*Table4[[#This Row],[Cost Boolean]]*(VLOOKUP(Table4[[#This Row],[RATE CONCAT]],Tables!I:N,6,0)),0)</calculatedColumnFormula>
    </tableColumn>
    <tableColumn id="231" xr3:uid="{1F4F631B-D928-4CEB-9EFE-1927174E0379}" name="Sep_2027_A" dataDxfId="142" dataCellStyle="Currency"/>
    <tableColumn id="234" xr3:uid="{EA4588D9-777B-4865-A426-A03353D1A1E3}" name="Sep_2027_D" dataDxfId="141" dataCellStyle="Currency">
      <calculatedColumnFormula>Table4[[#This Row],[Sep_2027_F]]-Table4[[#This Row],[Sep_2027_A]]</calculatedColumnFormula>
    </tableColumn>
    <tableColumn id="235" xr3:uid="{7030716D-44A9-45BE-85E7-FD7FBC296CF7}" name="Oct_2027_F" dataDxfId="140" dataCellStyle="Currency">
      <calculatedColumnFormula>IFERROR(Table4[[#This Row],[Oct_2027_Days_Forecast]]*Table4[[#This Row],[Cost Boolean]]*(VLOOKUP(Table4[[#This Row],[RATE CONCAT]],Tables!I:N,6,0)),0)</calculatedColumnFormula>
    </tableColumn>
    <tableColumn id="236" xr3:uid="{27BEFE69-7024-4C82-B7AB-6CE1ADCA0248}" name="Oct_2027_A" dataDxfId="139" dataCellStyle="Currency"/>
    <tableColumn id="239" xr3:uid="{1DF770E1-93E3-4EF2-ADBE-0C2F31CC3F89}" name="Oct_2027_D" dataDxfId="138" dataCellStyle="Currency">
      <calculatedColumnFormula>Table4[[#This Row],[Oct_2027_F]]-Table4[[#This Row],[Oct_2027_A]]</calculatedColumnFormula>
    </tableColumn>
    <tableColumn id="240" xr3:uid="{AA784878-833B-429A-96CD-469814FE6659}" name="Nov_2027_F" dataDxfId="137" dataCellStyle="Currency">
      <calculatedColumnFormula>IFERROR(Table4[[#This Row],[Nov_2027_Days_Forecast]]*Table4[[#This Row],[Cost Boolean]]*(VLOOKUP(Table4[[#This Row],[RATE CONCAT]],Tables!I:N,6,0)),0)</calculatedColumnFormula>
    </tableColumn>
    <tableColumn id="241" xr3:uid="{866D0C0A-76F2-4942-9E56-EE0D8697A911}" name="Nov_2027_A" dataDxfId="136" dataCellStyle="Currency"/>
    <tableColumn id="244" xr3:uid="{BA71AAC7-1E50-4886-B972-5A829D2891EF}" name="Nov_2027_D" dataDxfId="135" dataCellStyle="Currency">
      <calculatedColumnFormula>Table4[[#This Row],[Nov_2027_F]]-Table4[[#This Row],[Nov_2027_A]]</calculatedColumnFormula>
    </tableColumn>
    <tableColumn id="245" xr3:uid="{87770D92-E9AA-43CB-BE8A-4B46F0F4E161}" name="Dec_2027_F" dataDxfId="134" dataCellStyle="Currency">
      <calculatedColumnFormula>IFERROR(Table4[[#This Row],[Dec_2027_Days_Forecast]]*Table4[[#This Row],[Cost Boolean]]*(VLOOKUP(Table4[[#This Row],[RATE CONCAT]],Tables!I:N,6,0)),0)</calculatedColumnFormula>
    </tableColumn>
    <tableColumn id="246" xr3:uid="{EB15BA18-47E8-4F04-B062-B4645C3841C2}" name="Dec_2027_A" dataDxfId="133" dataCellStyle="Currency"/>
    <tableColumn id="249" xr3:uid="{55A40098-E18A-4D67-893C-75C6756C31EE}" name="Dec_2027_D" dataDxfId="132" dataCellStyle="Currency">
      <calculatedColumnFormula>Table4[[#This Row],[Dec_2027_F]]-Table4[[#This Row],[Dec_2027_A]]</calculatedColumnFormula>
    </tableColumn>
  </tableColumns>
  <tableStyleInfo name="Input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07D213-1003-446A-8096-E9E39A9C718B}" name="Table46" displayName="Table46" ref="A11:CG59" totalsRowShown="0" headerRowDxfId="113">
  <autoFilter ref="A11:CG59" xr:uid="{E97D0594-433E-4249-8DB1-6F0AE1C0B5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autoFilter>
  <tableColumns count="85">
    <tableColumn id="2" xr3:uid="{BF9160D2-33CF-429F-BDC4-5C83D108B704}" name="Workstream" dataDxfId="112"/>
    <tableColumn id="66" xr3:uid="{0D3843FB-2D1A-40C0-A2F1-38AD708739EF}" name="Cost type" dataDxfId="111"/>
    <tableColumn id="84" xr3:uid="{4625B998-A521-44A3-989F-16C659108573}" name="Item Description" dataDxfId="110"/>
    <tableColumn id="85" xr3:uid="{E743CE3B-276B-4679-8AB2-098F9984E8F1}" name="Comments" dataDxfId="109"/>
    <tableColumn id="54" xr3:uid="{87D7BE19-B8B9-4566-934C-B1F468E64608}" name="Supplier" dataDxfId="108"/>
    <tableColumn id="5" xr3:uid="{298E7828-D195-47A0-A718-0F8B37E4F884}" name="Tags" dataDxfId="107"/>
    <tableColumn id="86" xr3:uid="{ACA98387-B8D2-49C6-A504-F951EBE93466}" name="Focal" dataDxfId="106"/>
    <tableColumn id="7" xr3:uid="{DEF52B94-4618-4E73-8704-3CB3CD750E78}" name="Document reference #" dataDxfId="105"/>
    <tableColumn id="71" xr3:uid="{884CA344-133F-48D3-B6CE-A331388B34A1}" name="Foundational Cost" dataDxfId="104"/>
    <tableColumn id="1" xr3:uid="{5708820C-ABF5-4C49-874A-4604D25A86FC}" name="Tag" dataDxfId="103"/>
    <tableColumn id="81" xr3:uid="{8652C210-DA72-496B-AA02-45E8C68F0E09}" name="COSTS" dataDxfId="102"/>
    <tableColumn id="9" xr3:uid="{3F05CFAE-C83C-4F49-935F-7788B41DF35C}" name="2026_LE" dataDxfId="101" dataCellStyle="Currency"/>
    <tableColumn id="10" xr3:uid="{4E463C8F-13D0-4CF9-8C4F-4202740C065B}" name="Jan_26_F" dataDxfId="100" dataCellStyle="Currency"/>
    <tableColumn id="65" xr3:uid="{D17C8844-1A3C-4203-93B0-99FD99E06259}" name="Jan_26_Act" dataDxfId="99" dataCellStyle="Currency"/>
    <tableColumn id="109" xr3:uid="{0D436C47-63F2-47D8-9004-060079D3AED4}" name="Jan_26_D" dataDxfId="98" dataCellStyle="Currency">
      <calculatedColumnFormula>Table46[[#This Row],[Jan_26_F]]-Table46[[#This Row],[Jan_26_Act]]</calculatedColumnFormula>
    </tableColumn>
    <tableColumn id="11" xr3:uid="{23035822-B337-49E5-9B3A-6AA24417C63E}" name="Feb_26_F" dataDxfId="97" dataCellStyle="Currency"/>
    <tableColumn id="64" xr3:uid="{8DED4FE1-C3B3-429D-8177-19AE771D1352}" name="Feb_26_A" dataDxfId="96" dataCellStyle="Currency"/>
    <tableColumn id="108" xr3:uid="{469F5E74-100E-47CA-946C-40DDE5FB921A}" name="Feb_26_D" dataDxfId="95" dataCellStyle="Currency">
      <calculatedColumnFormula>Table46[[#This Row],[Feb_26_F]]-Table46[[#This Row],[Feb_26_A]]</calculatedColumnFormula>
    </tableColumn>
    <tableColumn id="12" xr3:uid="{A1ABED46-F448-426E-89D7-0ADCEFC5FE4B}" name="Mar_26_F" dataDxfId="94" dataCellStyle="Currency"/>
    <tableColumn id="63" xr3:uid="{3887E3A0-D916-4199-901A-05AFD644160C}" name="Mar_26_A" dataDxfId="93" dataCellStyle="Currency"/>
    <tableColumn id="107" xr3:uid="{B4267601-81D3-4959-AE4C-6DE043286092}" name="Mar_26_D" dataDxfId="92" dataCellStyle="Currency">
      <calculatedColumnFormula>Table46[[#This Row],[Mar_26_F]]-Table46[[#This Row],[Mar_26_A]]</calculatedColumnFormula>
    </tableColumn>
    <tableColumn id="13" xr3:uid="{63EDC20E-65C9-455F-9BD6-0D6E14C83B87}" name="Apr_26_F" dataDxfId="91" dataCellStyle="Currency"/>
    <tableColumn id="62" xr3:uid="{9EAD20F9-78C2-4E2B-9053-9178F32BF0FB}" name="Apr_26_A" dataDxfId="90" dataCellStyle="Currency"/>
    <tableColumn id="106" xr3:uid="{D7D76540-2769-4FB5-941B-8F37C3FB9E89}" name="Apr_26_D" dataDxfId="89" dataCellStyle="Currency">
      <calculatedColumnFormula>Table46[[#This Row],[Apr_26_F]]-Table46[[#This Row],[Apr_26_A]]</calculatedColumnFormula>
    </tableColumn>
    <tableColumn id="14" xr3:uid="{693846F6-1DEB-4BC9-A6B5-A5C47489B4AE}" name="May_26_F" dataDxfId="88" dataCellStyle="Currency"/>
    <tableColumn id="61" xr3:uid="{2133D619-BD0A-4156-AA3B-0B4062E2B20D}" name="May_26_A" dataDxfId="87" dataCellStyle="Currency"/>
    <tableColumn id="105" xr3:uid="{D735910B-976D-4688-B7F7-A4AFC81E51D5}" name="May_26_D" dataDxfId="86" dataCellStyle="Currency">
      <calculatedColumnFormula>Table46[[#This Row],[May_26_F]]-Table46[[#This Row],[May_26_A]]</calculatedColumnFormula>
    </tableColumn>
    <tableColumn id="15" xr3:uid="{277B4508-B59C-4215-A10F-383F64608B7C}" name="Jun_26_F" dataDxfId="85" dataCellStyle="Currency"/>
    <tableColumn id="60" xr3:uid="{6ECABB8F-791B-4316-8FBF-46087AD1EFF7}" name="Jun_26_A" dataDxfId="84" dataCellStyle="Currency"/>
    <tableColumn id="104" xr3:uid="{F0E13FEA-C8DA-4D92-8C9F-A605EBDB2990}" name="Jun_26_D" dataDxfId="83" dataCellStyle="Currency">
      <calculatedColumnFormula>Table46[[#This Row],[Jun_26_F]]-Table46[[#This Row],[Jun_26_A]]</calculatedColumnFormula>
    </tableColumn>
    <tableColumn id="16" xr3:uid="{240F5B9F-5539-4E14-A59A-6D997921EF98}" name="Jul_26_F" dataDxfId="82" dataCellStyle="Currency"/>
    <tableColumn id="59" xr3:uid="{F3EC0228-3345-409E-A381-6FBE4ED1D386}" name="Jul_26_A" dataDxfId="81" dataCellStyle="Currency"/>
    <tableColumn id="103" xr3:uid="{77BEBDF2-FF8A-4BF6-8CF0-E81201707EE7}" name="Jul_26_D" dataDxfId="80" dataCellStyle="Currency">
      <calculatedColumnFormula>Table46[[#This Row],[Jul_26_F]]-Table46[[#This Row],[Jul_26_A]]</calculatedColumnFormula>
    </tableColumn>
    <tableColumn id="17" xr3:uid="{20719D18-0D73-4F4D-991F-DC758816ECA5}" name="Aug_26_F" dataDxfId="79" dataCellStyle="Currency"/>
    <tableColumn id="58" xr3:uid="{68ABA258-8529-476D-B952-0A263B8FD29A}" name="Aug_26_A" dataDxfId="78" dataCellStyle="Currency"/>
    <tableColumn id="102" xr3:uid="{A00C1187-AC00-4183-8A39-44C58B8F116D}" name="Aug_26_D" dataDxfId="77" dataCellStyle="Currency">
      <calculatedColumnFormula>Table46[[#This Row],[Aug_26_F]]-Table46[[#This Row],[Aug_26_A]]</calculatedColumnFormula>
    </tableColumn>
    <tableColumn id="18" xr3:uid="{0C5FF243-40D1-453D-83F3-9E27945FFE20}" name="Sep_26_F" dataDxfId="76" dataCellStyle="Currency"/>
    <tableColumn id="57" xr3:uid="{9644A0AF-15FE-41AA-A517-6F7DC599CD58}" name="Sep_26_A" dataDxfId="75" dataCellStyle="Currency"/>
    <tableColumn id="101" xr3:uid="{032C01CC-1F58-4A5F-BE00-33811A540148}" name="Sep_26_D" dataDxfId="74" dataCellStyle="Currency">
      <calculatedColumnFormula>Table46[[#This Row],[Sep_26_F]]-Table46[[#This Row],[Sep_26_A]]</calculatedColumnFormula>
    </tableColumn>
    <tableColumn id="19" xr3:uid="{48A29867-A676-4E8D-80EC-4426DAC74C13}" name="Oct_26_F" dataDxfId="73" dataCellStyle="Currency"/>
    <tableColumn id="56" xr3:uid="{540575B2-AFFC-4A08-887E-FE4EA78DB802}" name="Oct_26_A" dataDxfId="72" dataCellStyle="Currency"/>
    <tableColumn id="100" xr3:uid="{C24BF72B-900D-43AD-8623-1ACEEA14ACEA}" name="Oct_26_D" dataDxfId="71" dataCellStyle="Currency">
      <calculatedColumnFormula>Table46[[#This Row],[Oct_26_F]]-Table46[[#This Row],[Oct_26_A]]</calculatedColumnFormula>
    </tableColumn>
    <tableColumn id="20" xr3:uid="{1F4FE454-21DB-458C-AF3A-298759DE426E}" name="Nov_26_F" dataDxfId="70" dataCellStyle="Currency"/>
    <tableColumn id="55" xr3:uid="{229DC5E4-2730-40C8-A0B5-2221166B02CB}" name="Nov_26_A" dataDxfId="69" dataCellStyle="Currency"/>
    <tableColumn id="99" xr3:uid="{AD774F62-DC9C-45C9-86C1-5EACA8076937}" name="Nov_26_D" dataDxfId="68" dataCellStyle="Currency">
      <calculatedColumnFormula>Table46[[#This Row],[Nov_26_F]]-Table46[[#This Row],[Nov_26_A]]</calculatedColumnFormula>
    </tableColumn>
    <tableColumn id="21" xr3:uid="{3CC6296A-99C7-439F-9469-727E25C02E69}" name="Dec_26_F" dataDxfId="67" dataCellStyle="Currency"/>
    <tableColumn id="53" xr3:uid="{3362D572-65A6-47D6-9EB0-A2B6009BE3D8}" name="Dec_26_A" dataDxfId="66" dataCellStyle="Currency"/>
    <tableColumn id="98" xr3:uid="{6DF94D0D-E2EC-4F70-B585-DF3B96A19AA8}" name="Dec_26_D" dataDxfId="65" dataCellStyle="Currency">
      <calculatedColumnFormula>Table46[[#This Row],[Dec_26_F]]-Table46[[#This Row],[Dec_26_A]]</calculatedColumnFormula>
    </tableColumn>
    <tableColumn id="22" xr3:uid="{898A1EF7-02EE-4A15-8B0C-D739CD643A9D}" name="2027_LE" dataDxfId="64" dataCellStyle="Currency"/>
    <tableColumn id="23" xr3:uid="{2B834250-477D-4082-ABEE-19776EC5017F}" name="Jan_27_F" dataDxfId="63" dataCellStyle="Currency"/>
    <tableColumn id="52" xr3:uid="{3CD62ECB-10CC-4B4D-9D3C-92E049FAD20F}" name="Jan_27_Act" dataDxfId="62" dataCellStyle="Currency"/>
    <tableColumn id="97" xr3:uid="{6E931E4B-63B9-48A6-9B5A-034E9605A295}" name="Jan_27_D" dataDxfId="61" dataCellStyle="Currency">
      <calculatedColumnFormula>Table46[[#This Row],[Jan_27_F]]-Table46[[#This Row],[Jan_27_Act]]</calculatedColumnFormula>
    </tableColumn>
    <tableColumn id="24" xr3:uid="{C3FBED87-57CD-447E-8270-97028E55A893}" name="Feb_27_F" dataDxfId="60" dataCellStyle="Currency"/>
    <tableColumn id="51" xr3:uid="{A788F651-CB42-46F2-A982-1541B7F398D2}" name="Feb_27_A" dataDxfId="59" dataCellStyle="Currency"/>
    <tableColumn id="96" xr3:uid="{EE718685-3677-4877-9EE1-FDD894BE889F}" name="Feb_27_D" dataDxfId="58" dataCellStyle="Currency">
      <calculatedColumnFormula>Table46[[#This Row],[Feb_27_F]]-Table46[[#This Row],[Feb_27_A]]</calculatedColumnFormula>
    </tableColumn>
    <tableColumn id="25" xr3:uid="{EEE5D3A8-914A-4543-AC15-BD78727FA422}" name="Mar_27_F" dataDxfId="57" dataCellStyle="Currency"/>
    <tableColumn id="50" xr3:uid="{9F6FDD60-F28D-4F98-A1A6-D02182F5607C}" name="Mar_27_A" dataDxfId="56" dataCellStyle="Currency"/>
    <tableColumn id="95" xr3:uid="{DE70C484-CA7A-440A-BFCA-F68F568B0CCA}" name="Mar_27_D" dataDxfId="55" dataCellStyle="Currency">
      <calculatedColumnFormula>Table46[[#This Row],[Mar_27_F]]-Table46[[#This Row],[Mar_27_A]]</calculatedColumnFormula>
    </tableColumn>
    <tableColumn id="26" xr3:uid="{34221CAC-35DD-4F9B-8D52-BE4D37CE5A21}" name="Apr_27_F" dataDxfId="54" dataCellStyle="Currency"/>
    <tableColumn id="49" xr3:uid="{9B8B27A0-C81C-409C-905D-89DD800F06B6}" name="Apr_27_A" dataDxfId="53" dataCellStyle="Currency"/>
    <tableColumn id="83" xr3:uid="{EAFC78B6-5DC4-4530-AF3F-4D787B8BB057}" name="Apr_27_D" dataDxfId="52" dataCellStyle="Currency">
      <calculatedColumnFormula>Table46[[#This Row],[Apr_27_F]]-Table46[[#This Row],[Apr_27_A]]</calculatedColumnFormula>
    </tableColumn>
    <tableColumn id="27" xr3:uid="{AF5F6C56-0A21-4056-8A52-1B0C4E029DB1}" name="May_27_F" dataDxfId="51" dataCellStyle="Currency"/>
    <tableColumn id="48" xr3:uid="{35D2C5E0-4E2F-48F2-AF7F-B50D71DF381D}" name="May_27_A" dataDxfId="50" dataCellStyle="Currency"/>
    <tableColumn id="82" xr3:uid="{299810CE-AABB-4F5C-866C-8EADC1B80EDE}" name="May_27_D" dataDxfId="49" dataCellStyle="Currency">
      <calculatedColumnFormula>Table46[[#This Row],[May_27_F]]-Table46[[#This Row],[May_27_A]]</calculatedColumnFormula>
    </tableColumn>
    <tableColumn id="28" xr3:uid="{4BE4B78B-403B-48BF-B6DA-1F42836751C6}" name="Jun_27_F" dataDxfId="48" dataCellStyle="Currency"/>
    <tableColumn id="47" xr3:uid="{39E6F4ED-6577-4BEE-A72D-F718B31BA9A5}" name="Jun_27_A" dataDxfId="47" dataCellStyle="Currency"/>
    <tableColumn id="80" xr3:uid="{7E6EC6F2-662C-477E-B009-524DB157AFE8}" name="Jun_27_D" dataDxfId="46" dataCellStyle="Currency">
      <calculatedColumnFormula>Table46[[#This Row],[Jun_27_F]]-Table46[[#This Row],[Jun_27_A]]</calculatedColumnFormula>
    </tableColumn>
    <tableColumn id="29" xr3:uid="{0A24B8BC-70FA-4E61-9924-AC33ADA17CC6}" name="Jul_27_F" dataDxfId="45" dataCellStyle="Currency"/>
    <tableColumn id="46" xr3:uid="{18FF5C41-0E4D-4A13-AB9D-CF733E142584}" name="Jul_27_A" dataDxfId="44" dataCellStyle="Currency"/>
    <tableColumn id="79" xr3:uid="{3FD1E2F2-5959-4F08-87C4-4F32FEFE8320}" name="Jul_27_D" dataDxfId="43" dataCellStyle="Currency">
      <calculatedColumnFormula>Table46[[#This Row],[Jul_27_F]]-Table46[[#This Row],[Jul_27_A]]</calculatedColumnFormula>
    </tableColumn>
    <tableColumn id="30" xr3:uid="{F6B40789-8609-4E99-9098-FF01C6187BEE}" name="Aug_27_F" dataDxfId="42" dataCellStyle="Currency"/>
    <tableColumn id="45" xr3:uid="{FEB02280-5435-4523-81E8-DC764E207E6E}" name="Aug_27_A" dataDxfId="41" dataCellStyle="Currency"/>
    <tableColumn id="78" xr3:uid="{F6DD42D4-F2C3-44A9-9F77-033AE52375DA}" name="Aug_27_D" dataDxfId="40" dataCellStyle="Currency">
      <calculatedColumnFormula>Table46[[#This Row],[Aug_27_F]]-Table46[[#This Row],[Aug_27_A]]</calculatedColumnFormula>
    </tableColumn>
    <tableColumn id="31" xr3:uid="{91F152F0-7E51-4499-91F0-6F8845EEFFDB}" name="Sep_27_F" dataDxfId="39" dataCellStyle="Currency"/>
    <tableColumn id="44" xr3:uid="{8888A70E-D6FF-4192-ACCB-8734DE66E435}" name="Sep_27_A" dataDxfId="38" dataCellStyle="Currency"/>
    <tableColumn id="77" xr3:uid="{F6415BC9-84F9-4DF2-A712-E18A90B6A04F}" name="Sep_27_D" dataDxfId="37" dataCellStyle="Currency">
      <calculatedColumnFormula>Table46[[#This Row],[Sep_27_F]]-Table46[[#This Row],[Sep_27_A]]</calculatedColumnFormula>
    </tableColumn>
    <tableColumn id="32" xr3:uid="{E0002385-3158-404D-B458-05621E6FCBF3}" name="Oct_27_F" dataDxfId="36" dataCellStyle="Currency"/>
    <tableColumn id="43" xr3:uid="{48EA96A6-3E73-4D36-8B2B-78E9EE708397}" name="Oct_27_A" dataDxfId="35" dataCellStyle="Currency"/>
    <tableColumn id="76" xr3:uid="{4E79FD57-8632-4FC5-9C8E-0CAB5D0EB820}" name="Oct_27_D" dataDxfId="34" dataCellStyle="Currency">
      <calculatedColumnFormula>Table46[[#This Row],[Oct_27_F]]-Table46[[#This Row],[Oct_27_A]]</calculatedColumnFormula>
    </tableColumn>
    <tableColumn id="33" xr3:uid="{6C4C528A-F67F-4FA7-84F2-9C8D94E10999}" name="Nov_27_F" dataDxfId="33" dataCellStyle="Currency"/>
    <tableColumn id="42" xr3:uid="{D041AE06-3345-47CC-A5E2-B9B7DA6B52D1}" name="Nov_27_A" dataDxfId="32" dataCellStyle="Currency"/>
    <tableColumn id="75" xr3:uid="{2C90C377-9086-46AA-AECF-95BAEBF63A0D}" name="Nov_27_D" dataDxfId="31" dataCellStyle="Currency">
      <calculatedColumnFormula>Table46[[#This Row],[Nov_27_F]]-Table46[[#This Row],[Nov_27_A]]</calculatedColumnFormula>
    </tableColumn>
    <tableColumn id="34" xr3:uid="{186458DE-B24E-432A-825C-9E75A2E419E0}" name="Dec_27_F" dataDxfId="30" dataCellStyle="Currency"/>
    <tableColumn id="41" xr3:uid="{57EF16D9-E709-462E-AEDC-D7DD67D0FF48}" name="Dec_27_A" dataDxfId="29" dataCellStyle="Currency"/>
    <tableColumn id="74" xr3:uid="{1D9F3BB5-4135-462A-BB3C-315FAAFBA598}" name="Dec_27_D" dataDxfId="28" dataCellStyle="Currency">
      <calculatedColumnFormula>Table46[[#This Row],[Dec_27_F]]-Table46[[#This Row],[Dec_27_A]]</calculatedColumnFormula>
    </tableColumn>
  </tableColumns>
  <tableStyleInfo name="Input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A7F62-8F2B-48C6-8417-43B68C8EB9F2}" name="Table1" displayName="Table1" ref="B2:G28" totalsRowShown="0" headerRowDxfId="27">
  <autoFilter ref="B2:G28" xr:uid="{F1BA7F62-8F2B-48C6-8417-43B68C8EB9F2}">
    <filterColumn colId="0" hiddenButton="1"/>
    <filterColumn colId="1" hiddenButton="1"/>
    <filterColumn colId="2" hiddenButton="1"/>
    <filterColumn colId="3" hiddenButton="1"/>
    <filterColumn colId="4" hiddenButton="1"/>
    <filterColumn colId="5" hiddenButton="1"/>
  </autoFilter>
  <tableColumns count="6">
    <tableColumn id="1" xr3:uid="{45F69783-B4C2-4BE8-9561-0A1C0189FF91}" name="Variance Reason (Standardized)" dataDxfId="26"/>
    <tableColumn id="2" xr3:uid="{EB85D42D-055A-4B45-935B-C8B43F861E84}" name="WS Name [ServiceNow project]"/>
    <tableColumn id="3" xr3:uid="{E8E44CF2-7971-4A3D-B6CF-F70C364F498A}" name="Staff type"/>
    <tableColumn id="4" xr3:uid="{56F2EC19-2F6D-43DC-B89C-4D0A653396C4}" name="WS Project Manager"/>
    <tableColumn id="5" xr3:uid="{E8CE1946-0922-47D4-8DC5-5F9EB3DB1B10}" name="WS PMO"/>
    <tableColumn id="6" xr3:uid="{7E8A77C2-599C-4BC6-B1B1-8B958F4F5AFC}" name="WBSE"/>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59C6B8-746F-464D-ACEF-CC6CEB883695}" name="Table2" displayName="Table2" ref="Q2:Q27" totalsRowShown="0" headerRowDxfId="25" dataDxfId="24" headerRowBorderDxfId="22" tableBorderDxfId="23" totalsRowBorderDxfId="21">
  <autoFilter ref="Q2:Q27" xr:uid="{3859C6B8-746F-464D-ACEF-CC6CEB883695}">
    <filterColumn colId="0" hiddenButton="1"/>
  </autoFilter>
  <tableColumns count="1">
    <tableColumn id="1" xr3:uid="{3391F195-EF2C-4429-8757-93F27FC509D3}" name="Period" dataDxfId="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ACA57C-2870-4250-9ECC-9FE898A7D2FF}" name="Table6" displayName="Table6" ref="R2:R46" totalsRowShown="0" headerRowDxfId="19" dataDxfId="18" headerRowBorderDxfId="16" tableBorderDxfId="17" totalsRowBorderDxfId="15">
  <autoFilter ref="R2:R46" xr:uid="{6DACA57C-2870-4250-9ECC-9FE898A7D2FF}"/>
  <tableColumns count="1">
    <tableColumn id="1" xr3:uid="{F0AD5F68-8F2F-432A-A5C3-8C77CC06BFD5}" name="Provider" dataDxf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70E433-ABE5-4F3B-81C7-5F6A7D7855EF}" name="Table7" displayName="Table7" ref="V33:X59" totalsRowShown="0" headerRowDxfId="13" tableBorderDxfId="12">
  <autoFilter ref="V33:X59" xr:uid="{5970E433-ABE5-4F3B-81C7-5F6A7D7855EF}"/>
  <tableColumns count="3">
    <tableColumn id="1" xr3:uid="{8B3B804C-2EB4-4BE9-AE72-B5373AB8399B}" name="Level 1 Category" dataDxfId="11"/>
    <tableColumn id="2" xr3:uid="{C4FAE2A8-19C4-44BC-B272-2CB4CE1082F9}" name="Level 2 Sub-Category" dataDxfId="10"/>
    <tableColumn id="3" xr3:uid="{48CAEAAB-74F0-4A53-BDCD-4F2B39C14F23}" name="Variance Reason (Standardized)" dataDxfId="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847212-1155-4F5B-84C4-5314F0C8E077}" name="Table11" displayName="Table11" ref="I3:N327" totalsRowShown="0" headerRowDxfId="8" dataDxfId="7" tableBorderDxfId="6">
  <autoFilter ref="I3:N327" xr:uid="{4D847212-1155-4F5B-84C4-5314F0C8E077}">
    <filterColumn colId="0" hiddenButton="1"/>
    <filterColumn colId="1" hiddenButton="1"/>
    <filterColumn colId="2" hiddenButton="1"/>
    <filterColumn colId="3" hiddenButton="1"/>
    <filterColumn colId="4" hiddenButton="1"/>
    <filterColumn colId="5" hiddenButton="1"/>
  </autoFilter>
  <tableColumns count="6">
    <tableColumn id="1" xr3:uid="{CFEAB615-03F6-4894-B045-5C6A6C092468}" name="CONCAT" dataDxfId="5">
      <calculatedColumnFormula>CONCATENATE(J4,K4,L4)</calculatedColumnFormula>
    </tableColumn>
    <tableColumn id="2" xr3:uid="{B0D75015-395F-445C-AD82-9D2D8F7CCDA2}" name="JG" dataDxfId="4"/>
    <tableColumn id="3" xr3:uid="{A0E9C241-49C5-4143-A1B3-2E206AE81127}" name="Location" dataDxfId="3"/>
    <tableColumn id="4" xr3:uid="{FAB89E35-3CBC-4C5A-87F1-D1D03D39A462}" name="Company" dataDxfId="2"/>
    <tableColumn id="5" xr3:uid="{85E626DE-2C2C-4554-9031-6EDE7268BCFF}" name="2026_x000a_Daily rate" dataDxfId="1"/>
    <tableColumn id="6" xr3:uid="{90136724-45F7-4056-9CBC-2D49BBA1697B}" name="2027_x000a_Daily r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omments" Target="../comments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6EE5-AF6F-4808-82AC-80DF1841197B}">
  <dimension ref="A1:F13"/>
  <sheetViews>
    <sheetView topLeftCell="A8" workbookViewId="0">
      <selection activeCell="D2" sqref="D2:D8"/>
    </sheetView>
  </sheetViews>
  <sheetFormatPr defaultRowHeight="14.45"/>
  <cols>
    <col min="1" max="1" width="47.42578125" customWidth="1"/>
    <col min="2" max="2" width="48.5703125" customWidth="1"/>
    <col min="3" max="3" width="29.28515625" bestFit="1" customWidth="1"/>
    <col min="4" max="4" width="67.28515625" customWidth="1"/>
    <col min="5" max="5" width="52.42578125" customWidth="1"/>
  </cols>
  <sheetData>
    <row r="1" spans="1:6">
      <c r="A1" s="209" t="s">
        <v>0</v>
      </c>
      <c r="B1" s="210"/>
      <c r="C1" s="211"/>
      <c r="D1" s="122"/>
    </row>
    <row r="2" spans="1:6">
      <c r="A2" t="s">
        <v>1</v>
      </c>
      <c r="B2" t="s">
        <v>2</v>
      </c>
      <c r="C2" t="s">
        <v>3</v>
      </c>
      <c r="D2" s="217" t="s">
        <v>4</v>
      </c>
    </row>
    <row r="3" spans="1:6">
      <c r="A3" t="s">
        <v>5</v>
      </c>
      <c r="B3" t="s">
        <v>6</v>
      </c>
      <c r="C3" t="s">
        <v>7</v>
      </c>
      <c r="D3" s="218"/>
    </row>
    <row r="4" spans="1:6" ht="43.5">
      <c r="A4" t="s">
        <v>8</v>
      </c>
      <c r="B4" s="120" t="s">
        <v>9</v>
      </c>
      <c r="C4" t="s">
        <v>7</v>
      </c>
      <c r="D4" s="218"/>
    </row>
    <row r="5" spans="1:6">
      <c r="A5" t="s">
        <v>10</v>
      </c>
      <c r="B5" t="s">
        <v>11</v>
      </c>
      <c r="C5" t="s">
        <v>7</v>
      </c>
      <c r="D5" s="218"/>
    </row>
    <row r="6" spans="1:6">
      <c r="A6" t="s">
        <v>12</v>
      </c>
      <c r="B6" t="s">
        <v>13</v>
      </c>
      <c r="C6" t="s">
        <v>14</v>
      </c>
      <c r="D6" s="218"/>
    </row>
    <row r="7" spans="1:6">
      <c r="A7" t="s">
        <v>15</v>
      </c>
      <c r="B7" t="s">
        <v>16</v>
      </c>
      <c r="C7" t="s">
        <v>14</v>
      </c>
      <c r="D7" s="218"/>
    </row>
    <row r="8" spans="1:6" ht="116.1">
      <c r="A8" t="s">
        <v>17</v>
      </c>
      <c r="B8" s="120" t="s">
        <v>18</v>
      </c>
      <c r="C8" s="121" t="s">
        <v>14</v>
      </c>
      <c r="D8" s="218"/>
    </row>
    <row r="12" spans="1:6">
      <c r="A12" s="215" t="s">
        <v>19</v>
      </c>
      <c r="B12" s="216"/>
      <c r="C12" s="216"/>
      <c r="D12" s="212"/>
      <c r="E12" s="212"/>
      <c r="F12" s="212"/>
    </row>
    <row r="13" spans="1:6" ht="72.75" customHeight="1">
      <c r="A13" s="213" t="s">
        <v>20</v>
      </c>
      <c r="B13" s="214"/>
      <c r="C13" s="214"/>
    </row>
  </sheetData>
  <mergeCells count="5">
    <mergeCell ref="A1:C1"/>
    <mergeCell ref="D12:F12"/>
    <mergeCell ref="A13:C13"/>
    <mergeCell ref="A12:C12"/>
    <mergeCell ref="D2:D8"/>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D79D-45F7-450C-A2AC-F055A1E70DB2}">
  <sheetPr>
    <tabColor theme="1"/>
  </sheetPr>
  <dimension ref="A1:DC80"/>
  <sheetViews>
    <sheetView showGridLines="0" topLeftCell="K1" zoomScale="55" zoomScaleNormal="55" workbookViewId="0">
      <selection activeCell="F9" sqref="F9"/>
    </sheetView>
  </sheetViews>
  <sheetFormatPr defaultRowHeight="14.45" outlineLevelCol="1"/>
  <cols>
    <col min="1" max="1" width="1.140625" customWidth="1"/>
    <col min="2" max="2" width="41.42578125" customWidth="1"/>
    <col min="3" max="3" width="24.42578125" customWidth="1"/>
    <col min="4" max="4" width="22.140625" customWidth="1"/>
    <col min="5" max="5" width="25.5703125" customWidth="1"/>
    <col min="6" max="6" width="3.140625" customWidth="1" collapsed="1"/>
    <col min="7" max="8" width="19.42578125" customWidth="1"/>
    <col min="9" max="32" width="19.42578125" customWidth="1" outlineLevel="1"/>
    <col min="33" max="33" width="3.140625" customWidth="1"/>
    <col min="34" max="35" width="19.42578125" customWidth="1"/>
    <col min="36" max="59" width="19.42578125" hidden="1" customWidth="1" outlineLevel="1"/>
    <col min="60" max="60" width="3.140625" customWidth="1" collapsed="1"/>
    <col min="61" max="81" width="9.28515625" customWidth="1"/>
    <col min="82" max="82" width="19.42578125" customWidth="1"/>
    <col min="83" max="106" width="19.42578125" hidden="1" customWidth="1" outlineLevel="1"/>
    <col min="107" max="107" width="8.7109375" collapsed="1"/>
  </cols>
  <sheetData>
    <row r="1" spans="2:106" ht="18.600000000000001">
      <c r="C1" s="196" t="s">
        <v>21</v>
      </c>
      <c r="D1" s="198" t="s">
        <v>22</v>
      </c>
      <c r="E1" s="198" t="s">
        <v>23</v>
      </c>
      <c r="F1" s="182"/>
      <c r="G1" s="199">
        <v>46023</v>
      </c>
      <c r="H1" s="199"/>
      <c r="I1" s="199">
        <v>46054</v>
      </c>
      <c r="J1" s="199"/>
      <c r="K1" s="199">
        <v>46082</v>
      </c>
      <c r="L1" s="199"/>
      <c r="M1" s="199">
        <v>46113</v>
      </c>
      <c r="N1" s="199"/>
      <c r="O1" s="199">
        <v>46143</v>
      </c>
      <c r="P1" s="199"/>
      <c r="Q1" s="199">
        <v>46174</v>
      </c>
      <c r="R1" s="199"/>
      <c r="S1" s="199">
        <v>46204</v>
      </c>
      <c r="T1" s="199"/>
      <c r="U1" s="199">
        <v>46235</v>
      </c>
      <c r="V1" s="199"/>
      <c r="W1" s="199">
        <v>46266</v>
      </c>
      <c r="X1" s="199"/>
      <c r="Y1" s="199">
        <v>46296</v>
      </c>
      <c r="Z1" s="199"/>
      <c r="AA1" s="199">
        <v>46327</v>
      </c>
      <c r="AB1" s="199"/>
      <c r="AC1" s="199">
        <v>46357</v>
      </c>
      <c r="AD1" s="199"/>
    </row>
    <row r="2" spans="2:106" ht="18.600000000000001">
      <c r="C2" s="196"/>
      <c r="D2" s="198"/>
      <c r="E2" s="198"/>
      <c r="F2" s="182"/>
      <c r="G2" s="183" t="s">
        <v>24</v>
      </c>
      <c r="H2" s="183" t="s">
        <v>25</v>
      </c>
      <c r="I2" s="183" t="s">
        <v>24</v>
      </c>
      <c r="J2" s="183" t="s">
        <v>25</v>
      </c>
      <c r="K2" s="183" t="s">
        <v>24</v>
      </c>
      <c r="L2" s="183" t="s">
        <v>25</v>
      </c>
      <c r="M2" s="183" t="s">
        <v>24</v>
      </c>
      <c r="N2" s="183" t="s">
        <v>25</v>
      </c>
      <c r="O2" s="183" t="s">
        <v>24</v>
      </c>
      <c r="P2" s="183" t="s">
        <v>25</v>
      </c>
      <c r="Q2" s="183" t="s">
        <v>24</v>
      </c>
      <c r="R2" s="183" t="s">
        <v>25</v>
      </c>
      <c r="S2" s="183" t="s">
        <v>24</v>
      </c>
      <c r="T2" s="183" t="s">
        <v>25</v>
      </c>
      <c r="U2" s="183" t="s">
        <v>24</v>
      </c>
      <c r="V2" s="183" t="s">
        <v>25</v>
      </c>
      <c r="W2" s="183" t="s">
        <v>24</v>
      </c>
      <c r="X2" s="183" t="s">
        <v>25</v>
      </c>
      <c r="Y2" s="183" t="s">
        <v>24</v>
      </c>
      <c r="Z2" s="183" t="s">
        <v>25</v>
      </c>
      <c r="AA2" s="183" t="s">
        <v>24</v>
      </c>
      <c r="AB2" s="183" t="s">
        <v>25</v>
      </c>
      <c r="AC2" s="183" t="s">
        <v>24</v>
      </c>
      <c r="AD2" s="183" t="s">
        <v>25</v>
      </c>
    </row>
    <row r="3" spans="2:106">
      <c r="C3" s="182" t="s">
        <v>26</v>
      </c>
      <c r="D3" s="187">
        <f>SUMIF($G$2:$AF$2,"Plan",G3:AF3)</f>
        <v>1816432</v>
      </c>
      <c r="E3" s="187">
        <f>SUMIF($G$2:$AF$2,"Actual",G3:AF3)</f>
        <v>1776232</v>
      </c>
      <c r="F3" s="182"/>
      <c r="G3" s="184">
        <f t="shared" ref="G3:AD3" si="0">I48</f>
        <v>119768</v>
      </c>
      <c r="H3" s="184">
        <f t="shared" si="0"/>
        <v>119768</v>
      </c>
      <c r="I3" s="184">
        <f t="shared" si="0"/>
        <v>163548</v>
      </c>
      <c r="J3" s="184">
        <f t="shared" si="0"/>
        <v>150148</v>
      </c>
      <c r="K3" s="184">
        <f t="shared" si="0"/>
        <v>163548</v>
      </c>
      <c r="L3" s="184">
        <f t="shared" si="0"/>
        <v>150148</v>
      </c>
      <c r="M3" s="184">
        <f t="shared" si="0"/>
        <v>169188</v>
      </c>
      <c r="N3" s="184">
        <f t="shared" si="0"/>
        <v>155788</v>
      </c>
      <c r="O3" s="184">
        <f t="shared" si="0"/>
        <v>163813</v>
      </c>
      <c r="P3" s="184">
        <f t="shared" si="0"/>
        <v>163813</v>
      </c>
      <c r="Q3" s="184">
        <f t="shared" si="0"/>
        <v>157775</v>
      </c>
      <c r="R3" s="184">
        <f t="shared" si="0"/>
        <v>157775</v>
      </c>
      <c r="S3" s="184">
        <f t="shared" si="0"/>
        <v>169588</v>
      </c>
      <c r="T3" s="184">
        <f t="shared" si="0"/>
        <v>169588</v>
      </c>
      <c r="U3" s="184">
        <f t="shared" si="0"/>
        <v>174963</v>
      </c>
      <c r="V3" s="184">
        <f t="shared" si="0"/>
        <v>174963</v>
      </c>
      <c r="W3" s="184">
        <f t="shared" si="0"/>
        <v>163548</v>
      </c>
      <c r="X3" s="184">
        <f t="shared" si="0"/>
        <v>163548</v>
      </c>
      <c r="Y3" s="184">
        <f t="shared" si="0"/>
        <v>156508</v>
      </c>
      <c r="Z3" s="184">
        <f t="shared" si="0"/>
        <v>156508</v>
      </c>
      <c r="AA3" s="184">
        <f t="shared" si="0"/>
        <v>110103</v>
      </c>
      <c r="AB3" s="184">
        <f t="shared" si="0"/>
        <v>110103</v>
      </c>
      <c r="AC3" s="184">
        <f t="shared" si="0"/>
        <v>104082</v>
      </c>
      <c r="AD3" s="184">
        <f t="shared" si="0"/>
        <v>104082</v>
      </c>
    </row>
    <row r="4" spans="2:106" ht="15" thickBot="1">
      <c r="B4" s="11"/>
      <c r="C4" s="182" t="s">
        <v>27</v>
      </c>
      <c r="D4" s="187">
        <f>SUMIF($G$2:$AF$2,"Plan",G4:AF4)</f>
        <v>390218</v>
      </c>
      <c r="E4" s="187">
        <f>SUMIF($G$2:$AF$2,"Actual",G4:AF4)</f>
        <v>358916</v>
      </c>
      <c r="F4" s="182"/>
      <c r="G4" s="184">
        <f t="shared" ref="G4:AD4" si="1">I30</f>
        <v>33860</v>
      </c>
      <c r="H4" s="184">
        <f t="shared" si="1"/>
        <v>33860</v>
      </c>
      <c r="I4" s="184">
        <f t="shared" si="1"/>
        <v>33860</v>
      </c>
      <c r="J4" s="184">
        <f t="shared" si="1"/>
        <v>33860</v>
      </c>
      <c r="K4" s="184">
        <f t="shared" si="1"/>
        <v>33860</v>
      </c>
      <c r="L4" s="184">
        <f t="shared" si="1"/>
        <v>33860</v>
      </c>
      <c r="M4" s="184">
        <f t="shared" si="1"/>
        <v>33860</v>
      </c>
      <c r="N4" s="184">
        <f t="shared" si="1"/>
        <v>33860</v>
      </c>
      <c r="O4" s="184">
        <f t="shared" si="1"/>
        <v>31302</v>
      </c>
      <c r="P4" s="184">
        <f t="shared" si="1"/>
        <v>31302</v>
      </c>
      <c r="Q4" s="184">
        <f t="shared" si="1"/>
        <v>29646</v>
      </c>
      <c r="R4" s="184">
        <f t="shared" si="1"/>
        <v>29646</v>
      </c>
      <c r="S4" s="184">
        <f t="shared" si="1"/>
        <v>31302</v>
      </c>
      <c r="T4" s="184">
        <f t="shared" si="1"/>
        <v>0</v>
      </c>
      <c r="U4" s="184">
        <f t="shared" si="1"/>
        <v>33860</v>
      </c>
      <c r="V4" s="184">
        <f t="shared" si="1"/>
        <v>33860</v>
      </c>
      <c r="W4" s="184">
        <f t="shared" si="1"/>
        <v>33860</v>
      </c>
      <c r="X4" s="184">
        <f t="shared" si="1"/>
        <v>33860</v>
      </c>
      <c r="Y4" s="184">
        <f t="shared" si="1"/>
        <v>33860</v>
      </c>
      <c r="Z4" s="184">
        <f t="shared" si="1"/>
        <v>33860</v>
      </c>
      <c r="AA4" s="184">
        <f t="shared" si="1"/>
        <v>31302</v>
      </c>
      <c r="AB4" s="184">
        <f t="shared" si="1"/>
        <v>31302</v>
      </c>
      <c r="AC4" s="184">
        <f t="shared" si="1"/>
        <v>29646</v>
      </c>
      <c r="AD4" s="184">
        <f t="shared" si="1"/>
        <v>29646</v>
      </c>
    </row>
    <row r="5" spans="2:106" ht="15" thickBot="1">
      <c r="B5" s="202"/>
      <c r="C5" s="185" t="s">
        <v>28</v>
      </c>
      <c r="D5" s="189">
        <f>SUMIF($G$2:$AF$2,"Plan",G5:AF5)</f>
        <v>2206650</v>
      </c>
      <c r="E5" s="189">
        <f>SUMIF($G$2:$AF$2,"Actual",G5:AF5)</f>
        <v>2135148</v>
      </c>
      <c r="F5" s="185"/>
      <c r="G5" s="186">
        <f t="shared" ref="G5:AD5" si="2">SUM(G3:G4)</f>
        <v>153628</v>
      </c>
      <c r="H5" s="186">
        <f t="shared" si="2"/>
        <v>153628</v>
      </c>
      <c r="I5" s="186">
        <f t="shared" si="2"/>
        <v>197408</v>
      </c>
      <c r="J5" s="186">
        <f t="shared" si="2"/>
        <v>184008</v>
      </c>
      <c r="K5" s="186">
        <f t="shared" si="2"/>
        <v>197408</v>
      </c>
      <c r="L5" s="186">
        <f t="shared" si="2"/>
        <v>184008</v>
      </c>
      <c r="M5" s="186">
        <f t="shared" si="2"/>
        <v>203048</v>
      </c>
      <c r="N5" s="186">
        <f t="shared" si="2"/>
        <v>189648</v>
      </c>
      <c r="O5" s="186">
        <f t="shared" si="2"/>
        <v>195115</v>
      </c>
      <c r="P5" s="186">
        <f t="shared" si="2"/>
        <v>195115</v>
      </c>
      <c r="Q5" s="186">
        <f t="shared" si="2"/>
        <v>187421</v>
      </c>
      <c r="R5" s="186">
        <f t="shared" si="2"/>
        <v>187421</v>
      </c>
      <c r="S5" s="186">
        <f t="shared" si="2"/>
        <v>200890</v>
      </c>
      <c r="T5" s="186">
        <f t="shared" si="2"/>
        <v>169588</v>
      </c>
      <c r="U5" s="186">
        <f t="shared" si="2"/>
        <v>208823</v>
      </c>
      <c r="V5" s="186">
        <f t="shared" si="2"/>
        <v>208823</v>
      </c>
      <c r="W5" s="186">
        <f t="shared" si="2"/>
        <v>197408</v>
      </c>
      <c r="X5" s="186">
        <f t="shared" si="2"/>
        <v>197408</v>
      </c>
      <c r="Y5" s="186">
        <f t="shared" si="2"/>
        <v>190368</v>
      </c>
      <c r="Z5" s="186">
        <f t="shared" si="2"/>
        <v>190368</v>
      </c>
      <c r="AA5" s="186">
        <f t="shared" si="2"/>
        <v>141405</v>
      </c>
      <c r="AB5" s="186">
        <f t="shared" si="2"/>
        <v>141405</v>
      </c>
      <c r="AC5" s="186">
        <f t="shared" si="2"/>
        <v>133728</v>
      </c>
      <c r="AD5" s="186">
        <f t="shared" si="2"/>
        <v>133728</v>
      </c>
      <c r="BO5" t="s">
        <v>29</v>
      </c>
      <c r="BP5" t="s">
        <v>30</v>
      </c>
      <c r="BQ5">
        <f>10.95+5.87</f>
        <v>16.82</v>
      </c>
    </row>
    <row r="6" spans="2:106">
      <c r="B6" s="202"/>
      <c r="C6" s="182" t="s">
        <v>31</v>
      </c>
      <c r="D6" s="187">
        <f>SUMIF($G$2:$AF$2,"Plan",G6:AF6)</f>
        <v>87000</v>
      </c>
      <c r="E6" s="187">
        <f>SUMIF($G$2:$AF$2,"Actual",G6:AF6)/1000000</f>
        <v>0</v>
      </c>
      <c r="F6" s="182"/>
      <c r="G6" s="184">
        <f>I77</f>
        <v>87000</v>
      </c>
      <c r="H6" s="184">
        <f>J77</f>
        <v>0</v>
      </c>
      <c r="I6" s="184">
        <f>M77</f>
        <v>0</v>
      </c>
      <c r="J6" s="184">
        <f>L77</f>
        <v>0</v>
      </c>
      <c r="K6" s="184">
        <f>M77</f>
        <v>0</v>
      </c>
      <c r="L6" s="184">
        <f>N77</f>
        <v>0</v>
      </c>
      <c r="M6" s="184">
        <f>Q77</f>
        <v>0</v>
      </c>
      <c r="N6" s="184">
        <f>P77</f>
        <v>0</v>
      </c>
      <c r="O6" s="184">
        <f>Q77</f>
        <v>0</v>
      </c>
      <c r="P6" s="184">
        <f>R77</f>
        <v>0</v>
      </c>
      <c r="Q6" s="184">
        <f>U77</f>
        <v>0</v>
      </c>
      <c r="R6" s="184">
        <f>T77</f>
        <v>0</v>
      </c>
      <c r="S6" s="184">
        <f>U77</f>
        <v>0</v>
      </c>
      <c r="T6" s="184">
        <f>V77</f>
        <v>0</v>
      </c>
      <c r="U6" s="184">
        <f>Y77</f>
        <v>0</v>
      </c>
      <c r="V6" s="184">
        <f>X77</f>
        <v>0</v>
      </c>
      <c r="W6" s="184">
        <f>Y77</f>
        <v>0</v>
      </c>
      <c r="X6" s="184">
        <f>Z77</f>
        <v>0</v>
      </c>
      <c r="Y6" s="184">
        <f>AC77</f>
        <v>0</v>
      </c>
      <c r="Z6" s="184">
        <f>AB77</f>
        <v>0</v>
      </c>
      <c r="AA6" s="184">
        <f>AC77</f>
        <v>0</v>
      </c>
      <c r="AB6" s="184">
        <f>AD77</f>
        <v>0</v>
      </c>
      <c r="AC6" s="184">
        <f>AG77</f>
        <v>0</v>
      </c>
      <c r="AD6" s="184">
        <f>AF77</f>
        <v>0</v>
      </c>
    </row>
    <row r="7" spans="2:106" ht="18.600000000000001">
      <c r="B7" s="181"/>
      <c r="C7" s="185" t="s">
        <v>32</v>
      </c>
      <c r="D7" s="188">
        <f>D6+D5</f>
        <v>2293650</v>
      </c>
      <c r="E7" s="188">
        <f>E6+E5</f>
        <v>2135148</v>
      </c>
      <c r="F7" s="185"/>
      <c r="G7" s="186">
        <f t="shared" ref="G7:AD7" si="3">SUM(G3:G6)</f>
        <v>394256</v>
      </c>
      <c r="H7" s="186">
        <f t="shared" si="3"/>
        <v>307256</v>
      </c>
      <c r="I7" s="186">
        <f t="shared" si="3"/>
        <v>394816</v>
      </c>
      <c r="J7" s="186">
        <f t="shared" si="3"/>
        <v>368016</v>
      </c>
      <c r="K7" s="186">
        <f t="shared" si="3"/>
        <v>394816</v>
      </c>
      <c r="L7" s="186">
        <f t="shared" si="3"/>
        <v>368016</v>
      </c>
      <c r="M7" s="186">
        <f t="shared" si="3"/>
        <v>406096</v>
      </c>
      <c r="N7" s="186">
        <f t="shared" si="3"/>
        <v>379296</v>
      </c>
      <c r="O7" s="186">
        <f t="shared" si="3"/>
        <v>390230</v>
      </c>
      <c r="P7" s="186">
        <f t="shared" si="3"/>
        <v>390230</v>
      </c>
      <c r="Q7" s="186">
        <f t="shared" si="3"/>
        <v>374842</v>
      </c>
      <c r="R7" s="186">
        <f t="shared" si="3"/>
        <v>374842</v>
      </c>
      <c r="S7" s="186">
        <f t="shared" si="3"/>
        <v>401780</v>
      </c>
      <c r="T7" s="186">
        <f t="shared" si="3"/>
        <v>339176</v>
      </c>
      <c r="U7" s="186">
        <f t="shared" si="3"/>
        <v>417646</v>
      </c>
      <c r="V7" s="186">
        <f t="shared" si="3"/>
        <v>417646</v>
      </c>
      <c r="W7" s="186">
        <f t="shared" si="3"/>
        <v>394816</v>
      </c>
      <c r="X7" s="186">
        <f t="shared" si="3"/>
        <v>394816</v>
      </c>
      <c r="Y7" s="186">
        <f t="shared" si="3"/>
        <v>380736</v>
      </c>
      <c r="Z7" s="186">
        <f t="shared" si="3"/>
        <v>380736</v>
      </c>
      <c r="AA7" s="186">
        <f t="shared" si="3"/>
        <v>282810</v>
      </c>
      <c r="AB7" s="186">
        <f t="shared" si="3"/>
        <v>282810</v>
      </c>
      <c r="AC7" s="186">
        <f t="shared" si="3"/>
        <v>267456</v>
      </c>
      <c r="AD7" s="186">
        <f t="shared" si="3"/>
        <v>267456</v>
      </c>
    </row>
    <row r="8" spans="2:106" ht="18.600000000000001">
      <c r="B8" s="181"/>
    </row>
    <row r="9" spans="2:106" ht="18.95" thickBot="1">
      <c r="B9" s="181"/>
    </row>
    <row r="10" spans="2:106" s="11" customFormat="1" ht="15" thickBot="1">
      <c r="D10" s="203" t="s">
        <v>33</v>
      </c>
      <c r="E10" s="203"/>
      <c r="G10" s="203" t="s">
        <v>34</v>
      </c>
      <c r="H10" s="203"/>
      <c r="I10" s="17"/>
      <c r="J10" s="17"/>
      <c r="K10" s="17"/>
      <c r="L10" s="17"/>
      <c r="M10" s="17"/>
      <c r="N10" s="17"/>
      <c r="O10" s="17"/>
      <c r="P10" s="17"/>
      <c r="Q10" s="17"/>
      <c r="R10" s="17"/>
      <c r="S10" s="17"/>
      <c r="T10" s="17"/>
      <c r="U10" s="18"/>
      <c r="V10" s="18"/>
      <c r="W10" s="18"/>
      <c r="X10" s="18"/>
      <c r="Y10" s="18"/>
      <c r="Z10" s="18"/>
      <c r="AA10" s="18"/>
      <c r="AB10" s="18"/>
      <c r="AC10" s="18"/>
      <c r="AD10" s="18"/>
      <c r="AE10" s="18"/>
      <c r="AF10" s="18"/>
      <c r="AH10" s="204" t="s">
        <v>35</v>
      </c>
      <c r="AI10" s="204"/>
      <c r="AJ10" s="17"/>
      <c r="AK10" s="17"/>
      <c r="AL10" s="17"/>
      <c r="AM10" s="17"/>
      <c r="AN10" s="17"/>
      <c r="AO10" s="17"/>
      <c r="AP10" s="17"/>
      <c r="AQ10" s="17"/>
      <c r="AR10" s="17"/>
      <c r="AS10" s="17"/>
      <c r="AT10" s="17"/>
      <c r="AU10" s="17"/>
      <c r="AV10" s="18"/>
      <c r="AW10" s="18"/>
      <c r="AX10" s="18"/>
      <c r="AY10" s="18"/>
      <c r="AZ10" s="18"/>
      <c r="BA10" s="18"/>
      <c r="BB10" s="18"/>
      <c r="BC10" s="18"/>
      <c r="BD10" s="18"/>
      <c r="BE10" s="18"/>
      <c r="BF10" s="18"/>
      <c r="BG10" s="18"/>
      <c r="CD10" s="37"/>
    </row>
    <row r="11" spans="2:106" ht="15" customHeight="1">
      <c r="B11" s="201" t="s">
        <v>36</v>
      </c>
      <c r="C11" s="201" t="s">
        <v>37</v>
      </c>
      <c r="D11" s="201" t="s">
        <v>38</v>
      </c>
      <c r="E11" s="201" t="s">
        <v>39</v>
      </c>
      <c r="F11" s="1"/>
      <c r="G11" s="201" t="s">
        <v>40</v>
      </c>
      <c r="H11" s="201" t="s">
        <v>25</v>
      </c>
      <c r="I11" s="200">
        <v>46023</v>
      </c>
      <c r="J11" s="200"/>
      <c r="K11" s="200">
        <v>46054</v>
      </c>
      <c r="L11" s="200"/>
      <c r="M11" s="200">
        <v>46082</v>
      </c>
      <c r="N11" s="200"/>
      <c r="O11" s="200">
        <v>46113</v>
      </c>
      <c r="P11" s="200"/>
      <c r="Q11" s="200">
        <v>46143</v>
      </c>
      <c r="R11" s="200"/>
      <c r="S11" s="200">
        <v>46174</v>
      </c>
      <c r="T11" s="200"/>
      <c r="U11" s="200">
        <v>46204</v>
      </c>
      <c r="V11" s="200"/>
      <c r="W11" s="200">
        <v>46235</v>
      </c>
      <c r="X11" s="200"/>
      <c r="Y11" s="200">
        <v>46266</v>
      </c>
      <c r="Z11" s="200"/>
      <c r="AA11" s="200">
        <v>46296</v>
      </c>
      <c r="AB11" s="200"/>
      <c r="AC11" s="200">
        <v>46327</v>
      </c>
      <c r="AD11" s="200"/>
      <c r="AE11" s="200">
        <v>46357</v>
      </c>
      <c r="AF11" s="200"/>
      <c r="AG11" s="1"/>
      <c r="AH11" s="201" t="s">
        <v>40</v>
      </c>
      <c r="AI11" s="201" t="s">
        <v>25</v>
      </c>
      <c r="AJ11" s="200">
        <v>46388</v>
      </c>
      <c r="AK11" s="200"/>
      <c r="AL11" s="200">
        <v>46419</v>
      </c>
      <c r="AM11" s="200"/>
      <c r="AN11" s="200">
        <v>46447</v>
      </c>
      <c r="AO11" s="200"/>
      <c r="AP11" s="200">
        <v>46478</v>
      </c>
      <c r="AQ11" s="200"/>
      <c r="AR11" s="200">
        <v>46508</v>
      </c>
      <c r="AS11" s="200"/>
      <c r="AT11" s="200">
        <v>46539</v>
      </c>
      <c r="AU11" s="200"/>
      <c r="AV11" s="200">
        <v>46569</v>
      </c>
      <c r="AW11" s="200"/>
      <c r="AX11" s="200">
        <v>46600</v>
      </c>
      <c r="AY11" s="200"/>
      <c r="AZ11" s="200">
        <v>46631</v>
      </c>
      <c r="BA11" s="200"/>
      <c r="BB11" s="200">
        <v>46661</v>
      </c>
      <c r="BC11" s="200"/>
      <c r="BD11" s="200">
        <v>46692</v>
      </c>
      <c r="BE11" s="200"/>
      <c r="BF11" s="200">
        <v>46722</v>
      </c>
      <c r="BG11" s="200"/>
      <c r="BH11" s="1"/>
      <c r="BI11" s="1"/>
      <c r="BJ11" s="1"/>
      <c r="BK11" s="1"/>
      <c r="BL11" s="1"/>
      <c r="BM11" s="1"/>
      <c r="BN11" s="1"/>
      <c r="BO11" s="1"/>
      <c r="BP11" s="1"/>
      <c r="BQ11" s="1"/>
      <c r="BR11" s="1"/>
      <c r="BS11" s="1"/>
      <c r="BT11" s="1"/>
      <c r="BU11" s="1"/>
      <c r="BV11" s="1"/>
      <c r="BW11" s="1"/>
      <c r="BX11" s="1"/>
      <c r="BY11" s="1"/>
      <c r="BZ11" s="1"/>
      <c r="CA11" s="1"/>
      <c r="CB11" s="1"/>
      <c r="CC11" s="1"/>
      <c r="CD11" s="201" t="s">
        <v>41</v>
      </c>
      <c r="CE11" s="197">
        <v>46023</v>
      </c>
      <c r="CF11" s="197">
        <v>46054</v>
      </c>
      <c r="CG11" s="197">
        <v>46082</v>
      </c>
      <c r="CH11" s="197">
        <v>46113</v>
      </c>
      <c r="CI11" s="197">
        <v>46143</v>
      </c>
      <c r="CJ11" s="197">
        <v>46174</v>
      </c>
      <c r="CK11" s="197">
        <v>46204</v>
      </c>
      <c r="CL11" s="197">
        <v>46235</v>
      </c>
      <c r="CM11" s="197">
        <v>46266</v>
      </c>
      <c r="CN11" s="197">
        <v>46296</v>
      </c>
      <c r="CO11" s="197">
        <v>46327</v>
      </c>
      <c r="CP11" s="197">
        <v>46357</v>
      </c>
      <c r="CQ11" s="197">
        <v>46388</v>
      </c>
      <c r="CR11" s="197">
        <v>46419</v>
      </c>
      <c r="CS11" s="197">
        <v>46447</v>
      </c>
      <c r="CT11" s="197">
        <v>46478</v>
      </c>
      <c r="CU11" s="197">
        <v>46508</v>
      </c>
      <c r="CV11" s="197">
        <v>46539</v>
      </c>
      <c r="CW11" s="197">
        <v>46569</v>
      </c>
      <c r="CX11" s="197">
        <v>46600</v>
      </c>
      <c r="CY11" s="197">
        <v>46631</v>
      </c>
      <c r="CZ11" s="197">
        <v>46661</v>
      </c>
      <c r="DA11" s="197">
        <v>46692</v>
      </c>
      <c r="DB11" s="197">
        <v>46722</v>
      </c>
    </row>
    <row r="12" spans="2:106" s="2" customFormat="1" ht="15" customHeight="1">
      <c r="B12" s="201"/>
      <c r="C12" s="201"/>
      <c r="D12" s="201"/>
      <c r="E12" s="201"/>
      <c r="F12" s="19"/>
      <c r="G12" s="201"/>
      <c r="H12" s="201"/>
      <c r="I12" s="32" t="s">
        <v>24</v>
      </c>
      <c r="J12" s="32" t="s">
        <v>25</v>
      </c>
      <c r="K12" s="32" t="s">
        <v>24</v>
      </c>
      <c r="L12" s="32" t="s">
        <v>25</v>
      </c>
      <c r="M12" s="32" t="s">
        <v>24</v>
      </c>
      <c r="N12" s="32" t="s">
        <v>25</v>
      </c>
      <c r="O12" s="32" t="s">
        <v>24</v>
      </c>
      <c r="P12" s="32" t="s">
        <v>25</v>
      </c>
      <c r="Q12" s="32" t="s">
        <v>24</v>
      </c>
      <c r="R12" s="32" t="s">
        <v>25</v>
      </c>
      <c r="S12" s="32" t="s">
        <v>24</v>
      </c>
      <c r="T12" s="32" t="s">
        <v>25</v>
      </c>
      <c r="U12" s="32" t="s">
        <v>24</v>
      </c>
      <c r="V12" s="32" t="s">
        <v>25</v>
      </c>
      <c r="W12" s="32" t="s">
        <v>24</v>
      </c>
      <c r="X12" s="32" t="s">
        <v>25</v>
      </c>
      <c r="Y12" s="32" t="s">
        <v>24</v>
      </c>
      <c r="Z12" s="32" t="s">
        <v>25</v>
      </c>
      <c r="AA12" s="32" t="s">
        <v>24</v>
      </c>
      <c r="AB12" s="32" t="s">
        <v>25</v>
      </c>
      <c r="AC12" s="32" t="s">
        <v>24</v>
      </c>
      <c r="AD12" s="32" t="s">
        <v>25</v>
      </c>
      <c r="AE12" s="32" t="s">
        <v>24</v>
      </c>
      <c r="AF12" s="32" t="s">
        <v>25</v>
      </c>
      <c r="AG12" s="19"/>
      <c r="AH12" s="201"/>
      <c r="AI12" s="201"/>
      <c r="AJ12" s="32" t="s">
        <v>24</v>
      </c>
      <c r="AK12" s="32" t="str">
        <f>IF(AJ11&lt;=$B$5,"Actual","")</f>
        <v/>
      </c>
      <c r="AL12" s="32" t="s">
        <v>24</v>
      </c>
      <c r="AM12" s="32" t="str">
        <f>IF(AL11&lt;=$B$5,"Actual","")</f>
        <v/>
      </c>
      <c r="AN12" s="32" t="s">
        <v>24</v>
      </c>
      <c r="AO12" s="32" t="str">
        <f>IF(AN11&lt;=$B$5,"Actual","")</f>
        <v/>
      </c>
      <c r="AP12" s="32" t="s">
        <v>24</v>
      </c>
      <c r="AQ12" s="32" t="str">
        <f>IF(AP11&lt;=$B$5,"Actual","")</f>
        <v/>
      </c>
      <c r="AR12" s="32" t="s">
        <v>24</v>
      </c>
      <c r="AS12" s="32" t="str">
        <f>IF(AR11&lt;=$B$5,"Actual","")</f>
        <v/>
      </c>
      <c r="AT12" s="32" t="s">
        <v>24</v>
      </c>
      <c r="AU12" s="32" t="str">
        <f>IF(AT11&lt;=$B$5,"Actual","")</f>
        <v/>
      </c>
      <c r="AV12" s="32" t="s">
        <v>24</v>
      </c>
      <c r="AW12" s="32" t="str">
        <f>IF(AV11&lt;=$B$5,"Actual","")</f>
        <v/>
      </c>
      <c r="AX12" s="32" t="s">
        <v>24</v>
      </c>
      <c r="AY12" s="32" t="str">
        <f>IF(AX11&lt;=$B$5,"Actual","")</f>
        <v/>
      </c>
      <c r="AZ12" s="32" t="s">
        <v>24</v>
      </c>
      <c r="BA12" s="32" t="str">
        <f>IF(AZ11&lt;=$B$5,"Actual","")</f>
        <v/>
      </c>
      <c r="BB12" s="32" t="s">
        <v>24</v>
      </c>
      <c r="BC12" s="32" t="str">
        <f>IF(BB11&lt;=$B$5,"Actual","")</f>
        <v/>
      </c>
      <c r="BD12" s="32" t="s">
        <v>24</v>
      </c>
      <c r="BE12" s="32" t="str">
        <f>IF(BD11&lt;=$B$5,"Actual","")</f>
        <v/>
      </c>
      <c r="BF12" s="32" t="s">
        <v>24</v>
      </c>
      <c r="BG12" s="32" t="str">
        <f>IF(BF11&lt;=$B$5,"Actual","")</f>
        <v/>
      </c>
      <c r="BH12" s="19"/>
      <c r="BI12" s="19"/>
      <c r="BJ12" s="19"/>
      <c r="BK12" s="19"/>
      <c r="BL12" s="19"/>
      <c r="BM12" s="19"/>
      <c r="BN12" s="19"/>
      <c r="BO12" s="19"/>
      <c r="BP12" s="19"/>
      <c r="BQ12" s="19"/>
      <c r="BR12" s="19"/>
      <c r="BS12" s="19"/>
      <c r="BT12" s="19"/>
      <c r="BU12" s="19"/>
      <c r="BV12" s="19"/>
      <c r="BW12" s="19"/>
      <c r="BX12" s="19"/>
      <c r="BY12" s="19"/>
      <c r="BZ12" s="19"/>
      <c r="CA12" s="19"/>
      <c r="CB12" s="19"/>
      <c r="CC12" s="19"/>
      <c r="CD12" s="201"/>
      <c r="CE12" s="197"/>
      <c r="CF12" s="197"/>
      <c r="CG12" s="197"/>
      <c r="CH12" s="197"/>
      <c r="CI12" s="197"/>
      <c r="CJ12" s="197"/>
      <c r="CK12" s="197"/>
      <c r="CL12" s="197"/>
      <c r="CM12" s="197"/>
      <c r="CN12" s="197"/>
      <c r="CO12" s="197"/>
      <c r="CP12" s="197"/>
      <c r="CQ12" s="197"/>
      <c r="CR12" s="197"/>
      <c r="CS12" s="197"/>
      <c r="CT12" s="197"/>
      <c r="CU12" s="197"/>
      <c r="CV12" s="197"/>
      <c r="CW12" s="197"/>
      <c r="CX12" s="197"/>
      <c r="CY12" s="197"/>
      <c r="CZ12" s="197"/>
      <c r="DA12" s="197"/>
      <c r="DB12" s="197"/>
    </row>
    <row r="13" spans="2:106" ht="18.600000000000001">
      <c r="B13" s="20" t="s">
        <v>42</v>
      </c>
      <c r="C13" t="s">
        <v>43</v>
      </c>
      <c r="D13" s="21">
        <f t="shared" ref="D13:D29" si="4">SUM(G13,AH13)</f>
        <v>0</v>
      </c>
      <c r="E13" s="35">
        <f t="shared" ref="E13:E29" si="5">SUM(H13,AI13)</f>
        <v>0</v>
      </c>
      <c r="G13" s="21">
        <f t="shared" ref="G13:G29" si="6">SUMIF($I$12:$AF$12,"Plan",I13:AF13)/1000000</f>
        <v>0</v>
      </c>
      <c r="H13" s="35">
        <f t="shared" ref="H13:H29" si="7">SUMIF($I$12:$AF$12,"Actual",I13:AF13)/1000000</f>
        <v>0</v>
      </c>
      <c r="I13" s="106">
        <f>SUMIF(Table4[Workstream],'$ Dashboard'!B13,Table4[Jan_2026_F])</f>
        <v>0</v>
      </c>
      <c r="J13" s="106">
        <f>SUMIF(Table4[Workstream],'$ Dashboard'!B13,Table4[Jan_2026_A])</f>
        <v>0</v>
      </c>
      <c r="K13" s="106">
        <f>SUMIF(Table4[Workstream],'$ Dashboard'!B13,Table4[Feb_2026_F])</f>
        <v>0</v>
      </c>
      <c r="L13" s="106">
        <f>SUMIF(Table4[Workstream],'$ Dashboard'!B13,Table4[Feb_2026_A])</f>
        <v>0</v>
      </c>
      <c r="M13" s="106">
        <f>SUMIF(Table4[Workstream],'$ Dashboard'!B13,Table4[Mar_2026_F])</f>
        <v>0</v>
      </c>
      <c r="N13" s="106">
        <f>SUMIF(Table4[Workstream],'$ Dashboard'!B13,Table4[Mar_2026_A])</f>
        <v>0</v>
      </c>
      <c r="O13" s="106">
        <f>SUMIF(Table4[Workstream],'$ Dashboard'!B13,Table4[Apr_2026_F])</f>
        <v>0</v>
      </c>
      <c r="P13" s="106">
        <f>SUMIF(Table4[Workstream],'$ Dashboard'!B13,Table4[Apr_2026_A])</f>
        <v>0</v>
      </c>
      <c r="Q13" s="106">
        <f>SUMIF(Table4[Workstream],'$ Dashboard'!B13,Table4[May_2026_F])</f>
        <v>0</v>
      </c>
      <c r="R13" s="106">
        <f>SUMIF(Table4[Workstream],'$ Dashboard'!B13,Table4[May_2026_A])</f>
        <v>0</v>
      </c>
      <c r="S13" s="106">
        <f>SUMIF(Table4[Workstream],'$ Dashboard'!B13,Table4[Jun_2026_F])</f>
        <v>0</v>
      </c>
      <c r="T13" s="106">
        <f>SUMIF(Table4[Workstream],'$ Dashboard'!B13,Table4[Jun_2026_A])</f>
        <v>0</v>
      </c>
      <c r="U13" s="106">
        <f>SUMIF(Table4[Workstream],'$ Dashboard'!B13,Table4[Jul_2026_F])</f>
        <v>0</v>
      </c>
      <c r="V13" s="106">
        <f>SUMIF(Table4[Workstream],'$ Dashboard'!B13,Table4[Jul_2026_A])</f>
        <v>0</v>
      </c>
      <c r="W13" s="106">
        <f>SUMIF(Table4[Workstream],'$ Dashboard'!B13,Table4[Aug_2026_F])</f>
        <v>0</v>
      </c>
      <c r="X13" s="106">
        <f>SUMIF(Table4[Workstream],'$ Dashboard'!B13,Table4[Aug_2026_A])</f>
        <v>0</v>
      </c>
      <c r="Y13" s="106">
        <f>SUMIF(Table4[Workstream],'$ Dashboard'!B13,Table4[Sep_2026_F])</f>
        <v>0</v>
      </c>
      <c r="Z13" s="106">
        <f>SUMIF(Table4[Workstream],'$ Dashboard'!B13,Table4[Sep_2026_A])</f>
        <v>0</v>
      </c>
      <c r="AA13" s="106">
        <f>SUMIF(Table4[Workstream],'$ Dashboard'!B13,Table4[Oct_2026_F])</f>
        <v>0</v>
      </c>
      <c r="AB13" s="106">
        <f>SUMIF(Table4[Workstream],'$ Dashboard'!B13,Table4[Oct_2026_A])</f>
        <v>0</v>
      </c>
      <c r="AC13" s="106">
        <f>SUMIF(Table4[Workstream],'$ Dashboard'!B13,Table4[Nov_2026_F])</f>
        <v>0</v>
      </c>
      <c r="AD13" s="106">
        <f>SUMIF(Table4[Workstream],'$ Dashboard'!B13,Table4[Nov_2026_A])</f>
        <v>0</v>
      </c>
      <c r="AE13" s="106">
        <f>SUMIF(Table4[Workstream],'$ Dashboard'!B13,Table4[Dec_2026_F])</f>
        <v>0</v>
      </c>
      <c r="AF13" s="106">
        <f>SUMIF(Table4[Workstream],'$ Dashboard'!B13,Table4[Dec_2026_A])+SUMIF(Table46[Workstream],'$ Dashboard'!B13,Table46[Dec_26_A])</f>
        <v>0</v>
      </c>
      <c r="AH13" s="21">
        <f>SUM(AW13:BG13)/1000000</f>
        <v>0</v>
      </c>
      <c r="AI13" s="35">
        <f>SUMIF($AJ$12:$BG$12,"Actual",AJ13:BG13)/1000000</f>
        <v>0</v>
      </c>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I13" s="3"/>
      <c r="BJ13" s="3"/>
      <c r="BK13" s="3"/>
      <c r="BL13" s="3"/>
      <c r="BM13" s="3"/>
      <c r="BN13" s="3"/>
      <c r="BO13" s="3"/>
      <c r="BP13" s="3"/>
      <c r="BQ13" s="3"/>
      <c r="BR13" s="3"/>
      <c r="BS13" s="3"/>
      <c r="BT13" s="3"/>
      <c r="BU13" s="3"/>
      <c r="BV13" s="3"/>
      <c r="BW13" s="3"/>
      <c r="BX13" s="3"/>
      <c r="BY13" s="3"/>
      <c r="BZ13" s="3"/>
      <c r="CA13" s="3"/>
      <c r="CB13" s="3"/>
      <c r="CC13" s="3"/>
      <c r="CD13" s="21">
        <f>SUM(CE13:DB13)/1000000</f>
        <v>0</v>
      </c>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row>
    <row r="14" spans="2:106" ht="18.600000000000001">
      <c r="B14" s="5" t="s">
        <v>44</v>
      </c>
      <c r="C14" t="s">
        <v>43</v>
      </c>
      <c r="D14" s="21">
        <f t="shared" si="4"/>
        <v>9.6047999999999994E-2</v>
      </c>
      <c r="E14" s="35">
        <f t="shared" si="5"/>
        <v>8.7767999999999999E-2</v>
      </c>
      <c r="G14" s="21">
        <f t="shared" si="6"/>
        <v>9.6047999999999994E-2</v>
      </c>
      <c r="H14" s="35">
        <f t="shared" si="7"/>
        <v>8.7767999999999999E-2</v>
      </c>
      <c r="I14" s="106">
        <f>SUMIF(Table4[Workstream],'$ Dashboard'!B14,Table4[Jan_2026_F])</f>
        <v>8280</v>
      </c>
      <c r="J14" s="106">
        <f>SUMIF(Table4[Workstream],'$ Dashboard'!B14,Table4[Jan_2026_A])</f>
        <v>8280</v>
      </c>
      <c r="K14" s="106">
        <f>SUMIF(Table4[Workstream],'$ Dashboard'!B14,Table4[Feb_2026_F])</f>
        <v>8280</v>
      </c>
      <c r="L14" s="106">
        <f>SUMIF(Table4[Workstream],'$ Dashboard'!B14,Table4[Feb_2026_A])</f>
        <v>8280</v>
      </c>
      <c r="M14" s="106">
        <f>SUMIF(Table4[Workstream],'$ Dashboard'!B14,Table4[Mar_2026_F])</f>
        <v>8280</v>
      </c>
      <c r="N14" s="106">
        <f>SUMIF(Table4[Workstream],'$ Dashboard'!B14,Table4[Mar_2026_A])</f>
        <v>8280</v>
      </c>
      <c r="O14" s="106">
        <f>SUMIF(Table4[Workstream],'$ Dashboard'!B14,Table4[Apr_2026_F])</f>
        <v>8280</v>
      </c>
      <c r="P14" s="106">
        <f>SUMIF(Table4[Workstream],'$ Dashboard'!B14,Table4[Apr_2026_A])</f>
        <v>8280</v>
      </c>
      <c r="Q14" s="106">
        <f>SUMIF(Table4[Workstream],'$ Dashboard'!B14,Table4[May_2026_F])</f>
        <v>8280</v>
      </c>
      <c r="R14" s="106">
        <f>SUMIF(Table4[Workstream],'$ Dashboard'!B14,Table4[May_2026_A])</f>
        <v>8280</v>
      </c>
      <c r="S14" s="106">
        <f>SUMIF(Table4[Workstream],'$ Dashboard'!B14,Table4[Jun_2026_F])</f>
        <v>6624</v>
      </c>
      <c r="T14" s="106">
        <f>SUMIF(Table4[Workstream],'$ Dashboard'!B14,Table4[Jun_2026_A])</f>
        <v>6624</v>
      </c>
      <c r="U14" s="106">
        <f>SUMIF(Table4[Workstream],'$ Dashboard'!B14,Table4[Jul_2026_F])</f>
        <v>8280</v>
      </c>
      <c r="V14" s="106">
        <f>SUMIF(Table4[Workstream],'$ Dashboard'!B14,Table4[Jul_2026_A])</f>
        <v>0</v>
      </c>
      <c r="W14" s="106">
        <f>SUMIF(Table4[Workstream],'$ Dashboard'!B14,Table4[Aug_2026_F])</f>
        <v>8280</v>
      </c>
      <c r="X14" s="106">
        <f>SUMIF(Table4[Workstream],'$ Dashboard'!B14,Table4[Aug_2026_A])</f>
        <v>8280</v>
      </c>
      <c r="Y14" s="106">
        <f>SUMIF(Table4[Workstream],'$ Dashboard'!B14,Table4[Sep_2026_F])</f>
        <v>8280</v>
      </c>
      <c r="Z14" s="106">
        <f>SUMIF(Table4[Workstream],'$ Dashboard'!B14,Table4[Sep_2026_A])</f>
        <v>8280</v>
      </c>
      <c r="AA14" s="106">
        <f>SUMIF(Table4[Workstream],'$ Dashboard'!B14,Table4[Oct_2026_F])</f>
        <v>8280</v>
      </c>
      <c r="AB14" s="106">
        <f>SUMIF(Table4[Workstream],'$ Dashboard'!B14,Table4[Oct_2026_A])</f>
        <v>8280</v>
      </c>
      <c r="AC14" s="106">
        <f>SUMIF(Table4[Workstream],'$ Dashboard'!B14,Table4[Nov_2026_F])</f>
        <v>8280</v>
      </c>
      <c r="AD14" s="106">
        <f>SUMIF(Table4[Workstream],'$ Dashboard'!B14,Table4[Nov_2026_A])</f>
        <v>8280</v>
      </c>
      <c r="AE14" s="106">
        <f>SUMIF(Table4[Workstream],'$ Dashboard'!B14,Table4[Dec_2026_F])</f>
        <v>6624</v>
      </c>
      <c r="AF14" s="106">
        <f>SUMIF(Table4[Workstream],'$ Dashboard'!B14,Table4[Dec_2026_A])+SUMIF(Table46[Workstream],'$ Dashboard'!B14,Table46[Dec_26_A])</f>
        <v>6624</v>
      </c>
      <c r="AH14" s="21">
        <f t="shared" ref="AH14:AH28" si="8">SUM(AW14:BG14)/1000000</f>
        <v>0</v>
      </c>
      <c r="AI14" s="35">
        <f t="shared" ref="AI14:AI29" si="9">SUMIF($AJ$12:$BG$12,"Actual",AJ14:BG14)/1000000</f>
        <v>0</v>
      </c>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I14" s="3"/>
      <c r="BJ14" s="3"/>
      <c r="BK14" s="3"/>
      <c r="BL14" s="3"/>
      <c r="BM14" s="3"/>
      <c r="BN14" s="3"/>
      <c r="BO14" s="3"/>
      <c r="BP14" s="3"/>
      <c r="BQ14" s="3"/>
      <c r="BR14" s="3"/>
      <c r="BS14" s="3"/>
      <c r="BT14" s="3"/>
      <c r="BU14" s="3"/>
      <c r="BV14" s="3"/>
      <c r="BW14" s="3"/>
      <c r="BX14" s="3"/>
      <c r="BY14" s="3"/>
      <c r="BZ14" s="3"/>
      <c r="CA14" s="3"/>
      <c r="CB14" s="3"/>
      <c r="CC14" s="3"/>
      <c r="CD14" s="21">
        <f t="shared" ref="CD14:CD29" si="10">SUM(CE14:DB14)/1000000</f>
        <v>0</v>
      </c>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row>
    <row r="15" spans="2:106" ht="18.600000000000001">
      <c r="B15" s="5" t="s">
        <v>45</v>
      </c>
      <c r="C15" t="s">
        <v>43</v>
      </c>
      <c r="D15" s="21">
        <f t="shared" si="4"/>
        <v>0</v>
      </c>
      <c r="E15" s="35">
        <f t="shared" si="5"/>
        <v>0</v>
      </c>
      <c r="G15" s="21">
        <f t="shared" si="6"/>
        <v>0</v>
      </c>
      <c r="H15" s="35">
        <f t="shared" si="7"/>
        <v>0</v>
      </c>
      <c r="I15" s="106">
        <f>SUMIF(Table4[Workstream],'$ Dashboard'!B15,Table4[Jan_2026_F])</f>
        <v>0</v>
      </c>
      <c r="J15" s="106">
        <f>SUMIF(Table4[Workstream],'$ Dashboard'!B15,Table4[Jan_2026_A])</f>
        <v>0</v>
      </c>
      <c r="K15" s="106">
        <f>SUMIF(Table4[Workstream],'$ Dashboard'!B15,Table4[Feb_2026_F])</f>
        <v>0</v>
      </c>
      <c r="L15" s="106">
        <f>SUMIF(Table4[Workstream],'$ Dashboard'!B15,Table4[Feb_2026_A])</f>
        <v>0</v>
      </c>
      <c r="M15" s="106">
        <f>SUMIF(Table4[Workstream],'$ Dashboard'!B15,Table4[Mar_2026_F])</f>
        <v>0</v>
      </c>
      <c r="N15" s="106">
        <f>SUMIF(Table4[Workstream],'$ Dashboard'!B15,Table4[Mar_2026_A])</f>
        <v>0</v>
      </c>
      <c r="O15" s="106">
        <f>SUMIF(Table4[Workstream],'$ Dashboard'!B15,Table4[Apr_2026_F])</f>
        <v>0</v>
      </c>
      <c r="P15" s="106">
        <f>SUMIF(Table4[Workstream],'$ Dashboard'!B15,Table4[Apr_2026_A])</f>
        <v>0</v>
      </c>
      <c r="Q15" s="106">
        <f>SUMIF(Table4[Workstream],'$ Dashboard'!B15,Table4[May_2026_F])</f>
        <v>0</v>
      </c>
      <c r="R15" s="106">
        <f>SUMIF(Table4[Workstream],'$ Dashboard'!B15,Table4[May_2026_A])</f>
        <v>0</v>
      </c>
      <c r="S15" s="106">
        <f>SUMIF(Table4[Workstream],'$ Dashboard'!B15,Table4[Jun_2026_F])</f>
        <v>0</v>
      </c>
      <c r="T15" s="106">
        <f>SUMIF(Table4[Workstream],'$ Dashboard'!B15,Table4[Jun_2026_A])</f>
        <v>0</v>
      </c>
      <c r="U15" s="106">
        <f>SUMIF(Table4[Workstream],'$ Dashboard'!B15,Table4[Jul_2026_F])</f>
        <v>0</v>
      </c>
      <c r="V15" s="106">
        <f>SUMIF(Table4[Workstream],'$ Dashboard'!B15,Table4[Jul_2026_A])</f>
        <v>0</v>
      </c>
      <c r="W15" s="106">
        <f>SUMIF(Table4[Workstream],'$ Dashboard'!B15,Table4[Aug_2026_F])</f>
        <v>0</v>
      </c>
      <c r="X15" s="106">
        <f>SUMIF(Table4[Workstream],'$ Dashboard'!B15,Table4[Aug_2026_A])</f>
        <v>0</v>
      </c>
      <c r="Y15" s="106">
        <f>SUMIF(Table4[Workstream],'$ Dashboard'!B15,Table4[Sep_2026_F])</f>
        <v>0</v>
      </c>
      <c r="Z15" s="106">
        <f>SUMIF(Table4[Workstream],'$ Dashboard'!B15,Table4[Sep_2026_A])</f>
        <v>0</v>
      </c>
      <c r="AA15" s="106">
        <f>SUMIF(Table4[Workstream],'$ Dashboard'!B15,Table4[Oct_2026_F])</f>
        <v>0</v>
      </c>
      <c r="AB15" s="106">
        <f>SUMIF(Table4[Workstream],'$ Dashboard'!B15,Table4[Oct_2026_A])</f>
        <v>0</v>
      </c>
      <c r="AC15" s="106">
        <f>SUMIF(Table4[Workstream],'$ Dashboard'!B15,Table4[Nov_2026_F])</f>
        <v>0</v>
      </c>
      <c r="AD15" s="106">
        <f>SUMIF(Table4[Workstream],'$ Dashboard'!B15,Table4[Nov_2026_A])</f>
        <v>0</v>
      </c>
      <c r="AE15" s="106">
        <f>SUMIF(Table4[Workstream],'$ Dashboard'!B15,Table4[Dec_2026_F])</f>
        <v>0</v>
      </c>
      <c r="AF15" s="106">
        <f>SUMIF(Table4[Workstream],'$ Dashboard'!B15,Table4[Dec_2026_A])+SUMIF(Table46[Workstream],'$ Dashboard'!B15,Table46[Dec_26_A])</f>
        <v>0</v>
      </c>
      <c r="AH15" s="21">
        <f t="shared" si="8"/>
        <v>0</v>
      </c>
      <c r="AI15" s="35">
        <f t="shared" si="9"/>
        <v>0</v>
      </c>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I15" s="3"/>
      <c r="BJ15" s="3"/>
      <c r="BK15" s="3"/>
      <c r="BL15" s="3"/>
      <c r="BM15" s="3"/>
      <c r="BN15" s="3"/>
      <c r="BO15" s="3"/>
      <c r="BP15" s="3"/>
      <c r="BQ15" s="3"/>
      <c r="BR15" s="3"/>
      <c r="BS15" s="3"/>
      <c r="BT15" s="3"/>
      <c r="BU15" s="3"/>
      <c r="BV15" s="3"/>
      <c r="BW15" s="3"/>
      <c r="BX15" s="3"/>
      <c r="BY15" s="3"/>
      <c r="BZ15" s="3"/>
      <c r="CA15" s="3"/>
      <c r="CB15" s="3"/>
      <c r="CC15" s="3"/>
      <c r="CD15" s="21">
        <f t="shared" si="10"/>
        <v>0</v>
      </c>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row>
    <row r="16" spans="2:106" ht="18.600000000000001">
      <c r="B16" s="5" t="s">
        <v>46</v>
      </c>
      <c r="C16" t="s">
        <v>43</v>
      </c>
      <c r="D16" s="21">
        <f t="shared" si="4"/>
        <v>0</v>
      </c>
      <c r="E16" s="35">
        <f t="shared" si="5"/>
        <v>0</v>
      </c>
      <c r="G16" s="21">
        <f t="shared" si="6"/>
        <v>0</v>
      </c>
      <c r="H16" s="35">
        <f t="shared" si="7"/>
        <v>0</v>
      </c>
      <c r="I16" s="106">
        <f>SUMIF(Table4[Workstream],'$ Dashboard'!B16,Table4[Jan_2026_F])</f>
        <v>0</v>
      </c>
      <c r="J16" s="106">
        <f>SUMIF(Table4[Workstream],'$ Dashboard'!B16,Table4[Jan_2026_A])</f>
        <v>0</v>
      </c>
      <c r="K16" s="106">
        <f>SUMIF(Table4[Workstream],'$ Dashboard'!B16,Table4[Feb_2026_F])</f>
        <v>0</v>
      </c>
      <c r="L16" s="106">
        <f>SUMIF(Table4[Workstream],'$ Dashboard'!B16,Table4[Feb_2026_A])</f>
        <v>0</v>
      </c>
      <c r="M16" s="106">
        <f>SUMIF(Table4[Workstream],'$ Dashboard'!B16,Table4[Mar_2026_F])</f>
        <v>0</v>
      </c>
      <c r="N16" s="106">
        <f>SUMIF(Table4[Workstream],'$ Dashboard'!B16,Table4[Mar_2026_A])</f>
        <v>0</v>
      </c>
      <c r="O16" s="106">
        <f>SUMIF(Table4[Workstream],'$ Dashboard'!B16,Table4[Apr_2026_F])</f>
        <v>0</v>
      </c>
      <c r="P16" s="106">
        <f>SUMIF(Table4[Workstream],'$ Dashboard'!B16,Table4[Apr_2026_A])</f>
        <v>0</v>
      </c>
      <c r="Q16" s="106">
        <f>SUMIF(Table4[Workstream],'$ Dashboard'!B16,Table4[May_2026_F])</f>
        <v>0</v>
      </c>
      <c r="R16" s="106">
        <f>SUMIF(Table4[Workstream],'$ Dashboard'!B16,Table4[May_2026_A])</f>
        <v>0</v>
      </c>
      <c r="S16" s="106">
        <f>SUMIF(Table4[Workstream],'$ Dashboard'!B16,Table4[Jun_2026_F])</f>
        <v>0</v>
      </c>
      <c r="T16" s="106">
        <f>SUMIF(Table4[Workstream],'$ Dashboard'!B16,Table4[Jun_2026_A])</f>
        <v>0</v>
      </c>
      <c r="U16" s="106">
        <f>SUMIF(Table4[Workstream],'$ Dashboard'!B16,Table4[Jul_2026_F])</f>
        <v>0</v>
      </c>
      <c r="V16" s="106">
        <f>SUMIF(Table4[Workstream],'$ Dashboard'!B16,Table4[Jul_2026_A])</f>
        <v>0</v>
      </c>
      <c r="W16" s="106">
        <f>SUMIF(Table4[Workstream],'$ Dashboard'!B16,Table4[Aug_2026_F])</f>
        <v>0</v>
      </c>
      <c r="X16" s="106">
        <f>SUMIF(Table4[Workstream],'$ Dashboard'!B16,Table4[Aug_2026_A])</f>
        <v>0</v>
      </c>
      <c r="Y16" s="106">
        <f>SUMIF(Table4[Workstream],'$ Dashboard'!B16,Table4[Sep_2026_F])</f>
        <v>0</v>
      </c>
      <c r="Z16" s="106">
        <f>SUMIF(Table4[Workstream],'$ Dashboard'!B16,Table4[Sep_2026_A])</f>
        <v>0</v>
      </c>
      <c r="AA16" s="106">
        <f>SUMIF(Table4[Workstream],'$ Dashboard'!B16,Table4[Oct_2026_F])</f>
        <v>0</v>
      </c>
      <c r="AB16" s="106">
        <f>SUMIF(Table4[Workstream],'$ Dashboard'!B16,Table4[Oct_2026_A])</f>
        <v>0</v>
      </c>
      <c r="AC16" s="106">
        <f>SUMIF(Table4[Workstream],'$ Dashboard'!B16,Table4[Nov_2026_F])</f>
        <v>0</v>
      </c>
      <c r="AD16" s="106">
        <f>SUMIF(Table4[Workstream],'$ Dashboard'!B16,Table4[Nov_2026_A])</f>
        <v>0</v>
      </c>
      <c r="AE16" s="106">
        <f>SUMIF(Table4[Workstream],'$ Dashboard'!B16,Table4[Dec_2026_F])</f>
        <v>0</v>
      </c>
      <c r="AF16" s="106">
        <f>SUMIF(Table4[Workstream],'$ Dashboard'!B16,Table4[Dec_2026_A])+SUMIF(Table46[Workstream],'$ Dashboard'!B16,Table46[Dec_26_A])</f>
        <v>0</v>
      </c>
      <c r="AH16" s="21">
        <f t="shared" si="8"/>
        <v>0</v>
      </c>
      <c r="AI16" s="35">
        <f t="shared" si="9"/>
        <v>0</v>
      </c>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I16" s="3"/>
      <c r="BJ16" s="3"/>
      <c r="BK16" s="3"/>
      <c r="BL16" s="3"/>
      <c r="BM16" s="3"/>
      <c r="BN16" s="3"/>
      <c r="BO16" s="3"/>
      <c r="BP16" s="3"/>
      <c r="BQ16" s="3"/>
      <c r="BR16" s="3"/>
      <c r="BS16" s="3"/>
      <c r="BT16" s="3"/>
      <c r="BU16" s="3"/>
      <c r="BV16" s="3"/>
      <c r="BW16" s="3"/>
      <c r="BX16" s="3"/>
      <c r="BY16" s="3"/>
      <c r="BZ16" s="3"/>
      <c r="CA16" s="3"/>
      <c r="CB16" s="3"/>
      <c r="CC16" s="3"/>
      <c r="CD16" s="21">
        <f t="shared" si="10"/>
        <v>0</v>
      </c>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row>
    <row r="17" spans="2:106" ht="18.600000000000001">
      <c r="B17" s="5" t="s">
        <v>47</v>
      </c>
      <c r="C17" t="s">
        <v>43</v>
      </c>
      <c r="D17" s="21">
        <f t="shared" si="4"/>
        <v>0</v>
      </c>
      <c r="E17" s="35">
        <f t="shared" si="5"/>
        <v>0</v>
      </c>
      <c r="G17" s="21">
        <f t="shared" si="6"/>
        <v>0</v>
      </c>
      <c r="H17" s="35">
        <f t="shared" si="7"/>
        <v>0</v>
      </c>
      <c r="I17" s="106">
        <f>SUMIF(Table4[Workstream],'$ Dashboard'!B17,Table4[Jan_2026_F])</f>
        <v>0</v>
      </c>
      <c r="J17" s="106">
        <f>SUMIF(Table4[Workstream],'$ Dashboard'!B17,Table4[Jan_2026_A])</f>
        <v>0</v>
      </c>
      <c r="K17" s="106">
        <f>SUMIF(Table4[Workstream],'$ Dashboard'!B17,Table4[Feb_2026_F])</f>
        <v>0</v>
      </c>
      <c r="L17" s="106">
        <f>SUMIF(Table4[Workstream],'$ Dashboard'!B17,Table4[Feb_2026_A])</f>
        <v>0</v>
      </c>
      <c r="M17" s="106">
        <f>SUMIF(Table4[Workstream],'$ Dashboard'!B17,Table4[Mar_2026_F])</f>
        <v>0</v>
      </c>
      <c r="N17" s="106">
        <f>SUMIF(Table4[Workstream],'$ Dashboard'!B17,Table4[Mar_2026_A])</f>
        <v>0</v>
      </c>
      <c r="O17" s="106">
        <f>SUMIF(Table4[Workstream],'$ Dashboard'!B17,Table4[Apr_2026_F])</f>
        <v>0</v>
      </c>
      <c r="P17" s="106">
        <f>SUMIF(Table4[Workstream],'$ Dashboard'!B17,Table4[Apr_2026_A])</f>
        <v>0</v>
      </c>
      <c r="Q17" s="106">
        <f>SUMIF(Table4[Workstream],'$ Dashboard'!B17,Table4[May_2026_F])</f>
        <v>0</v>
      </c>
      <c r="R17" s="106">
        <f>SUMIF(Table4[Workstream],'$ Dashboard'!B17,Table4[May_2026_A])</f>
        <v>0</v>
      </c>
      <c r="S17" s="106">
        <f>SUMIF(Table4[Workstream],'$ Dashboard'!B17,Table4[Jun_2026_F])</f>
        <v>0</v>
      </c>
      <c r="T17" s="106">
        <f>SUMIF(Table4[Workstream],'$ Dashboard'!B17,Table4[Jun_2026_A])</f>
        <v>0</v>
      </c>
      <c r="U17" s="106">
        <f>SUMIF(Table4[Workstream],'$ Dashboard'!B17,Table4[Jul_2026_F])</f>
        <v>0</v>
      </c>
      <c r="V17" s="106">
        <f>SUMIF(Table4[Workstream],'$ Dashboard'!B17,Table4[Jul_2026_A])</f>
        <v>0</v>
      </c>
      <c r="W17" s="106">
        <f>SUMIF(Table4[Workstream],'$ Dashboard'!B17,Table4[Aug_2026_F])</f>
        <v>0</v>
      </c>
      <c r="X17" s="106">
        <f>SUMIF(Table4[Workstream],'$ Dashboard'!B17,Table4[Aug_2026_A])</f>
        <v>0</v>
      </c>
      <c r="Y17" s="106">
        <f>SUMIF(Table4[Workstream],'$ Dashboard'!B17,Table4[Sep_2026_F])</f>
        <v>0</v>
      </c>
      <c r="Z17" s="106">
        <f>SUMIF(Table4[Workstream],'$ Dashboard'!B17,Table4[Sep_2026_A])</f>
        <v>0</v>
      </c>
      <c r="AA17" s="106">
        <f>SUMIF(Table4[Workstream],'$ Dashboard'!B17,Table4[Oct_2026_F])</f>
        <v>0</v>
      </c>
      <c r="AB17" s="106">
        <f>SUMIF(Table4[Workstream],'$ Dashboard'!B17,Table4[Oct_2026_A])</f>
        <v>0</v>
      </c>
      <c r="AC17" s="106">
        <f>SUMIF(Table4[Workstream],'$ Dashboard'!B17,Table4[Nov_2026_F])</f>
        <v>0</v>
      </c>
      <c r="AD17" s="106">
        <f>SUMIF(Table4[Workstream],'$ Dashboard'!B17,Table4[Nov_2026_A])</f>
        <v>0</v>
      </c>
      <c r="AE17" s="106">
        <f>SUMIF(Table4[Workstream],'$ Dashboard'!B17,Table4[Dec_2026_F])</f>
        <v>0</v>
      </c>
      <c r="AF17" s="106">
        <f>SUMIF(Table4[Workstream],'$ Dashboard'!B17,Table4[Dec_2026_A])+SUMIF(Table46[Workstream],'$ Dashboard'!B17,Table46[Dec_26_A])</f>
        <v>0</v>
      </c>
      <c r="AH17" s="21">
        <f t="shared" si="8"/>
        <v>0</v>
      </c>
      <c r="AI17" s="35">
        <f t="shared" si="9"/>
        <v>0</v>
      </c>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I17" s="3"/>
      <c r="BJ17" s="3"/>
      <c r="BK17" s="3"/>
      <c r="BL17" s="3"/>
      <c r="BM17" s="3"/>
      <c r="BN17" s="3"/>
      <c r="BO17" s="3"/>
      <c r="BP17" s="3"/>
      <c r="BQ17" s="3"/>
      <c r="BR17" s="3"/>
      <c r="BS17" s="3"/>
      <c r="BT17" s="3"/>
      <c r="BU17" s="3"/>
      <c r="BV17" s="3"/>
      <c r="BW17" s="3"/>
      <c r="BX17" s="3"/>
      <c r="BY17" s="3"/>
      <c r="BZ17" s="3"/>
      <c r="CA17" s="3"/>
      <c r="CB17" s="3"/>
      <c r="CC17" s="3"/>
      <c r="CD17" s="21">
        <f t="shared" si="10"/>
        <v>0</v>
      </c>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row>
    <row r="18" spans="2:106" ht="18.600000000000001">
      <c r="B18" s="5" t="s">
        <v>48</v>
      </c>
      <c r="C18" t="s">
        <v>43</v>
      </c>
      <c r="D18" s="21">
        <f t="shared" si="4"/>
        <v>0</v>
      </c>
      <c r="E18" s="35">
        <f t="shared" si="5"/>
        <v>0</v>
      </c>
      <c r="G18" s="21">
        <f t="shared" si="6"/>
        <v>0</v>
      </c>
      <c r="H18" s="35">
        <f t="shared" si="7"/>
        <v>0</v>
      </c>
      <c r="I18" s="106">
        <f>SUMIF(Table4[Workstream],'$ Dashboard'!B18,Table4[Jan_2026_F])</f>
        <v>0</v>
      </c>
      <c r="J18" s="106">
        <f>SUMIF(Table4[Workstream],'$ Dashboard'!B18,Table4[Jan_2026_A])</f>
        <v>0</v>
      </c>
      <c r="K18" s="106">
        <f>SUMIF(Table4[Workstream],'$ Dashboard'!B18,Table4[Feb_2026_F])</f>
        <v>0</v>
      </c>
      <c r="L18" s="106">
        <f>SUMIF(Table4[Workstream],'$ Dashboard'!B18,Table4[Feb_2026_A])</f>
        <v>0</v>
      </c>
      <c r="M18" s="106">
        <f>SUMIF(Table4[Workstream],'$ Dashboard'!B18,Table4[Mar_2026_F])</f>
        <v>0</v>
      </c>
      <c r="N18" s="106">
        <f>SUMIF(Table4[Workstream],'$ Dashboard'!B18,Table4[Mar_2026_A])</f>
        <v>0</v>
      </c>
      <c r="O18" s="106">
        <f>SUMIF(Table4[Workstream],'$ Dashboard'!B18,Table4[Apr_2026_F])</f>
        <v>0</v>
      </c>
      <c r="P18" s="106">
        <f>SUMIF(Table4[Workstream],'$ Dashboard'!B18,Table4[Apr_2026_A])</f>
        <v>0</v>
      </c>
      <c r="Q18" s="106">
        <f>SUMIF(Table4[Workstream],'$ Dashboard'!B18,Table4[May_2026_F])</f>
        <v>0</v>
      </c>
      <c r="R18" s="106">
        <f>SUMIF(Table4[Workstream],'$ Dashboard'!B18,Table4[May_2026_A])</f>
        <v>0</v>
      </c>
      <c r="S18" s="106">
        <f>SUMIF(Table4[Workstream],'$ Dashboard'!B18,Table4[Jun_2026_F])</f>
        <v>0</v>
      </c>
      <c r="T18" s="106">
        <f>SUMIF(Table4[Workstream],'$ Dashboard'!B18,Table4[Jun_2026_A])</f>
        <v>0</v>
      </c>
      <c r="U18" s="106">
        <f>SUMIF(Table4[Workstream],'$ Dashboard'!B18,Table4[Jul_2026_F])</f>
        <v>0</v>
      </c>
      <c r="V18" s="106">
        <f>SUMIF(Table4[Workstream],'$ Dashboard'!B18,Table4[Jul_2026_A])</f>
        <v>0</v>
      </c>
      <c r="W18" s="106">
        <f>SUMIF(Table4[Workstream],'$ Dashboard'!B18,Table4[Aug_2026_F])</f>
        <v>0</v>
      </c>
      <c r="X18" s="106">
        <f>SUMIF(Table4[Workstream],'$ Dashboard'!B18,Table4[Aug_2026_A])</f>
        <v>0</v>
      </c>
      <c r="Y18" s="106">
        <f>SUMIF(Table4[Workstream],'$ Dashboard'!B18,Table4[Sep_2026_F])</f>
        <v>0</v>
      </c>
      <c r="Z18" s="106">
        <f>SUMIF(Table4[Workstream],'$ Dashboard'!B18,Table4[Sep_2026_A])</f>
        <v>0</v>
      </c>
      <c r="AA18" s="106">
        <f>SUMIF(Table4[Workstream],'$ Dashboard'!B18,Table4[Oct_2026_F])</f>
        <v>0</v>
      </c>
      <c r="AB18" s="106">
        <f>SUMIF(Table4[Workstream],'$ Dashboard'!B18,Table4[Oct_2026_A])</f>
        <v>0</v>
      </c>
      <c r="AC18" s="106">
        <f>SUMIF(Table4[Workstream],'$ Dashboard'!B18,Table4[Nov_2026_F])</f>
        <v>0</v>
      </c>
      <c r="AD18" s="106">
        <f>SUMIF(Table4[Workstream],'$ Dashboard'!B18,Table4[Nov_2026_A])</f>
        <v>0</v>
      </c>
      <c r="AE18" s="106">
        <f>SUMIF(Table4[Workstream],'$ Dashboard'!B18,Table4[Dec_2026_F])</f>
        <v>0</v>
      </c>
      <c r="AF18" s="106">
        <f>SUMIF(Table4[Workstream],'$ Dashboard'!B18,Table4[Dec_2026_A])+SUMIF(Table46[Workstream],'$ Dashboard'!B18,Table46[Dec_26_A])</f>
        <v>0</v>
      </c>
      <c r="AH18" s="21">
        <f t="shared" si="8"/>
        <v>0</v>
      </c>
      <c r="AI18" s="35">
        <f t="shared" si="9"/>
        <v>0</v>
      </c>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I18" s="3"/>
      <c r="BJ18" s="3"/>
      <c r="BK18" s="3"/>
      <c r="BL18" s="3"/>
      <c r="BM18" s="3"/>
      <c r="BN18" s="3"/>
      <c r="BO18" s="3"/>
      <c r="BP18" s="3"/>
      <c r="BQ18" s="3"/>
      <c r="BR18" s="3"/>
      <c r="BS18" s="3"/>
      <c r="BT18" s="3"/>
      <c r="BU18" s="3"/>
      <c r="BV18" s="3"/>
      <c r="BW18" s="3"/>
      <c r="BX18" s="3"/>
      <c r="BY18" s="3"/>
      <c r="BZ18" s="3"/>
      <c r="CA18" s="3"/>
      <c r="CB18" s="3"/>
      <c r="CC18" s="3"/>
      <c r="CD18" s="21">
        <f t="shared" si="10"/>
        <v>0</v>
      </c>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row>
    <row r="19" spans="2:106" ht="18.600000000000001">
      <c r="B19" s="5" t="s">
        <v>49</v>
      </c>
      <c r="C19" t="s">
        <v>43</v>
      </c>
      <c r="D19" s="21">
        <f t="shared" si="4"/>
        <v>0</v>
      </c>
      <c r="E19" s="35">
        <f t="shared" si="5"/>
        <v>0</v>
      </c>
      <c r="G19" s="21">
        <f t="shared" si="6"/>
        <v>0</v>
      </c>
      <c r="H19" s="35">
        <f t="shared" si="7"/>
        <v>0</v>
      </c>
      <c r="I19" s="106">
        <f>SUMIF(Table4[Workstream],'$ Dashboard'!B19,Table4[Jan_2026_F])</f>
        <v>0</v>
      </c>
      <c r="J19" s="106">
        <f>SUMIF(Table4[Workstream],'$ Dashboard'!B19,Table4[Jan_2026_A])</f>
        <v>0</v>
      </c>
      <c r="K19" s="106">
        <f>SUMIF(Table4[Workstream],'$ Dashboard'!B19,Table4[Feb_2026_F])</f>
        <v>0</v>
      </c>
      <c r="L19" s="106">
        <f>SUMIF(Table4[Workstream],'$ Dashboard'!B19,Table4[Feb_2026_A])</f>
        <v>0</v>
      </c>
      <c r="M19" s="106">
        <f>SUMIF(Table4[Workstream],'$ Dashboard'!B19,Table4[Mar_2026_F])</f>
        <v>0</v>
      </c>
      <c r="N19" s="106">
        <f>SUMIF(Table4[Workstream],'$ Dashboard'!B19,Table4[Mar_2026_A])</f>
        <v>0</v>
      </c>
      <c r="O19" s="106">
        <f>SUMIF(Table4[Workstream],'$ Dashboard'!B19,Table4[Apr_2026_F])</f>
        <v>0</v>
      </c>
      <c r="P19" s="106">
        <f>SUMIF(Table4[Workstream],'$ Dashboard'!B19,Table4[Apr_2026_A])</f>
        <v>0</v>
      </c>
      <c r="Q19" s="106">
        <f>SUMIF(Table4[Workstream],'$ Dashboard'!B19,Table4[May_2026_F])</f>
        <v>0</v>
      </c>
      <c r="R19" s="106">
        <f>SUMIF(Table4[Workstream],'$ Dashboard'!B19,Table4[May_2026_A])</f>
        <v>0</v>
      </c>
      <c r="S19" s="106">
        <f>SUMIF(Table4[Workstream],'$ Dashboard'!B19,Table4[Jun_2026_F])</f>
        <v>0</v>
      </c>
      <c r="T19" s="106">
        <f>SUMIF(Table4[Workstream],'$ Dashboard'!B19,Table4[Jun_2026_A])</f>
        <v>0</v>
      </c>
      <c r="U19" s="106">
        <f>SUMIF(Table4[Workstream],'$ Dashboard'!B19,Table4[Jul_2026_F])</f>
        <v>0</v>
      </c>
      <c r="V19" s="106">
        <f>SUMIF(Table4[Workstream],'$ Dashboard'!B19,Table4[Jul_2026_A])</f>
        <v>0</v>
      </c>
      <c r="W19" s="106">
        <f>SUMIF(Table4[Workstream],'$ Dashboard'!B19,Table4[Aug_2026_F])</f>
        <v>0</v>
      </c>
      <c r="X19" s="106">
        <f>SUMIF(Table4[Workstream],'$ Dashboard'!B19,Table4[Aug_2026_A])</f>
        <v>0</v>
      </c>
      <c r="Y19" s="106">
        <f>SUMIF(Table4[Workstream],'$ Dashboard'!B19,Table4[Sep_2026_F])</f>
        <v>0</v>
      </c>
      <c r="Z19" s="106">
        <f>SUMIF(Table4[Workstream],'$ Dashboard'!B19,Table4[Sep_2026_A])</f>
        <v>0</v>
      </c>
      <c r="AA19" s="106">
        <f>SUMIF(Table4[Workstream],'$ Dashboard'!B19,Table4[Oct_2026_F])</f>
        <v>0</v>
      </c>
      <c r="AB19" s="106">
        <f>SUMIF(Table4[Workstream],'$ Dashboard'!B19,Table4[Oct_2026_A])</f>
        <v>0</v>
      </c>
      <c r="AC19" s="106">
        <f>SUMIF(Table4[Workstream],'$ Dashboard'!B19,Table4[Nov_2026_F])</f>
        <v>0</v>
      </c>
      <c r="AD19" s="106">
        <f>SUMIF(Table4[Workstream],'$ Dashboard'!B19,Table4[Nov_2026_A])</f>
        <v>0</v>
      </c>
      <c r="AE19" s="106">
        <f>SUMIF(Table4[Workstream],'$ Dashboard'!B19,Table4[Dec_2026_F])</f>
        <v>0</v>
      </c>
      <c r="AF19" s="106">
        <f>SUMIF(Table4[Workstream],'$ Dashboard'!B19,Table4[Dec_2026_A])+SUMIF(Table46[Workstream],'$ Dashboard'!B19,Table46[Dec_26_A])</f>
        <v>0</v>
      </c>
      <c r="AH19" s="21">
        <f t="shared" si="8"/>
        <v>0</v>
      </c>
      <c r="AI19" s="35">
        <f t="shared" si="9"/>
        <v>0</v>
      </c>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I19" s="3"/>
      <c r="BJ19" s="3"/>
      <c r="BK19" s="3"/>
      <c r="BL19" s="3"/>
      <c r="BM19" s="3"/>
      <c r="BN19" s="3"/>
      <c r="BO19" s="3"/>
      <c r="BP19" s="3"/>
      <c r="BQ19" s="3"/>
      <c r="BR19" s="3"/>
      <c r="BS19" s="3"/>
      <c r="BT19" s="3"/>
      <c r="BU19" s="3"/>
      <c r="BV19" s="3"/>
      <c r="BW19" s="3"/>
      <c r="BX19" s="3"/>
      <c r="BY19" s="3"/>
      <c r="BZ19" s="3"/>
      <c r="CA19" s="3"/>
      <c r="CB19" s="3"/>
      <c r="CC19" s="3"/>
      <c r="CD19" s="21">
        <f t="shared" si="10"/>
        <v>0</v>
      </c>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row>
    <row r="20" spans="2:106" ht="18.600000000000001">
      <c r="B20" s="5" t="s">
        <v>50</v>
      </c>
      <c r="C20" t="s">
        <v>43</v>
      </c>
      <c r="D20" s="21">
        <f t="shared" si="4"/>
        <v>0</v>
      </c>
      <c r="E20" s="35">
        <f t="shared" si="5"/>
        <v>0</v>
      </c>
      <c r="G20" s="21">
        <f t="shared" si="6"/>
        <v>0</v>
      </c>
      <c r="H20" s="35">
        <f t="shared" si="7"/>
        <v>0</v>
      </c>
      <c r="I20" s="106">
        <f>SUMIF(Table4[Workstream],'$ Dashboard'!B20,Table4[Jan_2026_F])</f>
        <v>0</v>
      </c>
      <c r="J20" s="106">
        <f>SUMIF(Table4[Workstream],'$ Dashboard'!B20,Table4[Jan_2026_A])</f>
        <v>0</v>
      </c>
      <c r="K20" s="106">
        <f>SUMIF(Table4[Workstream],'$ Dashboard'!B20,Table4[Feb_2026_F])</f>
        <v>0</v>
      </c>
      <c r="L20" s="106">
        <f>SUMIF(Table4[Workstream],'$ Dashboard'!B20,Table4[Feb_2026_A])</f>
        <v>0</v>
      </c>
      <c r="M20" s="106">
        <f>SUMIF(Table4[Workstream],'$ Dashboard'!B20,Table4[Mar_2026_F])</f>
        <v>0</v>
      </c>
      <c r="N20" s="106">
        <f>SUMIF(Table4[Workstream],'$ Dashboard'!B20,Table4[Mar_2026_A])</f>
        <v>0</v>
      </c>
      <c r="O20" s="106">
        <f>SUMIF(Table4[Workstream],'$ Dashboard'!B20,Table4[Apr_2026_F])</f>
        <v>0</v>
      </c>
      <c r="P20" s="106">
        <f>SUMIF(Table4[Workstream],'$ Dashboard'!B20,Table4[Apr_2026_A])</f>
        <v>0</v>
      </c>
      <c r="Q20" s="106">
        <f>SUMIF(Table4[Workstream],'$ Dashboard'!B20,Table4[May_2026_F])</f>
        <v>0</v>
      </c>
      <c r="R20" s="106">
        <f>SUMIF(Table4[Workstream],'$ Dashboard'!B20,Table4[May_2026_A])</f>
        <v>0</v>
      </c>
      <c r="S20" s="106">
        <f>SUMIF(Table4[Workstream],'$ Dashboard'!B20,Table4[Jun_2026_F])</f>
        <v>0</v>
      </c>
      <c r="T20" s="106">
        <f>SUMIF(Table4[Workstream],'$ Dashboard'!B20,Table4[Jun_2026_A])</f>
        <v>0</v>
      </c>
      <c r="U20" s="106">
        <f>SUMIF(Table4[Workstream],'$ Dashboard'!B20,Table4[Jul_2026_F])</f>
        <v>0</v>
      </c>
      <c r="V20" s="106">
        <f>SUMIF(Table4[Workstream],'$ Dashboard'!B20,Table4[Jul_2026_A])</f>
        <v>0</v>
      </c>
      <c r="W20" s="106">
        <f>SUMIF(Table4[Workstream],'$ Dashboard'!B20,Table4[Aug_2026_F])</f>
        <v>0</v>
      </c>
      <c r="X20" s="106">
        <f>SUMIF(Table4[Workstream],'$ Dashboard'!B20,Table4[Aug_2026_A])</f>
        <v>0</v>
      </c>
      <c r="Y20" s="106">
        <f>SUMIF(Table4[Workstream],'$ Dashboard'!B20,Table4[Sep_2026_F])</f>
        <v>0</v>
      </c>
      <c r="Z20" s="106">
        <f>SUMIF(Table4[Workstream],'$ Dashboard'!B20,Table4[Sep_2026_A])</f>
        <v>0</v>
      </c>
      <c r="AA20" s="106">
        <f>SUMIF(Table4[Workstream],'$ Dashboard'!B20,Table4[Oct_2026_F])</f>
        <v>0</v>
      </c>
      <c r="AB20" s="106">
        <f>SUMIF(Table4[Workstream],'$ Dashboard'!B20,Table4[Oct_2026_A])</f>
        <v>0</v>
      </c>
      <c r="AC20" s="106">
        <f>SUMIF(Table4[Workstream],'$ Dashboard'!B20,Table4[Nov_2026_F])</f>
        <v>0</v>
      </c>
      <c r="AD20" s="106">
        <f>SUMIF(Table4[Workstream],'$ Dashboard'!B20,Table4[Nov_2026_A])</f>
        <v>0</v>
      </c>
      <c r="AE20" s="106">
        <f>SUMIF(Table4[Workstream],'$ Dashboard'!B20,Table4[Dec_2026_F])</f>
        <v>0</v>
      </c>
      <c r="AF20" s="106">
        <f>SUMIF(Table4[Workstream],'$ Dashboard'!B20,Table4[Dec_2026_A])+SUMIF(Table46[Workstream],'$ Dashboard'!B20,Table46[Dec_26_A])</f>
        <v>0</v>
      </c>
      <c r="AH20" s="21">
        <f t="shared" si="8"/>
        <v>0</v>
      </c>
      <c r="AI20" s="35">
        <f t="shared" si="9"/>
        <v>0</v>
      </c>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I20" s="3"/>
      <c r="BJ20" s="3"/>
      <c r="BK20" s="3"/>
      <c r="BL20" s="3"/>
      <c r="BM20" s="3"/>
      <c r="BN20" s="3"/>
      <c r="BO20" s="3"/>
      <c r="BP20" s="3"/>
      <c r="BQ20" s="3"/>
      <c r="BR20" s="3"/>
      <c r="BS20" s="3"/>
      <c r="BT20" s="3"/>
      <c r="BU20" s="3"/>
      <c r="BV20" s="3"/>
      <c r="BW20" s="3"/>
      <c r="BX20" s="3"/>
      <c r="BY20" s="3"/>
      <c r="BZ20" s="3"/>
      <c r="CA20" s="3"/>
      <c r="CB20" s="3"/>
      <c r="CC20" s="3"/>
      <c r="CD20" s="21">
        <f t="shared" si="10"/>
        <v>0</v>
      </c>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row>
    <row r="21" spans="2:106" ht="18.600000000000001">
      <c r="B21" s="5" t="s">
        <v>51</v>
      </c>
      <c r="C21" t="s">
        <v>43</v>
      </c>
      <c r="D21" s="21">
        <f t="shared" si="4"/>
        <v>0.29416999999999999</v>
      </c>
      <c r="E21" s="35">
        <f t="shared" si="5"/>
        <v>0.271148</v>
      </c>
      <c r="G21" s="21">
        <f t="shared" si="6"/>
        <v>0.29416999999999999</v>
      </c>
      <c r="H21" s="35">
        <f t="shared" si="7"/>
        <v>0.271148</v>
      </c>
      <c r="I21" s="106">
        <f>SUMIF(Table4[Workstream],'$ Dashboard'!B21,Table4[Jan_2026_F])</f>
        <v>25580</v>
      </c>
      <c r="J21" s="106">
        <f>SUMIF(Table4[Workstream],'$ Dashboard'!B21,Table4[Jan_2026_A])</f>
        <v>25580</v>
      </c>
      <c r="K21" s="106">
        <f>SUMIF(Table4[Workstream],'$ Dashboard'!B21,Table4[Feb_2026_F])</f>
        <v>25580</v>
      </c>
      <c r="L21" s="106">
        <f>SUMIF(Table4[Workstream],'$ Dashboard'!B21,Table4[Feb_2026_A])</f>
        <v>25580</v>
      </c>
      <c r="M21" s="106">
        <f>SUMIF(Table4[Workstream],'$ Dashboard'!B21,Table4[Mar_2026_F])</f>
        <v>25580</v>
      </c>
      <c r="N21" s="106">
        <f>SUMIF(Table4[Workstream],'$ Dashboard'!B21,Table4[Mar_2026_A])</f>
        <v>25580</v>
      </c>
      <c r="O21" s="106">
        <f>SUMIF(Table4[Workstream],'$ Dashboard'!B21,Table4[Apr_2026_F])</f>
        <v>25580</v>
      </c>
      <c r="P21" s="106">
        <f>SUMIF(Table4[Workstream],'$ Dashboard'!B21,Table4[Apr_2026_A])</f>
        <v>25580</v>
      </c>
      <c r="Q21" s="106">
        <f>SUMIF(Table4[Workstream],'$ Dashboard'!B21,Table4[May_2026_F])</f>
        <v>23022</v>
      </c>
      <c r="R21" s="106">
        <f>SUMIF(Table4[Workstream],'$ Dashboard'!B21,Table4[May_2026_A])</f>
        <v>23022</v>
      </c>
      <c r="S21" s="106">
        <f>SUMIF(Table4[Workstream],'$ Dashboard'!B21,Table4[Jun_2026_F])</f>
        <v>23022</v>
      </c>
      <c r="T21" s="106">
        <f>SUMIF(Table4[Workstream],'$ Dashboard'!B21,Table4[Jun_2026_A])</f>
        <v>23022</v>
      </c>
      <c r="U21" s="106">
        <f>SUMIF(Table4[Workstream],'$ Dashboard'!B21,Table4[Jul_2026_F])</f>
        <v>23022</v>
      </c>
      <c r="V21" s="106">
        <f>SUMIF(Table4[Workstream],'$ Dashboard'!B21,Table4[Jul_2026_A])</f>
        <v>0</v>
      </c>
      <c r="W21" s="106">
        <f>SUMIF(Table4[Workstream],'$ Dashboard'!B21,Table4[Aug_2026_F])</f>
        <v>25580</v>
      </c>
      <c r="X21" s="106">
        <f>SUMIF(Table4[Workstream],'$ Dashboard'!B21,Table4[Aug_2026_A])</f>
        <v>25580</v>
      </c>
      <c r="Y21" s="106">
        <f>SUMIF(Table4[Workstream],'$ Dashboard'!B21,Table4[Sep_2026_F])</f>
        <v>25580</v>
      </c>
      <c r="Z21" s="106">
        <f>SUMIF(Table4[Workstream],'$ Dashboard'!B21,Table4[Sep_2026_A])</f>
        <v>25580</v>
      </c>
      <c r="AA21" s="106">
        <f>SUMIF(Table4[Workstream],'$ Dashboard'!B21,Table4[Oct_2026_F])</f>
        <v>25580</v>
      </c>
      <c r="AB21" s="106">
        <f>SUMIF(Table4[Workstream],'$ Dashboard'!B21,Table4[Oct_2026_A])</f>
        <v>25580</v>
      </c>
      <c r="AC21" s="106">
        <f>SUMIF(Table4[Workstream],'$ Dashboard'!B21,Table4[Nov_2026_F])</f>
        <v>23022</v>
      </c>
      <c r="AD21" s="106">
        <f>SUMIF(Table4[Workstream],'$ Dashboard'!B21,Table4[Nov_2026_A])</f>
        <v>23022</v>
      </c>
      <c r="AE21" s="106">
        <f>SUMIF(Table4[Workstream],'$ Dashboard'!B21,Table4[Dec_2026_F])</f>
        <v>23022</v>
      </c>
      <c r="AF21" s="106">
        <f>SUMIF(Table4[Workstream],'$ Dashboard'!B21,Table4[Dec_2026_A])+SUMIF(Table46[Workstream],'$ Dashboard'!B21,Table46[Dec_26_A])</f>
        <v>23022</v>
      </c>
      <c r="AH21" s="21">
        <f t="shared" ref="AH21" si="11">SUM(AW21:BG21)/1000000</f>
        <v>0</v>
      </c>
      <c r="AI21" s="35">
        <f t="shared" si="9"/>
        <v>0</v>
      </c>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I21" s="3"/>
      <c r="BJ21" s="3"/>
      <c r="BK21" s="3"/>
      <c r="BL21" s="3"/>
      <c r="BM21" s="3"/>
      <c r="BN21" s="3"/>
      <c r="BO21" s="3"/>
      <c r="BP21" s="3"/>
      <c r="BQ21" s="3"/>
      <c r="BR21" s="3"/>
      <c r="BS21" s="3"/>
      <c r="BT21" s="3"/>
      <c r="BU21" s="3"/>
      <c r="BV21" s="3"/>
      <c r="BW21" s="3"/>
      <c r="BX21" s="3"/>
      <c r="BY21" s="3"/>
      <c r="BZ21" s="3"/>
      <c r="CA21" s="3"/>
      <c r="CB21" s="3"/>
      <c r="CC21" s="3"/>
      <c r="CD21" s="21">
        <f t="shared" si="10"/>
        <v>0</v>
      </c>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row>
    <row r="22" spans="2:106" ht="18.600000000000001">
      <c r="B22" s="5"/>
      <c r="D22" s="21">
        <f t="shared" si="4"/>
        <v>0</v>
      </c>
      <c r="E22" s="35">
        <f t="shared" si="5"/>
        <v>0</v>
      </c>
      <c r="G22" s="21">
        <f t="shared" si="6"/>
        <v>0</v>
      </c>
      <c r="H22" s="35">
        <f t="shared" si="7"/>
        <v>0</v>
      </c>
      <c r="I22" s="106">
        <f>SUMIF(Table4[Workstream],'$ Dashboard'!B22,Table4[Jan_2026_F])</f>
        <v>0</v>
      </c>
      <c r="J22" s="106">
        <f>SUMIF(Table4[Workstream],'$ Dashboard'!B22,Table4[Jan_2026_A])</f>
        <v>0</v>
      </c>
      <c r="K22" s="106">
        <f>SUMIF(Table4[Workstream],'$ Dashboard'!B22,Table4[Feb_2026_F])</f>
        <v>0</v>
      </c>
      <c r="L22" s="106">
        <f>SUMIF(Table4[Workstream],'$ Dashboard'!B22,Table4[Feb_2026_A])</f>
        <v>0</v>
      </c>
      <c r="M22" s="106">
        <f>SUMIF(Table4[Workstream],'$ Dashboard'!B22,Table4[Mar_2026_F])</f>
        <v>0</v>
      </c>
      <c r="N22" s="106">
        <f>SUMIF(Table4[Workstream],'$ Dashboard'!B22,Table4[Mar_2026_A])</f>
        <v>0</v>
      </c>
      <c r="O22" s="106">
        <f>SUMIF(Table4[Workstream],'$ Dashboard'!B22,Table4[Apr_2026_F])</f>
        <v>0</v>
      </c>
      <c r="P22" s="106">
        <f>SUMIF(Table4[Workstream],'$ Dashboard'!B22,Table4[Apr_2026_A])</f>
        <v>0</v>
      </c>
      <c r="Q22" s="106">
        <f>SUMIF(Table4[Workstream],'$ Dashboard'!B22,Table4[May_2026_F])</f>
        <v>0</v>
      </c>
      <c r="R22" s="106">
        <f>SUMIF(Table4[Workstream],'$ Dashboard'!B22,Table4[May_2026_A])</f>
        <v>0</v>
      </c>
      <c r="S22" s="106">
        <f>SUMIF(Table4[Workstream],'$ Dashboard'!B22,Table4[Jun_2026_F])</f>
        <v>0</v>
      </c>
      <c r="T22" s="106">
        <f>SUMIF(Table4[Workstream],'$ Dashboard'!B22,Table4[Jun_2026_A])</f>
        <v>0</v>
      </c>
      <c r="U22" s="106">
        <f>SUMIF(Table4[Workstream],'$ Dashboard'!B22,Table4[Jul_2026_F])</f>
        <v>0</v>
      </c>
      <c r="V22" s="106">
        <f>SUMIF(Table4[Workstream],'$ Dashboard'!B22,Table4[Jul_2026_A])</f>
        <v>0</v>
      </c>
      <c r="W22" s="106">
        <f>SUMIF(Table4[Workstream],'$ Dashboard'!B22,Table4[Aug_2026_F])</f>
        <v>0</v>
      </c>
      <c r="X22" s="106">
        <f>SUMIF(Table4[Workstream],'$ Dashboard'!B22,Table4[Aug_2026_A])</f>
        <v>0</v>
      </c>
      <c r="Y22" s="106">
        <f>SUMIF(Table4[Workstream],'$ Dashboard'!B22,Table4[Sep_2026_F])</f>
        <v>0</v>
      </c>
      <c r="Z22" s="106">
        <f>SUMIF(Table4[Workstream],'$ Dashboard'!B22,Table4[Sep_2026_A])</f>
        <v>0</v>
      </c>
      <c r="AA22" s="106">
        <f>SUMIF(Table4[Workstream],'$ Dashboard'!B22,Table4[Oct_2026_F])</f>
        <v>0</v>
      </c>
      <c r="AB22" s="106">
        <f>SUMIF(Table4[Workstream],'$ Dashboard'!B22,Table4[Oct_2026_A])</f>
        <v>0</v>
      </c>
      <c r="AC22" s="106">
        <f>SUMIF(Table4[Workstream],'$ Dashboard'!B22,Table4[Nov_2026_F])</f>
        <v>0</v>
      </c>
      <c r="AD22" s="106">
        <f>SUMIF(Table4[Workstream],'$ Dashboard'!B22,Table4[Nov_2026_A])</f>
        <v>0</v>
      </c>
      <c r="AE22" s="106">
        <f>SUMIF(Table4[Workstream],'$ Dashboard'!B22,Table4[Dec_2026_F])</f>
        <v>0</v>
      </c>
      <c r="AF22" s="106">
        <f>SUMIF(Table4[Workstream],'$ Dashboard'!B22,Table4[Dec_2026_A])+SUMIF(Table46[Workstream],'$ Dashboard'!B22,Table46[Dec_26_A])</f>
        <v>0</v>
      </c>
      <c r="AH22" s="21">
        <f t="shared" si="8"/>
        <v>0</v>
      </c>
      <c r="AI22" s="35">
        <f t="shared" si="9"/>
        <v>0</v>
      </c>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I22" s="3"/>
      <c r="BJ22" s="3"/>
      <c r="BK22" s="3"/>
      <c r="BL22" s="3"/>
      <c r="BM22" s="3"/>
      <c r="BN22" s="3"/>
      <c r="BO22" s="3"/>
      <c r="BP22" s="3"/>
      <c r="BQ22" s="3"/>
      <c r="BR22" s="3"/>
      <c r="BS22" s="3"/>
      <c r="BT22" s="3"/>
      <c r="BU22" s="3"/>
      <c r="BV22" s="3"/>
      <c r="BW22" s="3"/>
      <c r="BX22" s="3"/>
      <c r="BY22" s="3"/>
      <c r="BZ22" s="3"/>
      <c r="CA22" s="3"/>
      <c r="CB22" s="3"/>
      <c r="CC22" s="3"/>
      <c r="CD22" s="21">
        <f t="shared" si="10"/>
        <v>0</v>
      </c>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row>
    <row r="23" spans="2:106" ht="18.600000000000001">
      <c r="B23" s="5"/>
      <c r="D23" s="21">
        <f t="shared" si="4"/>
        <v>0</v>
      </c>
      <c r="E23" s="35">
        <f t="shared" si="5"/>
        <v>0</v>
      </c>
      <c r="G23" s="21">
        <f t="shared" si="6"/>
        <v>0</v>
      </c>
      <c r="H23" s="35">
        <f t="shared" si="7"/>
        <v>0</v>
      </c>
      <c r="I23" s="106">
        <f>SUMIF(Table410[Workstream],'$ Dashboard'!B23,Table410[Jan_2026_F])</f>
        <v>0</v>
      </c>
      <c r="J23" s="106">
        <f>SUMIF(Table410[Workstream],'$ Dashboard'!B23,Table410[Jan_2026_A])</f>
        <v>0</v>
      </c>
      <c r="K23" s="106">
        <f>SUMIF(Table410[Workstream],'$ Dashboard'!B23,Table410[Feb_2026_F])</f>
        <v>0</v>
      </c>
      <c r="L23" s="106">
        <f>SUMIF(Table410[Workstream],'$ Dashboard'!B23,Table410[Feb_2026_A])</f>
        <v>0</v>
      </c>
      <c r="M23" s="106">
        <f>SUMIF(Table410[Workstream],'$ Dashboard'!B23,Table410[Mar_2026_F])</f>
        <v>0</v>
      </c>
      <c r="N23" s="106">
        <f>SUMIF(Table410[Workstream],'$ Dashboard'!B23,Table410[Mar_2026_A])</f>
        <v>0</v>
      </c>
      <c r="O23" s="106">
        <f>SUMIF(Table410[Workstream],'$ Dashboard'!B23,Table410[Apr_2026_F])</f>
        <v>0</v>
      </c>
      <c r="P23" s="106">
        <f>SUMIF(Table410[Workstream],'$ Dashboard'!B23,Table410[Apr_2026_A])</f>
        <v>0</v>
      </c>
      <c r="Q23" s="106">
        <f>SUMIF(Table410[Workstream],'$ Dashboard'!B23,Table410[May_2026_F])</f>
        <v>0</v>
      </c>
      <c r="R23" s="106">
        <f>SUMIF(Table410[Workstream],'$ Dashboard'!B23,Table410[May_2026_A])</f>
        <v>0</v>
      </c>
      <c r="S23" s="106">
        <f>SUMIF(Table410[Workstream],'$ Dashboard'!B23,Table410[Jun_2026_F])</f>
        <v>0</v>
      </c>
      <c r="T23" s="106">
        <f>SUMIF(Table410[Workstream],'$ Dashboard'!B23,Table410[Jun_2026_A])</f>
        <v>0</v>
      </c>
      <c r="U23" s="106">
        <f>SUMIF(Table410[Workstream],'$ Dashboard'!B23,Table410[Jul_2026_F])</f>
        <v>0</v>
      </c>
      <c r="V23" s="106">
        <f>SUMIF(Table410[Workstream],'$ Dashboard'!B23,Table410[Jul_2026_A])</f>
        <v>0</v>
      </c>
      <c r="W23" s="106">
        <f>SUMIF(Table410[Workstream],'$ Dashboard'!B23,Table410[Aug_2026_F])</f>
        <v>0</v>
      </c>
      <c r="X23" s="106">
        <f>SUMIF(Table410[Workstream],'$ Dashboard'!B23,Table410[Aug_2026_A])</f>
        <v>0</v>
      </c>
      <c r="Y23" s="106">
        <f>SUMIF(Table410[Workstream],'$ Dashboard'!B23,Table410[Sep_2026_F])</f>
        <v>0</v>
      </c>
      <c r="Z23" s="106">
        <f>SUMIF(Table410[Workstream],'$ Dashboard'!B23,Table410[Sep_2026_A])</f>
        <v>0</v>
      </c>
      <c r="AA23" s="106">
        <f>SUMIF(Table410[Workstream],'$ Dashboard'!B23,Table410[Oct_2026_F])</f>
        <v>0</v>
      </c>
      <c r="AB23" s="106">
        <f>SUMIF(Table410[Workstream],'$ Dashboard'!B23,Table410[Oct_2026_A])</f>
        <v>0</v>
      </c>
      <c r="AC23" s="106">
        <f>SUMIF(Table410[Workstream],'$ Dashboard'!B23,Table410[Nov_2026_F])</f>
        <v>0</v>
      </c>
      <c r="AD23" s="106">
        <f>SUMIF(Table410[Workstream],'$ Dashboard'!B23,Table410[Nov_2026_A])</f>
        <v>0</v>
      </c>
      <c r="AE23" s="106">
        <f>SUMIF(Table410[Workstream],'$ Dashboard'!B23,Table410[Dec_2026_F])</f>
        <v>0</v>
      </c>
      <c r="AF23" s="106">
        <f>SUMIF(Table410[Workstream],'$ Dashboard'!B23,Table410[Dec_2026_A])+SUMIF(Table46[Workstream],'$ Dashboard'!B23,Table46[Dec_26_A])</f>
        <v>0</v>
      </c>
      <c r="AH23" s="21">
        <f t="shared" si="8"/>
        <v>0</v>
      </c>
      <c r="AI23" s="35">
        <f t="shared" si="9"/>
        <v>0</v>
      </c>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I23" s="3"/>
      <c r="BJ23" s="3"/>
      <c r="BK23" s="3"/>
      <c r="BL23" s="3"/>
      <c r="BM23" s="3"/>
      <c r="BN23" s="3"/>
      <c r="BO23" s="3"/>
      <c r="BP23" s="3"/>
      <c r="BQ23" s="3"/>
      <c r="BR23" s="3"/>
      <c r="BS23" s="3"/>
      <c r="BT23" s="3"/>
      <c r="BU23" s="3"/>
      <c r="BV23" s="3"/>
      <c r="BW23" s="3"/>
      <c r="BX23" s="3"/>
      <c r="BY23" s="3"/>
      <c r="BZ23" s="3"/>
      <c r="CA23" s="3"/>
      <c r="CB23" s="3"/>
      <c r="CC23" s="3"/>
      <c r="CD23" s="21">
        <f t="shared" si="10"/>
        <v>0</v>
      </c>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row>
    <row r="24" spans="2:106" ht="18.600000000000001">
      <c r="B24" s="5"/>
      <c r="D24" s="21">
        <f t="shared" si="4"/>
        <v>0</v>
      </c>
      <c r="E24" s="35">
        <f t="shared" si="5"/>
        <v>0</v>
      </c>
      <c r="G24" s="21">
        <f t="shared" si="6"/>
        <v>0</v>
      </c>
      <c r="H24" s="35">
        <f t="shared" si="7"/>
        <v>0</v>
      </c>
      <c r="I24" s="106">
        <f>SUMIF(Table410[Workstream],'$ Dashboard'!B24,Table410[Jan_2026_F])</f>
        <v>0</v>
      </c>
      <c r="J24" s="106">
        <f>SUMIF(Table410[Workstream],'$ Dashboard'!B24,Table410[Jan_2026_A])</f>
        <v>0</v>
      </c>
      <c r="K24" s="106">
        <f>SUMIF(Table410[Workstream],'$ Dashboard'!B24,Table410[Feb_2026_F])</f>
        <v>0</v>
      </c>
      <c r="L24" s="106">
        <f>SUMIF(Table410[Workstream],'$ Dashboard'!B24,Table410[Feb_2026_A])</f>
        <v>0</v>
      </c>
      <c r="M24" s="106">
        <f>SUMIF(Table410[Workstream],'$ Dashboard'!B24,Table410[Mar_2026_F])</f>
        <v>0</v>
      </c>
      <c r="N24" s="106">
        <f>SUMIF(Table410[Workstream],'$ Dashboard'!B24,Table410[Mar_2026_A])</f>
        <v>0</v>
      </c>
      <c r="O24" s="106">
        <f>SUMIF(Table410[Workstream],'$ Dashboard'!B24,Table410[Apr_2026_F])</f>
        <v>0</v>
      </c>
      <c r="P24" s="106">
        <f>SUMIF(Table410[Workstream],'$ Dashboard'!B24,Table410[Apr_2026_A])</f>
        <v>0</v>
      </c>
      <c r="Q24" s="106">
        <f>SUMIF(Table410[Workstream],'$ Dashboard'!B24,Table410[May_2026_F])</f>
        <v>0</v>
      </c>
      <c r="R24" s="106">
        <f>SUMIF(Table410[Workstream],'$ Dashboard'!B24,Table410[May_2026_A])</f>
        <v>0</v>
      </c>
      <c r="S24" s="106">
        <f>SUMIF(Table410[Workstream],'$ Dashboard'!B24,Table410[Jun_2026_F])</f>
        <v>0</v>
      </c>
      <c r="T24" s="106">
        <f>SUMIF(Table410[Workstream],'$ Dashboard'!B24,Table410[Jun_2026_A])</f>
        <v>0</v>
      </c>
      <c r="U24" s="106">
        <f>SUMIF(Table410[Workstream],'$ Dashboard'!B24,Table410[Jul_2026_F])</f>
        <v>0</v>
      </c>
      <c r="V24" s="106">
        <f>SUMIF(Table410[Workstream],'$ Dashboard'!B24,Table410[Jul_2026_A])</f>
        <v>0</v>
      </c>
      <c r="W24" s="106">
        <f>SUMIF(Table410[Workstream],'$ Dashboard'!B24,Table410[Aug_2026_F])</f>
        <v>0</v>
      </c>
      <c r="X24" s="106">
        <f>SUMIF(Table410[Workstream],'$ Dashboard'!B24,Table410[Aug_2026_A])</f>
        <v>0</v>
      </c>
      <c r="Y24" s="106">
        <f>SUMIF(Table410[Workstream],'$ Dashboard'!B24,Table410[Sep_2026_F])</f>
        <v>0</v>
      </c>
      <c r="Z24" s="106">
        <f>SUMIF(Table410[Workstream],'$ Dashboard'!B24,Table410[Sep_2026_A])</f>
        <v>0</v>
      </c>
      <c r="AA24" s="106">
        <f>SUMIF(Table410[Workstream],'$ Dashboard'!B24,Table410[Oct_2026_F])</f>
        <v>0</v>
      </c>
      <c r="AB24" s="106">
        <f>SUMIF(Table410[Workstream],'$ Dashboard'!B24,Table410[Oct_2026_A])</f>
        <v>0</v>
      </c>
      <c r="AC24" s="106">
        <f>SUMIF(Table410[Workstream],'$ Dashboard'!B24,Table410[Nov_2026_F])</f>
        <v>0</v>
      </c>
      <c r="AD24" s="106">
        <f>SUMIF(Table410[Workstream],'$ Dashboard'!B24,Table410[Nov_2026_A])</f>
        <v>0</v>
      </c>
      <c r="AE24" s="106">
        <f>SUMIF(Table410[Workstream],'$ Dashboard'!B24,Table410[Dec_2026_F])</f>
        <v>0</v>
      </c>
      <c r="AF24" s="106">
        <f>SUMIF(Table410[Workstream],'$ Dashboard'!B24,Table410[Dec_2026_A])+SUMIF(Table46[Workstream],'$ Dashboard'!B24,Table46[Dec_26_A])</f>
        <v>0</v>
      </c>
      <c r="AH24" s="21">
        <f>SUM(AW24:BG24)/1000000</f>
        <v>0</v>
      </c>
      <c r="AI24" s="35">
        <f>SUMIF($AJ$12:$BG$12,"Actual",AJ24:BG24)/1000000</f>
        <v>0</v>
      </c>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I24" s="3"/>
      <c r="BJ24" s="3"/>
      <c r="BK24" s="3"/>
      <c r="BL24" s="3"/>
      <c r="BM24" s="3"/>
      <c r="BN24" s="3"/>
      <c r="BO24" s="3"/>
      <c r="BP24" s="3"/>
      <c r="BQ24" s="3"/>
      <c r="BR24" s="3"/>
      <c r="BS24" s="3"/>
      <c r="BT24" s="3"/>
      <c r="BU24" s="3"/>
      <c r="BV24" s="3"/>
      <c r="BW24" s="3"/>
      <c r="BX24" s="3"/>
      <c r="BY24" s="3"/>
      <c r="BZ24" s="3"/>
      <c r="CA24" s="3"/>
      <c r="CB24" s="3"/>
      <c r="CC24" s="3"/>
      <c r="CD24" s="21"/>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row>
    <row r="25" spans="2:106" ht="18.600000000000001">
      <c r="B25" s="5"/>
      <c r="D25" s="21">
        <f t="shared" si="4"/>
        <v>0</v>
      </c>
      <c r="E25" s="35">
        <f t="shared" si="5"/>
        <v>0</v>
      </c>
      <c r="G25" s="21">
        <f t="shared" si="6"/>
        <v>0</v>
      </c>
      <c r="H25" s="35">
        <f t="shared" si="7"/>
        <v>0</v>
      </c>
      <c r="I25" s="106">
        <f>SUMIF(Table410[Workstream],'$ Dashboard'!B25,Table410[Jan_2026_F])</f>
        <v>0</v>
      </c>
      <c r="J25" s="106">
        <f>SUMIF(Table410[Workstream],'$ Dashboard'!B25,Table410[Jan_2026_A])</f>
        <v>0</v>
      </c>
      <c r="K25" s="106">
        <f>SUMIF(Table410[Workstream],'$ Dashboard'!B25,Table410[Feb_2026_F])</f>
        <v>0</v>
      </c>
      <c r="L25" s="106">
        <f>SUMIF(Table410[Workstream],'$ Dashboard'!B25,Table410[Feb_2026_A])</f>
        <v>0</v>
      </c>
      <c r="M25" s="106">
        <f>SUMIF(Table410[Workstream],'$ Dashboard'!B25,Table410[Mar_2026_F])</f>
        <v>0</v>
      </c>
      <c r="N25" s="106">
        <f>SUMIF(Table410[Workstream],'$ Dashboard'!B25,Table410[Mar_2026_A])</f>
        <v>0</v>
      </c>
      <c r="O25" s="106">
        <f>SUMIF(Table410[Workstream],'$ Dashboard'!B25,Table410[Apr_2026_F])</f>
        <v>0</v>
      </c>
      <c r="P25" s="106">
        <f>SUMIF(Table410[Workstream],'$ Dashboard'!B25,Table410[Apr_2026_A])</f>
        <v>0</v>
      </c>
      <c r="Q25" s="106">
        <f>SUMIF(Table410[Workstream],'$ Dashboard'!B25,Table410[May_2026_F])</f>
        <v>0</v>
      </c>
      <c r="R25" s="106">
        <f>SUMIF(Table410[Workstream],'$ Dashboard'!B25,Table410[May_2026_A])</f>
        <v>0</v>
      </c>
      <c r="S25" s="106">
        <f>SUMIF(Table410[Workstream],'$ Dashboard'!B25,Table410[Jun_2026_F])</f>
        <v>0</v>
      </c>
      <c r="T25" s="106">
        <f>SUMIF(Table410[Workstream],'$ Dashboard'!B25,Table410[Jun_2026_A])</f>
        <v>0</v>
      </c>
      <c r="U25" s="106">
        <f>SUMIF(Table410[Workstream],'$ Dashboard'!B25,Table410[Jul_2026_F])</f>
        <v>0</v>
      </c>
      <c r="V25" s="106">
        <f>SUMIF(Table410[Workstream],'$ Dashboard'!B25,Table410[Jul_2026_A])</f>
        <v>0</v>
      </c>
      <c r="W25" s="106">
        <f>SUMIF(Table410[Workstream],'$ Dashboard'!B25,Table410[Aug_2026_F])</f>
        <v>0</v>
      </c>
      <c r="X25" s="106">
        <f>SUMIF(Table410[Workstream],'$ Dashboard'!B25,Table410[Aug_2026_A])</f>
        <v>0</v>
      </c>
      <c r="Y25" s="106">
        <f>SUMIF(Table410[Workstream],'$ Dashboard'!B25,Table410[Sep_2026_F])</f>
        <v>0</v>
      </c>
      <c r="Z25" s="106">
        <f>SUMIF(Table410[Workstream],'$ Dashboard'!B25,Table410[Sep_2026_A])</f>
        <v>0</v>
      </c>
      <c r="AA25" s="106">
        <f>SUMIF(Table410[Workstream],'$ Dashboard'!B25,Table410[Oct_2026_F])</f>
        <v>0</v>
      </c>
      <c r="AB25" s="106">
        <f>SUMIF(Table410[Workstream],'$ Dashboard'!B25,Table410[Oct_2026_A])</f>
        <v>0</v>
      </c>
      <c r="AC25" s="106">
        <f>SUMIF(Table410[Workstream],'$ Dashboard'!B25,Table410[Nov_2026_F])</f>
        <v>0</v>
      </c>
      <c r="AD25" s="106">
        <f>SUMIF(Table410[Workstream],'$ Dashboard'!B25,Table410[Nov_2026_A])</f>
        <v>0</v>
      </c>
      <c r="AE25" s="106">
        <f>SUMIF(Table410[Workstream],'$ Dashboard'!B25,Table410[Dec_2026_F])</f>
        <v>0</v>
      </c>
      <c r="AF25" s="106">
        <f>SUMIF(Table410[Workstream],'$ Dashboard'!B25,Table410[Dec_2026_A])+SUMIF(Table46[Workstream],'$ Dashboard'!B25,Table46[Dec_26_A])</f>
        <v>0</v>
      </c>
      <c r="AH25" s="21">
        <f>SUM(AW25:BG25)/1000000</f>
        <v>0</v>
      </c>
      <c r="AI25" s="35">
        <f>SUMIF($AJ$12:$BG$12,"Actual",AJ25:BG25)/1000000</f>
        <v>0</v>
      </c>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I25" s="3"/>
      <c r="BJ25" s="3"/>
      <c r="BK25" s="3"/>
      <c r="BL25" s="3"/>
      <c r="BM25" s="3"/>
      <c r="BN25" s="3"/>
      <c r="BO25" s="3"/>
      <c r="BP25" s="3"/>
      <c r="BQ25" s="3"/>
      <c r="BR25" s="3"/>
      <c r="BS25" s="3"/>
      <c r="BT25" s="3"/>
      <c r="BU25" s="3"/>
      <c r="BV25" s="3"/>
      <c r="BW25" s="3"/>
      <c r="BX25" s="3"/>
      <c r="BY25" s="3"/>
      <c r="BZ25" s="3"/>
      <c r="CA25" s="3"/>
      <c r="CB25" s="3"/>
      <c r="CC25" s="3"/>
      <c r="CD25" s="21"/>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row>
    <row r="26" spans="2:106" ht="18.600000000000001">
      <c r="B26" s="5"/>
      <c r="D26" s="21">
        <f t="shared" si="4"/>
        <v>0</v>
      </c>
      <c r="E26" s="35">
        <f t="shared" si="5"/>
        <v>0</v>
      </c>
      <c r="G26" s="21">
        <f t="shared" si="6"/>
        <v>0</v>
      </c>
      <c r="H26" s="35">
        <f t="shared" si="7"/>
        <v>0</v>
      </c>
      <c r="I26" s="106">
        <f>SUMIF(Table410[Workstream],'$ Dashboard'!B26,Table410[Jan_2026_F])</f>
        <v>0</v>
      </c>
      <c r="J26" s="106">
        <f>SUMIF(Table410[Workstream],'$ Dashboard'!B26,Table410[Jan_2026_A])</f>
        <v>0</v>
      </c>
      <c r="K26" s="106">
        <f>SUMIF(Table410[Workstream],'$ Dashboard'!B26,Table410[Feb_2026_F])</f>
        <v>0</v>
      </c>
      <c r="L26" s="106">
        <f>SUMIF(Table410[Workstream],'$ Dashboard'!B26,Table410[Feb_2026_A])</f>
        <v>0</v>
      </c>
      <c r="M26" s="106">
        <f>SUMIF(Table410[Workstream],'$ Dashboard'!B26,Table410[Mar_2026_F])</f>
        <v>0</v>
      </c>
      <c r="N26" s="106">
        <f>SUMIF(Table410[Workstream],'$ Dashboard'!B26,Table410[Mar_2026_A])</f>
        <v>0</v>
      </c>
      <c r="O26" s="106">
        <f>SUMIF(Table410[Workstream],'$ Dashboard'!B26,Table410[Apr_2026_F])</f>
        <v>0</v>
      </c>
      <c r="P26" s="106">
        <f>SUMIF(Table410[Workstream],'$ Dashboard'!B26,Table410[Apr_2026_A])</f>
        <v>0</v>
      </c>
      <c r="Q26" s="106">
        <f>SUMIF(Table410[Workstream],'$ Dashboard'!B26,Table410[May_2026_F])</f>
        <v>0</v>
      </c>
      <c r="R26" s="106">
        <f>SUMIF(Table410[Workstream],'$ Dashboard'!B26,Table410[May_2026_A])</f>
        <v>0</v>
      </c>
      <c r="S26" s="106">
        <f>SUMIF(Table410[Workstream],'$ Dashboard'!B26,Table410[Jun_2026_F])</f>
        <v>0</v>
      </c>
      <c r="T26" s="106">
        <f>SUMIF(Table410[Workstream],'$ Dashboard'!B26,Table410[Jun_2026_A])</f>
        <v>0</v>
      </c>
      <c r="U26" s="106">
        <f>SUMIF(Table410[Workstream],'$ Dashboard'!B26,Table410[Jul_2026_F])</f>
        <v>0</v>
      </c>
      <c r="V26" s="106">
        <f>SUMIF(Table410[Workstream],'$ Dashboard'!B26,Table410[Jul_2026_A])</f>
        <v>0</v>
      </c>
      <c r="W26" s="106">
        <f>SUMIF(Table410[Workstream],'$ Dashboard'!B26,Table410[Aug_2026_F])</f>
        <v>0</v>
      </c>
      <c r="X26" s="106">
        <f>SUMIF(Table410[Workstream],'$ Dashboard'!B26,Table410[Aug_2026_A])</f>
        <v>0</v>
      </c>
      <c r="Y26" s="106">
        <f>SUMIF(Table410[Workstream],'$ Dashboard'!B26,Table410[Sep_2026_F])</f>
        <v>0</v>
      </c>
      <c r="Z26" s="106">
        <f>SUMIF(Table410[Workstream],'$ Dashboard'!B26,Table410[Sep_2026_A])</f>
        <v>0</v>
      </c>
      <c r="AA26" s="106">
        <f>SUMIF(Table410[Workstream],'$ Dashboard'!B26,Table410[Oct_2026_F])</f>
        <v>0</v>
      </c>
      <c r="AB26" s="106">
        <f>SUMIF(Table410[Workstream],'$ Dashboard'!B26,Table410[Oct_2026_A])</f>
        <v>0</v>
      </c>
      <c r="AC26" s="106">
        <f>SUMIF(Table410[Workstream],'$ Dashboard'!B26,Table410[Nov_2026_F])</f>
        <v>0</v>
      </c>
      <c r="AD26" s="106">
        <f>SUMIF(Table410[Workstream],'$ Dashboard'!B26,Table410[Nov_2026_A])</f>
        <v>0</v>
      </c>
      <c r="AE26" s="106">
        <f>SUMIF(Table410[Workstream],'$ Dashboard'!B26,Table410[Dec_2026_F])</f>
        <v>0</v>
      </c>
      <c r="AF26" s="106">
        <f>SUMIF(Table410[Workstream],'$ Dashboard'!B26,Table410[Dec_2026_A])+SUMIF(Table46[Workstream],'$ Dashboard'!B26,Table46[Dec_26_A])</f>
        <v>0</v>
      </c>
      <c r="AH26" s="21">
        <f t="shared" si="8"/>
        <v>0</v>
      </c>
      <c r="AI26" s="35">
        <f t="shared" si="9"/>
        <v>0</v>
      </c>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I26" s="3"/>
      <c r="BJ26" s="3"/>
      <c r="BK26" s="3"/>
      <c r="BL26" s="3"/>
      <c r="BM26" s="3"/>
      <c r="BN26" s="3"/>
      <c r="BO26" s="3"/>
      <c r="BP26" s="3"/>
      <c r="BQ26" s="3"/>
      <c r="BR26" s="3"/>
      <c r="BS26" s="3"/>
      <c r="BT26" s="3"/>
      <c r="BU26" s="3"/>
      <c r="BV26" s="3"/>
      <c r="BW26" s="3"/>
      <c r="BX26" s="3"/>
      <c r="BY26" s="3"/>
      <c r="BZ26" s="3"/>
      <c r="CA26" s="3"/>
      <c r="CB26" s="3"/>
      <c r="CC26" s="3"/>
      <c r="CD26" s="21">
        <f t="shared" si="10"/>
        <v>0</v>
      </c>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row>
    <row r="27" spans="2:106" ht="18.600000000000001">
      <c r="B27" s="5"/>
      <c r="D27" s="21">
        <f t="shared" si="4"/>
        <v>0</v>
      </c>
      <c r="E27" s="35">
        <f t="shared" si="5"/>
        <v>0</v>
      </c>
      <c r="G27" s="21">
        <f t="shared" si="6"/>
        <v>0</v>
      </c>
      <c r="H27" s="35">
        <f t="shared" si="7"/>
        <v>0</v>
      </c>
      <c r="I27" s="106">
        <f>SUMIF(Table410[Workstream],'$ Dashboard'!B27,Table410[Jan_2026_F])</f>
        <v>0</v>
      </c>
      <c r="J27" s="106">
        <f>SUMIF(Table410[Workstream],'$ Dashboard'!B27,Table410[Jan_2026_A])</f>
        <v>0</v>
      </c>
      <c r="K27" s="106">
        <f>SUMIF(Table410[Workstream],'$ Dashboard'!B27,Table410[Feb_2026_F])</f>
        <v>0</v>
      </c>
      <c r="L27" s="106">
        <f>SUMIF(Table410[Workstream],'$ Dashboard'!B27,Table410[Feb_2026_A])</f>
        <v>0</v>
      </c>
      <c r="M27" s="106">
        <f>SUMIF(Table410[Workstream],'$ Dashboard'!B27,Table410[Mar_2026_F])</f>
        <v>0</v>
      </c>
      <c r="N27" s="106">
        <f>SUMIF(Table410[Workstream],'$ Dashboard'!B27,Table410[Mar_2026_A])</f>
        <v>0</v>
      </c>
      <c r="O27" s="106">
        <f>SUMIF(Table410[Workstream],'$ Dashboard'!B27,Table410[Apr_2026_F])</f>
        <v>0</v>
      </c>
      <c r="P27" s="106">
        <f>SUMIF(Table410[Workstream],'$ Dashboard'!B27,Table410[Apr_2026_A])</f>
        <v>0</v>
      </c>
      <c r="Q27" s="106">
        <f>SUMIF(Table410[Workstream],'$ Dashboard'!B27,Table410[May_2026_F])</f>
        <v>0</v>
      </c>
      <c r="R27" s="106">
        <f>SUMIF(Table410[Workstream],'$ Dashboard'!B27,Table410[May_2026_A])</f>
        <v>0</v>
      </c>
      <c r="S27" s="106">
        <f>SUMIF(Table410[Workstream],'$ Dashboard'!B27,Table410[Jun_2026_F])</f>
        <v>0</v>
      </c>
      <c r="T27" s="106">
        <f>SUMIF(Table410[Workstream],'$ Dashboard'!B27,Table410[Jun_2026_A])</f>
        <v>0</v>
      </c>
      <c r="U27" s="106">
        <f>SUMIF(Table410[Workstream],'$ Dashboard'!B27,Table410[Jul_2026_F])</f>
        <v>0</v>
      </c>
      <c r="V27" s="106">
        <f>SUMIF(Table410[Workstream],'$ Dashboard'!B27,Table410[Jul_2026_A])</f>
        <v>0</v>
      </c>
      <c r="W27" s="106">
        <f>SUMIF(Table410[Workstream],'$ Dashboard'!B27,Table410[Aug_2026_F])</f>
        <v>0</v>
      </c>
      <c r="X27" s="106">
        <f>SUMIF(Table410[Workstream],'$ Dashboard'!B27,Table410[Aug_2026_A])</f>
        <v>0</v>
      </c>
      <c r="Y27" s="106">
        <f>SUMIF(Table410[Workstream],'$ Dashboard'!B27,Table410[Sep_2026_F])</f>
        <v>0</v>
      </c>
      <c r="Z27" s="106">
        <f>SUMIF(Table410[Workstream],'$ Dashboard'!B27,Table410[Sep_2026_A])</f>
        <v>0</v>
      </c>
      <c r="AA27" s="106">
        <f>SUMIF(Table410[Workstream],'$ Dashboard'!B27,Table410[Oct_2026_F])</f>
        <v>0</v>
      </c>
      <c r="AB27" s="106">
        <f>SUMIF(Table410[Workstream],'$ Dashboard'!B27,Table410[Oct_2026_A])</f>
        <v>0</v>
      </c>
      <c r="AC27" s="106">
        <f>SUMIF(Table410[Workstream],'$ Dashboard'!B27,Table410[Nov_2026_F])</f>
        <v>0</v>
      </c>
      <c r="AD27" s="106">
        <f>SUMIF(Table410[Workstream],'$ Dashboard'!B27,Table410[Nov_2026_A])</f>
        <v>0</v>
      </c>
      <c r="AE27" s="106">
        <f>SUMIF(Table410[Workstream],'$ Dashboard'!B27,Table410[Dec_2026_F])</f>
        <v>0</v>
      </c>
      <c r="AF27" s="106">
        <f>SUMIF(Table410[Workstream],'$ Dashboard'!B27,Table410[Dec_2026_A])+SUMIF(Table46[Workstream],'$ Dashboard'!B27,Table46[Dec_26_A])</f>
        <v>0</v>
      </c>
      <c r="AH27" s="21">
        <f t="shared" si="8"/>
        <v>0</v>
      </c>
      <c r="AI27" s="35">
        <f t="shared" si="9"/>
        <v>0</v>
      </c>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I27" s="3"/>
      <c r="BJ27" s="3"/>
      <c r="BK27" s="3"/>
      <c r="BL27" s="3"/>
      <c r="BM27" s="3"/>
      <c r="BN27" s="3"/>
      <c r="BO27" s="3"/>
      <c r="BP27" s="3"/>
      <c r="BQ27" s="3"/>
      <c r="BR27" s="3"/>
      <c r="BS27" s="3"/>
      <c r="BT27" s="3"/>
      <c r="BU27" s="3"/>
      <c r="BV27" s="3"/>
      <c r="BW27" s="3"/>
      <c r="BX27" s="3"/>
      <c r="BY27" s="3"/>
      <c r="BZ27" s="3"/>
      <c r="CA27" s="3"/>
      <c r="CB27" s="3"/>
      <c r="CC27" s="3"/>
      <c r="CD27" s="21">
        <f t="shared" si="10"/>
        <v>0</v>
      </c>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row>
    <row r="28" spans="2:106" ht="18.600000000000001">
      <c r="B28" s="5"/>
      <c r="D28" s="21">
        <f t="shared" si="4"/>
        <v>0</v>
      </c>
      <c r="E28" s="35">
        <f t="shared" si="5"/>
        <v>0</v>
      </c>
      <c r="G28" s="21">
        <f t="shared" si="6"/>
        <v>0</v>
      </c>
      <c r="H28" s="35">
        <f t="shared" si="7"/>
        <v>0</v>
      </c>
      <c r="I28" s="106">
        <f>SUMIF(Table410[Workstream],'$ Dashboard'!B28,Table410[Jan_2026_F])</f>
        <v>0</v>
      </c>
      <c r="J28" s="106">
        <f>SUMIF(Table410[Workstream],'$ Dashboard'!B28,Table410[Jan_2026_A])</f>
        <v>0</v>
      </c>
      <c r="K28" s="106">
        <f>SUMIF(Table410[Workstream],'$ Dashboard'!B28,Table410[Feb_2026_F])</f>
        <v>0</v>
      </c>
      <c r="L28" s="106">
        <f>SUMIF(Table410[Workstream],'$ Dashboard'!B28,Table410[Feb_2026_A])</f>
        <v>0</v>
      </c>
      <c r="M28" s="106">
        <f>SUMIF(Table410[Workstream],'$ Dashboard'!B28,Table410[Mar_2026_F])</f>
        <v>0</v>
      </c>
      <c r="N28" s="106">
        <f>SUMIF(Table410[Workstream],'$ Dashboard'!B28,Table410[Mar_2026_A])</f>
        <v>0</v>
      </c>
      <c r="O28" s="106">
        <f>SUMIF(Table410[Workstream],'$ Dashboard'!B28,Table410[Apr_2026_F])</f>
        <v>0</v>
      </c>
      <c r="P28" s="106">
        <f>SUMIF(Table410[Workstream],'$ Dashboard'!B28,Table410[Apr_2026_A])</f>
        <v>0</v>
      </c>
      <c r="Q28" s="106">
        <f>SUMIF(Table410[Workstream],'$ Dashboard'!B28,Table410[May_2026_F])</f>
        <v>0</v>
      </c>
      <c r="R28" s="106">
        <f>SUMIF(Table410[Workstream],'$ Dashboard'!B28,Table410[May_2026_A])</f>
        <v>0</v>
      </c>
      <c r="S28" s="106">
        <f>SUMIF(Table410[Workstream],'$ Dashboard'!B28,Table410[Jun_2026_F])</f>
        <v>0</v>
      </c>
      <c r="T28" s="106">
        <f>SUMIF(Table410[Workstream],'$ Dashboard'!B28,Table410[Jun_2026_A])</f>
        <v>0</v>
      </c>
      <c r="U28" s="106">
        <f>SUMIF(Table410[Workstream],'$ Dashboard'!B28,Table410[Jul_2026_F])</f>
        <v>0</v>
      </c>
      <c r="V28" s="106">
        <f>SUMIF(Table410[Workstream],'$ Dashboard'!B28,Table410[Jul_2026_A])</f>
        <v>0</v>
      </c>
      <c r="W28" s="106">
        <f>SUMIF(Table410[Workstream],'$ Dashboard'!B28,Table410[Aug_2026_F])</f>
        <v>0</v>
      </c>
      <c r="X28" s="106">
        <f>SUMIF(Table410[Workstream],'$ Dashboard'!B28,Table410[Aug_2026_A])</f>
        <v>0</v>
      </c>
      <c r="Y28" s="106">
        <f>SUMIF(Table410[Workstream],'$ Dashboard'!B28,Table410[Sep_2026_F])</f>
        <v>0</v>
      </c>
      <c r="Z28" s="106">
        <f>SUMIF(Table410[Workstream],'$ Dashboard'!B28,Table410[Sep_2026_A])</f>
        <v>0</v>
      </c>
      <c r="AA28" s="106">
        <f>SUMIF(Table410[Workstream],'$ Dashboard'!B28,Table410[Oct_2026_F])</f>
        <v>0</v>
      </c>
      <c r="AB28" s="106">
        <f>SUMIF(Table410[Workstream],'$ Dashboard'!B28,Table410[Oct_2026_A])</f>
        <v>0</v>
      </c>
      <c r="AC28" s="106">
        <f>SUMIF(Table410[Workstream],'$ Dashboard'!B28,Table410[Nov_2026_F])</f>
        <v>0</v>
      </c>
      <c r="AD28" s="106">
        <f>SUMIF(Table410[Workstream],'$ Dashboard'!B28,Table410[Nov_2026_A])</f>
        <v>0</v>
      </c>
      <c r="AE28" s="106">
        <f>SUMIF(Table410[Workstream],'$ Dashboard'!B28,Table410[Dec_2026_F])</f>
        <v>0</v>
      </c>
      <c r="AF28" s="106">
        <f>SUMIF(Table410[Workstream],'$ Dashboard'!B28,Table410[Dec_2026_A])+SUMIF(Table46[Workstream],'$ Dashboard'!B28,Table46[Dec_26_A])</f>
        <v>0</v>
      </c>
      <c r="AH28" s="21">
        <f t="shared" si="8"/>
        <v>0</v>
      </c>
      <c r="AI28" s="35">
        <f t="shared" si="9"/>
        <v>0</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I28" s="3"/>
      <c r="BJ28" s="3"/>
      <c r="BK28" s="3"/>
      <c r="BL28" s="3"/>
      <c r="BM28" s="3"/>
      <c r="BN28" s="3"/>
      <c r="BO28" s="3"/>
      <c r="BP28" s="3"/>
      <c r="BQ28" s="3"/>
      <c r="BR28" s="3"/>
      <c r="BS28" s="3"/>
      <c r="BT28" s="3"/>
      <c r="BU28" s="3"/>
      <c r="BV28" s="3"/>
      <c r="BW28" s="3"/>
      <c r="BX28" s="3"/>
      <c r="BY28" s="3"/>
      <c r="BZ28" s="3"/>
      <c r="CA28" s="3"/>
      <c r="CB28" s="3"/>
      <c r="CC28" s="3"/>
      <c r="CD28" s="21">
        <f t="shared" si="10"/>
        <v>0</v>
      </c>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row>
    <row r="29" spans="2:106" ht="18.600000000000001">
      <c r="B29" s="5"/>
      <c r="D29" s="21">
        <f t="shared" si="4"/>
        <v>0</v>
      </c>
      <c r="E29" s="35">
        <f t="shared" si="5"/>
        <v>0</v>
      </c>
      <c r="G29" s="21">
        <f t="shared" si="6"/>
        <v>0</v>
      </c>
      <c r="H29" s="35">
        <f t="shared" si="7"/>
        <v>0</v>
      </c>
      <c r="I29" s="106">
        <f>SUMIF(Table410[Workstream],'$ Dashboard'!B29,Table410[Jan_2026_F])</f>
        <v>0</v>
      </c>
      <c r="J29" s="106">
        <f>SUMIF(Table410[Workstream],'$ Dashboard'!B29,Table410[Jan_2026_A])</f>
        <v>0</v>
      </c>
      <c r="K29" s="106">
        <f>SUMIF(Table410[Workstream],'$ Dashboard'!B29,Table410[Feb_2026_F])</f>
        <v>0</v>
      </c>
      <c r="L29" s="106">
        <f>SUMIF(Table410[Workstream],'$ Dashboard'!B29,Table410[Feb_2026_A])</f>
        <v>0</v>
      </c>
      <c r="M29" s="106">
        <f>SUMIF(Table410[Workstream],'$ Dashboard'!B29,Table410[Mar_2026_F])</f>
        <v>0</v>
      </c>
      <c r="N29" s="106">
        <f>SUMIF(Table410[Workstream],'$ Dashboard'!B29,Table410[Mar_2026_A])</f>
        <v>0</v>
      </c>
      <c r="O29" s="106">
        <f>SUMIF(Table410[Workstream],'$ Dashboard'!B29,Table410[Apr_2026_F])</f>
        <v>0</v>
      </c>
      <c r="P29" s="106">
        <f>SUMIF(Table410[Workstream],'$ Dashboard'!B29,Table410[Apr_2026_A])</f>
        <v>0</v>
      </c>
      <c r="Q29" s="106">
        <f>SUMIF(Table410[Workstream],'$ Dashboard'!B29,Table410[May_2026_F])</f>
        <v>0</v>
      </c>
      <c r="R29" s="106">
        <f>SUMIF(Table410[Workstream],'$ Dashboard'!B29,Table410[May_2026_A])</f>
        <v>0</v>
      </c>
      <c r="S29" s="106">
        <f>SUMIF(Table410[Workstream],'$ Dashboard'!B29,Table410[Jun_2026_F])</f>
        <v>0</v>
      </c>
      <c r="T29" s="106">
        <f>SUMIF(Table410[Workstream],'$ Dashboard'!B29,Table410[Jun_2026_A])</f>
        <v>0</v>
      </c>
      <c r="U29" s="106">
        <f>SUMIF(Table410[Workstream],'$ Dashboard'!B29,Table410[Jul_2026_F])</f>
        <v>0</v>
      </c>
      <c r="V29" s="106">
        <f>SUMIF(Table410[Workstream],'$ Dashboard'!B29,Table410[Jul_2026_A])</f>
        <v>0</v>
      </c>
      <c r="W29" s="106">
        <f>SUMIF(Table410[Workstream],'$ Dashboard'!B29,Table410[Aug_2026_F])</f>
        <v>0</v>
      </c>
      <c r="X29" s="106">
        <f>SUMIF(Table410[Workstream],'$ Dashboard'!B29,Table410[Aug_2026_A])</f>
        <v>0</v>
      </c>
      <c r="Y29" s="106">
        <f>SUMIF(Table410[Workstream],'$ Dashboard'!B29,Table410[Sep_2026_F])</f>
        <v>0</v>
      </c>
      <c r="Z29" s="106">
        <f>SUMIF(Table410[Workstream],'$ Dashboard'!B29,Table410[Sep_2026_A])</f>
        <v>0</v>
      </c>
      <c r="AA29" s="106">
        <f>SUMIF(Table410[Workstream],'$ Dashboard'!B29,Table410[Oct_2026_F])</f>
        <v>0</v>
      </c>
      <c r="AB29" s="106">
        <f>SUMIF(Table410[Workstream],'$ Dashboard'!B29,Table410[Oct_2026_A])</f>
        <v>0</v>
      </c>
      <c r="AC29" s="106">
        <f>SUMIF(Table410[Workstream],'$ Dashboard'!B29,Table410[Nov_2026_F])</f>
        <v>0</v>
      </c>
      <c r="AD29" s="106">
        <f>SUMIF(Table410[Workstream],'$ Dashboard'!B29,Table410[Nov_2026_A])</f>
        <v>0</v>
      </c>
      <c r="AE29" s="106">
        <f>SUMIF(Table410[Workstream],'$ Dashboard'!B29,Table410[Dec_2026_F])</f>
        <v>0</v>
      </c>
      <c r="AF29" s="106">
        <f>SUMIF(Table410[Workstream],'$ Dashboard'!B29,Table410[Dec_2026_A])+SUMIF(Table46[Workstream],'$ Dashboard'!B29,Table46[Dec_26_A])</f>
        <v>0</v>
      </c>
      <c r="AH29" s="21">
        <f t="shared" ref="AH29" si="12">SUM(AW29:BG29)/1000000</f>
        <v>0</v>
      </c>
      <c r="AI29" s="35">
        <f t="shared" si="9"/>
        <v>0</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I29" s="3"/>
      <c r="BJ29" s="3"/>
      <c r="BK29" s="3"/>
      <c r="BL29" s="3"/>
      <c r="BM29" s="3"/>
      <c r="BN29" s="3"/>
      <c r="BO29" s="3"/>
      <c r="BP29" s="3"/>
      <c r="BQ29" s="3"/>
      <c r="BR29" s="3"/>
      <c r="BS29" s="3"/>
      <c r="BT29" s="3"/>
      <c r="BU29" s="3"/>
      <c r="BV29" s="3"/>
      <c r="BW29" s="3"/>
      <c r="BX29" s="3"/>
      <c r="BY29" s="3"/>
      <c r="BZ29" s="3"/>
      <c r="CA29" s="3"/>
      <c r="CB29" s="3"/>
      <c r="CC29" s="3"/>
      <c r="CD29" s="21">
        <f t="shared" si="10"/>
        <v>0</v>
      </c>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row>
    <row r="30" spans="2:106" ht="18.95" thickBot="1">
      <c r="B30" s="23" t="s">
        <v>32</v>
      </c>
      <c r="C30" s="23"/>
      <c r="D30" s="24">
        <f>SUM(D13:D29)</f>
        <v>0.39021799999999995</v>
      </c>
      <c r="E30" s="24">
        <f>SUM(E13:E29)</f>
        <v>0.35891600000000001</v>
      </c>
      <c r="G30" s="24">
        <f>SUM(G13:G29)</f>
        <v>0.39021799999999995</v>
      </c>
      <c r="H30" s="24">
        <f t="shared" ref="H30:AF30" si="13">SUM(H13:H29)</f>
        <v>0.35891600000000001</v>
      </c>
      <c r="I30" s="24">
        <f t="shared" si="13"/>
        <v>33860</v>
      </c>
      <c r="J30" s="24">
        <f t="shared" si="13"/>
        <v>33860</v>
      </c>
      <c r="K30" s="24">
        <f t="shared" si="13"/>
        <v>33860</v>
      </c>
      <c r="L30" s="24">
        <f t="shared" si="13"/>
        <v>33860</v>
      </c>
      <c r="M30" s="24">
        <f t="shared" si="13"/>
        <v>33860</v>
      </c>
      <c r="N30" s="24">
        <f t="shared" si="13"/>
        <v>33860</v>
      </c>
      <c r="O30" s="24">
        <f t="shared" si="13"/>
        <v>33860</v>
      </c>
      <c r="P30" s="24">
        <f t="shared" si="13"/>
        <v>33860</v>
      </c>
      <c r="Q30" s="24">
        <f t="shared" si="13"/>
        <v>31302</v>
      </c>
      <c r="R30" s="24">
        <f t="shared" si="13"/>
        <v>31302</v>
      </c>
      <c r="S30" s="24">
        <f t="shared" si="13"/>
        <v>29646</v>
      </c>
      <c r="T30" s="24">
        <f t="shared" si="13"/>
        <v>29646</v>
      </c>
      <c r="U30" s="24">
        <f t="shared" si="13"/>
        <v>31302</v>
      </c>
      <c r="V30" s="24">
        <f t="shared" si="13"/>
        <v>0</v>
      </c>
      <c r="W30" s="24">
        <f t="shared" si="13"/>
        <v>33860</v>
      </c>
      <c r="X30" s="24">
        <f t="shared" si="13"/>
        <v>33860</v>
      </c>
      <c r="Y30" s="24">
        <f t="shared" si="13"/>
        <v>33860</v>
      </c>
      <c r="Z30" s="24">
        <f t="shared" si="13"/>
        <v>33860</v>
      </c>
      <c r="AA30" s="24">
        <f t="shared" si="13"/>
        <v>33860</v>
      </c>
      <c r="AB30" s="24">
        <f t="shared" si="13"/>
        <v>33860</v>
      </c>
      <c r="AC30" s="24">
        <f t="shared" si="13"/>
        <v>31302</v>
      </c>
      <c r="AD30" s="24">
        <f t="shared" si="13"/>
        <v>31302</v>
      </c>
      <c r="AE30" s="24">
        <f t="shared" si="13"/>
        <v>29646</v>
      </c>
      <c r="AF30" s="24">
        <f t="shared" si="13"/>
        <v>29646</v>
      </c>
      <c r="AH30" s="24">
        <f t="shared" ref="AH30:BG30" si="14">SUM(AH13:AH29)</f>
        <v>0</v>
      </c>
      <c r="AI30" s="24">
        <f t="shared" si="14"/>
        <v>0</v>
      </c>
      <c r="AJ30" s="25">
        <f t="shared" si="14"/>
        <v>0</v>
      </c>
      <c r="AK30" s="25">
        <f t="shared" si="14"/>
        <v>0</v>
      </c>
      <c r="AL30" s="25">
        <f t="shared" si="14"/>
        <v>0</v>
      </c>
      <c r="AM30" s="25">
        <f t="shared" si="14"/>
        <v>0</v>
      </c>
      <c r="AN30" s="25">
        <f t="shared" si="14"/>
        <v>0</v>
      </c>
      <c r="AO30" s="25">
        <f t="shared" si="14"/>
        <v>0</v>
      </c>
      <c r="AP30" s="25">
        <f t="shared" si="14"/>
        <v>0</v>
      </c>
      <c r="AQ30" s="25">
        <f t="shared" si="14"/>
        <v>0</v>
      </c>
      <c r="AR30" s="25">
        <f t="shared" si="14"/>
        <v>0</v>
      </c>
      <c r="AS30" s="25">
        <f t="shared" si="14"/>
        <v>0</v>
      </c>
      <c r="AT30" s="25">
        <f t="shared" si="14"/>
        <v>0</v>
      </c>
      <c r="AU30" s="25">
        <f t="shared" si="14"/>
        <v>0</v>
      </c>
      <c r="AV30" s="25">
        <f t="shared" si="14"/>
        <v>0</v>
      </c>
      <c r="AW30" s="25">
        <f t="shared" si="14"/>
        <v>0</v>
      </c>
      <c r="AX30" s="25">
        <f t="shared" si="14"/>
        <v>0</v>
      </c>
      <c r="AY30" s="25">
        <f t="shared" si="14"/>
        <v>0</v>
      </c>
      <c r="AZ30" s="25">
        <f t="shared" si="14"/>
        <v>0</v>
      </c>
      <c r="BA30" s="25">
        <f t="shared" si="14"/>
        <v>0</v>
      </c>
      <c r="BB30" s="25">
        <f t="shared" si="14"/>
        <v>0</v>
      </c>
      <c r="BC30" s="25">
        <f t="shared" si="14"/>
        <v>0</v>
      </c>
      <c r="BD30" s="25">
        <f t="shared" si="14"/>
        <v>0</v>
      </c>
      <c r="BE30" s="25">
        <f t="shared" si="14"/>
        <v>0</v>
      </c>
      <c r="BF30" s="25">
        <f t="shared" si="14"/>
        <v>0</v>
      </c>
      <c r="BG30" s="25">
        <f t="shared" si="14"/>
        <v>0</v>
      </c>
      <c r="BI30" s="3"/>
      <c r="BJ30" s="3"/>
      <c r="BK30" s="3"/>
      <c r="BL30" s="3"/>
      <c r="BM30" s="3"/>
      <c r="BN30" s="3"/>
      <c r="BO30" s="3"/>
      <c r="BP30" s="3"/>
      <c r="BQ30" s="3"/>
      <c r="BR30" s="3"/>
      <c r="BS30" s="3"/>
      <c r="BT30" s="3"/>
      <c r="BU30" s="3"/>
      <c r="BV30" s="3"/>
      <c r="BW30" s="3"/>
      <c r="BX30" s="3"/>
      <c r="BY30" s="3"/>
      <c r="BZ30" s="3"/>
      <c r="CA30" s="3"/>
      <c r="CB30" s="3"/>
      <c r="CC30" s="3"/>
      <c r="CD30" s="24">
        <f t="shared" ref="CD30:DB30" si="15">SUM(CD13:CD29)</f>
        <v>0</v>
      </c>
      <c r="CE30" s="39">
        <f t="shared" si="15"/>
        <v>0</v>
      </c>
      <c r="CF30" s="39">
        <f t="shared" si="15"/>
        <v>0</v>
      </c>
      <c r="CG30" s="39">
        <f t="shared" si="15"/>
        <v>0</v>
      </c>
      <c r="CH30" s="39">
        <f t="shared" si="15"/>
        <v>0</v>
      </c>
      <c r="CI30" s="39">
        <f t="shared" si="15"/>
        <v>0</v>
      </c>
      <c r="CJ30" s="39">
        <f t="shared" si="15"/>
        <v>0</v>
      </c>
      <c r="CK30" s="39">
        <f t="shared" si="15"/>
        <v>0</v>
      </c>
      <c r="CL30" s="39">
        <f t="shared" si="15"/>
        <v>0</v>
      </c>
      <c r="CM30" s="39">
        <f t="shared" si="15"/>
        <v>0</v>
      </c>
      <c r="CN30" s="39">
        <f t="shared" si="15"/>
        <v>0</v>
      </c>
      <c r="CO30" s="39">
        <f t="shared" si="15"/>
        <v>0</v>
      </c>
      <c r="CP30" s="39">
        <f t="shared" si="15"/>
        <v>0</v>
      </c>
      <c r="CQ30" s="39">
        <f t="shared" si="15"/>
        <v>0</v>
      </c>
      <c r="CR30" s="39">
        <f t="shared" si="15"/>
        <v>0</v>
      </c>
      <c r="CS30" s="39">
        <f t="shared" si="15"/>
        <v>0</v>
      </c>
      <c r="CT30" s="39">
        <f t="shared" si="15"/>
        <v>0</v>
      </c>
      <c r="CU30" s="39">
        <f t="shared" si="15"/>
        <v>0</v>
      </c>
      <c r="CV30" s="39">
        <f t="shared" si="15"/>
        <v>0</v>
      </c>
      <c r="CW30" s="39">
        <f t="shared" si="15"/>
        <v>0</v>
      </c>
      <c r="CX30" s="39">
        <f t="shared" si="15"/>
        <v>0</v>
      </c>
      <c r="CY30" s="39">
        <f t="shared" si="15"/>
        <v>0</v>
      </c>
      <c r="CZ30" s="39">
        <f t="shared" si="15"/>
        <v>0</v>
      </c>
      <c r="DA30" s="39">
        <f t="shared" si="15"/>
        <v>0</v>
      </c>
      <c r="DB30" s="39">
        <f t="shared" si="15"/>
        <v>0</v>
      </c>
    </row>
    <row r="31" spans="2:106" s="1" customFormat="1" ht="18.600000000000001">
      <c r="B31" s="26"/>
      <c r="G31" s="33"/>
      <c r="H31" s="33"/>
      <c r="J31" s="34"/>
      <c r="L31" s="34"/>
      <c r="N31" s="34"/>
      <c r="P31" s="34"/>
      <c r="R31" s="34"/>
      <c r="T31" s="34"/>
      <c r="V31" s="34"/>
      <c r="X31" s="34"/>
      <c r="Z31" s="34"/>
      <c r="AB31" s="34"/>
      <c r="AD31" s="34"/>
      <c r="AF31" s="34"/>
      <c r="AI31" s="33"/>
      <c r="AK31" s="34">
        <f>IFERROR(AK30/AJ30,0)</f>
        <v>0</v>
      </c>
      <c r="AM31" s="34">
        <f>IFERROR(AM30/AL30,0)</f>
        <v>0</v>
      </c>
      <c r="AO31" s="34">
        <f>IFERROR(AO30/AN30,0)</f>
        <v>0</v>
      </c>
      <c r="AQ31" s="34">
        <f>IFERROR(AQ30/AP30,0)</f>
        <v>0</v>
      </c>
      <c r="AS31" s="34">
        <f>IFERROR(AS30/AR30,0)</f>
        <v>0</v>
      </c>
      <c r="AU31" s="34">
        <f>IFERROR(AU30/AT30,0)</f>
        <v>0</v>
      </c>
      <c r="AW31" s="34">
        <f>IFERROR(AW30/AV30,0)</f>
        <v>0</v>
      </c>
      <c r="AY31" s="34">
        <f>IFERROR(AY30/AX30,0)</f>
        <v>0</v>
      </c>
      <c r="BA31" s="34">
        <f>IFERROR(BA30/AZ30,0)</f>
        <v>0</v>
      </c>
      <c r="BC31" s="34">
        <f>IFERROR(BC30/BB30,0)</f>
        <v>0</v>
      </c>
      <c r="BE31" s="34">
        <f>IFERROR(BE30/BD30,0)</f>
        <v>0</v>
      </c>
      <c r="BG31" s="34">
        <f>IFERROR(BG30/BF30,0)</f>
        <v>0</v>
      </c>
      <c r="CD31"/>
      <c r="CE31"/>
      <c r="CF31"/>
      <c r="CG31"/>
      <c r="CH31"/>
      <c r="CI31"/>
      <c r="CJ31"/>
      <c r="CK31"/>
      <c r="CL31"/>
      <c r="CM31"/>
      <c r="CN31"/>
      <c r="CO31"/>
      <c r="CP31"/>
      <c r="CQ31"/>
      <c r="CR31"/>
      <c r="CS31"/>
      <c r="CT31"/>
      <c r="CU31"/>
      <c r="CV31"/>
      <c r="CW31"/>
      <c r="CX31"/>
      <c r="CY31"/>
      <c r="CZ31"/>
      <c r="DA31"/>
      <c r="DB31"/>
    </row>
    <row r="32" spans="2:106" s="1" customFormat="1" ht="18.95" thickBot="1">
      <c r="B32" s="26"/>
      <c r="G32" s="33"/>
      <c r="H32" s="33"/>
      <c r="J32" s="180"/>
      <c r="L32" s="180"/>
      <c r="N32" s="180"/>
      <c r="P32" s="180"/>
      <c r="R32" s="180"/>
      <c r="T32" s="180"/>
      <c r="V32" s="180"/>
      <c r="X32" s="180"/>
      <c r="Z32" s="180"/>
      <c r="AB32" s="180"/>
      <c r="AD32" s="180"/>
      <c r="AF32" s="180"/>
      <c r="AI32" s="33"/>
      <c r="AK32" s="115"/>
      <c r="AM32" s="115"/>
      <c r="AO32" s="115"/>
      <c r="AQ32" s="115"/>
      <c r="AS32" s="115"/>
      <c r="AU32" s="115"/>
      <c r="AW32" s="115"/>
      <c r="AY32" s="115"/>
      <c r="BA32" s="115"/>
      <c r="BC32" s="115"/>
      <c r="BE32" s="115"/>
      <c r="BG32" s="115"/>
      <c r="CD32"/>
      <c r="CE32"/>
      <c r="CF32"/>
      <c r="CG32"/>
      <c r="CH32"/>
      <c r="CI32"/>
      <c r="CJ32"/>
      <c r="CK32"/>
      <c r="CL32"/>
      <c r="CM32"/>
      <c r="CN32"/>
      <c r="CO32"/>
      <c r="CP32"/>
      <c r="CQ32"/>
      <c r="CR32"/>
      <c r="CS32"/>
      <c r="CT32"/>
      <c r="CU32"/>
      <c r="CV32"/>
      <c r="CW32"/>
      <c r="CX32"/>
      <c r="CY32"/>
      <c r="CZ32"/>
      <c r="DA32"/>
      <c r="DB32"/>
    </row>
    <row r="33" spans="1:107" s="1" customFormat="1">
      <c r="A33"/>
      <c r="B33" s="202"/>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row>
    <row r="34" spans="1:107" s="1" customFormat="1" ht="15" thickBot="1">
      <c r="A34"/>
      <c r="B34" s="202"/>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row>
    <row r="35" spans="1:107" s="1" customFormat="1" ht="15" thickBot="1">
      <c r="A35" s="11"/>
      <c r="B35" s="11"/>
      <c r="C35" s="11"/>
      <c r="D35" s="203" t="s">
        <v>33</v>
      </c>
      <c r="E35" s="203"/>
      <c r="F35" s="11"/>
      <c r="G35" s="203" t="s">
        <v>34</v>
      </c>
      <c r="H35" s="203"/>
      <c r="I35" s="17"/>
      <c r="J35" s="17"/>
      <c r="K35" s="17"/>
      <c r="L35" s="17"/>
      <c r="M35" s="17"/>
      <c r="N35" s="17"/>
      <c r="O35" s="17"/>
      <c r="P35" s="17"/>
      <c r="Q35" s="17"/>
      <c r="R35" s="17"/>
      <c r="S35" s="17"/>
      <c r="T35" s="17"/>
      <c r="U35" s="18"/>
      <c r="V35" s="18"/>
      <c r="W35" s="18"/>
      <c r="X35" s="18"/>
      <c r="Y35" s="18"/>
      <c r="Z35" s="18"/>
      <c r="AA35" s="18"/>
      <c r="AB35" s="18"/>
      <c r="AC35" s="18"/>
      <c r="AD35" s="18"/>
      <c r="AE35" s="18"/>
      <c r="AF35" s="18"/>
      <c r="AG35" s="11"/>
      <c r="AH35" s="204" t="s">
        <v>35</v>
      </c>
      <c r="AI35" s="204"/>
      <c r="AJ35" s="17"/>
      <c r="AK35" s="17"/>
      <c r="AL35" s="17"/>
      <c r="AM35" s="17"/>
      <c r="AN35" s="17"/>
      <c r="AO35" s="17"/>
      <c r="AP35" s="17"/>
      <c r="AQ35" s="17"/>
      <c r="AR35" s="17"/>
      <c r="AS35" s="17"/>
      <c r="AT35" s="17"/>
      <c r="AU35" s="17"/>
      <c r="AV35" s="18"/>
      <c r="AW35" s="18"/>
      <c r="AX35" s="18"/>
      <c r="AY35" s="18"/>
      <c r="AZ35" s="18"/>
      <c r="BA35" s="18"/>
      <c r="BB35" s="18"/>
      <c r="BC35" s="18"/>
      <c r="BD35" s="18"/>
      <c r="BE35" s="18"/>
      <c r="BF35" s="18"/>
      <c r="BG35" s="18"/>
      <c r="BH35" s="11"/>
      <c r="BI35" s="11"/>
      <c r="BJ35" s="11"/>
      <c r="BK35" s="11"/>
      <c r="BL35" s="11"/>
      <c r="BM35" s="11"/>
      <c r="BN35" s="11"/>
      <c r="BO35" s="11"/>
      <c r="BP35" s="11"/>
      <c r="BQ35" s="11"/>
      <c r="BR35" s="11"/>
      <c r="BS35" s="11"/>
      <c r="BT35" s="11"/>
      <c r="BU35" s="11"/>
      <c r="BV35" s="11"/>
      <c r="BW35" s="11"/>
      <c r="BX35" s="11"/>
      <c r="BY35" s="11"/>
      <c r="BZ35" s="11"/>
      <c r="CA35" s="11"/>
      <c r="CB35" s="11"/>
      <c r="CC35" s="11"/>
      <c r="CD35" s="37"/>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row>
    <row r="36" spans="1:107" s="1" customFormat="1" ht="18.600000000000001">
      <c r="A36"/>
      <c r="B36" s="201" t="s">
        <v>52</v>
      </c>
      <c r="C36" s="201" t="s">
        <v>37</v>
      </c>
      <c r="D36" s="201" t="s">
        <v>38</v>
      </c>
      <c r="E36" s="201" t="s">
        <v>39</v>
      </c>
      <c r="G36" s="201" t="s">
        <v>40</v>
      </c>
      <c r="H36" s="201" t="s">
        <v>25</v>
      </c>
      <c r="I36" s="200">
        <v>46023</v>
      </c>
      <c r="J36" s="200"/>
      <c r="K36" s="200">
        <v>46054</v>
      </c>
      <c r="L36" s="200"/>
      <c r="M36" s="200">
        <v>46082</v>
      </c>
      <c r="N36" s="200"/>
      <c r="O36" s="200">
        <v>46113</v>
      </c>
      <c r="P36" s="200"/>
      <c r="Q36" s="200">
        <v>46143</v>
      </c>
      <c r="R36" s="200"/>
      <c r="S36" s="200">
        <v>46174</v>
      </c>
      <c r="T36" s="200"/>
      <c r="U36" s="200">
        <v>46204</v>
      </c>
      <c r="V36" s="200"/>
      <c r="W36" s="200">
        <v>46235</v>
      </c>
      <c r="X36" s="200"/>
      <c r="Y36" s="200">
        <v>46266</v>
      </c>
      <c r="Z36" s="200"/>
      <c r="AA36" s="200">
        <v>46296</v>
      </c>
      <c r="AB36" s="200"/>
      <c r="AC36" s="200">
        <v>46327</v>
      </c>
      <c r="AD36" s="200"/>
      <c r="AE36" s="200">
        <v>46357</v>
      </c>
      <c r="AF36" s="200"/>
      <c r="AH36" s="201" t="s">
        <v>40</v>
      </c>
      <c r="AI36" s="201" t="s">
        <v>25</v>
      </c>
      <c r="AJ36" s="200">
        <v>46388</v>
      </c>
      <c r="AK36" s="200"/>
      <c r="AL36" s="200">
        <v>46419</v>
      </c>
      <c r="AM36" s="200"/>
      <c r="AN36" s="200">
        <v>46447</v>
      </c>
      <c r="AO36" s="200"/>
      <c r="AP36" s="200">
        <v>46478</v>
      </c>
      <c r="AQ36" s="200"/>
      <c r="AR36" s="200">
        <v>46508</v>
      </c>
      <c r="AS36" s="200"/>
      <c r="AT36" s="200">
        <v>46539</v>
      </c>
      <c r="AU36" s="200"/>
      <c r="AV36" s="200">
        <v>46569</v>
      </c>
      <c r="AW36" s="200"/>
      <c r="AX36" s="200">
        <v>46600</v>
      </c>
      <c r="AY36" s="200"/>
      <c r="AZ36" s="200">
        <v>46631</v>
      </c>
      <c r="BA36" s="200"/>
      <c r="BB36" s="200">
        <v>46661</v>
      </c>
      <c r="BC36" s="200"/>
      <c r="BD36" s="200">
        <v>46692</v>
      </c>
      <c r="BE36" s="200"/>
      <c r="BF36" s="200">
        <v>46722</v>
      </c>
      <c r="BG36" s="200"/>
      <c r="CD36" s="201" t="s">
        <v>41</v>
      </c>
      <c r="CE36" s="197">
        <v>46023</v>
      </c>
      <c r="CF36" s="197">
        <v>46054</v>
      </c>
      <c r="CG36" s="197">
        <v>46082</v>
      </c>
      <c r="CH36" s="197">
        <v>46113</v>
      </c>
      <c r="CI36" s="197">
        <v>46143</v>
      </c>
      <c r="CJ36" s="197">
        <v>46174</v>
      </c>
      <c r="CK36" s="197">
        <v>46204</v>
      </c>
      <c r="CL36" s="197">
        <v>46235</v>
      </c>
      <c r="CM36" s="197">
        <v>46266</v>
      </c>
      <c r="CN36" s="197">
        <v>46296</v>
      </c>
      <c r="CO36" s="197">
        <v>46327</v>
      </c>
      <c r="CP36" s="197">
        <v>46357</v>
      </c>
      <c r="CQ36" s="197">
        <v>46388</v>
      </c>
      <c r="CR36" s="197">
        <v>46419</v>
      </c>
      <c r="CS36" s="197">
        <v>46447</v>
      </c>
      <c r="CT36" s="197">
        <v>46478</v>
      </c>
      <c r="CU36" s="197">
        <v>46508</v>
      </c>
      <c r="CV36" s="197">
        <v>46539</v>
      </c>
      <c r="CW36" s="197">
        <v>46569</v>
      </c>
      <c r="CX36" s="197">
        <v>46600</v>
      </c>
      <c r="CY36" s="197">
        <v>46631</v>
      </c>
      <c r="CZ36" s="197">
        <v>46661</v>
      </c>
      <c r="DA36" s="197">
        <v>46692</v>
      </c>
      <c r="DB36" s="197">
        <v>46722</v>
      </c>
      <c r="DC36"/>
    </row>
    <row r="37" spans="1:107" s="1" customFormat="1" ht="18.600000000000001">
      <c r="A37" s="2"/>
      <c r="B37" s="201"/>
      <c r="C37" s="201"/>
      <c r="D37" s="201"/>
      <c r="E37" s="201"/>
      <c r="F37" s="19"/>
      <c r="G37" s="201"/>
      <c r="H37" s="201"/>
      <c r="I37" s="32" t="s">
        <v>24</v>
      </c>
      <c r="J37" s="32" t="s">
        <v>25</v>
      </c>
      <c r="K37" s="32" t="s">
        <v>24</v>
      </c>
      <c r="L37" s="32" t="s">
        <v>25</v>
      </c>
      <c r="M37" s="32" t="s">
        <v>24</v>
      </c>
      <c r="N37" s="32" t="s">
        <v>25</v>
      </c>
      <c r="O37" s="32" t="s">
        <v>24</v>
      </c>
      <c r="P37" s="32" t="s">
        <v>25</v>
      </c>
      <c r="Q37" s="32" t="s">
        <v>24</v>
      </c>
      <c r="R37" s="32" t="s">
        <v>25</v>
      </c>
      <c r="S37" s="32" t="s">
        <v>24</v>
      </c>
      <c r="T37" s="32" t="s">
        <v>25</v>
      </c>
      <c r="U37" s="32" t="s">
        <v>24</v>
      </c>
      <c r="V37" s="32" t="s">
        <v>25</v>
      </c>
      <c r="W37" s="32" t="s">
        <v>24</v>
      </c>
      <c r="X37" s="32" t="s">
        <v>25</v>
      </c>
      <c r="Y37" s="32" t="s">
        <v>24</v>
      </c>
      <c r="Z37" s="32" t="s">
        <v>25</v>
      </c>
      <c r="AA37" s="32" t="s">
        <v>24</v>
      </c>
      <c r="AB37" s="32" t="s">
        <v>25</v>
      </c>
      <c r="AC37" s="32" t="s">
        <v>24</v>
      </c>
      <c r="AD37" s="32" t="s">
        <v>25</v>
      </c>
      <c r="AE37" s="32" t="s">
        <v>24</v>
      </c>
      <c r="AF37" s="32" t="s">
        <v>25</v>
      </c>
      <c r="AG37" s="19"/>
      <c r="AH37" s="201"/>
      <c r="AI37" s="201"/>
      <c r="AJ37" s="32" t="s">
        <v>24</v>
      </c>
      <c r="AK37" s="32" t="str">
        <f>IF(AJ36&lt;=$B$5,"Actual","")</f>
        <v/>
      </c>
      <c r="AL37" s="32" t="s">
        <v>24</v>
      </c>
      <c r="AM37" s="32" t="str">
        <f>IF(AL36&lt;=$B$5,"Actual","")</f>
        <v/>
      </c>
      <c r="AN37" s="32" t="s">
        <v>24</v>
      </c>
      <c r="AO37" s="32" t="str">
        <f>IF(AN36&lt;=$B$5,"Actual","")</f>
        <v/>
      </c>
      <c r="AP37" s="32" t="s">
        <v>24</v>
      </c>
      <c r="AQ37" s="32" t="str">
        <f>IF(AP36&lt;=$B$5,"Actual","")</f>
        <v/>
      </c>
      <c r="AR37" s="32" t="s">
        <v>24</v>
      </c>
      <c r="AS37" s="32" t="str">
        <f>IF(AR36&lt;=$B$5,"Actual","")</f>
        <v/>
      </c>
      <c r="AT37" s="32" t="s">
        <v>24</v>
      </c>
      <c r="AU37" s="32" t="str">
        <f>IF(AT36&lt;=$B$5,"Actual","")</f>
        <v/>
      </c>
      <c r="AV37" s="32" t="s">
        <v>24</v>
      </c>
      <c r="AW37" s="32" t="str">
        <f>IF(AV36&lt;=$B$5,"Actual","")</f>
        <v/>
      </c>
      <c r="AX37" s="32" t="s">
        <v>24</v>
      </c>
      <c r="AY37" s="32" t="str">
        <f>IF(AX36&lt;=$B$5,"Actual","")</f>
        <v/>
      </c>
      <c r="AZ37" s="32" t="s">
        <v>24</v>
      </c>
      <c r="BA37" s="32" t="str">
        <f>IF(AZ36&lt;=$B$5,"Actual","")</f>
        <v/>
      </c>
      <c r="BB37" s="32" t="s">
        <v>24</v>
      </c>
      <c r="BC37" s="32" t="str">
        <f>IF(BB36&lt;=$B$5,"Actual","")</f>
        <v/>
      </c>
      <c r="BD37" s="32" t="s">
        <v>24</v>
      </c>
      <c r="BE37" s="32" t="str">
        <f>IF(BD36&lt;=$B$5,"Actual","")</f>
        <v/>
      </c>
      <c r="BF37" s="32" t="s">
        <v>24</v>
      </c>
      <c r="BG37" s="32" t="str">
        <f>IF(BF36&lt;=$B$5,"Actual","")</f>
        <v/>
      </c>
      <c r="BH37" s="19"/>
      <c r="BI37" s="19"/>
      <c r="BJ37" s="19"/>
      <c r="BK37" s="19"/>
      <c r="BL37" s="19"/>
      <c r="BM37" s="19"/>
      <c r="BN37" s="19"/>
      <c r="BO37" s="19"/>
      <c r="BP37" s="19"/>
      <c r="BQ37" s="19"/>
      <c r="BR37" s="19"/>
      <c r="BS37" s="19"/>
      <c r="BT37" s="19"/>
      <c r="BU37" s="19"/>
      <c r="BV37" s="19"/>
      <c r="BW37" s="19"/>
      <c r="BX37" s="19"/>
      <c r="BY37" s="19"/>
      <c r="BZ37" s="19"/>
      <c r="CA37" s="19"/>
      <c r="CB37" s="19"/>
      <c r="CC37" s="19"/>
      <c r="CD37" s="201"/>
      <c r="CE37" s="197"/>
      <c r="CF37" s="197"/>
      <c r="CG37" s="197"/>
      <c r="CH37" s="197"/>
      <c r="CI37" s="197"/>
      <c r="CJ37" s="197"/>
      <c r="CK37" s="197"/>
      <c r="CL37" s="197"/>
      <c r="CM37" s="197"/>
      <c r="CN37" s="197"/>
      <c r="CO37" s="197"/>
      <c r="CP37" s="197"/>
      <c r="CQ37" s="197"/>
      <c r="CR37" s="197"/>
      <c r="CS37" s="197"/>
      <c r="CT37" s="197"/>
      <c r="CU37" s="197"/>
      <c r="CV37" s="197"/>
      <c r="CW37" s="197"/>
      <c r="CX37" s="197"/>
      <c r="CY37" s="197"/>
      <c r="CZ37" s="197"/>
      <c r="DA37" s="197"/>
      <c r="DB37" s="197"/>
      <c r="DC37" s="2"/>
    </row>
    <row r="38" spans="1:107" s="1" customFormat="1" ht="18.600000000000001">
      <c r="A38"/>
      <c r="B38" s="5" t="s">
        <v>42</v>
      </c>
      <c r="C38" t="s">
        <v>53</v>
      </c>
      <c r="D38" s="21">
        <f t="shared" ref="D38:D47" si="16">SUM(G38,AH38)</f>
        <v>0.67647599999999997</v>
      </c>
      <c r="E38" s="35">
        <f t="shared" ref="E38:E47" si="17">SUM(H38,AI38)</f>
        <v>0.67647599999999997</v>
      </c>
      <c r="F38"/>
      <c r="G38" s="21">
        <f t="shared" ref="G38:G47" si="18">SUMIF($I$12:$AF$12,"Plan",I38:AF38)/1000000</f>
        <v>0.67647599999999997</v>
      </c>
      <c r="H38" s="35">
        <f t="shared" ref="H38:H47" si="19">SUMIF($I$12:$AF$12,"Actual",I38:AF38)/1000000</f>
        <v>0.67647599999999997</v>
      </c>
      <c r="I38" s="106">
        <f>SUMIF(Table410[Workstream],'$ Dashboard'!B38,Table410[Jan_2026_F])</f>
        <v>56373</v>
      </c>
      <c r="J38" s="106">
        <f>SUMIF(Table410[Workstream],'$ Dashboard'!B38,Table410[Jan_2026_A])</f>
        <v>56373</v>
      </c>
      <c r="K38" s="106">
        <f>SUMIF(Table410[Workstream],'$ Dashboard'!B38,Table410[Feb_2026_F])</f>
        <v>56373</v>
      </c>
      <c r="L38" s="106">
        <f>SUMIF(Table410[Workstream],'$ Dashboard'!B38,Table410[Feb_2026_A])</f>
        <v>56373</v>
      </c>
      <c r="M38" s="106">
        <f>SUMIF(Table410[Workstream],'$ Dashboard'!B38,Table410[Mar_2026_F])</f>
        <v>56373</v>
      </c>
      <c r="N38" s="106">
        <f>SUMIF(Table410[Workstream],'$ Dashboard'!B38,Table410[Mar_2026_A])</f>
        <v>56373</v>
      </c>
      <c r="O38" s="106">
        <f>SUMIF(Table410[Workstream],'$ Dashboard'!B38,Table410[Apr_2026_F])</f>
        <v>56373</v>
      </c>
      <c r="P38" s="106">
        <f>SUMIF(Table410[Workstream],'$ Dashboard'!B38,Table410[Apr_2026_A])</f>
        <v>56373</v>
      </c>
      <c r="Q38" s="106">
        <f>SUMIF(Table410[Workstream],'$ Dashboard'!B38,Table410[May_2026_F])</f>
        <v>56373</v>
      </c>
      <c r="R38" s="106">
        <f>SUMIF(Table410[Workstream],'$ Dashboard'!B38,Table410[May_2026_A])</f>
        <v>56373</v>
      </c>
      <c r="S38" s="106">
        <f>SUMIF(Table410[Workstream],'$ Dashboard'!B38,Table410[Jun_2026_F])</f>
        <v>56373</v>
      </c>
      <c r="T38" s="106">
        <f>SUMIF(Table410[Workstream],'$ Dashboard'!B38,Table410[Jun_2026_A])</f>
        <v>56373</v>
      </c>
      <c r="U38" s="106">
        <f>SUMIF(Table410[Workstream],'$ Dashboard'!B38,Table410[Jul_2026_F])</f>
        <v>56373</v>
      </c>
      <c r="V38" s="106">
        <f>SUMIF(Table410[Workstream],'$ Dashboard'!B38,Table410[Jul_2026_A])</f>
        <v>56373</v>
      </c>
      <c r="W38" s="106">
        <f>SUMIF(Table410[Workstream],'$ Dashboard'!B38,Table410[Aug_2026_F])</f>
        <v>56373</v>
      </c>
      <c r="X38" s="106">
        <f>SUMIF(Table410[Workstream],'$ Dashboard'!B38,Table410[Aug_2026_A])</f>
        <v>56373</v>
      </c>
      <c r="Y38" s="106">
        <f>SUMIF(Table410[Workstream],'$ Dashboard'!B38,Table410[Sep_2026_F])</f>
        <v>56373</v>
      </c>
      <c r="Z38" s="106">
        <f>SUMIF(Table410[Workstream],'$ Dashboard'!B38,Table410[Sep_2026_A])</f>
        <v>56373</v>
      </c>
      <c r="AA38" s="106">
        <f>SUMIF(Table410[Workstream],'$ Dashboard'!B38,Table410[Oct_2026_F])</f>
        <v>56373</v>
      </c>
      <c r="AB38" s="106">
        <f>SUMIF(Table410[Workstream],'$ Dashboard'!B38,Table410[Oct_2026_A])</f>
        <v>56373</v>
      </c>
      <c r="AC38" s="106">
        <f>SUMIF(Table410[Workstream],'$ Dashboard'!B38,Table410[Nov_2026_F])</f>
        <v>56373</v>
      </c>
      <c r="AD38" s="106">
        <f>SUMIF(Table410[Workstream],'$ Dashboard'!B38,Table410[Nov_2026_A])</f>
        <v>56373</v>
      </c>
      <c r="AE38" s="106">
        <f>SUMIF(Table410[Workstream],'$ Dashboard'!B38,Table410[Dec_2026_F])</f>
        <v>56373</v>
      </c>
      <c r="AF38" s="106">
        <f>SUMIF(Table410[Workstream],'$ Dashboard'!B38,Table410[Dec_2026_A])+SUMIF(Table46[Workstream],'$ Dashboard'!B38,Table46[Dec_26_A])</f>
        <v>56373</v>
      </c>
      <c r="AG38"/>
      <c r="AH38" s="21">
        <f t="shared" ref="AH38:AH47" si="20">SUM(AW38:BG38)/1000000</f>
        <v>0</v>
      </c>
      <c r="AI38" s="35">
        <f t="shared" ref="AI38:AI47" si="21">SUMIF($AJ$12:$BG$12,"Actual",AJ38:BG38)/1000000</f>
        <v>0</v>
      </c>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c r="BI38" s="3"/>
      <c r="BJ38" s="3"/>
      <c r="BK38" s="3"/>
      <c r="BL38" s="3"/>
      <c r="BM38" s="3"/>
      <c r="BN38" s="3"/>
      <c r="BO38" s="3"/>
      <c r="BP38" s="3"/>
      <c r="BQ38" s="3"/>
      <c r="BR38" s="3"/>
      <c r="BS38" s="3"/>
      <c r="BT38" s="3"/>
      <c r="BU38" s="3"/>
      <c r="BV38" s="3"/>
      <c r="BW38" s="3"/>
      <c r="BX38" s="3"/>
      <c r="BY38" s="3"/>
      <c r="BZ38" s="3"/>
      <c r="CA38" s="3"/>
      <c r="CB38" s="3"/>
      <c r="CC38" s="3"/>
      <c r="CD38" s="21">
        <f>SUM(CE38:DB38)/1000000</f>
        <v>0</v>
      </c>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row>
    <row r="39" spans="1:107" s="1" customFormat="1" ht="18.600000000000001">
      <c r="A39"/>
      <c r="B39" s="5" t="s">
        <v>44</v>
      </c>
      <c r="C39" t="s">
        <v>53</v>
      </c>
      <c r="D39" s="21">
        <f t="shared" si="16"/>
        <v>9.085E-2</v>
      </c>
      <c r="E39" s="35">
        <f t="shared" si="17"/>
        <v>9.085E-2</v>
      </c>
      <c r="F39"/>
      <c r="G39" s="21">
        <f t="shared" si="18"/>
        <v>9.085E-2</v>
      </c>
      <c r="H39" s="35">
        <f t="shared" si="19"/>
        <v>9.085E-2</v>
      </c>
      <c r="I39" s="106">
        <f>SUMIF(Table410[Workstream],'$ Dashboard'!B39,Table410[Jan_2026_F])</f>
        <v>7900</v>
      </c>
      <c r="J39" s="106">
        <f>SUMIF(Table410[Workstream],'$ Dashboard'!B39,Table410[Jan_2026_A])</f>
        <v>7900</v>
      </c>
      <c r="K39" s="106">
        <f>SUMIF(Table410[Workstream],'$ Dashboard'!B39,Table410[Feb_2026_F])</f>
        <v>7900</v>
      </c>
      <c r="L39" s="106">
        <f>SUMIF(Table410[Workstream],'$ Dashboard'!B39,Table410[Feb_2026_A])</f>
        <v>7900</v>
      </c>
      <c r="M39" s="106">
        <f>SUMIF(Table410[Workstream],'$ Dashboard'!B39,Table410[Mar_2026_F])</f>
        <v>7900</v>
      </c>
      <c r="N39" s="106">
        <f>SUMIF(Table410[Workstream],'$ Dashboard'!B39,Table410[Mar_2026_A])</f>
        <v>7900</v>
      </c>
      <c r="O39" s="106">
        <f>SUMIF(Table410[Workstream],'$ Dashboard'!B39,Table410[Apr_2026_F])</f>
        <v>7900</v>
      </c>
      <c r="P39" s="106">
        <f>SUMIF(Table410[Workstream],'$ Dashboard'!B39,Table410[Apr_2026_A])</f>
        <v>7900</v>
      </c>
      <c r="Q39" s="106">
        <f>SUMIF(Table410[Workstream],'$ Dashboard'!B39,Table410[May_2026_F])</f>
        <v>7110</v>
      </c>
      <c r="R39" s="106">
        <f>SUMIF(Table410[Workstream],'$ Dashboard'!B39,Table410[May_2026_A])</f>
        <v>7110</v>
      </c>
      <c r="S39" s="106">
        <f>SUMIF(Table410[Workstream],'$ Dashboard'!B39,Table410[Jun_2026_F])</f>
        <v>7110</v>
      </c>
      <c r="T39" s="106">
        <f>SUMIF(Table410[Workstream],'$ Dashboard'!B39,Table410[Jun_2026_A])</f>
        <v>7110</v>
      </c>
      <c r="U39" s="106">
        <f>SUMIF(Table410[Workstream],'$ Dashboard'!B39,Table410[Jul_2026_F])</f>
        <v>7110</v>
      </c>
      <c r="V39" s="106">
        <f>SUMIF(Table410[Workstream],'$ Dashboard'!B39,Table410[Jul_2026_A])</f>
        <v>7110</v>
      </c>
      <c r="W39" s="106">
        <f>SUMIF(Table410[Workstream],'$ Dashboard'!B39,Table410[Aug_2026_F])</f>
        <v>7900</v>
      </c>
      <c r="X39" s="106">
        <f>SUMIF(Table410[Workstream],'$ Dashboard'!B39,Table410[Aug_2026_A])</f>
        <v>7900</v>
      </c>
      <c r="Y39" s="106">
        <f>SUMIF(Table410[Workstream],'$ Dashboard'!B39,Table410[Sep_2026_F])</f>
        <v>7900</v>
      </c>
      <c r="Z39" s="106">
        <f>SUMIF(Table410[Workstream],'$ Dashboard'!B39,Table410[Sep_2026_A])</f>
        <v>7900</v>
      </c>
      <c r="AA39" s="106">
        <f>SUMIF(Table410[Workstream],'$ Dashboard'!B39,Table410[Oct_2026_F])</f>
        <v>7900</v>
      </c>
      <c r="AB39" s="106">
        <f>SUMIF(Table410[Workstream],'$ Dashboard'!B39,Table410[Oct_2026_A])</f>
        <v>7900</v>
      </c>
      <c r="AC39" s="106">
        <f>SUMIF(Table410[Workstream],'$ Dashboard'!B39,Table410[Nov_2026_F])</f>
        <v>7110</v>
      </c>
      <c r="AD39" s="106">
        <f>SUMIF(Table410[Workstream],'$ Dashboard'!B39,Table410[Nov_2026_A])</f>
        <v>7110</v>
      </c>
      <c r="AE39" s="106">
        <f>SUMIF(Table410[Workstream],'$ Dashboard'!B39,Table410[Dec_2026_F])</f>
        <v>7110</v>
      </c>
      <c r="AF39" s="106">
        <f>SUMIF(Table410[Workstream],'$ Dashboard'!B39,Table410[Dec_2026_A])+SUMIF(Table46[Workstream],'$ Dashboard'!B39,Table46[Dec_26_A])</f>
        <v>7110</v>
      </c>
      <c r="AG39"/>
      <c r="AH39" s="21">
        <f t="shared" si="20"/>
        <v>0</v>
      </c>
      <c r="AI39" s="35">
        <f t="shared" si="21"/>
        <v>0</v>
      </c>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c r="BI39" s="3"/>
      <c r="BJ39" s="3"/>
      <c r="BK39" s="3"/>
      <c r="BL39" s="3"/>
      <c r="BM39" s="3"/>
      <c r="BN39" s="3"/>
      <c r="BO39" s="3"/>
      <c r="BP39" s="3"/>
      <c r="BQ39" s="3"/>
      <c r="BR39" s="3"/>
      <c r="BS39" s="3"/>
      <c r="BT39" s="3"/>
      <c r="BU39" s="3"/>
      <c r="BV39" s="3"/>
      <c r="BW39" s="3"/>
      <c r="BX39" s="3"/>
      <c r="BY39" s="3"/>
      <c r="BZ39" s="3"/>
      <c r="CA39" s="3"/>
      <c r="CB39" s="3"/>
      <c r="CC39" s="3"/>
      <c r="CD39" s="21"/>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row>
    <row r="40" spans="1:107" s="1" customFormat="1" ht="18.600000000000001">
      <c r="A40"/>
      <c r="B40" s="5" t="s">
        <v>45</v>
      </c>
      <c r="C40" t="s">
        <v>53</v>
      </c>
      <c r="D40" s="21">
        <f t="shared" si="16"/>
        <v>0.10349999999999999</v>
      </c>
      <c r="E40" s="35">
        <f t="shared" si="17"/>
        <v>7.6499999999999999E-2</v>
      </c>
      <c r="F40"/>
      <c r="G40" s="21">
        <f t="shared" si="18"/>
        <v>0.10349999999999999</v>
      </c>
      <c r="H40" s="35">
        <f t="shared" si="19"/>
        <v>7.6499999999999999E-2</v>
      </c>
      <c r="I40" s="106">
        <f>SUMIF(Table410[Workstream],'$ Dashboard'!B40,Table410[Jan_2026_F])</f>
        <v>9000</v>
      </c>
      <c r="J40" s="106">
        <f>SUMIF(Table410[Workstream],'$ Dashboard'!B40,Table410[Jan_2026_A])</f>
        <v>9000</v>
      </c>
      <c r="K40" s="106">
        <f>SUMIF(Table410[Workstream],'$ Dashboard'!B40,Table410[Feb_2026_F])</f>
        <v>9000</v>
      </c>
      <c r="L40" s="106">
        <f>SUMIF(Table410[Workstream],'$ Dashboard'!B40,Table410[Feb_2026_A])</f>
        <v>0</v>
      </c>
      <c r="M40" s="106">
        <f>SUMIF(Table410[Workstream],'$ Dashboard'!B40,Table410[Mar_2026_F])</f>
        <v>9000</v>
      </c>
      <c r="N40" s="106">
        <f>SUMIF(Table410[Workstream],'$ Dashboard'!B40,Table410[Mar_2026_A])</f>
        <v>0</v>
      </c>
      <c r="O40" s="106">
        <f>SUMIF(Table410[Workstream],'$ Dashboard'!B40,Table410[Apr_2026_F])</f>
        <v>9000</v>
      </c>
      <c r="P40" s="106">
        <f>SUMIF(Table410[Workstream],'$ Dashboard'!B40,Table410[Apr_2026_A])</f>
        <v>0</v>
      </c>
      <c r="Q40" s="106">
        <f>SUMIF(Table410[Workstream],'$ Dashboard'!B40,Table410[May_2026_F])</f>
        <v>8100</v>
      </c>
      <c r="R40" s="106">
        <f>SUMIF(Table410[Workstream],'$ Dashboard'!B40,Table410[May_2026_A])</f>
        <v>8100</v>
      </c>
      <c r="S40" s="106">
        <f>SUMIF(Table410[Workstream],'$ Dashboard'!B40,Table410[Jun_2026_F])</f>
        <v>8100</v>
      </c>
      <c r="T40" s="106">
        <f>SUMIF(Table410[Workstream],'$ Dashboard'!B40,Table410[Jun_2026_A])</f>
        <v>8100</v>
      </c>
      <c r="U40" s="106">
        <f>SUMIF(Table410[Workstream],'$ Dashboard'!B40,Table410[Jul_2026_F])</f>
        <v>8100</v>
      </c>
      <c r="V40" s="106">
        <f>SUMIF(Table410[Workstream],'$ Dashboard'!B40,Table410[Jul_2026_A])</f>
        <v>8100</v>
      </c>
      <c r="W40" s="106">
        <f>SUMIF(Table410[Workstream],'$ Dashboard'!B40,Table410[Aug_2026_F])</f>
        <v>9000</v>
      </c>
      <c r="X40" s="106">
        <f>SUMIF(Table410[Workstream],'$ Dashboard'!B40,Table410[Aug_2026_A])</f>
        <v>9000</v>
      </c>
      <c r="Y40" s="106">
        <f>SUMIF(Table410[Workstream],'$ Dashboard'!B40,Table410[Sep_2026_F])</f>
        <v>9000</v>
      </c>
      <c r="Z40" s="106">
        <f>SUMIF(Table410[Workstream],'$ Dashboard'!B40,Table410[Sep_2026_A])</f>
        <v>9000</v>
      </c>
      <c r="AA40" s="106">
        <f>SUMIF(Table410[Workstream],'$ Dashboard'!B40,Table410[Oct_2026_F])</f>
        <v>9000</v>
      </c>
      <c r="AB40" s="106">
        <f>SUMIF(Table410[Workstream],'$ Dashboard'!B40,Table410[Oct_2026_A])</f>
        <v>9000</v>
      </c>
      <c r="AC40" s="106">
        <f>SUMIF(Table410[Workstream],'$ Dashboard'!B40,Table410[Nov_2026_F])</f>
        <v>8100</v>
      </c>
      <c r="AD40" s="106">
        <f>SUMIF(Table410[Workstream],'$ Dashboard'!B40,Table410[Nov_2026_A])</f>
        <v>8100</v>
      </c>
      <c r="AE40" s="106">
        <f>SUMIF(Table410[Workstream],'$ Dashboard'!B40,Table410[Dec_2026_F])</f>
        <v>8100</v>
      </c>
      <c r="AF40" s="106">
        <f>SUMIF(Table410[Workstream],'$ Dashboard'!B40,Table410[Dec_2026_A])+SUMIF(Table46[Workstream],'$ Dashboard'!B40,Table46[Dec_26_A])</f>
        <v>8100</v>
      </c>
      <c r="AG40"/>
      <c r="AH40" s="21">
        <f t="shared" si="20"/>
        <v>0</v>
      </c>
      <c r="AI40" s="35">
        <f t="shared" si="21"/>
        <v>0</v>
      </c>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c r="BI40" s="3"/>
      <c r="BJ40" s="3"/>
      <c r="BK40" s="3"/>
      <c r="BL40" s="3"/>
      <c r="BM40" s="3"/>
      <c r="BN40" s="3"/>
      <c r="BO40" s="3"/>
      <c r="BP40" s="3"/>
      <c r="BQ40" s="3"/>
      <c r="BR40" s="3"/>
      <c r="BS40" s="3"/>
      <c r="BT40" s="3"/>
      <c r="BU40" s="3"/>
      <c r="BV40" s="3"/>
      <c r="BW40" s="3"/>
      <c r="BX40" s="3"/>
      <c r="BY40" s="3"/>
      <c r="BZ40" s="3"/>
      <c r="CA40" s="3"/>
      <c r="CB40" s="3"/>
      <c r="CC40" s="3"/>
      <c r="CD40" s="21"/>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row>
    <row r="41" spans="1:107" s="1" customFormat="1" ht="18.600000000000001">
      <c r="A41"/>
      <c r="B41" s="5" t="s">
        <v>46</v>
      </c>
      <c r="C41" t="s">
        <v>53</v>
      </c>
      <c r="D41" s="21">
        <f t="shared" si="16"/>
        <v>0.22381499999999999</v>
      </c>
      <c r="E41" s="35">
        <f t="shared" si="17"/>
        <v>0.22381499999999999</v>
      </c>
      <c r="F41"/>
      <c r="G41" s="21">
        <f t="shared" si="18"/>
        <v>0.22381499999999999</v>
      </c>
      <c r="H41" s="35">
        <f t="shared" si="19"/>
        <v>0.22381499999999999</v>
      </c>
      <c r="I41" s="106">
        <f>SUMIF(Table410[Workstream],'$ Dashboard'!B41,Table410[Jan_2026_F])</f>
        <v>19375</v>
      </c>
      <c r="J41" s="106">
        <f>SUMIF(Table410[Workstream],'$ Dashboard'!B41,Table410[Jan_2026_A])</f>
        <v>19375</v>
      </c>
      <c r="K41" s="106">
        <f>SUMIF(Table410[Workstream],'$ Dashboard'!B41,Table410[Feb_2026_F])</f>
        <v>19375</v>
      </c>
      <c r="L41" s="106">
        <f>SUMIF(Table410[Workstream],'$ Dashboard'!B41,Table410[Feb_2026_A])</f>
        <v>19375</v>
      </c>
      <c r="M41" s="106">
        <f>SUMIF(Table410[Workstream],'$ Dashboard'!B41,Table410[Mar_2026_F])</f>
        <v>19375</v>
      </c>
      <c r="N41" s="106">
        <f>SUMIF(Table410[Workstream],'$ Dashboard'!B41,Table410[Mar_2026_A])</f>
        <v>19375</v>
      </c>
      <c r="O41" s="106">
        <f>SUMIF(Table410[Workstream],'$ Dashboard'!B41,Table410[Apr_2026_F])</f>
        <v>19375</v>
      </c>
      <c r="P41" s="106">
        <f>SUMIF(Table410[Workstream],'$ Dashboard'!B41,Table410[Apr_2026_A])</f>
        <v>19375</v>
      </c>
      <c r="Q41" s="106">
        <f>SUMIF(Table410[Workstream],'$ Dashboard'!B41,Table410[May_2026_F])</f>
        <v>18440</v>
      </c>
      <c r="R41" s="106">
        <f>SUMIF(Table410[Workstream],'$ Dashboard'!B41,Table410[May_2026_A])</f>
        <v>18440</v>
      </c>
      <c r="S41" s="106">
        <f>SUMIF(Table410[Workstream],'$ Dashboard'!B41,Table410[Jun_2026_F])</f>
        <v>16435</v>
      </c>
      <c r="T41" s="106">
        <f>SUMIF(Table410[Workstream],'$ Dashboard'!B41,Table410[Jun_2026_A])</f>
        <v>16435</v>
      </c>
      <c r="U41" s="106">
        <f>SUMIF(Table410[Workstream],'$ Dashboard'!B41,Table410[Jul_2026_F])</f>
        <v>18440</v>
      </c>
      <c r="V41" s="106">
        <f>SUMIF(Table410[Workstream],'$ Dashboard'!B41,Table410[Jul_2026_A])</f>
        <v>18440</v>
      </c>
      <c r="W41" s="106">
        <f>SUMIF(Table410[Workstream],'$ Dashboard'!B41,Table410[Aug_2026_F])</f>
        <v>19375</v>
      </c>
      <c r="X41" s="106">
        <f>SUMIF(Table410[Workstream],'$ Dashboard'!B41,Table410[Aug_2026_A])</f>
        <v>19375</v>
      </c>
      <c r="Y41" s="106">
        <f>SUMIF(Table410[Workstream],'$ Dashboard'!B41,Table410[Sep_2026_F])</f>
        <v>19375</v>
      </c>
      <c r="Z41" s="106">
        <f>SUMIF(Table410[Workstream],'$ Dashboard'!B41,Table410[Sep_2026_A])</f>
        <v>19375</v>
      </c>
      <c r="AA41" s="106">
        <f>SUMIF(Table410[Workstream],'$ Dashboard'!B41,Table410[Oct_2026_F])</f>
        <v>19375</v>
      </c>
      <c r="AB41" s="106">
        <f>SUMIF(Table410[Workstream],'$ Dashboard'!B41,Table410[Oct_2026_A])</f>
        <v>19375</v>
      </c>
      <c r="AC41" s="106">
        <f>SUMIF(Table410[Workstream],'$ Dashboard'!B41,Table410[Nov_2026_F])</f>
        <v>18440</v>
      </c>
      <c r="AD41" s="106">
        <f>SUMIF(Table410[Workstream],'$ Dashboard'!B41,Table410[Nov_2026_A])</f>
        <v>18440</v>
      </c>
      <c r="AE41" s="106">
        <f>SUMIF(Table410[Workstream],'$ Dashboard'!B41,Table410[Dec_2026_F])</f>
        <v>16435</v>
      </c>
      <c r="AF41" s="106">
        <f>SUMIF(Table410[Workstream],'$ Dashboard'!B41,Table410[Dec_2026_A])+SUMIF(Table46[Workstream],'$ Dashboard'!B41,Table46[Dec_26_A])</f>
        <v>16435</v>
      </c>
      <c r="AG41"/>
      <c r="AH41" s="21">
        <f t="shared" si="20"/>
        <v>0</v>
      </c>
      <c r="AI41" s="35">
        <f t="shared" si="21"/>
        <v>0</v>
      </c>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c r="BI41" s="3"/>
      <c r="BJ41" s="3"/>
      <c r="BK41" s="3"/>
      <c r="BL41" s="3"/>
      <c r="BM41" s="3"/>
      <c r="BN41" s="3"/>
      <c r="BO41" s="3"/>
      <c r="BP41" s="3"/>
      <c r="BQ41" s="3"/>
      <c r="BR41" s="3"/>
      <c r="BS41" s="3"/>
      <c r="BT41" s="3"/>
      <c r="BU41" s="3"/>
      <c r="BV41" s="3"/>
      <c r="BW41" s="3"/>
      <c r="BX41" s="3"/>
      <c r="BY41" s="3"/>
      <c r="BZ41" s="3"/>
      <c r="CA41" s="3"/>
      <c r="CB41" s="3"/>
      <c r="CC41" s="3"/>
      <c r="CD41" s="21">
        <f t="shared" ref="CD41:CD47" si="22">SUM(CE41:DB41)/1000000</f>
        <v>0</v>
      </c>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row>
    <row r="42" spans="1:107" s="1" customFormat="1" ht="18.600000000000001">
      <c r="A42"/>
      <c r="B42" s="5" t="s">
        <v>47</v>
      </c>
      <c r="C42" t="s">
        <v>53</v>
      </c>
      <c r="D42" s="21">
        <f t="shared" si="16"/>
        <v>0.17068800000000001</v>
      </c>
      <c r="E42" s="35">
        <f t="shared" si="17"/>
        <v>0.17068800000000001</v>
      </c>
      <c r="F42"/>
      <c r="G42" s="21">
        <f t="shared" si="18"/>
        <v>0.17068800000000001</v>
      </c>
      <c r="H42" s="35">
        <f t="shared" si="19"/>
        <v>0.17068800000000001</v>
      </c>
      <c r="I42" s="106">
        <f>SUMIF(Table410[Workstream],'$ Dashboard'!B42,Table410[Jan_2026_F])</f>
        <v>14080</v>
      </c>
      <c r="J42" s="106">
        <f>SUMIF(Table410[Workstream],'$ Dashboard'!B42,Table410[Jan_2026_A])</f>
        <v>14080</v>
      </c>
      <c r="K42" s="106">
        <f>SUMIF(Table410[Workstream],'$ Dashboard'!B42,Table410[Feb_2026_F])</f>
        <v>14080</v>
      </c>
      <c r="L42" s="106">
        <f>SUMIF(Table410[Workstream],'$ Dashboard'!B42,Table410[Feb_2026_A])</f>
        <v>14080</v>
      </c>
      <c r="M42" s="106">
        <f>SUMIF(Table410[Workstream],'$ Dashboard'!B42,Table410[Mar_2026_F])</f>
        <v>14080</v>
      </c>
      <c r="N42" s="106">
        <f>SUMIF(Table410[Workstream],'$ Dashboard'!B42,Table410[Mar_2026_A])</f>
        <v>14080</v>
      </c>
      <c r="O42" s="106">
        <f>SUMIF(Table410[Workstream],'$ Dashboard'!B42,Table410[Apr_2026_F])</f>
        <v>19720</v>
      </c>
      <c r="P42" s="106">
        <f>SUMIF(Table410[Workstream],'$ Dashboard'!B42,Table410[Apr_2026_A])</f>
        <v>19720</v>
      </c>
      <c r="Q42" s="106">
        <f>SUMIF(Table410[Workstream],'$ Dashboard'!B42,Table410[May_2026_F])</f>
        <v>19720</v>
      </c>
      <c r="R42" s="106">
        <f>SUMIF(Table410[Workstream],'$ Dashboard'!B42,Table410[May_2026_A])</f>
        <v>19720</v>
      </c>
      <c r="S42" s="106">
        <f>SUMIF(Table410[Workstream],'$ Dashboard'!B42,Table410[Jun_2026_F])</f>
        <v>15776</v>
      </c>
      <c r="T42" s="106">
        <f>SUMIF(Table410[Workstream],'$ Dashboard'!B42,Table410[Jun_2026_A])</f>
        <v>15776</v>
      </c>
      <c r="U42" s="106">
        <f>SUMIF(Table410[Workstream],'$ Dashboard'!B42,Table410[Jul_2026_F])</f>
        <v>19720</v>
      </c>
      <c r="V42" s="106">
        <f>SUMIF(Table410[Workstream],'$ Dashboard'!B42,Table410[Jul_2026_A])</f>
        <v>19720</v>
      </c>
      <c r="W42" s="106">
        <f>SUMIF(Table410[Workstream],'$ Dashboard'!B42,Table410[Aug_2026_F])</f>
        <v>19720</v>
      </c>
      <c r="X42" s="106">
        <f>SUMIF(Table410[Workstream],'$ Dashboard'!B42,Table410[Aug_2026_A])</f>
        <v>19720</v>
      </c>
      <c r="Y42" s="106">
        <f>SUMIF(Table410[Workstream],'$ Dashboard'!B42,Table410[Sep_2026_F])</f>
        <v>14080</v>
      </c>
      <c r="Z42" s="106">
        <f>SUMIF(Table410[Workstream],'$ Dashboard'!B42,Table410[Sep_2026_A])</f>
        <v>14080</v>
      </c>
      <c r="AA42" s="106">
        <f>SUMIF(Table410[Workstream],'$ Dashboard'!B42,Table410[Oct_2026_F])</f>
        <v>7040</v>
      </c>
      <c r="AB42" s="106">
        <f>SUMIF(Table410[Workstream],'$ Dashboard'!B42,Table410[Oct_2026_A])</f>
        <v>7040</v>
      </c>
      <c r="AC42" s="106">
        <f>SUMIF(Table410[Workstream],'$ Dashboard'!B42,Table410[Nov_2026_F])</f>
        <v>7040</v>
      </c>
      <c r="AD42" s="106">
        <f>SUMIF(Table410[Workstream],'$ Dashboard'!B42,Table410[Nov_2026_A])</f>
        <v>7040</v>
      </c>
      <c r="AE42" s="106">
        <f>SUMIF(Table410[Workstream],'$ Dashboard'!B42,Table410[Dec_2026_F])</f>
        <v>5632</v>
      </c>
      <c r="AF42" s="106">
        <f>SUMIF(Table410[Workstream],'$ Dashboard'!B42,Table410[Dec_2026_A])+SUMIF(Table46[Workstream],'$ Dashboard'!B42,Table46[Dec_26_A])</f>
        <v>5632</v>
      </c>
      <c r="AG42"/>
      <c r="AH42" s="21">
        <f t="shared" si="20"/>
        <v>0</v>
      </c>
      <c r="AI42" s="35">
        <f t="shared" si="21"/>
        <v>0</v>
      </c>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c r="BI42" s="3"/>
      <c r="BJ42" s="3"/>
      <c r="BK42" s="3"/>
      <c r="BL42" s="3"/>
      <c r="BM42" s="3"/>
      <c r="BN42" s="3"/>
      <c r="BO42" s="3"/>
      <c r="BP42" s="3"/>
      <c r="BQ42" s="3"/>
      <c r="BR42" s="3"/>
      <c r="BS42" s="3"/>
      <c r="BT42" s="3"/>
      <c r="BU42" s="3"/>
      <c r="BV42" s="3"/>
      <c r="BW42" s="3"/>
      <c r="BX42" s="3"/>
      <c r="BY42" s="3"/>
      <c r="BZ42" s="3"/>
      <c r="CA42" s="3"/>
      <c r="CB42" s="3"/>
      <c r="CC42" s="3"/>
      <c r="CD42" s="21">
        <f t="shared" si="22"/>
        <v>0</v>
      </c>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row>
    <row r="43" spans="1:107" s="1" customFormat="1" ht="18.600000000000001">
      <c r="A43"/>
      <c r="B43" s="5" t="s">
        <v>48</v>
      </c>
      <c r="C43" t="s">
        <v>53</v>
      </c>
      <c r="D43" s="21">
        <f t="shared" si="16"/>
        <v>0.399839</v>
      </c>
      <c r="E43" s="35">
        <f t="shared" si="17"/>
        <v>0.38663900000000001</v>
      </c>
      <c r="F43"/>
      <c r="G43" s="21">
        <f t="shared" si="18"/>
        <v>0.399839</v>
      </c>
      <c r="H43" s="35">
        <f t="shared" si="19"/>
        <v>0.38663900000000001</v>
      </c>
      <c r="I43" s="106">
        <f>SUMIF(Table410[Workstream],'$ Dashboard'!B43,Table410[Jan_2026_F])</f>
        <v>0</v>
      </c>
      <c r="J43" s="106">
        <f>SUMIF(Table410[Workstream],'$ Dashboard'!B43,Table410[Jan_2026_A])</f>
        <v>0</v>
      </c>
      <c r="K43" s="106">
        <f>SUMIF(Table410[Workstream],'$ Dashboard'!B43,Table410[Feb_2026_F])</f>
        <v>43780</v>
      </c>
      <c r="L43" s="106">
        <f>SUMIF(Table410[Workstream],'$ Dashboard'!B43,Table410[Feb_2026_A])</f>
        <v>39380</v>
      </c>
      <c r="M43" s="106">
        <f>SUMIF(Table410[Workstream],'$ Dashboard'!B43,Table410[Mar_2026_F])</f>
        <v>43780</v>
      </c>
      <c r="N43" s="106">
        <f>SUMIF(Table410[Workstream],'$ Dashboard'!B43,Table410[Mar_2026_A])</f>
        <v>39380</v>
      </c>
      <c r="O43" s="106">
        <f>SUMIF(Table410[Workstream],'$ Dashboard'!B43,Table410[Apr_2026_F])</f>
        <v>43780</v>
      </c>
      <c r="P43" s="106">
        <f>SUMIF(Table410[Workstream],'$ Dashboard'!B43,Table410[Apr_2026_A])</f>
        <v>39380</v>
      </c>
      <c r="Q43" s="106">
        <f>SUMIF(Table410[Workstream],'$ Dashboard'!B43,Table410[May_2026_F])</f>
        <v>41030</v>
      </c>
      <c r="R43" s="106">
        <f>SUMIF(Table410[Workstream],'$ Dashboard'!B43,Table410[May_2026_A])</f>
        <v>41030</v>
      </c>
      <c r="S43" s="106">
        <f>SUMIF(Table410[Workstream],'$ Dashboard'!B43,Table410[Jun_2026_F])</f>
        <v>43549</v>
      </c>
      <c r="T43" s="106">
        <f>SUMIF(Table410[Workstream],'$ Dashboard'!B43,Table410[Jun_2026_A])</f>
        <v>43549</v>
      </c>
      <c r="U43" s="106">
        <f>SUMIF(Table410[Workstream],'$ Dashboard'!B43,Table410[Jul_2026_F])</f>
        <v>46805</v>
      </c>
      <c r="V43" s="106">
        <f>SUMIF(Table410[Workstream],'$ Dashboard'!B43,Table410[Jul_2026_A])</f>
        <v>46805</v>
      </c>
      <c r="W43" s="106">
        <f>SUMIF(Table410[Workstream],'$ Dashboard'!B43,Table410[Aug_2026_F])</f>
        <v>49555</v>
      </c>
      <c r="X43" s="106">
        <f>SUMIF(Table410[Workstream],'$ Dashboard'!B43,Table410[Aug_2026_A])</f>
        <v>49555</v>
      </c>
      <c r="Y43" s="106">
        <f>SUMIF(Table410[Workstream],'$ Dashboard'!B43,Table410[Sep_2026_F])</f>
        <v>43780</v>
      </c>
      <c r="Z43" s="106">
        <f>SUMIF(Table410[Workstream],'$ Dashboard'!B43,Table410[Sep_2026_A])</f>
        <v>43780</v>
      </c>
      <c r="AA43" s="106">
        <f>SUMIF(Table410[Workstream],'$ Dashboard'!B43,Table410[Oct_2026_F])</f>
        <v>43780</v>
      </c>
      <c r="AB43" s="106">
        <f>SUMIF(Table410[Workstream],'$ Dashboard'!B43,Table410[Oct_2026_A])</f>
        <v>43780</v>
      </c>
      <c r="AC43" s="106">
        <f>SUMIF(Table410[Workstream],'$ Dashboard'!B43,Table410[Nov_2026_F])</f>
        <v>0</v>
      </c>
      <c r="AD43" s="106">
        <f>SUMIF(Table410[Workstream],'$ Dashboard'!B43,Table410[Nov_2026_A])</f>
        <v>0</v>
      </c>
      <c r="AE43" s="106">
        <f>SUMIF(Table410[Workstream],'$ Dashboard'!B43,Table410[Dec_2026_F])</f>
        <v>0</v>
      </c>
      <c r="AF43" s="106">
        <f>SUMIF(Table410[Workstream],'$ Dashboard'!B43,Table410[Dec_2026_A])+SUMIF(Table46[Workstream],'$ Dashboard'!B43,Table46[Dec_26_A])</f>
        <v>0</v>
      </c>
      <c r="AG43"/>
      <c r="AH43" s="21">
        <f t="shared" si="20"/>
        <v>0</v>
      </c>
      <c r="AI43" s="35">
        <f t="shared" si="21"/>
        <v>0</v>
      </c>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c r="BI43" s="3"/>
      <c r="BJ43" s="3"/>
      <c r="BK43" s="3"/>
      <c r="BL43" s="3"/>
      <c r="BM43" s="3"/>
      <c r="BN43" s="3"/>
      <c r="BO43" s="3"/>
      <c r="BP43" s="3"/>
      <c r="BQ43" s="3"/>
      <c r="BR43" s="3"/>
      <c r="BS43" s="3"/>
      <c r="BT43" s="3"/>
      <c r="BU43" s="3"/>
      <c r="BV43" s="3"/>
      <c r="BW43" s="3"/>
      <c r="BX43" s="3"/>
      <c r="BY43" s="3"/>
      <c r="BZ43" s="3"/>
      <c r="CA43" s="3"/>
      <c r="CB43" s="3"/>
      <c r="CC43" s="3"/>
      <c r="CD43" s="21">
        <f t="shared" si="22"/>
        <v>0</v>
      </c>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row>
    <row r="44" spans="1:107" s="1" customFormat="1" ht="18.600000000000001">
      <c r="A44"/>
      <c r="B44" s="5" t="s">
        <v>49</v>
      </c>
      <c r="C44" t="s">
        <v>53</v>
      </c>
      <c r="D44" s="21">
        <f t="shared" si="16"/>
        <v>0.15126400000000001</v>
      </c>
      <c r="E44" s="35">
        <f t="shared" si="17"/>
        <v>0.15126400000000001</v>
      </c>
      <c r="F44"/>
      <c r="G44" s="21">
        <f t="shared" si="18"/>
        <v>0.15126400000000001</v>
      </c>
      <c r="H44" s="35">
        <f t="shared" si="19"/>
        <v>0.15126400000000001</v>
      </c>
      <c r="I44" s="106">
        <f>SUMIF(Table410[Workstream],'$ Dashboard'!B44,Table410[Jan_2026_F])</f>
        <v>13040</v>
      </c>
      <c r="J44" s="106">
        <f>SUMIF(Table410[Workstream],'$ Dashboard'!B44,Table410[Jan_2026_A])</f>
        <v>13040</v>
      </c>
      <c r="K44" s="106">
        <f>SUMIF(Table410[Workstream],'$ Dashboard'!B44,Table410[Feb_2026_F])</f>
        <v>13040</v>
      </c>
      <c r="L44" s="106">
        <f>SUMIF(Table410[Workstream],'$ Dashboard'!B44,Table410[Feb_2026_A])</f>
        <v>13040</v>
      </c>
      <c r="M44" s="106">
        <f>SUMIF(Table410[Workstream],'$ Dashboard'!B44,Table410[Mar_2026_F])</f>
        <v>13040</v>
      </c>
      <c r="N44" s="106">
        <f>SUMIF(Table410[Workstream],'$ Dashboard'!B44,Table410[Mar_2026_A])</f>
        <v>13040</v>
      </c>
      <c r="O44" s="106">
        <f>SUMIF(Table410[Workstream],'$ Dashboard'!B44,Table410[Apr_2026_F])</f>
        <v>13040</v>
      </c>
      <c r="P44" s="106">
        <f>SUMIF(Table410[Workstream],'$ Dashboard'!B44,Table410[Apr_2026_A])</f>
        <v>13040</v>
      </c>
      <c r="Q44" s="106">
        <f>SUMIF(Table410[Workstream],'$ Dashboard'!B44,Table410[May_2026_F])</f>
        <v>13040</v>
      </c>
      <c r="R44" s="106">
        <f>SUMIF(Table410[Workstream],'$ Dashboard'!B44,Table410[May_2026_A])</f>
        <v>13040</v>
      </c>
      <c r="S44" s="106">
        <f>SUMIF(Table410[Workstream],'$ Dashboard'!B44,Table410[Jun_2026_F])</f>
        <v>10432</v>
      </c>
      <c r="T44" s="106">
        <f>SUMIF(Table410[Workstream],'$ Dashboard'!B44,Table410[Jun_2026_A])</f>
        <v>10432</v>
      </c>
      <c r="U44" s="106">
        <f>SUMIF(Table410[Workstream],'$ Dashboard'!B44,Table410[Jul_2026_F])</f>
        <v>13040</v>
      </c>
      <c r="V44" s="106">
        <f>SUMIF(Table410[Workstream],'$ Dashboard'!B44,Table410[Jul_2026_A])</f>
        <v>13040</v>
      </c>
      <c r="W44" s="106">
        <f>SUMIF(Table410[Workstream],'$ Dashboard'!B44,Table410[Aug_2026_F])</f>
        <v>13040</v>
      </c>
      <c r="X44" s="106">
        <f>SUMIF(Table410[Workstream],'$ Dashboard'!B44,Table410[Aug_2026_A])</f>
        <v>13040</v>
      </c>
      <c r="Y44" s="106">
        <f>SUMIF(Table410[Workstream],'$ Dashboard'!B44,Table410[Sep_2026_F])</f>
        <v>13040</v>
      </c>
      <c r="Z44" s="106">
        <f>SUMIF(Table410[Workstream],'$ Dashboard'!B44,Table410[Sep_2026_A])</f>
        <v>13040</v>
      </c>
      <c r="AA44" s="106">
        <f>SUMIF(Table410[Workstream],'$ Dashboard'!B44,Table410[Oct_2026_F])</f>
        <v>13040</v>
      </c>
      <c r="AB44" s="106">
        <f>SUMIF(Table410[Workstream],'$ Dashboard'!B44,Table410[Oct_2026_A])</f>
        <v>13040</v>
      </c>
      <c r="AC44" s="106">
        <f>SUMIF(Table410[Workstream],'$ Dashboard'!B44,Table410[Nov_2026_F])</f>
        <v>13040</v>
      </c>
      <c r="AD44" s="106">
        <f>SUMIF(Table410[Workstream],'$ Dashboard'!B44,Table410[Nov_2026_A])</f>
        <v>13040</v>
      </c>
      <c r="AE44" s="106">
        <f>SUMIF(Table410[Workstream],'$ Dashboard'!B44,Table410[Dec_2026_F])</f>
        <v>10432</v>
      </c>
      <c r="AF44" s="106">
        <f>SUMIF(Table410[Workstream],'$ Dashboard'!B44,Table410[Dec_2026_A])+SUMIF(Table46[Workstream],'$ Dashboard'!B44,Table46[Dec_26_A])</f>
        <v>10432</v>
      </c>
      <c r="AG44"/>
      <c r="AH44" s="21">
        <f t="shared" si="20"/>
        <v>0</v>
      </c>
      <c r="AI44" s="35">
        <f t="shared" si="21"/>
        <v>0</v>
      </c>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c r="BI44" s="3"/>
      <c r="BJ44" s="3"/>
      <c r="BK44" s="3"/>
      <c r="BL44" s="3"/>
      <c r="BM44" s="3"/>
      <c r="BN44" s="3"/>
      <c r="BO44" s="3"/>
      <c r="BP44" s="3"/>
      <c r="BQ44" s="3"/>
      <c r="BR44" s="3"/>
      <c r="BS44" s="3"/>
      <c r="BT44" s="3"/>
      <c r="BU44" s="3"/>
      <c r="BV44" s="3"/>
      <c r="BW44" s="3"/>
      <c r="BX44" s="3"/>
      <c r="BY44" s="3"/>
      <c r="BZ44" s="3"/>
      <c r="CA44" s="3"/>
      <c r="CB44" s="3"/>
      <c r="CC44" s="3"/>
      <c r="CD44" s="21">
        <f t="shared" si="22"/>
        <v>0</v>
      </c>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row>
    <row r="45" spans="1:107" s="1" customFormat="1" ht="18.600000000000001">
      <c r="A45"/>
      <c r="B45" s="5"/>
      <c r="C45"/>
      <c r="D45" s="21">
        <f t="shared" si="16"/>
        <v>0</v>
      </c>
      <c r="E45" s="35">
        <f t="shared" si="17"/>
        <v>0</v>
      </c>
      <c r="F45"/>
      <c r="G45" s="21">
        <f t="shared" si="18"/>
        <v>0</v>
      </c>
      <c r="H45" s="35">
        <f t="shared" si="19"/>
        <v>0</v>
      </c>
      <c r="I45" s="106">
        <f>SUMIF(Table410[Workstream],'$ Dashboard'!B45,Table410[Jan_2026_F])</f>
        <v>0</v>
      </c>
      <c r="J45" s="106">
        <f>SUMIF(Table410[Workstream],'$ Dashboard'!B45,Table410[Jan_2026_A])</f>
        <v>0</v>
      </c>
      <c r="K45" s="106">
        <f>SUMIF(Table410[Workstream],'$ Dashboard'!B45,Table410[Feb_2026_F])</f>
        <v>0</v>
      </c>
      <c r="L45" s="106">
        <f>SUMIF(Table410[Workstream],'$ Dashboard'!B45,Table410[Feb_2026_A])</f>
        <v>0</v>
      </c>
      <c r="M45" s="106">
        <f>SUMIF(Table410[Workstream],'$ Dashboard'!B45,Table410[Mar_2026_F])</f>
        <v>0</v>
      </c>
      <c r="N45" s="106">
        <f>SUMIF(Table410[Workstream],'$ Dashboard'!B45,Table410[Mar_2026_A])</f>
        <v>0</v>
      </c>
      <c r="O45" s="106">
        <f>SUMIF(Table410[Workstream],'$ Dashboard'!B45,Table410[Apr_2026_F])</f>
        <v>0</v>
      </c>
      <c r="P45" s="106">
        <f>SUMIF(Table410[Workstream],'$ Dashboard'!B45,Table410[Apr_2026_A])</f>
        <v>0</v>
      </c>
      <c r="Q45" s="106">
        <f>SUMIF(Table410[Workstream],'$ Dashboard'!B45,Table410[May_2026_F])</f>
        <v>0</v>
      </c>
      <c r="R45" s="106">
        <f>SUMIF(Table410[Workstream],'$ Dashboard'!B45,Table410[May_2026_A])</f>
        <v>0</v>
      </c>
      <c r="S45" s="106">
        <f>SUMIF(Table410[Workstream],'$ Dashboard'!B45,Table410[Jun_2026_F])</f>
        <v>0</v>
      </c>
      <c r="T45" s="106">
        <f>SUMIF(Table410[Workstream],'$ Dashboard'!B45,Table410[Jun_2026_A])</f>
        <v>0</v>
      </c>
      <c r="U45" s="106">
        <f>SUMIF(Table410[Workstream],'$ Dashboard'!B45,Table410[Jul_2026_F])</f>
        <v>0</v>
      </c>
      <c r="V45" s="106">
        <f>SUMIF(Table410[Workstream],'$ Dashboard'!B45,Table410[Jul_2026_A])</f>
        <v>0</v>
      </c>
      <c r="W45" s="106">
        <f>SUMIF(Table410[Workstream],'$ Dashboard'!B45,Table410[Aug_2026_F])</f>
        <v>0</v>
      </c>
      <c r="X45" s="106">
        <f>SUMIF(Table410[Workstream],'$ Dashboard'!B45,Table410[Aug_2026_A])</f>
        <v>0</v>
      </c>
      <c r="Y45" s="106">
        <f>SUMIF(Table410[Workstream],'$ Dashboard'!B45,Table410[Sep_2026_F])</f>
        <v>0</v>
      </c>
      <c r="Z45" s="106">
        <f>SUMIF(Table410[Workstream],'$ Dashboard'!B45,Table410[Sep_2026_A])</f>
        <v>0</v>
      </c>
      <c r="AA45" s="106">
        <f>SUMIF(Table410[Workstream],'$ Dashboard'!B45,Table410[Oct_2026_F])</f>
        <v>0</v>
      </c>
      <c r="AB45" s="106">
        <f>SUMIF(Table410[Workstream],'$ Dashboard'!B45,Table410[Oct_2026_A])</f>
        <v>0</v>
      </c>
      <c r="AC45" s="106">
        <f>SUMIF(Table410[Workstream],'$ Dashboard'!B45,Table410[Nov_2026_F])</f>
        <v>0</v>
      </c>
      <c r="AD45" s="106">
        <f>SUMIF(Table410[Workstream],'$ Dashboard'!B45,Table410[Nov_2026_A])</f>
        <v>0</v>
      </c>
      <c r="AE45" s="106">
        <f>SUMIF(Table410[Workstream],'$ Dashboard'!B45,Table410[Dec_2026_F])</f>
        <v>0</v>
      </c>
      <c r="AF45" s="106">
        <f>SUMIF(Table410[Workstream],'$ Dashboard'!B45,Table410[Dec_2026_A])+SUMIF(Table46[Workstream],'$ Dashboard'!B45,Table46[Dec_26_A])</f>
        <v>0</v>
      </c>
      <c r="AG45"/>
      <c r="AH45" s="21">
        <f t="shared" si="20"/>
        <v>0</v>
      </c>
      <c r="AI45" s="35">
        <f t="shared" si="21"/>
        <v>0</v>
      </c>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c r="BI45" s="3"/>
      <c r="BJ45" s="3"/>
      <c r="BK45" s="3"/>
      <c r="BL45" s="3"/>
      <c r="BM45" s="3"/>
      <c r="BN45" s="3"/>
      <c r="BO45" s="3"/>
      <c r="BP45" s="3"/>
      <c r="BQ45" s="3"/>
      <c r="BR45" s="3"/>
      <c r="BS45" s="3"/>
      <c r="BT45" s="3"/>
      <c r="BU45" s="3"/>
      <c r="BV45" s="3"/>
      <c r="BW45" s="3"/>
      <c r="BX45" s="3"/>
      <c r="BY45" s="3"/>
      <c r="BZ45" s="3"/>
      <c r="CA45" s="3"/>
      <c r="CB45" s="3"/>
      <c r="CC45" s="3"/>
      <c r="CD45" s="21">
        <f t="shared" si="22"/>
        <v>0</v>
      </c>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row>
    <row r="46" spans="1:107" s="1" customFormat="1" ht="18.600000000000001">
      <c r="A46"/>
      <c r="B46" s="5"/>
      <c r="C46"/>
      <c r="D46" s="21">
        <f t="shared" si="16"/>
        <v>0</v>
      </c>
      <c r="E46" s="35">
        <f t="shared" si="17"/>
        <v>0</v>
      </c>
      <c r="F46"/>
      <c r="G46" s="21">
        <f t="shared" si="18"/>
        <v>0</v>
      </c>
      <c r="H46" s="35">
        <f t="shared" si="19"/>
        <v>0</v>
      </c>
      <c r="I46" s="106">
        <f>SUMIF(Table410[Workstream],'$ Dashboard'!B46,Table410[Jan_2026_F])</f>
        <v>0</v>
      </c>
      <c r="J46" s="106">
        <f>SUMIF(Table410[Workstream],'$ Dashboard'!B46,Table410[Jan_2026_A])</f>
        <v>0</v>
      </c>
      <c r="K46" s="106">
        <f>SUMIF(Table410[Workstream],'$ Dashboard'!B46,Table410[Feb_2026_F])</f>
        <v>0</v>
      </c>
      <c r="L46" s="106">
        <f>SUMIF(Table410[Workstream],'$ Dashboard'!B46,Table410[Feb_2026_A])</f>
        <v>0</v>
      </c>
      <c r="M46" s="106">
        <f>SUMIF(Table410[Workstream],'$ Dashboard'!B46,Table410[Mar_2026_F])</f>
        <v>0</v>
      </c>
      <c r="N46" s="106">
        <f>SUMIF(Table410[Workstream],'$ Dashboard'!B46,Table410[Mar_2026_A])</f>
        <v>0</v>
      </c>
      <c r="O46" s="106">
        <f>SUMIF(Table410[Workstream],'$ Dashboard'!B46,Table410[Apr_2026_F])</f>
        <v>0</v>
      </c>
      <c r="P46" s="106">
        <f>SUMIF(Table410[Workstream],'$ Dashboard'!B46,Table410[Apr_2026_A])</f>
        <v>0</v>
      </c>
      <c r="Q46" s="106">
        <f>SUMIF(Table410[Workstream],'$ Dashboard'!B46,Table410[May_2026_F])</f>
        <v>0</v>
      </c>
      <c r="R46" s="106">
        <f>SUMIF(Table410[Workstream],'$ Dashboard'!B46,Table410[May_2026_A])</f>
        <v>0</v>
      </c>
      <c r="S46" s="106">
        <f>SUMIF(Table410[Workstream],'$ Dashboard'!B46,Table410[Jun_2026_F])</f>
        <v>0</v>
      </c>
      <c r="T46" s="106">
        <f>SUMIF(Table410[Workstream],'$ Dashboard'!B46,Table410[Jun_2026_A])</f>
        <v>0</v>
      </c>
      <c r="U46" s="106">
        <f>SUMIF(Table410[Workstream],'$ Dashboard'!B46,Table410[Jul_2026_F])</f>
        <v>0</v>
      </c>
      <c r="V46" s="106">
        <f>SUMIF(Table410[Workstream],'$ Dashboard'!B46,Table410[Jul_2026_A])</f>
        <v>0</v>
      </c>
      <c r="W46" s="106">
        <f>SUMIF(Table410[Workstream],'$ Dashboard'!B46,Table410[Aug_2026_F])</f>
        <v>0</v>
      </c>
      <c r="X46" s="106">
        <f>SUMIF(Table410[Workstream],'$ Dashboard'!B46,Table410[Aug_2026_A])</f>
        <v>0</v>
      </c>
      <c r="Y46" s="106">
        <f>SUMIF(Table410[Workstream],'$ Dashboard'!B46,Table410[Sep_2026_F])</f>
        <v>0</v>
      </c>
      <c r="Z46" s="106">
        <f>SUMIF(Table410[Workstream],'$ Dashboard'!B46,Table410[Sep_2026_A])</f>
        <v>0</v>
      </c>
      <c r="AA46" s="106">
        <f>SUMIF(Table410[Workstream],'$ Dashboard'!B46,Table410[Oct_2026_F])</f>
        <v>0</v>
      </c>
      <c r="AB46" s="106">
        <f>SUMIF(Table410[Workstream],'$ Dashboard'!B46,Table410[Oct_2026_A])</f>
        <v>0</v>
      </c>
      <c r="AC46" s="106">
        <f>SUMIF(Table410[Workstream],'$ Dashboard'!B46,Table410[Nov_2026_F])</f>
        <v>0</v>
      </c>
      <c r="AD46" s="106">
        <f>SUMIF(Table410[Workstream],'$ Dashboard'!B46,Table410[Nov_2026_A])</f>
        <v>0</v>
      </c>
      <c r="AE46" s="106">
        <f>SUMIF(Table410[Workstream],'$ Dashboard'!B46,Table410[Dec_2026_F])</f>
        <v>0</v>
      </c>
      <c r="AF46" s="106">
        <f>SUMIF(Table410[Workstream],'$ Dashboard'!B46,Table410[Dec_2026_A])+SUMIF(Table46[Workstream],'$ Dashboard'!B46,Table46[Dec_26_A])</f>
        <v>0</v>
      </c>
      <c r="AG46"/>
      <c r="AH46" s="21">
        <f t="shared" si="20"/>
        <v>0</v>
      </c>
      <c r="AI46" s="35">
        <f t="shared" si="21"/>
        <v>0</v>
      </c>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c r="BI46" s="3"/>
      <c r="BJ46" s="3"/>
      <c r="BK46" s="3"/>
      <c r="BL46" s="3"/>
      <c r="BM46" s="3"/>
      <c r="BN46" s="3"/>
      <c r="BO46" s="3"/>
      <c r="BP46" s="3"/>
      <c r="BQ46" s="3"/>
      <c r="BR46" s="3"/>
      <c r="BS46" s="3"/>
      <c r="BT46" s="3"/>
      <c r="BU46" s="3"/>
      <c r="BV46" s="3"/>
      <c r="BW46" s="3"/>
      <c r="BX46" s="3"/>
      <c r="BY46" s="3"/>
      <c r="BZ46" s="3"/>
      <c r="CA46" s="3"/>
      <c r="CB46" s="3"/>
      <c r="CC46" s="3"/>
      <c r="CD46" s="21">
        <f t="shared" si="22"/>
        <v>0</v>
      </c>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row>
    <row r="47" spans="1:107" s="1" customFormat="1" ht="15">
      <c r="A47"/>
      <c r="B47" s="5"/>
      <c r="C47"/>
      <c r="D47" s="21">
        <f t="shared" si="16"/>
        <v>0</v>
      </c>
      <c r="E47" s="35">
        <f t="shared" si="17"/>
        <v>0</v>
      </c>
      <c r="F47"/>
      <c r="G47" s="21">
        <f t="shared" si="18"/>
        <v>0</v>
      </c>
      <c r="H47" s="35">
        <f t="shared" si="19"/>
        <v>0</v>
      </c>
      <c r="I47" s="106">
        <f>SUMIF(Table410[Workstream],'$ Dashboard'!B47,Table410[Jan_2026_F])</f>
        <v>0</v>
      </c>
      <c r="J47" s="106">
        <f>SUMIF(Table410[Workstream],'$ Dashboard'!B47,Table410[Jan_2026_A])</f>
        <v>0</v>
      </c>
      <c r="K47" s="106">
        <f>SUMIF(Table410[Workstream],'$ Dashboard'!B47,Table410[Feb_2026_F])</f>
        <v>0</v>
      </c>
      <c r="L47" s="106">
        <f>SUMIF(Table410[Workstream],'$ Dashboard'!B47,Table410[Feb_2026_A])</f>
        <v>0</v>
      </c>
      <c r="M47" s="106">
        <f>SUMIF(Table410[Workstream],'$ Dashboard'!B47,Table410[Mar_2026_F])</f>
        <v>0</v>
      </c>
      <c r="N47" s="106">
        <f>SUMIF(Table410[Workstream],'$ Dashboard'!B47,Table410[Mar_2026_A])</f>
        <v>0</v>
      </c>
      <c r="O47" s="106">
        <f>SUMIF(Table410[Workstream],'$ Dashboard'!B47,Table410[Apr_2026_F])</f>
        <v>0</v>
      </c>
      <c r="P47" s="106">
        <f>SUMIF(Table410[Workstream],'$ Dashboard'!B47,Table410[Apr_2026_A])</f>
        <v>0</v>
      </c>
      <c r="Q47" s="106">
        <f>SUMIF(Table410[Workstream],'$ Dashboard'!B47,Table410[May_2026_F])</f>
        <v>0</v>
      </c>
      <c r="R47" s="106">
        <f>SUMIF(Table410[Workstream],'$ Dashboard'!B47,Table410[May_2026_A])</f>
        <v>0</v>
      </c>
      <c r="S47" s="106">
        <f>SUMIF(Table410[Workstream],'$ Dashboard'!B47,Table410[Jun_2026_F])</f>
        <v>0</v>
      </c>
      <c r="T47" s="106">
        <f>SUMIF(Table410[Workstream],'$ Dashboard'!B47,Table410[Jun_2026_A])</f>
        <v>0</v>
      </c>
      <c r="U47" s="106">
        <f>SUMIF(Table410[Workstream],'$ Dashboard'!B47,Table410[Jul_2026_F])</f>
        <v>0</v>
      </c>
      <c r="V47" s="106">
        <f>SUMIF(Table410[Workstream],'$ Dashboard'!B47,Table410[Jul_2026_A])</f>
        <v>0</v>
      </c>
      <c r="W47" s="106">
        <f>SUMIF(Table410[Workstream],'$ Dashboard'!B47,Table410[Aug_2026_F])</f>
        <v>0</v>
      </c>
      <c r="X47" s="106">
        <f>SUMIF(Table410[Workstream],'$ Dashboard'!B47,Table410[Aug_2026_A])</f>
        <v>0</v>
      </c>
      <c r="Y47" s="106">
        <f>SUMIF(Table410[Workstream],'$ Dashboard'!B47,Table410[Sep_2026_F])</f>
        <v>0</v>
      </c>
      <c r="Z47" s="106">
        <f>SUMIF(Table410[Workstream],'$ Dashboard'!B47,Table410[Sep_2026_A])</f>
        <v>0</v>
      </c>
      <c r="AA47" s="106">
        <f>SUMIF(Table410[Workstream],'$ Dashboard'!B47,Table410[Oct_2026_F])</f>
        <v>0</v>
      </c>
      <c r="AB47" s="106">
        <f>SUMIF(Table410[Workstream],'$ Dashboard'!B47,Table410[Oct_2026_A])</f>
        <v>0</v>
      </c>
      <c r="AC47" s="106">
        <f>SUMIF(Table410[Workstream],'$ Dashboard'!B47,Table410[Nov_2026_F])</f>
        <v>0</v>
      </c>
      <c r="AD47" s="106">
        <f>SUMIF(Table410[Workstream],'$ Dashboard'!B47,Table410[Nov_2026_A])</f>
        <v>0</v>
      </c>
      <c r="AE47" s="106">
        <f>SUMIF(Table410[Workstream],'$ Dashboard'!B47,Table410[Dec_2026_F])</f>
        <v>0</v>
      </c>
      <c r="AF47" s="106">
        <f>SUMIF(Table410[Workstream],'$ Dashboard'!B47,Table410[Dec_2026_A])+SUMIF(Table46[Workstream],'$ Dashboard'!B47,Table46[Dec_26_A])</f>
        <v>0</v>
      </c>
      <c r="AG47"/>
      <c r="AH47" s="21">
        <f t="shared" si="20"/>
        <v>0</v>
      </c>
      <c r="AI47" s="35">
        <f t="shared" si="21"/>
        <v>0</v>
      </c>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c r="BI47" s="3"/>
      <c r="BJ47" s="3"/>
      <c r="BK47" s="3"/>
      <c r="BL47" s="3"/>
      <c r="BM47" s="3"/>
      <c r="BN47" s="3"/>
      <c r="BO47" s="3"/>
      <c r="BP47" s="3"/>
      <c r="BQ47" s="3"/>
      <c r="BR47" s="3"/>
      <c r="BS47" s="3"/>
      <c r="BT47" s="3"/>
      <c r="BU47" s="3"/>
      <c r="BV47" s="3"/>
      <c r="BW47" s="3"/>
      <c r="BX47" s="3"/>
      <c r="BY47" s="3"/>
      <c r="BZ47" s="3"/>
      <c r="CA47" s="3"/>
      <c r="CB47" s="3"/>
      <c r="CC47" s="3"/>
      <c r="CD47" s="21">
        <f t="shared" si="22"/>
        <v>0</v>
      </c>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row>
    <row r="48" spans="1:107" s="1" customFormat="1" ht="15">
      <c r="A48"/>
      <c r="B48" s="23" t="s">
        <v>32</v>
      </c>
      <c r="C48" s="23"/>
      <c r="D48" s="24">
        <f>SUM(D38:D47)</f>
        <v>1.816432</v>
      </c>
      <c r="E48" s="24">
        <f>SUM(E38:E47)</f>
        <v>1.776232</v>
      </c>
      <c r="F48"/>
      <c r="G48" s="24">
        <f t="shared" ref="G48:AF48" si="23">SUM(G38:G47)</f>
        <v>1.816432</v>
      </c>
      <c r="H48" s="24">
        <f t="shared" si="23"/>
        <v>1.776232</v>
      </c>
      <c r="I48" s="24">
        <f t="shared" si="23"/>
        <v>119768</v>
      </c>
      <c r="J48" s="24">
        <f t="shared" si="23"/>
        <v>119768</v>
      </c>
      <c r="K48" s="24">
        <f t="shared" si="23"/>
        <v>163548</v>
      </c>
      <c r="L48" s="24">
        <f t="shared" si="23"/>
        <v>150148</v>
      </c>
      <c r="M48" s="24">
        <f t="shared" si="23"/>
        <v>163548</v>
      </c>
      <c r="N48" s="24">
        <f t="shared" si="23"/>
        <v>150148</v>
      </c>
      <c r="O48" s="24">
        <f t="shared" si="23"/>
        <v>169188</v>
      </c>
      <c r="P48" s="24">
        <f t="shared" si="23"/>
        <v>155788</v>
      </c>
      <c r="Q48" s="24">
        <f t="shared" si="23"/>
        <v>163813</v>
      </c>
      <c r="R48" s="24">
        <f t="shared" si="23"/>
        <v>163813</v>
      </c>
      <c r="S48" s="24">
        <f t="shared" si="23"/>
        <v>157775</v>
      </c>
      <c r="T48" s="24">
        <f t="shared" si="23"/>
        <v>157775</v>
      </c>
      <c r="U48" s="24">
        <f t="shared" si="23"/>
        <v>169588</v>
      </c>
      <c r="V48" s="24">
        <f t="shared" si="23"/>
        <v>169588</v>
      </c>
      <c r="W48" s="24">
        <f t="shared" si="23"/>
        <v>174963</v>
      </c>
      <c r="X48" s="24">
        <f t="shared" si="23"/>
        <v>174963</v>
      </c>
      <c r="Y48" s="24">
        <f t="shared" si="23"/>
        <v>163548</v>
      </c>
      <c r="Z48" s="24">
        <f>SUM(Z38:Z47)</f>
        <v>163548</v>
      </c>
      <c r="AA48" s="24">
        <f t="shared" si="23"/>
        <v>156508</v>
      </c>
      <c r="AB48" s="24">
        <f t="shared" si="23"/>
        <v>156508</v>
      </c>
      <c r="AC48" s="24">
        <f t="shared" si="23"/>
        <v>110103</v>
      </c>
      <c r="AD48" s="24">
        <f t="shared" si="23"/>
        <v>110103</v>
      </c>
      <c r="AE48" s="24">
        <f t="shared" si="23"/>
        <v>104082</v>
      </c>
      <c r="AF48" s="24">
        <f t="shared" si="23"/>
        <v>104082</v>
      </c>
      <c r="AG48"/>
      <c r="AH48" s="24">
        <f t="shared" ref="AH48:BG48" si="24">SUM(AH38:AH47)</f>
        <v>0</v>
      </c>
      <c r="AI48" s="24">
        <f t="shared" si="24"/>
        <v>0</v>
      </c>
      <c r="AJ48" s="25">
        <f t="shared" si="24"/>
        <v>0</v>
      </c>
      <c r="AK48" s="25">
        <f t="shared" si="24"/>
        <v>0</v>
      </c>
      <c r="AL48" s="25">
        <f t="shared" si="24"/>
        <v>0</v>
      </c>
      <c r="AM48" s="25">
        <f t="shared" si="24"/>
        <v>0</v>
      </c>
      <c r="AN48" s="25">
        <f t="shared" si="24"/>
        <v>0</v>
      </c>
      <c r="AO48" s="25">
        <f t="shared" si="24"/>
        <v>0</v>
      </c>
      <c r="AP48" s="25">
        <f t="shared" si="24"/>
        <v>0</v>
      </c>
      <c r="AQ48" s="25">
        <f t="shared" si="24"/>
        <v>0</v>
      </c>
      <c r="AR48" s="25">
        <f t="shared" si="24"/>
        <v>0</v>
      </c>
      <c r="AS48" s="25">
        <f t="shared" si="24"/>
        <v>0</v>
      </c>
      <c r="AT48" s="25">
        <f t="shared" si="24"/>
        <v>0</v>
      </c>
      <c r="AU48" s="25">
        <f t="shared" si="24"/>
        <v>0</v>
      </c>
      <c r="AV48" s="25">
        <f t="shared" si="24"/>
        <v>0</v>
      </c>
      <c r="AW48" s="25">
        <f t="shared" si="24"/>
        <v>0</v>
      </c>
      <c r="AX48" s="25">
        <f t="shared" si="24"/>
        <v>0</v>
      </c>
      <c r="AY48" s="25">
        <f t="shared" si="24"/>
        <v>0</v>
      </c>
      <c r="AZ48" s="25">
        <f t="shared" si="24"/>
        <v>0</v>
      </c>
      <c r="BA48" s="25">
        <f t="shared" si="24"/>
        <v>0</v>
      </c>
      <c r="BB48" s="25">
        <f t="shared" si="24"/>
        <v>0</v>
      </c>
      <c r="BC48" s="25">
        <f t="shared" si="24"/>
        <v>0</v>
      </c>
      <c r="BD48" s="25">
        <f t="shared" si="24"/>
        <v>0</v>
      </c>
      <c r="BE48" s="25">
        <f t="shared" si="24"/>
        <v>0</v>
      </c>
      <c r="BF48" s="25">
        <f t="shared" si="24"/>
        <v>0</v>
      </c>
      <c r="BG48" s="25">
        <f t="shared" si="24"/>
        <v>0</v>
      </c>
      <c r="BH48"/>
      <c r="BI48" s="3"/>
      <c r="BJ48" s="3"/>
      <c r="BK48" s="3"/>
      <c r="BL48" s="3"/>
      <c r="BM48" s="3"/>
      <c r="BN48" s="3"/>
      <c r="BO48" s="3"/>
      <c r="BP48" s="3"/>
      <c r="BQ48" s="3"/>
      <c r="BR48" s="3"/>
      <c r="BS48" s="3"/>
      <c r="BT48" s="3"/>
      <c r="BU48" s="3"/>
      <c r="BV48" s="3"/>
      <c r="BW48" s="3"/>
      <c r="BX48" s="3"/>
      <c r="BY48" s="3"/>
      <c r="BZ48" s="3"/>
      <c r="CA48" s="3"/>
      <c r="CB48" s="3"/>
      <c r="CC48" s="3"/>
      <c r="CD48" s="24">
        <f t="shared" ref="CD48:DB48" si="25">SUM(CD38:CD47)</f>
        <v>0</v>
      </c>
      <c r="CE48" s="39">
        <f t="shared" si="25"/>
        <v>0</v>
      </c>
      <c r="CF48" s="39">
        <f t="shared" si="25"/>
        <v>0</v>
      </c>
      <c r="CG48" s="39">
        <f t="shared" si="25"/>
        <v>0</v>
      </c>
      <c r="CH48" s="39">
        <f t="shared" si="25"/>
        <v>0</v>
      </c>
      <c r="CI48" s="39">
        <f t="shared" si="25"/>
        <v>0</v>
      </c>
      <c r="CJ48" s="39">
        <f t="shared" si="25"/>
        <v>0</v>
      </c>
      <c r="CK48" s="39">
        <f t="shared" si="25"/>
        <v>0</v>
      </c>
      <c r="CL48" s="39">
        <f t="shared" si="25"/>
        <v>0</v>
      </c>
      <c r="CM48" s="39">
        <f t="shared" si="25"/>
        <v>0</v>
      </c>
      <c r="CN48" s="39">
        <f t="shared" si="25"/>
        <v>0</v>
      </c>
      <c r="CO48" s="39">
        <f t="shared" si="25"/>
        <v>0</v>
      </c>
      <c r="CP48" s="39">
        <f t="shared" si="25"/>
        <v>0</v>
      </c>
      <c r="CQ48" s="39">
        <f t="shared" si="25"/>
        <v>0</v>
      </c>
      <c r="CR48" s="39">
        <f t="shared" si="25"/>
        <v>0</v>
      </c>
      <c r="CS48" s="39">
        <f t="shared" si="25"/>
        <v>0</v>
      </c>
      <c r="CT48" s="39">
        <f t="shared" si="25"/>
        <v>0</v>
      </c>
      <c r="CU48" s="39">
        <f t="shared" si="25"/>
        <v>0</v>
      </c>
      <c r="CV48" s="39">
        <f t="shared" si="25"/>
        <v>0</v>
      </c>
      <c r="CW48" s="39">
        <f t="shared" si="25"/>
        <v>0</v>
      </c>
      <c r="CX48" s="39">
        <f t="shared" si="25"/>
        <v>0</v>
      </c>
      <c r="CY48" s="39">
        <f t="shared" si="25"/>
        <v>0</v>
      </c>
      <c r="CZ48" s="39">
        <f t="shared" si="25"/>
        <v>0</v>
      </c>
      <c r="DA48" s="39">
        <f t="shared" si="25"/>
        <v>0</v>
      </c>
      <c r="DB48" s="39">
        <f t="shared" si="25"/>
        <v>0</v>
      </c>
      <c r="DC48"/>
    </row>
    <row r="49" spans="2:107" s="1" customFormat="1" ht="15">
      <c r="DC49"/>
    </row>
    <row r="50" spans="2:107" s="1" customFormat="1">
      <c r="DC50"/>
    </row>
    <row r="51" spans="2:107" s="1" customFormat="1" ht="18.95" customHeight="1" thickBot="1">
      <c r="AK51" s="115"/>
      <c r="AM51" s="115"/>
      <c r="AO51" s="115"/>
      <c r="AQ51" s="115"/>
      <c r="AS51" s="115"/>
      <c r="AU51" s="115"/>
      <c r="AW51" s="115"/>
      <c r="AY51" s="115"/>
      <c r="BA51" s="115"/>
      <c r="BC51" s="115"/>
      <c r="BE51" s="115"/>
      <c r="BG51" s="115"/>
      <c r="CD51"/>
      <c r="CE51"/>
      <c r="CF51"/>
      <c r="CG51"/>
      <c r="CH51"/>
      <c r="CI51"/>
      <c r="CJ51"/>
      <c r="CK51"/>
      <c r="CL51"/>
      <c r="CM51"/>
      <c r="CN51"/>
      <c r="CO51"/>
      <c r="CP51"/>
      <c r="CQ51"/>
      <c r="CR51"/>
      <c r="CS51"/>
      <c r="CT51"/>
      <c r="CU51"/>
      <c r="CV51"/>
      <c r="CW51"/>
      <c r="CX51"/>
      <c r="CY51"/>
      <c r="CZ51"/>
      <c r="DA51"/>
      <c r="DB51"/>
    </row>
    <row r="52" spans="2:107" ht="18.600000000000001">
      <c r="B52" s="27" t="s">
        <v>54</v>
      </c>
      <c r="D52" s="28">
        <f>SUM(G52,AH52)</f>
        <v>0</v>
      </c>
      <c r="E52" s="36">
        <f>SUM(H52,AI52)</f>
        <v>0</v>
      </c>
      <c r="G52" s="28" cm="1">
        <f t="array" ref="G52">SUM(H52,SUMPRODUCT(($I$12:$AF$12="Plan")*($I$11:$AF$11&gt;$B$5)*(I52:AF52))/1000000)</f>
        <v>0</v>
      </c>
      <c r="H52" s="36">
        <f>SUMIF($I$12:$AF$12,"Actual",I52:AF52)/1000000</f>
        <v>0</v>
      </c>
      <c r="I52" s="29">
        <f>SUMIF(Table4[Workstream],'$ Dashboard'!B52,Table4[Jan_2026_F])+SUMIF(Table46[Workstream],'$ Dashboard'!B52,Table46[Jan_26_F])</f>
        <v>0</v>
      </c>
      <c r="J52" s="22"/>
      <c r="K52" s="29"/>
      <c r="L52" s="22"/>
      <c r="M52" s="29"/>
      <c r="N52" s="22"/>
      <c r="O52" s="29"/>
      <c r="P52" s="22"/>
      <c r="Q52" s="29"/>
      <c r="R52" s="22"/>
      <c r="S52" s="29"/>
      <c r="T52" s="22"/>
      <c r="U52" s="29"/>
      <c r="V52" s="22"/>
      <c r="W52" s="29"/>
      <c r="X52" s="22"/>
      <c r="Y52" s="29"/>
      <c r="Z52" s="22"/>
      <c r="AA52" s="29"/>
      <c r="AB52" s="22"/>
      <c r="AC52" s="29"/>
      <c r="AD52" s="22"/>
      <c r="AE52" s="29"/>
      <c r="AF52" s="22"/>
      <c r="AH52" s="28">
        <f>SUM(AW52:BG52)/1000000</f>
        <v>0</v>
      </c>
      <c r="AI52" s="36">
        <f>SUMIF($AJ$12:$BG$12,"Actual",AJ52:BG52)/1000000</f>
        <v>0</v>
      </c>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I52" s="3"/>
      <c r="BJ52" s="3"/>
      <c r="BK52" s="3"/>
      <c r="BL52" s="3"/>
      <c r="BM52" s="3"/>
      <c r="BN52" s="3"/>
      <c r="BO52" s="3"/>
      <c r="BP52" s="3"/>
      <c r="BQ52" s="3"/>
      <c r="BR52" s="3"/>
      <c r="BS52" s="3"/>
      <c r="BT52" s="3"/>
      <c r="BU52" s="3"/>
      <c r="BV52" s="3"/>
      <c r="BW52" s="3"/>
      <c r="BX52" s="3"/>
      <c r="BY52" s="3"/>
      <c r="BZ52" s="3"/>
      <c r="CA52" s="3"/>
      <c r="CB52" s="3"/>
      <c r="CC52" s="3"/>
      <c r="CD52" s="28">
        <f>SUM(CE52:DB52)/1000000</f>
        <v>0</v>
      </c>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row>
    <row r="53" spans="2:107" ht="18.95" thickBot="1">
      <c r="B53" s="12" t="s">
        <v>55</v>
      </c>
      <c r="D53" s="30">
        <f>SUM(D30,D77)</f>
        <v>0.52821799999999997</v>
      </c>
      <c r="E53" s="30">
        <f>SUM(E30,E77,E48)</f>
        <v>2.135148</v>
      </c>
      <c r="G53" s="30">
        <f>SUM(G30,G77,G48)</f>
        <v>2.3446500000000001</v>
      </c>
      <c r="H53" s="30">
        <f>SUM(H30,H77,H48)</f>
        <v>2.135148</v>
      </c>
      <c r="I53" s="31">
        <f t="shared" ref="I53:AF53" si="26">SUM(I30,I77)</f>
        <v>120860</v>
      </c>
      <c r="J53" s="31">
        <f t="shared" si="26"/>
        <v>33860</v>
      </c>
      <c r="K53" s="31">
        <f t="shared" si="26"/>
        <v>33860</v>
      </c>
      <c r="L53" s="31">
        <f t="shared" si="26"/>
        <v>33860</v>
      </c>
      <c r="M53" s="31">
        <f t="shared" si="26"/>
        <v>33860</v>
      </c>
      <c r="N53" s="31">
        <f t="shared" si="26"/>
        <v>33860</v>
      </c>
      <c r="O53" s="31">
        <f t="shared" si="26"/>
        <v>33860</v>
      </c>
      <c r="P53" s="31">
        <f t="shared" si="26"/>
        <v>33860</v>
      </c>
      <c r="Q53" s="31">
        <f t="shared" si="26"/>
        <v>31302</v>
      </c>
      <c r="R53" s="31">
        <f t="shared" si="26"/>
        <v>31302</v>
      </c>
      <c r="S53" s="31">
        <f t="shared" si="26"/>
        <v>80646</v>
      </c>
      <c r="T53" s="31">
        <f t="shared" si="26"/>
        <v>29646</v>
      </c>
      <c r="U53" s="31">
        <f t="shared" si="26"/>
        <v>31302</v>
      </c>
      <c r="V53" s="31">
        <f t="shared" si="26"/>
        <v>0</v>
      </c>
      <c r="W53" s="31">
        <f t="shared" si="26"/>
        <v>33860</v>
      </c>
      <c r="X53" s="31">
        <f t="shared" si="26"/>
        <v>33860</v>
      </c>
      <c r="Y53" s="31">
        <f t="shared" si="26"/>
        <v>33860</v>
      </c>
      <c r="Z53" s="31">
        <f t="shared" si="26"/>
        <v>33860</v>
      </c>
      <c r="AA53" s="31">
        <f t="shared" si="26"/>
        <v>33860</v>
      </c>
      <c r="AB53" s="31">
        <f t="shared" si="26"/>
        <v>33860</v>
      </c>
      <c r="AC53" s="31">
        <f t="shared" si="26"/>
        <v>31302</v>
      </c>
      <c r="AD53" s="31">
        <f t="shared" si="26"/>
        <v>31302</v>
      </c>
      <c r="AE53" s="31">
        <f t="shared" si="26"/>
        <v>29646</v>
      </c>
      <c r="AF53" s="31">
        <f t="shared" si="26"/>
        <v>29646</v>
      </c>
      <c r="AH53" s="30">
        <f t="shared" ref="AH53:BG53" si="27">SUM(AH30,AH52)</f>
        <v>0</v>
      </c>
      <c r="AI53" s="30">
        <f t="shared" si="27"/>
        <v>0</v>
      </c>
      <c r="AJ53" s="31">
        <f t="shared" si="27"/>
        <v>0</v>
      </c>
      <c r="AK53" s="31">
        <f t="shared" si="27"/>
        <v>0</v>
      </c>
      <c r="AL53" s="31">
        <f t="shared" si="27"/>
        <v>0</v>
      </c>
      <c r="AM53" s="31">
        <f t="shared" si="27"/>
        <v>0</v>
      </c>
      <c r="AN53" s="31">
        <f t="shared" si="27"/>
        <v>0</v>
      </c>
      <c r="AO53" s="31">
        <f t="shared" si="27"/>
        <v>0</v>
      </c>
      <c r="AP53" s="31">
        <f t="shared" si="27"/>
        <v>0</v>
      </c>
      <c r="AQ53" s="31">
        <f t="shared" si="27"/>
        <v>0</v>
      </c>
      <c r="AR53" s="31">
        <f t="shared" si="27"/>
        <v>0</v>
      </c>
      <c r="AS53" s="31">
        <f t="shared" si="27"/>
        <v>0</v>
      </c>
      <c r="AT53" s="31">
        <f t="shared" si="27"/>
        <v>0</v>
      </c>
      <c r="AU53" s="31">
        <f t="shared" si="27"/>
        <v>0</v>
      </c>
      <c r="AV53" s="31">
        <f t="shared" si="27"/>
        <v>0</v>
      </c>
      <c r="AW53" s="31">
        <f t="shared" si="27"/>
        <v>0</v>
      </c>
      <c r="AX53" s="31">
        <f t="shared" si="27"/>
        <v>0</v>
      </c>
      <c r="AY53" s="31">
        <f t="shared" si="27"/>
        <v>0</v>
      </c>
      <c r="AZ53" s="31">
        <f t="shared" si="27"/>
        <v>0</v>
      </c>
      <c r="BA53" s="31">
        <f t="shared" si="27"/>
        <v>0</v>
      </c>
      <c r="BB53" s="31">
        <f t="shared" si="27"/>
        <v>0</v>
      </c>
      <c r="BC53" s="31">
        <f t="shared" si="27"/>
        <v>0</v>
      </c>
      <c r="BD53" s="31">
        <f t="shared" si="27"/>
        <v>0</v>
      </c>
      <c r="BE53" s="31">
        <f t="shared" si="27"/>
        <v>0</v>
      </c>
      <c r="BF53" s="31">
        <f t="shared" si="27"/>
        <v>0</v>
      </c>
      <c r="BG53" s="31">
        <f t="shared" si="27"/>
        <v>0</v>
      </c>
      <c r="BI53" s="3"/>
      <c r="BJ53" s="3"/>
      <c r="BK53" s="3"/>
      <c r="BL53" s="3"/>
      <c r="BM53" s="3"/>
      <c r="BN53" s="3"/>
      <c r="BO53" s="3"/>
      <c r="BP53" s="3"/>
      <c r="BQ53" s="3"/>
      <c r="BR53" s="3"/>
      <c r="BS53" s="3"/>
      <c r="BT53" s="3"/>
      <c r="BU53" s="3"/>
      <c r="BV53" s="3"/>
      <c r="BW53" s="3"/>
      <c r="BX53" s="3"/>
      <c r="BY53" s="3"/>
      <c r="BZ53" s="3"/>
      <c r="CA53" s="3"/>
      <c r="CB53" s="3"/>
      <c r="CC53" s="3"/>
      <c r="CD53" s="30">
        <f>SUM(CE53:DB53)/1000000</f>
        <v>0</v>
      </c>
      <c r="CE53" s="31">
        <f t="shared" ref="CE53:DB53" si="28">SUM(CE30,CE52)</f>
        <v>0</v>
      </c>
      <c r="CF53" s="31">
        <f t="shared" si="28"/>
        <v>0</v>
      </c>
      <c r="CG53" s="31">
        <f t="shared" si="28"/>
        <v>0</v>
      </c>
      <c r="CH53" s="31">
        <f t="shared" si="28"/>
        <v>0</v>
      </c>
      <c r="CI53" s="31">
        <f t="shared" si="28"/>
        <v>0</v>
      </c>
      <c r="CJ53" s="31">
        <f t="shared" si="28"/>
        <v>0</v>
      </c>
      <c r="CK53" s="31">
        <f t="shared" si="28"/>
        <v>0</v>
      </c>
      <c r="CL53" s="31">
        <f t="shared" si="28"/>
        <v>0</v>
      </c>
      <c r="CM53" s="31">
        <f t="shared" si="28"/>
        <v>0</v>
      </c>
      <c r="CN53" s="31">
        <f t="shared" si="28"/>
        <v>0</v>
      </c>
      <c r="CO53" s="31">
        <f t="shared" si="28"/>
        <v>0</v>
      </c>
      <c r="CP53" s="31">
        <f t="shared" si="28"/>
        <v>0</v>
      </c>
      <c r="CQ53" s="31">
        <f t="shared" si="28"/>
        <v>0</v>
      </c>
      <c r="CR53" s="31">
        <f t="shared" si="28"/>
        <v>0</v>
      </c>
      <c r="CS53" s="31">
        <f t="shared" si="28"/>
        <v>0</v>
      </c>
      <c r="CT53" s="31">
        <f t="shared" si="28"/>
        <v>0</v>
      </c>
      <c r="CU53" s="31">
        <f t="shared" si="28"/>
        <v>0</v>
      </c>
      <c r="CV53" s="31">
        <f t="shared" si="28"/>
        <v>0</v>
      </c>
      <c r="CW53" s="31">
        <f t="shared" si="28"/>
        <v>0</v>
      </c>
      <c r="CX53" s="31">
        <f t="shared" si="28"/>
        <v>0</v>
      </c>
      <c r="CY53" s="31">
        <f t="shared" si="28"/>
        <v>0</v>
      </c>
      <c r="CZ53" s="31">
        <f t="shared" si="28"/>
        <v>0</v>
      </c>
      <c r="DA53" s="31">
        <f t="shared" si="28"/>
        <v>0</v>
      </c>
      <c r="DB53" s="31">
        <f t="shared" si="28"/>
        <v>0</v>
      </c>
    </row>
    <row r="56" spans="2:107" ht="15" thickBot="1">
      <c r="G56" s="179"/>
    </row>
    <row r="57" spans="2:107">
      <c r="B57" s="202"/>
    </row>
    <row r="58" spans="2:107" ht="15" thickBot="1">
      <c r="B58" s="205"/>
    </row>
    <row r="59" spans="2:107" ht="15" thickBot="1">
      <c r="B59" s="11"/>
      <c r="C59" s="11"/>
      <c r="D59" s="203" t="s">
        <v>33</v>
      </c>
      <c r="E59" s="203"/>
      <c r="F59" s="11"/>
      <c r="G59" s="203" t="s">
        <v>34</v>
      </c>
      <c r="H59" s="203"/>
      <c r="I59" s="17"/>
      <c r="J59" s="17"/>
      <c r="K59" s="17"/>
      <c r="L59" s="17"/>
      <c r="M59" s="17"/>
      <c r="N59" s="17"/>
      <c r="O59" s="17"/>
      <c r="P59" s="17"/>
      <c r="Q59" s="17"/>
      <c r="R59" s="17"/>
      <c r="S59" s="17"/>
      <c r="T59" s="17"/>
      <c r="U59" s="18"/>
      <c r="V59" s="18"/>
      <c r="W59" s="18"/>
      <c r="X59" s="18"/>
      <c r="Y59" s="18"/>
      <c r="Z59" s="18"/>
      <c r="AA59" s="18"/>
      <c r="AB59" s="18"/>
      <c r="AC59" s="18"/>
      <c r="AD59" s="18"/>
      <c r="AE59" s="18"/>
      <c r="AF59" s="18"/>
      <c r="AG59" s="11"/>
      <c r="AH59" s="204" t="s">
        <v>35</v>
      </c>
      <c r="AI59" s="204"/>
      <c r="AJ59" s="17"/>
      <c r="AK59" s="17"/>
      <c r="AL59" s="17"/>
      <c r="AM59" s="17"/>
      <c r="AN59" s="17"/>
      <c r="AO59" s="17"/>
      <c r="AP59" s="17"/>
      <c r="AQ59" s="17"/>
      <c r="AR59" s="17"/>
      <c r="AS59" s="17"/>
      <c r="AT59" s="17"/>
      <c r="AU59" s="17"/>
      <c r="AV59" s="18"/>
      <c r="AW59" s="18"/>
      <c r="AX59" s="18"/>
      <c r="AY59" s="18"/>
      <c r="AZ59" s="18"/>
      <c r="BA59" s="18"/>
      <c r="BB59" s="18"/>
      <c r="BC59" s="18"/>
      <c r="BD59" s="18"/>
      <c r="BE59" s="18"/>
      <c r="BF59" s="18"/>
      <c r="BG59" s="18"/>
      <c r="BH59" s="11"/>
      <c r="BI59" s="11"/>
      <c r="BJ59" s="11"/>
      <c r="BK59" s="11"/>
      <c r="BL59" s="11"/>
      <c r="BM59" s="11"/>
      <c r="BN59" s="11"/>
      <c r="BO59" s="11"/>
      <c r="BP59" s="11"/>
      <c r="BQ59" s="11"/>
      <c r="BR59" s="11"/>
      <c r="BS59" s="11"/>
      <c r="BT59" s="11"/>
      <c r="BU59" s="11"/>
      <c r="BV59" s="11"/>
      <c r="BW59" s="11"/>
      <c r="BX59" s="11"/>
      <c r="BY59" s="11"/>
      <c r="BZ59" s="11"/>
      <c r="CA59" s="11"/>
      <c r="CB59" s="11"/>
      <c r="CC59" s="11"/>
      <c r="CD59" s="37"/>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row>
    <row r="60" spans="2:107" ht="18.600000000000001">
      <c r="B60" s="201" t="s">
        <v>56</v>
      </c>
      <c r="C60" s="1"/>
      <c r="D60" s="201" t="s">
        <v>38</v>
      </c>
      <c r="E60" s="201" t="s">
        <v>39</v>
      </c>
      <c r="F60" s="1"/>
      <c r="G60" s="201" t="s">
        <v>40</v>
      </c>
      <c r="H60" s="201" t="s">
        <v>25</v>
      </c>
      <c r="I60" s="200">
        <v>46023</v>
      </c>
      <c r="J60" s="207"/>
      <c r="K60" s="200">
        <v>46054</v>
      </c>
      <c r="L60" s="207"/>
      <c r="M60" s="200">
        <v>46082</v>
      </c>
      <c r="N60" s="207"/>
      <c r="O60" s="200">
        <v>46113</v>
      </c>
      <c r="P60" s="207"/>
      <c r="Q60" s="200">
        <v>46143</v>
      </c>
      <c r="R60" s="207"/>
      <c r="S60" s="200">
        <v>46174</v>
      </c>
      <c r="T60" s="207"/>
      <c r="U60" s="200">
        <v>46204</v>
      </c>
      <c r="V60" s="207"/>
      <c r="W60" s="200">
        <v>46235</v>
      </c>
      <c r="X60" s="207"/>
      <c r="Y60" s="200">
        <v>46266</v>
      </c>
      <c r="Z60" s="207"/>
      <c r="AA60" s="200">
        <v>46296</v>
      </c>
      <c r="AB60" s="207"/>
      <c r="AC60" s="200">
        <v>46327</v>
      </c>
      <c r="AD60" s="207"/>
      <c r="AE60" s="200">
        <v>46357</v>
      </c>
      <c r="AF60" s="207"/>
      <c r="AG60" s="1"/>
      <c r="AH60" s="201" t="s">
        <v>40</v>
      </c>
      <c r="AI60" s="201" t="s">
        <v>25</v>
      </c>
      <c r="AJ60" s="200">
        <v>46388</v>
      </c>
      <c r="AK60" s="207"/>
      <c r="AL60" s="200">
        <v>46419</v>
      </c>
      <c r="AM60" s="207"/>
      <c r="AN60" s="200">
        <v>46447</v>
      </c>
      <c r="AO60" s="207"/>
      <c r="AP60" s="200">
        <v>46478</v>
      </c>
      <c r="AQ60" s="207"/>
      <c r="AR60" s="200">
        <v>46508</v>
      </c>
      <c r="AS60" s="207"/>
      <c r="AT60" s="200">
        <v>46539</v>
      </c>
      <c r="AU60" s="207"/>
      <c r="AV60" s="200">
        <v>46569</v>
      </c>
      <c r="AW60" s="207"/>
      <c r="AX60" s="200">
        <v>46600</v>
      </c>
      <c r="AY60" s="207"/>
      <c r="AZ60" s="200">
        <v>46631</v>
      </c>
      <c r="BA60" s="207"/>
      <c r="BB60" s="200">
        <v>46661</v>
      </c>
      <c r="BC60" s="207"/>
      <c r="BD60" s="200">
        <v>46692</v>
      </c>
      <c r="BE60" s="207"/>
      <c r="BF60" s="200">
        <v>46722</v>
      </c>
      <c r="BG60" s="207"/>
      <c r="BH60" s="1"/>
      <c r="BI60" s="1"/>
      <c r="BJ60" s="1"/>
      <c r="BK60" s="1"/>
      <c r="BL60" s="1"/>
      <c r="BM60" s="1"/>
      <c r="BN60" s="1"/>
      <c r="BO60" s="1"/>
      <c r="BP60" s="1"/>
      <c r="BQ60" s="1"/>
      <c r="BR60" s="1"/>
      <c r="BS60" s="1"/>
      <c r="BT60" s="1"/>
      <c r="BU60" s="1"/>
      <c r="BV60" s="1"/>
      <c r="BW60" s="1"/>
      <c r="BX60" s="1"/>
      <c r="BY60" s="1"/>
      <c r="BZ60" s="1"/>
      <c r="CA60" s="1"/>
      <c r="CB60" s="1"/>
      <c r="CC60" s="1"/>
      <c r="CD60" s="201" t="s">
        <v>41</v>
      </c>
      <c r="CE60" s="197">
        <v>46023</v>
      </c>
      <c r="CF60" s="197">
        <v>46054</v>
      </c>
      <c r="CG60" s="197">
        <v>46082</v>
      </c>
      <c r="CH60" s="197">
        <v>46113</v>
      </c>
      <c r="CI60" s="197">
        <v>46143</v>
      </c>
      <c r="CJ60" s="197">
        <v>46174</v>
      </c>
      <c r="CK60" s="197">
        <v>46204</v>
      </c>
      <c r="CL60" s="197">
        <v>46235</v>
      </c>
      <c r="CM60" s="197">
        <v>46266</v>
      </c>
      <c r="CN60" s="197">
        <v>46296</v>
      </c>
      <c r="CO60" s="197">
        <v>46327</v>
      </c>
      <c r="CP60" s="197">
        <v>46357</v>
      </c>
      <c r="CQ60" s="197">
        <v>46388</v>
      </c>
      <c r="CR60" s="197">
        <v>46419</v>
      </c>
      <c r="CS60" s="197">
        <v>46447</v>
      </c>
      <c r="CT60" s="197">
        <v>46478</v>
      </c>
      <c r="CU60" s="197">
        <v>46508</v>
      </c>
      <c r="CV60" s="197">
        <v>46539</v>
      </c>
      <c r="CW60" s="197">
        <v>46569</v>
      </c>
      <c r="CX60" s="197">
        <v>46600</v>
      </c>
      <c r="CY60" s="197">
        <v>46631</v>
      </c>
      <c r="CZ60" s="197">
        <v>46661</v>
      </c>
      <c r="DA60" s="197">
        <v>46692</v>
      </c>
      <c r="DB60" s="197">
        <v>46722</v>
      </c>
    </row>
    <row r="61" spans="2:107" ht="18.600000000000001">
      <c r="B61" s="206"/>
      <c r="C61" s="19"/>
      <c r="D61" s="206"/>
      <c r="E61" s="206"/>
      <c r="F61" s="19"/>
      <c r="G61" s="206"/>
      <c r="H61" s="206"/>
      <c r="I61" s="32" t="s">
        <v>24</v>
      </c>
      <c r="J61" s="32" t="s">
        <v>25</v>
      </c>
      <c r="K61" s="32" t="s">
        <v>24</v>
      </c>
      <c r="L61" s="32" t="s">
        <v>25</v>
      </c>
      <c r="M61" s="32" t="s">
        <v>24</v>
      </c>
      <c r="N61" s="32" t="s">
        <v>25</v>
      </c>
      <c r="O61" s="32" t="s">
        <v>24</v>
      </c>
      <c r="P61" s="32" t="s">
        <v>25</v>
      </c>
      <c r="Q61" s="32" t="s">
        <v>24</v>
      </c>
      <c r="R61" s="32" t="s">
        <v>25</v>
      </c>
      <c r="S61" s="32" t="s">
        <v>24</v>
      </c>
      <c r="T61" s="32" t="s">
        <v>25</v>
      </c>
      <c r="U61" s="32" t="s">
        <v>24</v>
      </c>
      <c r="V61" s="32" t="s">
        <v>25</v>
      </c>
      <c r="W61" s="32" t="s">
        <v>24</v>
      </c>
      <c r="X61" s="32" t="s">
        <v>25</v>
      </c>
      <c r="Y61" s="32" t="s">
        <v>24</v>
      </c>
      <c r="Z61" s="32" t="s">
        <v>25</v>
      </c>
      <c r="AA61" s="32" t="s">
        <v>24</v>
      </c>
      <c r="AB61" s="32" t="s">
        <v>25</v>
      </c>
      <c r="AC61" s="32" t="s">
        <v>24</v>
      </c>
      <c r="AD61" s="32" t="s">
        <v>25</v>
      </c>
      <c r="AE61" s="32" t="s">
        <v>24</v>
      </c>
      <c r="AF61" s="32" t="s">
        <v>25</v>
      </c>
      <c r="AG61" s="19"/>
      <c r="AH61" s="206"/>
      <c r="AI61" s="206"/>
      <c r="AJ61" s="32" t="s">
        <v>24</v>
      </c>
      <c r="AK61" s="32" t="str">
        <f>IF(AJ60&lt;=$B$5,"Actual","")</f>
        <v/>
      </c>
      <c r="AL61" s="32" t="s">
        <v>24</v>
      </c>
      <c r="AM61" s="32" t="str">
        <f>IF(AL60&lt;=$B$5,"Actual","")</f>
        <v/>
      </c>
      <c r="AN61" s="32" t="s">
        <v>24</v>
      </c>
      <c r="AO61" s="32" t="str">
        <f>IF(AN60&lt;=$B$5,"Actual","")</f>
        <v/>
      </c>
      <c r="AP61" s="32" t="s">
        <v>24</v>
      </c>
      <c r="AQ61" s="32" t="str">
        <f>IF(AP60&lt;=$B$5,"Actual","")</f>
        <v/>
      </c>
      <c r="AR61" s="32" t="s">
        <v>24</v>
      </c>
      <c r="AS61" s="32" t="str">
        <f>IF(AR60&lt;=$B$5,"Actual","")</f>
        <v/>
      </c>
      <c r="AT61" s="32" t="s">
        <v>24</v>
      </c>
      <c r="AU61" s="32" t="str">
        <f>IF(AT60&lt;=$B$5,"Actual","")</f>
        <v/>
      </c>
      <c r="AV61" s="32" t="s">
        <v>24</v>
      </c>
      <c r="AW61" s="32" t="str">
        <f>IF(AV60&lt;=$B$5,"Actual","")</f>
        <v/>
      </c>
      <c r="AX61" s="32" t="s">
        <v>24</v>
      </c>
      <c r="AY61" s="32" t="str">
        <f>IF(AX60&lt;=$B$5,"Actual","")</f>
        <v/>
      </c>
      <c r="AZ61" s="32" t="s">
        <v>24</v>
      </c>
      <c r="BA61" s="32" t="str">
        <f>IF(AZ60&lt;=$B$5,"Actual","")</f>
        <v/>
      </c>
      <c r="BB61" s="32" t="s">
        <v>24</v>
      </c>
      <c r="BC61" s="32" t="str">
        <f>IF(BB60&lt;=$B$5,"Actual","")</f>
        <v/>
      </c>
      <c r="BD61" s="32" t="s">
        <v>24</v>
      </c>
      <c r="BE61" s="32" t="str">
        <f>IF(BD60&lt;=$B$5,"Actual","")</f>
        <v/>
      </c>
      <c r="BF61" s="32" t="s">
        <v>24</v>
      </c>
      <c r="BG61" s="32" t="str">
        <f>IF(BF60&lt;=$B$5,"Actual","")</f>
        <v/>
      </c>
      <c r="BH61" s="19"/>
      <c r="BI61" s="19"/>
      <c r="BJ61" s="19"/>
      <c r="BK61" s="19"/>
      <c r="BL61" s="19"/>
      <c r="BM61" s="19"/>
      <c r="BN61" s="19"/>
      <c r="BO61" s="19"/>
      <c r="BP61" s="19"/>
      <c r="BQ61" s="19"/>
      <c r="BR61" s="19"/>
      <c r="BS61" s="19"/>
      <c r="BT61" s="19"/>
      <c r="BU61" s="19"/>
      <c r="BV61" s="19"/>
      <c r="BW61" s="19"/>
      <c r="BX61" s="19"/>
      <c r="BY61" s="19"/>
      <c r="BZ61" s="19"/>
      <c r="CA61" s="19"/>
      <c r="CB61" s="19"/>
      <c r="CC61" s="19"/>
      <c r="CD61" s="206"/>
      <c r="CE61" s="208"/>
      <c r="CF61" s="208"/>
      <c r="CG61" s="208"/>
      <c r="CH61" s="208"/>
      <c r="CI61" s="208"/>
      <c r="CJ61" s="208"/>
      <c r="CK61" s="208"/>
      <c r="CL61" s="208"/>
      <c r="CM61" s="208"/>
      <c r="CN61" s="208"/>
      <c r="CO61" s="208"/>
      <c r="CP61" s="208"/>
      <c r="CQ61" s="208"/>
      <c r="CR61" s="208"/>
      <c r="CS61" s="208"/>
      <c r="CT61" s="208"/>
      <c r="CU61" s="208"/>
      <c r="CV61" s="208"/>
      <c r="CW61" s="208"/>
      <c r="CX61" s="208"/>
      <c r="CY61" s="208"/>
      <c r="CZ61" s="208"/>
      <c r="DA61" s="208"/>
      <c r="DB61" s="208"/>
    </row>
    <row r="62" spans="2:107" ht="18.600000000000001">
      <c r="B62" s="20" t="s">
        <v>57</v>
      </c>
      <c r="D62" s="21">
        <f t="shared" ref="D62:D76" si="29">SUM(G62,AH62)</f>
        <v>0</v>
      </c>
      <c r="E62" s="35">
        <f t="shared" ref="E62:E76" si="30">SUM(H62,AI62)</f>
        <v>0</v>
      </c>
      <c r="G62" s="21">
        <f t="shared" ref="G62:G76" si="31">SUMIF($I$12:$AF$12,"Plan",I62:AF62)/1000000</f>
        <v>0</v>
      </c>
      <c r="H62" s="35">
        <f t="shared" ref="H62:H76" si="32">SUMIF($I$12:$AF$12,"Actual",I62:AF62)/1000000</f>
        <v>0</v>
      </c>
      <c r="I62" s="106">
        <f>SUMIF(Table46[Cost type],'$ Dashboard'!B62,Table46[Jan_26_F])</f>
        <v>0</v>
      </c>
      <c r="J62" s="106">
        <f>SUMIF(Table46[Cost type],'$ Dashboard'!B13,Table46[Jan_26_Act])</f>
        <v>0</v>
      </c>
      <c r="K62" s="106">
        <f>SUMIF(Table46[Cost type],'$ Dashboard'!B62,Table46[Feb_26_F])</f>
        <v>0</v>
      </c>
      <c r="L62" s="106">
        <f>SUMIF(Table46[Cost type],'$ Dashboard'!B13,Table46[Feb_26_A])</f>
        <v>0</v>
      </c>
      <c r="M62" s="106">
        <f>SUMIF(Table46[Cost type],'$ Dashboard'!B62,Table46[Mar_26_F])</f>
        <v>0</v>
      </c>
      <c r="N62" s="106">
        <f>SUMIF(Table46[Cost type],'$ Dashboard'!B13,Table46[Mar_26_A])</f>
        <v>0</v>
      </c>
      <c r="O62" s="106">
        <f>SUMIF(Table46[Cost type],'$ Dashboard'!B62,Table46[Apr_26_F])</f>
        <v>0</v>
      </c>
      <c r="P62" s="106">
        <f>SUMIF(Table46[Cost type],'$ Dashboard'!B13,Table46[Apr_26_A])</f>
        <v>0</v>
      </c>
      <c r="Q62" s="106">
        <f>SUMIF(Table46[Cost type],'$ Dashboard'!B62,Table46[May_26_F])</f>
        <v>0</v>
      </c>
      <c r="R62" s="106">
        <f>SUMIF(Table46[Cost type],'$ Dashboard'!B13,Table46[May_26_A])</f>
        <v>0</v>
      </c>
      <c r="S62" s="106">
        <f>SUMIF(Table46[Cost type],'$ Dashboard'!B62,Table46[Jun_26_F])</f>
        <v>0</v>
      </c>
      <c r="T62" s="106">
        <f>SUMIF(Table46[Cost type],'$ Dashboard'!B13,Table46[Jun_26_A])</f>
        <v>0</v>
      </c>
      <c r="U62" s="106">
        <f>SUMIF(Table46[Cost type],'$ Dashboard'!B62,Table46[Jul_26_F])</f>
        <v>0</v>
      </c>
      <c r="V62" s="106">
        <f>SUMIF(Table46[Cost type],'$ Dashboard'!B13,Table46[Jul_26_A])</f>
        <v>0</v>
      </c>
      <c r="W62" s="106">
        <f>SUMIF(Table46[Cost type],'$ Dashboard'!B62,Table46[Aug_26_F])</f>
        <v>0</v>
      </c>
      <c r="X62" s="106">
        <f>SUMIF(Table46[Cost type],'$ Dashboard'!B13,Table46[Aug_26_A])</f>
        <v>0</v>
      </c>
      <c r="Y62" s="106">
        <f>SUMIF(Table46[Cost type],'$ Dashboard'!B62,Table46[Sep_26_F])</f>
        <v>0</v>
      </c>
      <c r="Z62" s="106">
        <f>SUMIF(Table46[Cost type],'$ Dashboard'!B13,Table46[Sep_26_A])</f>
        <v>0</v>
      </c>
      <c r="AA62" s="106">
        <f>SUMIF(Table46[Cost type],'$ Dashboard'!B62,Table46[Oct_26_F])</f>
        <v>0</v>
      </c>
      <c r="AB62" s="106">
        <f>SUMIF(Table46[Cost type],'$ Dashboard'!B13,Table46[Oct_26_A])</f>
        <v>0</v>
      </c>
      <c r="AC62" s="106">
        <f>SUMIF(Table46[Cost type],'$ Dashboard'!B62,Table46[Nov_26_F])</f>
        <v>0</v>
      </c>
      <c r="AD62" s="106">
        <f>SUMIF(Table46[Cost type],'$ Dashboard'!B68,Table46[Nov_26_A])</f>
        <v>0</v>
      </c>
      <c r="AE62" s="106">
        <f>SUMIF(Table46[Cost type],'$ Dashboard'!B62,Table46[Dec_26_F])</f>
        <v>0</v>
      </c>
      <c r="AF62" s="106">
        <f>SUMIF(Table46[Cost type],'$ Dashboard'!B68,Table46[Dec_26_A])</f>
        <v>0</v>
      </c>
      <c r="AH62" s="21">
        <f t="shared" ref="AH62:AH76" si="33">SUM(AW62:BG62)/1000000</f>
        <v>0</v>
      </c>
      <c r="AI62" s="35">
        <f t="shared" ref="AI62:AI76" si="34">SUMIF($AJ$12:$BG$12,"Actual",AJ62:BG62)/1000000</f>
        <v>0</v>
      </c>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I62" s="3"/>
      <c r="BJ62" s="3"/>
      <c r="BK62" s="3"/>
      <c r="BL62" s="3"/>
      <c r="BM62" s="3"/>
      <c r="BN62" s="3"/>
      <c r="BO62" s="3"/>
      <c r="BP62" s="3"/>
      <c r="BQ62" s="3"/>
      <c r="BR62" s="3"/>
      <c r="BS62" s="3"/>
      <c r="BT62" s="3"/>
      <c r="BU62" s="3"/>
      <c r="BV62" s="3"/>
      <c r="BW62" s="3"/>
      <c r="BX62" s="3"/>
      <c r="BY62" s="3"/>
      <c r="BZ62" s="3"/>
      <c r="CA62" s="3"/>
      <c r="CB62" s="3"/>
      <c r="CC62" s="3"/>
      <c r="CD62" s="21">
        <f t="shared" ref="CD62:CD76" si="35">SUM(CE62:DB62)/1000000</f>
        <v>0</v>
      </c>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row>
    <row r="63" spans="2:107" ht="18.600000000000001">
      <c r="B63" s="5" t="s">
        <v>58</v>
      </c>
      <c r="D63" s="21">
        <f t="shared" si="29"/>
        <v>0</v>
      </c>
      <c r="E63" s="35">
        <f t="shared" si="30"/>
        <v>0</v>
      </c>
      <c r="G63" s="21">
        <f t="shared" si="31"/>
        <v>0</v>
      </c>
      <c r="H63" s="35">
        <f t="shared" si="32"/>
        <v>0</v>
      </c>
      <c r="I63" s="106">
        <f>SUMIF(Table46[Cost type],'$ Dashboard'!B63,Table46[Jan_26_F])</f>
        <v>0</v>
      </c>
      <c r="J63" s="106">
        <f>SUMIF(Table46[Cost type],'$ Dashboard'!B14,Table46[Jan_26_Act])</f>
        <v>0</v>
      </c>
      <c r="K63" s="106">
        <f>SUMIF(Table46[Cost type],'$ Dashboard'!B63,Table46[Feb_26_F])</f>
        <v>0</v>
      </c>
      <c r="L63" s="106">
        <f>SUMIF(Table46[Cost type],'$ Dashboard'!B14,Table46[Feb_26_A])</f>
        <v>0</v>
      </c>
      <c r="M63" s="106">
        <f>SUMIF(Table46[Cost type],'$ Dashboard'!B63,Table46[Mar_26_F])</f>
        <v>0</v>
      </c>
      <c r="N63" s="106">
        <f>SUMIF(Table46[Cost type],'$ Dashboard'!B14,Table46[Mar_26_A])</f>
        <v>0</v>
      </c>
      <c r="O63" s="106">
        <f>SUMIF(Table46[Cost type],'$ Dashboard'!B63,Table46[Apr_26_F])</f>
        <v>0</v>
      </c>
      <c r="P63" s="106">
        <f>SUMIF(Table46[Cost type],'$ Dashboard'!B14,Table46[Apr_26_A])</f>
        <v>0</v>
      </c>
      <c r="Q63" s="106">
        <f>SUMIF(Table46[Cost type],'$ Dashboard'!B63,Table46[May_26_F])</f>
        <v>0</v>
      </c>
      <c r="R63" s="106">
        <f>SUMIF(Table46[Cost type],'$ Dashboard'!B14,Table46[May_26_A])</f>
        <v>0</v>
      </c>
      <c r="S63" s="106">
        <f>SUMIF(Table46[Cost type],'$ Dashboard'!B63,Table46[Jun_26_F])</f>
        <v>0</v>
      </c>
      <c r="T63" s="106">
        <f>SUMIF(Table46[Cost type],'$ Dashboard'!B14,Table46[Jun_26_A])</f>
        <v>0</v>
      </c>
      <c r="U63" s="106">
        <f>SUMIF(Table46[Cost type],'$ Dashboard'!B63,Table46[Jul_26_F])</f>
        <v>0</v>
      </c>
      <c r="V63" s="106">
        <f>SUMIF(Table46[Cost type],'$ Dashboard'!B14,Table46[Jul_26_A])</f>
        <v>0</v>
      </c>
      <c r="W63" s="106">
        <f>SUMIF(Table46[Cost type],'$ Dashboard'!B63,Table46[Aug_26_F])</f>
        <v>0</v>
      </c>
      <c r="X63" s="106">
        <f>SUMIF(Table46[Cost type],'$ Dashboard'!B14,Table46[Aug_26_A])</f>
        <v>0</v>
      </c>
      <c r="Y63" s="106">
        <f>SUMIF(Table46[Cost type],'$ Dashboard'!B63,Table46[Sep_26_F])</f>
        <v>0</v>
      </c>
      <c r="Z63" s="106">
        <f>SUMIF(Table46[Cost type],'$ Dashboard'!B14,Table46[Sep_26_A])</f>
        <v>0</v>
      </c>
      <c r="AA63" s="106">
        <f>SUMIF(Table46[Cost type],'$ Dashboard'!B63,Table46[Oct_26_F])</f>
        <v>0</v>
      </c>
      <c r="AB63" s="106">
        <f>SUMIF(Table46[Cost type],'$ Dashboard'!B14,Table46[Oct_26_A])</f>
        <v>0</v>
      </c>
      <c r="AC63" s="106">
        <f>SUMIF(Table46[Cost type],'$ Dashboard'!B63,Table46[Nov_26_F])</f>
        <v>0</v>
      </c>
      <c r="AD63" s="106">
        <f>SUMIF(Table46[Cost type],'$ Dashboard'!B69,Table46[Nov_26_A])</f>
        <v>0</v>
      </c>
      <c r="AE63" s="106">
        <f>SUMIF(Table46[Cost type],'$ Dashboard'!B63,Table46[Dec_26_F])</f>
        <v>0</v>
      </c>
      <c r="AF63" s="106">
        <f>SUMIF(Table46[Cost type],'$ Dashboard'!B69,Table46[Dec_26_A])</f>
        <v>0</v>
      </c>
      <c r="AH63" s="21">
        <f t="shared" si="33"/>
        <v>0</v>
      </c>
      <c r="AI63" s="35">
        <f t="shared" si="34"/>
        <v>0</v>
      </c>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I63" s="3"/>
      <c r="BJ63" s="3"/>
      <c r="BK63" s="3"/>
      <c r="BL63" s="3"/>
      <c r="BM63" s="3"/>
      <c r="BN63" s="3"/>
      <c r="BO63" s="3"/>
      <c r="BP63" s="3"/>
      <c r="BQ63" s="3"/>
      <c r="BR63" s="3"/>
      <c r="BS63" s="3"/>
      <c r="BT63" s="3"/>
      <c r="BU63" s="3"/>
      <c r="BV63" s="3"/>
      <c r="BW63" s="3"/>
      <c r="BX63" s="3"/>
      <c r="BY63" s="3"/>
      <c r="BZ63" s="3"/>
      <c r="CA63" s="3"/>
      <c r="CB63" s="3"/>
      <c r="CC63" s="3"/>
      <c r="CD63" s="21">
        <f t="shared" si="35"/>
        <v>0</v>
      </c>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row>
    <row r="64" spans="2:107" ht="18.600000000000001">
      <c r="B64" s="5" t="s">
        <v>59</v>
      </c>
      <c r="D64" s="21">
        <f t="shared" si="29"/>
        <v>0</v>
      </c>
      <c r="E64" s="35">
        <f t="shared" si="30"/>
        <v>0</v>
      </c>
      <c r="G64" s="21">
        <f t="shared" si="31"/>
        <v>0</v>
      </c>
      <c r="H64" s="35">
        <f t="shared" si="32"/>
        <v>0</v>
      </c>
      <c r="I64" s="106">
        <f>SUMIF(Table46[Cost type],'$ Dashboard'!B64,Table46[Jan_26_F])</f>
        <v>0</v>
      </c>
      <c r="J64" s="106">
        <f>SUMIF(Table46[Cost type],'$ Dashboard'!B15,Table46[Jan_26_Act])</f>
        <v>0</v>
      </c>
      <c r="K64" s="106">
        <f>SUMIF(Table46[Cost type],'$ Dashboard'!B64,Table46[Feb_26_F])</f>
        <v>0</v>
      </c>
      <c r="L64" s="106">
        <f>SUMIF(Table46[Cost type],'$ Dashboard'!B15,Table46[Feb_26_A])</f>
        <v>0</v>
      </c>
      <c r="M64" s="106">
        <f>SUMIF(Table46[Cost type],'$ Dashboard'!B64,Table46[Mar_26_F])</f>
        <v>0</v>
      </c>
      <c r="N64" s="106">
        <f>SUMIF(Table46[Cost type],'$ Dashboard'!B15,Table46[Mar_26_A])</f>
        <v>0</v>
      </c>
      <c r="O64" s="106">
        <f>SUMIF(Table46[Cost type],'$ Dashboard'!B64,Table46[Apr_26_F])</f>
        <v>0</v>
      </c>
      <c r="P64" s="106">
        <f>SUMIF(Table46[Cost type],'$ Dashboard'!B15,Table46[Apr_26_A])</f>
        <v>0</v>
      </c>
      <c r="Q64" s="106">
        <f>SUMIF(Table46[Cost type],'$ Dashboard'!B64,Table46[May_26_F])</f>
        <v>0</v>
      </c>
      <c r="R64" s="106">
        <f>SUMIF(Table46[Cost type],'$ Dashboard'!B15,Table46[May_26_A])</f>
        <v>0</v>
      </c>
      <c r="S64" s="106">
        <f>SUMIF(Table46[Cost type],'$ Dashboard'!B64,Table46[Jun_26_F])</f>
        <v>0</v>
      </c>
      <c r="T64" s="106">
        <f>SUMIF(Table46[Cost type],'$ Dashboard'!B15,Table46[Jun_26_A])</f>
        <v>0</v>
      </c>
      <c r="U64" s="106">
        <f>SUMIF(Table46[Cost type],'$ Dashboard'!B64,Table46[Jul_26_F])</f>
        <v>0</v>
      </c>
      <c r="V64" s="106">
        <f>SUMIF(Table46[Cost type],'$ Dashboard'!B15,Table46[Jul_26_A])</f>
        <v>0</v>
      </c>
      <c r="W64" s="106">
        <f>SUMIF(Table46[Cost type],'$ Dashboard'!B64,Table46[Aug_26_F])</f>
        <v>0</v>
      </c>
      <c r="X64" s="106">
        <f>SUMIF(Table46[Cost type],'$ Dashboard'!B15,Table46[Aug_26_A])</f>
        <v>0</v>
      </c>
      <c r="Y64" s="106">
        <f>SUMIF(Table46[Cost type],'$ Dashboard'!B64,Table46[Sep_26_F])</f>
        <v>0</v>
      </c>
      <c r="Z64" s="106">
        <f>SUMIF(Table46[Cost type],'$ Dashboard'!B15,Table46[Sep_26_A])</f>
        <v>0</v>
      </c>
      <c r="AA64" s="106">
        <f>SUMIF(Table46[Cost type],'$ Dashboard'!B64,Table46[Oct_26_F])</f>
        <v>0</v>
      </c>
      <c r="AB64" s="106">
        <f>SUMIF(Table46[Cost type],'$ Dashboard'!B15,Table46[Oct_26_A])</f>
        <v>0</v>
      </c>
      <c r="AC64" s="106">
        <f>SUMIF(Table46[Cost type],'$ Dashboard'!B64,Table46[Nov_26_F])</f>
        <v>0</v>
      </c>
      <c r="AD64" s="106">
        <f>SUMIF(Table46[Cost type],'$ Dashboard'!B70,Table46[Nov_26_A])</f>
        <v>0</v>
      </c>
      <c r="AE64" s="106">
        <f>SUMIF(Table46[Cost type],'$ Dashboard'!B64,Table46[Dec_26_F])</f>
        <v>0</v>
      </c>
      <c r="AF64" s="106">
        <f>SUMIF(Table46[Cost type],'$ Dashboard'!B70,Table46[Dec_26_A])</f>
        <v>0</v>
      </c>
      <c r="AH64" s="21">
        <f t="shared" si="33"/>
        <v>0</v>
      </c>
      <c r="AI64" s="35">
        <f t="shared" si="34"/>
        <v>0</v>
      </c>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I64" s="3"/>
      <c r="BJ64" s="3"/>
      <c r="BK64" s="3"/>
      <c r="BL64" s="3"/>
      <c r="BM64" s="3"/>
      <c r="BN64" s="3"/>
      <c r="BO64" s="3"/>
      <c r="BP64" s="3"/>
      <c r="BQ64" s="3"/>
      <c r="BR64" s="3"/>
      <c r="BS64" s="3"/>
      <c r="BT64" s="3"/>
      <c r="BU64" s="3"/>
      <c r="BV64" s="3"/>
      <c r="BW64" s="3"/>
      <c r="BX64" s="3"/>
      <c r="BY64" s="3"/>
      <c r="BZ64" s="3"/>
      <c r="CA64" s="3"/>
      <c r="CB64" s="3"/>
      <c r="CC64" s="3"/>
      <c r="CD64" s="21">
        <f t="shared" si="35"/>
        <v>0</v>
      </c>
      <c r="CE64" s="38"/>
      <c r="CF64" s="38"/>
      <c r="CG64" s="38"/>
      <c r="CH64" s="38"/>
      <c r="CI64" s="38"/>
      <c r="CJ64" s="38"/>
      <c r="CK64" s="38"/>
      <c r="CL64" s="38"/>
      <c r="CM64" s="38"/>
      <c r="CN64" s="38"/>
      <c r="CO64" s="38"/>
      <c r="CP64" s="38"/>
      <c r="CQ64" s="38"/>
      <c r="CR64" s="38"/>
      <c r="CS64" s="38"/>
      <c r="CT64" s="38"/>
      <c r="CU64" s="38"/>
      <c r="CV64" s="38"/>
      <c r="CW64" s="38"/>
      <c r="CX64" s="38"/>
      <c r="CY64" s="38"/>
      <c r="CZ64" s="38"/>
      <c r="DA64" s="38"/>
      <c r="DB64" s="38"/>
    </row>
    <row r="65" spans="2:106" ht="18.600000000000001">
      <c r="B65" s="5" t="s">
        <v>60</v>
      </c>
      <c r="D65" s="21">
        <f t="shared" si="29"/>
        <v>0</v>
      </c>
      <c r="E65" s="35">
        <f t="shared" si="30"/>
        <v>0</v>
      </c>
      <c r="G65" s="21">
        <f t="shared" si="31"/>
        <v>0</v>
      </c>
      <c r="H65" s="35">
        <f t="shared" si="32"/>
        <v>0</v>
      </c>
      <c r="I65" s="106">
        <f>SUMIF(Table46[Cost type],'$ Dashboard'!B65,Table46[Jan_26_F])</f>
        <v>0</v>
      </c>
      <c r="J65" s="106">
        <f>SUMIF(Table46[Cost type],'$ Dashboard'!B16,Table46[Jan_26_Act])</f>
        <v>0</v>
      </c>
      <c r="K65" s="106">
        <f>SUMIF(Table46[Cost type],'$ Dashboard'!B65,Table46[Feb_26_F])</f>
        <v>0</v>
      </c>
      <c r="L65" s="106">
        <f>SUMIF(Table46[Cost type],'$ Dashboard'!B16,Table46[Feb_26_A])</f>
        <v>0</v>
      </c>
      <c r="M65" s="106">
        <f>SUMIF(Table46[Cost type],'$ Dashboard'!B65,Table46[Mar_26_F])</f>
        <v>0</v>
      </c>
      <c r="N65" s="106">
        <f>SUMIF(Table46[Cost type],'$ Dashboard'!B16,Table46[Mar_26_A])</f>
        <v>0</v>
      </c>
      <c r="O65" s="106">
        <f>SUMIF(Table46[Cost type],'$ Dashboard'!B65,Table46[Apr_26_F])</f>
        <v>0</v>
      </c>
      <c r="P65" s="106">
        <f>SUMIF(Table46[Cost type],'$ Dashboard'!B16,Table46[Apr_26_A])</f>
        <v>0</v>
      </c>
      <c r="Q65" s="106">
        <f>SUMIF(Table46[Cost type],'$ Dashboard'!B65,Table46[May_26_F])</f>
        <v>0</v>
      </c>
      <c r="R65" s="106">
        <f>SUMIF(Table46[Cost type],'$ Dashboard'!B16,Table46[May_26_A])</f>
        <v>0</v>
      </c>
      <c r="S65" s="106">
        <f>SUMIF(Table46[Cost type],'$ Dashboard'!B65,Table46[Jun_26_F])</f>
        <v>0</v>
      </c>
      <c r="T65" s="106">
        <f>SUMIF(Table46[Cost type],'$ Dashboard'!B16,Table46[Jun_26_A])</f>
        <v>0</v>
      </c>
      <c r="U65" s="106">
        <f>SUMIF(Table46[Cost type],'$ Dashboard'!B65,Table46[Jul_26_F])</f>
        <v>0</v>
      </c>
      <c r="V65" s="106">
        <f>SUMIF(Table46[Cost type],'$ Dashboard'!B16,Table46[Jul_26_A])</f>
        <v>0</v>
      </c>
      <c r="W65" s="106">
        <f>SUMIF(Table46[Cost type],'$ Dashboard'!B65,Table46[Aug_26_F])</f>
        <v>0</v>
      </c>
      <c r="X65" s="106">
        <f>SUMIF(Table46[Cost type],'$ Dashboard'!B16,Table46[Aug_26_A])</f>
        <v>0</v>
      </c>
      <c r="Y65" s="106">
        <f>SUMIF(Table46[Cost type],'$ Dashboard'!B65,Table46[Sep_26_F])</f>
        <v>0</v>
      </c>
      <c r="Z65" s="106">
        <f>SUMIF(Table46[Cost type],'$ Dashboard'!B16,Table46[Sep_26_A])</f>
        <v>0</v>
      </c>
      <c r="AA65" s="106">
        <f>SUMIF(Table46[Cost type],'$ Dashboard'!B65,Table46[Oct_26_F])</f>
        <v>0</v>
      </c>
      <c r="AB65" s="106">
        <f>SUMIF(Table46[Cost type],'$ Dashboard'!B16,Table46[Oct_26_A])</f>
        <v>0</v>
      </c>
      <c r="AC65" s="106">
        <f>SUMIF(Table46[Cost type],'$ Dashboard'!B65,Table46[Nov_26_F])</f>
        <v>0</v>
      </c>
      <c r="AD65" s="106">
        <f>SUMIF(Table46[Cost type],'$ Dashboard'!B71,Table46[Nov_26_A])</f>
        <v>0</v>
      </c>
      <c r="AE65" s="106">
        <f>SUMIF(Table46[Cost type],'$ Dashboard'!B65,Table46[Dec_26_F])</f>
        <v>0</v>
      </c>
      <c r="AF65" s="106">
        <f>SUMIF(Table46[Cost type],'$ Dashboard'!B71,Table46[Dec_26_A])</f>
        <v>0</v>
      </c>
      <c r="AH65" s="21">
        <f t="shared" si="33"/>
        <v>0</v>
      </c>
      <c r="AI65" s="35">
        <f t="shared" si="34"/>
        <v>0</v>
      </c>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I65" s="3"/>
      <c r="BJ65" s="3"/>
      <c r="BK65" s="3"/>
      <c r="BL65" s="3"/>
      <c r="BM65" s="3"/>
      <c r="BN65" s="3"/>
      <c r="BO65" s="3"/>
      <c r="BP65" s="3"/>
      <c r="BQ65" s="3"/>
      <c r="BR65" s="3"/>
      <c r="BS65" s="3"/>
      <c r="BT65" s="3"/>
      <c r="BU65" s="3"/>
      <c r="BV65" s="3"/>
      <c r="BW65" s="3"/>
      <c r="BX65" s="3"/>
      <c r="BY65" s="3"/>
      <c r="BZ65" s="3"/>
      <c r="CA65" s="3"/>
      <c r="CB65" s="3"/>
      <c r="CC65" s="3"/>
      <c r="CD65" s="21">
        <f t="shared" si="35"/>
        <v>0</v>
      </c>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row>
    <row r="66" spans="2:106" ht="18.600000000000001">
      <c r="B66" s="5" t="s">
        <v>61</v>
      </c>
      <c r="D66" s="21">
        <f t="shared" si="29"/>
        <v>0.13800000000000001</v>
      </c>
      <c r="E66" s="35">
        <f t="shared" si="30"/>
        <v>0</v>
      </c>
      <c r="G66" s="21">
        <f t="shared" si="31"/>
        <v>0.13800000000000001</v>
      </c>
      <c r="H66" s="35">
        <f t="shared" si="32"/>
        <v>0</v>
      </c>
      <c r="I66" s="106">
        <f>SUMIF(Table46[Cost type],'$ Dashboard'!B66,Table46[Jan_26_F])</f>
        <v>87000</v>
      </c>
      <c r="J66" s="106">
        <f>SUMIF(Table46[Cost type],'$ Dashboard'!B17,Table46[Jan_26_Act])</f>
        <v>0</v>
      </c>
      <c r="K66" s="106">
        <f>SUMIF(Table46[Cost type],'$ Dashboard'!B66,Table46[Feb_26_F])</f>
        <v>0</v>
      </c>
      <c r="L66" s="106">
        <f>SUMIF(Table46[Cost type],'$ Dashboard'!B17,Table46[Feb_26_A])</f>
        <v>0</v>
      </c>
      <c r="M66" s="106">
        <f>SUMIF(Table46[Cost type],'$ Dashboard'!B66,Table46[Mar_26_F])</f>
        <v>0</v>
      </c>
      <c r="N66" s="106">
        <f>SUMIF(Table46[Cost type],'$ Dashboard'!B17,Table46[Mar_26_A])</f>
        <v>0</v>
      </c>
      <c r="O66" s="106">
        <f>SUMIF(Table46[Cost type],'$ Dashboard'!B66,Table46[Apr_26_F])</f>
        <v>0</v>
      </c>
      <c r="P66" s="106">
        <f>SUMIF(Table46[Cost type],'$ Dashboard'!B17,Table46[Apr_26_A])</f>
        <v>0</v>
      </c>
      <c r="Q66" s="106">
        <f>SUMIF(Table46[Cost type],'$ Dashboard'!B66,Table46[May_26_F])</f>
        <v>0</v>
      </c>
      <c r="R66" s="106">
        <f>SUMIF(Table46[Cost type],'$ Dashboard'!B17,Table46[May_26_A])</f>
        <v>0</v>
      </c>
      <c r="S66" s="106">
        <f>SUMIF(Table46[Cost type],'$ Dashboard'!B66,Table46[Jun_26_F])</f>
        <v>51000</v>
      </c>
      <c r="T66" s="106">
        <f>SUMIF(Table46[Cost type],'$ Dashboard'!B17,Table46[Jun_26_A])</f>
        <v>0</v>
      </c>
      <c r="U66" s="106">
        <f>SUMIF(Table46[Cost type],'$ Dashboard'!B66,Table46[Jul_26_F])</f>
        <v>0</v>
      </c>
      <c r="V66" s="106">
        <f>SUMIF(Table46[Cost type],'$ Dashboard'!B17,Table46[Jul_26_A])</f>
        <v>0</v>
      </c>
      <c r="W66" s="106">
        <f>SUMIF(Table46[Cost type],'$ Dashboard'!B66,Table46[Aug_26_F])</f>
        <v>0</v>
      </c>
      <c r="X66" s="106">
        <f>SUMIF(Table46[Cost type],'$ Dashboard'!B17,Table46[Aug_26_A])</f>
        <v>0</v>
      </c>
      <c r="Y66" s="106">
        <f>SUMIF(Table46[Cost type],'$ Dashboard'!B66,Table46[Sep_26_F])</f>
        <v>0</v>
      </c>
      <c r="Z66" s="106">
        <f>SUMIF(Table46[Cost type],'$ Dashboard'!B17,Table46[Sep_26_A])</f>
        <v>0</v>
      </c>
      <c r="AA66" s="106">
        <f>SUMIF(Table46[Cost type],'$ Dashboard'!B66,Table46[Oct_26_F])</f>
        <v>0</v>
      </c>
      <c r="AB66" s="106">
        <f>SUMIF(Table46[Cost type],'$ Dashboard'!B17,Table46[Oct_26_A])</f>
        <v>0</v>
      </c>
      <c r="AC66" s="106">
        <f>SUMIF(Table46[Cost type],'$ Dashboard'!B66,Table46[Nov_26_F])</f>
        <v>0</v>
      </c>
      <c r="AD66" s="106">
        <f>SUMIF(Table46[Cost type],'$ Dashboard'!B72,Table46[Nov_26_A])</f>
        <v>0</v>
      </c>
      <c r="AE66" s="106">
        <f>SUMIF(Table46[Cost type],'$ Dashboard'!B66,Table46[Dec_26_F])</f>
        <v>0</v>
      </c>
      <c r="AF66" s="106">
        <f>SUMIF(Table46[Cost type],'$ Dashboard'!B72,Table46[Dec_26_A])</f>
        <v>0</v>
      </c>
      <c r="AH66" s="21">
        <f t="shared" si="33"/>
        <v>0</v>
      </c>
      <c r="AI66" s="35">
        <f t="shared" si="34"/>
        <v>0</v>
      </c>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I66" s="3"/>
      <c r="BJ66" s="3"/>
      <c r="BK66" s="3"/>
      <c r="BL66" s="3"/>
      <c r="BM66" s="3"/>
      <c r="BN66" s="3"/>
      <c r="BO66" s="3"/>
      <c r="BP66" s="3"/>
      <c r="BQ66" s="3"/>
      <c r="BR66" s="3"/>
      <c r="BS66" s="3"/>
      <c r="BT66" s="3"/>
      <c r="BU66" s="3"/>
      <c r="BV66" s="3"/>
      <c r="BW66" s="3"/>
      <c r="BX66" s="3"/>
      <c r="BY66" s="3"/>
      <c r="BZ66" s="3"/>
      <c r="CA66" s="3"/>
      <c r="CB66" s="3"/>
      <c r="CC66" s="3"/>
      <c r="CD66" s="21">
        <f t="shared" si="35"/>
        <v>0</v>
      </c>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row>
    <row r="67" spans="2:106" ht="18.600000000000001">
      <c r="B67" s="5"/>
      <c r="D67" s="21">
        <f t="shared" si="29"/>
        <v>0</v>
      </c>
      <c r="E67" s="35">
        <f t="shared" si="30"/>
        <v>0</v>
      </c>
      <c r="G67" s="21">
        <f t="shared" si="31"/>
        <v>0</v>
      </c>
      <c r="H67" s="35">
        <f t="shared" si="32"/>
        <v>0</v>
      </c>
      <c r="I67" s="106">
        <f>SUMIF(Table46[Cost type],'$ Dashboard'!B67,Table46[Jan_26_F])</f>
        <v>0</v>
      </c>
      <c r="J67" s="106">
        <f>SUMIF(Table46[Cost type],'$ Dashboard'!B18,Table46[Jan_26_Act])</f>
        <v>0</v>
      </c>
      <c r="K67" s="106">
        <f>SUMIF(Table46[Cost type],'$ Dashboard'!B67,Table46[Feb_26_F])</f>
        <v>0</v>
      </c>
      <c r="L67" s="106">
        <f>SUMIF(Table46[Cost type],'$ Dashboard'!B18,Table46[Feb_26_A])</f>
        <v>0</v>
      </c>
      <c r="M67" s="106">
        <f>SUMIF(Table46[Cost type],'$ Dashboard'!B67,Table46[Mar_26_F])</f>
        <v>0</v>
      </c>
      <c r="N67" s="106">
        <f>SUMIF(Table46[Cost type],'$ Dashboard'!B18,Table46[Mar_26_A])</f>
        <v>0</v>
      </c>
      <c r="O67" s="106">
        <f>SUMIF(Table46[Cost type],'$ Dashboard'!B67,Table46[Apr_26_F])</f>
        <v>0</v>
      </c>
      <c r="P67" s="106">
        <f>SUMIF(Table46[Cost type],'$ Dashboard'!B18,Table46[Apr_26_A])</f>
        <v>0</v>
      </c>
      <c r="Q67" s="106">
        <f>SUMIF(Table46[Cost type],'$ Dashboard'!B67,Table46[May_26_F])</f>
        <v>0</v>
      </c>
      <c r="R67" s="106">
        <f>SUMIF(Table46[Cost type],'$ Dashboard'!B18,Table46[May_26_A])</f>
        <v>0</v>
      </c>
      <c r="S67" s="106">
        <f>SUMIF(Table46[Cost type],'$ Dashboard'!B67,Table46[Jun_26_F])</f>
        <v>0</v>
      </c>
      <c r="T67" s="106">
        <f>SUMIF(Table46[Cost type],'$ Dashboard'!B18,Table46[Jun_26_A])</f>
        <v>0</v>
      </c>
      <c r="U67" s="106">
        <f>SUMIF(Table46[Cost type],'$ Dashboard'!B67,Table46[Jul_26_F])</f>
        <v>0</v>
      </c>
      <c r="V67" s="106">
        <f>SUMIF(Table46[Cost type],'$ Dashboard'!B18,Table46[Jul_26_A])</f>
        <v>0</v>
      </c>
      <c r="W67" s="106">
        <f>SUMIF(Table46[Cost type],'$ Dashboard'!B67,Table46[Aug_26_F])</f>
        <v>0</v>
      </c>
      <c r="X67" s="106">
        <f>SUMIF(Table46[Cost type],'$ Dashboard'!B18,Table46[Aug_26_A])</f>
        <v>0</v>
      </c>
      <c r="Y67" s="106">
        <f>SUMIF(Table46[Cost type],'$ Dashboard'!B67,Table46[Sep_26_F])</f>
        <v>0</v>
      </c>
      <c r="Z67" s="106">
        <f>SUMIF(Table46[Cost type],'$ Dashboard'!B18,Table46[Sep_26_A])</f>
        <v>0</v>
      </c>
      <c r="AA67" s="106">
        <f>SUMIF(Table46[Cost type],'$ Dashboard'!B67,Table46[Oct_26_F])</f>
        <v>0</v>
      </c>
      <c r="AB67" s="106">
        <f>SUMIF(Table46[Cost type],'$ Dashboard'!B18,Table46[Oct_26_A])</f>
        <v>0</v>
      </c>
      <c r="AC67" s="106">
        <f>SUMIF(Table46[Cost type],'$ Dashboard'!B67,Table46[Nov_26_F])</f>
        <v>0</v>
      </c>
      <c r="AD67" s="106">
        <f>SUMIF(Table46[Cost type],'$ Dashboard'!B73,Table46[Nov_26_A])</f>
        <v>0</v>
      </c>
      <c r="AE67" s="106">
        <f>SUMIF(Table46[Cost type],'$ Dashboard'!B67,Table46[Dec_26_F])</f>
        <v>0</v>
      </c>
      <c r="AF67" s="106">
        <f>SUMIF(Table46[Cost type],'$ Dashboard'!B73,Table46[Dec_26_A])</f>
        <v>0</v>
      </c>
      <c r="AH67" s="21">
        <f t="shared" si="33"/>
        <v>0</v>
      </c>
      <c r="AI67" s="35">
        <f t="shared" si="34"/>
        <v>0</v>
      </c>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I67" s="3"/>
      <c r="BJ67" s="3"/>
      <c r="BK67" s="3"/>
      <c r="BL67" s="3"/>
      <c r="BM67" s="3"/>
      <c r="BN67" s="3"/>
      <c r="BO67" s="3"/>
      <c r="BP67" s="3"/>
      <c r="BQ67" s="3"/>
      <c r="BR67" s="3"/>
      <c r="BS67" s="3"/>
      <c r="BT67" s="3"/>
      <c r="BU67" s="3"/>
      <c r="BV67" s="3"/>
      <c r="BW67" s="3"/>
      <c r="BX67" s="3"/>
      <c r="BY67" s="3"/>
      <c r="BZ67" s="3"/>
      <c r="CA67" s="3"/>
      <c r="CB67" s="3"/>
      <c r="CC67" s="3"/>
      <c r="CD67" s="21">
        <f t="shared" si="35"/>
        <v>0</v>
      </c>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row>
    <row r="68" spans="2:106" ht="18.600000000000001">
      <c r="B68" s="5"/>
      <c r="D68" s="21">
        <f t="shared" si="29"/>
        <v>0</v>
      </c>
      <c r="E68" s="35">
        <f t="shared" si="30"/>
        <v>0</v>
      </c>
      <c r="G68" s="21">
        <f t="shared" si="31"/>
        <v>0</v>
      </c>
      <c r="H68" s="35">
        <f t="shared" si="32"/>
        <v>0</v>
      </c>
      <c r="I68" s="106">
        <f>SUMIF(Table46[Cost type],'$ Dashboard'!B68,Table46[Jan_26_F])</f>
        <v>0</v>
      </c>
      <c r="J68" s="106">
        <f>SUMIF(Table46[Cost type],'$ Dashboard'!B19,Table46[Jan_26_Act])</f>
        <v>0</v>
      </c>
      <c r="K68" s="106">
        <f>SUMIF(Table46[Cost type],'$ Dashboard'!B68,Table46[Feb_26_F])</f>
        <v>0</v>
      </c>
      <c r="L68" s="106">
        <f>SUMIF(Table46[Cost type],'$ Dashboard'!B19,Table46[Feb_26_A])</f>
        <v>0</v>
      </c>
      <c r="M68" s="106">
        <f>SUMIF(Table46[Cost type],'$ Dashboard'!B68,Table46[Mar_26_F])</f>
        <v>0</v>
      </c>
      <c r="N68" s="106">
        <f>SUMIF(Table46[Cost type],'$ Dashboard'!B19,Table46[Mar_26_A])</f>
        <v>0</v>
      </c>
      <c r="O68" s="106">
        <f>SUMIF(Table46[Cost type],'$ Dashboard'!B68,Table46[Apr_26_F])</f>
        <v>0</v>
      </c>
      <c r="P68" s="106">
        <f>SUMIF(Table46[Cost type],'$ Dashboard'!B19,Table46[Apr_26_A])</f>
        <v>0</v>
      </c>
      <c r="Q68" s="106">
        <f>SUMIF(Table46[Cost type],'$ Dashboard'!B68,Table46[May_26_F])</f>
        <v>0</v>
      </c>
      <c r="R68" s="106">
        <f>SUMIF(Table46[Cost type],'$ Dashboard'!B19,Table46[May_26_A])</f>
        <v>0</v>
      </c>
      <c r="S68" s="106">
        <f>SUMIF(Table46[Cost type],'$ Dashboard'!B68,Table46[Jun_26_F])</f>
        <v>0</v>
      </c>
      <c r="T68" s="106">
        <f>SUMIF(Table46[Cost type],'$ Dashboard'!B19,Table46[Jun_26_A])</f>
        <v>0</v>
      </c>
      <c r="U68" s="106">
        <f>SUMIF(Table46[Cost type],'$ Dashboard'!B68,Table46[Jul_26_F])</f>
        <v>0</v>
      </c>
      <c r="V68" s="106">
        <f>SUMIF(Table46[Cost type],'$ Dashboard'!B19,Table46[Jul_26_A])</f>
        <v>0</v>
      </c>
      <c r="W68" s="106">
        <f>SUMIF(Table46[Cost type],'$ Dashboard'!B68,Table46[Aug_26_F])</f>
        <v>0</v>
      </c>
      <c r="X68" s="106">
        <f>SUMIF(Table46[Cost type],'$ Dashboard'!B19,Table46[Aug_26_A])</f>
        <v>0</v>
      </c>
      <c r="Y68" s="106">
        <f>SUMIF(Table46[Cost type],'$ Dashboard'!B68,Table46[Sep_26_F])</f>
        <v>0</v>
      </c>
      <c r="Z68" s="106">
        <f>SUMIF(Table46[Cost type],'$ Dashboard'!B19,Table46[Sep_26_A])</f>
        <v>0</v>
      </c>
      <c r="AA68" s="106">
        <f>SUMIF(Table46[Cost type],'$ Dashboard'!B68,Table46[Oct_26_F])</f>
        <v>0</v>
      </c>
      <c r="AB68" s="106">
        <f>SUMIF(Table46[Cost type],'$ Dashboard'!B19,Table46[Oct_26_A])</f>
        <v>0</v>
      </c>
      <c r="AC68" s="106">
        <f>SUMIF(Table46[Cost type],'$ Dashboard'!B68,Table46[Nov_26_F])</f>
        <v>0</v>
      </c>
      <c r="AD68" s="106">
        <f>SUMIF(Table46[Cost type],'$ Dashboard'!B74,Table46[Nov_26_A])</f>
        <v>0</v>
      </c>
      <c r="AE68" s="106">
        <f>SUMIF(Table46[Cost type],'$ Dashboard'!B68,Table46[Dec_26_F])</f>
        <v>0</v>
      </c>
      <c r="AF68" s="106">
        <f>SUMIF(Table46[Cost type],'$ Dashboard'!B74,Table46[Dec_26_A])</f>
        <v>0</v>
      </c>
      <c r="AH68" s="21">
        <f t="shared" si="33"/>
        <v>0</v>
      </c>
      <c r="AI68" s="35">
        <f t="shared" si="34"/>
        <v>0</v>
      </c>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I68" s="3"/>
      <c r="BJ68" s="3"/>
      <c r="BK68" s="3"/>
      <c r="BL68" s="3"/>
      <c r="BM68" s="3"/>
      <c r="BN68" s="3"/>
      <c r="BO68" s="3"/>
      <c r="BP68" s="3"/>
      <c r="BQ68" s="3"/>
      <c r="BR68" s="3"/>
      <c r="BS68" s="3"/>
      <c r="BT68" s="3"/>
      <c r="BU68" s="3"/>
      <c r="BV68" s="3"/>
      <c r="BW68" s="3"/>
      <c r="BX68" s="3"/>
      <c r="BY68" s="3"/>
      <c r="BZ68" s="3"/>
      <c r="CA68" s="3"/>
      <c r="CB68" s="3"/>
      <c r="CC68" s="3"/>
      <c r="CD68" s="21">
        <f t="shared" si="35"/>
        <v>0</v>
      </c>
      <c r="CE68" s="38"/>
      <c r="CF68" s="38"/>
      <c r="CG68" s="38"/>
      <c r="CH68" s="38"/>
      <c r="CI68" s="38"/>
      <c r="CJ68" s="38"/>
      <c r="CK68" s="38"/>
      <c r="CL68" s="38"/>
      <c r="CM68" s="38"/>
      <c r="CN68" s="38"/>
      <c r="CO68" s="38"/>
      <c r="CP68" s="38"/>
      <c r="CQ68" s="38"/>
      <c r="CR68" s="38"/>
      <c r="CS68" s="38"/>
      <c r="CT68" s="38"/>
      <c r="CU68" s="38"/>
      <c r="CV68" s="38"/>
      <c r="CW68" s="38"/>
      <c r="CX68" s="38"/>
      <c r="CY68" s="38"/>
      <c r="CZ68" s="38"/>
      <c r="DA68" s="38"/>
      <c r="DB68" s="38"/>
    </row>
    <row r="69" spans="2:106" ht="18.600000000000001">
      <c r="B69" s="5"/>
      <c r="D69" s="21">
        <f t="shared" si="29"/>
        <v>0</v>
      </c>
      <c r="E69" s="35">
        <f t="shared" si="30"/>
        <v>0</v>
      </c>
      <c r="G69" s="21">
        <f t="shared" si="31"/>
        <v>0</v>
      </c>
      <c r="H69" s="35">
        <f t="shared" si="32"/>
        <v>0</v>
      </c>
      <c r="I69" s="106">
        <f>SUMIF(Table46[Cost type],'$ Dashboard'!B69,Table46[Jan_26_F])</f>
        <v>0</v>
      </c>
      <c r="J69" s="106">
        <f>SUMIF(Table46[Cost type],'$ Dashboard'!B20,Table46[Jan_26_Act])</f>
        <v>0</v>
      </c>
      <c r="K69" s="106">
        <f>SUMIF(Table46[Cost type],'$ Dashboard'!B69,Table46[Feb_26_F])</f>
        <v>0</v>
      </c>
      <c r="L69" s="106">
        <f>SUMIF(Table46[Cost type],'$ Dashboard'!B20,Table46[Feb_26_A])</f>
        <v>0</v>
      </c>
      <c r="M69" s="106">
        <f>SUMIF(Table46[Cost type],'$ Dashboard'!B69,Table46[Mar_26_F])</f>
        <v>0</v>
      </c>
      <c r="N69" s="106">
        <f>SUMIF(Table46[Cost type],'$ Dashboard'!B20,Table46[Mar_26_A])</f>
        <v>0</v>
      </c>
      <c r="O69" s="106">
        <f>SUMIF(Table46[Cost type],'$ Dashboard'!B69,Table46[Apr_26_F])</f>
        <v>0</v>
      </c>
      <c r="P69" s="106">
        <f>SUMIF(Table46[Cost type],'$ Dashboard'!B20,Table46[Apr_26_A])</f>
        <v>0</v>
      </c>
      <c r="Q69" s="106">
        <f>SUMIF(Table46[Cost type],'$ Dashboard'!B69,Table46[May_26_F])</f>
        <v>0</v>
      </c>
      <c r="R69" s="106">
        <f>SUMIF(Table46[Cost type],'$ Dashboard'!B20,Table46[May_26_A])</f>
        <v>0</v>
      </c>
      <c r="S69" s="106">
        <f>SUMIF(Table46[Cost type],'$ Dashboard'!B69,Table46[Jun_26_F])</f>
        <v>0</v>
      </c>
      <c r="T69" s="106">
        <f>SUMIF(Table46[Cost type],'$ Dashboard'!B20,Table46[Jun_26_A])</f>
        <v>0</v>
      </c>
      <c r="U69" s="106">
        <f>SUMIF(Table46[Cost type],'$ Dashboard'!B69,Table46[Jul_26_F])</f>
        <v>0</v>
      </c>
      <c r="V69" s="106">
        <f>SUMIF(Table46[Cost type],'$ Dashboard'!B20,Table46[Jul_26_A])</f>
        <v>0</v>
      </c>
      <c r="W69" s="106">
        <f>SUMIF(Table46[Cost type],'$ Dashboard'!B69,Table46[Aug_26_F])</f>
        <v>0</v>
      </c>
      <c r="X69" s="106">
        <f>SUMIF(Table46[Cost type],'$ Dashboard'!B20,Table46[Aug_26_A])</f>
        <v>0</v>
      </c>
      <c r="Y69" s="106">
        <f>SUMIF(Table46[Cost type],'$ Dashboard'!B69,Table46[Sep_26_F])</f>
        <v>0</v>
      </c>
      <c r="Z69" s="106">
        <f>SUMIF(Table46[Cost type],'$ Dashboard'!B20,Table46[Sep_26_A])</f>
        <v>0</v>
      </c>
      <c r="AA69" s="106">
        <f>SUMIF(Table46[Cost type],'$ Dashboard'!B69,Table46[Oct_26_F])</f>
        <v>0</v>
      </c>
      <c r="AB69" s="106">
        <f>SUMIF(Table46[Cost type],'$ Dashboard'!B20,Table46[Oct_26_A])</f>
        <v>0</v>
      </c>
      <c r="AC69" s="106">
        <f>SUMIF(Table46[Cost type],'$ Dashboard'!B69,Table46[Nov_26_F])</f>
        <v>0</v>
      </c>
      <c r="AD69" s="106">
        <f>SUMIF(Table46[Cost type],'$ Dashboard'!B75,Table46[Nov_26_A])</f>
        <v>0</v>
      </c>
      <c r="AE69" s="106">
        <f>SUMIF(Table46[Cost type],'$ Dashboard'!B69,Table46[Dec_26_F])</f>
        <v>0</v>
      </c>
      <c r="AF69" s="106">
        <f>SUMIF(Table46[Cost type],'$ Dashboard'!B75,Table46[Dec_26_A])</f>
        <v>0</v>
      </c>
      <c r="AH69" s="21">
        <f t="shared" si="33"/>
        <v>0</v>
      </c>
      <c r="AI69" s="35">
        <f t="shared" si="34"/>
        <v>0</v>
      </c>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I69" s="3"/>
      <c r="BJ69" s="3"/>
      <c r="BK69" s="3"/>
      <c r="BL69" s="3"/>
      <c r="BM69" s="3"/>
      <c r="BN69" s="3"/>
      <c r="BO69" s="3"/>
      <c r="BP69" s="3"/>
      <c r="BQ69" s="3"/>
      <c r="BR69" s="3"/>
      <c r="BS69" s="3"/>
      <c r="BT69" s="3"/>
      <c r="BU69" s="3"/>
      <c r="BV69" s="3"/>
      <c r="BW69" s="3"/>
      <c r="BX69" s="3"/>
      <c r="BY69" s="3"/>
      <c r="BZ69" s="3"/>
      <c r="CA69" s="3"/>
      <c r="CB69" s="3"/>
      <c r="CC69" s="3"/>
      <c r="CD69" s="21">
        <f t="shared" si="35"/>
        <v>0</v>
      </c>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row>
    <row r="70" spans="2:106" ht="18.600000000000001">
      <c r="B70" s="5"/>
      <c r="D70" s="21">
        <f t="shared" si="29"/>
        <v>0</v>
      </c>
      <c r="E70" s="35">
        <f t="shared" si="30"/>
        <v>0</v>
      </c>
      <c r="G70" s="21">
        <f t="shared" si="31"/>
        <v>0</v>
      </c>
      <c r="H70" s="35">
        <f t="shared" si="32"/>
        <v>0</v>
      </c>
      <c r="I70" s="106">
        <f>SUMIF(Table46[Cost type],'$ Dashboard'!B70,Table46[Jan_26_F])</f>
        <v>0</v>
      </c>
      <c r="J70" s="106">
        <f>SUMIF(Table46[Cost type],'$ Dashboard'!B21,Table46[Jan_26_Act])</f>
        <v>0</v>
      </c>
      <c r="K70" s="106">
        <f>SUMIF(Table46[Cost type],'$ Dashboard'!B70,Table46[Feb_26_F])</f>
        <v>0</v>
      </c>
      <c r="L70" s="106">
        <f>SUMIF(Table46[Cost type],'$ Dashboard'!B21,Table46[Feb_26_A])</f>
        <v>0</v>
      </c>
      <c r="M70" s="106">
        <f>SUMIF(Table46[Cost type],'$ Dashboard'!B70,Table46[Mar_26_F])</f>
        <v>0</v>
      </c>
      <c r="N70" s="106">
        <f>SUMIF(Table46[Cost type],'$ Dashboard'!B21,Table46[Mar_26_A])</f>
        <v>0</v>
      </c>
      <c r="O70" s="106">
        <f>SUMIF(Table46[Cost type],'$ Dashboard'!B70,Table46[Apr_26_F])</f>
        <v>0</v>
      </c>
      <c r="P70" s="106">
        <f>SUMIF(Table46[Cost type],'$ Dashboard'!B21,Table46[Apr_26_A])</f>
        <v>0</v>
      </c>
      <c r="Q70" s="106">
        <f>SUMIF(Table46[Cost type],'$ Dashboard'!B70,Table46[May_26_F])</f>
        <v>0</v>
      </c>
      <c r="R70" s="106">
        <f>SUMIF(Table46[Cost type],'$ Dashboard'!B21,Table46[May_26_A])</f>
        <v>0</v>
      </c>
      <c r="S70" s="106">
        <f>SUMIF(Table46[Cost type],'$ Dashboard'!B70,Table46[Jun_26_F])</f>
        <v>0</v>
      </c>
      <c r="T70" s="106">
        <f>SUMIF(Table46[Cost type],'$ Dashboard'!B21,Table46[Jun_26_A])</f>
        <v>0</v>
      </c>
      <c r="U70" s="106">
        <f>SUMIF(Table46[Cost type],'$ Dashboard'!B70,Table46[Jul_26_F])</f>
        <v>0</v>
      </c>
      <c r="V70" s="106">
        <f>SUMIF(Table46[Cost type],'$ Dashboard'!B21,Table46[Jul_26_A])</f>
        <v>0</v>
      </c>
      <c r="W70" s="106">
        <f>SUMIF(Table46[Cost type],'$ Dashboard'!B70,Table46[Aug_26_F])</f>
        <v>0</v>
      </c>
      <c r="X70" s="106">
        <f>SUMIF(Table46[Cost type],'$ Dashboard'!B21,Table46[Aug_26_A])</f>
        <v>0</v>
      </c>
      <c r="Y70" s="106">
        <f>SUMIF(Table46[Cost type],'$ Dashboard'!B70,Table46[Sep_26_F])</f>
        <v>0</v>
      </c>
      <c r="Z70" s="106">
        <f>SUMIF(Table46[Cost type],'$ Dashboard'!B21,Table46[Sep_26_A])</f>
        <v>0</v>
      </c>
      <c r="AA70" s="106">
        <f>SUMIF(Table46[Cost type],'$ Dashboard'!B70,Table46[Oct_26_F])</f>
        <v>0</v>
      </c>
      <c r="AB70" s="106">
        <f>SUMIF(Table46[Cost type],'$ Dashboard'!B21,Table46[Oct_26_A])</f>
        <v>0</v>
      </c>
      <c r="AC70" s="106">
        <f>SUMIF(Table46[Cost type],'$ Dashboard'!B70,Table46[Nov_26_F])</f>
        <v>0</v>
      </c>
      <c r="AD70" s="106">
        <f>SUMIF(Table46[Cost type],'$ Dashboard'!B76,Table46[Nov_26_A])</f>
        <v>0</v>
      </c>
      <c r="AE70" s="106">
        <f>SUMIF(Table46[Cost type],'$ Dashboard'!B70,Table46[Dec_26_F])</f>
        <v>0</v>
      </c>
      <c r="AF70" s="106">
        <f>SUMIF(Table46[Cost type],'$ Dashboard'!B76,Table46[Dec_26_A])</f>
        <v>0</v>
      </c>
      <c r="AH70" s="21">
        <f t="shared" si="33"/>
        <v>0</v>
      </c>
      <c r="AI70" s="35">
        <f t="shared" si="34"/>
        <v>0</v>
      </c>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I70" s="3"/>
      <c r="BJ70" s="3"/>
      <c r="BK70" s="3"/>
      <c r="BL70" s="3"/>
      <c r="BM70" s="3"/>
      <c r="BN70" s="3"/>
      <c r="BO70" s="3"/>
      <c r="BP70" s="3"/>
      <c r="BQ70" s="3"/>
      <c r="BR70" s="3"/>
      <c r="BS70" s="3"/>
      <c r="BT70" s="3"/>
      <c r="BU70" s="3"/>
      <c r="BV70" s="3"/>
      <c r="BW70" s="3"/>
      <c r="BX70" s="3"/>
      <c r="BY70" s="3"/>
      <c r="BZ70" s="3"/>
      <c r="CA70" s="3"/>
      <c r="CB70" s="3"/>
      <c r="CC70" s="3"/>
      <c r="CD70" s="21">
        <f t="shared" si="35"/>
        <v>0</v>
      </c>
      <c r="CE70" s="38"/>
      <c r="CF70" s="38"/>
      <c r="CG70" s="38"/>
      <c r="CH70" s="38"/>
      <c r="CI70" s="38"/>
      <c r="CJ70" s="38"/>
      <c r="CK70" s="38"/>
      <c r="CL70" s="38"/>
      <c r="CM70" s="38"/>
      <c r="CN70" s="38"/>
      <c r="CO70" s="38"/>
      <c r="CP70" s="38"/>
      <c r="CQ70" s="38"/>
      <c r="CR70" s="38"/>
      <c r="CS70" s="38"/>
      <c r="CT70" s="38"/>
      <c r="CU70" s="38"/>
      <c r="CV70" s="38"/>
      <c r="CW70" s="38"/>
      <c r="CX70" s="38"/>
      <c r="CY70" s="38"/>
      <c r="CZ70" s="38"/>
      <c r="DA70" s="38"/>
      <c r="DB70" s="38"/>
    </row>
    <row r="71" spans="2:106" ht="18.600000000000001">
      <c r="B71" s="5"/>
      <c r="D71" s="21">
        <f t="shared" si="29"/>
        <v>0</v>
      </c>
      <c r="E71" s="35">
        <f t="shared" si="30"/>
        <v>0</v>
      </c>
      <c r="G71" s="21">
        <f t="shared" si="31"/>
        <v>0</v>
      </c>
      <c r="H71" s="35">
        <f t="shared" si="32"/>
        <v>0</v>
      </c>
      <c r="I71" s="106">
        <f>SUMIF(Table46[Cost type],'$ Dashboard'!B71,Table46[Jan_26_F])</f>
        <v>0</v>
      </c>
      <c r="J71" s="106">
        <f>SUMIF(Table46[Cost type],'$ Dashboard'!B22,Table46[Jan_26_Act])</f>
        <v>0</v>
      </c>
      <c r="K71" s="106">
        <f>SUMIF(Table46[Cost type],'$ Dashboard'!B71,Table46[Feb_26_F])</f>
        <v>0</v>
      </c>
      <c r="L71" s="106">
        <f>SUMIF(Table46[Cost type],'$ Dashboard'!B22,Table46[Feb_26_A])</f>
        <v>0</v>
      </c>
      <c r="M71" s="106">
        <f>SUMIF(Table46[Cost type],'$ Dashboard'!B71,Table46[Mar_26_F])</f>
        <v>0</v>
      </c>
      <c r="N71" s="106">
        <f>SUMIF(Table46[Cost type],'$ Dashboard'!B22,Table46[Mar_26_A])</f>
        <v>0</v>
      </c>
      <c r="O71" s="106">
        <f>SUMIF(Table46[Cost type],'$ Dashboard'!B71,Table46[Apr_26_F])</f>
        <v>0</v>
      </c>
      <c r="P71" s="106">
        <f>SUMIF(Table46[Cost type],'$ Dashboard'!B22,Table46[Apr_26_A])</f>
        <v>0</v>
      </c>
      <c r="Q71" s="106">
        <f>SUMIF(Table46[Cost type],'$ Dashboard'!B71,Table46[May_26_F])</f>
        <v>0</v>
      </c>
      <c r="R71" s="106">
        <f>SUMIF(Table46[Cost type],'$ Dashboard'!B22,Table46[May_26_A])</f>
        <v>0</v>
      </c>
      <c r="S71" s="106">
        <f>SUMIF(Table46[Cost type],'$ Dashboard'!B71,Table46[Jun_26_F])</f>
        <v>0</v>
      </c>
      <c r="T71" s="106">
        <f>SUMIF(Table46[Cost type],'$ Dashboard'!B22,Table46[Jun_26_A])</f>
        <v>0</v>
      </c>
      <c r="U71" s="106">
        <f>SUMIF(Table46[Cost type],'$ Dashboard'!B71,Table46[Jul_26_F])</f>
        <v>0</v>
      </c>
      <c r="V71" s="106">
        <f>SUMIF(Table46[Cost type],'$ Dashboard'!B22,Table46[Jul_26_A])</f>
        <v>0</v>
      </c>
      <c r="W71" s="106">
        <f>SUMIF(Table46[Cost type],'$ Dashboard'!B71,Table46[Aug_26_F])</f>
        <v>0</v>
      </c>
      <c r="X71" s="106">
        <f>SUMIF(Table46[Cost type],'$ Dashboard'!B22,Table46[Aug_26_A])</f>
        <v>0</v>
      </c>
      <c r="Y71" s="106">
        <f>SUMIF(Table46[Cost type],'$ Dashboard'!B71,Table46[Sep_26_F])</f>
        <v>0</v>
      </c>
      <c r="Z71" s="106">
        <f>SUMIF(Table46[Cost type],'$ Dashboard'!B22,Table46[Sep_26_A])</f>
        <v>0</v>
      </c>
      <c r="AA71" s="106">
        <f>SUMIF(Table46[Cost type],'$ Dashboard'!B71,Table46[Oct_26_F])</f>
        <v>0</v>
      </c>
      <c r="AB71" s="106">
        <f>SUMIF(Table46[Cost type],'$ Dashboard'!B22,Table46[Oct_26_A])</f>
        <v>0</v>
      </c>
      <c r="AC71" s="106">
        <f>SUMIF(Table46[Cost type],'$ Dashboard'!B71,Table46[Nov_26_F])</f>
        <v>0</v>
      </c>
      <c r="AD71" s="106">
        <f>SUMIF(Table46[Cost type],'$ Dashboard'!B77,Table46[Nov_26_A])</f>
        <v>0</v>
      </c>
      <c r="AE71" s="106">
        <f>SUMIF(Table46[Cost type],'$ Dashboard'!B71,Table46[Dec_26_F])</f>
        <v>0</v>
      </c>
      <c r="AF71" s="106">
        <f>SUMIF(Table46[Cost type],'$ Dashboard'!B77,Table46[Dec_26_A])</f>
        <v>0</v>
      </c>
      <c r="AH71" s="21">
        <f t="shared" si="33"/>
        <v>0</v>
      </c>
      <c r="AI71" s="35">
        <f t="shared" si="34"/>
        <v>0</v>
      </c>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I71" s="3"/>
      <c r="BJ71" s="3"/>
      <c r="BK71" s="3"/>
      <c r="BL71" s="3"/>
      <c r="BM71" s="3"/>
      <c r="BN71" s="3"/>
      <c r="BO71" s="3"/>
      <c r="BP71" s="3"/>
      <c r="BQ71" s="3"/>
      <c r="BR71" s="3"/>
      <c r="BS71" s="3"/>
      <c r="BT71" s="3"/>
      <c r="BU71" s="3"/>
      <c r="BV71" s="3"/>
      <c r="BW71" s="3"/>
      <c r="BX71" s="3"/>
      <c r="BY71" s="3"/>
      <c r="BZ71" s="3"/>
      <c r="CA71" s="3"/>
      <c r="CB71" s="3"/>
      <c r="CC71" s="3"/>
      <c r="CD71" s="21">
        <f t="shared" si="35"/>
        <v>0</v>
      </c>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row>
    <row r="72" spans="2:106" ht="18.600000000000001">
      <c r="B72" s="5"/>
      <c r="D72" s="21">
        <f t="shared" si="29"/>
        <v>0</v>
      </c>
      <c r="E72" s="35">
        <f t="shared" si="30"/>
        <v>0</v>
      </c>
      <c r="G72" s="21">
        <f t="shared" si="31"/>
        <v>0</v>
      </c>
      <c r="H72" s="35">
        <f t="shared" si="32"/>
        <v>0</v>
      </c>
      <c r="I72" s="106">
        <f>SUMIF(Table46[Cost type],'$ Dashboard'!B72,Table46[Jan_26_F])</f>
        <v>0</v>
      </c>
      <c r="J72" s="106">
        <f>SUMIF(Table46[Cost type],'$ Dashboard'!B23,Table46[Jan_26_Act])</f>
        <v>0</v>
      </c>
      <c r="K72" s="106">
        <f>SUMIF(Table46[Cost type],'$ Dashboard'!B72,Table46[Feb_26_F])</f>
        <v>0</v>
      </c>
      <c r="L72" s="106">
        <f>SUMIF(Table46[Cost type],'$ Dashboard'!B23,Table46[Feb_26_A])</f>
        <v>0</v>
      </c>
      <c r="M72" s="106">
        <f>SUMIF(Table46[Cost type],'$ Dashboard'!B72,Table46[Mar_26_F])</f>
        <v>0</v>
      </c>
      <c r="N72" s="106">
        <f>SUMIF(Table46[Cost type],'$ Dashboard'!B23,Table46[Mar_26_A])</f>
        <v>0</v>
      </c>
      <c r="O72" s="106">
        <f>SUMIF(Table46[Cost type],'$ Dashboard'!B72,Table46[Apr_26_F])</f>
        <v>0</v>
      </c>
      <c r="P72" s="106">
        <f>SUMIF(Table46[Cost type],'$ Dashboard'!B23,Table46[Apr_26_A])</f>
        <v>0</v>
      </c>
      <c r="Q72" s="106">
        <f>SUMIF(Table46[Cost type],'$ Dashboard'!B72,Table46[May_26_F])</f>
        <v>0</v>
      </c>
      <c r="R72" s="106">
        <f>SUMIF(Table46[Cost type],'$ Dashboard'!B23,Table46[May_26_A])</f>
        <v>0</v>
      </c>
      <c r="S72" s="106">
        <f>SUMIF(Table46[Cost type],'$ Dashboard'!B72,Table46[Jun_26_F])</f>
        <v>0</v>
      </c>
      <c r="T72" s="106">
        <f>SUMIF(Table46[Cost type],'$ Dashboard'!B23,Table46[Jun_26_A])</f>
        <v>0</v>
      </c>
      <c r="U72" s="106">
        <f>SUMIF(Table46[Cost type],'$ Dashboard'!B72,Table46[Jul_26_F])</f>
        <v>0</v>
      </c>
      <c r="V72" s="106">
        <f>SUMIF(Table46[Cost type],'$ Dashboard'!B23,Table46[Jul_26_A])</f>
        <v>0</v>
      </c>
      <c r="W72" s="106">
        <f>SUMIF(Table46[Cost type],'$ Dashboard'!B72,Table46[Aug_26_F])</f>
        <v>0</v>
      </c>
      <c r="X72" s="106">
        <f>SUMIF(Table46[Cost type],'$ Dashboard'!B23,Table46[Aug_26_A])</f>
        <v>0</v>
      </c>
      <c r="Y72" s="106">
        <f>SUMIF(Table46[Cost type],'$ Dashboard'!B72,Table46[Sep_26_F])</f>
        <v>0</v>
      </c>
      <c r="Z72" s="106">
        <f>SUMIF(Table46[Cost type],'$ Dashboard'!B23,Table46[Sep_26_A])</f>
        <v>0</v>
      </c>
      <c r="AA72" s="106">
        <f>SUMIF(Table46[Cost type],'$ Dashboard'!B72,Table46[Oct_26_F])</f>
        <v>0</v>
      </c>
      <c r="AB72" s="106">
        <f>SUMIF(Table46[Cost type],'$ Dashboard'!B23,Table46[Oct_26_A])</f>
        <v>0</v>
      </c>
      <c r="AC72" s="106">
        <f>SUMIF(Table46[Cost type],'$ Dashboard'!B72,Table46[Nov_26_F])</f>
        <v>0</v>
      </c>
      <c r="AD72" s="106">
        <f>SUMIF(Table46[Cost type],'$ Dashboard'!B78,Table46[Nov_26_A])</f>
        <v>0</v>
      </c>
      <c r="AE72" s="106">
        <f>SUMIF(Table46[Cost type],'$ Dashboard'!B72,Table46[Dec_26_F])</f>
        <v>0</v>
      </c>
      <c r="AF72" s="106">
        <f>SUMIF(Table46[Cost type],'$ Dashboard'!B78,Table46[Dec_26_A])</f>
        <v>0</v>
      </c>
      <c r="AH72" s="21">
        <f t="shared" si="33"/>
        <v>0</v>
      </c>
      <c r="AI72" s="35">
        <f t="shared" si="34"/>
        <v>0</v>
      </c>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I72" s="3"/>
      <c r="BJ72" s="3"/>
      <c r="BK72" s="3"/>
      <c r="BL72" s="3"/>
      <c r="BM72" s="3"/>
      <c r="BN72" s="3"/>
      <c r="BO72" s="3"/>
      <c r="BP72" s="3"/>
      <c r="BQ72" s="3"/>
      <c r="BR72" s="3"/>
      <c r="BS72" s="3"/>
      <c r="BT72" s="3"/>
      <c r="BU72" s="3"/>
      <c r="BV72" s="3"/>
      <c r="BW72" s="3"/>
      <c r="BX72" s="3"/>
      <c r="BY72" s="3"/>
      <c r="BZ72" s="3"/>
      <c r="CA72" s="3"/>
      <c r="CB72" s="3"/>
      <c r="CC72" s="3"/>
      <c r="CD72" s="21">
        <f t="shared" si="35"/>
        <v>0</v>
      </c>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row>
    <row r="73" spans="2:106" ht="18.600000000000001">
      <c r="B73" s="5"/>
      <c r="D73" s="21">
        <f t="shared" si="29"/>
        <v>0</v>
      </c>
      <c r="E73" s="35">
        <f t="shared" si="30"/>
        <v>0</v>
      </c>
      <c r="G73" s="21">
        <f t="shared" si="31"/>
        <v>0</v>
      </c>
      <c r="H73" s="35">
        <f t="shared" si="32"/>
        <v>0</v>
      </c>
      <c r="I73" s="106">
        <f>SUMIF(Table46[Cost type],'$ Dashboard'!B73,Table46[Jan_26_F])</f>
        <v>0</v>
      </c>
      <c r="J73" s="106">
        <f>SUMIF(Table46[Cost type],'$ Dashboard'!B26,Table46[Jan_26_Act])</f>
        <v>0</v>
      </c>
      <c r="K73" s="106">
        <f>SUMIF(Table46[Cost type],'$ Dashboard'!B73,Table46[Feb_26_F])</f>
        <v>0</v>
      </c>
      <c r="L73" s="106">
        <f>SUMIF(Table46[Cost type],'$ Dashboard'!B26,Table46[Feb_26_A])</f>
        <v>0</v>
      </c>
      <c r="M73" s="106">
        <f>SUMIF(Table46[Cost type],'$ Dashboard'!B73,Table46[Mar_26_F])</f>
        <v>0</v>
      </c>
      <c r="N73" s="106">
        <f>SUMIF(Table46[Cost type],'$ Dashboard'!B26,Table46[Mar_26_A])</f>
        <v>0</v>
      </c>
      <c r="O73" s="106">
        <f>SUMIF(Table46[Cost type],'$ Dashboard'!B73,Table46[Apr_26_F])</f>
        <v>0</v>
      </c>
      <c r="P73" s="106">
        <f>SUMIF(Table46[Cost type],'$ Dashboard'!B26,Table46[Apr_26_A])</f>
        <v>0</v>
      </c>
      <c r="Q73" s="106">
        <f>SUMIF(Table46[Cost type],'$ Dashboard'!B73,Table46[May_26_F])</f>
        <v>0</v>
      </c>
      <c r="R73" s="106">
        <f>SUMIF(Table46[Cost type],'$ Dashboard'!B26,Table46[May_26_A])</f>
        <v>0</v>
      </c>
      <c r="S73" s="106">
        <f>SUMIF(Table46[Cost type],'$ Dashboard'!B73,Table46[Jun_26_F])</f>
        <v>0</v>
      </c>
      <c r="T73" s="106">
        <f>SUMIF(Table46[Cost type],'$ Dashboard'!B26,Table46[Jun_26_A])</f>
        <v>0</v>
      </c>
      <c r="U73" s="106">
        <f>SUMIF(Table46[Cost type],'$ Dashboard'!B73,Table46[Jul_26_F])</f>
        <v>0</v>
      </c>
      <c r="V73" s="106">
        <f>SUMIF(Table46[Cost type],'$ Dashboard'!B26,Table46[Jul_26_A])</f>
        <v>0</v>
      </c>
      <c r="W73" s="106">
        <f>SUMIF(Table46[Cost type],'$ Dashboard'!B73,Table46[Aug_26_F])</f>
        <v>0</v>
      </c>
      <c r="X73" s="106">
        <f>SUMIF(Table46[Cost type],'$ Dashboard'!B26,Table46[Aug_26_A])</f>
        <v>0</v>
      </c>
      <c r="Y73" s="106">
        <f>SUMIF(Table46[Cost type],'$ Dashboard'!B73,Table46[Sep_26_F])</f>
        <v>0</v>
      </c>
      <c r="Z73" s="106">
        <f>SUMIF(Table46[Cost type],'$ Dashboard'!B26,Table46[Sep_26_A])</f>
        <v>0</v>
      </c>
      <c r="AA73" s="106">
        <f>SUMIF(Table46[Cost type],'$ Dashboard'!B73,Table46[Oct_26_F])</f>
        <v>0</v>
      </c>
      <c r="AB73" s="106">
        <f>SUMIF(Table46[Cost type],'$ Dashboard'!B26,Table46[Oct_26_A])</f>
        <v>0</v>
      </c>
      <c r="AC73" s="106">
        <f>SUMIF(Table46[Cost type],'$ Dashboard'!B73,Table46[Nov_26_F])</f>
        <v>0</v>
      </c>
      <c r="AD73" s="106">
        <f>SUMIF(Table46[Cost type],'$ Dashboard'!B79,Table46[Nov_26_A])</f>
        <v>0</v>
      </c>
      <c r="AE73" s="106">
        <f>SUMIF(Table46[Cost type],'$ Dashboard'!B73,Table46[Dec_26_F])</f>
        <v>0</v>
      </c>
      <c r="AF73" s="106">
        <f>SUMIF(Table46[Cost type],'$ Dashboard'!B79,Table46[Dec_26_A])</f>
        <v>0</v>
      </c>
      <c r="AH73" s="21">
        <f t="shared" si="33"/>
        <v>0</v>
      </c>
      <c r="AI73" s="35">
        <f t="shared" si="34"/>
        <v>0</v>
      </c>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I73" s="3"/>
      <c r="BJ73" s="3"/>
      <c r="BK73" s="3"/>
      <c r="BL73" s="3"/>
      <c r="BM73" s="3"/>
      <c r="BN73" s="3"/>
      <c r="BO73" s="3"/>
      <c r="BP73" s="3"/>
      <c r="BQ73" s="3"/>
      <c r="BR73" s="3"/>
      <c r="BS73" s="3"/>
      <c r="BT73" s="3"/>
      <c r="BU73" s="3"/>
      <c r="BV73" s="3"/>
      <c r="BW73" s="3"/>
      <c r="BX73" s="3"/>
      <c r="BY73" s="3"/>
      <c r="BZ73" s="3"/>
      <c r="CA73" s="3"/>
      <c r="CB73" s="3"/>
      <c r="CC73" s="3"/>
      <c r="CD73" s="21">
        <f t="shared" si="35"/>
        <v>0</v>
      </c>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row>
    <row r="74" spans="2:106" ht="18.600000000000001">
      <c r="B74" s="5"/>
      <c r="D74" s="21">
        <f t="shared" si="29"/>
        <v>0</v>
      </c>
      <c r="E74" s="35">
        <f t="shared" si="30"/>
        <v>0</v>
      </c>
      <c r="G74" s="21">
        <f t="shared" si="31"/>
        <v>0</v>
      </c>
      <c r="H74" s="35">
        <f t="shared" si="32"/>
        <v>0</v>
      </c>
      <c r="I74" s="106">
        <f>SUMIF(Table46[Cost type],'$ Dashboard'!B74,Table46[Jan_26_F])</f>
        <v>0</v>
      </c>
      <c r="J74" s="106">
        <f>SUMIF(Table46[Cost type],'$ Dashboard'!B27,Table46[Jan_26_Act])</f>
        <v>0</v>
      </c>
      <c r="K74" s="106">
        <f>SUMIF(Table46[Cost type],'$ Dashboard'!B74,Table46[Feb_26_F])</f>
        <v>0</v>
      </c>
      <c r="L74" s="106">
        <f>SUMIF(Table46[Cost type],'$ Dashboard'!B27,Table46[Feb_26_A])</f>
        <v>0</v>
      </c>
      <c r="M74" s="106">
        <f>SUMIF(Table46[Cost type],'$ Dashboard'!B74,Table46[Mar_26_F])</f>
        <v>0</v>
      </c>
      <c r="N74" s="106">
        <f>SUMIF(Table46[Cost type],'$ Dashboard'!B27,Table46[Mar_26_A])</f>
        <v>0</v>
      </c>
      <c r="O74" s="106">
        <f>SUMIF(Table46[Cost type],'$ Dashboard'!B74,Table46[Apr_26_F])</f>
        <v>0</v>
      </c>
      <c r="P74" s="106">
        <f>SUMIF(Table46[Cost type],'$ Dashboard'!B27,Table46[Apr_26_A])</f>
        <v>0</v>
      </c>
      <c r="Q74" s="106">
        <f>SUMIF(Table46[Cost type],'$ Dashboard'!B74,Table46[May_26_F])</f>
        <v>0</v>
      </c>
      <c r="R74" s="106">
        <f>SUMIF(Table46[Cost type],'$ Dashboard'!B27,Table46[May_26_A])</f>
        <v>0</v>
      </c>
      <c r="S74" s="106">
        <f>SUMIF(Table46[Cost type],'$ Dashboard'!B74,Table46[Jun_26_F])</f>
        <v>0</v>
      </c>
      <c r="T74" s="106">
        <f>SUMIF(Table46[Cost type],'$ Dashboard'!B27,Table46[Jun_26_A])</f>
        <v>0</v>
      </c>
      <c r="U74" s="106">
        <f>SUMIF(Table46[Cost type],'$ Dashboard'!B74,Table46[Jul_26_F])</f>
        <v>0</v>
      </c>
      <c r="V74" s="106">
        <f>SUMIF(Table46[Cost type],'$ Dashboard'!B27,Table46[Jul_26_A])</f>
        <v>0</v>
      </c>
      <c r="W74" s="106">
        <f>SUMIF(Table46[Cost type],'$ Dashboard'!B74,Table46[Aug_26_F])</f>
        <v>0</v>
      </c>
      <c r="X74" s="106">
        <f>SUMIF(Table46[Cost type],'$ Dashboard'!B27,Table46[Aug_26_A])</f>
        <v>0</v>
      </c>
      <c r="Y74" s="106">
        <f>SUMIF(Table46[Cost type],'$ Dashboard'!B74,Table46[Sep_26_F])</f>
        <v>0</v>
      </c>
      <c r="Z74" s="106">
        <f>SUMIF(Table46[Cost type],'$ Dashboard'!B27,Table46[Sep_26_A])</f>
        <v>0</v>
      </c>
      <c r="AA74" s="106">
        <f>SUMIF(Table46[Cost type],'$ Dashboard'!B74,Table46[Oct_26_F])</f>
        <v>0</v>
      </c>
      <c r="AB74" s="106">
        <f>SUMIF(Table46[Cost type],'$ Dashboard'!B27,Table46[Oct_26_A])</f>
        <v>0</v>
      </c>
      <c r="AC74" s="106">
        <f>SUMIF(Table46[Cost type],'$ Dashboard'!B74,Table46[Nov_26_F])</f>
        <v>0</v>
      </c>
      <c r="AD74" s="106">
        <f>SUMIF(Table46[Cost type],'$ Dashboard'!B80,Table46[Nov_26_A])</f>
        <v>0</v>
      </c>
      <c r="AE74" s="106">
        <f>SUMIF(Table46[Cost type],'$ Dashboard'!B74,Table46[Dec_26_F])</f>
        <v>0</v>
      </c>
      <c r="AF74" s="106">
        <f>SUMIF(Table46[Cost type],'$ Dashboard'!B80,Table46[Dec_26_A])</f>
        <v>0</v>
      </c>
      <c r="AH74" s="21">
        <f t="shared" si="33"/>
        <v>0</v>
      </c>
      <c r="AI74" s="35">
        <f t="shared" si="34"/>
        <v>0</v>
      </c>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I74" s="3"/>
      <c r="BJ74" s="3"/>
      <c r="BK74" s="3"/>
      <c r="BL74" s="3"/>
      <c r="BM74" s="3"/>
      <c r="BN74" s="3"/>
      <c r="BO74" s="3"/>
      <c r="BP74" s="3"/>
      <c r="BQ74" s="3"/>
      <c r="BR74" s="3"/>
      <c r="BS74" s="3"/>
      <c r="BT74" s="3"/>
      <c r="BU74" s="3"/>
      <c r="BV74" s="3"/>
      <c r="BW74" s="3"/>
      <c r="BX74" s="3"/>
      <c r="BY74" s="3"/>
      <c r="BZ74" s="3"/>
      <c r="CA74" s="3"/>
      <c r="CB74" s="3"/>
      <c r="CC74" s="3"/>
      <c r="CD74" s="21">
        <f t="shared" si="35"/>
        <v>0</v>
      </c>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row>
    <row r="75" spans="2:106" ht="18.600000000000001">
      <c r="B75" s="5"/>
      <c r="D75" s="21">
        <f t="shared" si="29"/>
        <v>0</v>
      </c>
      <c r="E75" s="35">
        <f t="shared" si="30"/>
        <v>0</v>
      </c>
      <c r="G75" s="21">
        <f t="shared" si="31"/>
        <v>0</v>
      </c>
      <c r="H75" s="35">
        <f t="shared" si="32"/>
        <v>0</v>
      </c>
      <c r="I75" s="106">
        <f>SUMIF(Table46[Cost type],'$ Dashboard'!B75,Table46[Jan_26_F])</f>
        <v>0</v>
      </c>
      <c r="J75" s="106">
        <f>SUMIF(Table46[Cost type],'$ Dashboard'!B28,Table46[Jan_26_Act])</f>
        <v>0</v>
      </c>
      <c r="K75" s="106">
        <f>SUMIF(Table46[Cost type],'$ Dashboard'!B75,Table46[Feb_26_F])</f>
        <v>0</v>
      </c>
      <c r="L75" s="106">
        <f>SUMIF(Table46[Cost type],'$ Dashboard'!B28,Table46[Feb_26_A])</f>
        <v>0</v>
      </c>
      <c r="M75" s="106">
        <f>SUMIF(Table46[Cost type],'$ Dashboard'!B75,Table46[Mar_26_F])</f>
        <v>0</v>
      </c>
      <c r="N75" s="106">
        <f>SUMIF(Table46[Cost type],'$ Dashboard'!B28,Table46[Mar_26_A])</f>
        <v>0</v>
      </c>
      <c r="O75" s="106">
        <f>SUMIF(Table46[Cost type],'$ Dashboard'!B75,Table46[Apr_26_F])</f>
        <v>0</v>
      </c>
      <c r="P75" s="106">
        <f>SUMIF(Table46[Cost type],'$ Dashboard'!B28,Table46[Apr_26_A])</f>
        <v>0</v>
      </c>
      <c r="Q75" s="106">
        <f>SUMIF(Table46[Cost type],'$ Dashboard'!B75,Table46[May_26_F])</f>
        <v>0</v>
      </c>
      <c r="R75" s="106">
        <f>SUMIF(Table46[Cost type],'$ Dashboard'!B28,Table46[May_26_A])</f>
        <v>0</v>
      </c>
      <c r="S75" s="106">
        <f>SUMIF(Table46[Cost type],'$ Dashboard'!B75,Table46[Jun_26_F])</f>
        <v>0</v>
      </c>
      <c r="T75" s="106">
        <f>SUMIF(Table46[Cost type],'$ Dashboard'!B28,Table46[Jun_26_A])</f>
        <v>0</v>
      </c>
      <c r="U75" s="106">
        <f>SUMIF(Table46[Cost type],'$ Dashboard'!B75,Table46[Jul_26_F])</f>
        <v>0</v>
      </c>
      <c r="V75" s="106">
        <f>SUMIF(Table46[Cost type],'$ Dashboard'!B28,Table46[Jul_26_A])</f>
        <v>0</v>
      </c>
      <c r="W75" s="106">
        <f>SUMIF(Table46[Cost type],'$ Dashboard'!B75,Table46[Aug_26_F])</f>
        <v>0</v>
      </c>
      <c r="X75" s="106">
        <f>SUMIF(Table46[Cost type],'$ Dashboard'!B28,Table46[Aug_26_A])</f>
        <v>0</v>
      </c>
      <c r="Y75" s="106">
        <f>SUMIF(Table46[Cost type],'$ Dashboard'!B75,Table46[Sep_26_F])</f>
        <v>0</v>
      </c>
      <c r="Z75" s="106">
        <f>SUMIF(Table46[Cost type],'$ Dashboard'!B28,Table46[Sep_26_A])</f>
        <v>0</v>
      </c>
      <c r="AA75" s="106">
        <f>SUMIF(Table46[Cost type],'$ Dashboard'!B75,Table46[Oct_26_F])</f>
        <v>0</v>
      </c>
      <c r="AB75" s="106">
        <f>SUMIF(Table46[Cost type],'$ Dashboard'!B28,Table46[Oct_26_A])</f>
        <v>0</v>
      </c>
      <c r="AC75" s="106">
        <f>SUMIF(Table46[Cost type],'$ Dashboard'!B75,Table46[Nov_26_F])</f>
        <v>0</v>
      </c>
      <c r="AD75" s="106">
        <f>SUMIF(Table46[Cost type],'$ Dashboard'!B81,Table46[Nov_26_A])</f>
        <v>0</v>
      </c>
      <c r="AE75" s="106">
        <f>SUMIF(Table46[Cost type],'$ Dashboard'!B75,Table46[Dec_26_F])</f>
        <v>0</v>
      </c>
      <c r="AF75" s="106">
        <f>SUMIF(Table46[Cost type],'$ Dashboard'!B81,Table46[Dec_26_A])</f>
        <v>0</v>
      </c>
      <c r="AH75" s="21">
        <f t="shared" si="33"/>
        <v>0</v>
      </c>
      <c r="AI75" s="35">
        <f t="shared" si="34"/>
        <v>0</v>
      </c>
      <c r="AJ75" s="106"/>
      <c r="AK75" s="106"/>
      <c r="AL75" s="106"/>
      <c r="AM75" s="106"/>
      <c r="AN75" s="106"/>
      <c r="AO75" s="106"/>
      <c r="AP75" s="106"/>
      <c r="AQ75" s="106"/>
      <c r="AR75" s="106"/>
      <c r="AS75" s="106"/>
      <c r="AT75" s="106"/>
      <c r="AU75" s="106"/>
      <c r="AV75" s="106"/>
      <c r="AW75" s="106"/>
      <c r="AX75" s="106"/>
      <c r="AY75" s="106"/>
      <c r="AZ75" s="106"/>
      <c r="BA75" s="106"/>
      <c r="BB75" s="106"/>
      <c r="BC75" s="106"/>
      <c r="BD75" s="106"/>
      <c r="BE75" s="106"/>
      <c r="BF75" s="106"/>
      <c r="BG75" s="106"/>
      <c r="BI75" s="3"/>
      <c r="BJ75" s="3"/>
      <c r="BK75" s="3"/>
      <c r="BL75" s="3"/>
      <c r="BM75" s="3"/>
      <c r="BN75" s="3"/>
      <c r="BO75" s="3"/>
      <c r="BP75" s="3"/>
      <c r="BQ75" s="3"/>
      <c r="BR75" s="3"/>
      <c r="BS75" s="3"/>
      <c r="BT75" s="3"/>
      <c r="BU75" s="3"/>
      <c r="BV75" s="3"/>
      <c r="BW75" s="3"/>
      <c r="BX75" s="3"/>
      <c r="BY75" s="3"/>
      <c r="BZ75" s="3"/>
      <c r="CA75" s="3"/>
      <c r="CB75" s="3"/>
      <c r="CC75" s="3"/>
      <c r="CD75" s="21">
        <f t="shared" si="35"/>
        <v>0</v>
      </c>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row>
    <row r="76" spans="2:106" ht="18.600000000000001">
      <c r="B76" s="5"/>
      <c r="D76" s="21">
        <f t="shared" si="29"/>
        <v>0</v>
      </c>
      <c r="E76" s="35">
        <f t="shared" si="30"/>
        <v>0</v>
      </c>
      <c r="G76" s="21">
        <f t="shared" si="31"/>
        <v>0</v>
      </c>
      <c r="H76" s="35">
        <f t="shared" si="32"/>
        <v>0</v>
      </c>
      <c r="I76" s="106">
        <f>SUMIF(Table46[Cost type],'$ Dashboard'!B76,Table46[Jan_26_F])</f>
        <v>0</v>
      </c>
      <c r="J76" s="106">
        <f>SUMIF(Table46[Cost type],'$ Dashboard'!B29,Table46[Jan_26_Act])</f>
        <v>0</v>
      </c>
      <c r="K76" s="106">
        <f>SUMIF(Table46[Cost type],'$ Dashboard'!B76,Table46[Feb_26_F])</f>
        <v>0</v>
      </c>
      <c r="L76" s="106">
        <f>SUMIF(Table46[Cost type],'$ Dashboard'!B29,Table46[Feb_26_A])</f>
        <v>0</v>
      </c>
      <c r="M76" s="106">
        <f>SUMIF(Table46[Cost type],'$ Dashboard'!B76,Table46[Mar_26_F])</f>
        <v>0</v>
      </c>
      <c r="N76" s="106">
        <f>SUMIF(Table46[Cost type],'$ Dashboard'!B29,Table46[Mar_26_A])</f>
        <v>0</v>
      </c>
      <c r="O76" s="106">
        <f>SUMIF(Table46[Cost type],'$ Dashboard'!B76,Table46[Apr_26_F])</f>
        <v>0</v>
      </c>
      <c r="P76" s="106">
        <f>SUMIF(Table46[Cost type],'$ Dashboard'!B29,Table46[Apr_26_A])</f>
        <v>0</v>
      </c>
      <c r="Q76" s="106">
        <f>SUMIF(Table46[Cost type],'$ Dashboard'!B76,Table46[May_26_F])</f>
        <v>0</v>
      </c>
      <c r="R76" s="106">
        <f>SUMIF(Table46[Cost type],'$ Dashboard'!B29,Table46[May_26_A])</f>
        <v>0</v>
      </c>
      <c r="S76" s="106">
        <f>SUMIF(Table46[Cost type],'$ Dashboard'!B76,Table46[Jun_26_F])</f>
        <v>0</v>
      </c>
      <c r="T76" s="106">
        <f>SUMIF(Table46[Cost type],'$ Dashboard'!B29,Table46[Jun_26_A])</f>
        <v>0</v>
      </c>
      <c r="U76" s="106">
        <f>SUMIF(Table46[Cost type],'$ Dashboard'!B76,Table46[Jul_26_F])</f>
        <v>0</v>
      </c>
      <c r="V76" s="106">
        <f>SUMIF(Table46[Cost type],'$ Dashboard'!B29,Table46[Jul_26_A])</f>
        <v>0</v>
      </c>
      <c r="W76" s="106">
        <f>SUMIF(Table46[Cost type],'$ Dashboard'!B76,Table46[Aug_26_F])</f>
        <v>0</v>
      </c>
      <c r="X76" s="106">
        <f>SUMIF(Table46[Cost type],'$ Dashboard'!B29,Table46[Aug_26_A])</f>
        <v>0</v>
      </c>
      <c r="Y76" s="106">
        <f>SUMIF(Table46[Cost type],'$ Dashboard'!B76,Table46[Sep_26_F])</f>
        <v>0</v>
      </c>
      <c r="Z76" s="106">
        <f>SUMIF(Table46[Cost type],'$ Dashboard'!B29,Table46[Sep_26_A])</f>
        <v>0</v>
      </c>
      <c r="AA76" s="106">
        <f>SUMIF(Table46[Cost type],'$ Dashboard'!B76,Table46[Oct_26_F])</f>
        <v>0</v>
      </c>
      <c r="AB76" s="106">
        <f>SUMIF(Table46[Cost type],'$ Dashboard'!B29,Table46[Oct_26_A])</f>
        <v>0</v>
      </c>
      <c r="AC76" s="106">
        <f>SUMIF(Table46[Cost type],'$ Dashboard'!B76,Table46[Nov_26_F])</f>
        <v>0</v>
      </c>
      <c r="AD76" s="106">
        <f>SUMIF(Table46[Cost type],'$ Dashboard'!B82,Table46[Nov_26_A])</f>
        <v>0</v>
      </c>
      <c r="AE76" s="106">
        <f>SUMIF(Table46[Cost type],'$ Dashboard'!B76,Table46[Dec_26_F])</f>
        <v>0</v>
      </c>
      <c r="AF76" s="106">
        <f>SUMIF(Table46[Cost type],'$ Dashboard'!B82,Table46[Dec_26_A])</f>
        <v>0</v>
      </c>
      <c r="AH76" s="21">
        <f t="shared" si="33"/>
        <v>0</v>
      </c>
      <c r="AI76" s="35">
        <f t="shared" si="34"/>
        <v>0</v>
      </c>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I76" s="3"/>
      <c r="BJ76" s="3"/>
      <c r="BK76" s="3"/>
      <c r="BL76" s="3"/>
      <c r="BM76" s="3"/>
      <c r="BN76" s="3"/>
      <c r="BO76" s="3"/>
      <c r="BP76" s="3"/>
      <c r="BQ76" s="3"/>
      <c r="BR76" s="3"/>
      <c r="BS76" s="3"/>
      <c r="BT76" s="3"/>
      <c r="BU76" s="3"/>
      <c r="BV76" s="3"/>
      <c r="BW76" s="3"/>
      <c r="BX76" s="3"/>
      <c r="BY76" s="3"/>
      <c r="BZ76" s="3"/>
      <c r="CA76" s="3"/>
      <c r="CB76" s="3"/>
      <c r="CC76" s="3"/>
      <c r="CD76" s="21">
        <f t="shared" si="35"/>
        <v>0</v>
      </c>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row>
    <row r="77" spans="2:106" ht="18.95" thickBot="1">
      <c r="B77" s="23" t="s">
        <v>32</v>
      </c>
      <c r="D77" s="24">
        <f>SUM(D62:D75)</f>
        <v>0.13800000000000001</v>
      </c>
      <c r="E77" s="24">
        <f>SUM(E62:E75)</f>
        <v>0</v>
      </c>
      <c r="G77" s="24">
        <f t="shared" ref="G77:AF77" si="36">SUM(G62:G76)</f>
        <v>0.13800000000000001</v>
      </c>
      <c r="H77" s="24">
        <f t="shared" si="36"/>
        <v>0</v>
      </c>
      <c r="I77" s="24">
        <f t="shared" si="36"/>
        <v>87000</v>
      </c>
      <c r="J77" s="24">
        <f t="shared" si="36"/>
        <v>0</v>
      </c>
      <c r="K77" s="24">
        <f t="shared" si="36"/>
        <v>0</v>
      </c>
      <c r="L77" s="24">
        <f t="shared" si="36"/>
        <v>0</v>
      </c>
      <c r="M77" s="24">
        <f t="shared" si="36"/>
        <v>0</v>
      </c>
      <c r="N77" s="24">
        <f t="shared" si="36"/>
        <v>0</v>
      </c>
      <c r="O77" s="24">
        <f t="shared" si="36"/>
        <v>0</v>
      </c>
      <c r="P77" s="24">
        <f t="shared" si="36"/>
        <v>0</v>
      </c>
      <c r="Q77" s="24">
        <f t="shared" si="36"/>
        <v>0</v>
      </c>
      <c r="R77" s="24">
        <f t="shared" si="36"/>
        <v>0</v>
      </c>
      <c r="S77" s="24">
        <f t="shared" si="36"/>
        <v>51000</v>
      </c>
      <c r="T77" s="24">
        <f t="shared" si="36"/>
        <v>0</v>
      </c>
      <c r="U77" s="24">
        <f t="shared" si="36"/>
        <v>0</v>
      </c>
      <c r="V77" s="24">
        <f t="shared" si="36"/>
        <v>0</v>
      </c>
      <c r="W77" s="24">
        <f t="shared" si="36"/>
        <v>0</v>
      </c>
      <c r="X77" s="24">
        <f t="shared" si="36"/>
        <v>0</v>
      </c>
      <c r="Y77" s="24">
        <f t="shared" si="36"/>
        <v>0</v>
      </c>
      <c r="Z77" s="24">
        <f t="shared" si="36"/>
        <v>0</v>
      </c>
      <c r="AA77" s="24">
        <f t="shared" si="36"/>
        <v>0</v>
      </c>
      <c r="AB77" s="24">
        <f t="shared" si="36"/>
        <v>0</v>
      </c>
      <c r="AC77" s="24">
        <f t="shared" si="36"/>
        <v>0</v>
      </c>
      <c r="AD77" s="24">
        <f t="shared" si="36"/>
        <v>0</v>
      </c>
      <c r="AE77" s="24">
        <f t="shared" si="36"/>
        <v>0</v>
      </c>
      <c r="AF77" s="24">
        <f t="shared" si="36"/>
        <v>0</v>
      </c>
      <c r="AH77" s="24">
        <f t="shared" ref="AH77:BG77" si="37">SUM(AH62:AH76)</f>
        <v>0</v>
      </c>
      <c r="AI77" s="24">
        <f t="shared" si="37"/>
        <v>0</v>
      </c>
      <c r="AJ77" s="25">
        <f t="shared" si="37"/>
        <v>0</v>
      </c>
      <c r="AK77" s="25">
        <f t="shared" si="37"/>
        <v>0</v>
      </c>
      <c r="AL77" s="25">
        <f t="shared" si="37"/>
        <v>0</v>
      </c>
      <c r="AM77" s="25">
        <f t="shared" si="37"/>
        <v>0</v>
      </c>
      <c r="AN77" s="25">
        <f t="shared" si="37"/>
        <v>0</v>
      </c>
      <c r="AO77" s="25">
        <f t="shared" si="37"/>
        <v>0</v>
      </c>
      <c r="AP77" s="25">
        <f t="shared" si="37"/>
        <v>0</v>
      </c>
      <c r="AQ77" s="25">
        <f t="shared" si="37"/>
        <v>0</v>
      </c>
      <c r="AR77" s="25">
        <f t="shared" si="37"/>
        <v>0</v>
      </c>
      <c r="AS77" s="25">
        <f t="shared" si="37"/>
        <v>0</v>
      </c>
      <c r="AT77" s="25">
        <f t="shared" si="37"/>
        <v>0</v>
      </c>
      <c r="AU77" s="25">
        <f t="shared" si="37"/>
        <v>0</v>
      </c>
      <c r="AV77" s="25">
        <f t="shared" si="37"/>
        <v>0</v>
      </c>
      <c r="AW77" s="25">
        <f t="shared" si="37"/>
        <v>0</v>
      </c>
      <c r="AX77" s="25">
        <f t="shared" si="37"/>
        <v>0</v>
      </c>
      <c r="AY77" s="25">
        <f t="shared" si="37"/>
        <v>0</v>
      </c>
      <c r="AZ77" s="25">
        <f t="shared" si="37"/>
        <v>0</v>
      </c>
      <c r="BA77" s="25">
        <f t="shared" si="37"/>
        <v>0</v>
      </c>
      <c r="BB77" s="25">
        <f t="shared" si="37"/>
        <v>0</v>
      </c>
      <c r="BC77" s="25">
        <f t="shared" si="37"/>
        <v>0</v>
      </c>
      <c r="BD77" s="25">
        <f t="shared" si="37"/>
        <v>0</v>
      </c>
      <c r="BE77" s="25">
        <f t="shared" si="37"/>
        <v>0</v>
      </c>
      <c r="BF77" s="25">
        <f t="shared" si="37"/>
        <v>0</v>
      </c>
      <c r="BG77" s="25">
        <f t="shared" si="37"/>
        <v>0</v>
      </c>
      <c r="BI77" s="3"/>
      <c r="BJ77" s="3"/>
      <c r="BK77" s="3"/>
      <c r="BL77" s="3"/>
      <c r="BM77" s="3"/>
      <c r="BN77" s="3"/>
      <c r="BO77" s="3"/>
      <c r="BP77" s="3"/>
      <c r="BQ77" s="3"/>
      <c r="BR77" s="3"/>
      <c r="BS77" s="3"/>
      <c r="BT77" s="3"/>
      <c r="BU77" s="3"/>
      <c r="BV77" s="3"/>
      <c r="BW77" s="3"/>
      <c r="BX77" s="3"/>
      <c r="BY77" s="3"/>
      <c r="BZ77" s="3"/>
      <c r="CA77" s="3"/>
      <c r="CB77" s="3"/>
      <c r="CC77" s="3"/>
      <c r="CD77" s="24">
        <f t="shared" ref="CD77:DB77" si="38">SUM(CD62:CD76)</f>
        <v>0</v>
      </c>
      <c r="CE77" s="39">
        <f t="shared" si="38"/>
        <v>0</v>
      </c>
      <c r="CF77" s="39">
        <f t="shared" si="38"/>
        <v>0</v>
      </c>
      <c r="CG77" s="39">
        <f t="shared" si="38"/>
        <v>0</v>
      </c>
      <c r="CH77" s="39">
        <f t="shared" si="38"/>
        <v>0</v>
      </c>
      <c r="CI77" s="39">
        <f t="shared" si="38"/>
        <v>0</v>
      </c>
      <c r="CJ77" s="39">
        <f t="shared" si="38"/>
        <v>0</v>
      </c>
      <c r="CK77" s="39">
        <f t="shared" si="38"/>
        <v>0</v>
      </c>
      <c r="CL77" s="39">
        <f t="shared" si="38"/>
        <v>0</v>
      </c>
      <c r="CM77" s="39">
        <f t="shared" si="38"/>
        <v>0</v>
      </c>
      <c r="CN77" s="39">
        <f t="shared" si="38"/>
        <v>0</v>
      </c>
      <c r="CO77" s="39">
        <f t="shared" si="38"/>
        <v>0</v>
      </c>
      <c r="CP77" s="39">
        <f t="shared" si="38"/>
        <v>0</v>
      </c>
      <c r="CQ77" s="39">
        <f t="shared" si="38"/>
        <v>0</v>
      </c>
      <c r="CR77" s="39">
        <f t="shared" si="38"/>
        <v>0</v>
      </c>
      <c r="CS77" s="39">
        <f t="shared" si="38"/>
        <v>0</v>
      </c>
      <c r="CT77" s="39">
        <f t="shared" si="38"/>
        <v>0</v>
      </c>
      <c r="CU77" s="39">
        <f t="shared" si="38"/>
        <v>0</v>
      </c>
      <c r="CV77" s="39">
        <f t="shared" si="38"/>
        <v>0</v>
      </c>
      <c r="CW77" s="39">
        <f t="shared" si="38"/>
        <v>0</v>
      </c>
      <c r="CX77" s="39">
        <f t="shared" si="38"/>
        <v>0</v>
      </c>
      <c r="CY77" s="39">
        <f t="shared" si="38"/>
        <v>0</v>
      </c>
      <c r="CZ77" s="39">
        <f t="shared" si="38"/>
        <v>0</v>
      </c>
      <c r="DA77" s="39">
        <f t="shared" si="38"/>
        <v>0</v>
      </c>
      <c r="DB77" s="39">
        <f t="shared" si="38"/>
        <v>0</v>
      </c>
    </row>
    <row r="78" spans="2:106" ht="18.95" thickBot="1">
      <c r="B78" s="26"/>
      <c r="C78" s="1"/>
      <c r="D78" s="1"/>
      <c r="E78" s="1"/>
      <c r="F78" s="1"/>
      <c r="G78" s="33"/>
      <c r="H78" s="33"/>
      <c r="I78" s="1"/>
      <c r="J78" s="34">
        <f>IFERROR(J77/I77,0)</f>
        <v>0</v>
      </c>
      <c r="K78" s="1"/>
      <c r="L78" s="34">
        <f>IFERROR(L77/K77,0)</f>
        <v>0</v>
      </c>
      <c r="M78" s="1"/>
      <c r="N78" s="34">
        <f>IFERROR(N77/M77,0)</f>
        <v>0</v>
      </c>
      <c r="O78" s="1"/>
      <c r="P78" s="34">
        <f>IFERROR(P77/O77,0)</f>
        <v>0</v>
      </c>
      <c r="Q78" s="1"/>
      <c r="R78" s="34">
        <f>IFERROR(R77/Q77,0)</f>
        <v>0</v>
      </c>
      <c r="S78" s="1"/>
      <c r="T78" s="34">
        <f>IFERROR(T77/S77,0)</f>
        <v>0</v>
      </c>
      <c r="U78" s="1"/>
      <c r="V78" s="34">
        <f>IFERROR(V77/U77,0)</f>
        <v>0</v>
      </c>
      <c r="W78" s="1"/>
      <c r="X78" s="34">
        <f>IFERROR(X77/W77,0)</f>
        <v>0</v>
      </c>
      <c r="Y78" s="1"/>
      <c r="Z78" s="34">
        <f>IFERROR(Z77/Y77,0)</f>
        <v>0</v>
      </c>
      <c r="AA78" s="1"/>
      <c r="AB78" s="34">
        <f>IFERROR(AB77/AA77,0)</f>
        <v>0</v>
      </c>
      <c r="AC78" s="1"/>
      <c r="AD78" s="34">
        <f>IFERROR(AD77/AC77,0)</f>
        <v>0</v>
      </c>
      <c r="AE78" s="1"/>
      <c r="AF78" s="34">
        <f>IFERROR(AF77/AE77,0)</f>
        <v>0</v>
      </c>
      <c r="AG78" s="1"/>
      <c r="AH78" s="1"/>
      <c r="AI78" s="33"/>
      <c r="AJ78" s="1"/>
      <c r="AK78" s="34">
        <f>IFERROR(AK77/AJ77,0)</f>
        <v>0</v>
      </c>
      <c r="AL78" s="1"/>
      <c r="AM78" s="34">
        <f>IFERROR(AM77/AL77,0)</f>
        <v>0</v>
      </c>
      <c r="AN78" s="1"/>
      <c r="AO78" s="34">
        <f>IFERROR(AO77/AN77,0)</f>
        <v>0</v>
      </c>
      <c r="AP78" s="1"/>
      <c r="AQ78" s="34">
        <f>IFERROR(AQ77/AP77,0)</f>
        <v>0</v>
      </c>
      <c r="AR78" s="1"/>
      <c r="AS78" s="34">
        <f>IFERROR(AS77/AR77,0)</f>
        <v>0</v>
      </c>
      <c r="AT78" s="1"/>
      <c r="AU78" s="34">
        <f>IFERROR(AU77/AT77,0)</f>
        <v>0</v>
      </c>
      <c r="AV78" s="1"/>
      <c r="AW78" s="34">
        <f>IFERROR(AW77/AV77,0)</f>
        <v>0</v>
      </c>
      <c r="AX78" s="1"/>
      <c r="AY78" s="34">
        <f>IFERROR(AY77/AX77,0)</f>
        <v>0</v>
      </c>
      <c r="AZ78" s="1"/>
      <c r="BA78" s="34">
        <f>IFERROR(BA77/AZ77,0)</f>
        <v>0</v>
      </c>
      <c r="BB78" s="1"/>
      <c r="BC78" s="34">
        <f>IFERROR(BC77/BB77,0)</f>
        <v>0</v>
      </c>
      <c r="BD78" s="1"/>
      <c r="BE78" s="34">
        <f>IFERROR(BE77/BD77,0)</f>
        <v>0</v>
      </c>
      <c r="BF78" s="1"/>
      <c r="BG78" s="34">
        <f>IFERROR(BG77/BF77,0)</f>
        <v>0</v>
      </c>
      <c r="BH78" s="1"/>
      <c r="BI78" s="1"/>
      <c r="BJ78" s="1"/>
      <c r="BK78" s="1"/>
      <c r="BL78" s="1"/>
      <c r="BM78" s="1"/>
      <c r="BN78" s="1"/>
      <c r="BO78" s="1"/>
      <c r="BP78" s="1"/>
      <c r="BQ78" s="1"/>
      <c r="BR78" s="1"/>
      <c r="BS78" s="1"/>
      <c r="BT78" s="1"/>
      <c r="BU78" s="1"/>
      <c r="BV78" s="1"/>
      <c r="BW78" s="1"/>
      <c r="BX78" s="1"/>
      <c r="BY78" s="1"/>
      <c r="BZ78" s="1"/>
      <c r="CA78" s="1"/>
      <c r="CB78" s="1"/>
      <c r="CC78" s="1"/>
    </row>
    <row r="79" spans="2:106" ht="18.600000000000001">
      <c r="B79" s="27"/>
      <c r="D79" s="28">
        <f>SUM(G79,AH79)</f>
        <v>0</v>
      </c>
      <c r="E79" s="36">
        <f>SUM(H79,AI79)</f>
        <v>0</v>
      </c>
      <c r="G79" s="28" cm="1">
        <f t="array" ref="G79">SUM(H79,SUMPRODUCT(($I$12:$AF$12="Plan")*($I$11:$AF$11&gt;$B$5)*(I79:AF79))/1000000)</f>
        <v>0</v>
      </c>
      <c r="H79" s="36">
        <f>SUMIF($I$12:$AF$12,"Actual",I79:AF79)/1000000</f>
        <v>0</v>
      </c>
      <c r="I79" s="29">
        <f>SUMIF(Table4[Workstream],'$ Dashboard'!B79,Table4[Jan_2026_F])+SUMIF(Table46[Workstream],'$ Dashboard'!B79,Table46[Jan_26_F])</f>
        <v>0</v>
      </c>
      <c r="J79" s="106"/>
      <c r="K79" s="29"/>
      <c r="L79" s="106"/>
      <c r="M79" s="29"/>
      <c r="N79" s="106"/>
      <c r="O79" s="29"/>
      <c r="P79" s="106"/>
      <c r="Q79" s="29"/>
      <c r="R79" s="106"/>
      <c r="S79" s="29"/>
      <c r="T79" s="106"/>
      <c r="U79" s="29"/>
      <c r="V79" s="106"/>
      <c r="W79" s="29"/>
      <c r="X79" s="106"/>
      <c r="Y79" s="29"/>
      <c r="Z79" s="106"/>
      <c r="AA79" s="29"/>
      <c r="AB79" s="106"/>
      <c r="AC79" s="29"/>
      <c r="AD79" s="106"/>
      <c r="AE79" s="29"/>
      <c r="AF79" s="106"/>
      <c r="AH79" s="28">
        <f>SUM(AW79:BG79)/1000000</f>
        <v>0</v>
      </c>
      <c r="AI79" s="36">
        <f>SUMIF($AJ$12:$BG$12,"Actual",AJ79:BG79)/1000000</f>
        <v>0</v>
      </c>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I79" s="3"/>
      <c r="BJ79" s="3"/>
      <c r="BK79" s="3"/>
      <c r="BL79" s="3"/>
      <c r="BM79" s="3"/>
      <c r="BN79" s="3"/>
      <c r="BO79" s="3"/>
      <c r="BP79" s="3"/>
      <c r="BQ79" s="3"/>
      <c r="BR79" s="3"/>
      <c r="BS79" s="3"/>
      <c r="BT79" s="3"/>
      <c r="BU79" s="3"/>
      <c r="BV79" s="3"/>
      <c r="BW79" s="3"/>
      <c r="BX79" s="3"/>
      <c r="BY79" s="3"/>
      <c r="BZ79" s="3"/>
      <c r="CA79" s="3"/>
      <c r="CB79" s="3"/>
      <c r="CC79" s="3"/>
      <c r="CD79" s="28">
        <f>SUM(CE79:DB79)/1000000</f>
        <v>0</v>
      </c>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row>
    <row r="80" spans="2:106" ht="18.95" thickBot="1">
      <c r="B80" s="12" t="s">
        <v>62</v>
      </c>
      <c r="D80" s="30">
        <f>SUM(D77,D79)</f>
        <v>0.13800000000000001</v>
      </c>
      <c r="E80" s="30">
        <f>SUM(E77,E79)</f>
        <v>0</v>
      </c>
      <c r="G80" s="30">
        <f t="shared" ref="G80:AF80" si="39">SUM(G77,G79)</f>
        <v>0.13800000000000001</v>
      </c>
      <c r="H80" s="30">
        <f t="shared" si="39"/>
        <v>0</v>
      </c>
      <c r="I80" s="31">
        <f t="shared" si="39"/>
        <v>87000</v>
      </c>
      <c r="J80" s="31">
        <f t="shared" si="39"/>
        <v>0</v>
      </c>
      <c r="K80" s="31">
        <f t="shared" si="39"/>
        <v>0</v>
      </c>
      <c r="L80" s="31">
        <f t="shared" si="39"/>
        <v>0</v>
      </c>
      <c r="M80" s="31">
        <f t="shared" si="39"/>
        <v>0</v>
      </c>
      <c r="N80" s="31">
        <f t="shared" si="39"/>
        <v>0</v>
      </c>
      <c r="O80" s="31">
        <f t="shared" si="39"/>
        <v>0</v>
      </c>
      <c r="P80" s="31">
        <f t="shared" si="39"/>
        <v>0</v>
      </c>
      <c r="Q80" s="31">
        <f t="shared" si="39"/>
        <v>0</v>
      </c>
      <c r="R80" s="31">
        <f t="shared" si="39"/>
        <v>0</v>
      </c>
      <c r="S80" s="31">
        <f t="shared" si="39"/>
        <v>51000</v>
      </c>
      <c r="T80" s="31">
        <f t="shared" si="39"/>
        <v>0</v>
      </c>
      <c r="U80" s="31">
        <f t="shared" si="39"/>
        <v>0</v>
      </c>
      <c r="V80" s="31">
        <f t="shared" si="39"/>
        <v>0</v>
      </c>
      <c r="W80" s="31">
        <f t="shared" si="39"/>
        <v>0</v>
      </c>
      <c r="X80" s="31">
        <f t="shared" si="39"/>
        <v>0</v>
      </c>
      <c r="Y80" s="31">
        <f t="shared" si="39"/>
        <v>0</v>
      </c>
      <c r="Z80" s="31">
        <f t="shared" si="39"/>
        <v>0</v>
      </c>
      <c r="AA80" s="31">
        <f t="shared" si="39"/>
        <v>0</v>
      </c>
      <c r="AB80" s="31">
        <f t="shared" si="39"/>
        <v>0</v>
      </c>
      <c r="AC80" s="31">
        <f t="shared" si="39"/>
        <v>0</v>
      </c>
      <c r="AD80" s="31">
        <f t="shared" si="39"/>
        <v>0</v>
      </c>
      <c r="AE80" s="31">
        <f t="shared" si="39"/>
        <v>0</v>
      </c>
      <c r="AF80" s="31">
        <f t="shared" si="39"/>
        <v>0</v>
      </c>
      <c r="AH80" s="30">
        <f t="shared" ref="AH80:BG80" si="40">SUM(AH77,AH79)</f>
        <v>0</v>
      </c>
      <c r="AI80" s="30">
        <f t="shared" si="40"/>
        <v>0</v>
      </c>
      <c r="AJ80" s="31">
        <f t="shared" si="40"/>
        <v>0</v>
      </c>
      <c r="AK80" s="31">
        <f t="shared" si="40"/>
        <v>0</v>
      </c>
      <c r="AL80" s="31">
        <f t="shared" si="40"/>
        <v>0</v>
      </c>
      <c r="AM80" s="31">
        <f t="shared" si="40"/>
        <v>0</v>
      </c>
      <c r="AN80" s="31">
        <f t="shared" si="40"/>
        <v>0</v>
      </c>
      <c r="AO80" s="31">
        <f t="shared" si="40"/>
        <v>0</v>
      </c>
      <c r="AP80" s="31">
        <f t="shared" si="40"/>
        <v>0</v>
      </c>
      <c r="AQ80" s="31">
        <f t="shared" si="40"/>
        <v>0</v>
      </c>
      <c r="AR80" s="31">
        <f t="shared" si="40"/>
        <v>0</v>
      </c>
      <c r="AS80" s="31">
        <f t="shared" si="40"/>
        <v>0</v>
      </c>
      <c r="AT80" s="31">
        <f t="shared" si="40"/>
        <v>0</v>
      </c>
      <c r="AU80" s="31">
        <f t="shared" si="40"/>
        <v>0</v>
      </c>
      <c r="AV80" s="31">
        <f t="shared" si="40"/>
        <v>0</v>
      </c>
      <c r="AW80" s="31">
        <f t="shared" si="40"/>
        <v>0</v>
      </c>
      <c r="AX80" s="31">
        <f t="shared" si="40"/>
        <v>0</v>
      </c>
      <c r="AY80" s="31">
        <f t="shared" si="40"/>
        <v>0</v>
      </c>
      <c r="AZ80" s="31">
        <f t="shared" si="40"/>
        <v>0</v>
      </c>
      <c r="BA80" s="31">
        <f t="shared" si="40"/>
        <v>0</v>
      </c>
      <c r="BB80" s="31">
        <f t="shared" si="40"/>
        <v>0</v>
      </c>
      <c r="BC80" s="31">
        <f t="shared" si="40"/>
        <v>0</v>
      </c>
      <c r="BD80" s="31">
        <f t="shared" si="40"/>
        <v>0</v>
      </c>
      <c r="BE80" s="31">
        <f t="shared" si="40"/>
        <v>0</v>
      </c>
      <c r="BF80" s="31">
        <f t="shared" si="40"/>
        <v>0</v>
      </c>
      <c r="BG80" s="31">
        <f t="shared" si="40"/>
        <v>0</v>
      </c>
      <c r="BI80" s="3"/>
      <c r="BJ80" s="3"/>
      <c r="BK80" s="3"/>
      <c r="BL80" s="3"/>
      <c r="BM80" s="3"/>
      <c r="BN80" s="3"/>
      <c r="BO80" s="3"/>
      <c r="BP80" s="3"/>
      <c r="BQ80" s="3"/>
      <c r="BR80" s="3"/>
      <c r="BS80" s="3"/>
      <c r="BT80" s="3"/>
      <c r="BU80" s="3"/>
      <c r="BV80" s="3"/>
      <c r="BW80" s="3"/>
      <c r="BX80" s="3"/>
      <c r="BY80" s="3"/>
      <c r="BZ80" s="3"/>
      <c r="CA80" s="3"/>
      <c r="CB80" s="3"/>
      <c r="CC80" s="3"/>
      <c r="CD80" s="30">
        <f>SUM(CE80:DB80)/1000000</f>
        <v>0</v>
      </c>
      <c r="CE80" s="31">
        <f t="shared" ref="CE80:DB80" si="41">SUM(CE77,CE79)</f>
        <v>0</v>
      </c>
      <c r="CF80" s="31">
        <f t="shared" si="41"/>
        <v>0</v>
      </c>
      <c r="CG80" s="31">
        <f t="shared" si="41"/>
        <v>0</v>
      </c>
      <c r="CH80" s="31">
        <f t="shared" si="41"/>
        <v>0</v>
      </c>
      <c r="CI80" s="31">
        <f t="shared" si="41"/>
        <v>0</v>
      </c>
      <c r="CJ80" s="31">
        <f t="shared" si="41"/>
        <v>0</v>
      </c>
      <c r="CK80" s="31">
        <f t="shared" si="41"/>
        <v>0</v>
      </c>
      <c r="CL80" s="31">
        <f t="shared" si="41"/>
        <v>0</v>
      </c>
      <c r="CM80" s="31">
        <f t="shared" si="41"/>
        <v>0</v>
      </c>
      <c r="CN80" s="31">
        <f t="shared" si="41"/>
        <v>0</v>
      </c>
      <c r="CO80" s="31">
        <f t="shared" si="41"/>
        <v>0</v>
      </c>
      <c r="CP80" s="31">
        <f t="shared" si="41"/>
        <v>0</v>
      </c>
      <c r="CQ80" s="31">
        <f t="shared" si="41"/>
        <v>0</v>
      </c>
      <c r="CR80" s="31">
        <f t="shared" si="41"/>
        <v>0</v>
      </c>
      <c r="CS80" s="31">
        <f t="shared" si="41"/>
        <v>0</v>
      </c>
      <c r="CT80" s="31">
        <f t="shared" si="41"/>
        <v>0</v>
      </c>
      <c r="CU80" s="31">
        <f t="shared" si="41"/>
        <v>0</v>
      </c>
      <c r="CV80" s="31">
        <f t="shared" si="41"/>
        <v>0</v>
      </c>
      <c r="CW80" s="31">
        <f t="shared" si="41"/>
        <v>0</v>
      </c>
      <c r="CX80" s="31">
        <f t="shared" si="41"/>
        <v>0</v>
      </c>
      <c r="CY80" s="31">
        <f t="shared" si="41"/>
        <v>0</v>
      </c>
      <c r="CZ80" s="31">
        <f t="shared" si="41"/>
        <v>0</v>
      </c>
      <c r="DA80" s="31">
        <f t="shared" si="41"/>
        <v>0</v>
      </c>
      <c r="DB80" s="31">
        <f t="shared" si="41"/>
        <v>0</v>
      </c>
    </row>
  </sheetData>
  <mergeCells count="197">
    <mergeCell ref="K11:L11"/>
    <mergeCell ref="I11:J11"/>
    <mergeCell ref="AE11:AF11"/>
    <mergeCell ref="H11:H12"/>
    <mergeCell ref="AC11:AD11"/>
    <mergeCell ref="AA11:AB11"/>
    <mergeCell ref="Y11:Z11"/>
    <mergeCell ref="W11:X11"/>
    <mergeCell ref="U11:V11"/>
    <mergeCell ref="S11:T11"/>
    <mergeCell ref="Q11:R11"/>
    <mergeCell ref="O11:P11"/>
    <mergeCell ref="M11:N11"/>
    <mergeCell ref="C11:C12"/>
    <mergeCell ref="CY60:CY61"/>
    <mergeCell ref="CZ60:CZ61"/>
    <mergeCell ref="DA60:DA61"/>
    <mergeCell ref="DB60:DB61"/>
    <mergeCell ref="CT60:CT61"/>
    <mergeCell ref="CU60:CU61"/>
    <mergeCell ref="CV60:CV61"/>
    <mergeCell ref="CW60:CW61"/>
    <mergeCell ref="CX60:CX61"/>
    <mergeCell ref="CO60:CO61"/>
    <mergeCell ref="CP60:CP61"/>
    <mergeCell ref="CQ60:CQ61"/>
    <mergeCell ref="CR60:CR61"/>
    <mergeCell ref="CS60:CS61"/>
    <mergeCell ref="CJ60:CJ61"/>
    <mergeCell ref="CK60:CK61"/>
    <mergeCell ref="CL60:CL61"/>
    <mergeCell ref="CM60:CM61"/>
    <mergeCell ref="CN60:CN61"/>
    <mergeCell ref="CE60:CE61"/>
    <mergeCell ref="CF60:CF61"/>
    <mergeCell ref="CG60:CG61"/>
    <mergeCell ref="CH60:CH61"/>
    <mergeCell ref="AJ60:AK60"/>
    <mergeCell ref="AL60:AM60"/>
    <mergeCell ref="AN60:AO60"/>
    <mergeCell ref="W60:X60"/>
    <mergeCell ref="Y60:Z60"/>
    <mergeCell ref="AA60:AB60"/>
    <mergeCell ref="AC60:AD60"/>
    <mergeCell ref="AE60:AF60"/>
    <mergeCell ref="CI60:CI61"/>
    <mergeCell ref="AZ60:BA60"/>
    <mergeCell ref="BB60:BC60"/>
    <mergeCell ref="BD60:BE60"/>
    <mergeCell ref="BF60:BG60"/>
    <mergeCell ref="CD60:CD61"/>
    <mergeCell ref="AP60:AQ60"/>
    <mergeCell ref="AR60:AS60"/>
    <mergeCell ref="AT60:AU60"/>
    <mergeCell ref="AV60:AW60"/>
    <mergeCell ref="AX60:AY60"/>
    <mergeCell ref="B57:B58"/>
    <mergeCell ref="D59:E59"/>
    <mergeCell ref="G59:H59"/>
    <mergeCell ref="AH59:AI59"/>
    <mergeCell ref="B60:B61"/>
    <mergeCell ref="D60:D61"/>
    <mergeCell ref="E60:E61"/>
    <mergeCell ref="G60:G61"/>
    <mergeCell ref="H60:H61"/>
    <mergeCell ref="I60:J60"/>
    <mergeCell ref="K60:L60"/>
    <mergeCell ref="M60:N60"/>
    <mergeCell ref="O60:P60"/>
    <mergeCell ref="Q60:R60"/>
    <mergeCell ref="S60:T60"/>
    <mergeCell ref="U60:V60"/>
    <mergeCell ref="AH60:AH61"/>
    <mergeCell ref="AI60:AI61"/>
    <mergeCell ref="CS11:CS12"/>
    <mergeCell ref="CT11:CT12"/>
    <mergeCell ref="CZ11:CZ12"/>
    <mergeCell ref="DA11:DA12"/>
    <mergeCell ref="DB11:DB12"/>
    <mergeCell ref="CU11:CU12"/>
    <mergeCell ref="CV11:CV12"/>
    <mergeCell ref="CW11:CW12"/>
    <mergeCell ref="CX11:CX12"/>
    <mergeCell ref="CY11:CY12"/>
    <mergeCell ref="AP11:AQ11"/>
    <mergeCell ref="AR11:AS11"/>
    <mergeCell ref="AI11:AI12"/>
    <mergeCell ref="CN11:CN12"/>
    <mergeCell ref="CO11:CO12"/>
    <mergeCell ref="CP11:CP12"/>
    <mergeCell ref="CQ11:CQ12"/>
    <mergeCell ref="CR11:CR12"/>
    <mergeCell ref="CI11:CI12"/>
    <mergeCell ref="CJ11:CJ12"/>
    <mergeCell ref="CK11:CK12"/>
    <mergeCell ref="CL11:CL12"/>
    <mergeCell ref="CM11:CM12"/>
    <mergeCell ref="AH10:AI10"/>
    <mergeCell ref="D10:E10"/>
    <mergeCell ref="G10:H10"/>
    <mergeCell ref="CD11:CD12"/>
    <mergeCell ref="CE11:CE12"/>
    <mergeCell ref="CF11:CF12"/>
    <mergeCell ref="CG11:CG12"/>
    <mergeCell ref="CH11:CH12"/>
    <mergeCell ref="B5:B6"/>
    <mergeCell ref="D11:D12"/>
    <mergeCell ref="B11:B12"/>
    <mergeCell ref="G11:G12"/>
    <mergeCell ref="E11:E12"/>
    <mergeCell ref="AH11:AH12"/>
    <mergeCell ref="BD11:BE11"/>
    <mergeCell ref="BF11:BG11"/>
    <mergeCell ref="AX11:AY11"/>
    <mergeCell ref="AZ11:BA11"/>
    <mergeCell ref="BB11:BC11"/>
    <mergeCell ref="AT11:AU11"/>
    <mergeCell ref="AV11:AW11"/>
    <mergeCell ref="AJ11:AK11"/>
    <mergeCell ref="AL11:AM11"/>
    <mergeCell ref="AN11:AO11"/>
    <mergeCell ref="B33:B34"/>
    <mergeCell ref="D35:E35"/>
    <mergeCell ref="G35:H35"/>
    <mergeCell ref="AH35:AI35"/>
    <mergeCell ref="B36:B37"/>
    <mergeCell ref="C36:C37"/>
    <mergeCell ref="D36:D37"/>
    <mergeCell ref="E36:E37"/>
    <mergeCell ref="G36:G37"/>
    <mergeCell ref="H36:H37"/>
    <mergeCell ref="I36:J36"/>
    <mergeCell ref="K36:L36"/>
    <mergeCell ref="M36:N36"/>
    <mergeCell ref="O36:P36"/>
    <mergeCell ref="Q36:R36"/>
    <mergeCell ref="S36:T36"/>
    <mergeCell ref="U36:V36"/>
    <mergeCell ref="W36:X36"/>
    <mergeCell ref="Y36:Z36"/>
    <mergeCell ref="AA36:AB36"/>
    <mergeCell ref="AC36:AD36"/>
    <mergeCell ref="AE36:AF36"/>
    <mergeCell ref="AH36:AH37"/>
    <mergeCell ref="AI36:AI37"/>
    <mergeCell ref="AJ36:AK36"/>
    <mergeCell ref="AL36:AM36"/>
    <mergeCell ref="AN36:AO36"/>
    <mergeCell ref="AP36:AQ36"/>
    <mergeCell ref="AR36:AS36"/>
    <mergeCell ref="AT36:AU36"/>
    <mergeCell ref="AV36:AW36"/>
    <mergeCell ref="AX36:AY36"/>
    <mergeCell ref="AZ36:BA36"/>
    <mergeCell ref="BB36:BC36"/>
    <mergeCell ref="BD36:BE36"/>
    <mergeCell ref="BF36:BG36"/>
    <mergeCell ref="CD36:CD37"/>
    <mergeCell ref="CQ36:CQ37"/>
    <mergeCell ref="CR36:CR37"/>
    <mergeCell ref="CS36:CS37"/>
    <mergeCell ref="CT36:CT37"/>
    <mergeCell ref="CU36:CU37"/>
    <mergeCell ref="CV36:CV37"/>
    <mergeCell ref="CE36:CE37"/>
    <mergeCell ref="CF36:CF37"/>
    <mergeCell ref="CG36:CG37"/>
    <mergeCell ref="CH36:CH37"/>
    <mergeCell ref="CI36:CI37"/>
    <mergeCell ref="CJ36:CJ37"/>
    <mergeCell ref="CK36:CK37"/>
    <mergeCell ref="CL36:CL37"/>
    <mergeCell ref="CM36:CM37"/>
    <mergeCell ref="C1:C2"/>
    <mergeCell ref="CW36:CW37"/>
    <mergeCell ref="CX36:CX37"/>
    <mergeCell ref="CY36:CY37"/>
    <mergeCell ref="CZ36:CZ37"/>
    <mergeCell ref="DA36:DA37"/>
    <mergeCell ref="DB36:DB37"/>
    <mergeCell ref="D1:D2"/>
    <mergeCell ref="E1:E2"/>
    <mergeCell ref="G1:H1"/>
    <mergeCell ref="I1:J1"/>
    <mergeCell ref="K1:L1"/>
    <mergeCell ref="M1:N1"/>
    <mergeCell ref="O1:P1"/>
    <mergeCell ref="Q1:R1"/>
    <mergeCell ref="S1:T1"/>
    <mergeCell ref="U1:V1"/>
    <mergeCell ref="W1:X1"/>
    <mergeCell ref="Y1:Z1"/>
    <mergeCell ref="AA1:AB1"/>
    <mergeCell ref="AC1:AD1"/>
    <mergeCell ref="CN36:CN37"/>
    <mergeCell ref="CO36:CO37"/>
    <mergeCell ref="CP36:CP37"/>
  </mergeCells>
  <conditionalFormatting sqref="I79:J79">
    <cfRule type="expression" dxfId="483" priority="3">
      <formula>J$12="Actual"</formula>
    </cfRule>
  </conditionalFormatting>
  <conditionalFormatting sqref="I13:AF29">
    <cfRule type="expression" dxfId="482" priority="42">
      <formula>I$12="Actual"</formula>
    </cfRule>
  </conditionalFormatting>
  <conditionalFormatting sqref="AJ38:BG47 I52:J52 I38:AF47">
    <cfRule type="expression" dxfId="481" priority="19">
      <formula>I$12="Actual"</formula>
    </cfRule>
  </conditionalFormatting>
  <conditionalFormatting sqref="I62:AF76">
    <cfRule type="expression" dxfId="480" priority="16">
      <formula>J$12="Actual"</formula>
    </cfRule>
  </conditionalFormatting>
  <conditionalFormatting sqref="J31:J32 L31:L32 N31:N32 P31:P32 R31:R32 T31:T32 V31:V32 X31:X32 Z31:Z32 AB31:AB32 AD31:AD32 AF31:AF32 AK31:AK32 AM31:AM32 AO31:AO32 AQ31:AQ32 AS31:AS32 AU31:AU32 AW31:AW32 AY31:AY32 BA31:BA32 BC31:BC32 BE31:BE32 BG31:BG32 AK51 AM51 AO51 AQ51 AS51 AU51 AW51 AY51 BA51 BC51 BE51 BG51">
    <cfRule type="cellIs" dxfId="479" priority="45" operator="greaterThan">
      <formula>0</formula>
    </cfRule>
  </conditionalFormatting>
  <conditionalFormatting sqref="J78 L78 N78 P78 R78 T78 V78 X78 Z78 AB78 AD78 AF78 AK78 AM78 AO78 AQ78 AS78 AU78 AW78 AY78 BA78 BC78 BE78 BG78">
    <cfRule type="cellIs" dxfId="478" priority="17" operator="greaterThan">
      <formula>0</formula>
    </cfRule>
  </conditionalFormatting>
  <conditionalFormatting sqref="J52:AF52 AJ52:BG52">
    <cfRule type="expression" dxfId="477" priority="48">
      <formula>J10="Actual"</formula>
    </cfRule>
  </conditionalFormatting>
  <conditionalFormatting sqref="J79:AF79 AJ79:BG79">
    <cfRule type="expression" dxfId="476" priority="18">
      <formula>J59="Actual"</formula>
    </cfRule>
  </conditionalFormatting>
  <conditionalFormatting sqref="L52">
    <cfRule type="expression" dxfId="475" priority="30">
      <formula>L$12="Actual"</formula>
    </cfRule>
  </conditionalFormatting>
  <conditionalFormatting sqref="L79">
    <cfRule type="expression" dxfId="474" priority="14">
      <formula>M$12="Actual"</formula>
    </cfRule>
  </conditionalFormatting>
  <conditionalFormatting sqref="N52">
    <cfRule type="expression" dxfId="473" priority="29">
      <formula>N$12="Actual"</formula>
    </cfRule>
  </conditionalFormatting>
  <conditionalFormatting sqref="N79">
    <cfRule type="expression" dxfId="472" priority="13">
      <formula>O$12="Actual"</formula>
    </cfRule>
  </conditionalFormatting>
  <conditionalFormatting sqref="P52">
    <cfRule type="expression" dxfId="471" priority="28">
      <formula>P$12="Actual"</formula>
    </cfRule>
  </conditionalFormatting>
  <conditionalFormatting sqref="P79">
    <cfRule type="expression" dxfId="470" priority="12">
      <formula>Q$12="Actual"</formula>
    </cfRule>
  </conditionalFormatting>
  <conditionalFormatting sqref="R52">
    <cfRule type="expression" dxfId="469" priority="27">
      <formula>R$12="Actual"</formula>
    </cfRule>
  </conditionalFormatting>
  <conditionalFormatting sqref="R79">
    <cfRule type="expression" dxfId="468" priority="11">
      <formula>S$12="Actual"</formula>
    </cfRule>
  </conditionalFormatting>
  <conditionalFormatting sqref="T52">
    <cfRule type="expression" dxfId="467" priority="26">
      <formula>T$12="Actual"</formula>
    </cfRule>
  </conditionalFormatting>
  <conditionalFormatting sqref="T79">
    <cfRule type="expression" dxfId="466" priority="10">
      <formula>U$12="Actual"</formula>
    </cfRule>
  </conditionalFormatting>
  <conditionalFormatting sqref="V52">
    <cfRule type="expression" dxfId="465" priority="25">
      <formula>V$12="Actual"</formula>
    </cfRule>
  </conditionalFormatting>
  <conditionalFormatting sqref="V79">
    <cfRule type="expression" dxfId="464" priority="9">
      <formula>W$12="Actual"</formula>
    </cfRule>
  </conditionalFormatting>
  <conditionalFormatting sqref="X52">
    <cfRule type="expression" dxfId="463" priority="24">
      <formula>X$12="Actual"</formula>
    </cfRule>
  </conditionalFormatting>
  <conditionalFormatting sqref="X79">
    <cfRule type="expression" dxfId="462" priority="8">
      <formula>Y$12="Actual"</formula>
    </cfRule>
  </conditionalFormatting>
  <conditionalFormatting sqref="Z52">
    <cfRule type="expression" dxfId="461" priority="23">
      <formula>Z$12="Actual"</formula>
    </cfRule>
  </conditionalFormatting>
  <conditionalFormatting sqref="Z79">
    <cfRule type="expression" dxfId="460" priority="7">
      <formula>AA$12="Actual"</formula>
    </cfRule>
  </conditionalFormatting>
  <conditionalFormatting sqref="AB52">
    <cfRule type="expression" dxfId="459" priority="22">
      <formula>AB$12="Actual"</formula>
    </cfRule>
  </conditionalFormatting>
  <conditionalFormatting sqref="AB79">
    <cfRule type="expression" dxfId="458" priority="6">
      <formula>AC$12="Actual"</formula>
    </cfRule>
  </conditionalFormatting>
  <conditionalFormatting sqref="AD52">
    <cfRule type="expression" dxfId="457" priority="21">
      <formula>AD$12="Actual"</formula>
    </cfRule>
  </conditionalFormatting>
  <conditionalFormatting sqref="AD79">
    <cfRule type="expression" dxfId="456" priority="5">
      <formula>AE$12="Actual"</formula>
    </cfRule>
  </conditionalFormatting>
  <conditionalFormatting sqref="AF52">
    <cfRule type="expression" dxfId="455" priority="20">
      <formula>AF$12="Actual"</formula>
    </cfRule>
  </conditionalFormatting>
  <conditionalFormatting sqref="AF79">
    <cfRule type="expression" dxfId="454" priority="4">
      <formula>AG$12="Actual"</formula>
    </cfRule>
  </conditionalFormatting>
  <conditionalFormatting sqref="AJ13:BG29">
    <cfRule type="expression" dxfId="453" priority="41">
      <formula>AJ$12="Actual"</formula>
    </cfRule>
  </conditionalFormatting>
  <conditionalFormatting sqref="AJ62:BG76">
    <cfRule type="expression" dxfId="452" priority="15">
      <formula>AK$12="Actual"</formula>
    </cfRule>
  </conditionalFormatting>
  <pageMargins left="0.7" right="0.7" top="0.75" bottom="0.75" header="0.3" footer="0.3"/>
  <ignoredErrors>
    <ignoredError sqref="AJ52:BH53 H52 J52:AF52 CE53:DB53 H30:AF30 CE30:DB31 AJ30:BH31 AG30:AH30 AG52:AH53" formulaRange="1"/>
  </ignoredErrors>
  <extLst>
    <ext xmlns:x14="http://schemas.microsoft.com/office/spreadsheetml/2009/9/main" uri="{CCE6A557-97BC-4b89-ADB6-D9C93CAAB3DF}">
      <x14:dataValidations xmlns:xm="http://schemas.microsoft.com/office/excel/2006/main" count="3">
        <x14:dataValidation type="list" allowBlank="1" showInputMessage="1" showErrorMessage="1" xr:uid="{F58584FF-F843-424F-8575-5FE6E4FB3E59}">
          <x14:formula1>
            <xm:f>Tables!$Q$3:$Q$33</xm:f>
          </x14:formula1>
          <xm:sqref>B5:B9 B57:B58 B33:B34</xm:sqref>
        </x14:dataValidation>
        <x14:dataValidation type="list" allowBlank="1" showInputMessage="1" showErrorMessage="1" xr:uid="{FF1F7BA1-FDE4-4D7C-8753-4CE318A28C32}">
          <x14:formula1>
            <xm:f>Tables!$T$3:$T$11</xm:f>
          </x14:formula1>
          <xm:sqref>B62:B76</xm:sqref>
        </x14:dataValidation>
        <x14:dataValidation type="list" allowBlank="1" showInputMessage="1" showErrorMessage="1" xr:uid="{43790170-D0BF-48F3-991D-59A5DFF5AAC7}">
          <x14:formula1>
            <xm:f>Tables!$C$3:$C$16</xm:f>
          </x14:formula1>
          <xm:sqref>B13:B29 B38:B47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B4A6-67B6-49F4-B71C-6172168B0BFB}">
  <sheetPr>
    <tabColor theme="9" tint="0.59999389629810485"/>
  </sheetPr>
  <dimension ref="A1:EW133"/>
  <sheetViews>
    <sheetView showGridLines="0" tabSelected="1" topLeftCell="J8" zoomScale="64" zoomScaleNormal="55" workbookViewId="0">
      <selection activeCell="CS9" sqref="CS9"/>
    </sheetView>
  </sheetViews>
  <sheetFormatPr defaultRowHeight="15" customHeight="1" outlineLevelCol="1"/>
  <cols>
    <col min="1" max="1" width="15.140625" style="14" bestFit="1" customWidth="1"/>
    <col min="2" max="2" width="17.85546875" style="14" bestFit="1" customWidth="1"/>
    <col min="3" max="3" width="15.7109375" style="14" bestFit="1" customWidth="1"/>
    <col min="4" max="4" width="30" style="14" bestFit="1" customWidth="1"/>
    <col min="5" max="5" width="15.42578125" style="14" customWidth="1"/>
    <col min="6" max="6" width="19.5703125" style="14" customWidth="1"/>
    <col min="7" max="7" width="14.140625" style="14" customWidth="1"/>
    <col min="8" max="8" width="9.85546875" style="116" customWidth="1" outlineLevel="1"/>
    <col min="9" max="9" width="44.85546875" style="14" customWidth="1"/>
    <col min="10" max="10" width="39.5703125" style="14" customWidth="1"/>
    <col min="11" max="11" width="13" style="14" customWidth="1"/>
    <col min="12" max="12" width="18.5703125" customWidth="1"/>
    <col min="13" max="13" width="14.85546875" style="14" customWidth="1" outlineLevel="1"/>
    <col min="14" max="14" width="19.140625" style="14" customWidth="1" outlineLevel="1"/>
    <col min="15" max="15" width="18.7109375" style="14" customWidth="1" outlineLevel="1"/>
    <col min="16" max="16" width="10.5703125" style="14" customWidth="1"/>
    <col min="17" max="17" width="14.42578125" style="14" customWidth="1"/>
    <col min="18" max="18" width="18.85546875" style="14" customWidth="1"/>
    <col min="19" max="19" width="17.85546875" style="14" customWidth="1"/>
    <col min="20" max="20" width="18.5703125" style="14" customWidth="1"/>
    <col min="21" max="21" width="17.5703125" style="14" customWidth="1"/>
    <col min="22" max="22" width="17.42578125" style="14" customWidth="1"/>
    <col min="23" max="23" width="16.42578125" style="78" customWidth="1"/>
    <col min="24" max="24" width="16.5703125" style="14" customWidth="1"/>
    <col min="25" max="25" width="34.42578125" style="14" customWidth="1"/>
    <col min="26" max="26" width="22.140625" style="14" customWidth="1"/>
    <col min="27" max="27" width="10.42578125" style="14" bestFit="1" customWidth="1"/>
    <col min="28" max="28" width="8.42578125" style="14" customWidth="1" outlineLevel="1"/>
    <col min="29" max="38" width="11.85546875" style="14" customWidth="1" outlineLevel="1"/>
    <col min="39" max="39" width="11.85546875" style="79" customWidth="1" outlineLevel="1"/>
    <col min="40" max="40" width="10.42578125" style="79" bestFit="1" customWidth="1"/>
    <col min="41" max="41" width="10.42578125" style="14" bestFit="1" customWidth="1"/>
    <col min="42" max="52" width="13.140625" style="14" customWidth="1" outlineLevel="1"/>
    <col min="53" max="53" width="13.140625" style="79" customWidth="1" outlineLevel="1"/>
    <col min="54" max="54" width="10.42578125" style="14" bestFit="1" customWidth="1"/>
    <col min="55" max="65" width="13.140625" style="14" customWidth="1" outlineLevel="1"/>
    <col min="66" max="66" width="13.140625" style="77" customWidth="1" outlineLevel="1"/>
    <col min="67" max="67" width="10.42578125" style="77" bestFit="1" customWidth="1"/>
    <col min="68" max="68" width="10.42578125" bestFit="1" customWidth="1"/>
    <col min="69" max="71" width="12.85546875" customWidth="1" outlineLevel="1"/>
    <col min="72" max="72" width="10.42578125" customWidth="1" outlineLevel="1"/>
    <col min="73" max="74" width="12.85546875" customWidth="1" outlineLevel="1"/>
    <col min="75" max="75" width="11.85546875" customWidth="1" outlineLevel="1"/>
    <col min="76" max="76" width="10.42578125" customWidth="1" outlineLevel="1"/>
    <col min="77" max="79" width="12.85546875" customWidth="1" outlineLevel="1"/>
    <col min="80" max="80" width="10.42578125" customWidth="1" outlineLevel="1"/>
    <col min="81" max="83" width="12.85546875" customWidth="1" outlineLevel="1"/>
    <col min="84" max="84" width="10.42578125" customWidth="1" outlineLevel="1"/>
    <col min="85" max="87" width="12.85546875" customWidth="1" outlineLevel="1"/>
    <col min="88" max="88" width="10.42578125" customWidth="1" outlineLevel="1"/>
    <col min="89" max="89" width="12.85546875" customWidth="1" outlineLevel="1"/>
    <col min="90" max="90" width="10.42578125" customWidth="1" outlineLevel="1"/>
    <col min="91" max="91" width="12.85546875" customWidth="1" outlineLevel="1"/>
    <col min="92" max="92" width="10.42578125" customWidth="1" outlineLevel="1"/>
    <col min="93" max="93" width="12.85546875" customWidth="1" outlineLevel="1"/>
    <col min="94" max="94" width="10.42578125" customWidth="1" outlineLevel="1"/>
    <col min="95" max="95" width="12.85546875" customWidth="1" outlineLevel="1"/>
    <col min="96" max="96" width="10.42578125" customWidth="1" outlineLevel="1"/>
    <col min="97" max="97" width="12.85546875" customWidth="1" outlineLevel="1"/>
    <col min="98" max="98" width="10.42578125" customWidth="1" outlineLevel="1"/>
    <col min="99" max="99" width="12.85546875" customWidth="1" outlineLevel="1"/>
    <col min="100" max="100" width="10.42578125" customWidth="1" outlineLevel="1"/>
    <col min="101" max="101" width="14.42578125" customWidth="1" outlineLevel="1"/>
    <col min="102" max="102" width="10.42578125" customWidth="1" outlineLevel="1"/>
    <col min="103" max="103" width="14.42578125" customWidth="1" outlineLevel="1"/>
    <col min="104" max="104" width="10.42578125" customWidth="1" outlineLevel="1"/>
    <col min="105" max="105" width="14.42578125" customWidth="1" outlineLevel="1"/>
    <col min="106" max="106" width="10.42578125" customWidth="1" outlineLevel="1"/>
    <col min="107" max="107" width="14.42578125" customWidth="1" outlineLevel="1"/>
    <col min="108" max="108" width="10.42578125" customWidth="1" outlineLevel="1"/>
    <col min="109" max="109" width="14.42578125" customWidth="1" outlineLevel="1"/>
    <col min="110" max="110" width="10.42578125" customWidth="1" outlineLevel="1"/>
    <col min="111" max="111" width="14.42578125" customWidth="1" outlineLevel="1"/>
    <col min="112" max="112" width="10.42578125" customWidth="1" outlineLevel="1"/>
    <col min="113" max="113" width="14.42578125" customWidth="1" outlineLevel="1"/>
    <col min="114" max="114" width="10.42578125" customWidth="1" outlineLevel="1"/>
    <col min="115" max="115" width="14.42578125" style="77" customWidth="1" outlineLevel="1"/>
    <col min="116" max="116" width="10.42578125" customWidth="1" outlineLevel="1"/>
    <col min="117" max="117" width="10.42578125" bestFit="1" customWidth="1"/>
    <col min="118" max="153" width="10.42578125" customWidth="1" outlineLevel="1"/>
  </cols>
  <sheetData>
    <row r="1" spans="1:153" ht="14.45">
      <c r="L1" s="14"/>
      <c r="W1" s="14"/>
      <c r="AA1" s="51"/>
      <c r="AM1" s="14"/>
      <c r="AN1" s="51"/>
      <c r="AO1" s="51"/>
      <c r="BA1" s="14"/>
      <c r="BB1" s="51"/>
      <c r="BN1" s="14"/>
      <c r="BO1" s="51"/>
      <c r="BP1" s="51"/>
      <c r="DK1"/>
      <c r="DM1" s="51"/>
    </row>
    <row r="2" spans="1:153" ht="52.5" customHeight="1">
      <c r="K2" s="91"/>
      <c r="L2" s="91"/>
      <c r="W2" s="14"/>
      <c r="AA2" s="50"/>
      <c r="AC2" s="14">
        <v>19</v>
      </c>
      <c r="AM2" s="14"/>
      <c r="AN2" s="50"/>
      <c r="AO2" s="50"/>
      <c r="BA2" s="14"/>
      <c r="BB2" s="50"/>
      <c r="BN2" s="14"/>
      <c r="BO2" s="50"/>
      <c r="BP2" s="50"/>
      <c r="DK2"/>
      <c r="DM2" s="50"/>
    </row>
    <row r="3" spans="1:153" ht="14.45" customHeight="1">
      <c r="K3" s="91"/>
      <c r="L3" s="91"/>
      <c r="W3" s="14"/>
      <c r="AA3" s="50"/>
      <c r="AB3" s="14" t="s">
        <v>63</v>
      </c>
      <c r="AM3" s="14"/>
      <c r="AN3" s="50"/>
      <c r="AO3" s="50"/>
      <c r="BA3" s="14"/>
      <c r="BB3" s="50"/>
      <c r="BN3" s="14"/>
      <c r="BO3" s="50"/>
      <c r="BP3" s="50"/>
      <c r="DK3"/>
      <c r="DM3" s="50"/>
    </row>
    <row r="4" spans="1:153" ht="14.45" customHeight="1">
      <c r="K4" s="91"/>
      <c r="L4" s="91"/>
      <c r="W4" s="14"/>
      <c r="AA4" s="50"/>
      <c r="AB4" s="83"/>
      <c r="AC4" s="14" t="s">
        <v>64</v>
      </c>
      <c r="AM4" s="14"/>
      <c r="AN4" s="50"/>
      <c r="AO4" s="50"/>
      <c r="BA4" s="14"/>
      <c r="BB4" s="50"/>
      <c r="BN4" s="14"/>
      <c r="BO4" s="50"/>
      <c r="BP4" s="50"/>
      <c r="DK4"/>
      <c r="DM4" s="50"/>
    </row>
    <row r="5" spans="1:153" ht="14.45" customHeight="1">
      <c r="K5" s="91"/>
      <c r="L5" s="91"/>
      <c r="V5" s="74"/>
      <c r="W5" s="14"/>
      <c r="AA5" s="50"/>
      <c r="AB5" s="41"/>
      <c r="AC5" s="41"/>
      <c r="AD5" s="41"/>
      <c r="AE5" s="41"/>
      <c r="AF5" s="41"/>
      <c r="AG5" s="41"/>
      <c r="AH5" s="41"/>
      <c r="AI5" s="41"/>
      <c r="AJ5" s="41"/>
      <c r="AK5" s="41"/>
      <c r="AL5" s="41"/>
      <c r="AM5" s="41"/>
      <c r="AN5" s="50"/>
      <c r="AO5" s="50"/>
      <c r="AP5" s="42"/>
      <c r="AQ5" s="42"/>
      <c r="AR5" s="42"/>
      <c r="AS5" s="42"/>
      <c r="AT5" s="42"/>
      <c r="AU5" s="42"/>
      <c r="AV5" s="42"/>
      <c r="AW5" s="42"/>
      <c r="AX5" s="42"/>
      <c r="AY5" s="42"/>
      <c r="AZ5" s="42"/>
      <c r="BA5" s="42"/>
      <c r="BB5" s="50"/>
      <c r="BC5" s="42">
        <v>21</v>
      </c>
      <c r="BD5" s="42">
        <v>20</v>
      </c>
      <c r="BE5" s="42">
        <v>23</v>
      </c>
      <c r="BF5" s="42">
        <v>22</v>
      </c>
      <c r="BG5" s="42">
        <v>21</v>
      </c>
      <c r="BH5" s="42">
        <v>22</v>
      </c>
      <c r="BI5" s="42">
        <v>22</v>
      </c>
      <c r="BJ5" s="42">
        <v>22</v>
      </c>
      <c r="BK5" s="42">
        <v>22</v>
      </c>
      <c r="BL5" s="42">
        <v>21</v>
      </c>
      <c r="BM5" s="42">
        <v>22</v>
      </c>
      <c r="BN5" s="42">
        <v>23</v>
      </c>
      <c r="BO5" s="50"/>
      <c r="BP5" s="50"/>
      <c r="DK5"/>
      <c r="DM5" s="50"/>
    </row>
    <row r="6" spans="1:153" ht="19.899999999999999" customHeight="1">
      <c r="K6" s="91"/>
      <c r="L6" s="91"/>
      <c r="W6" s="14"/>
      <c r="AA6" s="50"/>
      <c r="AB6" s="82"/>
      <c r="AC6" s="82"/>
      <c r="AD6" s="82"/>
      <c r="AE6" s="82"/>
      <c r="AF6" s="82"/>
      <c r="AG6" s="82"/>
      <c r="AH6" s="82"/>
      <c r="AI6" s="82"/>
      <c r="AJ6" s="82"/>
      <c r="AK6" s="82"/>
      <c r="AL6" s="82"/>
      <c r="AM6" s="82"/>
      <c r="AN6" s="50"/>
      <c r="AO6" s="50"/>
      <c r="AP6" s="49">
        <f>SUM(Table410[Jan_2026_Days_Actual])</f>
        <v>133</v>
      </c>
      <c r="AQ6" s="49">
        <f>SUM(Table410[Feb_2026_Days_Actual])</f>
        <v>223</v>
      </c>
      <c r="AR6" s="49">
        <f>SUM(Table410[Mar_2026_Days_Actual])</f>
        <v>223</v>
      </c>
      <c r="AS6" s="49">
        <f>SUM(Table410[Apr_2026_Days_Actual])</f>
        <v>228</v>
      </c>
      <c r="AT6" s="49">
        <f>SUM(Table410[May_2026_Days_Actual])</f>
        <v>221</v>
      </c>
      <c r="AU6" s="49">
        <f>SUM(Table410[Jun_2026_Days_Actual])</f>
        <v>202</v>
      </c>
      <c r="AV6" s="49">
        <f>SUM(Table410[Jul_2026_Days_Actual])</f>
        <v>226</v>
      </c>
      <c r="AW6" s="49">
        <f>SUM(Table410[Aug_2026_Days_Actual])</f>
        <v>233</v>
      </c>
      <c r="AX6" s="49">
        <f>SUM(Table410[Sep_2026_Days_Actual])</f>
        <v>208</v>
      </c>
      <c r="AY6" s="49">
        <f>SUM(Table410[Oct_2026_Days_Actual])</f>
        <v>198</v>
      </c>
      <c r="AZ6" s="49">
        <f>SUM(Table410[Nov_2026_Days_Actual])</f>
        <v>110</v>
      </c>
      <c r="BA6" s="49">
        <f>SUM(Table410[Dec_2026_Days_Actual])</f>
        <v>101</v>
      </c>
      <c r="BB6" s="50"/>
      <c r="BC6" s="49">
        <f>SUM(Table410[Jan_2027_Days_Forecast])</f>
        <v>0</v>
      </c>
      <c r="BD6" s="49">
        <f>SUM(Table410[Feb_2027_Days_Forecast])</f>
        <v>0</v>
      </c>
      <c r="BE6" s="49">
        <f>SUM(Table410[Mar_2027_Days_Forecast])</f>
        <v>0</v>
      </c>
      <c r="BF6" s="49">
        <f>SUM(Table410[Apr_2027_Days_Forecast])</f>
        <v>0</v>
      </c>
      <c r="BG6" s="49">
        <f>SUM(Table410[May_2027_Days_Forecast])</f>
        <v>0</v>
      </c>
      <c r="BH6" s="49">
        <f>SUM(Table410[Jun_2027_Days_Forecast])</f>
        <v>0</v>
      </c>
      <c r="BI6" s="49">
        <f>SUM(Table410[Jul_2027_Days_Forecast])</f>
        <v>0</v>
      </c>
      <c r="BJ6" s="49">
        <f>SUM(Table410[Aug_2027_Days_Forecast])</f>
        <v>0</v>
      </c>
      <c r="BK6" s="49">
        <f>SUM(Table410[Sep_2027_Days_Forecast])</f>
        <v>0</v>
      </c>
      <c r="BL6" s="49">
        <f>SUM(Table410[Oct_2027_Days_Forecast])</f>
        <v>0</v>
      </c>
      <c r="BM6" s="49">
        <f>SUM(Table410[Nov_2027_Days_Forecast])</f>
        <v>0</v>
      </c>
      <c r="BN6" s="49">
        <f>SUM(Table410[Dec_2027_Days_Forecast])</f>
        <v>0</v>
      </c>
      <c r="BO6" s="50"/>
      <c r="BP6" s="50"/>
      <c r="BQ6" s="4">
        <f>SUM(Table410[Jan_2026_F])</f>
        <v>119768</v>
      </c>
      <c r="BR6" s="4">
        <f>SUM(Table410[Jan_2026_A])</f>
        <v>119768</v>
      </c>
      <c r="BS6" s="4">
        <f>SUM(Table410[Jan_2026_V])</f>
        <v>0</v>
      </c>
      <c r="BT6" s="4"/>
      <c r="BU6" s="4">
        <f>SUM(Table410[Feb_2026_F])</f>
        <v>163548</v>
      </c>
      <c r="BV6" s="4">
        <f>SUM(Table410[Feb_2026_A])</f>
        <v>150148</v>
      </c>
      <c r="BW6" s="4">
        <f>SUM(Table410[Feb_2026_D])</f>
        <v>13400</v>
      </c>
      <c r="BX6" s="4"/>
      <c r="BY6" s="4">
        <f>SUM(Table410[Mar_2026_F])</f>
        <v>163548</v>
      </c>
      <c r="BZ6" s="4">
        <f>SUM(Table410[Mar_2026_A])</f>
        <v>150148</v>
      </c>
      <c r="CA6" s="4">
        <f>SUM(Table410[Mar_2026_D])</f>
        <v>13400</v>
      </c>
      <c r="CB6" s="4"/>
      <c r="CC6" s="4">
        <f>SUM(Table410[Apr_2026_F])</f>
        <v>169188</v>
      </c>
      <c r="CD6" s="4">
        <f>SUM(Table410[Apr_2026_A])</f>
        <v>155788</v>
      </c>
      <c r="CE6" s="4">
        <f>SUM(Table410[Apr_2026_D])</f>
        <v>13400</v>
      </c>
      <c r="CF6" s="4"/>
      <c r="CG6" s="4">
        <f>SUM(Table410[May_2026_F])</f>
        <v>163813</v>
      </c>
      <c r="CH6" s="4">
        <f>SUM(Table410[May_2026_A])</f>
        <v>163813</v>
      </c>
      <c r="CI6" s="4">
        <f>SUM(Table410[May_2026_D])</f>
        <v>0</v>
      </c>
      <c r="CJ6" s="4"/>
      <c r="CK6" s="4">
        <f>SUM(Table410[Jun_2026_F])</f>
        <v>157775</v>
      </c>
      <c r="CL6" s="4">
        <f>SUM(Table410[Jun_2026_A])</f>
        <v>157775</v>
      </c>
      <c r="CM6" s="4">
        <f>SUM(Table410[Jun_2026_D])</f>
        <v>0</v>
      </c>
      <c r="CN6" s="4"/>
      <c r="CO6" s="4">
        <f>SUM(Table410[Jul_2026_F])</f>
        <v>169588</v>
      </c>
      <c r="CP6" s="4">
        <f>SUM(Table410[Jul_2026_A])</f>
        <v>169588</v>
      </c>
      <c r="CQ6" s="4">
        <f>SUM(Table410[Jul_2026_D])</f>
        <v>0</v>
      </c>
      <c r="CR6" s="4"/>
      <c r="CS6" s="4">
        <f>SUM(Table410[Aug_2026_F])</f>
        <v>174963</v>
      </c>
      <c r="CT6" s="4">
        <f>SUM(Table410[Aug_2026_A])</f>
        <v>174963</v>
      </c>
      <c r="CU6" s="4">
        <f>SUM(Table410[Aug_2026_D])</f>
        <v>0</v>
      </c>
      <c r="CV6" s="4"/>
      <c r="CW6" s="4">
        <f>SUM(Table410[Sep_2026_F])</f>
        <v>163548</v>
      </c>
      <c r="CX6" s="4">
        <f>SUM(Table410[Sep_2026_A])</f>
        <v>163548</v>
      </c>
      <c r="CY6" s="4">
        <f>SUM(Table410[Sep_2026_D])</f>
        <v>0</v>
      </c>
      <c r="CZ6" s="4"/>
      <c r="DA6" s="4">
        <f>SUM(Table410[Oct_2026_F])</f>
        <v>156508</v>
      </c>
      <c r="DB6" s="4">
        <f>SUM(Table410[Oct_2026_A])</f>
        <v>156508</v>
      </c>
      <c r="DC6" s="4">
        <f>SUM(Table410[Oct_2026_D])</f>
        <v>0</v>
      </c>
      <c r="DD6" s="4"/>
      <c r="DE6" s="4">
        <f>SUM(Table410[Nov_2026_F])</f>
        <v>110103</v>
      </c>
      <c r="DF6" s="4">
        <f>SUM(Table410[Nov_2026_A])</f>
        <v>110103</v>
      </c>
      <c r="DG6" s="4">
        <f>SUM(Table410[Nov_2026_D])</f>
        <v>0</v>
      </c>
      <c r="DH6" s="4"/>
      <c r="DI6" s="4">
        <f>SUM(Table410[Dec_2026_F])</f>
        <v>104082</v>
      </c>
      <c r="DJ6" s="4">
        <f>SUM(Table410[Dec_2026_A])</f>
        <v>104082</v>
      </c>
      <c r="DK6" s="4">
        <f>SUM(Table410[Dec_2026_D])</f>
        <v>0</v>
      </c>
      <c r="DL6" s="101"/>
      <c r="DM6" s="58"/>
      <c r="DN6" s="4">
        <f>SUM(Table410[Jan_2027_F])</f>
        <v>0</v>
      </c>
      <c r="DO6" s="4">
        <f>SUM(Table410[Jan_2027_A])</f>
        <v>0</v>
      </c>
      <c r="DP6" s="4">
        <f>SUM(Table410[Jan_2027_D])</f>
        <v>0</v>
      </c>
      <c r="DQ6" s="4">
        <f>SUM(Table410[Feb_2027_F])</f>
        <v>0</v>
      </c>
      <c r="DR6" s="4">
        <f>SUM(Table410[Feb_2027_A])</f>
        <v>0</v>
      </c>
      <c r="DS6" s="4">
        <f>SUM(Table410[Feb_2027_D])</f>
        <v>0</v>
      </c>
      <c r="DT6" s="4">
        <f>SUM(Table410[Mar_2027_F])</f>
        <v>0</v>
      </c>
      <c r="DU6" s="4">
        <f>SUM(Table410[Mar_2027_A])</f>
        <v>0</v>
      </c>
      <c r="DV6" s="4">
        <f>SUM(Table410[Mar_2027_D])</f>
        <v>0</v>
      </c>
      <c r="DW6" s="4">
        <f>SUM(Table410[Apr_2027_F])</f>
        <v>0</v>
      </c>
      <c r="DX6" s="4">
        <f>SUM(Table410[Apr_2027_A])</f>
        <v>0</v>
      </c>
      <c r="DY6" s="4">
        <f>SUM(Table410[Apr_2027_D])</f>
        <v>0</v>
      </c>
      <c r="DZ6" s="4">
        <f>SUM(Table410[May_2027_F])</f>
        <v>0</v>
      </c>
      <c r="EA6" s="4">
        <f>SUM(Table410[May_2027_A])</f>
        <v>0</v>
      </c>
      <c r="EB6" s="4">
        <f>SUM(Table410[May_2027_D])</f>
        <v>0</v>
      </c>
      <c r="EC6" s="4">
        <f>SUM(Table410[Jun_2027_F])</f>
        <v>0</v>
      </c>
      <c r="ED6" s="4">
        <f>SUM(Table410[Jun_2027_A])</f>
        <v>0</v>
      </c>
      <c r="EE6" s="4">
        <f>SUM(Table410[Jun_2027_D])</f>
        <v>0</v>
      </c>
      <c r="EF6" s="4">
        <f>SUM(Table410[Jul_2027_F])</f>
        <v>0</v>
      </c>
      <c r="EG6" s="4">
        <f>SUM(Table410[Jul_2027_A])</f>
        <v>0</v>
      </c>
      <c r="EH6" s="4">
        <f>SUM(Table410[Jul_2027_D])</f>
        <v>0</v>
      </c>
      <c r="EI6" s="4">
        <f>SUM(Table410[Aug_2027_F])</f>
        <v>0</v>
      </c>
      <c r="EJ6" s="4">
        <f>SUM(Table410[Aug_2027_A])</f>
        <v>0</v>
      </c>
      <c r="EK6" s="4">
        <f>SUM(Table410[Aug_2027_D])</f>
        <v>0</v>
      </c>
      <c r="EL6" s="4">
        <f>SUM(Table410[Sep_2027_F])</f>
        <v>0</v>
      </c>
      <c r="EM6" s="4">
        <f>SUM(Table410[Sep_2027_A])</f>
        <v>0</v>
      </c>
      <c r="EN6" s="4">
        <f>SUM(Table410[Sep_2027_D])</f>
        <v>0</v>
      </c>
      <c r="EO6" s="4">
        <f>SUM(Table410[Oct_2027_F])</f>
        <v>0</v>
      </c>
      <c r="EP6" s="4">
        <f>SUM(Table410[Oct_2027_A])</f>
        <v>0</v>
      </c>
      <c r="EQ6" s="4">
        <f>SUM(Table410[Oct_2027_D])</f>
        <v>0</v>
      </c>
      <c r="ER6" s="4">
        <f>SUM(Table410[Nov_2027_F])</f>
        <v>0</v>
      </c>
      <c r="ES6" s="4">
        <f>SUM(Table410[Nov_2027_A])</f>
        <v>0</v>
      </c>
      <c r="ET6" s="4">
        <f>SUM(Table410[Nov_2027_D])</f>
        <v>0</v>
      </c>
      <c r="EU6" s="4">
        <f>SUM(Table410[Dec_2027_F])</f>
        <v>0</v>
      </c>
      <c r="EV6" s="4">
        <f>SUM(Table410[Dec_2027_A])</f>
        <v>0</v>
      </c>
      <c r="EW6" s="4">
        <f>SUM(Table410[Dec_2027_D])</f>
        <v>0</v>
      </c>
    </row>
    <row r="7" spans="1:153" ht="19.899999999999999" customHeight="1">
      <c r="K7" s="91"/>
      <c r="L7" s="91"/>
      <c r="W7" s="14"/>
      <c r="AA7" s="50"/>
      <c r="AB7" s="83"/>
      <c r="AC7" s="83"/>
      <c r="AD7" s="83"/>
      <c r="AE7" s="83"/>
      <c r="AF7" s="83"/>
      <c r="AG7" s="83"/>
      <c r="AH7" s="83"/>
      <c r="AI7" s="83"/>
      <c r="AJ7" s="83"/>
      <c r="AK7" s="83"/>
      <c r="AL7" s="83"/>
      <c r="AM7" s="83"/>
      <c r="AN7" s="50"/>
      <c r="AO7" s="50"/>
      <c r="AP7" s="49">
        <f>SUBTOTAL(9,Table410[Jan_2026_Days_Actual])</f>
        <v>133</v>
      </c>
      <c r="AQ7" s="49">
        <f>SUBTOTAL(9,Table410[Feb_2026_Days_Actual])</f>
        <v>223</v>
      </c>
      <c r="AR7" s="49">
        <f>SUBTOTAL(9,Table410[Mar_2026_Days_Actual])</f>
        <v>223</v>
      </c>
      <c r="AS7" s="49">
        <f>SUBTOTAL(9,Table410[Apr_2026_Days_Actual])</f>
        <v>228</v>
      </c>
      <c r="AT7" s="49">
        <f>SUBTOTAL(9,Table410[May_2026_Days_Actual])</f>
        <v>221</v>
      </c>
      <c r="AU7" s="49">
        <f>SUBTOTAL(9,Table410[Jun_2026_Days_Actual])</f>
        <v>202</v>
      </c>
      <c r="AV7" s="49">
        <f>SUBTOTAL(9,Table410[Jul_2026_Days_Actual])</f>
        <v>226</v>
      </c>
      <c r="AW7" s="49">
        <f>SUBTOTAL(9,Table410[Aug_2026_Days_Actual])</f>
        <v>233</v>
      </c>
      <c r="AX7" s="49">
        <f>SUBTOTAL(9,Table410[Sep_2026_Days_Actual])</f>
        <v>208</v>
      </c>
      <c r="AY7" s="49">
        <f>SUBTOTAL(9,Table410[Oct_2026_Days_Actual])</f>
        <v>198</v>
      </c>
      <c r="AZ7" s="49">
        <f>SUBTOTAL(9,Table410[Nov_2026_Days_Actual])</f>
        <v>110</v>
      </c>
      <c r="BA7" s="49">
        <f>SUBTOTAL(9,Table410[Dec_2026_Days_Actual])</f>
        <v>101</v>
      </c>
      <c r="BB7" s="50"/>
      <c r="BC7" s="49">
        <f>SUBTOTAL(9,Table410[Jan_2027_Days_Forecast])</f>
        <v>0</v>
      </c>
      <c r="BD7" s="49">
        <f>SUBTOTAL(9,Table410[Feb_2027_Days_Forecast])</f>
        <v>0</v>
      </c>
      <c r="BE7" s="49">
        <f>SUBTOTAL(9,Table410[Mar_2027_Days_Forecast])</f>
        <v>0</v>
      </c>
      <c r="BF7" s="49">
        <f>SUBTOTAL(9,Table410[Apr_2027_Days_Forecast])</f>
        <v>0</v>
      </c>
      <c r="BG7" s="49">
        <f>SUBTOTAL(9,Table410[May_2027_Days_Forecast])</f>
        <v>0</v>
      </c>
      <c r="BH7" s="49">
        <f>SUBTOTAL(9,Table410[Jun_2027_Days_Forecast])</f>
        <v>0</v>
      </c>
      <c r="BI7" s="49">
        <f>SUBTOTAL(9,Table410[Jul_2027_Days_Forecast])</f>
        <v>0</v>
      </c>
      <c r="BJ7" s="49">
        <f>SUBTOTAL(9,Table410[Aug_2027_Days_Forecast])</f>
        <v>0</v>
      </c>
      <c r="BK7" s="49">
        <f>SUBTOTAL(9,Table410[Sep_2027_Days_Forecast])</f>
        <v>0</v>
      </c>
      <c r="BL7" s="49">
        <f>SUBTOTAL(9,Table410[Oct_2027_Days_Forecast])</f>
        <v>0</v>
      </c>
      <c r="BM7" s="49">
        <f>SUBTOTAL(9,Table410[Nov_2027_Days_Forecast])</f>
        <v>0</v>
      </c>
      <c r="BN7" s="49">
        <f>SUBTOTAL(9,Table410[Dec_2027_Days_Forecast])</f>
        <v>0</v>
      </c>
      <c r="BO7" s="50"/>
      <c r="BP7" s="50"/>
      <c r="BQ7" s="4">
        <f>SUBTOTAL(9,Table410[Jan_2026_F])</f>
        <v>119768</v>
      </c>
      <c r="BR7" s="4">
        <f>SUBTOTAL(9,Table410[Jan_2026_A])</f>
        <v>119768</v>
      </c>
      <c r="BS7" s="4">
        <f>SUBTOTAL(9,Table410[Jan_2026_V])</f>
        <v>0</v>
      </c>
      <c r="BT7" s="4"/>
      <c r="BU7" s="4">
        <f>SUBTOTAL(9,Table410[Feb_2026_F])</f>
        <v>163548</v>
      </c>
      <c r="BV7" s="4">
        <f>SUBTOTAL(9,Table410[Feb_2026_A])</f>
        <v>150148</v>
      </c>
      <c r="BW7" s="4">
        <f>SUBTOTAL(9,Table410[Feb_2026_D])</f>
        <v>13400</v>
      </c>
      <c r="BX7" s="4"/>
      <c r="BY7" s="4">
        <f>SUBTOTAL(9,Table410[Mar_2026_F])</f>
        <v>163548</v>
      </c>
      <c r="BZ7" s="4">
        <f>SUBTOTAL(9,Table410[Mar_2026_A])</f>
        <v>150148</v>
      </c>
      <c r="CA7" s="4">
        <f>SUBTOTAL(9,Table410[Mar_2026_D])</f>
        <v>13400</v>
      </c>
      <c r="CB7" s="4"/>
      <c r="CC7" s="4">
        <f>SUBTOTAL(9,Table410[Apr_2026_F])</f>
        <v>169188</v>
      </c>
      <c r="CD7" s="4">
        <f>SUBTOTAL(9,Table410[Apr_2026_A])</f>
        <v>155788</v>
      </c>
      <c r="CE7" s="4">
        <f>SUBTOTAL(9,Table410[Apr_2026_D])</f>
        <v>13400</v>
      </c>
      <c r="CF7" s="4"/>
      <c r="CG7" s="4">
        <f>SUBTOTAL(9,Table410[May_2026_F])</f>
        <v>163813</v>
      </c>
      <c r="CH7" s="4">
        <f>SUBTOTAL(9,Table410[May_2026_A])</f>
        <v>163813</v>
      </c>
      <c r="CI7" s="4">
        <f>SUBTOTAL(9,Table410[May_2026_D])</f>
        <v>0</v>
      </c>
      <c r="CJ7" s="4"/>
      <c r="CK7" s="4">
        <f>SUBTOTAL(9,Table410[Jun_2026_F])</f>
        <v>157775</v>
      </c>
      <c r="CL7" s="4">
        <f>SUBTOTAL(9,Table410[Jun_2026_A])</f>
        <v>157775</v>
      </c>
      <c r="CM7" s="4">
        <f>SUBTOTAL(9,Table410[Jun_2026_D])</f>
        <v>0</v>
      </c>
      <c r="CN7" s="4"/>
      <c r="CO7" s="4">
        <f>SUBTOTAL(9,Table410[Jul_2026_F])</f>
        <v>169588</v>
      </c>
      <c r="CP7" s="4">
        <f>SUBTOTAL(9,Table410[Jul_2026_A])</f>
        <v>169588</v>
      </c>
      <c r="CQ7" s="4">
        <f>SUBTOTAL(9,Table410[Jul_2026_D])</f>
        <v>0</v>
      </c>
      <c r="CR7" s="4"/>
      <c r="CS7" s="4">
        <f>SUBTOTAL(9,Table410[Aug_2026_F])</f>
        <v>174963</v>
      </c>
      <c r="CT7" s="4">
        <f>SUBTOTAL(9,Table410[Aug_2026_A])</f>
        <v>174963</v>
      </c>
      <c r="CU7" s="4">
        <f>SUBTOTAL(9,Table410[Aug_2026_D])</f>
        <v>0</v>
      </c>
      <c r="CV7" s="4"/>
      <c r="CW7" s="4">
        <f>SUBTOTAL(9,Table410[Sep_2026_F])</f>
        <v>163548</v>
      </c>
      <c r="CX7" s="4">
        <f>SUBTOTAL(9,Table410[Sep_2026_A])</f>
        <v>163548</v>
      </c>
      <c r="CY7" s="4">
        <f>SUBTOTAL(9,Table410[Sep_2026_D])</f>
        <v>0</v>
      </c>
      <c r="CZ7" s="4"/>
      <c r="DA7" s="4">
        <f>SUBTOTAL(9,Table410[Oct_2026_F])</f>
        <v>156508</v>
      </c>
      <c r="DB7" s="4">
        <f>SUBTOTAL(9,Table410[Oct_2026_A])</f>
        <v>156508</v>
      </c>
      <c r="DC7" s="4">
        <f>SUBTOTAL(9,Table410[Oct_2026_D])</f>
        <v>0</v>
      </c>
      <c r="DD7" s="4"/>
      <c r="DE7" s="4">
        <f>SUBTOTAL(9,Table410[Nov_2026_F])</f>
        <v>110103</v>
      </c>
      <c r="DF7" s="4">
        <f>SUBTOTAL(9,Table410[Nov_2026_A])</f>
        <v>110103</v>
      </c>
      <c r="DG7" s="4">
        <f>SUBTOTAL(9,Table410[Nov_2026_D])</f>
        <v>0</v>
      </c>
      <c r="DH7" s="4"/>
      <c r="DI7" s="4">
        <f>SUBTOTAL(9,Table410[Dec_2026_F])</f>
        <v>104082</v>
      </c>
      <c r="DJ7" s="4">
        <f>SUBTOTAL(9,Table410[Dec_2026_A])</f>
        <v>104082</v>
      </c>
      <c r="DK7" s="4">
        <f>SUBTOTAL(9,Table410[Dec_2026_D])</f>
        <v>0</v>
      </c>
      <c r="DL7" s="101"/>
      <c r="DM7" s="59"/>
      <c r="DN7" s="4">
        <f>SUBTOTAL(9,Table410[Jan_2027_F])</f>
        <v>0</v>
      </c>
      <c r="DO7" s="4">
        <f>SUBTOTAL(9,Table410[Jan_2027_A])</f>
        <v>0</v>
      </c>
      <c r="DP7" s="4">
        <f>SUBTOTAL(9,Table410[Jan_2027_D])</f>
        <v>0</v>
      </c>
      <c r="DQ7" s="4">
        <f>SUBTOTAL(9,Table410[Feb_2027_F])</f>
        <v>0</v>
      </c>
      <c r="DR7" s="4">
        <f>SUBTOTAL(9,Table410[Feb_2027_A])</f>
        <v>0</v>
      </c>
      <c r="DS7" s="4">
        <f>SUBTOTAL(9,Table410[Feb_2027_D])</f>
        <v>0</v>
      </c>
      <c r="DT7" s="4">
        <f>SUBTOTAL(9,Table410[Mar_2027_F])</f>
        <v>0</v>
      </c>
      <c r="DU7" s="4">
        <f>SUBTOTAL(9,Table410[Mar_2027_A])</f>
        <v>0</v>
      </c>
      <c r="DV7" s="4">
        <f>SUBTOTAL(9,Table410[Mar_2027_D])</f>
        <v>0</v>
      </c>
      <c r="DW7" s="4">
        <f>SUBTOTAL(9,Table410[Apr_2027_F])</f>
        <v>0</v>
      </c>
      <c r="DX7" s="4">
        <f>SUBTOTAL(9,Table410[Apr_2027_A])</f>
        <v>0</v>
      </c>
      <c r="DY7" s="4">
        <f>SUBTOTAL(9,Table410[Apr_2027_D])</f>
        <v>0</v>
      </c>
      <c r="DZ7" s="4">
        <f>SUBTOTAL(9,Table410[May_2027_F])</f>
        <v>0</v>
      </c>
      <c r="EA7" s="4">
        <f>SUBTOTAL(9,Table410[May_2027_A])</f>
        <v>0</v>
      </c>
      <c r="EB7" s="4">
        <f>SUBTOTAL(9,Table410[May_2027_D])</f>
        <v>0</v>
      </c>
      <c r="EC7" s="4">
        <f>SUBTOTAL(9,Table410[Jun_2027_F])</f>
        <v>0</v>
      </c>
      <c r="ED7" s="4">
        <f>SUBTOTAL(9,Table410[Jun_2027_A])</f>
        <v>0</v>
      </c>
      <c r="EE7" s="4">
        <f>SUBTOTAL(9,Table410[Jun_2027_D])</f>
        <v>0</v>
      </c>
      <c r="EF7" s="4">
        <f>SUBTOTAL(9,Table410[Jul_2027_F])</f>
        <v>0</v>
      </c>
      <c r="EG7" s="4">
        <f>SUBTOTAL(9,Table410[Jul_2027_A])</f>
        <v>0</v>
      </c>
      <c r="EH7" s="4">
        <f>SUBTOTAL(9,Table410[Jul_2027_D])</f>
        <v>0</v>
      </c>
      <c r="EI7" s="4">
        <f>SUBTOTAL(9,Table410[Aug_2027_F])</f>
        <v>0</v>
      </c>
      <c r="EJ7" s="4">
        <f>SUBTOTAL(9,Table410[Aug_2027_A])</f>
        <v>0</v>
      </c>
      <c r="EK7" s="4">
        <f>SUBTOTAL(9,Table410[Aug_2027_D])</f>
        <v>0</v>
      </c>
      <c r="EL7" s="4">
        <f>SUBTOTAL(9,Table410[Sep_2027_F])</f>
        <v>0</v>
      </c>
      <c r="EM7" s="4">
        <f>SUBTOTAL(9,Table410[Sep_2027_A])</f>
        <v>0</v>
      </c>
      <c r="EN7" s="4">
        <f>SUBTOTAL(9,Table410[Sep_2027_D])</f>
        <v>0</v>
      </c>
      <c r="EO7" s="4">
        <f>SUBTOTAL(9,Table410[Oct_2027_F])</f>
        <v>0</v>
      </c>
      <c r="EP7" s="4">
        <f>SUBTOTAL(9,Table410[Oct_2027_A])</f>
        <v>0</v>
      </c>
      <c r="EQ7" s="4">
        <f>SUBTOTAL(9,Table410[Oct_2027_D])</f>
        <v>0</v>
      </c>
      <c r="ER7" s="4">
        <f>SUBTOTAL(9,Table410[Nov_2027_F])</f>
        <v>0</v>
      </c>
      <c r="ES7" s="4">
        <f>SUBTOTAL(9,Table410[Nov_2027_A])</f>
        <v>0</v>
      </c>
      <c r="ET7" s="4">
        <f>SUBTOTAL(9,Table410[Nov_2027_D])</f>
        <v>0</v>
      </c>
      <c r="EU7" s="4">
        <f>SUBTOTAL(9,Table410[Dec_2027_F])</f>
        <v>0</v>
      </c>
      <c r="EV7" s="4">
        <f>SUBTOTAL(9,Table410[Dec_2027_A])</f>
        <v>0</v>
      </c>
      <c r="EW7" s="4">
        <f>SUBTOTAL(9,Table410[Dec_2027_D])</f>
        <v>0</v>
      </c>
    </row>
    <row r="8" spans="1:153" ht="14.45" customHeight="1">
      <c r="L8" s="14"/>
      <c r="W8" s="14"/>
      <c r="AA8" s="50"/>
      <c r="AB8" s="222">
        <v>2026</v>
      </c>
      <c r="AC8" s="223"/>
      <c r="AD8" s="223"/>
      <c r="AE8" s="223"/>
      <c r="AF8" s="223"/>
      <c r="AG8" s="223"/>
      <c r="AH8" s="223"/>
      <c r="AI8" s="223"/>
      <c r="AJ8" s="223"/>
      <c r="AK8" s="223"/>
      <c r="AL8" s="223"/>
      <c r="AM8" s="224"/>
      <c r="AN8" s="50"/>
      <c r="AO8" s="50"/>
      <c r="AP8" s="225">
        <v>2026</v>
      </c>
      <c r="AQ8" s="226"/>
      <c r="AR8" s="226"/>
      <c r="AS8" s="226"/>
      <c r="AT8" s="226"/>
      <c r="AU8" s="226"/>
      <c r="AV8" s="226"/>
      <c r="AW8" s="226"/>
      <c r="AX8" s="226"/>
      <c r="AY8" s="226"/>
      <c r="AZ8" s="226"/>
      <c r="BA8" s="227"/>
      <c r="BB8" s="50"/>
      <c r="BC8" s="228">
        <v>2027</v>
      </c>
      <c r="BD8" s="229"/>
      <c r="BE8" s="229"/>
      <c r="BF8" s="229"/>
      <c r="BG8" s="229"/>
      <c r="BH8" s="229"/>
      <c r="BI8" s="229"/>
      <c r="BJ8" s="229"/>
      <c r="BK8" s="229"/>
      <c r="BL8" s="229"/>
      <c r="BM8" s="229"/>
      <c r="BN8" s="230"/>
      <c r="BO8" s="50"/>
      <c r="BP8" s="50"/>
      <c r="BQ8" s="219">
        <v>46047</v>
      </c>
      <c r="BR8" s="220"/>
      <c r="BS8" s="221"/>
      <c r="BT8" s="100"/>
      <c r="BU8" s="219">
        <v>46078</v>
      </c>
      <c r="BV8" s="220"/>
      <c r="BW8" s="221"/>
      <c r="BX8" s="100"/>
      <c r="BY8" s="219">
        <v>46106</v>
      </c>
      <c r="BZ8" s="220"/>
      <c r="CA8" s="221"/>
      <c r="CB8" s="100"/>
      <c r="CC8" s="219">
        <v>46137</v>
      </c>
      <c r="CD8" s="220"/>
      <c r="CE8" s="221"/>
      <c r="CF8" s="100"/>
      <c r="CG8" s="219">
        <v>46167</v>
      </c>
      <c r="CH8" s="220"/>
      <c r="CI8" s="221"/>
      <c r="CJ8" s="100"/>
      <c r="CK8" s="219">
        <v>46198</v>
      </c>
      <c r="CL8" s="220"/>
      <c r="CM8" s="221"/>
      <c r="CN8" s="100"/>
      <c r="CO8" s="219">
        <v>46228</v>
      </c>
      <c r="CP8" s="220"/>
      <c r="CQ8" s="221"/>
      <c r="CR8" s="100"/>
      <c r="CS8" s="219">
        <v>46259</v>
      </c>
      <c r="CT8" s="220"/>
      <c r="CU8" s="221"/>
      <c r="CV8" s="100"/>
      <c r="CW8" s="219">
        <v>46290</v>
      </c>
      <c r="CX8" s="220"/>
      <c r="CY8" s="221"/>
      <c r="CZ8" s="100"/>
      <c r="DA8" s="219">
        <v>46320</v>
      </c>
      <c r="DB8" s="220"/>
      <c r="DC8" s="221"/>
      <c r="DD8" s="100"/>
      <c r="DE8" s="219">
        <v>46351</v>
      </c>
      <c r="DF8" s="220"/>
      <c r="DG8" s="221"/>
      <c r="DH8" s="100"/>
      <c r="DI8" s="219">
        <v>46381</v>
      </c>
      <c r="DJ8" s="220"/>
      <c r="DK8" s="221"/>
      <c r="DL8" s="102"/>
      <c r="DM8" s="55"/>
      <c r="DN8" s="219">
        <v>46412</v>
      </c>
      <c r="DO8" s="220"/>
      <c r="DP8" s="221"/>
      <c r="DQ8" s="231">
        <v>46443</v>
      </c>
      <c r="DR8" s="220"/>
      <c r="DS8" s="221"/>
      <c r="DT8" s="231">
        <v>46471</v>
      </c>
      <c r="DU8" s="220"/>
      <c r="DV8" s="221"/>
      <c r="DW8" s="231">
        <v>46502</v>
      </c>
      <c r="DX8" s="220"/>
      <c r="DY8" s="221"/>
      <c r="DZ8" s="231">
        <v>46532</v>
      </c>
      <c r="EA8" s="220"/>
      <c r="EB8" s="221"/>
      <c r="EC8" s="231">
        <v>46563</v>
      </c>
      <c r="ED8" s="220"/>
      <c r="EE8" s="221"/>
      <c r="EF8" s="231">
        <v>46593</v>
      </c>
      <c r="EG8" s="220"/>
      <c r="EH8" s="221"/>
      <c r="EI8" s="231">
        <v>46624</v>
      </c>
      <c r="EJ8" s="220"/>
      <c r="EK8" s="221"/>
      <c r="EL8" s="231">
        <v>46655</v>
      </c>
      <c r="EM8" s="220"/>
      <c r="EN8" s="221"/>
      <c r="EO8" s="231">
        <v>46685</v>
      </c>
      <c r="EP8" s="220"/>
      <c r="EQ8" s="221"/>
      <c r="ER8" s="231">
        <v>46716</v>
      </c>
      <c r="ES8" s="220"/>
      <c r="ET8" s="221"/>
      <c r="EU8" s="231">
        <v>46746</v>
      </c>
      <c r="EV8" s="220"/>
      <c r="EW8" s="221"/>
    </row>
    <row r="9" spans="1:153" s="48" customFormat="1" ht="132" customHeight="1">
      <c r="A9" s="44" t="s">
        <v>65</v>
      </c>
      <c r="B9" s="97" t="s">
        <v>66</v>
      </c>
      <c r="C9" s="97" t="s">
        <v>67</v>
      </c>
      <c r="D9" s="95" t="s">
        <v>68</v>
      </c>
      <c r="E9" s="98" t="s">
        <v>69</v>
      </c>
      <c r="F9" s="98" t="s">
        <v>70</v>
      </c>
      <c r="G9" s="96" t="s">
        <v>71</v>
      </c>
      <c r="H9" s="96" t="s">
        <v>72</v>
      </c>
      <c r="I9" s="44" t="s">
        <v>73</v>
      </c>
      <c r="J9" s="97" t="s">
        <v>74</v>
      </c>
      <c r="K9" s="96" t="s">
        <v>75</v>
      </c>
      <c r="L9" s="43" t="s">
        <v>76</v>
      </c>
      <c r="M9" s="43" t="s">
        <v>77</v>
      </c>
      <c r="N9" s="97" t="s">
        <v>78</v>
      </c>
      <c r="O9" s="44" t="s">
        <v>79</v>
      </c>
      <c r="P9" s="44" t="s">
        <v>80</v>
      </c>
      <c r="Q9" s="96" t="s">
        <v>81</v>
      </c>
      <c r="R9" s="44" t="s">
        <v>82</v>
      </c>
      <c r="S9" s="44" t="s">
        <v>83</v>
      </c>
      <c r="T9" s="44" t="s">
        <v>84</v>
      </c>
      <c r="U9" s="44" t="s">
        <v>85</v>
      </c>
      <c r="V9" s="44" t="s">
        <v>86</v>
      </c>
      <c r="W9" s="44" t="s">
        <v>87</v>
      </c>
      <c r="X9" s="44" t="s">
        <v>88</v>
      </c>
      <c r="Y9" s="73" t="s">
        <v>89</v>
      </c>
      <c r="Z9" s="73" t="s">
        <v>90</v>
      </c>
      <c r="AA9" s="52" t="s">
        <v>91</v>
      </c>
      <c r="AB9" s="81" t="s">
        <v>92</v>
      </c>
      <c r="AC9" s="81" t="s">
        <v>93</v>
      </c>
      <c r="AD9" s="81" t="s">
        <v>94</v>
      </c>
      <c r="AE9" s="81" t="s">
        <v>95</v>
      </c>
      <c r="AF9" s="81" t="s">
        <v>96</v>
      </c>
      <c r="AG9" s="81" t="s">
        <v>97</v>
      </c>
      <c r="AH9" s="81" t="s">
        <v>98</v>
      </c>
      <c r="AI9" s="81" t="s">
        <v>99</v>
      </c>
      <c r="AJ9" s="81" t="s">
        <v>100</v>
      </c>
      <c r="AK9" s="81" t="s">
        <v>101</v>
      </c>
      <c r="AL9" s="81" t="s">
        <v>102</v>
      </c>
      <c r="AM9" s="81" t="s">
        <v>103</v>
      </c>
      <c r="AN9" s="52" t="s">
        <v>104</v>
      </c>
      <c r="AO9" s="52" t="s">
        <v>105</v>
      </c>
      <c r="AP9" s="45" t="s">
        <v>106</v>
      </c>
      <c r="AQ9" s="45" t="s">
        <v>107</v>
      </c>
      <c r="AR9" s="45" t="s">
        <v>108</v>
      </c>
      <c r="AS9" s="45" t="s">
        <v>109</v>
      </c>
      <c r="AT9" s="45" t="s">
        <v>110</v>
      </c>
      <c r="AU9" s="45" t="s">
        <v>111</v>
      </c>
      <c r="AV9" s="45" t="s">
        <v>112</v>
      </c>
      <c r="AW9" s="45" t="s">
        <v>113</v>
      </c>
      <c r="AX9" s="45" t="s">
        <v>114</v>
      </c>
      <c r="AY9" s="45" t="s">
        <v>115</v>
      </c>
      <c r="AZ9" s="45" t="s">
        <v>116</v>
      </c>
      <c r="BA9" s="45" t="s">
        <v>117</v>
      </c>
      <c r="BB9" s="52" t="s">
        <v>118</v>
      </c>
      <c r="BC9" s="45" t="s">
        <v>119</v>
      </c>
      <c r="BD9" s="45" t="s">
        <v>120</v>
      </c>
      <c r="BE9" s="45" t="s">
        <v>121</v>
      </c>
      <c r="BF9" s="45" t="s">
        <v>122</v>
      </c>
      <c r="BG9" s="45" t="s">
        <v>123</v>
      </c>
      <c r="BH9" s="45" t="s">
        <v>124</v>
      </c>
      <c r="BI9" s="45" t="s">
        <v>125</v>
      </c>
      <c r="BJ9" s="45" t="s">
        <v>126</v>
      </c>
      <c r="BK9" s="45" t="s">
        <v>127</v>
      </c>
      <c r="BL9" s="45" t="s">
        <v>128</v>
      </c>
      <c r="BM9" s="45" t="s">
        <v>129</v>
      </c>
      <c r="BN9" s="45" t="s">
        <v>130</v>
      </c>
      <c r="BO9" s="52" t="s">
        <v>131</v>
      </c>
      <c r="BP9" s="52" t="s">
        <v>132</v>
      </c>
      <c r="BQ9" s="46" t="s">
        <v>133</v>
      </c>
      <c r="BR9" s="64" t="s">
        <v>134</v>
      </c>
      <c r="BS9" s="75" t="s">
        <v>135</v>
      </c>
      <c r="BT9" s="104" t="s">
        <v>136</v>
      </c>
      <c r="BU9" s="47" t="s">
        <v>137</v>
      </c>
      <c r="BV9" s="64" t="s">
        <v>138</v>
      </c>
      <c r="BW9" s="76" t="s">
        <v>139</v>
      </c>
      <c r="BX9" s="105" t="s">
        <v>140</v>
      </c>
      <c r="BY9" s="47" t="s">
        <v>141</v>
      </c>
      <c r="BZ9" s="64" t="s">
        <v>142</v>
      </c>
      <c r="CA9" s="76" t="s">
        <v>143</v>
      </c>
      <c r="CB9" s="105" t="s">
        <v>144</v>
      </c>
      <c r="CC9" s="47" t="s">
        <v>145</v>
      </c>
      <c r="CD9" s="64" t="s">
        <v>146</v>
      </c>
      <c r="CE9" s="76" t="s">
        <v>147</v>
      </c>
      <c r="CF9" s="105" t="s">
        <v>148</v>
      </c>
      <c r="CG9" s="47" t="s">
        <v>149</v>
      </c>
      <c r="CH9" s="64" t="s">
        <v>150</v>
      </c>
      <c r="CI9" s="76" t="s">
        <v>151</v>
      </c>
      <c r="CJ9" s="105" t="s">
        <v>152</v>
      </c>
      <c r="CK9" s="47" t="s">
        <v>153</v>
      </c>
      <c r="CL9" s="64" t="s">
        <v>154</v>
      </c>
      <c r="CM9" s="76" t="s">
        <v>155</v>
      </c>
      <c r="CN9" s="105" t="s">
        <v>156</v>
      </c>
      <c r="CO9" s="47" t="s">
        <v>157</v>
      </c>
      <c r="CP9" s="64" t="s">
        <v>158</v>
      </c>
      <c r="CQ9" s="76" t="s">
        <v>159</v>
      </c>
      <c r="CR9" s="105" t="s">
        <v>160</v>
      </c>
      <c r="CS9" s="47" t="s">
        <v>161</v>
      </c>
      <c r="CT9" s="64" t="s">
        <v>162</v>
      </c>
      <c r="CU9" s="76" t="s">
        <v>163</v>
      </c>
      <c r="CV9" s="105" t="s">
        <v>164</v>
      </c>
      <c r="CW9" s="47" t="s">
        <v>165</v>
      </c>
      <c r="CX9" s="64" t="s">
        <v>166</v>
      </c>
      <c r="CY9" s="76" t="s">
        <v>167</v>
      </c>
      <c r="CZ9" s="105" t="s">
        <v>168</v>
      </c>
      <c r="DA9" s="47" t="s">
        <v>169</v>
      </c>
      <c r="DB9" s="64" t="s">
        <v>170</v>
      </c>
      <c r="DC9" s="76" t="s">
        <v>171</v>
      </c>
      <c r="DD9" s="105" t="s">
        <v>172</v>
      </c>
      <c r="DE9" s="47" t="s">
        <v>173</v>
      </c>
      <c r="DF9" s="64" t="s">
        <v>174</v>
      </c>
      <c r="DG9" s="76" t="s">
        <v>175</v>
      </c>
      <c r="DH9" s="105" t="s">
        <v>176</v>
      </c>
      <c r="DI9" s="47" t="s">
        <v>177</v>
      </c>
      <c r="DJ9" s="64" t="s">
        <v>178</v>
      </c>
      <c r="DK9" s="76" t="s">
        <v>179</v>
      </c>
      <c r="DL9" s="105" t="s">
        <v>180</v>
      </c>
      <c r="DM9" s="57" t="s">
        <v>181</v>
      </c>
      <c r="DN9" s="46" t="s">
        <v>182</v>
      </c>
      <c r="DO9" s="64" t="s">
        <v>183</v>
      </c>
      <c r="DP9" s="75" t="s">
        <v>184</v>
      </c>
      <c r="DQ9" s="47" t="s">
        <v>185</v>
      </c>
      <c r="DR9" s="64" t="s">
        <v>186</v>
      </c>
      <c r="DS9" s="76" t="s">
        <v>187</v>
      </c>
      <c r="DT9" s="47" t="s">
        <v>188</v>
      </c>
      <c r="DU9" s="64" t="s">
        <v>189</v>
      </c>
      <c r="DV9" s="76" t="s">
        <v>190</v>
      </c>
      <c r="DW9" s="47" t="s">
        <v>191</v>
      </c>
      <c r="DX9" s="64" t="s">
        <v>192</v>
      </c>
      <c r="DY9" s="76" t="s">
        <v>193</v>
      </c>
      <c r="DZ9" s="47" t="s">
        <v>194</v>
      </c>
      <c r="EA9" s="64" t="s">
        <v>195</v>
      </c>
      <c r="EB9" s="76" t="s">
        <v>196</v>
      </c>
      <c r="EC9" s="47" t="s">
        <v>197</v>
      </c>
      <c r="ED9" s="64" t="s">
        <v>198</v>
      </c>
      <c r="EE9" s="76" t="s">
        <v>199</v>
      </c>
      <c r="EF9" s="47" t="s">
        <v>200</v>
      </c>
      <c r="EG9" s="64" t="s">
        <v>201</v>
      </c>
      <c r="EH9" s="76" t="s">
        <v>202</v>
      </c>
      <c r="EI9" s="47" t="s">
        <v>203</v>
      </c>
      <c r="EJ9" s="64" t="s">
        <v>204</v>
      </c>
      <c r="EK9" s="76" t="s">
        <v>205</v>
      </c>
      <c r="EL9" s="47" t="s">
        <v>206</v>
      </c>
      <c r="EM9" s="64" t="s">
        <v>207</v>
      </c>
      <c r="EN9" s="76" t="s">
        <v>208</v>
      </c>
      <c r="EO9" s="47" t="s">
        <v>209</v>
      </c>
      <c r="EP9" s="64" t="s">
        <v>210</v>
      </c>
      <c r="EQ9" s="76" t="s">
        <v>211</v>
      </c>
      <c r="ER9" s="47" t="s">
        <v>212</v>
      </c>
      <c r="ES9" s="64" t="s">
        <v>213</v>
      </c>
      <c r="ET9" s="76" t="s">
        <v>214</v>
      </c>
      <c r="EU9" s="47" t="s">
        <v>215</v>
      </c>
      <c r="EV9" s="64" t="s">
        <v>216</v>
      </c>
      <c r="EW9" s="76" t="s">
        <v>217</v>
      </c>
    </row>
    <row r="10" spans="1:153" s="13" customFormat="1" ht="30.75" customHeight="1">
      <c r="A10" s="13" t="s">
        <v>218</v>
      </c>
      <c r="B10" s="13" t="s">
        <v>42</v>
      </c>
      <c r="C10" s="13" t="s">
        <v>219</v>
      </c>
      <c r="D10" s="13" t="s">
        <v>220</v>
      </c>
      <c r="E10" s="13" t="s">
        <v>221</v>
      </c>
      <c r="G10" s="13" t="s">
        <v>222</v>
      </c>
      <c r="H10" s="13">
        <v>4</v>
      </c>
      <c r="J10" s="13" t="s">
        <v>223</v>
      </c>
      <c r="K10" s="13" t="s">
        <v>224</v>
      </c>
      <c r="L10" s="13">
        <v>1</v>
      </c>
      <c r="M10" s="13" t="s">
        <v>225</v>
      </c>
      <c r="N10" s="13" t="s">
        <v>226</v>
      </c>
      <c r="O10" s="13" t="s">
        <v>227</v>
      </c>
      <c r="P10" s="13" t="s">
        <v>53</v>
      </c>
      <c r="Q10" s="13" t="s">
        <v>228</v>
      </c>
      <c r="R10" s="193">
        <v>46023</v>
      </c>
      <c r="S10" s="193">
        <v>46387</v>
      </c>
      <c r="T10" s="193">
        <v>46023</v>
      </c>
      <c r="U10" s="193">
        <v>46387</v>
      </c>
      <c r="V10" s="193">
        <v>46023</v>
      </c>
      <c r="W10" s="193">
        <v>46387</v>
      </c>
      <c r="Y10" s="13" t="str">
        <f>CONCATENATE(Table410[[#This Row],[JG]],Table410[[#This Row],[Country]],Table410[[#This Row],[Resource Provider]])</f>
        <v>4United KingdomShell Business</v>
      </c>
      <c r="Z10" s="13">
        <f>VLOOKUP(Table410[[#This Row],[RATE CONCAT]],Tables!I:N,5,0)</f>
        <v>935</v>
      </c>
      <c r="AA10" s="52"/>
      <c r="AB10" s="130">
        <v>19</v>
      </c>
      <c r="AC10" s="130">
        <v>19</v>
      </c>
      <c r="AD10" s="130">
        <v>19</v>
      </c>
      <c r="AE10" s="130">
        <v>19</v>
      </c>
      <c r="AF10" s="130">
        <v>19</v>
      </c>
      <c r="AG10" s="130">
        <v>19</v>
      </c>
      <c r="AH10" s="130">
        <v>19</v>
      </c>
      <c r="AI10" s="130">
        <v>19</v>
      </c>
      <c r="AJ10" s="130">
        <v>19</v>
      </c>
      <c r="AK10" s="130">
        <v>19</v>
      </c>
      <c r="AL10" s="130">
        <v>19</v>
      </c>
      <c r="AM10" s="130">
        <v>19</v>
      </c>
      <c r="AN10" s="176">
        <f>IFERROR(AVERAGE(Table410[[#This Row],[Jan_2026_Days_Forecast]:[Dec_2026_Days_Forecast]]),0)/19</f>
        <v>1</v>
      </c>
      <c r="AO10" s="176">
        <f>IFERROR(AVERAGE(Table410[[#This Row],[Jan_2026_Days_Actual]:[Dec_2026_Days_Actual]]),0)/19</f>
        <v>1</v>
      </c>
      <c r="AP10" s="130">
        <v>19</v>
      </c>
      <c r="AQ10" s="130">
        <v>19</v>
      </c>
      <c r="AR10" s="130">
        <v>19</v>
      </c>
      <c r="AS10" s="130">
        <v>19</v>
      </c>
      <c r="AT10" s="130">
        <v>19</v>
      </c>
      <c r="AU10" s="130">
        <v>19</v>
      </c>
      <c r="AV10" s="130">
        <v>19</v>
      </c>
      <c r="AW10" s="130">
        <v>19</v>
      </c>
      <c r="AX10" s="130">
        <v>19</v>
      </c>
      <c r="AY10" s="130">
        <v>19</v>
      </c>
      <c r="AZ10" s="130">
        <v>19</v>
      </c>
      <c r="BA10" s="130">
        <v>19</v>
      </c>
      <c r="BB10" s="176">
        <f>IFERROR(AVERAGE(Table410[[#This Row],[Jan_2027_Days_Forecast]:[Dec_2027_Days_Forecast]]),0)</f>
        <v>0</v>
      </c>
      <c r="BC10" s="127"/>
      <c r="BD10" s="127"/>
      <c r="BE10" s="127"/>
      <c r="BF10" s="127"/>
      <c r="BG10" s="127"/>
      <c r="BH10" s="127"/>
      <c r="BI10" s="127"/>
      <c r="BJ10" s="127"/>
      <c r="BK10" s="127"/>
      <c r="BL10" s="127"/>
      <c r="BM10" s="127"/>
      <c r="BN10" s="127"/>
      <c r="BO10" s="176"/>
      <c r="BP10" s="176"/>
      <c r="BQ10" s="13">
        <f>IFERROR(Table410[[#This Row],[Jan_2026_Days_Forecast]]*Table410[[#This Row],[Cost Boolean]]*(VLOOKUP(Table410[[#This Row],[RATE CONCAT]],Tables!I:N,5,0)),0)</f>
        <v>17765</v>
      </c>
      <c r="BR10" s="13">
        <f>IFERROR(Table410[[#This Row],[Jan_2026_Days_Actual]]*Table410[[#This Row],[Cost Boolean]]*(VLOOKUP(Table410[[#This Row],[RATE CONCAT]],Tables!I:N,5,0)),0)</f>
        <v>17765</v>
      </c>
      <c r="BS10" s="13">
        <f>Table410[[#This Row],[Jan_2026_F]]-Table410[[#This Row],[Jan_2026_A]]</f>
        <v>0</v>
      </c>
      <c r="BU10" s="13">
        <f>IFERROR(Table410[[#This Row],[Feb_2026_Days_Forecast]]*Table410[[#This Row],[Cost Boolean]]*(VLOOKUP(Table410[[#This Row],[RATE CONCAT]],Tables!I:N,5,0)),0)</f>
        <v>17765</v>
      </c>
      <c r="BV10" s="13">
        <f>IFERROR(Table410[[#This Row],[Feb_2026_Days_Actual]]*Table410[[#This Row],[Cost Boolean]]*(VLOOKUP(Table410[[#This Row],[RATE CONCAT]],Tables!I:N,5,0)),0)</f>
        <v>17765</v>
      </c>
      <c r="BW10" s="13">
        <f>Table410[[#This Row],[Feb_2026_F]]-Table410[[#This Row],[Feb_2026_A]]</f>
        <v>0</v>
      </c>
      <c r="BY10" s="13">
        <f>IFERROR(Table410[[#This Row],[Mar_2026_Days_Forecast]]*Table410[[#This Row],[Cost Boolean]]*(VLOOKUP(Table410[[#This Row],[RATE CONCAT]],Tables!I:N,5,0)),0)</f>
        <v>17765</v>
      </c>
      <c r="BZ10" s="13">
        <f>IFERROR(Table410[[#This Row],[Mar_2026_Days_Actual]]*Table410[[#This Row],[Cost Boolean]]*(VLOOKUP(Table410[[#This Row],[RATE CONCAT]],Tables!I:N,5,0)),0)</f>
        <v>17765</v>
      </c>
      <c r="CA10" s="13">
        <f>Table410[[#This Row],[Mar_2026_F]]-Table410[[#This Row],[Mar_2026_A]]</f>
        <v>0</v>
      </c>
      <c r="CC10" s="13">
        <f>IFERROR(Table410[[#This Row],[Apr_2026_Days_Forecast]]*Table410[[#This Row],[Cost Boolean]]*(VLOOKUP(Table410[[#This Row],[RATE CONCAT]],Tables!I:N,5,0)),0)</f>
        <v>17765</v>
      </c>
      <c r="CD10" s="13">
        <f>IFERROR(Table410[[#This Row],[Apr_2026_Days_Actual]]*Table410[[#This Row],[Cost Boolean]]*(VLOOKUP(Table410[[#This Row],[RATE CONCAT]],Tables!I:N,5,0)),0)</f>
        <v>17765</v>
      </c>
      <c r="CE10" s="13">
        <f>Table410[[#This Row],[Apr_2026_F]]-Table410[[#This Row],[Apr_2026_A]]</f>
        <v>0</v>
      </c>
      <c r="CG10" s="13">
        <f>IFERROR(Table410[[#This Row],[May_2026_Days_Forecast]] *Table410[[#This Row],[Cost Boolean]]*(VLOOKUP(Table410[[#This Row],[RATE CONCAT]],Tables!I:N,5,0)),0)</f>
        <v>17765</v>
      </c>
      <c r="CH10" s="13">
        <f>IFERROR(Table410[[#This Row],[May_2026_Days_Actual]]*Table410[[#This Row],[Cost Boolean]]*(VLOOKUP(Table410[[#This Row],[RATE CONCAT]],Tables!I:N,5,0)),0)</f>
        <v>17765</v>
      </c>
      <c r="CI10" s="13">
        <f>Table410[[#This Row],[May_2026_F]]-Table410[[#This Row],[May_2026_A]]</f>
        <v>0</v>
      </c>
      <c r="CK10" s="13">
        <f>IFERROR(Table410[[#This Row],[Jun_2026_Days_Forecast]]*Table410[[#This Row],[Cost Boolean]]*(VLOOKUP(Table410[[#This Row],[RATE CONCAT]],Tables!I:N,5,0)),0)</f>
        <v>17765</v>
      </c>
      <c r="CL10" s="13">
        <f>IFERROR(Table410[[#This Row],[Jun_2026_Days_Actual]]*Table410[[#This Row],[Cost Boolean]]*(VLOOKUP(Table410[[#This Row],[RATE CONCAT]],Tables!I:N,5,0)),0)</f>
        <v>17765</v>
      </c>
      <c r="CM10" s="13">
        <f>Table410[[#This Row],[Jun_2026_F]]-Table410[[#This Row],[Jun_2026_A]]</f>
        <v>0</v>
      </c>
      <c r="CO10" s="13">
        <f>IFERROR(Table410[[#This Row],[Jul_2026_Days_Forecast]]*Table410[[#This Row],[Cost Boolean]]*(VLOOKUP(Table410[[#This Row],[RATE CONCAT]],Tables!I:N,5,0)),0)</f>
        <v>17765</v>
      </c>
      <c r="CP10" s="13">
        <f>IFERROR(Table410[[#This Row],[Jul_2026_Days_Actual]]*Table410[[#This Row],[Cost Boolean]]*(VLOOKUP(Table410[[#This Row],[RATE CONCAT]],Tables!I:N,5,0)),0)</f>
        <v>17765</v>
      </c>
      <c r="CQ10" s="13">
        <f>Table410[[#This Row],[Jul_2026_F]]-Table410[[#This Row],[Jul_2026_A]]</f>
        <v>0</v>
      </c>
      <c r="CS10" s="13">
        <f>IFERROR(Table410[[#This Row],[Aug_2026_Days_Forecast]]*Table410[[#This Row],[Cost Boolean]]*(VLOOKUP(Table410[[#This Row],[RATE CONCAT]],Tables!I:N,5,0)),0)</f>
        <v>17765</v>
      </c>
      <c r="CT10" s="13">
        <f>IFERROR(Table410[[#This Row],[Aug_2026_Days_Actual]]*Table410[[#This Row],[Cost Boolean]]*(VLOOKUP(Table410[[#This Row],[RATE CONCAT]],Tables!I:N,5,0)),0)</f>
        <v>17765</v>
      </c>
      <c r="CU10" s="13">
        <f>Table410[[#This Row],[Aug_2026_F]]-Table410[[#This Row],[Aug_2026_A]]</f>
        <v>0</v>
      </c>
      <c r="CW10" s="13">
        <f>IFERROR(Table410[[#This Row],[Sep_2026_Days_Forecast]]*Table410[[#This Row],[Cost Boolean]]*(VLOOKUP(Table410[[#This Row],[RATE CONCAT]],Tables!I:N,5,0)),0)</f>
        <v>17765</v>
      </c>
      <c r="CX10" s="13">
        <f>IFERROR(Table410[[#This Row],[Sep_2026_Days_Actual]]*Table410[[#This Row],[Cost Boolean]]*(VLOOKUP(Table410[[#This Row],[RATE CONCAT]],Tables!I:N,5,0)),0)</f>
        <v>17765</v>
      </c>
      <c r="CY10" s="13">
        <f>Table410[[#This Row],[Sep_2026_F]]-Table410[[#This Row],[Sep_2026_A]]</f>
        <v>0</v>
      </c>
      <c r="DA10" s="13">
        <f>IFERROR(Table410[[#This Row],[Oct_2026_Days_Forecast]]*Table410[[#This Row],[Cost Boolean]]*(VLOOKUP(Table410[[#This Row],[RATE CONCAT]],Tables!I:N,5,0)),0)</f>
        <v>17765</v>
      </c>
      <c r="DB10" s="13">
        <f>IFERROR(Table410[[#This Row],[Oct_2026_Days_Actual]]*Table410[[#This Row],[Cost Boolean]]*(VLOOKUP(Table410[[#This Row],[RATE CONCAT]],Tables!I:N,5,0)),0)</f>
        <v>17765</v>
      </c>
      <c r="DC10" s="13">
        <f>Table410[[#This Row],[Oct_2026_F]]-Table410[[#This Row],[Oct_2026_A]]</f>
        <v>0</v>
      </c>
      <c r="DE10" s="13">
        <f>IFERROR(Table410[[#This Row],[Nov_2026_Days_Forecast]]*Table410[[#This Row],[Cost Boolean]]*(VLOOKUP(Table410[[#This Row],[RATE CONCAT]],Tables!I:N,5,0)),0)</f>
        <v>17765</v>
      </c>
      <c r="DF10" s="13">
        <f>IFERROR(Table410[[#This Row],[Nov_2026_Days_Actual]]*Table410[[#This Row],[Cost Boolean]]*(VLOOKUP(Table410[[#This Row],[RATE CONCAT]],Tables!I:N,5,0)),0)</f>
        <v>17765</v>
      </c>
      <c r="DG10" s="13">
        <f>Table410[[#This Row],[Nov_2026_F]]-Table410[[#This Row],[Nov_2026_A]]</f>
        <v>0</v>
      </c>
      <c r="DI10" s="13">
        <f>IFERROR(Table410[[#This Row],[Dec_2026_Days_Forecast]]*Table410[[#This Row],[Cost Boolean]]*(VLOOKUP(Table410[[#This Row],[RATE CONCAT]],Tables!I:N,5,0)),0)</f>
        <v>17765</v>
      </c>
      <c r="DJ10" s="13">
        <f>IFERROR(Table410[[#This Row],[Dec_2026_Days_Actual]]*Table410[[#This Row],[Cost Boolean]]*(VLOOKUP(Table410[[#This Row],[RATE CONCAT]],Tables!I:N,5,0)),0)</f>
        <v>17765</v>
      </c>
      <c r="DK10" s="13">
        <f>Table410[[#This Row],[Dec_2026_F]]-Table410[[#This Row],[Dec_2026_A]]</f>
        <v>0</v>
      </c>
      <c r="DN10" s="13">
        <f>IFERROR(Table410[[#This Row],[Jan_2027_Days_Forecast]]*Table410[[#This Row],[Cost Boolean]]*(VLOOKUP(Table410[[#This Row],[RATE CONCAT]],Tables!I:N,6,0)),0)</f>
        <v>0</v>
      </c>
      <c r="DO10" s="13">
        <v>0</v>
      </c>
      <c r="DP10" s="13">
        <f>Table410[[#This Row],[Jan_2027_F]]-Table410[[#This Row],[Jan_2027_A]]</f>
        <v>0</v>
      </c>
      <c r="DQ10" s="13">
        <f>IFERROR(Table410[[#This Row],[Feb_2027_Days_Forecast]]*Table410[[#This Row],[Cost Boolean]]*(VLOOKUP(Table410[[#This Row],[RATE CONCAT]],Tables!I:N,6,0)),0)</f>
        <v>0</v>
      </c>
      <c r="DR10" s="13">
        <v>0</v>
      </c>
      <c r="DS10" s="13">
        <f>Table410[[#This Row],[Feb_2027_F]]-Table410[[#This Row],[Feb_2027_A]]</f>
        <v>0</v>
      </c>
      <c r="DT10" s="13">
        <f>IFERROR(Table410[[#This Row],[Mar_2027_Days_Forecast]]*Table410[[#This Row],[Cost Boolean]]*(VLOOKUP(Table410[[#This Row],[RATE CONCAT]],Tables!I:N,6,0)),0)</f>
        <v>0</v>
      </c>
      <c r="DU10" s="13">
        <v>0</v>
      </c>
      <c r="DV10" s="13">
        <f>Table410[[#This Row],[Mar_2027_F]]-Table410[[#This Row],[Mar_2027_A]]</f>
        <v>0</v>
      </c>
      <c r="DW10" s="13">
        <f>IFERROR(Table410[[#This Row],[Apr_2027_Days_Forecast]]*Table410[[#This Row],[Cost Boolean]]*(VLOOKUP(Table410[[#This Row],[RATE CONCAT]],Tables!I:N,6,0)),0)</f>
        <v>0</v>
      </c>
      <c r="DX10" s="13">
        <v>0</v>
      </c>
      <c r="DY10" s="13">
        <f>Table410[[#This Row],[Apr_2027_F]]-Table410[[#This Row],[Apr_2027_A]]</f>
        <v>0</v>
      </c>
      <c r="DZ10" s="13">
        <f>IFERROR(Table410[[#This Row],[May_2027_Days_Forecast]]*Table410[[#This Row],[Cost Boolean]]*(VLOOKUP(Table410[[#This Row],[RATE CONCAT]],Tables!I:N,6,0)),0)</f>
        <v>0</v>
      </c>
      <c r="EA10" s="13">
        <v>0</v>
      </c>
      <c r="EB10" s="13">
        <f>Table410[[#This Row],[May_2027_F]]-Table410[[#This Row],[May_2027_A]]</f>
        <v>0</v>
      </c>
      <c r="EC10" s="13">
        <f>IFERROR(Table410[[#This Row],[Jun_2027_Days_Forecast]]*Table410[[#This Row],[Cost Boolean]]*(VLOOKUP(Table410[[#This Row],[RATE CONCAT]],Tables!I:N,6,0)),0)</f>
        <v>0</v>
      </c>
      <c r="ED10" s="13">
        <v>0</v>
      </c>
      <c r="EE10" s="13">
        <f>Table410[[#This Row],[Jun_2027_F]]-Table410[[#This Row],[Jun_2027_A]]</f>
        <v>0</v>
      </c>
      <c r="EF10" s="13">
        <f>IFERROR(Table410[[#This Row],[Jul_2027_Days_Forecast]]*Table410[[#This Row],[Cost Boolean]]*(VLOOKUP(Table410[[#This Row],[RATE CONCAT]],Tables!I:N,6,0)),0)</f>
        <v>0</v>
      </c>
      <c r="EG10" s="13">
        <v>0</v>
      </c>
      <c r="EH10" s="13">
        <f>Table410[[#This Row],[Jul_2027_F]]-Table410[[#This Row],[Jul_2027_A]]</f>
        <v>0</v>
      </c>
      <c r="EI10" s="13">
        <f>IFERROR(Table410[[#This Row],[Aug_2027_Days_Forecast]]*Table410[[#This Row],[Cost Boolean]]*(VLOOKUP(Table410[[#This Row],[RATE CONCAT]],Tables!I:N,6,0)),0)</f>
        <v>0</v>
      </c>
      <c r="EJ10" s="13">
        <v>0</v>
      </c>
      <c r="EK10" s="13">
        <f>Table410[[#This Row],[Aug_2027_F]]-Table410[[#This Row],[Aug_2027_A]]</f>
        <v>0</v>
      </c>
      <c r="EL10" s="13">
        <f>IFERROR(Table410[[#This Row],[Sep_2027_Days_Forecast]]*Table410[[#This Row],[Cost Boolean]]*(VLOOKUP(Table410[[#This Row],[RATE CONCAT]],Tables!I:N,6,0)),0)</f>
        <v>0</v>
      </c>
      <c r="EM10" s="13">
        <v>0</v>
      </c>
      <c r="EN10" s="13">
        <f>Table410[[#This Row],[Sep_2027_F]]-Table410[[#This Row],[Sep_2027_A]]</f>
        <v>0</v>
      </c>
      <c r="EO10" s="13">
        <f>IFERROR(Table410[[#This Row],[Oct_2027_Days_Forecast]]*Table410[[#This Row],[Cost Boolean]]*(VLOOKUP(Table410[[#This Row],[RATE CONCAT]],Tables!I:N,6,0)),0)</f>
        <v>0</v>
      </c>
      <c r="EP10" s="13">
        <v>0</v>
      </c>
      <c r="EQ10" s="13">
        <f>Table410[[#This Row],[Oct_2027_F]]-Table410[[#This Row],[Oct_2027_A]]</f>
        <v>0</v>
      </c>
      <c r="ER10" s="13">
        <f>IFERROR(Table410[[#This Row],[Nov_2027_Days_Forecast]]*Table410[[#This Row],[Cost Boolean]]*(VLOOKUP(Table410[[#This Row],[RATE CONCAT]],Tables!I:N,6,0)),0)</f>
        <v>0</v>
      </c>
      <c r="ES10" s="13">
        <f>IFERROR(Table410[[#This Row],[Dec_2027_Days_Forecast]]*Table410[[#This Row],[Location]]*(VLOOKUP(Table410[[#This Row],[DAYS]],Tables!J:P,6,0)),0)</f>
        <v>0</v>
      </c>
      <c r="ET10" s="13">
        <f>Table410[[#This Row],[Nov_2027_F]]-Table410[[#This Row],[Nov_2027_A]]</f>
        <v>0</v>
      </c>
      <c r="EU10" s="13">
        <f>IFERROR(Table410[[#This Row],[Dec_2027_Days_Forecast]]*Table410[[#This Row],[Cost Boolean]]*(VLOOKUP(Table410[[#This Row],[RATE CONCAT]],Tables!I:N,6,0)),0)</f>
        <v>0</v>
      </c>
      <c r="EV10" s="13">
        <v>0</v>
      </c>
      <c r="EW10" s="13">
        <f>Table410[[#This Row],[Dec_2027_F]]-Table410[[#This Row],[Dec_2027_A]]</f>
        <v>0</v>
      </c>
    </row>
    <row r="11" spans="1:153" s="13" customFormat="1" ht="15" customHeight="1">
      <c r="A11" s="13" t="s">
        <v>229</v>
      </c>
      <c r="B11" s="13" t="s">
        <v>42</v>
      </c>
      <c r="C11" s="13" t="s">
        <v>219</v>
      </c>
      <c r="D11" s="13" t="s">
        <v>230</v>
      </c>
      <c r="E11" s="13" t="s">
        <v>221</v>
      </c>
      <c r="G11" s="13" t="s">
        <v>231</v>
      </c>
      <c r="H11" s="13">
        <v>2</v>
      </c>
      <c r="J11" s="13" t="s">
        <v>232</v>
      </c>
      <c r="K11" s="13" t="s">
        <v>224</v>
      </c>
      <c r="L11" s="13">
        <v>1</v>
      </c>
      <c r="M11" s="13" t="s">
        <v>233</v>
      </c>
      <c r="N11" s="13" t="s">
        <v>42</v>
      </c>
      <c r="O11" s="13" t="s">
        <v>227</v>
      </c>
      <c r="P11" s="13" t="s">
        <v>53</v>
      </c>
      <c r="Q11" s="13" t="s">
        <v>228</v>
      </c>
      <c r="R11" s="193">
        <v>46023</v>
      </c>
      <c r="S11" s="193">
        <v>46387</v>
      </c>
      <c r="T11" s="193">
        <v>46023</v>
      </c>
      <c r="U11" s="193">
        <v>46387</v>
      </c>
      <c r="V11" s="193">
        <v>46023</v>
      </c>
      <c r="W11" s="193">
        <v>46387</v>
      </c>
      <c r="Y11" s="13" t="str">
        <f>CONCATENATE(Table410[[#This Row],[JG]],Table410[[#This Row],[Country]],Table410[[#This Row],[Resource Provider]])</f>
        <v>2United StatesShell Business</v>
      </c>
      <c r="Z11" s="13">
        <f>VLOOKUP(Table410[[#This Row],[RATE CONCAT]],Tables!I:N,5,0)</f>
        <v>2032</v>
      </c>
      <c r="AA11" s="52"/>
      <c r="AB11" s="130">
        <v>19</v>
      </c>
      <c r="AC11" s="130">
        <v>19</v>
      </c>
      <c r="AD11" s="130">
        <v>19</v>
      </c>
      <c r="AE11" s="130">
        <v>19</v>
      </c>
      <c r="AF11" s="130">
        <v>19</v>
      </c>
      <c r="AG11" s="130">
        <v>19</v>
      </c>
      <c r="AH11" s="130">
        <v>19</v>
      </c>
      <c r="AI11" s="130">
        <v>19</v>
      </c>
      <c r="AJ11" s="130">
        <v>19</v>
      </c>
      <c r="AK11" s="130">
        <v>19</v>
      </c>
      <c r="AL11" s="130">
        <v>19</v>
      </c>
      <c r="AM11" s="130">
        <v>19</v>
      </c>
      <c r="AN11" s="176">
        <f>IFERROR(AVERAGE(Table410[[#This Row],[Jan_2026_Days_Forecast]:[Dec_2026_Days_Forecast]]),0)/19</f>
        <v>1</v>
      </c>
      <c r="AO11" s="176">
        <f>IFERROR(AVERAGE(Table410[[#This Row],[Jan_2026_Days_Actual]:[Dec_2026_Days_Actual]]),0)/19</f>
        <v>1</v>
      </c>
      <c r="AP11" s="130">
        <v>19</v>
      </c>
      <c r="AQ11" s="130">
        <v>19</v>
      </c>
      <c r="AR11" s="130">
        <v>19</v>
      </c>
      <c r="AS11" s="130">
        <v>19</v>
      </c>
      <c r="AT11" s="130">
        <v>19</v>
      </c>
      <c r="AU11" s="130">
        <v>19</v>
      </c>
      <c r="AV11" s="130">
        <v>19</v>
      </c>
      <c r="AW11" s="130">
        <v>19</v>
      </c>
      <c r="AX11" s="130">
        <v>19</v>
      </c>
      <c r="AY11" s="130">
        <v>19</v>
      </c>
      <c r="AZ11" s="130">
        <v>19</v>
      </c>
      <c r="BA11" s="130">
        <v>19</v>
      </c>
      <c r="BB11" s="176">
        <f>IFERROR(AVERAGE(Table410[[#This Row],[Jan_2027_Days_Forecast]:[Dec_2027_Days_Forecast]]),0)</f>
        <v>0</v>
      </c>
      <c r="BC11" s="127"/>
      <c r="BD11" s="127"/>
      <c r="BE11" s="127"/>
      <c r="BF11" s="127"/>
      <c r="BG11" s="127"/>
      <c r="BH11" s="127"/>
      <c r="BI11" s="127"/>
      <c r="BJ11" s="127"/>
      <c r="BK11" s="127"/>
      <c r="BL11" s="127"/>
      <c r="BM11" s="127"/>
      <c r="BN11" s="127"/>
      <c r="BO11" s="176"/>
      <c r="BP11" s="176"/>
      <c r="BQ11" s="13">
        <f>IFERROR(Table410[[#This Row],[Jan_2026_Days_Forecast]]*Table410[[#This Row],[Cost Boolean]]*(VLOOKUP(Table410[[#This Row],[RATE CONCAT]],Tables!I:N,5,0)),0)</f>
        <v>38608</v>
      </c>
      <c r="BR11" s="13">
        <f>IFERROR(Table410[[#This Row],[Jan_2026_Days_Actual]]*Table410[[#This Row],[Cost Boolean]]*(VLOOKUP(Table410[[#This Row],[RATE CONCAT]],Tables!I:N,5,0)),0)</f>
        <v>38608</v>
      </c>
      <c r="BS11" s="13">
        <f>Table410[[#This Row],[Jan_2026_F]]-Table410[[#This Row],[Jan_2026_A]]</f>
        <v>0</v>
      </c>
      <c r="BU11" s="13">
        <f>IFERROR(Table410[[#This Row],[Feb_2026_Days_Forecast]]*Table410[[#This Row],[Cost Boolean]]*(VLOOKUP(Table410[[#This Row],[RATE CONCAT]],Tables!I:N,5,0)),0)</f>
        <v>38608</v>
      </c>
      <c r="BV11" s="13">
        <f>IFERROR(Table410[[#This Row],[Feb_2026_Days_Actual]]*Table410[[#This Row],[Cost Boolean]]*(VLOOKUP(Table410[[#This Row],[RATE CONCAT]],Tables!I:N,5,0)),0)</f>
        <v>38608</v>
      </c>
      <c r="BW11" s="13">
        <f>Table410[[#This Row],[Feb_2026_F]]-Table410[[#This Row],[Feb_2026_A]]</f>
        <v>0</v>
      </c>
      <c r="BY11" s="13">
        <f>IFERROR(Table410[[#This Row],[Mar_2026_Days_Forecast]]*Table410[[#This Row],[Cost Boolean]]*(VLOOKUP(Table410[[#This Row],[RATE CONCAT]],Tables!I:N,5,0)),0)</f>
        <v>38608</v>
      </c>
      <c r="BZ11" s="13">
        <f>IFERROR(Table410[[#This Row],[Mar_2026_Days_Actual]]*Table410[[#This Row],[Cost Boolean]]*(VLOOKUP(Table410[[#This Row],[RATE CONCAT]],Tables!I:N,5,0)),0)</f>
        <v>38608</v>
      </c>
      <c r="CA11" s="13">
        <f>Table410[[#This Row],[Mar_2026_F]]-Table410[[#This Row],[Mar_2026_A]]</f>
        <v>0</v>
      </c>
      <c r="CC11" s="13">
        <f>IFERROR(Table410[[#This Row],[Apr_2026_Days_Forecast]]*Table410[[#This Row],[Cost Boolean]]*(VLOOKUP(Table410[[#This Row],[RATE CONCAT]],Tables!I:N,5,0)),0)</f>
        <v>38608</v>
      </c>
      <c r="CD11" s="13">
        <f>IFERROR(Table410[[#This Row],[Apr_2026_Days_Actual]]*Table410[[#This Row],[Cost Boolean]]*(VLOOKUP(Table410[[#This Row],[RATE CONCAT]],Tables!I:N,5,0)),0)</f>
        <v>38608</v>
      </c>
      <c r="CE11" s="13">
        <f>Table410[[#This Row],[Apr_2026_F]]-Table410[[#This Row],[Apr_2026_A]]</f>
        <v>0</v>
      </c>
      <c r="CG11" s="13">
        <f>IFERROR(Table410[[#This Row],[May_2026_Days_Forecast]] *Table410[[#This Row],[Cost Boolean]]*(VLOOKUP(Table410[[#This Row],[RATE CONCAT]],Tables!I:N,5,0)),0)</f>
        <v>38608</v>
      </c>
      <c r="CH11" s="13">
        <f>IFERROR(Table410[[#This Row],[May_2026_Days_Actual]]*Table410[[#This Row],[Cost Boolean]]*(VLOOKUP(Table410[[#This Row],[RATE CONCAT]],Tables!I:N,5,0)),0)</f>
        <v>38608</v>
      </c>
      <c r="CI11" s="13">
        <f>Table410[[#This Row],[May_2026_F]]-Table410[[#This Row],[May_2026_A]]</f>
        <v>0</v>
      </c>
      <c r="CK11" s="13">
        <f>IFERROR(Table410[[#This Row],[Jun_2026_Days_Forecast]]*Table410[[#This Row],[Cost Boolean]]*(VLOOKUP(Table410[[#This Row],[RATE CONCAT]],Tables!I:N,5,0)),0)</f>
        <v>38608</v>
      </c>
      <c r="CL11" s="13">
        <f>IFERROR(Table410[[#This Row],[Jun_2026_Days_Actual]]*Table410[[#This Row],[Cost Boolean]]*(VLOOKUP(Table410[[#This Row],[RATE CONCAT]],Tables!I:N,5,0)),0)</f>
        <v>38608</v>
      </c>
      <c r="CM11" s="13">
        <f>Table410[[#This Row],[Jun_2026_F]]-Table410[[#This Row],[Jun_2026_A]]</f>
        <v>0</v>
      </c>
      <c r="CO11" s="13">
        <f>IFERROR(Table410[[#This Row],[Jul_2026_Days_Forecast]]*Table410[[#This Row],[Cost Boolean]]*(VLOOKUP(Table410[[#This Row],[RATE CONCAT]],Tables!I:N,5,0)),0)</f>
        <v>38608</v>
      </c>
      <c r="CP11" s="13">
        <f>IFERROR(Table410[[#This Row],[Jul_2026_Days_Actual]]*Table410[[#This Row],[Cost Boolean]]*(VLOOKUP(Table410[[#This Row],[RATE CONCAT]],Tables!I:N,5,0)),0)</f>
        <v>38608</v>
      </c>
      <c r="CQ11" s="13">
        <f>Table410[[#This Row],[Jul_2026_F]]-Table410[[#This Row],[Jul_2026_A]]</f>
        <v>0</v>
      </c>
      <c r="CS11" s="13">
        <f>IFERROR(Table410[[#This Row],[Aug_2026_Days_Forecast]]*Table410[[#This Row],[Cost Boolean]]*(VLOOKUP(Table410[[#This Row],[RATE CONCAT]],Tables!I:N,5,0)),0)</f>
        <v>38608</v>
      </c>
      <c r="CT11" s="13">
        <f>IFERROR(Table410[[#This Row],[Aug_2026_Days_Actual]]*Table410[[#This Row],[Cost Boolean]]*(VLOOKUP(Table410[[#This Row],[RATE CONCAT]],Tables!I:N,5,0)),0)</f>
        <v>38608</v>
      </c>
      <c r="CU11" s="13">
        <f>Table410[[#This Row],[Aug_2026_F]]-Table410[[#This Row],[Aug_2026_A]]</f>
        <v>0</v>
      </c>
      <c r="CW11" s="13">
        <f>IFERROR(Table410[[#This Row],[Sep_2026_Days_Forecast]]*Table410[[#This Row],[Cost Boolean]]*(VLOOKUP(Table410[[#This Row],[RATE CONCAT]],Tables!I:N,5,0)),0)</f>
        <v>38608</v>
      </c>
      <c r="CX11" s="13">
        <f>IFERROR(Table410[[#This Row],[Sep_2026_Days_Actual]]*Table410[[#This Row],[Cost Boolean]]*(VLOOKUP(Table410[[#This Row],[RATE CONCAT]],Tables!I:N,5,0)),0)</f>
        <v>38608</v>
      </c>
      <c r="CY11" s="13">
        <f>Table410[[#This Row],[Sep_2026_F]]-Table410[[#This Row],[Sep_2026_A]]</f>
        <v>0</v>
      </c>
      <c r="DA11" s="13">
        <f>IFERROR(Table410[[#This Row],[Oct_2026_Days_Forecast]]*Table410[[#This Row],[Cost Boolean]]*(VLOOKUP(Table410[[#This Row],[RATE CONCAT]],Tables!I:N,5,0)),0)</f>
        <v>38608</v>
      </c>
      <c r="DB11" s="13">
        <f>IFERROR(Table410[[#This Row],[Oct_2026_Days_Actual]]*Table410[[#This Row],[Cost Boolean]]*(VLOOKUP(Table410[[#This Row],[RATE CONCAT]],Tables!I:N,5,0)),0)</f>
        <v>38608</v>
      </c>
      <c r="DC11" s="13">
        <f>Table410[[#This Row],[Oct_2026_F]]-Table410[[#This Row],[Oct_2026_A]]</f>
        <v>0</v>
      </c>
      <c r="DE11" s="13">
        <f>IFERROR(Table410[[#This Row],[Nov_2026_Days_Forecast]]*Table410[[#This Row],[Cost Boolean]]*(VLOOKUP(Table410[[#This Row],[RATE CONCAT]],Tables!I:N,5,0)),0)</f>
        <v>38608</v>
      </c>
      <c r="DF11" s="13">
        <f>IFERROR(Table410[[#This Row],[Nov_2026_Days_Actual]]*Table410[[#This Row],[Cost Boolean]]*(VLOOKUP(Table410[[#This Row],[RATE CONCAT]],Tables!I:N,5,0)),0)</f>
        <v>38608</v>
      </c>
      <c r="DG11" s="13">
        <f>Table410[[#This Row],[Nov_2026_F]]-Table410[[#This Row],[Nov_2026_A]]</f>
        <v>0</v>
      </c>
      <c r="DI11" s="13">
        <f>IFERROR(Table410[[#This Row],[Dec_2026_Days_Forecast]]*Table410[[#This Row],[Cost Boolean]]*(VLOOKUP(Table410[[#This Row],[RATE CONCAT]],Tables!I:N,5,0)),0)</f>
        <v>38608</v>
      </c>
      <c r="DJ11" s="13">
        <f>IFERROR(Table410[[#This Row],[Dec_2026_Days_Actual]]*Table410[[#This Row],[Cost Boolean]]*(VLOOKUP(Table410[[#This Row],[RATE CONCAT]],Tables!I:N,5,0)),0)</f>
        <v>38608</v>
      </c>
      <c r="DK11" s="13">
        <f>Table410[[#This Row],[Dec_2026_F]]-Table410[[#This Row],[Dec_2026_A]]</f>
        <v>0</v>
      </c>
      <c r="DN11" s="13">
        <f>IFERROR(Table410[[#This Row],[Jan_2027_Days_Forecast]]*Table410[[#This Row],[Cost Boolean]]*(VLOOKUP(Table410[[#This Row],[RATE CONCAT]],Tables!I:N,6,0)),0)</f>
        <v>0</v>
      </c>
      <c r="DO11" s="13">
        <v>0</v>
      </c>
      <c r="DP11" s="13">
        <f>Table410[[#This Row],[Jan_2027_F]]-Table410[[#This Row],[Jan_2027_A]]</f>
        <v>0</v>
      </c>
      <c r="DQ11" s="13">
        <f>IFERROR(Table410[[#This Row],[Feb_2027_Days_Forecast]]*Table410[[#This Row],[Cost Boolean]]*(VLOOKUP(Table410[[#This Row],[RATE CONCAT]],Tables!I:N,6,0)),0)</f>
        <v>0</v>
      </c>
      <c r="DR11" s="13">
        <v>0</v>
      </c>
      <c r="DS11" s="13">
        <f>Table410[[#This Row],[Feb_2027_F]]-Table410[[#This Row],[Feb_2027_A]]</f>
        <v>0</v>
      </c>
      <c r="DT11" s="13">
        <f>IFERROR(Table410[[#This Row],[Mar_2027_Days_Forecast]]*Table410[[#This Row],[Cost Boolean]]*(VLOOKUP(Table410[[#This Row],[RATE CONCAT]],Tables!I:N,6,0)),0)</f>
        <v>0</v>
      </c>
      <c r="DU11" s="13">
        <v>0</v>
      </c>
      <c r="DV11" s="13">
        <f>Table410[[#This Row],[Mar_2027_F]]-Table410[[#This Row],[Mar_2027_A]]</f>
        <v>0</v>
      </c>
      <c r="DW11" s="13">
        <f>IFERROR(Table410[[#This Row],[Apr_2027_Days_Forecast]]*Table410[[#This Row],[Cost Boolean]]*(VLOOKUP(Table410[[#This Row],[RATE CONCAT]],Tables!I:N,6,0)),0)</f>
        <v>0</v>
      </c>
      <c r="DX11" s="13">
        <v>0</v>
      </c>
      <c r="DY11" s="13">
        <f>Table410[[#This Row],[Apr_2027_F]]-Table410[[#This Row],[Apr_2027_A]]</f>
        <v>0</v>
      </c>
      <c r="DZ11" s="13">
        <f>IFERROR(Table410[[#This Row],[May_2027_Days_Forecast]]*Table410[[#This Row],[Cost Boolean]]*(VLOOKUP(Table410[[#This Row],[RATE CONCAT]],Tables!I:N,6,0)),0)</f>
        <v>0</v>
      </c>
      <c r="EA11" s="13">
        <v>0</v>
      </c>
      <c r="EB11" s="13">
        <f>Table410[[#This Row],[May_2027_F]]-Table410[[#This Row],[May_2027_A]]</f>
        <v>0</v>
      </c>
      <c r="EC11" s="13">
        <f>IFERROR(Table410[[#This Row],[Jun_2027_Days_Forecast]]*Table410[[#This Row],[Cost Boolean]]*(VLOOKUP(Table410[[#This Row],[RATE CONCAT]],Tables!I:N,6,0)),0)</f>
        <v>0</v>
      </c>
      <c r="ED11" s="13">
        <v>0</v>
      </c>
      <c r="EE11" s="13">
        <f>Table410[[#This Row],[Jun_2027_F]]-Table410[[#This Row],[Jun_2027_A]]</f>
        <v>0</v>
      </c>
      <c r="EF11" s="13">
        <f>IFERROR(Table410[[#This Row],[Jul_2027_Days_Forecast]]*Table410[[#This Row],[Cost Boolean]]*(VLOOKUP(Table410[[#This Row],[RATE CONCAT]],Tables!I:N,6,0)),0)</f>
        <v>0</v>
      </c>
      <c r="EG11" s="13">
        <v>0</v>
      </c>
      <c r="EH11" s="13">
        <f>Table410[[#This Row],[Jul_2027_F]]-Table410[[#This Row],[Jul_2027_A]]</f>
        <v>0</v>
      </c>
      <c r="EI11" s="13">
        <f>IFERROR(Table410[[#This Row],[Aug_2027_Days_Forecast]]*Table410[[#This Row],[Cost Boolean]]*(VLOOKUP(Table410[[#This Row],[RATE CONCAT]],Tables!I:N,6,0)),0)</f>
        <v>0</v>
      </c>
      <c r="EJ11" s="13">
        <v>0</v>
      </c>
      <c r="EK11" s="13">
        <f>Table410[[#This Row],[Aug_2027_F]]-Table410[[#This Row],[Aug_2027_A]]</f>
        <v>0</v>
      </c>
      <c r="EL11" s="13">
        <f>IFERROR(Table410[[#This Row],[Sep_2027_Days_Forecast]]*Table410[[#This Row],[Cost Boolean]]*(VLOOKUP(Table410[[#This Row],[RATE CONCAT]],Tables!I:N,6,0)),0)</f>
        <v>0</v>
      </c>
      <c r="EM11" s="13">
        <v>0</v>
      </c>
      <c r="EN11" s="13">
        <f>Table410[[#This Row],[Sep_2027_F]]-Table410[[#This Row],[Sep_2027_A]]</f>
        <v>0</v>
      </c>
      <c r="EO11" s="13">
        <f>IFERROR(Table410[[#This Row],[Oct_2027_Days_Forecast]]*Table410[[#This Row],[Cost Boolean]]*(VLOOKUP(Table410[[#This Row],[RATE CONCAT]],Tables!I:N,6,0)),0)</f>
        <v>0</v>
      </c>
      <c r="EP11" s="13">
        <v>0</v>
      </c>
      <c r="EQ11" s="13">
        <f>Table410[[#This Row],[Oct_2027_F]]-Table410[[#This Row],[Oct_2027_A]]</f>
        <v>0</v>
      </c>
      <c r="ER11" s="13">
        <f>IFERROR(Table410[[#This Row],[Nov_2027_Days_Forecast]]*Table410[[#This Row],[Cost Boolean]]*(VLOOKUP(Table410[[#This Row],[RATE CONCAT]],Tables!I:N,6,0)),0)</f>
        <v>0</v>
      </c>
      <c r="ES11" s="13">
        <v>0</v>
      </c>
      <c r="ET11" s="13">
        <f>Table410[[#This Row],[Nov_2027_F]]-Table410[[#This Row],[Nov_2027_A]]</f>
        <v>0</v>
      </c>
      <c r="EU11" s="13">
        <f>IFERROR(Table410[[#This Row],[Dec_2027_Days_Forecast]]*Table410[[#This Row],[Cost Boolean]]*(VLOOKUP(Table410[[#This Row],[RATE CONCAT]],Tables!I:N,6,0)),0)</f>
        <v>0</v>
      </c>
      <c r="EV11" s="13">
        <v>0</v>
      </c>
      <c r="EW11" s="13">
        <f>Table410[[#This Row],[Dec_2027_F]]-Table410[[#This Row],[Dec_2027_A]]</f>
        <v>0</v>
      </c>
    </row>
    <row r="12" spans="1:153" s="13" customFormat="1" ht="15" customHeight="1">
      <c r="A12" s="13" t="s">
        <v>234</v>
      </c>
      <c r="B12" s="13" t="s">
        <v>46</v>
      </c>
      <c r="C12" s="13" t="s">
        <v>219</v>
      </c>
      <c r="D12" s="13" t="s">
        <v>235</v>
      </c>
      <c r="E12" s="13" t="s">
        <v>221</v>
      </c>
      <c r="G12" s="13" t="s">
        <v>231</v>
      </c>
      <c r="H12" s="13">
        <v>3</v>
      </c>
      <c r="J12" s="13" t="s">
        <v>236</v>
      </c>
      <c r="K12" s="13" t="s">
        <v>224</v>
      </c>
      <c r="L12" s="13">
        <v>1</v>
      </c>
      <c r="M12" s="13" t="s">
        <v>233</v>
      </c>
      <c r="N12" s="13" t="s">
        <v>237</v>
      </c>
      <c r="O12" s="13" t="s">
        <v>227</v>
      </c>
      <c r="P12" s="13" t="s">
        <v>53</v>
      </c>
      <c r="Q12" s="13" t="s">
        <v>228</v>
      </c>
      <c r="R12" s="193">
        <v>46023</v>
      </c>
      <c r="S12" s="193">
        <v>46387</v>
      </c>
      <c r="T12" s="193">
        <v>46023</v>
      </c>
      <c r="U12" s="193">
        <v>46387</v>
      </c>
      <c r="V12" s="193">
        <v>46023</v>
      </c>
      <c r="W12" s="193">
        <v>46387</v>
      </c>
      <c r="Y12" s="13" t="str">
        <f>CONCATENATE(Table410[[#This Row],[JG]],Table410[[#This Row],[Country]],Table410[[#This Row],[Resource Provider]])</f>
        <v>3United StatesShell Business</v>
      </c>
      <c r="Z12" s="13">
        <f>VLOOKUP(Table410[[#This Row],[RATE CONCAT]],Tables!I:N,5,0)</f>
        <v>1155</v>
      </c>
      <c r="AA12" s="52"/>
      <c r="AB12" s="130">
        <v>5</v>
      </c>
      <c r="AC12" s="130">
        <v>5</v>
      </c>
      <c r="AD12" s="130">
        <v>5</v>
      </c>
      <c r="AE12" s="130">
        <v>5</v>
      </c>
      <c r="AF12" s="130">
        <v>5</v>
      </c>
      <c r="AG12" s="130">
        <v>4</v>
      </c>
      <c r="AH12" s="130">
        <v>5</v>
      </c>
      <c r="AI12" s="130">
        <v>5</v>
      </c>
      <c r="AJ12" s="130">
        <v>5</v>
      </c>
      <c r="AK12" s="130">
        <v>5</v>
      </c>
      <c r="AL12" s="130">
        <v>5</v>
      </c>
      <c r="AM12" s="130">
        <v>4</v>
      </c>
      <c r="AN12" s="176">
        <f>IFERROR(AVERAGE(Table410[[#This Row],[Jan_2026_Days_Forecast]:[Dec_2026_Days_Forecast]]),0)/19</f>
        <v>0.25438596491228066</v>
      </c>
      <c r="AO12" s="176">
        <f>IFERROR(AVERAGE(Table410[[#This Row],[Jan_2026_Days_Actual]:[Dec_2026_Days_Actual]]),0)/19</f>
        <v>0.25438596491228066</v>
      </c>
      <c r="AP12" s="130">
        <v>5</v>
      </c>
      <c r="AQ12" s="130">
        <v>5</v>
      </c>
      <c r="AR12" s="130">
        <v>5</v>
      </c>
      <c r="AS12" s="130">
        <v>5</v>
      </c>
      <c r="AT12" s="130">
        <v>5</v>
      </c>
      <c r="AU12" s="130">
        <v>4</v>
      </c>
      <c r="AV12" s="130">
        <v>5</v>
      </c>
      <c r="AW12" s="130">
        <v>5</v>
      </c>
      <c r="AX12" s="130">
        <v>5</v>
      </c>
      <c r="AY12" s="130">
        <v>5</v>
      </c>
      <c r="AZ12" s="130">
        <v>5</v>
      </c>
      <c r="BA12" s="130">
        <v>4</v>
      </c>
      <c r="BB12" s="176">
        <f>IFERROR(AVERAGE(Table410[[#This Row],[Jan_2027_Days_Forecast]:[Dec_2027_Days_Forecast]]),0)</f>
        <v>0</v>
      </c>
      <c r="BC12" s="127"/>
      <c r="BD12" s="127"/>
      <c r="BE12" s="127"/>
      <c r="BF12" s="127"/>
      <c r="BG12" s="127"/>
      <c r="BH12" s="127"/>
      <c r="BI12" s="127"/>
      <c r="BJ12" s="127"/>
      <c r="BK12" s="127"/>
      <c r="BL12" s="127"/>
      <c r="BM12" s="127"/>
      <c r="BN12" s="127"/>
      <c r="BO12" s="176"/>
      <c r="BP12" s="176"/>
      <c r="BQ12" s="13">
        <f>IFERROR(Table410[[#This Row],[Jan_2026_Days_Forecast]]*Table410[[#This Row],[Cost Boolean]]*(VLOOKUP(Table410[[#This Row],[RATE CONCAT]],Tables!I:N,5,0)),0)</f>
        <v>5775</v>
      </c>
      <c r="BR12" s="13">
        <f>IFERROR(Table410[[#This Row],[Jan_2026_Days_Actual]]*Table410[[#This Row],[Cost Boolean]]*(VLOOKUP(Table410[[#This Row],[RATE CONCAT]],Tables!I:N,5,0)),0)</f>
        <v>5775</v>
      </c>
      <c r="BS12" s="13">
        <f>Table410[[#This Row],[Jan_2026_F]]-Table410[[#This Row],[Jan_2026_A]]</f>
        <v>0</v>
      </c>
      <c r="BU12" s="13">
        <f>IFERROR(Table410[[#This Row],[Feb_2026_Days_Forecast]]*Table410[[#This Row],[Cost Boolean]]*(VLOOKUP(Table410[[#This Row],[RATE CONCAT]],Tables!I:N,5,0)),0)</f>
        <v>5775</v>
      </c>
      <c r="BV12" s="13">
        <f>IFERROR(Table410[[#This Row],[Feb_2026_Days_Actual]]*Table410[[#This Row],[Cost Boolean]]*(VLOOKUP(Table410[[#This Row],[RATE CONCAT]],Tables!I:N,5,0)),0)</f>
        <v>5775</v>
      </c>
      <c r="BW12" s="13">
        <f>Table410[[#This Row],[Feb_2026_F]]-Table410[[#This Row],[Feb_2026_A]]</f>
        <v>0</v>
      </c>
      <c r="BY12" s="13">
        <f>IFERROR(Table410[[#This Row],[Mar_2026_Days_Forecast]]*Table410[[#This Row],[Cost Boolean]]*(VLOOKUP(Table410[[#This Row],[RATE CONCAT]],Tables!I:N,5,0)),0)</f>
        <v>5775</v>
      </c>
      <c r="BZ12" s="13">
        <f>IFERROR(Table410[[#This Row],[Mar_2026_Days_Actual]]*Table410[[#This Row],[Cost Boolean]]*(VLOOKUP(Table410[[#This Row],[RATE CONCAT]],Tables!I:N,5,0)),0)</f>
        <v>5775</v>
      </c>
      <c r="CA12" s="13">
        <f>Table410[[#This Row],[Mar_2026_F]]-Table410[[#This Row],[Mar_2026_A]]</f>
        <v>0</v>
      </c>
      <c r="CC12" s="13">
        <f>IFERROR(Table410[[#This Row],[Apr_2026_Days_Forecast]]*Table410[[#This Row],[Cost Boolean]]*(VLOOKUP(Table410[[#This Row],[RATE CONCAT]],Tables!I:N,5,0)),0)</f>
        <v>5775</v>
      </c>
      <c r="CD12" s="13">
        <f>IFERROR(Table410[[#This Row],[Apr_2026_Days_Actual]]*Table410[[#This Row],[Cost Boolean]]*(VLOOKUP(Table410[[#This Row],[RATE CONCAT]],Tables!I:N,5,0)),0)</f>
        <v>5775</v>
      </c>
      <c r="CE12" s="13">
        <f>Table410[[#This Row],[Apr_2026_F]]-Table410[[#This Row],[Apr_2026_A]]</f>
        <v>0</v>
      </c>
      <c r="CG12" s="13">
        <f>IFERROR(Table410[[#This Row],[May_2026_Days_Forecast]] *Table410[[#This Row],[Cost Boolean]]*(VLOOKUP(Table410[[#This Row],[RATE CONCAT]],Tables!I:N,5,0)),0)</f>
        <v>5775</v>
      </c>
      <c r="CH12" s="13">
        <f>IFERROR(Table410[[#This Row],[May_2026_Days_Actual]]*Table410[[#This Row],[Cost Boolean]]*(VLOOKUP(Table410[[#This Row],[RATE CONCAT]],Tables!I:N,5,0)),0)</f>
        <v>5775</v>
      </c>
      <c r="CI12" s="13">
        <f>Table410[[#This Row],[May_2026_F]]-Table410[[#This Row],[May_2026_A]]</f>
        <v>0</v>
      </c>
      <c r="CK12" s="13">
        <f>IFERROR(Table410[[#This Row],[Jun_2026_Days_Forecast]]*Table410[[#This Row],[Cost Boolean]]*(VLOOKUP(Table410[[#This Row],[RATE CONCAT]],Tables!I:N,5,0)),0)</f>
        <v>4620</v>
      </c>
      <c r="CL12" s="13">
        <f>IFERROR(Table410[[#This Row],[Jun_2026_Days_Actual]]*Table410[[#This Row],[Cost Boolean]]*(VLOOKUP(Table410[[#This Row],[RATE CONCAT]],Tables!I:N,5,0)),0)</f>
        <v>4620</v>
      </c>
      <c r="CM12" s="13">
        <f>Table410[[#This Row],[Jun_2026_F]]-Table410[[#This Row],[Jun_2026_A]]</f>
        <v>0</v>
      </c>
      <c r="CO12" s="13">
        <f>IFERROR(Table410[[#This Row],[Jul_2026_Days_Forecast]]*Table410[[#This Row],[Cost Boolean]]*(VLOOKUP(Table410[[#This Row],[RATE CONCAT]],Tables!I:N,5,0)),0)</f>
        <v>5775</v>
      </c>
      <c r="CP12" s="13">
        <f>IFERROR(Table410[[#This Row],[Jul_2026_Days_Actual]]*Table410[[#This Row],[Cost Boolean]]*(VLOOKUP(Table410[[#This Row],[RATE CONCAT]],Tables!I:N,5,0)),0)</f>
        <v>5775</v>
      </c>
      <c r="CQ12" s="13">
        <f>Table410[[#This Row],[Jul_2026_F]]-Table410[[#This Row],[Jul_2026_A]]</f>
        <v>0</v>
      </c>
      <c r="CS12" s="13">
        <f>IFERROR(Table410[[#This Row],[Aug_2026_Days_Forecast]]*Table410[[#This Row],[Cost Boolean]]*(VLOOKUP(Table410[[#This Row],[RATE CONCAT]],Tables!I:N,5,0)),0)</f>
        <v>5775</v>
      </c>
      <c r="CT12" s="13">
        <f>IFERROR(Table410[[#This Row],[Aug_2026_Days_Actual]]*Table410[[#This Row],[Cost Boolean]]*(VLOOKUP(Table410[[#This Row],[RATE CONCAT]],Tables!I:N,5,0)),0)</f>
        <v>5775</v>
      </c>
      <c r="CU12" s="13">
        <f>Table410[[#This Row],[Aug_2026_F]]-Table410[[#This Row],[Aug_2026_A]]</f>
        <v>0</v>
      </c>
      <c r="CW12" s="13">
        <f>IFERROR(Table410[[#This Row],[Sep_2026_Days_Forecast]]*Table410[[#This Row],[Cost Boolean]]*(VLOOKUP(Table410[[#This Row],[RATE CONCAT]],Tables!I:N,5,0)),0)</f>
        <v>5775</v>
      </c>
      <c r="CX12" s="13">
        <f>IFERROR(Table410[[#This Row],[Sep_2026_Days_Actual]]*Table410[[#This Row],[Cost Boolean]]*(VLOOKUP(Table410[[#This Row],[RATE CONCAT]],Tables!I:N,5,0)),0)</f>
        <v>5775</v>
      </c>
      <c r="CY12" s="13">
        <f>Table410[[#This Row],[Sep_2026_F]]-Table410[[#This Row],[Sep_2026_A]]</f>
        <v>0</v>
      </c>
      <c r="DA12" s="13">
        <f>IFERROR(Table410[[#This Row],[Oct_2026_Days_Forecast]]*Table410[[#This Row],[Cost Boolean]]*(VLOOKUP(Table410[[#This Row],[RATE CONCAT]],Tables!I:N,5,0)),0)</f>
        <v>5775</v>
      </c>
      <c r="DB12" s="13">
        <f>IFERROR(Table410[[#This Row],[Oct_2026_Days_Actual]]*Table410[[#This Row],[Cost Boolean]]*(VLOOKUP(Table410[[#This Row],[RATE CONCAT]],Tables!I:N,5,0)),0)</f>
        <v>5775</v>
      </c>
      <c r="DC12" s="13">
        <f>Table410[[#This Row],[Oct_2026_F]]-Table410[[#This Row],[Oct_2026_A]]</f>
        <v>0</v>
      </c>
      <c r="DE12" s="13">
        <f>IFERROR(Table410[[#This Row],[Nov_2026_Days_Forecast]]*Table410[[#This Row],[Cost Boolean]]*(VLOOKUP(Table410[[#This Row],[RATE CONCAT]],Tables!I:N,5,0)),0)</f>
        <v>5775</v>
      </c>
      <c r="DF12" s="13">
        <f>IFERROR(Table410[[#This Row],[Nov_2026_Days_Actual]]*Table410[[#This Row],[Cost Boolean]]*(VLOOKUP(Table410[[#This Row],[RATE CONCAT]],Tables!I:N,5,0)),0)</f>
        <v>5775</v>
      </c>
      <c r="DG12" s="13">
        <f>Table410[[#This Row],[Nov_2026_F]]-Table410[[#This Row],[Nov_2026_A]]</f>
        <v>0</v>
      </c>
      <c r="DI12" s="13">
        <f>IFERROR(Table410[[#This Row],[Dec_2026_Days_Forecast]]*Table410[[#This Row],[Cost Boolean]]*(VLOOKUP(Table410[[#This Row],[RATE CONCAT]],Tables!I:N,5,0)),0)</f>
        <v>4620</v>
      </c>
      <c r="DJ12" s="13">
        <f>IFERROR(Table410[[#This Row],[Dec_2026_Days_Actual]]*Table410[[#This Row],[Cost Boolean]]*(VLOOKUP(Table410[[#This Row],[RATE CONCAT]],Tables!I:N,5,0)),0)</f>
        <v>4620</v>
      </c>
      <c r="DK12" s="13">
        <f>Table410[[#This Row],[Dec_2026_F]]-Table410[[#This Row],[Dec_2026_A]]</f>
        <v>0</v>
      </c>
      <c r="DN12" s="13">
        <f>IFERROR(Table410[[#This Row],[Jan_2027_Days_Forecast]]*Table410[[#This Row],[Cost Boolean]]*(VLOOKUP(Table410[[#This Row],[RATE CONCAT]],Tables!I:N,6,0)),0)</f>
        <v>0</v>
      </c>
      <c r="DO12" s="13">
        <v>0</v>
      </c>
      <c r="DP12" s="13">
        <f>Table410[[#This Row],[Jan_2027_F]]-Table410[[#This Row],[Jan_2027_A]]</f>
        <v>0</v>
      </c>
      <c r="DQ12" s="13">
        <f>IFERROR(Table410[[#This Row],[Feb_2027_Days_Forecast]]*Table410[[#This Row],[Cost Boolean]]*(VLOOKUP(Table410[[#This Row],[RATE CONCAT]],Tables!I:N,6,0)),0)</f>
        <v>0</v>
      </c>
      <c r="DR12" s="13">
        <v>0</v>
      </c>
      <c r="DS12" s="13">
        <f>Table410[[#This Row],[Feb_2027_F]]-Table410[[#This Row],[Feb_2027_A]]</f>
        <v>0</v>
      </c>
      <c r="DT12" s="13">
        <f>IFERROR(Table410[[#This Row],[Mar_2027_Days_Forecast]]*Table410[[#This Row],[Cost Boolean]]*(VLOOKUP(Table410[[#This Row],[RATE CONCAT]],Tables!I:N,6,0)),0)</f>
        <v>0</v>
      </c>
      <c r="DU12" s="13">
        <v>0</v>
      </c>
      <c r="DV12" s="13">
        <f>Table410[[#This Row],[Mar_2027_F]]-Table410[[#This Row],[Mar_2027_A]]</f>
        <v>0</v>
      </c>
      <c r="DW12" s="13">
        <f>IFERROR(Table410[[#This Row],[Apr_2027_Days_Forecast]]*Table410[[#This Row],[Cost Boolean]]*(VLOOKUP(Table410[[#This Row],[RATE CONCAT]],Tables!I:N,6,0)),0)</f>
        <v>0</v>
      </c>
      <c r="DX12" s="13">
        <v>0</v>
      </c>
      <c r="DY12" s="13">
        <f>Table410[[#This Row],[Apr_2027_F]]-Table410[[#This Row],[Apr_2027_A]]</f>
        <v>0</v>
      </c>
      <c r="DZ12" s="13">
        <f>IFERROR(Table410[[#This Row],[May_2027_Days_Forecast]]*Table410[[#This Row],[Cost Boolean]]*(VLOOKUP(Table410[[#This Row],[RATE CONCAT]],Tables!I:N,6,0)),0)</f>
        <v>0</v>
      </c>
      <c r="EA12" s="13">
        <v>0</v>
      </c>
      <c r="EB12" s="13">
        <f>Table410[[#This Row],[May_2027_F]]-Table410[[#This Row],[May_2027_A]]</f>
        <v>0</v>
      </c>
      <c r="EC12" s="13">
        <f>IFERROR(Table410[[#This Row],[Jun_2027_Days_Forecast]]*Table410[[#This Row],[Cost Boolean]]*(VLOOKUP(Table410[[#This Row],[RATE CONCAT]],Tables!I:N,6,0)),0)</f>
        <v>0</v>
      </c>
      <c r="ED12" s="13">
        <v>0</v>
      </c>
      <c r="EE12" s="13">
        <f>Table410[[#This Row],[Jun_2027_F]]-Table410[[#This Row],[Jun_2027_A]]</f>
        <v>0</v>
      </c>
      <c r="EF12" s="13">
        <f>IFERROR(Table410[[#This Row],[Jul_2027_Days_Forecast]]*Table410[[#This Row],[Cost Boolean]]*(VLOOKUP(Table410[[#This Row],[RATE CONCAT]],Tables!I:N,6,0)),0)</f>
        <v>0</v>
      </c>
      <c r="EG12" s="13">
        <v>0</v>
      </c>
      <c r="EH12" s="13">
        <f>Table410[[#This Row],[Jul_2027_F]]-Table410[[#This Row],[Jul_2027_A]]</f>
        <v>0</v>
      </c>
      <c r="EI12" s="13">
        <f>IFERROR(Table410[[#This Row],[Aug_2027_Days_Forecast]]*Table410[[#This Row],[Cost Boolean]]*(VLOOKUP(Table410[[#This Row],[RATE CONCAT]],Tables!I:N,6,0)),0)</f>
        <v>0</v>
      </c>
      <c r="EJ12" s="13">
        <v>0</v>
      </c>
      <c r="EK12" s="13">
        <f>Table410[[#This Row],[Aug_2027_F]]-Table410[[#This Row],[Aug_2027_A]]</f>
        <v>0</v>
      </c>
      <c r="EL12" s="13">
        <f>IFERROR(Table410[[#This Row],[Sep_2027_Days_Forecast]]*Table410[[#This Row],[Cost Boolean]]*(VLOOKUP(Table410[[#This Row],[RATE CONCAT]],Tables!I:N,6,0)),0)</f>
        <v>0</v>
      </c>
      <c r="EM12" s="13">
        <v>0</v>
      </c>
      <c r="EN12" s="13">
        <f>Table410[[#This Row],[Sep_2027_F]]-Table410[[#This Row],[Sep_2027_A]]</f>
        <v>0</v>
      </c>
      <c r="EO12" s="13">
        <f>IFERROR(Table410[[#This Row],[Oct_2027_Days_Forecast]]*Table410[[#This Row],[Cost Boolean]]*(VLOOKUP(Table410[[#This Row],[RATE CONCAT]],Tables!I:N,6,0)),0)</f>
        <v>0</v>
      </c>
      <c r="EP12" s="13">
        <v>0</v>
      </c>
      <c r="EQ12" s="13">
        <f>Table410[[#This Row],[Oct_2027_F]]-Table410[[#This Row],[Oct_2027_A]]</f>
        <v>0</v>
      </c>
      <c r="ER12" s="13">
        <f>IFERROR(Table410[[#This Row],[Nov_2027_Days_Forecast]]*Table410[[#This Row],[Cost Boolean]]*(VLOOKUP(Table410[[#This Row],[RATE CONCAT]],Tables!I:N,6,0)),0)</f>
        <v>0</v>
      </c>
      <c r="ES12" s="13">
        <v>0</v>
      </c>
      <c r="ET12" s="13">
        <f>Table410[[#This Row],[Nov_2027_F]]-Table410[[#This Row],[Nov_2027_A]]</f>
        <v>0</v>
      </c>
      <c r="EU12" s="13">
        <f>IFERROR(Table410[[#This Row],[Dec_2027_Days_Forecast]]*Table410[[#This Row],[Cost Boolean]]*(VLOOKUP(Table410[[#This Row],[RATE CONCAT]],Tables!I:N,6,0)),0)</f>
        <v>0</v>
      </c>
      <c r="EV12" s="13">
        <v>0</v>
      </c>
      <c r="EW12" s="13">
        <f>Table410[[#This Row],[Dec_2027_F]]-Table410[[#This Row],[Dec_2027_A]]</f>
        <v>0</v>
      </c>
    </row>
    <row r="13" spans="1:153" s="13" customFormat="1" ht="15" customHeight="1">
      <c r="A13" s="13" t="s">
        <v>238</v>
      </c>
      <c r="B13" s="13" t="s">
        <v>44</v>
      </c>
      <c r="C13" s="13" t="s">
        <v>219</v>
      </c>
      <c r="D13" s="13" t="s">
        <v>239</v>
      </c>
      <c r="E13" s="13" t="s">
        <v>221</v>
      </c>
      <c r="G13" s="13" t="s">
        <v>222</v>
      </c>
      <c r="H13" s="13">
        <v>5</v>
      </c>
      <c r="J13" s="13" t="s">
        <v>240</v>
      </c>
      <c r="K13" s="13" t="s">
        <v>224</v>
      </c>
      <c r="L13" s="13">
        <v>1</v>
      </c>
      <c r="M13" s="13" t="s">
        <v>225</v>
      </c>
      <c r="N13" s="13" t="s">
        <v>241</v>
      </c>
      <c r="O13" s="13" t="s">
        <v>227</v>
      </c>
      <c r="P13" s="13" t="s">
        <v>53</v>
      </c>
      <c r="Q13" s="13" t="s">
        <v>228</v>
      </c>
      <c r="R13" s="193">
        <v>46023</v>
      </c>
      <c r="S13" s="193">
        <v>46387</v>
      </c>
      <c r="T13" s="193">
        <v>46023</v>
      </c>
      <c r="U13" s="193">
        <v>46387</v>
      </c>
      <c r="V13" s="193">
        <v>46023</v>
      </c>
      <c r="W13" s="193">
        <v>46387</v>
      </c>
      <c r="Y13" s="13" t="str">
        <f>CONCATENATE(Table410[[#This Row],[JG]],Table410[[#This Row],[Country]],Table410[[#This Row],[Resource Provider]])</f>
        <v>5United KingdomShell Business</v>
      </c>
      <c r="Z13" s="13">
        <f>VLOOKUP(Table410[[#This Row],[RATE CONCAT]],Tables!I:N,5,0)</f>
        <v>790</v>
      </c>
      <c r="AA13" s="52"/>
      <c r="AB13" s="130">
        <v>10</v>
      </c>
      <c r="AC13" s="130">
        <v>10</v>
      </c>
      <c r="AD13" s="130">
        <v>10</v>
      </c>
      <c r="AE13" s="130">
        <v>10</v>
      </c>
      <c r="AF13" s="130">
        <v>9</v>
      </c>
      <c r="AG13" s="130">
        <v>9</v>
      </c>
      <c r="AH13" s="130">
        <v>9</v>
      </c>
      <c r="AI13" s="130">
        <v>10</v>
      </c>
      <c r="AJ13" s="130">
        <v>10</v>
      </c>
      <c r="AK13" s="130">
        <v>10</v>
      </c>
      <c r="AL13" s="130">
        <v>9</v>
      </c>
      <c r="AM13" s="130">
        <v>9</v>
      </c>
      <c r="AN13" s="176">
        <f>IFERROR(AVERAGE(Table410[[#This Row],[Jan_2026_Days_Forecast]:[Dec_2026_Days_Forecast]]),0)/19</f>
        <v>0.50438596491228072</v>
      </c>
      <c r="AO13" s="176">
        <f>IFERROR(AVERAGE(Table410[[#This Row],[Jan_2026_Days_Actual]:[Dec_2026_Days_Actual]]),0)/19</f>
        <v>0.50438596491228072</v>
      </c>
      <c r="AP13" s="130">
        <v>10</v>
      </c>
      <c r="AQ13" s="130">
        <v>10</v>
      </c>
      <c r="AR13" s="130">
        <v>10</v>
      </c>
      <c r="AS13" s="130">
        <v>10</v>
      </c>
      <c r="AT13" s="130">
        <v>9</v>
      </c>
      <c r="AU13" s="130">
        <v>9</v>
      </c>
      <c r="AV13" s="130">
        <v>9</v>
      </c>
      <c r="AW13" s="130">
        <v>10</v>
      </c>
      <c r="AX13" s="130">
        <v>10</v>
      </c>
      <c r="AY13" s="130">
        <v>10</v>
      </c>
      <c r="AZ13" s="130">
        <v>9</v>
      </c>
      <c r="BA13" s="130">
        <v>9</v>
      </c>
      <c r="BB13" s="176">
        <f>IFERROR(AVERAGE(Table410[[#This Row],[Jan_2027_Days_Forecast]:[Dec_2027_Days_Forecast]]),0)</f>
        <v>0</v>
      </c>
      <c r="BC13" s="127"/>
      <c r="BD13" s="127"/>
      <c r="BE13" s="127"/>
      <c r="BF13" s="127"/>
      <c r="BG13" s="127"/>
      <c r="BH13" s="127"/>
      <c r="BI13" s="127"/>
      <c r="BJ13" s="127"/>
      <c r="BK13" s="127"/>
      <c r="BL13" s="127"/>
      <c r="BM13" s="127"/>
      <c r="BN13" s="127"/>
      <c r="BO13" s="176"/>
      <c r="BP13" s="176"/>
      <c r="BQ13" s="13">
        <f>IFERROR(Table410[[#This Row],[Jan_2026_Days_Forecast]]*Table410[[#This Row],[Cost Boolean]]*(VLOOKUP(Table410[[#This Row],[RATE CONCAT]],Tables!I:N,5,0)),0)</f>
        <v>7900</v>
      </c>
      <c r="BR13" s="13">
        <f>IFERROR(Table410[[#This Row],[Jan_2026_Days_Actual]]*Table410[[#This Row],[Cost Boolean]]*(VLOOKUP(Table410[[#This Row],[RATE CONCAT]],Tables!I:N,5,0)),0)</f>
        <v>7900</v>
      </c>
      <c r="BS13" s="13">
        <f>Table410[[#This Row],[Jan_2026_F]]-Table410[[#This Row],[Jan_2026_A]]</f>
        <v>0</v>
      </c>
      <c r="BU13" s="13">
        <f>IFERROR(Table410[[#This Row],[Feb_2026_Days_Forecast]]*Table410[[#This Row],[Cost Boolean]]*(VLOOKUP(Table410[[#This Row],[RATE CONCAT]],Tables!I:N,5,0)),0)</f>
        <v>7900</v>
      </c>
      <c r="BV13" s="13">
        <f>IFERROR(Table410[[#This Row],[Feb_2026_Days_Actual]]*Table410[[#This Row],[Cost Boolean]]*(VLOOKUP(Table410[[#This Row],[RATE CONCAT]],Tables!I:N,5,0)),0)</f>
        <v>7900</v>
      </c>
      <c r="BW13" s="13">
        <f>Table410[[#This Row],[Feb_2026_F]]-Table410[[#This Row],[Feb_2026_A]]</f>
        <v>0</v>
      </c>
      <c r="BY13" s="13">
        <f>IFERROR(Table410[[#This Row],[Mar_2026_Days_Forecast]]*Table410[[#This Row],[Cost Boolean]]*(VLOOKUP(Table410[[#This Row],[RATE CONCAT]],Tables!I:N,5,0)),0)</f>
        <v>7900</v>
      </c>
      <c r="BZ13" s="13">
        <f>IFERROR(Table410[[#This Row],[Mar_2026_Days_Actual]]*Table410[[#This Row],[Cost Boolean]]*(VLOOKUP(Table410[[#This Row],[RATE CONCAT]],Tables!I:N,5,0)),0)</f>
        <v>7900</v>
      </c>
      <c r="CA13" s="13">
        <f>Table410[[#This Row],[Mar_2026_F]]-Table410[[#This Row],[Mar_2026_A]]</f>
        <v>0</v>
      </c>
      <c r="CC13" s="13">
        <f>IFERROR(Table410[[#This Row],[Apr_2026_Days_Forecast]]*Table410[[#This Row],[Cost Boolean]]*(VLOOKUP(Table410[[#This Row],[RATE CONCAT]],Tables!I:N,5,0)),0)</f>
        <v>7900</v>
      </c>
      <c r="CD13" s="13">
        <f>IFERROR(Table410[[#This Row],[Apr_2026_Days_Actual]]*Table410[[#This Row],[Cost Boolean]]*(VLOOKUP(Table410[[#This Row],[RATE CONCAT]],Tables!I:N,5,0)),0)</f>
        <v>7900</v>
      </c>
      <c r="CE13" s="13">
        <f>Table410[[#This Row],[Apr_2026_F]]-Table410[[#This Row],[Apr_2026_A]]</f>
        <v>0</v>
      </c>
      <c r="CG13" s="13">
        <f>IFERROR(Table410[[#This Row],[May_2026_Days_Forecast]] *Table410[[#This Row],[Cost Boolean]]*(VLOOKUP(Table410[[#This Row],[RATE CONCAT]],Tables!I:N,5,0)),0)</f>
        <v>7110</v>
      </c>
      <c r="CH13" s="13">
        <f>IFERROR(Table410[[#This Row],[May_2026_Days_Actual]]*Table410[[#This Row],[Cost Boolean]]*(VLOOKUP(Table410[[#This Row],[RATE CONCAT]],Tables!I:N,5,0)),0)</f>
        <v>7110</v>
      </c>
      <c r="CI13" s="13">
        <f>Table410[[#This Row],[May_2026_F]]-Table410[[#This Row],[May_2026_A]]</f>
        <v>0</v>
      </c>
      <c r="CK13" s="13">
        <f>IFERROR(Table410[[#This Row],[Jun_2026_Days_Forecast]]*Table410[[#This Row],[Cost Boolean]]*(VLOOKUP(Table410[[#This Row],[RATE CONCAT]],Tables!I:N,5,0)),0)</f>
        <v>7110</v>
      </c>
      <c r="CL13" s="13">
        <f>IFERROR(Table410[[#This Row],[Jun_2026_Days_Actual]]*Table410[[#This Row],[Cost Boolean]]*(VLOOKUP(Table410[[#This Row],[RATE CONCAT]],Tables!I:N,5,0)),0)</f>
        <v>7110</v>
      </c>
      <c r="CM13" s="13">
        <f>Table410[[#This Row],[Jun_2026_F]]-Table410[[#This Row],[Jun_2026_A]]</f>
        <v>0</v>
      </c>
      <c r="CO13" s="13">
        <f>IFERROR(Table410[[#This Row],[Jul_2026_Days_Forecast]]*Table410[[#This Row],[Cost Boolean]]*(VLOOKUP(Table410[[#This Row],[RATE CONCAT]],Tables!I:N,5,0)),0)</f>
        <v>7110</v>
      </c>
      <c r="CP13" s="13">
        <f>IFERROR(Table410[[#This Row],[Jul_2026_Days_Actual]]*Table410[[#This Row],[Cost Boolean]]*(VLOOKUP(Table410[[#This Row],[RATE CONCAT]],Tables!I:N,5,0)),0)</f>
        <v>7110</v>
      </c>
      <c r="CQ13" s="13">
        <f>Table410[[#This Row],[Jul_2026_F]]-Table410[[#This Row],[Jul_2026_A]]</f>
        <v>0</v>
      </c>
      <c r="CS13" s="13">
        <f>IFERROR(Table410[[#This Row],[Aug_2026_Days_Forecast]]*Table410[[#This Row],[Cost Boolean]]*(VLOOKUP(Table410[[#This Row],[RATE CONCAT]],Tables!I:N,5,0)),0)</f>
        <v>7900</v>
      </c>
      <c r="CT13" s="13">
        <f>IFERROR(Table410[[#This Row],[Aug_2026_Days_Actual]]*Table410[[#This Row],[Cost Boolean]]*(VLOOKUP(Table410[[#This Row],[RATE CONCAT]],Tables!I:N,5,0)),0)</f>
        <v>7900</v>
      </c>
      <c r="CU13" s="13">
        <f>Table410[[#This Row],[Aug_2026_F]]-Table410[[#This Row],[Aug_2026_A]]</f>
        <v>0</v>
      </c>
      <c r="CW13" s="13">
        <f>IFERROR(Table410[[#This Row],[Sep_2026_Days_Forecast]]*Table410[[#This Row],[Cost Boolean]]*(VLOOKUP(Table410[[#This Row],[RATE CONCAT]],Tables!I:N,5,0)),0)</f>
        <v>7900</v>
      </c>
      <c r="CX13" s="13">
        <f>IFERROR(Table410[[#This Row],[Sep_2026_Days_Actual]]*Table410[[#This Row],[Cost Boolean]]*(VLOOKUP(Table410[[#This Row],[RATE CONCAT]],Tables!I:N,5,0)),0)</f>
        <v>7900</v>
      </c>
      <c r="CY13" s="13">
        <f>Table410[[#This Row],[Sep_2026_F]]-Table410[[#This Row],[Sep_2026_A]]</f>
        <v>0</v>
      </c>
      <c r="DA13" s="13">
        <f>IFERROR(Table410[[#This Row],[Oct_2026_Days_Forecast]]*Table410[[#This Row],[Cost Boolean]]*(VLOOKUP(Table410[[#This Row],[RATE CONCAT]],Tables!I:N,5,0)),0)</f>
        <v>7900</v>
      </c>
      <c r="DB13" s="13">
        <f>IFERROR(Table410[[#This Row],[Oct_2026_Days_Actual]]*Table410[[#This Row],[Cost Boolean]]*(VLOOKUP(Table410[[#This Row],[RATE CONCAT]],Tables!I:N,5,0)),0)</f>
        <v>7900</v>
      </c>
      <c r="DC13" s="13">
        <f>Table410[[#This Row],[Oct_2026_F]]-Table410[[#This Row],[Oct_2026_A]]</f>
        <v>0</v>
      </c>
      <c r="DE13" s="13">
        <f>IFERROR(Table410[[#This Row],[Nov_2026_Days_Forecast]]*Table410[[#This Row],[Cost Boolean]]*(VLOOKUP(Table410[[#This Row],[RATE CONCAT]],Tables!I:N,5,0)),0)</f>
        <v>7110</v>
      </c>
      <c r="DF13" s="13">
        <f>IFERROR(Table410[[#This Row],[Nov_2026_Days_Actual]]*Table410[[#This Row],[Cost Boolean]]*(VLOOKUP(Table410[[#This Row],[RATE CONCAT]],Tables!I:N,5,0)),0)</f>
        <v>7110</v>
      </c>
      <c r="DG13" s="13">
        <f>Table410[[#This Row],[Nov_2026_F]]-Table410[[#This Row],[Nov_2026_A]]</f>
        <v>0</v>
      </c>
      <c r="DI13" s="13">
        <f>IFERROR(Table410[[#This Row],[Dec_2026_Days_Forecast]]*Table410[[#This Row],[Cost Boolean]]*(VLOOKUP(Table410[[#This Row],[RATE CONCAT]],Tables!I:N,5,0)),0)</f>
        <v>7110</v>
      </c>
      <c r="DJ13" s="13">
        <f>IFERROR(Table410[[#This Row],[Dec_2026_Days_Actual]]*Table410[[#This Row],[Cost Boolean]]*(VLOOKUP(Table410[[#This Row],[RATE CONCAT]],Tables!I:N,5,0)),0)</f>
        <v>7110</v>
      </c>
      <c r="DK13" s="13">
        <f>Table410[[#This Row],[Dec_2026_F]]-Table410[[#This Row],[Dec_2026_A]]</f>
        <v>0</v>
      </c>
      <c r="DN13" s="13">
        <f>IFERROR(Table410[[#This Row],[Jan_2027_Days_Forecast]]*Table410[[#This Row],[Cost Boolean]]*(VLOOKUP(Table410[[#This Row],[RATE CONCAT]],Tables!I:N,6,0)),0)</f>
        <v>0</v>
      </c>
      <c r="DO13" s="13">
        <v>0</v>
      </c>
      <c r="DP13" s="13">
        <f>Table410[[#This Row],[Jan_2027_F]]-Table410[[#This Row],[Jan_2027_A]]</f>
        <v>0</v>
      </c>
      <c r="DQ13" s="13">
        <f>IFERROR(Table410[[#This Row],[Feb_2027_Days_Forecast]]*Table410[[#This Row],[Cost Boolean]]*(VLOOKUP(Table410[[#This Row],[RATE CONCAT]],Tables!I:N,6,0)),0)</f>
        <v>0</v>
      </c>
      <c r="DR13" s="13">
        <v>0</v>
      </c>
      <c r="DS13" s="13">
        <f>Table410[[#This Row],[Feb_2027_F]]-Table410[[#This Row],[Feb_2027_A]]</f>
        <v>0</v>
      </c>
      <c r="DT13" s="13">
        <f>IFERROR(Table410[[#This Row],[Mar_2027_Days_Forecast]]*Table410[[#This Row],[Cost Boolean]]*(VLOOKUP(Table410[[#This Row],[RATE CONCAT]],Tables!I:N,6,0)),0)</f>
        <v>0</v>
      </c>
      <c r="DU13" s="13">
        <v>0</v>
      </c>
      <c r="DV13" s="13">
        <f>Table410[[#This Row],[Mar_2027_F]]-Table410[[#This Row],[Mar_2027_A]]</f>
        <v>0</v>
      </c>
      <c r="DW13" s="13">
        <f>IFERROR(Table410[[#This Row],[Apr_2027_Days_Forecast]]*Table410[[#This Row],[Cost Boolean]]*(VLOOKUP(Table410[[#This Row],[RATE CONCAT]],Tables!I:N,6,0)),0)</f>
        <v>0</v>
      </c>
      <c r="DX13" s="13">
        <v>0</v>
      </c>
      <c r="DY13" s="13">
        <f>Table410[[#This Row],[Apr_2027_F]]-Table410[[#This Row],[Apr_2027_A]]</f>
        <v>0</v>
      </c>
      <c r="DZ13" s="13">
        <f>IFERROR(Table410[[#This Row],[May_2027_Days_Forecast]]*Table410[[#This Row],[Cost Boolean]]*(VLOOKUP(Table410[[#This Row],[RATE CONCAT]],Tables!I:N,6,0)),0)</f>
        <v>0</v>
      </c>
      <c r="EA13" s="13">
        <v>0</v>
      </c>
      <c r="EB13" s="13">
        <f>Table410[[#This Row],[May_2027_F]]-Table410[[#This Row],[May_2027_A]]</f>
        <v>0</v>
      </c>
      <c r="EC13" s="13">
        <f>IFERROR(Table410[[#This Row],[Jun_2027_Days_Forecast]]*Table410[[#This Row],[Cost Boolean]]*(VLOOKUP(Table410[[#This Row],[RATE CONCAT]],Tables!I:N,6,0)),0)</f>
        <v>0</v>
      </c>
      <c r="ED13" s="13">
        <v>0</v>
      </c>
      <c r="EE13" s="13">
        <f>Table410[[#This Row],[Jun_2027_F]]-Table410[[#This Row],[Jun_2027_A]]</f>
        <v>0</v>
      </c>
      <c r="EF13" s="13">
        <f>IFERROR(Table410[[#This Row],[Jul_2027_Days_Forecast]]*Table410[[#This Row],[Cost Boolean]]*(VLOOKUP(Table410[[#This Row],[RATE CONCAT]],Tables!I:N,6,0)),0)</f>
        <v>0</v>
      </c>
      <c r="EG13" s="13">
        <v>0</v>
      </c>
      <c r="EH13" s="13">
        <f>Table410[[#This Row],[Jul_2027_F]]-Table410[[#This Row],[Jul_2027_A]]</f>
        <v>0</v>
      </c>
      <c r="EI13" s="13">
        <f>IFERROR(Table410[[#This Row],[Aug_2027_Days_Forecast]]*Table410[[#This Row],[Cost Boolean]]*(VLOOKUP(Table410[[#This Row],[RATE CONCAT]],Tables!I:N,6,0)),0)</f>
        <v>0</v>
      </c>
      <c r="EJ13" s="13">
        <v>0</v>
      </c>
      <c r="EK13" s="13">
        <f>Table410[[#This Row],[Aug_2027_F]]-Table410[[#This Row],[Aug_2027_A]]</f>
        <v>0</v>
      </c>
      <c r="EL13" s="13">
        <f>IFERROR(Table410[[#This Row],[Sep_2027_Days_Forecast]]*Table410[[#This Row],[Cost Boolean]]*(VLOOKUP(Table410[[#This Row],[RATE CONCAT]],Tables!I:N,6,0)),0)</f>
        <v>0</v>
      </c>
      <c r="EM13" s="13">
        <v>0</v>
      </c>
      <c r="EN13" s="13">
        <f>Table410[[#This Row],[Sep_2027_F]]-Table410[[#This Row],[Sep_2027_A]]</f>
        <v>0</v>
      </c>
      <c r="EO13" s="13">
        <f>IFERROR(Table410[[#This Row],[Oct_2027_Days_Forecast]]*Table410[[#This Row],[Cost Boolean]]*(VLOOKUP(Table410[[#This Row],[RATE CONCAT]],Tables!I:N,6,0)),0)</f>
        <v>0</v>
      </c>
      <c r="EP13" s="13">
        <v>0</v>
      </c>
      <c r="EQ13" s="13">
        <f>Table410[[#This Row],[Oct_2027_F]]-Table410[[#This Row],[Oct_2027_A]]</f>
        <v>0</v>
      </c>
      <c r="ER13" s="13">
        <f>IFERROR(Table410[[#This Row],[Nov_2027_Days_Forecast]]*Table410[[#This Row],[Cost Boolean]]*(VLOOKUP(Table410[[#This Row],[RATE CONCAT]],Tables!I:N,6,0)),0)</f>
        <v>0</v>
      </c>
      <c r="ES13" s="13">
        <v>0</v>
      </c>
      <c r="ET13" s="13">
        <f>Table410[[#This Row],[Nov_2027_F]]-Table410[[#This Row],[Nov_2027_A]]</f>
        <v>0</v>
      </c>
      <c r="EU13" s="13">
        <f>IFERROR(Table410[[#This Row],[Dec_2027_Days_Forecast]]*Table410[[#This Row],[Cost Boolean]]*(VLOOKUP(Table410[[#This Row],[RATE CONCAT]],Tables!I:N,6,0)),0)</f>
        <v>0</v>
      </c>
      <c r="EV13" s="13">
        <v>0</v>
      </c>
      <c r="EW13" s="13">
        <f>Table410[[#This Row],[Dec_2027_F]]-Table410[[#This Row],[Dec_2027_A]]</f>
        <v>0</v>
      </c>
    </row>
    <row r="14" spans="1:153" s="13" customFormat="1" ht="15" customHeight="1">
      <c r="A14" s="13" t="s">
        <v>242</v>
      </c>
      <c r="B14" s="13" t="s">
        <v>45</v>
      </c>
      <c r="C14" s="13" t="s">
        <v>219</v>
      </c>
      <c r="D14" s="13" t="s">
        <v>243</v>
      </c>
      <c r="E14" s="13" t="s">
        <v>221</v>
      </c>
      <c r="G14" s="13" t="s">
        <v>244</v>
      </c>
      <c r="H14" s="13">
        <v>4</v>
      </c>
      <c r="J14" s="13" t="s">
        <v>240</v>
      </c>
      <c r="K14" s="13" t="s">
        <v>224</v>
      </c>
      <c r="L14" s="13">
        <v>1</v>
      </c>
      <c r="M14" s="13" t="s">
        <v>245</v>
      </c>
      <c r="N14" s="13" t="s">
        <v>241</v>
      </c>
      <c r="O14" s="13" t="s">
        <v>227</v>
      </c>
      <c r="P14" s="13" t="s">
        <v>53</v>
      </c>
      <c r="Q14" s="13" t="s">
        <v>228</v>
      </c>
      <c r="R14" s="193">
        <v>46023</v>
      </c>
      <c r="S14" s="193">
        <v>46387</v>
      </c>
      <c r="T14" s="193">
        <v>46023</v>
      </c>
      <c r="U14" s="193">
        <v>46387</v>
      </c>
      <c r="V14" s="193">
        <v>46023</v>
      </c>
      <c r="W14" s="193">
        <v>46387</v>
      </c>
      <c r="Y14" s="13" t="str">
        <f>CONCATENATE(Table410[[#This Row],[JG]],Table410[[#This Row],[Country]],Table410[[#This Row],[Resource Provider]])</f>
        <v>4SingaporeShell Business</v>
      </c>
      <c r="Z14" s="13">
        <f>VLOOKUP(Table410[[#This Row],[RATE CONCAT]],Tables!I:N,5,0)</f>
        <v>900</v>
      </c>
      <c r="AA14" s="52"/>
      <c r="AB14" s="130">
        <v>10</v>
      </c>
      <c r="AC14" s="130">
        <v>10</v>
      </c>
      <c r="AD14" s="130">
        <v>10</v>
      </c>
      <c r="AE14" s="130">
        <v>10</v>
      </c>
      <c r="AF14" s="130">
        <v>9</v>
      </c>
      <c r="AG14" s="130">
        <v>9</v>
      </c>
      <c r="AH14" s="130">
        <v>9</v>
      </c>
      <c r="AI14" s="130">
        <v>10</v>
      </c>
      <c r="AJ14" s="130">
        <v>10</v>
      </c>
      <c r="AK14" s="130">
        <v>10</v>
      </c>
      <c r="AL14" s="130">
        <v>9</v>
      </c>
      <c r="AM14" s="130">
        <v>9</v>
      </c>
      <c r="AN14" s="176">
        <f>IFERROR(AVERAGE(Table410[[#This Row],[Jan_2026_Days_Forecast]:[Dec_2026_Days_Forecast]]),0)/19</f>
        <v>0.50438596491228072</v>
      </c>
      <c r="AO14" s="176">
        <f>IFERROR(AVERAGE(Table410[[#This Row],[Jan_2026_Days_Actual]:[Dec_2026_Days_Actual]]),0)/19</f>
        <v>0.50438596491228072</v>
      </c>
      <c r="AP14" s="130">
        <v>10</v>
      </c>
      <c r="AQ14" s="130">
        <v>10</v>
      </c>
      <c r="AR14" s="130">
        <v>10</v>
      </c>
      <c r="AS14" s="130">
        <v>10</v>
      </c>
      <c r="AT14" s="130">
        <v>9</v>
      </c>
      <c r="AU14" s="130">
        <v>9</v>
      </c>
      <c r="AV14" s="130">
        <v>9</v>
      </c>
      <c r="AW14" s="130">
        <v>10</v>
      </c>
      <c r="AX14" s="130">
        <v>10</v>
      </c>
      <c r="AY14" s="130">
        <v>10</v>
      </c>
      <c r="AZ14" s="130">
        <v>9</v>
      </c>
      <c r="BA14" s="130">
        <v>9</v>
      </c>
      <c r="BB14" s="176">
        <f>IFERROR(AVERAGE(Table410[[#This Row],[Jan_2027_Days_Forecast]:[Dec_2027_Days_Forecast]]),0)</f>
        <v>0</v>
      </c>
      <c r="BC14" s="127"/>
      <c r="BD14" s="127"/>
      <c r="BE14" s="127"/>
      <c r="BF14" s="127"/>
      <c r="BG14" s="127"/>
      <c r="BH14" s="127"/>
      <c r="BI14" s="127"/>
      <c r="BJ14" s="127"/>
      <c r="BK14" s="127"/>
      <c r="BL14" s="127"/>
      <c r="BM14" s="127"/>
      <c r="BN14" s="127"/>
      <c r="BO14" s="176"/>
      <c r="BP14" s="176"/>
      <c r="BQ14" s="13">
        <f>IFERROR(Table410[[#This Row],[Jan_2026_Days_Forecast]]*Table410[[#This Row],[Cost Boolean]]*(VLOOKUP(Table410[[#This Row],[RATE CONCAT]],Tables!I:N,5,0)),0)</f>
        <v>9000</v>
      </c>
      <c r="BR14" s="13">
        <f>IFERROR(Table410[[#This Row],[Jan_2026_Days_Actual]]*Table410[[#This Row],[Cost Boolean]]*(VLOOKUP(Table410[[#This Row],[RATE CONCAT]],Tables!I:N,5,0)),0)</f>
        <v>9000</v>
      </c>
      <c r="BS14" s="13">
        <f>Table410[[#This Row],[Jan_2026_F]]-Table410[[#This Row],[Jan_2026_A]]</f>
        <v>0</v>
      </c>
      <c r="BU14" s="13">
        <f>IFERROR(Table410[[#This Row],[Feb_2026_Days_Forecast]]*Table410[[#This Row],[Cost Boolean]]*(VLOOKUP(Table410[[#This Row],[RATE CONCAT]],Tables!I:N,5,0)),0)</f>
        <v>9000</v>
      </c>
      <c r="BW14" s="13">
        <f>Table410[[#This Row],[Feb_2026_F]]-Table410[[#This Row],[Feb_2026_A]]</f>
        <v>9000</v>
      </c>
      <c r="BY14" s="13">
        <f>IFERROR(Table410[[#This Row],[Mar_2026_Days_Forecast]]*Table410[[#This Row],[Cost Boolean]]*(VLOOKUP(Table410[[#This Row],[RATE CONCAT]],Tables!I:N,5,0)),0)</f>
        <v>9000</v>
      </c>
      <c r="CA14" s="13">
        <f>Table410[[#This Row],[Mar_2026_F]]-Table410[[#This Row],[Mar_2026_A]]</f>
        <v>9000</v>
      </c>
      <c r="CC14" s="13">
        <f>IFERROR(Table410[[#This Row],[Apr_2026_Days_Forecast]]*Table410[[#This Row],[Cost Boolean]]*(VLOOKUP(Table410[[#This Row],[RATE CONCAT]],Tables!I:N,5,0)),0)</f>
        <v>9000</v>
      </c>
      <c r="CE14" s="13">
        <f>Table410[[#This Row],[Apr_2026_F]]-Table410[[#This Row],[Apr_2026_A]]</f>
        <v>9000</v>
      </c>
      <c r="CG14" s="13">
        <f>IFERROR(Table410[[#This Row],[May_2026_Days_Forecast]] *Table410[[#This Row],[Cost Boolean]]*(VLOOKUP(Table410[[#This Row],[RATE CONCAT]],Tables!I:N,5,0)),0)</f>
        <v>8100</v>
      </c>
      <c r="CH14" s="13">
        <f>IFERROR(Table410[[#This Row],[May_2026_Days_Actual]]*Table410[[#This Row],[Cost Boolean]]*(VLOOKUP(Table410[[#This Row],[RATE CONCAT]],Tables!I:N,5,0)),0)</f>
        <v>8100</v>
      </c>
      <c r="CI14" s="13">
        <f>Table410[[#This Row],[May_2026_F]]-Table410[[#This Row],[May_2026_A]]</f>
        <v>0</v>
      </c>
      <c r="CK14" s="13">
        <f>IFERROR(Table410[[#This Row],[Jun_2026_Days_Forecast]]*Table410[[#This Row],[Cost Boolean]]*(VLOOKUP(Table410[[#This Row],[RATE CONCAT]],Tables!I:N,5,0)),0)</f>
        <v>8100</v>
      </c>
      <c r="CL14" s="13">
        <f>IFERROR(Table410[[#This Row],[Jun_2026_Days_Actual]]*Table410[[#This Row],[Cost Boolean]]*(VLOOKUP(Table410[[#This Row],[RATE CONCAT]],Tables!I:N,5,0)),0)</f>
        <v>8100</v>
      </c>
      <c r="CM14" s="13">
        <f>Table410[[#This Row],[Jun_2026_F]]-Table410[[#This Row],[Jun_2026_A]]</f>
        <v>0</v>
      </c>
      <c r="CO14" s="13">
        <f>IFERROR(Table410[[#This Row],[Jul_2026_Days_Forecast]]*Table410[[#This Row],[Cost Boolean]]*(VLOOKUP(Table410[[#This Row],[RATE CONCAT]],Tables!I:N,5,0)),0)</f>
        <v>8100</v>
      </c>
      <c r="CP14" s="13">
        <f>IFERROR(Table410[[#This Row],[Jul_2026_Days_Actual]]*Table410[[#This Row],[Cost Boolean]]*(VLOOKUP(Table410[[#This Row],[RATE CONCAT]],Tables!I:N,5,0)),0)</f>
        <v>8100</v>
      </c>
      <c r="CQ14" s="13">
        <f>Table410[[#This Row],[Jul_2026_F]]-Table410[[#This Row],[Jul_2026_A]]</f>
        <v>0</v>
      </c>
      <c r="CS14" s="13">
        <f>IFERROR(Table410[[#This Row],[Aug_2026_Days_Forecast]]*Table410[[#This Row],[Cost Boolean]]*(VLOOKUP(Table410[[#This Row],[RATE CONCAT]],Tables!I:N,5,0)),0)</f>
        <v>9000</v>
      </c>
      <c r="CT14" s="13">
        <f>IFERROR(Table410[[#This Row],[Aug_2026_Days_Actual]]*Table410[[#This Row],[Cost Boolean]]*(VLOOKUP(Table410[[#This Row],[RATE CONCAT]],Tables!I:N,5,0)),0)</f>
        <v>9000</v>
      </c>
      <c r="CU14" s="13">
        <f>Table410[[#This Row],[Aug_2026_F]]-Table410[[#This Row],[Aug_2026_A]]</f>
        <v>0</v>
      </c>
      <c r="CW14" s="13">
        <f>IFERROR(Table410[[#This Row],[Sep_2026_Days_Forecast]]*Table410[[#This Row],[Cost Boolean]]*(VLOOKUP(Table410[[#This Row],[RATE CONCAT]],Tables!I:N,5,0)),0)</f>
        <v>9000</v>
      </c>
      <c r="CX14" s="13">
        <f>IFERROR(Table410[[#This Row],[Sep_2026_Days_Actual]]*Table410[[#This Row],[Cost Boolean]]*(VLOOKUP(Table410[[#This Row],[RATE CONCAT]],Tables!I:N,5,0)),0)</f>
        <v>9000</v>
      </c>
      <c r="CY14" s="13">
        <f>Table410[[#This Row],[Sep_2026_F]]-Table410[[#This Row],[Sep_2026_A]]</f>
        <v>0</v>
      </c>
      <c r="DA14" s="13">
        <f>IFERROR(Table410[[#This Row],[Oct_2026_Days_Forecast]]*Table410[[#This Row],[Cost Boolean]]*(VLOOKUP(Table410[[#This Row],[RATE CONCAT]],Tables!I:N,5,0)),0)</f>
        <v>9000</v>
      </c>
      <c r="DB14" s="13">
        <f>IFERROR(Table410[[#This Row],[Oct_2026_Days_Actual]]*Table410[[#This Row],[Cost Boolean]]*(VLOOKUP(Table410[[#This Row],[RATE CONCAT]],Tables!I:N,5,0)),0)</f>
        <v>9000</v>
      </c>
      <c r="DC14" s="13">
        <f>Table410[[#This Row],[Oct_2026_F]]-Table410[[#This Row],[Oct_2026_A]]</f>
        <v>0</v>
      </c>
      <c r="DE14" s="13">
        <f>IFERROR(Table410[[#This Row],[Nov_2026_Days_Forecast]]*Table410[[#This Row],[Cost Boolean]]*(VLOOKUP(Table410[[#This Row],[RATE CONCAT]],Tables!I:N,5,0)),0)</f>
        <v>8100</v>
      </c>
      <c r="DF14" s="13">
        <f>IFERROR(Table410[[#This Row],[Nov_2026_Days_Actual]]*Table410[[#This Row],[Cost Boolean]]*(VLOOKUP(Table410[[#This Row],[RATE CONCAT]],Tables!I:N,5,0)),0)</f>
        <v>8100</v>
      </c>
      <c r="DG14" s="13">
        <f>Table410[[#This Row],[Nov_2026_F]]-Table410[[#This Row],[Nov_2026_A]]</f>
        <v>0</v>
      </c>
      <c r="DI14" s="13">
        <f>IFERROR(Table410[[#This Row],[Dec_2026_Days_Forecast]]*Table410[[#This Row],[Cost Boolean]]*(VLOOKUP(Table410[[#This Row],[RATE CONCAT]],Tables!I:N,5,0)),0)</f>
        <v>8100</v>
      </c>
      <c r="DJ14" s="13">
        <f>IFERROR(Table410[[#This Row],[Dec_2026_Days_Actual]]*Table410[[#This Row],[Cost Boolean]]*(VLOOKUP(Table410[[#This Row],[RATE CONCAT]],Tables!I:N,5,0)),0)</f>
        <v>8100</v>
      </c>
      <c r="DK14" s="13">
        <f>Table410[[#This Row],[Dec_2026_F]]-Table410[[#This Row],[Dec_2026_A]]</f>
        <v>0</v>
      </c>
      <c r="DN14" s="13">
        <f>IFERROR(Table410[[#This Row],[Jan_2027_Days_Forecast]]*Table410[[#This Row],[Cost Boolean]]*(VLOOKUP(Table410[[#This Row],[RATE CONCAT]],Tables!I:N,6,0)),0)</f>
        <v>0</v>
      </c>
      <c r="DO14" s="13">
        <v>0</v>
      </c>
      <c r="DP14" s="13">
        <f>Table410[[#This Row],[Jan_2027_F]]-Table410[[#This Row],[Jan_2027_A]]</f>
        <v>0</v>
      </c>
      <c r="DQ14" s="13">
        <f>IFERROR(Table410[[#This Row],[Feb_2027_Days_Forecast]]*Table410[[#This Row],[Cost Boolean]]*(VLOOKUP(Table410[[#This Row],[RATE CONCAT]],Tables!I:N,6,0)),0)</f>
        <v>0</v>
      </c>
      <c r="DR14" s="13">
        <v>0</v>
      </c>
      <c r="DS14" s="13">
        <f>Table410[[#This Row],[Feb_2027_F]]-Table410[[#This Row],[Feb_2027_A]]</f>
        <v>0</v>
      </c>
      <c r="DT14" s="13">
        <f>IFERROR(Table410[[#This Row],[Mar_2027_Days_Forecast]]*Table410[[#This Row],[Cost Boolean]]*(VLOOKUP(Table410[[#This Row],[RATE CONCAT]],Tables!I:N,6,0)),0)</f>
        <v>0</v>
      </c>
      <c r="DU14" s="13">
        <v>0</v>
      </c>
      <c r="DV14" s="13">
        <f>Table410[[#This Row],[Mar_2027_F]]-Table410[[#This Row],[Mar_2027_A]]</f>
        <v>0</v>
      </c>
      <c r="DW14" s="13">
        <f>IFERROR(Table410[[#This Row],[Apr_2027_Days_Forecast]]*Table410[[#This Row],[Cost Boolean]]*(VLOOKUP(Table410[[#This Row],[RATE CONCAT]],Tables!I:N,6,0)),0)</f>
        <v>0</v>
      </c>
      <c r="DX14" s="13">
        <v>0</v>
      </c>
      <c r="DY14" s="13">
        <f>Table410[[#This Row],[Apr_2027_F]]-Table410[[#This Row],[Apr_2027_A]]</f>
        <v>0</v>
      </c>
      <c r="DZ14" s="13">
        <f>IFERROR(Table410[[#This Row],[May_2027_Days_Forecast]]*Table410[[#This Row],[Cost Boolean]]*(VLOOKUP(Table410[[#This Row],[RATE CONCAT]],Tables!I:N,6,0)),0)</f>
        <v>0</v>
      </c>
      <c r="EA14" s="13">
        <v>0</v>
      </c>
      <c r="EB14" s="13">
        <f>Table410[[#This Row],[May_2027_F]]-Table410[[#This Row],[May_2027_A]]</f>
        <v>0</v>
      </c>
      <c r="EC14" s="13">
        <f>IFERROR(Table410[[#This Row],[Jun_2027_Days_Forecast]]*Table410[[#This Row],[Cost Boolean]]*(VLOOKUP(Table410[[#This Row],[RATE CONCAT]],Tables!I:N,6,0)),0)</f>
        <v>0</v>
      </c>
      <c r="ED14" s="13">
        <v>0</v>
      </c>
      <c r="EE14" s="13">
        <f>Table410[[#This Row],[Jun_2027_F]]-Table410[[#This Row],[Jun_2027_A]]</f>
        <v>0</v>
      </c>
      <c r="EF14" s="13">
        <f>IFERROR(Table410[[#This Row],[Jul_2027_Days_Forecast]]*Table410[[#This Row],[Cost Boolean]]*(VLOOKUP(Table410[[#This Row],[RATE CONCAT]],Tables!I:N,6,0)),0)</f>
        <v>0</v>
      </c>
      <c r="EG14" s="13">
        <v>0</v>
      </c>
      <c r="EH14" s="13">
        <f>Table410[[#This Row],[Jul_2027_F]]-Table410[[#This Row],[Jul_2027_A]]</f>
        <v>0</v>
      </c>
      <c r="EI14" s="13">
        <f>IFERROR(Table410[[#This Row],[Aug_2027_Days_Forecast]]*Table410[[#This Row],[Cost Boolean]]*(VLOOKUP(Table410[[#This Row],[RATE CONCAT]],Tables!I:N,6,0)),0)</f>
        <v>0</v>
      </c>
      <c r="EJ14" s="13">
        <v>0</v>
      </c>
      <c r="EK14" s="13">
        <f>Table410[[#This Row],[Aug_2027_F]]-Table410[[#This Row],[Aug_2027_A]]</f>
        <v>0</v>
      </c>
      <c r="EL14" s="13">
        <f>IFERROR(Table410[[#This Row],[Sep_2027_Days_Forecast]]*Table410[[#This Row],[Cost Boolean]]*(VLOOKUP(Table410[[#This Row],[RATE CONCAT]],Tables!I:N,6,0)),0)</f>
        <v>0</v>
      </c>
      <c r="EM14" s="13">
        <v>0</v>
      </c>
      <c r="EN14" s="13">
        <f>Table410[[#This Row],[Sep_2027_F]]-Table410[[#This Row],[Sep_2027_A]]</f>
        <v>0</v>
      </c>
      <c r="EO14" s="13">
        <f>IFERROR(Table410[[#This Row],[Oct_2027_Days_Forecast]]*Table410[[#This Row],[Cost Boolean]]*(VLOOKUP(Table410[[#This Row],[RATE CONCAT]],Tables!I:N,6,0)),0)</f>
        <v>0</v>
      </c>
      <c r="EP14" s="13">
        <v>0</v>
      </c>
      <c r="EQ14" s="13">
        <f>Table410[[#This Row],[Oct_2027_F]]-Table410[[#This Row],[Oct_2027_A]]</f>
        <v>0</v>
      </c>
      <c r="ER14" s="13">
        <f>IFERROR(Table410[[#This Row],[Nov_2027_Days_Forecast]]*Table410[[#This Row],[Cost Boolean]]*(VLOOKUP(Table410[[#This Row],[RATE CONCAT]],Tables!I:N,6,0)),0)</f>
        <v>0</v>
      </c>
      <c r="ES14" s="13">
        <v>0</v>
      </c>
      <c r="ET14" s="13">
        <f>Table410[[#This Row],[Nov_2027_F]]-Table410[[#This Row],[Nov_2027_A]]</f>
        <v>0</v>
      </c>
      <c r="EU14" s="13">
        <f>IFERROR(Table410[[#This Row],[Dec_2027_Days_Forecast]]*Table410[[#This Row],[Cost Boolean]]*(VLOOKUP(Table410[[#This Row],[RATE CONCAT]],Tables!I:N,6,0)),0)</f>
        <v>0</v>
      </c>
      <c r="EV14" s="13">
        <v>0</v>
      </c>
      <c r="EW14" s="13">
        <f>Table410[[#This Row],[Dec_2027_F]]-Table410[[#This Row],[Dec_2027_A]]</f>
        <v>0</v>
      </c>
    </row>
    <row r="15" spans="1:153" s="13" customFormat="1" ht="15" customHeight="1">
      <c r="A15" s="13" t="s">
        <v>246</v>
      </c>
      <c r="B15" s="13" t="s">
        <v>47</v>
      </c>
      <c r="C15" s="13" t="s">
        <v>219</v>
      </c>
      <c r="D15" s="13" t="s">
        <v>247</v>
      </c>
      <c r="E15" s="13" t="s">
        <v>221</v>
      </c>
      <c r="G15" s="13" t="s">
        <v>248</v>
      </c>
      <c r="H15" s="13">
        <v>4</v>
      </c>
      <c r="J15" s="13" t="s">
        <v>249</v>
      </c>
      <c r="K15" s="13" t="s">
        <v>224</v>
      </c>
      <c r="L15" s="13">
        <v>1</v>
      </c>
      <c r="M15" s="13" t="s">
        <v>250</v>
      </c>
      <c r="N15" s="13" t="s">
        <v>251</v>
      </c>
      <c r="O15" s="13" t="s">
        <v>227</v>
      </c>
      <c r="P15" s="13" t="s">
        <v>53</v>
      </c>
      <c r="Q15" s="13" t="s">
        <v>228</v>
      </c>
      <c r="R15" s="193">
        <v>46113</v>
      </c>
      <c r="S15" s="193">
        <v>46387</v>
      </c>
      <c r="T15" s="193">
        <v>46023</v>
      </c>
      <c r="U15" s="193">
        <v>46387</v>
      </c>
      <c r="V15" s="193">
        <v>46113</v>
      </c>
      <c r="W15" s="193">
        <v>46387</v>
      </c>
      <c r="Y15" s="13" t="str">
        <f>CONCATENATE(Table410[[#This Row],[JG]],Table410[[#This Row],[Country]],Table410[[#This Row],[Resource Provider]])</f>
        <v>4NetherlandsShell Business</v>
      </c>
      <c r="Z15" s="13">
        <f>VLOOKUP(Table410[[#This Row],[RATE CONCAT]],Tables!I:N,5,0)</f>
        <v>1128</v>
      </c>
      <c r="AA15" s="52"/>
      <c r="AB15" s="130"/>
      <c r="AC15" s="130"/>
      <c r="AD15" s="130"/>
      <c r="AE15" s="130">
        <v>5</v>
      </c>
      <c r="AF15" s="130">
        <v>5</v>
      </c>
      <c r="AG15" s="130">
        <v>4</v>
      </c>
      <c r="AH15" s="130">
        <v>5</v>
      </c>
      <c r="AI15" s="130">
        <v>5</v>
      </c>
      <c r="AJ15" s="130"/>
      <c r="AK15" s="130"/>
      <c r="AL15" s="130"/>
      <c r="AM15" s="130"/>
      <c r="AN15" s="176">
        <f>IFERROR(AVERAGE(Table410[[#This Row],[Jan_2026_Days_Forecast]:[Dec_2026_Days_Forecast]]),0)/19</f>
        <v>0.25263157894736843</v>
      </c>
      <c r="AO15" s="176">
        <f>IFERROR(AVERAGE(Table410[[#This Row],[Jan_2026_Days_Actual]:[Dec_2026_Days_Actual]]),0)/19</f>
        <v>0.25263157894736843</v>
      </c>
      <c r="AP15" s="130"/>
      <c r="AQ15" s="130"/>
      <c r="AR15" s="130"/>
      <c r="AS15" s="130">
        <v>5</v>
      </c>
      <c r="AT15" s="130">
        <v>5</v>
      </c>
      <c r="AU15" s="130">
        <v>4</v>
      </c>
      <c r="AV15" s="130">
        <v>5</v>
      </c>
      <c r="AW15" s="130">
        <v>5</v>
      </c>
      <c r="AX15" s="130"/>
      <c r="AY15" s="130"/>
      <c r="AZ15" s="130"/>
      <c r="BA15" s="130"/>
      <c r="BB15" s="176">
        <f>IFERROR(AVERAGE(Table410[[#This Row],[Jan_2027_Days_Forecast]:[Dec_2027_Days_Forecast]]),0)</f>
        <v>0</v>
      </c>
      <c r="BC15" s="127"/>
      <c r="BD15" s="127"/>
      <c r="BE15" s="127"/>
      <c r="BF15" s="127"/>
      <c r="BG15" s="127"/>
      <c r="BH15" s="127"/>
      <c r="BI15" s="127"/>
      <c r="BJ15" s="127"/>
      <c r="BK15" s="127"/>
      <c r="BL15" s="127"/>
      <c r="BM15" s="127"/>
      <c r="BN15" s="127"/>
      <c r="BO15" s="176"/>
      <c r="BP15" s="176"/>
      <c r="BQ15" s="13">
        <f>IFERROR(Table410[[#This Row],[Jan_2026_Days_Forecast]]*Table410[[#This Row],[Cost Boolean]]*(VLOOKUP(Table410[[#This Row],[RATE CONCAT]],Tables!I:N,5,0)),0)</f>
        <v>0</v>
      </c>
      <c r="BR15" s="13">
        <f>IFERROR(Table410[[#This Row],[Jan_2026_Days_Actual]]*Table410[[#This Row],[Cost Boolean]]*(VLOOKUP(Table410[[#This Row],[RATE CONCAT]],Tables!I:N,5,0)),0)</f>
        <v>0</v>
      </c>
      <c r="BS15" s="13">
        <f>Table410[[#This Row],[Jan_2026_F]]-Table410[[#This Row],[Jan_2026_A]]</f>
        <v>0</v>
      </c>
      <c r="BU15" s="13">
        <f>IFERROR(Table410[[#This Row],[Feb_2026_Days_Forecast]]*Table410[[#This Row],[Cost Boolean]]*(VLOOKUP(Table410[[#This Row],[RATE CONCAT]],Tables!I:N,5,0)),0)</f>
        <v>0</v>
      </c>
      <c r="BV15" s="13">
        <f>IFERROR(Table410[[#This Row],[Feb_2026_Days_Actual]]*Table410[[#This Row],[Cost Boolean]]*(VLOOKUP(Table410[[#This Row],[RATE CONCAT]],Tables!I:N,5,0)),0)</f>
        <v>0</v>
      </c>
      <c r="BW15" s="13">
        <f>Table410[[#This Row],[Feb_2026_F]]-Table410[[#This Row],[Feb_2026_A]]</f>
        <v>0</v>
      </c>
      <c r="BY15" s="13">
        <f>IFERROR(Table410[[#This Row],[Mar_2026_Days_Forecast]]*Table410[[#This Row],[Cost Boolean]]*(VLOOKUP(Table410[[#This Row],[RATE CONCAT]],Tables!I:N,5,0)),0)</f>
        <v>0</v>
      </c>
      <c r="BZ15" s="13">
        <f>IFERROR(Table410[[#This Row],[Mar_2026_Days_Actual]]*Table410[[#This Row],[Cost Boolean]]*(VLOOKUP(Table410[[#This Row],[RATE CONCAT]],Tables!I:N,5,0)),0)</f>
        <v>0</v>
      </c>
      <c r="CA15" s="13">
        <f>Table410[[#This Row],[Mar_2026_F]]-Table410[[#This Row],[Mar_2026_A]]</f>
        <v>0</v>
      </c>
      <c r="CC15" s="13">
        <f>IFERROR(Table410[[#This Row],[Apr_2026_Days_Forecast]]*Table410[[#This Row],[Cost Boolean]]*(VLOOKUP(Table410[[#This Row],[RATE CONCAT]],Tables!I:N,5,0)),0)</f>
        <v>5640</v>
      </c>
      <c r="CD15" s="13">
        <f>IFERROR(Table410[[#This Row],[Apr_2026_Days_Actual]]*Table410[[#This Row],[Cost Boolean]]*(VLOOKUP(Table410[[#This Row],[RATE CONCAT]],Tables!I:N,5,0)),0)</f>
        <v>5640</v>
      </c>
      <c r="CE15" s="13">
        <f>Table410[[#This Row],[Apr_2026_F]]-Table410[[#This Row],[Apr_2026_A]]</f>
        <v>0</v>
      </c>
      <c r="CG15" s="13">
        <f>IFERROR(Table410[[#This Row],[May_2026_Days_Forecast]] *Table410[[#This Row],[Cost Boolean]]*(VLOOKUP(Table410[[#This Row],[RATE CONCAT]],Tables!I:N,5,0)),0)</f>
        <v>5640</v>
      </c>
      <c r="CH15" s="13">
        <f>IFERROR(Table410[[#This Row],[May_2026_Days_Actual]]*Table410[[#This Row],[Cost Boolean]]*(VLOOKUP(Table410[[#This Row],[RATE CONCAT]],Tables!I:N,5,0)),0)</f>
        <v>5640</v>
      </c>
      <c r="CI15" s="13">
        <f>Table410[[#This Row],[May_2026_F]]-Table410[[#This Row],[May_2026_A]]</f>
        <v>0</v>
      </c>
      <c r="CK15" s="13">
        <f>IFERROR(Table410[[#This Row],[Jun_2026_Days_Forecast]]*Table410[[#This Row],[Cost Boolean]]*(VLOOKUP(Table410[[#This Row],[RATE CONCAT]],Tables!I:N,5,0)),0)</f>
        <v>4512</v>
      </c>
      <c r="CL15" s="13">
        <f>IFERROR(Table410[[#This Row],[Jun_2026_Days_Actual]]*Table410[[#This Row],[Cost Boolean]]*(VLOOKUP(Table410[[#This Row],[RATE CONCAT]],Tables!I:N,5,0)),0)</f>
        <v>4512</v>
      </c>
      <c r="CM15" s="13">
        <f>Table410[[#This Row],[Jun_2026_F]]-Table410[[#This Row],[Jun_2026_A]]</f>
        <v>0</v>
      </c>
      <c r="CO15" s="13">
        <f>IFERROR(Table410[[#This Row],[Jul_2026_Days_Forecast]]*Table410[[#This Row],[Cost Boolean]]*(VLOOKUP(Table410[[#This Row],[RATE CONCAT]],Tables!I:N,5,0)),0)</f>
        <v>5640</v>
      </c>
      <c r="CP15" s="13">
        <f>IFERROR(Table410[[#This Row],[Jul_2026_Days_Actual]]*Table410[[#This Row],[Cost Boolean]]*(VLOOKUP(Table410[[#This Row],[RATE CONCAT]],Tables!I:N,5,0)),0)</f>
        <v>5640</v>
      </c>
      <c r="CQ15" s="13">
        <f>Table410[[#This Row],[Jul_2026_F]]-Table410[[#This Row],[Jul_2026_A]]</f>
        <v>0</v>
      </c>
      <c r="CS15" s="13">
        <f>IFERROR(Table410[[#This Row],[Aug_2026_Days_Forecast]]*Table410[[#This Row],[Cost Boolean]]*(VLOOKUP(Table410[[#This Row],[RATE CONCAT]],Tables!I:N,5,0)),0)</f>
        <v>5640</v>
      </c>
      <c r="CT15" s="13">
        <f>IFERROR(Table410[[#This Row],[Aug_2026_Days_Actual]]*Table410[[#This Row],[Cost Boolean]]*(VLOOKUP(Table410[[#This Row],[RATE CONCAT]],Tables!I:N,5,0)),0)</f>
        <v>5640</v>
      </c>
      <c r="CU15" s="13">
        <f>Table410[[#This Row],[Aug_2026_F]]-Table410[[#This Row],[Aug_2026_A]]</f>
        <v>0</v>
      </c>
      <c r="CW15" s="13">
        <f>IFERROR(Table410[[#This Row],[Sep_2026_Days_Forecast]]*Table410[[#This Row],[Cost Boolean]]*(VLOOKUP(Table410[[#This Row],[RATE CONCAT]],Tables!I:N,5,0)),0)</f>
        <v>0</v>
      </c>
      <c r="CX15" s="13">
        <f>IFERROR(Table410[[#This Row],[Sep_2026_Days_Actual]]*Table410[[#This Row],[Cost Boolean]]*(VLOOKUP(Table410[[#This Row],[RATE CONCAT]],Tables!I:N,5,0)),0)</f>
        <v>0</v>
      </c>
      <c r="CY15" s="13">
        <f>Table410[[#This Row],[Sep_2026_F]]-Table410[[#This Row],[Sep_2026_A]]</f>
        <v>0</v>
      </c>
      <c r="DA15" s="13">
        <f>IFERROR(Table410[[#This Row],[Oct_2026_Days_Forecast]]*Table410[[#This Row],[Cost Boolean]]*(VLOOKUP(Table410[[#This Row],[RATE CONCAT]],Tables!I:N,5,0)),0)</f>
        <v>0</v>
      </c>
      <c r="DB15" s="13">
        <f>IFERROR(Table410[[#This Row],[Oct_2026_Days_Actual]]*Table410[[#This Row],[Cost Boolean]]*(VLOOKUP(Table410[[#This Row],[RATE CONCAT]],Tables!I:N,5,0)),0)</f>
        <v>0</v>
      </c>
      <c r="DC15" s="13">
        <f>Table410[[#This Row],[Oct_2026_F]]-Table410[[#This Row],[Oct_2026_A]]</f>
        <v>0</v>
      </c>
      <c r="DE15" s="13">
        <f>IFERROR(Table410[[#This Row],[Nov_2026_Days_Forecast]]*Table410[[#This Row],[Cost Boolean]]*(VLOOKUP(Table410[[#This Row],[RATE CONCAT]],Tables!I:N,5,0)),0)</f>
        <v>0</v>
      </c>
      <c r="DF15" s="13">
        <f>IFERROR(Table410[[#This Row],[Nov_2026_Days_Actual]]*Table410[[#This Row],[Cost Boolean]]*(VLOOKUP(Table410[[#This Row],[RATE CONCAT]],Tables!I:N,5,0)),0)</f>
        <v>0</v>
      </c>
      <c r="DG15" s="13">
        <f>Table410[[#This Row],[Nov_2026_F]]-Table410[[#This Row],[Nov_2026_A]]</f>
        <v>0</v>
      </c>
      <c r="DI15" s="13">
        <f>IFERROR(Table410[[#This Row],[Dec_2026_Days_Forecast]]*Table410[[#This Row],[Cost Boolean]]*(VLOOKUP(Table410[[#This Row],[RATE CONCAT]],Tables!I:N,5,0)),0)</f>
        <v>0</v>
      </c>
      <c r="DJ15" s="13">
        <f>IFERROR(Table410[[#This Row],[Dec_2026_Days_Actual]]*Table410[[#This Row],[Cost Boolean]]*(VLOOKUP(Table410[[#This Row],[RATE CONCAT]],Tables!I:N,5,0)),0)</f>
        <v>0</v>
      </c>
      <c r="DK15" s="13">
        <f>Table410[[#This Row],[Dec_2026_F]]-Table410[[#This Row],[Dec_2026_A]]</f>
        <v>0</v>
      </c>
      <c r="DN15" s="13">
        <f>IFERROR(Table410[[#This Row],[Jan_2027_Days_Forecast]]*Table410[[#This Row],[Cost Boolean]]*(VLOOKUP(Table410[[#This Row],[RATE CONCAT]],Tables!I:N,6,0)),0)</f>
        <v>0</v>
      </c>
      <c r="DO15" s="13">
        <v>0</v>
      </c>
      <c r="DP15" s="13">
        <f>Table410[[#This Row],[Jan_2027_F]]-Table410[[#This Row],[Jan_2027_A]]</f>
        <v>0</v>
      </c>
      <c r="DQ15" s="13">
        <f>IFERROR(Table410[[#This Row],[Feb_2027_Days_Forecast]]*Table410[[#This Row],[Cost Boolean]]*(VLOOKUP(Table410[[#This Row],[RATE CONCAT]],Tables!I:N,6,0)),0)</f>
        <v>0</v>
      </c>
      <c r="DR15" s="13">
        <v>0</v>
      </c>
      <c r="DS15" s="13">
        <f>Table410[[#This Row],[Feb_2027_F]]-Table410[[#This Row],[Feb_2027_A]]</f>
        <v>0</v>
      </c>
      <c r="DT15" s="13">
        <f>IFERROR(Table410[[#This Row],[Mar_2027_Days_Forecast]]*Table410[[#This Row],[Cost Boolean]]*(VLOOKUP(Table410[[#This Row],[RATE CONCAT]],Tables!I:N,6,0)),0)</f>
        <v>0</v>
      </c>
      <c r="DU15" s="13">
        <v>0</v>
      </c>
      <c r="DV15" s="13">
        <f>Table410[[#This Row],[Mar_2027_F]]-Table410[[#This Row],[Mar_2027_A]]</f>
        <v>0</v>
      </c>
      <c r="DW15" s="13">
        <f>IFERROR(Table410[[#This Row],[Apr_2027_Days_Forecast]]*Table410[[#This Row],[Cost Boolean]]*(VLOOKUP(Table410[[#This Row],[RATE CONCAT]],Tables!I:N,6,0)),0)</f>
        <v>0</v>
      </c>
      <c r="DX15" s="13">
        <v>0</v>
      </c>
      <c r="DY15" s="13">
        <f>Table410[[#This Row],[Apr_2027_F]]-Table410[[#This Row],[Apr_2027_A]]</f>
        <v>0</v>
      </c>
      <c r="DZ15" s="13">
        <f>IFERROR(Table410[[#This Row],[May_2027_Days_Forecast]]*Table410[[#This Row],[Cost Boolean]]*(VLOOKUP(Table410[[#This Row],[RATE CONCAT]],Tables!I:N,6,0)),0)</f>
        <v>0</v>
      </c>
      <c r="EA15" s="13">
        <v>0</v>
      </c>
      <c r="EB15" s="13">
        <f>Table410[[#This Row],[May_2027_F]]-Table410[[#This Row],[May_2027_A]]</f>
        <v>0</v>
      </c>
      <c r="EC15" s="13">
        <f>IFERROR(Table410[[#This Row],[Jun_2027_Days_Forecast]]*Table410[[#This Row],[Cost Boolean]]*(VLOOKUP(Table410[[#This Row],[RATE CONCAT]],Tables!I:N,6,0)),0)</f>
        <v>0</v>
      </c>
      <c r="ED15" s="13">
        <v>0</v>
      </c>
      <c r="EE15" s="13">
        <f>Table410[[#This Row],[Jun_2027_F]]-Table410[[#This Row],[Jun_2027_A]]</f>
        <v>0</v>
      </c>
      <c r="EF15" s="13">
        <f>IFERROR(Table410[[#This Row],[Jul_2027_Days_Forecast]]*Table410[[#This Row],[Cost Boolean]]*(VLOOKUP(Table410[[#This Row],[RATE CONCAT]],Tables!I:N,6,0)),0)</f>
        <v>0</v>
      </c>
      <c r="EG15" s="13">
        <v>0</v>
      </c>
      <c r="EH15" s="13">
        <f>Table410[[#This Row],[Jul_2027_F]]-Table410[[#This Row],[Jul_2027_A]]</f>
        <v>0</v>
      </c>
      <c r="EI15" s="13">
        <f>IFERROR(Table410[[#This Row],[Aug_2027_Days_Forecast]]*Table410[[#This Row],[Cost Boolean]]*(VLOOKUP(Table410[[#This Row],[RATE CONCAT]],Tables!I:N,6,0)),0)</f>
        <v>0</v>
      </c>
      <c r="EJ15" s="13">
        <v>0</v>
      </c>
      <c r="EK15" s="13">
        <f>Table410[[#This Row],[Aug_2027_F]]-Table410[[#This Row],[Aug_2027_A]]</f>
        <v>0</v>
      </c>
      <c r="EL15" s="13">
        <f>IFERROR(Table410[[#This Row],[Sep_2027_Days_Forecast]]*Table410[[#This Row],[Cost Boolean]]*(VLOOKUP(Table410[[#This Row],[RATE CONCAT]],Tables!I:N,6,0)),0)</f>
        <v>0</v>
      </c>
      <c r="EM15" s="13">
        <v>0</v>
      </c>
      <c r="EN15" s="13">
        <f>Table410[[#This Row],[Sep_2027_F]]-Table410[[#This Row],[Sep_2027_A]]</f>
        <v>0</v>
      </c>
      <c r="EO15" s="13">
        <f>IFERROR(Table410[[#This Row],[Oct_2027_Days_Forecast]]*Table410[[#This Row],[Cost Boolean]]*(VLOOKUP(Table410[[#This Row],[RATE CONCAT]],Tables!I:N,6,0)),0)</f>
        <v>0</v>
      </c>
      <c r="EP15" s="13">
        <v>0</v>
      </c>
      <c r="EQ15" s="13">
        <f>Table410[[#This Row],[Oct_2027_F]]-Table410[[#This Row],[Oct_2027_A]]</f>
        <v>0</v>
      </c>
      <c r="ER15" s="13">
        <f>IFERROR(Table410[[#This Row],[Nov_2027_Days_Forecast]]*Table410[[#This Row],[Cost Boolean]]*(VLOOKUP(Table410[[#This Row],[RATE CONCAT]],Tables!I:N,6,0)),0)</f>
        <v>0</v>
      </c>
      <c r="ES15" s="13">
        <v>0</v>
      </c>
      <c r="ET15" s="13">
        <f>Table410[[#This Row],[Nov_2027_F]]-Table410[[#This Row],[Nov_2027_A]]</f>
        <v>0</v>
      </c>
      <c r="EU15" s="13">
        <f>IFERROR(Table410[[#This Row],[Dec_2027_Days_Forecast]]*Table410[[#This Row],[Cost Boolean]]*(VLOOKUP(Table410[[#This Row],[RATE CONCAT]],Tables!I:N,6,0)),0)</f>
        <v>0</v>
      </c>
      <c r="EV15" s="13">
        <v>0</v>
      </c>
      <c r="EW15" s="13">
        <f>Table410[[#This Row],[Dec_2027_F]]-Table410[[#This Row],[Dec_2027_A]]</f>
        <v>0</v>
      </c>
    </row>
    <row r="16" spans="1:153" s="13" customFormat="1" ht="15" customHeight="1">
      <c r="A16" s="13" t="s">
        <v>252</v>
      </c>
      <c r="B16" s="13" t="s">
        <v>47</v>
      </c>
      <c r="C16" s="13" t="s">
        <v>219</v>
      </c>
      <c r="D16" s="13" t="s">
        <v>253</v>
      </c>
      <c r="E16" s="13" t="s">
        <v>221</v>
      </c>
      <c r="G16" s="13" t="s">
        <v>231</v>
      </c>
      <c r="H16" s="13">
        <v>4</v>
      </c>
      <c r="J16" s="13" t="s">
        <v>254</v>
      </c>
      <c r="K16" s="13" t="s">
        <v>224</v>
      </c>
      <c r="L16" s="13">
        <v>1</v>
      </c>
      <c r="M16" s="13" t="s">
        <v>233</v>
      </c>
      <c r="N16" s="13" t="s">
        <v>255</v>
      </c>
      <c r="O16" s="13" t="s">
        <v>227</v>
      </c>
      <c r="P16" s="13" t="s">
        <v>53</v>
      </c>
      <c r="Q16" s="13" t="s">
        <v>228</v>
      </c>
      <c r="R16" s="193">
        <v>46023</v>
      </c>
      <c r="S16" s="193">
        <v>46387</v>
      </c>
      <c r="T16" s="193">
        <v>46023</v>
      </c>
      <c r="U16" s="193">
        <v>46387</v>
      </c>
      <c r="V16" s="193">
        <v>46023</v>
      </c>
      <c r="W16" s="193">
        <v>46387</v>
      </c>
      <c r="Y16" s="13" t="str">
        <f>CONCATENATE(Table410[[#This Row],[JG]],Table410[[#This Row],[Country]],Table410[[#This Row],[Resource Provider]])</f>
        <v>4United StatesShell Business</v>
      </c>
      <c r="Z16" s="13">
        <f>VLOOKUP(Table410[[#This Row],[RATE CONCAT]],Tables!I:N,5,0)</f>
        <v>1408</v>
      </c>
      <c r="AA16" s="52"/>
      <c r="AB16" s="130">
        <v>5</v>
      </c>
      <c r="AC16" s="130">
        <v>5</v>
      </c>
      <c r="AD16" s="130">
        <v>5</v>
      </c>
      <c r="AE16" s="130">
        <v>5</v>
      </c>
      <c r="AF16" s="130">
        <v>5</v>
      </c>
      <c r="AG16" s="130">
        <v>4</v>
      </c>
      <c r="AH16" s="130">
        <v>5</v>
      </c>
      <c r="AI16" s="130">
        <v>5</v>
      </c>
      <c r="AJ16" s="130">
        <v>5</v>
      </c>
      <c r="AK16" s="130">
        <v>5</v>
      </c>
      <c r="AL16" s="130">
        <v>5</v>
      </c>
      <c r="AM16" s="130">
        <v>4</v>
      </c>
      <c r="AN16" s="176">
        <f>IFERROR(AVERAGE(Table410[[#This Row],[Jan_2026_Days_Forecast]:[Dec_2026_Days_Forecast]]),0)/19</f>
        <v>0.25438596491228066</v>
      </c>
      <c r="AO16" s="176">
        <f>IFERROR(AVERAGE(Table410[[#This Row],[Jan_2026_Days_Actual]:[Dec_2026_Days_Actual]]),0)/19</f>
        <v>0.25438596491228066</v>
      </c>
      <c r="AP16" s="130">
        <v>5</v>
      </c>
      <c r="AQ16" s="130">
        <v>5</v>
      </c>
      <c r="AR16" s="130">
        <v>5</v>
      </c>
      <c r="AS16" s="130">
        <v>5</v>
      </c>
      <c r="AT16" s="130">
        <v>5</v>
      </c>
      <c r="AU16" s="130">
        <v>4</v>
      </c>
      <c r="AV16" s="130">
        <v>5</v>
      </c>
      <c r="AW16" s="130">
        <v>5</v>
      </c>
      <c r="AX16" s="130">
        <v>5</v>
      </c>
      <c r="AY16" s="130">
        <v>5</v>
      </c>
      <c r="AZ16" s="130">
        <v>5</v>
      </c>
      <c r="BA16" s="130">
        <v>4</v>
      </c>
      <c r="BB16" s="176">
        <f>IFERROR(AVERAGE(Table410[[#This Row],[Jan_2027_Days_Forecast]:[Dec_2027_Days_Forecast]]),0)</f>
        <v>0</v>
      </c>
      <c r="BC16" s="127"/>
      <c r="BD16" s="127"/>
      <c r="BE16" s="127"/>
      <c r="BF16" s="127"/>
      <c r="BG16" s="127"/>
      <c r="BH16" s="127"/>
      <c r="BI16" s="127"/>
      <c r="BJ16" s="127"/>
      <c r="BK16" s="127"/>
      <c r="BL16" s="127"/>
      <c r="BM16" s="127"/>
      <c r="BN16" s="127"/>
      <c r="BO16" s="176"/>
      <c r="BP16" s="176"/>
      <c r="BQ16" s="13">
        <f>IFERROR(Table410[[#This Row],[Jan_2026_Days_Forecast]]*Table410[[#This Row],[Cost Boolean]]*(VLOOKUP(Table410[[#This Row],[RATE CONCAT]],Tables!I:N,5,0)),0)</f>
        <v>7040</v>
      </c>
      <c r="BR16" s="13">
        <f>IFERROR(Table410[[#This Row],[Jan_2026_Days_Actual]]*Table410[[#This Row],[Cost Boolean]]*(VLOOKUP(Table410[[#This Row],[RATE CONCAT]],Tables!I:N,5,0)),0)</f>
        <v>7040</v>
      </c>
      <c r="BS16" s="13">
        <f>Table410[[#This Row],[Jan_2026_F]]-Table410[[#This Row],[Jan_2026_A]]</f>
        <v>0</v>
      </c>
      <c r="BU16" s="13">
        <f>IFERROR(Table410[[#This Row],[Feb_2026_Days_Forecast]]*Table410[[#This Row],[Cost Boolean]]*(VLOOKUP(Table410[[#This Row],[RATE CONCAT]],Tables!I:N,5,0)),0)</f>
        <v>7040</v>
      </c>
      <c r="BV16" s="13">
        <f>IFERROR(Table410[[#This Row],[Feb_2026_Days_Actual]]*Table410[[#This Row],[Cost Boolean]]*(VLOOKUP(Table410[[#This Row],[RATE CONCAT]],Tables!I:N,5,0)),0)</f>
        <v>7040</v>
      </c>
      <c r="BW16" s="13">
        <f>Table410[[#This Row],[Feb_2026_F]]-Table410[[#This Row],[Feb_2026_A]]</f>
        <v>0</v>
      </c>
      <c r="BY16" s="13">
        <f>IFERROR(Table410[[#This Row],[Mar_2026_Days_Forecast]]*Table410[[#This Row],[Cost Boolean]]*(VLOOKUP(Table410[[#This Row],[RATE CONCAT]],Tables!I:N,5,0)),0)</f>
        <v>7040</v>
      </c>
      <c r="BZ16" s="13">
        <f>IFERROR(Table410[[#This Row],[Mar_2026_Days_Actual]]*Table410[[#This Row],[Cost Boolean]]*(VLOOKUP(Table410[[#This Row],[RATE CONCAT]],Tables!I:N,5,0)),0)</f>
        <v>7040</v>
      </c>
      <c r="CA16" s="13">
        <f>Table410[[#This Row],[Mar_2026_F]]-Table410[[#This Row],[Mar_2026_A]]</f>
        <v>0</v>
      </c>
      <c r="CC16" s="13">
        <f>IFERROR(Table410[[#This Row],[Apr_2026_Days_Forecast]]*Table410[[#This Row],[Cost Boolean]]*(VLOOKUP(Table410[[#This Row],[RATE CONCAT]],Tables!I:N,5,0)),0)</f>
        <v>7040</v>
      </c>
      <c r="CD16" s="13">
        <f>IFERROR(Table410[[#This Row],[Apr_2026_Days_Actual]]*Table410[[#This Row],[Cost Boolean]]*(VLOOKUP(Table410[[#This Row],[RATE CONCAT]],Tables!I:N,5,0)),0)</f>
        <v>7040</v>
      </c>
      <c r="CE16" s="13">
        <f>Table410[[#This Row],[Apr_2026_F]]-Table410[[#This Row],[Apr_2026_A]]</f>
        <v>0</v>
      </c>
      <c r="CG16" s="13">
        <f>IFERROR(Table410[[#This Row],[May_2026_Days_Forecast]] *Table410[[#This Row],[Cost Boolean]]*(VLOOKUP(Table410[[#This Row],[RATE CONCAT]],Tables!I:N,5,0)),0)</f>
        <v>7040</v>
      </c>
      <c r="CH16" s="13">
        <f>IFERROR(Table410[[#This Row],[May_2026_Days_Actual]]*Table410[[#This Row],[Cost Boolean]]*(VLOOKUP(Table410[[#This Row],[RATE CONCAT]],Tables!I:N,5,0)),0)</f>
        <v>7040</v>
      </c>
      <c r="CI16" s="13">
        <f>Table410[[#This Row],[May_2026_F]]-Table410[[#This Row],[May_2026_A]]</f>
        <v>0</v>
      </c>
      <c r="CK16" s="13">
        <f>IFERROR(Table410[[#This Row],[Jun_2026_Days_Forecast]]*Table410[[#This Row],[Cost Boolean]]*(VLOOKUP(Table410[[#This Row],[RATE CONCAT]],Tables!I:N,5,0)),0)</f>
        <v>5632</v>
      </c>
      <c r="CL16" s="13">
        <f>IFERROR(Table410[[#This Row],[Jun_2026_Days_Actual]]*Table410[[#This Row],[Cost Boolean]]*(VLOOKUP(Table410[[#This Row],[RATE CONCAT]],Tables!I:N,5,0)),0)</f>
        <v>5632</v>
      </c>
      <c r="CM16" s="13">
        <f>Table410[[#This Row],[Jun_2026_F]]-Table410[[#This Row],[Jun_2026_A]]</f>
        <v>0</v>
      </c>
      <c r="CO16" s="13">
        <f>IFERROR(Table410[[#This Row],[Jul_2026_Days_Forecast]]*Table410[[#This Row],[Cost Boolean]]*(VLOOKUP(Table410[[#This Row],[RATE CONCAT]],Tables!I:N,5,0)),0)</f>
        <v>7040</v>
      </c>
      <c r="CP16" s="13">
        <f>IFERROR(Table410[[#This Row],[Jul_2026_Days_Actual]]*Table410[[#This Row],[Cost Boolean]]*(VLOOKUP(Table410[[#This Row],[RATE CONCAT]],Tables!I:N,5,0)),0)</f>
        <v>7040</v>
      </c>
      <c r="CQ16" s="13">
        <f>Table410[[#This Row],[Jul_2026_F]]-Table410[[#This Row],[Jul_2026_A]]</f>
        <v>0</v>
      </c>
      <c r="CS16" s="13">
        <f>IFERROR(Table410[[#This Row],[Aug_2026_Days_Forecast]]*Table410[[#This Row],[Cost Boolean]]*(VLOOKUP(Table410[[#This Row],[RATE CONCAT]],Tables!I:N,5,0)),0)</f>
        <v>7040</v>
      </c>
      <c r="CT16" s="13">
        <f>IFERROR(Table410[[#This Row],[Aug_2026_Days_Actual]]*Table410[[#This Row],[Cost Boolean]]*(VLOOKUP(Table410[[#This Row],[RATE CONCAT]],Tables!I:N,5,0)),0)</f>
        <v>7040</v>
      </c>
      <c r="CU16" s="13">
        <f>Table410[[#This Row],[Aug_2026_F]]-Table410[[#This Row],[Aug_2026_A]]</f>
        <v>0</v>
      </c>
      <c r="CW16" s="13">
        <f>IFERROR(Table410[[#This Row],[Sep_2026_Days_Forecast]]*Table410[[#This Row],[Cost Boolean]]*(VLOOKUP(Table410[[#This Row],[RATE CONCAT]],Tables!I:N,5,0)),0)</f>
        <v>7040</v>
      </c>
      <c r="CX16" s="13">
        <f>IFERROR(Table410[[#This Row],[Sep_2026_Days_Actual]]*Table410[[#This Row],[Cost Boolean]]*(VLOOKUP(Table410[[#This Row],[RATE CONCAT]],Tables!I:N,5,0)),0)</f>
        <v>7040</v>
      </c>
      <c r="CY16" s="13">
        <f>Table410[[#This Row],[Sep_2026_F]]-Table410[[#This Row],[Sep_2026_A]]</f>
        <v>0</v>
      </c>
      <c r="DA16" s="13">
        <f>IFERROR(Table410[[#This Row],[Oct_2026_Days_Forecast]]*Table410[[#This Row],[Cost Boolean]]*(VLOOKUP(Table410[[#This Row],[RATE CONCAT]],Tables!I:N,5,0)),0)</f>
        <v>7040</v>
      </c>
      <c r="DB16" s="13">
        <f>IFERROR(Table410[[#This Row],[Oct_2026_Days_Actual]]*Table410[[#This Row],[Cost Boolean]]*(VLOOKUP(Table410[[#This Row],[RATE CONCAT]],Tables!I:N,5,0)),0)</f>
        <v>7040</v>
      </c>
      <c r="DC16" s="13">
        <f>Table410[[#This Row],[Oct_2026_F]]-Table410[[#This Row],[Oct_2026_A]]</f>
        <v>0</v>
      </c>
      <c r="DE16" s="13">
        <f>IFERROR(Table410[[#This Row],[Nov_2026_Days_Forecast]]*Table410[[#This Row],[Cost Boolean]]*(VLOOKUP(Table410[[#This Row],[RATE CONCAT]],Tables!I:N,5,0)),0)</f>
        <v>7040</v>
      </c>
      <c r="DF16" s="13">
        <f>IFERROR(Table410[[#This Row],[Nov_2026_Days_Actual]]*Table410[[#This Row],[Cost Boolean]]*(VLOOKUP(Table410[[#This Row],[RATE CONCAT]],Tables!I:N,5,0)),0)</f>
        <v>7040</v>
      </c>
      <c r="DG16" s="13">
        <f>Table410[[#This Row],[Nov_2026_F]]-Table410[[#This Row],[Nov_2026_A]]</f>
        <v>0</v>
      </c>
      <c r="DI16" s="13">
        <f>IFERROR(Table410[[#This Row],[Dec_2026_Days_Forecast]]*Table410[[#This Row],[Cost Boolean]]*(VLOOKUP(Table410[[#This Row],[RATE CONCAT]],Tables!I:N,5,0)),0)</f>
        <v>5632</v>
      </c>
      <c r="DJ16" s="13">
        <f>IFERROR(Table410[[#This Row],[Dec_2026_Days_Actual]]*Table410[[#This Row],[Cost Boolean]]*(VLOOKUP(Table410[[#This Row],[RATE CONCAT]],Tables!I:N,5,0)),0)</f>
        <v>5632</v>
      </c>
      <c r="DK16" s="13">
        <f>Table410[[#This Row],[Dec_2026_F]]-Table410[[#This Row],[Dec_2026_A]]</f>
        <v>0</v>
      </c>
      <c r="DN16" s="13">
        <f>IFERROR(Table410[[#This Row],[Jan_2027_Days_Forecast]]*Table410[[#This Row],[Cost Boolean]]*(VLOOKUP(Table410[[#This Row],[RATE CONCAT]],Tables!I:N,6,0)),0)</f>
        <v>0</v>
      </c>
      <c r="DO16" s="13">
        <v>0</v>
      </c>
      <c r="DP16" s="13">
        <f>Table410[[#This Row],[Jan_2027_F]]-Table410[[#This Row],[Jan_2027_A]]</f>
        <v>0</v>
      </c>
      <c r="DQ16" s="13">
        <f>IFERROR(Table410[[#This Row],[Feb_2027_Days_Forecast]]*Table410[[#This Row],[Cost Boolean]]*(VLOOKUP(Table410[[#This Row],[RATE CONCAT]],Tables!I:N,6,0)),0)</f>
        <v>0</v>
      </c>
      <c r="DR16" s="13">
        <v>0</v>
      </c>
      <c r="DS16" s="13">
        <f>Table410[[#This Row],[Feb_2027_F]]-Table410[[#This Row],[Feb_2027_A]]</f>
        <v>0</v>
      </c>
      <c r="DT16" s="13">
        <f>IFERROR(Table410[[#This Row],[Mar_2027_Days_Forecast]]*Table410[[#This Row],[Cost Boolean]]*(VLOOKUP(Table410[[#This Row],[RATE CONCAT]],Tables!I:N,6,0)),0)</f>
        <v>0</v>
      </c>
      <c r="DU16" s="13">
        <v>0</v>
      </c>
      <c r="DV16" s="13">
        <f>Table410[[#This Row],[Mar_2027_F]]-Table410[[#This Row],[Mar_2027_A]]</f>
        <v>0</v>
      </c>
      <c r="DW16" s="13">
        <f>IFERROR(Table410[[#This Row],[Apr_2027_Days_Forecast]]*Table410[[#This Row],[Cost Boolean]]*(VLOOKUP(Table410[[#This Row],[RATE CONCAT]],Tables!I:N,6,0)),0)</f>
        <v>0</v>
      </c>
      <c r="DX16" s="13">
        <v>0</v>
      </c>
      <c r="DY16" s="13">
        <f>Table410[[#This Row],[Apr_2027_F]]-Table410[[#This Row],[Apr_2027_A]]</f>
        <v>0</v>
      </c>
      <c r="DZ16" s="13">
        <f>IFERROR(Table410[[#This Row],[May_2027_Days_Forecast]]*Table410[[#This Row],[Cost Boolean]]*(VLOOKUP(Table410[[#This Row],[RATE CONCAT]],Tables!I:N,6,0)),0)</f>
        <v>0</v>
      </c>
      <c r="EA16" s="13">
        <v>0</v>
      </c>
      <c r="EB16" s="13">
        <f>Table410[[#This Row],[May_2027_F]]-Table410[[#This Row],[May_2027_A]]</f>
        <v>0</v>
      </c>
      <c r="EC16" s="13">
        <f>IFERROR(Table410[[#This Row],[Jun_2027_Days_Forecast]]*Table410[[#This Row],[Cost Boolean]]*(VLOOKUP(Table410[[#This Row],[RATE CONCAT]],Tables!I:N,6,0)),0)</f>
        <v>0</v>
      </c>
      <c r="ED16" s="13">
        <v>0</v>
      </c>
      <c r="EE16" s="13">
        <f>Table410[[#This Row],[Jun_2027_F]]-Table410[[#This Row],[Jun_2027_A]]</f>
        <v>0</v>
      </c>
      <c r="EF16" s="13">
        <f>IFERROR(Table410[[#This Row],[Jul_2027_Days_Forecast]]*Table410[[#This Row],[Cost Boolean]]*(VLOOKUP(Table410[[#This Row],[RATE CONCAT]],Tables!I:N,6,0)),0)</f>
        <v>0</v>
      </c>
      <c r="EG16" s="13">
        <v>0</v>
      </c>
      <c r="EH16" s="13">
        <f>Table410[[#This Row],[Jul_2027_F]]-Table410[[#This Row],[Jul_2027_A]]</f>
        <v>0</v>
      </c>
      <c r="EI16" s="13">
        <f>IFERROR(Table410[[#This Row],[Aug_2027_Days_Forecast]]*Table410[[#This Row],[Cost Boolean]]*(VLOOKUP(Table410[[#This Row],[RATE CONCAT]],Tables!I:N,6,0)),0)</f>
        <v>0</v>
      </c>
      <c r="EJ16" s="13">
        <v>0</v>
      </c>
      <c r="EK16" s="13">
        <f>Table410[[#This Row],[Aug_2027_F]]-Table410[[#This Row],[Aug_2027_A]]</f>
        <v>0</v>
      </c>
      <c r="EL16" s="13">
        <f>IFERROR(Table410[[#This Row],[Sep_2027_Days_Forecast]]*Table410[[#This Row],[Cost Boolean]]*(VLOOKUP(Table410[[#This Row],[RATE CONCAT]],Tables!I:N,6,0)),0)</f>
        <v>0</v>
      </c>
      <c r="EM16" s="13">
        <v>0</v>
      </c>
      <c r="EN16" s="13">
        <f>Table410[[#This Row],[Sep_2027_F]]-Table410[[#This Row],[Sep_2027_A]]</f>
        <v>0</v>
      </c>
      <c r="EO16" s="13">
        <f>IFERROR(Table410[[#This Row],[Oct_2027_Days_Forecast]]*Table410[[#This Row],[Cost Boolean]]*(VLOOKUP(Table410[[#This Row],[RATE CONCAT]],Tables!I:N,6,0)),0)</f>
        <v>0</v>
      </c>
      <c r="EP16" s="13">
        <v>0</v>
      </c>
      <c r="EQ16" s="13">
        <f>Table410[[#This Row],[Oct_2027_F]]-Table410[[#This Row],[Oct_2027_A]]</f>
        <v>0</v>
      </c>
      <c r="ER16" s="13">
        <f>IFERROR(Table410[[#This Row],[Nov_2027_Days_Forecast]]*Table410[[#This Row],[Cost Boolean]]*(VLOOKUP(Table410[[#This Row],[RATE CONCAT]],Tables!I:N,6,0)),0)</f>
        <v>0</v>
      </c>
      <c r="ES16" s="13">
        <v>0</v>
      </c>
      <c r="ET16" s="13">
        <f>Table410[[#This Row],[Nov_2027_F]]-Table410[[#This Row],[Nov_2027_A]]</f>
        <v>0</v>
      </c>
      <c r="EU16" s="13">
        <f>IFERROR(Table410[[#This Row],[Dec_2027_Days_Forecast]]*Table410[[#This Row],[Cost Boolean]]*(VLOOKUP(Table410[[#This Row],[RATE CONCAT]],Tables!I:N,6,0)),0)</f>
        <v>0</v>
      </c>
      <c r="EV16" s="13">
        <v>0</v>
      </c>
      <c r="EW16" s="13">
        <f>Table410[[#This Row],[Dec_2027_F]]-Table410[[#This Row],[Dec_2027_A]]</f>
        <v>0</v>
      </c>
    </row>
    <row r="17" spans="1:153" s="13" customFormat="1" ht="15" customHeight="1">
      <c r="A17" s="13" t="s">
        <v>256</v>
      </c>
      <c r="B17" s="13" t="s">
        <v>50</v>
      </c>
      <c r="C17" s="13" t="s">
        <v>219</v>
      </c>
      <c r="D17" s="13" t="s">
        <v>257</v>
      </c>
      <c r="E17" s="13" t="s">
        <v>221</v>
      </c>
      <c r="G17" s="13" t="s">
        <v>222</v>
      </c>
      <c r="H17" s="13">
        <v>4</v>
      </c>
      <c r="J17" s="13" t="s">
        <v>258</v>
      </c>
      <c r="K17" s="13" t="s">
        <v>224</v>
      </c>
      <c r="L17" s="13">
        <v>0</v>
      </c>
      <c r="M17" s="13" t="s">
        <v>225</v>
      </c>
      <c r="N17" s="13" t="s">
        <v>259</v>
      </c>
      <c r="O17" s="13" t="s">
        <v>260</v>
      </c>
      <c r="P17" s="13" t="s">
        <v>53</v>
      </c>
      <c r="Q17" s="13" t="s">
        <v>228</v>
      </c>
      <c r="R17" s="193">
        <v>46023</v>
      </c>
      <c r="S17" s="193">
        <v>46387</v>
      </c>
      <c r="T17" s="193">
        <v>46023</v>
      </c>
      <c r="U17" s="193">
        <v>46387</v>
      </c>
      <c r="V17" s="193">
        <v>46023</v>
      </c>
      <c r="W17" s="193">
        <v>46387</v>
      </c>
      <c r="Y17" s="13" t="str">
        <f>CONCATENATE(Table410[[#This Row],[JG]],Table410[[#This Row],[Country]],Table410[[#This Row],[Resource Provider]])</f>
        <v>4United KingdomShell Business</v>
      </c>
      <c r="Z17" s="13">
        <f>VLOOKUP(Table410[[#This Row],[RATE CONCAT]],Tables!I:N,5,0)</f>
        <v>935</v>
      </c>
      <c r="AA17" s="52"/>
      <c r="AB17" s="130">
        <v>5</v>
      </c>
      <c r="AC17" s="130">
        <v>5</v>
      </c>
      <c r="AD17" s="130">
        <v>5</v>
      </c>
      <c r="AE17" s="130">
        <v>5</v>
      </c>
      <c r="AF17" s="130">
        <v>5</v>
      </c>
      <c r="AG17" s="130">
        <v>4</v>
      </c>
      <c r="AH17" s="130">
        <v>5</v>
      </c>
      <c r="AI17" s="130">
        <v>5</v>
      </c>
      <c r="AJ17" s="130"/>
      <c r="AK17" s="130"/>
      <c r="AL17" s="130"/>
      <c r="AM17" s="130"/>
      <c r="AN17" s="176">
        <f>IFERROR(AVERAGE(Table410[[#This Row],[Jan_2026_Days_Forecast]:[Dec_2026_Days_Forecast]]),0)/19</f>
        <v>0.25657894736842107</v>
      </c>
      <c r="AO17" s="176">
        <f>IFERROR(AVERAGE(Table410[[#This Row],[Jan_2026_Days_Actual]:[Dec_2026_Days_Actual]]),0)/19</f>
        <v>0.25657894736842107</v>
      </c>
      <c r="AP17" s="130">
        <v>5</v>
      </c>
      <c r="AQ17" s="130">
        <v>5</v>
      </c>
      <c r="AR17" s="130">
        <v>5</v>
      </c>
      <c r="AS17" s="130">
        <v>5</v>
      </c>
      <c r="AT17" s="130">
        <v>5</v>
      </c>
      <c r="AU17" s="130">
        <v>4</v>
      </c>
      <c r="AV17" s="130">
        <v>5</v>
      </c>
      <c r="AW17" s="130">
        <v>5</v>
      </c>
      <c r="AX17" s="130"/>
      <c r="AY17" s="130"/>
      <c r="AZ17" s="130"/>
      <c r="BA17" s="130"/>
      <c r="BB17" s="176">
        <f>IFERROR(AVERAGE(Table410[[#This Row],[Jan_2027_Days_Forecast]:[Dec_2027_Days_Forecast]]),0)</f>
        <v>0</v>
      </c>
      <c r="BC17" s="127"/>
      <c r="BD17" s="127"/>
      <c r="BE17" s="127"/>
      <c r="BF17" s="127"/>
      <c r="BG17" s="127"/>
      <c r="BH17" s="127"/>
      <c r="BI17" s="127"/>
      <c r="BJ17" s="127"/>
      <c r="BK17" s="127"/>
      <c r="BL17" s="127"/>
      <c r="BM17" s="127"/>
      <c r="BN17" s="127"/>
      <c r="BO17" s="176"/>
      <c r="BP17" s="176"/>
      <c r="BQ17" s="13">
        <f>IFERROR(Table410[[#This Row],[Jan_2026_Days_Forecast]]*Table410[[#This Row],[Cost Boolean]]*(VLOOKUP(Table410[[#This Row],[RATE CONCAT]],Tables!I:N,5,0)),0)</f>
        <v>0</v>
      </c>
      <c r="BR17" s="13">
        <f>IFERROR(Table410[[#This Row],[Jan_2026_Days_Actual]]*Table410[[#This Row],[Cost Boolean]]*(VLOOKUP(Table410[[#This Row],[RATE CONCAT]],Tables!I:N,5,0)),0)</f>
        <v>0</v>
      </c>
      <c r="BS17" s="13">
        <f>Table410[[#This Row],[Jan_2026_F]]-Table410[[#This Row],[Jan_2026_A]]</f>
        <v>0</v>
      </c>
      <c r="BU17" s="13">
        <f>IFERROR(Table410[[#This Row],[Feb_2026_Days_Forecast]]*Table410[[#This Row],[Cost Boolean]]*(VLOOKUP(Table410[[#This Row],[RATE CONCAT]],Tables!I:N,5,0)),0)</f>
        <v>0</v>
      </c>
      <c r="BV17" s="13">
        <f>IFERROR(Table410[[#This Row],[Feb_2026_Days_Actual]]*Table410[[#This Row],[Cost Boolean]]*(VLOOKUP(Table410[[#This Row],[RATE CONCAT]],Tables!I:N,5,0)),0)</f>
        <v>0</v>
      </c>
      <c r="BW17" s="13">
        <f>Table410[[#This Row],[Feb_2026_F]]-Table410[[#This Row],[Feb_2026_A]]</f>
        <v>0</v>
      </c>
      <c r="BY17" s="13">
        <f>IFERROR(Table410[[#This Row],[Mar_2026_Days_Forecast]]*Table410[[#This Row],[Cost Boolean]]*(VLOOKUP(Table410[[#This Row],[RATE CONCAT]],Tables!I:N,5,0)),0)</f>
        <v>0</v>
      </c>
      <c r="BZ17" s="13">
        <f>IFERROR(Table410[[#This Row],[Mar_2026_Days_Actual]]*Table410[[#This Row],[Cost Boolean]]*(VLOOKUP(Table410[[#This Row],[RATE CONCAT]],Tables!I:N,5,0)),0)</f>
        <v>0</v>
      </c>
      <c r="CA17" s="13">
        <f>Table410[[#This Row],[Mar_2026_F]]-Table410[[#This Row],[Mar_2026_A]]</f>
        <v>0</v>
      </c>
      <c r="CC17" s="13">
        <f>IFERROR(Table410[[#This Row],[Apr_2026_Days_Forecast]]*Table410[[#This Row],[Cost Boolean]]*(VLOOKUP(Table410[[#This Row],[RATE CONCAT]],Tables!I:N,5,0)),0)</f>
        <v>0</v>
      </c>
      <c r="CD17" s="13">
        <f>IFERROR(Table410[[#This Row],[Apr_2026_Days_Actual]]*Table410[[#This Row],[Cost Boolean]]*(VLOOKUP(Table410[[#This Row],[RATE CONCAT]],Tables!I:N,5,0)),0)</f>
        <v>0</v>
      </c>
      <c r="CE17" s="13">
        <f>Table410[[#This Row],[Apr_2026_F]]-Table410[[#This Row],[Apr_2026_A]]</f>
        <v>0</v>
      </c>
      <c r="CG17" s="13">
        <f>IFERROR(Table410[[#This Row],[May_2026_Days_Forecast]] *Table410[[#This Row],[Cost Boolean]]*(VLOOKUP(Table410[[#This Row],[RATE CONCAT]],Tables!I:N,5,0)),0)</f>
        <v>0</v>
      </c>
      <c r="CH17" s="13">
        <f>IFERROR(Table410[[#This Row],[May_2026_Days_Actual]]*Table410[[#This Row],[Cost Boolean]]*(VLOOKUP(Table410[[#This Row],[RATE CONCAT]],Tables!I:N,5,0)),0)</f>
        <v>0</v>
      </c>
      <c r="CI17" s="13">
        <f>Table410[[#This Row],[May_2026_F]]-Table410[[#This Row],[May_2026_A]]</f>
        <v>0</v>
      </c>
      <c r="CK17" s="13">
        <f>IFERROR(Table410[[#This Row],[Jun_2026_Days_Forecast]]*Table410[[#This Row],[Cost Boolean]]*(VLOOKUP(Table410[[#This Row],[RATE CONCAT]],Tables!I:N,5,0)),0)</f>
        <v>0</v>
      </c>
      <c r="CL17" s="13">
        <f>IFERROR(Table410[[#This Row],[Jun_2026_Days_Actual]]*Table410[[#This Row],[Cost Boolean]]*(VLOOKUP(Table410[[#This Row],[RATE CONCAT]],Tables!I:N,5,0)),0)</f>
        <v>0</v>
      </c>
      <c r="CM17" s="13">
        <f>Table410[[#This Row],[Jun_2026_F]]-Table410[[#This Row],[Jun_2026_A]]</f>
        <v>0</v>
      </c>
      <c r="CO17" s="13">
        <f>IFERROR(Table410[[#This Row],[Jul_2026_Days_Forecast]]*Table410[[#This Row],[Cost Boolean]]*(VLOOKUP(Table410[[#This Row],[RATE CONCAT]],Tables!I:N,5,0)),0)</f>
        <v>0</v>
      </c>
      <c r="CP17" s="13">
        <f>IFERROR(Table410[[#This Row],[Jul_2026_Days_Actual]]*Table410[[#This Row],[Cost Boolean]]*(VLOOKUP(Table410[[#This Row],[RATE CONCAT]],Tables!I:N,5,0)),0)</f>
        <v>0</v>
      </c>
      <c r="CQ17" s="13">
        <f>Table410[[#This Row],[Jul_2026_F]]-Table410[[#This Row],[Jul_2026_A]]</f>
        <v>0</v>
      </c>
      <c r="CS17" s="13">
        <f>IFERROR(Table410[[#This Row],[Aug_2026_Days_Forecast]]*Table410[[#This Row],[Cost Boolean]]*(VLOOKUP(Table410[[#This Row],[RATE CONCAT]],Tables!I:N,5,0)),0)</f>
        <v>0</v>
      </c>
      <c r="CT17" s="13">
        <f>IFERROR(Table410[[#This Row],[Aug_2026_Days_Actual]]*Table410[[#This Row],[Cost Boolean]]*(VLOOKUP(Table410[[#This Row],[RATE CONCAT]],Tables!I:N,5,0)),0)</f>
        <v>0</v>
      </c>
      <c r="CU17" s="13">
        <f>Table410[[#This Row],[Aug_2026_F]]-Table410[[#This Row],[Aug_2026_A]]</f>
        <v>0</v>
      </c>
      <c r="CW17" s="13">
        <f>IFERROR(Table410[[#This Row],[Sep_2026_Days_Forecast]]*Table410[[#This Row],[Cost Boolean]]*(VLOOKUP(Table410[[#This Row],[RATE CONCAT]],Tables!I:N,5,0)),0)</f>
        <v>0</v>
      </c>
      <c r="CX17" s="13">
        <f>IFERROR(Table410[[#This Row],[Sep_2026_Days_Actual]]*Table410[[#This Row],[Cost Boolean]]*(VLOOKUP(Table410[[#This Row],[RATE CONCAT]],Tables!I:N,5,0)),0)</f>
        <v>0</v>
      </c>
      <c r="CY17" s="13">
        <f>Table410[[#This Row],[Sep_2026_F]]-Table410[[#This Row],[Sep_2026_A]]</f>
        <v>0</v>
      </c>
      <c r="DA17" s="13">
        <f>IFERROR(Table410[[#This Row],[Oct_2026_Days_Forecast]]*Table410[[#This Row],[Cost Boolean]]*(VLOOKUP(Table410[[#This Row],[RATE CONCAT]],Tables!I:N,5,0)),0)</f>
        <v>0</v>
      </c>
      <c r="DB17" s="13">
        <f>IFERROR(Table410[[#This Row],[Oct_2026_Days_Actual]]*Table410[[#This Row],[Cost Boolean]]*(VLOOKUP(Table410[[#This Row],[RATE CONCAT]],Tables!I:N,5,0)),0)</f>
        <v>0</v>
      </c>
      <c r="DC17" s="13">
        <f>Table410[[#This Row],[Oct_2026_F]]-Table410[[#This Row],[Oct_2026_A]]</f>
        <v>0</v>
      </c>
      <c r="DE17" s="13">
        <f>IFERROR(Table410[[#This Row],[Nov_2026_Days_Forecast]]*Table410[[#This Row],[Cost Boolean]]*(VLOOKUP(Table410[[#This Row],[RATE CONCAT]],Tables!I:N,5,0)),0)</f>
        <v>0</v>
      </c>
      <c r="DF17" s="13">
        <f>IFERROR(Table410[[#This Row],[Nov_2026_Days_Actual]]*Table410[[#This Row],[Cost Boolean]]*(VLOOKUP(Table410[[#This Row],[RATE CONCAT]],Tables!I:N,5,0)),0)</f>
        <v>0</v>
      </c>
      <c r="DG17" s="13">
        <f>Table410[[#This Row],[Nov_2026_F]]-Table410[[#This Row],[Nov_2026_A]]</f>
        <v>0</v>
      </c>
      <c r="DI17" s="13">
        <f>IFERROR(Table410[[#This Row],[Dec_2026_Days_Forecast]]*Table410[[#This Row],[Cost Boolean]]*(VLOOKUP(Table410[[#This Row],[RATE CONCAT]],Tables!I:N,5,0)),0)</f>
        <v>0</v>
      </c>
      <c r="DJ17" s="13">
        <f>IFERROR(Table410[[#This Row],[Dec_2026_Days_Actual]]*Table410[[#This Row],[Cost Boolean]]*(VLOOKUP(Table410[[#This Row],[RATE CONCAT]],Tables!I:N,5,0)),0)</f>
        <v>0</v>
      </c>
      <c r="DK17" s="13">
        <f>Table410[[#This Row],[Dec_2026_F]]-Table410[[#This Row],[Dec_2026_A]]</f>
        <v>0</v>
      </c>
      <c r="DN17" s="13">
        <f>IFERROR(Table410[[#This Row],[Jan_2027_Days_Forecast]]*Table410[[#This Row],[Cost Boolean]]*(VLOOKUP(Table410[[#This Row],[RATE CONCAT]],Tables!I:N,6,0)),0)</f>
        <v>0</v>
      </c>
      <c r="DO17" s="13">
        <v>0</v>
      </c>
      <c r="DP17" s="13">
        <f>Table410[[#This Row],[Jan_2027_F]]-Table410[[#This Row],[Jan_2027_A]]</f>
        <v>0</v>
      </c>
      <c r="DQ17" s="13">
        <f>IFERROR(Table410[[#This Row],[Feb_2027_Days_Forecast]]*Table410[[#This Row],[Cost Boolean]]*(VLOOKUP(Table410[[#This Row],[RATE CONCAT]],Tables!I:N,6,0)),0)</f>
        <v>0</v>
      </c>
      <c r="DR17" s="13">
        <v>0</v>
      </c>
      <c r="DS17" s="13">
        <f>Table410[[#This Row],[Feb_2027_F]]-Table410[[#This Row],[Feb_2027_A]]</f>
        <v>0</v>
      </c>
      <c r="DT17" s="13">
        <f>IFERROR(Table410[[#This Row],[Mar_2027_Days_Forecast]]*Table410[[#This Row],[Cost Boolean]]*(VLOOKUP(Table410[[#This Row],[RATE CONCAT]],Tables!I:N,6,0)),0)</f>
        <v>0</v>
      </c>
      <c r="DU17" s="13">
        <v>0</v>
      </c>
      <c r="DV17" s="13">
        <f>Table410[[#This Row],[Mar_2027_F]]-Table410[[#This Row],[Mar_2027_A]]</f>
        <v>0</v>
      </c>
      <c r="DW17" s="13">
        <f>IFERROR(Table410[[#This Row],[Apr_2027_Days_Forecast]]*Table410[[#This Row],[Cost Boolean]]*(VLOOKUP(Table410[[#This Row],[RATE CONCAT]],Tables!I:N,6,0)),0)</f>
        <v>0</v>
      </c>
      <c r="DX17" s="13">
        <v>0</v>
      </c>
      <c r="DY17" s="13">
        <f>Table410[[#This Row],[Apr_2027_F]]-Table410[[#This Row],[Apr_2027_A]]</f>
        <v>0</v>
      </c>
      <c r="DZ17" s="13">
        <f>IFERROR(Table410[[#This Row],[May_2027_Days_Forecast]]*Table410[[#This Row],[Cost Boolean]]*(VLOOKUP(Table410[[#This Row],[RATE CONCAT]],Tables!I:N,6,0)),0)</f>
        <v>0</v>
      </c>
      <c r="EA17" s="13">
        <v>0</v>
      </c>
      <c r="EB17" s="13">
        <f>Table410[[#This Row],[May_2027_F]]-Table410[[#This Row],[May_2027_A]]</f>
        <v>0</v>
      </c>
      <c r="EC17" s="13">
        <f>IFERROR(Table410[[#This Row],[Jun_2027_Days_Forecast]]*Table410[[#This Row],[Cost Boolean]]*(VLOOKUP(Table410[[#This Row],[RATE CONCAT]],Tables!I:N,6,0)),0)</f>
        <v>0</v>
      </c>
      <c r="ED17" s="13">
        <v>0</v>
      </c>
      <c r="EE17" s="13">
        <f>Table410[[#This Row],[Jun_2027_F]]-Table410[[#This Row],[Jun_2027_A]]</f>
        <v>0</v>
      </c>
      <c r="EF17" s="13">
        <f>IFERROR(Table410[[#This Row],[Jul_2027_Days_Forecast]]*Table410[[#This Row],[Cost Boolean]]*(VLOOKUP(Table410[[#This Row],[RATE CONCAT]],Tables!I:N,6,0)),0)</f>
        <v>0</v>
      </c>
      <c r="EG17" s="13">
        <v>0</v>
      </c>
      <c r="EH17" s="13">
        <f>Table410[[#This Row],[Jul_2027_F]]-Table410[[#This Row],[Jul_2027_A]]</f>
        <v>0</v>
      </c>
      <c r="EI17" s="13">
        <f>IFERROR(Table410[[#This Row],[Aug_2027_Days_Forecast]]*Table410[[#This Row],[Cost Boolean]]*(VLOOKUP(Table410[[#This Row],[RATE CONCAT]],Tables!I:N,6,0)),0)</f>
        <v>0</v>
      </c>
      <c r="EJ17" s="13">
        <v>0</v>
      </c>
      <c r="EK17" s="13">
        <f>Table410[[#This Row],[Aug_2027_F]]-Table410[[#This Row],[Aug_2027_A]]</f>
        <v>0</v>
      </c>
      <c r="EL17" s="13">
        <f>IFERROR(Table410[[#This Row],[Sep_2027_Days_Forecast]]*Table410[[#This Row],[Cost Boolean]]*(VLOOKUP(Table410[[#This Row],[RATE CONCAT]],Tables!I:N,6,0)),0)</f>
        <v>0</v>
      </c>
      <c r="EM17" s="13">
        <v>0</v>
      </c>
      <c r="EN17" s="13">
        <f>Table410[[#This Row],[Sep_2027_F]]-Table410[[#This Row],[Sep_2027_A]]</f>
        <v>0</v>
      </c>
      <c r="EO17" s="13">
        <f>IFERROR(Table410[[#This Row],[Oct_2027_Days_Forecast]]*Table410[[#This Row],[Cost Boolean]]*(VLOOKUP(Table410[[#This Row],[RATE CONCAT]],Tables!I:N,6,0)),0)</f>
        <v>0</v>
      </c>
      <c r="EP17" s="13">
        <v>0</v>
      </c>
      <c r="EQ17" s="13">
        <f>Table410[[#This Row],[Oct_2027_F]]-Table410[[#This Row],[Oct_2027_A]]</f>
        <v>0</v>
      </c>
      <c r="ER17" s="13">
        <f>IFERROR(Table410[[#This Row],[Nov_2027_Days_Forecast]]*Table410[[#This Row],[Cost Boolean]]*(VLOOKUP(Table410[[#This Row],[RATE CONCAT]],Tables!I:N,6,0)),0)</f>
        <v>0</v>
      </c>
      <c r="ES17" s="13">
        <v>0</v>
      </c>
      <c r="ET17" s="13">
        <f>Table410[[#This Row],[Nov_2027_F]]-Table410[[#This Row],[Nov_2027_A]]</f>
        <v>0</v>
      </c>
      <c r="EU17" s="13">
        <f>IFERROR(Table410[[#This Row],[Dec_2027_Days_Forecast]]*Table410[[#This Row],[Cost Boolean]]*(VLOOKUP(Table410[[#This Row],[RATE CONCAT]],Tables!I:N,6,0)),0)</f>
        <v>0</v>
      </c>
      <c r="EV17" s="13">
        <v>0</v>
      </c>
      <c r="EW17" s="13">
        <f>Table410[[#This Row],[Dec_2027_F]]-Table410[[#This Row],[Dec_2027_A]]</f>
        <v>0</v>
      </c>
    </row>
    <row r="18" spans="1:153" s="13" customFormat="1" ht="15" customHeight="1">
      <c r="A18" s="13" t="s">
        <v>261</v>
      </c>
      <c r="B18" s="13" t="s">
        <v>48</v>
      </c>
      <c r="C18" s="13" t="s">
        <v>219</v>
      </c>
      <c r="D18" s="13" t="s">
        <v>262</v>
      </c>
      <c r="E18" s="13" t="s">
        <v>221</v>
      </c>
      <c r="G18" s="13" t="s">
        <v>231</v>
      </c>
      <c r="H18" s="13">
        <v>2</v>
      </c>
      <c r="J18" s="13" t="s">
        <v>263</v>
      </c>
      <c r="K18" s="13" t="s">
        <v>224</v>
      </c>
      <c r="L18" s="13">
        <v>0</v>
      </c>
      <c r="M18" s="13" t="s">
        <v>233</v>
      </c>
      <c r="N18" s="13" t="s">
        <v>264</v>
      </c>
      <c r="O18" s="13" t="s">
        <v>260</v>
      </c>
      <c r="P18" s="13" t="s">
        <v>53</v>
      </c>
      <c r="Q18" s="13" t="s">
        <v>228</v>
      </c>
      <c r="R18" s="193">
        <v>46023</v>
      </c>
      <c r="S18" s="193">
        <v>46387</v>
      </c>
      <c r="T18" s="193">
        <v>46023</v>
      </c>
      <c r="U18" s="193">
        <v>46387</v>
      </c>
      <c r="V18" s="193">
        <v>46023</v>
      </c>
      <c r="W18" s="193">
        <v>46387</v>
      </c>
      <c r="Y18" s="13" t="str">
        <f>CONCATENATE(Table410[[#This Row],[JG]],Table410[[#This Row],[Country]],Table410[[#This Row],[Resource Provider]])</f>
        <v>2United StatesShell Business</v>
      </c>
      <c r="Z18" s="13">
        <f>VLOOKUP(Table410[[#This Row],[RATE CONCAT]],Tables!I:N,5,0)</f>
        <v>2032</v>
      </c>
      <c r="AA18" s="52"/>
      <c r="AB18" s="130"/>
      <c r="AC18" s="130">
        <v>10</v>
      </c>
      <c r="AD18" s="130">
        <v>10</v>
      </c>
      <c r="AE18" s="130">
        <v>10</v>
      </c>
      <c r="AF18" s="130">
        <v>9</v>
      </c>
      <c r="AG18" s="130">
        <v>9</v>
      </c>
      <c r="AH18" s="130">
        <v>9</v>
      </c>
      <c r="AI18" s="130">
        <v>10</v>
      </c>
      <c r="AJ18" s="130">
        <v>10</v>
      </c>
      <c r="AK18" s="130">
        <v>10</v>
      </c>
      <c r="AL18" s="130"/>
      <c r="AM18" s="130"/>
      <c r="AN18" s="176">
        <f>IFERROR(AVERAGE(Table410[[#This Row],[Jan_2026_Days_Forecast]:[Dec_2026_Days_Forecast]]),0)/19</f>
        <v>0.50877192982456132</v>
      </c>
      <c r="AO18" s="176">
        <f>IFERROR(AVERAGE(Table410[[#This Row],[Jan_2026_Days_Actual]:[Dec_2026_Days_Actual]]),0)/19</f>
        <v>0.50877192982456132</v>
      </c>
      <c r="AP18" s="130"/>
      <c r="AQ18" s="130">
        <v>10</v>
      </c>
      <c r="AR18" s="130">
        <v>10</v>
      </c>
      <c r="AS18" s="130">
        <v>10</v>
      </c>
      <c r="AT18" s="130">
        <v>9</v>
      </c>
      <c r="AU18" s="130">
        <v>9</v>
      </c>
      <c r="AV18" s="130">
        <v>9</v>
      </c>
      <c r="AW18" s="130">
        <v>10</v>
      </c>
      <c r="AX18" s="130">
        <v>10</v>
      </c>
      <c r="AY18" s="130">
        <v>10</v>
      </c>
      <c r="AZ18" s="130"/>
      <c r="BA18" s="130"/>
      <c r="BB18" s="176">
        <f>IFERROR(AVERAGE(Table410[[#This Row],[Jan_2027_Days_Forecast]:[Dec_2027_Days_Forecast]]),0)</f>
        <v>0</v>
      </c>
      <c r="BC18" s="127"/>
      <c r="BD18" s="127"/>
      <c r="BE18" s="127"/>
      <c r="BF18" s="127"/>
      <c r="BG18" s="127"/>
      <c r="BH18" s="127"/>
      <c r="BI18" s="127"/>
      <c r="BJ18" s="127"/>
      <c r="BK18" s="127"/>
      <c r="BL18" s="127"/>
      <c r="BM18" s="127"/>
      <c r="BN18" s="127"/>
      <c r="BO18" s="176"/>
      <c r="BP18" s="176"/>
      <c r="BQ18" s="13">
        <f>IFERROR(Table410[[#This Row],[Jan_2026_Days_Forecast]]*Table410[[#This Row],[Cost Boolean]]*(VLOOKUP(Table410[[#This Row],[RATE CONCAT]],Tables!I:N,5,0)),0)</f>
        <v>0</v>
      </c>
      <c r="BR18" s="13">
        <f>IFERROR(Table410[[#This Row],[Jan_2026_Days_Actual]]*Table410[[#This Row],[Cost Boolean]]*(VLOOKUP(Table410[[#This Row],[RATE CONCAT]],Tables!I:N,5,0)),0)</f>
        <v>0</v>
      </c>
      <c r="BS18" s="13">
        <f>Table410[[#This Row],[Jan_2026_F]]-Table410[[#This Row],[Jan_2026_A]]</f>
        <v>0</v>
      </c>
      <c r="BU18" s="13">
        <f>IFERROR(Table410[[#This Row],[Feb_2026_Days_Forecast]]*Table410[[#This Row],[Cost Boolean]]*(VLOOKUP(Table410[[#This Row],[RATE CONCAT]],Tables!I:N,5,0)),0)</f>
        <v>0</v>
      </c>
      <c r="BV18" s="13">
        <f>IFERROR(Table410[[#This Row],[Feb_2026_Days_Actual]]*Table410[[#This Row],[Cost Boolean]]*(VLOOKUP(Table410[[#This Row],[RATE CONCAT]],Tables!I:N,5,0)),0)</f>
        <v>0</v>
      </c>
      <c r="BW18" s="13">
        <f>Table410[[#This Row],[Feb_2026_F]]-Table410[[#This Row],[Feb_2026_A]]</f>
        <v>0</v>
      </c>
      <c r="BY18" s="13">
        <f>IFERROR(Table410[[#This Row],[Mar_2026_Days_Forecast]]*Table410[[#This Row],[Cost Boolean]]*(VLOOKUP(Table410[[#This Row],[RATE CONCAT]],Tables!I:N,5,0)),0)</f>
        <v>0</v>
      </c>
      <c r="BZ18" s="13">
        <f>IFERROR(Table410[[#This Row],[Mar_2026_Days_Actual]]*Table410[[#This Row],[Cost Boolean]]*(VLOOKUP(Table410[[#This Row],[RATE CONCAT]],Tables!I:N,5,0)),0)</f>
        <v>0</v>
      </c>
      <c r="CA18" s="13">
        <f>Table410[[#This Row],[Mar_2026_F]]-Table410[[#This Row],[Mar_2026_A]]</f>
        <v>0</v>
      </c>
      <c r="CC18" s="13">
        <f>IFERROR(Table410[[#This Row],[Apr_2026_Days_Forecast]]*Table410[[#This Row],[Cost Boolean]]*(VLOOKUP(Table410[[#This Row],[RATE CONCAT]],Tables!I:N,5,0)),0)</f>
        <v>0</v>
      </c>
      <c r="CD18" s="13">
        <f>IFERROR(Table410[[#This Row],[Apr_2026_Days_Actual]]*Table410[[#This Row],[Cost Boolean]]*(VLOOKUP(Table410[[#This Row],[RATE CONCAT]],Tables!I:N,5,0)),0)</f>
        <v>0</v>
      </c>
      <c r="CE18" s="13">
        <f>Table410[[#This Row],[Apr_2026_F]]-Table410[[#This Row],[Apr_2026_A]]</f>
        <v>0</v>
      </c>
      <c r="CG18" s="13">
        <f>IFERROR(Table410[[#This Row],[May_2026_Days_Forecast]] *Table410[[#This Row],[Cost Boolean]]*(VLOOKUP(Table410[[#This Row],[RATE CONCAT]],Tables!I:N,5,0)),0)</f>
        <v>0</v>
      </c>
      <c r="CH18" s="13">
        <f>IFERROR(Table410[[#This Row],[May_2026_Days_Actual]]*Table410[[#This Row],[Cost Boolean]]*(VLOOKUP(Table410[[#This Row],[RATE CONCAT]],Tables!I:N,5,0)),0)</f>
        <v>0</v>
      </c>
      <c r="CI18" s="13">
        <f>Table410[[#This Row],[May_2026_F]]-Table410[[#This Row],[May_2026_A]]</f>
        <v>0</v>
      </c>
      <c r="CK18" s="13">
        <f>IFERROR(Table410[[#This Row],[Jun_2026_Days_Forecast]]*Table410[[#This Row],[Cost Boolean]]*(VLOOKUP(Table410[[#This Row],[RATE CONCAT]],Tables!I:N,5,0)),0)</f>
        <v>0</v>
      </c>
      <c r="CL18" s="13">
        <f>IFERROR(Table410[[#This Row],[Jun_2026_Days_Actual]]*Table410[[#This Row],[Cost Boolean]]*(VLOOKUP(Table410[[#This Row],[RATE CONCAT]],Tables!I:N,5,0)),0)</f>
        <v>0</v>
      </c>
      <c r="CM18" s="13">
        <f>Table410[[#This Row],[Jun_2026_F]]-Table410[[#This Row],[Jun_2026_A]]</f>
        <v>0</v>
      </c>
      <c r="CO18" s="13">
        <f>IFERROR(Table410[[#This Row],[Jul_2026_Days_Forecast]]*Table410[[#This Row],[Cost Boolean]]*(VLOOKUP(Table410[[#This Row],[RATE CONCAT]],Tables!I:N,5,0)),0)</f>
        <v>0</v>
      </c>
      <c r="CP18" s="13">
        <f>IFERROR(Table410[[#This Row],[Jul_2026_Days_Actual]]*Table410[[#This Row],[Cost Boolean]]*(VLOOKUP(Table410[[#This Row],[RATE CONCAT]],Tables!I:N,5,0)),0)</f>
        <v>0</v>
      </c>
      <c r="CQ18" s="13">
        <f>Table410[[#This Row],[Jul_2026_F]]-Table410[[#This Row],[Jul_2026_A]]</f>
        <v>0</v>
      </c>
      <c r="CS18" s="13">
        <f>IFERROR(Table410[[#This Row],[Aug_2026_Days_Forecast]]*Table410[[#This Row],[Cost Boolean]]*(VLOOKUP(Table410[[#This Row],[RATE CONCAT]],Tables!I:N,5,0)),0)</f>
        <v>0</v>
      </c>
      <c r="CT18" s="13">
        <f>IFERROR(Table410[[#This Row],[Aug_2026_Days_Actual]]*Table410[[#This Row],[Cost Boolean]]*(VLOOKUP(Table410[[#This Row],[RATE CONCAT]],Tables!I:N,5,0)),0)</f>
        <v>0</v>
      </c>
      <c r="CU18" s="13">
        <f>Table410[[#This Row],[Aug_2026_F]]-Table410[[#This Row],[Aug_2026_A]]</f>
        <v>0</v>
      </c>
      <c r="CW18" s="13">
        <f>IFERROR(Table410[[#This Row],[Sep_2026_Days_Forecast]]*Table410[[#This Row],[Cost Boolean]]*(VLOOKUP(Table410[[#This Row],[RATE CONCAT]],Tables!I:N,5,0)),0)</f>
        <v>0</v>
      </c>
      <c r="CX18" s="13">
        <f>IFERROR(Table410[[#This Row],[Sep_2026_Days_Actual]]*Table410[[#This Row],[Cost Boolean]]*(VLOOKUP(Table410[[#This Row],[RATE CONCAT]],Tables!I:N,5,0)),0)</f>
        <v>0</v>
      </c>
      <c r="CY18" s="13">
        <f>Table410[[#This Row],[Sep_2026_F]]-Table410[[#This Row],[Sep_2026_A]]</f>
        <v>0</v>
      </c>
      <c r="DA18" s="13">
        <f>IFERROR(Table410[[#This Row],[Oct_2026_Days_Forecast]]*Table410[[#This Row],[Cost Boolean]]*(VLOOKUP(Table410[[#This Row],[RATE CONCAT]],Tables!I:N,5,0)),0)</f>
        <v>0</v>
      </c>
      <c r="DB18" s="13">
        <f>IFERROR(Table410[[#This Row],[Oct_2026_Days_Actual]]*Table410[[#This Row],[Cost Boolean]]*(VLOOKUP(Table410[[#This Row],[RATE CONCAT]],Tables!I:N,5,0)),0)</f>
        <v>0</v>
      </c>
      <c r="DC18" s="13">
        <f>Table410[[#This Row],[Oct_2026_F]]-Table410[[#This Row],[Oct_2026_A]]</f>
        <v>0</v>
      </c>
      <c r="DE18" s="13">
        <f>IFERROR(Table410[[#This Row],[Nov_2026_Days_Forecast]]*Table410[[#This Row],[Cost Boolean]]*(VLOOKUP(Table410[[#This Row],[RATE CONCAT]],Tables!I:N,5,0)),0)</f>
        <v>0</v>
      </c>
      <c r="DF18" s="13">
        <f>IFERROR(Table410[[#This Row],[Nov_2026_Days_Actual]]*Table410[[#This Row],[Cost Boolean]]*(VLOOKUP(Table410[[#This Row],[RATE CONCAT]],Tables!I:N,5,0)),0)</f>
        <v>0</v>
      </c>
      <c r="DG18" s="13">
        <f>Table410[[#This Row],[Nov_2026_F]]-Table410[[#This Row],[Nov_2026_A]]</f>
        <v>0</v>
      </c>
      <c r="DI18" s="13">
        <f>IFERROR(Table410[[#This Row],[Dec_2026_Days_Forecast]]*Table410[[#This Row],[Cost Boolean]]*(VLOOKUP(Table410[[#This Row],[RATE CONCAT]],Tables!I:N,5,0)),0)</f>
        <v>0</v>
      </c>
      <c r="DJ18" s="13">
        <f>IFERROR(Table410[[#This Row],[Dec_2026_Days_Actual]]*Table410[[#This Row],[Cost Boolean]]*(VLOOKUP(Table410[[#This Row],[RATE CONCAT]],Tables!I:N,5,0)),0)</f>
        <v>0</v>
      </c>
      <c r="DK18" s="13">
        <f>Table410[[#This Row],[Dec_2026_F]]-Table410[[#This Row],[Dec_2026_A]]</f>
        <v>0</v>
      </c>
      <c r="DN18" s="13">
        <f>IFERROR(Table410[[#This Row],[Jan_2027_Days_Forecast]]*Table410[[#This Row],[Cost Boolean]]*(VLOOKUP(Table410[[#This Row],[RATE CONCAT]],Tables!I:N,6,0)),0)</f>
        <v>0</v>
      </c>
      <c r="DO18" s="13">
        <v>0</v>
      </c>
      <c r="DP18" s="13">
        <f>Table410[[#This Row],[Jan_2027_F]]-Table410[[#This Row],[Jan_2027_A]]</f>
        <v>0</v>
      </c>
      <c r="DQ18" s="13">
        <f>IFERROR(Table410[[#This Row],[Feb_2027_Days_Forecast]]*Table410[[#This Row],[Cost Boolean]]*(VLOOKUP(Table410[[#This Row],[RATE CONCAT]],Tables!I:N,6,0)),0)</f>
        <v>0</v>
      </c>
      <c r="DR18" s="13">
        <v>0</v>
      </c>
      <c r="DS18" s="13">
        <f>Table410[[#This Row],[Feb_2027_F]]-Table410[[#This Row],[Feb_2027_A]]</f>
        <v>0</v>
      </c>
      <c r="DT18" s="13">
        <f>IFERROR(Table410[[#This Row],[Mar_2027_Days_Forecast]]*Table410[[#This Row],[Cost Boolean]]*(VLOOKUP(Table410[[#This Row],[RATE CONCAT]],Tables!I:N,6,0)),0)</f>
        <v>0</v>
      </c>
      <c r="DU18" s="13">
        <v>0</v>
      </c>
      <c r="DV18" s="13">
        <f>Table410[[#This Row],[Mar_2027_F]]-Table410[[#This Row],[Mar_2027_A]]</f>
        <v>0</v>
      </c>
      <c r="DW18" s="13">
        <f>IFERROR(Table410[[#This Row],[Apr_2027_Days_Forecast]]*Table410[[#This Row],[Cost Boolean]]*(VLOOKUP(Table410[[#This Row],[RATE CONCAT]],Tables!I:N,6,0)),0)</f>
        <v>0</v>
      </c>
      <c r="DX18" s="13">
        <v>0</v>
      </c>
      <c r="DY18" s="13">
        <f>Table410[[#This Row],[Apr_2027_F]]-Table410[[#This Row],[Apr_2027_A]]</f>
        <v>0</v>
      </c>
      <c r="DZ18" s="13">
        <f>IFERROR(Table410[[#This Row],[May_2027_Days_Forecast]]*Table410[[#This Row],[Cost Boolean]]*(VLOOKUP(Table410[[#This Row],[RATE CONCAT]],Tables!I:N,6,0)),0)</f>
        <v>0</v>
      </c>
      <c r="EA18" s="13">
        <v>0</v>
      </c>
      <c r="EB18" s="13">
        <f>Table410[[#This Row],[May_2027_F]]-Table410[[#This Row],[May_2027_A]]</f>
        <v>0</v>
      </c>
      <c r="EC18" s="13">
        <f>IFERROR(Table410[[#This Row],[Jun_2027_Days_Forecast]]*Table410[[#This Row],[Cost Boolean]]*(VLOOKUP(Table410[[#This Row],[RATE CONCAT]],Tables!I:N,6,0)),0)</f>
        <v>0</v>
      </c>
      <c r="ED18" s="13">
        <v>0</v>
      </c>
      <c r="EE18" s="13">
        <f>Table410[[#This Row],[Jun_2027_F]]-Table410[[#This Row],[Jun_2027_A]]</f>
        <v>0</v>
      </c>
      <c r="EF18" s="13">
        <f>IFERROR(Table410[[#This Row],[Jul_2027_Days_Forecast]]*Table410[[#This Row],[Cost Boolean]]*(VLOOKUP(Table410[[#This Row],[RATE CONCAT]],Tables!I:N,6,0)),0)</f>
        <v>0</v>
      </c>
      <c r="EG18" s="13">
        <v>0</v>
      </c>
      <c r="EH18" s="13">
        <f>Table410[[#This Row],[Jul_2027_F]]-Table410[[#This Row],[Jul_2027_A]]</f>
        <v>0</v>
      </c>
      <c r="EI18" s="13">
        <f>IFERROR(Table410[[#This Row],[Aug_2027_Days_Forecast]]*Table410[[#This Row],[Cost Boolean]]*(VLOOKUP(Table410[[#This Row],[RATE CONCAT]],Tables!I:N,6,0)),0)</f>
        <v>0</v>
      </c>
      <c r="EJ18" s="13">
        <v>0</v>
      </c>
      <c r="EK18" s="13">
        <f>Table410[[#This Row],[Aug_2027_F]]-Table410[[#This Row],[Aug_2027_A]]</f>
        <v>0</v>
      </c>
      <c r="EL18" s="13">
        <f>IFERROR(Table410[[#This Row],[Sep_2027_Days_Forecast]]*Table410[[#This Row],[Cost Boolean]]*(VLOOKUP(Table410[[#This Row],[RATE CONCAT]],Tables!I:N,6,0)),0)</f>
        <v>0</v>
      </c>
      <c r="EM18" s="13">
        <v>0</v>
      </c>
      <c r="EN18" s="13">
        <f>Table410[[#This Row],[Sep_2027_F]]-Table410[[#This Row],[Sep_2027_A]]</f>
        <v>0</v>
      </c>
      <c r="EO18" s="13">
        <f>IFERROR(Table410[[#This Row],[Oct_2027_Days_Forecast]]*Table410[[#This Row],[Cost Boolean]]*(VLOOKUP(Table410[[#This Row],[RATE CONCAT]],Tables!I:N,6,0)),0)</f>
        <v>0</v>
      </c>
      <c r="EP18" s="13">
        <v>0</v>
      </c>
      <c r="EQ18" s="13">
        <f>Table410[[#This Row],[Oct_2027_F]]-Table410[[#This Row],[Oct_2027_A]]</f>
        <v>0</v>
      </c>
      <c r="ER18" s="13">
        <f>IFERROR(Table410[[#This Row],[Nov_2027_Days_Forecast]]*Table410[[#This Row],[Cost Boolean]]*(VLOOKUP(Table410[[#This Row],[RATE CONCAT]],Tables!I:N,6,0)),0)</f>
        <v>0</v>
      </c>
      <c r="ES18" s="13">
        <v>0</v>
      </c>
      <c r="ET18" s="13">
        <f>Table410[[#This Row],[Nov_2027_F]]-Table410[[#This Row],[Nov_2027_A]]</f>
        <v>0</v>
      </c>
      <c r="EU18" s="13">
        <f>IFERROR(Table410[[#This Row],[Dec_2027_Days_Forecast]]*Table410[[#This Row],[Cost Boolean]]*(VLOOKUP(Table410[[#This Row],[RATE CONCAT]],Tables!I:N,6,0)),0)</f>
        <v>0</v>
      </c>
      <c r="EV18" s="13">
        <v>0</v>
      </c>
      <c r="EW18" s="13">
        <f>Table410[[#This Row],[Dec_2027_F]]-Table410[[#This Row],[Dec_2027_A]]</f>
        <v>0</v>
      </c>
    </row>
    <row r="19" spans="1:153" s="13" customFormat="1" ht="15" customHeight="1">
      <c r="A19" s="13" t="s">
        <v>265</v>
      </c>
      <c r="B19" s="13" t="s">
        <v>48</v>
      </c>
      <c r="C19" s="13" t="s">
        <v>219</v>
      </c>
      <c r="D19" s="13" t="s">
        <v>266</v>
      </c>
      <c r="E19" s="13" t="s">
        <v>221</v>
      </c>
      <c r="G19" s="13" t="s">
        <v>267</v>
      </c>
      <c r="H19" s="13">
        <v>4</v>
      </c>
      <c r="J19" s="13" t="s">
        <v>268</v>
      </c>
      <c r="K19" s="13" t="s">
        <v>224</v>
      </c>
      <c r="L19" s="13">
        <v>1</v>
      </c>
      <c r="M19" s="13" t="s">
        <v>269</v>
      </c>
      <c r="N19" s="13" t="s">
        <v>259</v>
      </c>
      <c r="O19" s="13" t="s">
        <v>227</v>
      </c>
      <c r="P19" s="13" t="s">
        <v>53</v>
      </c>
      <c r="Q19" s="13" t="s">
        <v>228</v>
      </c>
      <c r="R19" s="193">
        <v>46023</v>
      </c>
      <c r="S19" s="193">
        <v>46387</v>
      </c>
      <c r="T19" s="193">
        <v>46023</v>
      </c>
      <c r="U19" s="193">
        <v>46387</v>
      </c>
      <c r="V19" s="193">
        <v>46023</v>
      </c>
      <c r="W19" s="193">
        <v>46387</v>
      </c>
      <c r="Y19" s="13" t="str">
        <f>CONCATENATE(Table410[[#This Row],[JG]],Table410[[#This Row],[Country]],Table410[[#This Row],[Resource Provider]])</f>
        <v>4IndiaShell Business</v>
      </c>
      <c r="Z19" s="13">
        <f>VLOOKUP(Table410[[#This Row],[RATE CONCAT]],Tables!I:N,5,0)</f>
        <v>440</v>
      </c>
      <c r="AA19" s="52"/>
      <c r="AB19" s="130"/>
      <c r="AC19" s="130">
        <v>10</v>
      </c>
      <c r="AD19" s="130">
        <v>10</v>
      </c>
      <c r="AE19" s="130">
        <v>10</v>
      </c>
      <c r="AF19" s="130">
        <v>9</v>
      </c>
      <c r="AG19" s="130">
        <v>9</v>
      </c>
      <c r="AH19" s="130">
        <v>9</v>
      </c>
      <c r="AI19" s="130">
        <v>10</v>
      </c>
      <c r="AJ19" s="130">
        <v>10</v>
      </c>
      <c r="AK19" s="130">
        <v>10</v>
      </c>
      <c r="AL19" s="130"/>
      <c r="AM19" s="130"/>
      <c r="AN19" s="176">
        <f>IFERROR(AVERAGE(Table410[[#This Row],[Jan_2026_Days_Forecast]:[Dec_2026_Days_Forecast]]),0)/19</f>
        <v>0.50877192982456132</v>
      </c>
      <c r="AO19" s="176">
        <f>IFERROR(AVERAGE(Table410[[#This Row],[Jan_2026_Days_Actual]:[Dec_2026_Days_Actual]]),0)/19</f>
        <v>0.50877192982456132</v>
      </c>
      <c r="AP19" s="130"/>
      <c r="AQ19" s="130">
        <v>10</v>
      </c>
      <c r="AR19" s="130">
        <v>10</v>
      </c>
      <c r="AS19" s="130">
        <v>10</v>
      </c>
      <c r="AT19" s="130">
        <v>9</v>
      </c>
      <c r="AU19" s="130">
        <v>9</v>
      </c>
      <c r="AV19" s="130">
        <v>9</v>
      </c>
      <c r="AW19" s="130">
        <v>10</v>
      </c>
      <c r="AX19" s="130">
        <v>10</v>
      </c>
      <c r="AY19" s="130">
        <v>10</v>
      </c>
      <c r="AZ19" s="130"/>
      <c r="BA19" s="130"/>
      <c r="BB19" s="176">
        <f>IFERROR(AVERAGE(Table410[[#This Row],[Jan_2027_Days_Forecast]:[Dec_2027_Days_Forecast]]),0)</f>
        <v>0</v>
      </c>
      <c r="BC19" s="127"/>
      <c r="BD19" s="127"/>
      <c r="BE19" s="127"/>
      <c r="BF19" s="127"/>
      <c r="BG19" s="127"/>
      <c r="BH19" s="127"/>
      <c r="BI19" s="127"/>
      <c r="BJ19" s="127"/>
      <c r="BK19" s="127"/>
      <c r="BL19" s="127"/>
      <c r="BM19" s="127"/>
      <c r="BN19" s="127"/>
      <c r="BO19" s="176"/>
      <c r="BP19" s="176"/>
      <c r="BQ19" s="13">
        <f>IFERROR(Table410[[#This Row],[Jan_2026_Days_Forecast]]*Table410[[#This Row],[Cost Boolean]]*(VLOOKUP(Table410[[#This Row],[RATE CONCAT]],Tables!I:N,5,0)),0)</f>
        <v>0</v>
      </c>
      <c r="BR19" s="13">
        <f>IFERROR(Table410[[#This Row],[Jan_2026_Days_Actual]]*Table410[[#This Row],[Cost Boolean]]*(VLOOKUP(Table410[[#This Row],[RATE CONCAT]],Tables!I:N,5,0)),0)</f>
        <v>0</v>
      </c>
      <c r="BS19" s="13">
        <f>Table410[[#This Row],[Jan_2026_F]]-Table410[[#This Row],[Jan_2026_A]]</f>
        <v>0</v>
      </c>
      <c r="BU19" s="13">
        <f>IFERROR(Table410[[#This Row],[Feb_2026_Days_Forecast]]*Table410[[#This Row],[Cost Boolean]]*(VLOOKUP(Table410[[#This Row],[RATE CONCAT]],Tables!I:N,5,0)),0)</f>
        <v>4400</v>
      </c>
      <c r="BW19" s="13">
        <f>Table410[[#This Row],[Feb_2026_F]]-Table410[[#This Row],[Feb_2026_A]]</f>
        <v>4400</v>
      </c>
      <c r="BY19" s="13">
        <f>IFERROR(Table410[[#This Row],[Mar_2026_Days_Forecast]]*Table410[[#This Row],[Cost Boolean]]*(VLOOKUP(Table410[[#This Row],[RATE CONCAT]],Tables!I:N,5,0)),0)</f>
        <v>4400</v>
      </c>
      <c r="CA19" s="13">
        <f>Table410[[#This Row],[Mar_2026_F]]-Table410[[#This Row],[Mar_2026_A]]</f>
        <v>4400</v>
      </c>
      <c r="CC19" s="13">
        <f>IFERROR(Table410[[#This Row],[Apr_2026_Days_Forecast]]*Table410[[#This Row],[Cost Boolean]]*(VLOOKUP(Table410[[#This Row],[RATE CONCAT]],Tables!I:N,5,0)),0)</f>
        <v>4400</v>
      </c>
      <c r="CE19" s="13">
        <f>Table410[[#This Row],[Apr_2026_F]]-Table410[[#This Row],[Apr_2026_A]]</f>
        <v>4400</v>
      </c>
      <c r="CG19" s="13">
        <f>IFERROR(Table410[[#This Row],[May_2026_Days_Forecast]] *Table410[[#This Row],[Cost Boolean]]*(VLOOKUP(Table410[[#This Row],[RATE CONCAT]],Tables!I:N,5,0)),0)</f>
        <v>3960</v>
      </c>
      <c r="CH19" s="13">
        <f>IFERROR(Table410[[#This Row],[May_2026_Days_Actual]]*Table410[[#This Row],[Cost Boolean]]*(VLOOKUP(Table410[[#This Row],[RATE CONCAT]],Tables!I:N,5,0)),0)</f>
        <v>3960</v>
      </c>
      <c r="CI19" s="13">
        <f>Table410[[#This Row],[May_2026_F]]-Table410[[#This Row],[May_2026_A]]</f>
        <v>0</v>
      </c>
      <c r="CK19" s="13">
        <f>IFERROR(Table410[[#This Row],[Jun_2026_Days_Forecast]]*Table410[[#This Row],[Cost Boolean]]*(VLOOKUP(Table410[[#This Row],[RATE CONCAT]],Tables!I:N,5,0)),0)</f>
        <v>3960</v>
      </c>
      <c r="CL19" s="13">
        <f>IFERROR(Table410[[#This Row],[Jun_2026_Days_Actual]]*Table410[[#This Row],[Cost Boolean]]*(VLOOKUP(Table410[[#This Row],[RATE CONCAT]],Tables!I:N,5,0)),0)</f>
        <v>3960</v>
      </c>
      <c r="CM19" s="13">
        <f>Table410[[#This Row],[Jun_2026_F]]-Table410[[#This Row],[Jun_2026_A]]</f>
        <v>0</v>
      </c>
      <c r="CO19" s="13">
        <f>IFERROR(Table410[[#This Row],[Jul_2026_Days_Forecast]]*Table410[[#This Row],[Cost Boolean]]*(VLOOKUP(Table410[[#This Row],[RATE CONCAT]],Tables!I:N,5,0)),0)</f>
        <v>3960</v>
      </c>
      <c r="CP19" s="13">
        <f>IFERROR(Table410[[#This Row],[Jul_2026_Days_Actual]]*Table410[[#This Row],[Cost Boolean]]*(VLOOKUP(Table410[[#This Row],[RATE CONCAT]],Tables!I:N,5,0)),0)</f>
        <v>3960</v>
      </c>
      <c r="CQ19" s="13">
        <f>Table410[[#This Row],[Jul_2026_F]]-Table410[[#This Row],[Jul_2026_A]]</f>
        <v>0</v>
      </c>
      <c r="CS19" s="13">
        <f>IFERROR(Table410[[#This Row],[Aug_2026_Days_Forecast]]*Table410[[#This Row],[Cost Boolean]]*(VLOOKUP(Table410[[#This Row],[RATE CONCAT]],Tables!I:N,5,0)),0)</f>
        <v>4400</v>
      </c>
      <c r="CT19" s="13">
        <f>IFERROR(Table410[[#This Row],[Aug_2026_Days_Actual]]*Table410[[#This Row],[Cost Boolean]]*(VLOOKUP(Table410[[#This Row],[RATE CONCAT]],Tables!I:N,5,0)),0)</f>
        <v>4400</v>
      </c>
      <c r="CU19" s="13">
        <f>Table410[[#This Row],[Aug_2026_F]]-Table410[[#This Row],[Aug_2026_A]]</f>
        <v>0</v>
      </c>
      <c r="CW19" s="13">
        <f>IFERROR(Table410[[#This Row],[Sep_2026_Days_Forecast]]*Table410[[#This Row],[Cost Boolean]]*(VLOOKUP(Table410[[#This Row],[RATE CONCAT]],Tables!I:N,5,0)),0)</f>
        <v>4400</v>
      </c>
      <c r="CX19" s="13">
        <f>IFERROR(Table410[[#This Row],[Sep_2026_Days_Actual]]*Table410[[#This Row],[Cost Boolean]]*(VLOOKUP(Table410[[#This Row],[RATE CONCAT]],Tables!I:N,5,0)),0)</f>
        <v>4400</v>
      </c>
      <c r="CY19" s="13">
        <f>Table410[[#This Row],[Sep_2026_F]]-Table410[[#This Row],[Sep_2026_A]]</f>
        <v>0</v>
      </c>
      <c r="DA19" s="13">
        <f>IFERROR(Table410[[#This Row],[Oct_2026_Days_Forecast]]*Table410[[#This Row],[Cost Boolean]]*(VLOOKUP(Table410[[#This Row],[RATE CONCAT]],Tables!I:N,5,0)),0)</f>
        <v>4400</v>
      </c>
      <c r="DB19" s="13">
        <f>IFERROR(Table410[[#This Row],[Oct_2026_Days_Actual]]*Table410[[#This Row],[Cost Boolean]]*(VLOOKUP(Table410[[#This Row],[RATE CONCAT]],Tables!I:N,5,0)),0)</f>
        <v>4400</v>
      </c>
      <c r="DC19" s="13">
        <f>Table410[[#This Row],[Oct_2026_F]]-Table410[[#This Row],[Oct_2026_A]]</f>
        <v>0</v>
      </c>
      <c r="DE19" s="13">
        <f>IFERROR(Table410[[#This Row],[Nov_2026_Days_Forecast]]*Table410[[#This Row],[Cost Boolean]]*(VLOOKUP(Table410[[#This Row],[RATE CONCAT]],Tables!I:N,5,0)),0)</f>
        <v>0</v>
      </c>
      <c r="DF19" s="13">
        <f>IFERROR(Table410[[#This Row],[Nov_2026_Days_Actual]]*Table410[[#This Row],[Cost Boolean]]*(VLOOKUP(Table410[[#This Row],[RATE CONCAT]],Tables!I:N,5,0)),0)</f>
        <v>0</v>
      </c>
      <c r="DG19" s="13">
        <f>Table410[[#This Row],[Nov_2026_F]]-Table410[[#This Row],[Nov_2026_A]]</f>
        <v>0</v>
      </c>
      <c r="DI19" s="13">
        <f>IFERROR(Table410[[#This Row],[Dec_2026_Days_Forecast]]*Table410[[#This Row],[Cost Boolean]]*(VLOOKUP(Table410[[#This Row],[RATE CONCAT]],Tables!I:N,5,0)),0)</f>
        <v>0</v>
      </c>
      <c r="DJ19" s="13">
        <f>IFERROR(Table410[[#This Row],[Dec_2026_Days_Actual]]*Table410[[#This Row],[Cost Boolean]]*(VLOOKUP(Table410[[#This Row],[RATE CONCAT]],Tables!I:N,5,0)),0)</f>
        <v>0</v>
      </c>
      <c r="DK19" s="13">
        <f>Table410[[#This Row],[Dec_2026_F]]-Table410[[#This Row],[Dec_2026_A]]</f>
        <v>0</v>
      </c>
      <c r="DN19" s="13">
        <f>IFERROR(Table410[[#This Row],[Jan_2027_Days_Forecast]]*Table410[[#This Row],[Cost Boolean]]*(VLOOKUP(Table410[[#This Row],[RATE CONCAT]],Tables!I:N,6,0)),0)</f>
        <v>0</v>
      </c>
      <c r="DO19" s="13">
        <v>0</v>
      </c>
      <c r="DP19" s="13">
        <f>Table410[[#This Row],[Jan_2027_F]]-Table410[[#This Row],[Jan_2027_A]]</f>
        <v>0</v>
      </c>
      <c r="DQ19" s="13">
        <f>IFERROR(Table410[[#This Row],[Feb_2027_Days_Forecast]]*Table410[[#This Row],[Cost Boolean]]*(VLOOKUP(Table410[[#This Row],[RATE CONCAT]],Tables!I:N,6,0)),0)</f>
        <v>0</v>
      </c>
      <c r="DR19" s="13">
        <v>0</v>
      </c>
      <c r="DS19" s="13">
        <f>Table410[[#This Row],[Feb_2027_F]]-Table410[[#This Row],[Feb_2027_A]]</f>
        <v>0</v>
      </c>
      <c r="DT19" s="13">
        <f>IFERROR(Table410[[#This Row],[Mar_2027_Days_Forecast]]*Table410[[#This Row],[Cost Boolean]]*(VLOOKUP(Table410[[#This Row],[RATE CONCAT]],Tables!I:N,6,0)),0)</f>
        <v>0</v>
      </c>
      <c r="DU19" s="13">
        <v>0</v>
      </c>
      <c r="DV19" s="13">
        <f>Table410[[#This Row],[Mar_2027_F]]-Table410[[#This Row],[Mar_2027_A]]</f>
        <v>0</v>
      </c>
      <c r="DW19" s="13">
        <f>IFERROR(Table410[[#This Row],[Apr_2027_Days_Forecast]]*Table410[[#This Row],[Cost Boolean]]*(VLOOKUP(Table410[[#This Row],[RATE CONCAT]],Tables!I:N,6,0)),0)</f>
        <v>0</v>
      </c>
      <c r="DX19" s="13">
        <v>0</v>
      </c>
      <c r="DY19" s="13">
        <f>Table410[[#This Row],[Apr_2027_F]]-Table410[[#This Row],[Apr_2027_A]]</f>
        <v>0</v>
      </c>
      <c r="DZ19" s="13">
        <f>IFERROR(Table410[[#This Row],[May_2027_Days_Forecast]]*Table410[[#This Row],[Cost Boolean]]*(VLOOKUP(Table410[[#This Row],[RATE CONCAT]],Tables!I:N,6,0)),0)</f>
        <v>0</v>
      </c>
      <c r="EA19" s="13">
        <v>0</v>
      </c>
      <c r="EB19" s="13">
        <f>Table410[[#This Row],[May_2027_F]]-Table410[[#This Row],[May_2027_A]]</f>
        <v>0</v>
      </c>
      <c r="EC19" s="13">
        <f>IFERROR(Table410[[#This Row],[Jun_2027_Days_Forecast]]*Table410[[#This Row],[Cost Boolean]]*(VLOOKUP(Table410[[#This Row],[RATE CONCAT]],Tables!I:N,6,0)),0)</f>
        <v>0</v>
      </c>
      <c r="ED19" s="13">
        <v>0</v>
      </c>
      <c r="EE19" s="13">
        <f>Table410[[#This Row],[Jun_2027_F]]-Table410[[#This Row],[Jun_2027_A]]</f>
        <v>0</v>
      </c>
      <c r="EF19" s="13">
        <f>IFERROR(Table410[[#This Row],[Jul_2027_Days_Forecast]]*Table410[[#This Row],[Cost Boolean]]*(VLOOKUP(Table410[[#This Row],[RATE CONCAT]],Tables!I:N,6,0)),0)</f>
        <v>0</v>
      </c>
      <c r="EG19" s="13">
        <v>0</v>
      </c>
      <c r="EH19" s="13">
        <f>Table410[[#This Row],[Jul_2027_F]]-Table410[[#This Row],[Jul_2027_A]]</f>
        <v>0</v>
      </c>
      <c r="EI19" s="13">
        <f>IFERROR(Table410[[#This Row],[Aug_2027_Days_Forecast]]*Table410[[#This Row],[Cost Boolean]]*(VLOOKUP(Table410[[#This Row],[RATE CONCAT]],Tables!I:N,6,0)),0)</f>
        <v>0</v>
      </c>
      <c r="EJ19" s="13">
        <v>0</v>
      </c>
      <c r="EK19" s="13">
        <f>Table410[[#This Row],[Aug_2027_F]]-Table410[[#This Row],[Aug_2027_A]]</f>
        <v>0</v>
      </c>
      <c r="EL19" s="13">
        <f>IFERROR(Table410[[#This Row],[Sep_2027_Days_Forecast]]*Table410[[#This Row],[Cost Boolean]]*(VLOOKUP(Table410[[#This Row],[RATE CONCAT]],Tables!I:N,6,0)),0)</f>
        <v>0</v>
      </c>
      <c r="EM19" s="13">
        <v>0</v>
      </c>
      <c r="EN19" s="13">
        <f>Table410[[#This Row],[Sep_2027_F]]-Table410[[#This Row],[Sep_2027_A]]</f>
        <v>0</v>
      </c>
      <c r="EO19" s="13">
        <f>IFERROR(Table410[[#This Row],[Oct_2027_Days_Forecast]]*Table410[[#This Row],[Cost Boolean]]*(VLOOKUP(Table410[[#This Row],[RATE CONCAT]],Tables!I:N,6,0)),0)</f>
        <v>0</v>
      </c>
      <c r="EP19" s="13">
        <v>0</v>
      </c>
      <c r="EQ19" s="13">
        <f>Table410[[#This Row],[Oct_2027_F]]-Table410[[#This Row],[Oct_2027_A]]</f>
        <v>0</v>
      </c>
      <c r="ER19" s="13">
        <f>IFERROR(Table410[[#This Row],[Nov_2027_Days_Forecast]]*Table410[[#This Row],[Cost Boolean]]*(VLOOKUP(Table410[[#This Row],[RATE CONCAT]],Tables!I:N,6,0)),0)</f>
        <v>0</v>
      </c>
      <c r="ES19" s="13">
        <v>0</v>
      </c>
      <c r="ET19" s="13">
        <f>Table410[[#This Row],[Nov_2027_F]]-Table410[[#This Row],[Nov_2027_A]]</f>
        <v>0</v>
      </c>
      <c r="EU19" s="13">
        <f>IFERROR(Table410[[#This Row],[Dec_2027_Days_Forecast]]*Table410[[#This Row],[Cost Boolean]]*(VLOOKUP(Table410[[#This Row],[RATE CONCAT]],Tables!I:N,6,0)),0)</f>
        <v>0</v>
      </c>
      <c r="EV19" s="13">
        <v>0</v>
      </c>
      <c r="EW19" s="13">
        <f>Table410[[#This Row],[Dec_2027_F]]-Table410[[#This Row],[Dec_2027_A]]</f>
        <v>0</v>
      </c>
    </row>
    <row r="20" spans="1:153" s="13" customFormat="1" ht="15" customHeight="1">
      <c r="A20" s="13" t="s">
        <v>270</v>
      </c>
      <c r="B20" s="13" t="s">
        <v>48</v>
      </c>
      <c r="C20" s="13" t="s">
        <v>219</v>
      </c>
      <c r="D20" s="13" t="s">
        <v>271</v>
      </c>
      <c r="E20" s="13" t="s">
        <v>221</v>
      </c>
      <c r="G20" s="13" t="s">
        <v>244</v>
      </c>
      <c r="H20" s="13">
        <v>4</v>
      </c>
      <c r="J20" s="13" t="s">
        <v>272</v>
      </c>
      <c r="K20" s="13" t="s">
        <v>224</v>
      </c>
      <c r="L20" s="13">
        <v>0</v>
      </c>
      <c r="M20" s="13" t="s">
        <v>245</v>
      </c>
      <c r="N20" s="13" t="s">
        <v>273</v>
      </c>
      <c r="O20" s="13" t="s">
        <v>260</v>
      </c>
      <c r="P20" s="13" t="s">
        <v>53</v>
      </c>
      <c r="Q20" s="13" t="s">
        <v>228</v>
      </c>
      <c r="R20" s="193">
        <v>46023</v>
      </c>
      <c r="S20" s="193">
        <v>46387</v>
      </c>
      <c r="T20" s="193">
        <v>46023</v>
      </c>
      <c r="U20" s="193">
        <v>46387</v>
      </c>
      <c r="V20" s="193">
        <v>46023</v>
      </c>
      <c r="W20" s="193">
        <v>46387</v>
      </c>
      <c r="Y20" s="13" t="str">
        <f>CONCATENATE(Table410[[#This Row],[JG]],Table410[[#This Row],[Country]],Table410[[#This Row],[Resource Provider]])</f>
        <v>4SingaporeShell Business</v>
      </c>
      <c r="Z20" s="13">
        <f>VLOOKUP(Table410[[#This Row],[RATE CONCAT]],Tables!I:N,5,0)</f>
        <v>900</v>
      </c>
      <c r="AA20" s="52"/>
      <c r="AB20" s="130"/>
      <c r="AC20" s="130">
        <v>5</v>
      </c>
      <c r="AD20" s="130">
        <v>5</v>
      </c>
      <c r="AE20" s="130">
        <v>5</v>
      </c>
      <c r="AF20" s="130">
        <v>5</v>
      </c>
      <c r="AG20" s="130">
        <v>4</v>
      </c>
      <c r="AH20" s="130">
        <v>5</v>
      </c>
      <c r="AI20" s="130">
        <v>5</v>
      </c>
      <c r="AJ20" s="130">
        <v>5</v>
      </c>
      <c r="AK20" s="130">
        <v>5</v>
      </c>
      <c r="AL20" s="130"/>
      <c r="AM20" s="130"/>
      <c r="AN20" s="176">
        <f>IFERROR(AVERAGE(Table410[[#This Row],[Jan_2026_Days_Forecast]:[Dec_2026_Days_Forecast]]),0)/19</f>
        <v>0.25730994152046788</v>
      </c>
      <c r="AO20" s="176">
        <f>IFERROR(AVERAGE(Table410[[#This Row],[Jan_2026_Days_Actual]:[Dec_2026_Days_Actual]]),0)/19</f>
        <v>0.25730994152046788</v>
      </c>
      <c r="AP20" s="130"/>
      <c r="AQ20" s="130">
        <v>5</v>
      </c>
      <c r="AR20" s="130">
        <v>5</v>
      </c>
      <c r="AS20" s="130">
        <v>5</v>
      </c>
      <c r="AT20" s="130">
        <v>5</v>
      </c>
      <c r="AU20" s="130">
        <v>4</v>
      </c>
      <c r="AV20" s="130">
        <v>5</v>
      </c>
      <c r="AW20" s="130">
        <v>5</v>
      </c>
      <c r="AX20" s="130">
        <v>5</v>
      </c>
      <c r="AY20" s="130">
        <v>5</v>
      </c>
      <c r="AZ20" s="130"/>
      <c r="BA20" s="130"/>
      <c r="BB20" s="176">
        <f>IFERROR(AVERAGE(Table410[[#This Row],[Jan_2027_Days_Forecast]:[Dec_2027_Days_Forecast]]),0)</f>
        <v>0</v>
      </c>
      <c r="BC20" s="127"/>
      <c r="BD20" s="127"/>
      <c r="BE20" s="127"/>
      <c r="BF20" s="127"/>
      <c r="BG20" s="127"/>
      <c r="BH20" s="127"/>
      <c r="BI20" s="127"/>
      <c r="BJ20" s="127"/>
      <c r="BK20" s="127"/>
      <c r="BL20" s="127"/>
      <c r="BM20" s="127"/>
      <c r="BN20" s="127"/>
      <c r="BO20" s="176"/>
      <c r="BP20" s="176"/>
      <c r="BQ20" s="13">
        <f>IFERROR(Table410[[#This Row],[Jan_2026_Days_Forecast]]*Table410[[#This Row],[Cost Boolean]]*(VLOOKUP(Table410[[#This Row],[RATE CONCAT]],Tables!I:N,5,0)),0)</f>
        <v>0</v>
      </c>
      <c r="BR20" s="13">
        <f>IFERROR(Table410[[#This Row],[Jan_2026_Days_Actual]]*Table410[[#This Row],[Cost Boolean]]*(VLOOKUP(Table410[[#This Row],[RATE CONCAT]],Tables!I:N,5,0)),0)</f>
        <v>0</v>
      </c>
      <c r="BS20" s="13">
        <f>Table410[[#This Row],[Jan_2026_F]]-Table410[[#This Row],[Jan_2026_A]]</f>
        <v>0</v>
      </c>
      <c r="BU20" s="13">
        <f>IFERROR(Table410[[#This Row],[Feb_2026_Days_Forecast]]*Table410[[#This Row],[Cost Boolean]]*(VLOOKUP(Table410[[#This Row],[RATE CONCAT]],Tables!I:N,5,0)),0)</f>
        <v>0</v>
      </c>
      <c r="BV20" s="13">
        <f>IFERROR(Table410[[#This Row],[Feb_2026_Days_Actual]]*Table410[[#This Row],[Cost Boolean]]*(VLOOKUP(Table410[[#This Row],[RATE CONCAT]],Tables!I:N,5,0)),0)</f>
        <v>0</v>
      </c>
      <c r="BW20" s="13">
        <f>Table410[[#This Row],[Feb_2026_F]]-Table410[[#This Row],[Feb_2026_A]]</f>
        <v>0</v>
      </c>
      <c r="BY20" s="13">
        <f>IFERROR(Table410[[#This Row],[Mar_2026_Days_Forecast]]*Table410[[#This Row],[Cost Boolean]]*(VLOOKUP(Table410[[#This Row],[RATE CONCAT]],Tables!I:N,5,0)),0)</f>
        <v>0</v>
      </c>
      <c r="BZ20" s="13">
        <f>IFERROR(Table410[[#This Row],[Mar_2026_Days_Actual]]*Table410[[#This Row],[Cost Boolean]]*(VLOOKUP(Table410[[#This Row],[RATE CONCAT]],Tables!I:N,5,0)),0)</f>
        <v>0</v>
      </c>
      <c r="CA20" s="13">
        <f>Table410[[#This Row],[Mar_2026_F]]-Table410[[#This Row],[Mar_2026_A]]</f>
        <v>0</v>
      </c>
      <c r="CC20" s="13">
        <f>IFERROR(Table410[[#This Row],[Apr_2026_Days_Forecast]]*Table410[[#This Row],[Cost Boolean]]*(VLOOKUP(Table410[[#This Row],[RATE CONCAT]],Tables!I:N,5,0)),0)</f>
        <v>0</v>
      </c>
      <c r="CD20" s="13">
        <f>IFERROR(Table410[[#This Row],[Apr_2026_Days_Actual]]*Table410[[#This Row],[Cost Boolean]]*(VLOOKUP(Table410[[#This Row],[RATE CONCAT]],Tables!I:N,5,0)),0)</f>
        <v>0</v>
      </c>
      <c r="CE20" s="13">
        <f>Table410[[#This Row],[Apr_2026_F]]-Table410[[#This Row],[Apr_2026_A]]</f>
        <v>0</v>
      </c>
      <c r="CG20" s="13">
        <f>IFERROR(Table410[[#This Row],[May_2026_Days_Forecast]] *Table410[[#This Row],[Cost Boolean]]*(VLOOKUP(Table410[[#This Row],[RATE CONCAT]],Tables!I:N,5,0)),0)</f>
        <v>0</v>
      </c>
      <c r="CH20" s="13">
        <f>IFERROR(Table410[[#This Row],[May_2026_Days_Actual]]*Table410[[#This Row],[Cost Boolean]]*(VLOOKUP(Table410[[#This Row],[RATE CONCAT]],Tables!I:N,5,0)),0)</f>
        <v>0</v>
      </c>
      <c r="CI20" s="13">
        <f>Table410[[#This Row],[May_2026_F]]-Table410[[#This Row],[May_2026_A]]</f>
        <v>0</v>
      </c>
      <c r="CK20" s="13">
        <f>IFERROR(Table410[[#This Row],[Jun_2026_Days_Forecast]]*Table410[[#This Row],[Cost Boolean]]*(VLOOKUP(Table410[[#This Row],[RATE CONCAT]],Tables!I:N,5,0)),0)</f>
        <v>0</v>
      </c>
      <c r="CL20" s="13">
        <f>IFERROR(Table410[[#This Row],[Jun_2026_Days_Actual]]*Table410[[#This Row],[Cost Boolean]]*(VLOOKUP(Table410[[#This Row],[RATE CONCAT]],Tables!I:N,5,0)),0)</f>
        <v>0</v>
      </c>
      <c r="CM20" s="13">
        <f>Table410[[#This Row],[Jun_2026_F]]-Table410[[#This Row],[Jun_2026_A]]</f>
        <v>0</v>
      </c>
      <c r="CO20" s="13">
        <f>IFERROR(Table410[[#This Row],[Jul_2026_Days_Forecast]]*Table410[[#This Row],[Cost Boolean]]*(VLOOKUP(Table410[[#This Row],[RATE CONCAT]],Tables!I:N,5,0)),0)</f>
        <v>0</v>
      </c>
      <c r="CP20" s="13">
        <f>IFERROR(Table410[[#This Row],[Jul_2026_Days_Actual]]*Table410[[#This Row],[Cost Boolean]]*(VLOOKUP(Table410[[#This Row],[RATE CONCAT]],Tables!I:N,5,0)),0)</f>
        <v>0</v>
      </c>
      <c r="CQ20" s="13">
        <f>Table410[[#This Row],[Jul_2026_F]]-Table410[[#This Row],[Jul_2026_A]]</f>
        <v>0</v>
      </c>
      <c r="CS20" s="13">
        <f>IFERROR(Table410[[#This Row],[Aug_2026_Days_Forecast]]*Table410[[#This Row],[Cost Boolean]]*(VLOOKUP(Table410[[#This Row],[RATE CONCAT]],Tables!I:N,5,0)),0)</f>
        <v>0</v>
      </c>
      <c r="CT20" s="13">
        <f>IFERROR(Table410[[#This Row],[Aug_2026_Days_Actual]]*Table410[[#This Row],[Cost Boolean]]*(VLOOKUP(Table410[[#This Row],[RATE CONCAT]],Tables!I:N,5,0)),0)</f>
        <v>0</v>
      </c>
      <c r="CU20" s="13">
        <f>Table410[[#This Row],[Aug_2026_F]]-Table410[[#This Row],[Aug_2026_A]]</f>
        <v>0</v>
      </c>
      <c r="CW20" s="13">
        <f>IFERROR(Table410[[#This Row],[Sep_2026_Days_Forecast]]*Table410[[#This Row],[Cost Boolean]]*(VLOOKUP(Table410[[#This Row],[RATE CONCAT]],Tables!I:N,5,0)),0)</f>
        <v>0</v>
      </c>
      <c r="CX20" s="13">
        <f>IFERROR(Table410[[#This Row],[Sep_2026_Days_Actual]]*Table410[[#This Row],[Cost Boolean]]*(VLOOKUP(Table410[[#This Row],[RATE CONCAT]],Tables!I:N,5,0)),0)</f>
        <v>0</v>
      </c>
      <c r="CY20" s="13">
        <f>Table410[[#This Row],[Sep_2026_F]]-Table410[[#This Row],[Sep_2026_A]]</f>
        <v>0</v>
      </c>
      <c r="DA20" s="13">
        <f>IFERROR(Table410[[#This Row],[Oct_2026_Days_Forecast]]*Table410[[#This Row],[Cost Boolean]]*(VLOOKUP(Table410[[#This Row],[RATE CONCAT]],Tables!I:N,5,0)),0)</f>
        <v>0</v>
      </c>
      <c r="DB20" s="13">
        <f>IFERROR(Table410[[#This Row],[Oct_2026_Days_Actual]]*Table410[[#This Row],[Cost Boolean]]*(VLOOKUP(Table410[[#This Row],[RATE CONCAT]],Tables!I:N,5,0)),0)</f>
        <v>0</v>
      </c>
      <c r="DC20" s="13">
        <f>Table410[[#This Row],[Oct_2026_F]]-Table410[[#This Row],[Oct_2026_A]]</f>
        <v>0</v>
      </c>
      <c r="DE20" s="13">
        <f>IFERROR(Table410[[#This Row],[Nov_2026_Days_Forecast]]*Table410[[#This Row],[Cost Boolean]]*(VLOOKUP(Table410[[#This Row],[RATE CONCAT]],Tables!I:N,5,0)),0)</f>
        <v>0</v>
      </c>
      <c r="DF20" s="13">
        <f>IFERROR(Table410[[#This Row],[Nov_2026_Days_Actual]]*Table410[[#This Row],[Cost Boolean]]*(VLOOKUP(Table410[[#This Row],[RATE CONCAT]],Tables!I:N,5,0)),0)</f>
        <v>0</v>
      </c>
      <c r="DG20" s="13">
        <f>Table410[[#This Row],[Nov_2026_F]]-Table410[[#This Row],[Nov_2026_A]]</f>
        <v>0</v>
      </c>
      <c r="DI20" s="13">
        <f>IFERROR(Table410[[#This Row],[Dec_2026_Days_Forecast]]*Table410[[#This Row],[Cost Boolean]]*(VLOOKUP(Table410[[#This Row],[RATE CONCAT]],Tables!I:N,5,0)),0)</f>
        <v>0</v>
      </c>
      <c r="DJ20" s="13">
        <f>IFERROR(Table410[[#This Row],[Dec_2026_Days_Actual]]*Table410[[#This Row],[Cost Boolean]]*(VLOOKUP(Table410[[#This Row],[RATE CONCAT]],Tables!I:N,5,0)),0)</f>
        <v>0</v>
      </c>
      <c r="DK20" s="13">
        <f>Table410[[#This Row],[Dec_2026_F]]-Table410[[#This Row],[Dec_2026_A]]</f>
        <v>0</v>
      </c>
      <c r="DN20" s="13">
        <f>IFERROR(Table410[[#This Row],[Jan_2027_Days_Forecast]]*Table410[[#This Row],[Cost Boolean]]*(VLOOKUP(Table410[[#This Row],[RATE CONCAT]],Tables!I:N,6,0)),0)</f>
        <v>0</v>
      </c>
      <c r="DP20" s="13">
        <f>Table410[[#This Row],[Jan_2027_F]]-Table410[[#This Row],[Jan_2027_A]]</f>
        <v>0</v>
      </c>
      <c r="DQ20" s="13">
        <f>IFERROR(Table410[[#This Row],[Feb_2027_Days_Forecast]]*Table410[[#This Row],[Cost Boolean]]*(VLOOKUP(Table410[[#This Row],[RATE CONCAT]],Tables!I:N,6,0)),0)</f>
        <v>0</v>
      </c>
      <c r="DS20" s="13">
        <f>Table410[[#This Row],[Feb_2027_F]]-Table410[[#This Row],[Feb_2027_A]]</f>
        <v>0</v>
      </c>
      <c r="DT20" s="13">
        <f>IFERROR(Table410[[#This Row],[Mar_2027_Days_Forecast]]*Table410[[#This Row],[Cost Boolean]]*(VLOOKUP(Table410[[#This Row],[RATE CONCAT]],Tables!I:N,6,0)),0)</f>
        <v>0</v>
      </c>
      <c r="DV20" s="13">
        <f>Table410[[#This Row],[Mar_2027_F]]-Table410[[#This Row],[Mar_2027_A]]</f>
        <v>0</v>
      </c>
      <c r="DW20" s="13">
        <f>IFERROR(Table410[[#This Row],[Apr_2027_Days_Forecast]]*Table410[[#This Row],[Cost Boolean]]*(VLOOKUP(Table410[[#This Row],[RATE CONCAT]],Tables!I:N,6,0)),0)</f>
        <v>0</v>
      </c>
      <c r="DY20" s="13">
        <f>Table410[[#This Row],[Apr_2027_F]]-Table410[[#This Row],[Apr_2027_A]]</f>
        <v>0</v>
      </c>
      <c r="DZ20" s="13">
        <f>IFERROR(Table410[[#This Row],[May_2027_Days_Forecast]]*Table410[[#This Row],[Cost Boolean]]*(VLOOKUP(Table410[[#This Row],[RATE CONCAT]],Tables!I:N,6,0)),0)</f>
        <v>0</v>
      </c>
      <c r="EB20" s="13">
        <f>Table410[[#This Row],[May_2027_F]]-Table410[[#This Row],[May_2027_A]]</f>
        <v>0</v>
      </c>
      <c r="EC20" s="13">
        <f>IFERROR(Table410[[#This Row],[Jun_2027_Days_Forecast]]*Table410[[#This Row],[Cost Boolean]]*(VLOOKUP(Table410[[#This Row],[RATE CONCAT]],Tables!I:N,6,0)),0)</f>
        <v>0</v>
      </c>
      <c r="EE20" s="13">
        <f>Table410[[#This Row],[Jun_2027_F]]-Table410[[#This Row],[Jun_2027_A]]</f>
        <v>0</v>
      </c>
      <c r="EF20" s="13">
        <f>IFERROR(Table410[[#This Row],[Jul_2027_Days_Forecast]]*Table410[[#This Row],[Cost Boolean]]*(VLOOKUP(Table410[[#This Row],[RATE CONCAT]],Tables!I:N,6,0)),0)</f>
        <v>0</v>
      </c>
      <c r="EH20" s="13">
        <f>Table410[[#This Row],[Jul_2027_F]]-Table410[[#This Row],[Jul_2027_A]]</f>
        <v>0</v>
      </c>
      <c r="EI20" s="13">
        <f>IFERROR(Table410[[#This Row],[Aug_2027_Days_Forecast]]*Table410[[#This Row],[Cost Boolean]]*(VLOOKUP(Table410[[#This Row],[RATE CONCAT]],Tables!I:N,6,0)),0)</f>
        <v>0</v>
      </c>
      <c r="EK20" s="13">
        <f>Table410[[#This Row],[Aug_2027_F]]-Table410[[#This Row],[Aug_2027_A]]</f>
        <v>0</v>
      </c>
      <c r="EL20" s="13">
        <f>IFERROR(Table410[[#This Row],[Sep_2027_Days_Forecast]]*Table410[[#This Row],[Cost Boolean]]*(VLOOKUP(Table410[[#This Row],[RATE CONCAT]],Tables!I:N,6,0)),0)</f>
        <v>0</v>
      </c>
      <c r="EN20" s="13">
        <f>Table410[[#This Row],[Sep_2027_F]]-Table410[[#This Row],[Sep_2027_A]]</f>
        <v>0</v>
      </c>
      <c r="EO20" s="13">
        <f>IFERROR(Table410[[#This Row],[Oct_2027_Days_Forecast]]*Table410[[#This Row],[Cost Boolean]]*(VLOOKUP(Table410[[#This Row],[RATE CONCAT]],Tables!I:N,6,0)),0)</f>
        <v>0</v>
      </c>
      <c r="EQ20" s="13">
        <f>Table410[[#This Row],[Oct_2027_F]]-Table410[[#This Row],[Oct_2027_A]]</f>
        <v>0</v>
      </c>
      <c r="ER20" s="13">
        <f>IFERROR(Table410[[#This Row],[Nov_2027_Days_Forecast]]*Table410[[#This Row],[Cost Boolean]]*(VLOOKUP(Table410[[#This Row],[RATE CONCAT]],Tables!I:N,6,0)),0)</f>
        <v>0</v>
      </c>
      <c r="ET20" s="13">
        <f>Table410[[#This Row],[Nov_2027_F]]-Table410[[#This Row],[Nov_2027_A]]</f>
        <v>0</v>
      </c>
      <c r="EU20" s="13">
        <f>IFERROR(Table410[[#This Row],[Dec_2027_Days_Forecast]]*Table410[[#This Row],[Cost Boolean]]*(VLOOKUP(Table410[[#This Row],[RATE CONCAT]],Tables!I:N,6,0)),0)</f>
        <v>0</v>
      </c>
      <c r="EW20" s="13">
        <f>Table410[[#This Row],[Dec_2027_F]]-Table410[[#This Row],[Dec_2027_A]]</f>
        <v>0</v>
      </c>
    </row>
    <row r="21" spans="1:153" s="13" customFormat="1" ht="15" customHeight="1">
      <c r="A21" s="13" t="s">
        <v>274</v>
      </c>
      <c r="B21" s="13" t="s">
        <v>48</v>
      </c>
      <c r="C21" s="13" t="s">
        <v>219</v>
      </c>
      <c r="D21" s="13" t="s">
        <v>275</v>
      </c>
      <c r="E21" s="13" t="s">
        <v>221</v>
      </c>
      <c r="G21" s="13" t="s">
        <v>276</v>
      </c>
      <c r="H21" s="13">
        <v>4</v>
      </c>
      <c r="J21" s="13" t="s">
        <v>277</v>
      </c>
      <c r="K21" s="13" t="s">
        <v>224</v>
      </c>
      <c r="L21" s="13">
        <v>0</v>
      </c>
      <c r="M21" s="13" t="s">
        <v>278</v>
      </c>
      <c r="N21" s="13" t="s">
        <v>279</v>
      </c>
      <c r="O21" s="13" t="s">
        <v>260</v>
      </c>
      <c r="P21" s="13" t="s">
        <v>53</v>
      </c>
      <c r="Q21" s="13" t="s">
        <v>228</v>
      </c>
      <c r="R21" s="193">
        <v>46023</v>
      </c>
      <c r="S21" s="193">
        <v>46387</v>
      </c>
      <c r="T21" s="193">
        <v>46023</v>
      </c>
      <c r="U21" s="193">
        <v>46387</v>
      </c>
      <c r="V21" s="193">
        <v>46023</v>
      </c>
      <c r="W21" s="193">
        <v>46387</v>
      </c>
      <c r="Y21" s="13" t="str">
        <f>CONCATENATE(Table410[[#This Row],[JG]],Table410[[#This Row],[Country]],Table410[[#This Row],[Resource Provider]])</f>
        <v>4PhilippinesShell Business</v>
      </c>
      <c r="Z21" s="13">
        <f>VLOOKUP(Table410[[#This Row],[RATE CONCAT]],Tables!I:N,5,0)</f>
        <v>314</v>
      </c>
      <c r="AA21" s="52"/>
      <c r="AB21" s="130"/>
      <c r="AC21" s="130">
        <v>5</v>
      </c>
      <c r="AD21" s="130">
        <v>5</v>
      </c>
      <c r="AE21" s="130">
        <v>5</v>
      </c>
      <c r="AF21" s="130">
        <v>5</v>
      </c>
      <c r="AG21" s="130">
        <v>4</v>
      </c>
      <c r="AH21" s="130">
        <v>5</v>
      </c>
      <c r="AI21" s="130">
        <v>5</v>
      </c>
      <c r="AJ21" s="130">
        <v>5</v>
      </c>
      <c r="AK21" s="130">
        <v>5</v>
      </c>
      <c r="AL21" s="130"/>
      <c r="AM21" s="130"/>
      <c r="AN21" s="176">
        <f>IFERROR(AVERAGE(Table410[[#This Row],[Jan_2026_Days_Forecast]:[Dec_2026_Days_Forecast]]),0)/19</f>
        <v>0.25730994152046788</v>
      </c>
      <c r="AO21" s="176">
        <f>IFERROR(AVERAGE(Table410[[#This Row],[Jan_2026_Days_Actual]:[Dec_2026_Days_Actual]]),0)/19</f>
        <v>0.25730994152046788</v>
      </c>
      <c r="AP21" s="130"/>
      <c r="AQ21" s="130">
        <v>5</v>
      </c>
      <c r="AR21" s="130">
        <v>5</v>
      </c>
      <c r="AS21" s="130">
        <v>5</v>
      </c>
      <c r="AT21" s="130">
        <v>5</v>
      </c>
      <c r="AU21" s="130">
        <v>4</v>
      </c>
      <c r="AV21" s="130">
        <v>5</v>
      </c>
      <c r="AW21" s="130">
        <v>5</v>
      </c>
      <c r="AX21" s="130">
        <v>5</v>
      </c>
      <c r="AY21" s="130">
        <v>5</v>
      </c>
      <c r="AZ21" s="130"/>
      <c r="BA21" s="130"/>
      <c r="BB21" s="176">
        <f>IFERROR(AVERAGE(Table410[[#This Row],[Jan_2027_Days_Forecast]:[Dec_2027_Days_Forecast]]),0)</f>
        <v>0</v>
      </c>
      <c r="BC21" s="127"/>
      <c r="BD21" s="127"/>
      <c r="BE21" s="127"/>
      <c r="BF21" s="127"/>
      <c r="BG21" s="127"/>
      <c r="BH21" s="127"/>
      <c r="BI21" s="127"/>
      <c r="BJ21" s="127"/>
      <c r="BK21" s="127"/>
      <c r="BL21" s="127"/>
      <c r="BM21" s="127"/>
      <c r="BN21" s="127"/>
      <c r="BO21" s="176"/>
      <c r="BP21" s="176"/>
      <c r="BQ21" s="13">
        <f>IFERROR(Table410[[#This Row],[Jan_2026_Days_Forecast]]*Table410[[#This Row],[Cost Boolean]]*(VLOOKUP(Table410[[#This Row],[RATE CONCAT]],Tables!I:N,5,0)),0)</f>
        <v>0</v>
      </c>
      <c r="BR21" s="13">
        <f>IFERROR(Table410[[#This Row],[Jan_2026_Days_Actual]]*Table410[[#This Row],[Cost Boolean]]*(VLOOKUP(Table410[[#This Row],[RATE CONCAT]],Tables!I:N,5,0)),0)</f>
        <v>0</v>
      </c>
      <c r="BS21" s="13">
        <f>Table410[[#This Row],[Jan_2026_F]]-Table410[[#This Row],[Jan_2026_A]]</f>
        <v>0</v>
      </c>
      <c r="BU21" s="13">
        <f>IFERROR(Table410[[#This Row],[Feb_2026_Days_Forecast]]*Table410[[#This Row],[Cost Boolean]]*(VLOOKUP(Table410[[#This Row],[RATE CONCAT]],Tables!I:N,5,0)),0)</f>
        <v>0</v>
      </c>
      <c r="BW21" s="13">
        <f>Table410[[#This Row],[Feb_2026_F]]-Table410[[#This Row],[Feb_2026_A]]</f>
        <v>0</v>
      </c>
      <c r="BY21" s="13">
        <f>IFERROR(Table410[[#This Row],[Mar_2026_Days_Forecast]]*Table410[[#This Row],[Cost Boolean]]*(VLOOKUP(Table410[[#This Row],[RATE CONCAT]],Tables!I:N,5,0)),0)</f>
        <v>0</v>
      </c>
      <c r="CA21" s="13">
        <f>Table410[[#This Row],[Mar_2026_F]]-Table410[[#This Row],[Mar_2026_A]]</f>
        <v>0</v>
      </c>
      <c r="CC21" s="13">
        <f>IFERROR(Table410[[#This Row],[Apr_2026_Days_Forecast]]*Table410[[#This Row],[Cost Boolean]]*(VLOOKUP(Table410[[#This Row],[RATE CONCAT]],Tables!I:N,5,0)),0)</f>
        <v>0</v>
      </c>
      <c r="CE21" s="13">
        <f>Table410[[#This Row],[Apr_2026_F]]-Table410[[#This Row],[Apr_2026_A]]</f>
        <v>0</v>
      </c>
      <c r="CG21" s="13">
        <f>IFERROR(Table410[[#This Row],[May_2026_Days_Forecast]] *Table410[[#This Row],[Cost Boolean]]*(VLOOKUP(Table410[[#This Row],[RATE CONCAT]],Tables!I:N,5,0)),0)</f>
        <v>0</v>
      </c>
      <c r="CH21" s="13">
        <f>IFERROR(Table410[[#This Row],[May_2026_Days_Actual]]*Table410[[#This Row],[Cost Boolean]]*(VLOOKUP(Table410[[#This Row],[RATE CONCAT]],Tables!I:N,5,0)),0)</f>
        <v>0</v>
      </c>
      <c r="CI21" s="13">
        <f>Table410[[#This Row],[May_2026_F]]-Table410[[#This Row],[May_2026_A]]</f>
        <v>0</v>
      </c>
      <c r="CK21" s="13">
        <f>IFERROR(Table410[[#This Row],[Jun_2026_Days_Forecast]]*Table410[[#This Row],[Cost Boolean]]*(VLOOKUP(Table410[[#This Row],[RATE CONCAT]],Tables!I:N,5,0)),0)</f>
        <v>0</v>
      </c>
      <c r="CL21" s="13">
        <f>IFERROR(Table410[[#This Row],[Jun_2026_Days_Actual]]*Table410[[#This Row],[Cost Boolean]]*(VLOOKUP(Table410[[#This Row],[RATE CONCAT]],Tables!I:N,5,0)),0)</f>
        <v>0</v>
      </c>
      <c r="CM21" s="13">
        <f>Table410[[#This Row],[Jun_2026_F]]-Table410[[#This Row],[Jun_2026_A]]</f>
        <v>0</v>
      </c>
      <c r="CO21" s="13">
        <f>IFERROR(Table410[[#This Row],[Jul_2026_Days_Forecast]]*Table410[[#This Row],[Cost Boolean]]*(VLOOKUP(Table410[[#This Row],[RATE CONCAT]],Tables!I:N,5,0)),0)</f>
        <v>0</v>
      </c>
      <c r="CP21" s="13">
        <f>IFERROR(Table410[[#This Row],[Jul_2026_Days_Actual]]*Table410[[#This Row],[Cost Boolean]]*(VLOOKUP(Table410[[#This Row],[RATE CONCAT]],Tables!I:N,5,0)),0)</f>
        <v>0</v>
      </c>
      <c r="CQ21" s="13">
        <f>Table410[[#This Row],[Jul_2026_F]]-Table410[[#This Row],[Jul_2026_A]]</f>
        <v>0</v>
      </c>
      <c r="CS21" s="13">
        <f>IFERROR(Table410[[#This Row],[Aug_2026_Days_Forecast]]*Table410[[#This Row],[Cost Boolean]]*(VLOOKUP(Table410[[#This Row],[RATE CONCAT]],Tables!I:N,5,0)),0)</f>
        <v>0</v>
      </c>
      <c r="CT21" s="13">
        <f>IFERROR(Table410[[#This Row],[Aug_2026_Days_Actual]]*Table410[[#This Row],[Cost Boolean]]*(VLOOKUP(Table410[[#This Row],[RATE CONCAT]],Tables!I:N,5,0)),0)</f>
        <v>0</v>
      </c>
      <c r="CU21" s="13">
        <f>Table410[[#This Row],[Aug_2026_F]]-Table410[[#This Row],[Aug_2026_A]]</f>
        <v>0</v>
      </c>
      <c r="CW21" s="13">
        <f>IFERROR(Table410[[#This Row],[Sep_2026_Days_Forecast]]*Table410[[#This Row],[Cost Boolean]]*(VLOOKUP(Table410[[#This Row],[RATE CONCAT]],Tables!I:N,5,0)),0)</f>
        <v>0</v>
      </c>
      <c r="CX21" s="13">
        <f>IFERROR(Table410[[#This Row],[Sep_2026_Days_Actual]]*Table410[[#This Row],[Cost Boolean]]*(VLOOKUP(Table410[[#This Row],[RATE CONCAT]],Tables!I:N,5,0)),0)</f>
        <v>0</v>
      </c>
      <c r="CY21" s="13">
        <f>Table410[[#This Row],[Sep_2026_F]]-Table410[[#This Row],[Sep_2026_A]]</f>
        <v>0</v>
      </c>
      <c r="DA21" s="13">
        <f>IFERROR(Table410[[#This Row],[Oct_2026_Days_Forecast]]*Table410[[#This Row],[Cost Boolean]]*(VLOOKUP(Table410[[#This Row],[RATE CONCAT]],Tables!I:N,5,0)),0)</f>
        <v>0</v>
      </c>
      <c r="DB21" s="13">
        <f>IFERROR(Table410[[#This Row],[Oct_2026_Days_Actual]]*Table410[[#This Row],[Cost Boolean]]*(VLOOKUP(Table410[[#This Row],[RATE CONCAT]],Tables!I:N,5,0)),0)</f>
        <v>0</v>
      </c>
      <c r="DC21" s="13">
        <f>Table410[[#This Row],[Oct_2026_F]]-Table410[[#This Row],[Oct_2026_A]]</f>
        <v>0</v>
      </c>
      <c r="DE21" s="13">
        <f>IFERROR(Table410[[#This Row],[Nov_2026_Days_Forecast]]*Table410[[#This Row],[Cost Boolean]]*(VLOOKUP(Table410[[#This Row],[RATE CONCAT]],Tables!I:N,5,0)),0)</f>
        <v>0</v>
      </c>
      <c r="DF21" s="13">
        <f>IFERROR(Table410[[#This Row],[Nov_2026_Days_Actual]]*Table410[[#This Row],[Cost Boolean]]*(VLOOKUP(Table410[[#This Row],[RATE CONCAT]],Tables!I:N,5,0)),0)</f>
        <v>0</v>
      </c>
      <c r="DG21" s="13">
        <f>Table410[[#This Row],[Nov_2026_F]]-Table410[[#This Row],[Nov_2026_A]]</f>
        <v>0</v>
      </c>
      <c r="DI21" s="13">
        <f>IFERROR(Table410[[#This Row],[Dec_2026_Days_Forecast]]*Table410[[#This Row],[Cost Boolean]]*(VLOOKUP(Table410[[#This Row],[RATE CONCAT]],Tables!I:N,5,0)),0)</f>
        <v>0</v>
      </c>
      <c r="DJ21" s="13">
        <f>IFERROR(Table410[[#This Row],[Dec_2026_Days_Actual]]*Table410[[#This Row],[Cost Boolean]]*(VLOOKUP(Table410[[#This Row],[RATE CONCAT]],Tables!I:N,5,0)),0)</f>
        <v>0</v>
      </c>
      <c r="DK21" s="13">
        <f>Table410[[#This Row],[Dec_2026_F]]-Table410[[#This Row],[Dec_2026_A]]</f>
        <v>0</v>
      </c>
      <c r="DN21" s="13">
        <f>IFERROR(Table410[[#This Row],[Jan_2027_Days_Forecast]]*Table410[[#This Row],[Cost Boolean]]*(VLOOKUP(Table410[[#This Row],[RATE CONCAT]],Tables!I:N,6,0)),0)</f>
        <v>0</v>
      </c>
      <c r="DP21" s="13">
        <f>Table410[[#This Row],[Jan_2027_F]]-Table410[[#This Row],[Jan_2027_A]]</f>
        <v>0</v>
      </c>
      <c r="DQ21" s="13">
        <f>IFERROR(Table410[[#This Row],[Feb_2027_Days_Forecast]]*Table410[[#This Row],[Cost Boolean]]*(VLOOKUP(Table410[[#This Row],[RATE CONCAT]],Tables!I:N,6,0)),0)</f>
        <v>0</v>
      </c>
      <c r="DS21" s="13">
        <f>Table410[[#This Row],[Feb_2027_F]]-Table410[[#This Row],[Feb_2027_A]]</f>
        <v>0</v>
      </c>
      <c r="DT21" s="13">
        <f>IFERROR(Table410[[#This Row],[Mar_2027_Days_Forecast]]*Table410[[#This Row],[Cost Boolean]]*(VLOOKUP(Table410[[#This Row],[RATE CONCAT]],Tables!I:N,6,0)),0)</f>
        <v>0</v>
      </c>
      <c r="DV21" s="13">
        <f>Table410[[#This Row],[Mar_2027_F]]-Table410[[#This Row],[Mar_2027_A]]</f>
        <v>0</v>
      </c>
      <c r="DW21" s="13">
        <f>IFERROR(Table410[[#This Row],[Apr_2027_Days_Forecast]]*Table410[[#This Row],[Cost Boolean]]*(VLOOKUP(Table410[[#This Row],[RATE CONCAT]],Tables!I:N,6,0)),0)</f>
        <v>0</v>
      </c>
      <c r="DY21" s="13">
        <f>Table410[[#This Row],[Apr_2027_F]]-Table410[[#This Row],[Apr_2027_A]]</f>
        <v>0</v>
      </c>
      <c r="DZ21" s="13">
        <f>IFERROR(Table410[[#This Row],[May_2027_Days_Forecast]]*Table410[[#This Row],[Cost Boolean]]*(VLOOKUP(Table410[[#This Row],[RATE CONCAT]],Tables!I:N,6,0)),0)</f>
        <v>0</v>
      </c>
      <c r="EB21" s="13">
        <f>Table410[[#This Row],[May_2027_F]]-Table410[[#This Row],[May_2027_A]]</f>
        <v>0</v>
      </c>
      <c r="EC21" s="13">
        <f>IFERROR(Table410[[#This Row],[Jun_2027_Days_Forecast]]*Table410[[#This Row],[Cost Boolean]]*(VLOOKUP(Table410[[#This Row],[RATE CONCAT]],Tables!I:N,6,0)),0)</f>
        <v>0</v>
      </c>
      <c r="EE21" s="13">
        <f>Table410[[#This Row],[Jun_2027_F]]-Table410[[#This Row],[Jun_2027_A]]</f>
        <v>0</v>
      </c>
      <c r="EF21" s="13">
        <f>IFERROR(Table410[[#This Row],[Jul_2027_Days_Forecast]]*Table410[[#This Row],[Cost Boolean]]*(VLOOKUP(Table410[[#This Row],[RATE CONCAT]],Tables!I:N,6,0)),0)</f>
        <v>0</v>
      </c>
      <c r="EH21" s="13">
        <f>Table410[[#This Row],[Jul_2027_F]]-Table410[[#This Row],[Jul_2027_A]]</f>
        <v>0</v>
      </c>
      <c r="EI21" s="13">
        <f>IFERROR(Table410[[#This Row],[Aug_2027_Days_Forecast]]*Table410[[#This Row],[Cost Boolean]]*(VLOOKUP(Table410[[#This Row],[RATE CONCAT]],Tables!I:N,6,0)),0)</f>
        <v>0</v>
      </c>
      <c r="EK21" s="13">
        <f>Table410[[#This Row],[Aug_2027_F]]-Table410[[#This Row],[Aug_2027_A]]</f>
        <v>0</v>
      </c>
      <c r="EL21" s="13">
        <f>IFERROR(Table410[[#This Row],[Sep_2027_Days_Forecast]]*Table410[[#This Row],[Cost Boolean]]*(VLOOKUP(Table410[[#This Row],[RATE CONCAT]],Tables!I:N,6,0)),0)</f>
        <v>0</v>
      </c>
      <c r="EN21" s="13">
        <f>Table410[[#This Row],[Sep_2027_F]]-Table410[[#This Row],[Sep_2027_A]]</f>
        <v>0</v>
      </c>
      <c r="EO21" s="13">
        <f>IFERROR(Table410[[#This Row],[Oct_2027_Days_Forecast]]*Table410[[#This Row],[Cost Boolean]]*(VLOOKUP(Table410[[#This Row],[RATE CONCAT]],Tables!I:N,6,0)),0)</f>
        <v>0</v>
      </c>
      <c r="EQ21" s="13">
        <f>Table410[[#This Row],[Oct_2027_F]]-Table410[[#This Row],[Oct_2027_A]]</f>
        <v>0</v>
      </c>
      <c r="ER21" s="13">
        <f>IFERROR(Table410[[#This Row],[Nov_2027_Days_Forecast]]*Table410[[#This Row],[Cost Boolean]]*(VLOOKUP(Table410[[#This Row],[RATE CONCAT]],Tables!I:N,6,0)),0)</f>
        <v>0</v>
      </c>
      <c r="ET21" s="13">
        <f>Table410[[#This Row],[Nov_2027_F]]-Table410[[#This Row],[Nov_2027_A]]</f>
        <v>0</v>
      </c>
      <c r="EU21" s="13">
        <f>IFERROR(Table410[[#This Row],[Dec_2027_Days_Forecast]]*Table410[[#This Row],[Cost Boolean]]*(VLOOKUP(Table410[[#This Row],[RATE CONCAT]],Tables!I:N,6,0)),0)</f>
        <v>0</v>
      </c>
      <c r="EW21" s="13">
        <f>Table410[[#This Row],[Dec_2027_F]]-Table410[[#This Row],[Dec_2027_A]]</f>
        <v>0</v>
      </c>
    </row>
    <row r="22" spans="1:153" s="13" customFormat="1" ht="15" customHeight="1">
      <c r="A22" s="13" t="s">
        <v>280</v>
      </c>
      <c r="B22" s="13" t="s">
        <v>48</v>
      </c>
      <c r="C22" s="13" t="s">
        <v>219</v>
      </c>
      <c r="D22" s="13" t="s">
        <v>281</v>
      </c>
      <c r="E22" s="13" t="s">
        <v>221</v>
      </c>
      <c r="G22" s="13" t="s">
        <v>276</v>
      </c>
      <c r="H22" s="13">
        <v>4</v>
      </c>
      <c r="J22" s="13" t="s">
        <v>282</v>
      </c>
      <c r="K22" s="13" t="s">
        <v>224</v>
      </c>
      <c r="L22" s="13">
        <v>0</v>
      </c>
      <c r="M22" s="13" t="s">
        <v>278</v>
      </c>
      <c r="N22" s="13" t="s">
        <v>283</v>
      </c>
      <c r="O22" s="13" t="s">
        <v>260</v>
      </c>
      <c r="P22" s="13" t="s">
        <v>53</v>
      </c>
      <c r="Q22" s="13" t="s">
        <v>228</v>
      </c>
      <c r="R22" s="193">
        <v>46023</v>
      </c>
      <c r="S22" s="193">
        <v>46387</v>
      </c>
      <c r="T22" s="193">
        <v>46023</v>
      </c>
      <c r="U22" s="193">
        <v>46387</v>
      </c>
      <c r="V22" s="193">
        <v>46023</v>
      </c>
      <c r="W22" s="193">
        <v>46387</v>
      </c>
      <c r="Y22" s="13" t="str">
        <f>CONCATENATE(Table410[[#This Row],[JG]],Table410[[#This Row],[Country]],Table410[[#This Row],[Resource Provider]])</f>
        <v>4PhilippinesShell Business</v>
      </c>
      <c r="Z22" s="13">
        <f>VLOOKUP(Table410[[#This Row],[RATE CONCAT]],Tables!I:N,5,0)</f>
        <v>314</v>
      </c>
      <c r="AA22" s="52"/>
      <c r="AB22" s="130"/>
      <c r="AC22" s="130">
        <v>5</v>
      </c>
      <c r="AD22" s="130">
        <v>5</v>
      </c>
      <c r="AE22" s="130">
        <v>5</v>
      </c>
      <c r="AF22" s="130">
        <v>5</v>
      </c>
      <c r="AG22" s="130">
        <v>4</v>
      </c>
      <c r="AH22" s="130">
        <v>5</v>
      </c>
      <c r="AI22" s="130">
        <v>5</v>
      </c>
      <c r="AJ22" s="130">
        <v>5</v>
      </c>
      <c r="AK22" s="130">
        <v>5</v>
      </c>
      <c r="AL22" s="130"/>
      <c r="AM22" s="130"/>
      <c r="AN22" s="176">
        <f>IFERROR(AVERAGE(Table410[[#This Row],[Jan_2026_Days_Forecast]:[Dec_2026_Days_Forecast]]),0)/19</f>
        <v>0.25730994152046788</v>
      </c>
      <c r="AO22" s="176">
        <f>IFERROR(AVERAGE(Table410[[#This Row],[Jan_2026_Days_Actual]:[Dec_2026_Days_Actual]]),0)/19</f>
        <v>0.25730994152046788</v>
      </c>
      <c r="AP22" s="130"/>
      <c r="AQ22" s="130">
        <v>5</v>
      </c>
      <c r="AR22" s="130">
        <v>5</v>
      </c>
      <c r="AS22" s="130">
        <v>5</v>
      </c>
      <c r="AT22" s="130">
        <v>5</v>
      </c>
      <c r="AU22" s="130">
        <v>4</v>
      </c>
      <c r="AV22" s="130">
        <v>5</v>
      </c>
      <c r="AW22" s="130">
        <v>5</v>
      </c>
      <c r="AX22" s="130">
        <v>5</v>
      </c>
      <c r="AY22" s="130">
        <v>5</v>
      </c>
      <c r="AZ22" s="130"/>
      <c r="BA22" s="130"/>
      <c r="BB22" s="176">
        <f>IFERROR(AVERAGE(Table410[[#This Row],[Jan_2027_Days_Forecast]:[Dec_2027_Days_Forecast]]),0)</f>
        <v>0</v>
      </c>
      <c r="BC22" s="127"/>
      <c r="BD22" s="127"/>
      <c r="BE22" s="127"/>
      <c r="BF22" s="127"/>
      <c r="BG22" s="127"/>
      <c r="BH22" s="127"/>
      <c r="BI22" s="127"/>
      <c r="BJ22" s="127"/>
      <c r="BK22" s="127"/>
      <c r="BL22" s="127"/>
      <c r="BM22" s="127"/>
      <c r="BN22" s="127"/>
      <c r="BO22" s="176"/>
      <c r="BP22" s="176"/>
      <c r="BQ22" s="13">
        <f>IFERROR(Table410[[#This Row],[Jan_2026_Days_Forecast]]*Table410[[#This Row],[Cost Boolean]]*(VLOOKUP(Table410[[#This Row],[RATE CONCAT]],Tables!I:N,5,0)),0)</f>
        <v>0</v>
      </c>
      <c r="BR22" s="13">
        <f>IFERROR(Table410[[#This Row],[Jan_2026_Days_Actual]]*Table410[[#This Row],[Cost Boolean]]*(VLOOKUP(Table410[[#This Row],[RATE CONCAT]],Tables!I:N,5,0)),0)</f>
        <v>0</v>
      </c>
      <c r="BS22" s="13">
        <f>Table410[[#This Row],[Jan_2026_F]]-Table410[[#This Row],[Jan_2026_A]]</f>
        <v>0</v>
      </c>
      <c r="BU22" s="13">
        <f>IFERROR(Table410[[#This Row],[Feb_2026_Days_Forecast]]*Table410[[#This Row],[Cost Boolean]]*(VLOOKUP(Table410[[#This Row],[RATE CONCAT]],Tables!I:N,5,0)),0)</f>
        <v>0</v>
      </c>
      <c r="BW22" s="13">
        <f>Table410[[#This Row],[Feb_2026_F]]-Table410[[#This Row],[Feb_2026_A]]</f>
        <v>0</v>
      </c>
      <c r="BY22" s="13">
        <f>IFERROR(Table410[[#This Row],[Mar_2026_Days_Forecast]]*Table410[[#This Row],[Cost Boolean]]*(VLOOKUP(Table410[[#This Row],[RATE CONCAT]],Tables!I:N,5,0)),0)</f>
        <v>0</v>
      </c>
      <c r="CA22" s="13">
        <f>Table410[[#This Row],[Mar_2026_F]]-Table410[[#This Row],[Mar_2026_A]]</f>
        <v>0</v>
      </c>
      <c r="CC22" s="13">
        <f>IFERROR(Table410[[#This Row],[Apr_2026_Days_Forecast]]*Table410[[#This Row],[Cost Boolean]]*(VLOOKUP(Table410[[#This Row],[RATE CONCAT]],Tables!I:N,5,0)),0)</f>
        <v>0</v>
      </c>
      <c r="CE22" s="13">
        <f>Table410[[#This Row],[Apr_2026_F]]-Table410[[#This Row],[Apr_2026_A]]</f>
        <v>0</v>
      </c>
      <c r="CG22" s="13">
        <f>IFERROR(Table410[[#This Row],[May_2026_Days_Forecast]] *Table410[[#This Row],[Cost Boolean]]*(VLOOKUP(Table410[[#This Row],[RATE CONCAT]],Tables!I:N,5,0)),0)</f>
        <v>0</v>
      </c>
      <c r="CI22" s="13">
        <f>Table410[[#This Row],[May_2026_F]]-Table410[[#This Row],[May_2026_A]]</f>
        <v>0</v>
      </c>
      <c r="CK22" s="13">
        <f>IFERROR(Table410[[#This Row],[Jun_2026_Days_Forecast]]*Table410[[#This Row],[Cost Boolean]]*(VLOOKUP(Table410[[#This Row],[RATE CONCAT]],Tables!I:N,5,0)),0)</f>
        <v>0</v>
      </c>
      <c r="CL22" s="13">
        <f>IFERROR(Table410[[#This Row],[Jun_2026_Days_Actual]]*Table410[[#This Row],[Cost Boolean]]*(VLOOKUP(Table410[[#This Row],[RATE CONCAT]],Tables!I:N,5,0)),0)</f>
        <v>0</v>
      </c>
      <c r="CM22" s="13">
        <f>Table410[[#This Row],[Jun_2026_F]]-Table410[[#This Row],[Jun_2026_A]]</f>
        <v>0</v>
      </c>
      <c r="CO22" s="13">
        <f>IFERROR(Table410[[#This Row],[Jul_2026_Days_Forecast]]*Table410[[#This Row],[Cost Boolean]]*(VLOOKUP(Table410[[#This Row],[RATE CONCAT]],Tables!I:N,5,0)),0)</f>
        <v>0</v>
      </c>
      <c r="CP22" s="13">
        <f>IFERROR(Table410[[#This Row],[Jul_2026_Days_Actual]]*Table410[[#This Row],[Cost Boolean]]*(VLOOKUP(Table410[[#This Row],[RATE CONCAT]],Tables!I:N,5,0)),0)</f>
        <v>0</v>
      </c>
      <c r="CQ22" s="13">
        <f>Table410[[#This Row],[Jul_2026_F]]-Table410[[#This Row],[Jul_2026_A]]</f>
        <v>0</v>
      </c>
      <c r="CS22" s="13">
        <f>IFERROR(Table410[[#This Row],[Aug_2026_Days_Forecast]]*Table410[[#This Row],[Cost Boolean]]*(VLOOKUP(Table410[[#This Row],[RATE CONCAT]],Tables!I:N,5,0)),0)</f>
        <v>0</v>
      </c>
      <c r="CT22" s="13">
        <f>IFERROR(Table410[[#This Row],[Aug_2026_Days_Actual]]*Table410[[#This Row],[Cost Boolean]]*(VLOOKUP(Table410[[#This Row],[RATE CONCAT]],Tables!I:N,5,0)),0)</f>
        <v>0</v>
      </c>
      <c r="CU22" s="13">
        <f>Table410[[#This Row],[Aug_2026_F]]-Table410[[#This Row],[Aug_2026_A]]</f>
        <v>0</v>
      </c>
      <c r="CW22" s="13">
        <f>IFERROR(Table410[[#This Row],[Sep_2026_Days_Forecast]]*Table410[[#This Row],[Cost Boolean]]*(VLOOKUP(Table410[[#This Row],[RATE CONCAT]],Tables!I:N,5,0)),0)</f>
        <v>0</v>
      </c>
      <c r="CX22" s="13">
        <f>IFERROR(Table410[[#This Row],[Sep_2026_Days_Actual]]*Table410[[#This Row],[Cost Boolean]]*(VLOOKUP(Table410[[#This Row],[RATE CONCAT]],Tables!I:N,5,0)),0)</f>
        <v>0</v>
      </c>
      <c r="CY22" s="13">
        <f>Table410[[#This Row],[Sep_2026_F]]-Table410[[#This Row],[Sep_2026_A]]</f>
        <v>0</v>
      </c>
      <c r="DA22" s="13">
        <f>IFERROR(Table410[[#This Row],[Oct_2026_Days_Forecast]]*Table410[[#This Row],[Cost Boolean]]*(VLOOKUP(Table410[[#This Row],[RATE CONCAT]],Tables!I:N,5,0)),0)</f>
        <v>0</v>
      </c>
      <c r="DB22" s="13">
        <f>IFERROR(Table410[[#This Row],[Oct_2026_Days_Actual]]*Table410[[#This Row],[Cost Boolean]]*(VLOOKUP(Table410[[#This Row],[RATE CONCAT]],Tables!I:N,5,0)),0)</f>
        <v>0</v>
      </c>
      <c r="DC22" s="13">
        <f>Table410[[#This Row],[Oct_2026_F]]-Table410[[#This Row],[Oct_2026_A]]</f>
        <v>0</v>
      </c>
      <c r="DE22" s="13">
        <f>IFERROR(Table410[[#This Row],[Nov_2026_Days_Forecast]]*Table410[[#This Row],[Cost Boolean]]*(VLOOKUP(Table410[[#This Row],[RATE CONCAT]],Tables!I:N,5,0)),0)</f>
        <v>0</v>
      </c>
      <c r="DF22" s="13">
        <f>IFERROR(Table410[[#This Row],[Nov_2026_Days_Actual]]*Table410[[#This Row],[Cost Boolean]]*(VLOOKUP(Table410[[#This Row],[RATE CONCAT]],Tables!I:N,5,0)),0)</f>
        <v>0</v>
      </c>
      <c r="DG22" s="13">
        <f>Table410[[#This Row],[Nov_2026_F]]-Table410[[#This Row],[Nov_2026_A]]</f>
        <v>0</v>
      </c>
      <c r="DI22" s="13">
        <f>IFERROR(Table410[[#This Row],[Dec_2026_Days_Forecast]]*Table410[[#This Row],[Cost Boolean]]*(VLOOKUP(Table410[[#This Row],[RATE CONCAT]],Tables!I:N,5,0)),0)</f>
        <v>0</v>
      </c>
      <c r="DJ22" s="13">
        <f>IFERROR(Table410[[#This Row],[Dec_2026_Days_Actual]]*Table410[[#This Row],[Cost Boolean]]*(VLOOKUP(Table410[[#This Row],[RATE CONCAT]],Tables!I:N,5,0)),0)</f>
        <v>0</v>
      </c>
      <c r="DK22" s="13">
        <f>Table410[[#This Row],[Dec_2026_F]]-Table410[[#This Row],[Dec_2026_A]]</f>
        <v>0</v>
      </c>
      <c r="DN22" s="13">
        <f>IFERROR(Table410[[#This Row],[Jan_2027_Days_Forecast]]*Table410[[#This Row],[Cost Boolean]]*(VLOOKUP(Table410[[#This Row],[RATE CONCAT]],Tables!I:N,6,0)),0)</f>
        <v>0</v>
      </c>
      <c r="DP22" s="13">
        <f>Table410[[#This Row],[Jan_2027_F]]-Table410[[#This Row],[Jan_2027_A]]</f>
        <v>0</v>
      </c>
      <c r="DQ22" s="13">
        <f>IFERROR(Table410[[#This Row],[Feb_2027_Days_Forecast]]*Table410[[#This Row],[Cost Boolean]]*(VLOOKUP(Table410[[#This Row],[RATE CONCAT]],Tables!I:N,6,0)),0)</f>
        <v>0</v>
      </c>
      <c r="DS22" s="13">
        <f>Table410[[#This Row],[Feb_2027_F]]-Table410[[#This Row],[Feb_2027_A]]</f>
        <v>0</v>
      </c>
      <c r="DT22" s="13">
        <f>IFERROR(Table410[[#This Row],[Mar_2027_Days_Forecast]]*Table410[[#This Row],[Cost Boolean]]*(VLOOKUP(Table410[[#This Row],[RATE CONCAT]],Tables!I:N,6,0)),0)</f>
        <v>0</v>
      </c>
      <c r="DV22" s="13">
        <f>Table410[[#This Row],[Mar_2027_F]]-Table410[[#This Row],[Mar_2027_A]]</f>
        <v>0</v>
      </c>
      <c r="DW22" s="13">
        <f>IFERROR(Table410[[#This Row],[Apr_2027_Days_Forecast]]*Table410[[#This Row],[Cost Boolean]]*(VLOOKUP(Table410[[#This Row],[RATE CONCAT]],Tables!I:N,6,0)),0)</f>
        <v>0</v>
      </c>
      <c r="DY22" s="13">
        <f>Table410[[#This Row],[Apr_2027_F]]-Table410[[#This Row],[Apr_2027_A]]</f>
        <v>0</v>
      </c>
      <c r="DZ22" s="13">
        <f>IFERROR(Table410[[#This Row],[May_2027_Days_Forecast]]*Table410[[#This Row],[Cost Boolean]]*(VLOOKUP(Table410[[#This Row],[RATE CONCAT]],Tables!I:N,6,0)),0)</f>
        <v>0</v>
      </c>
      <c r="EB22" s="13">
        <f>Table410[[#This Row],[May_2027_F]]-Table410[[#This Row],[May_2027_A]]</f>
        <v>0</v>
      </c>
      <c r="EC22" s="13">
        <f>IFERROR(Table410[[#This Row],[Jun_2027_Days_Forecast]]*Table410[[#This Row],[Cost Boolean]]*(VLOOKUP(Table410[[#This Row],[RATE CONCAT]],Tables!I:N,6,0)),0)</f>
        <v>0</v>
      </c>
      <c r="EE22" s="13">
        <f>Table410[[#This Row],[Jun_2027_F]]-Table410[[#This Row],[Jun_2027_A]]</f>
        <v>0</v>
      </c>
      <c r="EF22" s="13">
        <f>IFERROR(Table410[[#This Row],[Jul_2027_Days_Forecast]]*Table410[[#This Row],[Cost Boolean]]*(VLOOKUP(Table410[[#This Row],[RATE CONCAT]],Tables!I:N,6,0)),0)</f>
        <v>0</v>
      </c>
      <c r="EH22" s="13">
        <f>Table410[[#This Row],[Jul_2027_F]]-Table410[[#This Row],[Jul_2027_A]]</f>
        <v>0</v>
      </c>
      <c r="EI22" s="13">
        <f>IFERROR(Table410[[#This Row],[Aug_2027_Days_Forecast]]*Table410[[#This Row],[Cost Boolean]]*(VLOOKUP(Table410[[#This Row],[RATE CONCAT]],Tables!I:N,6,0)),0)</f>
        <v>0</v>
      </c>
      <c r="EK22" s="13">
        <f>Table410[[#This Row],[Aug_2027_F]]-Table410[[#This Row],[Aug_2027_A]]</f>
        <v>0</v>
      </c>
      <c r="EL22" s="13">
        <f>IFERROR(Table410[[#This Row],[Sep_2027_Days_Forecast]]*Table410[[#This Row],[Cost Boolean]]*(VLOOKUP(Table410[[#This Row],[RATE CONCAT]],Tables!I:N,6,0)),0)</f>
        <v>0</v>
      </c>
      <c r="EN22" s="13">
        <f>Table410[[#This Row],[Sep_2027_F]]-Table410[[#This Row],[Sep_2027_A]]</f>
        <v>0</v>
      </c>
      <c r="EO22" s="13">
        <f>IFERROR(Table410[[#This Row],[Oct_2027_Days_Forecast]]*Table410[[#This Row],[Cost Boolean]]*(VLOOKUP(Table410[[#This Row],[RATE CONCAT]],Tables!I:N,6,0)),0)</f>
        <v>0</v>
      </c>
      <c r="EQ22" s="13">
        <f>Table410[[#This Row],[Oct_2027_F]]-Table410[[#This Row],[Oct_2027_A]]</f>
        <v>0</v>
      </c>
      <c r="ER22" s="13">
        <f>IFERROR(Table410[[#This Row],[Nov_2027_Days_Forecast]]*Table410[[#This Row],[Cost Boolean]]*(VLOOKUP(Table410[[#This Row],[RATE CONCAT]],Tables!I:N,6,0)),0)</f>
        <v>0</v>
      </c>
      <c r="ET22" s="13">
        <f>Table410[[#This Row],[Nov_2027_F]]-Table410[[#This Row],[Nov_2027_A]]</f>
        <v>0</v>
      </c>
      <c r="EU22" s="13">
        <f>IFERROR(Table410[[#This Row],[Dec_2027_Days_Forecast]]*Table410[[#This Row],[Cost Boolean]]*(VLOOKUP(Table410[[#This Row],[RATE CONCAT]],Tables!I:N,6,0)),0)</f>
        <v>0</v>
      </c>
      <c r="EW22" s="13">
        <f>Table410[[#This Row],[Dec_2027_F]]-Table410[[#This Row],[Dec_2027_A]]</f>
        <v>0</v>
      </c>
    </row>
    <row r="23" spans="1:153" s="13" customFormat="1" ht="15" customHeight="1">
      <c r="A23" s="13" t="s">
        <v>284</v>
      </c>
      <c r="B23" s="13" t="s">
        <v>46</v>
      </c>
      <c r="C23" s="13" t="s">
        <v>219</v>
      </c>
      <c r="D23" s="13" t="s">
        <v>285</v>
      </c>
      <c r="E23" s="13" t="s">
        <v>221</v>
      </c>
      <c r="G23" s="13" t="s">
        <v>222</v>
      </c>
      <c r="H23" s="13">
        <v>3</v>
      </c>
      <c r="J23" s="13" t="s">
        <v>286</v>
      </c>
      <c r="K23" s="13" t="s">
        <v>224</v>
      </c>
      <c r="L23" s="13">
        <v>0</v>
      </c>
      <c r="M23" s="13" t="s">
        <v>225</v>
      </c>
      <c r="N23" s="13" t="s">
        <v>287</v>
      </c>
      <c r="O23" s="13" t="s">
        <v>260</v>
      </c>
      <c r="P23" s="13" t="s">
        <v>53</v>
      </c>
      <c r="Q23" s="13" t="s">
        <v>228</v>
      </c>
      <c r="R23" s="193">
        <v>46023</v>
      </c>
      <c r="S23" s="193">
        <v>46387</v>
      </c>
      <c r="T23" s="193">
        <v>46023</v>
      </c>
      <c r="U23" s="193">
        <v>46387</v>
      </c>
      <c r="V23" s="193">
        <v>46023</v>
      </c>
      <c r="W23" s="193">
        <v>46387</v>
      </c>
      <c r="Y23" s="13" t="str">
        <f>CONCATENATE(Table410[[#This Row],[JG]],Table410[[#This Row],[Country]],Table410[[#This Row],[Resource Provider]])</f>
        <v>3United KingdomShell Business</v>
      </c>
      <c r="Z23" s="13">
        <f>VLOOKUP(Table410[[#This Row],[RATE CONCAT]],Tables!I:N,5,0)</f>
        <v>850</v>
      </c>
      <c r="AA23" s="52"/>
      <c r="AB23" s="130">
        <v>5</v>
      </c>
      <c r="AC23" s="130">
        <v>5</v>
      </c>
      <c r="AD23" s="130">
        <v>5</v>
      </c>
      <c r="AE23" s="130">
        <v>5</v>
      </c>
      <c r="AF23" s="130">
        <v>5</v>
      </c>
      <c r="AG23" s="130">
        <v>4</v>
      </c>
      <c r="AH23" s="130">
        <v>5</v>
      </c>
      <c r="AI23" s="130">
        <v>5</v>
      </c>
      <c r="AJ23" s="130">
        <v>5</v>
      </c>
      <c r="AK23" s="130">
        <v>5</v>
      </c>
      <c r="AL23" s="130">
        <v>5</v>
      </c>
      <c r="AM23" s="130">
        <v>4</v>
      </c>
      <c r="AN23" s="176">
        <f>IFERROR(AVERAGE(Table410[[#This Row],[Jan_2026_Days_Forecast]:[Dec_2026_Days_Forecast]]),0)/19</f>
        <v>0.25438596491228066</v>
      </c>
      <c r="AO23" s="176">
        <f>IFERROR(AVERAGE(Table410[[#This Row],[Jan_2026_Days_Actual]:[Dec_2026_Days_Actual]]),0)/19</f>
        <v>0.25438596491228066</v>
      </c>
      <c r="AP23" s="130">
        <v>5</v>
      </c>
      <c r="AQ23" s="130">
        <v>5</v>
      </c>
      <c r="AR23" s="130">
        <v>5</v>
      </c>
      <c r="AS23" s="130">
        <v>5</v>
      </c>
      <c r="AT23" s="130">
        <v>5</v>
      </c>
      <c r="AU23" s="130">
        <v>4</v>
      </c>
      <c r="AV23" s="130">
        <v>5</v>
      </c>
      <c r="AW23" s="130">
        <v>5</v>
      </c>
      <c r="AX23" s="130">
        <v>5</v>
      </c>
      <c r="AY23" s="130">
        <v>5</v>
      </c>
      <c r="AZ23" s="130">
        <v>5</v>
      </c>
      <c r="BA23" s="130">
        <v>4</v>
      </c>
      <c r="BB23" s="176">
        <f>IFERROR(AVERAGE(Table410[[#This Row],[Jan_2027_Days_Forecast]:[Dec_2027_Days_Forecast]]),0)</f>
        <v>0</v>
      </c>
      <c r="BC23" s="127"/>
      <c r="BD23" s="127"/>
      <c r="BE23" s="127"/>
      <c r="BF23" s="127"/>
      <c r="BG23" s="127"/>
      <c r="BH23" s="127"/>
      <c r="BI23" s="127"/>
      <c r="BJ23" s="127"/>
      <c r="BK23" s="127"/>
      <c r="BL23" s="127"/>
      <c r="BM23" s="127"/>
      <c r="BN23" s="127"/>
      <c r="BO23" s="176"/>
      <c r="BP23" s="176"/>
      <c r="BQ23" s="13">
        <f>IFERROR(Table410[[#This Row],[Jan_2026_Days_Forecast]]*Table410[[#This Row],[Cost Boolean]]*(VLOOKUP(Table410[[#This Row],[RATE CONCAT]],Tables!I:N,5,0)),0)</f>
        <v>0</v>
      </c>
      <c r="BR23" s="13">
        <f>IFERROR(Table410[[#This Row],[Jan_2026_Days_Actual]]*Table410[[#This Row],[Cost Boolean]]*(VLOOKUP(Table410[[#This Row],[RATE CONCAT]],Tables!I:N,5,0)),0)</f>
        <v>0</v>
      </c>
      <c r="BS23" s="13">
        <f>Table410[[#This Row],[Jan_2026_F]]-Table410[[#This Row],[Jan_2026_A]]</f>
        <v>0</v>
      </c>
      <c r="BU23" s="13">
        <f>IFERROR(Table410[[#This Row],[Feb_2026_Days_Forecast]]*Table410[[#This Row],[Cost Boolean]]*(VLOOKUP(Table410[[#This Row],[RATE CONCAT]],Tables!I:N,5,0)),0)</f>
        <v>0</v>
      </c>
      <c r="BV23" s="13">
        <f>IFERROR(Table410[[#This Row],[Feb_2026_Days_Actual]]*Table410[[#This Row],[Cost Boolean]]*(VLOOKUP(Table410[[#This Row],[RATE CONCAT]],Tables!I:N,5,0)),0)</f>
        <v>0</v>
      </c>
      <c r="BW23" s="13">
        <f>Table410[[#This Row],[Feb_2026_F]]-Table410[[#This Row],[Feb_2026_A]]</f>
        <v>0</v>
      </c>
      <c r="BY23" s="13">
        <f>IFERROR(Table410[[#This Row],[Mar_2026_Days_Forecast]]*Table410[[#This Row],[Cost Boolean]]*(VLOOKUP(Table410[[#This Row],[RATE CONCAT]],Tables!I:N,5,0)),0)</f>
        <v>0</v>
      </c>
      <c r="BZ23" s="13">
        <f>IFERROR(Table410[[#This Row],[Mar_2026_Days_Actual]]*Table410[[#This Row],[Cost Boolean]]*(VLOOKUP(Table410[[#This Row],[RATE CONCAT]],Tables!I:N,5,0)),0)</f>
        <v>0</v>
      </c>
      <c r="CA23" s="13">
        <f>Table410[[#This Row],[Mar_2026_F]]-Table410[[#This Row],[Mar_2026_A]]</f>
        <v>0</v>
      </c>
      <c r="CC23" s="13">
        <f>IFERROR(Table410[[#This Row],[Apr_2026_Days_Forecast]]*Table410[[#This Row],[Cost Boolean]]*(VLOOKUP(Table410[[#This Row],[RATE CONCAT]],Tables!I:N,5,0)),0)</f>
        <v>0</v>
      </c>
      <c r="CD23" s="13">
        <f>IFERROR(Table410[[#This Row],[Apr_2026_Days_Actual]]*Table410[[#This Row],[Cost Boolean]]*(VLOOKUP(Table410[[#This Row],[RATE CONCAT]],Tables!I:N,5,0)),0)</f>
        <v>0</v>
      </c>
      <c r="CE23" s="13">
        <f>Table410[[#This Row],[Apr_2026_F]]-Table410[[#This Row],[Apr_2026_A]]</f>
        <v>0</v>
      </c>
      <c r="CG23" s="13">
        <f>IFERROR(Table410[[#This Row],[May_2026_Days_Forecast]] *Table410[[#This Row],[Cost Boolean]]*(VLOOKUP(Table410[[#This Row],[RATE CONCAT]],Tables!I:N,5,0)),0)</f>
        <v>0</v>
      </c>
      <c r="CH23" s="13">
        <f>IFERROR(Table410[[#This Row],[May_2026_Days_Actual]]*Table410[[#This Row],[Cost Boolean]]*(VLOOKUP(Table410[[#This Row],[RATE CONCAT]],Tables!I:N,5,0)),0)</f>
        <v>0</v>
      </c>
      <c r="CI23" s="13">
        <f>Table410[[#This Row],[May_2026_F]]-Table410[[#This Row],[May_2026_A]]</f>
        <v>0</v>
      </c>
      <c r="CK23" s="13">
        <f>IFERROR(Table410[[#This Row],[Jun_2026_Days_Forecast]]*Table410[[#This Row],[Cost Boolean]]*(VLOOKUP(Table410[[#This Row],[RATE CONCAT]],Tables!I:N,5,0)),0)</f>
        <v>0</v>
      </c>
      <c r="CL23" s="13">
        <f>IFERROR(Table410[[#This Row],[Jun_2026_Days_Actual]]*Table410[[#This Row],[Cost Boolean]]*(VLOOKUP(Table410[[#This Row],[RATE CONCAT]],Tables!I:N,5,0)),0)</f>
        <v>0</v>
      </c>
      <c r="CM23" s="13">
        <f>Table410[[#This Row],[Jun_2026_F]]-Table410[[#This Row],[Jun_2026_A]]</f>
        <v>0</v>
      </c>
      <c r="CO23" s="13">
        <f>IFERROR(Table410[[#This Row],[Jul_2026_Days_Forecast]]*Table410[[#This Row],[Cost Boolean]]*(VLOOKUP(Table410[[#This Row],[RATE CONCAT]],Tables!I:N,5,0)),0)</f>
        <v>0</v>
      </c>
      <c r="CP23" s="13">
        <f>IFERROR(Table410[[#This Row],[Jul_2026_Days_Actual]]*Table410[[#This Row],[Cost Boolean]]*(VLOOKUP(Table410[[#This Row],[RATE CONCAT]],Tables!I:N,5,0)),0)</f>
        <v>0</v>
      </c>
      <c r="CQ23" s="13">
        <f>Table410[[#This Row],[Jul_2026_F]]-Table410[[#This Row],[Jul_2026_A]]</f>
        <v>0</v>
      </c>
      <c r="CS23" s="13">
        <f>IFERROR(Table410[[#This Row],[Aug_2026_Days_Forecast]]*Table410[[#This Row],[Cost Boolean]]*(VLOOKUP(Table410[[#This Row],[RATE CONCAT]],Tables!I:N,5,0)),0)</f>
        <v>0</v>
      </c>
      <c r="CT23" s="13">
        <f>IFERROR(Table410[[#This Row],[Aug_2026_Days_Actual]]*Table410[[#This Row],[Cost Boolean]]*(VLOOKUP(Table410[[#This Row],[RATE CONCAT]],Tables!I:N,5,0)),0)</f>
        <v>0</v>
      </c>
      <c r="CU23" s="13">
        <f>Table410[[#This Row],[Aug_2026_F]]-Table410[[#This Row],[Aug_2026_A]]</f>
        <v>0</v>
      </c>
      <c r="CW23" s="13">
        <f>IFERROR(Table410[[#This Row],[Sep_2026_Days_Forecast]]*Table410[[#This Row],[Cost Boolean]]*(VLOOKUP(Table410[[#This Row],[RATE CONCAT]],Tables!I:N,5,0)),0)</f>
        <v>0</v>
      </c>
      <c r="CX23" s="13">
        <f>IFERROR(Table410[[#This Row],[Sep_2026_Days_Actual]]*Table410[[#This Row],[Cost Boolean]]*(VLOOKUP(Table410[[#This Row],[RATE CONCAT]],Tables!I:N,5,0)),0)</f>
        <v>0</v>
      </c>
      <c r="CY23" s="13">
        <f>Table410[[#This Row],[Sep_2026_F]]-Table410[[#This Row],[Sep_2026_A]]</f>
        <v>0</v>
      </c>
      <c r="DA23" s="13">
        <f>IFERROR(Table410[[#This Row],[Oct_2026_Days_Forecast]]*Table410[[#This Row],[Cost Boolean]]*(VLOOKUP(Table410[[#This Row],[RATE CONCAT]],Tables!I:N,5,0)),0)</f>
        <v>0</v>
      </c>
      <c r="DB23" s="13">
        <f>IFERROR(Table410[[#This Row],[Oct_2026_Days_Actual]]*Table410[[#This Row],[Cost Boolean]]*(VLOOKUP(Table410[[#This Row],[RATE CONCAT]],Tables!I:N,5,0)),0)</f>
        <v>0</v>
      </c>
      <c r="DC23" s="13">
        <f>Table410[[#This Row],[Oct_2026_F]]-Table410[[#This Row],[Oct_2026_A]]</f>
        <v>0</v>
      </c>
      <c r="DE23" s="13">
        <f>IFERROR(Table410[[#This Row],[Nov_2026_Days_Forecast]]*Table410[[#This Row],[Cost Boolean]]*(VLOOKUP(Table410[[#This Row],[RATE CONCAT]],Tables!I:N,5,0)),0)</f>
        <v>0</v>
      </c>
      <c r="DF23" s="13">
        <f>IFERROR(Table410[[#This Row],[Nov_2026_Days_Actual]]*Table410[[#This Row],[Cost Boolean]]*(VLOOKUP(Table410[[#This Row],[RATE CONCAT]],Tables!I:N,5,0)),0)</f>
        <v>0</v>
      </c>
      <c r="DG23" s="13">
        <f>Table410[[#This Row],[Nov_2026_F]]-Table410[[#This Row],[Nov_2026_A]]</f>
        <v>0</v>
      </c>
      <c r="DI23" s="13">
        <f>IFERROR(Table410[[#This Row],[Dec_2026_Days_Forecast]]*Table410[[#This Row],[Cost Boolean]]*(VLOOKUP(Table410[[#This Row],[RATE CONCAT]],Tables!I:N,5,0)),0)</f>
        <v>0</v>
      </c>
      <c r="DJ23" s="13">
        <f>IFERROR(Table410[[#This Row],[Dec_2026_Days_Actual]]*Table410[[#This Row],[Cost Boolean]]*(VLOOKUP(Table410[[#This Row],[RATE CONCAT]],Tables!I:N,5,0)),0)</f>
        <v>0</v>
      </c>
      <c r="DK23" s="13">
        <f>Table410[[#This Row],[Dec_2026_F]]-Table410[[#This Row],[Dec_2026_A]]</f>
        <v>0</v>
      </c>
      <c r="DN23" s="13">
        <f>IFERROR(Table410[[#This Row],[Jan_2027_Days_Forecast]]*Table410[[#This Row],[Cost Boolean]]*(VLOOKUP(Table410[[#This Row],[RATE CONCAT]],Tables!I:N,6,0)),0)</f>
        <v>0</v>
      </c>
      <c r="DP23" s="13">
        <f>Table410[[#This Row],[Jan_2027_F]]-Table410[[#This Row],[Jan_2027_A]]</f>
        <v>0</v>
      </c>
      <c r="DQ23" s="13">
        <f>IFERROR(Table410[[#This Row],[Feb_2027_Days_Forecast]]*Table410[[#This Row],[Cost Boolean]]*(VLOOKUP(Table410[[#This Row],[RATE CONCAT]],Tables!I:N,6,0)),0)</f>
        <v>0</v>
      </c>
      <c r="DS23" s="13">
        <f>Table410[[#This Row],[Feb_2027_F]]-Table410[[#This Row],[Feb_2027_A]]</f>
        <v>0</v>
      </c>
      <c r="DT23" s="13">
        <f>IFERROR(Table410[[#This Row],[Mar_2027_Days_Forecast]]*Table410[[#This Row],[Cost Boolean]]*(VLOOKUP(Table410[[#This Row],[RATE CONCAT]],Tables!I:N,6,0)),0)</f>
        <v>0</v>
      </c>
      <c r="DV23" s="13">
        <f>Table410[[#This Row],[Mar_2027_F]]-Table410[[#This Row],[Mar_2027_A]]</f>
        <v>0</v>
      </c>
      <c r="DW23" s="13">
        <f>IFERROR(Table410[[#This Row],[Apr_2027_Days_Forecast]]*Table410[[#This Row],[Cost Boolean]]*(VLOOKUP(Table410[[#This Row],[RATE CONCAT]],Tables!I:N,6,0)),0)</f>
        <v>0</v>
      </c>
      <c r="DY23" s="13">
        <f>Table410[[#This Row],[Apr_2027_F]]-Table410[[#This Row],[Apr_2027_A]]</f>
        <v>0</v>
      </c>
      <c r="DZ23" s="13">
        <f>IFERROR(Table410[[#This Row],[May_2027_Days_Forecast]]*Table410[[#This Row],[Cost Boolean]]*(VLOOKUP(Table410[[#This Row],[RATE CONCAT]],Tables!I:N,6,0)),0)</f>
        <v>0</v>
      </c>
      <c r="EB23" s="13">
        <f>Table410[[#This Row],[May_2027_F]]-Table410[[#This Row],[May_2027_A]]</f>
        <v>0</v>
      </c>
      <c r="EC23" s="13">
        <f>IFERROR(Table410[[#This Row],[Jun_2027_Days_Forecast]]*Table410[[#This Row],[Cost Boolean]]*(VLOOKUP(Table410[[#This Row],[RATE CONCAT]],Tables!I:N,6,0)),0)</f>
        <v>0</v>
      </c>
      <c r="EE23" s="13">
        <f>Table410[[#This Row],[Jun_2027_F]]-Table410[[#This Row],[Jun_2027_A]]</f>
        <v>0</v>
      </c>
      <c r="EF23" s="13">
        <f>IFERROR(Table410[[#This Row],[Jul_2027_Days_Forecast]]*Table410[[#This Row],[Cost Boolean]]*(VLOOKUP(Table410[[#This Row],[RATE CONCAT]],Tables!I:N,6,0)),0)</f>
        <v>0</v>
      </c>
      <c r="EH23" s="13">
        <f>Table410[[#This Row],[Jul_2027_F]]-Table410[[#This Row],[Jul_2027_A]]</f>
        <v>0</v>
      </c>
      <c r="EI23" s="13">
        <f>IFERROR(Table410[[#This Row],[Aug_2027_Days_Forecast]]*Table410[[#This Row],[Cost Boolean]]*(VLOOKUP(Table410[[#This Row],[RATE CONCAT]],Tables!I:N,6,0)),0)</f>
        <v>0</v>
      </c>
      <c r="EK23" s="13">
        <f>Table410[[#This Row],[Aug_2027_F]]-Table410[[#This Row],[Aug_2027_A]]</f>
        <v>0</v>
      </c>
      <c r="EL23" s="13">
        <f>IFERROR(Table410[[#This Row],[Sep_2027_Days_Forecast]]*Table410[[#This Row],[Cost Boolean]]*(VLOOKUP(Table410[[#This Row],[RATE CONCAT]],Tables!I:N,6,0)),0)</f>
        <v>0</v>
      </c>
      <c r="EN23" s="13">
        <f>Table410[[#This Row],[Sep_2027_F]]-Table410[[#This Row],[Sep_2027_A]]</f>
        <v>0</v>
      </c>
      <c r="EO23" s="13">
        <f>IFERROR(Table410[[#This Row],[Oct_2027_Days_Forecast]]*Table410[[#This Row],[Cost Boolean]]*(VLOOKUP(Table410[[#This Row],[RATE CONCAT]],Tables!I:N,6,0)),0)</f>
        <v>0</v>
      </c>
      <c r="EQ23" s="13">
        <f>Table410[[#This Row],[Oct_2027_F]]-Table410[[#This Row],[Oct_2027_A]]</f>
        <v>0</v>
      </c>
      <c r="ER23" s="13">
        <f>IFERROR(Table410[[#This Row],[Nov_2027_Days_Forecast]]*Table410[[#This Row],[Cost Boolean]]*(VLOOKUP(Table410[[#This Row],[RATE CONCAT]],Tables!I:N,6,0)),0)</f>
        <v>0</v>
      </c>
      <c r="ET23" s="13">
        <f>Table410[[#This Row],[Nov_2027_F]]-Table410[[#This Row],[Nov_2027_A]]</f>
        <v>0</v>
      </c>
      <c r="EU23" s="13">
        <f>IFERROR(Table410[[#This Row],[Dec_2027_Days_Forecast]]*Table410[[#This Row],[Cost Boolean]]*(VLOOKUP(Table410[[#This Row],[RATE CONCAT]],Tables!I:N,6,0)),0)</f>
        <v>0</v>
      </c>
      <c r="EW23" s="13">
        <f>Table410[[#This Row],[Dec_2027_F]]-Table410[[#This Row],[Dec_2027_A]]</f>
        <v>0</v>
      </c>
    </row>
    <row r="24" spans="1:153" s="13" customFormat="1" ht="15" customHeight="1">
      <c r="A24" s="13" t="s">
        <v>288</v>
      </c>
      <c r="B24" s="13" t="s">
        <v>46</v>
      </c>
      <c r="C24" s="13" t="s">
        <v>219</v>
      </c>
      <c r="D24" s="13" t="s">
        <v>289</v>
      </c>
      <c r="E24" s="13" t="s">
        <v>221</v>
      </c>
      <c r="G24" s="13" t="s">
        <v>222</v>
      </c>
      <c r="H24" s="13">
        <v>4</v>
      </c>
      <c r="J24" s="13" t="s">
        <v>236</v>
      </c>
      <c r="K24" s="13" t="s">
        <v>224</v>
      </c>
      <c r="L24" s="13">
        <v>1</v>
      </c>
      <c r="M24" s="13" t="s">
        <v>290</v>
      </c>
      <c r="N24" s="13" t="s">
        <v>291</v>
      </c>
      <c r="O24" s="13" t="s">
        <v>227</v>
      </c>
      <c r="P24" s="13" t="s">
        <v>53</v>
      </c>
      <c r="Q24" s="13" t="s">
        <v>228</v>
      </c>
      <c r="R24" s="193">
        <v>46023</v>
      </c>
      <c r="S24" s="193">
        <v>46387</v>
      </c>
      <c r="T24" s="193">
        <v>46023</v>
      </c>
      <c r="U24" s="193">
        <v>46387</v>
      </c>
      <c r="V24" s="193">
        <v>46023</v>
      </c>
      <c r="W24" s="193">
        <v>46387</v>
      </c>
      <c r="Y24" s="13" t="str">
        <f>CONCATENATE(Table410[[#This Row],[JG]],Table410[[#This Row],[Country]],Table410[[#This Row],[Resource Provider]])</f>
        <v>4United KingdomShell Business</v>
      </c>
      <c r="Z24" s="13">
        <f>VLOOKUP(Table410[[#This Row],[RATE CONCAT]],Tables!I:N,5,0)</f>
        <v>935</v>
      </c>
      <c r="AA24" s="52"/>
      <c r="AB24" s="130">
        <v>10</v>
      </c>
      <c r="AC24" s="130">
        <v>10</v>
      </c>
      <c r="AD24" s="130">
        <v>10</v>
      </c>
      <c r="AE24" s="130">
        <v>10</v>
      </c>
      <c r="AF24" s="130">
        <v>9</v>
      </c>
      <c r="AG24" s="130">
        <v>9</v>
      </c>
      <c r="AH24" s="130">
        <v>9</v>
      </c>
      <c r="AI24" s="130">
        <v>10</v>
      </c>
      <c r="AJ24" s="130">
        <v>10</v>
      </c>
      <c r="AK24" s="130">
        <v>10</v>
      </c>
      <c r="AL24" s="130">
        <v>9</v>
      </c>
      <c r="AM24" s="130">
        <v>9</v>
      </c>
      <c r="AN24" s="176">
        <f>IFERROR(AVERAGE(Table410[[#This Row],[Jan_2026_Days_Forecast]:[Dec_2026_Days_Forecast]]),0)/19</f>
        <v>0.50438596491228072</v>
      </c>
      <c r="AO24" s="176">
        <f>IFERROR(AVERAGE(Table410[[#This Row],[Jan_2026_Days_Actual]:[Dec_2026_Days_Actual]]),0)/19</f>
        <v>0.50438596491228072</v>
      </c>
      <c r="AP24" s="130">
        <v>10</v>
      </c>
      <c r="AQ24" s="130">
        <v>10</v>
      </c>
      <c r="AR24" s="130">
        <v>10</v>
      </c>
      <c r="AS24" s="130">
        <v>10</v>
      </c>
      <c r="AT24" s="130">
        <v>9</v>
      </c>
      <c r="AU24" s="130">
        <v>9</v>
      </c>
      <c r="AV24" s="130">
        <v>9</v>
      </c>
      <c r="AW24" s="130">
        <v>10</v>
      </c>
      <c r="AX24" s="130">
        <v>10</v>
      </c>
      <c r="AY24" s="130">
        <v>10</v>
      </c>
      <c r="AZ24" s="130">
        <v>9</v>
      </c>
      <c r="BA24" s="130">
        <v>9</v>
      </c>
      <c r="BB24" s="176">
        <f>IFERROR(AVERAGE(Table410[[#This Row],[Jan_2027_Days_Forecast]:[Dec_2027_Days_Forecast]]),0)</f>
        <v>0</v>
      </c>
      <c r="BC24" s="127"/>
      <c r="BD24" s="127"/>
      <c r="BE24" s="127"/>
      <c r="BF24" s="127"/>
      <c r="BG24" s="127"/>
      <c r="BH24" s="127"/>
      <c r="BI24" s="127"/>
      <c r="BJ24" s="127"/>
      <c r="BK24" s="127"/>
      <c r="BL24" s="127"/>
      <c r="BM24" s="127"/>
      <c r="BN24" s="127"/>
      <c r="BO24" s="176"/>
      <c r="BP24" s="176"/>
      <c r="BQ24" s="13">
        <f>IFERROR(Table410[[#This Row],[Jan_2026_Days_Forecast]]*Table410[[#This Row],[Cost Boolean]]*(VLOOKUP(Table410[[#This Row],[RATE CONCAT]],Tables!I:N,5,0)),0)</f>
        <v>9350</v>
      </c>
      <c r="BR24" s="13">
        <f>IFERROR(Table410[[#This Row],[Jan_2026_Days_Actual]]*Table410[[#This Row],[Cost Boolean]]*(VLOOKUP(Table410[[#This Row],[RATE CONCAT]],Tables!I:N,5,0)),0)</f>
        <v>9350</v>
      </c>
      <c r="BS24" s="13">
        <f>Table410[[#This Row],[Jan_2026_F]]-Table410[[#This Row],[Jan_2026_A]]</f>
        <v>0</v>
      </c>
      <c r="BU24" s="13">
        <f>IFERROR(Table410[[#This Row],[Feb_2026_Days_Forecast]]*Table410[[#This Row],[Cost Boolean]]*(VLOOKUP(Table410[[#This Row],[RATE CONCAT]],Tables!I:N,5,0)),0)</f>
        <v>9350</v>
      </c>
      <c r="BV24" s="13">
        <f>IFERROR(Table410[[#This Row],[Feb_2026_Days_Actual]]*Table410[[#This Row],[Cost Boolean]]*(VLOOKUP(Table410[[#This Row],[RATE CONCAT]],Tables!I:N,5,0)),0)</f>
        <v>9350</v>
      </c>
      <c r="BW24" s="13">
        <f>Table410[[#This Row],[Feb_2026_F]]-Table410[[#This Row],[Feb_2026_A]]</f>
        <v>0</v>
      </c>
      <c r="BY24" s="13">
        <f>IFERROR(Table410[[#This Row],[Mar_2026_Days_Forecast]]*Table410[[#This Row],[Cost Boolean]]*(VLOOKUP(Table410[[#This Row],[RATE CONCAT]],Tables!I:N,5,0)),0)</f>
        <v>9350</v>
      </c>
      <c r="BZ24" s="13">
        <f>IFERROR(Table410[[#This Row],[Mar_2026_Days_Actual]]*Table410[[#This Row],[Cost Boolean]]*(VLOOKUP(Table410[[#This Row],[RATE CONCAT]],Tables!I:N,5,0)),0)</f>
        <v>9350</v>
      </c>
      <c r="CA24" s="13">
        <f>Table410[[#This Row],[Mar_2026_F]]-Table410[[#This Row],[Mar_2026_A]]</f>
        <v>0</v>
      </c>
      <c r="CC24" s="13">
        <f>IFERROR(Table410[[#This Row],[Apr_2026_Days_Forecast]]*Table410[[#This Row],[Cost Boolean]]*(VLOOKUP(Table410[[#This Row],[RATE CONCAT]],Tables!I:N,5,0)),0)</f>
        <v>9350</v>
      </c>
      <c r="CD24" s="13">
        <f>IFERROR(Table410[[#This Row],[Apr_2026_Days_Actual]]*Table410[[#This Row],[Cost Boolean]]*(VLOOKUP(Table410[[#This Row],[RATE CONCAT]],Tables!I:N,5,0)),0)</f>
        <v>9350</v>
      </c>
      <c r="CE24" s="13">
        <f>Table410[[#This Row],[Apr_2026_F]]-Table410[[#This Row],[Apr_2026_A]]</f>
        <v>0</v>
      </c>
      <c r="CG24" s="13">
        <f>IFERROR(Table410[[#This Row],[May_2026_Days_Forecast]] *Table410[[#This Row],[Cost Boolean]]*(VLOOKUP(Table410[[#This Row],[RATE CONCAT]],Tables!I:N,5,0)),0)</f>
        <v>8415</v>
      </c>
      <c r="CH24" s="13">
        <f>IFERROR(Table410[[#This Row],[May_2026_Days_Actual]]*Table410[[#This Row],[Cost Boolean]]*(VLOOKUP(Table410[[#This Row],[RATE CONCAT]],Tables!I:N,5,0)),0)</f>
        <v>8415</v>
      </c>
      <c r="CI24" s="13">
        <f>Table410[[#This Row],[May_2026_F]]-Table410[[#This Row],[May_2026_A]]</f>
        <v>0</v>
      </c>
      <c r="CK24" s="13">
        <f>IFERROR(Table410[[#This Row],[Jun_2026_Days_Forecast]]*Table410[[#This Row],[Cost Boolean]]*(VLOOKUP(Table410[[#This Row],[RATE CONCAT]],Tables!I:N,5,0)),0)</f>
        <v>8415</v>
      </c>
      <c r="CL24" s="13">
        <f>IFERROR(Table410[[#This Row],[Jun_2026_Days_Actual]]*Table410[[#This Row],[Cost Boolean]]*(VLOOKUP(Table410[[#This Row],[RATE CONCAT]],Tables!I:N,5,0)),0)</f>
        <v>8415</v>
      </c>
      <c r="CM24" s="13">
        <f>Table410[[#This Row],[Jun_2026_F]]-Table410[[#This Row],[Jun_2026_A]]</f>
        <v>0</v>
      </c>
      <c r="CO24" s="13">
        <f>IFERROR(Table410[[#This Row],[Jul_2026_Days_Forecast]]*Table410[[#This Row],[Cost Boolean]]*(VLOOKUP(Table410[[#This Row],[RATE CONCAT]],Tables!I:N,5,0)),0)</f>
        <v>8415</v>
      </c>
      <c r="CP24" s="13">
        <f>IFERROR(Table410[[#This Row],[Jul_2026_Days_Actual]]*Table410[[#This Row],[Cost Boolean]]*(VLOOKUP(Table410[[#This Row],[RATE CONCAT]],Tables!I:N,5,0)),0)</f>
        <v>8415</v>
      </c>
      <c r="CQ24" s="13">
        <f>Table410[[#This Row],[Jul_2026_F]]-Table410[[#This Row],[Jul_2026_A]]</f>
        <v>0</v>
      </c>
      <c r="CS24" s="13">
        <f>IFERROR(Table410[[#This Row],[Aug_2026_Days_Forecast]]*Table410[[#This Row],[Cost Boolean]]*(VLOOKUP(Table410[[#This Row],[RATE CONCAT]],Tables!I:N,5,0)),0)</f>
        <v>9350</v>
      </c>
      <c r="CT24" s="13">
        <f>IFERROR(Table410[[#This Row],[Aug_2026_Days_Actual]]*Table410[[#This Row],[Cost Boolean]]*(VLOOKUP(Table410[[#This Row],[RATE CONCAT]],Tables!I:N,5,0)),0)</f>
        <v>9350</v>
      </c>
      <c r="CU24" s="13">
        <f>Table410[[#This Row],[Aug_2026_F]]-Table410[[#This Row],[Aug_2026_A]]</f>
        <v>0</v>
      </c>
      <c r="CW24" s="13">
        <f>IFERROR(Table410[[#This Row],[Sep_2026_Days_Forecast]]*Table410[[#This Row],[Cost Boolean]]*(VLOOKUP(Table410[[#This Row],[RATE CONCAT]],Tables!I:N,5,0)),0)</f>
        <v>9350</v>
      </c>
      <c r="CX24" s="13">
        <f>IFERROR(Table410[[#This Row],[Sep_2026_Days_Actual]]*Table410[[#This Row],[Cost Boolean]]*(VLOOKUP(Table410[[#This Row],[RATE CONCAT]],Tables!I:N,5,0)),0)</f>
        <v>9350</v>
      </c>
      <c r="CY24" s="13">
        <f>Table410[[#This Row],[Sep_2026_F]]-Table410[[#This Row],[Sep_2026_A]]</f>
        <v>0</v>
      </c>
      <c r="DA24" s="13">
        <f>IFERROR(Table410[[#This Row],[Oct_2026_Days_Forecast]]*Table410[[#This Row],[Cost Boolean]]*(VLOOKUP(Table410[[#This Row],[RATE CONCAT]],Tables!I:N,5,0)),0)</f>
        <v>9350</v>
      </c>
      <c r="DB24" s="13">
        <f>IFERROR(Table410[[#This Row],[Oct_2026_Days_Actual]]*Table410[[#This Row],[Cost Boolean]]*(VLOOKUP(Table410[[#This Row],[RATE CONCAT]],Tables!I:N,5,0)),0)</f>
        <v>9350</v>
      </c>
      <c r="DC24" s="13">
        <f>Table410[[#This Row],[Oct_2026_F]]-Table410[[#This Row],[Oct_2026_A]]</f>
        <v>0</v>
      </c>
      <c r="DE24" s="13">
        <f>IFERROR(Table410[[#This Row],[Nov_2026_Days_Forecast]]*Table410[[#This Row],[Cost Boolean]]*(VLOOKUP(Table410[[#This Row],[RATE CONCAT]],Tables!I:N,5,0)),0)</f>
        <v>8415</v>
      </c>
      <c r="DF24" s="13">
        <f>IFERROR(Table410[[#This Row],[Nov_2026_Days_Actual]]*Table410[[#This Row],[Cost Boolean]]*(VLOOKUP(Table410[[#This Row],[RATE CONCAT]],Tables!I:N,5,0)),0)</f>
        <v>8415</v>
      </c>
      <c r="DG24" s="13">
        <f>Table410[[#This Row],[Nov_2026_F]]-Table410[[#This Row],[Nov_2026_A]]</f>
        <v>0</v>
      </c>
      <c r="DI24" s="13">
        <f>IFERROR(Table410[[#This Row],[Dec_2026_Days_Forecast]]*Table410[[#This Row],[Cost Boolean]]*(VLOOKUP(Table410[[#This Row],[RATE CONCAT]],Tables!I:N,5,0)),0)</f>
        <v>8415</v>
      </c>
      <c r="DJ24" s="13">
        <f>IFERROR(Table410[[#This Row],[Dec_2026_Days_Actual]]*Table410[[#This Row],[Cost Boolean]]*(VLOOKUP(Table410[[#This Row],[RATE CONCAT]],Tables!I:N,5,0)),0)</f>
        <v>8415</v>
      </c>
      <c r="DK24" s="13">
        <f>Table410[[#This Row],[Dec_2026_F]]-Table410[[#This Row],[Dec_2026_A]]</f>
        <v>0</v>
      </c>
      <c r="DN24" s="13">
        <f>IFERROR(Table410[[#This Row],[Jan_2027_Days_Forecast]]*Table410[[#This Row],[Cost Boolean]]*(VLOOKUP(Table410[[#This Row],[RATE CONCAT]],Tables!I:N,6,0)),0)</f>
        <v>0</v>
      </c>
      <c r="DP24" s="13">
        <f>Table410[[#This Row],[Jan_2027_F]]-Table410[[#This Row],[Jan_2027_A]]</f>
        <v>0</v>
      </c>
      <c r="DQ24" s="13">
        <f>IFERROR(Table410[[#This Row],[Feb_2027_Days_Forecast]]*Table410[[#This Row],[Cost Boolean]]*(VLOOKUP(Table410[[#This Row],[RATE CONCAT]],Tables!I:N,6,0)),0)</f>
        <v>0</v>
      </c>
      <c r="DS24" s="13">
        <f>Table410[[#This Row],[Feb_2027_F]]-Table410[[#This Row],[Feb_2027_A]]</f>
        <v>0</v>
      </c>
      <c r="DT24" s="13">
        <f>IFERROR(Table410[[#This Row],[Mar_2027_Days_Forecast]]*Table410[[#This Row],[Cost Boolean]]*(VLOOKUP(Table410[[#This Row],[RATE CONCAT]],Tables!I:N,6,0)),0)</f>
        <v>0</v>
      </c>
      <c r="DV24" s="13">
        <f>Table410[[#This Row],[Mar_2027_F]]-Table410[[#This Row],[Mar_2027_A]]</f>
        <v>0</v>
      </c>
      <c r="DW24" s="13">
        <f>IFERROR(Table410[[#This Row],[Apr_2027_Days_Forecast]]*Table410[[#This Row],[Cost Boolean]]*(VLOOKUP(Table410[[#This Row],[RATE CONCAT]],Tables!I:N,6,0)),0)</f>
        <v>0</v>
      </c>
      <c r="DY24" s="13">
        <f>Table410[[#This Row],[Apr_2027_F]]-Table410[[#This Row],[Apr_2027_A]]</f>
        <v>0</v>
      </c>
      <c r="DZ24" s="13">
        <f>IFERROR(Table410[[#This Row],[May_2027_Days_Forecast]]*Table410[[#This Row],[Cost Boolean]]*(VLOOKUP(Table410[[#This Row],[RATE CONCAT]],Tables!I:N,6,0)),0)</f>
        <v>0</v>
      </c>
      <c r="EB24" s="13">
        <f>Table410[[#This Row],[May_2027_F]]-Table410[[#This Row],[May_2027_A]]</f>
        <v>0</v>
      </c>
      <c r="EC24" s="13">
        <f>IFERROR(Table410[[#This Row],[Jun_2027_Days_Forecast]]*Table410[[#This Row],[Cost Boolean]]*(VLOOKUP(Table410[[#This Row],[RATE CONCAT]],Tables!I:N,6,0)),0)</f>
        <v>0</v>
      </c>
      <c r="EE24" s="13">
        <f>Table410[[#This Row],[Jun_2027_F]]-Table410[[#This Row],[Jun_2027_A]]</f>
        <v>0</v>
      </c>
      <c r="EF24" s="13">
        <f>IFERROR(Table410[[#This Row],[Jul_2027_Days_Forecast]]*Table410[[#This Row],[Cost Boolean]]*(VLOOKUP(Table410[[#This Row],[RATE CONCAT]],Tables!I:N,6,0)),0)</f>
        <v>0</v>
      </c>
      <c r="EH24" s="13">
        <f>Table410[[#This Row],[Jul_2027_F]]-Table410[[#This Row],[Jul_2027_A]]</f>
        <v>0</v>
      </c>
      <c r="EI24" s="13">
        <f>IFERROR(Table410[[#This Row],[Aug_2027_Days_Forecast]]*Table410[[#This Row],[Cost Boolean]]*(VLOOKUP(Table410[[#This Row],[RATE CONCAT]],Tables!I:N,6,0)),0)</f>
        <v>0</v>
      </c>
      <c r="EK24" s="13">
        <f>Table410[[#This Row],[Aug_2027_F]]-Table410[[#This Row],[Aug_2027_A]]</f>
        <v>0</v>
      </c>
      <c r="EL24" s="13">
        <f>IFERROR(Table410[[#This Row],[Sep_2027_Days_Forecast]]*Table410[[#This Row],[Cost Boolean]]*(VLOOKUP(Table410[[#This Row],[RATE CONCAT]],Tables!I:N,6,0)),0)</f>
        <v>0</v>
      </c>
      <c r="EN24" s="13">
        <f>Table410[[#This Row],[Sep_2027_F]]-Table410[[#This Row],[Sep_2027_A]]</f>
        <v>0</v>
      </c>
      <c r="EO24" s="13">
        <f>IFERROR(Table410[[#This Row],[Oct_2027_Days_Forecast]]*Table410[[#This Row],[Cost Boolean]]*(VLOOKUP(Table410[[#This Row],[RATE CONCAT]],Tables!I:N,6,0)),0)</f>
        <v>0</v>
      </c>
      <c r="EQ24" s="13">
        <f>Table410[[#This Row],[Oct_2027_F]]-Table410[[#This Row],[Oct_2027_A]]</f>
        <v>0</v>
      </c>
      <c r="ER24" s="13">
        <f>IFERROR(Table410[[#This Row],[Nov_2027_Days_Forecast]]*Table410[[#This Row],[Cost Boolean]]*(VLOOKUP(Table410[[#This Row],[RATE CONCAT]],Tables!I:N,6,0)),0)</f>
        <v>0</v>
      </c>
      <c r="ET24" s="13">
        <f>Table410[[#This Row],[Nov_2027_F]]-Table410[[#This Row],[Nov_2027_A]]</f>
        <v>0</v>
      </c>
      <c r="EU24" s="13">
        <f>IFERROR(Table410[[#This Row],[Dec_2027_Days_Forecast]]*Table410[[#This Row],[Cost Boolean]]*(VLOOKUP(Table410[[#This Row],[RATE CONCAT]],Tables!I:N,6,0)),0)</f>
        <v>0</v>
      </c>
      <c r="EW24" s="13">
        <f>Table410[[#This Row],[Dec_2027_F]]-Table410[[#This Row],[Dec_2027_A]]</f>
        <v>0</v>
      </c>
    </row>
    <row r="25" spans="1:153" s="13" customFormat="1" ht="15" customHeight="1">
      <c r="A25" s="13" t="s">
        <v>292</v>
      </c>
      <c r="B25" s="13" t="s">
        <v>46</v>
      </c>
      <c r="C25" s="13" t="s">
        <v>219</v>
      </c>
      <c r="D25" s="13" t="s">
        <v>293</v>
      </c>
      <c r="E25" s="13" t="s">
        <v>221</v>
      </c>
      <c r="G25" s="13" t="s">
        <v>222</v>
      </c>
      <c r="H25" s="13">
        <v>4</v>
      </c>
      <c r="J25" s="13" t="s">
        <v>294</v>
      </c>
      <c r="K25" s="13" t="s">
        <v>224</v>
      </c>
      <c r="L25" s="13">
        <v>0</v>
      </c>
      <c r="M25" s="13" t="s">
        <v>225</v>
      </c>
      <c r="N25" s="13" t="s">
        <v>295</v>
      </c>
      <c r="O25" s="13" t="s">
        <v>260</v>
      </c>
      <c r="P25" s="13" t="s">
        <v>53</v>
      </c>
      <c r="Q25" s="13" t="s">
        <v>228</v>
      </c>
      <c r="R25" s="193">
        <v>46023</v>
      </c>
      <c r="S25" s="193">
        <v>46387</v>
      </c>
      <c r="T25" s="193">
        <v>46113</v>
      </c>
      <c r="U25" s="193">
        <v>46387</v>
      </c>
      <c r="V25" s="193">
        <v>46023</v>
      </c>
      <c r="W25" s="193">
        <v>46387</v>
      </c>
      <c r="Y25" s="13" t="str">
        <f>CONCATENATE(Table410[[#This Row],[JG]],Table410[[#This Row],[Country]],Table410[[#This Row],[Resource Provider]])</f>
        <v>4United KingdomShell Business</v>
      </c>
      <c r="Z25" s="13">
        <f>VLOOKUP(Table410[[#This Row],[RATE CONCAT]],Tables!I:N,5,0)</f>
        <v>935</v>
      </c>
      <c r="AA25" s="52"/>
      <c r="AB25" s="130">
        <v>5</v>
      </c>
      <c r="AC25" s="130">
        <v>5</v>
      </c>
      <c r="AD25" s="130">
        <v>5</v>
      </c>
      <c r="AE25" s="130">
        <v>5</v>
      </c>
      <c r="AF25" s="130">
        <v>5</v>
      </c>
      <c r="AG25" s="130">
        <v>4</v>
      </c>
      <c r="AH25" s="130">
        <v>5</v>
      </c>
      <c r="AI25" s="130">
        <v>5</v>
      </c>
      <c r="AJ25" s="130">
        <v>5</v>
      </c>
      <c r="AK25" s="130">
        <v>5</v>
      </c>
      <c r="AL25" s="130">
        <v>5</v>
      </c>
      <c r="AM25" s="130">
        <v>4</v>
      </c>
      <c r="AN25" s="176">
        <f>IFERROR(AVERAGE(Table410[[#This Row],[Jan_2026_Days_Forecast]:[Dec_2026_Days_Forecast]]),0)/19</f>
        <v>0.25438596491228066</v>
      </c>
      <c r="AO25" s="176">
        <f>IFERROR(AVERAGE(Table410[[#This Row],[Jan_2026_Days_Actual]:[Dec_2026_Days_Actual]]),0)/19</f>
        <v>0.25438596491228066</v>
      </c>
      <c r="AP25" s="130">
        <v>5</v>
      </c>
      <c r="AQ25" s="130">
        <v>5</v>
      </c>
      <c r="AR25" s="130">
        <v>5</v>
      </c>
      <c r="AS25" s="130">
        <v>5</v>
      </c>
      <c r="AT25" s="130">
        <v>5</v>
      </c>
      <c r="AU25" s="130">
        <v>4</v>
      </c>
      <c r="AV25" s="130">
        <v>5</v>
      </c>
      <c r="AW25" s="130">
        <v>5</v>
      </c>
      <c r="AX25" s="130">
        <v>5</v>
      </c>
      <c r="AY25" s="130">
        <v>5</v>
      </c>
      <c r="AZ25" s="130">
        <v>5</v>
      </c>
      <c r="BA25" s="130">
        <v>4</v>
      </c>
      <c r="BB25" s="176">
        <f>IFERROR(AVERAGE(Table410[[#This Row],[Jan_2027_Days_Forecast]:[Dec_2027_Days_Forecast]]),0)</f>
        <v>0</v>
      </c>
      <c r="BC25" s="127"/>
      <c r="BD25" s="127"/>
      <c r="BE25" s="127"/>
      <c r="BF25" s="127"/>
      <c r="BG25" s="127"/>
      <c r="BH25" s="127"/>
      <c r="BI25" s="127"/>
      <c r="BJ25" s="127"/>
      <c r="BK25" s="127"/>
      <c r="BL25" s="127"/>
      <c r="BM25" s="127"/>
      <c r="BN25" s="127"/>
      <c r="BO25" s="176"/>
      <c r="BP25" s="176"/>
      <c r="BQ25" s="13">
        <f>IFERROR(Table410[[#This Row],[Jan_2026_Days_Forecast]]*Table410[[#This Row],[Cost Boolean]]*(VLOOKUP(Table410[[#This Row],[RATE CONCAT]],Tables!I:N,5,0)),0)</f>
        <v>0</v>
      </c>
      <c r="BR25" s="13">
        <f>IFERROR(Table410[[#This Row],[Jan_2026_Days_Actual]]*Table410[[#This Row],[Cost Boolean]]*(VLOOKUP(Table410[[#This Row],[RATE CONCAT]],Tables!I:N,5,0)),0)</f>
        <v>0</v>
      </c>
      <c r="BS25" s="13">
        <f>Table410[[#This Row],[Jan_2026_F]]-Table410[[#This Row],[Jan_2026_A]]</f>
        <v>0</v>
      </c>
      <c r="BU25" s="13">
        <f>IFERROR(Table410[[#This Row],[Feb_2026_Days_Forecast]]*Table410[[#This Row],[Cost Boolean]]*(VLOOKUP(Table410[[#This Row],[RATE CONCAT]],Tables!I:N,5,0)),0)</f>
        <v>0</v>
      </c>
      <c r="BV25" s="13">
        <f>IFERROR(Table410[[#This Row],[Feb_2026_Days_Actual]]*Table410[[#This Row],[Cost Boolean]]*(VLOOKUP(Table410[[#This Row],[RATE CONCAT]],Tables!I:N,5,0)),0)</f>
        <v>0</v>
      </c>
      <c r="BW25" s="13">
        <f>Table410[[#This Row],[Feb_2026_F]]-Table410[[#This Row],[Feb_2026_A]]</f>
        <v>0</v>
      </c>
      <c r="BY25" s="13">
        <f>IFERROR(Table410[[#This Row],[Mar_2026_Days_Forecast]]*Table410[[#This Row],[Cost Boolean]]*(VLOOKUP(Table410[[#This Row],[RATE CONCAT]],Tables!I:N,5,0)),0)</f>
        <v>0</v>
      </c>
      <c r="BZ25" s="13">
        <f>IFERROR(Table410[[#This Row],[Mar_2026_Days_Actual]]*Table410[[#This Row],[Cost Boolean]]*(VLOOKUP(Table410[[#This Row],[RATE CONCAT]],Tables!I:N,5,0)),0)</f>
        <v>0</v>
      </c>
      <c r="CA25" s="13">
        <f>Table410[[#This Row],[Mar_2026_F]]-Table410[[#This Row],[Mar_2026_A]]</f>
        <v>0</v>
      </c>
      <c r="CC25" s="13">
        <f>IFERROR(Table410[[#This Row],[Apr_2026_Days_Forecast]]*Table410[[#This Row],[Cost Boolean]]*(VLOOKUP(Table410[[#This Row],[RATE CONCAT]],Tables!I:N,5,0)),0)</f>
        <v>0</v>
      </c>
      <c r="CD25" s="13">
        <f>IFERROR(Table410[[#This Row],[Apr_2026_Days_Actual]]*Table410[[#This Row],[Cost Boolean]]*(VLOOKUP(Table410[[#This Row],[RATE CONCAT]],Tables!I:N,5,0)),0)</f>
        <v>0</v>
      </c>
      <c r="CE25" s="13">
        <f>Table410[[#This Row],[Apr_2026_F]]-Table410[[#This Row],[Apr_2026_A]]</f>
        <v>0</v>
      </c>
      <c r="CG25" s="13">
        <f>IFERROR(Table410[[#This Row],[May_2026_Days_Forecast]] *Table410[[#This Row],[Cost Boolean]]*(VLOOKUP(Table410[[#This Row],[RATE CONCAT]],Tables!I:N,5,0)),0)</f>
        <v>0</v>
      </c>
      <c r="CH25" s="13">
        <f>IFERROR(Table410[[#This Row],[May_2026_Days_Actual]]*Table410[[#This Row],[Cost Boolean]]*(VLOOKUP(Table410[[#This Row],[RATE CONCAT]],Tables!I:N,5,0)),0)</f>
        <v>0</v>
      </c>
      <c r="CI25" s="13">
        <f>Table410[[#This Row],[May_2026_F]]-Table410[[#This Row],[May_2026_A]]</f>
        <v>0</v>
      </c>
      <c r="CK25" s="13">
        <f>IFERROR(Table410[[#This Row],[Jun_2026_Days_Forecast]]*Table410[[#This Row],[Cost Boolean]]*(VLOOKUP(Table410[[#This Row],[RATE CONCAT]],Tables!I:N,5,0)),0)</f>
        <v>0</v>
      </c>
      <c r="CL25" s="13">
        <f>IFERROR(Table410[[#This Row],[Jun_2026_Days_Actual]]*Table410[[#This Row],[Cost Boolean]]*(VLOOKUP(Table410[[#This Row],[RATE CONCAT]],Tables!I:N,5,0)),0)</f>
        <v>0</v>
      </c>
      <c r="CM25" s="13">
        <f>Table410[[#This Row],[Jun_2026_F]]-Table410[[#This Row],[Jun_2026_A]]</f>
        <v>0</v>
      </c>
      <c r="CO25" s="13">
        <f>IFERROR(Table410[[#This Row],[Jul_2026_Days_Forecast]]*Table410[[#This Row],[Cost Boolean]]*(VLOOKUP(Table410[[#This Row],[RATE CONCAT]],Tables!I:N,5,0)),0)</f>
        <v>0</v>
      </c>
      <c r="CP25" s="13">
        <f>IFERROR(Table410[[#This Row],[Jul_2026_Days_Actual]]*Table410[[#This Row],[Cost Boolean]]*(VLOOKUP(Table410[[#This Row],[RATE CONCAT]],Tables!I:N,5,0)),0)</f>
        <v>0</v>
      </c>
      <c r="CQ25" s="13">
        <f>Table410[[#This Row],[Jul_2026_F]]-Table410[[#This Row],[Jul_2026_A]]</f>
        <v>0</v>
      </c>
      <c r="CS25" s="13">
        <f>IFERROR(Table410[[#This Row],[Aug_2026_Days_Forecast]]*Table410[[#This Row],[Cost Boolean]]*(VLOOKUP(Table410[[#This Row],[RATE CONCAT]],Tables!I:N,5,0)),0)</f>
        <v>0</v>
      </c>
      <c r="CT25" s="13">
        <f>IFERROR(Table410[[#This Row],[Aug_2026_Days_Actual]]*Table410[[#This Row],[Cost Boolean]]*(VLOOKUP(Table410[[#This Row],[RATE CONCAT]],Tables!I:N,5,0)),0)</f>
        <v>0</v>
      </c>
      <c r="CU25" s="13">
        <f>Table410[[#This Row],[Aug_2026_F]]-Table410[[#This Row],[Aug_2026_A]]</f>
        <v>0</v>
      </c>
      <c r="CW25" s="13">
        <f>IFERROR(Table410[[#This Row],[Sep_2026_Days_Forecast]]*Table410[[#This Row],[Cost Boolean]]*(VLOOKUP(Table410[[#This Row],[RATE CONCAT]],Tables!I:N,5,0)),0)</f>
        <v>0</v>
      </c>
      <c r="CX25" s="13">
        <f>IFERROR(Table410[[#This Row],[Sep_2026_Days_Actual]]*Table410[[#This Row],[Cost Boolean]]*(VLOOKUP(Table410[[#This Row],[RATE CONCAT]],Tables!I:N,5,0)),0)</f>
        <v>0</v>
      </c>
      <c r="CY25" s="13">
        <f>Table410[[#This Row],[Sep_2026_F]]-Table410[[#This Row],[Sep_2026_A]]</f>
        <v>0</v>
      </c>
      <c r="DA25" s="13">
        <f>IFERROR(Table410[[#This Row],[Oct_2026_Days_Forecast]]*Table410[[#This Row],[Cost Boolean]]*(VLOOKUP(Table410[[#This Row],[RATE CONCAT]],Tables!I:N,5,0)),0)</f>
        <v>0</v>
      </c>
      <c r="DB25" s="13">
        <f>IFERROR(Table410[[#This Row],[Oct_2026_Days_Actual]]*Table410[[#This Row],[Cost Boolean]]*(VLOOKUP(Table410[[#This Row],[RATE CONCAT]],Tables!I:N,5,0)),0)</f>
        <v>0</v>
      </c>
      <c r="DC25" s="13">
        <f>Table410[[#This Row],[Oct_2026_F]]-Table410[[#This Row],[Oct_2026_A]]</f>
        <v>0</v>
      </c>
      <c r="DE25" s="13">
        <f>IFERROR(Table410[[#This Row],[Nov_2026_Days_Forecast]]*Table410[[#This Row],[Cost Boolean]]*(VLOOKUP(Table410[[#This Row],[RATE CONCAT]],Tables!I:N,5,0)),0)</f>
        <v>0</v>
      </c>
      <c r="DF25" s="13">
        <f>IFERROR(Table410[[#This Row],[Nov_2026_Days_Actual]]*Table410[[#This Row],[Cost Boolean]]*(VLOOKUP(Table410[[#This Row],[RATE CONCAT]],Tables!I:N,5,0)),0)</f>
        <v>0</v>
      </c>
      <c r="DG25" s="13">
        <f>Table410[[#This Row],[Nov_2026_F]]-Table410[[#This Row],[Nov_2026_A]]</f>
        <v>0</v>
      </c>
      <c r="DI25" s="13">
        <f>IFERROR(Table410[[#This Row],[Dec_2026_Days_Forecast]]*Table410[[#This Row],[Cost Boolean]]*(VLOOKUP(Table410[[#This Row],[RATE CONCAT]],Tables!I:N,5,0)),0)</f>
        <v>0</v>
      </c>
      <c r="DJ25" s="13">
        <f>IFERROR(Table410[[#This Row],[Dec_2026_Days_Actual]]*Table410[[#This Row],[Cost Boolean]]*(VLOOKUP(Table410[[#This Row],[RATE CONCAT]],Tables!I:N,5,0)),0)</f>
        <v>0</v>
      </c>
      <c r="DK25" s="13">
        <f>Table410[[#This Row],[Dec_2026_F]]-Table410[[#This Row],[Dec_2026_A]]</f>
        <v>0</v>
      </c>
      <c r="DN25" s="13">
        <f>IFERROR(Table410[[#This Row],[Jan_2027_Days_Forecast]]*Table410[[#This Row],[Cost Boolean]]*(VLOOKUP(Table410[[#This Row],[RATE CONCAT]],Tables!I:N,6,0)),0)</f>
        <v>0</v>
      </c>
      <c r="DP25" s="13">
        <f>Table410[[#This Row],[Jan_2027_F]]-Table410[[#This Row],[Jan_2027_A]]</f>
        <v>0</v>
      </c>
      <c r="DQ25" s="13">
        <f>IFERROR(Table410[[#This Row],[Feb_2027_Days_Forecast]]*Table410[[#This Row],[Cost Boolean]]*(VLOOKUP(Table410[[#This Row],[RATE CONCAT]],Tables!I:N,6,0)),0)</f>
        <v>0</v>
      </c>
      <c r="DS25" s="13">
        <f>Table410[[#This Row],[Feb_2027_F]]-Table410[[#This Row],[Feb_2027_A]]</f>
        <v>0</v>
      </c>
      <c r="DT25" s="13">
        <f>IFERROR(Table410[[#This Row],[Mar_2027_Days_Forecast]]*Table410[[#This Row],[Cost Boolean]]*(VLOOKUP(Table410[[#This Row],[RATE CONCAT]],Tables!I:N,6,0)),0)</f>
        <v>0</v>
      </c>
      <c r="DV25" s="13">
        <f>Table410[[#This Row],[Mar_2027_F]]-Table410[[#This Row],[Mar_2027_A]]</f>
        <v>0</v>
      </c>
      <c r="DW25" s="13">
        <f>IFERROR(Table410[[#This Row],[Apr_2027_Days_Forecast]]*Table410[[#This Row],[Cost Boolean]]*(VLOOKUP(Table410[[#This Row],[RATE CONCAT]],Tables!I:N,6,0)),0)</f>
        <v>0</v>
      </c>
      <c r="DY25" s="13">
        <f>Table410[[#This Row],[Apr_2027_F]]-Table410[[#This Row],[Apr_2027_A]]</f>
        <v>0</v>
      </c>
      <c r="DZ25" s="13">
        <f>IFERROR(Table410[[#This Row],[May_2027_Days_Forecast]]*Table410[[#This Row],[Cost Boolean]]*(VLOOKUP(Table410[[#This Row],[RATE CONCAT]],Tables!I:N,6,0)),0)</f>
        <v>0</v>
      </c>
      <c r="EB25" s="13">
        <f>Table410[[#This Row],[May_2027_F]]-Table410[[#This Row],[May_2027_A]]</f>
        <v>0</v>
      </c>
      <c r="EC25" s="13">
        <f>IFERROR(Table410[[#This Row],[Jun_2027_Days_Forecast]]*Table410[[#This Row],[Cost Boolean]]*(VLOOKUP(Table410[[#This Row],[RATE CONCAT]],Tables!I:N,6,0)),0)</f>
        <v>0</v>
      </c>
      <c r="EE25" s="13">
        <f>Table410[[#This Row],[Jun_2027_F]]-Table410[[#This Row],[Jun_2027_A]]</f>
        <v>0</v>
      </c>
      <c r="EF25" s="13">
        <f>IFERROR(Table410[[#This Row],[Jul_2027_Days_Forecast]]*Table410[[#This Row],[Cost Boolean]]*(VLOOKUP(Table410[[#This Row],[RATE CONCAT]],Tables!I:N,6,0)),0)</f>
        <v>0</v>
      </c>
      <c r="EH25" s="13">
        <f>Table410[[#This Row],[Jul_2027_F]]-Table410[[#This Row],[Jul_2027_A]]</f>
        <v>0</v>
      </c>
      <c r="EI25" s="13">
        <f>IFERROR(Table410[[#This Row],[Aug_2027_Days_Forecast]]*Table410[[#This Row],[Cost Boolean]]*(VLOOKUP(Table410[[#This Row],[RATE CONCAT]],Tables!I:N,6,0)),0)</f>
        <v>0</v>
      </c>
      <c r="EK25" s="13">
        <f>Table410[[#This Row],[Aug_2027_F]]-Table410[[#This Row],[Aug_2027_A]]</f>
        <v>0</v>
      </c>
      <c r="EL25" s="13">
        <f>IFERROR(Table410[[#This Row],[Sep_2027_Days_Forecast]]*Table410[[#This Row],[Cost Boolean]]*(VLOOKUP(Table410[[#This Row],[RATE CONCAT]],Tables!I:N,6,0)),0)</f>
        <v>0</v>
      </c>
      <c r="EN25" s="13">
        <f>Table410[[#This Row],[Sep_2027_F]]-Table410[[#This Row],[Sep_2027_A]]</f>
        <v>0</v>
      </c>
      <c r="EO25" s="13">
        <f>IFERROR(Table410[[#This Row],[Oct_2027_Days_Forecast]]*Table410[[#This Row],[Cost Boolean]]*(VLOOKUP(Table410[[#This Row],[RATE CONCAT]],Tables!I:N,6,0)),0)</f>
        <v>0</v>
      </c>
      <c r="EQ25" s="13">
        <f>Table410[[#This Row],[Oct_2027_F]]-Table410[[#This Row],[Oct_2027_A]]</f>
        <v>0</v>
      </c>
      <c r="ER25" s="13">
        <f>IFERROR(Table410[[#This Row],[Nov_2027_Days_Forecast]]*Table410[[#This Row],[Cost Boolean]]*(VLOOKUP(Table410[[#This Row],[RATE CONCAT]],Tables!I:N,6,0)),0)</f>
        <v>0</v>
      </c>
      <c r="ET25" s="13">
        <f>Table410[[#This Row],[Nov_2027_F]]-Table410[[#This Row],[Nov_2027_A]]</f>
        <v>0</v>
      </c>
      <c r="EU25" s="13">
        <f>IFERROR(Table410[[#This Row],[Dec_2027_Days_Forecast]]*Table410[[#This Row],[Cost Boolean]]*(VLOOKUP(Table410[[#This Row],[RATE CONCAT]],Tables!I:N,6,0)),0)</f>
        <v>0</v>
      </c>
      <c r="EW25" s="13">
        <f>Table410[[#This Row],[Dec_2027_F]]-Table410[[#This Row],[Dec_2027_A]]</f>
        <v>0</v>
      </c>
    </row>
    <row r="26" spans="1:153" s="13" customFormat="1" ht="15" customHeight="1">
      <c r="A26" s="13" t="s">
        <v>296</v>
      </c>
      <c r="B26" s="13" t="s">
        <v>46</v>
      </c>
      <c r="C26" s="13" t="s">
        <v>219</v>
      </c>
      <c r="D26" s="13" t="s">
        <v>297</v>
      </c>
      <c r="E26" s="13" t="s">
        <v>221</v>
      </c>
      <c r="G26" s="13" t="s">
        <v>222</v>
      </c>
      <c r="H26" s="13">
        <v>3</v>
      </c>
      <c r="J26" s="13" t="s">
        <v>298</v>
      </c>
      <c r="K26" s="13" t="s">
        <v>224</v>
      </c>
      <c r="L26" s="13">
        <v>1</v>
      </c>
      <c r="M26" s="13" t="s">
        <v>225</v>
      </c>
      <c r="N26" s="13" t="s">
        <v>299</v>
      </c>
      <c r="O26" s="13" t="s">
        <v>227</v>
      </c>
      <c r="P26" s="13" t="s">
        <v>53</v>
      </c>
      <c r="Q26" s="13" t="s">
        <v>228</v>
      </c>
      <c r="R26" s="193">
        <v>46023</v>
      </c>
      <c r="S26" s="193">
        <v>46387</v>
      </c>
      <c r="T26" s="193">
        <v>46054</v>
      </c>
      <c r="U26" s="193">
        <v>46387</v>
      </c>
      <c r="V26" s="193">
        <v>46023</v>
      </c>
      <c r="W26" s="193">
        <v>46387</v>
      </c>
      <c r="Y26" s="13" t="str">
        <f>CONCATENATE(Table410[[#This Row],[JG]],Table410[[#This Row],[Country]],Table410[[#This Row],[Resource Provider]])</f>
        <v>3United KingdomShell Business</v>
      </c>
      <c r="Z26" s="13">
        <f>VLOOKUP(Table410[[#This Row],[RATE CONCAT]],Tables!I:N,5,0)</f>
        <v>850</v>
      </c>
      <c r="AA26" s="52"/>
      <c r="AB26" s="130">
        <v>5</v>
      </c>
      <c r="AC26" s="130">
        <v>5</v>
      </c>
      <c r="AD26" s="130">
        <v>5</v>
      </c>
      <c r="AE26" s="130">
        <v>5</v>
      </c>
      <c r="AF26" s="130">
        <v>5</v>
      </c>
      <c r="AG26" s="130">
        <v>4</v>
      </c>
      <c r="AH26" s="130">
        <v>5</v>
      </c>
      <c r="AI26" s="130">
        <v>5</v>
      </c>
      <c r="AJ26" s="130">
        <v>5</v>
      </c>
      <c r="AK26" s="130">
        <v>5</v>
      </c>
      <c r="AL26" s="130">
        <v>5</v>
      </c>
      <c r="AM26" s="130">
        <v>4</v>
      </c>
      <c r="AN26" s="176">
        <f>IFERROR(AVERAGE(Table410[[#This Row],[Jan_2026_Days_Forecast]:[Dec_2026_Days_Forecast]]),0)/19</f>
        <v>0.25438596491228066</v>
      </c>
      <c r="AO26" s="176">
        <f>IFERROR(AVERAGE(Table410[[#This Row],[Jan_2026_Days_Actual]:[Dec_2026_Days_Actual]]),0)/19</f>
        <v>0.25438596491228066</v>
      </c>
      <c r="AP26" s="130">
        <v>5</v>
      </c>
      <c r="AQ26" s="130">
        <v>5</v>
      </c>
      <c r="AR26" s="130">
        <v>5</v>
      </c>
      <c r="AS26" s="130">
        <v>5</v>
      </c>
      <c r="AT26" s="130">
        <v>5</v>
      </c>
      <c r="AU26" s="130">
        <v>4</v>
      </c>
      <c r="AV26" s="130">
        <v>5</v>
      </c>
      <c r="AW26" s="130">
        <v>5</v>
      </c>
      <c r="AX26" s="130">
        <v>5</v>
      </c>
      <c r="AY26" s="130">
        <v>5</v>
      </c>
      <c r="AZ26" s="130">
        <v>5</v>
      </c>
      <c r="BA26" s="130">
        <v>4</v>
      </c>
      <c r="BB26" s="176">
        <f>IFERROR(AVERAGE(Table410[[#This Row],[Jan_2027_Days_Forecast]:[Dec_2027_Days_Forecast]]),0)</f>
        <v>0</v>
      </c>
      <c r="BC26" s="127"/>
      <c r="BD26" s="127"/>
      <c r="BE26" s="127"/>
      <c r="BF26" s="127"/>
      <c r="BG26" s="127"/>
      <c r="BH26" s="127"/>
      <c r="BI26" s="127"/>
      <c r="BJ26" s="127"/>
      <c r="BK26" s="127"/>
      <c r="BL26" s="127"/>
      <c r="BM26" s="127"/>
      <c r="BN26" s="127"/>
      <c r="BO26" s="176"/>
      <c r="BP26" s="176"/>
      <c r="BQ26" s="13">
        <f>IFERROR(Table410[[#This Row],[Jan_2026_Days_Forecast]]*Table410[[#This Row],[Cost Boolean]]*(VLOOKUP(Table410[[#This Row],[RATE CONCAT]],Tables!I:N,5,0)),0)</f>
        <v>4250</v>
      </c>
      <c r="BR26" s="13">
        <f>IFERROR(Table410[[#This Row],[Jan_2026_Days_Actual]]*Table410[[#This Row],[Cost Boolean]]*(VLOOKUP(Table410[[#This Row],[RATE CONCAT]],Tables!I:N,5,0)),0)</f>
        <v>4250</v>
      </c>
      <c r="BS26" s="13">
        <f>Table410[[#This Row],[Jan_2026_F]]-Table410[[#This Row],[Jan_2026_A]]</f>
        <v>0</v>
      </c>
      <c r="BU26" s="13">
        <f>IFERROR(Table410[[#This Row],[Feb_2026_Days_Forecast]]*Table410[[#This Row],[Cost Boolean]]*(VLOOKUP(Table410[[#This Row],[RATE CONCAT]],Tables!I:N,5,0)),0)</f>
        <v>4250</v>
      </c>
      <c r="BV26" s="13">
        <f>IFERROR(Table410[[#This Row],[Feb_2026_Days_Actual]]*Table410[[#This Row],[Cost Boolean]]*(VLOOKUP(Table410[[#This Row],[RATE CONCAT]],Tables!I:N,5,0)),0)</f>
        <v>4250</v>
      </c>
      <c r="BW26" s="13">
        <f>Table410[[#This Row],[Feb_2026_F]]-Table410[[#This Row],[Feb_2026_A]]</f>
        <v>0</v>
      </c>
      <c r="BY26" s="13">
        <f>IFERROR(Table410[[#This Row],[Mar_2026_Days_Forecast]]*Table410[[#This Row],[Cost Boolean]]*(VLOOKUP(Table410[[#This Row],[RATE CONCAT]],Tables!I:N,5,0)),0)</f>
        <v>4250</v>
      </c>
      <c r="BZ26" s="13">
        <f>IFERROR(Table410[[#This Row],[Mar_2026_Days_Actual]]*Table410[[#This Row],[Cost Boolean]]*(VLOOKUP(Table410[[#This Row],[RATE CONCAT]],Tables!I:N,5,0)),0)</f>
        <v>4250</v>
      </c>
      <c r="CA26" s="13">
        <f>Table410[[#This Row],[Mar_2026_F]]-Table410[[#This Row],[Mar_2026_A]]</f>
        <v>0</v>
      </c>
      <c r="CC26" s="13">
        <f>IFERROR(Table410[[#This Row],[Apr_2026_Days_Forecast]]*Table410[[#This Row],[Cost Boolean]]*(VLOOKUP(Table410[[#This Row],[RATE CONCAT]],Tables!I:N,5,0)),0)</f>
        <v>4250</v>
      </c>
      <c r="CD26" s="13">
        <f>IFERROR(Table410[[#This Row],[Apr_2026_Days_Actual]]*Table410[[#This Row],[Cost Boolean]]*(VLOOKUP(Table410[[#This Row],[RATE CONCAT]],Tables!I:N,5,0)),0)</f>
        <v>4250</v>
      </c>
      <c r="CE26" s="13">
        <f>Table410[[#This Row],[Apr_2026_F]]-Table410[[#This Row],[Apr_2026_A]]</f>
        <v>0</v>
      </c>
      <c r="CG26" s="13">
        <f>IFERROR(Table410[[#This Row],[May_2026_Days_Forecast]] *Table410[[#This Row],[Cost Boolean]]*(VLOOKUP(Table410[[#This Row],[RATE CONCAT]],Tables!I:N,5,0)),0)</f>
        <v>4250</v>
      </c>
      <c r="CH26" s="13">
        <f>IFERROR(Table410[[#This Row],[May_2026_Days_Actual]]*Table410[[#This Row],[Cost Boolean]]*(VLOOKUP(Table410[[#This Row],[RATE CONCAT]],Tables!I:N,5,0)),0)</f>
        <v>4250</v>
      </c>
      <c r="CI26" s="13">
        <f>Table410[[#This Row],[May_2026_F]]-Table410[[#This Row],[May_2026_A]]</f>
        <v>0</v>
      </c>
      <c r="CK26" s="13">
        <f>IFERROR(Table410[[#This Row],[Jun_2026_Days_Forecast]]*Table410[[#This Row],[Cost Boolean]]*(VLOOKUP(Table410[[#This Row],[RATE CONCAT]],Tables!I:N,5,0)),0)</f>
        <v>3400</v>
      </c>
      <c r="CL26" s="13">
        <f>IFERROR(Table410[[#This Row],[Jun_2026_Days_Actual]]*Table410[[#This Row],[Cost Boolean]]*(VLOOKUP(Table410[[#This Row],[RATE CONCAT]],Tables!I:N,5,0)),0)</f>
        <v>3400</v>
      </c>
      <c r="CM26" s="13">
        <f>Table410[[#This Row],[Jun_2026_F]]-Table410[[#This Row],[Jun_2026_A]]</f>
        <v>0</v>
      </c>
      <c r="CO26" s="13">
        <f>IFERROR(Table410[[#This Row],[Jul_2026_Days_Forecast]]*Table410[[#This Row],[Cost Boolean]]*(VLOOKUP(Table410[[#This Row],[RATE CONCAT]],Tables!I:N,5,0)),0)</f>
        <v>4250</v>
      </c>
      <c r="CP26" s="13">
        <f>IFERROR(Table410[[#This Row],[Jul_2026_Days_Actual]]*Table410[[#This Row],[Cost Boolean]]*(VLOOKUP(Table410[[#This Row],[RATE CONCAT]],Tables!I:N,5,0)),0)</f>
        <v>4250</v>
      </c>
      <c r="CQ26" s="13">
        <f>Table410[[#This Row],[Jul_2026_F]]-Table410[[#This Row],[Jul_2026_A]]</f>
        <v>0</v>
      </c>
      <c r="CS26" s="13">
        <f>IFERROR(Table410[[#This Row],[Aug_2026_Days_Forecast]]*Table410[[#This Row],[Cost Boolean]]*(VLOOKUP(Table410[[#This Row],[RATE CONCAT]],Tables!I:N,5,0)),0)</f>
        <v>4250</v>
      </c>
      <c r="CT26" s="13">
        <f>IFERROR(Table410[[#This Row],[Aug_2026_Days_Actual]]*Table410[[#This Row],[Cost Boolean]]*(VLOOKUP(Table410[[#This Row],[RATE CONCAT]],Tables!I:N,5,0)),0)</f>
        <v>4250</v>
      </c>
      <c r="CU26" s="13">
        <f>Table410[[#This Row],[Aug_2026_F]]-Table410[[#This Row],[Aug_2026_A]]</f>
        <v>0</v>
      </c>
      <c r="CW26" s="13">
        <f>IFERROR(Table410[[#This Row],[Sep_2026_Days_Forecast]]*Table410[[#This Row],[Cost Boolean]]*(VLOOKUP(Table410[[#This Row],[RATE CONCAT]],Tables!I:N,5,0)),0)</f>
        <v>4250</v>
      </c>
      <c r="CX26" s="13">
        <f>IFERROR(Table410[[#This Row],[Sep_2026_Days_Actual]]*Table410[[#This Row],[Cost Boolean]]*(VLOOKUP(Table410[[#This Row],[RATE CONCAT]],Tables!I:N,5,0)),0)</f>
        <v>4250</v>
      </c>
      <c r="CY26" s="13">
        <f>Table410[[#This Row],[Sep_2026_F]]-Table410[[#This Row],[Sep_2026_A]]</f>
        <v>0</v>
      </c>
      <c r="DA26" s="13">
        <f>IFERROR(Table410[[#This Row],[Oct_2026_Days_Forecast]]*Table410[[#This Row],[Cost Boolean]]*(VLOOKUP(Table410[[#This Row],[RATE CONCAT]],Tables!I:N,5,0)),0)</f>
        <v>4250</v>
      </c>
      <c r="DB26" s="13">
        <f>IFERROR(Table410[[#This Row],[Oct_2026_Days_Actual]]*Table410[[#This Row],[Cost Boolean]]*(VLOOKUP(Table410[[#This Row],[RATE CONCAT]],Tables!I:N,5,0)),0)</f>
        <v>4250</v>
      </c>
      <c r="DC26" s="13">
        <f>Table410[[#This Row],[Oct_2026_F]]-Table410[[#This Row],[Oct_2026_A]]</f>
        <v>0</v>
      </c>
      <c r="DE26" s="13">
        <f>IFERROR(Table410[[#This Row],[Nov_2026_Days_Forecast]]*Table410[[#This Row],[Cost Boolean]]*(VLOOKUP(Table410[[#This Row],[RATE CONCAT]],Tables!I:N,5,0)),0)</f>
        <v>4250</v>
      </c>
      <c r="DF26" s="13">
        <f>IFERROR(Table410[[#This Row],[Nov_2026_Days_Actual]]*Table410[[#This Row],[Cost Boolean]]*(VLOOKUP(Table410[[#This Row],[RATE CONCAT]],Tables!I:N,5,0)),0)</f>
        <v>4250</v>
      </c>
      <c r="DG26" s="13">
        <f>Table410[[#This Row],[Nov_2026_F]]-Table410[[#This Row],[Nov_2026_A]]</f>
        <v>0</v>
      </c>
      <c r="DI26" s="13">
        <f>IFERROR(Table410[[#This Row],[Dec_2026_Days_Forecast]]*Table410[[#This Row],[Cost Boolean]]*(VLOOKUP(Table410[[#This Row],[RATE CONCAT]],Tables!I:N,5,0)),0)</f>
        <v>3400</v>
      </c>
      <c r="DJ26" s="13">
        <f>IFERROR(Table410[[#This Row],[Dec_2026_Days_Actual]]*Table410[[#This Row],[Cost Boolean]]*(VLOOKUP(Table410[[#This Row],[RATE CONCAT]],Tables!I:N,5,0)),0)</f>
        <v>3400</v>
      </c>
      <c r="DK26" s="13">
        <f>Table410[[#This Row],[Dec_2026_F]]-Table410[[#This Row],[Dec_2026_A]]</f>
        <v>0</v>
      </c>
      <c r="DN26" s="13">
        <f>IFERROR(Table410[[#This Row],[Jan_2027_Days_Forecast]]*Table410[[#This Row],[Cost Boolean]]*(VLOOKUP(Table410[[#This Row],[RATE CONCAT]],Tables!I:N,6,0)),0)</f>
        <v>0</v>
      </c>
      <c r="DP26" s="13">
        <f>Table410[[#This Row],[Jan_2027_F]]-Table410[[#This Row],[Jan_2027_A]]</f>
        <v>0</v>
      </c>
      <c r="DQ26" s="13">
        <f>IFERROR(Table410[[#This Row],[Feb_2027_Days_Forecast]]*Table410[[#This Row],[Cost Boolean]]*(VLOOKUP(Table410[[#This Row],[RATE CONCAT]],Tables!I:N,6,0)),0)</f>
        <v>0</v>
      </c>
      <c r="DS26" s="13">
        <f>Table410[[#This Row],[Feb_2027_F]]-Table410[[#This Row],[Feb_2027_A]]</f>
        <v>0</v>
      </c>
      <c r="DT26" s="13">
        <f>IFERROR(Table410[[#This Row],[Mar_2027_Days_Forecast]]*Table410[[#This Row],[Cost Boolean]]*(VLOOKUP(Table410[[#This Row],[RATE CONCAT]],Tables!I:N,6,0)),0)</f>
        <v>0</v>
      </c>
      <c r="DV26" s="13">
        <f>Table410[[#This Row],[Mar_2027_F]]-Table410[[#This Row],[Mar_2027_A]]</f>
        <v>0</v>
      </c>
      <c r="DW26" s="13">
        <f>IFERROR(Table410[[#This Row],[Apr_2027_Days_Forecast]]*Table410[[#This Row],[Cost Boolean]]*(VLOOKUP(Table410[[#This Row],[RATE CONCAT]],Tables!I:N,6,0)),0)</f>
        <v>0</v>
      </c>
      <c r="DY26" s="13">
        <f>Table410[[#This Row],[Apr_2027_F]]-Table410[[#This Row],[Apr_2027_A]]</f>
        <v>0</v>
      </c>
      <c r="DZ26" s="13">
        <f>IFERROR(Table410[[#This Row],[May_2027_Days_Forecast]]*Table410[[#This Row],[Cost Boolean]]*(VLOOKUP(Table410[[#This Row],[RATE CONCAT]],Tables!I:N,6,0)),0)</f>
        <v>0</v>
      </c>
      <c r="EB26" s="13">
        <f>Table410[[#This Row],[May_2027_F]]-Table410[[#This Row],[May_2027_A]]</f>
        <v>0</v>
      </c>
      <c r="EC26" s="13">
        <f>IFERROR(Table410[[#This Row],[Jun_2027_Days_Forecast]]*Table410[[#This Row],[Cost Boolean]]*(VLOOKUP(Table410[[#This Row],[RATE CONCAT]],Tables!I:N,6,0)),0)</f>
        <v>0</v>
      </c>
      <c r="EE26" s="13">
        <f>Table410[[#This Row],[Jun_2027_F]]-Table410[[#This Row],[Jun_2027_A]]</f>
        <v>0</v>
      </c>
      <c r="EF26" s="13">
        <f>IFERROR(Table410[[#This Row],[Jul_2027_Days_Forecast]]*Table410[[#This Row],[Cost Boolean]]*(VLOOKUP(Table410[[#This Row],[RATE CONCAT]],Tables!I:N,6,0)),0)</f>
        <v>0</v>
      </c>
      <c r="EH26" s="13">
        <f>Table410[[#This Row],[Jul_2027_F]]-Table410[[#This Row],[Jul_2027_A]]</f>
        <v>0</v>
      </c>
      <c r="EI26" s="13">
        <f>IFERROR(Table410[[#This Row],[Aug_2027_Days_Forecast]]*Table410[[#This Row],[Cost Boolean]]*(VLOOKUP(Table410[[#This Row],[RATE CONCAT]],Tables!I:N,6,0)),0)</f>
        <v>0</v>
      </c>
      <c r="EK26" s="13">
        <f>Table410[[#This Row],[Aug_2027_F]]-Table410[[#This Row],[Aug_2027_A]]</f>
        <v>0</v>
      </c>
      <c r="EL26" s="13">
        <f>IFERROR(Table410[[#This Row],[Sep_2027_Days_Forecast]]*Table410[[#This Row],[Cost Boolean]]*(VLOOKUP(Table410[[#This Row],[RATE CONCAT]],Tables!I:N,6,0)),0)</f>
        <v>0</v>
      </c>
      <c r="EN26" s="13">
        <f>Table410[[#This Row],[Sep_2027_F]]-Table410[[#This Row],[Sep_2027_A]]</f>
        <v>0</v>
      </c>
      <c r="EO26" s="13">
        <f>IFERROR(Table410[[#This Row],[Oct_2027_Days_Forecast]]*Table410[[#This Row],[Cost Boolean]]*(VLOOKUP(Table410[[#This Row],[RATE CONCAT]],Tables!I:N,6,0)),0)</f>
        <v>0</v>
      </c>
      <c r="EQ26" s="13">
        <f>Table410[[#This Row],[Oct_2027_F]]-Table410[[#This Row],[Oct_2027_A]]</f>
        <v>0</v>
      </c>
      <c r="ER26" s="13">
        <f>IFERROR(Table410[[#This Row],[Nov_2027_Days_Forecast]]*Table410[[#This Row],[Cost Boolean]]*(VLOOKUP(Table410[[#This Row],[RATE CONCAT]],Tables!I:N,6,0)),0)</f>
        <v>0</v>
      </c>
      <c r="ET26" s="13">
        <f>Table410[[#This Row],[Nov_2027_F]]-Table410[[#This Row],[Nov_2027_A]]</f>
        <v>0</v>
      </c>
      <c r="EU26" s="13">
        <f>IFERROR(Table410[[#This Row],[Dec_2027_Days_Forecast]]*Table410[[#This Row],[Cost Boolean]]*(VLOOKUP(Table410[[#This Row],[RATE CONCAT]],Tables!I:N,6,0)),0)</f>
        <v>0</v>
      </c>
      <c r="EW26" s="13">
        <f>Table410[[#This Row],[Dec_2027_F]]-Table410[[#This Row],[Dec_2027_A]]</f>
        <v>0</v>
      </c>
    </row>
    <row r="27" spans="1:153" s="13" customFormat="1" ht="15" customHeight="1">
      <c r="A27" s="13" t="s">
        <v>300</v>
      </c>
      <c r="B27" s="13" t="s">
        <v>44</v>
      </c>
      <c r="C27" s="13" t="s">
        <v>219</v>
      </c>
      <c r="D27" s="13" t="s">
        <v>301</v>
      </c>
      <c r="E27" s="13" t="s">
        <v>221</v>
      </c>
      <c r="G27" s="13" t="s">
        <v>231</v>
      </c>
      <c r="H27" s="13">
        <v>3</v>
      </c>
      <c r="J27" s="13" t="s">
        <v>286</v>
      </c>
      <c r="K27" s="13" t="s">
        <v>224</v>
      </c>
      <c r="L27" s="13">
        <v>0</v>
      </c>
      <c r="M27" s="13" t="s">
        <v>233</v>
      </c>
      <c r="N27" s="13" t="s">
        <v>241</v>
      </c>
      <c r="O27" s="13" t="s">
        <v>260</v>
      </c>
      <c r="P27" s="13" t="s">
        <v>53</v>
      </c>
      <c r="Q27" s="13" t="s">
        <v>228</v>
      </c>
      <c r="R27" s="193">
        <v>46023</v>
      </c>
      <c r="S27" s="193">
        <v>46387</v>
      </c>
      <c r="T27" s="193">
        <v>46023</v>
      </c>
      <c r="U27" s="193">
        <v>46387</v>
      </c>
      <c r="V27" s="193">
        <v>46023</v>
      </c>
      <c r="W27" s="193">
        <v>46387</v>
      </c>
      <c r="Y27" s="13" t="str">
        <f>CONCATENATE(Table410[[#This Row],[JG]],Table410[[#This Row],[Country]],Table410[[#This Row],[Resource Provider]])</f>
        <v>3United StatesShell Business</v>
      </c>
      <c r="Z27" s="13">
        <f>VLOOKUP(Table410[[#This Row],[RATE CONCAT]],Tables!I:N,5,0)</f>
        <v>1155</v>
      </c>
      <c r="AA27" s="52"/>
      <c r="AB27" s="130">
        <v>5</v>
      </c>
      <c r="AC27" s="130">
        <v>5</v>
      </c>
      <c r="AD27" s="130">
        <v>5</v>
      </c>
      <c r="AE27" s="130">
        <v>5</v>
      </c>
      <c r="AF27" s="130">
        <v>5</v>
      </c>
      <c r="AG27" s="130">
        <v>4</v>
      </c>
      <c r="AH27" s="130">
        <v>5</v>
      </c>
      <c r="AI27" s="130">
        <v>5</v>
      </c>
      <c r="AJ27" s="130">
        <v>5</v>
      </c>
      <c r="AK27" s="130">
        <v>5</v>
      </c>
      <c r="AL27" s="130">
        <v>5</v>
      </c>
      <c r="AM27" s="130">
        <v>4</v>
      </c>
      <c r="AN27" s="176">
        <f>IFERROR(AVERAGE(Table410[[#This Row],[Jan_2026_Days_Forecast]:[Dec_2026_Days_Forecast]]),0)/19</f>
        <v>0.25438596491228066</v>
      </c>
      <c r="AO27" s="176">
        <f>IFERROR(AVERAGE(Table410[[#This Row],[Jan_2026_Days_Actual]:[Dec_2026_Days_Actual]]),0)/19</f>
        <v>0.25438596491228066</v>
      </c>
      <c r="AP27" s="130">
        <v>5</v>
      </c>
      <c r="AQ27" s="130">
        <v>5</v>
      </c>
      <c r="AR27" s="130">
        <v>5</v>
      </c>
      <c r="AS27" s="130">
        <v>5</v>
      </c>
      <c r="AT27" s="130">
        <v>5</v>
      </c>
      <c r="AU27" s="130">
        <v>4</v>
      </c>
      <c r="AV27" s="130">
        <v>5</v>
      </c>
      <c r="AW27" s="130">
        <v>5</v>
      </c>
      <c r="AX27" s="130">
        <v>5</v>
      </c>
      <c r="AY27" s="130">
        <v>5</v>
      </c>
      <c r="AZ27" s="130">
        <v>5</v>
      </c>
      <c r="BA27" s="130">
        <v>4</v>
      </c>
      <c r="BB27" s="176">
        <f>IFERROR(AVERAGE(Table410[[#This Row],[Jan_2027_Days_Forecast]:[Dec_2027_Days_Forecast]]),0)</f>
        <v>0</v>
      </c>
      <c r="BC27" s="127"/>
      <c r="BD27" s="127"/>
      <c r="BE27" s="127"/>
      <c r="BF27" s="127"/>
      <c r="BG27" s="127"/>
      <c r="BH27" s="127"/>
      <c r="BI27" s="127"/>
      <c r="BJ27" s="127"/>
      <c r="BK27" s="127"/>
      <c r="BL27" s="127"/>
      <c r="BM27" s="127"/>
      <c r="BN27" s="127"/>
      <c r="BO27" s="176"/>
      <c r="BP27" s="176"/>
      <c r="BQ27" s="13">
        <f>IFERROR(Table410[[#This Row],[Jan_2026_Days_Forecast]]*Table410[[#This Row],[Cost Boolean]]*(VLOOKUP(Table410[[#This Row],[RATE CONCAT]],Tables!I:N,5,0)),0)</f>
        <v>0</v>
      </c>
      <c r="BR27" s="13">
        <f>IFERROR(Table410[[#This Row],[Jan_2026_Days_Actual]]*Table410[[#This Row],[Cost Boolean]]*(VLOOKUP(Table410[[#This Row],[RATE CONCAT]],Tables!I:N,5,0)),0)</f>
        <v>0</v>
      </c>
      <c r="BS27" s="13">
        <f>Table410[[#This Row],[Jan_2026_F]]-Table410[[#This Row],[Jan_2026_A]]</f>
        <v>0</v>
      </c>
      <c r="BU27" s="13">
        <f>IFERROR(Table410[[#This Row],[Feb_2026_Days_Forecast]]*Table410[[#This Row],[Cost Boolean]]*(VLOOKUP(Table410[[#This Row],[RATE CONCAT]],Tables!I:N,5,0)),0)</f>
        <v>0</v>
      </c>
      <c r="BV27" s="13">
        <f>IFERROR(Table410[[#This Row],[Feb_2026_Days_Actual]]*Table410[[#This Row],[Cost Boolean]]*(VLOOKUP(Table410[[#This Row],[RATE CONCAT]],Tables!I:N,5,0)),0)</f>
        <v>0</v>
      </c>
      <c r="BW27" s="13">
        <f>Table410[[#This Row],[Feb_2026_F]]-Table410[[#This Row],[Feb_2026_A]]</f>
        <v>0</v>
      </c>
      <c r="BY27" s="13">
        <f>IFERROR(Table410[[#This Row],[Mar_2026_Days_Forecast]]*Table410[[#This Row],[Cost Boolean]]*(VLOOKUP(Table410[[#This Row],[RATE CONCAT]],Tables!I:N,5,0)),0)</f>
        <v>0</v>
      </c>
      <c r="BZ27" s="13">
        <f>IFERROR(Table410[[#This Row],[Mar_2026_Days_Actual]]*Table410[[#This Row],[Cost Boolean]]*(VLOOKUP(Table410[[#This Row],[RATE CONCAT]],Tables!I:N,5,0)),0)</f>
        <v>0</v>
      </c>
      <c r="CA27" s="13">
        <f>Table410[[#This Row],[Mar_2026_F]]-Table410[[#This Row],[Mar_2026_A]]</f>
        <v>0</v>
      </c>
      <c r="CC27" s="13">
        <f>IFERROR(Table410[[#This Row],[Apr_2026_Days_Forecast]]*Table410[[#This Row],[Cost Boolean]]*(VLOOKUP(Table410[[#This Row],[RATE CONCAT]],Tables!I:N,5,0)),0)</f>
        <v>0</v>
      </c>
      <c r="CD27" s="13">
        <f>IFERROR(Table410[[#This Row],[Apr_2026_Days_Actual]]*Table410[[#This Row],[Cost Boolean]]*(VLOOKUP(Table410[[#This Row],[RATE CONCAT]],Tables!I:N,5,0)),0)</f>
        <v>0</v>
      </c>
      <c r="CE27" s="13">
        <f>Table410[[#This Row],[Apr_2026_F]]-Table410[[#This Row],[Apr_2026_A]]</f>
        <v>0</v>
      </c>
      <c r="CG27" s="13">
        <f>IFERROR(Table410[[#This Row],[May_2026_Days_Forecast]] *Table410[[#This Row],[Cost Boolean]]*(VLOOKUP(Table410[[#This Row],[RATE CONCAT]],Tables!I:N,5,0)),0)</f>
        <v>0</v>
      </c>
      <c r="CH27" s="13">
        <f>IFERROR(Table410[[#This Row],[May_2026_Days_Actual]]*Table410[[#This Row],[Cost Boolean]]*(VLOOKUP(Table410[[#This Row],[RATE CONCAT]],Tables!I:N,5,0)),0)</f>
        <v>0</v>
      </c>
      <c r="CI27" s="13">
        <f>Table410[[#This Row],[May_2026_F]]-Table410[[#This Row],[May_2026_A]]</f>
        <v>0</v>
      </c>
      <c r="CK27" s="13">
        <f>IFERROR(Table410[[#This Row],[Jun_2026_Days_Forecast]]*Table410[[#This Row],[Cost Boolean]]*(VLOOKUP(Table410[[#This Row],[RATE CONCAT]],Tables!I:N,5,0)),0)</f>
        <v>0</v>
      </c>
      <c r="CL27" s="13">
        <f>IFERROR(Table410[[#This Row],[Jun_2026_Days_Actual]]*Table410[[#This Row],[Cost Boolean]]*(VLOOKUP(Table410[[#This Row],[RATE CONCAT]],Tables!I:N,5,0)),0)</f>
        <v>0</v>
      </c>
      <c r="CM27" s="13">
        <f>Table410[[#This Row],[Jun_2026_F]]-Table410[[#This Row],[Jun_2026_A]]</f>
        <v>0</v>
      </c>
      <c r="CO27" s="13">
        <f>IFERROR(Table410[[#This Row],[Jul_2026_Days_Forecast]]*Table410[[#This Row],[Cost Boolean]]*(VLOOKUP(Table410[[#This Row],[RATE CONCAT]],Tables!I:N,5,0)),0)</f>
        <v>0</v>
      </c>
      <c r="CP27" s="13">
        <f>IFERROR(Table410[[#This Row],[Jul_2026_Days_Actual]]*Table410[[#This Row],[Cost Boolean]]*(VLOOKUP(Table410[[#This Row],[RATE CONCAT]],Tables!I:N,5,0)),0)</f>
        <v>0</v>
      </c>
      <c r="CQ27" s="13">
        <f>Table410[[#This Row],[Jul_2026_F]]-Table410[[#This Row],[Jul_2026_A]]</f>
        <v>0</v>
      </c>
      <c r="CS27" s="13">
        <f>IFERROR(Table410[[#This Row],[Aug_2026_Days_Forecast]]*Table410[[#This Row],[Cost Boolean]]*(VLOOKUP(Table410[[#This Row],[RATE CONCAT]],Tables!I:N,5,0)),0)</f>
        <v>0</v>
      </c>
      <c r="CT27" s="13">
        <f>IFERROR(Table410[[#This Row],[Aug_2026_Days_Actual]]*Table410[[#This Row],[Cost Boolean]]*(VLOOKUP(Table410[[#This Row],[RATE CONCAT]],Tables!I:N,5,0)),0)</f>
        <v>0</v>
      </c>
      <c r="CU27" s="13">
        <f>Table410[[#This Row],[Aug_2026_F]]-Table410[[#This Row],[Aug_2026_A]]</f>
        <v>0</v>
      </c>
      <c r="CW27" s="13">
        <f>IFERROR(Table410[[#This Row],[Sep_2026_Days_Forecast]]*Table410[[#This Row],[Cost Boolean]]*(VLOOKUP(Table410[[#This Row],[RATE CONCAT]],Tables!I:N,5,0)),0)</f>
        <v>0</v>
      </c>
      <c r="CX27" s="13">
        <f>IFERROR(Table410[[#This Row],[Sep_2026_Days_Actual]]*Table410[[#This Row],[Cost Boolean]]*(VLOOKUP(Table410[[#This Row],[RATE CONCAT]],Tables!I:N,5,0)),0)</f>
        <v>0</v>
      </c>
      <c r="CY27" s="13">
        <f>Table410[[#This Row],[Sep_2026_F]]-Table410[[#This Row],[Sep_2026_A]]</f>
        <v>0</v>
      </c>
      <c r="DA27" s="13">
        <f>IFERROR(Table410[[#This Row],[Oct_2026_Days_Forecast]]*Table410[[#This Row],[Cost Boolean]]*(VLOOKUP(Table410[[#This Row],[RATE CONCAT]],Tables!I:N,5,0)),0)</f>
        <v>0</v>
      </c>
      <c r="DB27" s="13">
        <f>IFERROR(Table410[[#This Row],[Oct_2026_Days_Actual]]*Table410[[#This Row],[Cost Boolean]]*(VLOOKUP(Table410[[#This Row],[RATE CONCAT]],Tables!I:N,5,0)),0)</f>
        <v>0</v>
      </c>
      <c r="DC27" s="13">
        <f>Table410[[#This Row],[Oct_2026_F]]-Table410[[#This Row],[Oct_2026_A]]</f>
        <v>0</v>
      </c>
      <c r="DE27" s="13">
        <f>IFERROR(Table410[[#This Row],[Nov_2026_Days_Forecast]]*Table410[[#This Row],[Cost Boolean]]*(VLOOKUP(Table410[[#This Row],[RATE CONCAT]],Tables!I:N,5,0)),0)</f>
        <v>0</v>
      </c>
      <c r="DF27" s="13">
        <f>IFERROR(Table410[[#This Row],[Nov_2026_Days_Actual]]*Table410[[#This Row],[Cost Boolean]]*(VLOOKUP(Table410[[#This Row],[RATE CONCAT]],Tables!I:N,5,0)),0)</f>
        <v>0</v>
      </c>
      <c r="DG27" s="13">
        <f>Table410[[#This Row],[Nov_2026_F]]-Table410[[#This Row],[Nov_2026_A]]</f>
        <v>0</v>
      </c>
      <c r="DI27" s="13">
        <f>IFERROR(Table410[[#This Row],[Dec_2026_Days_Forecast]]*Table410[[#This Row],[Cost Boolean]]*(VLOOKUP(Table410[[#This Row],[RATE CONCAT]],Tables!I:N,5,0)),0)</f>
        <v>0</v>
      </c>
      <c r="DJ27" s="13">
        <f>IFERROR(Table410[[#This Row],[Dec_2026_Days_Actual]]*Table410[[#This Row],[Cost Boolean]]*(VLOOKUP(Table410[[#This Row],[RATE CONCAT]],Tables!I:N,5,0)),0)</f>
        <v>0</v>
      </c>
      <c r="DK27" s="13">
        <f>Table410[[#This Row],[Dec_2026_F]]-Table410[[#This Row],[Dec_2026_A]]</f>
        <v>0</v>
      </c>
      <c r="DN27" s="13">
        <f>IFERROR(Table410[[#This Row],[Jan_2027_Days_Forecast]]*Table410[[#This Row],[Cost Boolean]]*(VLOOKUP(Table410[[#This Row],[RATE CONCAT]],Tables!I:N,6,0)),0)</f>
        <v>0</v>
      </c>
      <c r="DP27" s="13">
        <f>Table410[[#This Row],[Jan_2027_F]]-Table410[[#This Row],[Jan_2027_A]]</f>
        <v>0</v>
      </c>
      <c r="DQ27" s="13">
        <f>IFERROR(Table410[[#This Row],[Feb_2027_Days_Forecast]]*Table410[[#This Row],[Cost Boolean]]*(VLOOKUP(Table410[[#This Row],[RATE CONCAT]],Tables!I:N,6,0)),0)</f>
        <v>0</v>
      </c>
      <c r="DS27" s="13">
        <f>Table410[[#This Row],[Feb_2027_F]]-Table410[[#This Row],[Feb_2027_A]]</f>
        <v>0</v>
      </c>
      <c r="DT27" s="13">
        <f>IFERROR(Table410[[#This Row],[Mar_2027_Days_Forecast]]*Table410[[#This Row],[Cost Boolean]]*(VLOOKUP(Table410[[#This Row],[RATE CONCAT]],Tables!I:N,6,0)),0)</f>
        <v>0</v>
      </c>
      <c r="DV27" s="13">
        <f>Table410[[#This Row],[Mar_2027_F]]-Table410[[#This Row],[Mar_2027_A]]</f>
        <v>0</v>
      </c>
      <c r="DW27" s="13">
        <f>IFERROR(Table410[[#This Row],[Apr_2027_Days_Forecast]]*Table410[[#This Row],[Cost Boolean]]*(VLOOKUP(Table410[[#This Row],[RATE CONCAT]],Tables!I:N,6,0)),0)</f>
        <v>0</v>
      </c>
      <c r="DY27" s="13">
        <f>Table410[[#This Row],[Apr_2027_F]]-Table410[[#This Row],[Apr_2027_A]]</f>
        <v>0</v>
      </c>
      <c r="DZ27" s="13">
        <f>IFERROR(Table410[[#This Row],[May_2027_Days_Forecast]]*Table410[[#This Row],[Cost Boolean]]*(VLOOKUP(Table410[[#This Row],[RATE CONCAT]],Tables!I:N,6,0)),0)</f>
        <v>0</v>
      </c>
      <c r="EB27" s="13">
        <f>Table410[[#This Row],[May_2027_F]]-Table410[[#This Row],[May_2027_A]]</f>
        <v>0</v>
      </c>
      <c r="EC27" s="13">
        <f>IFERROR(Table410[[#This Row],[Jun_2027_Days_Forecast]]*Table410[[#This Row],[Cost Boolean]]*(VLOOKUP(Table410[[#This Row],[RATE CONCAT]],Tables!I:N,6,0)),0)</f>
        <v>0</v>
      </c>
      <c r="EE27" s="13">
        <f>Table410[[#This Row],[Jun_2027_F]]-Table410[[#This Row],[Jun_2027_A]]</f>
        <v>0</v>
      </c>
      <c r="EF27" s="13">
        <f>IFERROR(Table410[[#This Row],[Jul_2027_Days_Forecast]]*Table410[[#This Row],[Cost Boolean]]*(VLOOKUP(Table410[[#This Row],[RATE CONCAT]],Tables!I:N,6,0)),0)</f>
        <v>0</v>
      </c>
      <c r="EH27" s="13">
        <f>Table410[[#This Row],[Jul_2027_F]]-Table410[[#This Row],[Jul_2027_A]]</f>
        <v>0</v>
      </c>
      <c r="EI27" s="13">
        <f>IFERROR(Table410[[#This Row],[Aug_2027_Days_Forecast]]*Table410[[#This Row],[Cost Boolean]]*(VLOOKUP(Table410[[#This Row],[RATE CONCAT]],Tables!I:N,6,0)),0)</f>
        <v>0</v>
      </c>
      <c r="EK27" s="13">
        <f>Table410[[#This Row],[Aug_2027_F]]-Table410[[#This Row],[Aug_2027_A]]</f>
        <v>0</v>
      </c>
      <c r="EL27" s="13">
        <f>IFERROR(Table410[[#This Row],[Sep_2027_Days_Forecast]]*Table410[[#This Row],[Cost Boolean]]*(VLOOKUP(Table410[[#This Row],[RATE CONCAT]],Tables!I:N,6,0)),0)</f>
        <v>0</v>
      </c>
      <c r="EN27" s="13">
        <f>Table410[[#This Row],[Sep_2027_F]]-Table410[[#This Row],[Sep_2027_A]]</f>
        <v>0</v>
      </c>
      <c r="EO27" s="13">
        <f>IFERROR(Table410[[#This Row],[Oct_2027_Days_Forecast]]*Table410[[#This Row],[Cost Boolean]]*(VLOOKUP(Table410[[#This Row],[RATE CONCAT]],Tables!I:N,6,0)),0)</f>
        <v>0</v>
      </c>
      <c r="EQ27" s="13">
        <f>Table410[[#This Row],[Oct_2027_F]]-Table410[[#This Row],[Oct_2027_A]]</f>
        <v>0</v>
      </c>
      <c r="ER27" s="13">
        <f>IFERROR(Table410[[#This Row],[Nov_2027_Days_Forecast]]*Table410[[#This Row],[Cost Boolean]]*(VLOOKUP(Table410[[#This Row],[RATE CONCAT]],Tables!I:N,6,0)),0)</f>
        <v>0</v>
      </c>
      <c r="ET27" s="13">
        <f>Table410[[#This Row],[Nov_2027_F]]-Table410[[#This Row],[Nov_2027_A]]</f>
        <v>0</v>
      </c>
      <c r="EU27" s="13">
        <f>IFERROR(Table410[[#This Row],[Dec_2027_Days_Forecast]]*Table410[[#This Row],[Cost Boolean]]*(VLOOKUP(Table410[[#This Row],[RATE CONCAT]],Tables!I:N,6,0)),0)</f>
        <v>0</v>
      </c>
      <c r="EW27" s="13">
        <f>Table410[[#This Row],[Dec_2027_F]]-Table410[[#This Row],[Dec_2027_A]]</f>
        <v>0</v>
      </c>
    </row>
    <row r="28" spans="1:153" s="13" customFormat="1" ht="15" customHeight="1">
      <c r="A28" s="13" t="s">
        <v>302</v>
      </c>
      <c r="B28" s="13" t="s">
        <v>47</v>
      </c>
      <c r="C28" s="13" t="s">
        <v>219</v>
      </c>
      <c r="D28" s="13" t="s">
        <v>303</v>
      </c>
      <c r="E28" s="13" t="s">
        <v>221</v>
      </c>
      <c r="G28" s="13" t="s">
        <v>244</v>
      </c>
      <c r="H28" s="13">
        <v>2</v>
      </c>
      <c r="J28" s="13" t="s">
        <v>304</v>
      </c>
      <c r="K28" s="13" t="s">
        <v>224</v>
      </c>
      <c r="L28" s="13">
        <v>0</v>
      </c>
      <c r="M28" s="13" t="s">
        <v>245</v>
      </c>
      <c r="N28" s="13" t="s">
        <v>305</v>
      </c>
      <c r="O28" s="13" t="s">
        <v>260</v>
      </c>
      <c r="P28" s="13" t="s">
        <v>53</v>
      </c>
      <c r="Q28" s="13" t="s">
        <v>228</v>
      </c>
      <c r="R28" s="193">
        <v>46054</v>
      </c>
      <c r="S28" s="193">
        <v>46387</v>
      </c>
      <c r="T28" s="193">
        <v>46023</v>
      </c>
      <c r="U28" s="193">
        <v>46387</v>
      </c>
      <c r="V28" s="193">
        <v>46054</v>
      </c>
      <c r="W28" s="193">
        <v>46387</v>
      </c>
      <c r="Y28" s="13" t="str">
        <f>CONCATENATE(Table410[[#This Row],[JG]],Table410[[#This Row],[Country]],Table410[[#This Row],[Resource Provider]])</f>
        <v>2SingaporeShell Business</v>
      </c>
      <c r="Z28" s="13">
        <f>VLOOKUP(Table410[[#This Row],[RATE CONCAT]],Tables!I:N,5,0)</f>
        <v>1200</v>
      </c>
      <c r="AA28" s="52"/>
      <c r="AB28" s="130"/>
      <c r="AC28" s="130">
        <v>5</v>
      </c>
      <c r="AD28" s="130">
        <v>5</v>
      </c>
      <c r="AE28" s="130">
        <v>5</v>
      </c>
      <c r="AF28" s="130">
        <v>5</v>
      </c>
      <c r="AG28" s="130">
        <v>4</v>
      </c>
      <c r="AH28" s="130">
        <v>5</v>
      </c>
      <c r="AI28" s="130">
        <v>5</v>
      </c>
      <c r="AJ28" s="130">
        <v>5</v>
      </c>
      <c r="AK28" s="130"/>
      <c r="AL28" s="130"/>
      <c r="AM28" s="130"/>
      <c r="AN28" s="176">
        <f>IFERROR(AVERAGE(Table410[[#This Row],[Jan_2026_Days_Forecast]:[Dec_2026_Days_Forecast]]),0)/19</f>
        <v>0.25657894736842107</v>
      </c>
      <c r="AO28" s="176">
        <f>IFERROR(AVERAGE(Table410[[#This Row],[Jan_2026_Days_Actual]:[Dec_2026_Days_Actual]]),0)/19</f>
        <v>0.25657894736842107</v>
      </c>
      <c r="AP28" s="130"/>
      <c r="AQ28" s="130">
        <v>5</v>
      </c>
      <c r="AR28" s="130">
        <v>5</v>
      </c>
      <c r="AS28" s="130">
        <v>5</v>
      </c>
      <c r="AT28" s="130">
        <v>5</v>
      </c>
      <c r="AU28" s="130">
        <v>4</v>
      </c>
      <c r="AV28" s="130">
        <v>5</v>
      </c>
      <c r="AW28" s="130">
        <v>5</v>
      </c>
      <c r="AX28" s="130">
        <v>5</v>
      </c>
      <c r="AY28" s="130"/>
      <c r="AZ28" s="130"/>
      <c r="BA28" s="130"/>
      <c r="BB28" s="176">
        <f>IFERROR(AVERAGE(Table410[[#This Row],[Jan_2027_Days_Forecast]:[Dec_2027_Days_Forecast]]),0)</f>
        <v>0</v>
      </c>
      <c r="BC28" s="127"/>
      <c r="BD28" s="127"/>
      <c r="BE28" s="127"/>
      <c r="BF28" s="127"/>
      <c r="BG28" s="127"/>
      <c r="BH28" s="127"/>
      <c r="BI28" s="127"/>
      <c r="BJ28" s="127"/>
      <c r="BK28" s="127"/>
      <c r="BL28" s="127"/>
      <c r="BM28" s="127"/>
      <c r="BN28" s="127"/>
      <c r="BO28" s="176"/>
      <c r="BP28" s="176"/>
      <c r="BQ28" s="13">
        <f>IFERROR(Table410[[#This Row],[Jan_2026_Days_Forecast]]*Table410[[#This Row],[Cost Boolean]]*(VLOOKUP(Table410[[#This Row],[RATE CONCAT]],Tables!I:N,5,0)),0)</f>
        <v>0</v>
      </c>
      <c r="BR28" s="13">
        <f>IFERROR(Table410[[#This Row],[Jan_2026_Days_Actual]]*Table410[[#This Row],[Cost Boolean]]*(VLOOKUP(Table410[[#This Row],[RATE CONCAT]],Tables!I:N,5,0)),0)</f>
        <v>0</v>
      </c>
      <c r="BS28" s="13">
        <f>Table410[[#This Row],[Jan_2026_F]]-Table410[[#This Row],[Jan_2026_A]]</f>
        <v>0</v>
      </c>
      <c r="BU28" s="13">
        <f>IFERROR(Table410[[#This Row],[Feb_2026_Days_Forecast]]*Table410[[#This Row],[Cost Boolean]]*(VLOOKUP(Table410[[#This Row],[RATE CONCAT]],Tables!I:N,5,0)),0)</f>
        <v>0</v>
      </c>
      <c r="BV28" s="13">
        <f>IFERROR(Table410[[#This Row],[Feb_2026_Days_Actual]]*Table410[[#This Row],[Cost Boolean]]*(VLOOKUP(Table410[[#This Row],[RATE CONCAT]],Tables!I:N,5,0)),0)</f>
        <v>0</v>
      </c>
      <c r="BW28" s="13">
        <f>Table410[[#This Row],[Feb_2026_F]]-Table410[[#This Row],[Feb_2026_A]]</f>
        <v>0</v>
      </c>
      <c r="BY28" s="13">
        <f>IFERROR(Table410[[#This Row],[Mar_2026_Days_Forecast]]*Table410[[#This Row],[Cost Boolean]]*(VLOOKUP(Table410[[#This Row],[RATE CONCAT]],Tables!I:N,5,0)),0)</f>
        <v>0</v>
      </c>
      <c r="BZ28" s="13">
        <f>IFERROR(Table410[[#This Row],[Mar_2026_Days_Actual]]*Table410[[#This Row],[Cost Boolean]]*(VLOOKUP(Table410[[#This Row],[RATE CONCAT]],Tables!I:N,5,0)),0)</f>
        <v>0</v>
      </c>
      <c r="CA28" s="13">
        <f>Table410[[#This Row],[Mar_2026_F]]-Table410[[#This Row],[Mar_2026_A]]</f>
        <v>0</v>
      </c>
      <c r="CC28" s="13">
        <f>IFERROR(Table410[[#This Row],[Apr_2026_Days_Forecast]]*Table410[[#This Row],[Cost Boolean]]*(VLOOKUP(Table410[[#This Row],[RATE CONCAT]],Tables!I:N,5,0)),0)</f>
        <v>0</v>
      </c>
      <c r="CD28" s="13">
        <f>IFERROR(Table410[[#This Row],[Apr_2026_Days_Actual]]*Table410[[#This Row],[Cost Boolean]]*(VLOOKUP(Table410[[#This Row],[RATE CONCAT]],Tables!I:N,5,0)),0)</f>
        <v>0</v>
      </c>
      <c r="CE28" s="13">
        <f>Table410[[#This Row],[Apr_2026_F]]-Table410[[#This Row],[Apr_2026_A]]</f>
        <v>0</v>
      </c>
      <c r="CG28" s="13">
        <f>IFERROR(Table410[[#This Row],[May_2026_Days_Forecast]] *Table410[[#This Row],[Cost Boolean]]*(VLOOKUP(Table410[[#This Row],[RATE CONCAT]],Tables!I:N,5,0)),0)</f>
        <v>0</v>
      </c>
      <c r="CH28" s="13">
        <f>IFERROR(Table410[[#This Row],[May_2026_Days_Actual]]*Table410[[#This Row],[Cost Boolean]]*(VLOOKUP(Table410[[#This Row],[RATE CONCAT]],Tables!I:N,5,0)),0)</f>
        <v>0</v>
      </c>
      <c r="CI28" s="13">
        <f>Table410[[#This Row],[May_2026_F]]-Table410[[#This Row],[May_2026_A]]</f>
        <v>0</v>
      </c>
      <c r="CK28" s="13">
        <f>IFERROR(Table410[[#This Row],[Jun_2026_Days_Forecast]]*Table410[[#This Row],[Cost Boolean]]*(VLOOKUP(Table410[[#This Row],[RATE CONCAT]],Tables!I:N,5,0)),0)</f>
        <v>0</v>
      </c>
      <c r="CL28" s="13">
        <f>IFERROR(Table410[[#This Row],[Jun_2026_Days_Actual]]*Table410[[#This Row],[Cost Boolean]]*(VLOOKUP(Table410[[#This Row],[RATE CONCAT]],Tables!I:N,5,0)),0)</f>
        <v>0</v>
      </c>
      <c r="CM28" s="13">
        <f>Table410[[#This Row],[Jun_2026_F]]-Table410[[#This Row],[Jun_2026_A]]</f>
        <v>0</v>
      </c>
      <c r="CO28" s="13">
        <f>IFERROR(Table410[[#This Row],[Jul_2026_Days_Forecast]]*Table410[[#This Row],[Cost Boolean]]*(VLOOKUP(Table410[[#This Row],[RATE CONCAT]],Tables!I:N,5,0)),0)</f>
        <v>0</v>
      </c>
      <c r="CP28" s="13">
        <f>IFERROR(Table410[[#This Row],[Jul_2026_Days_Actual]]*Table410[[#This Row],[Cost Boolean]]*(VLOOKUP(Table410[[#This Row],[RATE CONCAT]],Tables!I:N,5,0)),0)</f>
        <v>0</v>
      </c>
      <c r="CQ28" s="13">
        <f>Table410[[#This Row],[Jul_2026_F]]-Table410[[#This Row],[Jul_2026_A]]</f>
        <v>0</v>
      </c>
      <c r="CS28" s="13">
        <f>IFERROR(Table410[[#This Row],[Aug_2026_Days_Forecast]]*Table410[[#This Row],[Cost Boolean]]*(VLOOKUP(Table410[[#This Row],[RATE CONCAT]],Tables!I:N,5,0)),0)</f>
        <v>0</v>
      </c>
      <c r="CT28" s="13">
        <f>IFERROR(Table410[[#This Row],[Aug_2026_Days_Actual]]*Table410[[#This Row],[Cost Boolean]]*(VLOOKUP(Table410[[#This Row],[RATE CONCAT]],Tables!I:N,5,0)),0)</f>
        <v>0</v>
      </c>
      <c r="CU28" s="13">
        <f>Table410[[#This Row],[Aug_2026_F]]-Table410[[#This Row],[Aug_2026_A]]</f>
        <v>0</v>
      </c>
      <c r="CW28" s="13">
        <f>IFERROR(Table410[[#This Row],[Sep_2026_Days_Forecast]]*Table410[[#This Row],[Cost Boolean]]*(VLOOKUP(Table410[[#This Row],[RATE CONCAT]],Tables!I:N,5,0)),0)</f>
        <v>0</v>
      </c>
      <c r="CX28" s="13">
        <f>IFERROR(Table410[[#This Row],[Sep_2026_Days_Actual]]*Table410[[#This Row],[Cost Boolean]]*(VLOOKUP(Table410[[#This Row],[RATE CONCAT]],Tables!I:N,5,0)),0)</f>
        <v>0</v>
      </c>
      <c r="CY28" s="13">
        <f>Table410[[#This Row],[Sep_2026_F]]-Table410[[#This Row],[Sep_2026_A]]</f>
        <v>0</v>
      </c>
      <c r="DA28" s="13">
        <f>IFERROR(Table410[[#This Row],[Oct_2026_Days_Forecast]]*Table410[[#This Row],[Cost Boolean]]*(VLOOKUP(Table410[[#This Row],[RATE CONCAT]],Tables!I:N,5,0)),0)</f>
        <v>0</v>
      </c>
      <c r="DB28" s="13">
        <f>IFERROR(Table410[[#This Row],[Oct_2026_Days_Actual]]*Table410[[#This Row],[Cost Boolean]]*(VLOOKUP(Table410[[#This Row],[RATE CONCAT]],Tables!I:N,5,0)),0)</f>
        <v>0</v>
      </c>
      <c r="DC28" s="13">
        <f>Table410[[#This Row],[Oct_2026_F]]-Table410[[#This Row],[Oct_2026_A]]</f>
        <v>0</v>
      </c>
      <c r="DE28" s="13">
        <f>IFERROR(Table410[[#This Row],[Nov_2026_Days_Forecast]]*Table410[[#This Row],[Cost Boolean]]*(VLOOKUP(Table410[[#This Row],[RATE CONCAT]],Tables!I:N,5,0)),0)</f>
        <v>0</v>
      </c>
      <c r="DF28" s="13">
        <f>IFERROR(Table410[[#This Row],[Nov_2026_Days_Actual]]*Table410[[#This Row],[Cost Boolean]]*(VLOOKUP(Table410[[#This Row],[RATE CONCAT]],Tables!I:N,5,0)),0)</f>
        <v>0</v>
      </c>
      <c r="DG28" s="13">
        <f>Table410[[#This Row],[Nov_2026_F]]-Table410[[#This Row],[Nov_2026_A]]</f>
        <v>0</v>
      </c>
      <c r="DI28" s="13">
        <f>IFERROR(Table410[[#This Row],[Dec_2026_Days_Forecast]]*Table410[[#This Row],[Cost Boolean]]*(VLOOKUP(Table410[[#This Row],[RATE CONCAT]],Tables!I:N,5,0)),0)</f>
        <v>0</v>
      </c>
      <c r="DJ28" s="13">
        <f>IFERROR(Table410[[#This Row],[Dec_2026_Days_Actual]]*Table410[[#This Row],[Cost Boolean]]*(VLOOKUP(Table410[[#This Row],[RATE CONCAT]],Tables!I:N,5,0)),0)</f>
        <v>0</v>
      </c>
      <c r="DK28" s="13">
        <f>Table410[[#This Row],[Dec_2026_F]]-Table410[[#This Row],[Dec_2026_A]]</f>
        <v>0</v>
      </c>
      <c r="DN28" s="13">
        <f>IFERROR(Table410[[#This Row],[Jan_2027_Days_Forecast]]*Table410[[#This Row],[Cost Boolean]]*(VLOOKUP(Table410[[#This Row],[RATE CONCAT]],Tables!I:N,6,0)),0)</f>
        <v>0</v>
      </c>
      <c r="DP28" s="13">
        <f>Table410[[#This Row],[Jan_2027_F]]-Table410[[#This Row],[Jan_2027_A]]</f>
        <v>0</v>
      </c>
      <c r="DQ28" s="13">
        <f>IFERROR(Table410[[#This Row],[Feb_2027_Days_Forecast]]*Table410[[#This Row],[Cost Boolean]]*(VLOOKUP(Table410[[#This Row],[RATE CONCAT]],Tables!I:N,6,0)),0)</f>
        <v>0</v>
      </c>
      <c r="DS28" s="13">
        <f>Table410[[#This Row],[Feb_2027_F]]-Table410[[#This Row],[Feb_2027_A]]</f>
        <v>0</v>
      </c>
      <c r="DT28" s="13">
        <f>IFERROR(Table410[[#This Row],[Mar_2027_Days_Forecast]]*Table410[[#This Row],[Cost Boolean]]*(VLOOKUP(Table410[[#This Row],[RATE CONCAT]],Tables!I:N,6,0)),0)</f>
        <v>0</v>
      </c>
      <c r="DV28" s="13">
        <f>Table410[[#This Row],[Mar_2027_F]]-Table410[[#This Row],[Mar_2027_A]]</f>
        <v>0</v>
      </c>
      <c r="DW28" s="13">
        <f>IFERROR(Table410[[#This Row],[Apr_2027_Days_Forecast]]*Table410[[#This Row],[Cost Boolean]]*(VLOOKUP(Table410[[#This Row],[RATE CONCAT]],Tables!I:N,6,0)),0)</f>
        <v>0</v>
      </c>
      <c r="DY28" s="13">
        <f>Table410[[#This Row],[Apr_2027_F]]-Table410[[#This Row],[Apr_2027_A]]</f>
        <v>0</v>
      </c>
      <c r="DZ28" s="13">
        <f>IFERROR(Table410[[#This Row],[May_2027_Days_Forecast]]*Table410[[#This Row],[Cost Boolean]]*(VLOOKUP(Table410[[#This Row],[RATE CONCAT]],Tables!I:N,6,0)),0)</f>
        <v>0</v>
      </c>
      <c r="EB28" s="13">
        <f>Table410[[#This Row],[May_2027_F]]-Table410[[#This Row],[May_2027_A]]</f>
        <v>0</v>
      </c>
      <c r="EC28" s="13">
        <f>IFERROR(Table410[[#This Row],[Jun_2027_Days_Forecast]]*Table410[[#This Row],[Cost Boolean]]*(VLOOKUP(Table410[[#This Row],[RATE CONCAT]],Tables!I:N,6,0)),0)</f>
        <v>0</v>
      </c>
      <c r="EE28" s="13">
        <f>Table410[[#This Row],[Jun_2027_F]]-Table410[[#This Row],[Jun_2027_A]]</f>
        <v>0</v>
      </c>
      <c r="EF28" s="13">
        <f>IFERROR(Table410[[#This Row],[Jul_2027_Days_Forecast]]*Table410[[#This Row],[Cost Boolean]]*(VLOOKUP(Table410[[#This Row],[RATE CONCAT]],Tables!I:N,6,0)),0)</f>
        <v>0</v>
      </c>
      <c r="EH28" s="13">
        <f>Table410[[#This Row],[Jul_2027_F]]-Table410[[#This Row],[Jul_2027_A]]</f>
        <v>0</v>
      </c>
      <c r="EI28" s="13">
        <f>IFERROR(Table410[[#This Row],[Aug_2027_Days_Forecast]]*Table410[[#This Row],[Cost Boolean]]*(VLOOKUP(Table410[[#This Row],[RATE CONCAT]],Tables!I:N,6,0)),0)</f>
        <v>0</v>
      </c>
      <c r="EK28" s="13">
        <f>Table410[[#This Row],[Aug_2027_F]]-Table410[[#This Row],[Aug_2027_A]]</f>
        <v>0</v>
      </c>
      <c r="EL28" s="13">
        <f>IFERROR(Table410[[#This Row],[Sep_2027_Days_Forecast]]*Table410[[#This Row],[Cost Boolean]]*(VLOOKUP(Table410[[#This Row],[RATE CONCAT]],Tables!I:N,6,0)),0)</f>
        <v>0</v>
      </c>
      <c r="EN28" s="13">
        <f>Table410[[#This Row],[Sep_2027_F]]-Table410[[#This Row],[Sep_2027_A]]</f>
        <v>0</v>
      </c>
      <c r="EO28" s="13">
        <f>IFERROR(Table410[[#This Row],[Oct_2027_Days_Forecast]]*Table410[[#This Row],[Cost Boolean]]*(VLOOKUP(Table410[[#This Row],[RATE CONCAT]],Tables!I:N,6,0)),0)</f>
        <v>0</v>
      </c>
      <c r="EQ28" s="13">
        <f>Table410[[#This Row],[Oct_2027_F]]-Table410[[#This Row],[Oct_2027_A]]</f>
        <v>0</v>
      </c>
      <c r="ER28" s="13">
        <f>IFERROR(Table410[[#This Row],[Nov_2027_Days_Forecast]]*Table410[[#This Row],[Cost Boolean]]*(VLOOKUP(Table410[[#This Row],[RATE CONCAT]],Tables!I:N,6,0)),0)</f>
        <v>0</v>
      </c>
      <c r="ET28" s="13">
        <f>Table410[[#This Row],[Nov_2027_F]]-Table410[[#This Row],[Nov_2027_A]]</f>
        <v>0</v>
      </c>
      <c r="EU28" s="13">
        <f>IFERROR(Table410[[#This Row],[Dec_2027_Days_Forecast]]*Table410[[#This Row],[Cost Boolean]]*(VLOOKUP(Table410[[#This Row],[RATE CONCAT]],Tables!I:N,6,0)),0)</f>
        <v>0</v>
      </c>
      <c r="EW28" s="13">
        <f>Table410[[#This Row],[Dec_2027_F]]-Table410[[#This Row],[Dec_2027_A]]</f>
        <v>0</v>
      </c>
    </row>
    <row r="29" spans="1:153" s="13" customFormat="1" ht="15" customHeight="1">
      <c r="A29" s="13" t="s">
        <v>306</v>
      </c>
      <c r="B29" s="13" t="s">
        <v>47</v>
      </c>
      <c r="C29" s="13" t="s">
        <v>219</v>
      </c>
      <c r="D29" s="13" t="s">
        <v>307</v>
      </c>
      <c r="E29" s="13" t="s">
        <v>221</v>
      </c>
      <c r="G29" s="13" t="s">
        <v>231</v>
      </c>
      <c r="H29" s="13">
        <v>4</v>
      </c>
      <c r="J29" s="13" t="s">
        <v>308</v>
      </c>
      <c r="K29" s="13" t="s">
        <v>224</v>
      </c>
      <c r="L29" s="13">
        <v>1</v>
      </c>
      <c r="M29" s="13" t="s">
        <v>233</v>
      </c>
      <c r="N29" s="13" t="s">
        <v>251</v>
      </c>
      <c r="O29" s="13" t="s">
        <v>227</v>
      </c>
      <c r="P29" s="13" t="s">
        <v>53</v>
      </c>
      <c r="Q29" s="13" t="s">
        <v>228</v>
      </c>
      <c r="R29" s="193">
        <v>46023</v>
      </c>
      <c r="S29" s="193">
        <v>46387</v>
      </c>
      <c r="T29" s="193">
        <v>46023</v>
      </c>
      <c r="U29" s="193">
        <v>46387</v>
      </c>
      <c r="V29" s="193">
        <v>46023</v>
      </c>
      <c r="W29" s="193">
        <v>46387</v>
      </c>
      <c r="Y29" s="13" t="str">
        <f>CONCATENATE(Table410[[#This Row],[JG]],Table410[[#This Row],[Country]],Table410[[#This Row],[Resource Provider]])</f>
        <v>4United StatesShell Business</v>
      </c>
      <c r="Z29" s="13">
        <f>VLOOKUP(Table410[[#This Row],[RATE CONCAT]],Tables!I:N,5,0)</f>
        <v>1408</v>
      </c>
      <c r="AA29" s="52"/>
      <c r="AB29" s="130">
        <v>5</v>
      </c>
      <c r="AC29" s="130">
        <v>5</v>
      </c>
      <c r="AD29" s="130">
        <v>5</v>
      </c>
      <c r="AE29" s="130">
        <v>5</v>
      </c>
      <c r="AF29" s="130">
        <v>5</v>
      </c>
      <c r="AG29" s="130">
        <v>4</v>
      </c>
      <c r="AH29" s="130">
        <v>5</v>
      </c>
      <c r="AI29" s="130">
        <v>5</v>
      </c>
      <c r="AJ29" s="130">
        <v>5</v>
      </c>
      <c r="AK29" s="130"/>
      <c r="AL29" s="130"/>
      <c r="AM29" s="130"/>
      <c r="AN29" s="176">
        <f>IFERROR(AVERAGE(Table410[[#This Row],[Jan_2026_Days_Forecast]:[Dec_2026_Days_Forecast]]),0)/19</f>
        <v>0.25730994152046788</v>
      </c>
      <c r="AO29" s="176">
        <f>IFERROR(AVERAGE(Table410[[#This Row],[Jan_2026_Days_Actual]:[Dec_2026_Days_Actual]]),0)/19</f>
        <v>0.25730994152046788</v>
      </c>
      <c r="AP29" s="130">
        <v>5</v>
      </c>
      <c r="AQ29" s="130">
        <v>5</v>
      </c>
      <c r="AR29" s="130">
        <v>5</v>
      </c>
      <c r="AS29" s="130">
        <v>5</v>
      </c>
      <c r="AT29" s="130">
        <v>5</v>
      </c>
      <c r="AU29" s="130">
        <v>4</v>
      </c>
      <c r="AV29" s="130">
        <v>5</v>
      </c>
      <c r="AW29" s="130">
        <v>5</v>
      </c>
      <c r="AX29" s="130">
        <v>5</v>
      </c>
      <c r="AY29" s="130"/>
      <c r="AZ29" s="130"/>
      <c r="BA29" s="130"/>
      <c r="BB29" s="176">
        <f>IFERROR(AVERAGE(Table410[[#This Row],[Jan_2027_Days_Forecast]:[Dec_2027_Days_Forecast]]),0)</f>
        <v>0</v>
      </c>
      <c r="BC29" s="127"/>
      <c r="BD29" s="127"/>
      <c r="BE29" s="127"/>
      <c r="BF29" s="127"/>
      <c r="BG29" s="127"/>
      <c r="BH29" s="127"/>
      <c r="BI29" s="127"/>
      <c r="BJ29" s="127"/>
      <c r="BK29" s="127"/>
      <c r="BL29" s="127"/>
      <c r="BM29" s="127"/>
      <c r="BN29" s="127"/>
      <c r="BO29" s="176"/>
      <c r="BP29" s="176"/>
      <c r="BQ29" s="13">
        <f>IFERROR(Table410[[#This Row],[Jan_2026_Days_Forecast]]*Table410[[#This Row],[Cost Boolean]]*(VLOOKUP(Table410[[#This Row],[RATE CONCAT]],Tables!I:N,5,0)),0)</f>
        <v>7040</v>
      </c>
      <c r="BR29" s="13">
        <f>IFERROR(Table410[[#This Row],[Jan_2026_Days_Actual]]*Table410[[#This Row],[Cost Boolean]]*(VLOOKUP(Table410[[#This Row],[RATE CONCAT]],Tables!I:N,5,0)),0)</f>
        <v>7040</v>
      </c>
      <c r="BS29" s="13">
        <f>Table410[[#This Row],[Jan_2026_F]]-Table410[[#This Row],[Jan_2026_A]]</f>
        <v>0</v>
      </c>
      <c r="BU29" s="13">
        <f>IFERROR(Table410[[#This Row],[Feb_2026_Days_Forecast]]*Table410[[#This Row],[Cost Boolean]]*(VLOOKUP(Table410[[#This Row],[RATE CONCAT]],Tables!I:N,5,0)),0)</f>
        <v>7040</v>
      </c>
      <c r="BV29" s="13">
        <f>IFERROR(Table410[[#This Row],[Feb_2026_Days_Actual]]*Table410[[#This Row],[Cost Boolean]]*(VLOOKUP(Table410[[#This Row],[RATE CONCAT]],Tables!I:N,5,0)),0)</f>
        <v>7040</v>
      </c>
      <c r="BW29" s="13">
        <f>Table410[[#This Row],[Feb_2026_F]]-Table410[[#This Row],[Feb_2026_A]]</f>
        <v>0</v>
      </c>
      <c r="BY29" s="13">
        <f>IFERROR(Table410[[#This Row],[Mar_2026_Days_Forecast]]*Table410[[#This Row],[Cost Boolean]]*(VLOOKUP(Table410[[#This Row],[RATE CONCAT]],Tables!I:N,5,0)),0)</f>
        <v>7040</v>
      </c>
      <c r="BZ29" s="13">
        <f>IFERROR(Table410[[#This Row],[Mar_2026_Days_Actual]]*Table410[[#This Row],[Cost Boolean]]*(VLOOKUP(Table410[[#This Row],[RATE CONCAT]],Tables!I:N,5,0)),0)</f>
        <v>7040</v>
      </c>
      <c r="CA29" s="13">
        <f>Table410[[#This Row],[Mar_2026_F]]-Table410[[#This Row],[Mar_2026_A]]</f>
        <v>0</v>
      </c>
      <c r="CC29" s="13">
        <f>IFERROR(Table410[[#This Row],[Apr_2026_Days_Forecast]]*Table410[[#This Row],[Cost Boolean]]*(VLOOKUP(Table410[[#This Row],[RATE CONCAT]],Tables!I:N,5,0)),0)</f>
        <v>7040</v>
      </c>
      <c r="CD29" s="13">
        <f>IFERROR(Table410[[#This Row],[Apr_2026_Days_Actual]]*Table410[[#This Row],[Cost Boolean]]*(VLOOKUP(Table410[[#This Row],[RATE CONCAT]],Tables!I:N,5,0)),0)</f>
        <v>7040</v>
      </c>
      <c r="CE29" s="13">
        <f>Table410[[#This Row],[Apr_2026_F]]-Table410[[#This Row],[Apr_2026_A]]</f>
        <v>0</v>
      </c>
      <c r="CG29" s="13">
        <f>IFERROR(Table410[[#This Row],[May_2026_Days_Forecast]] *Table410[[#This Row],[Cost Boolean]]*(VLOOKUP(Table410[[#This Row],[RATE CONCAT]],Tables!I:N,5,0)),0)</f>
        <v>7040</v>
      </c>
      <c r="CH29" s="13">
        <f>IFERROR(Table410[[#This Row],[May_2026_Days_Actual]]*Table410[[#This Row],[Cost Boolean]]*(VLOOKUP(Table410[[#This Row],[RATE CONCAT]],Tables!I:N,5,0)),0)</f>
        <v>7040</v>
      </c>
      <c r="CI29" s="13">
        <f>Table410[[#This Row],[May_2026_F]]-Table410[[#This Row],[May_2026_A]]</f>
        <v>0</v>
      </c>
      <c r="CK29" s="13">
        <f>IFERROR(Table410[[#This Row],[Jun_2026_Days_Forecast]]*Table410[[#This Row],[Cost Boolean]]*(VLOOKUP(Table410[[#This Row],[RATE CONCAT]],Tables!I:N,5,0)),0)</f>
        <v>5632</v>
      </c>
      <c r="CL29" s="13">
        <f>IFERROR(Table410[[#This Row],[Jun_2026_Days_Actual]]*Table410[[#This Row],[Cost Boolean]]*(VLOOKUP(Table410[[#This Row],[RATE CONCAT]],Tables!I:N,5,0)),0)</f>
        <v>5632</v>
      </c>
      <c r="CM29" s="13">
        <f>Table410[[#This Row],[Jun_2026_F]]-Table410[[#This Row],[Jun_2026_A]]</f>
        <v>0</v>
      </c>
      <c r="CO29" s="13">
        <f>IFERROR(Table410[[#This Row],[Jul_2026_Days_Forecast]]*Table410[[#This Row],[Cost Boolean]]*(VLOOKUP(Table410[[#This Row],[RATE CONCAT]],Tables!I:N,5,0)),0)</f>
        <v>7040</v>
      </c>
      <c r="CP29" s="13">
        <f>IFERROR(Table410[[#This Row],[Jul_2026_Days_Actual]]*Table410[[#This Row],[Cost Boolean]]*(VLOOKUP(Table410[[#This Row],[RATE CONCAT]],Tables!I:N,5,0)),0)</f>
        <v>7040</v>
      </c>
      <c r="CQ29" s="13">
        <f>Table410[[#This Row],[Jul_2026_F]]-Table410[[#This Row],[Jul_2026_A]]</f>
        <v>0</v>
      </c>
      <c r="CS29" s="13">
        <f>IFERROR(Table410[[#This Row],[Aug_2026_Days_Forecast]]*Table410[[#This Row],[Cost Boolean]]*(VLOOKUP(Table410[[#This Row],[RATE CONCAT]],Tables!I:N,5,0)),0)</f>
        <v>7040</v>
      </c>
      <c r="CT29" s="13">
        <f>IFERROR(Table410[[#This Row],[Aug_2026_Days_Actual]]*Table410[[#This Row],[Cost Boolean]]*(VLOOKUP(Table410[[#This Row],[RATE CONCAT]],Tables!I:N,5,0)),0)</f>
        <v>7040</v>
      </c>
      <c r="CU29" s="13">
        <f>Table410[[#This Row],[Aug_2026_F]]-Table410[[#This Row],[Aug_2026_A]]</f>
        <v>0</v>
      </c>
      <c r="CW29" s="13">
        <f>IFERROR(Table410[[#This Row],[Sep_2026_Days_Forecast]]*Table410[[#This Row],[Cost Boolean]]*(VLOOKUP(Table410[[#This Row],[RATE CONCAT]],Tables!I:N,5,0)),0)</f>
        <v>7040</v>
      </c>
      <c r="CX29" s="13">
        <f>IFERROR(Table410[[#This Row],[Sep_2026_Days_Actual]]*Table410[[#This Row],[Cost Boolean]]*(VLOOKUP(Table410[[#This Row],[RATE CONCAT]],Tables!I:N,5,0)),0)</f>
        <v>7040</v>
      </c>
      <c r="CY29" s="13">
        <f>Table410[[#This Row],[Sep_2026_F]]-Table410[[#This Row],[Sep_2026_A]]</f>
        <v>0</v>
      </c>
      <c r="DA29" s="13">
        <f>IFERROR(Table410[[#This Row],[Oct_2026_Days_Forecast]]*Table410[[#This Row],[Cost Boolean]]*(VLOOKUP(Table410[[#This Row],[RATE CONCAT]],Tables!I:N,5,0)),0)</f>
        <v>0</v>
      </c>
      <c r="DB29" s="13">
        <f>IFERROR(Table410[[#This Row],[Oct_2026_Days_Actual]]*Table410[[#This Row],[Cost Boolean]]*(VLOOKUP(Table410[[#This Row],[RATE CONCAT]],Tables!I:N,5,0)),0)</f>
        <v>0</v>
      </c>
      <c r="DC29" s="13">
        <f>Table410[[#This Row],[Oct_2026_F]]-Table410[[#This Row],[Oct_2026_A]]</f>
        <v>0</v>
      </c>
      <c r="DE29" s="13">
        <f>IFERROR(Table410[[#This Row],[Nov_2026_Days_Forecast]]*Table410[[#This Row],[Cost Boolean]]*(VLOOKUP(Table410[[#This Row],[RATE CONCAT]],Tables!I:N,5,0)),0)</f>
        <v>0</v>
      </c>
      <c r="DF29" s="13">
        <f>IFERROR(Table410[[#This Row],[Nov_2026_Days_Actual]]*Table410[[#This Row],[Cost Boolean]]*(VLOOKUP(Table410[[#This Row],[RATE CONCAT]],Tables!I:N,5,0)),0)</f>
        <v>0</v>
      </c>
      <c r="DG29" s="13">
        <f>Table410[[#This Row],[Nov_2026_F]]-Table410[[#This Row],[Nov_2026_A]]</f>
        <v>0</v>
      </c>
      <c r="DI29" s="13">
        <f>IFERROR(Table410[[#This Row],[Dec_2026_Days_Forecast]]*Table410[[#This Row],[Cost Boolean]]*(VLOOKUP(Table410[[#This Row],[RATE CONCAT]],Tables!I:N,5,0)),0)</f>
        <v>0</v>
      </c>
      <c r="DJ29" s="13">
        <f>IFERROR(Table410[[#This Row],[Dec_2026_Days_Actual]]*Table410[[#This Row],[Cost Boolean]]*(VLOOKUP(Table410[[#This Row],[RATE CONCAT]],Tables!I:N,5,0)),0)</f>
        <v>0</v>
      </c>
      <c r="DK29" s="13">
        <f>Table410[[#This Row],[Dec_2026_F]]-Table410[[#This Row],[Dec_2026_A]]</f>
        <v>0</v>
      </c>
      <c r="DN29" s="13">
        <f>IFERROR(Table410[[#This Row],[Jan_2027_Days_Forecast]]*Table410[[#This Row],[Cost Boolean]]*(VLOOKUP(Table410[[#This Row],[RATE CONCAT]],Tables!I:N,6,0)),0)</f>
        <v>0</v>
      </c>
      <c r="DP29" s="13">
        <f>Table410[[#This Row],[Jan_2027_F]]-Table410[[#This Row],[Jan_2027_A]]</f>
        <v>0</v>
      </c>
      <c r="DQ29" s="13">
        <f>IFERROR(Table410[[#This Row],[Feb_2027_Days_Forecast]]*Table410[[#This Row],[Cost Boolean]]*(VLOOKUP(Table410[[#This Row],[RATE CONCAT]],Tables!I:N,6,0)),0)</f>
        <v>0</v>
      </c>
      <c r="DS29" s="13">
        <f>Table410[[#This Row],[Feb_2027_F]]-Table410[[#This Row],[Feb_2027_A]]</f>
        <v>0</v>
      </c>
      <c r="DT29" s="13">
        <f>IFERROR(Table410[[#This Row],[Mar_2027_Days_Forecast]]*Table410[[#This Row],[Cost Boolean]]*(VLOOKUP(Table410[[#This Row],[RATE CONCAT]],Tables!I:N,6,0)),0)</f>
        <v>0</v>
      </c>
      <c r="DV29" s="13">
        <f>Table410[[#This Row],[Mar_2027_F]]-Table410[[#This Row],[Mar_2027_A]]</f>
        <v>0</v>
      </c>
      <c r="DW29" s="13">
        <f>IFERROR(Table410[[#This Row],[Apr_2027_Days_Forecast]]*Table410[[#This Row],[Cost Boolean]]*(VLOOKUP(Table410[[#This Row],[RATE CONCAT]],Tables!I:N,6,0)),0)</f>
        <v>0</v>
      </c>
      <c r="DY29" s="13">
        <f>Table410[[#This Row],[Apr_2027_F]]-Table410[[#This Row],[Apr_2027_A]]</f>
        <v>0</v>
      </c>
      <c r="DZ29" s="13">
        <f>IFERROR(Table410[[#This Row],[May_2027_Days_Forecast]]*Table410[[#This Row],[Cost Boolean]]*(VLOOKUP(Table410[[#This Row],[RATE CONCAT]],Tables!I:N,6,0)),0)</f>
        <v>0</v>
      </c>
      <c r="EB29" s="13">
        <f>Table410[[#This Row],[May_2027_F]]-Table410[[#This Row],[May_2027_A]]</f>
        <v>0</v>
      </c>
      <c r="EC29" s="13">
        <f>IFERROR(Table410[[#This Row],[Jun_2027_Days_Forecast]]*Table410[[#This Row],[Cost Boolean]]*(VLOOKUP(Table410[[#This Row],[RATE CONCAT]],Tables!I:N,6,0)),0)</f>
        <v>0</v>
      </c>
      <c r="EE29" s="13">
        <f>Table410[[#This Row],[Jun_2027_F]]-Table410[[#This Row],[Jun_2027_A]]</f>
        <v>0</v>
      </c>
      <c r="EF29" s="13">
        <f>IFERROR(Table410[[#This Row],[Jul_2027_Days_Forecast]]*Table410[[#This Row],[Cost Boolean]]*(VLOOKUP(Table410[[#This Row],[RATE CONCAT]],Tables!I:N,6,0)),0)</f>
        <v>0</v>
      </c>
      <c r="EH29" s="13">
        <f>Table410[[#This Row],[Jul_2027_F]]-Table410[[#This Row],[Jul_2027_A]]</f>
        <v>0</v>
      </c>
      <c r="EI29" s="13">
        <f>IFERROR(Table410[[#This Row],[Aug_2027_Days_Forecast]]*Table410[[#This Row],[Cost Boolean]]*(VLOOKUP(Table410[[#This Row],[RATE CONCAT]],Tables!I:N,6,0)),0)</f>
        <v>0</v>
      </c>
      <c r="EK29" s="13">
        <f>Table410[[#This Row],[Aug_2027_F]]-Table410[[#This Row],[Aug_2027_A]]</f>
        <v>0</v>
      </c>
      <c r="EL29" s="13">
        <f>IFERROR(Table410[[#This Row],[Sep_2027_Days_Forecast]]*Table410[[#This Row],[Cost Boolean]]*(VLOOKUP(Table410[[#This Row],[RATE CONCAT]],Tables!I:N,6,0)),0)</f>
        <v>0</v>
      </c>
      <c r="EN29" s="13">
        <f>Table410[[#This Row],[Sep_2027_F]]-Table410[[#This Row],[Sep_2027_A]]</f>
        <v>0</v>
      </c>
      <c r="EO29" s="13">
        <f>IFERROR(Table410[[#This Row],[Oct_2027_Days_Forecast]]*Table410[[#This Row],[Cost Boolean]]*(VLOOKUP(Table410[[#This Row],[RATE CONCAT]],Tables!I:N,6,0)),0)</f>
        <v>0</v>
      </c>
      <c r="EQ29" s="13">
        <f>Table410[[#This Row],[Oct_2027_F]]-Table410[[#This Row],[Oct_2027_A]]</f>
        <v>0</v>
      </c>
      <c r="ER29" s="13">
        <f>IFERROR(Table410[[#This Row],[Nov_2027_Days_Forecast]]*Table410[[#This Row],[Cost Boolean]]*(VLOOKUP(Table410[[#This Row],[RATE CONCAT]],Tables!I:N,6,0)),0)</f>
        <v>0</v>
      </c>
      <c r="ET29" s="13">
        <f>Table410[[#This Row],[Nov_2027_F]]-Table410[[#This Row],[Nov_2027_A]]</f>
        <v>0</v>
      </c>
      <c r="EU29" s="13">
        <f>IFERROR(Table410[[#This Row],[Dec_2027_Days_Forecast]]*Table410[[#This Row],[Cost Boolean]]*(VLOOKUP(Table410[[#This Row],[RATE CONCAT]],Tables!I:N,6,0)),0)</f>
        <v>0</v>
      </c>
      <c r="EW29" s="13">
        <f>Table410[[#This Row],[Dec_2027_F]]-Table410[[#This Row],[Dec_2027_A]]</f>
        <v>0</v>
      </c>
    </row>
    <row r="30" spans="1:153" s="13" customFormat="1" ht="15" customHeight="1">
      <c r="A30" s="13" t="s">
        <v>309</v>
      </c>
      <c r="B30" s="13" t="s">
        <v>49</v>
      </c>
      <c r="C30" s="13" t="s">
        <v>219</v>
      </c>
      <c r="D30" s="13" t="s">
        <v>310</v>
      </c>
      <c r="E30" s="13" t="s">
        <v>221</v>
      </c>
      <c r="G30" s="13" t="s">
        <v>231</v>
      </c>
      <c r="H30" s="13">
        <v>4</v>
      </c>
      <c r="J30" s="13" t="s">
        <v>311</v>
      </c>
      <c r="K30" s="13" t="s">
        <v>224</v>
      </c>
      <c r="L30" s="13">
        <v>1</v>
      </c>
      <c r="M30" s="13" t="s">
        <v>233</v>
      </c>
      <c r="N30" s="13" t="s">
        <v>312</v>
      </c>
      <c r="O30" s="13" t="s">
        <v>227</v>
      </c>
      <c r="P30" s="13" t="s">
        <v>53</v>
      </c>
      <c r="Q30" s="13" t="s">
        <v>228</v>
      </c>
      <c r="R30" s="193">
        <v>46023</v>
      </c>
      <c r="S30" s="193">
        <v>46387</v>
      </c>
      <c r="T30" s="193">
        <v>46023</v>
      </c>
      <c r="U30" s="193">
        <v>46387</v>
      </c>
      <c r="V30" s="193">
        <v>46023</v>
      </c>
      <c r="W30" s="193">
        <v>46387</v>
      </c>
      <c r="Y30" s="13" t="str">
        <f>CONCATENATE(Table410[[#This Row],[JG]],Table410[[#This Row],[Country]],Table410[[#This Row],[Resource Provider]])</f>
        <v>4United StatesShell Business</v>
      </c>
      <c r="Z30" s="13">
        <f>VLOOKUP(Table410[[#This Row],[RATE CONCAT]],Tables!I:N,5,0)</f>
        <v>1408</v>
      </c>
      <c r="AA30" s="52"/>
      <c r="AB30" s="130">
        <v>5</v>
      </c>
      <c r="AC30" s="130">
        <v>5</v>
      </c>
      <c r="AD30" s="130">
        <v>5</v>
      </c>
      <c r="AE30" s="130">
        <v>5</v>
      </c>
      <c r="AF30" s="130">
        <v>5</v>
      </c>
      <c r="AG30" s="130">
        <v>4</v>
      </c>
      <c r="AH30" s="130">
        <v>5</v>
      </c>
      <c r="AI30" s="130">
        <v>5</v>
      </c>
      <c r="AJ30" s="130">
        <v>5</v>
      </c>
      <c r="AK30" s="130">
        <v>5</v>
      </c>
      <c r="AL30" s="130">
        <v>5</v>
      </c>
      <c r="AM30" s="130">
        <v>4</v>
      </c>
      <c r="AN30" s="176">
        <f>IFERROR(AVERAGE(Table410[[#This Row],[Jan_2026_Days_Forecast]:[Dec_2026_Days_Forecast]]),0)/19</f>
        <v>0.25438596491228066</v>
      </c>
      <c r="AO30" s="176">
        <f>IFERROR(AVERAGE(Table410[[#This Row],[Jan_2026_Days_Actual]:[Dec_2026_Days_Actual]]),0)/19</f>
        <v>0.25438596491228066</v>
      </c>
      <c r="AP30" s="130">
        <v>5</v>
      </c>
      <c r="AQ30" s="130">
        <v>5</v>
      </c>
      <c r="AR30" s="130">
        <v>5</v>
      </c>
      <c r="AS30" s="130">
        <v>5</v>
      </c>
      <c r="AT30" s="130">
        <v>5</v>
      </c>
      <c r="AU30" s="130">
        <v>4</v>
      </c>
      <c r="AV30" s="130">
        <v>5</v>
      </c>
      <c r="AW30" s="130">
        <v>5</v>
      </c>
      <c r="AX30" s="130">
        <v>5</v>
      </c>
      <c r="AY30" s="130">
        <v>5</v>
      </c>
      <c r="AZ30" s="130">
        <v>5</v>
      </c>
      <c r="BA30" s="130">
        <v>4</v>
      </c>
      <c r="BB30" s="176">
        <f>IFERROR(AVERAGE(Table410[[#This Row],[Jan_2027_Days_Forecast]:[Dec_2027_Days_Forecast]]),0)</f>
        <v>0</v>
      </c>
      <c r="BC30" s="127"/>
      <c r="BD30" s="127"/>
      <c r="BE30" s="127"/>
      <c r="BF30" s="127"/>
      <c r="BG30" s="127"/>
      <c r="BH30" s="127"/>
      <c r="BI30" s="127"/>
      <c r="BJ30" s="127"/>
      <c r="BK30" s="127"/>
      <c r="BL30" s="127"/>
      <c r="BM30" s="127"/>
      <c r="BN30" s="127"/>
      <c r="BO30" s="176"/>
      <c r="BP30" s="176"/>
      <c r="BQ30" s="13">
        <f>IFERROR(Table410[[#This Row],[Jan_2026_Days_Forecast]]*Table410[[#This Row],[Cost Boolean]]*(VLOOKUP(Table410[[#This Row],[RATE CONCAT]],Tables!I:N,5,0)),0)</f>
        <v>7040</v>
      </c>
      <c r="BR30" s="13">
        <f>IFERROR(Table410[[#This Row],[Jan_2026_Days_Actual]]*Table410[[#This Row],[Cost Boolean]]*(VLOOKUP(Table410[[#This Row],[RATE CONCAT]],Tables!I:N,5,0)),0)</f>
        <v>7040</v>
      </c>
      <c r="BS30" s="13">
        <f>Table410[[#This Row],[Jan_2026_F]]-Table410[[#This Row],[Jan_2026_A]]</f>
        <v>0</v>
      </c>
      <c r="BU30" s="13">
        <f>IFERROR(Table410[[#This Row],[Feb_2026_Days_Forecast]]*Table410[[#This Row],[Cost Boolean]]*(VLOOKUP(Table410[[#This Row],[RATE CONCAT]],Tables!I:N,5,0)),0)</f>
        <v>7040</v>
      </c>
      <c r="BV30" s="13">
        <f>IFERROR(Table410[[#This Row],[Feb_2026_Days_Actual]]*Table410[[#This Row],[Cost Boolean]]*(VLOOKUP(Table410[[#This Row],[RATE CONCAT]],Tables!I:N,5,0)),0)</f>
        <v>7040</v>
      </c>
      <c r="BW30" s="13">
        <f>Table410[[#This Row],[Feb_2026_F]]-Table410[[#This Row],[Feb_2026_A]]</f>
        <v>0</v>
      </c>
      <c r="BY30" s="13">
        <f>IFERROR(Table410[[#This Row],[Mar_2026_Days_Forecast]]*Table410[[#This Row],[Cost Boolean]]*(VLOOKUP(Table410[[#This Row],[RATE CONCAT]],Tables!I:N,5,0)),0)</f>
        <v>7040</v>
      </c>
      <c r="BZ30" s="13">
        <f>IFERROR(Table410[[#This Row],[Mar_2026_Days_Actual]]*Table410[[#This Row],[Cost Boolean]]*(VLOOKUP(Table410[[#This Row],[RATE CONCAT]],Tables!I:N,5,0)),0)</f>
        <v>7040</v>
      </c>
      <c r="CA30" s="13">
        <f>Table410[[#This Row],[Mar_2026_F]]-Table410[[#This Row],[Mar_2026_A]]</f>
        <v>0</v>
      </c>
      <c r="CC30" s="13">
        <f>IFERROR(Table410[[#This Row],[Apr_2026_Days_Forecast]]*Table410[[#This Row],[Cost Boolean]]*(VLOOKUP(Table410[[#This Row],[RATE CONCAT]],Tables!I:N,5,0)),0)</f>
        <v>7040</v>
      </c>
      <c r="CD30" s="13">
        <f>IFERROR(Table410[[#This Row],[Apr_2026_Days_Actual]]*Table410[[#This Row],[Cost Boolean]]*(VLOOKUP(Table410[[#This Row],[RATE CONCAT]],Tables!I:N,5,0)),0)</f>
        <v>7040</v>
      </c>
      <c r="CE30" s="13">
        <f>Table410[[#This Row],[Apr_2026_F]]-Table410[[#This Row],[Apr_2026_A]]</f>
        <v>0</v>
      </c>
      <c r="CG30" s="13">
        <f>IFERROR(Table410[[#This Row],[May_2026_Days_Forecast]] *Table410[[#This Row],[Cost Boolean]]*(VLOOKUP(Table410[[#This Row],[RATE CONCAT]],Tables!I:N,5,0)),0)</f>
        <v>7040</v>
      </c>
      <c r="CH30" s="13">
        <f>IFERROR(Table410[[#This Row],[May_2026_Days_Actual]]*Table410[[#This Row],[Cost Boolean]]*(VLOOKUP(Table410[[#This Row],[RATE CONCAT]],Tables!I:N,5,0)),0)</f>
        <v>7040</v>
      </c>
      <c r="CI30" s="13">
        <f>Table410[[#This Row],[May_2026_F]]-Table410[[#This Row],[May_2026_A]]</f>
        <v>0</v>
      </c>
      <c r="CK30" s="13">
        <f>IFERROR(Table410[[#This Row],[Jun_2026_Days_Forecast]]*Table410[[#This Row],[Cost Boolean]]*(VLOOKUP(Table410[[#This Row],[RATE CONCAT]],Tables!I:N,5,0)),0)</f>
        <v>5632</v>
      </c>
      <c r="CL30" s="13">
        <f>IFERROR(Table410[[#This Row],[Jun_2026_Days_Actual]]*Table410[[#This Row],[Cost Boolean]]*(VLOOKUP(Table410[[#This Row],[RATE CONCAT]],Tables!I:N,5,0)),0)</f>
        <v>5632</v>
      </c>
      <c r="CM30" s="13">
        <f>Table410[[#This Row],[Jun_2026_F]]-Table410[[#This Row],[Jun_2026_A]]</f>
        <v>0</v>
      </c>
      <c r="CO30" s="13">
        <f>IFERROR(Table410[[#This Row],[Jul_2026_Days_Forecast]]*Table410[[#This Row],[Cost Boolean]]*(VLOOKUP(Table410[[#This Row],[RATE CONCAT]],Tables!I:N,5,0)),0)</f>
        <v>7040</v>
      </c>
      <c r="CP30" s="13">
        <f>IFERROR(Table410[[#This Row],[Jul_2026_Days_Actual]]*Table410[[#This Row],[Cost Boolean]]*(VLOOKUP(Table410[[#This Row],[RATE CONCAT]],Tables!I:N,5,0)),0)</f>
        <v>7040</v>
      </c>
      <c r="CQ30" s="13">
        <f>Table410[[#This Row],[Jul_2026_F]]-Table410[[#This Row],[Jul_2026_A]]</f>
        <v>0</v>
      </c>
      <c r="CS30" s="13">
        <f>IFERROR(Table410[[#This Row],[Aug_2026_Days_Forecast]]*Table410[[#This Row],[Cost Boolean]]*(VLOOKUP(Table410[[#This Row],[RATE CONCAT]],Tables!I:N,5,0)),0)</f>
        <v>7040</v>
      </c>
      <c r="CT30" s="13">
        <f>IFERROR(Table410[[#This Row],[Aug_2026_Days_Actual]]*Table410[[#This Row],[Cost Boolean]]*(VLOOKUP(Table410[[#This Row],[RATE CONCAT]],Tables!I:N,5,0)),0)</f>
        <v>7040</v>
      </c>
      <c r="CU30" s="13">
        <f>Table410[[#This Row],[Aug_2026_F]]-Table410[[#This Row],[Aug_2026_A]]</f>
        <v>0</v>
      </c>
      <c r="CW30" s="13">
        <f>IFERROR(Table410[[#This Row],[Sep_2026_Days_Forecast]]*Table410[[#This Row],[Cost Boolean]]*(VLOOKUP(Table410[[#This Row],[RATE CONCAT]],Tables!I:N,5,0)),0)</f>
        <v>7040</v>
      </c>
      <c r="CX30" s="13">
        <f>IFERROR(Table410[[#This Row],[Sep_2026_Days_Actual]]*Table410[[#This Row],[Cost Boolean]]*(VLOOKUP(Table410[[#This Row],[RATE CONCAT]],Tables!I:N,5,0)),0)</f>
        <v>7040</v>
      </c>
      <c r="CY30" s="13">
        <f>Table410[[#This Row],[Sep_2026_F]]-Table410[[#This Row],[Sep_2026_A]]</f>
        <v>0</v>
      </c>
      <c r="DA30" s="13">
        <f>IFERROR(Table410[[#This Row],[Oct_2026_Days_Forecast]]*Table410[[#This Row],[Cost Boolean]]*(VLOOKUP(Table410[[#This Row],[RATE CONCAT]],Tables!I:N,5,0)),0)</f>
        <v>7040</v>
      </c>
      <c r="DB30" s="13">
        <f>IFERROR(Table410[[#This Row],[Oct_2026_Days_Actual]]*Table410[[#This Row],[Cost Boolean]]*(VLOOKUP(Table410[[#This Row],[RATE CONCAT]],Tables!I:N,5,0)),0)</f>
        <v>7040</v>
      </c>
      <c r="DC30" s="13">
        <f>Table410[[#This Row],[Oct_2026_F]]-Table410[[#This Row],[Oct_2026_A]]</f>
        <v>0</v>
      </c>
      <c r="DE30" s="13">
        <f>IFERROR(Table410[[#This Row],[Nov_2026_Days_Forecast]]*Table410[[#This Row],[Cost Boolean]]*(VLOOKUP(Table410[[#This Row],[RATE CONCAT]],Tables!I:N,5,0)),0)</f>
        <v>7040</v>
      </c>
      <c r="DF30" s="13">
        <f>IFERROR(Table410[[#This Row],[Nov_2026_Days_Actual]]*Table410[[#This Row],[Cost Boolean]]*(VLOOKUP(Table410[[#This Row],[RATE CONCAT]],Tables!I:N,5,0)),0)</f>
        <v>7040</v>
      </c>
      <c r="DG30" s="13">
        <f>Table410[[#This Row],[Nov_2026_F]]-Table410[[#This Row],[Nov_2026_A]]</f>
        <v>0</v>
      </c>
      <c r="DI30" s="13">
        <f>IFERROR(Table410[[#This Row],[Dec_2026_Days_Forecast]]*Table410[[#This Row],[Cost Boolean]]*(VLOOKUP(Table410[[#This Row],[RATE CONCAT]],Tables!I:N,5,0)),0)</f>
        <v>5632</v>
      </c>
      <c r="DJ30" s="13">
        <f>IFERROR(Table410[[#This Row],[Dec_2026_Days_Actual]]*Table410[[#This Row],[Cost Boolean]]*(VLOOKUP(Table410[[#This Row],[RATE CONCAT]],Tables!I:N,5,0)),0)</f>
        <v>5632</v>
      </c>
      <c r="DK30" s="13">
        <f>Table410[[#This Row],[Dec_2026_F]]-Table410[[#This Row],[Dec_2026_A]]</f>
        <v>0</v>
      </c>
      <c r="DN30" s="13">
        <f>IFERROR(Table410[[#This Row],[Jan_2027_Days_Forecast]]*Table410[[#This Row],[Cost Boolean]]*(VLOOKUP(Table410[[#This Row],[RATE CONCAT]],Tables!I:N,6,0)),0)</f>
        <v>0</v>
      </c>
      <c r="DP30" s="13">
        <f>Table410[[#This Row],[Jan_2027_F]]-Table410[[#This Row],[Jan_2027_A]]</f>
        <v>0</v>
      </c>
      <c r="DQ30" s="13">
        <f>IFERROR(Table410[[#This Row],[Feb_2027_Days_Forecast]]*Table410[[#This Row],[Cost Boolean]]*(VLOOKUP(Table410[[#This Row],[RATE CONCAT]],Tables!I:N,6,0)),0)</f>
        <v>0</v>
      </c>
      <c r="DS30" s="13">
        <f>Table410[[#This Row],[Feb_2027_F]]-Table410[[#This Row],[Feb_2027_A]]</f>
        <v>0</v>
      </c>
      <c r="DT30" s="13">
        <f>IFERROR(Table410[[#This Row],[Mar_2027_Days_Forecast]]*Table410[[#This Row],[Cost Boolean]]*(VLOOKUP(Table410[[#This Row],[RATE CONCAT]],Tables!I:N,6,0)),0)</f>
        <v>0</v>
      </c>
      <c r="DV30" s="13">
        <f>Table410[[#This Row],[Mar_2027_F]]-Table410[[#This Row],[Mar_2027_A]]</f>
        <v>0</v>
      </c>
      <c r="DW30" s="13">
        <f>IFERROR(Table410[[#This Row],[Apr_2027_Days_Forecast]]*Table410[[#This Row],[Cost Boolean]]*(VLOOKUP(Table410[[#This Row],[RATE CONCAT]],Tables!I:N,6,0)),0)</f>
        <v>0</v>
      </c>
      <c r="DY30" s="13">
        <f>Table410[[#This Row],[Apr_2027_F]]-Table410[[#This Row],[Apr_2027_A]]</f>
        <v>0</v>
      </c>
      <c r="DZ30" s="13">
        <f>IFERROR(Table410[[#This Row],[May_2027_Days_Forecast]]*Table410[[#This Row],[Cost Boolean]]*(VLOOKUP(Table410[[#This Row],[RATE CONCAT]],Tables!I:N,6,0)),0)</f>
        <v>0</v>
      </c>
      <c r="EB30" s="13">
        <f>Table410[[#This Row],[May_2027_F]]-Table410[[#This Row],[May_2027_A]]</f>
        <v>0</v>
      </c>
      <c r="EC30" s="13">
        <f>IFERROR(Table410[[#This Row],[Jun_2027_Days_Forecast]]*Table410[[#This Row],[Cost Boolean]]*(VLOOKUP(Table410[[#This Row],[RATE CONCAT]],Tables!I:N,6,0)),0)</f>
        <v>0</v>
      </c>
      <c r="EE30" s="13">
        <f>Table410[[#This Row],[Jun_2027_F]]-Table410[[#This Row],[Jun_2027_A]]</f>
        <v>0</v>
      </c>
      <c r="EF30" s="13">
        <f>IFERROR(Table410[[#This Row],[Jul_2027_Days_Forecast]]*Table410[[#This Row],[Cost Boolean]]*(VLOOKUP(Table410[[#This Row],[RATE CONCAT]],Tables!I:N,6,0)),0)</f>
        <v>0</v>
      </c>
      <c r="EH30" s="13">
        <f>Table410[[#This Row],[Jul_2027_F]]-Table410[[#This Row],[Jul_2027_A]]</f>
        <v>0</v>
      </c>
      <c r="EI30" s="13">
        <f>IFERROR(Table410[[#This Row],[Aug_2027_Days_Forecast]]*Table410[[#This Row],[Cost Boolean]]*(VLOOKUP(Table410[[#This Row],[RATE CONCAT]],Tables!I:N,6,0)),0)</f>
        <v>0</v>
      </c>
      <c r="EK30" s="13">
        <f>Table410[[#This Row],[Aug_2027_F]]-Table410[[#This Row],[Aug_2027_A]]</f>
        <v>0</v>
      </c>
      <c r="EL30" s="13">
        <f>IFERROR(Table410[[#This Row],[Sep_2027_Days_Forecast]]*Table410[[#This Row],[Cost Boolean]]*(VLOOKUP(Table410[[#This Row],[RATE CONCAT]],Tables!I:N,6,0)),0)</f>
        <v>0</v>
      </c>
      <c r="EN30" s="13">
        <f>Table410[[#This Row],[Sep_2027_F]]-Table410[[#This Row],[Sep_2027_A]]</f>
        <v>0</v>
      </c>
      <c r="EO30" s="13">
        <f>IFERROR(Table410[[#This Row],[Oct_2027_Days_Forecast]]*Table410[[#This Row],[Cost Boolean]]*(VLOOKUP(Table410[[#This Row],[RATE CONCAT]],Tables!I:N,6,0)),0)</f>
        <v>0</v>
      </c>
      <c r="EQ30" s="13">
        <f>Table410[[#This Row],[Oct_2027_F]]-Table410[[#This Row],[Oct_2027_A]]</f>
        <v>0</v>
      </c>
      <c r="ER30" s="13">
        <f>IFERROR(Table410[[#This Row],[Nov_2027_Days_Forecast]]*Table410[[#This Row],[Cost Boolean]]*(VLOOKUP(Table410[[#This Row],[RATE CONCAT]],Tables!I:N,6,0)),0)</f>
        <v>0</v>
      </c>
      <c r="ET30" s="13">
        <f>Table410[[#This Row],[Nov_2027_F]]-Table410[[#This Row],[Nov_2027_A]]</f>
        <v>0</v>
      </c>
      <c r="EU30" s="13">
        <f>IFERROR(Table410[[#This Row],[Dec_2027_Days_Forecast]]*Table410[[#This Row],[Cost Boolean]]*(VLOOKUP(Table410[[#This Row],[RATE CONCAT]],Tables!I:N,6,0)),0)</f>
        <v>0</v>
      </c>
      <c r="EW30" s="13">
        <f>Table410[[#This Row],[Dec_2027_F]]-Table410[[#This Row],[Dec_2027_A]]</f>
        <v>0</v>
      </c>
    </row>
    <row r="31" spans="1:153" s="13" customFormat="1" ht="15" customHeight="1">
      <c r="A31" s="13" t="s">
        <v>313</v>
      </c>
      <c r="B31" s="13" t="s">
        <v>49</v>
      </c>
      <c r="C31" s="13" t="s">
        <v>219</v>
      </c>
      <c r="D31" s="13" t="s">
        <v>314</v>
      </c>
      <c r="E31" s="13" t="s">
        <v>221</v>
      </c>
      <c r="G31" s="13" t="s">
        <v>315</v>
      </c>
      <c r="H31" s="13">
        <v>4</v>
      </c>
      <c r="J31" s="13" t="s">
        <v>316</v>
      </c>
      <c r="K31" s="13" t="s">
        <v>224</v>
      </c>
      <c r="L31" s="13">
        <v>1</v>
      </c>
      <c r="M31" s="13" t="s">
        <v>317</v>
      </c>
      <c r="N31" s="13" t="s">
        <v>318</v>
      </c>
      <c r="O31" s="13" t="s">
        <v>227</v>
      </c>
      <c r="P31" s="13" t="s">
        <v>53</v>
      </c>
      <c r="Q31" s="13" t="s">
        <v>228</v>
      </c>
      <c r="R31" s="193">
        <v>46023</v>
      </c>
      <c r="S31" s="193">
        <v>46387</v>
      </c>
      <c r="T31" s="193">
        <v>46023</v>
      </c>
      <c r="U31" s="193">
        <v>46387</v>
      </c>
      <c r="V31" s="193">
        <v>46023</v>
      </c>
      <c r="W31" s="193">
        <v>46387</v>
      </c>
      <c r="Y31" s="13" t="str">
        <f>CONCATENATE(Table410[[#This Row],[JG]],Table410[[#This Row],[Country]],Table410[[#This Row],[Resource Provider]])</f>
        <v>4PolandShell Business</v>
      </c>
      <c r="Z31" s="13">
        <f>VLOOKUP(Table410[[#This Row],[RATE CONCAT]],Tables!I:N,5,0)</f>
        <v>600</v>
      </c>
      <c r="AA31" s="52"/>
      <c r="AB31" s="130">
        <v>5</v>
      </c>
      <c r="AC31" s="130">
        <v>5</v>
      </c>
      <c r="AD31" s="130">
        <v>5</v>
      </c>
      <c r="AE31" s="130">
        <v>5</v>
      </c>
      <c r="AF31" s="130">
        <v>5</v>
      </c>
      <c r="AG31" s="130">
        <v>4</v>
      </c>
      <c r="AH31" s="130">
        <v>5</v>
      </c>
      <c r="AI31" s="130">
        <v>5</v>
      </c>
      <c r="AJ31" s="130">
        <v>5</v>
      </c>
      <c r="AK31" s="130">
        <v>5</v>
      </c>
      <c r="AL31" s="130">
        <v>5</v>
      </c>
      <c r="AM31" s="130">
        <v>4</v>
      </c>
      <c r="AN31" s="176">
        <f>IFERROR(AVERAGE(Table410[[#This Row],[Jan_2026_Days_Forecast]:[Dec_2026_Days_Forecast]]),0)/19</f>
        <v>0.25438596491228066</v>
      </c>
      <c r="AO31" s="176">
        <f>IFERROR(AVERAGE(Table410[[#This Row],[Jan_2026_Days_Actual]:[Dec_2026_Days_Actual]]),0)/19</f>
        <v>0.25438596491228066</v>
      </c>
      <c r="AP31" s="130">
        <v>5</v>
      </c>
      <c r="AQ31" s="130">
        <v>5</v>
      </c>
      <c r="AR31" s="130">
        <v>5</v>
      </c>
      <c r="AS31" s="130">
        <v>5</v>
      </c>
      <c r="AT31" s="130">
        <v>5</v>
      </c>
      <c r="AU31" s="130">
        <v>4</v>
      </c>
      <c r="AV31" s="130">
        <v>5</v>
      </c>
      <c r="AW31" s="130">
        <v>5</v>
      </c>
      <c r="AX31" s="130">
        <v>5</v>
      </c>
      <c r="AY31" s="130">
        <v>5</v>
      </c>
      <c r="AZ31" s="130">
        <v>5</v>
      </c>
      <c r="BA31" s="130">
        <v>4</v>
      </c>
      <c r="BB31" s="176">
        <f>IFERROR(AVERAGE(Table410[[#This Row],[Jan_2027_Days_Forecast]:[Dec_2027_Days_Forecast]]),0)</f>
        <v>0</v>
      </c>
      <c r="BC31" s="127"/>
      <c r="BD31" s="127"/>
      <c r="BE31" s="127"/>
      <c r="BF31" s="127"/>
      <c r="BG31" s="127"/>
      <c r="BH31" s="127"/>
      <c r="BI31" s="127"/>
      <c r="BJ31" s="127"/>
      <c r="BK31" s="127"/>
      <c r="BL31" s="127"/>
      <c r="BM31" s="127"/>
      <c r="BN31" s="127"/>
      <c r="BO31" s="176"/>
      <c r="BP31" s="176"/>
      <c r="BQ31" s="13">
        <f>IFERROR(Table410[[#This Row],[Jan_2026_Days_Forecast]]*Table410[[#This Row],[Cost Boolean]]*(VLOOKUP(Table410[[#This Row],[RATE CONCAT]],Tables!I:N,5,0)),0)</f>
        <v>3000</v>
      </c>
      <c r="BR31" s="13">
        <f>IFERROR(Table410[[#This Row],[Jan_2026_Days_Actual]]*Table410[[#This Row],[Cost Boolean]]*(VLOOKUP(Table410[[#This Row],[RATE CONCAT]],Tables!I:N,5,0)),0)</f>
        <v>3000</v>
      </c>
      <c r="BS31" s="13">
        <f>Table410[[#This Row],[Jan_2026_F]]-Table410[[#This Row],[Jan_2026_A]]</f>
        <v>0</v>
      </c>
      <c r="BU31" s="13">
        <f>IFERROR(Table410[[#This Row],[Feb_2026_Days_Forecast]]*Table410[[#This Row],[Cost Boolean]]*(VLOOKUP(Table410[[#This Row],[RATE CONCAT]],Tables!I:N,5,0)),0)</f>
        <v>3000</v>
      </c>
      <c r="BV31" s="13">
        <f>IFERROR(Table410[[#This Row],[Feb_2026_Days_Actual]]*Table410[[#This Row],[Cost Boolean]]*(VLOOKUP(Table410[[#This Row],[RATE CONCAT]],Tables!I:N,5,0)),0)</f>
        <v>3000</v>
      </c>
      <c r="BW31" s="13">
        <f>Table410[[#This Row],[Feb_2026_F]]-Table410[[#This Row],[Feb_2026_A]]</f>
        <v>0</v>
      </c>
      <c r="BY31" s="13">
        <f>IFERROR(Table410[[#This Row],[Mar_2026_Days_Forecast]]*Table410[[#This Row],[Cost Boolean]]*(VLOOKUP(Table410[[#This Row],[RATE CONCAT]],Tables!I:N,5,0)),0)</f>
        <v>3000</v>
      </c>
      <c r="BZ31" s="13">
        <f>IFERROR(Table410[[#This Row],[Mar_2026_Days_Actual]]*Table410[[#This Row],[Cost Boolean]]*(VLOOKUP(Table410[[#This Row],[RATE CONCAT]],Tables!I:N,5,0)),0)</f>
        <v>3000</v>
      </c>
      <c r="CA31" s="13">
        <f>Table410[[#This Row],[Mar_2026_F]]-Table410[[#This Row],[Mar_2026_A]]</f>
        <v>0</v>
      </c>
      <c r="CC31" s="13">
        <f>IFERROR(Table410[[#This Row],[Apr_2026_Days_Forecast]]*Table410[[#This Row],[Cost Boolean]]*(VLOOKUP(Table410[[#This Row],[RATE CONCAT]],Tables!I:N,5,0)),0)</f>
        <v>3000</v>
      </c>
      <c r="CD31" s="13">
        <f>IFERROR(Table410[[#This Row],[Apr_2026_Days_Actual]]*Table410[[#This Row],[Cost Boolean]]*(VLOOKUP(Table410[[#This Row],[RATE CONCAT]],Tables!I:N,5,0)),0)</f>
        <v>3000</v>
      </c>
      <c r="CE31" s="13">
        <f>Table410[[#This Row],[Apr_2026_F]]-Table410[[#This Row],[Apr_2026_A]]</f>
        <v>0</v>
      </c>
      <c r="CG31" s="13">
        <f>IFERROR(Table410[[#This Row],[May_2026_Days_Forecast]] *Table410[[#This Row],[Cost Boolean]]*(VLOOKUP(Table410[[#This Row],[RATE CONCAT]],Tables!I:N,5,0)),0)</f>
        <v>3000</v>
      </c>
      <c r="CH31" s="13">
        <f>IFERROR(Table410[[#This Row],[May_2026_Days_Actual]]*Table410[[#This Row],[Cost Boolean]]*(VLOOKUP(Table410[[#This Row],[RATE CONCAT]],Tables!I:N,5,0)),0)</f>
        <v>3000</v>
      </c>
      <c r="CI31" s="13">
        <f>Table410[[#This Row],[May_2026_F]]-Table410[[#This Row],[May_2026_A]]</f>
        <v>0</v>
      </c>
      <c r="CK31" s="13">
        <f>IFERROR(Table410[[#This Row],[Jun_2026_Days_Forecast]]*Table410[[#This Row],[Cost Boolean]]*(VLOOKUP(Table410[[#This Row],[RATE CONCAT]],Tables!I:N,5,0)),0)</f>
        <v>2400</v>
      </c>
      <c r="CL31" s="13">
        <f>IFERROR(Table410[[#This Row],[Jun_2026_Days_Actual]]*Table410[[#This Row],[Cost Boolean]]*(VLOOKUP(Table410[[#This Row],[RATE CONCAT]],Tables!I:N,5,0)),0)</f>
        <v>2400</v>
      </c>
      <c r="CM31" s="13">
        <f>Table410[[#This Row],[Jun_2026_F]]-Table410[[#This Row],[Jun_2026_A]]</f>
        <v>0</v>
      </c>
      <c r="CO31" s="13">
        <f>IFERROR(Table410[[#This Row],[Jul_2026_Days_Forecast]]*Table410[[#This Row],[Cost Boolean]]*(VLOOKUP(Table410[[#This Row],[RATE CONCAT]],Tables!I:N,5,0)),0)</f>
        <v>3000</v>
      </c>
      <c r="CP31" s="13">
        <f>IFERROR(Table410[[#This Row],[Jul_2026_Days_Actual]]*Table410[[#This Row],[Cost Boolean]]*(VLOOKUP(Table410[[#This Row],[RATE CONCAT]],Tables!I:N,5,0)),0)</f>
        <v>3000</v>
      </c>
      <c r="CQ31" s="13">
        <f>Table410[[#This Row],[Jul_2026_F]]-Table410[[#This Row],[Jul_2026_A]]</f>
        <v>0</v>
      </c>
      <c r="CS31" s="13">
        <f>IFERROR(Table410[[#This Row],[Aug_2026_Days_Forecast]]*Table410[[#This Row],[Cost Boolean]]*(VLOOKUP(Table410[[#This Row],[RATE CONCAT]],Tables!I:N,5,0)),0)</f>
        <v>3000</v>
      </c>
      <c r="CT31" s="13">
        <f>IFERROR(Table410[[#This Row],[Aug_2026_Days_Actual]]*Table410[[#This Row],[Cost Boolean]]*(VLOOKUP(Table410[[#This Row],[RATE CONCAT]],Tables!I:N,5,0)),0)</f>
        <v>3000</v>
      </c>
      <c r="CU31" s="13">
        <f>Table410[[#This Row],[Aug_2026_F]]-Table410[[#This Row],[Aug_2026_A]]</f>
        <v>0</v>
      </c>
      <c r="CW31" s="13">
        <f>IFERROR(Table410[[#This Row],[Sep_2026_Days_Forecast]]*Table410[[#This Row],[Cost Boolean]]*(VLOOKUP(Table410[[#This Row],[RATE CONCAT]],Tables!I:N,5,0)),0)</f>
        <v>3000</v>
      </c>
      <c r="CX31" s="13">
        <f>IFERROR(Table410[[#This Row],[Sep_2026_Days_Actual]]*Table410[[#This Row],[Cost Boolean]]*(VLOOKUP(Table410[[#This Row],[RATE CONCAT]],Tables!I:N,5,0)),0)</f>
        <v>3000</v>
      </c>
      <c r="CY31" s="13">
        <f>Table410[[#This Row],[Sep_2026_F]]-Table410[[#This Row],[Sep_2026_A]]</f>
        <v>0</v>
      </c>
      <c r="DA31" s="13">
        <f>IFERROR(Table410[[#This Row],[Oct_2026_Days_Forecast]]*Table410[[#This Row],[Cost Boolean]]*(VLOOKUP(Table410[[#This Row],[RATE CONCAT]],Tables!I:N,5,0)),0)</f>
        <v>3000</v>
      </c>
      <c r="DB31" s="13">
        <f>IFERROR(Table410[[#This Row],[Oct_2026_Days_Actual]]*Table410[[#This Row],[Cost Boolean]]*(VLOOKUP(Table410[[#This Row],[RATE CONCAT]],Tables!I:N,5,0)),0)</f>
        <v>3000</v>
      </c>
      <c r="DC31" s="13">
        <f>Table410[[#This Row],[Oct_2026_F]]-Table410[[#This Row],[Oct_2026_A]]</f>
        <v>0</v>
      </c>
      <c r="DE31" s="13">
        <f>IFERROR(Table410[[#This Row],[Nov_2026_Days_Forecast]]*Table410[[#This Row],[Cost Boolean]]*(VLOOKUP(Table410[[#This Row],[RATE CONCAT]],Tables!I:N,5,0)),0)</f>
        <v>3000</v>
      </c>
      <c r="DF31" s="13">
        <f>IFERROR(Table410[[#This Row],[Nov_2026_Days_Actual]]*Table410[[#This Row],[Cost Boolean]]*(VLOOKUP(Table410[[#This Row],[RATE CONCAT]],Tables!I:N,5,0)),0)</f>
        <v>3000</v>
      </c>
      <c r="DG31" s="13">
        <f>Table410[[#This Row],[Nov_2026_F]]-Table410[[#This Row],[Nov_2026_A]]</f>
        <v>0</v>
      </c>
      <c r="DI31" s="13">
        <f>IFERROR(Table410[[#This Row],[Dec_2026_Days_Forecast]]*Table410[[#This Row],[Cost Boolean]]*(VLOOKUP(Table410[[#This Row],[RATE CONCAT]],Tables!I:N,5,0)),0)</f>
        <v>2400</v>
      </c>
      <c r="DJ31" s="13">
        <f>IFERROR(Table410[[#This Row],[Dec_2026_Days_Actual]]*Table410[[#This Row],[Cost Boolean]]*(VLOOKUP(Table410[[#This Row],[RATE CONCAT]],Tables!I:N,5,0)),0)</f>
        <v>2400</v>
      </c>
      <c r="DK31" s="13">
        <f>Table410[[#This Row],[Dec_2026_F]]-Table410[[#This Row],[Dec_2026_A]]</f>
        <v>0</v>
      </c>
      <c r="DN31" s="13">
        <f>IFERROR(Table410[[#This Row],[Jan_2027_Days_Forecast]]*Table410[[#This Row],[Cost Boolean]]*(VLOOKUP(Table410[[#This Row],[RATE CONCAT]],Tables!I:N,6,0)),0)</f>
        <v>0</v>
      </c>
      <c r="DP31" s="13">
        <f>Table410[[#This Row],[Jan_2027_F]]-Table410[[#This Row],[Jan_2027_A]]</f>
        <v>0</v>
      </c>
      <c r="DQ31" s="13">
        <f>IFERROR(Table410[[#This Row],[Feb_2027_Days_Forecast]]*Table410[[#This Row],[Cost Boolean]]*(VLOOKUP(Table410[[#This Row],[RATE CONCAT]],Tables!I:N,6,0)),0)</f>
        <v>0</v>
      </c>
      <c r="DS31" s="13">
        <f>Table410[[#This Row],[Feb_2027_F]]-Table410[[#This Row],[Feb_2027_A]]</f>
        <v>0</v>
      </c>
      <c r="DT31" s="13">
        <f>IFERROR(Table410[[#This Row],[Mar_2027_Days_Forecast]]*Table410[[#This Row],[Cost Boolean]]*(VLOOKUP(Table410[[#This Row],[RATE CONCAT]],Tables!I:N,6,0)),0)</f>
        <v>0</v>
      </c>
      <c r="DV31" s="13">
        <f>Table410[[#This Row],[Mar_2027_F]]-Table410[[#This Row],[Mar_2027_A]]</f>
        <v>0</v>
      </c>
      <c r="DW31" s="13">
        <f>IFERROR(Table410[[#This Row],[Apr_2027_Days_Forecast]]*Table410[[#This Row],[Cost Boolean]]*(VLOOKUP(Table410[[#This Row],[RATE CONCAT]],Tables!I:N,6,0)),0)</f>
        <v>0</v>
      </c>
      <c r="DY31" s="13">
        <f>Table410[[#This Row],[Apr_2027_F]]-Table410[[#This Row],[Apr_2027_A]]</f>
        <v>0</v>
      </c>
      <c r="DZ31" s="13">
        <f>IFERROR(Table410[[#This Row],[May_2027_Days_Forecast]]*Table410[[#This Row],[Cost Boolean]]*(VLOOKUP(Table410[[#This Row],[RATE CONCAT]],Tables!I:N,6,0)),0)</f>
        <v>0</v>
      </c>
      <c r="EB31" s="13">
        <f>Table410[[#This Row],[May_2027_F]]-Table410[[#This Row],[May_2027_A]]</f>
        <v>0</v>
      </c>
      <c r="EC31" s="13">
        <f>IFERROR(Table410[[#This Row],[Jun_2027_Days_Forecast]]*Table410[[#This Row],[Cost Boolean]]*(VLOOKUP(Table410[[#This Row],[RATE CONCAT]],Tables!I:N,6,0)),0)</f>
        <v>0</v>
      </c>
      <c r="EE31" s="13">
        <f>Table410[[#This Row],[Jun_2027_F]]-Table410[[#This Row],[Jun_2027_A]]</f>
        <v>0</v>
      </c>
      <c r="EF31" s="13">
        <f>IFERROR(Table410[[#This Row],[Jul_2027_Days_Forecast]]*Table410[[#This Row],[Cost Boolean]]*(VLOOKUP(Table410[[#This Row],[RATE CONCAT]],Tables!I:N,6,0)),0)</f>
        <v>0</v>
      </c>
      <c r="EH31" s="13">
        <f>Table410[[#This Row],[Jul_2027_F]]-Table410[[#This Row],[Jul_2027_A]]</f>
        <v>0</v>
      </c>
      <c r="EI31" s="13">
        <f>IFERROR(Table410[[#This Row],[Aug_2027_Days_Forecast]]*Table410[[#This Row],[Cost Boolean]]*(VLOOKUP(Table410[[#This Row],[RATE CONCAT]],Tables!I:N,6,0)),0)</f>
        <v>0</v>
      </c>
      <c r="EK31" s="13">
        <f>Table410[[#This Row],[Aug_2027_F]]-Table410[[#This Row],[Aug_2027_A]]</f>
        <v>0</v>
      </c>
      <c r="EL31" s="13">
        <f>IFERROR(Table410[[#This Row],[Sep_2027_Days_Forecast]]*Table410[[#This Row],[Cost Boolean]]*(VLOOKUP(Table410[[#This Row],[RATE CONCAT]],Tables!I:N,6,0)),0)</f>
        <v>0</v>
      </c>
      <c r="EN31" s="13">
        <f>Table410[[#This Row],[Sep_2027_F]]-Table410[[#This Row],[Sep_2027_A]]</f>
        <v>0</v>
      </c>
      <c r="EO31" s="13">
        <f>IFERROR(Table410[[#This Row],[Oct_2027_Days_Forecast]]*Table410[[#This Row],[Cost Boolean]]*(VLOOKUP(Table410[[#This Row],[RATE CONCAT]],Tables!I:N,6,0)),0)</f>
        <v>0</v>
      </c>
      <c r="EQ31" s="13">
        <f>Table410[[#This Row],[Oct_2027_F]]-Table410[[#This Row],[Oct_2027_A]]</f>
        <v>0</v>
      </c>
      <c r="ER31" s="13">
        <f>IFERROR(Table410[[#This Row],[Nov_2027_Days_Forecast]]*Table410[[#This Row],[Cost Boolean]]*(VLOOKUP(Table410[[#This Row],[RATE CONCAT]],Tables!I:N,6,0)),0)</f>
        <v>0</v>
      </c>
      <c r="ET31" s="13">
        <f>Table410[[#This Row],[Nov_2027_F]]-Table410[[#This Row],[Nov_2027_A]]</f>
        <v>0</v>
      </c>
      <c r="EU31" s="13">
        <f>IFERROR(Table410[[#This Row],[Dec_2027_Days_Forecast]]*Table410[[#This Row],[Cost Boolean]]*(VLOOKUP(Table410[[#This Row],[RATE CONCAT]],Tables!I:N,6,0)),0)</f>
        <v>0</v>
      </c>
      <c r="EW31" s="13">
        <f>Table410[[#This Row],[Dec_2027_F]]-Table410[[#This Row],[Dec_2027_A]]</f>
        <v>0</v>
      </c>
    </row>
    <row r="32" spans="1:153" s="13" customFormat="1" ht="15" customHeight="1">
      <c r="A32" s="13" t="s">
        <v>319</v>
      </c>
      <c r="B32" s="13" t="s">
        <v>49</v>
      </c>
      <c r="C32" s="13" t="s">
        <v>219</v>
      </c>
      <c r="D32" s="13" t="s">
        <v>320</v>
      </c>
      <c r="E32" s="13" t="s">
        <v>221</v>
      </c>
      <c r="G32" s="13" t="s">
        <v>315</v>
      </c>
      <c r="H32" s="13">
        <v>4</v>
      </c>
      <c r="J32" s="13" t="s">
        <v>321</v>
      </c>
      <c r="K32" s="13" t="s">
        <v>224</v>
      </c>
      <c r="L32" s="13">
        <v>1</v>
      </c>
      <c r="M32" s="13" t="s">
        <v>317</v>
      </c>
      <c r="N32" s="13" t="s">
        <v>312</v>
      </c>
      <c r="O32" s="13" t="s">
        <v>260</v>
      </c>
      <c r="P32" s="13" t="s">
        <v>53</v>
      </c>
      <c r="Q32" s="13" t="s">
        <v>228</v>
      </c>
      <c r="R32" s="193">
        <v>46023</v>
      </c>
      <c r="S32" s="193">
        <v>46387</v>
      </c>
      <c r="T32" s="193">
        <v>46023</v>
      </c>
      <c r="U32" s="193">
        <v>46387</v>
      </c>
      <c r="V32" s="193">
        <v>46023</v>
      </c>
      <c r="W32" s="193">
        <v>46387</v>
      </c>
      <c r="Y32" s="13" t="str">
        <f>CONCATENATE(Table410[[#This Row],[JG]],Table410[[#This Row],[Country]],Table410[[#This Row],[Resource Provider]])</f>
        <v>4PolandShell Business</v>
      </c>
      <c r="Z32" s="13">
        <f>VLOOKUP(Table410[[#This Row],[RATE CONCAT]],Tables!I:N,5,0)</f>
        <v>600</v>
      </c>
      <c r="AA32" s="52"/>
      <c r="AB32" s="130">
        <v>5</v>
      </c>
      <c r="AC32" s="130">
        <v>5</v>
      </c>
      <c r="AD32" s="130">
        <v>5</v>
      </c>
      <c r="AE32" s="130">
        <v>5</v>
      </c>
      <c r="AF32" s="130">
        <v>5</v>
      </c>
      <c r="AG32" s="130">
        <v>4</v>
      </c>
      <c r="AH32" s="130">
        <v>5</v>
      </c>
      <c r="AI32" s="130">
        <v>5</v>
      </c>
      <c r="AJ32" s="130">
        <v>5</v>
      </c>
      <c r="AK32" s="130">
        <v>5</v>
      </c>
      <c r="AL32" s="130">
        <v>5</v>
      </c>
      <c r="AM32" s="130">
        <v>4</v>
      </c>
      <c r="AN32" s="176">
        <f>IFERROR(AVERAGE(Table410[[#This Row],[Jan_2026_Days_Forecast]:[Dec_2026_Days_Forecast]]),0)/19</f>
        <v>0.25438596491228066</v>
      </c>
      <c r="AO32" s="176">
        <f>IFERROR(AVERAGE(Table410[[#This Row],[Jan_2026_Days_Actual]:[Dec_2026_Days_Actual]]),0)/19</f>
        <v>0.25438596491228066</v>
      </c>
      <c r="AP32" s="130">
        <v>5</v>
      </c>
      <c r="AQ32" s="130">
        <v>5</v>
      </c>
      <c r="AR32" s="130">
        <v>5</v>
      </c>
      <c r="AS32" s="130">
        <v>5</v>
      </c>
      <c r="AT32" s="130">
        <v>5</v>
      </c>
      <c r="AU32" s="130">
        <v>4</v>
      </c>
      <c r="AV32" s="130">
        <v>5</v>
      </c>
      <c r="AW32" s="130">
        <v>5</v>
      </c>
      <c r="AX32" s="130">
        <v>5</v>
      </c>
      <c r="AY32" s="130">
        <v>5</v>
      </c>
      <c r="AZ32" s="130">
        <v>5</v>
      </c>
      <c r="BA32" s="130">
        <v>4</v>
      </c>
      <c r="BB32" s="176">
        <f>IFERROR(AVERAGE(Table410[[#This Row],[Jan_2027_Days_Forecast]:[Dec_2027_Days_Forecast]]),0)</f>
        <v>0</v>
      </c>
      <c r="BC32" s="127"/>
      <c r="BD32" s="127"/>
      <c r="BE32" s="127"/>
      <c r="BF32" s="127"/>
      <c r="BG32" s="127"/>
      <c r="BH32" s="127"/>
      <c r="BI32" s="127"/>
      <c r="BJ32" s="127"/>
      <c r="BK32" s="127"/>
      <c r="BL32" s="127"/>
      <c r="BM32" s="127"/>
      <c r="BN32" s="127"/>
      <c r="BO32" s="176"/>
      <c r="BP32" s="176"/>
      <c r="BQ32" s="13">
        <f>IFERROR(Table410[[#This Row],[Jan_2026_Days_Forecast]]*Table410[[#This Row],[Cost Boolean]]*(VLOOKUP(Table410[[#This Row],[RATE CONCAT]],Tables!I:N,5,0)),0)</f>
        <v>3000</v>
      </c>
      <c r="BR32" s="13">
        <f>IFERROR(Table410[[#This Row],[Jan_2026_Days_Actual]]*Table410[[#This Row],[Cost Boolean]]*(VLOOKUP(Table410[[#This Row],[RATE CONCAT]],Tables!I:N,5,0)),0)</f>
        <v>3000</v>
      </c>
      <c r="BS32" s="13">
        <f>Table410[[#This Row],[Jan_2026_F]]-Table410[[#This Row],[Jan_2026_A]]</f>
        <v>0</v>
      </c>
      <c r="BU32" s="13">
        <f>IFERROR(Table410[[#This Row],[Feb_2026_Days_Forecast]]*Table410[[#This Row],[Cost Boolean]]*(VLOOKUP(Table410[[#This Row],[RATE CONCAT]],Tables!I:N,5,0)),0)</f>
        <v>3000</v>
      </c>
      <c r="BV32" s="13">
        <f>IFERROR(Table410[[#This Row],[Feb_2026_Days_Actual]]*Table410[[#This Row],[Cost Boolean]]*(VLOOKUP(Table410[[#This Row],[RATE CONCAT]],Tables!I:N,5,0)),0)</f>
        <v>3000</v>
      </c>
      <c r="BW32" s="13">
        <f>Table410[[#This Row],[Feb_2026_F]]-Table410[[#This Row],[Feb_2026_A]]</f>
        <v>0</v>
      </c>
      <c r="BY32" s="13">
        <f>IFERROR(Table410[[#This Row],[Mar_2026_Days_Forecast]]*Table410[[#This Row],[Cost Boolean]]*(VLOOKUP(Table410[[#This Row],[RATE CONCAT]],Tables!I:N,5,0)),0)</f>
        <v>3000</v>
      </c>
      <c r="BZ32" s="13">
        <f>IFERROR(Table410[[#This Row],[Mar_2026_Days_Actual]]*Table410[[#This Row],[Cost Boolean]]*(VLOOKUP(Table410[[#This Row],[RATE CONCAT]],Tables!I:N,5,0)),0)</f>
        <v>3000</v>
      </c>
      <c r="CA32" s="13">
        <f>Table410[[#This Row],[Mar_2026_F]]-Table410[[#This Row],[Mar_2026_A]]</f>
        <v>0</v>
      </c>
      <c r="CC32" s="13">
        <f>IFERROR(Table410[[#This Row],[Apr_2026_Days_Forecast]]*Table410[[#This Row],[Cost Boolean]]*(VLOOKUP(Table410[[#This Row],[RATE CONCAT]],Tables!I:N,5,0)),0)</f>
        <v>3000</v>
      </c>
      <c r="CD32" s="13">
        <f>IFERROR(Table410[[#This Row],[Apr_2026_Days_Actual]]*Table410[[#This Row],[Cost Boolean]]*(VLOOKUP(Table410[[#This Row],[RATE CONCAT]],Tables!I:N,5,0)),0)</f>
        <v>3000</v>
      </c>
      <c r="CE32" s="13">
        <f>Table410[[#This Row],[Apr_2026_F]]-Table410[[#This Row],[Apr_2026_A]]</f>
        <v>0</v>
      </c>
      <c r="CG32" s="13">
        <f>IFERROR(Table410[[#This Row],[May_2026_Days_Forecast]] *Table410[[#This Row],[Cost Boolean]]*(VLOOKUP(Table410[[#This Row],[RATE CONCAT]],Tables!I:N,5,0)),0)</f>
        <v>3000</v>
      </c>
      <c r="CH32" s="13">
        <f>IFERROR(Table410[[#This Row],[May_2026_Days_Actual]]*Table410[[#This Row],[Cost Boolean]]*(VLOOKUP(Table410[[#This Row],[RATE CONCAT]],Tables!I:N,5,0)),0)</f>
        <v>3000</v>
      </c>
      <c r="CI32" s="13">
        <f>Table410[[#This Row],[May_2026_F]]-Table410[[#This Row],[May_2026_A]]</f>
        <v>0</v>
      </c>
      <c r="CK32" s="13">
        <f>IFERROR(Table410[[#This Row],[Jun_2026_Days_Forecast]]*Table410[[#This Row],[Cost Boolean]]*(VLOOKUP(Table410[[#This Row],[RATE CONCAT]],Tables!I:N,5,0)),0)</f>
        <v>2400</v>
      </c>
      <c r="CL32" s="13">
        <f>IFERROR(Table410[[#This Row],[Jun_2026_Days_Actual]]*Table410[[#This Row],[Cost Boolean]]*(VLOOKUP(Table410[[#This Row],[RATE CONCAT]],Tables!I:N,5,0)),0)</f>
        <v>2400</v>
      </c>
      <c r="CM32" s="13">
        <f>Table410[[#This Row],[Jun_2026_F]]-Table410[[#This Row],[Jun_2026_A]]</f>
        <v>0</v>
      </c>
      <c r="CO32" s="13">
        <f>IFERROR(Table410[[#This Row],[Jul_2026_Days_Forecast]]*Table410[[#This Row],[Cost Boolean]]*(VLOOKUP(Table410[[#This Row],[RATE CONCAT]],Tables!I:N,5,0)),0)</f>
        <v>3000</v>
      </c>
      <c r="CP32" s="13">
        <f>IFERROR(Table410[[#This Row],[Jul_2026_Days_Actual]]*Table410[[#This Row],[Cost Boolean]]*(VLOOKUP(Table410[[#This Row],[RATE CONCAT]],Tables!I:N,5,0)),0)</f>
        <v>3000</v>
      </c>
      <c r="CQ32" s="13">
        <f>Table410[[#This Row],[Jul_2026_F]]-Table410[[#This Row],[Jul_2026_A]]</f>
        <v>0</v>
      </c>
      <c r="CS32" s="13">
        <f>IFERROR(Table410[[#This Row],[Aug_2026_Days_Forecast]]*Table410[[#This Row],[Cost Boolean]]*(VLOOKUP(Table410[[#This Row],[RATE CONCAT]],Tables!I:N,5,0)),0)</f>
        <v>3000</v>
      </c>
      <c r="CT32" s="13">
        <f>IFERROR(Table410[[#This Row],[Aug_2026_Days_Actual]]*Table410[[#This Row],[Cost Boolean]]*(VLOOKUP(Table410[[#This Row],[RATE CONCAT]],Tables!I:N,5,0)),0)</f>
        <v>3000</v>
      </c>
      <c r="CU32" s="13">
        <f>Table410[[#This Row],[Aug_2026_F]]-Table410[[#This Row],[Aug_2026_A]]</f>
        <v>0</v>
      </c>
      <c r="CW32" s="13">
        <f>IFERROR(Table410[[#This Row],[Sep_2026_Days_Forecast]]*Table410[[#This Row],[Cost Boolean]]*(VLOOKUP(Table410[[#This Row],[RATE CONCAT]],Tables!I:N,5,0)),0)</f>
        <v>3000</v>
      </c>
      <c r="CX32" s="13">
        <f>IFERROR(Table410[[#This Row],[Sep_2026_Days_Actual]]*Table410[[#This Row],[Cost Boolean]]*(VLOOKUP(Table410[[#This Row],[RATE CONCAT]],Tables!I:N,5,0)),0)</f>
        <v>3000</v>
      </c>
      <c r="CY32" s="13">
        <f>Table410[[#This Row],[Sep_2026_F]]-Table410[[#This Row],[Sep_2026_A]]</f>
        <v>0</v>
      </c>
      <c r="DA32" s="13">
        <f>IFERROR(Table410[[#This Row],[Oct_2026_Days_Forecast]]*Table410[[#This Row],[Cost Boolean]]*(VLOOKUP(Table410[[#This Row],[RATE CONCAT]],Tables!I:N,5,0)),0)</f>
        <v>3000</v>
      </c>
      <c r="DB32" s="13">
        <f>IFERROR(Table410[[#This Row],[Oct_2026_Days_Actual]]*Table410[[#This Row],[Cost Boolean]]*(VLOOKUP(Table410[[#This Row],[RATE CONCAT]],Tables!I:N,5,0)),0)</f>
        <v>3000</v>
      </c>
      <c r="DC32" s="13">
        <f>Table410[[#This Row],[Oct_2026_F]]-Table410[[#This Row],[Oct_2026_A]]</f>
        <v>0</v>
      </c>
      <c r="DE32" s="13">
        <f>IFERROR(Table410[[#This Row],[Nov_2026_Days_Forecast]]*Table410[[#This Row],[Cost Boolean]]*(VLOOKUP(Table410[[#This Row],[RATE CONCAT]],Tables!I:N,5,0)),0)</f>
        <v>3000</v>
      </c>
      <c r="DF32" s="13">
        <f>IFERROR(Table410[[#This Row],[Nov_2026_Days_Actual]]*Table410[[#This Row],[Cost Boolean]]*(VLOOKUP(Table410[[#This Row],[RATE CONCAT]],Tables!I:N,5,0)),0)</f>
        <v>3000</v>
      </c>
      <c r="DG32" s="13">
        <f>Table410[[#This Row],[Nov_2026_F]]-Table410[[#This Row],[Nov_2026_A]]</f>
        <v>0</v>
      </c>
      <c r="DI32" s="13">
        <f>IFERROR(Table410[[#This Row],[Dec_2026_Days_Forecast]]*Table410[[#This Row],[Cost Boolean]]*(VLOOKUP(Table410[[#This Row],[RATE CONCAT]],Tables!I:N,5,0)),0)</f>
        <v>2400</v>
      </c>
      <c r="DJ32" s="13">
        <f>IFERROR(Table410[[#This Row],[Dec_2026_Days_Actual]]*Table410[[#This Row],[Cost Boolean]]*(VLOOKUP(Table410[[#This Row],[RATE CONCAT]],Tables!I:N,5,0)),0)</f>
        <v>2400</v>
      </c>
      <c r="DK32" s="13">
        <f>Table410[[#This Row],[Dec_2026_F]]-Table410[[#This Row],[Dec_2026_A]]</f>
        <v>0</v>
      </c>
      <c r="DN32" s="13">
        <f>IFERROR(Table410[[#This Row],[Jan_2027_Days_Forecast]]*Table410[[#This Row],[Cost Boolean]]*(VLOOKUP(Table410[[#This Row],[RATE CONCAT]],Tables!I:N,6,0)),0)</f>
        <v>0</v>
      </c>
      <c r="DP32" s="13">
        <f>Table410[[#This Row],[Jan_2027_F]]-Table410[[#This Row],[Jan_2027_A]]</f>
        <v>0</v>
      </c>
      <c r="DQ32" s="13">
        <f>IFERROR(Table410[[#This Row],[Feb_2027_Days_Forecast]]*Table410[[#This Row],[Cost Boolean]]*(VLOOKUP(Table410[[#This Row],[RATE CONCAT]],Tables!I:N,6,0)),0)</f>
        <v>0</v>
      </c>
      <c r="DS32" s="13">
        <f>Table410[[#This Row],[Feb_2027_F]]-Table410[[#This Row],[Feb_2027_A]]</f>
        <v>0</v>
      </c>
      <c r="DT32" s="13">
        <f>IFERROR(Table410[[#This Row],[Mar_2027_Days_Forecast]]*Table410[[#This Row],[Cost Boolean]]*(VLOOKUP(Table410[[#This Row],[RATE CONCAT]],Tables!I:N,6,0)),0)</f>
        <v>0</v>
      </c>
      <c r="DV32" s="13">
        <f>Table410[[#This Row],[Mar_2027_F]]-Table410[[#This Row],[Mar_2027_A]]</f>
        <v>0</v>
      </c>
      <c r="DW32" s="13">
        <f>IFERROR(Table410[[#This Row],[Apr_2027_Days_Forecast]]*Table410[[#This Row],[Cost Boolean]]*(VLOOKUP(Table410[[#This Row],[RATE CONCAT]],Tables!I:N,6,0)),0)</f>
        <v>0</v>
      </c>
      <c r="DY32" s="13">
        <f>Table410[[#This Row],[Apr_2027_F]]-Table410[[#This Row],[Apr_2027_A]]</f>
        <v>0</v>
      </c>
      <c r="DZ32" s="13">
        <f>IFERROR(Table410[[#This Row],[May_2027_Days_Forecast]]*Table410[[#This Row],[Cost Boolean]]*(VLOOKUP(Table410[[#This Row],[RATE CONCAT]],Tables!I:N,6,0)),0)</f>
        <v>0</v>
      </c>
      <c r="EB32" s="13">
        <f>Table410[[#This Row],[May_2027_F]]-Table410[[#This Row],[May_2027_A]]</f>
        <v>0</v>
      </c>
      <c r="EC32" s="13">
        <f>IFERROR(Table410[[#This Row],[Jun_2027_Days_Forecast]]*Table410[[#This Row],[Cost Boolean]]*(VLOOKUP(Table410[[#This Row],[RATE CONCAT]],Tables!I:N,6,0)),0)</f>
        <v>0</v>
      </c>
      <c r="EE32" s="13">
        <f>Table410[[#This Row],[Jun_2027_F]]-Table410[[#This Row],[Jun_2027_A]]</f>
        <v>0</v>
      </c>
      <c r="EF32" s="13">
        <f>IFERROR(Table410[[#This Row],[Jul_2027_Days_Forecast]]*Table410[[#This Row],[Cost Boolean]]*(VLOOKUP(Table410[[#This Row],[RATE CONCAT]],Tables!I:N,6,0)),0)</f>
        <v>0</v>
      </c>
      <c r="EH32" s="13">
        <f>Table410[[#This Row],[Jul_2027_F]]-Table410[[#This Row],[Jul_2027_A]]</f>
        <v>0</v>
      </c>
      <c r="EI32" s="13">
        <f>IFERROR(Table410[[#This Row],[Aug_2027_Days_Forecast]]*Table410[[#This Row],[Cost Boolean]]*(VLOOKUP(Table410[[#This Row],[RATE CONCAT]],Tables!I:N,6,0)),0)</f>
        <v>0</v>
      </c>
      <c r="EK32" s="13">
        <f>Table410[[#This Row],[Aug_2027_F]]-Table410[[#This Row],[Aug_2027_A]]</f>
        <v>0</v>
      </c>
      <c r="EL32" s="13">
        <f>IFERROR(Table410[[#This Row],[Sep_2027_Days_Forecast]]*Table410[[#This Row],[Cost Boolean]]*(VLOOKUP(Table410[[#This Row],[RATE CONCAT]],Tables!I:N,6,0)),0)</f>
        <v>0</v>
      </c>
      <c r="EN32" s="13">
        <f>Table410[[#This Row],[Sep_2027_F]]-Table410[[#This Row],[Sep_2027_A]]</f>
        <v>0</v>
      </c>
      <c r="EO32" s="13">
        <f>IFERROR(Table410[[#This Row],[Oct_2027_Days_Forecast]]*Table410[[#This Row],[Cost Boolean]]*(VLOOKUP(Table410[[#This Row],[RATE CONCAT]],Tables!I:N,6,0)),0)</f>
        <v>0</v>
      </c>
      <c r="EQ32" s="13">
        <f>Table410[[#This Row],[Oct_2027_F]]-Table410[[#This Row],[Oct_2027_A]]</f>
        <v>0</v>
      </c>
      <c r="ER32" s="13">
        <f>IFERROR(Table410[[#This Row],[Nov_2027_Days_Forecast]]*Table410[[#This Row],[Cost Boolean]]*(VLOOKUP(Table410[[#This Row],[RATE CONCAT]],Tables!I:N,6,0)),0)</f>
        <v>0</v>
      </c>
      <c r="ET32" s="13">
        <f>Table410[[#This Row],[Nov_2027_F]]-Table410[[#This Row],[Nov_2027_A]]</f>
        <v>0</v>
      </c>
      <c r="EU32" s="13">
        <f>IFERROR(Table410[[#This Row],[Dec_2027_Days_Forecast]]*Table410[[#This Row],[Cost Boolean]]*(VLOOKUP(Table410[[#This Row],[RATE CONCAT]],Tables!I:N,6,0)),0)</f>
        <v>0</v>
      </c>
      <c r="EW32" s="13">
        <f>Table410[[#This Row],[Dec_2027_F]]-Table410[[#This Row],[Dec_2027_A]]</f>
        <v>0</v>
      </c>
    </row>
    <row r="33" spans="1:153" s="13" customFormat="1" ht="15" customHeight="1">
      <c r="A33" s="13" t="s">
        <v>322</v>
      </c>
      <c r="B33" s="13" t="s">
        <v>50</v>
      </c>
      <c r="C33" s="13" t="s">
        <v>219</v>
      </c>
      <c r="D33" s="13" t="s">
        <v>323</v>
      </c>
      <c r="E33" s="13" t="s">
        <v>221</v>
      </c>
      <c r="G33" s="13" t="s">
        <v>222</v>
      </c>
      <c r="H33" s="13">
        <v>4</v>
      </c>
      <c r="J33" s="13" t="s">
        <v>324</v>
      </c>
      <c r="K33" s="13" t="s">
        <v>224</v>
      </c>
      <c r="L33" s="13">
        <v>0</v>
      </c>
      <c r="M33" s="13" t="s">
        <v>225</v>
      </c>
      <c r="N33" s="13" t="s">
        <v>325</v>
      </c>
      <c r="O33" s="13" t="s">
        <v>260</v>
      </c>
      <c r="P33" s="13" t="s">
        <v>53</v>
      </c>
      <c r="Q33" s="13" t="s">
        <v>228</v>
      </c>
      <c r="R33" s="193">
        <v>46023</v>
      </c>
      <c r="S33" s="193">
        <v>46387</v>
      </c>
      <c r="T33" s="193">
        <v>46023</v>
      </c>
      <c r="U33" s="193">
        <v>46387</v>
      </c>
      <c r="V33" s="193">
        <v>46023</v>
      </c>
      <c r="W33" s="193">
        <v>46387</v>
      </c>
      <c r="Y33" s="13" t="str">
        <f>CONCATENATE(Table410[[#This Row],[JG]],Table410[[#This Row],[Country]],Table410[[#This Row],[Resource Provider]])</f>
        <v>4United KingdomShell Business</v>
      </c>
      <c r="Z33" s="13">
        <f>VLOOKUP(Table410[[#This Row],[RATE CONCAT]],Tables!I:N,5,0)</f>
        <v>935</v>
      </c>
      <c r="AA33" s="52"/>
      <c r="AB33" s="130">
        <v>5</v>
      </c>
      <c r="AC33" s="130">
        <v>5</v>
      </c>
      <c r="AD33" s="130">
        <v>5</v>
      </c>
      <c r="AE33" s="130">
        <v>5</v>
      </c>
      <c r="AF33" s="130">
        <v>5</v>
      </c>
      <c r="AG33" s="130">
        <v>4</v>
      </c>
      <c r="AH33" s="130">
        <v>5</v>
      </c>
      <c r="AI33" s="130">
        <v>5</v>
      </c>
      <c r="AJ33" s="130"/>
      <c r="AK33" s="130"/>
      <c r="AL33" s="130"/>
      <c r="AM33" s="130"/>
      <c r="AN33" s="176">
        <f>IFERROR(AVERAGE(Table410[[#This Row],[Jan_2026_Days_Forecast]:[Dec_2026_Days_Forecast]]),0)/19</f>
        <v>0.25657894736842107</v>
      </c>
      <c r="AO33" s="176">
        <f>IFERROR(AVERAGE(Table410[[#This Row],[Jan_2026_Days_Actual]:[Dec_2026_Days_Actual]]),0)/19</f>
        <v>0.25657894736842107</v>
      </c>
      <c r="AP33" s="130">
        <v>5</v>
      </c>
      <c r="AQ33" s="130">
        <v>5</v>
      </c>
      <c r="AR33" s="130">
        <v>5</v>
      </c>
      <c r="AS33" s="130">
        <v>5</v>
      </c>
      <c r="AT33" s="130">
        <v>5</v>
      </c>
      <c r="AU33" s="130">
        <v>4</v>
      </c>
      <c r="AV33" s="130">
        <v>5</v>
      </c>
      <c r="AW33" s="130">
        <v>5</v>
      </c>
      <c r="AX33" s="130"/>
      <c r="AY33" s="130"/>
      <c r="AZ33" s="130"/>
      <c r="BA33" s="130"/>
      <c r="BB33" s="176">
        <f>IFERROR(AVERAGE(Table410[[#This Row],[Jan_2027_Days_Forecast]:[Dec_2027_Days_Forecast]]),0)</f>
        <v>0</v>
      </c>
      <c r="BC33" s="127"/>
      <c r="BD33" s="127"/>
      <c r="BE33" s="127"/>
      <c r="BF33" s="127"/>
      <c r="BG33" s="127"/>
      <c r="BH33" s="127"/>
      <c r="BI33" s="127"/>
      <c r="BJ33" s="127"/>
      <c r="BK33" s="127"/>
      <c r="BL33" s="127"/>
      <c r="BM33" s="127"/>
      <c r="BN33" s="127"/>
      <c r="BO33" s="176"/>
      <c r="BP33" s="176"/>
      <c r="BQ33" s="13">
        <f>IFERROR(Table410[[#This Row],[Jan_2026_Days_Forecast]]*Table410[[#This Row],[Cost Boolean]]*(VLOOKUP(Table410[[#This Row],[RATE CONCAT]],Tables!I:N,5,0)),0)</f>
        <v>0</v>
      </c>
      <c r="BR33" s="13">
        <f>IFERROR(Table410[[#This Row],[Jan_2026_Days_Actual]]*Table410[[#This Row],[Cost Boolean]]*(VLOOKUP(Table410[[#This Row],[RATE CONCAT]],Tables!I:N,5,0)),0)</f>
        <v>0</v>
      </c>
      <c r="BS33" s="13">
        <f>Table410[[#This Row],[Jan_2026_F]]-Table410[[#This Row],[Jan_2026_A]]</f>
        <v>0</v>
      </c>
      <c r="BU33" s="13">
        <f>IFERROR(Table410[[#This Row],[Feb_2026_Days_Forecast]]*Table410[[#This Row],[Cost Boolean]]*(VLOOKUP(Table410[[#This Row],[RATE CONCAT]],Tables!I:N,5,0)),0)</f>
        <v>0</v>
      </c>
      <c r="BV33" s="13">
        <f>IFERROR(Table410[[#This Row],[Feb_2026_Days_Actual]]*Table410[[#This Row],[Cost Boolean]]*(VLOOKUP(Table410[[#This Row],[RATE CONCAT]],Tables!I:N,5,0)),0)</f>
        <v>0</v>
      </c>
      <c r="BW33" s="13">
        <f>Table410[[#This Row],[Feb_2026_F]]-Table410[[#This Row],[Feb_2026_A]]</f>
        <v>0</v>
      </c>
      <c r="BY33" s="13">
        <f>IFERROR(Table410[[#This Row],[Mar_2026_Days_Forecast]]*Table410[[#This Row],[Cost Boolean]]*(VLOOKUP(Table410[[#This Row],[RATE CONCAT]],Tables!I:N,5,0)),0)</f>
        <v>0</v>
      </c>
      <c r="BZ33" s="13">
        <f>IFERROR(Table410[[#This Row],[Mar_2026_Days_Actual]]*Table410[[#This Row],[Cost Boolean]]*(VLOOKUP(Table410[[#This Row],[RATE CONCAT]],Tables!I:N,5,0)),0)</f>
        <v>0</v>
      </c>
      <c r="CA33" s="13">
        <f>Table410[[#This Row],[Mar_2026_F]]-Table410[[#This Row],[Mar_2026_A]]</f>
        <v>0</v>
      </c>
      <c r="CC33" s="13">
        <f>IFERROR(Table410[[#This Row],[Apr_2026_Days_Forecast]]*Table410[[#This Row],[Cost Boolean]]*(VLOOKUP(Table410[[#This Row],[RATE CONCAT]],Tables!I:N,5,0)),0)</f>
        <v>0</v>
      </c>
      <c r="CD33" s="13">
        <f>IFERROR(Table410[[#This Row],[Apr_2026_Days_Actual]]*Table410[[#This Row],[Cost Boolean]]*(VLOOKUP(Table410[[#This Row],[RATE CONCAT]],Tables!I:N,5,0)),0)</f>
        <v>0</v>
      </c>
      <c r="CE33" s="13">
        <f>Table410[[#This Row],[Apr_2026_F]]-Table410[[#This Row],[Apr_2026_A]]</f>
        <v>0</v>
      </c>
      <c r="CG33" s="13">
        <f>IFERROR(Table410[[#This Row],[May_2026_Days_Forecast]] *Table410[[#This Row],[Cost Boolean]]*(VLOOKUP(Table410[[#This Row],[RATE CONCAT]],Tables!I:N,5,0)),0)</f>
        <v>0</v>
      </c>
      <c r="CH33" s="13">
        <f>IFERROR(Table410[[#This Row],[May_2026_Days_Actual]]*Table410[[#This Row],[Cost Boolean]]*(VLOOKUP(Table410[[#This Row],[RATE CONCAT]],Tables!I:N,5,0)),0)</f>
        <v>0</v>
      </c>
      <c r="CI33" s="13">
        <f>Table410[[#This Row],[May_2026_F]]-Table410[[#This Row],[May_2026_A]]</f>
        <v>0</v>
      </c>
      <c r="CK33" s="13">
        <f>IFERROR(Table410[[#This Row],[Jun_2026_Days_Forecast]]*Table410[[#This Row],[Cost Boolean]]*(VLOOKUP(Table410[[#This Row],[RATE CONCAT]],Tables!I:N,5,0)),0)</f>
        <v>0</v>
      </c>
      <c r="CL33" s="13">
        <f>IFERROR(Table410[[#This Row],[Jun_2026_Days_Actual]]*Table410[[#This Row],[Cost Boolean]]*(VLOOKUP(Table410[[#This Row],[RATE CONCAT]],Tables!I:N,5,0)),0)</f>
        <v>0</v>
      </c>
      <c r="CM33" s="13">
        <f>Table410[[#This Row],[Jun_2026_F]]-Table410[[#This Row],[Jun_2026_A]]</f>
        <v>0</v>
      </c>
      <c r="CO33" s="13">
        <f>IFERROR(Table410[[#This Row],[Jul_2026_Days_Forecast]]*Table410[[#This Row],[Cost Boolean]]*(VLOOKUP(Table410[[#This Row],[RATE CONCAT]],Tables!I:N,5,0)),0)</f>
        <v>0</v>
      </c>
      <c r="CP33" s="13">
        <f>IFERROR(Table410[[#This Row],[Jul_2026_Days_Actual]]*Table410[[#This Row],[Cost Boolean]]*(VLOOKUP(Table410[[#This Row],[RATE CONCAT]],Tables!I:N,5,0)),0)</f>
        <v>0</v>
      </c>
      <c r="CQ33" s="13">
        <f>Table410[[#This Row],[Jul_2026_F]]-Table410[[#This Row],[Jul_2026_A]]</f>
        <v>0</v>
      </c>
      <c r="CS33" s="13">
        <f>IFERROR(Table410[[#This Row],[Aug_2026_Days_Forecast]]*Table410[[#This Row],[Cost Boolean]]*(VLOOKUP(Table410[[#This Row],[RATE CONCAT]],Tables!I:N,5,0)),0)</f>
        <v>0</v>
      </c>
      <c r="CT33" s="13">
        <f>IFERROR(Table410[[#This Row],[Aug_2026_Days_Actual]]*Table410[[#This Row],[Cost Boolean]]*(VLOOKUP(Table410[[#This Row],[RATE CONCAT]],Tables!I:N,5,0)),0)</f>
        <v>0</v>
      </c>
      <c r="CU33" s="13">
        <f>Table410[[#This Row],[Aug_2026_F]]-Table410[[#This Row],[Aug_2026_A]]</f>
        <v>0</v>
      </c>
      <c r="CW33" s="13">
        <f>IFERROR(Table410[[#This Row],[Sep_2026_Days_Forecast]]*Table410[[#This Row],[Cost Boolean]]*(VLOOKUP(Table410[[#This Row],[RATE CONCAT]],Tables!I:N,5,0)),0)</f>
        <v>0</v>
      </c>
      <c r="CX33" s="13">
        <f>IFERROR(Table410[[#This Row],[Sep_2026_Days_Actual]]*Table410[[#This Row],[Cost Boolean]]*(VLOOKUP(Table410[[#This Row],[RATE CONCAT]],Tables!I:N,5,0)),0)</f>
        <v>0</v>
      </c>
      <c r="CY33" s="13">
        <f>Table410[[#This Row],[Sep_2026_F]]-Table410[[#This Row],[Sep_2026_A]]</f>
        <v>0</v>
      </c>
      <c r="DA33" s="13">
        <f>IFERROR(Table410[[#This Row],[Oct_2026_Days_Forecast]]*Table410[[#This Row],[Cost Boolean]]*(VLOOKUP(Table410[[#This Row],[RATE CONCAT]],Tables!I:N,5,0)),0)</f>
        <v>0</v>
      </c>
      <c r="DB33" s="13">
        <f>IFERROR(Table410[[#This Row],[Oct_2026_Days_Actual]]*Table410[[#This Row],[Cost Boolean]]*(VLOOKUP(Table410[[#This Row],[RATE CONCAT]],Tables!I:N,5,0)),0)</f>
        <v>0</v>
      </c>
      <c r="DC33" s="13">
        <f>Table410[[#This Row],[Oct_2026_F]]-Table410[[#This Row],[Oct_2026_A]]</f>
        <v>0</v>
      </c>
      <c r="DE33" s="13">
        <f>IFERROR(Table410[[#This Row],[Nov_2026_Days_Forecast]]*Table410[[#This Row],[Cost Boolean]]*(VLOOKUP(Table410[[#This Row],[RATE CONCAT]],Tables!I:N,5,0)),0)</f>
        <v>0</v>
      </c>
      <c r="DF33" s="13">
        <f>IFERROR(Table410[[#This Row],[Nov_2026_Days_Actual]]*Table410[[#This Row],[Cost Boolean]]*(VLOOKUP(Table410[[#This Row],[RATE CONCAT]],Tables!I:N,5,0)),0)</f>
        <v>0</v>
      </c>
      <c r="DG33" s="13">
        <f>Table410[[#This Row],[Nov_2026_F]]-Table410[[#This Row],[Nov_2026_A]]</f>
        <v>0</v>
      </c>
      <c r="DI33" s="13">
        <f>IFERROR(Table410[[#This Row],[Dec_2026_Days_Forecast]]*Table410[[#This Row],[Cost Boolean]]*(VLOOKUP(Table410[[#This Row],[RATE CONCAT]],Tables!I:N,5,0)),0)</f>
        <v>0</v>
      </c>
      <c r="DJ33" s="13">
        <f>IFERROR(Table410[[#This Row],[Dec_2026_Days_Actual]]*Table410[[#This Row],[Cost Boolean]]*(VLOOKUP(Table410[[#This Row],[RATE CONCAT]],Tables!I:N,5,0)),0)</f>
        <v>0</v>
      </c>
      <c r="DK33" s="13">
        <f>Table410[[#This Row],[Dec_2026_F]]-Table410[[#This Row],[Dec_2026_A]]</f>
        <v>0</v>
      </c>
      <c r="DN33" s="13">
        <f>IFERROR(Table410[[#This Row],[Jan_2027_Days_Forecast]]*Table410[[#This Row],[Cost Boolean]]*(VLOOKUP(Table410[[#This Row],[RATE CONCAT]],Tables!I:N,6,0)),0)</f>
        <v>0</v>
      </c>
      <c r="DP33" s="13">
        <f>Table410[[#This Row],[Jan_2027_F]]-Table410[[#This Row],[Jan_2027_A]]</f>
        <v>0</v>
      </c>
      <c r="DQ33" s="13">
        <f>IFERROR(Table410[[#This Row],[Feb_2027_Days_Forecast]]*Table410[[#This Row],[Cost Boolean]]*(VLOOKUP(Table410[[#This Row],[RATE CONCAT]],Tables!I:N,6,0)),0)</f>
        <v>0</v>
      </c>
      <c r="DS33" s="13">
        <f>Table410[[#This Row],[Feb_2027_F]]-Table410[[#This Row],[Feb_2027_A]]</f>
        <v>0</v>
      </c>
      <c r="DT33" s="13">
        <f>IFERROR(Table410[[#This Row],[Mar_2027_Days_Forecast]]*Table410[[#This Row],[Cost Boolean]]*(VLOOKUP(Table410[[#This Row],[RATE CONCAT]],Tables!I:N,6,0)),0)</f>
        <v>0</v>
      </c>
      <c r="DV33" s="13">
        <f>Table410[[#This Row],[Mar_2027_F]]-Table410[[#This Row],[Mar_2027_A]]</f>
        <v>0</v>
      </c>
      <c r="DW33" s="13">
        <f>IFERROR(Table410[[#This Row],[Apr_2027_Days_Forecast]]*Table410[[#This Row],[Cost Boolean]]*(VLOOKUP(Table410[[#This Row],[RATE CONCAT]],Tables!I:N,6,0)),0)</f>
        <v>0</v>
      </c>
      <c r="DY33" s="13">
        <f>Table410[[#This Row],[Apr_2027_F]]-Table410[[#This Row],[Apr_2027_A]]</f>
        <v>0</v>
      </c>
      <c r="DZ33" s="13">
        <f>IFERROR(Table410[[#This Row],[May_2027_Days_Forecast]]*Table410[[#This Row],[Cost Boolean]]*(VLOOKUP(Table410[[#This Row],[RATE CONCAT]],Tables!I:N,6,0)),0)</f>
        <v>0</v>
      </c>
      <c r="EB33" s="13">
        <f>Table410[[#This Row],[May_2027_F]]-Table410[[#This Row],[May_2027_A]]</f>
        <v>0</v>
      </c>
      <c r="EC33" s="13">
        <f>IFERROR(Table410[[#This Row],[Jun_2027_Days_Forecast]]*Table410[[#This Row],[Cost Boolean]]*(VLOOKUP(Table410[[#This Row],[RATE CONCAT]],Tables!I:N,6,0)),0)</f>
        <v>0</v>
      </c>
      <c r="EE33" s="13">
        <f>Table410[[#This Row],[Jun_2027_F]]-Table410[[#This Row],[Jun_2027_A]]</f>
        <v>0</v>
      </c>
      <c r="EF33" s="13">
        <f>IFERROR(Table410[[#This Row],[Jul_2027_Days_Forecast]]*Table410[[#This Row],[Cost Boolean]]*(VLOOKUP(Table410[[#This Row],[RATE CONCAT]],Tables!I:N,6,0)),0)</f>
        <v>0</v>
      </c>
      <c r="EH33" s="13">
        <f>Table410[[#This Row],[Jul_2027_F]]-Table410[[#This Row],[Jul_2027_A]]</f>
        <v>0</v>
      </c>
      <c r="EI33" s="13">
        <f>IFERROR(Table410[[#This Row],[Aug_2027_Days_Forecast]]*Table410[[#This Row],[Cost Boolean]]*(VLOOKUP(Table410[[#This Row],[RATE CONCAT]],Tables!I:N,6,0)),0)</f>
        <v>0</v>
      </c>
      <c r="EK33" s="13">
        <f>Table410[[#This Row],[Aug_2027_F]]-Table410[[#This Row],[Aug_2027_A]]</f>
        <v>0</v>
      </c>
      <c r="EL33" s="13">
        <f>IFERROR(Table410[[#This Row],[Sep_2027_Days_Forecast]]*Table410[[#This Row],[Cost Boolean]]*(VLOOKUP(Table410[[#This Row],[RATE CONCAT]],Tables!I:N,6,0)),0)</f>
        <v>0</v>
      </c>
      <c r="EN33" s="13">
        <f>Table410[[#This Row],[Sep_2027_F]]-Table410[[#This Row],[Sep_2027_A]]</f>
        <v>0</v>
      </c>
      <c r="EO33" s="13">
        <f>IFERROR(Table410[[#This Row],[Oct_2027_Days_Forecast]]*Table410[[#This Row],[Cost Boolean]]*(VLOOKUP(Table410[[#This Row],[RATE CONCAT]],Tables!I:N,6,0)),0)</f>
        <v>0</v>
      </c>
      <c r="EQ33" s="13">
        <f>Table410[[#This Row],[Oct_2027_F]]-Table410[[#This Row],[Oct_2027_A]]</f>
        <v>0</v>
      </c>
      <c r="ER33" s="13">
        <f>IFERROR(Table410[[#This Row],[Nov_2027_Days_Forecast]]*Table410[[#This Row],[Cost Boolean]]*(VLOOKUP(Table410[[#This Row],[RATE CONCAT]],Tables!I:N,6,0)),0)</f>
        <v>0</v>
      </c>
      <c r="ET33" s="13">
        <f>Table410[[#This Row],[Nov_2027_F]]-Table410[[#This Row],[Nov_2027_A]]</f>
        <v>0</v>
      </c>
      <c r="EU33" s="13">
        <f>IFERROR(Table410[[#This Row],[Dec_2027_Days_Forecast]]*Table410[[#This Row],[Cost Boolean]]*(VLOOKUP(Table410[[#This Row],[RATE CONCAT]],Tables!I:N,6,0)),0)</f>
        <v>0</v>
      </c>
      <c r="EW33" s="13">
        <f>Table410[[#This Row],[Dec_2027_F]]-Table410[[#This Row],[Dec_2027_A]]</f>
        <v>0</v>
      </c>
    </row>
    <row r="34" spans="1:153" s="13" customFormat="1" ht="15" customHeight="1">
      <c r="A34" s="13" t="s">
        <v>326</v>
      </c>
      <c r="B34" s="13" t="s">
        <v>50</v>
      </c>
      <c r="C34" s="13" t="s">
        <v>219</v>
      </c>
      <c r="D34" s="13" t="s">
        <v>327</v>
      </c>
      <c r="E34" s="13" t="s">
        <v>221</v>
      </c>
      <c r="G34" s="13" t="s">
        <v>222</v>
      </c>
      <c r="H34" s="13">
        <v>5</v>
      </c>
      <c r="K34" s="13" t="s">
        <v>224</v>
      </c>
      <c r="L34" s="13">
        <v>0</v>
      </c>
      <c r="M34" s="13" t="s">
        <v>225</v>
      </c>
      <c r="N34" s="13" t="s">
        <v>325</v>
      </c>
      <c r="O34" s="13" t="s">
        <v>260</v>
      </c>
      <c r="P34" s="13" t="s">
        <v>53</v>
      </c>
      <c r="Q34" s="13" t="s">
        <v>228</v>
      </c>
      <c r="R34" s="193">
        <v>46023</v>
      </c>
      <c r="S34" s="193">
        <v>46387</v>
      </c>
      <c r="T34" s="193">
        <v>46023</v>
      </c>
      <c r="U34" s="193">
        <v>46387</v>
      </c>
      <c r="V34" s="193">
        <v>46023</v>
      </c>
      <c r="W34" s="193">
        <v>46387</v>
      </c>
      <c r="Y34" s="13" t="str">
        <f>CONCATENATE(Table410[[#This Row],[JG]],Table410[[#This Row],[Country]],Table410[[#This Row],[Resource Provider]])</f>
        <v>5United KingdomShell Business</v>
      </c>
      <c r="Z34" s="13">
        <f>VLOOKUP(Table410[[#This Row],[RATE CONCAT]],Tables!I:N,5,0)</f>
        <v>790</v>
      </c>
      <c r="AA34" s="52"/>
      <c r="AB34" s="130">
        <v>5</v>
      </c>
      <c r="AC34" s="130">
        <v>5</v>
      </c>
      <c r="AD34" s="130">
        <v>5</v>
      </c>
      <c r="AE34" s="130">
        <v>5</v>
      </c>
      <c r="AF34" s="130">
        <v>5</v>
      </c>
      <c r="AG34" s="130">
        <v>4</v>
      </c>
      <c r="AH34" s="130">
        <v>5</v>
      </c>
      <c r="AI34" s="130">
        <v>5</v>
      </c>
      <c r="AJ34" s="130"/>
      <c r="AK34" s="130"/>
      <c r="AL34" s="130"/>
      <c r="AM34" s="130"/>
      <c r="AN34" s="176">
        <f>IFERROR(AVERAGE(Table410[[#This Row],[Jan_2026_Days_Forecast]:[Dec_2026_Days_Forecast]]),0)/19</f>
        <v>0.25657894736842107</v>
      </c>
      <c r="AO34" s="176">
        <f>IFERROR(AVERAGE(Table410[[#This Row],[Jan_2026_Days_Actual]:[Dec_2026_Days_Actual]]),0)/19</f>
        <v>0.25657894736842107</v>
      </c>
      <c r="AP34" s="130">
        <v>5</v>
      </c>
      <c r="AQ34" s="130">
        <v>5</v>
      </c>
      <c r="AR34" s="130">
        <v>5</v>
      </c>
      <c r="AS34" s="130">
        <v>5</v>
      </c>
      <c r="AT34" s="130">
        <v>5</v>
      </c>
      <c r="AU34" s="130">
        <v>4</v>
      </c>
      <c r="AV34" s="130">
        <v>5</v>
      </c>
      <c r="AW34" s="130">
        <v>5</v>
      </c>
      <c r="AX34" s="130"/>
      <c r="AY34" s="130"/>
      <c r="AZ34" s="130"/>
      <c r="BA34" s="130"/>
      <c r="BB34" s="176">
        <f>IFERROR(AVERAGE(Table410[[#This Row],[Jan_2027_Days_Forecast]:[Dec_2027_Days_Forecast]]),0)</f>
        <v>0</v>
      </c>
      <c r="BC34" s="127"/>
      <c r="BD34" s="127"/>
      <c r="BE34" s="127"/>
      <c r="BF34" s="127"/>
      <c r="BG34" s="127"/>
      <c r="BH34" s="127"/>
      <c r="BI34" s="127"/>
      <c r="BJ34" s="127"/>
      <c r="BK34" s="127"/>
      <c r="BL34" s="127"/>
      <c r="BM34" s="127"/>
      <c r="BN34" s="127"/>
      <c r="BO34" s="176"/>
      <c r="BP34" s="176"/>
      <c r="BQ34" s="13">
        <f>IFERROR(Table410[[#This Row],[Jan_2026_Days_Forecast]]*Table410[[#This Row],[Cost Boolean]]*(VLOOKUP(Table410[[#This Row],[RATE CONCAT]],Tables!I:N,5,0)),0)</f>
        <v>0</v>
      </c>
      <c r="BR34" s="13">
        <f>IFERROR(Table410[[#This Row],[Jan_2026_Days_Actual]]*Table410[[#This Row],[Cost Boolean]]*(VLOOKUP(Table410[[#This Row],[RATE CONCAT]],Tables!I:N,5,0)),0)</f>
        <v>0</v>
      </c>
      <c r="BS34" s="13">
        <f>Table410[[#This Row],[Jan_2026_F]]-Table410[[#This Row],[Jan_2026_A]]</f>
        <v>0</v>
      </c>
      <c r="BU34" s="13">
        <f>IFERROR(Table410[[#This Row],[Feb_2026_Days_Forecast]]*Table410[[#This Row],[Cost Boolean]]*(VLOOKUP(Table410[[#This Row],[RATE CONCAT]],Tables!I:N,5,0)),0)</f>
        <v>0</v>
      </c>
      <c r="BV34" s="13">
        <f>IFERROR(Table410[[#This Row],[Feb_2026_Days_Actual]]*Table410[[#This Row],[Cost Boolean]]*(VLOOKUP(Table410[[#This Row],[RATE CONCAT]],Tables!I:N,5,0)),0)</f>
        <v>0</v>
      </c>
      <c r="BW34" s="13">
        <f>Table410[[#This Row],[Feb_2026_F]]-Table410[[#This Row],[Feb_2026_A]]</f>
        <v>0</v>
      </c>
      <c r="BY34" s="13">
        <f>IFERROR(Table410[[#This Row],[Mar_2026_Days_Forecast]]*Table410[[#This Row],[Cost Boolean]]*(VLOOKUP(Table410[[#This Row],[RATE CONCAT]],Tables!I:N,5,0)),0)</f>
        <v>0</v>
      </c>
      <c r="BZ34" s="13">
        <f>IFERROR(Table410[[#This Row],[Mar_2026_Days_Actual]]*Table410[[#This Row],[Cost Boolean]]*(VLOOKUP(Table410[[#This Row],[RATE CONCAT]],Tables!I:N,5,0)),0)</f>
        <v>0</v>
      </c>
      <c r="CA34" s="13">
        <f>Table410[[#This Row],[Mar_2026_F]]-Table410[[#This Row],[Mar_2026_A]]</f>
        <v>0</v>
      </c>
      <c r="CC34" s="13">
        <f>IFERROR(Table410[[#This Row],[Apr_2026_Days_Forecast]]*Table410[[#This Row],[Cost Boolean]]*(VLOOKUP(Table410[[#This Row],[RATE CONCAT]],Tables!I:N,5,0)),0)</f>
        <v>0</v>
      </c>
      <c r="CD34" s="13">
        <f>IFERROR(Table410[[#This Row],[Apr_2026_Days_Actual]]*Table410[[#This Row],[Cost Boolean]]*(VLOOKUP(Table410[[#This Row],[RATE CONCAT]],Tables!I:N,5,0)),0)</f>
        <v>0</v>
      </c>
      <c r="CE34" s="13">
        <f>Table410[[#This Row],[Apr_2026_F]]-Table410[[#This Row],[Apr_2026_A]]</f>
        <v>0</v>
      </c>
      <c r="CG34" s="13">
        <f>IFERROR(Table410[[#This Row],[May_2026_Days_Forecast]] *Table410[[#This Row],[Cost Boolean]]*(VLOOKUP(Table410[[#This Row],[RATE CONCAT]],Tables!I:N,5,0)),0)</f>
        <v>0</v>
      </c>
      <c r="CH34" s="13">
        <f>IFERROR(Table410[[#This Row],[May_2026_Days_Actual]]*Table410[[#This Row],[Cost Boolean]]*(VLOOKUP(Table410[[#This Row],[RATE CONCAT]],Tables!I:N,5,0)),0)</f>
        <v>0</v>
      </c>
      <c r="CI34" s="13">
        <f>Table410[[#This Row],[May_2026_F]]-Table410[[#This Row],[May_2026_A]]</f>
        <v>0</v>
      </c>
      <c r="CK34" s="13">
        <f>IFERROR(Table410[[#This Row],[Jun_2026_Days_Forecast]]*Table410[[#This Row],[Cost Boolean]]*(VLOOKUP(Table410[[#This Row],[RATE CONCAT]],Tables!I:N,5,0)),0)</f>
        <v>0</v>
      </c>
      <c r="CL34" s="13">
        <f>IFERROR(Table410[[#This Row],[Jun_2026_Days_Actual]]*Table410[[#This Row],[Cost Boolean]]*(VLOOKUP(Table410[[#This Row],[RATE CONCAT]],Tables!I:N,5,0)),0)</f>
        <v>0</v>
      </c>
      <c r="CM34" s="13">
        <f>Table410[[#This Row],[Jun_2026_F]]-Table410[[#This Row],[Jun_2026_A]]</f>
        <v>0</v>
      </c>
      <c r="CO34" s="13">
        <f>IFERROR(Table410[[#This Row],[Jul_2026_Days_Forecast]]*Table410[[#This Row],[Cost Boolean]]*(VLOOKUP(Table410[[#This Row],[RATE CONCAT]],Tables!I:N,5,0)),0)</f>
        <v>0</v>
      </c>
      <c r="CP34" s="13">
        <f>IFERROR(Table410[[#This Row],[Jul_2026_Days_Actual]]*Table410[[#This Row],[Cost Boolean]]*(VLOOKUP(Table410[[#This Row],[RATE CONCAT]],Tables!I:N,5,0)),0)</f>
        <v>0</v>
      </c>
      <c r="CQ34" s="13">
        <f>Table410[[#This Row],[Jul_2026_F]]-Table410[[#This Row],[Jul_2026_A]]</f>
        <v>0</v>
      </c>
      <c r="CS34" s="13">
        <f>IFERROR(Table410[[#This Row],[Aug_2026_Days_Forecast]]*Table410[[#This Row],[Cost Boolean]]*(VLOOKUP(Table410[[#This Row],[RATE CONCAT]],Tables!I:N,5,0)),0)</f>
        <v>0</v>
      </c>
      <c r="CT34" s="13">
        <f>IFERROR(Table410[[#This Row],[Aug_2026_Days_Actual]]*Table410[[#This Row],[Cost Boolean]]*(VLOOKUP(Table410[[#This Row],[RATE CONCAT]],Tables!I:N,5,0)),0)</f>
        <v>0</v>
      </c>
      <c r="CU34" s="13">
        <f>Table410[[#This Row],[Aug_2026_F]]-Table410[[#This Row],[Aug_2026_A]]</f>
        <v>0</v>
      </c>
      <c r="CW34" s="13">
        <f>IFERROR(Table410[[#This Row],[Sep_2026_Days_Forecast]]*Table410[[#This Row],[Cost Boolean]]*(VLOOKUP(Table410[[#This Row],[RATE CONCAT]],Tables!I:N,5,0)),0)</f>
        <v>0</v>
      </c>
      <c r="CX34" s="13">
        <f>IFERROR(Table410[[#This Row],[Sep_2026_Days_Actual]]*Table410[[#This Row],[Cost Boolean]]*(VLOOKUP(Table410[[#This Row],[RATE CONCAT]],Tables!I:N,5,0)),0)</f>
        <v>0</v>
      </c>
      <c r="CY34" s="13">
        <f>Table410[[#This Row],[Sep_2026_F]]-Table410[[#This Row],[Sep_2026_A]]</f>
        <v>0</v>
      </c>
      <c r="DA34" s="13">
        <f>IFERROR(Table410[[#This Row],[Oct_2026_Days_Forecast]]*Table410[[#This Row],[Cost Boolean]]*(VLOOKUP(Table410[[#This Row],[RATE CONCAT]],Tables!I:N,5,0)),0)</f>
        <v>0</v>
      </c>
      <c r="DB34" s="13">
        <f>IFERROR(Table410[[#This Row],[Oct_2026_Days_Actual]]*Table410[[#This Row],[Cost Boolean]]*(VLOOKUP(Table410[[#This Row],[RATE CONCAT]],Tables!I:N,5,0)),0)</f>
        <v>0</v>
      </c>
      <c r="DC34" s="13">
        <f>Table410[[#This Row],[Oct_2026_F]]-Table410[[#This Row],[Oct_2026_A]]</f>
        <v>0</v>
      </c>
      <c r="DE34" s="13">
        <f>IFERROR(Table410[[#This Row],[Nov_2026_Days_Forecast]]*Table410[[#This Row],[Cost Boolean]]*(VLOOKUP(Table410[[#This Row],[RATE CONCAT]],Tables!I:N,5,0)),0)</f>
        <v>0</v>
      </c>
      <c r="DF34" s="13">
        <f>IFERROR(Table410[[#This Row],[Nov_2026_Days_Actual]]*Table410[[#This Row],[Cost Boolean]]*(VLOOKUP(Table410[[#This Row],[RATE CONCAT]],Tables!I:N,5,0)),0)</f>
        <v>0</v>
      </c>
      <c r="DG34" s="13">
        <f>Table410[[#This Row],[Nov_2026_F]]-Table410[[#This Row],[Nov_2026_A]]</f>
        <v>0</v>
      </c>
      <c r="DI34" s="13">
        <f>IFERROR(Table410[[#This Row],[Dec_2026_Days_Forecast]]*Table410[[#This Row],[Cost Boolean]]*(VLOOKUP(Table410[[#This Row],[RATE CONCAT]],Tables!I:N,5,0)),0)</f>
        <v>0</v>
      </c>
      <c r="DJ34" s="13">
        <f>IFERROR(Table410[[#This Row],[Dec_2026_Days_Actual]]*Table410[[#This Row],[Cost Boolean]]*(VLOOKUP(Table410[[#This Row],[RATE CONCAT]],Tables!I:N,5,0)),0)</f>
        <v>0</v>
      </c>
      <c r="DK34" s="13">
        <f>Table410[[#This Row],[Dec_2026_F]]-Table410[[#This Row],[Dec_2026_A]]</f>
        <v>0</v>
      </c>
      <c r="DN34" s="13">
        <f>IFERROR(Table410[[#This Row],[Jan_2027_Days_Forecast]]*Table410[[#This Row],[Cost Boolean]]*(VLOOKUP(Table410[[#This Row],[RATE CONCAT]],Tables!I:N,6,0)),0)</f>
        <v>0</v>
      </c>
      <c r="DP34" s="13">
        <f>Table410[[#This Row],[Jan_2027_F]]-Table410[[#This Row],[Jan_2027_A]]</f>
        <v>0</v>
      </c>
      <c r="DQ34" s="13">
        <f>IFERROR(Table410[[#This Row],[Feb_2027_Days_Forecast]]*Table410[[#This Row],[Cost Boolean]]*(VLOOKUP(Table410[[#This Row],[RATE CONCAT]],Tables!I:N,6,0)),0)</f>
        <v>0</v>
      </c>
      <c r="DS34" s="13">
        <f>Table410[[#This Row],[Feb_2027_F]]-Table410[[#This Row],[Feb_2027_A]]</f>
        <v>0</v>
      </c>
      <c r="DT34" s="13">
        <f>IFERROR(Table410[[#This Row],[Mar_2027_Days_Forecast]]*Table410[[#This Row],[Cost Boolean]]*(VLOOKUP(Table410[[#This Row],[RATE CONCAT]],Tables!I:N,6,0)),0)</f>
        <v>0</v>
      </c>
      <c r="DV34" s="13">
        <f>Table410[[#This Row],[Mar_2027_F]]-Table410[[#This Row],[Mar_2027_A]]</f>
        <v>0</v>
      </c>
      <c r="DW34" s="13">
        <f>IFERROR(Table410[[#This Row],[Apr_2027_Days_Forecast]]*Table410[[#This Row],[Cost Boolean]]*(VLOOKUP(Table410[[#This Row],[RATE CONCAT]],Tables!I:N,6,0)),0)</f>
        <v>0</v>
      </c>
      <c r="DY34" s="13">
        <f>Table410[[#This Row],[Apr_2027_F]]-Table410[[#This Row],[Apr_2027_A]]</f>
        <v>0</v>
      </c>
      <c r="DZ34" s="13">
        <f>IFERROR(Table410[[#This Row],[May_2027_Days_Forecast]]*Table410[[#This Row],[Cost Boolean]]*(VLOOKUP(Table410[[#This Row],[RATE CONCAT]],Tables!I:N,6,0)),0)</f>
        <v>0</v>
      </c>
      <c r="EB34" s="13">
        <f>Table410[[#This Row],[May_2027_F]]-Table410[[#This Row],[May_2027_A]]</f>
        <v>0</v>
      </c>
      <c r="EC34" s="13">
        <f>IFERROR(Table410[[#This Row],[Jun_2027_Days_Forecast]]*Table410[[#This Row],[Cost Boolean]]*(VLOOKUP(Table410[[#This Row],[RATE CONCAT]],Tables!I:N,6,0)),0)</f>
        <v>0</v>
      </c>
      <c r="EE34" s="13">
        <f>Table410[[#This Row],[Jun_2027_F]]-Table410[[#This Row],[Jun_2027_A]]</f>
        <v>0</v>
      </c>
      <c r="EF34" s="13">
        <f>IFERROR(Table410[[#This Row],[Jul_2027_Days_Forecast]]*Table410[[#This Row],[Cost Boolean]]*(VLOOKUP(Table410[[#This Row],[RATE CONCAT]],Tables!I:N,6,0)),0)</f>
        <v>0</v>
      </c>
      <c r="EH34" s="13">
        <f>Table410[[#This Row],[Jul_2027_F]]-Table410[[#This Row],[Jul_2027_A]]</f>
        <v>0</v>
      </c>
      <c r="EI34" s="13">
        <f>IFERROR(Table410[[#This Row],[Aug_2027_Days_Forecast]]*Table410[[#This Row],[Cost Boolean]]*(VLOOKUP(Table410[[#This Row],[RATE CONCAT]],Tables!I:N,6,0)),0)</f>
        <v>0</v>
      </c>
      <c r="EK34" s="13">
        <f>Table410[[#This Row],[Aug_2027_F]]-Table410[[#This Row],[Aug_2027_A]]</f>
        <v>0</v>
      </c>
      <c r="EL34" s="13">
        <f>IFERROR(Table410[[#This Row],[Sep_2027_Days_Forecast]]*Table410[[#This Row],[Cost Boolean]]*(VLOOKUP(Table410[[#This Row],[RATE CONCAT]],Tables!I:N,6,0)),0)</f>
        <v>0</v>
      </c>
      <c r="EN34" s="13">
        <f>Table410[[#This Row],[Sep_2027_F]]-Table410[[#This Row],[Sep_2027_A]]</f>
        <v>0</v>
      </c>
      <c r="EO34" s="13">
        <f>IFERROR(Table410[[#This Row],[Oct_2027_Days_Forecast]]*Table410[[#This Row],[Cost Boolean]]*(VLOOKUP(Table410[[#This Row],[RATE CONCAT]],Tables!I:N,6,0)),0)</f>
        <v>0</v>
      </c>
      <c r="EQ34" s="13">
        <f>Table410[[#This Row],[Oct_2027_F]]-Table410[[#This Row],[Oct_2027_A]]</f>
        <v>0</v>
      </c>
      <c r="ER34" s="13">
        <f>IFERROR(Table410[[#This Row],[Nov_2027_Days_Forecast]]*Table410[[#This Row],[Cost Boolean]]*(VLOOKUP(Table410[[#This Row],[RATE CONCAT]],Tables!I:N,6,0)),0)</f>
        <v>0</v>
      </c>
      <c r="ET34" s="13">
        <f>Table410[[#This Row],[Nov_2027_F]]-Table410[[#This Row],[Nov_2027_A]]</f>
        <v>0</v>
      </c>
      <c r="EU34" s="13">
        <f>IFERROR(Table410[[#This Row],[Dec_2027_Days_Forecast]]*Table410[[#This Row],[Cost Boolean]]*(VLOOKUP(Table410[[#This Row],[RATE CONCAT]],Tables!I:N,6,0)),0)</f>
        <v>0</v>
      </c>
      <c r="EW34" s="13">
        <f>Table410[[#This Row],[Dec_2027_F]]-Table410[[#This Row],[Dec_2027_A]]</f>
        <v>0</v>
      </c>
    </row>
    <row r="35" spans="1:153" s="13" customFormat="1" ht="15" customHeight="1">
      <c r="A35" s="13" t="s">
        <v>328</v>
      </c>
      <c r="B35" s="13" t="s">
        <v>48</v>
      </c>
      <c r="C35" s="13" t="s">
        <v>219</v>
      </c>
      <c r="D35" s="13" t="s">
        <v>329</v>
      </c>
      <c r="E35" s="13" t="s">
        <v>221</v>
      </c>
      <c r="G35" s="13" t="s">
        <v>231</v>
      </c>
      <c r="H35" s="13">
        <v>3</v>
      </c>
      <c r="J35" s="13" t="s">
        <v>254</v>
      </c>
      <c r="K35" s="13" t="s">
        <v>224</v>
      </c>
      <c r="L35" s="13">
        <v>1</v>
      </c>
      <c r="M35" s="13" t="s">
        <v>233</v>
      </c>
      <c r="N35" s="13" t="s">
        <v>330</v>
      </c>
      <c r="O35" s="13" t="s">
        <v>227</v>
      </c>
      <c r="P35" s="13" t="s">
        <v>53</v>
      </c>
      <c r="Q35" s="13" t="s">
        <v>228</v>
      </c>
      <c r="R35" s="193">
        <v>46023</v>
      </c>
      <c r="S35" s="193">
        <v>46387</v>
      </c>
      <c r="T35" s="193">
        <v>46023</v>
      </c>
      <c r="U35" s="193">
        <v>46387</v>
      </c>
      <c r="V35" s="193">
        <v>46023</v>
      </c>
      <c r="W35" s="193">
        <v>46387</v>
      </c>
      <c r="Y35" s="13" t="str">
        <f>CONCATENATE(Table410[[#This Row],[JG]],Table410[[#This Row],[Country]],Table410[[#This Row],[Resource Provider]])</f>
        <v>3United StatesShell Business</v>
      </c>
      <c r="Z35" s="13">
        <f>VLOOKUP(Table410[[#This Row],[RATE CONCAT]],Tables!I:N,5,0)</f>
        <v>1155</v>
      </c>
      <c r="AA35" s="52"/>
      <c r="AB35" s="130"/>
      <c r="AC35" s="130">
        <v>10</v>
      </c>
      <c r="AD35" s="130">
        <v>10</v>
      </c>
      <c r="AE35" s="130">
        <v>10</v>
      </c>
      <c r="AF35" s="130">
        <v>9</v>
      </c>
      <c r="AG35" s="130">
        <v>9</v>
      </c>
      <c r="AH35" s="130">
        <v>9</v>
      </c>
      <c r="AI35" s="130">
        <v>10</v>
      </c>
      <c r="AJ35" s="130">
        <v>10</v>
      </c>
      <c r="AK35" s="130">
        <v>10</v>
      </c>
      <c r="AL35" s="130"/>
      <c r="AM35" s="130"/>
      <c r="AN35" s="176">
        <f>IFERROR(AVERAGE(Table410[[#This Row],[Jan_2026_Days_Forecast]:[Dec_2026_Days_Forecast]]),0)/19</f>
        <v>0.50877192982456132</v>
      </c>
      <c r="AO35" s="176">
        <f>IFERROR(AVERAGE(Table410[[#This Row],[Jan_2026_Days_Actual]:[Dec_2026_Days_Actual]]),0)/19</f>
        <v>0.50877192982456132</v>
      </c>
      <c r="AP35" s="130"/>
      <c r="AQ35" s="130">
        <v>10</v>
      </c>
      <c r="AR35" s="130">
        <v>10</v>
      </c>
      <c r="AS35" s="130">
        <v>10</v>
      </c>
      <c r="AT35" s="130">
        <v>9</v>
      </c>
      <c r="AU35" s="130">
        <v>9</v>
      </c>
      <c r="AV35" s="130">
        <v>9</v>
      </c>
      <c r="AW35" s="130">
        <v>10</v>
      </c>
      <c r="AX35" s="130">
        <v>10</v>
      </c>
      <c r="AY35" s="130">
        <v>10</v>
      </c>
      <c r="AZ35" s="130"/>
      <c r="BA35" s="130"/>
      <c r="BB35" s="176">
        <f>IFERROR(AVERAGE(Table410[[#This Row],[Jan_2027_Days_Forecast]:[Dec_2027_Days_Forecast]]),0)</f>
        <v>0</v>
      </c>
      <c r="BC35" s="127"/>
      <c r="BD35" s="127"/>
      <c r="BE35" s="127"/>
      <c r="BF35" s="127"/>
      <c r="BG35" s="127"/>
      <c r="BH35" s="127"/>
      <c r="BI35" s="127"/>
      <c r="BJ35" s="127"/>
      <c r="BK35" s="127"/>
      <c r="BL35" s="127"/>
      <c r="BM35" s="127"/>
      <c r="BN35" s="127"/>
      <c r="BO35" s="176"/>
      <c r="BP35" s="176"/>
      <c r="BQ35" s="13">
        <f>IFERROR(Table410[[#This Row],[Jan_2026_Days_Forecast]]*Table410[[#This Row],[Cost Boolean]]*(VLOOKUP(Table410[[#This Row],[RATE CONCAT]],Tables!I:N,5,0)),0)</f>
        <v>0</v>
      </c>
      <c r="BR35" s="13">
        <f>IFERROR(Table410[[#This Row],[Jan_2026_Days_Actual]]*Table410[[#This Row],[Cost Boolean]]*(VLOOKUP(Table410[[#This Row],[RATE CONCAT]],Tables!I:N,5,0)),0)</f>
        <v>0</v>
      </c>
      <c r="BS35" s="13">
        <f>Table410[[#This Row],[Jan_2026_F]]-Table410[[#This Row],[Jan_2026_A]]</f>
        <v>0</v>
      </c>
      <c r="BU35" s="13">
        <f>IFERROR(Table410[[#This Row],[Feb_2026_Days_Forecast]]*Table410[[#This Row],[Cost Boolean]]*(VLOOKUP(Table410[[#This Row],[RATE CONCAT]],Tables!I:N,5,0)),0)</f>
        <v>11550</v>
      </c>
      <c r="BV35" s="13">
        <f>IFERROR(Table410[[#This Row],[Feb_2026_Days_Actual]]*Table410[[#This Row],[Cost Boolean]]*(VLOOKUP(Table410[[#This Row],[RATE CONCAT]],Tables!I:N,5,0)),0)</f>
        <v>11550</v>
      </c>
      <c r="BW35" s="13">
        <f>Table410[[#This Row],[Feb_2026_F]]-Table410[[#This Row],[Feb_2026_A]]</f>
        <v>0</v>
      </c>
      <c r="BY35" s="13">
        <f>IFERROR(Table410[[#This Row],[Mar_2026_Days_Forecast]]*Table410[[#This Row],[Cost Boolean]]*(VLOOKUP(Table410[[#This Row],[RATE CONCAT]],Tables!I:N,5,0)),0)</f>
        <v>11550</v>
      </c>
      <c r="BZ35" s="13">
        <f>IFERROR(Table410[[#This Row],[Mar_2026_Days_Actual]]*Table410[[#This Row],[Cost Boolean]]*(VLOOKUP(Table410[[#This Row],[RATE CONCAT]],Tables!I:N,5,0)),0)</f>
        <v>11550</v>
      </c>
      <c r="CA35" s="13">
        <f>Table410[[#This Row],[Mar_2026_F]]-Table410[[#This Row],[Mar_2026_A]]</f>
        <v>0</v>
      </c>
      <c r="CC35" s="13">
        <f>IFERROR(Table410[[#This Row],[Apr_2026_Days_Forecast]]*Table410[[#This Row],[Cost Boolean]]*(VLOOKUP(Table410[[#This Row],[RATE CONCAT]],Tables!I:N,5,0)),0)</f>
        <v>11550</v>
      </c>
      <c r="CD35" s="13">
        <f>IFERROR(Table410[[#This Row],[Apr_2026_Days_Actual]]*Table410[[#This Row],[Cost Boolean]]*(VLOOKUP(Table410[[#This Row],[RATE CONCAT]],Tables!I:N,5,0)),0)</f>
        <v>11550</v>
      </c>
      <c r="CE35" s="13">
        <f>Table410[[#This Row],[Apr_2026_F]]-Table410[[#This Row],[Apr_2026_A]]</f>
        <v>0</v>
      </c>
      <c r="CG35" s="13">
        <f>IFERROR(Table410[[#This Row],[May_2026_Days_Forecast]] *Table410[[#This Row],[Cost Boolean]]*(VLOOKUP(Table410[[#This Row],[RATE CONCAT]],Tables!I:N,5,0)),0)</f>
        <v>10395</v>
      </c>
      <c r="CH35" s="13">
        <f>IFERROR(Table410[[#This Row],[May_2026_Days_Actual]]*Table410[[#This Row],[Cost Boolean]]*(VLOOKUP(Table410[[#This Row],[RATE CONCAT]],Tables!I:N,5,0)),0)</f>
        <v>10395</v>
      </c>
      <c r="CI35" s="13">
        <f>Table410[[#This Row],[May_2026_F]]-Table410[[#This Row],[May_2026_A]]</f>
        <v>0</v>
      </c>
      <c r="CK35" s="13">
        <f>IFERROR(Table410[[#This Row],[Jun_2026_Days_Forecast]]*Table410[[#This Row],[Cost Boolean]]*(VLOOKUP(Table410[[#This Row],[RATE CONCAT]],Tables!I:N,5,0)),0)</f>
        <v>10395</v>
      </c>
      <c r="CL35" s="13">
        <f>IFERROR(Table410[[#This Row],[Jun_2026_Days_Actual]]*Table410[[#This Row],[Cost Boolean]]*(VLOOKUP(Table410[[#This Row],[RATE CONCAT]],Tables!I:N,5,0)),0)</f>
        <v>10395</v>
      </c>
      <c r="CM35" s="13">
        <f>Table410[[#This Row],[Jun_2026_F]]-Table410[[#This Row],[Jun_2026_A]]</f>
        <v>0</v>
      </c>
      <c r="CO35" s="13">
        <f>IFERROR(Table410[[#This Row],[Jul_2026_Days_Forecast]]*Table410[[#This Row],[Cost Boolean]]*(VLOOKUP(Table410[[#This Row],[RATE CONCAT]],Tables!I:N,5,0)),0)</f>
        <v>10395</v>
      </c>
      <c r="CP35" s="13">
        <f>IFERROR(Table410[[#This Row],[Jul_2026_Days_Actual]]*Table410[[#This Row],[Cost Boolean]]*(VLOOKUP(Table410[[#This Row],[RATE CONCAT]],Tables!I:N,5,0)),0)</f>
        <v>10395</v>
      </c>
      <c r="CQ35" s="13">
        <f>Table410[[#This Row],[Jul_2026_F]]-Table410[[#This Row],[Jul_2026_A]]</f>
        <v>0</v>
      </c>
      <c r="CS35" s="13">
        <f>IFERROR(Table410[[#This Row],[Aug_2026_Days_Forecast]]*Table410[[#This Row],[Cost Boolean]]*(VLOOKUP(Table410[[#This Row],[RATE CONCAT]],Tables!I:N,5,0)),0)</f>
        <v>11550</v>
      </c>
      <c r="CT35" s="13">
        <f>IFERROR(Table410[[#This Row],[Aug_2026_Days_Actual]]*Table410[[#This Row],[Cost Boolean]]*(VLOOKUP(Table410[[#This Row],[RATE CONCAT]],Tables!I:N,5,0)),0)</f>
        <v>11550</v>
      </c>
      <c r="CU35" s="13">
        <f>Table410[[#This Row],[Aug_2026_F]]-Table410[[#This Row],[Aug_2026_A]]</f>
        <v>0</v>
      </c>
      <c r="CW35" s="13">
        <f>IFERROR(Table410[[#This Row],[Sep_2026_Days_Forecast]]*Table410[[#This Row],[Cost Boolean]]*(VLOOKUP(Table410[[#This Row],[RATE CONCAT]],Tables!I:N,5,0)),0)</f>
        <v>11550</v>
      </c>
      <c r="CX35" s="13">
        <f>IFERROR(Table410[[#This Row],[Sep_2026_Days_Actual]]*Table410[[#This Row],[Cost Boolean]]*(VLOOKUP(Table410[[#This Row],[RATE CONCAT]],Tables!I:N,5,0)),0)</f>
        <v>11550</v>
      </c>
      <c r="CY35" s="13">
        <f>Table410[[#This Row],[Sep_2026_F]]-Table410[[#This Row],[Sep_2026_A]]</f>
        <v>0</v>
      </c>
      <c r="DA35" s="13">
        <f>IFERROR(Table410[[#This Row],[Oct_2026_Days_Forecast]]*Table410[[#This Row],[Cost Boolean]]*(VLOOKUP(Table410[[#This Row],[RATE CONCAT]],Tables!I:N,5,0)),0)</f>
        <v>11550</v>
      </c>
      <c r="DB35" s="13">
        <f>IFERROR(Table410[[#This Row],[Oct_2026_Days_Actual]]*Table410[[#This Row],[Cost Boolean]]*(VLOOKUP(Table410[[#This Row],[RATE CONCAT]],Tables!I:N,5,0)),0)</f>
        <v>11550</v>
      </c>
      <c r="DC35" s="13">
        <f>Table410[[#This Row],[Oct_2026_F]]-Table410[[#This Row],[Oct_2026_A]]</f>
        <v>0</v>
      </c>
      <c r="DE35" s="13">
        <f>IFERROR(Table410[[#This Row],[Nov_2026_Days_Forecast]]*Table410[[#This Row],[Cost Boolean]]*(VLOOKUP(Table410[[#This Row],[RATE CONCAT]],Tables!I:N,5,0)),0)</f>
        <v>0</v>
      </c>
      <c r="DF35" s="13">
        <f>IFERROR(Table410[[#This Row],[Nov_2026_Days_Actual]]*Table410[[#This Row],[Cost Boolean]]*(VLOOKUP(Table410[[#This Row],[RATE CONCAT]],Tables!I:N,5,0)),0)</f>
        <v>0</v>
      </c>
      <c r="DG35" s="13">
        <f>Table410[[#This Row],[Nov_2026_F]]-Table410[[#This Row],[Nov_2026_A]]</f>
        <v>0</v>
      </c>
      <c r="DI35" s="13">
        <f>IFERROR(Table410[[#This Row],[Dec_2026_Days_Forecast]]*Table410[[#This Row],[Cost Boolean]]*(VLOOKUP(Table410[[#This Row],[RATE CONCAT]],Tables!I:N,5,0)),0)</f>
        <v>0</v>
      </c>
      <c r="DJ35" s="13">
        <f>IFERROR(Table410[[#This Row],[Dec_2026_Days_Actual]]*Table410[[#This Row],[Cost Boolean]]*(VLOOKUP(Table410[[#This Row],[RATE CONCAT]],Tables!I:N,5,0)),0)</f>
        <v>0</v>
      </c>
      <c r="DK35" s="13">
        <f>Table410[[#This Row],[Dec_2026_F]]-Table410[[#This Row],[Dec_2026_A]]</f>
        <v>0</v>
      </c>
      <c r="DN35" s="13">
        <f>IFERROR(Table410[[#This Row],[Jan_2027_Days_Forecast]]*Table410[[#This Row],[Cost Boolean]]*(VLOOKUP(Table410[[#This Row],[RATE CONCAT]],Tables!I:N,6,0)),0)</f>
        <v>0</v>
      </c>
      <c r="DP35" s="13">
        <f>Table410[[#This Row],[Jan_2027_F]]-Table410[[#This Row],[Jan_2027_A]]</f>
        <v>0</v>
      </c>
      <c r="DQ35" s="13">
        <f>IFERROR(Table410[[#This Row],[Feb_2027_Days_Forecast]]*Table410[[#This Row],[Cost Boolean]]*(VLOOKUP(Table410[[#This Row],[RATE CONCAT]],Tables!I:N,6,0)),0)</f>
        <v>0</v>
      </c>
      <c r="DS35" s="13">
        <f>Table410[[#This Row],[Feb_2027_F]]-Table410[[#This Row],[Feb_2027_A]]</f>
        <v>0</v>
      </c>
      <c r="DT35" s="13">
        <f>IFERROR(Table410[[#This Row],[Mar_2027_Days_Forecast]]*Table410[[#This Row],[Cost Boolean]]*(VLOOKUP(Table410[[#This Row],[RATE CONCAT]],Tables!I:N,6,0)),0)</f>
        <v>0</v>
      </c>
      <c r="DV35" s="13">
        <f>Table410[[#This Row],[Mar_2027_F]]-Table410[[#This Row],[Mar_2027_A]]</f>
        <v>0</v>
      </c>
      <c r="DW35" s="13">
        <f>IFERROR(Table410[[#This Row],[Apr_2027_Days_Forecast]]*Table410[[#This Row],[Cost Boolean]]*(VLOOKUP(Table410[[#This Row],[RATE CONCAT]],Tables!I:N,6,0)),0)</f>
        <v>0</v>
      </c>
      <c r="DY35" s="13">
        <f>Table410[[#This Row],[Apr_2027_F]]-Table410[[#This Row],[Apr_2027_A]]</f>
        <v>0</v>
      </c>
      <c r="DZ35" s="13">
        <f>IFERROR(Table410[[#This Row],[May_2027_Days_Forecast]]*Table410[[#This Row],[Cost Boolean]]*(VLOOKUP(Table410[[#This Row],[RATE CONCAT]],Tables!I:N,6,0)),0)</f>
        <v>0</v>
      </c>
      <c r="EB35" s="13">
        <f>Table410[[#This Row],[May_2027_F]]-Table410[[#This Row],[May_2027_A]]</f>
        <v>0</v>
      </c>
      <c r="EC35" s="13">
        <f>IFERROR(Table410[[#This Row],[Jun_2027_Days_Forecast]]*Table410[[#This Row],[Cost Boolean]]*(VLOOKUP(Table410[[#This Row],[RATE CONCAT]],Tables!I:N,6,0)),0)</f>
        <v>0</v>
      </c>
      <c r="EE35" s="13">
        <f>Table410[[#This Row],[Jun_2027_F]]-Table410[[#This Row],[Jun_2027_A]]</f>
        <v>0</v>
      </c>
      <c r="EF35" s="13">
        <f>IFERROR(Table410[[#This Row],[Jul_2027_Days_Forecast]]*Table410[[#This Row],[Cost Boolean]]*(VLOOKUP(Table410[[#This Row],[RATE CONCAT]],Tables!I:N,6,0)),0)</f>
        <v>0</v>
      </c>
      <c r="EH35" s="13">
        <f>Table410[[#This Row],[Jul_2027_F]]-Table410[[#This Row],[Jul_2027_A]]</f>
        <v>0</v>
      </c>
      <c r="EI35" s="13">
        <f>IFERROR(Table410[[#This Row],[Aug_2027_Days_Forecast]]*Table410[[#This Row],[Cost Boolean]]*(VLOOKUP(Table410[[#This Row],[RATE CONCAT]],Tables!I:N,6,0)),0)</f>
        <v>0</v>
      </c>
      <c r="EK35" s="13">
        <f>Table410[[#This Row],[Aug_2027_F]]-Table410[[#This Row],[Aug_2027_A]]</f>
        <v>0</v>
      </c>
      <c r="EL35" s="13">
        <f>IFERROR(Table410[[#This Row],[Sep_2027_Days_Forecast]]*Table410[[#This Row],[Cost Boolean]]*(VLOOKUP(Table410[[#This Row],[RATE CONCAT]],Tables!I:N,6,0)),0)</f>
        <v>0</v>
      </c>
      <c r="EN35" s="13">
        <f>Table410[[#This Row],[Sep_2027_F]]-Table410[[#This Row],[Sep_2027_A]]</f>
        <v>0</v>
      </c>
      <c r="EO35" s="13">
        <f>IFERROR(Table410[[#This Row],[Oct_2027_Days_Forecast]]*Table410[[#This Row],[Cost Boolean]]*(VLOOKUP(Table410[[#This Row],[RATE CONCAT]],Tables!I:N,6,0)),0)</f>
        <v>0</v>
      </c>
      <c r="EQ35" s="13">
        <f>Table410[[#This Row],[Oct_2027_F]]-Table410[[#This Row],[Oct_2027_A]]</f>
        <v>0</v>
      </c>
      <c r="ER35" s="13">
        <f>IFERROR(Table410[[#This Row],[Nov_2027_Days_Forecast]]*Table410[[#This Row],[Cost Boolean]]*(VLOOKUP(Table410[[#This Row],[RATE CONCAT]],Tables!I:N,6,0)),0)</f>
        <v>0</v>
      </c>
      <c r="ET35" s="13">
        <f>Table410[[#This Row],[Nov_2027_F]]-Table410[[#This Row],[Nov_2027_A]]</f>
        <v>0</v>
      </c>
      <c r="EU35" s="13">
        <f>IFERROR(Table410[[#This Row],[Dec_2027_Days_Forecast]]*Table410[[#This Row],[Cost Boolean]]*(VLOOKUP(Table410[[#This Row],[RATE CONCAT]],Tables!I:N,6,0)),0)</f>
        <v>0</v>
      </c>
      <c r="EW35" s="13">
        <f>Table410[[#This Row],[Dec_2027_F]]-Table410[[#This Row],[Dec_2027_A]]</f>
        <v>0</v>
      </c>
    </row>
    <row r="36" spans="1:153" s="13" customFormat="1" ht="15" customHeight="1">
      <c r="A36" s="13" t="s">
        <v>331</v>
      </c>
      <c r="B36" s="13" t="s">
        <v>48</v>
      </c>
      <c r="C36" s="13" t="s">
        <v>219</v>
      </c>
      <c r="D36" s="13" t="s">
        <v>332</v>
      </c>
      <c r="E36" s="13" t="s">
        <v>221</v>
      </c>
      <c r="G36" s="13" t="s">
        <v>231</v>
      </c>
      <c r="H36" s="13">
        <v>2</v>
      </c>
      <c r="J36" s="13" t="s">
        <v>333</v>
      </c>
      <c r="K36" s="13" t="s">
        <v>224</v>
      </c>
      <c r="L36" s="13">
        <v>0</v>
      </c>
      <c r="M36" s="13" t="s">
        <v>233</v>
      </c>
      <c r="N36" s="13" t="s">
        <v>334</v>
      </c>
      <c r="O36" s="13" t="s">
        <v>260</v>
      </c>
      <c r="P36" s="13" t="s">
        <v>53</v>
      </c>
      <c r="Q36" s="13" t="s">
        <v>228</v>
      </c>
      <c r="R36" s="193">
        <v>46023</v>
      </c>
      <c r="S36" s="193">
        <v>46387</v>
      </c>
      <c r="T36" s="193">
        <v>46023</v>
      </c>
      <c r="U36" s="193">
        <v>46387</v>
      </c>
      <c r="V36" s="193">
        <v>46023</v>
      </c>
      <c r="W36" s="193">
        <v>46387</v>
      </c>
      <c r="Y36" s="13" t="str">
        <f>CONCATENATE(Table410[[#This Row],[JG]],Table410[[#This Row],[Country]],Table410[[#This Row],[Resource Provider]])</f>
        <v>2United StatesShell Business</v>
      </c>
      <c r="Z36" s="13">
        <f>VLOOKUP(Table410[[#This Row],[RATE CONCAT]],Tables!I:N,5,0)</f>
        <v>2032</v>
      </c>
      <c r="AA36" s="52"/>
      <c r="AB36" s="130"/>
      <c r="AC36" s="130">
        <v>5</v>
      </c>
      <c r="AD36" s="130">
        <v>5</v>
      </c>
      <c r="AE36" s="130">
        <v>5</v>
      </c>
      <c r="AF36" s="130">
        <v>5</v>
      </c>
      <c r="AG36" s="130">
        <v>4</v>
      </c>
      <c r="AH36" s="130">
        <v>5</v>
      </c>
      <c r="AI36" s="130">
        <v>5</v>
      </c>
      <c r="AJ36" s="130">
        <v>5</v>
      </c>
      <c r="AK36" s="130">
        <v>5</v>
      </c>
      <c r="AL36" s="130"/>
      <c r="AM36" s="130"/>
      <c r="AN36" s="176">
        <f>IFERROR(AVERAGE(Table410[[#This Row],[Jan_2026_Days_Forecast]:[Dec_2026_Days_Forecast]]),0)/19</f>
        <v>0.25730994152046788</v>
      </c>
      <c r="AO36" s="176">
        <f>IFERROR(AVERAGE(Table410[[#This Row],[Jan_2026_Days_Actual]:[Dec_2026_Days_Actual]]),0)/19</f>
        <v>0.25730994152046788</v>
      </c>
      <c r="AP36" s="130"/>
      <c r="AQ36" s="130">
        <v>5</v>
      </c>
      <c r="AR36" s="130">
        <v>5</v>
      </c>
      <c r="AS36" s="130">
        <v>5</v>
      </c>
      <c r="AT36" s="130">
        <v>5</v>
      </c>
      <c r="AU36" s="130">
        <v>4</v>
      </c>
      <c r="AV36" s="130">
        <v>5</v>
      </c>
      <c r="AW36" s="130">
        <v>5</v>
      </c>
      <c r="AX36" s="130">
        <v>5</v>
      </c>
      <c r="AY36" s="130">
        <v>5</v>
      </c>
      <c r="AZ36" s="130"/>
      <c r="BA36" s="130"/>
      <c r="BB36" s="176">
        <f>IFERROR(AVERAGE(Table410[[#This Row],[Jan_2027_Days_Forecast]:[Dec_2027_Days_Forecast]]),0)</f>
        <v>0</v>
      </c>
      <c r="BC36" s="127"/>
      <c r="BD36" s="127"/>
      <c r="BE36" s="127"/>
      <c r="BF36" s="127"/>
      <c r="BG36" s="127"/>
      <c r="BH36" s="127"/>
      <c r="BI36" s="127"/>
      <c r="BJ36" s="127"/>
      <c r="BK36" s="127"/>
      <c r="BL36" s="127"/>
      <c r="BM36" s="127"/>
      <c r="BN36" s="127"/>
      <c r="BO36" s="176"/>
      <c r="BP36" s="176"/>
      <c r="BQ36" s="13">
        <f>IFERROR(Table410[[#This Row],[Jan_2026_Days_Forecast]]*Table410[[#This Row],[Cost Boolean]]*(VLOOKUP(Table410[[#This Row],[RATE CONCAT]],Tables!I:N,5,0)),0)</f>
        <v>0</v>
      </c>
      <c r="BR36" s="13">
        <f>IFERROR(Table410[[#This Row],[Jan_2026_Days_Actual]]*Table410[[#This Row],[Cost Boolean]]*(VLOOKUP(Table410[[#This Row],[RATE CONCAT]],Tables!I:N,5,0)),0)</f>
        <v>0</v>
      </c>
      <c r="BS36" s="13">
        <f>Table410[[#This Row],[Jan_2026_F]]-Table410[[#This Row],[Jan_2026_A]]</f>
        <v>0</v>
      </c>
      <c r="BU36" s="13">
        <f>IFERROR(Table410[[#This Row],[Feb_2026_Days_Forecast]]*Table410[[#This Row],[Cost Boolean]]*(VLOOKUP(Table410[[#This Row],[RATE CONCAT]],Tables!I:N,5,0)),0)</f>
        <v>0</v>
      </c>
      <c r="BV36" s="13">
        <f>IFERROR(Table410[[#This Row],[Feb_2026_Days_Actual]]*Table410[[#This Row],[Cost Boolean]]*(VLOOKUP(Table410[[#This Row],[RATE CONCAT]],Tables!I:N,5,0)),0)</f>
        <v>0</v>
      </c>
      <c r="BW36" s="13">
        <f>Table410[[#This Row],[Feb_2026_F]]-Table410[[#This Row],[Feb_2026_A]]</f>
        <v>0</v>
      </c>
      <c r="BY36" s="13">
        <f>IFERROR(Table410[[#This Row],[Mar_2026_Days_Forecast]]*Table410[[#This Row],[Cost Boolean]]*(VLOOKUP(Table410[[#This Row],[RATE CONCAT]],Tables!I:N,5,0)),0)</f>
        <v>0</v>
      </c>
      <c r="BZ36" s="13">
        <f>IFERROR(Table410[[#This Row],[Mar_2026_Days_Actual]]*Table410[[#This Row],[Cost Boolean]]*(VLOOKUP(Table410[[#This Row],[RATE CONCAT]],Tables!I:N,5,0)),0)</f>
        <v>0</v>
      </c>
      <c r="CA36" s="13">
        <f>Table410[[#This Row],[Mar_2026_F]]-Table410[[#This Row],[Mar_2026_A]]</f>
        <v>0</v>
      </c>
      <c r="CC36" s="13">
        <f>IFERROR(Table410[[#This Row],[Apr_2026_Days_Forecast]]*Table410[[#This Row],[Cost Boolean]]*(VLOOKUP(Table410[[#This Row],[RATE CONCAT]],Tables!I:N,5,0)),0)</f>
        <v>0</v>
      </c>
      <c r="CD36" s="13">
        <f>IFERROR(Table410[[#This Row],[Apr_2026_Days_Actual]]*Table410[[#This Row],[Cost Boolean]]*(VLOOKUP(Table410[[#This Row],[RATE CONCAT]],Tables!I:N,5,0)),0)</f>
        <v>0</v>
      </c>
      <c r="CE36" s="13">
        <f>Table410[[#This Row],[Apr_2026_F]]-Table410[[#This Row],[Apr_2026_A]]</f>
        <v>0</v>
      </c>
      <c r="CG36" s="13">
        <f>IFERROR(Table410[[#This Row],[May_2026_Days_Forecast]] *Table410[[#This Row],[Cost Boolean]]*(VLOOKUP(Table410[[#This Row],[RATE CONCAT]],Tables!I:N,5,0)),0)</f>
        <v>0</v>
      </c>
      <c r="CH36" s="13">
        <f>IFERROR(Table410[[#This Row],[May_2026_Days_Actual]]*Table410[[#This Row],[Cost Boolean]]*(VLOOKUP(Table410[[#This Row],[RATE CONCAT]],Tables!I:N,5,0)),0)</f>
        <v>0</v>
      </c>
      <c r="CI36" s="13">
        <f>Table410[[#This Row],[May_2026_F]]-Table410[[#This Row],[May_2026_A]]</f>
        <v>0</v>
      </c>
      <c r="CK36" s="13">
        <f>IFERROR(Table410[[#This Row],[Jun_2026_Days_Forecast]]*Table410[[#This Row],[Cost Boolean]]*(VLOOKUP(Table410[[#This Row],[RATE CONCAT]],Tables!I:N,5,0)),0)</f>
        <v>0</v>
      </c>
      <c r="CL36" s="13">
        <f>IFERROR(Table410[[#This Row],[Jun_2026_Days_Actual]]*Table410[[#This Row],[Cost Boolean]]*(VLOOKUP(Table410[[#This Row],[RATE CONCAT]],Tables!I:N,5,0)),0)</f>
        <v>0</v>
      </c>
      <c r="CM36" s="13">
        <f>Table410[[#This Row],[Jun_2026_F]]-Table410[[#This Row],[Jun_2026_A]]</f>
        <v>0</v>
      </c>
      <c r="CO36" s="13">
        <f>IFERROR(Table410[[#This Row],[Jul_2026_Days_Forecast]]*Table410[[#This Row],[Cost Boolean]]*(VLOOKUP(Table410[[#This Row],[RATE CONCAT]],Tables!I:N,5,0)),0)</f>
        <v>0</v>
      </c>
      <c r="CP36" s="13">
        <f>IFERROR(Table410[[#This Row],[Jul_2026_Days_Actual]]*Table410[[#This Row],[Cost Boolean]]*(VLOOKUP(Table410[[#This Row],[RATE CONCAT]],Tables!I:N,5,0)),0)</f>
        <v>0</v>
      </c>
      <c r="CQ36" s="13">
        <f>Table410[[#This Row],[Jul_2026_F]]-Table410[[#This Row],[Jul_2026_A]]</f>
        <v>0</v>
      </c>
      <c r="CS36" s="13">
        <f>IFERROR(Table410[[#This Row],[Aug_2026_Days_Forecast]]*Table410[[#This Row],[Cost Boolean]]*(VLOOKUP(Table410[[#This Row],[RATE CONCAT]],Tables!I:N,5,0)),0)</f>
        <v>0</v>
      </c>
      <c r="CT36" s="13">
        <f>IFERROR(Table410[[#This Row],[Aug_2026_Days_Actual]]*Table410[[#This Row],[Cost Boolean]]*(VLOOKUP(Table410[[#This Row],[RATE CONCAT]],Tables!I:N,5,0)),0)</f>
        <v>0</v>
      </c>
      <c r="CU36" s="13">
        <f>Table410[[#This Row],[Aug_2026_F]]-Table410[[#This Row],[Aug_2026_A]]</f>
        <v>0</v>
      </c>
      <c r="CW36" s="13">
        <f>IFERROR(Table410[[#This Row],[Sep_2026_Days_Forecast]]*Table410[[#This Row],[Cost Boolean]]*(VLOOKUP(Table410[[#This Row],[RATE CONCAT]],Tables!I:N,5,0)),0)</f>
        <v>0</v>
      </c>
      <c r="CX36" s="13">
        <f>IFERROR(Table410[[#This Row],[Sep_2026_Days_Actual]]*Table410[[#This Row],[Cost Boolean]]*(VLOOKUP(Table410[[#This Row],[RATE CONCAT]],Tables!I:N,5,0)),0)</f>
        <v>0</v>
      </c>
      <c r="CY36" s="13">
        <f>Table410[[#This Row],[Sep_2026_F]]-Table410[[#This Row],[Sep_2026_A]]</f>
        <v>0</v>
      </c>
      <c r="DA36" s="13">
        <f>IFERROR(Table410[[#This Row],[Oct_2026_Days_Forecast]]*Table410[[#This Row],[Cost Boolean]]*(VLOOKUP(Table410[[#This Row],[RATE CONCAT]],Tables!I:N,5,0)),0)</f>
        <v>0</v>
      </c>
      <c r="DB36" s="13">
        <f>IFERROR(Table410[[#This Row],[Oct_2026_Days_Actual]]*Table410[[#This Row],[Cost Boolean]]*(VLOOKUP(Table410[[#This Row],[RATE CONCAT]],Tables!I:N,5,0)),0)</f>
        <v>0</v>
      </c>
      <c r="DC36" s="13">
        <f>Table410[[#This Row],[Oct_2026_F]]-Table410[[#This Row],[Oct_2026_A]]</f>
        <v>0</v>
      </c>
      <c r="DE36" s="13">
        <f>IFERROR(Table410[[#This Row],[Nov_2026_Days_Forecast]]*Table410[[#This Row],[Cost Boolean]]*(VLOOKUP(Table410[[#This Row],[RATE CONCAT]],Tables!I:N,5,0)),0)</f>
        <v>0</v>
      </c>
      <c r="DF36" s="13">
        <f>IFERROR(Table410[[#This Row],[Nov_2026_Days_Actual]]*Table410[[#This Row],[Cost Boolean]]*(VLOOKUP(Table410[[#This Row],[RATE CONCAT]],Tables!I:N,5,0)),0)</f>
        <v>0</v>
      </c>
      <c r="DG36" s="13">
        <f>Table410[[#This Row],[Nov_2026_F]]-Table410[[#This Row],[Nov_2026_A]]</f>
        <v>0</v>
      </c>
      <c r="DI36" s="13">
        <f>IFERROR(Table410[[#This Row],[Dec_2026_Days_Forecast]]*Table410[[#This Row],[Cost Boolean]]*(VLOOKUP(Table410[[#This Row],[RATE CONCAT]],Tables!I:N,5,0)),0)</f>
        <v>0</v>
      </c>
      <c r="DJ36" s="13">
        <f>IFERROR(Table410[[#This Row],[Dec_2026_Days_Actual]]*Table410[[#This Row],[Cost Boolean]]*(VLOOKUP(Table410[[#This Row],[RATE CONCAT]],Tables!I:N,5,0)),0)</f>
        <v>0</v>
      </c>
      <c r="DK36" s="13">
        <f>Table410[[#This Row],[Dec_2026_F]]-Table410[[#This Row],[Dec_2026_A]]</f>
        <v>0</v>
      </c>
      <c r="DN36" s="13">
        <f>IFERROR(Table410[[#This Row],[Jan_2027_Days_Forecast]]*Table410[[#This Row],[Cost Boolean]]*(VLOOKUP(Table410[[#This Row],[RATE CONCAT]],Tables!I:N,6,0)),0)</f>
        <v>0</v>
      </c>
      <c r="DP36" s="13">
        <f>Table410[[#This Row],[Jan_2027_F]]-Table410[[#This Row],[Jan_2027_A]]</f>
        <v>0</v>
      </c>
      <c r="DQ36" s="13">
        <f>IFERROR(Table410[[#This Row],[Feb_2027_Days_Forecast]]*Table410[[#This Row],[Cost Boolean]]*(VLOOKUP(Table410[[#This Row],[RATE CONCAT]],Tables!I:N,6,0)),0)</f>
        <v>0</v>
      </c>
      <c r="DS36" s="13">
        <f>Table410[[#This Row],[Feb_2027_F]]-Table410[[#This Row],[Feb_2027_A]]</f>
        <v>0</v>
      </c>
      <c r="DT36" s="13">
        <f>IFERROR(Table410[[#This Row],[Mar_2027_Days_Forecast]]*Table410[[#This Row],[Cost Boolean]]*(VLOOKUP(Table410[[#This Row],[RATE CONCAT]],Tables!I:N,6,0)),0)</f>
        <v>0</v>
      </c>
      <c r="DV36" s="13">
        <f>Table410[[#This Row],[Mar_2027_F]]-Table410[[#This Row],[Mar_2027_A]]</f>
        <v>0</v>
      </c>
      <c r="DW36" s="13">
        <f>IFERROR(Table410[[#This Row],[Apr_2027_Days_Forecast]]*Table410[[#This Row],[Cost Boolean]]*(VLOOKUP(Table410[[#This Row],[RATE CONCAT]],Tables!I:N,6,0)),0)</f>
        <v>0</v>
      </c>
      <c r="DY36" s="13">
        <f>Table410[[#This Row],[Apr_2027_F]]-Table410[[#This Row],[Apr_2027_A]]</f>
        <v>0</v>
      </c>
      <c r="DZ36" s="13">
        <f>IFERROR(Table410[[#This Row],[May_2027_Days_Forecast]]*Table410[[#This Row],[Cost Boolean]]*(VLOOKUP(Table410[[#This Row],[RATE CONCAT]],Tables!I:N,6,0)),0)</f>
        <v>0</v>
      </c>
      <c r="EB36" s="13">
        <f>Table410[[#This Row],[May_2027_F]]-Table410[[#This Row],[May_2027_A]]</f>
        <v>0</v>
      </c>
      <c r="EC36" s="13">
        <f>IFERROR(Table410[[#This Row],[Jun_2027_Days_Forecast]]*Table410[[#This Row],[Cost Boolean]]*(VLOOKUP(Table410[[#This Row],[RATE CONCAT]],Tables!I:N,6,0)),0)</f>
        <v>0</v>
      </c>
      <c r="EE36" s="13">
        <f>Table410[[#This Row],[Jun_2027_F]]-Table410[[#This Row],[Jun_2027_A]]</f>
        <v>0</v>
      </c>
      <c r="EF36" s="13">
        <f>IFERROR(Table410[[#This Row],[Jul_2027_Days_Forecast]]*Table410[[#This Row],[Cost Boolean]]*(VLOOKUP(Table410[[#This Row],[RATE CONCAT]],Tables!I:N,6,0)),0)</f>
        <v>0</v>
      </c>
      <c r="EH36" s="13">
        <f>Table410[[#This Row],[Jul_2027_F]]-Table410[[#This Row],[Jul_2027_A]]</f>
        <v>0</v>
      </c>
      <c r="EI36" s="13">
        <f>IFERROR(Table410[[#This Row],[Aug_2027_Days_Forecast]]*Table410[[#This Row],[Cost Boolean]]*(VLOOKUP(Table410[[#This Row],[RATE CONCAT]],Tables!I:N,6,0)),0)</f>
        <v>0</v>
      </c>
      <c r="EK36" s="13">
        <f>Table410[[#This Row],[Aug_2027_F]]-Table410[[#This Row],[Aug_2027_A]]</f>
        <v>0</v>
      </c>
      <c r="EL36" s="13">
        <f>IFERROR(Table410[[#This Row],[Sep_2027_Days_Forecast]]*Table410[[#This Row],[Cost Boolean]]*(VLOOKUP(Table410[[#This Row],[RATE CONCAT]],Tables!I:N,6,0)),0)</f>
        <v>0</v>
      </c>
      <c r="EN36" s="13">
        <f>Table410[[#This Row],[Sep_2027_F]]-Table410[[#This Row],[Sep_2027_A]]</f>
        <v>0</v>
      </c>
      <c r="EO36" s="13">
        <f>IFERROR(Table410[[#This Row],[Oct_2027_Days_Forecast]]*Table410[[#This Row],[Cost Boolean]]*(VLOOKUP(Table410[[#This Row],[RATE CONCAT]],Tables!I:N,6,0)),0)</f>
        <v>0</v>
      </c>
      <c r="EQ36" s="13">
        <f>Table410[[#This Row],[Oct_2027_F]]-Table410[[#This Row],[Oct_2027_A]]</f>
        <v>0</v>
      </c>
      <c r="ER36" s="13">
        <f>IFERROR(Table410[[#This Row],[Nov_2027_Days_Forecast]]*Table410[[#This Row],[Cost Boolean]]*(VLOOKUP(Table410[[#This Row],[RATE CONCAT]],Tables!I:N,6,0)),0)</f>
        <v>0</v>
      </c>
      <c r="ET36" s="13">
        <f>Table410[[#This Row],[Nov_2027_F]]-Table410[[#This Row],[Nov_2027_A]]</f>
        <v>0</v>
      </c>
      <c r="EU36" s="13">
        <f>IFERROR(Table410[[#This Row],[Dec_2027_Days_Forecast]]*Table410[[#This Row],[Cost Boolean]]*(VLOOKUP(Table410[[#This Row],[RATE CONCAT]],Tables!I:N,6,0)),0)</f>
        <v>0</v>
      </c>
      <c r="EW36" s="13">
        <f>Table410[[#This Row],[Dec_2027_F]]-Table410[[#This Row],[Dec_2027_A]]</f>
        <v>0</v>
      </c>
    </row>
    <row r="37" spans="1:153" s="13" customFormat="1" ht="15" customHeight="1">
      <c r="A37" s="13" t="s">
        <v>335</v>
      </c>
      <c r="B37" s="13" t="s">
        <v>48</v>
      </c>
      <c r="C37" s="13" t="s">
        <v>219</v>
      </c>
      <c r="D37" s="13" t="s">
        <v>336</v>
      </c>
      <c r="E37" s="13" t="s">
        <v>221</v>
      </c>
      <c r="G37" s="13" t="s">
        <v>267</v>
      </c>
      <c r="H37" s="13">
        <v>3</v>
      </c>
      <c r="J37" s="13" t="s">
        <v>337</v>
      </c>
      <c r="K37" s="13" t="s">
        <v>224</v>
      </c>
      <c r="L37" s="13">
        <v>0</v>
      </c>
      <c r="M37" s="13" t="s">
        <v>269</v>
      </c>
      <c r="N37" s="13" t="s">
        <v>259</v>
      </c>
      <c r="O37" s="13" t="s">
        <v>260</v>
      </c>
      <c r="P37" s="13" t="s">
        <v>53</v>
      </c>
      <c r="Q37" s="13" t="s">
        <v>228</v>
      </c>
      <c r="R37" s="193">
        <v>46023</v>
      </c>
      <c r="S37" s="193">
        <v>46387</v>
      </c>
      <c r="T37" s="193">
        <v>46023</v>
      </c>
      <c r="U37" s="193">
        <v>46387</v>
      </c>
      <c r="V37" s="193">
        <v>46023</v>
      </c>
      <c r="W37" s="193">
        <v>46387</v>
      </c>
      <c r="Y37" s="13" t="str">
        <f>CONCATENATE(Table410[[#This Row],[JG]],Table410[[#This Row],[Country]],Table410[[#This Row],[Resource Provider]])</f>
        <v>3IndiaShell Business</v>
      </c>
      <c r="Z37" s="13">
        <f>VLOOKUP(Table410[[#This Row],[RATE CONCAT]],Tables!I:N,5,0)</f>
        <v>360</v>
      </c>
      <c r="AA37" s="52"/>
      <c r="AB37" s="130"/>
      <c r="AC37" s="130">
        <v>5</v>
      </c>
      <c r="AD37" s="130">
        <v>5</v>
      </c>
      <c r="AE37" s="130">
        <v>5</v>
      </c>
      <c r="AF37" s="130">
        <v>5</v>
      </c>
      <c r="AG37" s="130">
        <v>4</v>
      </c>
      <c r="AH37" s="130">
        <v>5</v>
      </c>
      <c r="AI37" s="130">
        <v>5</v>
      </c>
      <c r="AJ37" s="130">
        <v>5</v>
      </c>
      <c r="AK37" s="130">
        <v>5</v>
      </c>
      <c r="AL37" s="130"/>
      <c r="AM37" s="130"/>
      <c r="AN37" s="176">
        <f>IFERROR(AVERAGE(Table410[[#This Row],[Jan_2026_Days_Forecast]:[Dec_2026_Days_Forecast]]),0)/19</f>
        <v>0.25730994152046788</v>
      </c>
      <c r="AO37" s="176">
        <f>IFERROR(AVERAGE(Table410[[#This Row],[Jan_2026_Days_Actual]:[Dec_2026_Days_Actual]]),0)/19</f>
        <v>0.25730994152046788</v>
      </c>
      <c r="AP37" s="130"/>
      <c r="AQ37" s="130">
        <v>5</v>
      </c>
      <c r="AR37" s="130">
        <v>5</v>
      </c>
      <c r="AS37" s="130">
        <v>5</v>
      </c>
      <c r="AT37" s="130">
        <v>5</v>
      </c>
      <c r="AU37" s="130">
        <v>4</v>
      </c>
      <c r="AV37" s="130">
        <v>5</v>
      </c>
      <c r="AW37" s="130">
        <v>5</v>
      </c>
      <c r="AX37" s="130">
        <v>5</v>
      </c>
      <c r="AY37" s="130">
        <v>5</v>
      </c>
      <c r="AZ37" s="130"/>
      <c r="BA37" s="130"/>
      <c r="BB37" s="176">
        <f>IFERROR(AVERAGE(Table410[[#This Row],[Jan_2027_Days_Forecast]:[Dec_2027_Days_Forecast]]),0)</f>
        <v>0</v>
      </c>
      <c r="BC37" s="127"/>
      <c r="BD37" s="127"/>
      <c r="BE37" s="127"/>
      <c r="BF37" s="127"/>
      <c r="BG37" s="127"/>
      <c r="BH37" s="127"/>
      <c r="BI37" s="127"/>
      <c r="BJ37" s="127"/>
      <c r="BK37" s="127"/>
      <c r="BL37" s="127"/>
      <c r="BM37" s="127"/>
      <c r="BN37" s="127"/>
      <c r="BO37" s="176"/>
      <c r="BP37" s="176"/>
      <c r="BQ37" s="13">
        <f>IFERROR(Table410[[#This Row],[Jan_2026_Days_Forecast]]*Table410[[#This Row],[Cost Boolean]]*(VLOOKUP(Table410[[#This Row],[RATE CONCAT]],Tables!I:N,5,0)),0)</f>
        <v>0</v>
      </c>
      <c r="BR37" s="13">
        <f>IFERROR(Table410[[#This Row],[Jan_2026_Days_Actual]]*Table410[[#This Row],[Cost Boolean]]*(VLOOKUP(Table410[[#This Row],[RATE CONCAT]],Tables!I:N,5,0)),0)</f>
        <v>0</v>
      </c>
      <c r="BS37" s="13">
        <f>Table410[[#This Row],[Jan_2026_F]]-Table410[[#This Row],[Jan_2026_A]]</f>
        <v>0</v>
      </c>
      <c r="BU37" s="13">
        <f>IFERROR(Table410[[#This Row],[Feb_2026_Days_Forecast]]*Table410[[#This Row],[Cost Boolean]]*(VLOOKUP(Table410[[#This Row],[RATE CONCAT]],Tables!I:N,5,0)),0)</f>
        <v>0</v>
      </c>
      <c r="BV37" s="13">
        <f>IFERROR(Table410[[#This Row],[Feb_2026_Days_Actual]]*Table410[[#This Row],[Cost Boolean]]*(VLOOKUP(Table410[[#This Row],[RATE CONCAT]],Tables!I:N,5,0)),0)</f>
        <v>0</v>
      </c>
      <c r="BW37" s="13">
        <f>Table410[[#This Row],[Feb_2026_F]]-Table410[[#This Row],[Feb_2026_A]]</f>
        <v>0</v>
      </c>
      <c r="BY37" s="13">
        <f>IFERROR(Table410[[#This Row],[Mar_2026_Days_Forecast]]*Table410[[#This Row],[Cost Boolean]]*(VLOOKUP(Table410[[#This Row],[RATE CONCAT]],Tables!I:N,5,0)),0)</f>
        <v>0</v>
      </c>
      <c r="BZ37" s="13">
        <f>IFERROR(Table410[[#This Row],[Mar_2026_Days_Actual]]*Table410[[#This Row],[Cost Boolean]]*(VLOOKUP(Table410[[#This Row],[RATE CONCAT]],Tables!I:N,5,0)),0)</f>
        <v>0</v>
      </c>
      <c r="CA37" s="13">
        <f>Table410[[#This Row],[Mar_2026_F]]-Table410[[#This Row],[Mar_2026_A]]</f>
        <v>0</v>
      </c>
      <c r="CC37" s="13">
        <f>IFERROR(Table410[[#This Row],[Apr_2026_Days_Forecast]]*Table410[[#This Row],[Cost Boolean]]*(VLOOKUP(Table410[[#This Row],[RATE CONCAT]],Tables!I:N,5,0)),0)</f>
        <v>0</v>
      </c>
      <c r="CD37" s="13">
        <f>IFERROR(Table410[[#This Row],[Apr_2026_Days_Actual]]*Table410[[#This Row],[Cost Boolean]]*(VLOOKUP(Table410[[#This Row],[RATE CONCAT]],Tables!I:N,5,0)),0)</f>
        <v>0</v>
      </c>
      <c r="CE37" s="13">
        <f>Table410[[#This Row],[Apr_2026_F]]-Table410[[#This Row],[Apr_2026_A]]</f>
        <v>0</v>
      </c>
      <c r="CG37" s="13">
        <f>IFERROR(Table410[[#This Row],[May_2026_Days_Forecast]] *Table410[[#This Row],[Cost Boolean]]*(VLOOKUP(Table410[[#This Row],[RATE CONCAT]],Tables!I:N,5,0)),0)</f>
        <v>0</v>
      </c>
      <c r="CH37" s="13">
        <f>IFERROR(Table410[[#This Row],[May_2026_Days_Actual]]*Table410[[#This Row],[Cost Boolean]]*(VLOOKUP(Table410[[#This Row],[RATE CONCAT]],Tables!I:N,5,0)),0)</f>
        <v>0</v>
      </c>
      <c r="CI37" s="13">
        <f>Table410[[#This Row],[May_2026_F]]-Table410[[#This Row],[May_2026_A]]</f>
        <v>0</v>
      </c>
      <c r="CK37" s="13">
        <f>IFERROR(Table410[[#This Row],[Jun_2026_Days_Forecast]]*Table410[[#This Row],[Cost Boolean]]*(VLOOKUP(Table410[[#This Row],[RATE CONCAT]],Tables!I:N,5,0)),0)</f>
        <v>0</v>
      </c>
      <c r="CL37" s="13">
        <f>IFERROR(Table410[[#This Row],[Jun_2026_Days_Actual]]*Table410[[#This Row],[Cost Boolean]]*(VLOOKUP(Table410[[#This Row],[RATE CONCAT]],Tables!I:N,5,0)),0)</f>
        <v>0</v>
      </c>
      <c r="CM37" s="13">
        <f>Table410[[#This Row],[Jun_2026_F]]-Table410[[#This Row],[Jun_2026_A]]</f>
        <v>0</v>
      </c>
      <c r="CO37" s="13">
        <f>IFERROR(Table410[[#This Row],[Jul_2026_Days_Forecast]]*Table410[[#This Row],[Cost Boolean]]*(VLOOKUP(Table410[[#This Row],[RATE CONCAT]],Tables!I:N,5,0)),0)</f>
        <v>0</v>
      </c>
      <c r="CP37" s="13">
        <f>IFERROR(Table410[[#This Row],[Jul_2026_Days_Actual]]*Table410[[#This Row],[Cost Boolean]]*(VLOOKUP(Table410[[#This Row],[RATE CONCAT]],Tables!I:N,5,0)),0)</f>
        <v>0</v>
      </c>
      <c r="CQ37" s="13">
        <f>Table410[[#This Row],[Jul_2026_F]]-Table410[[#This Row],[Jul_2026_A]]</f>
        <v>0</v>
      </c>
      <c r="CS37" s="13">
        <f>IFERROR(Table410[[#This Row],[Aug_2026_Days_Forecast]]*Table410[[#This Row],[Cost Boolean]]*(VLOOKUP(Table410[[#This Row],[RATE CONCAT]],Tables!I:N,5,0)),0)</f>
        <v>0</v>
      </c>
      <c r="CT37" s="13">
        <f>IFERROR(Table410[[#This Row],[Aug_2026_Days_Actual]]*Table410[[#This Row],[Cost Boolean]]*(VLOOKUP(Table410[[#This Row],[RATE CONCAT]],Tables!I:N,5,0)),0)</f>
        <v>0</v>
      </c>
      <c r="CU37" s="13">
        <f>Table410[[#This Row],[Aug_2026_F]]-Table410[[#This Row],[Aug_2026_A]]</f>
        <v>0</v>
      </c>
      <c r="CW37" s="13">
        <f>IFERROR(Table410[[#This Row],[Sep_2026_Days_Forecast]]*Table410[[#This Row],[Cost Boolean]]*(VLOOKUP(Table410[[#This Row],[RATE CONCAT]],Tables!I:N,5,0)),0)</f>
        <v>0</v>
      </c>
      <c r="CX37" s="13">
        <f>IFERROR(Table410[[#This Row],[Sep_2026_Days_Actual]]*Table410[[#This Row],[Cost Boolean]]*(VLOOKUP(Table410[[#This Row],[RATE CONCAT]],Tables!I:N,5,0)),0)</f>
        <v>0</v>
      </c>
      <c r="CY37" s="13">
        <f>Table410[[#This Row],[Sep_2026_F]]-Table410[[#This Row],[Sep_2026_A]]</f>
        <v>0</v>
      </c>
      <c r="DA37" s="13">
        <f>IFERROR(Table410[[#This Row],[Oct_2026_Days_Forecast]]*Table410[[#This Row],[Cost Boolean]]*(VLOOKUP(Table410[[#This Row],[RATE CONCAT]],Tables!I:N,5,0)),0)</f>
        <v>0</v>
      </c>
      <c r="DB37" s="13">
        <f>IFERROR(Table410[[#This Row],[Oct_2026_Days_Actual]]*Table410[[#This Row],[Cost Boolean]]*(VLOOKUP(Table410[[#This Row],[RATE CONCAT]],Tables!I:N,5,0)),0)</f>
        <v>0</v>
      </c>
      <c r="DC37" s="13">
        <f>Table410[[#This Row],[Oct_2026_F]]-Table410[[#This Row],[Oct_2026_A]]</f>
        <v>0</v>
      </c>
      <c r="DE37" s="13">
        <f>IFERROR(Table410[[#This Row],[Nov_2026_Days_Forecast]]*Table410[[#This Row],[Cost Boolean]]*(VLOOKUP(Table410[[#This Row],[RATE CONCAT]],Tables!I:N,5,0)),0)</f>
        <v>0</v>
      </c>
      <c r="DF37" s="13">
        <f>IFERROR(Table410[[#This Row],[Nov_2026_Days_Actual]]*Table410[[#This Row],[Cost Boolean]]*(VLOOKUP(Table410[[#This Row],[RATE CONCAT]],Tables!I:N,5,0)),0)</f>
        <v>0</v>
      </c>
      <c r="DG37" s="13">
        <f>Table410[[#This Row],[Nov_2026_F]]-Table410[[#This Row],[Nov_2026_A]]</f>
        <v>0</v>
      </c>
      <c r="DI37" s="13">
        <f>IFERROR(Table410[[#This Row],[Dec_2026_Days_Forecast]]*Table410[[#This Row],[Cost Boolean]]*(VLOOKUP(Table410[[#This Row],[RATE CONCAT]],Tables!I:N,5,0)),0)</f>
        <v>0</v>
      </c>
      <c r="DJ37" s="13">
        <f>IFERROR(Table410[[#This Row],[Dec_2026_Days_Actual]]*Table410[[#This Row],[Cost Boolean]]*(VLOOKUP(Table410[[#This Row],[RATE CONCAT]],Tables!I:N,5,0)),0)</f>
        <v>0</v>
      </c>
      <c r="DK37" s="13">
        <f>Table410[[#This Row],[Dec_2026_F]]-Table410[[#This Row],[Dec_2026_A]]</f>
        <v>0</v>
      </c>
      <c r="DN37" s="13">
        <f>IFERROR(Table410[[#This Row],[Jan_2027_Days_Forecast]]*Table410[[#This Row],[Cost Boolean]]*(VLOOKUP(Table410[[#This Row],[RATE CONCAT]],Tables!I:N,6,0)),0)</f>
        <v>0</v>
      </c>
      <c r="DP37" s="13">
        <f>Table410[[#This Row],[Jan_2027_F]]-Table410[[#This Row],[Jan_2027_A]]</f>
        <v>0</v>
      </c>
      <c r="DQ37" s="13">
        <f>IFERROR(Table410[[#This Row],[Feb_2027_Days_Forecast]]*Table410[[#This Row],[Cost Boolean]]*(VLOOKUP(Table410[[#This Row],[RATE CONCAT]],Tables!I:N,6,0)),0)</f>
        <v>0</v>
      </c>
      <c r="DS37" s="13">
        <f>Table410[[#This Row],[Feb_2027_F]]-Table410[[#This Row],[Feb_2027_A]]</f>
        <v>0</v>
      </c>
      <c r="DT37" s="13">
        <f>IFERROR(Table410[[#This Row],[Mar_2027_Days_Forecast]]*Table410[[#This Row],[Cost Boolean]]*(VLOOKUP(Table410[[#This Row],[RATE CONCAT]],Tables!I:N,6,0)),0)</f>
        <v>0</v>
      </c>
      <c r="DV37" s="13">
        <f>Table410[[#This Row],[Mar_2027_F]]-Table410[[#This Row],[Mar_2027_A]]</f>
        <v>0</v>
      </c>
      <c r="DW37" s="13">
        <f>IFERROR(Table410[[#This Row],[Apr_2027_Days_Forecast]]*Table410[[#This Row],[Cost Boolean]]*(VLOOKUP(Table410[[#This Row],[RATE CONCAT]],Tables!I:N,6,0)),0)</f>
        <v>0</v>
      </c>
      <c r="DY37" s="13">
        <f>Table410[[#This Row],[Apr_2027_F]]-Table410[[#This Row],[Apr_2027_A]]</f>
        <v>0</v>
      </c>
      <c r="DZ37" s="13">
        <f>IFERROR(Table410[[#This Row],[May_2027_Days_Forecast]]*Table410[[#This Row],[Cost Boolean]]*(VLOOKUP(Table410[[#This Row],[RATE CONCAT]],Tables!I:N,6,0)),0)</f>
        <v>0</v>
      </c>
      <c r="EB37" s="13">
        <f>Table410[[#This Row],[May_2027_F]]-Table410[[#This Row],[May_2027_A]]</f>
        <v>0</v>
      </c>
      <c r="EC37" s="13">
        <f>IFERROR(Table410[[#This Row],[Jun_2027_Days_Forecast]]*Table410[[#This Row],[Cost Boolean]]*(VLOOKUP(Table410[[#This Row],[RATE CONCAT]],Tables!I:N,6,0)),0)</f>
        <v>0</v>
      </c>
      <c r="EE37" s="13">
        <f>Table410[[#This Row],[Jun_2027_F]]-Table410[[#This Row],[Jun_2027_A]]</f>
        <v>0</v>
      </c>
      <c r="EF37" s="13">
        <f>IFERROR(Table410[[#This Row],[Jul_2027_Days_Forecast]]*Table410[[#This Row],[Cost Boolean]]*(VLOOKUP(Table410[[#This Row],[RATE CONCAT]],Tables!I:N,6,0)),0)</f>
        <v>0</v>
      </c>
      <c r="EH37" s="13">
        <f>Table410[[#This Row],[Jul_2027_F]]-Table410[[#This Row],[Jul_2027_A]]</f>
        <v>0</v>
      </c>
      <c r="EI37" s="13">
        <f>IFERROR(Table410[[#This Row],[Aug_2027_Days_Forecast]]*Table410[[#This Row],[Cost Boolean]]*(VLOOKUP(Table410[[#This Row],[RATE CONCAT]],Tables!I:N,6,0)),0)</f>
        <v>0</v>
      </c>
      <c r="EK37" s="13">
        <f>Table410[[#This Row],[Aug_2027_F]]-Table410[[#This Row],[Aug_2027_A]]</f>
        <v>0</v>
      </c>
      <c r="EL37" s="13">
        <f>IFERROR(Table410[[#This Row],[Sep_2027_Days_Forecast]]*Table410[[#This Row],[Cost Boolean]]*(VLOOKUP(Table410[[#This Row],[RATE CONCAT]],Tables!I:N,6,0)),0)</f>
        <v>0</v>
      </c>
      <c r="EN37" s="13">
        <f>Table410[[#This Row],[Sep_2027_F]]-Table410[[#This Row],[Sep_2027_A]]</f>
        <v>0</v>
      </c>
      <c r="EO37" s="13">
        <f>IFERROR(Table410[[#This Row],[Oct_2027_Days_Forecast]]*Table410[[#This Row],[Cost Boolean]]*(VLOOKUP(Table410[[#This Row],[RATE CONCAT]],Tables!I:N,6,0)),0)</f>
        <v>0</v>
      </c>
      <c r="EQ37" s="13">
        <f>Table410[[#This Row],[Oct_2027_F]]-Table410[[#This Row],[Oct_2027_A]]</f>
        <v>0</v>
      </c>
      <c r="ER37" s="13">
        <f>IFERROR(Table410[[#This Row],[Nov_2027_Days_Forecast]]*Table410[[#This Row],[Cost Boolean]]*(VLOOKUP(Table410[[#This Row],[RATE CONCAT]],Tables!I:N,6,0)),0)</f>
        <v>0</v>
      </c>
      <c r="ET37" s="13">
        <f>Table410[[#This Row],[Nov_2027_F]]-Table410[[#This Row],[Nov_2027_A]]</f>
        <v>0</v>
      </c>
      <c r="EU37" s="13">
        <f>IFERROR(Table410[[#This Row],[Dec_2027_Days_Forecast]]*Table410[[#This Row],[Cost Boolean]]*(VLOOKUP(Table410[[#This Row],[RATE CONCAT]],Tables!I:N,6,0)),0)</f>
        <v>0</v>
      </c>
      <c r="EW37" s="13">
        <f>Table410[[#This Row],[Dec_2027_F]]-Table410[[#This Row],[Dec_2027_A]]</f>
        <v>0</v>
      </c>
    </row>
    <row r="38" spans="1:153" s="13" customFormat="1" ht="15" customHeight="1">
      <c r="A38" s="13" t="s">
        <v>338</v>
      </c>
      <c r="B38" s="13" t="s">
        <v>48</v>
      </c>
      <c r="C38" s="13" t="s">
        <v>219</v>
      </c>
      <c r="D38" s="13" t="s">
        <v>339</v>
      </c>
      <c r="E38" s="13" t="s">
        <v>221</v>
      </c>
      <c r="G38" s="13" t="s">
        <v>231</v>
      </c>
      <c r="H38" s="13">
        <v>4</v>
      </c>
      <c r="J38" s="13" t="s">
        <v>340</v>
      </c>
      <c r="K38" s="13" t="s">
        <v>224</v>
      </c>
      <c r="L38" s="13">
        <v>1</v>
      </c>
      <c r="M38" s="13" t="s">
        <v>233</v>
      </c>
      <c r="N38" s="13" t="s">
        <v>330</v>
      </c>
      <c r="O38" s="13" t="s">
        <v>227</v>
      </c>
      <c r="P38" s="13" t="s">
        <v>53</v>
      </c>
      <c r="Q38" s="13" t="s">
        <v>228</v>
      </c>
      <c r="R38" s="193">
        <v>46023</v>
      </c>
      <c r="S38" s="193">
        <v>46387</v>
      </c>
      <c r="T38" s="193">
        <v>46023</v>
      </c>
      <c r="U38" s="193">
        <v>46387</v>
      </c>
      <c r="V38" s="193">
        <v>46023</v>
      </c>
      <c r="W38" s="193">
        <v>46387</v>
      </c>
      <c r="Y38" s="13" t="str">
        <f>CONCATENATE(Table410[[#This Row],[JG]],Table410[[#This Row],[Country]],Table410[[#This Row],[Resource Provider]])</f>
        <v>4United StatesShell Business</v>
      </c>
      <c r="Z38" s="13">
        <f>VLOOKUP(Table410[[#This Row],[RATE CONCAT]],Tables!I:N,5,0)</f>
        <v>1408</v>
      </c>
      <c r="AA38" s="52"/>
      <c r="AB38" s="130"/>
      <c r="AC38" s="130">
        <v>5</v>
      </c>
      <c r="AD38" s="130">
        <v>5</v>
      </c>
      <c r="AE38" s="130">
        <v>5</v>
      </c>
      <c r="AF38" s="130">
        <v>5</v>
      </c>
      <c r="AG38" s="130">
        <v>4</v>
      </c>
      <c r="AH38" s="130">
        <v>5</v>
      </c>
      <c r="AI38" s="130">
        <v>5</v>
      </c>
      <c r="AJ38" s="130">
        <v>5</v>
      </c>
      <c r="AK38" s="130">
        <v>5</v>
      </c>
      <c r="AL38" s="130"/>
      <c r="AM38" s="130"/>
      <c r="AN38" s="176">
        <f>IFERROR(AVERAGE(Table410[[#This Row],[Jan_2026_Days_Forecast]:[Dec_2026_Days_Forecast]]),0)/19</f>
        <v>0.25730994152046788</v>
      </c>
      <c r="AO38" s="176">
        <f>IFERROR(AVERAGE(Table410[[#This Row],[Jan_2026_Days_Actual]:[Dec_2026_Days_Actual]]),0)/19</f>
        <v>0.25730994152046788</v>
      </c>
      <c r="AP38" s="130"/>
      <c r="AQ38" s="130">
        <v>5</v>
      </c>
      <c r="AR38" s="130">
        <v>5</v>
      </c>
      <c r="AS38" s="130">
        <v>5</v>
      </c>
      <c r="AT38" s="130">
        <v>5</v>
      </c>
      <c r="AU38" s="130">
        <v>4</v>
      </c>
      <c r="AV38" s="130">
        <v>5</v>
      </c>
      <c r="AW38" s="130">
        <v>5</v>
      </c>
      <c r="AX38" s="130">
        <v>5</v>
      </c>
      <c r="AY38" s="130">
        <v>5</v>
      </c>
      <c r="AZ38" s="130"/>
      <c r="BA38" s="130"/>
      <c r="BB38" s="176">
        <f>IFERROR(AVERAGE(Table410[[#This Row],[Jan_2027_Days_Forecast]:[Dec_2027_Days_Forecast]]),0)</f>
        <v>0</v>
      </c>
      <c r="BC38" s="127"/>
      <c r="BD38" s="127"/>
      <c r="BE38" s="127"/>
      <c r="BF38" s="127"/>
      <c r="BG38" s="127"/>
      <c r="BH38" s="127"/>
      <c r="BI38" s="127"/>
      <c r="BJ38" s="127"/>
      <c r="BK38" s="127"/>
      <c r="BL38" s="127"/>
      <c r="BM38" s="127"/>
      <c r="BN38" s="127"/>
      <c r="BO38" s="176"/>
      <c r="BP38" s="176"/>
      <c r="BQ38" s="13">
        <f>IFERROR(Table410[[#This Row],[Jan_2026_Days_Forecast]]*Table410[[#This Row],[Cost Boolean]]*(VLOOKUP(Table410[[#This Row],[RATE CONCAT]],Tables!I:N,5,0)),0)</f>
        <v>0</v>
      </c>
      <c r="BR38" s="13">
        <f>IFERROR(Table410[[#This Row],[Jan_2026_Days_Actual]]*Table410[[#This Row],[Cost Boolean]]*(VLOOKUP(Table410[[#This Row],[RATE CONCAT]],Tables!I:N,5,0)),0)</f>
        <v>0</v>
      </c>
      <c r="BS38" s="13">
        <f>Table410[[#This Row],[Jan_2026_F]]-Table410[[#This Row],[Jan_2026_A]]</f>
        <v>0</v>
      </c>
      <c r="BU38" s="13">
        <f>IFERROR(Table410[[#This Row],[Feb_2026_Days_Forecast]]*Table410[[#This Row],[Cost Boolean]]*(VLOOKUP(Table410[[#This Row],[RATE CONCAT]],Tables!I:N,5,0)),0)</f>
        <v>7040</v>
      </c>
      <c r="BV38" s="13">
        <f>IFERROR(Table410[[#This Row],[Feb_2026_Days_Actual]]*Table410[[#This Row],[Cost Boolean]]*(VLOOKUP(Table410[[#This Row],[RATE CONCAT]],Tables!I:N,5,0)),0)</f>
        <v>7040</v>
      </c>
      <c r="BW38" s="13">
        <f>Table410[[#This Row],[Feb_2026_F]]-Table410[[#This Row],[Feb_2026_A]]</f>
        <v>0</v>
      </c>
      <c r="BY38" s="13">
        <f>IFERROR(Table410[[#This Row],[Mar_2026_Days_Forecast]]*Table410[[#This Row],[Cost Boolean]]*(VLOOKUP(Table410[[#This Row],[RATE CONCAT]],Tables!I:N,5,0)),0)</f>
        <v>7040</v>
      </c>
      <c r="BZ38" s="13">
        <f>IFERROR(Table410[[#This Row],[Mar_2026_Days_Actual]]*Table410[[#This Row],[Cost Boolean]]*(VLOOKUP(Table410[[#This Row],[RATE CONCAT]],Tables!I:N,5,0)),0)</f>
        <v>7040</v>
      </c>
      <c r="CA38" s="13">
        <f>Table410[[#This Row],[Mar_2026_F]]-Table410[[#This Row],[Mar_2026_A]]</f>
        <v>0</v>
      </c>
      <c r="CC38" s="13">
        <f>IFERROR(Table410[[#This Row],[Apr_2026_Days_Forecast]]*Table410[[#This Row],[Cost Boolean]]*(VLOOKUP(Table410[[#This Row],[RATE CONCAT]],Tables!I:N,5,0)),0)</f>
        <v>7040</v>
      </c>
      <c r="CD38" s="13">
        <f>IFERROR(Table410[[#This Row],[Apr_2026_Days_Actual]]*Table410[[#This Row],[Cost Boolean]]*(VLOOKUP(Table410[[#This Row],[RATE CONCAT]],Tables!I:N,5,0)),0)</f>
        <v>7040</v>
      </c>
      <c r="CE38" s="13">
        <f>Table410[[#This Row],[Apr_2026_F]]-Table410[[#This Row],[Apr_2026_A]]</f>
        <v>0</v>
      </c>
      <c r="CG38" s="13">
        <f>IFERROR(Table410[[#This Row],[May_2026_Days_Forecast]] *Table410[[#This Row],[Cost Boolean]]*(VLOOKUP(Table410[[#This Row],[RATE CONCAT]],Tables!I:N,5,0)),0)</f>
        <v>7040</v>
      </c>
      <c r="CH38" s="13">
        <f>IFERROR(Table410[[#This Row],[May_2026_Days_Actual]]*Table410[[#This Row],[Cost Boolean]]*(VLOOKUP(Table410[[#This Row],[RATE CONCAT]],Tables!I:N,5,0)),0)</f>
        <v>7040</v>
      </c>
      <c r="CI38" s="13">
        <f>Table410[[#This Row],[May_2026_F]]-Table410[[#This Row],[May_2026_A]]</f>
        <v>0</v>
      </c>
      <c r="CK38" s="13">
        <f>IFERROR(Table410[[#This Row],[Jun_2026_Days_Forecast]]*Table410[[#This Row],[Cost Boolean]]*(VLOOKUP(Table410[[#This Row],[RATE CONCAT]],Tables!I:N,5,0)),0)</f>
        <v>5632</v>
      </c>
      <c r="CL38" s="13">
        <f>IFERROR(Table410[[#This Row],[Jun_2026_Days_Actual]]*Table410[[#This Row],[Cost Boolean]]*(VLOOKUP(Table410[[#This Row],[RATE CONCAT]],Tables!I:N,5,0)),0)</f>
        <v>5632</v>
      </c>
      <c r="CM38" s="13">
        <f>Table410[[#This Row],[Jun_2026_F]]-Table410[[#This Row],[Jun_2026_A]]</f>
        <v>0</v>
      </c>
      <c r="CO38" s="13">
        <f>IFERROR(Table410[[#This Row],[Jul_2026_Days_Forecast]]*Table410[[#This Row],[Cost Boolean]]*(VLOOKUP(Table410[[#This Row],[RATE CONCAT]],Tables!I:N,5,0)),0)</f>
        <v>7040</v>
      </c>
      <c r="CP38" s="13">
        <f>IFERROR(Table410[[#This Row],[Jul_2026_Days_Actual]]*Table410[[#This Row],[Cost Boolean]]*(VLOOKUP(Table410[[#This Row],[RATE CONCAT]],Tables!I:N,5,0)),0)</f>
        <v>7040</v>
      </c>
      <c r="CQ38" s="13">
        <f>Table410[[#This Row],[Jul_2026_F]]-Table410[[#This Row],[Jul_2026_A]]</f>
        <v>0</v>
      </c>
      <c r="CS38" s="13">
        <f>IFERROR(Table410[[#This Row],[Aug_2026_Days_Forecast]]*Table410[[#This Row],[Cost Boolean]]*(VLOOKUP(Table410[[#This Row],[RATE CONCAT]],Tables!I:N,5,0)),0)</f>
        <v>7040</v>
      </c>
      <c r="CT38" s="13">
        <f>IFERROR(Table410[[#This Row],[Aug_2026_Days_Actual]]*Table410[[#This Row],[Cost Boolean]]*(VLOOKUP(Table410[[#This Row],[RATE CONCAT]],Tables!I:N,5,0)),0)</f>
        <v>7040</v>
      </c>
      <c r="CU38" s="13">
        <f>Table410[[#This Row],[Aug_2026_F]]-Table410[[#This Row],[Aug_2026_A]]</f>
        <v>0</v>
      </c>
      <c r="CW38" s="13">
        <f>IFERROR(Table410[[#This Row],[Sep_2026_Days_Forecast]]*Table410[[#This Row],[Cost Boolean]]*(VLOOKUP(Table410[[#This Row],[RATE CONCAT]],Tables!I:N,5,0)),0)</f>
        <v>7040</v>
      </c>
      <c r="CX38" s="13">
        <f>IFERROR(Table410[[#This Row],[Sep_2026_Days_Actual]]*Table410[[#This Row],[Cost Boolean]]*(VLOOKUP(Table410[[#This Row],[RATE CONCAT]],Tables!I:N,5,0)),0)</f>
        <v>7040</v>
      </c>
      <c r="CY38" s="13">
        <f>Table410[[#This Row],[Sep_2026_F]]-Table410[[#This Row],[Sep_2026_A]]</f>
        <v>0</v>
      </c>
      <c r="DA38" s="13">
        <f>IFERROR(Table410[[#This Row],[Oct_2026_Days_Forecast]]*Table410[[#This Row],[Cost Boolean]]*(VLOOKUP(Table410[[#This Row],[RATE CONCAT]],Tables!I:N,5,0)),0)</f>
        <v>7040</v>
      </c>
      <c r="DB38" s="13">
        <f>IFERROR(Table410[[#This Row],[Oct_2026_Days_Actual]]*Table410[[#This Row],[Cost Boolean]]*(VLOOKUP(Table410[[#This Row],[RATE CONCAT]],Tables!I:N,5,0)),0)</f>
        <v>7040</v>
      </c>
      <c r="DC38" s="13">
        <f>Table410[[#This Row],[Oct_2026_F]]-Table410[[#This Row],[Oct_2026_A]]</f>
        <v>0</v>
      </c>
      <c r="DE38" s="13">
        <f>IFERROR(Table410[[#This Row],[Nov_2026_Days_Forecast]]*Table410[[#This Row],[Cost Boolean]]*(VLOOKUP(Table410[[#This Row],[RATE CONCAT]],Tables!I:N,5,0)),0)</f>
        <v>0</v>
      </c>
      <c r="DF38" s="13">
        <f>IFERROR(Table410[[#This Row],[Nov_2026_Days_Actual]]*Table410[[#This Row],[Cost Boolean]]*(VLOOKUP(Table410[[#This Row],[RATE CONCAT]],Tables!I:N,5,0)),0)</f>
        <v>0</v>
      </c>
      <c r="DG38" s="13">
        <f>Table410[[#This Row],[Nov_2026_F]]-Table410[[#This Row],[Nov_2026_A]]</f>
        <v>0</v>
      </c>
      <c r="DI38" s="13">
        <f>IFERROR(Table410[[#This Row],[Dec_2026_Days_Forecast]]*Table410[[#This Row],[Cost Boolean]]*(VLOOKUP(Table410[[#This Row],[RATE CONCAT]],Tables!I:N,5,0)),0)</f>
        <v>0</v>
      </c>
      <c r="DJ38" s="13">
        <f>IFERROR(Table410[[#This Row],[Dec_2026_Days_Actual]]*Table410[[#This Row],[Cost Boolean]]*(VLOOKUP(Table410[[#This Row],[RATE CONCAT]],Tables!I:N,5,0)),0)</f>
        <v>0</v>
      </c>
      <c r="DK38" s="13">
        <f>Table410[[#This Row],[Dec_2026_F]]-Table410[[#This Row],[Dec_2026_A]]</f>
        <v>0</v>
      </c>
      <c r="DN38" s="13">
        <f>IFERROR(Table410[[#This Row],[Jan_2027_Days_Forecast]]*Table410[[#This Row],[Cost Boolean]]*(VLOOKUP(Table410[[#This Row],[RATE CONCAT]],Tables!I:N,6,0)),0)</f>
        <v>0</v>
      </c>
      <c r="DP38" s="13">
        <f>Table410[[#This Row],[Jan_2027_F]]-Table410[[#This Row],[Jan_2027_A]]</f>
        <v>0</v>
      </c>
      <c r="DQ38" s="13">
        <f>IFERROR(Table410[[#This Row],[Feb_2027_Days_Forecast]]*Table410[[#This Row],[Cost Boolean]]*(VLOOKUP(Table410[[#This Row],[RATE CONCAT]],Tables!I:N,6,0)),0)</f>
        <v>0</v>
      </c>
      <c r="DS38" s="13">
        <f>Table410[[#This Row],[Feb_2027_F]]-Table410[[#This Row],[Feb_2027_A]]</f>
        <v>0</v>
      </c>
      <c r="DT38" s="13">
        <f>IFERROR(Table410[[#This Row],[Mar_2027_Days_Forecast]]*Table410[[#This Row],[Cost Boolean]]*(VLOOKUP(Table410[[#This Row],[RATE CONCAT]],Tables!I:N,6,0)),0)</f>
        <v>0</v>
      </c>
      <c r="DV38" s="13">
        <f>Table410[[#This Row],[Mar_2027_F]]-Table410[[#This Row],[Mar_2027_A]]</f>
        <v>0</v>
      </c>
      <c r="DW38" s="13">
        <f>IFERROR(Table410[[#This Row],[Apr_2027_Days_Forecast]]*Table410[[#This Row],[Cost Boolean]]*(VLOOKUP(Table410[[#This Row],[RATE CONCAT]],Tables!I:N,6,0)),0)</f>
        <v>0</v>
      </c>
      <c r="DY38" s="13">
        <f>Table410[[#This Row],[Apr_2027_F]]-Table410[[#This Row],[Apr_2027_A]]</f>
        <v>0</v>
      </c>
      <c r="DZ38" s="13">
        <f>IFERROR(Table410[[#This Row],[May_2027_Days_Forecast]]*Table410[[#This Row],[Cost Boolean]]*(VLOOKUP(Table410[[#This Row],[RATE CONCAT]],Tables!I:N,6,0)),0)</f>
        <v>0</v>
      </c>
      <c r="EB38" s="13">
        <f>Table410[[#This Row],[May_2027_F]]-Table410[[#This Row],[May_2027_A]]</f>
        <v>0</v>
      </c>
      <c r="EC38" s="13">
        <f>IFERROR(Table410[[#This Row],[Jun_2027_Days_Forecast]]*Table410[[#This Row],[Cost Boolean]]*(VLOOKUP(Table410[[#This Row],[RATE CONCAT]],Tables!I:N,6,0)),0)</f>
        <v>0</v>
      </c>
      <c r="EE38" s="13">
        <f>Table410[[#This Row],[Jun_2027_F]]-Table410[[#This Row],[Jun_2027_A]]</f>
        <v>0</v>
      </c>
      <c r="EF38" s="13">
        <f>IFERROR(Table410[[#This Row],[Jul_2027_Days_Forecast]]*Table410[[#This Row],[Cost Boolean]]*(VLOOKUP(Table410[[#This Row],[RATE CONCAT]],Tables!I:N,6,0)),0)</f>
        <v>0</v>
      </c>
      <c r="EH38" s="13">
        <f>Table410[[#This Row],[Jul_2027_F]]-Table410[[#This Row],[Jul_2027_A]]</f>
        <v>0</v>
      </c>
      <c r="EI38" s="13">
        <f>IFERROR(Table410[[#This Row],[Aug_2027_Days_Forecast]]*Table410[[#This Row],[Cost Boolean]]*(VLOOKUP(Table410[[#This Row],[RATE CONCAT]],Tables!I:N,6,0)),0)</f>
        <v>0</v>
      </c>
      <c r="EK38" s="13">
        <f>Table410[[#This Row],[Aug_2027_F]]-Table410[[#This Row],[Aug_2027_A]]</f>
        <v>0</v>
      </c>
      <c r="EL38" s="13">
        <f>IFERROR(Table410[[#This Row],[Sep_2027_Days_Forecast]]*Table410[[#This Row],[Cost Boolean]]*(VLOOKUP(Table410[[#This Row],[RATE CONCAT]],Tables!I:N,6,0)),0)</f>
        <v>0</v>
      </c>
      <c r="EN38" s="13">
        <f>Table410[[#This Row],[Sep_2027_F]]-Table410[[#This Row],[Sep_2027_A]]</f>
        <v>0</v>
      </c>
      <c r="EO38" s="13">
        <f>IFERROR(Table410[[#This Row],[Oct_2027_Days_Forecast]]*Table410[[#This Row],[Cost Boolean]]*(VLOOKUP(Table410[[#This Row],[RATE CONCAT]],Tables!I:N,6,0)),0)</f>
        <v>0</v>
      </c>
      <c r="EQ38" s="13">
        <f>Table410[[#This Row],[Oct_2027_F]]-Table410[[#This Row],[Oct_2027_A]]</f>
        <v>0</v>
      </c>
      <c r="ER38" s="13">
        <f>IFERROR(Table410[[#This Row],[Nov_2027_Days_Forecast]]*Table410[[#This Row],[Cost Boolean]]*(VLOOKUP(Table410[[#This Row],[RATE CONCAT]],Tables!I:N,6,0)),0)</f>
        <v>0</v>
      </c>
      <c r="ET38" s="13">
        <f>Table410[[#This Row],[Nov_2027_F]]-Table410[[#This Row],[Nov_2027_A]]</f>
        <v>0</v>
      </c>
      <c r="EU38" s="13">
        <f>IFERROR(Table410[[#This Row],[Dec_2027_Days_Forecast]]*Table410[[#This Row],[Cost Boolean]]*(VLOOKUP(Table410[[#This Row],[RATE CONCAT]],Tables!I:N,6,0)),0)</f>
        <v>0</v>
      </c>
      <c r="EW38" s="13">
        <f>Table410[[#This Row],[Dec_2027_F]]-Table410[[#This Row],[Dec_2027_A]]</f>
        <v>0</v>
      </c>
    </row>
    <row r="39" spans="1:153" s="13" customFormat="1" ht="15" customHeight="1">
      <c r="A39" s="13" t="s">
        <v>341</v>
      </c>
      <c r="B39" s="13" t="s">
        <v>48</v>
      </c>
      <c r="C39" s="13" t="s">
        <v>219</v>
      </c>
      <c r="D39" s="13" t="s">
        <v>342</v>
      </c>
      <c r="E39" s="13" t="s">
        <v>221</v>
      </c>
      <c r="G39" s="13" t="s">
        <v>231</v>
      </c>
      <c r="H39" s="13">
        <v>4</v>
      </c>
      <c r="J39" s="13" t="s">
        <v>254</v>
      </c>
      <c r="K39" s="13" t="s">
        <v>224</v>
      </c>
      <c r="L39" s="13">
        <v>1</v>
      </c>
      <c r="M39" s="13" t="s">
        <v>233</v>
      </c>
      <c r="N39" s="13" t="s">
        <v>255</v>
      </c>
      <c r="O39" s="13" t="s">
        <v>227</v>
      </c>
      <c r="P39" s="13" t="s">
        <v>53</v>
      </c>
      <c r="Q39" s="13" t="s">
        <v>228</v>
      </c>
      <c r="R39" s="193">
        <v>46023</v>
      </c>
      <c r="S39" s="193">
        <v>46387</v>
      </c>
      <c r="T39" s="193">
        <v>46023</v>
      </c>
      <c r="U39" s="193">
        <v>46387</v>
      </c>
      <c r="V39" s="193">
        <v>46023</v>
      </c>
      <c r="W39" s="193">
        <v>46387</v>
      </c>
      <c r="Y39" s="13" t="str">
        <f>CONCATENATE(Table410[[#This Row],[JG]],Table410[[#This Row],[Country]],Table410[[#This Row],[Resource Provider]])</f>
        <v>4United StatesShell Business</v>
      </c>
      <c r="Z39" s="13">
        <f>VLOOKUP(Table410[[#This Row],[RATE CONCAT]],Tables!I:N,5,0)</f>
        <v>1408</v>
      </c>
      <c r="AA39" s="52"/>
      <c r="AB39" s="130"/>
      <c r="AC39" s="130">
        <v>5</v>
      </c>
      <c r="AD39" s="130">
        <v>5</v>
      </c>
      <c r="AE39" s="130">
        <v>5</v>
      </c>
      <c r="AF39" s="130">
        <v>5</v>
      </c>
      <c r="AG39" s="130">
        <v>4</v>
      </c>
      <c r="AH39" s="130">
        <v>5</v>
      </c>
      <c r="AI39" s="130">
        <v>5</v>
      </c>
      <c r="AJ39" s="130">
        <v>5</v>
      </c>
      <c r="AK39" s="130">
        <v>5</v>
      </c>
      <c r="AL39" s="130"/>
      <c r="AM39" s="130"/>
      <c r="AN39" s="176">
        <f>IFERROR(AVERAGE(Table410[[#This Row],[Jan_2026_Days_Forecast]:[Dec_2026_Days_Forecast]]),0)/19</f>
        <v>0.25730994152046788</v>
      </c>
      <c r="AO39" s="176">
        <f>IFERROR(AVERAGE(Table410[[#This Row],[Jan_2026_Days_Actual]:[Dec_2026_Days_Actual]]),0)/19</f>
        <v>0.25730994152046788</v>
      </c>
      <c r="AP39" s="130"/>
      <c r="AQ39" s="130">
        <v>5</v>
      </c>
      <c r="AR39" s="130">
        <v>5</v>
      </c>
      <c r="AS39" s="130">
        <v>5</v>
      </c>
      <c r="AT39" s="130">
        <v>5</v>
      </c>
      <c r="AU39" s="130">
        <v>4</v>
      </c>
      <c r="AV39" s="130">
        <v>5</v>
      </c>
      <c r="AW39" s="130">
        <v>5</v>
      </c>
      <c r="AX39" s="130">
        <v>5</v>
      </c>
      <c r="AY39" s="130">
        <v>5</v>
      </c>
      <c r="AZ39" s="130"/>
      <c r="BA39" s="130"/>
      <c r="BB39" s="176">
        <f>IFERROR(AVERAGE(Table410[[#This Row],[Jan_2027_Days_Forecast]:[Dec_2027_Days_Forecast]]),0)</f>
        <v>0</v>
      </c>
      <c r="BC39" s="127"/>
      <c r="BD39" s="127"/>
      <c r="BE39" s="127"/>
      <c r="BF39" s="127"/>
      <c r="BG39" s="127"/>
      <c r="BH39" s="127"/>
      <c r="BI39" s="127"/>
      <c r="BJ39" s="127"/>
      <c r="BK39" s="127"/>
      <c r="BL39" s="127"/>
      <c r="BM39" s="127"/>
      <c r="BN39" s="127"/>
      <c r="BO39" s="176"/>
      <c r="BP39" s="176"/>
      <c r="BQ39" s="13">
        <f>IFERROR(Table410[[#This Row],[Jan_2026_Days_Forecast]]*Table410[[#This Row],[Cost Boolean]]*(VLOOKUP(Table410[[#This Row],[RATE CONCAT]],Tables!I:N,5,0)),0)</f>
        <v>0</v>
      </c>
      <c r="BR39" s="13">
        <f>IFERROR(Table410[[#This Row],[Jan_2026_Days_Actual]]*Table410[[#This Row],[Cost Boolean]]*(VLOOKUP(Table410[[#This Row],[RATE CONCAT]],Tables!I:N,5,0)),0)</f>
        <v>0</v>
      </c>
      <c r="BS39" s="13">
        <f>Table410[[#This Row],[Jan_2026_F]]-Table410[[#This Row],[Jan_2026_A]]</f>
        <v>0</v>
      </c>
      <c r="BU39" s="13">
        <f>IFERROR(Table410[[#This Row],[Feb_2026_Days_Forecast]]*Table410[[#This Row],[Cost Boolean]]*(VLOOKUP(Table410[[#This Row],[RATE CONCAT]],Tables!I:N,5,0)),0)</f>
        <v>7040</v>
      </c>
      <c r="BV39" s="13">
        <f>IFERROR(Table410[[#This Row],[Feb_2026_Days_Actual]]*Table410[[#This Row],[Cost Boolean]]*(VLOOKUP(Table410[[#This Row],[RATE CONCAT]],Tables!I:N,5,0)),0)</f>
        <v>7040</v>
      </c>
      <c r="BW39" s="13">
        <f>Table410[[#This Row],[Feb_2026_F]]-Table410[[#This Row],[Feb_2026_A]]</f>
        <v>0</v>
      </c>
      <c r="BY39" s="13">
        <f>IFERROR(Table410[[#This Row],[Mar_2026_Days_Forecast]]*Table410[[#This Row],[Cost Boolean]]*(VLOOKUP(Table410[[#This Row],[RATE CONCAT]],Tables!I:N,5,0)),0)</f>
        <v>7040</v>
      </c>
      <c r="BZ39" s="13">
        <f>IFERROR(Table410[[#This Row],[Mar_2026_Days_Actual]]*Table410[[#This Row],[Cost Boolean]]*(VLOOKUP(Table410[[#This Row],[RATE CONCAT]],Tables!I:N,5,0)),0)</f>
        <v>7040</v>
      </c>
      <c r="CA39" s="13">
        <f>Table410[[#This Row],[Mar_2026_F]]-Table410[[#This Row],[Mar_2026_A]]</f>
        <v>0</v>
      </c>
      <c r="CC39" s="13">
        <f>IFERROR(Table410[[#This Row],[Apr_2026_Days_Forecast]]*Table410[[#This Row],[Cost Boolean]]*(VLOOKUP(Table410[[#This Row],[RATE CONCAT]],Tables!I:N,5,0)),0)</f>
        <v>7040</v>
      </c>
      <c r="CD39" s="13">
        <f>IFERROR(Table410[[#This Row],[Apr_2026_Days_Actual]]*Table410[[#This Row],[Cost Boolean]]*(VLOOKUP(Table410[[#This Row],[RATE CONCAT]],Tables!I:N,5,0)),0)</f>
        <v>7040</v>
      </c>
      <c r="CE39" s="13">
        <f>Table410[[#This Row],[Apr_2026_F]]-Table410[[#This Row],[Apr_2026_A]]</f>
        <v>0</v>
      </c>
      <c r="CG39" s="13">
        <f>IFERROR(Table410[[#This Row],[May_2026_Days_Forecast]] *Table410[[#This Row],[Cost Boolean]]*(VLOOKUP(Table410[[#This Row],[RATE CONCAT]],Tables!I:N,5,0)),0)</f>
        <v>7040</v>
      </c>
      <c r="CH39" s="13">
        <f>IFERROR(Table410[[#This Row],[May_2026_Days_Actual]]*Table410[[#This Row],[Cost Boolean]]*(VLOOKUP(Table410[[#This Row],[RATE CONCAT]],Tables!I:N,5,0)),0)</f>
        <v>7040</v>
      </c>
      <c r="CI39" s="13">
        <f>Table410[[#This Row],[May_2026_F]]-Table410[[#This Row],[May_2026_A]]</f>
        <v>0</v>
      </c>
      <c r="CK39" s="13">
        <f>IFERROR(Table410[[#This Row],[Jun_2026_Days_Forecast]]*Table410[[#This Row],[Cost Boolean]]*(VLOOKUP(Table410[[#This Row],[RATE CONCAT]],Tables!I:N,5,0)),0)</f>
        <v>5632</v>
      </c>
      <c r="CL39" s="13">
        <f>IFERROR(Table410[[#This Row],[Jun_2026_Days_Actual]]*Table410[[#This Row],[Cost Boolean]]*(VLOOKUP(Table410[[#This Row],[RATE CONCAT]],Tables!I:N,5,0)),0)</f>
        <v>5632</v>
      </c>
      <c r="CM39" s="13">
        <f>Table410[[#This Row],[Jun_2026_F]]-Table410[[#This Row],[Jun_2026_A]]</f>
        <v>0</v>
      </c>
      <c r="CO39" s="13">
        <f>IFERROR(Table410[[#This Row],[Jul_2026_Days_Forecast]]*Table410[[#This Row],[Cost Boolean]]*(VLOOKUP(Table410[[#This Row],[RATE CONCAT]],Tables!I:N,5,0)),0)</f>
        <v>7040</v>
      </c>
      <c r="CP39" s="13">
        <f>IFERROR(Table410[[#This Row],[Jul_2026_Days_Actual]]*Table410[[#This Row],[Cost Boolean]]*(VLOOKUP(Table410[[#This Row],[RATE CONCAT]],Tables!I:N,5,0)),0)</f>
        <v>7040</v>
      </c>
      <c r="CQ39" s="13">
        <f>Table410[[#This Row],[Jul_2026_F]]-Table410[[#This Row],[Jul_2026_A]]</f>
        <v>0</v>
      </c>
      <c r="CS39" s="13">
        <f>IFERROR(Table410[[#This Row],[Aug_2026_Days_Forecast]]*Table410[[#This Row],[Cost Boolean]]*(VLOOKUP(Table410[[#This Row],[RATE CONCAT]],Tables!I:N,5,0)),0)</f>
        <v>7040</v>
      </c>
      <c r="CT39" s="13">
        <f>IFERROR(Table410[[#This Row],[Aug_2026_Days_Actual]]*Table410[[#This Row],[Cost Boolean]]*(VLOOKUP(Table410[[#This Row],[RATE CONCAT]],Tables!I:N,5,0)),0)</f>
        <v>7040</v>
      </c>
      <c r="CU39" s="13">
        <f>Table410[[#This Row],[Aug_2026_F]]-Table410[[#This Row],[Aug_2026_A]]</f>
        <v>0</v>
      </c>
      <c r="CW39" s="13">
        <f>IFERROR(Table410[[#This Row],[Sep_2026_Days_Forecast]]*Table410[[#This Row],[Cost Boolean]]*(VLOOKUP(Table410[[#This Row],[RATE CONCAT]],Tables!I:N,5,0)),0)</f>
        <v>7040</v>
      </c>
      <c r="CX39" s="13">
        <f>IFERROR(Table410[[#This Row],[Sep_2026_Days_Actual]]*Table410[[#This Row],[Cost Boolean]]*(VLOOKUP(Table410[[#This Row],[RATE CONCAT]],Tables!I:N,5,0)),0)</f>
        <v>7040</v>
      </c>
      <c r="CY39" s="13">
        <f>Table410[[#This Row],[Sep_2026_F]]-Table410[[#This Row],[Sep_2026_A]]</f>
        <v>0</v>
      </c>
      <c r="DA39" s="13">
        <f>IFERROR(Table410[[#This Row],[Oct_2026_Days_Forecast]]*Table410[[#This Row],[Cost Boolean]]*(VLOOKUP(Table410[[#This Row],[RATE CONCAT]],Tables!I:N,5,0)),0)</f>
        <v>7040</v>
      </c>
      <c r="DB39" s="13">
        <f>IFERROR(Table410[[#This Row],[Oct_2026_Days_Actual]]*Table410[[#This Row],[Cost Boolean]]*(VLOOKUP(Table410[[#This Row],[RATE CONCAT]],Tables!I:N,5,0)),0)</f>
        <v>7040</v>
      </c>
      <c r="DC39" s="13">
        <f>Table410[[#This Row],[Oct_2026_F]]-Table410[[#This Row],[Oct_2026_A]]</f>
        <v>0</v>
      </c>
      <c r="DE39" s="13">
        <f>IFERROR(Table410[[#This Row],[Nov_2026_Days_Forecast]]*Table410[[#This Row],[Cost Boolean]]*(VLOOKUP(Table410[[#This Row],[RATE CONCAT]],Tables!I:N,5,0)),0)</f>
        <v>0</v>
      </c>
      <c r="DF39" s="13">
        <f>IFERROR(Table410[[#This Row],[Nov_2026_Days_Actual]]*Table410[[#This Row],[Cost Boolean]]*(VLOOKUP(Table410[[#This Row],[RATE CONCAT]],Tables!I:N,5,0)),0)</f>
        <v>0</v>
      </c>
      <c r="DG39" s="13">
        <f>Table410[[#This Row],[Nov_2026_F]]-Table410[[#This Row],[Nov_2026_A]]</f>
        <v>0</v>
      </c>
      <c r="DI39" s="13">
        <f>IFERROR(Table410[[#This Row],[Dec_2026_Days_Forecast]]*Table410[[#This Row],[Cost Boolean]]*(VLOOKUP(Table410[[#This Row],[RATE CONCAT]],Tables!I:N,5,0)),0)</f>
        <v>0</v>
      </c>
      <c r="DJ39" s="13">
        <f>IFERROR(Table410[[#This Row],[Dec_2026_Days_Actual]]*Table410[[#This Row],[Cost Boolean]]*(VLOOKUP(Table410[[#This Row],[RATE CONCAT]],Tables!I:N,5,0)),0)</f>
        <v>0</v>
      </c>
      <c r="DK39" s="13">
        <f>Table410[[#This Row],[Dec_2026_F]]-Table410[[#This Row],[Dec_2026_A]]</f>
        <v>0</v>
      </c>
      <c r="DN39" s="13">
        <f>IFERROR(Table410[[#This Row],[Jan_2027_Days_Forecast]]*Table410[[#This Row],[Cost Boolean]]*(VLOOKUP(Table410[[#This Row],[RATE CONCAT]],Tables!I:N,6,0)),0)</f>
        <v>0</v>
      </c>
      <c r="DP39" s="13">
        <f>Table410[[#This Row],[Jan_2027_F]]-Table410[[#This Row],[Jan_2027_A]]</f>
        <v>0</v>
      </c>
      <c r="DQ39" s="13">
        <f>IFERROR(Table410[[#This Row],[Feb_2027_Days_Forecast]]*Table410[[#This Row],[Cost Boolean]]*(VLOOKUP(Table410[[#This Row],[RATE CONCAT]],Tables!I:N,6,0)),0)</f>
        <v>0</v>
      </c>
      <c r="DS39" s="13">
        <f>Table410[[#This Row],[Feb_2027_F]]-Table410[[#This Row],[Feb_2027_A]]</f>
        <v>0</v>
      </c>
      <c r="DT39" s="13">
        <f>IFERROR(Table410[[#This Row],[Mar_2027_Days_Forecast]]*Table410[[#This Row],[Cost Boolean]]*(VLOOKUP(Table410[[#This Row],[RATE CONCAT]],Tables!I:N,6,0)),0)</f>
        <v>0</v>
      </c>
      <c r="DV39" s="13">
        <f>Table410[[#This Row],[Mar_2027_F]]-Table410[[#This Row],[Mar_2027_A]]</f>
        <v>0</v>
      </c>
      <c r="DW39" s="13">
        <f>IFERROR(Table410[[#This Row],[Apr_2027_Days_Forecast]]*Table410[[#This Row],[Cost Boolean]]*(VLOOKUP(Table410[[#This Row],[RATE CONCAT]],Tables!I:N,6,0)),0)</f>
        <v>0</v>
      </c>
      <c r="DY39" s="13">
        <f>Table410[[#This Row],[Apr_2027_F]]-Table410[[#This Row],[Apr_2027_A]]</f>
        <v>0</v>
      </c>
      <c r="DZ39" s="13">
        <f>IFERROR(Table410[[#This Row],[May_2027_Days_Forecast]]*Table410[[#This Row],[Cost Boolean]]*(VLOOKUP(Table410[[#This Row],[RATE CONCAT]],Tables!I:N,6,0)),0)</f>
        <v>0</v>
      </c>
      <c r="EB39" s="13">
        <f>Table410[[#This Row],[May_2027_F]]-Table410[[#This Row],[May_2027_A]]</f>
        <v>0</v>
      </c>
      <c r="EC39" s="13">
        <f>IFERROR(Table410[[#This Row],[Jun_2027_Days_Forecast]]*Table410[[#This Row],[Cost Boolean]]*(VLOOKUP(Table410[[#This Row],[RATE CONCAT]],Tables!I:N,6,0)),0)</f>
        <v>0</v>
      </c>
      <c r="EE39" s="13">
        <f>Table410[[#This Row],[Jun_2027_F]]-Table410[[#This Row],[Jun_2027_A]]</f>
        <v>0</v>
      </c>
      <c r="EF39" s="13">
        <f>IFERROR(Table410[[#This Row],[Jul_2027_Days_Forecast]]*Table410[[#This Row],[Cost Boolean]]*(VLOOKUP(Table410[[#This Row],[RATE CONCAT]],Tables!I:N,6,0)),0)</f>
        <v>0</v>
      </c>
      <c r="EH39" s="13">
        <f>Table410[[#This Row],[Jul_2027_F]]-Table410[[#This Row],[Jul_2027_A]]</f>
        <v>0</v>
      </c>
      <c r="EI39" s="13">
        <f>IFERROR(Table410[[#This Row],[Aug_2027_Days_Forecast]]*Table410[[#This Row],[Cost Boolean]]*(VLOOKUP(Table410[[#This Row],[RATE CONCAT]],Tables!I:N,6,0)),0)</f>
        <v>0</v>
      </c>
      <c r="EK39" s="13">
        <f>Table410[[#This Row],[Aug_2027_F]]-Table410[[#This Row],[Aug_2027_A]]</f>
        <v>0</v>
      </c>
      <c r="EL39" s="13">
        <f>IFERROR(Table410[[#This Row],[Sep_2027_Days_Forecast]]*Table410[[#This Row],[Cost Boolean]]*(VLOOKUP(Table410[[#This Row],[RATE CONCAT]],Tables!I:N,6,0)),0)</f>
        <v>0</v>
      </c>
      <c r="EN39" s="13">
        <f>Table410[[#This Row],[Sep_2027_F]]-Table410[[#This Row],[Sep_2027_A]]</f>
        <v>0</v>
      </c>
      <c r="EO39" s="13">
        <f>IFERROR(Table410[[#This Row],[Oct_2027_Days_Forecast]]*Table410[[#This Row],[Cost Boolean]]*(VLOOKUP(Table410[[#This Row],[RATE CONCAT]],Tables!I:N,6,0)),0)</f>
        <v>0</v>
      </c>
      <c r="EQ39" s="13">
        <f>Table410[[#This Row],[Oct_2027_F]]-Table410[[#This Row],[Oct_2027_A]]</f>
        <v>0</v>
      </c>
      <c r="ER39" s="13">
        <f>IFERROR(Table410[[#This Row],[Nov_2027_Days_Forecast]]*Table410[[#This Row],[Cost Boolean]]*(VLOOKUP(Table410[[#This Row],[RATE CONCAT]],Tables!I:N,6,0)),0)</f>
        <v>0</v>
      </c>
      <c r="ET39" s="13">
        <f>Table410[[#This Row],[Nov_2027_F]]-Table410[[#This Row],[Nov_2027_A]]</f>
        <v>0</v>
      </c>
      <c r="EU39" s="13">
        <f>IFERROR(Table410[[#This Row],[Dec_2027_Days_Forecast]]*Table410[[#This Row],[Cost Boolean]]*(VLOOKUP(Table410[[#This Row],[RATE CONCAT]],Tables!I:N,6,0)),0)</f>
        <v>0</v>
      </c>
      <c r="EW39" s="13">
        <f>Table410[[#This Row],[Dec_2027_F]]-Table410[[#This Row],[Dec_2027_A]]</f>
        <v>0</v>
      </c>
    </row>
    <row r="40" spans="1:153" s="13" customFormat="1" ht="15" customHeight="1">
      <c r="A40" s="13" t="s">
        <v>343</v>
      </c>
      <c r="B40" s="13" t="s">
        <v>48</v>
      </c>
      <c r="C40" s="13" t="s">
        <v>219</v>
      </c>
      <c r="D40" s="13" t="s">
        <v>344</v>
      </c>
      <c r="E40" s="13" t="s">
        <v>221</v>
      </c>
      <c r="G40" s="13" t="s">
        <v>315</v>
      </c>
      <c r="H40" s="13">
        <v>3</v>
      </c>
      <c r="J40" s="13" t="s">
        <v>345</v>
      </c>
      <c r="K40" s="13" t="s">
        <v>224</v>
      </c>
      <c r="L40" s="13">
        <v>0</v>
      </c>
      <c r="M40" s="13" t="s">
        <v>317</v>
      </c>
      <c r="N40" s="13" t="s">
        <v>346</v>
      </c>
      <c r="O40" s="13" t="s">
        <v>260</v>
      </c>
      <c r="P40" s="13" t="s">
        <v>53</v>
      </c>
      <c r="Q40" s="13" t="s">
        <v>228</v>
      </c>
      <c r="R40" s="193">
        <v>46023</v>
      </c>
      <c r="S40" s="193">
        <v>46387</v>
      </c>
      <c r="T40" s="193">
        <v>46023</v>
      </c>
      <c r="U40" s="193">
        <v>46387</v>
      </c>
      <c r="V40" s="193">
        <v>46023</v>
      </c>
      <c r="W40" s="193">
        <v>46387</v>
      </c>
      <c r="Y40" s="13" t="str">
        <f>CONCATENATE(Table410[[#This Row],[JG]],Table410[[#This Row],[Country]],Table410[[#This Row],[Resource Provider]])</f>
        <v>3PolandShell Business</v>
      </c>
      <c r="Z40" s="13">
        <f>VLOOKUP(Table410[[#This Row],[RATE CONCAT]],Tables!I:N,5,0)</f>
        <v>620</v>
      </c>
      <c r="AA40" s="52"/>
      <c r="AB40" s="130"/>
      <c r="AC40" s="130">
        <v>5</v>
      </c>
      <c r="AD40" s="130">
        <v>5</v>
      </c>
      <c r="AE40" s="130">
        <v>5</v>
      </c>
      <c r="AF40" s="130">
        <v>5</v>
      </c>
      <c r="AG40" s="130">
        <v>4</v>
      </c>
      <c r="AH40" s="130">
        <v>5</v>
      </c>
      <c r="AI40" s="130">
        <v>5</v>
      </c>
      <c r="AJ40" s="130">
        <v>5</v>
      </c>
      <c r="AK40" s="130">
        <v>5</v>
      </c>
      <c r="AL40" s="130"/>
      <c r="AM40" s="130"/>
      <c r="AN40" s="176">
        <f>IFERROR(AVERAGE(Table410[[#This Row],[Jan_2026_Days_Forecast]:[Dec_2026_Days_Forecast]]),0)/19</f>
        <v>0.25730994152046788</v>
      </c>
      <c r="AO40" s="176">
        <f>IFERROR(AVERAGE(Table410[[#This Row],[Jan_2026_Days_Actual]:[Dec_2026_Days_Actual]]),0)/19</f>
        <v>0.25730994152046788</v>
      </c>
      <c r="AP40" s="130"/>
      <c r="AQ40" s="130">
        <v>5</v>
      </c>
      <c r="AR40" s="130">
        <v>5</v>
      </c>
      <c r="AS40" s="130">
        <v>5</v>
      </c>
      <c r="AT40" s="130">
        <v>5</v>
      </c>
      <c r="AU40" s="130">
        <v>4</v>
      </c>
      <c r="AV40" s="130">
        <v>5</v>
      </c>
      <c r="AW40" s="130">
        <v>5</v>
      </c>
      <c r="AX40" s="130">
        <v>5</v>
      </c>
      <c r="AY40" s="130">
        <v>5</v>
      </c>
      <c r="AZ40" s="130"/>
      <c r="BA40" s="130"/>
      <c r="BB40" s="176">
        <f>IFERROR(AVERAGE(Table410[[#This Row],[Jan_2027_Days_Forecast]:[Dec_2027_Days_Forecast]]),0)</f>
        <v>0</v>
      </c>
      <c r="BC40" s="127"/>
      <c r="BD40" s="127"/>
      <c r="BE40" s="127"/>
      <c r="BF40" s="127"/>
      <c r="BG40" s="127"/>
      <c r="BH40" s="127"/>
      <c r="BI40" s="127"/>
      <c r="BJ40" s="127"/>
      <c r="BK40" s="127"/>
      <c r="BL40" s="127"/>
      <c r="BM40" s="127"/>
      <c r="BN40" s="127"/>
      <c r="BO40" s="176"/>
      <c r="BP40" s="176"/>
      <c r="BQ40" s="13">
        <f>IFERROR(Table410[[#This Row],[Jan_2026_Days_Forecast]]*Table410[[#This Row],[Cost Boolean]]*(VLOOKUP(Table410[[#This Row],[RATE CONCAT]],Tables!I:N,5,0)),0)</f>
        <v>0</v>
      </c>
      <c r="BR40" s="13">
        <f>IFERROR(Table410[[#This Row],[Jan_2026_Days_Actual]]*Table410[[#This Row],[Cost Boolean]]*(VLOOKUP(Table410[[#This Row],[RATE CONCAT]],Tables!I:N,5,0)),0)</f>
        <v>0</v>
      </c>
      <c r="BS40" s="13">
        <f>Table410[[#This Row],[Jan_2026_F]]-Table410[[#This Row],[Jan_2026_A]]</f>
        <v>0</v>
      </c>
      <c r="BU40" s="13">
        <f>IFERROR(Table410[[#This Row],[Feb_2026_Days_Forecast]]*Table410[[#This Row],[Cost Boolean]]*(VLOOKUP(Table410[[#This Row],[RATE CONCAT]],Tables!I:N,5,0)),0)</f>
        <v>0</v>
      </c>
      <c r="BV40" s="13">
        <f>IFERROR(Table410[[#This Row],[Feb_2026_Days_Actual]]*Table410[[#This Row],[Cost Boolean]]*(VLOOKUP(Table410[[#This Row],[RATE CONCAT]],Tables!I:N,5,0)),0)</f>
        <v>0</v>
      </c>
      <c r="BW40" s="13">
        <f>Table410[[#This Row],[Feb_2026_F]]-Table410[[#This Row],[Feb_2026_A]]</f>
        <v>0</v>
      </c>
      <c r="BY40" s="13">
        <f>IFERROR(Table410[[#This Row],[Mar_2026_Days_Forecast]]*Table410[[#This Row],[Cost Boolean]]*(VLOOKUP(Table410[[#This Row],[RATE CONCAT]],Tables!I:N,5,0)),0)</f>
        <v>0</v>
      </c>
      <c r="BZ40" s="13">
        <f>IFERROR(Table410[[#This Row],[Mar_2026_Days_Actual]]*Table410[[#This Row],[Cost Boolean]]*(VLOOKUP(Table410[[#This Row],[RATE CONCAT]],Tables!I:N,5,0)),0)</f>
        <v>0</v>
      </c>
      <c r="CA40" s="13">
        <f>Table410[[#This Row],[Mar_2026_F]]-Table410[[#This Row],[Mar_2026_A]]</f>
        <v>0</v>
      </c>
      <c r="CC40" s="13">
        <f>IFERROR(Table410[[#This Row],[Apr_2026_Days_Forecast]]*Table410[[#This Row],[Cost Boolean]]*(VLOOKUP(Table410[[#This Row],[RATE CONCAT]],Tables!I:N,5,0)),0)</f>
        <v>0</v>
      </c>
      <c r="CD40" s="13">
        <f>IFERROR(Table410[[#This Row],[Apr_2026_Days_Actual]]*Table410[[#This Row],[Cost Boolean]]*(VLOOKUP(Table410[[#This Row],[RATE CONCAT]],Tables!I:N,5,0)),0)</f>
        <v>0</v>
      </c>
      <c r="CE40" s="13">
        <f>Table410[[#This Row],[Apr_2026_F]]-Table410[[#This Row],[Apr_2026_A]]</f>
        <v>0</v>
      </c>
      <c r="CG40" s="13">
        <f>IFERROR(Table410[[#This Row],[May_2026_Days_Forecast]] *Table410[[#This Row],[Cost Boolean]]*(VLOOKUP(Table410[[#This Row],[RATE CONCAT]],Tables!I:N,5,0)),0)</f>
        <v>0</v>
      </c>
      <c r="CH40" s="13">
        <f>IFERROR(Table410[[#This Row],[May_2026_Days_Actual]]*Table410[[#This Row],[Cost Boolean]]*(VLOOKUP(Table410[[#This Row],[RATE CONCAT]],Tables!I:N,5,0)),0)</f>
        <v>0</v>
      </c>
      <c r="CI40" s="13">
        <f>Table410[[#This Row],[May_2026_F]]-Table410[[#This Row],[May_2026_A]]</f>
        <v>0</v>
      </c>
      <c r="CK40" s="13">
        <f>IFERROR(Table410[[#This Row],[Jun_2026_Days_Forecast]]*Table410[[#This Row],[Cost Boolean]]*(VLOOKUP(Table410[[#This Row],[RATE CONCAT]],Tables!I:N,5,0)),0)</f>
        <v>0</v>
      </c>
      <c r="CL40" s="13">
        <f>IFERROR(Table410[[#This Row],[Jun_2026_Days_Actual]]*Table410[[#This Row],[Cost Boolean]]*(VLOOKUP(Table410[[#This Row],[RATE CONCAT]],Tables!I:N,5,0)),0)</f>
        <v>0</v>
      </c>
      <c r="CM40" s="13">
        <f>Table410[[#This Row],[Jun_2026_F]]-Table410[[#This Row],[Jun_2026_A]]</f>
        <v>0</v>
      </c>
      <c r="CO40" s="13">
        <f>IFERROR(Table410[[#This Row],[Jul_2026_Days_Forecast]]*Table410[[#This Row],[Cost Boolean]]*(VLOOKUP(Table410[[#This Row],[RATE CONCAT]],Tables!I:N,5,0)),0)</f>
        <v>0</v>
      </c>
      <c r="CP40" s="13">
        <f>IFERROR(Table410[[#This Row],[Jul_2026_Days_Actual]]*Table410[[#This Row],[Cost Boolean]]*(VLOOKUP(Table410[[#This Row],[RATE CONCAT]],Tables!I:N,5,0)),0)</f>
        <v>0</v>
      </c>
      <c r="CQ40" s="13">
        <f>Table410[[#This Row],[Jul_2026_F]]-Table410[[#This Row],[Jul_2026_A]]</f>
        <v>0</v>
      </c>
      <c r="CS40" s="13">
        <f>IFERROR(Table410[[#This Row],[Aug_2026_Days_Forecast]]*Table410[[#This Row],[Cost Boolean]]*(VLOOKUP(Table410[[#This Row],[RATE CONCAT]],Tables!I:N,5,0)),0)</f>
        <v>0</v>
      </c>
      <c r="CT40" s="13">
        <f>IFERROR(Table410[[#This Row],[Aug_2026_Days_Actual]]*Table410[[#This Row],[Cost Boolean]]*(VLOOKUP(Table410[[#This Row],[RATE CONCAT]],Tables!I:N,5,0)),0)</f>
        <v>0</v>
      </c>
      <c r="CU40" s="13">
        <f>Table410[[#This Row],[Aug_2026_F]]-Table410[[#This Row],[Aug_2026_A]]</f>
        <v>0</v>
      </c>
      <c r="CW40" s="13">
        <f>IFERROR(Table410[[#This Row],[Sep_2026_Days_Forecast]]*Table410[[#This Row],[Cost Boolean]]*(VLOOKUP(Table410[[#This Row],[RATE CONCAT]],Tables!I:N,5,0)),0)</f>
        <v>0</v>
      </c>
      <c r="CX40" s="13">
        <f>IFERROR(Table410[[#This Row],[Sep_2026_Days_Actual]]*Table410[[#This Row],[Cost Boolean]]*(VLOOKUP(Table410[[#This Row],[RATE CONCAT]],Tables!I:N,5,0)),0)</f>
        <v>0</v>
      </c>
      <c r="CY40" s="13">
        <f>Table410[[#This Row],[Sep_2026_F]]-Table410[[#This Row],[Sep_2026_A]]</f>
        <v>0</v>
      </c>
      <c r="DA40" s="13">
        <f>IFERROR(Table410[[#This Row],[Oct_2026_Days_Forecast]]*Table410[[#This Row],[Cost Boolean]]*(VLOOKUP(Table410[[#This Row],[RATE CONCAT]],Tables!I:N,5,0)),0)</f>
        <v>0</v>
      </c>
      <c r="DB40" s="13">
        <f>IFERROR(Table410[[#This Row],[Oct_2026_Days_Actual]]*Table410[[#This Row],[Cost Boolean]]*(VLOOKUP(Table410[[#This Row],[RATE CONCAT]],Tables!I:N,5,0)),0)</f>
        <v>0</v>
      </c>
      <c r="DC40" s="13">
        <f>Table410[[#This Row],[Oct_2026_F]]-Table410[[#This Row],[Oct_2026_A]]</f>
        <v>0</v>
      </c>
      <c r="DE40" s="13">
        <f>IFERROR(Table410[[#This Row],[Nov_2026_Days_Forecast]]*Table410[[#This Row],[Cost Boolean]]*(VLOOKUP(Table410[[#This Row],[RATE CONCAT]],Tables!I:N,5,0)),0)</f>
        <v>0</v>
      </c>
      <c r="DF40" s="13">
        <f>IFERROR(Table410[[#This Row],[Nov_2026_Days_Actual]]*Table410[[#This Row],[Cost Boolean]]*(VLOOKUP(Table410[[#This Row],[RATE CONCAT]],Tables!I:N,5,0)),0)</f>
        <v>0</v>
      </c>
      <c r="DG40" s="13">
        <f>Table410[[#This Row],[Nov_2026_F]]-Table410[[#This Row],[Nov_2026_A]]</f>
        <v>0</v>
      </c>
      <c r="DI40" s="13">
        <f>IFERROR(Table410[[#This Row],[Dec_2026_Days_Forecast]]*Table410[[#This Row],[Cost Boolean]]*(VLOOKUP(Table410[[#This Row],[RATE CONCAT]],Tables!I:N,5,0)),0)</f>
        <v>0</v>
      </c>
      <c r="DJ40" s="13">
        <f>IFERROR(Table410[[#This Row],[Dec_2026_Days_Actual]]*Table410[[#This Row],[Cost Boolean]]*(VLOOKUP(Table410[[#This Row],[RATE CONCAT]],Tables!I:N,5,0)),0)</f>
        <v>0</v>
      </c>
      <c r="DK40" s="13">
        <f>Table410[[#This Row],[Dec_2026_F]]-Table410[[#This Row],[Dec_2026_A]]</f>
        <v>0</v>
      </c>
      <c r="DN40" s="13">
        <f>IFERROR(Table410[[#This Row],[Jan_2027_Days_Forecast]]*Table410[[#This Row],[Cost Boolean]]*(VLOOKUP(Table410[[#This Row],[RATE CONCAT]],Tables!I:N,6,0)),0)</f>
        <v>0</v>
      </c>
      <c r="DP40" s="13">
        <f>Table410[[#This Row],[Jan_2027_F]]-Table410[[#This Row],[Jan_2027_A]]</f>
        <v>0</v>
      </c>
      <c r="DQ40" s="13">
        <f>IFERROR(Table410[[#This Row],[Feb_2027_Days_Forecast]]*Table410[[#This Row],[Cost Boolean]]*(VLOOKUP(Table410[[#This Row],[RATE CONCAT]],Tables!I:N,6,0)),0)</f>
        <v>0</v>
      </c>
      <c r="DS40" s="13">
        <f>Table410[[#This Row],[Feb_2027_F]]-Table410[[#This Row],[Feb_2027_A]]</f>
        <v>0</v>
      </c>
      <c r="DT40" s="13">
        <f>IFERROR(Table410[[#This Row],[Mar_2027_Days_Forecast]]*Table410[[#This Row],[Cost Boolean]]*(VLOOKUP(Table410[[#This Row],[RATE CONCAT]],Tables!I:N,6,0)),0)</f>
        <v>0</v>
      </c>
      <c r="DV40" s="13">
        <f>Table410[[#This Row],[Mar_2027_F]]-Table410[[#This Row],[Mar_2027_A]]</f>
        <v>0</v>
      </c>
      <c r="DW40" s="13">
        <f>IFERROR(Table410[[#This Row],[Apr_2027_Days_Forecast]]*Table410[[#This Row],[Cost Boolean]]*(VLOOKUP(Table410[[#This Row],[RATE CONCAT]],Tables!I:N,6,0)),0)</f>
        <v>0</v>
      </c>
      <c r="DY40" s="13">
        <f>Table410[[#This Row],[Apr_2027_F]]-Table410[[#This Row],[Apr_2027_A]]</f>
        <v>0</v>
      </c>
      <c r="DZ40" s="13">
        <f>IFERROR(Table410[[#This Row],[May_2027_Days_Forecast]]*Table410[[#This Row],[Cost Boolean]]*(VLOOKUP(Table410[[#This Row],[RATE CONCAT]],Tables!I:N,6,0)),0)</f>
        <v>0</v>
      </c>
      <c r="EB40" s="13">
        <f>Table410[[#This Row],[May_2027_F]]-Table410[[#This Row],[May_2027_A]]</f>
        <v>0</v>
      </c>
      <c r="EC40" s="13">
        <f>IFERROR(Table410[[#This Row],[Jun_2027_Days_Forecast]]*Table410[[#This Row],[Cost Boolean]]*(VLOOKUP(Table410[[#This Row],[RATE CONCAT]],Tables!I:N,6,0)),0)</f>
        <v>0</v>
      </c>
      <c r="EE40" s="13">
        <f>Table410[[#This Row],[Jun_2027_F]]-Table410[[#This Row],[Jun_2027_A]]</f>
        <v>0</v>
      </c>
      <c r="EF40" s="13">
        <f>IFERROR(Table410[[#This Row],[Jul_2027_Days_Forecast]]*Table410[[#This Row],[Cost Boolean]]*(VLOOKUP(Table410[[#This Row],[RATE CONCAT]],Tables!I:N,6,0)),0)</f>
        <v>0</v>
      </c>
      <c r="EH40" s="13">
        <f>Table410[[#This Row],[Jul_2027_F]]-Table410[[#This Row],[Jul_2027_A]]</f>
        <v>0</v>
      </c>
      <c r="EI40" s="13">
        <f>IFERROR(Table410[[#This Row],[Aug_2027_Days_Forecast]]*Table410[[#This Row],[Cost Boolean]]*(VLOOKUP(Table410[[#This Row],[RATE CONCAT]],Tables!I:N,6,0)),0)</f>
        <v>0</v>
      </c>
      <c r="EK40" s="13">
        <f>Table410[[#This Row],[Aug_2027_F]]-Table410[[#This Row],[Aug_2027_A]]</f>
        <v>0</v>
      </c>
      <c r="EL40" s="13">
        <f>IFERROR(Table410[[#This Row],[Sep_2027_Days_Forecast]]*Table410[[#This Row],[Cost Boolean]]*(VLOOKUP(Table410[[#This Row],[RATE CONCAT]],Tables!I:N,6,0)),0)</f>
        <v>0</v>
      </c>
      <c r="EN40" s="13">
        <f>Table410[[#This Row],[Sep_2027_F]]-Table410[[#This Row],[Sep_2027_A]]</f>
        <v>0</v>
      </c>
      <c r="EO40" s="13">
        <f>IFERROR(Table410[[#This Row],[Oct_2027_Days_Forecast]]*Table410[[#This Row],[Cost Boolean]]*(VLOOKUP(Table410[[#This Row],[RATE CONCAT]],Tables!I:N,6,0)),0)</f>
        <v>0</v>
      </c>
      <c r="EQ40" s="13">
        <f>Table410[[#This Row],[Oct_2027_F]]-Table410[[#This Row],[Oct_2027_A]]</f>
        <v>0</v>
      </c>
      <c r="ER40" s="13">
        <f>IFERROR(Table410[[#This Row],[Nov_2027_Days_Forecast]]*Table410[[#This Row],[Cost Boolean]]*(VLOOKUP(Table410[[#This Row],[RATE CONCAT]],Tables!I:N,6,0)),0)</f>
        <v>0</v>
      </c>
      <c r="ET40" s="13">
        <f>Table410[[#This Row],[Nov_2027_F]]-Table410[[#This Row],[Nov_2027_A]]</f>
        <v>0</v>
      </c>
      <c r="EU40" s="13">
        <f>IFERROR(Table410[[#This Row],[Dec_2027_Days_Forecast]]*Table410[[#This Row],[Cost Boolean]]*(VLOOKUP(Table410[[#This Row],[RATE CONCAT]],Tables!I:N,6,0)),0)</f>
        <v>0</v>
      </c>
      <c r="EW40" s="13">
        <f>Table410[[#This Row],[Dec_2027_F]]-Table410[[#This Row],[Dec_2027_A]]</f>
        <v>0</v>
      </c>
    </row>
    <row r="41" spans="1:153" s="13" customFormat="1" ht="15" customHeight="1">
      <c r="A41" s="13" t="s">
        <v>347</v>
      </c>
      <c r="B41" s="13" t="s">
        <v>48</v>
      </c>
      <c r="C41" s="13" t="s">
        <v>219</v>
      </c>
      <c r="D41" s="13" t="s">
        <v>348</v>
      </c>
      <c r="E41" s="13" t="s">
        <v>221</v>
      </c>
      <c r="G41" s="13" t="s">
        <v>231</v>
      </c>
      <c r="H41" s="13">
        <v>3</v>
      </c>
      <c r="J41" s="13" t="s">
        <v>349</v>
      </c>
      <c r="K41" s="13" t="s">
        <v>224</v>
      </c>
      <c r="L41" s="13">
        <v>1</v>
      </c>
      <c r="M41" s="13" t="s">
        <v>233</v>
      </c>
      <c r="N41" s="13" t="s">
        <v>350</v>
      </c>
      <c r="O41" s="13" t="s">
        <v>260</v>
      </c>
      <c r="P41" s="13" t="s">
        <v>53</v>
      </c>
      <c r="Q41" s="13" t="s">
        <v>228</v>
      </c>
      <c r="R41" s="193">
        <v>46023</v>
      </c>
      <c r="S41" s="193">
        <v>46387</v>
      </c>
      <c r="T41" s="193">
        <v>46023</v>
      </c>
      <c r="U41" s="193">
        <v>46387</v>
      </c>
      <c r="V41" s="193">
        <v>46023</v>
      </c>
      <c r="W41" s="193">
        <v>46387</v>
      </c>
      <c r="Y41" s="13" t="str">
        <f>CONCATENATE(Table410[[#This Row],[JG]],Table410[[#This Row],[Country]],Table410[[#This Row],[Resource Provider]])</f>
        <v>3United StatesShell Business</v>
      </c>
      <c r="Z41" s="13">
        <f>VLOOKUP(Table410[[#This Row],[RATE CONCAT]],Tables!I:N,5,0)</f>
        <v>1155</v>
      </c>
      <c r="AA41" s="52"/>
      <c r="AB41" s="130"/>
      <c r="AC41" s="130"/>
      <c r="AD41" s="130"/>
      <c r="AE41" s="130"/>
      <c r="AF41" s="130"/>
      <c r="AG41" s="130">
        <v>5</v>
      </c>
      <c r="AH41" s="130">
        <v>5</v>
      </c>
      <c r="AI41" s="130">
        <v>5</v>
      </c>
      <c r="AJ41" s="130"/>
      <c r="AK41" s="130"/>
      <c r="AL41" s="130"/>
      <c r="AM41" s="130"/>
      <c r="AN41" s="176">
        <f>IFERROR(AVERAGE(Table410[[#This Row],[Jan_2026_Days_Forecast]:[Dec_2026_Days_Forecast]]),0)/19</f>
        <v>0.26315789473684209</v>
      </c>
      <c r="AO41" s="176">
        <f>IFERROR(AVERAGE(Table410[[#This Row],[Jan_2026_Days_Actual]:[Dec_2026_Days_Actual]]),0)/19</f>
        <v>0.26315789473684209</v>
      </c>
      <c r="AP41" s="130"/>
      <c r="AQ41" s="130"/>
      <c r="AR41" s="130"/>
      <c r="AS41" s="130"/>
      <c r="AT41" s="130"/>
      <c r="AU41" s="130">
        <v>5</v>
      </c>
      <c r="AV41" s="130">
        <v>5</v>
      </c>
      <c r="AW41" s="130">
        <v>5</v>
      </c>
      <c r="AX41" s="130"/>
      <c r="AY41" s="130"/>
      <c r="AZ41" s="130"/>
      <c r="BA41" s="130"/>
      <c r="BB41" s="176">
        <f>IFERROR(AVERAGE(Table410[[#This Row],[Jan_2027_Days_Forecast]:[Dec_2027_Days_Forecast]]),0)</f>
        <v>0</v>
      </c>
      <c r="BC41" s="127"/>
      <c r="BD41" s="127"/>
      <c r="BE41" s="127"/>
      <c r="BF41" s="127"/>
      <c r="BG41" s="127"/>
      <c r="BH41" s="127"/>
      <c r="BI41" s="127"/>
      <c r="BJ41" s="127"/>
      <c r="BK41" s="127"/>
      <c r="BL41" s="127"/>
      <c r="BM41" s="127"/>
      <c r="BN41" s="127"/>
      <c r="BO41" s="176"/>
      <c r="BP41" s="176"/>
      <c r="BQ41" s="13">
        <f>IFERROR(Table410[[#This Row],[Jan_2026_Days_Forecast]]*Table410[[#This Row],[Cost Boolean]]*(VLOOKUP(Table410[[#This Row],[RATE CONCAT]],Tables!I:N,5,0)),0)</f>
        <v>0</v>
      </c>
      <c r="BR41" s="13">
        <f>IFERROR(Table410[[#This Row],[Jan_2026_Days_Actual]]*Table410[[#This Row],[Cost Boolean]]*(VLOOKUP(Table410[[#This Row],[RATE CONCAT]],Tables!I:N,5,0)),0)</f>
        <v>0</v>
      </c>
      <c r="BS41" s="13">
        <f>Table410[[#This Row],[Jan_2026_F]]-Table410[[#This Row],[Jan_2026_A]]</f>
        <v>0</v>
      </c>
      <c r="BU41" s="13">
        <f>IFERROR(Table410[[#This Row],[Feb_2026_Days_Forecast]]*Table410[[#This Row],[Cost Boolean]]*(VLOOKUP(Table410[[#This Row],[RATE CONCAT]],Tables!I:N,5,0)),0)</f>
        <v>0</v>
      </c>
      <c r="BV41" s="13">
        <f>IFERROR(Table410[[#This Row],[Feb_2026_Days_Actual]]*Table410[[#This Row],[Cost Boolean]]*(VLOOKUP(Table410[[#This Row],[RATE CONCAT]],Tables!I:N,5,0)),0)</f>
        <v>0</v>
      </c>
      <c r="BW41" s="13">
        <f>Table410[[#This Row],[Feb_2026_F]]-Table410[[#This Row],[Feb_2026_A]]</f>
        <v>0</v>
      </c>
      <c r="BY41" s="13">
        <f>IFERROR(Table410[[#This Row],[Mar_2026_Days_Forecast]]*Table410[[#This Row],[Cost Boolean]]*(VLOOKUP(Table410[[#This Row],[RATE CONCAT]],Tables!I:N,5,0)),0)</f>
        <v>0</v>
      </c>
      <c r="BZ41" s="13">
        <f>IFERROR(Table410[[#This Row],[Mar_2026_Days_Actual]]*Table410[[#This Row],[Cost Boolean]]*(VLOOKUP(Table410[[#This Row],[RATE CONCAT]],Tables!I:N,5,0)),0)</f>
        <v>0</v>
      </c>
      <c r="CA41" s="13">
        <f>Table410[[#This Row],[Mar_2026_F]]-Table410[[#This Row],[Mar_2026_A]]</f>
        <v>0</v>
      </c>
      <c r="CC41" s="13">
        <f>IFERROR(Table410[[#This Row],[Apr_2026_Days_Forecast]]*Table410[[#This Row],[Cost Boolean]]*(VLOOKUP(Table410[[#This Row],[RATE CONCAT]],Tables!I:N,5,0)),0)</f>
        <v>0</v>
      </c>
      <c r="CD41" s="13">
        <f>IFERROR(Table410[[#This Row],[Apr_2026_Days_Actual]]*Table410[[#This Row],[Cost Boolean]]*(VLOOKUP(Table410[[#This Row],[RATE CONCAT]],Tables!I:N,5,0)),0)</f>
        <v>0</v>
      </c>
      <c r="CE41" s="13">
        <f>Table410[[#This Row],[Apr_2026_F]]-Table410[[#This Row],[Apr_2026_A]]</f>
        <v>0</v>
      </c>
      <c r="CG41" s="13">
        <f>IFERROR(Table410[[#This Row],[May_2026_Days_Forecast]] *Table410[[#This Row],[Cost Boolean]]*(VLOOKUP(Table410[[#This Row],[RATE CONCAT]],Tables!I:N,5,0)),0)</f>
        <v>0</v>
      </c>
      <c r="CH41" s="13">
        <f>IFERROR(Table410[[#This Row],[May_2026_Days_Actual]]*Table410[[#This Row],[Cost Boolean]]*(VLOOKUP(Table410[[#This Row],[RATE CONCAT]],Tables!I:N,5,0)),0)</f>
        <v>0</v>
      </c>
      <c r="CI41" s="13">
        <f>Table410[[#This Row],[May_2026_F]]-Table410[[#This Row],[May_2026_A]]</f>
        <v>0</v>
      </c>
      <c r="CK41" s="13">
        <f>IFERROR(Table410[[#This Row],[Jun_2026_Days_Forecast]]*Table410[[#This Row],[Cost Boolean]]*(VLOOKUP(Table410[[#This Row],[RATE CONCAT]],Tables!I:N,5,0)),0)</f>
        <v>5775</v>
      </c>
      <c r="CL41" s="13">
        <f>IFERROR(Table410[[#This Row],[Jun_2026_Days_Actual]]*Table410[[#This Row],[Cost Boolean]]*(VLOOKUP(Table410[[#This Row],[RATE CONCAT]],Tables!I:N,5,0)),0)</f>
        <v>5775</v>
      </c>
      <c r="CM41" s="13">
        <f>Table410[[#This Row],[Jun_2026_F]]-Table410[[#This Row],[Jun_2026_A]]</f>
        <v>0</v>
      </c>
      <c r="CO41" s="13">
        <f>IFERROR(Table410[[#This Row],[Jul_2026_Days_Forecast]]*Table410[[#This Row],[Cost Boolean]]*(VLOOKUP(Table410[[#This Row],[RATE CONCAT]],Tables!I:N,5,0)),0)</f>
        <v>5775</v>
      </c>
      <c r="CP41" s="13">
        <f>IFERROR(Table410[[#This Row],[Jul_2026_Days_Actual]]*Table410[[#This Row],[Cost Boolean]]*(VLOOKUP(Table410[[#This Row],[RATE CONCAT]],Tables!I:N,5,0)),0)</f>
        <v>5775</v>
      </c>
      <c r="CQ41" s="13">
        <f>Table410[[#This Row],[Jul_2026_F]]-Table410[[#This Row],[Jul_2026_A]]</f>
        <v>0</v>
      </c>
      <c r="CS41" s="13">
        <f>IFERROR(Table410[[#This Row],[Aug_2026_Days_Forecast]]*Table410[[#This Row],[Cost Boolean]]*(VLOOKUP(Table410[[#This Row],[RATE CONCAT]],Tables!I:N,5,0)),0)</f>
        <v>5775</v>
      </c>
      <c r="CT41" s="13">
        <f>IFERROR(Table410[[#This Row],[Aug_2026_Days_Actual]]*Table410[[#This Row],[Cost Boolean]]*(VLOOKUP(Table410[[#This Row],[RATE CONCAT]],Tables!I:N,5,0)),0)</f>
        <v>5775</v>
      </c>
      <c r="CU41" s="13">
        <f>Table410[[#This Row],[Aug_2026_F]]-Table410[[#This Row],[Aug_2026_A]]</f>
        <v>0</v>
      </c>
      <c r="CW41" s="13">
        <f>IFERROR(Table410[[#This Row],[Sep_2026_Days_Forecast]]*Table410[[#This Row],[Cost Boolean]]*(VLOOKUP(Table410[[#This Row],[RATE CONCAT]],Tables!I:N,5,0)),0)</f>
        <v>0</v>
      </c>
      <c r="CX41" s="13">
        <f>IFERROR(Table410[[#This Row],[Sep_2026_Days_Actual]]*Table410[[#This Row],[Cost Boolean]]*(VLOOKUP(Table410[[#This Row],[RATE CONCAT]],Tables!I:N,5,0)),0)</f>
        <v>0</v>
      </c>
      <c r="CY41" s="13">
        <f>Table410[[#This Row],[Sep_2026_F]]-Table410[[#This Row],[Sep_2026_A]]</f>
        <v>0</v>
      </c>
      <c r="DA41" s="13">
        <f>IFERROR(Table410[[#This Row],[Oct_2026_Days_Forecast]]*Table410[[#This Row],[Cost Boolean]]*(VLOOKUP(Table410[[#This Row],[RATE CONCAT]],Tables!I:N,5,0)),0)</f>
        <v>0</v>
      </c>
      <c r="DB41" s="13">
        <f>IFERROR(Table410[[#This Row],[Oct_2026_Days_Actual]]*Table410[[#This Row],[Cost Boolean]]*(VLOOKUP(Table410[[#This Row],[RATE CONCAT]],Tables!I:N,5,0)),0)</f>
        <v>0</v>
      </c>
      <c r="DC41" s="13">
        <f>Table410[[#This Row],[Oct_2026_F]]-Table410[[#This Row],[Oct_2026_A]]</f>
        <v>0</v>
      </c>
      <c r="DE41" s="13">
        <f>IFERROR(Table410[[#This Row],[Nov_2026_Days_Forecast]]*Table410[[#This Row],[Cost Boolean]]*(VLOOKUP(Table410[[#This Row],[RATE CONCAT]],Tables!I:N,5,0)),0)</f>
        <v>0</v>
      </c>
      <c r="DF41" s="13">
        <f>IFERROR(Table410[[#This Row],[Nov_2026_Days_Actual]]*Table410[[#This Row],[Cost Boolean]]*(VLOOKUP(Table410[[#This Row],[RATE CONCAT]],Tables!I:N,5,0)),0)</f>
        <v>0</v>
      </c>
      <c r="DG41" s="13">
        <f>Table410[[#This Row],[Nov_2026_F]]-Table410[[#This Row],[Nov_2026_A]]</f>
        <v>0</v>
      </c>
      <c r="DI41" s="13">
        <f>IFERROR(Table410[[#This Row],[Dec_2026_Days_Forecast]]*Table410[[#This Row],[Cost Boolean]]*(VLOOKUP(Table410[[#This Row],[RATE CONCAT]],Tables!I:N,5,0)),0)</f>
        <v>0</v>
      </c>
      <c r="DJ41" s="13">
        <f>IFERROR(Table410[[#This Row],[Dec_2026_Days_Actual]]*Table410[[#This Row],[Cost Boolean]]*(VLOOKUP(Table410[[#This Row],[RATE CONCAT]],Tables!I:N,5,0)),0)</f>
        <v>0</v>
      </c>
      <c r="DK41" s="13">
        <f>Table410[[#This Row],[Dec_2026_F]]-Table410[[#This Row],[Dec_2026_A]]</f>
        <v>0</v>
      </c>
      <c r="DN41" s="13">
        <f>IFERROR(Table410[[#This Row],[Jan_2027_Days_Forecast]]*Table410[[#This Row],[Cost Boolean]]*(VLOOKUP(Table410[[#This Row],[RATE CONCAT]],Tables!I:N,6,0)),0)</f>
        <v>0</v>
      </c>
      <c r="DP41" s="13">
        <f>Table410[[#This Row],[Jan_2027_F]]-Table410[[#This Row],[Jan_2027_A]]</f>
        <v>0</v>
      </c>
      <c r="DQ41" s="13">
        <f>IFERROR(Table410[[#This Row],[Feb_2027_Days_Forecast]]*Table410[[#This Row],[Cost Boolean]]*(VLOOKUP(Table410[[#This Row],[RATE CONCAT]],Tables!I:N,6,0)),0)</f>
        <v>0</v>
      </c>
      <c r="DS41" s="13">
        <f>Table410[[#This Row],[Feb_2027_F]]-Table410[[#This Row],[Feb_2027_A]]</f>
        <v>0</v>
      </c>
      <c r="DT41" s="13">
        <f>IFERROR(Table410[[#This Row],[Mar_2027_Days_Forecast]]*Table410[[#This Row],[Cost Boolean]]*(VLOOKUP(Table410[[#This Row],[RATE CONCAT]],Tables!I:N,6,0)),0)</f>
        <v>0</v>
      </c>
      <c r="DV41" s="13">
        <f>Table410[[#This Row],[Mar_2027_F]]-Table410[[#This Row],[Mar_2027_A]]</f>
        <v>0</v>
      </c>
      <c r="DW41" s="13">
        <f>IFERROR(Table410[[#This Row],[Apr_2027_Days_Forecast]]*Table410[[#This Row],[Cost Boolean]]*(VLOOKUP(Table410[[#This Row],[RATE CONCAT]],Tables!I:N,6,0)),0)</f>
        <v>0</v>
      </c>
      <c r="DY41" s="13">
        <f>Table410[[#This Row],[Apr_2027_F]]-Table410[[#This Row],[Apr_2027_A]]</f>
        <v>0</v>
      </c>
      <c r="DZ41" s="13">
        <f>IFERROR(Table410[[#This Row],[May_2027_Days_Forecast]]*Table410[[#This Row],[Cost Boolean]]*(VLOOKUP(Table410[[#This Row],[RATE CONCAT]],Tables!I:N,6,0)),0)</f>
        <v>0</v>
      </c>
      <c r="EB41" s="13">
        <f>Table410[[#This Row],[May_2027_F]]-Table410[[#This Row],[May_2027_A]]</f>
        <v>0</v>
      </c>
      <c r="EC41" s="13">
        <f>IFERROR(Table410[[#This Row],[Jun_2027_Days_Forecast]]*Table410[[#This Row],[Cost Boolean]]*(VLOOKUP(Table410[[#This Row],[RATE CONCAT]],Tables!I:N,6,0)),0)</f>
        <v>0</v>
      </c>
      <c r="EE41" s="13">
        <f>Table410[[#This Row],[Jun_2027_F]]-Table410[[#This Row],[Jun_2027_A]]</f>
        <v>0</v>
      </c>
      <c r="EF41" s="13">
        <f>IFERROR(Table410[[#This Row],[Jul_2027_Days_Forecast]]*Table410[[#This Row],[Cost Boolean]]*(VLOOKUP(Table410[[#This Row],[RATE CONCAT]],Tables!I:N,6,0)),0)</f>
        <v>0</v>
      </c>
      <c r="EH41" s="13">
        <f>Table410[[#This Row],[Jul_2027_F]]-Table410[[#This Row],[Jul_2027_A]]</f>
        <v>0</v>
      </c>
      <c r="EI41" s="13">
        <f>IFERROR(Table410[[#This Row],[Aug_2027_Days_Forecast]]*Table410[[#This Row],[Cost Boolean]]*(VLOOKUP(Table410[[#This Row],[RATE CONCAT]],Tables!I:N,6,0)),0)</f>
        <v>0</v>
      </c>
      <c r="EK41" s="13">
        <f>Table410[[#This Row],[Aug_2027_F]]-Table410[[#This Row],[Aug_2027_A]]</f>
        <v>0</v>
      </c>
      <c r="EL41" s="13">
        <f>IFERROR(Table410[[#This Row],[Sep_2027_Days_Forecast]]*Table410[[#This Row],[Cost Boolean]]*(VLOOKUP(Table410[[#This Row],[RATE CONCAT]],Tables!I:N,6,0)),0)</f>
        <v>0</v>
      </c>
      <c r="EN41" s="13">
        <f>Table410[[#This Row],[Sep_2027_F]]-Table410[[#This Row],[Sep_2027_A]]</f>
        <v>0</v>
      </c>
      <c r="EO41" s="13">
        <f>IFERROR(Table410[[#This Row],[Oct_2027_Days_Forecast]]*Table410[[#This Row],[Cost Boolean]]*(VLOOKUP(Table410[[#This Row],[RATE CONCAT]],Tables!I:N,6,0)),0)</f>
        <v>0</v>
      </c>
      <c r="EQ41" s="13">
        <f>Table410[[#This Row],[Oct_2027_F]]-Table410[[#This Row],[Oct_2027_A]]</f>
        <v>0</v>
      </c>
      <c r="ER41" s="13">
        <f>IFERROR(Table410[[#This Row],[Nov_2027_Days_Forecast]]*Table410[[#This Row],[Cost Boolean]]*(VLOOKUP(Table410[[#This Row],[RATE CONCAT]],Tables!I:N,6,0)),0)</f>
        <v>0</v>
      </c>
      <c r="ET41" s="13">
        <f>Table410[[#This Row],[Nov_2027_F]]-Table410[[#This Row],[Nov_2027_A]]</f>
        <v>0</v>
      </c>
      <c r="EU41" s="13">
        <f>IFERROR(Table410[[#This Row],[Dec_2027_Days_Forecast]]*Table410[[#This Row],[Cost Boolean]]*(VLOOKUP(Table410[[#This Row],[RATE CONCAT]],Tables!I:N,6,0)),0)</f>
        <v>0</v>
      </c>
      <c r="EW41" s="13">
        <f>Table410[[#This Row],[Dec_2027_F]]-Table410[[#This Row],[Dec_2027_A]]</f>
        <v>0</v>
      </c>
    </row>
    <row r="42" spans="1:153" s="13" customFormat="1" ht="15" customHeight="1">
      <c r="A42" s="13" t="s">
        <v>351</v>
      </c>
      <c r="B42" s="13" t="s">
        <v>48</v>
      </c>
      <c r="C42" s="13" t="s">
        <v>219</v>
      </c>
      <c r="D42" s="13" t="s">
        <v>352</v>
      </c>
      <c r="E42" s="13" t="s">
        <v>221</v>
      </c>
      <c r="G42" s="13" t="s">
        <v>267</v>
      </c>
      <c r="H42" s="13">
        <v>4</v>
      </c>
      <c r="J42" s="13" t="s">
        <v>268</v>
      </c>
      <c r="K42" s="13" t="s">
        <v>224</v>
      </c>
      <c r="L42" s="13">
        <v>1</v>
      </c>
      <c r="M42" s="13" t="s">
        <v>269</v>
      </c>
      <c r="N42" s="13" t="s">
        <v>259</v>
      </c>
      <c r="O42" s="13" t="s">
        <v>227</v>
      </c>
      <c r="P42" s="13" t="s">
        <v>53</v>
      </c>
      <c r="Q42" s="13" t="s">
        <v>228</v>
      </c>
      <c r="R42" s="193">
        <v>46023</v>
      </c>
      <c r="S42" s="193">
        <v>46387</v>
      </c>
      <c r="T42" s="193">
        <v>46023</v>
      </c>
      <c r="U42" s="193">
        <v>46387</v>
      </c>
      <c r="V42" s="193">
        <v>46023</v>
      </c>
      <c r="W42" s="193">
        <v>46387</v>
      </c>
      <c r="Y42" s="13" t="str">
        <f>CONCATENATE(Table410[[#This Row],[JG]],Table410[[#This Row],[Country]],Table410[[#This Row],[Resource Provider]])</f>
        <v>4IndiaShell Business</v>
      </c>
      <c r="Z42" s="13">
        <f>VLOOKUP(Table410[[#This Row],[RATE CONCAT]],Tables!I:N,5,0)</f>
        <v>440</v>
      </c>
      <c r="AA42" s="52"/>
      <c r="AB42" s="130"/>
      <c r="AC42" s="130">
        <v>5</v>
      </c>
      <c r="AD42" s="130">
        <v>5</v>
      </c>
      <c r="AE42" s="130">
        <v>5</v>
      </c>
      <c r="AF42" s="130">
        <v>5</v>
      </c>
      <c r="AG42" s="130">
        <v>4</v>
      </c>
      <c r="AH42" s="130">
        <v>5</v>
      </c>
      <c r="AI42" s="130">
        <v>5</v>
      </c>
      <c r="AJ42" s="130">
        <v>5</v>
      </c>
      <c r="AK42" s="130">
        <v>5</v>
      </c>
      <c r="AL42" s="130"/>
      <c r="AM42" s="130"/>
      <c r="AN42" s="176">
        <f>IFERROR(AVERAGE(Table410[[#This Row],[Jan_2026_Days_Forecast]:[Dec_2026_Days_Forecast]]),0)/19</f>
        <v>0.25730994152046788</v>
      </c>
      <c r="AO42" s="176">
        <f>IFERROR(AVERAGE(Table410[[#This Row],[Jan_2026_Days_Actual]:[Dec_2026_Days_Actual]]),0)/19</f>
        <v>0.25730994152046788</v>
      </c>
      <c r="AP42" s="130"/>
      <c r="AQ42" s="130">
        <v>5</v>
      </c>
      <c r="AR42" s="130">
        <v>5</v>
      </c>
      <c r="AS42" s="130">
        <v>5</v>
      </c>
      <c r="AT42" s="130">
        <v>5</v>
      </c>
      <c r="AU42" s="130">
        <v>4</v>
      </c>
      <c r="AV42" s="130">
        <v>5</v>
      </c>
      <c r="AW42" s="130">
        <v>5</v>
      </c>
      <c r="AX42" s="130">
        <v>5</v>
      </c>
      <c r="AY42" s="130">
        <v>5</v>
      </c>
      <c r="AZ42" s="130"/>
      <c r="BA42" s="130"/>
      <c r="BB42" s="176">
        <f>IFERROR(AVERAGE(Table410[[#This Row],[Jan_2027_Days_Forecast]:[Dec_2027_Days_Forecast]]),0)</f>
        <v>0</v>
      </c>
      <c r="BC42" s="127"/>
      <c r="BD42" s="127"/>
      <c r="BE42" s="127"/>
      <c r="BF42" s="127"/>
      <c r="BG42" s="127"/>
      <c r="BH42" s="127"/>
      <c r="BI42" s="127"/>
      <c r="BJ42" s="127"/>
      <c r="BK42" s="127"/>
      <c r="BL42" s="127"/>
      <c r="BM42" s="127"/>
      <c r="BN42" s="127"/>
      <c r="BO42" s="176"/>
      <c r="BP42" s="176"/>
      <c r="BQ42" s="13">
        <f>IFERROR(Table410[[#This Row],[Jan_2026_Days_Forecast]]*Table410[[#This Row],[Cost Boolean]]*(VLOOKUP(Table410[[#This Row],[RATE CONCAT]],Tables!I:N,5,0)),0)</f>
        <v>0</v>
      </c>
      <c r="BR42" s="13">
        <f>IFERROR(Table410[[#This Row],[Jan_2026_Days_Actual]]*Table410[[#This Row],[Cost Boolean]]*(VLOOKUP(Table410[[#This Row],[RATE CONCAT]],Tables!I:N,5,0)),0)</f>
        <v>0</v>
      </c>
      <c r="BS42" s="13">
        <f>Table410[[#This Row],[Jan_2026_F]]-Table410[[#This Row],[Jan_2026_A]]</f>
        <v>0</v>
      </c>
      <c r="BU42" s="13">
        <f>IFERROR(Table410[[#This Row],[Feb_2026_Days_Forecast]]*Table410[[#This Row],[Cost Boolean]]*(VLOOKUP(Table410[[#This Row],[RATE CONCAT]],Tables!I:N,5,0)),0)</f>
        <v>2200</v>
      </c>
      <c r="BV42" s="13">
        <f>IFERROR(Table410[[#This Row],[Feb_2026_Days_Actual]]*Table410[[#This Row],[Cost Boolean]]*(VLOOKUP(Table410[[#This Row],[RATE CONCAT]],Tables!I:N,5,0)),0)</f>
        <v>2200</v>
      </c>
      <c r="BW42" s="13">
        <f>Table410[[#This Row],[Feb_2026_F]]-Table410[[#This Row],[Feb_2026_A]]</f>
        <v>0</v>
      </c>
      <c r="BY42" s="13">
        <f>IFERROR(Table410[[#This Row],[Mar_2026_Days_Forecast]]*Table410[[#This Row],[Cost Boolean]]*(VLOOKUP(Table410[[#This Row],[RATE CONCAT]],Tables!I:N,5,0)),0)</f>
        <v>2200</v>
      </c>
      <c r="BZ42" s="13">
        <f>IFERROR(Table410[[#This Row],[Mar_2026_Days_Actual]]*Table410[[#This Row],[Cost Boolean]]*(VLOOKUP(Table410[[#This Row],[RATE CONCAT]],Tables!I:N,5,0)),0)</f>
        <v>2200</v>
      </c>
      <c r="CA42" s="13">
        <f>Table410[[#This Row],[Mar_2026_F]]-Table410[[#This Row],[Mar_2026_A]]</f>
        <v>0</v>
      </c>
      <c r="CC42" s="13">
        <f>IFERROR(Table410[[#This Row],[Apr_2026_Days_Forecast]]*Table410[[#This Row],[Cost Boolean]]*(VLOOKUP(Table410[[#This Row],[RATE CONCAT]],Tables!I:N,5,0)),0)</f>
        <v>2200</v>
      </c>
      <c r="CD42" s="13">
        <f>IFERROR(Table410[[#This Row],[Apr_2026_Days_Actual]]*Table410[[#This Row],[Cost Boolean]]*(VLOOKUP(Table410[[#This Row],[RATE CONCAT]],Tables!I:N,5,0)),0)</f>
        <v>2200</v>
      </c>
      <c r="CE42" s="13">
        <f>Table410[[#This Row],[Apr_2026_F]]-Table410[[#This Row],[Apr_2026_A]]</f>
        <v>0</v>
      </c>
      <c r="CG42" s="13">
        <f>IFERROR(Table410[[#This Row],[May_2026_Days_Forecast]] *Table410[[#This Row],[Cost Boolean]]*(VLOOKUP(Table410[[#This Row],[RATE CONCAT]],Tables!I:N,5,0)),0)</f>
        <v>2200</v>
      </c>
      <c r="CH42" s="13">
        <f>IFERROR(Table410[[#This Row],[May_2026_Days_Actual]]*Table410[[#This Row],[Cost Boolean]]*(VLOOKUP(Table410[[#This Row],[RATE CONCAT]],Tables!I:N,5,0)),0)</f>
        <v>2200</v>
      </c>
      <c r="CI42" s="13">
        <f>Table410[[#This Row],[May_2026_F]]-Table410[[#This Row],[May_2026_A]]</f>
        <v>0</v>
      </c>
      <c r="CK42" s="13">
        <f>IFERROR(Table410[[#This Row],[Jun_2026_Days_Forecast]]*Table410[[#This Row],[Cost Boolean]]*(VLOOKUP(Table410[[#This Row],[RATE CONCAT]],Tables!I:N,5,0)),0)</f>
        <v>1760</v>
      </c>
      <c r="CL42" s="13">
        <f>IFERROR(Table410[[#This Row],[Jun_2026_Days_Actual]]*Table410[[#This Row],[Cost Boolean]]*(VLOOKUP(Table410[[#This Row],[RATE CONCAT]],Tables!I:N,5,0)),0)</f>
        <v>1760</v>
      </c>
      <c r="CM42" s="13">
        <f>Table410[[#This Row],[Jun_2026_F]]-Table410[[#This Row],[Jun_2026_A]]</f>
        <v>0</v>
      </c>
      <c r="CO42" s="13">
        <f>IFERROR(Table410[[#This Row],[Jul_2026_Days_Forecast]]*Table410[[#This Row],[Cost Boolean]]*(VLOOKUP(Table410[[#This Row],[RATE CONCAT]],Tables!I:N,5,0)),0)</f>
        <v>2200</v>
      </c>
      <c r="CP42" s="13">
        <f>IFERROR(Table410[[#This Row],[Jul_2026_Days_Actual]]*Table410[[#This Row],[Cost Boolean]]*(VLOOKUP(Table410[[#This Row],[RATE CONCAT]],Tables!I:N,5,0)),0)</f>
        <v>2200</v>
      </c>
      <c r="CQ42" s="13">
        <f>Table410[[#This Row],[Jul_2026_F]]-Table410[[#This Row],[Jul_2026_A]]</f>
        <v>0</v>
      </c>
      <c r="CS42" s="13">
        <f>IFERROR(Table410[[#This Row],[Aug_2026_Days_Forecast]]*Table410[[#This Row],[Cost Boolean]]*(VLOOKUP(Table410[[#This Row],[RATE CONCAT]],Tables!I:N,5,0)),0)</f>
        <v>2200</v>
      </c>
      <c r="CT42" s="13">
        <f>IFERROR(Table410[[#This Row],[Aug_2026_Days_Actual]]*Table410[[#This Row],[Cost Boolean]]*(VLOOKUP(Table410[[#This Row],[RATE CONCAT]],Tables!I:N,5,0)),0)</f>
        <v>2200</v>
      </c>
      <c r="CU42" s="13">
        <f>Table410[[#This Row],[Aug_2026_F]]-Table410[[#This Row],[Aug_2026_A]]</f>
        <v>0</v>
      </c>
      <c r="CW42" s="13">
        <f>IFERROR(Table410[[#This Row],[Sep_2026_Days_Forecast]]*Table410[[#This Row],[Cost Boolean]]*(VLOOKUP(Table410[[#This Row],[RATE CONCAT]],Tables!I:N,5,0)),0)</f>
        <v>2200</v>
      </c>
      <c r="CX42" s="13">
        <f>IFERROR(Table410[[#This Row],[Sep_2026_Days_Actual]]*Table410[[#This Row],[Cost Boolean]]*(VLOOKUP(Table410[[#This Row],[RATE CONCAT]],Tables!I:N,5,0)),0)</f>
        <v>2200</v>
      </c>
      <c r="CY42" s="13">
        <f>Table410[[#This Row],[Sep_2026_F]]-Table410[[#This Row],[Sep_2026_A]]</f>
        <v>0</v>
      </c>
      <c r="DA42" s="13">
        <f>IFERROR(Table410[[#This Row],[Oct_2026_Days_Forecast]]*Table410[[#This Row],[Cost Boolean]]*(VLOOKUP(Table410[[#This Row],[RATE CONCAT]],Tables!I:N,5,0)),0)</f>
        <v>2200</v>
      </c>
      <c r="DB42" s="13">
        <f>IFERROR(Table410[[#This Row],[Oct_2026_Days_Actual]]*Table410[[#This Row],[Cost Boolean]]*(VLOOKUP(Table410[[#This Row],[RATE CONCAT]],Tables!I:N,5,0)),0)</f>
        <v>2200</v>
      </c>
      <c r="DC42" s="13">
        <f>Table410[[#This Row],[Oct_2026_F]]-Table410[[#This Row],[Oct_2026_A]]</f>
        <v>0</v>
      </c>
      <c r="DE42" s="13">
        <f>IFERROR(Table410[[#This Row],[Nov_2026_Days_Forecast]]*Table410[[#This Row],[Cost Boolean]]*(VLOOKUP(Table410[[#This Row],[RATE CONCAT]],Tables!I:N,5,0)),0)</f>
        <v>0</v>
      </c>
      <c r="DF42" s="13">
        <f>IFERROR(Table410[[#This Row],[Nov_2026_Days_Actual]]*Table410[[#This Row],[Cost Boolean]]*(VLOOKUP(Table410[[#This Row],[RATE CONCAT]],Tables!I:N,5,0)),0)</f>
        <v>0</v>
      </c>
      <c r="DG42" s="13">
        <f>Table410[[#This Row],[Nov_2026_F]]-Table410[[#This Row],[Nov_2026_A]]</f>
        <v>0</v>
      </c>
      <c r="DI42" s="13">
        <f>IFERROR(Table410[[#This Row],[Dec_2026_Days_Forecast]]*Table410[[#This Row],[Cost Boolean]]*(VLOOKUP(Table410[[#This Row],[RATE CONCAT]],Tables!I:N,5,0)),0)</f>
        <v>0</v>
      </c>
      <c r="DJ42" s="13">
        <f>IFERROR(Table410[[#This Row],[Dec_2026_Days_Actual]]*Table410[[#This Row],[Cost Boolean]]*(VLOOKUP(Table410[[#This Row],[RATE CONCAT]],Tables!I:N,5,0)),0)</f>
        <v>0</v>
      </c>
      <c r="DK42" s="13">
        <f>Table410[[#This Row],[Dec_2026_F]]-Table410[[#This Row],[Dec_2026_A]]</f>
        <v>0</v>
      </c>
      <c r="DN42" s="13">
        <f>IFERROR(Table410[[#This Row],[Jan_2027_Days_Forecast]]*Table410[[#This Row],[Cost Boolean]]*(VLOOKUP(Table410[[#This Row],[RATE CONCAT]],Tables!I:N,6,0)),0)</f>
        <v>0</v>
      </c>
      <c r="DP42" s="13">
        <f>Table410[[#This Row],[Jan_2027_F]]-Table410[[#This Row],[Jan_2027_A]]</f>
        <v>0</v>
      </c>
      <c r="DQ42" s="13">
        <f>IFERROR(Table410[[#This Row],[Feb_2027_Days_Forecast]]*Table410[[#This Row],[Cost Boolean]]*(VLOOKUP(Table410[[#This Row],[RATE CONCAT]],Tables!I:N,6,0)),0)</f>
        <v>0</v>
      </c>
      <c r="DS42" s="13">
        <f>Table410[[#This Row],[Feb_2027_F]]-Table410[[#This Row],[Feb_2027_A]]</f>
        <v>0</v>
      </c>
      <c r="DT42" s="13">
        <f>IFERROR(Table410[[#This Row],[Mar_2027_Days_Forecast]]*Table410[[#This Row],[Cost Boolean]]*(VLOOKUP(Table410[[#This Row],[RATE CONCAT]],Tables!I:N,6,0)),0)</f>
        <v>0</v>
      </c>
      <c r="DV42" s="13">
        <f>Table410[[#This Row],[Mar_2027_F]]-Table410[[#This Row],[Mar_2027_A]]</f>
        <v>0</v>
      </c>
      <c r="DW42" s="13">
        <f>IFERROR(Table410[[#This Row],[Apr_2027_Days_Forecast]]*Table410[[#This Row],[Cost Boolean]]*(VLOOKUP(Table410[[#This Row],[RATE CONCAT]],Tables!I:N,6,0)),0)</f>
        <v>0</v>
      </c>
      <c r="DY42" s="13">
        <f>Table410[[#This Row],[Apr_2027_F]]-Table410[[#This Row],[Apr_2027_A]]</f>
        <v>0</v>
      </c>
      <c r="DZ42" s="13">
        <f>IFERROR(Table410[[#This Row],[May_2027_Days_Forecast]]*Table410[[#This Row],[Cost Boolean]]*(VLOOKUP(Table410[[#This Row],[RATE CONCAT]],Tables!I:N,6,0)),0)</f>
        <v>0</v>
      </c>
      <c r="EB42" s="13">
        <f>Table410[[#This Row],[May_2027_F]]-Table410[[#This Row],[May_2027_A]]</f>
        <v>0</v>
      </c>
      <c r="EC42" s="13">
        <f>IFERROR(Table410[[#This Row],[Jun_2027_Days_Forecast]]*Table410[[#This Row],[Cost Boolean]]*(VLOOKUP(Table410[[#This Row],[RATE CONCAT]],Tables!I:N,6,0)),0)</f>
        <v>0</v>
      </c>
      <c r="EE42" s="13">
        <f>Table410[[#This Row],[Jun_2027_F]]-Table410[[#This Row],[Jun_2027_A]]</f>
        <v>0</v>
      </c>
      <c r="EF42" s="13">
        <f>IFERROR(Table410[[#This Row],[Jul_2027_Days_Forecast]]*Table410[[#This Row],[Cost Boolean]]*(VLOOKUP(Table410[[#This Row],[RATE CONCAT]],Tables!I:N,6,0)),0)</f>
        <v>0</v>
      </c>
      <c r="EH42" s="13">
        <f>Table410[[#This Row],[Jul_2027_F]]-Table410[[#This Row],[Jul_2027_A]]</f>
        <v>0</v>
      </c>
      <c r="EI42" s="13">
        <f>IFERROR(Table410[[#This Row],[Aug_2027_Days_Forecast]]*Table410[[#This Row],[Cost Boolean]]*(VLOOKUP(Table410[[#This Row],[RATE CONCAT]],Tables!I:N,6,0)),0)</f>
        <v>0</v>
      </c>
      <c r="EK42" s="13">
        <f>Table410[[#This Row],[Aug_2027_F]]-Table410[[#This Row],[Aug_2027_A]]</f>
        <v>0</v>
      </c>
      <c r="EL42" s="13">
        <f>IFERROR(Table410[[#This Row],[Sep_2027_Days_Forecast]]*Table410[[#This Row],[Cost Boolean]]*(VLOOKUP(Table410[[#This Row],[RATE CONCAT]],Tables!I:N,6,0)),0)</f>
        <v>0</v>
      </c>
      <c r="EN42" s="13">
        <f>Table410[[#This Row],[Sep_2027_F]]-Table410[[#This Row],[Sep_2027_A]]</f>
        <v>0</v>
      </c>
      <c r="EO42" s="13">
        <f>IFERROR(Table410[[#This Row],[Oct_2027_Days_Forecast]]*Table410[[#This Row],[Cost Boolean]]*(VLOOKUP(Table410[[#This Row],[RATE CONCAT]],Tables!I:N,6,0)),0)</f>
        <v>0</v>
      </c>
      <c r="EQ42" s="13">
        <f>Table410[[#This Row],[Oct_2027_F]]-Table410[[#This Row],[Oct_2027_A]]</f>
        <v>0</v>
      </c>
      <c r="ER42" s="13">
        <f>IFERROR(Table410[[#This Row],[Nov_2027_Days_Forecast]]*Table410[[#This Row],[Cost Boolean]]*(VLOOKUP(Table410[[#This Row],[RATE CONCAT]],Tables!I:N,6,0)),0)</f>
        <v>0</v>
      </c>
      <c r="ET42" s="13">
        <f>Table410[[#This Row],[Nov_2027_F]]-Table410[[#This Row],[Nov_2027_A]]</f>
        <v>0</v>
      </c>
      <c r="EU42" s="13">
        <f>IFERROR(Table410[[#This Row],[Dec_2027_Days_Forecast]]*Table410[[#This Row],[Cost Boolean]]*(VLOOKUP(Table410[[#This Row],[RATE CONCAT]],Tables!I:N,6,0)),0)</f>
        <v>0</v>
      </c>
      <c r="EW42" s="13">
        <f>Table410[[#This Row],[Dec_2027_F]]-Table410[[#This Row],[Dec_2027_A]]</f>
        <v>0</v>
      </c>
    </row>
    <row r="43" spans="1:153" s="13" customFormat="1" ht="15" customHeight="1">
      <c r="A43" s="13" t="s">
        <v>353</v>
      </c>
      <c r="B43" s="13" t="s">
        <v>48</v>
      </c>
      <c r="C43" s="13" t="s">
        <v>219</v>
      </c>
      <c r="D43" s="13" t="s">
        <v>354</v>
      </c>
      <c r="E43" s="13" t="s">
        <v>221</v>
      </c>
      <c r="G43" s="13" t="s">
        <v>231</v>
      </c>
      <c r="H43" s="13">
        <v>3</v>
      </c>
      <c r="J43" s="13" t="s">
        <v>355</v>
      </c>
      <c r="K43" s="13" t="s">
        <v>224</v>
      </c>
      <c r="L43" s="13">
        <v>1</v>
      </c>
      <c r="M43" s="13" t="s">
        <v>233</v>
      </c>
      <c r="N43" s="13" t="s">
        <v>356</v>
      </c>
      <c r="O43" s="13" t="s">
        <v>227</v>
      </c>
      <c r="P43" s="13" t="s">
        <v>53</v>
      </c>
      <c r="Q43" s="13" t="s">
        <v>228</v>
      </c>
      <c r="R43" s="193">
        <v>46023</v>
      </c>
      <c r="S43" s="193">
        <v>46387</v>
      </c>
      <c r="T43" s="193">
        <v>46023</v>
      </c>
      <c r="U43" s="193">
        <v>46387</v>
      </c>
      <c r="V43" s="193">
        <v>46023</v>
      </c>
      <c r="W43" s="193">
        <v>46387</v>
      </c>
      <c r="Y43" s="13" t="str">
        <f>CONCATENATE(Table410[[#This Row],[JG]],Table410[[#This Row],[Country]],Table410[[#This Row],[Resource Provider]])</f>
        <v>3United StatesShell Business</v>
      </c>
      <c r="Z43" s="13">
        <f>VLOOKUP(Table410[[#This Row],[RATE CONCAT]],Tables!I:N,5,0)</f>
        <v>1155</v>
      </c>
      <c r="AA43" s="52"/>
      <c r="AB43" s="130"/>
      <c r="AC43" s="130">
        <v>10</v>
      </c>
      <c r="AD43" s="130">
        <v>10</v>
      </c>
      <c r="AE43" s="130">
        <v>10</v>
      </c>
      <c r="AF43" s="130">
        <v>9</v>
      </c>
      <c r="AG43" s="130">
        <v>9</v>
      </c>
      <c r="AH43" s="130">
        <v>9</v>
      </c>
      <c r="AI43" s="130">
        <v>10</v>
      </c>
      <c r="AJ43" s="130">
        <v>10</v>
      </c>
      <c r="AK43" s="130">
        <v>10</v>
      </c>
      <c r="AL43" s="130"/>
      <c r="AM43" s="130"/>
      <c r="AN43" s="176">
        <f>IFERROR(AVERAGE(Table410[[#This Row],[Jan_2026_Days_Forecast]:[Dec_2026_Days_Forecast]]),0)/19</f>
        <v>0.50877192982456132</v>
      </c>
      <c r="AO43" s="176">
        <f>IFERROR(AVERAGE(Table410[[#This Row],[Jan_2026_Days_Actual]:[Dec_2026_Days_Actual]]),0)/19</f>
        <v>0.50877192982456132</v>
      </c>
      <c r="AP43" s="130"/>
      <c r="AQ43" s="130">
        <v>10</v>
      </c>
      <c r="AR43" s="130">
        <v>10</v>
      </c>
      <c r="AS43" s="130">
        <v>10</v>
      </c>
      <c r="AT43" s="130">
        <v>9</v>
      </c>
      <c r="AU43" s="130">
        <v>9</v>
      </c>
      <c r="AV43" s="130">
        <v>9</v>
      </c>
      <c r="AW43" s="130">
        <v>10</v>
      </c>
      <c r="AX43" s="130">
        <v>10</v>
      </c>
      <c r="AY43" s="130">
        <v>10</v>
      </c>
      <c r="AZ43" s="130"/>
      <c r="BA43" s="130"/>
      <c r="BB43" s="176">
        <f>IFERROR(AVERAGE(Table410[[#This Row],[Jan_2027_Days_Forecast]:[Dec_2027_Days_Forecast]]),0)</f>
        <v>0</v>
      </c>
      <c r="BC43" s="127"/>
      <c r="BD43" s="127"/>
      <c r="BE43" s="127"/>
      <c r="BF43" s="127"/>
      <c r="BG43" s="127"/>
      <c r="BH43" s="127"/>
      <c r="BI43" s="127"/>
      <c r="BJ43" s="127"/>
      <c r="BK43" s="127"/>
      <c r="BL43" s="127"/>
      <c r="BM43" s="127"/>
      <c r="BN43" s="127"/>
      <c r="BO43" s="176"/>
      <c r="BP43" s="176"/>
      <c r="BQ43" s="13">
        <f>IFERROR(Table410[[#This Row],[Jan_2026_Days_Forecast]]*Table410[[#This Row],[Cost Boolean]]*(VLOOKUP(Table410[[#This Row],[RATE CONCAT]],Tables!I:N,5,0)),0)</f>
        <v>0</v>
      </c>
      <c r="BR43" s="13">
        <f>IFERROR(Table410[[#This Row],[Jan_2026_Days_Actual]]*Table410[[#This Row],[Cost Boolean]]*(VLOOKUP(Table410[[#This Row],[RATE CONCAT]],Tables!I:N,5,0)),0)</f>
        <v>0</v>
      </c>
      <c r="BS43" s="13">
        <f>Table410[[#This Row],[Jan_2026_F]]-Table410[[#This Row],[Jan_2026_A]]</f>
        <v>0</v>
      </c>
      <c r="BU43" s="13">
        <f>IFERROR(Table410[[#This Row],[Feb_2026_Days_Forecast]]*Table410[[#This Row],[Cost Boolean]]*(VLOOKUP(Table410[[#This Row],[RATE CONCAT]],Tables!I:N,5,0)),0)</f>
        <v>11550</v>
      </c>
      <c r="BV43" s="13">
        <f>IFERROR(Table410[[#This Row],[Feb_2026_Days_Actual]]*Table410[[#This Row],[Cost Boolean]]*(VLOOKUP(Table410[[#This Row],[RATE CONCAT]],Tables!I:N,5,0)),0)</f>
        <v>11550</v>
      </c>
      <c r="BW43" s="13">
        <f>Table410[[#This Row],[Feb_2026_F]]-Table410[[#This Row],[Feb_2026_A]]</f>
        <v>0</v>
      </c>
      <c r="BY43" s="13">
        <f>IFERROR(Table410[[#This Row],[Mar_2026_Days_Forecast]]*Table410[[#This Row],[Cost Boolean]]*(VLOOKUP(Table410[[#This Row],[RATE CONCAT]],Tables!I:N,5,0)),0)</f>
        <v>11550</v>
      </c>
      <c r="BZ43" s="13">
        <f>IFERROR(Table410[[#This Row],[Mar_2026_Days_Actual]]*Table410[[#This Row],[Cost Boolean]]*(VLOOKUP(Table410[[#This Row],[RATE CONCAT]],Tables!I:N,5,0)),0)</f>
        <v>11550</v>
      </c>
      <c r="CA43" s="13">
        <f>Table410[[#This Row],[Mar_2026_F]]-Table410[[#This Row],[Mar_2026_A]]</f>
        <v>0</v>
      </c>
      <c r="CC43" s="13">
        <f>IFERROR(Table410[[#This Row],[Apr_2026_Days_Forecast]]*Table410[[#This Row],[Cost Boolean]]*(VLOOKUP(Table410[[#This Row],[RATE CONCAT]],Tables!I:N,5,0)),0)</f>
        <v>11550</v>
      </c>
      <c r="CD43" s="13">
        <f>IFERROR(Table410[[#This Row],[Apr_2026_Days_Actual]]*Table410[[#This Row],[Cost Boolean]]*(VLOOKUP(Table410[[#This Row],[RATE CONCAT]],Tables!I:N,5,0)),0)</f>
        <v>11550</v>
      </c>
      <c r="CE43" s="13">
        <f>Table410[[#This Row],[Apr_2026_F]]-Table410[[#This Row],[Apr_2026_A]]</f>
        <v>0</v>
      </c>
      <c r="CG43" s="13">
        <f>IFERROR(Table410[[#This Row],[May_2026_Days_Forecast]] *Table410[[#This Row],[Cost Boolean]]*(VLOOKUP(Table410[[#This Row],[RATE CONCAT]],Tables!I:N,5,0)),0)</f>
        <v>10395</v>
      </c>
      <c r="CH43" s="13">
        <f>IFERROR(Table410[[#This Row],[May_2026_Days_Actual]]*Table410[[#This Row],[Cost Boolean]]*(VLOOKUP(Table410[[#This Row],[RATE CONCAT]],Tables!I:N,5,0)),0)</f>
        <v>10395</v>
      </c>
      <c r="CI43" s="13">
        <f>Table410[[#This Row],[May_2026_F]]-Table410[[#This Row],[May_2026_A]]</f>
        <v>0</v>
      </c>
      <c r="CK43" s="13">
        <f>IFERROR(Table410[[#This Row],[Jun_2026_Days_Forecast]]*Table410[[#This Row],[Cost Boolean]]*(VLOOKUP(Table410[[#This Row],[RATE CONCAT]],Tables!I:N,5,0)),0)</f>
        <v>10395</v>
      </c>
      <c r="CL43" s="13">
        <f>IFERROR(Table410[[#This Row],[Jun_2026_Days_Actual]]*Table410[[#This Row],[Cost Boolean]]*(VLOOKUP(Table410[[#This Row],[RATE CONCAT]],Tables!I:N,5,0)),0)</f>
        <v>10395</v>
      </c>
      <c r="CM43" s="13">
        <f>Table410[[#This Row],[Jun_2026_F]]-Table410[[#This Row],[Jun_2026_A]]</f>
        <v>0</v>
      </c>
      <c r="CO43" s="13">
        <f>IFERROR(Table410[[#This Row],[Jul_2026_Days_Forecast]]*Table410[[#This Row],[Cost Boolean]]*(VLOOKUP(Table410[[#This Row],[RATE CONCAT]],Tables!I:N,5,0)),0)</f>
        <v>10395</v>
      </c>
      <c r="CP43" s="13">
        <f>IFERROR(Table410[[#This Row],[Jul_2026_Days_Actual]]*Table410[[#This Row],[Cost Boolean]]*(VLOOKUP(Table410[[#This Row],[RATE CONCAT]],Tables!I:N,5,0)),0)</f>
        <v>10395</v>
      </c>
      <c r="CQ43" s="13">
        <f>Table410[[#This Row],[Jul_2026_F]]-Table410[[#This Row],[Jul_2026_A]]</f>
        <v>0</v>
      </c>
      <c r="CS43" s="13">
        <f>IFERROR(Table410[[#This Row],[Aug_2026_Days_Forecast]]*Table410[[#This Row],[Cost Boolean]]*(VLOOKUP(Table410[[#This Row],[RATE CONCAT]],Tables!I:N,5,0)),0)</f>
        <v>11550</v>
      </c>
      <c r="CT43" s="13">
        <f>IFERROR(Table410[[#This Row],[Aug_2026_Days_Actual]]*Table410[[#This Row],[Cost Boolean]]*(VLOOKUP(Table410[[#This Row],[RATE CONCAT]],Tables!I:N,5,0)),0)</f>
        <v>11550</v>
      </c>
      <c r="CU43" s="13">
        <f>Table410[[#This Row],[Aug_2026_F]]-Table410[[#This Row],[Aug_2026_A]]</f>
        <v>0</v>
      </c>
      <c r="CW43" s="13">
        <f>IFERROR(Table410[[#This Row],[Sep_2026_Days_Forecast]]*Table410[[#This Row],[Cost Boolean]]*(VLOOKUP(Table410[[#This Row],[RATE CONCAT]],Tables!I:N,5,0)),0)</f>
        <v>11550</v>
      </c>
      <c r="CX43" s="13">
        <f>IFERROR(Table410[[#This Row],[Sep_2026_Days_Actual]]*Table410[[#This Row],[Cost Boolean]]*(VLOOKUP(Table410[[#This Row],[RATE CONCAT]],Tables!I:N,5,0)),0)</f>
        <v>11550</v>
      </c>
      <c r="CY43" s="13">
        <f>Table410[[#This Row],[Sep_2026_F]]-Table410[[#This Row],[Sep_2026_A]]</f>
        <v>0</v>
      </c>
      <c r="DA43" s="13">
        <f>IFERROR(Table410[[#This Row],[Oct_2026_Days_Forecast]]*Table410[[#This Row],[Cost Boolean]]*(VLOOKUP(Table410[[#This Row],[RATE CONCAT]],Tables!I:N,5,0)),0)</f>
        <v>11550</v>
      </c>
      <c r="DB43" s="13">
        <f>IFERROR(Table410[[#This Row],[Oct_2026_Days_Actual]]*Table410[[#This Row],[Cost Boolean]]*(VLOOKUP(Table410[[#This Row],[RATE CONCAT]],Tables!I:N,5,0)),0)</f>
        <v>11550</v>
      </c>
      <c r="DC43" s="13">
        <f>Table410[[#This Row],[Oct_2026_F]]-Table410[[#This Row],[Oct_2026_A]]</f>
        <v>0</v>
      </c>
      <c r="DE43" s="13">
        <f>IFERROR(Table410[[#This Row],[Nov_2026_Days_Forecast]]*Table410[[#This Row],[Cost Boolean]]*(VLOOKUP(Table410[[#This Row],[RATE CONCAT]],Tables!I:N,5,0)),0)</f>
        <v>0</v>
      </c>
      <c r="DF43" s="13">
        <f>IFERROR(Table410[[#This Row],[Nov_2026_Days_Actual]]*Table410[[#This Row],[Cost Boolean]]*(VLOOKUP(Table410[[#This Row],[RATE CONCAT]],Tables!I:N,5,0)),0)</f>
        <v>0</v>
      </c>
      <c r="DG43" s="13">
        <f>Table410[[#This Row],[Nov_2026_F]]-Table410[[#This Row],[Nov_2026_A]]</f>
        <v>0</v>
      </c>
      <c r="DI43" s="13">
        <f>IFERROR(Table410[[#This Row],[Dec_2026_Days_Forecast]]*Table410[[#This Row],[Cost Boolean]]*(VLOOKUP(Table410[[#This Row],[RATE CONCAT]],Tables!I:N,5,0)),0)</f>
        <v>0</v>
      </c>
      <c r="DJ43" s="13">
        <f>IFERROR(Table410[[#This Row],[Dec_2026_Days_Actual]]*Table410[[#This Row],[Cost Boolean]]*(VLOOKUP(Table410[[#This Row],[RATE CONCAT]],Tables!I:N,5,0)),0)</f>
        <v>0</v>
      </c>
      <c r="DK43" s="13">
        <f>Table410[[#This Row],[Dec_2026_F]]-Table410[[#This Row],[Dec_2026_A]]</f>
        <v>0</v>
      </c>
      <c r="DN43" s="13">
        <f>IFERROR(Table410[[#This Row],[Jan_2027_Days_Forecast]]*Table410[[#This Row],[Cost Boolean]]*(VLOOKUP(Table410[[#This Row],[RATE CONCAT]],Tables!I:N,6,0)),0)</f>
        <v>0</v>
      </c>
      <c r="DP43" s="13">
        <f>Table410[[#This Row],[Jan_2027_F]]-Table410[[#This Row],[Jan_2027_A]]</f>
        <v>0</v>
      </c>
      <c r="DQ43" s="13">
        <f>IFERROR(Table410[[#This Row],[Feb_2027_Days_Forecast]]*Table410[[#This Row],[Cost Boolean]]*(VLOOKUP(Table410[[#This Row],[RATE CONCAT]],Tables!I:N,6,0)),0)</f>
        <v>0</v>
      </c>
      <c r="DS43" s="13">
        <f>Table410[[#This Row],[Feb_2027_F]]-Table410[[#This Row],[Feb_2027_A]]</f>
        <v>0</v>
      </c>
      <c r="DT43" s="13">
        <f>IFERROR(Table410[[#This Row],[Mar_2027_Days_Forecast]]*Table410[[#This Row],[Cost Boolean]]*(VLOOKUP(Table410[[#This Row],[RATE CONCAT]],Tables!I:N,6,0)),0)</f>
        <v>0</v>
      </c>
      <c r="DV43" s="13">
        <f>Table410[[#This Row],[Mar_2027_F]]-Table410[[#This Row],[Mar_2027_A]]</f>
        <v>0</v>
      </c>
      <c r="DW43" s="13">
        <f>IFERROR(Table410[[#This Row],[Apr_2027_Days_Forecast]]*Table410[[#This Row],[Cost Boolean]]*(VLOOKUP(Table410[[#This Row],[RATE CONCAT]],Tables!I:N,6,0)),0)</f>
        <v>0</v>
      </c>
      <c r="DY43" s="13">
        <f>Table410[[#This Row],[Apr_2027_F]]-Table410[[#This Row],[Apr_2027_A]]</f>
        <v>0</v>
      </c>
      <c r="DZ43" s="13">
        <f>IFERROR(Table410[[#This Row],[May_2027_Days_Forecast]]*Table410[[#This Row],[Cost Boolean]]*(VLOOKUP(Table410[[#This Row],[RATE CONCAT]],Tables!I:N,6,0)),0)</f>
        <v>0</v>
      </c>
      <c r="EB43" s="13">
        <f>Table410[[#This Row],[May_2027_F]]-Table410[[#This Row],[May_2027_A]]</f>
        <v>0</v>
      </c>
      <c r="EC43" s="13">
        <f>IFERROR(Table410[[#This Row],[Jun_2027_Days_Forecast]]*Table410[[#This Row],[Cost Boolean]]*(VLOOKUP(Table410[[#This Row],[RATE CONCAT]],Tables!I:N,6,0)),0)</f>
        <v>0</v>
      </c>
      <c r="EE43" s="13">
        <f>Table410[[#This Row],[Jun_2027_F]]-Table410[[#This Row],[Jun_2027_A]]</f>
        <v>0</v>
      </c>
      <c r="EF43" s="13">
        <f>IFERROR(Table410[[#This Row],[Jul_2027_Days_Forecast]]*Table410[[#This Row],[Cost Boolean]]*(VLOOKUP(Table410[[#This Row],[RATE CONCAT]],Tables!I:N,6,0)),0)</f>
        <v>0</v>
      </c>
      <c r="EH43" s="13">
        <f>Table410[[#This Row],[Jul_2027_F]]-Table410[[#This Row],[Jul_2027_A]]</f>
        <v>0</v>
      </c>
      <c r="EI43" s="13">
        <f>IFERROR(Table410[[#This Row],[Aug_2027_Days_Forecast]]*Table410[[#This Row],[Cost Boolean]]*(VLOOKUP(Table410[[#This Row],[RATE CONCAT]],Tables!I:N,6,0)),0)</f>
        <v>0</v>
      </c>
      <c r="EK43" s="13">
        <f>Table410[[#This Row],[Aug_2027_F]]-Table410[[#This Row],[Aug_2027_A]]</f>
        <v>0</v>
      </c>
      <c r="EL43" s="13">
        <f>IFERROR(Table410[[#This Row],[Sep_2027_Days_Forecast]]*Table410[[#This Row],[Cost Boolean]]*(VLOOKUP(Table410[[#This Row],[RATE CONCAT]],Tables!I:N,6,0)),0)</f>
        <v>0</v>
      </c>
      <c r="EN43" s="13">
        <f>Table410[[#This Row],[Sep_2027_F]]-Table410[[#This Row],[Sep_2027_A]]</f>
        <v>0</v>
      </c>
      <c r="EO43" s="13">
        <f>IFERROR(Table410[[#This Row],[Oct_2027_Days_Forecast]]*Table410[[#This Row],[Cost Boolean]]*(VLOOKUP(Table410[[#This Row],[RATE CONCAT]],Tables!I:N,6,0)),0)</f>
        <v>0</v>
      </c>
      <c r="EQ43" s="13">
        <f>Table410[[#This Row],[Oct_2027_F]]-Table410[[#This Row],[Oct_2027_A]]</f>
        <v>0</v>
      </c>
      <c r="ER43" s="13">
        <f>IFERROR(Table410[[#This Row],[Nov_2027_Days_Forecast]]*Table410[[#This Row],[Cost Boolean]]*(VLOOKUP(Table410[[#This Row],[RATE CONCAT]],Tables!I:N,6,0)),0)</f>
        <v>0</v>
      </c>
      <c r="ET43" s="13">
        <f>Table410[[#This Row],[Nov_2027_F]]-Table410[[#This Row],[Nov_2027_A]]</f>
        <v>0</v>
      </c>
      <c r="EU43" s="13">
        <f>IFERROR(Table410[[#This Row],[Dec_2027_Days_Forecast]]*Table410[[#This Row],[Cost Boolean]]*(VLOOKUP(Table410[[#This Row],[RATE CONCAT]],Tables!I:N,6,0)),0)</f>
        <v>0</v>
      </c>
      <c r="EW43" s="13">
        <f>Table410[[#This Row],[Dec_2027_F]]-Table410[[#This Row],[Dec_2027_A]]</f>
        <v>0</v>
      </c>
    </row>
    <row r="44" spans="1:153" s="13" customFormat="1" ht="15" customHeight="1">
      <c r="Y44" s="13" t="str">
        <f>CONCATENATE(Table410[[#This Row],[JG]],Table410[[#This Row],[Country]],Table410[[#This Row],[Resource Provider]])</f>
        <v/>
      </c>
      <c r="Z44" s="13">
        <f>VLOOKUP(Table410[[#This Row],[RATE CONCAT]],Tables!I:N,5,0)</f>
        <v>0</v>
      </c>
      <c r="AA44" s="52"/>
      <c r="AB44" s="127"/>
      <c r="AC44" s="127"/>
      <c r="AD44" s="127"/>
      <c r="AE44" s="130"/>
      <c r="AF44" s="130"/>
      <c r="AG44" s="130"/>
      <c r="AH44" s="130"/>
      <c r="AI44" s="130"/>
      <c r="AJ44" s="130"/>
      <c r="AK44" s="130"/>
      <c r="AL44" s="130"/>
      <c r="AM44" s="130"/>
      <c r="AN44" s="176">
        <f>IFERROR(AVERAGE(Table410[[#This Row],[Jan_2026_Days_Forecast]:[Dec_2026_Days_Forecast]]),0)/19</f>
        <v>0</v>
      </c>
      <c r="AO44" s="176">
        <f>IFERROR(AVERAGE(Table410[[#This Row],[Jan_2026_Days_Actual]:[Dec_2026_Days_Actual]]),0)/19</f>
        <v>0</v>
      </c>
      <c r="BB44" s="176">
        <f>IFERROR(AVERAGE(Table410[[#This Row],[Jan_2027_Days_Forecast]:[Dec_2027_Days_Forecast]]),0)</f>
        <v>0</v>
      </c>
      <c r="BC44" s="127"/>
      <c r="BD44" s="127"/>
      <c r="BE44" s="127"/>
      <c r="BF44" s="127"/>
      <c r="BG44" s="127"/>
      <c r="BH44" s="127"/>
      <c r="BI44" s="127"/>
      <c r="BJ44" s="127"/>
      <c r="BK44" s="127"/>
      <c r="BL44" s="127"/>
      <c r="BM44" s="127"/>
      <c r="BN44" s="127"/>
      <c r="BO44" s="176"/>
      <c r="BP44" s="176"/>
      <c r="BQ44" s="13">
        <f>IFERROR(Table410[[#This Row],[Jan_2026_Days_Forecast]]*Table410[[#This Row],[Cost Boolean]]*(VLOOKUP(Table410[[#This Row],[RATE CONCAT]],Tables!I:N,5,0)),0)</f>
        <v>0</v>
      </c>
      <c r="BR44" s="13">
        <f>IFERROR(Table410[[#This Row],[Jan_2026_Days_Actual]]*Table410[[#This Row],[Cost Boolean]]*(VLOOKUP(Table410[[#This Row],[RATE CONCAT]],Tables!I:N,5,0)),0)</f>
        <v>0</v>
      </c>
      <c r="BS44" s="13">
        <f>Table410[[#This Row],[Jan_2026_F]]-Table410[[#This Row],[Jan_2026_A]]</f>
        <v>0</v>
      </c>
      <c r="BU44" s="13">
        <f>IFERROR(Table410[[#This Row],[Feb_2026_Days_Forecast]]*Table410[[#This Row],[Cost Boolean]]*(VLOOKUP(Table410[[#This Row],[RATE CONCAT]],Tables!I:N,5,0)),0)</f>
        <v>0</v>
      </c>
      <c r="BV44" s="13">
        <f>IFERROR(Table410[[#This Row],[Feb_2026_Days_Actual]]*Table410[[#This Row],[Cost Boolean]]*(VLOOKUP(Table410[[#This Row],[RATE CONCAT]],Tables!I:N,5,0)),0)</f>
        <v>0</v>
      </c>
      <c r="BW44" s="13">
        <f>Table410[[#This Row],[Feb_2026_F]]-Table410[[#This Row],[Feb_2026_A]]</f>
        <v>0</v>
      </c>
      <c r="BY44" s="13">
        <f>IFERROR(Table410[[#This Row],[Mar_2026_Days_Forecast]]*Table410[[#This Row],[Cost Boolean]]*(VLOOKUP(Table410[[#This Row],[RATE CONCAT]],Tables!I:N,5,0)),0)</f>
        <v>0</v>
      </c>
      <c r="BZ44" s="13">
        <f>IFERROR(Table410[[#This Row],[Mar_2026_Days_Actual]]*Table410[[#This Row],[Cost Boolean]]*(VLOOKUP(Table410[[#This Row],[RATE CONCAT]],Tables!I:N,5,0)),0)</f>
        <v>0</v>
      </c>
      <c r="CA44" s="13">
        <f>Table410[[#This Row],[Mar_2026_F]]-Table410[[#This Row],[Mar_2026_A]]</f>
        <v>0</v>
      </c>
      <c r="CC44" s="13">
        <f>IFERROR(Table410[[#This Row],[Apr_2026_Days_Forecast]]*Table410[[#This Row],[Cost Boolean]]*(VLOOKUP(Table410[[#This Row],[RATE CONCAT]],Tables!I:N,5,0)),0)</f>
        <v>0</v>
      </c>
      <c r="CD44" s="13">
        <f>IFERROR(Table410[[#This Row],[Apr_2026_Days_Actual]]*Table410[[#This Row],[Cost Boolean]]*(VLOOKUP(Table410[[#This Row],[RATE CONCAT]],Tables!I:N,5,0)),0)</f>
        <v>0</v>
      </c>
      <c r="CE44" s="13">
        <f>Table410[[#This Row],[Apr_2026_F]]-Table410[[#This Row],[Apr_2026_A]]</f>
        <v>0</v>
      </c>
      <c r="CG44" s="13">
        <f>IFERROR(Table410[[#This Row],[May_2026_Days_Forecast]] *Table410[[#This Row],[Cost Boolean]]*(VLOOKUP(Table410[[#This Row],[RATE CONCAT]],Tables!I:N,5,0)),0)</f>
        <v>0</v>
      </c>
      <c r="CH44" s="13">
        <f>IFERROR(Table410[[#This Row],[May_2026_Days_Actual]]*Table410[[#This Row],[Cost Boolean]]*(VLOOKUP(Table410[[#This Row],[RATE CONCAT]],Tables!I:N,5,0)),0)</f>
        <v>0</v>
      </c>
      <c r="CI44" s="13">
        <f>Table410[[#This Row],[May_2026_F]]-Table410[[#This Row],[May_2026_A]]</f>
        <v>0</v>
      </c>
      <c r="CK44" s="13">
        <f>IFERROR(Table410[[#This Row],[Jun_2026_Days_Forecast]]*Table410[[#This Row],[Cost Boolean]]*(VLOOKUP(Table410[[#This Row],[RATE CONCAT]],Tables!I:N,5,0)),0)</f>
        <v>0</v>
      </c>
      <c r="CL44" s="13">
        <f>IFERROR(Table410[[#This Row],[Jun_2026_Days_Actual]]*Table410[[#This Row],[Cost Boolean]]*(VLOOKUP(Table410[[#This Row],[RATE CONCAT]],Tables!I:N,5,0)),0)</f>
        <v>0</v>
      </c>
      <c r="CM44" s="13">
        <f>Table410[[#This Row],[Jun_2026_F]]-Table410[[#This Row],[Jun_2026_A]]</f>
        <v>0</v>
      </c>
      <c r="CO44" s="13">
        <f>IFERROR(Table410[[#This Row],[Jul_2026_Days_Forecast]]*Table410[[#This Row],[Cost Boolean]]*(VLOOKUP(Table410[[#This Row],[RATE CONCAT]],Tables!I:N,5,0)),0)</f>
        <v>0</v>
      </c>
      <c r="CP44" s="13">
        <f>IFERROR(Table410[[#This Row],[Jul_2026_Days_Actual]]*Table410[[#This Row],[Cost Boolean]]*(VLOOKUP(Table410[[#This Row],[RATE CONCAT]],Tables!I:N,5,0)),0)</f>
        <v>0</v>
      </c>
      <c r="CQ44" s="13">
        <f>Table410[[#This Row],[Jul_2026_F]]-Table410[[#This Row],[Jul_2026_A]]</f>
        <v>0</v>
      </c>
      <c r="CS44" s="13">
        <f>IFERROR(Table410[[#This Row],[Aug_2026_Days_Forecast]]*Table410[[#This Row],[Cost Boolean]]*(VLOOKUP(Table410[[#This Row],[RATE CONCAT]],Tables!I:N,5,0)),0)</f>
        <v>0</v>
      </c>
      <c r="CT44" s="13">
        <f>IFERROR(Table410[[#This Row],[Aug_2026_Days_Actual]]*Table410[[#This Row],[Cost Boolean]]*(VLOOKUP(Table410[[#This Row],[RATE CONCAT]],Tables!I:N,5,0)),0)</f>
        <v>0</v>
      </c>
      <c r="CU44" s="13">
        <f>Table410[[#This Row],[Aug_2026_F]]-Table410[[#This Row],[Aug_2026_A]]</f>
        <v>0</v>
      </c>
      <c r="CW44" s="13">
        <f>IFERROR(Table410[[#This Row],[Sep_2026_Days_Forecast]]*Table410[[#This Row],[Cost Boolean]]*(VLOOKUP(Table410[[#This Row],[RATE CONCAT]],Tables!I:N,5,0)),0)</f>
        <v>0</v>
      </c>
      <c r="CX44" s="13">
        <f>IFERROR(Table410[[#This Row],[Sep_2026_Days_Actual]]*Table410[[#This Row],[Cost Boolean]]*(VLOOKUP(Table410[[#This Row],[RATE CONCAT]],Tables!I:N,5,0)),0)</f>
        <v>0</v>
      </c>
      <c r="CY44" s="13">
        <f>Table410[[#This Row],[Sep_2026_F]]-Table410[[#This Row],[Sep_2026_A]]</f>
        <v>0</v>
      </c>
      <c r="DA44" s="13">
        <f>IFERROR(Table410[[#This Row],[Oct_2026_Days_Forecast]]*Table410[[#This Row],[Cost Boolean]]*(VLOOKUP(Table410[[#This Row],[RATE CONCAT]],Tables!I:N,5,0)),0)</f>
        <v>0</v>
      </c>
      <c r="DB44" s="13">
        <f>IFERROR(Table410[[#This Row],[Oct_2026_Days_Actual]]*Table410[[#This Row],[Cost Boolean]]*(VLOOKUP(Table410[[#This Row],[RATE CONCAT]],Tables!I:N,5,0)),0)</f>
        <v>0</v>
      </c>
      <c r="DC44" s="13">
        <f>Table410[[#This Row],[Oct_2026_F]]-Table410[[#This Row],[Oct_2026_A]]</f>
        <v>0</v>
      </c>
      <c r="DE44" s="13">
        <f>IFERROR(Table410[[#This Row],[Nov_2026_Days_Forecast]]*Table410[[#This Row],[Cost Boolean]]*(VLOOKUP(Table410[[#This Row],[RATE CONCAT]],Tables!I:N,5,0)),0)</f>
        <v>0</v>
      </c>
      <c r="DF44" s="13">
        <f>IFERROR(Table410[[#This Row],[Nov_2026_Days_Actual]]*Table410[[#This Row],[Cost Boolean]]*(VLOOKUP(Table410[[#This Row],[RATE CONCAT]],Tables!I:N,5,0)),0)</f>
        <v>0</v>
      </c>
      <c r="DG44" s="13">
        <f>Table410[[#This Row],[Nov_2026_F]]-Table410[[#This Row],[Nov_2026_A]]</f>
        <v>0</v>
      </c>
      <c r="DI44" s="13">
        <f>IFERROR(Table410[[#This Row],[Dec_2026_Days_Forecast]]*Table410[[#This Row],[Cost Boolean]]*(VLOOKUP(Table410[[#This Row],[RATE CONCAT]],Tables!I:N,5,0)),0)</f>
        <v>0</v>
      </c>
      <c r="DJ44" s="13">
        <f>IFERROR(Table410[[#This Row],[Dec_2026_Days_Actual]]*Table410[[#This Row],[Cost Boolean]]*(VLOOKUP(Table410[[#This Row],[RATE CONCAT]],Tables!I:N,5,0)),0)</f>
        <v>0</v>
      </c>
      <c r="DK44" s="13">
        <f>Table410[[#This Row],[Dec_2026_F]]-Table410[[#This Row],[Dec_2026_A]]</f>
        <v>0</v>
      </c>
      <c r="DN44" s="13">
        <f>IFERROR(Table410[[#This Row],[Jan_2027_Days_Forecast]]*Table410[[#This Row],[Cost Boolean]]*(VLOOKUP(Table410[[#This Row],[RATE CONCAT]],Tables!I:N,6,0)),0)</f>
        <v>0</v>
      </c>
      <c r="DP44" s="13">
        <f>Table410[[#This Row],[Jan_2027_F]]-Table410[[#This Row],[Jan_2027_A]]</f>
        <v>0</v>
      </c>
      <c r="DQ44" s="13">
        <f>IFERROR(Table410[[#This Row],[Feb_2027_Days_Forecast]]*Table410[[#This Row],[Cost Boolean]]*(VLOOKUP(Table410[[#This Row],[RATE CONCAT]],Tables!I:N,6,0)),0)</f>
        <v>0</v>
      </c>
      <c r="DS44" s="13">
        <f>Table410[[#This Row],[Feb_2027_F]]-Table410[[#This Row],[Feb_2027_A]]</f>
        <v>0</v>
      </c>
      <c r="DT44" s="13">
        <f>IFERROR(Table410[[#This Row],[Mar_2027_Days_Forecast]]*Table410[[#This Row],[Cost Boolean]]*(VLOOKUP(Table410[[#This Row],[RATE CONCAT]],Tables!I:N,6,0)),0)</f>
        <v>0</v>
      </c>
      <c r="DV44" s="13">
        <f>Table410[[#This Row],[Mar_2027_F]]-Table410[[#This Row],[Mar_2027_A]]</f>
        <v>0</v>
      </c>
      <c r="DW44" s="13">
        <f>IFERROR(Table410[[#This Row],[Apr_2027_Days_Forecast]]*Table410[[#This Row],[Cost Boolean]]*(VLOOKUP(Table410[[#This Row],[RATE CONCAT]],Tables!I:N,6,0)),0)</f>
        <v>0</v>
      </c>
      <c r="DY44" s="13">
        <f>Table410[[#This Row],[Apr_2027_F]]-Table410[[#This Row],[Apr_2027_A]]</f>
        <v>0</v>
      </c>
      <c r="DZ44" s="13">
        <f>IFERROR(Table410[[#This Row],[May_2027_Days_Forecast]]*Table410[[#This Row],[Cost Boolean]]*(VLOOKUP(Table410[[#This Row],[RATE CONCAT]],Tables!I:N,6,0)),0)</f>
        <v>0</v>
      </c>
      <c r="EB44" s="13">
        <f>Table410[[#This Row],[May_2027_F]]-Table410[[#This Row],[May_2027_A]]</f>
        <v>0</v>
      </c>
      <c r="EC44" s="13">
        <f>IFERROR(Table410[[#This Row],[Jun_2027_Days_Forecast]]*Table410[[#This Row],[Cost Boolean]]*(VLOOKUP(Table410[[#This Row],[RATE CONCAT]],Tables!I:N,6,0)),0)</f>
        <v>0</v>
      </c>
      <c r="EE44" s="13">
        <f>Table410[[#This Row],[Jun_2027_F]]-Table410[[#This Row],[Jun_2027_A]]</f>
        <v>0</v>
      </c>
      <c r="EF44" s="13">
        <f>IFERROR(Table410[[#This Row],[Jul_2027_Days_Forecast]]*Table410[[#This Row],[Cost Boolean]]*(VLOOKUP(Table410[[#This Row],[RATE CONCAT]],Tables!I:N,6,0)),0)</f>
        <v>0</v>
      </c>
      <c r="EH44" s="13">
        <f>Table410[[#This Row],[Jul_2027_F]]-Table410[[#This Row],[Jul_2027_A]]</f>
        <v>0</v>
      </c>
      <c r="EI44" s="13">
        <f>IFERROR(Table410[[#This Row],[Aug_2027_Days_Forecast]]*Table410[[#This Row],[Cost Boolean]]*(VLOOKUP(Table410[[#This Row],[RATE CONCAT]],Tables!I:N,6,0)),0)</f>
        <v>0</v>
      </c>
      <c r="EK44" s="13">
        <f>Table410[[#This Row],[Aug_2027_F]]-Table410[[#This Row],[Aug_2027_A]]</f>
        <v>0</v>
      </c>
      <c r="EL44" s="13">
        <f>IFERROR(Table410[[#This Row],[Sep_2027_Days_Forecast]]*Table410[[#This Row],[Cost Boolean]]*(VLOOKUP(Table410[[#This Row],[RATE CONCAT]],Tables!I:N,6,0)),0)</f>
        <v>0</v>
      </c>
      <c r="EN44" s="13">
        <f>Table410[[#This Row],[Sep_2027_F]]-Table410[[#This Row],[Sep_2027_A]]</f>
        <v>0</v>
      </c>
      <c r="EO44" s="13">
        <f>IFERROR(Table410[[#This Row],[Oct_2027_Days_Forecast]]*Table410[[#This Row],[Cost Boolean]]*(VLOOKUP(Table410[[#This Row],[RATE CONCAT]],Tables!I:N,6,0)),0)</f>
        <v>0</v>
      </c>
      <c r="EQ44" s="13">
        <f>Table410[[#This Row],[Oct_2027_F]]-Table410[[#This Row],[Oct_2027_A]]</f>
        <v>0</v>
      </c>
      <c r="ER44" s="13">
        <f>IFERROR(Table410[[#This Row],[Nov_2027_Days_Forecast]]*Table410[[#This Row],[Cost Boolean]]*(VLOOKUP(Table410[[#This Row],[RATE CONCAT]],Tables!I:N,6,0)),0)</f>
        <v>0</v>
      </c>
      <c r="ET44" s="13">
        <f>Table410[[#This Row],[Nov_2027_F]]-Table410[[#This Row],[Nov_2027_A]]</f>
        <v>0</v>
      </c>
      <c r="EU44" s="13">
        <f>IFERROR(Table410[[#This Row],[Dec_2027_Days_Forecast]]*Table410[[#This Row],[Cost Boolean]]*(VLOOKUP(Table410[[#This Row],[RATE CONCAT]],Tables!I:N,6,0)),0)</f>
        <v>0</v>
      </c>
      <c r="EW44" s="13">
        <f>Table410[[#This Row],[Dec_2027_F]]-Table410[[#This Row],[Dec_2027_A]]</f>
        <v>0</v>
      </c>
    </row>
    <row r="45" spans="1:153" s="13" customFormat="1" ht="15" customHeight="1">
      <c r="Y45" s="13" t="str">
        <f>CONCATENATE(Table410[[#This Row],[JG]],Table410[[#This Row],[Country]],Table410[[#This Row],[Resource Provider]])</f>
        <v/>
      </c>
      <c r="Z45" s="13">
        <f>VLOOKUP(Table410[[#This Row],[RATE CONCAT]],Tables!I:N,5,0)</f>
        <v>0</v>
      </c>
      <c r="AA45" s="52"/>
      <c r="AB45" s="130"/>
      <c r="AC45" s="130"/>
      <c r="AD45" s="130"/>
      <c r="AE45" s="130"/>
      <c r="AF45" s="130"/>
      <c r="AG45" s="130"/>
      <c r="AH45" s="130"/>
      <c r="AI45" s="130"/>
      <c r="AJ45" s="130"/>
      <c r="AK45" s="130"/>
      <c r="AL45" s="130"/>
      <c r="AM45" s="130"/>
      <c r="AN45" s="176">
        <f>IFERROR(AVERAGE(Table410[[#This Row],[Jan_2026_Days_Forecast]:[Dec_2026_Days_Forecast]]),0)/19</f>
        <v>0</v>
      </c>
      <c r="AO45" s="176">
        <f>IFERROR(AVERAGE(Table410[[#This Row],[Jan_2026_Days_Actual]:[Dec_2026_Days_Actual]]),0)/19</f>
        <v>0</v>
      </c>
      <c r="BB45" s="176">
        <f>IFERROR(AVERAGE(Table410[[#This Row],[Jan_2027_Days_Forecast]:[Dec_2027_Days_Forecast]]),0)</f>
        <v>0</v>
      </c>
      <c r="BC45" s="127"/>
      <c r="BD45" s="127"/>
      <c r="BE45" s="127"/>
      <c r="BF45" s="127"/>
      <c r="BG45" s="127"/>
      <c r="BH45" s="127"/>
      <c r="BI45" s="127"/>
      <c r="BJ45" s="127"/>
      <c r="BK45" s="127"/>
      <c r="BL45" s="127"/>
      <c r="BM45" s="127"/>
      <c r="BN45" s="127"/>
      <c r="BO45" s="176"/>
      <c r="BP45" s="176"/>
      <c r="BQ45" s="13">
        <f>IFERROR(Table410[[#This Row],[Jan_2026_Days_Forecast]]*Table410[[#This Row],[Cost Boolean]]*(VLOOKUP(Table410[[#This Row],[RATE CONCAT]],Tables!I:N,5,0)),0)</f>
        <v>0</v>
      </c>
      <c r="BR45" s="13">
        <f>IFERROR(Table410[[#This Row],[Jan_2026_Days_Actual]]*Table410[[#This Row],[Cost Boolean]]*(VLOOKUP(Table410[[#This Row],[RATE CONCAT]],Tables!I:N,5,0)),0)</f>
        <v>0</v>
      </c>
      <c r="BS45" s="13">
        <f>Table410[[#This Row],[Jan_2026_F]]-Table410[[#This Row],[Jan_2026_A]]</f>
        <v>0</v>
      </c>
      <c r="BU45" s="13">
        <f>IFERROR(Table410[[#This Row],[Feb_2026_Days_Forecast]]*Table410[[#This Row],[Cost Boolean]]*(VLOOKUP(Table410[[#This Row],[RATE CONCAT]],Tables!I:N,5,0)),0)</f>
        <v>0</v>
      </c>
      <c r="BV45" s="13">
        <f>IFERROR(Table410[[#This Row],[Feb_2026_Days_Actual]]*Table410[[#This Row],[Cost Boolean]]*(VLOOKUP(Table410[[#This Row],[RATE CONCAT]],Tables!I:N,5,0)),0)</f>
        <v>0</v>
      </c>
      <c r="BW45" s="13">
        <f>Table410[[#This Row],[Feb_2026_F]]-Table410[[#This Row],[Feb_2026_A]]</f>
        <v>0</v>
      </c>
      <c r="BY45" s="13">
        <f>IFERROR(Table410[[#This Row],[Mar_2026_Days_Forecast]]*Table410[[#This Row],[Cost Boolean]]*(VLOOKUP(Table410[[#This Row],[RATE CONCAT]],Tables!I:N,5,0)),0)</f>
        <v>0</v>
      </c>
      <c r="BZ45" s="13">
        <f>IFERROR(Table410[[#This Row],[Mar_2026_Days_Actual]]*Table410[[#This Row],[Cost Boolean]]*(VLOOKUP(Table410[[#This Row],[RATE CONCAT]],Tables!I:N,5,0)),0)</f>
        <v>0</v>
      </c>
      <c r="CA45" s="13">
        <f>Table410[[#This Row],[Mar_2026_F]]-Table410[[#This Row],[Mar_2026_A]]</f>
        <v>0</v>
      </c>
      <c r="CC45" s="13">
        <f>IFERROR(Table410[[#This Row],[Apr_2026_Days_Forecast]]*Table410[[#This Row],[Cost Boolean]]*(VLOOKUP(Table410[[#This Row],[RATE CONCAT]],Tables!I:N,5,0)),0)</f>
        <v>0</v>
      </c>
      <c r="CD45" s="13">
        <f>IFERROR(Table410[[#This Row],[Apr_2026_Days_Actual]]*Table410[[#This Row],[Cost Boolean]]*(VLOOKUP(Table410[[#This Row],[RATE CONCAT]],Tables!I:N,5,0)),0)</f>
        <v>0</v>
      </c>
      <c r="CE45" s="13">
        <f>Table410[[#This Row],[Apr_2026_F]]-Table410[[#This Row],[Apr_2026_A]]</f>
        <v>0</v>
      </c>
      <c r="CG45" s="13">
        <f>IFERROR(Table410[[#This Row],[May_2026_Days_Forecast]] *Table410[[#This Row],[Cost Boolean]]*(VLOOKUP(Table410[[#This Row],[RATE CONCAT]],Tables!I:N,5,0)),0)</f>
        <v>0</v>
      </c>
      <c r="CH45" s="13">
        <f>IFERROR(Table410[[#This Row],[May_2026_Days_Actual]]*Table410[[#This Row],[Cost Boolean]]*(VLOOKUP(Table410[[#This Row],[RATE CONCAT]],Tables!I:N,5,0)),0)</f>
        <v>0</v>
      </c>
      <c r="CI45" s="13">
        <f>Table410[[#This Row],[May_2026_F]]-Table410[[#This Row],[May_2026_A]]</f>
        <v>0</v>
      </c>
      <c r="CK45" s="13">
        <f>IFERROR(Table410[[#This Row],[Jun_2026_Days_Forecast]]*Table410[[#This Row],[Cost Boolean]]*(VLOOKUP(Table410[[#This Row],[RATE CONCAT]],Tables!I:N,5,0)),0)</f>
        <v>0</v>
      </c>
      <c r="CL45" s="13">
        <f>IFERROR(Table410[[#This Row],[Jun_2026_Days_Actual]]*Table410[[#This Row],[Cost Boolean]]*(VLOOKUP(Table410[[#This Row],[RATE CONCAT]],Tables!I:N,5,0)),0)</f>
        <v>0</v>
      </c>
      <c r="CM45" s="13">
        <f>Table410[[#This Row],[Jun_2026_F]]-Table410[[#This Row],[Jun_2026_A]]</f>
        <v>0</v>
      </c>
      <c r="CO45" s="13">
        <f>IFERROR(Table410[[#This Row],[Jul_2026_Days_Forecast]]*Table410[[#This Row],[Cost Boolean]]*(VLOOKUP(Table410[[#This Row],[RATE CONCAT]],Tables!I:N,5,0)),0)</f>
        <v>0</v>
      </c>
      <c r="CP45" s="13">
        <f>IFERROR(Table410[[#This Row],[Jul_2026_Days_Actual]]*Table410[[#This Row],[Cost Boolean]]*(VLOOKUP(Table410[[#This Row],[RATE CONCAT]],Tables!I:N,5,0)),0)</f>
        <v>0</v>
      </c>
      <c r="CQ45" s="13">
        <f>Table410[[#This Row],[Jul_2026_F]]-Table410[[#This Row],[Jul_2026_A]]</f>
        <v>0</v>
      </c>
      <c r="CS45" s="13">
        <f>IFERROR(Table410[[#This Row],[Aug_2026_Days_Forecast]]*Table410[[#This Row],[Cost Boolean]]*(VLOOKUP(Table410[[#This Row],[RATE CONCAT]],Tables!I:N,5,0)),0)</f>
        <v>0</v>
      </c>
      <c r="CT45" s="13">
        <f>IFERROR(Table410[[#This Row],[Aug_2026_Days_Actual]]*Table410[[#This Row],[Cost Boolean]]*(VLOOKUP(Table410[[#This Row],[RATE CONCAT]],Tables!I:N,5,0)),0)</f>
        <v>0</v>
      </c>
      <c r="CU45" s="13">
        <f>Table410[[#This Row],[Aug_2026_F]]-Table410[[#This Row],[Aug_2026_A]]</f>
        <v>0</v>
      </c>
      <c r="CW45" s="13">
        <f>IFERROR(Table410[[#This Row],[Sep_2026_Days_Forecast]]*Table410[[#This Row],[Cost Boolean]]*(VLOOKUP(Table410[[#This Row],[RATE CONCAT]],Tables!I:N,5,0)),0)</f>
        <v>0</v>
      </c>
      <c r="CX45" s="13">
        <f>IFERROR(Table410[[#This Row],[Sep_2026_Days_Actual]]*Table410[[#This Row],[Cost Boolean]]*(VLOOKUP(Table410[[#This Row],[RATE CONCAT]],Tables!I:N,5,0)),0)</f>
        <v>0</v>
      </c>
      <c r="CY45" s="13">
        <f>Table410[[#This Row],[Sep_2026_F]]-Table410[[#This Row],[Sep_2026_A]]</f>
        <v>0</v>
      </c>
      <c r="DA45" s="13">
        <f>IFERROR(Table410[[#This Row],[Oct_2026_Days_Forecast]]*Table410[[#This Row],[Cost Boolean]]*(VLOOKUP(Table410[[#This Row],[RATE CONCAT]],Tables!I:N,5,0)),0)</f>
        <v>0</v>
      </c>
      <c r="DB45" s="13">
        <f>IFERROR(Table410[[#This Row],[Oct_2026_Days_Actual]]*Table410[[#This Row],[Cost Boolean]]*(VLOOKUP(Table410[[#This Row],[RATE CONCAT]],Tables!I:N,5,0)),0)</f>
        <v>0</v>
      </c>
      <c r="DC45" s="13">
        <f>Table410[[#This Row],[Oct_2026_F]]-Table410[[#This Row],[Oct_2026_A]]</f>
        <v>0</v>
      </c>
      <c r="DE45" s="13">
        <f>IFERROR(Table410[[#This Row],[Nov_2026_Days_Forecast]]*Table410[[#This Row],[Cost Boolean]]*(VLOOKUP(Table410[[#This Row],[RATE CONCAT]],Tables!I:N,5,0)),0)</f>
        <v>0</v>
      </c>
      <c r="DF45" s="13">
        <f>IFERROR(Table410[[#This Row],[Nov_2026_Days_Actual]]*Table410[[#This Row],[Cost Boolean]]*(VLOOKUP(Table410[[#This Row],[RATE CONCAT]],Tables!I:N,5,0)),0)</f>
        <v>0</v>
      </c>
      <c r="DG45" s="13">
        <f>Table410[[#This Row],[Nov_2026_F]]-Table410[[#This Row],[Nov_2026_A]]</f>
        <v>0</v>
      </c>
      <c r="DI45" s="13">
        <f>IFERROR(Table410[[#This Row],[Dec_2026_Days_Forecast]]*Table410[[#This Row],[Cost Boolean]]*(VLOOKUP(Table410[[#This Row],[RATE CONCAT]],Tables!I:N,5,0)),0)</f>
        <v>0</v>
      </c>
      <c r="DJ45" s="13">
        <f>IFERROR(Table410[[#This Row],[Dec_2026_Days_Actual]]*Table410[[#This Row],[Cost Boolean]]*(VLOOKUP(Table410[[#This Row],[RATE CONCAT]],Tables!I:N,5,0)),0)</f>
        <v>0</v>
      </c>
      <c r="DK45" s="13">
        <f>Table410[[#This Row],[Dec_2026_F]]-Table410[[#This Row],[Dec_2026_A]]</f>
        <v>0</v>
      </c>
      <c r="DN45" s="13">
        <f>IFERROR(Table410[[#This Row],[Jan_2027_Days_Forecast]]*Table410[[#This Row],[Cost Boolean]]*(VLOOKUP(Table410[[#This Row],[RATE CONCAT]],Tables!I:N,6,0)),0)</f>
        <v>0</v>
      </c>
      <c r="DP45" s="13">
        <f>Table410[[#This Row],[Jan_2027_F]]-Table410[[#This Row],[Jan_2027_A]]</f>
        <v>0</v>
      </c>
      <c r="DQ45" s="13">
        <f>IFERROR(Table410[[#This Row],[Feb_2027_Days_Forecast]]*Table410[[#This Row],[Cost Boolean]]*(VLOOKUP(Table410[[#This Row],[RATE CONCAT]],Tables!I:N,6,0)),0)</f>
        <v>0</v>
      </c>
      <c r="DS45" s="13">
        <f>Table410[[#This Row],[Feb_2027_F]]-Table410[[#This Row],[Feb_2027_A]]</f>
        <v>0</v>
      </c>
      <c r="DT45" s="13">
        <f>IFERROR(Table410[[#This Row],[Mar_2027_Days_Forecast]]*Table410[[#This Row],[Cost Boolean]]*(VLOOKUP(Table410[[#This Row],[RATE CONCAT]],Tables!I:N,6,0)),0)</f>
        <v>0</v>
      </c>
      <c r="DV45" s="13">
        <f>Table410[[#This Row],[Mar_2027_F]]-Table410[[#This Row],[Mar_2027_A]]</f>
        <v>0</v>
      </c>
      <c r="DW45" s="13">
        <f>IFERROR(Table410[[#This Row],[Apr_2027_Days_Forecast]]*Table410[[#This Row],[Cost Boolean]]*(VLOOKUP(Table410[[#This Row],[RATE CONCAT]],Tables!I:N,6,0)),0)</f>
        <v>0</v>
      </c>
      <c r="DY45" s="13">
        <f>Table410[[#This Row],[Apr_2027_F]]-Table410[[#This Row],[Apr_2027_A]]</f>
        <v>0</v>
      </c>
      <c r="DZ45" s="13">
        <f>IFERROR(Table410[[#This Row],[May_2027_Days_Forecast]]*Table410[[#This Row],[Cost Boolean]]*(VLOOKUP(Table410[[#This Row],[RATE CONCAT]],Tables!I:N,6,0)),0)</f>
        <v>0</v>
      </c>
      <c r="EB45" s="13">
        <f>Table410[[#This Row],[May_2027_F]]-Table410[[#This Row],[May_2027_A]]</f>
        <v>0</v>
      </c>
      <c r="EC45" s="13">
        <f>IFERROR(Table410[[#This Row],[Jun_2027_Days_Forecast]]*Table410[[#This Row],[Cost Boolean]]*(VLOOKUP(Table410[[#This Row],[RATE CONCAT]],Tables!I:N,6,0)),0)</f>
        <v>0</v>
      </c>
      <c r="EE45" s="13">
        <f>Table410[[#This Row],[Jun_2027_F]]-Table410[[#This Row],[Jun_2027_A]]</f>
        <v>0</v>
      </c>
      <c r="EF45" s="13">
        <f>IFERROR(Table410[[#This Row],[Jul_2027_Days_Forecast]]*Table410[[#This Row],[Cost Boolean]]*(VLOOKUP(Table410[[#This Row],[RATE CONCAT]],Tables!I:N,6,0)),0)</f>
        <v>0</v>
      </c>
      <c r="EH45" s="13">
        <f>Table410[[#This Row],[Jul_2027_F]]-Table410[[#This Row],[Jul_2027_A]]</f>
        <v>0</v>
      </c>
      <c r="EI45" s="13">
        <f>IFERROR(Table410[[#This Row],[Aug_2027_Days_Forecast]]*Table410[[#This Row],[Cost Boolean]]*(VLOOKUP(Table410[[#This Row],[RATE CONCAT]],Tables!I:N,6,0)),0)</f>
        <v>0</v>
      </c>
      <c r="EK45" s="13">
        <f>Table410[[#This Row],[Aug_2027_F]]-Table410[[#This Row],[Aug_2027_A]]</f>
        <v>0</v>
      </c>
      <c r="EL45" s="13">
        <f>IFERROR(Table410[[#This Row],[Sep_2027_Days_Forecast]]*Table410[[#This Row],[Cost Boolean]]*(VLOOKUP(Table410[[#This Row],[RATE CONCAT]],Tables!I:N,6,0)),0)</f>
        <v>0</v>
      </c>
      <c r="EN45" s="13">
        <f>Table410[[#This Row],[Sep_2027_F]]-Table410[[#This Row],[Sep_2027_A]]</f>
        <v>0</v>
      </c>
      <c r="EO45" s="13">
        <f>IFERROR(Table410[[#This Row],[Oct_2027_Days_Forecast]]*Table410[[#This Row],[Cost Boolean]]*(VLOOKUP(Table410[[#This Row],[RATE CONCAT]],Tables!I:N,6,0)),0)</f>
        <v>0</v>
      </c>
      <c r="EQ45" s="13">
        <f>Table410[[#This Row],[Oct_2027_F]]-Table410[[#This Row],[Oct_2027_A]]</f>
        <v>0</v>
      </c>
      <c r="ER45" s="13">
        <f>IFERROR(Table410[[#This Row],[Nov_2027_Days_Forecast]]*Table410[[#This Row],[Cost Boolean]]*(VLOOKUP(Table410[[#This Row],[RATE CONCAT]],Tables!I:N,6,0)),0)</f>
        <v>0</v>
      </c>
      <c r="ET45" s="13">
        <f>Table410[[#This Row],[Nov_2027_F]]-Table410[[#This Row],[Nov_2027_A]]</f>
        <v>0</v>
      </c>
      <c r="EU45" s="13">
        <f>IFERROR(Table410[[#This Row],[Dec_2027_Days_Forecast]]*Table410[[#This Row],[Cost Boolean]]*(VLOOKUP(Table410[[#This Row],[RATE CONCAT]],Tables!I:N,6,0)),0)</f>
        <v>0</v>
      </c>
      <c r="EW45" s="13">
        <f>Table410[[#This Row],[Dec_2027_F]]-Table410[[#This Row],[Dec_2027_A]]</f>
        <v>0</v>
      </c>
    </row>
    <row r="46" spans="1:153" s="13" customFormat="1" ht="15" customHeight="1">
      <c r="Y46" s="13" t="str">
        <f>CONCATENATE(Table410[[#This Row],[JG]],Table410[[#This Row],[Country]],Table410[[#This Row],[Resource Provider]])</f>
        <v/>
      </c>
      <c r="Z46" s="13">
        <f>VLOOKUP(Table410[[#This Row],[RATE CONCAT]],Tables!I:N,5,0)</f>
        <v>0</v>
      </c>
      <c r="AA46" s="52"/>
      <c r="AB46" s="127"/>
      <c r="AC46" s="127"/>
      <c r="AD46" s="127"/>
      <c r="AE46" s="127"/>
      <c r="AF46" s="127"/>
      <c r="AG46" s="127"/>
      <c r="AH46" s="127"/>
      <c r="AI46" s="130"/>
      <c r="AJ46" s="130"/>
      <c r="AK46" s="130"/>
      <c r="AL46" s="130"/>
      <c r="AM46" s="130"/>
      <c r="AN46" s="176">
        <f>IFERROR(AVERAGE(Table410[[#This Row],[Jan_2026_Days_Forecast]:[Dec_2026_Days_Forecast]]),0)/19</f>
        <v>0</v>
      </c>
      <c r="AO46" s="176">
        <f>IFERROR(AVERAGE(Table410[[#This Row],[Jan_2026_Days_Actual]:[Dec_2026_Days_Actual]]),0)/19</f>
        <v>0</v>
      </c>
      <c r="BB46" s="176">
        <f>IFERROR(AVERAGE(Table410[[#This Row],[Jan_2027_Days_Forecast]:[Dec_2027_Days_Forecast]]),0)</f>
        <v>0</v>
      </c>
      <c r="BC46" s="127"/>
      <c r="BD46" s="127"/>
      <c r="BE46" s="127"/>
      <c r="BF46" s="127"/>
      <c r="BG46" s="127"/>
      <c r="BH46" s="127"/>
      <c r="BI46" s="127"/>
      <c r="BJ46" s="127"/>
      <c r="BK46" s="127"/>
      <c r="BL46" s="127"/>
      <c r="BM46" s="127"/>
      <c r="BN46" s="127"/>
      <c r="BO46" s="176"/>
      <c r="BP46" s="176"/>
      <c r="BQ46" s="13">
        <f>IFERROR(Table410[[#This Row],[Jan_2026_Days_Forecast]]*Table410[[#This Row],[Cost Boolean]]*(VLOOKUP(Table410[[#This Row],[RATE CONCAT]],Tables!I:N,5,0)),0)</f>
        <v>0</v>
      </c>
      <c r="BR46" s="13">
        <f>IFERROR(Table410[[#This Row],[Jan_2026_Days_Actual]]*Table410[[#This Row],[Cost Boolean]]*(VLOOKUP(Table410[[#This Row],[RATE CONCAT]],Tables!I:N,5,0)),0)</f>
        <v>0</v>
      </c>
      <c r="BS46" s="13">
        <f>Table410[[#This Row],[Jan_2026_F]]-Table410[[#This Row],[Jan_2026_A]]</f>
        <v>0</v>
      </c>
      <c r="BU46" s="13">
        <f>IFERROR(Table410[[#This Row],[Feb_2026_Days_Forecast]]*Table410[[#This Row],[Cost Boolean]]*(VLOOKUP(Table410[[#This Row],[RATE CONCAT]],Tables!I:N,5,0)),0)</f>
        <v>0</v>
      </c>
      <c r="BV46" s="13">
        <f>IFERROR(Table410[[#This Row],[Feb_2026_Days_Actual]]*Table410[[#This Row],[Cost Boolean]]*(VLOOKUP(Table410[[#This Row],[RATE CONCAT]],Tables!I:N,5,0)),0)</f>
        <v>0</v>
      </c>
      <c r="BW46" s="13">
        <f>Table410[[#This Row],[Feb_2026_F]]-Table410[[#This Row],[Feb_2026_A]]</f>
        <v>0</v>
      </c>
      <c r="BY46" s="13">
        <f>IFERROR(Table410[[#This Row],[Mar_2026_Days_Forecast]]*Table410[[#This Row],[Cost Boolean]]*(VLOOKUP(Table410[[#This Row],[RATE CONCAT]],Tables!I:N,5,0)),0)</f>
        <v>0</v>
      </c>
      <c r="BZ46" s="13">
        <f>IFERROR(Table410[[#This Row],[Mar_2026_Days_Actual]]*Table410[[#This Row],[Cost Boolean]]*(VLOOKUP(Table410[[#This Row],[RATE CONCAT]],Tables!I:N,5,0)),0)</f>
        <v>0</v>
      </c>
      <c r="CA46" s="13">
        <f>Table410[[#This Row],[Mar_2026_F]]-Table410[[#This Row],[Mar_2026_A]]</f>
        <v>0</v>
      </c>
      <c r="CC46" s="13">
        <f>IFERROR(Table410[[#This Row],[Apr_2026_Days_Forecast]]*Table410[[#This Row],[Cost Boolean]]*(VLOOKUP(Table410[[#This Row],[RATE CONCAT]],Tables!I:N,5,0)),0)</f>
        <v>0</v>
      </c>
      <c r="CD46" s="13">
        <f>IFERROR(Table410[[#This Row],[Apr_2026_Days_Actual]]*Table410[[#This Row],[Cost Boolean]]*(VLOOKUP(Table410[[#This Row],[RATE CONCAT]],Tables!I:N,5,0)),0)</f>
        <v>0</v>
      </c>
      <c r="CE46" s="13">
        <f>Table410[[#This Row],[Apr_2026_F]]-Table410[[#This Row],[Apr_2026_A]]</f>
        <v>0</v>
      </c>
      <c r="CG46" s="13">
        <f>IFERROR(Table410[[#This Row],[May_2026_Days_Forecast]] *Table410[[#This Row],[Cost Boolean]]*(VLOOKUP(Table410[[#This Row],[RATE CONCAT]],Tables!I:N,5,0)),0)</f>
        <v>0</v>
      </c>
      <c r="CH46" s="13">
        <f>IFERROR(Table410[[#This Row],[May_2026_Days_Actual]]*Table410[[#This Row],[Cost Boolean]]*(VLOOKUP(Table410[[#This Row],[RATE CONCAT]],Tables!I:N,5,0)),0)</f>
        <v>0</v>
      </c>
      <c r="CI46" s="13">
        <f>Table410[[#This Row],[May_2026_F]]-Table410[[#This Row],[May_2026_A]]</f>
        <v>0</v>
      </c>
      <c r="CK46" s="13">
        <f>IFERROR(Table410[[#This Row],[Jun_2026_Days_Forecast]]*Table410[[#This Row],[Cost Boolean]]*(VLOOKUP(Table410[[#This Row],[RATE CONCAT]],Tables!I:N,5,0)),0)</f>
        <v>0</v>
      </c>
      <c r="CL46" s="13">
        <f>IFERROR(Table410[[#This Row],[Jun_2026_Days_Actual]]*Table410[[#This Row],[Cost Boolean]]*(VLOOKUP(Table410[[#This Row],[RATE CONCAT]],Tables!I:N,5,0)),0)</f>
        <v>0</v>
      </c>
      <c r="CM46" s="13">
        <f>Table410[[#This Row],[Jun_2026_F]]-Table410[[#This Row],[Jun_2026_A]]</f>
        <v>0</v>
      </c>
      <c r="CO46" s="13">
        <f>IFERROR(Table410[[#This Row],[Jul_2026_Days_Forecast]]*Table410[[#This Row],[Cost Boolean]]*(VLOOKUP(Table410[[#This Row],[RATE CONCAT]],Tables!I:N,5,0)),0)</f>
        <v>0</v>
      </c>
      <c r="CP46" s="13">
        <f>IFERROR(Table410[[#This Row],[Jul_2026_Days_Actual]]*Table410[[#This Row],[Cost Boolean]]*(VLOOKUP(Table410[[#This Row],[RATE CONCAT]],Tables!I:N,5,0)),0)</f>
        <v>0</v>
      </c>
      <c r="CQ46" s="13">
        <f>Table410[[#This Row],[Jul_2026_F]]-Table410[[#This Row],[Jul_2026_A]]</f>
        <v>0</v>
      </c>
      <c r="CS46" s="13">
        <f>IFERROR(Table410[[#This Row],[Aug_2026_Days_Forecast]]*Table410[[#This Row],[Cost Boolean]]*(VLOOKUP(Table410[[#This Row],[RATE CONCAT]],Tables!I:N,5,0)),0)</f>
        <v>0</v>
      </c>
      <c r="CT46" s="13">
        <f>IFERROR(Table410[[#This Row],[Aug_2026_Days_Actual]]*Table410[[#This Row],[Cost Boolean]]*(VLOOKUP(Table410[[#This Row],[RATE CONCAT]],Tables!I:N,5,0)),0)</f>
        <v>0</v>
      </c>
      <c r="CU46" s="13">
        <f>Table410[[#This Row],[Aug_2026_F]]-Table410[[#This Row],[Aug_2026_A]]</f>
        <v>0</v>
      </c>
      <c r="CW46" s="13">
        <f>IFERROR(Table410[[#This Row],[Sep_2026_Days_Forecast]]*Table410[[#This Row],[Cost Boolean]]*(VLOOKUP(Table410[[#This Row],[RATE CONCAT]],Tables!I:N,5,0)),0)</f>
        <v>0</v>
      </c>
      <c r="CX46" s="13">
        <f>IFERROR(Table410[[#This Row],[Sep_2026_Days_Actual]]*Table410[[#This Row],[Cost Boolean]]*(VLOOKUP(Table410[[#This Row],[RATE CONCAT]],Tables!I:N,5,0)),0)</f>
        <v>0</v>
      </c>
      <c r="CY46" s="13">
        <f>Table410[[#This Row],[Sep_2026_F]]-Table410[[#This Row],[Sep_2026_A]]</f>
        <v>0</v>
      </c>
      <c r="DA46" s="13">
        <f>IFERROR(Table410[[#This Row],[Oct_2026_Days_Forecast]]*Table410[[#This Row],[Cost Boolean]]*(VLOOKUP(Table410[[#This Row],[RATE CONCAT]],Tables!I:N,5,0)),0)</f>
        <v>0</v>
      </c>
      <c r="DB46" s="13">
        <f>IFERROR(Table410[[#This Row],[Oct_2026_Days_Actual]]*Table410[[#This Row],[Cost Boolean]]*(VLOOKUP(Table410[[#This Row],[RATE CONCAT]],Tables!I:N,5,0)),0)</f>
        <v>0</v>
      </c>
      <c r="DC46" s="13">
        <f>Table410[[#This Row],[Oct_2026_F]]-Table410[[#This Row],[Oct_2026_A]]</f>
        <v>0</v>
      </c>
      <c r="DE46" s="13">
        <f>IFERROR(Table410[[#This Row],[Nov_2026_Days_Forecast]]*Table410[[#This Row],[Cost Boolean]]*(VLOOKUP(Table410[[#This Row],[RATE CONCAT]],Tables!I:N,5,0)),0)</f>
        <v>0</v>
      </c>
      <c r="DF46" s="13">
        <f>IFERROR(Table410[[#This Row],[Nov_2026_Days_Actual]]*Table410[[#This Row],[Cost Boolean]]*(VLOOKUP(Table410[[#This Row],[RATE CONCAT]],Tables!I:N,5,0)),0)</f>
        <v>0</v>
      </c>
      <c r="DG46" s="13">
        <f>Table410[[#This Row],[Nov_2026_F]]-Table410[[#This Row],[Nov_2026_A]]</f>
        <v>0</v>
      </c>
      <c r="DI46" s="13">
        <f>IFERROR(Table410[[#This Row],[Dec_2026_Days_Forecast]]*Table410[[#This Row],[Cost Boolean]]*(VLOOKUP(Table410[[#This Row],[RATE CONCAT]],Tables!I:N,5,0)),0)</f>
        <v>0</v>
      </c>
      <c r="DJ46" s="13">
        <f>IFERROR(Table410[[#This Row],[Dec_2026_Days_Actual]]*Table410[[#This Row],[Cost Boolean]]*(VLOOKUP(Table410[[#This Row],[RATE CONCAT]],Tables!I:N,5,0)),0)</f>
        <v>0</v>
      </c>
      <c r="DK46" s="13">
        <f>Table410[[#This Row],[Dec_2026_F]]-Table410[[#This Row],[Dec_2026_A]]</f>
        <v>0</v>
      </c>
      <c r="DN46" s="13">
        <f>IFERROR(Table410[[#This Row],[Jan_2027_Days_Forecast]]*Table410[[#This Row],[Cost Boolean]]*(VLOOKUP(Table410[[#This Row],[RATE CONCAT]],Tables!I:N,6,0)),0)</f>
        <v>0</v>
      </c>
      <c r="DP46" s="13">
        <f>Table410[[#This Row],[Jan_2027_F]]-Table410[[#This Row],[Jan_2027_A]]</f>
        <v>0</v>
      </c>
      <c r="DQ46" s="13">
        <f>IFERROR(Table410[[#This Row],[Feb_2027_Days_Forecast]]*Table410[[#This Row],[Cost Boolean]]*(VLOOKUP(Table410[[#This Row],[RATE CONCAT]],Tables!I:N,6,0)),0)</f>
        <v>0</v>
      </c>
      <c r="DS46" s="13">
        <f>Table410[[#This Row],[Feb_2027_F]]-Table410[[#This Row],[Feb_2027_A]]</f>
        <v>0</v>
      </c>
      <c r="DT46" s="13">
        <f>IFERROR(Table410[[#This Row],[Mar_2027_Days_Forecast]]*Table410[[#This Row],[Cost Boolean]]*(VLOOKUP(Table410[[#This Row],[RATE CONCAT]],Tables!I:N,6,0)),0)</f>
        <v>0</v>
      </c>
      <c r="DV46" s="13">
        <f>Table410[[#This Row],[Mar_2027_F]]-Table410[[#This Row],[Mar_2027_A]]</f>
        <v>0</v>
      </c>
      <c r="DW46" s="13">
        <f>IFERROR(Table410[[#This Row],[Apr_2027_Days_Forecast]]*Table410[[#This Row],[Cost Boolean]]*(VLOOKUP(Table410[[#This Row],[RATE CONCAT]],Tables!I:N,6,0)),0)</f>
        <v>0</v>
      </c>
      <c r="DY46" s="13">
        <f>Table410[[#This Row],[Apr_2027_F]]-Table410[[#This Row],[Apr_2027_A]]</f>
        <v>0</v>
      </c>
      <c r="DZ46" s="13">
        <f>IFERROR(Table410[[#This Row],[May_2027_Days_Forecast]]*Table410[[#This Row],[Cost Boolean]]*(VLOOKUP(Table410[[#This Row],[RATE CONCAT]],Tables!I:N,6,0)),0)</f>
        <v>0</v>
      </c>
      <c r="EB46" s="13">
        <f>Table410[[#This Row],[May_2027_F]]-Table410[[#This Row],[May_2027_A]]</f>
        <v>0</v>
      </c>
      <c r="EC46" s="13">
        <f>IFERROR(Table410[[#This Row],[Jun_2027_Days_Forecast]]*Table410[[#This Row],[Cost Boolean]]*(VLOOKUP(Table410[[#This Row],[RATE CONCAT]],Tables!I:N,6,0)),0)</f>
        <v>0</v>
      </c>
      <c r="EE46" s="13">
        <f>Table410[[#This Row],[Jun_2027_F]]-Table410[[#This Row],[Jun_2027_A]]</f>
        <v>0</v>
      </c>
      <c r="EF46" s="13">
        <f>IFERROR(Table410[[#This Row],[Jul_2027_Days_Forecast]]*Table410[[#This Row],[Cost Boolean]]*(VLOOKUP(Table410[[#This Row],[RATE CONCAT]],Tables!I:N,6,0)),0)</f>
        <v>0</v>
      </c>
      <c r="EH46" s="13">
        <f>Table410[[#This Row],[Jul_2027_F]]-Table410[[#This Row],[Jul_2027_A]]</f>
        <v>0</v>
      </c>
      <c r="EI46" s="13">
        <f>IFERROR(Table410[[#This Row],[Aug_2027_Days_Forecast]]*Table410[[#This Row],[Cost Boolean]]*(VLOOKUP(Table410[[#This Row],[RATE CONCAT]],Tables!I:N,6,0)),0)</f>
        <v>0</v>
      </c>
      <c r="EK46" s="13">
        <f>Table410[[#This Row],[Aug_2027_F]]-Table410[[#This Row],[Aug_2027_A]]</f>
        <v>0</v>
      </c>
      <c r="EL46" s="13">
        <f>IFERROR(Table410[[#This Row],[Sep_2027_Days_Forecast]]*Table410[[#This Row],[Cost Boolean]]*(VLOOKUP(Table410[[#This Row],[RATE CONCAT]],Tables!I:N,6,0)),0)</f>
        <v>0</v>
      </c>
      <c r="EN46" s="13">
        <f>Table410[[#This Row],[Sep_2027_F]]-Table410[[#This Row],[Sep_2027_A]]</f>
        <v>0</v>
      </c>
      <c r="EO46" s="13">
        <f>IFERROR(Table410[[#This Row],[Oct_2027_Days_Forecast]]*Table410[[#This Row],[Cost Boolean]]*(VLOOKUP(Table410[[#This Row],[RATE CONCAT]],Tables!I:N,6,0)),0)</f>
        <v>0</v>
      </c>
      <c r="EQ46" s="13">
        <f>Table410[[#This Row],[Oct_2027_F]]-Table410[[#This Row],[Oct_2027_A]]</f>
        <v>0</v>
      </c>
      <c r="ER46" s="13">
        <f>IFERROR(Table410[[#This Row],[Nov_2027_Days_Forecast]]*Table410[[#This Row],[Cost Boolean]]*(VLOOKUP(Table410[[#This Row],[RATE CONCAT]],Tables!I:N,6,0)),0)</f>
        <v>0</v>
      </c>
      <c r="ET46" s="13">
        <f>Table410[[#This Row],[Nov_2027_F]]-Table410[[#This Row],[Nov_2027_A]]</f>
        <v>0</v>
      </c>
      <c r="EU46" s="13">
        <f>IFERROR(Table410[[#This Row],[Dec_2027_Days_Forecast]]*Table410[[#This Row],[Cost Boolean]]*(VLOOKUP(Table410[[#This Row],[RATE CONCAT]],Tables!I:N,6,0)),0)</f>
        <v>0</v>
      </c>
      <c r="EW46" s="13">
        <f>Table410[[#This Row],[Dec_2027_F]]-Table410[[#This Row],[Dec_2027_A]]</f>
        <v>0</v>
      </c>
    </row>
    <row r="47" spans="1:153" s="13" customFormat="1" ht="15" customHeight="1">
      <c r="Y47" s="13" t="str">
        <f>CONCATENATE(Table410[[#This Row],[JG]],Table410[[#This Row],[Country]],Table410[[#This Row],[Resource Provider]])</f>
        <v/>
      </c>
      <c r="Z47" s="13">
        <f>VLOOKUP(Table410[[#This Row],[RATE CONCAT]],Tables!I:N,5,0)</f>
        <v>0</v>
      </c>
      <c r="AA47" s="52"/>
      <c r="AB47" s="127"/>
      <c r="AC47" s="127"/>
      <c r="AD47" s="127"/>
      <c r="AE47" s="127"/>
      <c r="AF47" s="127"/>
      <c r="AG47" s="127"/>
      <c r="AH47" s="127"/>
      <c r="AI47" s="130"/>
      <c r="AJ47" s="130"/>
      <c r="AK47" s="130"/>
      <c r="AL47" s="130"/>
      <c r="AM47" s="130"/>
      <c r="AN47" s="176">
        <f>IFERROR(AVERAGE(Table410[[#This Row],[Jan_2026_Days_Forecast]:[Dec_2026_Days_Forecast]]),0)/19</f>
        <v>0</v>
      </c>
      <c r="AO47" s="176">
        <f>IFERROR(AVERAGE(Table410[[#This Row],[Jan_2026_Days_Actual]:[Dec_2026_Days_Actual]]),0)/19</f>
        <v>0</v>
      </c>
      <c r="BB47" s="176">
        <f>IFERROR(AVERAGE(Table410[[#This Row],[Jan_2027_Days_Forecast]:[Dec_2027_Days_Forecast]]),0)</f>
        <v>0</v>
      </c>
      <c r="BC47" s="127"/>
      <c r="BD47" s="127"/>
      <c r="BE47" s="127"/>
      <c r="BF47" s="127"/>
      <c r="BG47" s="127"/>
      <c r="BH47" s="127"/>
      <c r="BI47" s="127"/>
      <c r="BJ47" s="127"/>
      <c r="BK47" s="127"/>
      <c r="BL47" s="127"/>
      <c r="BM47" s="127"/>
      <c r="BN47" s="127"/>
      <c r="BO47" s="176"/>
      <c r="BP47" s="176"/>
      <c r="BQ47" s="13">
        <f>IFERROR(Table410[[#This Row],[Jan_2026_Days_Forecast]]*Table410[[#This Row],[Cost Boolean]]*(VLOOKUP(Table410[[#This Row],[RATE CONCAT]],Tables!I:N,5,0)),0)</f>
        <v>0</v>
      </c>
      <c r="BR47" s="13">
        <f>IFERROR(Table410[[#This Row],[Jan_2026_Days_Actual]]*Table410[[#This Row],[Cost Boolean]]*(VLOOKUP(Table410[[#This Row],[RATE CONCAT]],Tables!I:N,5,0)),0)</f>
        <v>0</v>
      </c>
      <c r="BS47" s="13">
        <f>Table410[[#This Row],[Jan_2026_F]]-Table410[[#This Row],[Jan_2026_A]]</f>
        <v>0</v>
      </c>
      <c r="BU47" s="13">
        <f>IFERROR(Table410[[#This Row],[Feb_2026_Days_Forecast]]*Table410[[#This Row],[Cost Boolean]]*(VLOOKUP(Table410[[#This Row],[RATE CONCAT]],Tables!I:N,5,0)),0)</f>
        <v>0</v>
      </c>
      <c r="BV47" s="13">
        <f>IFERROR(Table410[[#This Row],[Feb_2026_Days_Actual]]*Table410[[#This Row],[Cost Boolean]]*(VLOOKUP(Table410[[#This Row],[RATE CONCAT]],Tables!I:N,5,0)),0)</f>
        <v>0</v>
      </c>
      <c r="BW47" s="13">
        <f>Table410[[#This Row],[Feb_2026_F]]-Table410[[#This Row],[Feb_2026_A]]</f>
        <v>0</v>
      </c>
      <c r="BY47" s="13">
        <f>IFERROR(Table410[[#This Row],[Mar_2026_Days_Forecast]]*Table410[[#This Row],[Cost Boolean]]*(VLOOKUP(Table410[[#This Row],[RATE CONCAT]],Tables!I:N,5,0)),0)</f>
        <v>0</v>
      </c>
      <c r="BZ47" s="13">
        <f>IFERROR(Table410[[#This Row],[Mar_2026_Days_Actual]]*Table410[[#This Row],[Cost Boolean]]*(VLOOKUP(Table410[[#This Row],[RATE CONCAT]],Tables!I:N,5,0)),0)</f>
        <v>0</v>
      </c>
      <c r="CA47" s="13">
        <f>Table410[[#This Row],[Mar_2026_F]]-Table410[[#This Row],[Mar_2026_A]]</f>
        <v>0</v>
      </c>
      <c r="CC47" s="13">
        <f>IFERROR(Table410[[#This Row],[Apr_2026_Days_Forecast]]*Table410[[#This Row],[Cost Boolean]]*(VLOOKUP(Table410[[#This Row],[RATE CONCAT]],Tables!I:N,5,0)),0)</f>
        <v>0</v>
      </c>
      <c r="CD47" s="13">
        <f>IFERROR(Table410[[#This Row],[Apr_2026_Days_Actual]]*Table410[[#This Row],[Cost Boolean]]*(VLOOKUP(Table410[[#This Row],[RATE CONCAT]],Tables!I:N,5,0)),0)</f>
        <v>0</v>
      </c>
      <c r="CE47" s="13">
        <f>Table410[[#This Row],[Apr_2026_F]]-Table410[[#This Row],[Apr_2026_A]]</f>
        <v>0</v>
      </c>
      <c r="CG47" s="13">
        <f>IFERROR(Table410[[#This Row],[May_2026_Days_Forecast]] *Table410[[#This Row],[Cost Boolean]]*(VLOOKUP(Table410[[#This Row],[RATE CONCAT]],Tables!I:N,5,0)),0)</f>
        <v>0</v>
      </c>
      <c r="CH47" s="13">
        <f>IFERROR(Table410[[#This Row],[May_2026_Days_Actual]]*Table410[[#This Row],[Cost Boolean]]*(VLOOKUP(Table410[[#This Row],[RATE CONCAT]],Tables!I:N,5,0)),0)</f>
        <v>0</v>
      </c>
      <c r="CI47" s="13">
        <f>Table410[[#This Row],[May_2026_F]]-Table410[[#This Row],[May_2026_A]]</f>
        <v>0</v>
      </c>
      <c r="CK47" s="13">
        <f>IFERROR(Table410[[#This Row],[Jun_2026_Days_Forecast]]*Table410[[#This Row],[Cost Boolean]]*(VLOOKUP(Table410[[#This Row],[RATE CONCAT]],Tables!I:N,5,0)),0)</f>
        <v>0</v>
      </c>
      <c r="CL47" s="13">
        <f>IFERROR(Table410[[#This Row],[Jun_2026_Days_Actual]]*Table410[[#This Row],[Cost Boolean]]*(VLOOKUP(Table410[[#This Row],[RATE CONCAT]],Tables!I:N,5,0)),0)</f>
        <v>0</v>
      </c>
      <c r="CM47" s="13">
        <f>Table410[[#This Row],[Jun_2026_F]]-Table410[[#This Row],[Jun_2026_A]]</f>
        <v>0</v>
      </c>
      <c r="CO47" s="13">
        <f>IFERROR(Table410[[#This Row],[Jul_2026_Days_Forecast]]*Table410[[#This Row],[Cost Boolean]]*(VLOOKUP(Table410[[#This Row],[RATE CONCAT]],Tables!I:N,5,0)),0)</f>
        <v>0</v>
      </c>
      <c r="CP47" s="13">
        <f>IFERROR(Table410[[#This Row],[Jul_2026_Days_Actual]]*Table410[[#This Row],[Cost Boolean]]*(VLOOKUP(Table410[[#This Row],[RATE CONCAT]],Tables!I:N,5,0)),0)</f>
        <v>0</v>
      </c>
      <c r="CQ47" s="13">
        <f>Table410[[#This Row],[Jul_2026_F]]-Table410[[#This Row],[Jul_2026_A]]</f>
        <v>0</v>
      </c>
      <c r="CS47" s="13">
        <f>IFERROR(Table410[[#This Row],[Aug_2026_Days_Forecast]]*Table410[[#This Row],[Cost Boolean]]*(VLOOKUP(Table410[[#This Row],[RATE CONCAT]],Tables!I:N,5,0)),0)</f>
        <v>0</v>
      </c>
      <c r="CT47" s="13">
        <f>IFERROR(Table410[[#This Row],[Aug_2026_Days_Actual]]*Table410[[#This Row],[Cost Boolean]]*(VLOOKUP(Table410[[#This Row],[RATE CONCAT]],Tables!I:N,5,0)),0)</f>
        <v>0</v>
      </c>
      <c r="CU47" s="13">
        <f>Table410[[#This Row],[Aug_2026_F]]-Table410[[#This Row],[Aug_2026_A]]</f>
        <v>0</v>
      </c>
      <c r="CW47" s="13">
        <f>IFERROR(Table410[[#This Row],[Sep_2026_Days_Forecast]]*Table410[[#This Row],[Cost Boolean]]*(VLOOKUP(Table410[[#This Row],[RATE CONCAT]],Tables!I:N,5,0)),0)</f>
        <v>0</v>
      </c>
      <c r="CX47" s="13">
        <f>IFERROR(Table410[[#This Row],[Sep_2026_Days_Actual]]*Table410[[#This Row],[Cost Boolean]]*(VLOOKUP(Table410[[#This Row],[RATE CONCAT]],Tables!I:N,5,0)),0)</f>
        <v>0</v>
      </c>
      <c r="CY47" s="13">
        <f>Table410[[#This Row],[Sep_2026_F]]-Table410[[#This Row],[Sep_2026_A]]</f>
        <v>0</v>
      </c>
      <c r="DA47" s="13">
        <f>IFERROR(Table410[[#This Row],[Oct_2026_Days_Forecast]]*Table410[[#This Row],[Cost Boolean]]*(VLOOKUP(Table410[[#This Row],[RATE CONCAT]],Tables!I:N,5,0)),0)</f>
        <v>0</v>
      </c>
      <c r="DB47" s="13">
        <f>IFERROR(Table410[[#This Row],[Oct_2026_Days_Actual]]*Table410[[#This Row],[Cost Boolean]]*(VLOOKUP(Table410[[#This Row],[RATE CONCAT]],Tables!I:N,5,0)),0)</f>
        <v>0</v>
      </c>
      <c r="DC47" s="13">
        <f>Table410[[#This Row],[Oct_2026_F]]-Table410[[#This Row],[Oct_2026_A]]</f>
        <v>0</v>
      </c>
      <c r="DE47" s="13">
        <f>IFERROR(Table410[[#This Row],[Nov_2026_Days_Forecast]]*Table410[[#This Row],[Cost Boolean]]*(VLOOKUP(Table410[[#This Row],[RATE CONCAT]],Tables!I:N,5,0)),0)</f>
        <v>0</v>
      </c>
      <c r="DF47" s="13">
        <f>IFERROR(Table410[[#This Row],[Nov_2026_Days_Actual]]*Table410[[#This Row],[Cost Boolean]]*(VLOOKUP(Table410[[#This Row],[RATE CONCAT]],Tables!I:N,5,0)),0)</f>
        <v>0</v>
      </c>
      <c r="DG47" s="13">
        <f>Table410[[#This Row],[Nov_2026_F]]-Table410[[#This Row],[Nov_2026_A]]</f>
        <v>0</v>
      </c>
      <c r="DI47" s="13">
        <f>IFERROR(Table410[[#This Row],[Dec_2026_Days_Forecast]]*Table410[[#This Row],[Cost Boolean]]*(VLOOKUP(Table410[[#This Row],[RATE CONCAT]],Tables!I:N,5,0)),0)</f>
        <v>0</v>
      </c>
      <c r="DJ47" s="13">
        <f>IFERROR(Table410[[#This Row],[Dec_2026_Days_Actual]]*Table410[[#This Row],[Cost Boolean]]*(VLOOKUP(Table410[[#This Row],[RATE CONCAT]],Tables!I:N,5,0)),0)</f>
        <v>0</v>
      </c>
      <c r="DK47" s="13">
        <f>Table410[[#This Row],[Dec_2026_F]]-Table410[[#This Row],[Dec_2026_A]]</f>
        <v>0</v>
      </c>
      <c r="DN47" s="13">
        <f>IFERROR(Table410[[#This Row],[Jan_2027_Days_Forecast]]*Table410[[#This Row],[Cost Boolean]]*(VLOOKUP(Table410[[#This Row],[RATE CONCAT]],Tables!I:N,6,0)),0)</f>
        <v>0</v>
      </c>
      <c r="DP47" s="13">
        <f>Table410[[#This Row],[Jan_2027_F]]-Table410[[#This Row],[Jan_2027_A]]</f>
        <v>0</v>
      </c>
      <c r="DQ47" s="13">
        <f>IFERROR(Table410[[#This Row],[Feb_2027_Days_Forecast]]*Table410[[#This Row],[Cost Boolean]]*(VLOOKUP(Table410[[#This Row],[RATE CONCAT]],Tables!I:N,6,0)),0)</f>
        <v>0</v>
      </c>
      <c r="DS47" s="13">
        <f>Table410[[#This Row],[Feb_2027_F]]-Table410[[#This Row],[Feb_2027_A]]</f>
        <v>0</v>
      </c>
      <c r="DT47" s="13">
        <f>IFERROR(Table410[[#This Row],[Mar_2027_Days_Forecast]]*Table410[[#This Row],[Cost Boolean]]*(VLOOKUP(Table410[[#This Row],[RATE CONCAT]],Tables!I:N,6,0)),0)</f>
        <v>0</v>
      </c>
      <c r="DV47" s="13">
        <f>Table410[[#This Row],[Mar_2027_F]]-Table410[[#This Row],[Mar_2027_A]]</f>
        <v>0</v>
      </c>
      <c r="DW47" s="13">
        <f>IFERROR(Table410[[#This Row],[Apr_2027_Days_Forecast]]*Table410[[#This Row],[Cost Boolean]]*(VLOOKUP(Table410[[#This Row],[RATE CONCAT]],Tables!I:N,6,0)),0)</f>
        <v>0</v>
      </c>
      <c r="DY47" s="13">
        <f>Table410[[#This Row],[Apr_2027_F]]-Table410[[#This Row],[Apr_2027_A]]</f>
        <v>0</v>
      </c>
      <c r="DZ47" s="13">
        <f>IFERROR(Table410[[#This Row],[May_2027_Days_Forecast]]*Table410[[#This Row],[Cost Boolean]]*(VLOOKUP(Table410[[#This Row],[RATE CONCAT]],Tables!I:N,6,0)),0)</f>
        <v>0</v>
      </c>
      <c r="EB47" s="13">
        <f>Table410[[#This Row],[May_2027_F]]-Table410[[#This Row],[May_2027_A]]</f>
        <v>0</v>
      </c>
      <c r="EC47" s="13">
        <f>IFERROR(Table410[[#This Row],[Jun_2027_Days_Forecast]]*Table410[[#This Row],[Cost Boolean]]*(VLOOKUP(Table410[[#This Row],[RATE CONCAT]],Tables!I:N,6,0)),0)</f>
        <v>0</v>
      </c>
      <c r="EE47" s="13">
        <f>Table410[[#This Row],[Jun_2027_F]]-Table410[[#This Row],[Jun_2027_A]]</f>
        <v>0</v>
      </c>
      <c r="EF47" s="13">
        <f>IFERROR(Table410[[#This Row],[Jul_2027_Days_Forecast]]*Table410[[#This Row],[Cost Boolean]]*(VLOOKUP(Table410[[#This Row],[RATE CONCAT]],Tables!I:N,6,0)),0)</f>
        <v>0</v>
      </c>
      <c r="EH47" s="13">
        <f>Table410[[#This Row],[Jul_2027_F]]-Table410[[#This Row],[Jul_2027_A]]</f>
        <v>0</v>
      </c>
      <c r="EI47" s="13">
        <f>IFERROR(Table410[[#This Row],[Aug_2027_Days_Forecast]]*Table410[[#This Row],[Cost Boolean]]*(VLOOKUP(Table410[[#This Row],[RATE CONCAT]],Tables!I:N,6,0)),0)</f>
        <v>0</v>
      </c>
      <c r="EK47" s="13">
        <f>Table410[[#This Row],[Aug_2027_F]]-Table410[[#This Row],[Aug_2027_A]]</f>
        <v>0</v>
      </c>
      <c r="EL47" s="13">
        <f>IFERROR(Table410[[#This Row],[Sep_2027_Days_Forecast]]*Table410[[#This Row],[Cost Boolean]]*(VLOOKUP(Table410[[#This Row],[RATE CONCAT]],Tables!I:N,6,0)),0)</f>
        <v>0</v>
      </c>
      <c r="EN47" s="13">
        <f>Table410[[#This Row],[Sep_2027_F]]-Table410[[#This Row],[Sep_2027_A]]</f>
        <v>0</v>
      </c>
      <c r="EO47" s="13">
        <f>IFERROR(Table410[[#This Row],[Oct_2027_Days_Forecast]]*Table410[[#This Row],[Cost Boolean]]*(VLOOKUP(Table410[[#This Row],[RATE CONCAT]],Tables!I:N,6,0)),0)</f>
        <v>0</v>
      </c>
      <c r="EQ47" s="13">
        <f>Table410[[#This Row],[Oct_2027_F]]-Table410[[#This Row],[Oct_2027_A]]</f>
        <v>0</v>
      </c>
      <c r="ER47" s="13">
        <f>IFERROR(Table410[[#This Row],[Nov_2027_Days_Forecast]]*Table410[[#This Row],[Cost Boolean]]*(VLOOKUP(Table410[[#This Row],[RATE CONCAT]],Tables!I:N,6,0)),0)</f>
        <v>0</v>
      </c>
      <c r="ET47" s="13">
        <f>Table410[[#This Row],[Nov_2027_F]]-Table410[[#This Row],[Nov_2027_A]]</f>
        <v>0</v>
      </c>
      <c r="EU47" s="13">
        <f>IFERROR(Table410[[#This Row],[Dec_2027_Days_Forecast]]*Table410[[#This Row],[Cost Boolean]]*(VLOOKUP(Table410[[#This Row],[RATE CONCAT]],Tables!I:N,6,0)),0)</f>
        <v>0</v>
      </c>
      <c r="EW47" s="13">
        <f>Table410[[#This Row],[Dec_2027_F]]-Table410[[#This Row],[Dec_2027_A]]</f>
        <v>0</v>
      </c>
    </row>
    <row r="48" spans="1:153" s="13" customFormat="1" ht="15" customHeight="1">
      <c r="Y48" s="13" t="str">
        <f>CONCATENATE(Table410[[#This Row],[JG]],Table410[[#This Row],[Country]],Table410[[#This Row],[Resource Provider]])</f>
        <v/>
      </c>
      <c r="Z48" s="13">
        <f>VLOOKUP(Table410[[#This Row],[RATE CONCAT]],Tables!I:N,5,0)</f>
        <v>0</v>
      </c>
      <c r="AA48" s="52"/>
      <c r="AB48" s="127"/>
      <c r="AC48" s="127"/>
      <c r="AD48" s="127"/>
      <c r="AE48" s="127"/>
      <c r="AF48" s="127"/>
      <c r="AG48" s="127"/>
      <c r="AH48" s="130"/>
      <c r="AI48" s="130"/>
      <c r="AJ48" s="130"/>
      <c r="AK48" s="130"/>
      <c r="AL48" s="130"/>
      <c r="AM48" s="130"/>
      <c r="AN48" s="176">
        <f>IFERROR(AVERAGE(Table410[[#This Row],[Jan_2026_Days_Forecast]:[Dec_2026_Days_Forecast]]),0)/19</f>
        <v>0</v>
      </c>
      <c r="AO48" s="176">
        <f>IFERROR(AVERAGE(Table410[[#This Row],[Jan_2026_Days_Actual]:[Dec_2026_Days_Actual]]),0)/19</f>
        <v>0</v>
      </c>
      <c r="BB48" s="176">
        <f>IFERROR(AVERAGE(Table410[[#This Row],[Jan_2027_Days_Forecast]:[Dec_2027_Days_Forecast]]),0)</f>
        <v>0</v>
      </c>
      <c r="BC48" s="127"/>
      <c r="BD48" s="127"/>
      <c r="BE48" s="127"/>
      <c r="BF48" s="127"/>
      <c r="BG48" s="127"/>
      <c r="BH48" s="127"/>
      <c r="BI48" s="127"/>
      <c r="BJ48" s="127"/>
      <c r="BK48" s="127"/>
      <c r="BL48" s="127"/>
      <c r="BM48" s="127"/>
      <c r="BN48" s="127"/>
      <c r="BO48" s="176"/>
      <c r="BP48" s="176"/>
      <c r="BQ48" s="13">
        <f>IFERROR(Table410[[#This Row],[Jan_2026_Days_Forecast]]*Table410[[#This Row],[Cost Boolean]]*(VLOOKUP(Table410[[#This Row],[RATE CONCAT]],Tables!I:N,5,0)),0)</f>
        <v>0</v>
      </c>
      <c r="BR48" s="13">
        <f>IFERROR(Table410[[#This Row],[Jan_2026_Days_Actual]]*Table410[[#This Row],[Cost Boolean]]*(VLOOKUP(Table410[[#This Row],[RATE CONCAT]],Tables!I:N,5,0)),0)</f>
        <v>0</v>
      </c>
      <c r="BS48" s="13">
        <f>Table410[[#This Row],[Jan_2026_F]]-Table410[[#This Row],[Jan_2026_A]]</f>
        <v>0</v>
      </c>
      <c r="BU48" s="13">
        <f>IFERROR(Table410[[#This Row],[Feb_2026_Days_Forecast]]*Table410[[#This Row],[Cost Boolean]]*(VLOOKUP(Table410[[#This Row],[RATE CONCAT]],Tables!I:N,5,0)),0)</f>
        <v>0</v>
      </c>
      <c r="BV48" s="13">
        <f>IFERROR(Table410[[#This Row],[Feb_2026_Days_Actual]]*Table410[[#This Row],[Cost Boolean]]*(VLOOKUP(Table410[[#This Row],[RATE CONCAT]],Tables!I:N,5,0)),0)</f>
        <v>0</v>
      </c>
      <c r="BW48" s="13">
        <f>Table410[[#This Row],[Feb_2026_F]]-Table410[[#This Row],[Feb_2026_A]]</f>
        <v>0</v>
      </c>
      <c r="BY48" s="13">
        <f>IFERROR(Table410[[#This Row],[Mar_2026_Days_Forecast]]*Table410[[#This Row],[Cost Boolean]]*(VLOOKUP(Table410[[#This Row],[RATE CONCAT]],Tables!I:N,5,0)),0)</f>
        <v>0</v>
      </c>
      <c r="BZ48" s="13">
        <f>IFERROR(Table410[[#This Row],[Mar_2026_Days_Actual]]*Table410[[#This Row],[Cost Boolean]]*(VLOOKUP(Table410[[#This Row],[RATE CONCAT]],Tables!I:N,5,0)),0)</f>
        <v>0</v>
      </c>
      <c r="CA48" s="13">
        <f>Table410[[#This Row],[Mar_2026_F]]-Table410[[#This Row],[Mar_2026_A]]</f>
        <v>0</v>
      </c>
      <c r="CC48" s="13">
        <f>IFERROR(Table410[[#This Row],[Apr_2026_Days_Forecast]]*Table410[[#This Row],[Cost Boolean]]*(VLOOKUP(Table410[[#This Row],[RATE CONCAT]],Tables!I:N,5,0)),0)</f>
        <v>0</v>
      </c>
      <c r="CD48" s="13">
        <f>IFERROR(Table410[[#This Row],[Apr_2026_Days_Actual]]*Table410[[#This Row],[Cost Boolean]]*(VLOOKUP(Table410[[#This Row],[RATE CONCAT]],Tables!I:N,5,0)),0)</f>
        <v>0</v>
      </c>
      <c r="CE48" s="13">
        <f>Table410[[#This Row],[Apr_2026_F]]-Table410[[#This Row],[Apr_2026_A]]</f>
        <v>0</v>
      </c>
      <c r="CG48" s="13">
        <f>IFERROR(Table410[[#This Row],[May_2026_Days_Forecast]] *Table410[[#This Row],[Cost Boolean]]*(VLOOKUP(Table410[[#This Row],[RATE CONCAT]],Tables!I:N,5,0)),0)</f>
        <v>0</v>
      </c>
      <c r="CH48" s="13">
        <f>IFERROR(Table410[[#This Row],[May_2026_Days_Actual]]*Table410[[#This Row],[Cost Boolean]]*(VLOOKUP(Table410[[#This Row],[RATE CONCAT]],Tables!I:N,5,0)),0)</f>
        <v>0</v>
      </c>
      <c r="CI48" s="13">
        <f>Table410[[#This Row],[May_2026_F]]-Table410[[#This Row],[May_2026_A]]</f>
        <v>0</v>
      </c>
      <c r="CK48" s="13">
        <f>IFERROR(Table410[[#This Row],[Jun_2026_Days_Forecast]]*Table410[[#This Row],[Cost Boolean]]*(VLOOKUP(Table410[[#This Row],[RATE CONCAT]],Tables!I:N,5,0)),0)</f>
        <v>0</v>
      </c>
      <c r="CL48" s="13">
        <f>IFERROR(Table410[[#This Row],[Jun_2026_Days_Actual]]*Table410[[#This Row],[Cost Boolean]]*(VLOOKUP(Table410[[#This Row],[RATE CONCAT]],Tables!I:N,5,0)),0)</f>
        <v>0</v>
      </c>
      <c r="CM48" s="13">
        <f>Table410[[#This Row],[Jun_2026_F]]-Table410[[#This Row],[Jun_2026_A]]</f>
        <v>0</v>
      </c>
      <c r="CO48" s="13">
        <f>IFERROR(Table410[[#This Row],[Jul_2026_Days_Forecast]]*Table410[[#This Row],[Cost Boolean]]*(VLOOKUP(Table410[[#This Row],[RATE CONCAT]],Tables!I:N,5,0)),0)</f>
        <v>0</v>
      </c>
      <c r="CP48" s="13">
        <f>IFERROR(Table410[[#This Row],[Jul_2026_Days_Actual]]*Table410[[#This Row],[Cost Boolean]]*(VLOOKUP(Table410[[#This Row],[RATE CONCAT]],Tables!I:N,5,0)),0)</f>
        <v>0</v>
      </c>
      <c r="CQ48" s="13">
        <f>Table410[[#This Row],[Jul_2026_F]]-Table410[[#This Row],[Jul_2026_A]]</f>
        <v>0</v>
      </c>
      <c r="CS48" s="13">
        <f>IFERROR(Table410[[#This Row],[Aug_2026_Days_Forecast]]*Table410[[#This Row],[Cost Boolean]]*(VLOOKUP(Table410[[#This Row],[RATE CONCAT]],Tables!I:N,5,0)),0)</f>
        <v>0</v>
      </c>
      <c r="CT48" s="13">
        <f>IFERROR(Table410[[#This Row],[Aug_2026_Days_Actual]]*Table410[[#This Row],[Cost Boolean]]*(VLOOKUP(Table410[[#This Row],[RATE CONCAT]],Tables!I:N,5,0)),0)</f>
        <v>0</v>
      </c>
      <c r="CU48" s="13">
        <f>Table410[[#This Row],[Aug_2026_F]]-Table410[[#This Row],[Aug_2026_A]]</f>
        <v>0</v>
      </c>
      <c r="CW48" s="13">
        <f>IFERROR(Table410[[#This Row],[Sep_2026_Days_Forecast]]*Table410[[#This Row],[Cost Boolean]]*(VLOOKUP(Table410[[#This Row],[RATE CONCAT]],Tables!I:N,5,0)),0)</f>
        <v>0</v>
      </c>
      <c r="CX48" s="13">
        <f>IFERROR(Table410[[#This Row],[Sep_2026_Days_Actual]]*Table410[[#This Row],[Cost Boolean]]*(VLOOKUP(Table410[[#This Row],[RATE CONCAT]],Tables!I:N,5,0)),0)</f>
        <v>0</v>
      </c>
      <c r="CY48" s="13">
        <f>Table410[[#This Row],[Sep_2026_F]]-Table410[[#This Row],[Sep_2026_A]]</f>
        <v>0</v>
      </c>
      <c r="DA48" s="13">
        <f>IFERROR(Table410[[#This Row],[Oct_2026_Days_Forecast]]*Table410[[#This Row],[Cost Boolean]]*(VLOOKUP(Table410[[#This Row],[RATE CONCAT]],Tables!I:N,5,0)),0)</f>
        <v>0</v>
      </c>
      <c r="DB48" s="13">
        <f>IFERROR(Table410[[#This Row],[Oct_2026_Days_Actual]]*Table410[[#This Row],[Cost Boolean]]*(VLOOKUP(Table410[[#This Row],[RATE CONCAT]],Tables!I:N,5,0)),0)</f>
        <v>0</v>
      </c>
      <c r="DC48" s="13">
        <f>Table410[[#This Row],[Oct_2026_F]]-Table410[[#This Row],[Oct_2026_A]]</f>
        <v>0</v>
      </c>
      <c r="DE48" s="13">
        <f>IFERROR(Table410[[#This Row],[Nov_2026_Days_Forecast]]*Table410[[#This Row],[Cost Boolean]]*(VLOOKUP(Table410[[#This Row],[RATE CONCAT]],Tables!I:N,5,0)),0)</f>
        <v>0</v>
      </c>
      <c r="DF48" s="13">
        <f>IFERROR(Table410[[#This Row],[Nov_2026_Days_Actual]]*Table410[[#This Row],[Cost Boolean]]*(VLOOKUP(Table410[[#This Row],[RATE CONCAT]],Tables!I:N,5,0)),0)</f>
        <v>0</v>
      </c>
      <c r="DG48" s="13">
        <f>Table410[[#This Row],[Nov_2026_F]]-Table410[[#This Row],[Nov_2026_A]]</f>
        <v>0</v>
      </c>
      <c r="DI48" s="13">
        <f>IFERROR(Table410[[#This Row],[Dec_2026_Days_Forecast]]*Table410[[#This Row],[Cost Boolean]]*(VLOOKUP(Table410[[#This Row],[RATE CONCAT]],Tables!I:N,5,0)),0)</f>
        <v>0</v>
      </c>
      <c r="DJ48" s="13">
        <f>IFERROR(Table410[[#This Row],[Dec_2026_Days_Actual]]*Table410[[#This Row],[Cost Boolean]]*(VLOOKUP(Table410[[#This Row],[RATE CONCAT]],Tables!I:N,5,0)),0)</f>
        <v>0</v>
      </c>
      <c r="DK48" s="13">
        <f>Table410[[#This Row],[Dec_2026_F]]-Table410[[#This Row],[Dec_2026_A]]</f>
        <v>0</v>
      </c>
      <c r="DN48" s="13">
        <f>IFERROR(Table410[[#This Row],[Jan_2027_Days_Forecast]]*Table410[[#This Row],[Cost Boolean]]*(VLOOKUP(Table410[[#This Row],[RATE CONCAT]],Tables!I:N,6,0)),0)</f>
        <v>0</v>
      </c>
      <c r="DP48" s="13">
        <f>Table410[[#This Row],[Jan_2027_F]]-Table410[[#This Row],[Jan_2027_A]]</f>
        <v>0</v>
      </c>
      <c r="DQ48" s="13">
        <f>IFERROR(Table410[[#This Row],[Feb_2027_Days_Forecast]]*Table410[[#This Row],[Cost Boolean]]*(VLOOKUP(Table410[[#This Row],[RATE CONCAT]],Tables!I:N,6,0)),0)</f>
        <v>0</v>
      </c>
      <c r="DS48" s="13">
        <f>Table410[[#This Row],[Feb_2027_F]]-Table410[[#This Row],[Feb_2027_A]]</f>
        <v>0</v>
      </c>
      <c r="DT48" s="13">
        <f>IFERROR(Table410[[#This Row],[Mar_2027_Days_Forecast]]*Table410[[#This Row],[Cost Boolean]]*(VLOOKUP(Table410[[#This Row],[RATE CONCAT]],Tables!I:N,6,0)),0)</f>
        <v>0</v>
      </c>
      <c r="DV48" s="13">
        <f>Table410[[#This Row],[Mar_2027_F]]-Table410[[#This Row],[Mar_2027_A]]</f>
        <v>0</v>
      </c>
      <c r="DW48" s="13">
        <f>IFERROR(Table410[[#This Row],[Apr_2027_Days_Forecast]]*Table410[[#This Row],[Cost Boolean]]*(VLOOKUP(Table410[[#This Row],[RATE CONCAT]],Tables!I:N,6,0)),0)</f>
        <v>0</v>
      </c>
      <c r="DY48" s="13">
        <f>Table410[[#This Row],[Apr_2027_F]]-Table410[[#This Row],[Apr_2027_A]]</f>
        <v>0</v>
      </c>
      <c r="DZ48" s="13">
        <f>IFERROR(Table410[[#This Row],[May_2027_Days_Forecast]]*Table410[[#This Row],[Cost Boolean]]*(VLOOKUP(Table410[[#This Row],[RATE CONCAT]],Tables!I:N,6,0)),0)</f>
        <v>0</v>
      </c>
      <c r="EB48" s="13">
        <f>Table410[[#This Row],[May_2027_F]]-Table410[[#This Row],[May_2027_A]]</f>
        <v>0</v>
      </c>
      <c r="EC48" s="13">
        <f>IFERROR(Table410[[#This Row],[Jun_2027_Days_Forecast]]*Table410[[#This Row],[Cost Boolean]]*(VLOOKUP(Table410[[#This Row],[RATE CONCAT]],Tables!I:N,6,0)),0)</f>
        <v>0</v>
      </c>
      <c r="EE48" s="13">
        <f>Table410[[#This Row],[Jun_2027_F]]-Table410[[#This Row],[Jun_2027_A]]</f>
        <v>0</v>
      </c>
      <c r="EF48" s="13">
        <f>IFERROR(Table410[[#This Row],[Jul_2027_Days_Forecast]]*Table410[[#This Row],[Cost Boolean]]*(VLOOKUP(Table410[[#This Row],[RATE CONCAT]],Tables!I:N,6,0)),0)</f>
        <v>0</v>
      </c>
      <c r="EH48" s="13">
        <f>Table410[[#This Row],[Jul_2027_F]]-Table410[[#This Row],[Jul_2027_A]]</f>
        <v>0</v>
      </c>
      <c r="EI48" s="13">
        <f>IFERROR(Table410[[#This Row],[Aug_2027_Days_Forecast]]*Table410[[#This Row],[Cost Boolean]]*(VLOOKUP(Table410[[#This Row],[RATE CONCAT]],Tables!I:N,6,0)),0)</f>
        <v>0</v>
      </c>
      <c r="EK48" s="13">
        <f>Table410[[#This Row],[Aug_2027_F]]-Table410[[#This Row],[Aug_2027_A]]</f>
        <v>0</v>
      </c>
      <c r="EL48" s="13">
        <f>IFERROR(Table410[[#This Row],[Sep_2027_Days_Forecast]]*Table410[[#This Row],[Cost Boolean]]*(VLOOKUP(Table410[[#This Row],[RATE CONCAT]],Tables!I:N,6,0)),0)</f>
        <v>0</v>
      </c>
      <c r="EN48" s="13">
        <f>Table410[[#This Row],[Sep_2027_F]]-Table410[[#This Row],[Sep_2027_A]]</f>
        <v>0</v>
      </c>
      <c r="EO48" s="13">
        <f>IFERROR(Table410[[#This Row],[Oct_2027_Days_Forecast]]*Table410[[#This Row],[Cost Boolean]]*(VLOOKUP(Table410[[#This Row],[RATE CONCAT]],Tables!I:N,6,0)),0)</f>
        <v>0</v>
      </c>
      <c r="EQ48" s="13">
        <f>Table410[[#This Row],[Oct_2027_F]]-Table410[[#This Row],[Oct_2027_A]]</f>
        <v>0</v>
      </c>
      <c r="ER48" s="13">
        <f>IFERROR(Table410[[#This Row],[Nov_2027_Days_Forecast]]*Table410[[#This Row],[Cost Boolean]]*(VLOOKUP(Table410[[#This Row],[RATE CONCAT]],Tables!I:N,6,0)),0)</f>
        <v>0</v>
      </c>
      <c r="ET48" s="13">
        <f>Table410[[#This Row],[Nov_2027_F]]-Table410[[#This Row],[Nov_2027_A]]</f>
        <v>0</v>
      </c>
      <c r="EU48" s="13">
        <f>IFERROR(Table410[[#This Row],[Dec_2027_Days_Forecast]]*Table410[[#This Row],[Cost Boolean]]*(VLOOKUP(Table410[[#This Row],[RATE CONCAT]],Tables!I:N,6,0)),0)</f>
        <v>0</v>
      </c>
      <c r="EW48" s="13">
        <f>Table410[[#This Row],[Dec_2027_F]]-Table410[[#This Row],[Dec_2027_A]]</f>
        <v>0</v>
      </c>
    </row>
    <row r="49" spans="25:153" s="13" customFormat="1" ht="15" customHeight="1">
      <c r="Y49" s="13" t="str">
        <f>CONCATENATE(Table410[[#This Row],[JG]],Table410[[#This Row],[Country]],Table410[[#This Row],[Resource Provider]])</f>
        <v/>
      </c>
      <c r="Z49" s="13">
        <f>VLOOKUP(Table410[[#This Row],[RATE CONCAT]],Tables!I:N,5,0)</f>
        <v>0</v>
      </c>
      <c r="AA49" s="52"/>
      <c r="AB49" s="127"/>
      <c r="AC49" s="127"/>
      <c r="AD49" s="127"/>
      <c r="AE49" s="127"/>
      <c r="AF49" s="127"/>
      <c r="AG49" s="127"/>
      <c r="AH49" s="127"/>
      <c r="AI49" s="127"/>
      <c r="AJ49" s="127"/>
      <c r="AK49" s="127"/>
      <c r="AL49" s="127"/>
      <c r="AM49" s="127"/>
      <c r="AN49" s="176">
        <f>IFERROR(AVERAGE(Table410[[#This Row],[Jan_2026_Days_Forecast]:[Dec_2026_Days_Forecast]]),0)/19</f>
        <v>0</v>
      </c>
      <c r="AO49" s="176">
        <f>IFERROR(AVERAGE(Table410[[#This Row],[Jan_2026_Days_Actual]:[Dec_2026_Days_Actual]]),0)/19</f>
        <v>0</v>
      </c>
      <c r="BB49" s="176">
        <f>IFERROR(AVERAGE(Table410[[#This Row],[Jan_2027_Days_Forecast]:[Dec_2027_Days_Forecast]]),0)</f>
        <v>0</v>
      </c>
      <c r="BC49" s="127"/>
      <c r="BD49" s="127"/>
      <c r="BE49" s="127"/>
      <c r="BF49" s="127"/>
      <c r="BG49" s="127"/>
      <c r="BH49" s="127"/>
      <c r="BI49" s="127"/>
      <c r="BJ49" s="127"/>
      <c r="BK49" s="127"/>
      <c r="BL49" s="127"/>
      <c r="BM49" s="127"/>
      <c r="BN49" s="127"/>
      <c r="BO49" s="176"/>
      <c r="BP49" s="176"/>
      <c r="BQ49" s="13">
        <f>IFERROR(Table410[[#This Row],[Jan_2026_Days_Forecast]]*Table410[[#This Row],[Cost Boolean]]*(VLOOKUP(Table410[[#This Row],[RATE CONCAT]],Tables!I:N,5,0)),0)</f>
        <v>0</v>
      </c>
      <c r="BR49" s="13">
        <f>IFERROR(Table410[[#This Row],[Jan_2026_Days_Actual]]*Table410[[#This Row],[Cost Boolean]]*(VLOOKUP(Table410[[#This Row],[RATE CONCAT]],Tables!I:N,5,0)),0)</f>
        <v>0</v>
      </c>
      <c r="BS49" s="13">
        <f>Table410[[#This Row],[Jan_2026_F]]-Table410[[#This Row],[Jan_2026_A]]</f>
        <v>0</v>
      </c>
      <c r="BU49" s="13">
        <f>IFERROR(Table410[[#This Row],[Feb_2026_Days_Forecast]]*Table410[[#This Row],[Cost Boolean]]*(VLOOKUP(Table410[[#This Row],[RATE CONCAT]],Tables!I:N,5,0)),0)</f>
        <v>0</v>
      </c>
      <c r="BV49" s="13">
        <f>IFERROR(Table410[[#This Row],[Feb_2026_Days_Actual]]*Table410[[#This Row],[Cost Boolean]]*(VLOOKUP(Table410[[#This Row],[RATE CONCAT]],Tables!I:N,5,0)),0)</f>
        <v>0</v>
      </c>
      <c r="BW49" s="13">
        <f>Table410[[#This Row],[Feb_2026_F]]-Table410[[#This Row],[Feb_2026_A]]</f>
        <v>0</v>
      </c>
      <c r="BY49" s="13">
        <f>IFERROR(Table410[[#This Row],[Mar_2026_Days_Forecast]]*Table410[[#This Row],[Cost Boolean]]*(VLOOKUP(Table410[[#This Row],[RATE CONCAT]],Tables!I:N,5,0)),0)</f>
        <v>0</v>
      </c>
      <c r="BZ49" s="13">
        <f>IFERROR(Table410[[#This Row],[Mar_2026_Days_Actual]]*Table410[[#This Row],[Cost Boolean]]*(VLOOKUP(Table410[[#This Row],[RATE CONCAT]],Tables!I:N,5,0)),0)</f>
        <v>0</v>
      </c>
      <c r="CA49" s="13">
        <f>Table410[[#This Row],[Mar_2026_F]]-Table410[[#This Row],[Mar_2026_A]]</f>
        <v>0</v>
      </c>
      <c r="CC49" s="13">
        <f>IFERROR(Table410[[#This Row],[Apr_2026_Days_Forecast]]*Table410[[#This Row],[Cost Boolean]]*(VLOOKUP(Table410[[#This Row],[RATE CONCAT]],Tables!I:N,5,0)),0)</f>
        <v>0</v>
      </c>
      <c r="CD49" s="13">
        <f>IFERROR(Table410[[#This Row],[Apr_2026_Days_Actual]]*Table410[[#This Row],[Cost Boolean]]*(VLOOKUP(Table410[[#This Row],[RATE CONCAT]],Tables!I:N,5,0)),0)</f>
        <v>0</v>
      </c>
      <c r="CE49" s="13">
        <f>Table410[[#This Row],[Apr_2026_F]]-Table410[[#This Row],[Apr_2026_A]]</f>
        <v>0</v>
      </c>
      <c r="CG49" s="13">
        <f>IFERROR(Table410[[#This Row],[May_2026_Days_Forecast]] *Table410[[#This Row],[Cost Boolean]]*(VLOOKUP(Table410[[#This Row],[RATE CONCAT]],Tables!I:N,5,0)),0)</f>
        <v>0</v>
      </c>
      <c r="CH49" s="13">
        <f>IFERROR(Table410[[#This Row],[May_2026_Days_Actual]]*Table410[[#This Row],[Cost Boolean]]*(VLOOKUP(Table410[[#This Row],[RATE CONCAT]],Tables!I:N,5,0)),0)</f>
        <v>0</v>
      </c>
      <c r="CI49" s="13">
        <f>Table410[[#This Row],[May_2026_F]]-Table410[[#This Row],[May_2026_A]]</f>
        <v>0</v>
      </c>
      <c r="CK49" s="13">
        <f>IFERROR(Table410[[#This Row],[Jun_2026_Days_Forecast]]*Table410[[#This Row],[Cost Boolean]]*(VLOOKUP(Table410[[#This Row],[RATE CONCAT]],Tables!I:N,5,0)),0)</f>
        <v>0</v>
      </c>
      <c r="CL49" s="13">
        <f>IFERROR(Table410[[#This Row],[Jun_2026_Days_Actual]]*Table410[[#This Row],[Cost Boolean]]*(VLOOKUP(Table410[[#This Row],[RATE CONCAT]],Tables!I:N,5,0)),0)</f>
        <v>0</v>
      </c>
      <c r="CM49" s="13">
        <f>Table410[[#This Row],[Jun_2026_F]]-Table410[[#This Row],[Jun_2026_A]]</f>
        <v>0</v>
      </c>
      <c r="CO49" s="13">
        <f>IFERROR(Table410[[#This Row],[Jul_2026_Days_Forecast]]*Table410[[#This Row],[Cost Boolean]]*(VLOOKUP(Table410[[#This Row],[RATE CONCAT]],Tables!I:N,5,0)),0)</f>
        <v>0</v>
      </c>
      <c r="CP49" s="13">
        <f>IFERROR(Table410[[#This Row],[Jul_2026_Days_Actual]]*Table410[[#This Row],[Cost Boolean]]*(VLOOKUP(Table410[[#This Row],[RATE CONCAT]],Tables!I:N,5,0)),0)</f>
        <v>0</v>
      </c>
      <c r="CQ49" s="13">
        <f>Table410[[#This Row],[Jul_2026_F]]-Table410[[#This Row],[Jul_2026_A]]</f>
        <v>0</v>
      </c>
      <c r="CS49" s="13">
        <f>IFERROR(Table410[[#This Row],[Aug_2026_Days_Forecast]]*Table410[[#This Row],[Cost Boolean]]*(VLOOKUP(Table410[[#This Row],[RATE CONCAT]],Tables!I:N,5,0)),0)</f>
        <v>0</v>
      </c>
      <c r="CT49" s="13">
        <f>IFERROR(Table410[[#This Row],[Aug_2026_Days_Actual]]*Table410[[#This Row],[Cost Boolean]]*(VLOOKUP(Table410[[#This Row],[RATE CONCAT]],Tables!I:N,5,0)),0)</f>
        <v>0</v>
      </c>
      <c r="CU49" s="13">
        <f>Table410[[#This Row],[Aug_2026_F]]-Table410[[#This Row],[Aug_2026_A]]</f>
        <v>0</v>
      </c>
      <c r="CW49" s="13">
        <f>IFERROR(Table410[[#This Row],[Sep_2026_Days_Forecast]]*Table410[[#This Row],[Cost Boolean]]*(VLOOKUP(Table410[[#This Row],[RATE CONCAT]],Tables!I:N,5,0)),0)</f>
        <v>0</v>
      </c>
      <c r="CX49" s="13">
        <f>IFERROR(Table410[[#This Row],[Sep_2026_Days_Actual]]*Table410[[#This Row],[Cost Boolean]]*(VLOOKUP(Table410[[#This Row],[RATE CONCAT]],Tables!I:N,5,0)),0)</f>
        <v>0</v>
      </c>
      <c r="CY49" s="13">
        <f>Table410[[#This Row],[Sep_2026_F]]-Table410[[#This Row],[Sep_2026_A]]</f>
        <v>0</v>
      </c>
      <c r="DA49" s="13">
        <f>IFERROR(Table410[[#This Row],[Oct_2026_Days_Forecast]]*Table410[[#This Row],[Cost Boolean]]*(VLOOKUP(Table410[[#This Row],[RATE CONCAT]],Tables!I:N,5,0)),0)</f>
        <v>0</v>
      </c>
      <c r="DB49" s="13">
        <f>IFERROR(Table410[[#This Row],[Oct_2026_Days_Actual]]*Table410[[#This Row],[Cost Boolean]]*(VLOOKUP(Table410[[#This Row],[RATE CONCAT]],Tables!I:N,5,0)),0)</f>
        <v>0</v>
      </c>
      <c r="DC49" s="13">
        <f>Table410[[#This Row],[Oct_2026_F]]-Table410[[#This Row],[Oct_2026_A]]</f>
        <v>0</v>
      </c>
      <c r="DE49" s="13">
        <f>IFERROR(Table410[[#This Row],[Nov_2026_Days_Forecast]]*Table410[[#This Row],[Cost Boolean]]*(VLOOKUP(Table410[[#This Row],[RATE CONCAT]],Tables!I:N,5,0)),0)</f>
        <v>0</v>
      </c>
      <c r="DF49" s="13">
        <f>IFERROR(Table410[[#This Row],[Nov_2026_Days_Actual]]*Table410[[#This Row],[Cost Boolean]]*(VLOOKUP(Table410[[#This Row],[RATE CONCAT]],Tables!I:N,5,0)),0)</f>
        <v>0</v>
      </c>
      <c r="DG49" s="13">
        <f>Table410[[#This Row],[Nov_2026_F]]-Table410[[#This Row],[Nov_2026_A]]</f>
        <v>0</v>
      </c>
      <c r="DI49" s="13">
        <f>IFERROR(Table410[[#This Row],[Dec_2026_Days_Forecast]]*Table410[[#This Row],[Cost Boolean]]*(VLOOKUP(Table410[[#This Row],[RATE CONCAT]],Tables!I:N,5,0)),0)</f>
        <v>0</v>
      </c>
      <c r="DJ49" s="13">
        <f>IFERROR(Table410[[#This Row],[Dec_2026_Days_Actual]]*Table410[[#This Row],[Cost Boolean]]*(VLOOKUP(Table410[[#This Row],[RATE CONCAT]],Tables!I:N,5,0)),0)</f>
        <v>0</v>
      </c>
      <c r="DK49" s="13">
        <f>Table410[[#This Row],[Dec_2026_F]]-Table410[[#This Row],[Dec_2026_A]]</f>
        <v>0</v>
      </c>
      <c r="DN49" s="13">
        <f>IFERROR(Table410[[#This Row],[Jan_2027_Days_Forecast]]*Table410[[#This Row],[Cost Boolean]]*(VLOOKUP(Table410[[#This Row],[RATE CONCAT]],Tables!I:N,6,0)),0)</f>
        <v>0</v>
      </c>
      <c r="DP49" s="13">
        <f>Table410[[#This Row],[Jan_2027_F]]-Table410[[#This Row],[Jan_2027_A]]</f>
        <v>0</v>
      </c>
      <c r="DQ49" s="13">
        <f>IFERROR(Table410[[#This Row],[Feb_2027_Days_Forecast]]*Table410[[#This Row],[Cost Boolean]]*(VLOOKUP(Table410[[#This Row],[RATE CONCAT]],Tables!I:N,6,0)),0)</f>
        <v>0</v>
      </c>
      <c r="DS49" s="13">
        <f>Table410[[#This Row],[Feb_2027_F]]-Table410[[#This Row],[Feb_2027_A]]</f>
        <v>0</v>
      </c>
      <c r="DT49" s="13">
        <f>IFERROR(Table410[[#This Row],[Mar_2027_Days_Forecast]]*Table410[[#This Row],[Cost Boolean]]*(VLOOKUP(Table410[[#This Row],[RATE CONCAT]],Tables!I:N,6,0)),0)</f>
        <v>0</v>
      </c>
      <c r="DV49" s="13">
        <f>Table410[[#This Row],[Mar_2027_F]]-Table410[[#This Row],[Mar_2027_A]]</f>
        <v>0</v>
      </c>
      <c r="DW49" s="13">
        <f>IFERROR(Table410[[#This Row],[Apr_2027_Days_Forecast]]*Table410[[#This Row],[Cost Boolean]]*(VLOOKUP(Table410[[#This Row],[RATE CONCAT]],Tables!I:N,6,0)),0)</f>
        <v>0</v>
      </c>
      <c r="DY49" s="13">
        <f>Table410[[#This Row],[Apr_2027_F]]-Table410[[#This Row],[Apr_2027_A]]</f>
        <v>0</v>
      </c>
      <c r="DZ49" s="13">
        <f>IFERROR(Table410[[#This Row],[May_2027_Days_Forecast]]*Table410[[#This Row],[Cost Boolean]]*(VLOOKUP(Table410[[#This Row],[RATE CONCAT]],Tables!I:N,6,0)),0)</f>
        <v>0</v>
      </c>
      <c r="EB49" s="13">
        <f>Table410[[#This Row],[May_2027_F]]-Table410[[#This Row],[May_2027_A]]</f>
        <v>0</v>
      </c>
      <c r="EC49" s="13">
        <f>IFERROR(Table410[[#This Row],[Jun_2027_Days_Forecast]]*Table410[[#This Row],[Cost Boolean]]*(VLOOKUP(Table410[[#This Row],[RATE CONCAT]],Tables!I:N,6,0)),0)</f>
        <v>0</v>
      </c>
      <c r="EE49" s="13">
        <f>Table410[[#This Row],[Jun_2027_F]]-Table410[[#This Row],[Jun_2027_A]]</f>
        <v>0</v>
      </c>
      <c r="EF49" s="13">
        <f>IFERROR(Table410[[#This Row],[Jul_2027_Days_Forecast]]*Table410[[#This Row],[Cost Boolean]]*(VLOOKUP(Table410[[#This Row],[RATE CONCAT]],Tables!I:N,6,0)),0)</f>
        <v>0</v>
      </c>
      <c r="EH49" s="13">
        <f>Table410[[#This Row],[Jul_2027_F]]-Table410[[#This Row],[Jul_2027_A]]</f>
        <v>0</v>
      </c>
      <c r="EI49" s="13">
        <f>IFERROR(Table410[[#This Row],[Aug_2027_Days_Forecast]]*Table410[[#This Row],[Cost Boolean]]*(VLOOKUP(Table410[[#This Row],[RATE CONCAT]],Tables!I:N,6,0)),0)</f>
        <v>0</v>
      </c>
      <c r="EK49" s="13">
        <f>Table410[[#This Row],[Aug_2027_F]]-Table410[[#This Row],[Aug_2027_A]]</f>
        <v>0</v>
      </c>
      <c r="EL49" s="13">
        <f>IFERROR(Table410[[#This Row],[Sep_2027_Days_Forecast]]*Table410[[#This Row],[Cost Boolean]]*(VLOOKUP(Table410[[#This Row],[RATE CONCAT]],Tables!I:N,6,0)),0)</f>
        <v>0</v>
      </c>
      <c r="EN49" s="13">
        <f>Table410[[#This Row],[Sep_2027_F]]-Table410[[#This Row],[Sep_2027_A]]</f>
        <v>0</v>
      </c>
      <c r="EO49" s="13">
        <f>IFERROR(Table410[[#This Row],[Oct_2027_Days_Forecast]]*Table410[[#This Row],[Cost Boolean]]*(VLOOKUP(Table410[[#This Row],[RATE CONCAT]],Tables!I:N,6,0)),0)</f>
        <v>0</v>
      </c>
      <c r="EQ49" s="13">
        <f>Table410[[#This Row],[Oct_2027_F]]-Table410[[#This Row],[Oct_2027_A]]</f>
        <v>0</v>
      </c>
      <c r="ER49" s="13">
        <f>IFERROR(Table410[[#This Row],[Nov_2027_Days_Forecast]]*Table410[[#This Row],[Cost Boolean]]*(VLOOKUP(Table410[[#This Row],[RATE CONCAT]],Tables!I:N,6,0)),0)</f>
        <v>0</v>
      </c>
      <c r="ET49" s="13">
        <f>Table410[[#This Row],[Nov_2027_F]]-Table410[[#This Row],[Nov_2027_A]]</f>
        <v>0</v>
      </c>
      <c r="EU49" s="13">
        <f>IFERROR(Table410[[#This Row],[Dec_2027_Days_Forecast]]*Table410[[#This Row],[Cost Boolean]]*(VLOOKUP(Table410[[#This Row],[RATE CONCAT]],Tables!I:N,6,0)),0)</f>
        <v>0</v>
      </c>
      <c r="EW49" s="13">
        <f>Table410[[#This Row],[Dec_2027_F]]-Table410[[#This Row],[Dec_2027_A]]</f>
        <v>0</v>
      </c>
    </row>
    <row r="50" spans="25:153" s="13" customFormat="1" ht="15" customHeight="1">
      <c r="Y50" s="13" t="str">
        <f>CONCATENATE(Table410[[#This Row],[JG]],Table410[[#This Row],[Country]],Table410[[#This Row],[Resource Provider]])</f>
        <v/>
      </c>
      <c r="Z50" s="13">
        <f>VLOOKUP(Table410[[#This Row],[RATE CONCAT]],Tables!I:N,5,0)</f>
        <v>0</v>
      </c>
      <c r="AA50" s="52"/>
      <c r="AB50" s="127"/>
      <c r="AC50" s="127"/>
      <c r="AD50" s="127"/>
      <c r="AE50" s="127"/>
      <c r="AF50" s="127"/>
      <c r="AG50" s="127"/>
      <c r="AH50" s="127"/>
      <c r="AI50" s="127"/>
      <c r="AJ50" s="127"/>
      <c r="AK50" s="127"/>
      <c r="AL50" s="127"/>
      <c r="AM50" s="127"/>
      <c r="AN50" s="176">
        <f>IFERROR(AVERAGE(Table410[[#This Row],[Jan_2026_Days_Forecast]:[Dec_2026_Days_Forecast]]),0)/19</f>
        <v>0</v>
      </c>
      <c r="AO50" s="176">
        <f>IFERROR(AVERAGE(Table410[[#This Row],[Jan_2026_Days_Actual]:[Dec_2026_Days_Actual]]),0)/19</f>
        <v>0</v>
      </c>
      <c r="BB50" s="176">
        <f>IFERROR(AVERAGE(Table410[[#This Row],[Jan_2027_Days_Forecast]:[Dec_2027_Days_Forecast]]),0)</f>
        <v>0</v>
      </c>
      <c r="BC50" s="127"/>
      <c r="BD50" s="127"/>
      <c r="BE50" s="127"/>
      <c r="BF50" s="127"/>
      <c r="BG50" s="127"/>
      <c r="BH50" s="127"/>
      <c r="BI50" s="127"/>
      <c r="BJ50" s="127"/>
      <c r="BK50" s="127"/>
      <c r="BL50" s="127"/>
      <c r="BM50" s="127"/>
      <c r="BN50" s="127"/>
      <c r="BO50" s="176"/>
      <c r="BP50" s="176"/>
      <c r="BQ50" s="13">
        <f>IFERROR(Table410[[#This Row],[Jan_2026_Days_Forecast]]*Table410[[#This Row],[Cost Boolean]]*(VLOOKUP(Table410[[#This Row],[RATE CONCAT]],Tables!I:N,5,0)),0)</f>
        <v>0</v>
      </c>
      <c r="BR50" s="13">
        <f>IFERROR(Table410[[#This Row],[Jan_2026_Days_Actual]]*Table410[[#This Row],[Cost Boolean]]*(VLOOKUP(Table410[[#This Row],[RATE CONCAT]],Tables!I:N,5,0)),0)</f>
        <v>0</v>
      </c>
      <c r="BS50" s="13">
        <f>Table410[[#This Row],[Jan_2026_F]]-Table410[[#This Row],[Jan_2026_A]]</f>
        <v>0</v>
      </c>
      <c r="BU50" s="13">
        <f>IFERROR(Table410[[#This Row],[Feb_2026_Days_Forecast]]*Table410[[#This Row],[Cost Boolean]]*(VLOOKUP(Table410[[#This Row],[RATE CONCAT]],Tables!I:N,5,0)),0)</f>
        <v>0</v>
      </c>
      <c r="BV50" s="13">
        <f>IFERROR(Table410[[#This Row],[Feb_2026_Days_Actual]]*Table410[[#This Row],[Cost Boolean]]*(VLOOKUP(Table410[[#This Row],[RATE CONCAT]],Tables!I:N,5,0)),0)</f>
        <v>0</v>
      </c>
      <c r="BW50" s="13">
        <f>Table410[[#This Row],[Feb_2026_F]]-Table410[[#This Row],[Feb_2026_A]]</f>
        <v>0</v>
      </c>
      <c r="BY50" s="13">
        <f>IFERROR(Table410[[#This Row],[Mar_2026_Days_Forecast]]*Table410[[#This Row],[Cost Boolean]]*(VLOOKUP(Table410[[#This Row],[RATE CONCAT]],Tables!I:N,5,0)),0)</f>
        <v>0</v>
      </c>
      <c r="BZ50" s="13">
        <f>IFERROR(Table410[[#This Row],[Mar_2026_Days_Actual]]*Table410[[#This Row],[Cost Boolean]]*(VLOOKUP(Table410[[#This Row],[RATE CONCAT]],Tables!I:N,5,0)),0)</f>
        <v>0</v>
      </c>
      <c r="CA50" s="13">
        <f>Table410[[#This Row],[Mar_2026_F]]-Table410[[#This Row],[Mar_2026_A]]</f>
        <v>0</v>
      </c>
      <c r="CC50" s="13">
        <f>IFERROR(Table410[[#This Row],[Apr_2026_Days_Forecast]]*Table410[[#This Row],[Cost Boolean]]*(VLOOKUP(Table410[[#This Row],[RATE CONCAT]],Tables!I:N,5,0)),0)</f>
        <v>0</v>
      </c>
      <c r="CD50" s="13">
        <f>IFERROR(Table410[[#This Row],[Apr_2026_Days_Actual]]*Table410[[#This Row],[Cost Boolean]]*(VLOOKUP(Table410[[#This Row],[RATE CONCAT]],Tables!I:N,5,0)),0)</f>
        <v>0</v>
      </c>
      <c r="CE50" s="13">
        <f>Table410[[#This Row],[Apr_2026_F]]-Table410[[#This Row],[Apr_2026_A]]</f>
        <v>0</v>
      </c>
      <c r="CG50" s="13">
        <f>IFERROR(Table410[[#This Row],[May_2026_Days_Forecast]] *Table410[[#This Row],[Cost Boolean]]*(VLOOKUP(Table410[[#This Row],[RATE CONCAT]],Tables!I:N,5,0)),0)</f>
        <v>0</v>
      </c>
      <c r="CH50" s="13">
        <f>IFERROR(Table410[[#This Row],[May_2026_Days_Actual]]*Table410[[#This Row],[Cost Boolean]]*(VLOOKUP(Table410[[#This Row],[RATE CONCAT]],Tables!I:N,5,0)),0)</f>
        <v>0</v>
      </c>
      <c r="CI50" s="13">
        <f>Table410[[#This Row],[May_2026_F]]-Table410[[#This Row],[May_2026_A]]</f>
        <v>0</v>
      </c>
      <c r="CK50" s="13">
        <f>IFERROR(Table410[[#This Row],[Jun_2026_Days_Forecast]]*Table410[[#This Row],[Cost Boolean]]*(VLOOKUP(Table410[[#This Row],[RATE CONCAT]],Tables!I:N,5,0)),0)</f>
        <v>0</v>
      </c>
      <c r="CL50" s="13">
        <f>IFERROR(Table410[[#This Row],[Jun_2026_Days_Actual]]*Table410[[#This Row],[Cost Boolean]]*(VLOOKUP(Table410[[#This Row],[RATE CONCAT]],Tables!I:N,5,0)),0)</f>
        <v>0</v>
      </c>
      <c r="CM50" s="13">
        <f>Table410[[#This Row],[Jun_2026_F]]-Table410[[#This Row],[Jun_2026_A]]</f>
        <v>0</v>
      </c>
      <c r="CO50" s="13">
        <f>IFERROR(Table410[[#This Row],[Jul_2026_Days_Forecast]]*Table410[[#This Row],[Cost Boolean]]*(VLOOKUP(Table410[[#This Row],[RATE CONCAT]],Tables!I:N,5,0)),0)</f>
        <v>0</v>
      </c>
      <c r="CP50" s="13">
        <f>IFERROR(Table410[[#This Row],[Jul_2026_Days_Actual]]*Table410[[#This Row],[Cost Boolean]]*(VLOOKUP(Table410[[#This Row],[RATE CONCAT]],Tables!I:N,5,0)),0)</f>
        <v>0</v>
      </c>
      <c r="CQ50" s="13">
        <f>Table410[[#This Row],[Jul_2026_F]]-Table410[[#This Row],[Jul_2026_A]]</f>
        <v>0</v>
      </c>
      <c r="CS50" s="13">
        <f>IFERROR(Table410[[#This Row],[Aug_2026_Days_Forecast]]*Table410[[#This Row],[Cost Boolean]]*(VLOOKUP(Table410[[#This Row],[RATE CONCAT]],Tables!I:N,5,0)),0)</f>
        <v>0</v>
      </c>
      <c r="CT50" s="13">
        <f>IFERROR(Table410[[#This Row],[Aug_2026_Days_Actual]]*Table410[[#This Row],[Cost Boolean]]*(VLOOKUP(Table410[[#This Row],[RATE CONCAT]],Tables!I:N,5,0)),0)</f>
        <v>0</v>
      </c>
      <c r="CU50" s="13">
        <f>Table410[[#This Row],[Aug_2026_F]]-Table410[[#This Row],[Aug_2026_A]]</f>
        <v>0</v>
      </c>
      <c r="CW50" s="13">
        <f>IFERROR(Table410[[#This Row],[Sep_2026_Days_Forecast]]*Table410[[#This Row],[Cost Boolean]]*(VLOOKUP(Table410[[#This Row],[RATE CONCAT]],Tables!I:N,5,0)),0)</f>
        <v>0</v>
      </c>
      <c r="CX50" s="13">
        <f>IFERROR(Table410[[#This Row],[Sep_2026_Days_Actual]]*Table410[[#This Row],[Cost Boolean]]*(VLOOKUP(Table410[[#This Row],[RATE CONCAT]],Tables!I:N,5,0)),0)</f>
        <v>0</v>
      </c>
      <c r="CY50" s="13">
        <f>Table410[[#This Row],[Sep_2026_F]]-Table410[[#This Row],[Sep_2026_A]]</f>
        <v>0</v>
      </c>
      <c r="DA50" s="13">
        <f>IFERROR(Table410[[#This Row],[Oct_2026_Days_Forecast]]*Table410[[#This Row],[Cost Boolean]]*(VLOOKUP(Table410[[#This Row],[RATE CONCAT]],Tables!I:N,5,0)),0)</f>
        <v>0</v>
      </c>
      <c r="DB50" s="13">
        <f>IFERROR(Table410[[#This Row],[Oct_2026_Days_Actual]]*Table410[[#This Row],[Cost Boolean]]*(VLOOKUP(Table410[[#This Row],[RATE CONCAT]],Tables!I:N,5,0)),0)</f>
        <v>0</v>
      </c>
      <c r="DC50" s="13">
        <f>Table410[[#This Row],[Oct_2026_F]]-Table410[[#This Row],[Oct_2026_A]]</f>
        <v>0</v>
      </c>
      <c r="DE50" s="13">
        <f>IFERROR(Table410[[#This Row],[Nov_2026_Days_Forecast]]*Table410[[#This Row],[Cost Boolean]]*(VLOOKUP(Table410[[#This Row],[RATE CONCAT]],Tables!I:N,5,0)),0)</f>
        <v>0</v>
      </c>
      <c r="DF50" s="13">
        <f>IFERROR(Table410[[#This Row],[Nov_2026_Days_Actual]]*Table410[[#This Row],[Cost Boolean]]*(VLOOKUP(Table410[[#This Row],[RATE CONCAT]],Tables!I:N,5,0)),0)</f>
        <v>0</v>
      </c>
      <c r="DG50" s="13">
        <f>Table410[[#This Row],[Nov_2026_F]]-Table410[[#This Row],[Nov_2026_A]]</f>
        <v>0</v>
      </c>
      <c r="DI50" s="13">
        <f>IFERROR(Table410[[#This Row],[Dec_2026_Days_Forecast]]*Table410[[#This Row],[Cost Boolean]]*(VLOOKUP(Table410[[#This Row],[RATE CONCAT]],Tables!I:N,5,0)),0)</f>
        <v>0</v>
      </c>
      <c r="DJ50" s="13">
        <f>IFERROR(Table410[[#This Row],[Dec_2026_Days_Actual]]*Table410[[#This Row],[Cost Boolean]]*(VLOOKUP(Table410[[#This Row],[RATE CONCAT]],Tables!I:N,5,0)),0)</f>
        <v>0</v>
      </c>
      <c r="DK50" s="13">
        <f>Table410[[#This Row],[Dec_2026_F]]-Table410[[#This Row],[Dec_2026_A]]</f>
        <v>0</v>
      </c>
      <c r="DN50" s="13">
        <f>IFERROR(Table410[[#This Row],[Jan_2027_Days_Forecast]]*Table410[[#This Row],[Cost Boolean]]*(VLOOKUP(Table410[[#This Row],[RATE CONCAT]],Tables!I:N,6,0)),0)</f>
        <v>0</v>
      </c>
      <c r="DP50" s="13">
        <f>Table410[[#This Row],[Jan_2027_F]]-Table410[[#This Row],[Jan_2027_A]]</f>
        <v>0</v>
      </c>
      <c r="DQ50" s="13">
        <f>IFERROR(Table410[[#This Row],[Feb_2027_Days_Forecast]]*Table410[[#This Row],[Cost Boolean]]*(VLOOKUP(Table410[[#This Row],[RATE CONCAT]],Tables!I:N,6,0)),0)</f>
        <v>0</v>
      </c>
      <c r="DS50" s="13">
        <f>Table410[[#This Row],[Feb_2027_F]]-Table410[[#This Row],[Feb_2027_A]]</f>
        <v>0</v>
      </c>
      <c r="DT50" s="13">
        <f>IFERROR(Table410[[#This Row],[Mar_2027_Days_Forecast]]*Table410[[#This Row],[Cost Boolean]]*(VLOOKUP(Table410[[#This Row],[RATE CONCAT]],Tables!I:N,6,0)),0)</f>
        <v>0</v>
      </c>
      <c r="DV50" s="13">
        <f>Table410[[#This Row],[Mar_2027_F]]-Table410[[#This Row],[Mar_2027_A]]</f>
        <v>0</v>
      </c>
      <c r="DW50" s="13">
        <f>IFERROR(Table410[[#This Row],[Apr_2027_Days_Forecast]]*Table410[[#This Row],[Cost Boolean]]*(VLOOKUP(Table410[[#This Row],[RATE CONCAT]],Tables!I:N,6,0)),0)</f>
        <v>0</v>
      </c>
      <c r="DY50" s="13">
        <f>Table410[[#This Row],[Apr_2027_F]]-Table410[[#This Row],[Apr_2027_A]]</f>
        <v>0</v>
      </c>
      <c r="DZ50" s="13">
        <f>IFERROR(Table410[[#This Row],[May_2027_Days_Forecast]]*Table410[[#This Row],[Cost Boolean]]*(VLOOKUP(Table410[[#This Row],[RATE CONCAT]],Tables!I:N,6,0)),0)</f>
        <v>0</v>
      </c>
      <c r="EB50" s="13">
        <f>Table410[[#This Row],[May_2027_F]]-Table410[[#This Row],[May_2027_A]]</f>
        <v>0</v>
      </c>
      <c r="EC50" s="13">
        <f>IFERROR(Table410[[#This Row],[Jun_2027_Days_Forecast]]*Table410[[#This Row],[Cost Boolean]]*(VLOOKUP(Table410[[#This Row],[RATE CONCAT]],Tables!I:N,6,0)),0)</f>
        <v>0</v>
      </c>
      <c r="EE50" s="13">
        <f>Table410[[#This Row],[Jun_2027_F]]-Table410[[#This Row],[Jun_2027_A]]</f>
        <v>0</v>
      </c>
      <c r="EF50" s="13">
        <f>IFERROR(Table410[[#This Row],[Jul_2027_Days_Forecast]]*Table410[[#This Row],[Cost Boolean]]*(VLOOKUP(Table410[[#This Row],[RATE CONCAT]],Tables!I:N,6,0)),0)</f>
        <v>0</v>
      </c>
      <c r="EH50" s="13">
        <f>Table410[[#This Row],[Jul_2027_F]]-Table410[[#This Row],[Jul_2027_A]]</f>
        <v>0</v>
      </c>
      <c r="EI50" s="13">
        <f>IFERROR(Table410[[#This Row],[Aug_2027_Days_Forecast]]*Table410[[#This Row],[Cost Boolean]]*(VLOOKUP(Table410[[#This Row],[RATE CONCAT]],Tables!I:N,6,0)),0)</f>
        <v>0</v>
      </c>
      <c r="EK50" s="13">
        <f>Table410[[#This Row],[Aug_2027_F]]-Table410[[#This Row],[Aug_2027_A]]</f>
        <v>0</v>
      </c>
      <c r="EL50" s="13">
        <f>IFERROR(Table410[[#This Row],[Sep_2027_Days_Forecast]]*Table410[[#This Row],[Cost Boolean]]*(VLOOKUP(Table410[[#This Row],[RATE CONCAT]],Tables!I:N,6,0)),0)</f>
        <v>0</v>
      </c>
      <c r="EN50" s="13">
        <f>Table410[[#This Row],[Sep_2027_F]]-Table410[[#This Row],[Sep_2027_A]]</f>
        <v>0</v>
      </c>
      <c r="EO50" s="13">
        <f>IFERROR(Table410[[#This Row],[Oct_2027_Days_Forecast]]*Table410[[#This Row],[Cost Boolean]]*(VLOOKUP(Table410[[#This Row],[RATE CONCAT]],Tables!I:N,6,0)),0)</f>
        <v>0</v>
      </c>
      <c r="EQ50" s="13">
        <f>Table410[[#This Row],[Oct_2027_F]]-Table410[[#This Row],[Oct_2027_A]]</f>
        <v>0</v>
      </c>
      <c r="ER50" s="13">
        <f>IFERROR(Table410[[#This Row],[Nov_2027_Days_Forecast]]*Table410[[#This Row],[Cost Boolean]]*(VLOOKUP(Table410[[#This Row],[RATE CONCAT]],Tables!I:N,6,0)),0)</f>
        <v>0</v>
      </c>
      <c r="ET50" s="13">
        <f>Table410[[#This Row],[Nov_2027_F]]-Table410[[#This Row],[Nov_2027_A]]</f>
        <v>0</v>
      </c>
      <c r="EU50" s="13">
        <f>IFERROR(Table410[[#This Row],[Dec_2027_Days_Forecast]]*Table410[[#This Row],[Cost Boolean]]*(VLOOKUP(Table410[[#This Row],[RATE CONCAT]],Tables!I:N,6,0)),0)</f>
        <v>0</v>
      </c>
      <c r="EW50" s="13">
        <f>Table410[[#This Row],[Dec_2027_F]]-Table410[[#This Row],[Dec_2027_A]]</f>
        <v>0</v>
      </c>
    </row>
    <row r="51" spans="25:153" s="13" customFormat="1" ht="15" customHeight="1">
      <c r="Y51" s="13" t="str">
        <f>CONCATENATE(Table410[[#This Row],[JG]],Table410[[#This Row],[Country]],Table410[[#This Row],[Resource Provider]])</f>
        <v/>
      </c>
      <c r="Z51" s="13">
        <f>VLOOKUP(Table410[[#This Row],[RATE CONCAT]],Tables!I:N,5,0)</f>
        <v>0</v>
      </c>
      <c r="AA51" s="52"/>
      <c r="AB51" s="127"/>
      <c r="AC51" s="127"/>
      <c r="AD51" s="127"/>
      <c r="AE51" s="127"/>
      <c r="AF51" s="127"/>
      <c r="AG51" s="127"/>
      <c r="AH51" s="127"/>
      <c r="AI51" s="127"/>
      <c r="AJ51" s="127"/>
      <c r="AK51" s="127"/>
      <c r="AL51" s="127"/>
      <c r="AM51" s="127"/>
      <c r="AN51" s="176">
        <f>IFERROR(AVERAGE(Table410[[#This Row],[Jan_2026_Days_Forecast]:[Dec_2026_Days_Forecast]]),0)/19</f>
        <v>0</v>
      </c>
      <c r="AO51" s="176">
        <f>IFERROR(AVERAGE(Table410[[#This Row],[Jan_2026_Days_Actual]:[Dec_2026_Days_Actual]]),0)/19</f>
        <v>0</v>
      </c>
      <c r="BB51" s="176">
        <f>IFERROR(AVERAGE(Table410[[#This Row],[Jan_2027_Days_Forecast]:[Dec_2027_Days_Forecast]]),0)</f>
        <v>0</v>
      </c>
      <c r="BC51" s="127"/>
      <c r="BD51" s="127"/>
      <c r="BE51" s="127"/>
      <c r="BF51" s="127"/>
      <c r="BG51" s="127"/>
      <c r="BH51" s="127"/>
      <c r="BI51" s="127"/>
      <c r="BJ51" s="127"/>
      <c r="BK51" s="127"/>
      <c r="BL51" s="127"/>
      <c r="BM51" s="127"/>
      <c r="BN51" s="127"/>
      <c r="BO51" s="176"/>
      <c r="BP51" s="176"/>
      <c r="BQ51" s="13">
        <f>IFERROR(Table410[[#This Row],[Jan_2026_Days_Forecast]]*Table410[[#This Row],[Cost Boolean]]*(VLOOKUP(Table410[[#This Row],[RATE CONCAT]],Tables!I:N,5,0)),0)</f>
        <v>0</v>
      </c>
      <c r="BR51" s="13">
        <f>IFERROR(Table410[[#This Row],[Jan_2026_Days_Actual]]*Table410[[#This Row],[Cost Boolean]]*(VLOOKUP(Table410[[#This Row],[RATE CONCAT]],Tables!I:N,5,0)),0)</f>
        <v>0</v>
      </c>
      <c r="BS51" s="13">
        <f>Table410[[#This Row],[Jan_2026_F]]-Table410[[#This Row],[Jan_2026_A]]</f>
        <v>0</v>
      </c>
      <c r="BU51" s="13">
        <f>IFERROR(Table410[[#This Row],[Feb_2026_Days_Forecast]]*Table410[[#This Row],[Cost Boolean]]*(VLOOKUP(Table410[[#This Row],[RATE CONCAT]],Tables!I:N,5,0)),0)</f>
        <v>0</v>
      </c>
      <c r="BV51" s="13">
        <f>IFERROR(Table410[[#This Row],[Feb_2026_Days_Actual]]*Table410[[#This Row],[Cost Boolean]]*(VLOOKUP(Table410[[#This Row],[RATE CONCAT]],Tables!I:N,5,0)),0)</f>
        <v>0</v>
      </c>
      <c r="BW51" s="13">
        <f>Table410[[#This Row],[Feb_2026_F]]-Table410[[#This Row],[Feb_2026_A]]</f>
        <v>0</v>
      </c>
      <c r="BY51" s="13">
        <f>IFERROR(Table410[[#This Row],[Mar_2026_Days_Forecast]]*Table410[[#This Row],[Cost Boolean]]*(VLOOKUP(Table410[[#This Row],[RATE CONCAT]],Tables!I:N,5,0)),0)</f>
        <v>0</v>
      </c>
      <c r="BZ51" s="13">
        <f>IFERROR(Table410[[#This Row],[Mar_2026_Days_Actual]]*Table410[[#This Row],[Cost Boolean]]*(VLOOKUP(Table410[[#This Row],[RATE CONCAT]],Tables!I:N,5,0)),0)</f>
        <v>0</v>
      </c>
      <c r="CA51" s="13">
        <f>Table410[[#This Row],[Mar_2026_F]]-Table410[[#This Row],[Mar_2026_A]]</f>
        <v>0</v>
      </c>
      <c r="CC51" s="13">
        <f>IFERROR(Table410[[#This Row],[Apr_2026_Days_Forecast]]*Table410[[#This Row],[Cost Boolean]]*(VLOOKUP(Table410[[#This Row],[RATE CONCAT]],Tables!I:N,5,0)),0)</f>
        <v>0</v>
      </c>
      <c r="CD51" s="13">
        <f>IFERROR(Table410[[#This Row],[Apr_2026_Days_Actual]]*Table410[[#This Row],[Cost Boolean]]*(VLOOKUP(Table410[[#This Row],[RATE CONCAT]],Tables!I:N,5,0)),0)</f>
        <v>0</v>
      </c>
      <c r="CE51" s="13">
        <f>Table410[[#This Row],[Apr_2026_F]]-Table410[[#This Row],[Apr_2026_A]]</f>
        <v>0</v>
      </c>
      <c r="CG51" s="13">
        <f>IFERROR(Table410[[#This Row],[May_2026_Days_Forecast]] *Table410[[#This Row],[Cost Boolean]]*(VLOOKUP(Table410[[#This Row],[RATE CONCAT]],Tables!I:N,5,0)),0)</f>
        <v>0</v>
      </c>
      <c r="CH51" s="13">
        <f>IFERROR(Table410[[#This Row],[May_2026_Days_Actual]]*Table410[[#This Row],[Cost Boolean]]*(VLOOKUP(Table410[[#This Row],[RATE CONCAT]],Tables!I:N,5,0)),0)</f>
        <v>0</v>
      </c>
      <c r="CI51" s="13">
        <f>Table410[[#This Row],[May_2026_F]]-Table410[[#This Row],[May_2026_A]]</f>
        <v>0</v>
      </c>
      <c r="CK51" s="13">
        <f>IFERROR(Table410[[#This Row],[Jun_2026_Days_Forecast]]*Table410[[#This Row],[Cost Boolean]]*(VLOOKUP(Table410[[#This Row],[RATE CONCAT]],Tables!I:N,5,0)),0)</f>
        <v>0</v>
      </c>
      <c r="CL51" s="13">
        <f>IFERROR(Table410[[#This Row],[Jun_2026_Days_Actual]]*Table410[[#This Row],[Cost Boolean]]*(VLOOKUP(Table410[[#This Row],[RATE CONCAT]],Tables!I:N,5,0)),0)</f>
        <v>0</v>
      </c>
      <c r="CM51" s="13">
        <f>Table410[[#This Row],[Jun_2026_F]]-Table410[[#This Row],[Jun_2026_A]]</f>
        <v>0</v>
      </c>
      <c r="CO51" s="13">
        <f>IFERROR(Table410[[#This Row],[Jul_2026_Days_Forecast]]*Table410[[#This Row],[Cost Boolean]]*(VLOOKUP(Table410[[#This Row],[RATE CONCAT]],Tables!I:N,5,0)),0)</f>
        <v>0</v>
      </c>
      <c r="CP51" s="13">
        <f>IFERROR(Table410[[#This Row],[Jul_2026_Days_Actual]]*Table410[[#This Row],[Cost Boolean]]*(VLOOKUP(Table410[[#This Row],[RATE CONCAT]],Tables!I:N,5,0)),0)</f>
        <v>0</v>
      </c>
      <c r="CQ51" s="13">
        <f>Table410[[#This Row],[Jul_2026_F]]-Table410[[#This Row],[Jul_2026_A]]</f>
        <v>0</v>
      </c>
      <c r="CS51" s="13">
        <f>IFERROR(Table410[[#This Row],[Aug_2026_Days_Forecast]]*Table410[[#This Row],[Cost Boolean]]*(VLOOKUP(Table410[[#This Row],[RATE CONCAT]],Tables!I:N,5,0)),0)</f>
        <v>0</v>
      </c>
      <c r="CT51" s="13">
        <f>IFERROR(Table410[[#This Row],[Aug_2026_Days_Actual]]*Table410[[#This Row],[Cost Boolean]]*(VLOOKUP(Table410[[#This Row],[RATE CONCAT]],Tables!I:N,5,0)),0)</f>
        <v>0</v>
      </c>
      <c r="CU51" s="13">
        <f>Table410[[#This Row],[Aug_2026_F]]-Table410[[#This Row],[Aug_2026_A]]</f>
        <v>0</v>
      </c>
      <c r="CW51" s="13">
        <f>IFERROR(Table410[[#This Row],[Sep_2026_Days_Forecast]]*Table410[[#This Row],[Cost Boolean]]*(VLOOKUP(Table410[[#This Row],[RATE CONCAT]],Tables!I:N,5,0)),0)</f>
        <v>0</v>
      </c>
      <c r="CX51" s="13">
        <f>IFERROR(Table410[[#This Row],[Sep_2026_Days_Actual]]*Table410[[#This Row],[Cost Boolean]]*(VLOOKUP(Table410[[#This Row],[RATE CONCAT]],Tables!I:N,5,0)),0)</f>
        <v>0</v>
      </c>
      <c r="CY51" s="13">
        <f>Table410[[#This Row],[Sep_2026_F]]-Table410[[#This Row],[Sep_2026_A]]</f>
        <v>0</v>
      </c>
      <c r="DA51" s="13">
        <f>IFERROR(Table410[[#This Row],[Oct_2026_Days_Forecast]]*Table410[[#This Row],[Cost Boolean]]*(VLOOKUP(Table410[[#This Row],[RATE CONCAT]],Tables!I:N,5,0)),0)</f>
        <v>0</v>
      </c>
      <c r="DB51" s="13">
        <f>IFERROR(Table410[[#This Row],[Oct_2026_Days_Actual]]*Table410[[#This Row],[Cost Boolean]]*(VLOOKUP(Table410[[#This Row],[RATE CONCAT]],Tables!I:N,5,0)),0)</f>
        <v>0</v>
      </c>
      <c r="DC51" s="13">
        <f>Table410[[#This Row],[Oct_2026_F]]-Table410[[#This Row],[Oct_2026_A]]</f>
        <v>0</v>
      </c>
      <c r="DE51" s="13">
        <f>IFERROR(Table410[[#This Row],[Nov_2026_Days_Forecast]]*Table410[[#This Row],[Cost Boolean]]*(VLOOKUP(Table410[[#This Row],[RATE CONCAT]],Tables!I:N,5,0)),0)</f>
        <v>0</v>
      </c>
      <c r="DF51" s="13">
        <f>IFERROR(Table410[[#This Row],[Nov_2026_Days_Actual]]*Table410[[#This Row],[Cost Boolean]]*(VLOOKUP(Table410[[#This Row],[RATE CONCAT]],Tables!I:N,5,0)),0)</f>
        <v>0</v>
      </c>
      <c r="DG51" s="13">
        <f>Table410[[#This Row],[Nov_2026_F]]-Table410[[#This Row],[Nov_2026_A]]</f>
        <v>0</v>
      </c>
      <c r="DI51" s="13">
        <f>IFERROR(Table410[[#This Row],[Dec_2026_Days_Forecast]]*Table410[[#This Row],[Cost Boolean]]*(VLOOKUP(Table410[[#This Row],[RATE CONCAT]],Tables!I:N,5,0)),0)</f>
        <v>0</v>
      </c>
      <c r="DJ51" s="13">
        <f>IFERROR(Table410[[#This Row],[Dec_2026_Days_Actual]]*Table410[[#This Row],[Cost Boolean]]*(VLOOKUP(Table410[[#This Row],[RATE CONCAT]],Tables!I:N,5,0)),0)</f>
        <v>0</v>
      </c>
      <c r="DK51" s="13">
        <f>Table410[[#This Row],[Dec_2026_F]]-Table410[[#This Row],[Dec_2026_A]]</f>
        <v>0</v>
      </c>
      <c r="DN51" s="13">
        <f>IFERROR(Table410[[#This Row],[Jan_2027_Days_Forecast]]*Table410[[#This Row],[Cost Boolean]]*(VLOOKUP(Table410[[#This Row],[RATE CONCAT]],Tables!I:N,6,0)),0)</f>
        <v>0</v>
      </c>
      <c r="DP51" s="13">
        <f>Table410[[#This Row],[Jan_2027_F]]-Table410[[#This Row],[Jan_2027_A]]</f>
        <v>0</v>
      </c>
      <c r="DQ51" s="13">
        <f>IFERROR(Table410[[#This Row],[Feb_2027_Days_Forecast]]*Table410[[#This Row],[Cost Boolean]]*(VLOOKUP(Table410[[#This Row],[RATE CONCAT]],Tables!I:N,6,0)),0)</f>
        <v>0</v>
      </c>
      <c r="DS51" s="13">
        <f>Table410[[#This Row],[Feb_2027_F]]-Table410[[#This Row],[Feb_2027_A]]</f>
        <v>0</v>
      </c>
      <c r="DT51" s="13">
        <f>IFERROR(Table410[[#This Row],[Mar_2027_Days_Forecast]]*Table410[[#This Row],[Cost Boolean]]*(VLOOKUP(Table410[[#This Row],[RATE CONCAT]],Tables!I:N,6,0)),0)</f>
        <v>0</v>
      </c>
      <c r="DV51" s="13">
        <f>Table410[[#This Row],[Mar_2027_F]]-Table410[[#This Row],[Mar_2027_A]]</f>
        <v>0</v>
      </c>
      <c r="DW51" s="13">
        <f>IFERROR(Table410[[#This Row],[Apr_2027_Days_Forecast]]*Table410[[#This Row],[Cost Boolean]]*(VLOOKUP(Table410[[#This Row],[RATE CONCAT]],Tables!I:N,6,0)),0)</f>
        <v>0</v>
      </c>
      <c r="DY51" s="13">
        <f>Table410[[#This Row],[Apr_2027_F]]-Table410[[#This Row],[Apr_2027_A]]</f>
        <v>0</v>
      </c>
      <c r="DZ51" s="13">
        <f>IFERROR(Table410[[#This Row],[May_2027_Days_Forecast]]*Table410[[#This Row],[Cost Boolean]]*(VLOOKUP(Table410[[#This Row],[RATE CONCAT]],Tables!I:N,6,0)),0)</f>
        <v>0</v>
      </c>
      <c r="EB51" s="13">
        <f>Table410[[#This Row],[May_2027_F]]-Table410[[#This Row],[May_2027_A]]</f>
        <v>0</v>
      </c>
      <c r="EC51" s="13">
        <f>IFERROR(Table410[[#This Row],[Jun_2027_Days_Forecast]]*Table410[[#This Row],[Cost Boolean]]*(VLOOKUP(Table410[[#This Row],[RATE CONCAT]],Tables!I:N,6,0)),0)</f>
        <v>0</v>
      </c>
      <c r="EE51" s="13">
        <f>Table410[[#This Row],[Jun_2027_F]]-Table410[[#This Row],[Jun_2027_A]]</f>
        <v>0</v>
      </c>
      <c r="EF51" s="13">
        <f>IFERROR(Table410[[#This Row],[Jul_2027_Days_Forecast]]*Table410[[#This Row],[Cost Boolean]]*(VLOOKUP(Table410[[#This Row],[RATE CONCAT]],Tables!I:N,6,0)),0)</f>
        <v>0</v>
      </c>
      <c r="EH51" s="13">
        <f>Table410[[#This Row],[Jul_2027_F]]-Table410[[#This Row],[Jul_2027_A]]</f>
        <v>0</v>
      </c>
      <c r="EI51" s="13">
        <f>IFERROR(Table410[[#This Row],[Aug_2027_Days_Forecast]]*Table410[[#This Row],[Cost Boolean]]*(VLOOKUP(Table410[[#This Row],[RATE CONCAT]],Tables!I:N,6,0)),0)</f>
        <v>0</v>
      </c>
      <c r="EK51" s="13">
        <f>Table410[[#This Row],[Aug_2027_F]]-Table410[[#This Row],[Aug_2027_A]]</f>
        <v>0</v>
      </c>
      <c r="EL51" s="13">
        <f>IFERROR(Table410[[#This Row],[Sep_2027_Days_Forecast]]*Table410[[#This Row],[Cost Boolean]]*(VLOOKUP(Table410[[#This Row],[RATE CONCAT]],Tables!I:N,6,0)),0)</f>
        <v>0</v>
      </c>
      <c r="EN51" s="13">
        <f>Table410[[#This Row],[Sep_2027_F]]-Table410[[#This Row],[Sep_2027_A]]</f>
        <v>0</v>
      </c>
      <c r="EO51" s="13">
        <f>IFERROR(Table410[[#This Row],[Oct_2027_Days_Forecast]]*Table410[[#This Row],[Cost Boolean]]*(VLOOKUP(Table410[[#This Row],[RATE CONCAT]],Tables!I:N,6,0)),0)</f>
        <v>0</v>
      </c>
      <c r="EQ51" s="13">
        <f>Table410[[#This Row],[Oct_2027_F]]-Table410[[#This Row],[Oct_2027_A]]</f>
        <v>0</v>
      </c>
      <c r="ER51" s="13">
        <f>IFERROR(Table410[[#This Row],[Nov_2027_Days_Forecast]]*Table410[[#This Row],[Cost Boolean]]*(VLOOKUP(Table410[[#This Row],[RATE CONCAT]],Tables!I:N,6,0)),0)</f>
        <v>0</v>
      </c>
      <c r="ET51" s="13">
        <f>Table410[[#This Row],[Nov_2027_F]]-Table410[[#This Row],[Nov_2027_A]]</f>
        <v>0</v>
      </c>
      <c r="EU51" s="13">
        <f>IFERROR(Table410[[#This Row],[Dec_2027_Days_Forecast]]*Table410[[#This Row],[Cost Boolean]]*(VLOOKUP(Table410[[#This Row],[RATE CONCAT]],Tables!I:N,6,0)),0)</f>
        <v>0</v>
      </c>
      <c r="EW51" s="13">
        <f>Table410[[#This Row],[Dec_2027_F]]-Table410[[#This Row],[Dec_2027_A]]</f>
        <v>0</v>
      </c>
    </row>
    <row r="52" spans="25:153" s="13" customFormat="1" ht="15" customHeight="1">
      <c r="Y52" s="13" t="str">
        <f>CONCATENATE(Table410[[#This Row],[JG]],Table410[[#This Row],[Country]],Table410[[#This Row],[Resource Provider]])</f>
        <v/>
      </c>
      <c r="Z52" s="13">
        <f>VLOOKUP(Table410[[#This Row],[RATE CONCAT]],Tables!I:N,5,0)</f>
        <v>0</v>
      </c>
      <c r="AA52" s="52"/>
      <c r="AB52" s="127"/>
      <c r="AC52" s="127"/>
      <c r="AD52" s="127"/>
      <c r="AE52" s="127"/>
      <c r="AF52" s="127"/>
      <c r="AG52" s="127"/>
      <c r="AH52" s="127"/>
      <c r="AI52" s="127"/>
      <c r="AJ52" s="127"/>
      <c r="AK52" s="127"/>
      <c r="AL52" s="127"/>
      <c r="AM52" s="127"/>
      <c r="AN52" s="176">
        <f>IFERROR(AVERAGE(Table410[[#This Row],[Jan_2026_Days_Forecast]:[Dec_2026_Days_Forecast]]),0)/19</f>
        <v>0</v>
      </c>
      <c r="AO52" s="176">
        <f>IFERROR(AVERAGE(Table410[[#This Row],[Jan_2026_Days_Actual]:[Dec_2026_Days_Actual]]),0)/19</f>
        <v>0</v>
      </c>
      <c r="BB52" s="176">
        <f>IFERROR(AVERAGE(Table410[[#This Row],[Jan_2027_Days_Forecast]:[Dec_2027_Days_Forecast]]),0)</f>
        <v>0</v>
      </c>
      <c r="BC52" s="127"/>
      <c r="BD52" s="127"/>
      <c r="BE52" s="127"/>
      <c r="BF52" s="127"/>
      <c r="BG52" s="127"/>
      <c r="BH52" s="127"/>
      <c r="BI52" s="127"/>
      <c r="BJ52" s="127"/>
      <c r="BK52" s="127"/>
      <c r="BL52" s="127"/>
      <c r="BM52" s="127"/>
      <c r="BN52" s="127"/>
      <c r="BO52" s="176"/>
      <c r="BP52" s="176"/>
      <c r="BQ52" s="13">
        <f>IFERROR(Table410[[#This Row],[Jan_2026_Days_Forecast]]*Table410[[#This Row],[Cost Boolean]]*(VLOOKUP(Table410[[#This Row],[RATE CONCAT]],Tables!I:N,5,0)),0)</f>
        <v>0</v>
      </c>
      <c r="BR52" s="13">
        <f>IFERROR(Table410[[#This Row],[Jan_2026_Days_Actual]]*Table410[[#This Row],[Cost Boolean]]*(VLOOKUP(Table410[[#This Row],[RATE CONCAT]],Tables!I:N,5,0)),0)</f>
        <v>0</v>
      </c>
      <c r="BS52" s="13">
        <f>Table410[[#This Row],[Jan_2026_F]]-Table410[[#This Row],[Jan_2026_A]]</f>
        <v>0</v>
      </c>
      <c r="BU52" s="13">
        <f>IFERROR(Table410[[#This Row],[Feb_2026_Days_Forecast]]*Table410[[#This Row],[Cost Boolean]]*(VLOOKUP(Table410[[#This Row],[RATE CONCAT]],Tables!I:N,5,0)),0)</f>
        <v>0</v>
      </c>
      <c r="BV52" s="13">
        <f>IFERROR(Table410[[#This Row],[Feb_2026_Days_Actual]]*Table410[[#This Row],[Cost Boolean]]*(VLOOKUP(Table410[[#This Row],[RATE CONCAT]],Tables!I:N,5,0)),0)</f>
        <v>0</v>
      </c>
      <c r="BW52" s="13">
        <f>Table410[[#This Row],[Feb_2026_F]]-Table410[[#This Row],[Feb_2026_A]]</f>
        <v>0</v>
      </c>
      <c r="BY52" s="13">
        <f>IFERROR(Table410[[#This Row],[Mar_2026_Days_Forecast]]*Table410[[#This Row],[Cost Boolean]]*(VLOOKUP(Table410[[#This Row],[RATE CONCAT]],Tables!I:N,5,0)),0)</f>
        <v>0</v>
      </c>
      <c r="BZ52" s="13">
        <f>IFERROR(Table410[[#This Row],[Mar_2026_Days_Actual]]*Table410[[#This Row],[Cost Boolean]]*(VLOOKUP(Table410[[#This Row],[RATE CONCAT]],Tables!I:N,5,0)),0)</f>
        <v>0</v>
      </c>
      <c r="CA52" s="13">
        <f>Table410[[#This Row],[Mar_2026_F]]-Table410[[#This Row],[Mar_2026_A]]</f>
        <v>0</v>
      </c>
      <c r="CC52" s="13">
        <f>IFERROR(Table410[[#This Row],[Apr_2026_Days_Forecast]]*Table410[[#This Row],[Cost Boolean]]*(VLOOKUP(Table410[[#This Row],[RATE CONCAT]],Tables!I:N,5,0)),0)</f>
        <v>0</v>
      </c>
      <c r="CD52" s="13">
        <f>IFERROR(Table410[[#This Row],[Apr_2026_Days_Actual]]*Table410[[#This Row],[Cost Boolean]]*(VLOOKUP(Table410[[#This Row],[RATE CONCAT]],Tables!I:N,5,0)),0)</f>
        <v>0</v>
      </c>
      <c r="CE52" s="13">
        <f>Table410[[#This Row],[Apr_2026_F]]-Table410[[#This Row],[Apr_2026_A]]</f>
        <v>0</v>
      </c>
      <c r="CG52" s="13">
        <f>IFERROR(Table410[[#This Row],[May_2026_Days_Forecast]] *Table410[[#This Row],[Cost Boolean]]*(VLOOKUP(Table410[[#This Row],[RATE CONCAT]],Tables!I:N,5,0)),0)</f>
        <v>0</v>
      </c>
      <c r="CH52" s="13">
        <f>IFERROR(Table410[[#This Row],[May_2026_Days_Actual]]*Table410[[#This Row],[Cost Boolean]]*(VLOOKUP(Table410[[#This Row],[RATE CONCAT]],Tables!I:N,5,0)),0)</f>
        <v>0</v>
      </c>
      <c r="CI52" s="13">
        <f>Table410[[#This Row],[May_2026_F]]-Table410[[#This Row],[May_2026_A]]</f>
        <v>0</v>
      </c>
      <c r="CK52" s="13">
        <f>IFERROR(Table410[[#This Row],[Jun_2026_Days_Forecast]]*Table410[[#This Row],[Cost Boolean]]*(VLOOKUP(Table410[[#This Row],[RATE CONCAT]],Tables!I:N,5,0)),0)</f>
        <v>0</v>
      </c>
      <c r="CL52" s="13">
        <f>IFERROR(Table410[[#This Row],[Jun_2026_Days_Actual]]*Table410[[#This Row],[Cost Boolean]]*(VLOOKUP(Table410[[#This Row],[RATE CONCAT]],Tables!I:N,5,0)),0)</f>
        <v>0</v>
      </c>
      <c r="CM52" s="13">
        <f>Table410[[#This Row],[Jun_2026_F]]-Table410[[#This Row],[Jun_2026_A]]</f>
        <v>0</v>
      </c>
      <c r="CO52" s="13">
        <f>IFERROR(Table410[[#This Row],[Jul_2026_Days_Forecast]]*Table410[[#This Row],[Cost Boolean]]*(VLOOKUP(Table410[[#This Row],[RATE CONCAT]],Tables!I:N,5,0)),0)</f>
        <v>0</v>
      </c>
      <c r="CP52" s="13">
        <f>IFERROR(Table410[[#This Row],[Jul_2026_Days_Actual]]*Table410[[#This Row],[Cost Boolean]]*(VLOOKUP(Table410[[#This Row],[RATE CONCAT]],Tables!I:N,5,0)),0)</f>
        <v>0</v>
      </c>
      <c r="CQ52" s="13">
        <f>Table410[[#This Row],[Jul_2026_F]]-Table410[[#This Row],[Jul_2026_A]]</f>
        <v>0</v>
      </c>
      <c r="CS52" s="13">
        <f>IFERROR(Table410[[#This Row],[Aug_2026_Days_Forecast]]*Table410[[#This Row],[Cost Boolean]]*(VLOOKUP(Table410[[#This Row],[RATE CONCAT]],Tables!I:N,5,0)),0)</f>
        <v>0</v>
      </c>
      <c r="CT52" s="13">
        <f>IFERROR(Table410[[#This Row],[Aug_2026_Days_Actual]]*Table410[[#This Row],[Cost Boolean]]*(VLOOKUP(Table410[[#This Row],[RATE CONCAT]],Tables!I:N,5,0)),0)</f>
        <v>0</v>
      </c>
      <c r="CU52" s="13">
        <f>Table410[[#This Row],[Aug_2026_F]]-Table410[[#This Row],[Aug_2026_A]]</f>
        <v>0</v>
      </c>
      <c r="CW52" s="13">
        <f>IFERROR(Table410[[#This Row],[Sep_2026_Days_Forecast]]*Table410[[#This Row],[Cost Boolean]]*(VLOOKUP(Table410[[#This Row],[RATE CONCAT]],Tables!I:N,5,0)),0)</f>
        <v>0</v>
      </c>
      <c r="CX52" s="13">
        <f>IFERROR(Table410[[#This Row],[Sep_2026_Days_Actual]]*Table410[[#This Row],[Cost Boolean]]*(VLOOKUP(Table410[[#This Row],[RATE CONCAT]],Tables!I:N,5,0)),0)</f>
        <v>0</v>
      </c>
      <c r="CY52" s="13">
        <f>Table410[[#This Row],[Sep_2026_F]]-Table410[[#This Row],[Sep_2026_A]]</f>
        <v>0</v>
      </c>
      <c r="DA52" s="13">
        <f>IFERROR(Table410[[#This Row],[Oct_2026_Days_Forecast]]*Table410[[#This Row],[Cost Boolean]]*(VLOOKUP(Table410[[#This Row],[RATE CONCAT]],Tables!I:N,5,0)),0)</f>
        <v>0</v>
      </c>
      <c r="DB52" s="13">
        <f>IFERROR(Table410[[#This Row],[Oct_2026_Days_Actual]]*Table410[[#This Row],[Cost Boolean]]*(VLOOKUP(Table410[[#This Row],[RATE CONCAT]],Tables!I:N,5,0)),0)</f>
        <v>0</v>
      </c>
      <c r="DC52" s="13">
        <f>Table410[[#This Row],[Oct_2026_F]]-Table410[[#This Row],[Oct_2026_A]]</f>
        <v>0</v>
      </c>
      <c r="DE52" s="13">
        <f>IFERROR(Table410[[#This Row],[Nov_2026_Days_Forecast]]*Table410[[#This Row],[Cost Boolean]]*(VLOOKUP(Table410[[#This Row],[RATE CONCAT]],Tables!I:N,5,0)),0)</f>
        <v>0</v>
      </c>
      <c r="DF52" s="13">
        <f>IFERROR(Table410[[#This Row],[Nov_2026_Days_Actual]]*Table410[[#This Row],[Cost Boolean]]*(VLOOKUP(Table410[[#This Row],[RATE CONCAT]],Tables!I:N,5,0)),0)</f>
        <v>0</v>
      </c>
      <c r="DG52" s="13">
        <f>Table410[[#This Row],[Nov_2026_F]]-Table410[[#This Row],[Nov_2026_A]]</f>
        <v>0</v>
      </c>
      <c r="DI52" s="13">
        <f>IFERROR(Table410[[#This Row],[Dec_2026_Days_Forecast]]*Table410[[#This Row],[Cost Boolean]]*(VLOOKUP(Table410[[#This Row],[RATE CONCAT]],Tables!I:N,5,0)),0)</f>
        <v>0</v>
      </c>
      <c r="DJ52" s="13">
        <f>IFERROR(Table410[[#This Row],[Dec_2026_Days_Actual]]*Table410[[#This Row],[Cost Boolean]]*(VLOOKUP(Table410[[#This Row],[RATE CONCAT]],Tables!I:N,5,0)),0)</f>
        <v>0</v>
      </c>
      <c r="DK52" s="13">
        <f>Table410[[#This Row],[Dec_2026_F]]-Table410[[#This Row],[Dec_2026_A]]</f>
        <v>0</v>
      </c>
      <c r="DN52" s="13">
        <f>IFERROR(Table410[[#This Row],[Jan_2027_Days_Forecast]]*Table410[[#This Row],[Cost Boolean]]*(VLOOKUP(Table410[[#This Row],[RATE CONCAT]],Tables!I:N,6,0)),0)</f>
        <v>0</v>
      </c>
      <c r="DP52" s="13">
        <f>Table410[[#This Row],[Jan_2027_F]]-Table410[[#This Row],[Jan_2027_A]]</f>
        <v>0</v>
      </c>
      <c r="DQ52" s="13">
        <f>IFERROR(Table410[[#This Row],[Feb_2027_Days_Forecast]]*Table410[[#This Row],[Cost Boolean]]*(VLOOKUP(Table410[[#This Row],[RATE CONCAT]],Tables!I:N,6,0)),0)</f>
        <v>0</v>
      </c>
      <c r="DS52" s="13">
        <f>Table410[[#This Row],[Feb_2027_F]]-Table410[[#This Row],[Feb_2027_A]]</f>
        <v>0</v>
      </c>
      <c r="DT52" s="13">
        <f>IFERROR(Table410[[#This Row],[Mar_2027_Days_Forecast]]*Table410[[#This Row],[Cost Boolean]]*(VLOOKUP(Table410[[#This Row],[RATE CONCAT]],Tables!I:N,6,0)),0)</f>
        <v>0</v>
      </c>
      <c r="DV52" s="13">
        <f>Table410[[#This Row],[Mar_2027_F]]-Table410[[#This Row],[Mar_2027_A]]</f>
        <v>0</v>
      </c>
      <c r="DW52" s="13">
        <f>IFERROR(Table410[[#This Row],[Apr_2027_Days_Forecast]]*Table410[[#This Row],[Cost Boolean]]*(VLOOKUP(Table410[[#This Row],[RATE CONCAT]],Tables!I:N,6,0)),0)</f>
        <v>0</v>
      </c>
      <c r="DY52" s="13">
        <f>Table410[[#This Row],[Apr_2027_F]]-Table410[[#This Row],[Apr_2027_A]]</f>
        <v>0</v>
      </c>
      <c r="DZ52" s="13">
        <f>IFERROR(Table410[[#This Row],[May_2027_Days_Forecast]]*Table410[[#This Row],[Cost Boolean]]*(VLOOKUP(Table410[[#This Row],[RATE CONCAT]],Tables!I:N,6,0)),0)</f>
        <v>0</v>
      </c>
      <c r="EB52" s="13">
        <f>Table410[[#This Row],[May_2027_F]]-Table410[[#This Row],[May_2027_A]]</f>
        <v>0</v>
      </c>
      <c r="EC52" s="13">
        <f>IFERROR(Table410[[#This Row],[Jun_2027_Days_Forecast]]*Table410[[#This Row],[Cost Boolean]]*(VLOOKUP(Table410[[#This Row],[RATE CONCAT]],Tables!I:N,6,0)),0)</f>
        <v>0</v>
      </c>
      <c r="EE52" s="13">
        <f>Table410[[#This Row],[Jun_2027_F]]-Table410[[#This Row],[Jun_2027_A]]</f>
        <v>0</v>
      </c>
      <c r="EF52" s="13">
        <f>IFERROR(Table410[[#This Row],[Jul_2027_Days_Forecast]]*Table410[[#This Row],[Cost Boolean]]*(VLOOKUP(Table410[[#This Row],[RATE CONCAT]],Tables!I:N,6,0)),0)</f>
        <v>0</v>
      </c>
      <c r="EH52" s="13">
        <f>Table410[[#This Row],[Jul_2027_F]]-Table410[[#This Row],[Jul_2027_A]]</f>
        <v>0</v>
      </c>
      <c r="EI52" s="13">
        <f>IFERROR(Table410[[#This Row],[Aug_2027_Days_Forecast]]*Table410[[#This Row],[Cost Boolean]]*(VLOOKUP(Table410[[#This Row],[RATE CONCAT]],Tables!I:N,6,0)),0)</f>
        <v>0</v>
      </c>
      <c r="EK52" s="13">
        <f>Table410[[#This Row],[Aug_2027_F]]-Table410[[#This Row],[Aug_2027_A]]</f>
        <v>0</v>
      </c>
      <c r="EL52" s="13">
        <f>IFERROR(Table410[[#This Row],[Sep_2027_Days_Forecast]]*Table410[[#This Row],[Cost Boolean]]*(VLOOKUP(Table410[[#This Row],[RATE CONCAT]],Tables!I:N,6,0)),0)</f>
        <v>0</v>
      </c>
      <c r="EN52" s="13">
        <f>Table410[[#This Row],[Sep_2027_F]]-Table410[[#This Row],[Sep_2027_A]]</f>
        <v>0</v>
      </c>
      <c r="EO52" s="13">
        <f>IFERROR(Table410[[#This Row],[Oct_2027_Days_Forecast]]*Table410[[#This Row],[Cost Boolean]]*(VLOOKUP(Table410[[#This Row],[RATE CONCAT]],Tables!I:N,6,0)),0)</f>
        <v>0</v>
      </c>
      <c r="EQ52" s="13">
        <f>Table410[[#This Row],[Oct_2027_F]]-Table410[[#This Row],[Oct_2027_A]]</f>
        <v>0</v>
      </c>
      <c r="ER52" s="13">
        <f>IFERROR(Table410[[#This Row],[Nov_2027_Days_Forecast]]*Table410[[#This Row],[Cost Boolean]]*(VLOOKUP(Table410[[#This Row],[RATE CONCAT]],Tables!I:N,6,0)),0)</f>
        <v>0</v>
      </c>
      <c r="ET52" s="13">
        <f>Table410[[#This Row],[Nov_2027_F]]-Table410[[#This Row],[Nov_2027_A]]</f>
        <v>0</v>
      </c>
      <c r="EU52" s="13">
        <f>IFERROR(Table410[[#This Row],[Dec_2027_Days_Forecast]]*Table410[[#This Row],[Cost Boolean]]*(VLOOKUP(Table410[[#This Row],[RATE CONCAT]],Tables!I:N,6,0)),0)</f>
        <v>0</v>
      </c>
      <c r="EW52" s="13">
        <f>Table410[[#This Row],[Dec_2027_F]]-Table410[[#This Row],[Dec_2027_A]]</f>
        <v>0</v>
      </c>
    </row>
    <row r="53" spans="25:153" s="13" customFormat="1" ht="15" customHeight="1">
      <c r="Y53" s="13" t="str">
        <f>CONCATENATE(Table410[[#This Row],[JG]],Table410[[#This Row],[Country]],Table410[[#This Row],[Resource Provider]])</f>
        <v/>
      </c>
      <c r="Z53" s="13">
        <f>VLOOKUP(Table410[[#This Row],[RATE CONCAT]],Tables!I:N,5,0)</f>
        <v>0</v>
      </c>
      <c r="AA53" s="52"/>
      <c r="AB53" s="127"/>
      <c r="AC53" s="127"/>
      <c r="AD53" s="127"/>
      <c r="AE53" s="127"/>
      <c r="AF53" s="127"/>
      <c r="AG53" s="127"/>
      <c r="AH53" s="127"/>
      <c r="AI53" s="127"/>
      <c r="AJ53" s="127"/>
      <c r="AK53" s="127"/>
      <c r="AL53" s="127"/>
      <c r="AM53" s="127"/>
      <c r="AN53" s="176">
        <f>IFERROR(AVERAGE(Table410[[#This Row],[Jan_2026_Days_Forecast]:[Dec_2026_Days_Forecast]]),0)/19</f>
        <v>0</v>
      </c>
      <c r="AO53" s="176">
        <f>IFERROR(AVERAGE(Table410[[#This Row],[Jan_2026_Days_Actual]:[Dec_2026_Days_Actual]]),0)/19</f>
        <v>0</v>
      </c>
      <c r="BB53" s="176">
        <f>IFERROR(AVERAGE(Table410[[#This Row],[Jan_2027_Days_Forecast]:[Dec_2027_Days_Forecast]]),0)</f>
        <v>0</v>
      </c>
      <c r="BC53" s="127"/>
      <c r="BD53" s="127"/>
      <c r="BE53" s="127"/>
      <c r="BF53" s="127"/>
      <c r="BG53" s="127"/>
      <c r="BH53" s="127"/>
      <c r="BI53" s="127"/>
      <c r="BJ53" s="127"/>
      <c r="BK53" s="127"/>
      <c r="BL53" s="127"/>
      <c r="BM53" s="127"/>
      <c r="BN53" s="127"/>
      <c r="BO53" s="176"/>
      <c r="BP53" s="176"/>
      <c r="BQ53" s="13">
        <f>IFERROR(Table410[[#This Row],[Jan_2026_Days_Forecast]]*Table410[[#This Row],[Cost Boolean]]*(VLOOKUP(Table410[[#This Row],[RATE CONCAT]],Tables!I:N,5,0)),0)</f>
        <v>0</v>
      </c>
      <c r="BR53" s="13">
        <f>IFERROR(Table410[[#This Row],[Jan_2026_Days_Actual]]*Table410[[#This Row],[Cost Boolean]]*(VLOOKUP(Table410[[#This Row],[RATE CONCAT]],Tables!I:N,5,0)),0)</f>
        <v>0</v>
      </c>
      <c r="BS53" s="13">
        <f>Table410[[#This Row],[Jan_2026_F]]-Table410[[#This Row],[Jan_2026_A]]</f>
        <v>0</v>
      </c>
      <c r="BU53" s="13">
        <f>IFERROR(Table410[[#This Row],[Feb_2026_Days_Forecast]]*Table410[[#This Row],[Cost Boolean]]*(VLOOKUP(Table410[[#This Row],[RATE CONCAT]],Tables!I:N,5,0)),0)</f>
        <v>0</v>
      </c>
      <c r="BV53" s="13">
        <f>IFERROR(Table410[[#This Row],[Feb_2026_Days_Actual]]*Table410[[#This Row],[Cost Boolean]]*(VLOOKUP(Table410[[#This Row],[RATE CONCAT]],Tables!I:N,5,0)),0)</f>
        <v>0</v>
      </c>
      <c r="BW53" s="13">
        <f>Table410[[#This Row],[Feb_2026_F]]-Table410[[#This Row],[Feb_2026_A]]</f>
        <v>0</v>
      </c>
      <c r="BY53" s="13">
        <f>IFERROR(Table410[[#This Row],[Mar_2026_Days_Forecast]]*Table410[[#This Row],[Cost Boolean]]*(VLOOKUP(Table410[[#This Row],[RATE CONCAT]],Tables!I:N,5,0)),0)</f>
        <v>0</v>
      </c>
      <c r="BZ53" s="13">
        <f>IFERROR(Table410[[#This Row],[Mar_2026_Days_Actual]]*Table410[[#This Row],[Cost Boolean]]*(VLOOKUP(Table410[[#This Row],[RATE CONCAT]],Tables!I:N,5,0)),0)</f>
        <v>0</v>
      </c>
      <c r="CA53" s="13">
        <f>Table410[[#This Row],[Mar_2026_F]]-Table410[[#This Row],[Mar_2026_A]]</f>
        <v>0</v>
      </c>
      <c r="CC53" s="13">
        <f>IFERROR(Table410[[#This Row],[Apr_2026_Days_Forecast]]*Table410[[#This Row],[Cost Boolean]]*(VLOOKUP(Table410[[#This Row],[RATE CONCAT]],Tables!I:N,5,0)),0)</f>
        <v>0</v>
      </c>
      <c r="CD53" s="13">
        <f>IFERROR(Table410[[#This Row],[Apr_2026_Days_Actual]]*Table410[[#This Row],[Cost Boolean]]*(VLOOKUP(Table410[[#This Row],[RATE CONCAT]],Tables!I:N,5,0)),0)</f>
        <v>0</v>
      </c>
      <c r="CE53" s="13">
        <f>Table410[[#This Row],[Apr_2026_F]]-Table410[[#This Row],[Apr_2026_A]]</f>
        <v>0</v>
      </c>
      <c r="CG53" s="13">
        <f>IFERROR(Table410[[#This Row],[May_2026_Days_Forecast]] *Table410[[#This Row],[Cost Boolean]]*(VLOOKUP(Table410[[#This Row],[RATE CONCAT]],Tables!I:N,5,0)),0)</f>
        <v>0</v>
      </c>
      <c r="CH53" s="13">
        <f>IFERROR(Table410[[#This Row],[May_2026_Days_Actual]]*Table410[[#This Row],[Cost Boolean]]*(VLOOKUP(Table410[[#This Row],[RATE CONCAT]],Tables!I:N,5,0)),0)</f>
        <v>0</v>
      </c>
      <c r="CI53" s="13">
        <f>Table410[[#This Row],[May_2026_F]]-Table410[[#This Row],[May_2026_A]]</f>
        <v>0</v>
      </c>
      <c r="CK53" s="13">
        <f>IFERROR(Table410[[#This Row],[Jun_2026_Days_Forecast]]*Table410[[#This Row],[Cost Boolean]]*(VLOOKUP(Table410[[#This Row],[RATE CONCAT]],Tables!I:N,5,0)),0)</f>
        <v>0</v>
      </c>
      <c r="CL53" s="13">
        <f>IFERROR(Table410[[#This Row],[Jun_2026_Days_Actual]]*Table410[[#This Row],[Cost Boolean]]*(VLOOKUP(Table410[[#This Row],[RATE CONCAT]],Tables!I:N,5,0)),0)</f>
        <v>0</v>
      </c>
      <c r="CM53" s="13">
        <f>Table410[[#This Row],[Jun_2026_F]]-Table410[[#This Row],[Jun_2026_A]]</f>
        <v>0</v>
      </c>
      <c r="CO53" s="13">
        <f>IFERROR(Table410[[#This Row],[Jul_2026_Days_Forecast]]*Table410[[#This Row],[Cost Boolean]]*(VLOOKUP(Table410[[#This Row],[RATE CONCAT]],Tables!I:N,5,0)),0)</f>
        <v>0</v>
      </c>
      <c r="CP53" s="13">
        <f>IFERROR(Table410[[#This Row],[Jul_2026_Days_Actual]]*Table410[[#This Row],[Cost Boolean]]*(VLOOKUP(Table410[[#This Row],[RATE CONCAT]],Tables!I:N,5,0)),0)</f>
        <v>0</v>
      </c>
      <c r="CQ53" s="13">
        <f>Table410[[#This Row],[Jul_2026_F]]-Table410[[#This Row],[Jul_2026_A]]</f>
        <v>0</v>
      </c>
      <c r="CS53" s="13">
        <f>IFERROR(Table410[[#This Row],[Aug_2026_Days_Forecast]]*Table410[[#This Row],[Cost Boolean]]*(VLOOKUP(Table410[[#This Row],[RATE CONCAT]],Tables!I:N,5,0)),0)</f>
        <v>0</v>
      </c>
      <c r="CT53" s="13">
        <f>IFERROR(Table410[[#This Row],[Aug_2026_Days_Actual]]*Table410[[#This Row],[Cost Boolean]]*(VLOOKUP(Table410[[#This Row],[RATE CONCAT]],Tables!I:N,5,0)),0)</f>
        <v>0</v>
      </c>
      <c r="CU53" s="13">
        <f>Table410[[#This Row],[Aug_2026_F]]-Table410[[#This Row],[Aug_2026_A]]</f>
        <v>0</v>
      </c>
      <c r="CW53" s="13">
        <f>IFERROR(Table410[[#This Row],[Sep_2026_Days_Forecast]]*Table410[[#This Row],[Cost Boolean]]*(VLOOKUP(Table410[[#This Row],[RATE CONCAT]],Tables!I:N,5,0)),0)</f>
        <v>0</v>
      </c>
      <c r="CX53" s="13">
        <f>IFERROR(Table410[[#This Row],[Sep_2026_Days_Actual]]*Table410[[#This Row],[Cost Boolean]]*(VLOOKUP(Table410[[#This Row],[RATE CONCAT]],Tables!I:N,5,0)),0)</f>
        <v>0</v>
      </c>
      <c r="CY53" s="13">
        <f>Table410[[#This Row],[Sep_2026_F]]-Table410[[#This Row],[Sep_2026_A]]</f>
        <v>0</v>
      </c>
      <c r="DA53" s="13">
        <f>IFERROR(Table410[[#This Row],[Oct_2026_Days_Forecast]]*Table410[[#This Row],[Cost Boolean]]*(VLOOKUP(Table410[[#This Row],[RATE CONCAT]],Tables!I:N,5,0)),0)</f>
        <v>0</v>
      </c>
      <c r="DB53" s="13">
        <f>IFERROR(Table410[[#This Row],[Oct_2026_Days_Actual]]*Table410[[#This Row],[Cost Boolean]]*(VLOOKUP(Table410[[#This Row],[RATE CONCAT]],Tables!I:N,5,0)),0)</f>
        <v>0</v>
      </c>
      <c r="DC53" s="13">
        <f>Table410[[#This Row],[Oct_2026_F]]-Table410[[#This Row],[Oct_2026_A]]</f>
        <v>0</v>
      </c>
      <c r="DE53" s="13">
        <f>IFERROR(Table410[[#This Row],[Nov_2026_Days_Forecast]]*Table410[[#This Row],[Cost Boolean]]*(VLOOKUP(Table410[[#This Row],[RATE CONCAT]],Tables!I:N,5,0)),0)</f>
        <v>0</v>
      </c>
      <c r="DF53" s="13">
        <f>IFERROR(Table410[[#This Row],[Nov_2026_Days_Actual]]*Table410[[#This Row],[Cost Boolean]]*(VLOOKUP(Table410[[#This Row],[RATE CONCAT]],Tables!I:N,5,0)),0)</f>
        <v>0</v>
      </c>
      <c r="DG53" s="13">
        <f>Table410[[#This Row],[Nov_2026_F]]-Table410[[#This Row],[Nov_2026_A]]</f>
        <v>0</v>
      </c>
      <c r="DI53" s="13">
        <f>IFERROR(Table410[[#This Row],[Dec_2026_Days_Forecast]]*Table410[[#This Row],[Cost Boolean]]*(VLOOKUP(Table410[[#This Row],[RATE CONCAT]],Tables!I:N,5,0)),0)</f>
        <v>0</v>
      </c>
      <c r="DJ53" s="13">
        <f>IFERROR(Table410[[#This Row],[Dec_2026_Days_Actual]]*Table410[[#This Row],[Cost Boolean]]*(VLOOKUP(Table410[[#This Row],[RATE CONCAT]],Tables!I:N,5,0)),0)</f>
        <v>0</v>
      </c>
      <c r="DK53" s="13">
        <f>Table410[[#This Row],[Dec_2026_F]]-Table410[[#This Row],[Dec_2026_A]]</f>
        <v>0</v>
      </c>
      <c r="DN53" s="13">
        <f>IFERROR(Table410[[#This Row],[Jan_2027_Days_Forecast]]*Table410[[#This Row],[Cost Boolean]]*(VLOOKUP(Table410[[#This Row],[RATE CONCAT]],Tables!I:N,6,0)),0)</f>
        <v>0</v>
      </c>
      <c r="DP53" s="13">
        <f>Table410[[#This Row],[Jan_2027_F]]-Table410[[#This Row],[Jan_2027_A]]</f>
        <v>0</v>
      </c>
      <c r="DQ53" s="13">
        <f>IFERROR(Table410[[#This Row],[Feb_2027_Days_Forecast]]*Table410[[#This Row],[Cost Boolean]]*(VLOOKUP(Table410[[#This Row],[RATE CONCAT]],Tables!I:N,6,0)),0)</f>
        <v>0</v>
      </c>
      <c r="DS53" s="13">
        <f>Table410[[#This Row],[Feb_2027_F]]-Table410[[#This Row],[Feb_2027_A]]</f>
        <v>0</v>
      </c>
      <c r="DT53" s="13">
        <f>IFERROR(Table410[[#This Row],[Mar_2027_Days_Forecast]]*Table410[[#This Row],[Cost Boolean]]*(VLOOKUP(Table410[[#This Row],[RATE CONCAT]],Tables!I:N,6,0)),0)</f>
        <v>0</v>
      </c>
      <c r="DV53" s="13">
        <f>Table410[[#This Row],[Mar_2027_F]]-Table410[[#This Row],[Mar_2027_A]]</f>
        <v>0</v>
      </c>
      <c r="DW53" s="13">
        <f>IFERROR(Table410[[#This Row],[Apr_2027_Days_Forecast]]*Table410[[#This Row],[Cost Boolean]]*(VLOOKUP(Table410[[#This Row],[RATE CONCAT]],Tables!I:N,6,0)),0)</f>
        <v>0</v>
      </c>
      <c r="DY53" s="13">
        <f>Table410[[#This Row],[Apr_2027_F]]-Table410[[#This Row],[Apr_2027_A]]</f>
        <v>0</v>
      </c>
      <c r="DZ53" s="13">
        <f>IFERROR(Table410[[#This Row],[May_2027_Days_Forecast]]*Table410[[#This Row],[Cost Boolean]]*(VLOOKUP(Table410[[#This Row],[RATE CONCAT]],Tables!I:N,6,0)),0)</f>
        <v>0</v>
      </c>
      <c r="EB53" s="13">
        <f>Table410[[#This Row],[May_2027_F]]-Table410[[#This Row],[May_2027_A]]</f>
        <v>0</v>
      </c>
      <c r="EC53" s="13">
        <f>IFERROR(Table410[[#This Row],[Jun_2027_Days_Forecast]]*Table410[[#This Row],[Cost Boolean]]*(VLOOKUP(Table410[[#This Row],[RATE CONCAT]],Tables!I:N,6,0)),0)</f>
        <v>0</v>
      </c>
      <c r="EE53" s="13">
        <f>Table410[[#This Row],[Jun_2027_F]]-Table410[[#This Row],[Jun_2027_A]]</f>
        <v>0</v>
      </c>
      <c r="EF53" s="13">
        <f>IFERROR(Table410[[#This Row],[Jul_2027_Days_Forecast]]*Table410[[#This Row],[Cost Boolean]]*(VLOOKUP(Table410[[#This Row],[RATE CONCAT]],Tables!I:N,6,0)),0)</f>
        <v>0</v>
      </c>
      <c r="EH53" s="13">
        <f>Table410[[#This Row],[Jul_2027_F]]-Table410[[#This Row],[Jul_2027_A]]</f>
        <v>0</v>
      </c>
      <c r="EI53" s="13">
        <f>IFERROR(Table410[[#This Row],[Aug_2027_Days_Forecast]]*Table410[[#This Row],[Cost Boolean]]*(VLOOKUP(Table410[[#This Row],[RATE CONCAT]],Tables!I:N,6,0)),0)</f>
        <v>0</v>
      </c>
      <c r="EK53" s="13">
        <f>Table410[[#This Row],[Aug_2027_F]]-Table410[[#This Row],[Aug_2027_A]]</f>
        <v>0</v>
      </c>
      <c r="EL53" s="13">
        <f>IFERROR(Table410[[#This Row],[Sep_2027_Days_Forecast]]*Table410[[#This Row],[Cost Boolean]]*(VLOOKUP(Table410[[#This Row],[RATE CONCAT]],Tables!I:N,6,0)),0)</f>
        <v>0</v>
      </c>
      <c r="EN53" s="13">
        <f>Table410[[#This Row],[Sep_2027_F]]-Table410[[#This Row],[Sep_2027_A]]</f>
        <v>0</v>
      </c>
      <c r="EO53" s="13">
        <f>IFERROR(Table410[[#This Row],[Oct_2027_Days_Forecast]]*Table410[[#This Row],[Cost Boolean]]*(VLOOKUP(Table410[[#This Row],[RATE CONCAT]],Tables!I:N,6,0)),0)</f>
        <v>0</v>
      </c>
      <c r="EQ53" s="13">
        <f>Table410[[#This Row],[Oct_2027_F]]-Table410[[#This Row],[Oct_2027_A]]</f>
        <v>0</v>
      </c>
      <c r="ER53" s="13">
        <f>IFERROR(Table410[[#This Row],[Nov_2027_Days_Forecast]]*Table410[[#This Row],[Cost Boolean]]*(VLOOKUP(Table410[[#This Row],[RATE CONCAT]],Tables!I:N,6,0)),0)</f>
        <v>0</v>
      </c>
      <c r="ET53" s="13">
        <f>Table410[[#This Row],[Nov_2027_F]]-Table410[[#This Row],[Nov_2027_A]]</f>
        <v>0</v>
      </c>
      <c r="EU53" s="13">
        <f>IFERROR(Table410[[#This Row],[Dec_2027_Days_Forecast]]*Table410[[#This Row],[Cost Boolean]]*(VLOOKUP(Table410[[#This Row],[RATE CONCAT]],Tables!I:N,6,0)),0)</f>
        <v>0</v>
      </c>
      <c r="EW53" s="13">
        <f>Table410[[#This Row],[Dec_2027_F]]-Table410[[#This Row],[Dec_2027_A]]</f>
        <v>0</v>
      </c>
    </row>
    <row r="54" spans="25:153" s="13" customFormat="1" ht="15" customHeight="1">
      <c r="Y54" s="13" t="str">
        <f>CONCATENATE(Table410[[#This Row],[JG]],Table410[[#This Row],[Country]],Table410[[#This Row],[Resource Provider]])</f>
        <v/>
      </c>
      <c r="Z54" s="13">
        <f>VLOOKUP(Table410[[#This Row],[RATE CONCAT]],Tables!I:N,5,0)</f>
        <v>0</v>
      </c>
      <c r="AA54" s="52"/>
      <c r="AB54" s="127"/>
      <c r="AC54" s="127"/>
      <c r="AD54" s="127"/>
      <c r="AE54" s="127"/>
      <c r="AF54" s="127"/>
      <c r="AG54" s="127"/>
      <c r="AH54" s="127"/>
      <c r="AI54" s="127"/>
      <c r="AJ54" s="127"/>
      <c r="AK54" s="127"/>
      <c r="AL54" s="127"/>
      <c r="AM54" s="127"/>
      <c r="AN54" s="176">
        <f>IFERROR(AVERAGE(Table410[[#This Row],[Jan_2026_Days_Forecast]:[Dec_2026_Days_Forecast]]),0)/19</f>
        <v>0</v>
      </c>
      <c r="AO54" s="176">
        <f>IFERROR(AVERAGE(Table410[[#This Row],[Jan_2026_Days_Actual]:[Dec_2026_Days_Actual]]),0)/19</f>
        <v>0</v>
      </c>
      <c r="BB54" s="176">
        <f>IFERROR(AVERAGE(Table410[[#This Row],[Jan_2027_Days_Forecast]:[Dec_2027_Days_Forecast]]),0)</f>
        <v>0</v>
      </c>
      <c r="BC54" s="127"/>
      <c r="BD54" s="127"/>
      <c r="BE54" s="127"/>
      <c r="BF54" s="127"/>
      <c r="BG54" s="127"/>
      <c r="BH54" s="127"/>
      <c r="BI54" s="127"/>
      <c r="BJ54" s="127"/>
      <c r="BK54" s="127"/>
      <c r="BL54" s="127"/>
      <c r="BM54" s="127"/>
      <c r="BN54" s="127"/>
      <c r="BO54" s="176"/>
      <c r="BP54" s="176"/>
      <c r="BQ54" s="13">
        <f>IFERROR(Table410[[#This Row],[Jan_2026_Days_Forecast]]*Table410[[#This Row],[Cost Boolean]]*(VLOOKUP(Table410[[#This Row],[RATE CONCAT]],Tables!I:N,5,0)),0)</f>
        <v>0</v>
      </c>
      <c r="BR54" s="13">
        <f>IFERROR(Table410[[#This Row],[Jan_2026_Days_Actual]]*Table410[[#This Row],[Cost Boolean]]*(VLOOKUP(Table410[[#This Row],[RATE CONCAT]],Tables!I:N,5,0)),0)</f>
        <v>0</v>
      </c>
      <c r="BS54" s="13">
        <f>Table410[[#This Row],[Jan_2026_F]]-Table410[[#This Row],[Jan_2026_A]]</f>
        <v>0</v>
      </c>
      <c r="BU54" s="13">
        <f>IFERROR(Table410[[#This Row],[Feb_2026_Days_Forecast]]*Table410[[#This Row],[Cost Boolean]]*(VLOOKUP(Table410[[#This Row],[RATE CONCAT]],Tables!I:N,5,0)),0)</f>
        <v>0</v>
      </c>
      <c r="BV54" s="13">
        <f>IFERROR(Table410[[#This Row],[Feb_2026_Days_Actual]]*Table410[[#This Row],[Cost Boolean]]*(VLOOKUP(Table410[[#This Row],[RATE CONCAT]],Tables!I:N,5,0)),0)</f>
        <v>0</v>
      </c>
      <c r="BW54" s="13">
        <f>Table410[[#This Row],[Feb_2026_F]]-Table410[[#This Row],[Feb_2026_A]]</f>
        <v>0</v>
      </c>
      <c r="BY54" s="13">
        <f>IFERROR(Table410[[#This Row],[Mar_2026_Days_Forecast]]*Table410[[#This Row],[Cost Boolean]]*(VLOOKUP(Table410[[#This Row],[RATE CONCAT]],Tables!I:N,5,0)),0)</f>
        <v>0</v>
      </c>
      <c r="BZ54" s="13">
        <f>IFERROR(Table410[[#This Row],[Mar_2026_Days_Actual]]*Table410[[#This Row],[Cost Boolean]]*(VLOOKUP(Table410[[#This Row],[RATE CONCAT]],Tables!I:N,5,0)),0)</f>
        <v>0</v>
      </c>
      <c r="CA54" s="13">
        <f>Table410[[#This Row],[Mar_2026_F]]-Table410[[#This Row],[Mar_2026_A]]</f>
        <v>0</v>
      </c>
      <c r="CC54" s="13">
        <f>IFERROR(Table410[[#This Row],[Apr_2026_Days_Forecast]]*Table410[[#This Row],[Cost Boolean]]*(VLOOKUP(Table410[[#This Row],[RATE CONCAT]],Tables!I:N,5,0)),0)</f>
        <v>0</v>
      </c>
      <c r="CD54" s="13">
        <f>IFERROR(Table410[[#This Row],[Apr_2026_Days_Actual]]*Table410[[#This Row],[Cost Boolean]]*(VLOOKUP(Table410[[#This Row],[RATE CONCAT]],Tables!I:N,5,0)),0)</f>
        <v>0</v>
      </c>
      <c r="CE54" s="13">
        <f>Table410[[#This Row],[Apr_2026_F]]-Table410[[#This Row],[Apr_2026_A]]</f>
        <v>0</v>
      </c>
      <c r="CG54" s="13">
        <f>IFERROR(Table410[[#This Row],[May_2026_Days_Forecast]] *Table410[[#This Row],[Cost Boolean]]*(VLOOKUP(Table410[[#This Row],[RATE CONCAT]],Tables!I:N,5,0)),0)</f>
        <v>0</v>
      </c>
      <c r="CH54" s="13">
        <f>IFERROR(Table410[[#This Row],[May_2026_Days_Actual]]*Table410[[#This Row],[Cost Boolean]]*(VLOOKUP(Table410[[#This Row],[RATE CONCAT]],Tables!I:N,5,0)),0)</f>
        <v>0</v>
      </c>
      <c r="CI54" s="13">
        <f>Table410[[#This Row],[May_2026_F]]-Table410[[#This Row],[May_2026_A]]</f>
        <v>0</v>
      </c>
      <c r="CK54" s="13">
        <f>IFERROR(Table410[[#This Row],[Jun_2026_Days_Forecast]]*Table410[[#This Row],[Cost Boolean]]*(VLOOKUP(Table410[[#This Row],[RATE CONCAT]],Tables!I:N,5,0)),0)</f>
        <v>0</v>
      </c>
      <c r="CL54" s="13">
        <f>IFERROR(Table410[[#This Row],[Jun_2026_Days_Actual]]*Table410[[#This Row],[Cost Boolean]]*(VLOOKUP(Table410[[#This Row],[RATE CONCAT]],Tables!I:N,5,0)),0)</f>
        <v>0</v>
      </c>
      <c r="CM54" s="13">
        <f>Table410[[#This Row],[Jun_2026_F]]-Table410[[#This Row],[Jun_2026_A]]</f>
        <v>0</v>
      </c>
      <c r="CO54" s="13">
        <f>IFERROR(Table410[[#This Row],[Jul_2026_Days_Forecast]]*Table410[[#This Row],[Cost Boolean]]*(VLOOKUP(Table410[[#This Row],[RATE CONCAT]],Tables!I:N,5,0)),0)</f>
        <v>0</v>
      </c>
      <c r="CP54" s="13">
        <f>IFERROR(Table410[[#This Row],[Jul_2026_Days_Actual]]*Table410[[#This Row],[Cost Boolean]]*(VLOOKUP(Table410[[#This Row],[RATE CONCAT]],Tables!I:N,5,0)),0)</f>
        <v>0</v>
      </c>
      <c r="CQ54" s="13">
        <f>Table410[[#This Row],[Jul_2026_F]]-Table410[[#This Row],[Jul_2026_A]]</f>
        <v>0</v>
      </c>
      <c r="CS54" s="13">
        <f>IFERROR(Table410[[#This Row],[Aug_2026_Days_Forecast]]*Table410[[#This Row],[Cost Boolean]]*(VLOOKUP(Table410[[#This Row],[RATE CONCAT]],Tables!I:N,5,0)),0)</f>
        <v>0</v>
      </c>
      <c r="CT54" s="13">
        <f>IFERROR(Table410[[#This Row],[Aug_2026_Days_Actual]]*Table410[[#This Row],[Cost Boolean]]*(VLOOKUP(Table410[[#This Row],[RATE CONCAT]],Tables!I:N,5,0)),0)</f>
        <v>0</v>
      </c>
      <c r="CU54" s="13">
        <f>Table410[[#This Row],[Aug_2026_F]]-Table410[[#This Row],[Aug_2026_A]]</f>
        <v>0</v>
      </c>
      <c r="CW54" s="13">
        <f>IFERROR(Table410[[#This Row],[Sep_2026_Days_Forecast]]*Table410[[#This Row],[Cost Boolean]]*(VLOOKUP(Table410[[#This Row],[RATE CONCAT]],Tables!I:N,5,0)),0)</f>
        <v>0</v>
      </c>
      <c r="CX54" s="13">
        <f>IFERROR(Table410[[#This Row],[Sep_2026_Days_Actual]]*Table410[[#This Row],[Cost Boolean]]*(VLOOKUP(Table410[[#This Row],[RATE CONCAT]],Tables!I:N,5,0)),0)</f>
        <v>0</v>
      </c>
      <c r="CY54" s="13">
        <f>Table410[[#This Row],[Sep_2026_F]]-Table410[[#This Row],[Sep_2026_A]]</f>
        <v>0</v>
      </c>
      <c r="DA54" s="13">
        <f>IFERROR(Table410[[#This Row],[Oct_2026_Days_Forecast]]*Table410[[#This Row],[Cost Boolean]]*(VLOOKUP(Table410[[#This Row],[RATE CONCAT]],Tables!I:N,5,0)),0)</f>
        <v>0</v>
      </c>
      <c r="DB54" s="13">
        <f>IFERROR(Table410[[#This Row],[Oct_2026_Days_Actual]]*Table410[[#This Row],[Cost Boolean]]*(VLOOKUP(Table410[[#This Row],[RATE CONCAT]],Tables!I:N,5,0)),0)</f>
        <v>0</v>
      </c>
      <c r="DC54" s="13">
        <f>Table410[[#This Row],[Oct_2026_F]]-Table410[[#This Row],[Oct_2026_A]]</f>
        <v>0</v>
      </c>
      <c r="DE54" s="13">
        <f>IFERROR(Table410[[#This Row],[Nov_2026_Days_Forecast]]*Table410[[#This Row],[Cost Boolean]]*(VLOOKUP(Table410[[#This Row],[RATE CONCAT]],Tables!I:N,5,0)),0)</f>
        <v>0</v>
      </c>
      <c r="DF54" s="13">
        <f>IFERROR(Table410[[#This Row],[Nov_2026_Days_Actual]]*Table410[[#This Row],[Cost Boolean]]*(VLOOKUP(Table410[[#This Row],[RATE CONCAT]],Tables!I:N,5,0)),0)</f>
        <v>0</v>
      </c>
      <c r="DG54" s="13">
        <f>Table410[[#This Row],[Nov_2026_F]]-Table410[[#This Row],[Nov_2026_A]]</f>
        <v>0</v>
      </c>
      <c r="DI54" s="13">
        <f>IFERROR(Table410[[#This Row],[Dec_2026_Days_Forecast]]*Table410[[#This Row],[Cost Boolean]]*(VLOOKUP(Table410[[#This Row],[RATE CONCAT]],Tables!I:N,5,0)),0)</f>
        <v>0</v>
      </c>
      <c r="DJ54" s="13">
        <f>IFERROR(Table410[[#This Row],[Dec_2026_Days_Actual]]*Table410[[#This Row],[Cost Boolean]]*(VLOOKUP(Table410[[#This Row],[RATE CONCAT]],Tables!I:N,5,0)),0)</f>
        <v>0</v>
      </c>
      <c r="DK54" s="13">
        <f>Table410[[#This Row],[Dec_2026_F]]-Table410[[#This Row],[Dec_2026_A]]</f>
        <v>0</v>
      </c>
      <c r="DN54" s="13">
        <f>IFERROR(Table410[[#This Row],[Jan_2027_Days_Forecast]]*Table410[[#This Row],[Cost Boolean]]*(VLOOKUP(Table410[[#This Row],[RATE CONCAT]],Tables!I:N,6,0)),0)</f>
        <v>0</v>
      </c>
      <c r="DP54" s="13">
        <f>Table410[[#This Row],[Jan_2027_F]]-Table410[[#This Row],[Jan_2027_A]]</f>
        <v>0</v>
      </c>
      <c r="DQ54" s="13">
        <f>IFERROR(Table410[[#This Row],[Feb_2027_Days_Forecast]]*Table410[[#This Row],[Cost Boolean]]*(VLOOKUP(Table410[[#This Row],[RATE CONCAT]],Tables!I:N,6,0)),0)</f>
        <v>0</v>
      </c>
      <c r="DS54" s="13">
        <f>Table410[[#This Row],[Feb_2027_F]]-Table410[[#This Row],[Feb_2027_A]]</f>
        <v>0</v>
      </c>
      <c r="DT54" s="13">
        <f>IFERROR(Table410[[#This Row],[Mar_2027_Days_Forecast]]*Table410[[#This Row],[Cost Boolean]]*(VLOOKUP(Table410[[#This Row],[RATE CONCAT]],Tables!I:N,6,0)),0)</f>
        <v>0</v>
      </c>
      <c r="DV54" s="13">
        <f>Table410[[#This Row],[Mar_2027_F]]-Table410[[#This Row],[Mar_2027_A]]</f>
        <v>0</v>
      </c>
      <c r="DW54" s="13">
        <f>IFERROR(Table410[[#This Row],[Apr_2027_Days_Forecast]]*Table410[[#This Row],[Cost Boolean]]*(VLOOKUP(Table410[[#This Row],[RATE CONCAT]],Tables!I:N,6,0)),0)</f>
        <v>0</v>
      </c>
      <c r="DY54" s="13">
        <f>Table410[[#This Row],[Apr_2027_F]]-Table410[[#This Row],[Apr_2027_A]]</f>
        <v>0</v>
      </c>
      <c r="DZ54" s="13">
        <f>IFERROR(Table410[[#This Row],[May_2027_Days_Forecast]]*Table410[[#This Row],[Cost Boolean]]*(VLOOKUP(Table410[[#This Row],[RATE CONCAT]],Tables!I:N,6,0)),0)</f>
        <v>0</v>
      </c>
      <c r="EB54" s="13">
        <f>Table410[[#This Row],[May_2027_F]]-Table410[[#This Row],[May_2027_A]]</f>
        <v>0</v>
      </c>
      <c r="EC54" s="13">
        <f>IFERROR(Table410[[#This Row],[Jun_2027_Days_Forecast]]*Table410[[#This Row],[Cost Boolean]]*(VLOOKUP(Table410[[#This Row],[RATE CONCAT]],Tables!I:N,6,0)),0)</f>
        <v>0</v>
      </c>
      <c r="EE54" s="13">
        <f>Table410[[#This Row],[Jun_2027_F]]-Table410[[#This Row],[Jun_2027_A]]</f>
        <v>0</v>
      </c>
      <c r="EF54" s="13">
        <f>IFERROR(Table410[[#This Row],[Jul_2027_Days_Forecast]]*Table410[[#This Row],[Cost Boolean]]*(VLOOKUP(Table410[[#This Row],[RATE CONCAT]],Tables!I:N,6,0)),0)</f>
        <v>0</v>
      </c>
      <c r="EH54" s="13">
        <f>Table410[[#This Row],[Jul_2027_F]]-Table410[[#This Row],[Jul_2027_A]]</f>
        <v>0</v>
      </c>
      <c r="EI54" s="13">
        <f>IFERROR(Table410[[#This Row],[Aug_2027_Days_Forecast]]*Table410[[#This Row],[Cost Boolean]]*(VLOOKUP(Table410[[#This Row],[RATE CONCAT]],Tables!I:N,6,0)),0)</f>
        <v>0</v>
      </c>
      <c r="EK54" s="13">
        <f>Table410[[#This Row],[Aug_2027_F]]-Table410[[#This Row],[Aug_2027_A]]</f>
        <v>0</v>
      </c>
      <c r="EL54" s="13">
        <f>IFERROR(Table410[[#This Row],[Sep_2027_Days_Forecast]]*Table410[[#This Row],[Cost Boolean]]*(VLOOKUP(Table410[[#This Row],[RATE CONCAT]],Tables!I:N,6,0)),0)</f>
        <v>0</v>
      </c>
      <c r="EN54" s="13">
        <f>Table410[[#This Row],[Sep_2027_F]]-Table410[[#This Row],[Sep_2027_A]]</f>
        <v>0</v>
      </c>
      <c r="EO54" s="13">
        <f>IFERROR(Table410[[#This Row],[Oct_2027_Days_Forecast]]*Table410[[#This Row],[Cost Boolean]]*(VLOOKUP(Table410[[#This Row],[RATE CONCAT]],Tables!I:N,6,0)),0)</f>
        <v>0</v>
      </c>
      <c r="EQ54" s="13">
        <f>Table410[[#This Row],[Oct_2027_F]]-Table410[[#This Row],[Oct_2027_A]]</f>
        <v>0</v>
      </c>
      <c r="ER54" s="13">
        <f>IFERROR(Table410[[#This Row],[Nov_2027_Days_Forecast]]*Table410[[#This Row],[Cost Boolean]]*(VLOOKUP(Table410[[#This Row],[RATE CONCAT]],Tables!I:N,6,0)),0)</f>
        <v>0</v>
      </c>
      <c r="ET54" s="13">
        <f>Table410[[#This Row],[Nov_2027_F]]-Table410[[#This Row],[Nov_2027_A]]</f>
        <v>0</v>
      </c>
      <c r="EU54" s="13">
        <f>IFERROR(Table410[[#This Row],[Dec_2027_Days_Forecast]]*Table410[[#This Row],[Cost Boolean]]*(VLOOKUP(Table410[[#This Row],[RATE CONCAT]],Tables!I:N,6,0)),0)</f>
        <v>0</v>
      </c>
      <c r="EW54" s="13">
        <f>Table410[[#This Row],[Dec_2027_F]]-Table410[[#This Row],[Dec_2027_A]]</f>
        <v>0</v>
      </c>
    </row>
    <row r="55" spans="25:153" s="13" customFormat="1" ht="15" customHeight="1">
      <c r="Y55" s="13" t="str">
        <f>CONCATENATE(Table410[[#This Row],[JG]],Table410[[#This Row],[Country]],Table410[[#This Row],[Resource Provider]])</f>
        <v/>
      </c>
      <c r="Z55" s="13">
        <f>VLOOKUP(Table410[[#This Row],[RATE CONCAT]],Tables!I:N,5,0)</f>
        <v>0</v>
      </c>
      <c r="AA55" s="52"/>
      <c r="AB55" s="127"/>
      <c r="AC55" s="127"/>
      <c r="AD55" s="127"/>
      <c r="AE55" s="127"/>
      <c r="AF55" s="127"/>
      <c r="AG55" s="127"/>
      <c r="AH55" s="127"/>
      <c r="AI55" s="127"/>
      <c r="AJ55" s="127"/>
      <c r="AK55" s="127"/>
      <c r="AL55" s="127"/>
      <c r="AM55" s="127"/>
      <c r="AN55" s="176">
        <f>IFERROR(AVERAGE(Table410[[#This Row],[Jan_2026_Days_Forecast]:[Dec_2026_Days_Forecast]]),0)/19</f>
        <v>0</v>
      </c>
      <c r="AO55" s="176">
        <f>IFERROR(AVERAGE(Table410[[#This Row],[Jan_2026_Days_Actual]:[Dec_2026_Days_Actual]]),0)/19</f>
        <v>0</v>
      </c>
      <c r="BB55" s="176">
        <f>IFERROR(AVERAGE(Table410[[#This Row],[Jan_2027_Days_Forecast]:[Dec_2027_Days_Forecast]]),0)</f>
        <v>0</v>
      </c>
      <c r="BC55" s="127"/>
      <c r="BD55" s="127"/>
      <c r="BE55" s="127"/>
      <c r="BF55" s="127"/>
      <c r="BG55" s="127"/>
      <c r="BH55" s="127"/>
      <c r="BI55" s="127"/>
      <c r="BJ55" s="127"/>
      <c r="BK55" s="127"/>
      <c r="BL55" s="127"/>
      <c r="BM55" s="127"/>
      <c r="BN55" s="127"/>
      <c r="BO55" s="176"/>
      <c r="BP55" s="176"/>
      <c r="BQ55" s="13">
        <f>IFERROR(Table410[[#This Row],[Jan_2026_Days_Forecast]]*Table410[[#This Row],[Cost Boolean]]*(VLOOKUP(Table410[[#This Row],[RATE CONCAT]],Tables!I:N,5,0)),0)</f>
        <v>0</v>
      </c>
      <c r="BR55" s="13">
        <f>IFERROR(Table410[[#This Row],[Jan_2026_Days_Actual]]*Table410[[#This Row],[Cost Boolean]]*(VLOOKUP(Table410[[#This Row],[RATE CONCAT]],Tables!I:N,5,0)),0)</f>
        <v>0</v>
      </c>
      <c r="BS55" s="13">
        <f>Table410[[#This Row],[Jan_2026_F]]-Table410[[#This Row],[Jan_2026_A]]</f>
        <v>0</v>
      </c>
      <c r="BU55" s="13">
        <f>IFERROR(Table410[[#This Row],[Feb_2026_Days_Forecast]]*Table410[[#This Row],[Cost Boolean]]*(VLOOKUP(Table410[[#This Row],[RATE CONCAT]],Tables!I:N,5,0)),0)</f>
        <v>0</v>
      </c>
      <c r="BV55" s="13">
        <f>IFERROR(Table410[[#This Row],[Feb_2026_Days_Actual]]*Table410[[#This Row],[Cost Boolean]]*(VLOOKUP(Table410[[#This Row],[RATE CONCAT]],Tables!I:N,5,0)),0)</f>
        <v>0</v>
      </c>
      <c r="BW55" s="13">
        <f>Table410[[#This Row],[Feb_2026_F]]-Table410[[#This Row],[Feb_2026_A]]</f>
        <v>0</v>
      </c>
      <c r="BY55" s="13">
        <f>IFERROR(Table410[[#This Row],[Mar_2026_Days_Forecast]]*Table410[[#This Row],[Cost Boolean]]*(VLOOKUP(Table410[[#This Row],[RATE CONCAT]],Tables!I:N,5,0)),0)</f>
        <v>0</v>
      </c>
      <c r="BZ55" s="13">
        <f>IFERROR(Table410[[#This Row],[Mar_2026_Days_Actual]]*Table410[[#This Row],[Cost Boolean]]*(VLOOKUP(Table410[[#This Row],[RATE CONCAT]],Tables!I:N,5,0)),0)</f>
        <v>0</v>
      </c>
      <c r="CA55" s="13">
        <f>Table410[[#This Row],[Mar_2026_F]]-Table410[[#This Row],[Mar_2026_A]]</f>
        <v>0</v>
      </c>
      <c r="CC55" s="13">
        <f>IFERROR(Table410[[#This Row],[Apr_2026_Days_Forecast]]*Table410[[#This Row],[Cost Boolean]]*(VLOOKUP(Table410[[#This Row],[RATE CONCAT]],Tables!I:N,5,0)),0)</f>
        <v>0</v>
      </c>
      <c r="CD55" s="13">
        <f>IFERROR(Table410[[#This Row],[Apr_2026_Days_Actual]]*Table410[[#This Row],[Cost Boolean]]*(VLOOKUP(Table410[[#This Row],[RATE CONCAT]],Tables!I:N,5,0)),0)</f>
        <v>0</v>
      </c>
      <c r="CE55" s="13">
        <f>Table410[[#This Row],[Apr_2026_F]]-Table410[[#This Row],[Apr_2026_A]]</f>
        <v>0</v>
      </c>
      <c r="CG55" s="13">
        <f>IFERROR(Table410[[#This Row],[May_2026_Days_Forecast]] *Table410[[#This Row],[Cost Boolean]]*(VLOOKUP(Table410[[#This Row],[RATE CONCAT]],Tables!I:N,5,0)),0)</f>
        <v>0</v>
      </c>
      <c r="CH55" s="13">
        <f>IFERROR(Table410[[#This Row],[May_2026_Days_Actual]]*Table410[[#This Row],[Cost Boolean]]*(VLOOKUP(Table410[[#This Row],[RATE CONCAT]],Tables!I:N,5,0)),0)</f>
        <v>0</v>
      </c>
      <c r="CI55" s="13">
        <f>Table410[[#This Row],[May_2026_F]]-Table410[[#This Row],[May_2026_A]]</f>
        <v>0</v>
      </c>
      <c r="CK55" s="13">
        <f>IFERROR(Table410[[#This Row],[Jun_2026_Days_Forecast]]*Table410[[#This Row],[Cost Boolean]]*(VLOOKUP(Table410[[#This Row],[RATE CONCAT]],Tables!I:N,5,0)),0)</f>
        <v>0</v>
      </c>
      <c r="CL55" s="13">
        <f>IFERROR(Table410[[#This Row],[Jun_2026_Days_Actual]]*Table410[[#This Row],[Cost Boolean]]*(VLOOKUP(Table410[[#This Row],[RATE CONCAT]],Tables!I:N,5,0)),0)</f>
        <v>0</v>
      </c>
      <c r="CM55" s="13">
        <f>Table410[[#This Row],[Jun_2026_F]]-Table410[[#This Row],[Jun_2026_A]]</f>
        <v>0</v>
      </c>
      <c r="CO55" s="13">
        <f>IFERROR(Table410[[#This Row],[Jul_2026_Days_Forecast]]*Table410[[#This Row],[Cost Boolean]]*(VLOOKUP(Table410[[#This Row],[RATE CONCAT]],Tables!I:N,5,0)),0)</f>
        <v>0</v>
      </c>
      <c r="CP55" s="13">
        <f>IFERROR(Table410[[#This Row],[Jul_2026_Days_Actual]]*Table410[[#This Row],[Cost Boolean]]*(VLOOKUP(Table410[[#This Row],[RATE CONCAT]],Tables!I:N,5,0)),0)</f>
        <v>0</v>
      </c>
      <c r="CQ55" s="13">
        <f>Table410[[#This Row],[Jul_2026_F]]-Table410[[#This Row],[Jul_2026_A]]</f>
        <v>0</v>
      </c>
      <c r="CS55" s="13">
        <f>IFERROR(Table410[[#This Row],[Aug_2026_Days_Forecast]]*Table410[[#This Row],[Cost Boolean]]*(VLOOKUP(Table410[[#This Row],[RATE CONCAT]],Tables!I:N,5,0)),0)</f>
        <v>0</v>
      </c>
      <c r="CT55" s="13">
        <f>IFERROR(Table410[[#This Row],[Aug_2026_Days_Actual]]*Table410[[#This Row],[Cost Boolean]]*(VLOOKUP(Table410[[#This Row],[RATE CONCAT]],Tables!I:N,5,0)),0)</f>
        <v>0</v>
      </c>
      <c r="CU55" s="13">
        <f>Table410[[#This Row],[Aug_2026_F]]-Table410[[#This Row],[Aug_2026_A]]</f>
        <v>0</v>
      </c>
      <c r="CW55" s="13">
        <f>IFERROR(Table410[[#This Row],[Sep_2026_Days_Forecast]]*Table410[[#This Row],[Cost Boolean]]*(VLOOKUP(Table410[[#This Row],[RATE CONCAT]],Tables!I:N,5,0)),0)</f>
        <v>0</v>
      </c>
      <c r="CX55" s="13">
        <f>IFERROR(Table410[[#This Row],[Sep_2026_Days_Actual]]*Table410[[#This Row],[Cost Boolean]]*(VLOOKUP(Table410[[#This Row],[RATE CONCAT]],Tables!I:N,5,0)),0)</f>
        <v>0</v>
      </c>
      <c r="CY55" s="13">
        <f>Table410[[#This Row],[Sep_2026_F]]-Table410[[#This Row],[Sep_2026_A]]</f>
        <v>0</v>
      </c>
      <c r="DA55" s="13">
        <f>IFERROR(Table410[[#This Row],[Oct_2026_Days_Forecast]]*Table410[[#This Row],[Cost Boolean]]*(VLOOKUP(Table410[[#This Row],[RATE CONCAT]],Tables!I:N,5,0)),0)</f>
        <v>0</v>
      </c>
      <c r="DB55" s="13">
        <f>IFERROR(Table410[[#This Row],[Oct_2026_Days_Actual]]*Table410[[#This Row],[Cost Boolean]]*(VLOOKUP(Table410[[#This Row],[RATE CONCAT]],Tables!I:N,5,0)),0)</f>
        <v>0</v>
      </c>
      <c r="DC55" s="13">
        <f>Table410[[#This Row],[Oct_2026_F]]-Table410[[#This Row],[Oct_2026_A]]</f>
        <v>0</v>
      </c>
      <c r="DE55" s="13">
        <f>IFERROR(Table410[[#This Row],[Nov_2026_Days_Forecast]]*Table410[[#This Row],[Cost Boolean]]*(VLOOKUP(Table410[[#This Row],[RATE CONCAT]],Tables!I:N,5,0)),0)</f>
        <v>0</v>
      </c>
      <c r="DF55" s="13">
        <f>IFERROR(Table410[[#This Row],[Nov_2026_Days_Actual]]*Table410[[#This Row],[Cost Boolean]]*(VLOOKUP(Table410[[#This Row],[RATE CONCAT]],Tables!I:N,5,0)),0)</f>
        <v>0</v>
      </c>
      <c r="DG55" s="13">
        <f>Table410[[#This Row],[Nov_2026_F]]-Table410[[#This Row],[Nov_2026_A]]</f>
        <v>0</v>
      </c>
      <c r="DI55" s="13">
        <f>IFERROR(Table410[[#This Row],[Dec_2026_Days_Forecast]]*Table410[[#This Row],[Cost Boolean]]*(VLOOKUP(Table410[[#This Row],[RATE CONCAT]],Tables!I:N,5,0)),0)</f>
        <v>0</v>
      </c>
      <c r="DJ55" s="13">
        <f>IFERROR(Table410[[#This Row],[Dec_2026_Days_Actual]]*Table410[[#This Row],[Cost Boolean]]*(VLOOKUP(Table410[[#This Row],[RATE CONCAT]],Tables!I:N,5,0)),0)</f>
        <v>0</v>
      </c>
      <c r="DK55" s="13">
        <f>Table410[[#This Row],[Dec_2026_F]]-Table410[[#This Row],[Dec_2026_A]]</f>
        <v>0</v>
      </c>
      <c r="DN55" s="13">
        <f>IFERROR(Table410[[#This Row],[Jan_2027_Days_Forecast]]*Table410[[#This Row],[Cost Boolean]]*(VLOOKUP(Table410[[#This Row],[RATE CONCAT]],Tables!I:N,6,0)),0)</f>
        <v>0</v>
      </c>
      <c r="DP55" s="13">
        <f>Table410[[#This Row],[Jan_2027_F]]-Table410[[#This Row],[Jan_2027_A]]</f>
        <v>0</v>
      </c>
      <c r="DQ55" s="13">
        <f>IFERROR(Table410[[#This Row],[Feb_2027_Days_Forecast]]*Table410[[#This Row],[Cost Boolean]]*(VLOOKUP(Table410[[#This Row],[RATE CONCAT]],Tables!I:N,6,0)),0)</f>
        <v>0</v>
      </c>
      <c r="DS55" s="13">
        <f>Table410[[#This Row],[Feb_2027_F]]-Table410[[#This Row],[Feb_2027_A]]</f>
        <v>0</v>
      </c>
      <c r="DT55" s="13">
        <f>IFERROR(Table410[[#This Row],[Mar_2027_Days_Forecast]]*Table410[[#This Row],[Cost Boolean]]*(VLOOKUP(Table410[[#This Row],[RATE CONCAT]],Tables!I:N,6,0)),0)</f>
        <v>0</v>
      </c>
      <c r="DV55" s="13">
        <f>Table410[[#This Row],[Mar_2027_F]]-Table410[[#This Row],[Mar_2027_A]]</f>
        <v>0</v>
      </c>
      <c r="DW55" s="13">
        <f>IFERROR(Table410[[#This Row],[Apr_2027_Days_Forecast]]*Table410[[#This Row],[Cost Boolean]]*(VLOOKUP(Table410[[#This Row],[RATE CONCAT]],Tables!I:N,6,0)),0)</f>
        <v>0</v>
      </c>
      <c r="DY55" s="13">
        <f>Table410[[#This Row],[Apr_2027_F]]-Table410[[#This Row],[Apr_2027_A]]</f>
        <v>0</v>
      </c>
      <c r="DZ55" s="13">
        <f>IFERROR(Table410[[#This Row],[May_2027_Days_Forecast]]*Table410[[#This Row],[Cost Boolean]]*(VLOOKUP(Table410[[#This Row],[RATE CONCAT]],Tables!I:N,6,0)),0)</f>
        <v>0</v>
      </c>
      <c r="EB55" s="13">
        <f>Table410[[#This Row],[May_2027_F]]-Table410[[#This Row],[May_2027_A]]</f>
        <v>0</v>
      </c>
      <c r="EC55" s="13">
        <f>IFERROR(Table410[[#This Row],[Jun_2027_Days_Forecast]]*Table410[[#This Row],[Cost Boolean]]*(VLOOKUP(Table410[[#This Row],[RATE CONCAT]],Tables!I:N,6,0)),0)</f>
        <v>0</v>
      </c>
      <c r="EE55" s="13">
        <f>Table410[[#This Row],[Jun_2027_F]]-Table410[[#This Row],[Jun_2027_A]]</f>
        <v>0</v>
      </c>
      <c r="EF55" s="13">
        <f>IFERROR(Table410[[#This Row],[Jul_2027_Days_Forecast]]*Table410[[#This Row],[Cost Boolean]]*(VLOOKUP(Table410[[#This Row],[RATE CONCAT]],Tables!I:N,6,0)),0)</f>
        <v>0</v>
      </c>
      <c r="EH55" s="13">
        <f>Table410[[#This Row],[Jul_2027_F]]-Table410[[#This Row],[Jul_2027_A]]</f>
        <v>0</v>
      </c>
      <c r="EI55" s="13">
        <f>IFERROR(Table410[[#This Row],[Aug_2027_Days_Forecast]]*Table410[[#This Row],[Cost Boolean]]*(VLOOKUP(Table410[[#This Row],[RATE CONCAT]],Tables!I:N,6,0)),0)</f>
        <v>0</v>
      </c>
      <c r="EK55" s="13">
        <f>Table410[[#This Row],[Aug_2027_F]]-Table410[[#This Row],[Aug_2027_A]]</f>
        <v>0</v>
      </c>
      <c r="EL55" s="13">
        <f>IFERROR(Table410[[#This Row],[Sep_2027_Days_Forecast]]*Table410[[#This Row],[Cost Boolean]]*(VLOOKUP(Table410[[#This Row],[RATE CONCAT]],Tables!I:N,6,0)),0)</f>
        <v>0</v>
      </c>
      <c r="EN55" s="13">
        <f>Table410[[#This Row],[Sep_2027_F]]-Table410[[#This Row],[Sep_2027_A]]</f>
        <v>0</v>
      </c>
      <c r="EO55" s="13">
        <f>IFERROR(Table410[[#This Row],[Oct_2027_Days_Forecast]]*Table410[[#This Row],[Cost Boolean]]*(VLOOKUP(Table410[[#This Row],[RATE CONCAT]],Tables!I:N,6,0)),0)</f>
        <v>0</v>
      </c>
      <c r="EQ55" s="13">
        <f>Table410[[#This Row],[Oct_2027_F]]-Table410[[#This Row],[Oct_2027_A]]</f>
        <v>0</v>
      </c>
      <c r="ER55" s="13">
        <f>IFERROR(Table410[[#This Row],[Nov_2027_Days_Forecast]]*Table410[[#This Row],[Cost Boolean]]*(VLOOKUP(Table410[[#This Row],[RATE CONCAT]],Tables!I:N,6,0)),0)</f>
        <v>0</v>
      </c>
      <c r="ET55" s="13">
        <f>Table410[[#This Row],[Nov_2027_F]]-Table410[[#This Row],[Nov_2027_A]]</f>
        <v>0</v>
      </c>
      <c r="EU55" s="13">
        <f>IFERROR(Table410[[#This Row],[Dec_2027_Days_Forecast]]*Table410[[#This Row],[Cost Boolean]]*(VLOOKUP(Table410[[#This Row],[RATE CONCAT]],Tables!I:N,6,0)),0)</f>
        <v>0</v>
      </c>
      <c r="EW55" s="13">
        <f>Table410[[#This Row],[Dec_2027_F]]-Table410[[#This Row],[Dec_2027_A]]</f>
        <v>0</v>
      </c>
    </row>
    <row r="56" spans="25:153" s="13" customFormat="1" ht="15" customHeight="1">
      <c r="Y56" s="13" t="str">
        <f>CONCATENATE(Table410[[#This Row],[JG]],Table410[[#This Row],[Country]],Table410[[#This Row],[Resource Provider]])</f>
        <v/>
      </c>
      <c r="Z56" s="13">
        <f>VLOOKUP(Table410[[#This Row],[RATE CONCAT]],Tables!I:N,5,0)</f>
        <v>0</v>
      </c>
      <c r="AA56" s="52"/>
      <c r="AB56" s="127"/>
      <c r="AC56" s="127"/>
      <c r="AD56" s="127"/>
      <c r="AE56" s="127"/>
      <c r="AF56" s="127"/>
      <c r="AG56" s="127"/>
      <c r="AH56" s="127"/>
      <c r="AI56" s="127"/>
      <c r="AJ56" s="127"/>
      <c r="AK56" s="127"/>
      <c r="AL56" s="127"/>
      <c r="AM56" s="127"/>
      <c r="AN56" s="176">
        <f>IFERROR(AVERAGE(Table410[[#This Row],[Jan_2026_Days_Forecast]:[Dec_2026_Days_Forecast]]),0)/19</f>
        <v>0</v>
      </c>
      <c r="AO56" s="176">
        <f>IFERROR(AVERAGE(Table410[[#This Row],[Jan_2026_Days_Actual]:[Dec_2026_Days_Actual]]),0)/19</f>
        <v>0</v>
      </c>
      <c r="BB56" s="176">
        <f>IFERROR(AVERAGE(Table410[[#This Row],[Jan_2027_Days_Forecast]:[Dec_2027_Days_Forecast]]),0)</f>
        <v>0</v>
      </c>
      <c r="BC56" s="127"/>
      <c r="BD56" s="127"/>
      <c r="BE56" s="127"/>
      <c r="BF56" s="127"/>
      <c r="BG56" s="127"/>
      <c r="BH56" s="127"/>
      <c r="BI56" s="127"/>
      <c r="BJ56" s="127"/>
      <c r="BK56" s="127"/>
      <c r="BL56" s="127"/>
      <c r="BM56" s="127"/>
      <c r="BN56" s="127"/>
      <c r="BO56" s="176"/>
      <c r="BP56" s="176"/>
      <c r="BQ56" s="13">
        <f>IFERROR(Table410[[#This Row],[Jan_2026_Days_Forecast]]*Table410[[#This Row],[Cost Boolean]]*(VLOOKUP(Table410[[#This Row],[RATE CONCAT]],Tables!I:N,5,0)),0)</f>
        <v>0</v>
      </c>
      <c r="BR56" s="13">
        <f>IFERROR(Table410[[#This Row],[Jan_2026_Days_Actual]]*Table410[[#This Row],[Cost Boolean]]*(VLOOKUP(Table410[[#This Row],[RATE CONCAT]],Tables!I:N,5,0)),0)</f>
        <v>0</v>
      </c>
      <c r="BS56" s="13">
        <f>Table410[[#This Row],[Jan_2026_F]]-Table410[[#This Row],[Jan_2026_A]]</f>
        <v>0</v>
      </c>
      <c r="BU56" s="13">
        <f>IFERROR(Table410[[#This Row],[Feb_2026_Days_Forecast]]*Table410[[#This Row],[Cost Boolean]]*(VLOOKUP(Table410[[#This Row],[RATE CONCAT]],Tables!I:N,5,0)),0)</f>
        <v>0</v>
      </c>
      <c r="BV56" s="13">
        <f>IFERROR(Table410[[#This Row],[Feb_2026_Days_Actual]]*Table410[[#This Row],[Cost Boolean]]*(VLOOKUP(Table410[[#This Row],[RATE CONCAT]],Tables!I:N,5,0)),0)</f>
        <v>0</v>
      </c>
      <c r="BW56" s="13">
        <f>Table410[[#This Row],[Feb_2026_F]]-Table410[[#This Row],[Feb_2026_A]]</f>
        <v>0</v>
      </c>
      <c r="BY56" s="13">
        <f>IFERROR(Table410[[#This Row],[Mar_2026_Days_Forecast]]*Table410[[#This Row],[Cost Boolean]]*(VLOOKUP(Table410[[#This Row],[RATE CONCAT]],Tables!I:N,5,0)),0)</f>
        <v>0</v>
      </c>
      <c r="BZ56" s="13">
        <f>IFERROR(Table410[[#This Row],[Mar_2026_Days_Actual]]*Table410[[#This Row],[Cost Boolean]]*(VLOOKUP(Table410[[#This Row],[RATE CONCAT]],Tables!I:N,5,0)),0)</f>
        <v>0</v>
      </c>
      <c r="CA56" s="13">
        <f>Table410[[#This Row],[Mar_2026_F]]-Table410[[#This Row],[Mar_2026_A]]</f>
        <v>0</v>
      </c>
      <c r="CC56" s="13">
        <f>IFERROR(Table410[[#This Row],[Apr_2026_Days_Forecast]]*Table410[[#This Row],[Cost Boolean]]*(VLOOKUP(Table410[[#This Row],[RATE CONCAT]],Tables!I:N,5,0)),0)</f>
        <v>0</v>
      </c>
      <c r="CD56" s="13">
        <f>IFERROR(Table410[[#This Row],[Apr_2026_Days_Actual]]*Table410[[#This Row],[Cost Boolean]]*(VLOOKUP(Table410[[#This Row],[RATE CONCAT]],Tables!I:N,5,0)),0)</f>
        <v>0</v>
      </c>
      <c r="CE56" s="13">
        <f>Table410[[#This Row],[Apr_2026_F]]-Table410[[#This Row],[Apr_2026_A]]</f>
        <v>0</v>
      </c>
      <c r="CG56" s="13">
        <f>IFERROR(Table410[[#This Row],[May_2026_Days_Forecast]] *Table410[[#This Row],[Cost Boolean]]*(VLOOKUP(Table410[[#This Row],[RATE CONCAT]],Tables!I:N,5,0)),0)</f>
        <v>0</v>
      </c>
      <c r="CH56" s="13">
        <f>IFERROR(Table410[[#This Row],[May_2026_Days_Actual]]*Table410[[#This Row],[Cost Boolean]]*(VLOOKUP(Table410[[#This Row],[RATE CONCAT]],Tables!I:N,5,0)),0)</f>
        <v>0</v>
      </c>
      <c r="CI56" s="13">
        <f>Table410[[#This Row],[May_2026_F]]-Table410[[#This Row],[May_2026_A]]</f>
        <v>0</v>
      </c>
      <c r="CK56" s="13">
        <f>IFERROR(Table410[[#This Row],[Jun_2026_Days_Forecast]]*Table410[[#This Row],[Cost Boolean]]*(VLOOKUP(Table410[[#This Row],[RATE CONCAT]],Tables!I:N,5,0)),0)</f>
        <v>0</v>
      </c>
      <c r="CL56" s="13">
        <f>IFERROR(Table410[[#This Row],[Jun_2026_Days_Actual]]*Table410[[#This Row],[Cost Boolean]]*(VLOOKUP(Table410[[#This Row],[RATE CONCAT]],Tables!I:N,5,0)),0)</f>
        <v>0</v>
      </c>
      <c r="CM56" s="13">
        <f>Table410[[#This Row],[Jun_2026_F]]-Table410[[#This Row],[Jun_2026_A]]</f>
        <v>0</v>
      </c>
      <c r="CO56" s="13">
        <f>IFERROR(Table410[[#This Row],[Jul_2026_Days_Forecast]]*Table410[[#This Row],[Cost Boolean]]*(VLOOKUP(Table410[[#This Row],[RATE CONCAT]],Tables!I:N,5,0)),0)</f>
        <v>0</v>
      </c>
      <c r="CP56" s="13">
        <f>IFERROR(Table410[[#This Row],[Jul_2026_Days_Actual]]*Table410[[#This Row],[Cost Boolean]]*(VLOOKUP(Table410[[#This Row],[RATE CONCAT]],Tables!I:N,5,0)),0)</f>
        <v>0</v>
      </c>
      <c r="CQ56" s="13">
        <f>Table410[[#This Row],[Jul_2026_F]]-Table410[[#This Row],[Jul_2026_A]]</f>
        <v>0</v>
      </c>
      <c r="CS56" s="13">
        <f>IFERROR(Table410[[#This Row],[Aug_2026_Days_Forecast]]*Table410[[#This Row],[Cost Boolean]]*(VLOOKUP(Table410[[#This Row],[RATE CONCAT]],Tables!I:N,5,0)),0)</f>
        <v>0</v>
      </c>
      <c r="CT56" s="13">
        <f>IFERROR(Table410[[#This Row],[Aug_2026_Days_Actual]]*Table410[[#This Row],[Cost Boolean]]*(VLOOKUP(Table410[[#This Row],[RATE CONCAT]],Tables!I:N,5,0)),0)</f>
        <v>0</v>
      </c>
      <c r="CU56" s="13">
        <f>Table410[[#This Row],[Aug_2026_F]]-Table410[[#This Row],[Aug_2026_A]]</f>
        <v>0</v>
      </c>
      <c r="CW56" s="13">
        <f>IFERROR(Table410[[#This Row],[Sep_2026_Days_Forecast]]*Table410[[#This Row],[Cost Boolean]]*(VLOOKUP(Table410[[#This Row],[RATE CONCAT]],Tables!I:N,5,0)),0)</f>
        <v>0</v>
      </c>
      <c r="CX56" s="13">
        <f>IFERROR(Table410[[#This Row],[Sep_2026_Days_Actual]]*Table410[[#This Row],[Cost Boolean]]*(VLOOKUP(Table410[[#This Row],[RATE CONCAT]],Tables!I:N,5,0)),0)</f>
        <v>0</v>
      </c>
      <c r="CY56" s="13">
        <f>Table410[[#This Row],[Sep_2026_F]]-Table410[[#This Row],[Sep_2026_A]]</f>
        <v>0</v>
      </c>
      <c r="DA56" s="13">
        <f>IFERROR(Table410[[#This Row],[Oct_2026_Days_Forecast]]*Table410[[#This Row],[Cost Boolean]]*(VLOOKUP(Table410[[#This Row],[RATE CONCAT]],Tables!I:N,5,0)),0)</f>
        <v>0</v>
      </c>
      <c r="DB56" s="13">
        <f>IFERROR(Table410[[#This Row],[Oct_2026_Days_Actual]]*Table410[[#This Row],[Cost Boolean]]*(VLOOKUP(Table410[[#This Row],[RATE CONCAT]],Tables!I:N,5,0)),0)</f>
        <v>0</v>
      </c>
      <c r="DC56" s="13">
        <f>Table410[[#This Row],[Oct_2026_F]]-Table410[[#This Row],[Oct_2026_A]]</f>
        <v>0</v>
      </c>
      <c r="DE56" s="13">
        <f>IFERROR(Table410[[#This Row],[Nov_2026_Days_Forecast]]*Table410[[#This Row],[Cost Boolean]]*(VLOOKUP(Table410[[#This Row],[RATE CONCAT]],Tables!I:N,5,0)),0)</f>
        <v>0</v>
      </c>
      <c r="DF56" s="13">
        <f>IFERROR(Table410[[#This Row],[Nov_2026_Days_Actual]]*Table410[[#This Row],[Cost Boolean]]*(VLOOKUP(Table410[[#This Row],[RATE CONCAT]],Tables!I:N,5,0)),0)</f>
        <v>0</v>
      </c>
      <c r="DG56" s="13">
        <f>Table410[[#This Row],[Nov_2026_F]]-Table410[[#This Row],[Nov_2026_A]]</f>
        <v>0</v>
      </c>
      <c r="DI56" s="13">
        <f>IFERROR(Table410[[#This Row],[Dec_2026_Days_Forecast]]*Table410[[#This Row],[Cost Boolean]]*(VLOOKUP(Table410[[#This Row],[RATE CONCAT]],Tables!I:N,5,0)),0)</f>
        <v>0</v>
      </c>
      <c r="DJ56" s="13">
        <f>IFERROR(Table410[[#This Row],[Dec_2026_Days_Actual]]*Table410[[#This Row],[Cost Boolean]]*(VLOOKUP(Table410[[#This Row],[RATE CONCAT]],Tables!I:N,5,0)),0)</f>
        <v>0</v>
      </c>
      <c r="DK56" s="13">
        <f>Table410[[#This Row],[Dec_2026_F]]-Table410[[#This Row],[Dec_2026_A]]</f>
        <v>0</v>
      </c>
      <c r="DN56" s="13">
        <f>IFERROR(Table410[[#This Row],[Jan_2027_Days_Forecast]]*Table410[[#This Row],[Cost Boolean]]*(VLOOKUP(Table410[[#This Row],[RATE CONCAT]],Tables!I:N,6,0)),0)</f>
        <v>0</v>
      </c>
      <c r="DP56" s="13">
        <f>Table410[[#This Row],[Jan_2027_F]]-Table410[[#This Row],[Jan_2027_A]]</f>
        <v>0</v>
      </c>
      <c r="DQ56" s="13">
        <f>IFERROR(Table410[[#This Row],[Feb_2027_Days_Forecast]]*Table410[[#This Row],[Cost Boolean]]*(VLOOKUP(Table410[[#This Row],[RATE CONCAT]],Tables!I:N,6,0)),0)</f>
        <v>0</v>
      </c>
      <c r="DS56" s="13">
        <f>Table410[[#This Row],[Feb_2027_F]]-Table410[[#This Row],[Feb_2027_A]]</f>
        <v>0</v>
      </c>
      <c r="DT56" s="13">
        <f>IFERROR(Table410[[#This Row],[Mar_2027_Days_Forecast]]*Table410[[#This Row],[Cost Boolean]]*(VLOOKUP(Table410[[#This Row],[RATE CONCAT]],Tables!I:N,6,0)),0)</f>
        <v>0</v>
      </c>
      <c r="DV56" s="13">
        <f>Table410[[#This Row],[Mar_2027_F]]-Table410[[#This Row],[Mar_2027_A]]</f>
        <v>0</v>
      </c>
      <c r="DW56" s="13">
        <f>IFERROR(Table410[[#This Row],[Apr_2027_Days_Forecast]]*Table410[[#This Row],[Cost Boolean]]*(VLOOKUP(Table410[[#This Row],[RATE CONCAT]],Tables!I:N,6,0)),0)</f>
        <v>0</v>
      </c>
      <c r="DY56" s="13">
        <f>Table410[[#This Row],[Apr_2027_F]]-Table410[[#This Row],[Apr_2027_A]]</f>
        <v>0</v>
      </c>
      <c r="DZ56" s="13">
        <f>IFERROR(Table410[[#This Row],[May_2027_Days_Forecast]]*Table410[[#This Row],[Cost Boolean]]*(VLOOKUP(Table410[[#This Row],[RATE CONCAT]],Tables!I:N,6,0)),0)</f>
        <v>0</v>
      </c>
      <c r="EB56" s="13">
        <f>Table410[[#This Row],[May_2027_F]]-Table410[[#This Row],[May_2027_A]]</f>
        <v>0</v>
      </c>
      <c r="EC56" s="13">
        <f>IFERROR(Table410[[#This Row],[Jun_2027_Days_Forecast]]*Table410[[#This Row],[Cost Boolean]]*(VLOOKUP(Table410[[#This Row],[RATE CONCAT]],Tables!I:N,6,0)),0)</f>
        <v>0</v>
      </c>
      <c r="EE56" s="13">
        <f>Table410[[#This Row],[Jun_2027_F]]-Table410[[#This Row],[Jun_2027_A]]</f>
        <v>0</v>
      </c>
      <c r="EF56" s="13">
        <f>IFERROR(Table410[[#This Row],[Jul_2027_Days_Forecast]]*Table410[[#This Row],[Cost Boolean]]*(VLOOKUP(Table410[[#This Row],[RATE CONCAT]],Tables!I:N,6,0)),0)</f>
        <v>0</v>
      </c>
      <c r="EH56" s="13">
        <f>Table410[[#This Row],[Jul_2027_F]]-Table410[[#This Row],[Jul_2027_A]]</f>
        <v>0</v>
      </c>
      <c r="EI56" s="13">
        <f>IFERROR(Table410[[#This Row],[Aug_2027_Days_Forecast]]*Table410[[#This Row],[Cost Boolean]]*(VLOOKUP(Table410[[#This Row],[RATE CONCAT]],Tables!I:N,6,0)),0)</f>
        <v>0</v>
      </c>
      <c r="EK56" s="13">
        <f>Table410[[#This Row],[Aug_2027_F]]-Table410[[#This Row],[Aug_2027_A]]</f>
        <v>0</v>
      </c>
      <c r="EL56" s="13">
        <f>IFERROR(Table410[[#This Row],[Sep_2027_Days_Forecast]]*Table410[[#This Row],[Cost Boolean]]*(VLOOKUP(Table410[[#This Row],[RATE CONCAT]],Tables!I:N,6,0)),0)</f>
        <v>0</v>
      </c>
      <c r="EN56" s="13">
        <f>Table410[[#This Row],[Sep_2027_F]]-Table410[[#This Row],[Sep_2027_A]]</f>
        <v>0</v>
      </c>
      <c r="EO56" s="13">
        <f>IFERROR(Table410[[#This Row],[Oct_2027_Days_Forecast]]*Table410[[#This Row],[Cost Boolean]]*(VLOOKUP(Table410[[#This Row],[RATE CONCAT]],Tables!I:N,6,0)),0)</f>
        <v>0</v>
      </c>
      <c r="EQ56" s="13">
        <f>Table410[[#This Row],[Oct_2027_F]]-Table410[[#This Row],[Oct_2027_A]]</f>
        <v>0</v>
      </c>
      <c r="ER56" s="13">
        <f>IFERROR(Table410[[#This Row],[Nov_2027_Days_Forecast]]*Table410[[#This Row],[Cost Boolean]]*(VLOOKUP(Table410[[#This Row],[RATE CONCAT]],Tables!I:N,6,0)),0)</f>
        <v>0</v>
      </c>
      <c r="ET56" s="13">
        <f>Table410[[#This Row],[Nov_2027_F]]-Table410[[#This Row],[Nov_2027_A]]</f>
        <v>0</v>
      </c>
      <c r="EU56" s="13">
        <f>IFERROR(Table410[[#This Row],[Dec_2027_Days_Forecast]]*Table410[[#This Row],[Cost Boolean]]*(VLOOKUP(Table410[[#This Row],[RATE CONCAT]],Tables!I:N,6,0)),0)</f>
        <v>0</v>
      </c>
      <c r="EW56" s="13">
        <f>Table410[[#This Row],[Dec_2027_F]]-Table410[[#This Row],[Dec_2027_A]]</f>
        <v>0</v>
      </c>
    </row>
    <row r="57" spans="25:153" s="13" customFormat="1" ht="15" customHeight="1">
      <c r="Y57" s="13" t="str">
        <f>CONCATENATE(Table410[[#This Row],[JG]],Table410[[#This Row],[Country]],Table410[[#This Row],[Resource Provider]])</f>
        <v/>
      </c>
      <c r="Z57" s="13">
        <f>VLOOKUP(Table410[[#This Row],[RATE CONCAT]],Tables!I:N,5,0)</f>
        <v>0</v>
      </c>
      <c r="AA57" s="52"/>
      <c r="AB57" s="127"/>
      <c r="AC57" s="127"/>
      <c r="AD57" s="127"/>
      <c r="AE57" s="127"/>
      <c r="AF57" s="127"/>
      <c r="AG57" s="127"/>
      <c r="AH57" s="127"/>
      <c r="AI57" s="127"/>
      <c r="AJ57" s="127"/>
      <c r="AK57" s="127"/>
      <c r="AL57" s="127"/>
      <c r="AM57" s="127"/>
      <c r="AN57" s="176">
        <f>IFERROR(AVERAGE(Table410[[#This Row],[Jan_2026_Days_Forecast]:[Dec_2026_Days_Forecast]]),0)/19</f>
        <v>0</v>
      </c>
      <c r="AO57" s="176">
        <f>IFERROR(AVERAGE(Table410[[#This Row],[Jan_2026_Days_Actual]:[Dec_2026_Days_Actual]]),0)/19</f>
        <v>0</v>
      </c>
      <c r="BB57" s="176">
        <f>IFERROR(AVERAGE(Table410[[#This Row],[Jan_2027_Days_Forecast]:[Dec_2027_Days_Forecast]]),0)</f>
        <v>0</v>
      </c>
      <c r="BC57" s="129"/>
      <c r="BD57" s="129"/>
      <c r="BE57" s="129"/>
      <c r="BF57" s="129"/>
      <c r="BG57" s="129"/>
      <c r="BH57" s="129"/>
      <c r="BI57" s="129"/>
      <c r="BJ57" s="129"/>
      <c r="BK57" s="129"/>
      <c r="BL57" s="129"/>
      <c r="BM57" s="129"/>
      <c r="BN57" s="129"/>
      <c r="BO57" s="176"/>
      <c r="BP57" s="176"/>
      <c r="BQ57" s="13">
        <f>IFERROR(Table410[[#This Row],[Jan_2026_Days_Forecast]]*Table410[[#This Row],[Cost Boolean]]*(VLOOKUP(Table410[[#This Row],[RATE CONCAT]],Tables!I:N,5,0)),0)</f>
        <v>0</v>
      </c>
      <c r="BR57" s="13">
        <f>IFERROR(Table410[[#This Row],[Jan_2026_Days_Actual]]*Table410[[#This Row],[Cost Boolean]]*(VLOOKUP(Table410[[#This Row],[RATE CONCAT]],Tables!I:N,5,0)),0)</f>
        <v>0</v>
      </c>
      <c r="BS57" s="13">
        <f>Table410[[#This Row],[Jan_2026_F]]-Table410[[#This Row],[Jan_2026_A]]</f>
        <v>0</v>
      </c>
      <c r="BU57" s="13">
        <f>IFERROR(Table410[[#This Row],[Feb_2026_Days_Forecast]]*Table410[[#This Row],[Cost Boolean]]*(VLOOKUP(Table410[[#This Row],[RATE CONCAT]],Tables!I:N,5,0)),0)</f>
        <v>0</v>
      </c>
      <c r="BV57" s="13">
        <f>IFERROR(Table410[[#This Row],[Feb_2026_Days_Actual]]*Table410[[#This Row],[Cost Boolean]]*(VLOOKUP(Table410[[#This Row],[RATE CONCAT]],Tables!I:N,5,0)),0)</f>
        <v>0</v>
      </c>
      <c r="BW57" s="13">
        <f>Table410[[#This Row],[Feb_2026_F]]-Table410[[#This Row],[Feb_2026_A]]</f>
        <v>0</v>
      </c>
      <c r="BY57" s="13">
        <f>IFERROR(Table410[[#This Row],[Mar_2026_Days_Forecast]]*Table410[[#This Row],[Cost Boolean]]*(VLOOKUP(Table410[[#This Row],[RATE CONCAT]],Tables!I:N,5,0)),0)</f>
        <v>0</v>
      </c>
      <c r="BZ57" s="13">
        <f>IFERROR(Table410[[#This Row],[Mar_2026_Days_Actual]]*Table410[[#This Row],[Cost Boolean]]*(VLOOKUP(Table410[[#This Row],[RATE CONCAT]],Tables!I:N,5,0)),0)</f>
        <v>0</v>
      </c>
      <c r="CA57" s="13">
        <f>Table410[[#This Row],[Mar_2026_F]]-Table410[[#This Row],[Mar_2026_A]]</f>
        <v>0</v>
      </c>
      <c r="CC57" s="13">
        <f>IFERROR(Table410[[#This Row],[Apr_2026_Days_Forecast]]*Table410[[#This Row],[Cost Boolean]]*(VLOOKUP(Table410[[#This Row],[RATE CONCAT]],Tables!I:N,5,0)),0)</f>
        <v>0</v>
      </c>
      <c r="CD57" s="13">
        <f>IFERROR(Table410[[#This Row],[Apr_2026_Days_Actual]]*Table410[[#This Row],[Cost Boolean]]*(VLOOKUP(Table410[[#This Row],[RATE CONCAT]],Tables!I:N,5,0)),0)</f>
        <v>0</v>
      </c>
      <c r="CE57" s="13">
        <f>Table410[[#This Row],[Apr_2026_F]]-Table410[[#This Row],[Apr_2026_A]]</f>
        <v>0</v>
      </c>
      <c r="CG57" s="13">
        <f>IFERROR(Table410[[#This Row],[May_2026_Days_Forecast]] *Table410[[#This Row],[Cost Boolean]]*(VLOOKUP(Table410[[#This Row],[RATE CONCAT]],Tables!I:N,5,0)),0)</f>
        <v>0</v>
      </c>
      <c r="CH57" s="13">
        <f>IFERROR(Table410[[#This Row],[May_2026_Days_Actual]]*Table410[[#This Row],[Cost Boolean]]*(VLOOKUP(Table410[[#This Row],[RATE CONCAT]],Tables!I:N,5,0)),0)</f>
        <v>0</v>
      </c>
      <c r="CI57" s="13">
        <f>Table410[[#This Row],[May_2026_F]]-Table410[[#This Row],[May_2026_A]]</f>
        <v>0</v>
      </c>
      <c r="CK57" s="13">
        <f>IFERROR(Table410[[#This Row],[Jun_2026_Days_Forecast]]*Table410[[#This Row],[Cost Boolean]]*(VLOOKUP(Table410[[#This Row],[RATE CONCAT]],Tables!I:N,5,0)),0)</f>
        <v>0</v>
      </c>
      <c r="CL57" s="13">
        <f>IFERROR(Table410[[#This Row],[Jun_2026_Days_Actual]]*Table410[[#This Row],[Cost Boolean]]*(VLOOKUP(Table410[[#This Row],[RATE CONCAT]],Tables!I:N,5,0)),0)</f>
        <v>0</v>
      </c>
      <c r="CM57" s="13">
        <f>Table410[[#This Row],[Jun_2026_F]]-Table410[[#This Row],[Jun_2026_A]]</f>
        <v>0</v>
      </c>
      <c r="CO57" s="13">
        <f>IFERROR(Table410[[#This Row],[Jul_2026_Days_Forecast]]*Table410[[#This Row],[Cost Boolean]]*(VLOOKUP(Table410[[#This Row],[RATE CONCAT]],Tables!I:N,5,0)),0)</f>
        <v>0</v>
      </c>
      <c r="CP57" s="13">
        <f>IFERROR(Table410[[#This Row],[Jul_2026_Days_Actual]]*Table410[[#This Row],[Cost Boolean]]*(VLOOKUP(Table410[[#This Row],[RATE CONCAT]],Tables!I:N,5,0)),0)</f>
        <v>0</v>
      </c>
      <c r="CQ57" s="13">
        <f>Table410[[#This Row],[Jul_2026_F]]-Table410[[#This Row],[Jul_2026_A]]</f>
        <v>0</v>
      </c>
      <c r="CS57" s="13">
        <f>IFERROR(Table410[[#This Row],[Aug_2026_Days_Forecast]]*Table410[[#This Row],[Cost Boolean]]*(VLOOKUP(Table410[[#This Row],[RATE CONCAT]],Tables!I:N,5,0)),0)</f>
        <v>0</v>
      </c>
      <c r="CT57" s="13">
        <f>IFERROR(Table410[[#This Row],[Aug_2026_Days_Actual]]*Table410[[#This Row],[Cost Boolean]]*(VLOOKUP(Table410[[#This Row],[RATE CONCAT]],Tables!I:N,5,0)),0)</f>
        <v>0</v>
      </c>
      <c r="CU57" s="13">
        <f>Table410[[#This Row],[Aug_2026_F]]-Table410[[#This Row],[Aug_2026_A]]</f>
        <v>0</v>
      </c>
      <c r="CW57" s="13">
        <f>IFERROR(Table410[[#This Row],[Sep_2026_Days_Forecast]]*Table410[[#This Row],[Cost Boolean]]*(VLOOKUP(Table410[[#This Row],[RATE CONCAT]],Tables!I:N,5,0)),0)</f>
        <v>0</v>
      </c>
      <c r="CX57" s="13">
        <f>IFERROR(Table410[[#This Row],[Sep_2026_Days_Actual]]*Table410[[#This Row],[Cost Boolean]]*(VLOOKUP(Table410[[#This Row],[RATE CONCAT]],Tables!I:N,5,0)),0)</f>
        <v>0</v>
      </c>
      <c r="CY57" s="13">
        <f>Table410[[#This Row],[Sep_2026_F]]-Table410[[#This Row],[Sep_2026_A]]</f>
        <v>0</v>
      </c>
      <c r="DA57" s="13">
        <f>IFERROR(Table410[[#This Row],[Oct_2026_Days_Forecast]]*Table410[[#This Row],[Cost Boolean]]*(VLOOKUP(Table410[[#This Row],[RATE CONCAT]],Tables!I:N,5,0)),0)</f>
        <v>0</v>
      </c>
      <c r="DB57" s="13">
        <f>IFERROR(Table410[[#This Row],[Oct_2026_Days_Actual]]*Table410[[#This Row],[Cost Boolean]]*(VLOOKUP(Table410[[#This Row],[RATE CONCAT]],Tables!I:N,5,0)),0)</f>
        <v>0</v>
      </c>
      <c r="DC57" s="13">
        <f>Table410[[#This Row],[Oct_2026_F]]-Table410[[#This Row],[Oct_2026_A]]</f>
        <v>0</v>
      </c>
      <c r="DE57" s="13">
        <f>IFERROR(Table410[[#This Row],[Nov_2026_Days_Forecast]]*Table410[[#This Row],[Cost Boolean]]*(VLOOKUP(Table410[[#This Row],[RATE CONCAT]],Tables!I:N,5,0)),0)</f>
        <v>0</v>
      </c>
      <c r="DF57" s="13">
        <f>IFERROR(Table410[[#This Row],[Nov_2026_Days_Actual]]*Table410[[#This Row],[Cost Boolean]]*(VLOOKUP(Table410[[#This Row],[RATE CONCAT]],Tables!I:N,5,0)),0)</f>
        <v>0</v>
      </c>
      <c r="DG57" s="13">
        <f>Table410[[#This Row],[Nov_2026_F]]-Table410[[#This Row],[Nov_2026_A]]</f>
        <v>0</v>
      </c>
      <c r="DI57" s="13">
        <f>IFERROR(Table410[[#This Row],[Dec_2026_Days_Forecast]]*Table410[[#This Row],[Cost Boolean]]*(VLOOKUP(Table410[[#This Row],[RATE CONCAT]],Tables!I:N,5,0)),0)</f>
        <v>0</v>
      </c>
      <c r="DJ57" s="13">
        <f>IFERROR(Table410[[#This Row],[Dec_2026_Days_Actual]]*Table410[[#This Row],[Cost Boolean]]*(VLOOKUP(Table410[[#This Row],[RATE CONCAT]],Tables!I:N,5,0)),0)</f>
        <v>0</v>
      </c>
      <c r="DK57" s="13">
        <f>Table410[[#This Row],[Dec_2026_F]]-Table410[[#This Row],[Dec_2026_A]]</f>
        <v>0</v>
      </c>
      <c r="DN57" s="13">
        <f>IFERROR(Table410[[#This Row],[Jan_2027_Days_Forecast]]*Table410[[#This Row],[Cost Boolean]]*(VLOOKUP(Table410[[#This Row],[RATE CONCAT]],Tables!I:N,6,0)),0)</f>
        <v>0</v>
      </c>
      <c r="DP57" s="13">
        <f>Table410[[#This Row],[Jan_2027_F]]-Table410[[#This Row],[Jan_2027_A]]</f>
        <v>0</v>
      </c>
      <c r="DQ57" s="13">
        <f>IFERROR(Table410[[#This Row],[Feb_2027_Days_Forecast]]*Table410[[#This Row],[Cost Boolean]]*(VLOOKUP(Table410[[#This Row],[RATE CONCAT]],Tables!I:N,6,0)),0)</f>
        <v>0</v>
      </c>
      <c r="DS57" s="13">
        <f>Table410[[#This Row],[Feb_2027_F]]-Table410[[#This Row],[Feb_2027_A]]</f>
        <v>0</v>
      </c>
      <c r="DT57" s="13">
        <f>IFERROR(Table410[[#This Row],[Mar_2027_Days_Forecast]]*Table410[[#This Row],[Cost Boolean]]*(VLOOKUP(Table410[[#This Row],[RATE CONCAT]],Tables!I:N,6,0)),0)</f>
        <v>0</v>
      </c>
      <c r="DV57" s="13">
        <f>Table410[[#This Row],[Mar_2027_F]]-Table410[[#This Row],[Mar_2027_A]]</f>
        <v>0</v>
      </c>
      <c r="DW57" s="13">
        <f>IFERROR(Table410[[#This Row],[Apr_2027_Days_Forecast]]*Table410[[#This Row],[Cost Boolean]]*(VLOOKUP(Table410[[#This Row],[RATE CONCAT]],Tables!I:N,6,0)),0)</f>
        <v>0</v>
      </c>
      <c r="DY57" s="13">
        <f>Table410[[#This Row],[Apr_2027_F]]-Table410[[#This Row],[Apr_2027_A]]</f>
        <v>0</v>
      </c>
      <c r="DZ57" s="13">
        <f>IFERROR(Table410[[#This Row],[May_2027_Days_Forecast]]*Table410[[#This Row],[Cost Boolean]]*(VLOOKUP(Table410[[#This Row],[RATE CONCAT]],Tables!I:N,6,0)),0)</f>
        <v>0</v>
      </c>
      <c r="EB57" s="13">
        <f>Table410[[#This Row],[May_2027_F]]-Table410[[#This Row],[May_2027_A]]</f>
        <v>0</v>
      </c>
      <c r="EC57" s="13">
        <f>IFERROR(Table410[[#This Row],[Jun_2027_Days_Forecast]]*Table410[[#This Row],[Cost Boolean]]*(VLOOKUP(Table410[[#This Row],[RATE CONCAT]],Tables!I:N,6,0)),0)</f>
        <v>0</v>
      </c>
      <c r="EE57" s="13">
        <f>Table410[[#This Row],[Jun_2027_F]]-Table410[[#This Row],[Jun_2027_A]]</f>
        <v>0</v>
      </c>
      <c r="EF57" s="13">
        <f>IFERROR(Table410[[#This Row],[Jul_2027_Days_Forecast]]*Table410[[#This Row],[Cost Boolean]]*(VLOOKUP(Table410[[#This Row],[RATE CONCAT]],Tables!I:N,6,0)),0)</f>
        <v>0</v>
      </c>
      <c r="EH57" s="13">
        <f>Table410[[#This Row],[Jul_2027_F]]-Table410[[#This Row],[Jul_2027_A]]</f>
        <v>0</v>
      </c>
      <c r="EI57" s="13">
        <f>IFERROR(Table410[[#This Row],[Aug_2027_Days_Forecast]]*Table410[[#This Row],[Cost Boolean]]*(VLOOKUP(Table410[[#This Row],[RATE CONCAT]],Tables!I:N,6,0)),0)</f>
        <v>0</v>
      </c>
      <c r="EK57" s="13">
        <f>Table410[[#This Row],[Aug_2027_F]]-Table410[[#This Row],[Aug_2027_A]]</f>
        <v>0</v>
      </c>
      <c r="EL57" s="13">
        <f>IFERROR(Table410[[#This Row],[Sep_2027_Days_Forecast]]*Table410[[#This Row],[Cost Boolean]]*(VLOOKUP(Table410[[#This Row],[RATE CONCAT]],Tables!I:N,6,0)),0)</f>
        <v>0</v>
      </c>
      <c r="EN57" s="13">
        <f>Table410[[#This Row],[Sep_2027_F]]-Table410[[#This Row],[Sep_2027_A]]</f>
        <v>0</v>
      </c>
      <c r="EO57" s="13">
        <f>IFERROR(Table410[[#This Row],[Oct_2027_Days_Forecast]]*Table410[[#This Row],[Cost Boolean]]*(VLOOKUP(Table410[[#This Row],[RATE CONCAT]],Tables!I:N,6,0)),0)</f>
        <v>0</v>
      </c>
      <c r="EQ57" s="13">
        <f>Table410[[#This Row],[Oct_2027_F]]-Table410[[#This Row],[Oct_2027_A]]</f>
        <v>0</v>
      </c>
      <c r="ER57" s="13">
        <f>IFERROR(Table410[[#This Row],[Nov_2027_Days_Forecast]]*Table410[[#This Row],[Cost Boolean]]*(VLOOKUP(Table410[[#This Row],[RATE CONCAT]],Tables!I:N,6,0)),0)</f>
        <v>0</v>
      </c>
      <c r="ET57" s="13">
        <f>Table410[[#This Row],[Nov_2027_F]]-Table410[[#This Row],[Nov_2027_A]]</f>
        <v>0</v>
      </c>
      <c r="EU57" s="13">
        <f>IFERROR(Table410[[#This Row],[Dec_2027_Days_Forecast]]*Table410[[#This Row],[Cost Boolean]]*(VLOOKUP(Table410[[#This Row],[RATE CONCAT]],Tables!I:N,6,0)),0)</f>
        <v>0</v>
      </c>
      <c r="EW57" s="13">
        <f>Table410[[#This Row],[Dec_2027_F]]-Table410[[#This Row],[Dec_2027_A]]</f>
        <v>0</v>
      </c>
    </row>
    <row r="58" spans="25:153" s="13" customFormat="1" ht="15" customHeight="1">
      <c r="Y58" s="13" t="str">
        <f>CONCATENATE(Table410[[#This Row],[JG]],Table410[[#This Row],[Country]],Table410[[#This Row],[Resource Provider]])</f>
        <v/>
      </c>
      <c r="Z58" s="13">
        <f>VLOOKUP(Table410[[#This Row],[RATE CONCAT]],Tables!I:N,5,0)</f>
        <v>0</v>
      </c>
      <c r="AA58" s="52"/>
      <c r="AB58" s="127"/>
      <c r="AC58" s="127"/>
      <c r="AD58" s="127"/>
      <c r="AE58" s="127"/>
      <c r="AF58" s="127"/>
      <c r="AG58" s="127"/>
      <c r="AH58" s="127"/>
      <c r="AI58" s="127"/>
      <c r="AJ58" s="127"/>
      <c r="AK58" s="127"/>
      <c r="AL58" s="127"/>
      <c r="AM58" s="127"/>
      <c r="AN58" s="176">
        <f>IFERROR(AVERAGE(Table410[[#This Row],[Jan_2026_Days_Forecast]:[Dec_2026_Days_Forecast]]),0)/19</f>
        <v>0</v>
      </c>
      <c r="AO58" s="176">
        <f>IFERROR(AVERAGE(Table410[[#This Row],[Jan_2026_Days_Actual]:[Dec_2026_Days_Actual]]),0)/19</f>
        <v>0</v>
      </c>
      <c r="BB58" s="176">
        <f>IFERROR(AVERAGE(Table410[[#This Row],[Jan_2027_Days_Forecast]:[Dec_2027_Days_Forecast]]),0)</f>
        <v>0</v>
      </c>
      <c r="BC58" s="127"/>
      <c r="BD58" s="127"/>
      <c r="BE58" s="127"/>
      <c r="BF58" s="127"/>
      <c r="BG58" s="127"/>
      <c r="BH58" s="127"/>
      <c r="BI58" s="127"/>
      <c r="BJ58" s="127"/>
      <c r="BK58" s="127"/>
      <c r="BL58" s="127"/>
      <c r="BM58" s="127"/>
      <c r="BN58" s="127"/>
      <c r="BO58" s="176"/>
      <c r="BP58" s="176"/>
      <c r="BQ58" s="13">
        <f>IFERROR(Table410[[#This Row],[Jan_2026_Days_Forecast]]*Table410[[#This Row],[Cost Boolean]]*(VLOOKUP(Table410[[#This Row],[RATE CONCAT]],Tables!I:N,5,0)),0)</f>
        <v>0</v>
      </c>
      <c r="BR58" s="13">
        <f>IFERROR(Table410[[#This Row],[Jan_2026_Days_Actual]]*Table410[[#This Row],[Cost Boolean]]*(VLOOKUP(Table410[[#This Row],[RATE CONCAT]],Tables!I:N,5,0)),0)</f>
        <v>0</v>
      </c>
      <c r="BS58" s="13">
        <f>Table410[[#This Row],[Jan_2026_F]]-Table410[[#This Row],[Jan_2026_A]]</f>
        <v>0</v>
      </c>
      <c r="BU58" s="13">
        <f>IFERROR(Table410[[#This Row],[Feb_2026_Days_Forecast]]*Table410[[#This Row],[Cost Boolean]]*(VLOOKUP(Table410[[#This Row],[RATE CONCAT]],Tables!I:N,5,0)),0)</f>
        <v>0</v>
      </c>
      <c r="BV58" s="13">
        <f>IFERROR(Table410[[#This Row],[Feb_2026_Days_Actual]]*Table410[[#This Row],[Cost Boolean]]*(VLOOKUP(Table410[[#This Row],[RATE CONCAT]],Tables!I:N,5,0)),0)</f>
        <v>0</v>
      </c>
      <c r="BW58" s="13">
        <f>Table410[[#This Row],[Feb_2026_F]]-Table410[[#This Row],[Feb_2026_A]]</f>
        <v>0</v>
      </c>
      <c r="BY58" s="13">
        <f>IFERROR(Table410[[#This Row],[Mar_2026_Days_Forecast]]*Table410[[#This Row],[Cost Boolean]]*(VLOOKUP(Table410[[#This Row],[RATE CONCAT]],Tables!I:N,5,0)),0)</f>
        <v>0</v>
      </c>
      <c r="BZ58" s="13">
        <f>IFERROR(Table410[[#This Row],[Mar_2026_Days_Actual]]*Table410[[#This Row],[Cost Boolean]]*(VLOOKUP(Table410[[#This Row],[RATE CONCAT]],Tables!I:N,5,0)),0)</f>
        <v>0</v>
      </c>
      <c r="CA58" s="13">
        <f>Table410[[#This Row],[Mar_2026_F]]-Table410[[#This Row],[Mar_2026_A]]</f>
        <v>0</v>
      </c>
      <c r="CC58" s="13">
        <f>IFERROR(Table410[[#This Row],[Apr_2026_Days_Forecast]]*Table410[[#This Row],[Cost Boolean]]*(VLOOKUP(Table410[[#This Row],[RATE CONCAT]],Tables!I:N,5,0)),0)</f>
        <v>0</v>
      </c>
      <c r="CD58" s="13">
        <f>IFERROR(Table410[[#This Row],[Apr_2026_Days_Actual]]*Table410[[#This Row],[Cost Boolean]]*(VLOOKUP(Table410[[#This Row],[RATE CONCAT]],Tables!I:N,5,0)),0)</f>
        <v>0</v>
      </c>
      <c r="CE58" s="13">
        <f>Table410[[#This Row],[Apr_2026_F]]-Table410[[#This Row],[Apr_2026_A]]</f>
        <v>0</v>
      </c>
      <c r="CG58" s="13">
        <f>IFERROR(Table410[[#This Row],[May_2026_Days_Forecast]] *Table410[[#This Row],[Cost Boolean]]*(VLOOKUP(Table410[[#This Row],[RATE CONCAT]],Tables!I:N,5,0)),0)</f>
        <v>0</v>
      </c>
      <c r="CH58" s="13">
        <f>IFERROR(Table410[[#This Row],[May_2026_Days_Actual]]*Table410[[#This Row],[Cost Boolean]]*(VLOOKUP(Table410[[#This Row],[RATE CONCAT]],Tables!I:N,5,0)),0)</f>
        <v>0</v>
      </c>
      <c r="CI58" s="13">
        <f>Table410[[#This Row],[May_2026_F]]-Table410[[#This Row],[May_2026_A]]</f>
        <v>0</v>
      </c>
      <c r="CK58" s="13">
        <f>IFERROR(Table410[[#This Row],[Jun_2026_Days_Forecast]]*Table410[[#This Row],[Cost Boolean]]*(VLOOKUP(Table410[[#This Row],[RATE CONCAT]],Tables!I:N,5,0)),0)</f>
        <v>0</v>
      </c>
      <c r="CL58" s="13">
        <f>IFERROR(Table410[[#This Row],[Jun_2026_Days_Actual]]*Table410[[#This Row],[Cost Boolean]]*(VLOOKUP(Table410[[#This Row],[RATE CONCAT]],Tables!I:N,5,0)),0)</f>
        <v>0</v>
      </c>
      <c r="CM58" s="13">
        <f>Table410[[#This Row],[Jun_2026_F]]-Table410[[#This Row],[Jun_2026_A]]</f>
        <v>0</v>
      </c>
      <c r="CO58" s="13">
        <f>IFERROR(Table410[[#This Row],[Jul_2026_Days_Forecast]]*Table410[[#This Row],[Cost Boolean]]*(VLOOKUP(Table410[[#This Row],[RATE CONCAT]],Tables!I:N,5,0)),0)</f>
        <v>0</v>
      </c>
      <c r="CP58" s="13">
        <f>IFERROR(Table410[[#This Row],[Jul_2026_Days_Actual]]*Table410[[#This Row],[Cost Boolean]]*(VLOOKUP(Table410[[#This Row],[RATE CONCAT]],Tables!I:N,5,0)),0)</f>
        <v>0</v>
      </c>
      <c r="CQ58" s="13">
        <f>Table410[[#This Row],[Jul_2026_F]]-Table410[[#This Row],[Jul_2026_A]]</f>
        <v>0</v>
      </c>
      <c r="CS58" s="13">
        <f>IFERROR(Table410[[#This Row],[Aug_2026_Days_Forecast]]*Table410[[#This Row],[Cost Boolean]]*(VLOOKUP(Table410[[#This Row],[RATE CONCAT]],Tables!I:N,5,0)),0)</f>
        <v>0</v>
      </c>
      <c r="CT58" s="13">
        <f>IFERROR(Table410[[#This Row],[Aug_2026_Days_Actual]]*Table410[[#This Row],[Cost Boolean]]*(VLOOKUP(Table410[[#This Row],[RATE CONCAT]],Tables!I:N,5,0)),0)</f>
        <v>0</v>
      </c>
      <c r="CU58" s="13">
        <f>Table410[[#This Row],[Aug_2026_F]]-Table410[[#This Row],[Aug_2026_A]]</f>
        <v>0</v>
      </c>
      <c r="CW58" s="13">
        <f>IFERROR(Table410[[#This Row],[Sep_2026_Days_Forecast]]*Table410[[#This Row],[Cost Boolean]]*(VLOOKUP(Table410[[#This Row],[RATE CONCAT]],Tables!I:N,5,0)),0)</f>
        <v>0</v>
      </c>
      <c r="CX58" s="13">
        <f>IFERROR(Table410[[#This Row],[Sep_2026_Days_Actual]]*Table410[[#This Row],[Cost Boolean]]*(VLOOKUP(Table410[[#This Row],[RATE CONCAT]],Tables!I:N,5,0)),0)</f>
        <v>0</v>
      </c>
      <c r="CY58" s="13">
        <f>Table410[[#This Row],[Sep_2026_F]]-Table410[[#This Row],[Sep_2026_A]]</f>
        <v>0</v>
      </c>
      <c r="DA58" s="13">
        <f>IFERROR(Table410[[#This Row],[Oct_2026_Days_Forecast]]*Table410[[#This Row],[Cost Boolean]]*(VLOOKUP(Table410[[#This Row],[RATE CONCAT]],Tables!I:N,5,0)),0)</f>
        <v>0</v>
      </c>
      <c r="DB58" s="13">
        <f>IFERROR(Table410[[#This Row],[Oct_2026_Days_Actual]]*Table410[[#This Row],[Cost Boolean]]*(VLOOKUP(Table410[[#This Row],[RATE CONCAT]],Tables!I:N,5,0)),0)</f>
        <v>0</v>
      </c>
      <c r="DC58" s="13">
        <f>Table410[[#This Row],[Oct_2026_F]]-Table410[[#This Row],[Oct_2026_A]]</f>
        <v>0</v>
      </c>
      <c r="DE58" s="13">
        <f>IFERROR(Table410[[#This Row],[Nov_2026_Days_Forecast]]*Table410[[#This Row],[Cost Boolean]]*(VLOOKUP(Table410[[#This Row],[RATE CONCAT]],Tables!I:N,5,0)),0)</f>
        <v>0</v>
      </c>
      <c r="DF58" s="13">
        <f>IFERROR(Table410[[#This Row],[Nov_2026_Days_Actual]]*Table410[[#This Row],[Cost Boolean]]*(VLOOKUP(Table410[[#This Row],[RATE CONCAT]],Tables!I:N,5,0)),0)</f>
        <v>0</v>
      </c>
      <c r="DG58" s="13">
        <f>Table410[[#This Row],[Nov_2026_F]]-Table410[[#This Row],[Nov_2026_A]]</f>
        <v>0</v>
      </c>
      <c r="DI58" s="13">
        <f>IFERROR(Table410[[#This Row],[Dec_2026_Days_Forecast]]*Table410[[#This Row],[Cost Boolean]]*(VLOOKUP(Table410[[#This Row],[RATE CONCAT]],Tables!I:N,5,0)),0)</f>
        <v>0</v>
      </c>
      <c r="DJ58" s="13">
        <f>IFERROR(Table410[[#This Row],[Dec_2026_Days_Actual]]*Table410[[#This Row],[Cost Boolean]]*(VLOOKUP(Table410[[#This Row],[RATE CONCAT]],Tables!I:N,5,0)),0)</f>
        <v>0</v>
      </c>
      <c r="DK58" s="13">
        <f>Table410[[#This Row],[Dec_2026_F]]-Table410[[#This Row],[Dec_2026_A]]</f>
        <v>0</v>
      </c>
      <c r="DN58" s="13">
        <f>IFERROR(Table410[[#This Row],[Jan_2027_Days_Forecast]]*Table410[[#This Row],[Cost Boolean]]*(VLOOKUP(Table410[[#This Row],[RATE CONCAT]],Tables!I:N,6,0)),0)</f>
        <v>0</v>
      </c>
      <c r="DP58" s="13">
        <f>Table410[[#This Row],[Jan_2027_F]]-Table410[[#This Row],[Jan_2027_A]]</f>
        <v>0</v>
      </c>
      <c r="DQ58" s="13">
        <f>IFERROR(Table410[[#This Row],[Feb_2027_Days_Forecast]]*Table410[[#This Row],[Cost Boolean]]*(VLOOKUP(Table410[[#This Row],[RATE CONCAT]],Tables!I:N,6,0)),0)</f>
        <v>0</v>
      </c>
      <c r="DS58" s="13">
        <f>Table410[[#This Row],[Feb_2027_F]]-Table410[[#This Row],[Feb_2027_A]]</f>
        <v>0</v>
      </c>
      <c r="DT58" s="13">
        <f>IFERROR(Table410[[#This Row],[Mar_2027_Days_Forecast]]*Table410[[#This Row],[Cost Boolean]]*(VLOOKUP(Table410[[#This Row],[RATE CONCAT]],Tables!I:N,6,0)),0)</f>
        <v>0</v>
      </c>
      <c r="DV58" s="13">
        <f>Table410[[#This Row],[Mar_2027_F]]-Table410[[#This Row],[Mar_2027_A]]</f>
        <v>0</v>
      </c>
      <c r="DW58" s="13">
        <f>IFERROR(Table410[[#This Row],[Apr_2027_Days_Forecast]]*Table410[[#This Row],[Cost Boolean]]*(VLOOKUP(Table410[[#This Row],[RATE CONCAT]],Tables!I:N,6,0)),0)</f>
        <v>0</v>
      </c>
      <c r="DY58" s="13">
        <f>Table410[[#This Row],[Apr_2027_F]]-Table410[[#This Row],[Apr_2027_A]]</f>
        <v>0</v>
      </c>
      <c r="DZ58" s="13">
        <f>IFERROR(Table410[[#This Row],[May_2027_Days_Forecast]]*Table410[[#This Row],[Cost Boolean]]*(VLOOKUP(Table410[[#This Row],[RATE CONCAT]],Tables!I:N,6,0)),0)</f>
        <v>0</v>
      </c>
      <c r="EB58" s="13">
        <f>Table410[[#This Row],[May_2027_F]]-Table410[[#This Row],[May_2027_A]]</f>
        <v>0</v>
      </c>
      <c r="EC58" s="13">
        <f>IFERROR(Table410[[#This Row],[Jun_2027_Days_Forecast]]*Table410[[#This Row],[Cost Boolean]]*(VLOOKUP(Table410[[#This Row],[RATE CONCAT]],Tables!I:N,6,0)),0)</f>
        <v>0</v>
      </c>
      <c r="EE58" s="13">
        <f>Table410[[#This Row],[Jun_2027_F]]-Table410[[#This Row],[Jun_2027_A]]</f>
        <v>0</v>
      </c>
      <c r="EF58" s="13">
        <f>IFERROR(Table410[[#This Row],[Jul_2027_Days_Forecast]]*Table410[[#This Row],[Cost Boolean]]*(VLOOKUP(Table410[[#This Row],[RATE CONCAT]],Tables!I:N,6,0)),0)</f>
        <v>0</v>
      </c>
      <c r="EH58" s="13">
        <f>Table410[[#This Row],[Jul_2027_F]]-Table410[[#This Row],[Jul_2027_A]]</f>
        <v>0</v>
      </c>
      <c r="EI58" s="13">
        <f>IFERROR(Table410[[#This Row],[Aug_2027_Days_Forecast]]*Table410[[#This Row],[Cost Boolean]]*(VLOOKUP(Table410[[#This Row],[RATE CONCAT]],Tables!I:N,6,0)),0)</f>
        <v>0</v>
      </c>
      <c r="EK58" s="13">
        <f>Table410[[#This Row],[Aug_2027_F]]-Table410[[#This Row],[Aug_2027_A]]</f>
        <v>0</v>
      </c>
      <c r="EL58" s="13">
        <f>IFERROR(Table410[[#This Row],[Sep_2027_Days_Forecast]]*Table410[[#This Row],[Cost Boolean]]*(VLOOKUP(Table410[[#This Row],[RATE CONCAT]],Tables!I:N,6,0)),0)</f>
        <v>0</v>
      </c>
      <c r="EN58" s="13">
        <f>Table410[[#This Row],[Sep_2027_F]]-Table410[[#This Row],[Sep_2027_A]]</f>
        <v>0</v>
      </c>
      <c r="EO58" s="13">
        <f>IFERROR(Table410[[#This Row],[Oct_2027_Days_Forecast]]*Table410[[#This Row],[Cost Boolean]]*(VLOOKUP(Table410[[#This Row],[RATE CONCAT]],Tables!I:N,6,0)),0)</f>
        <v>0</v>
      </c>
      <c r="EQ58" s="13">
        <f>Table410[[#This Row],[Oct_2027_F]]-Table410[[#This Row],[Oct_2027_A]]</f>
        <v>0</v>
      </c>
      <c r="ER58" s="13">
        <f>IFERROR(Table410[[#This Row],[Nov_2027_Days_Forecast]]*Table410[[#This Row],[Cost Boolean]]*(VLOOKUP(Table410[[#This Row],[RATE CONCAT]],Tables!I:N,6,0)),0)</f>
        <v>0</v>
      </c>
      <c r="ET58" s="13">
        <f>Table410[[#This Row],[Nov_2027_F]]-Table410[[#This Row],[Nov_2027_A]]</f>
        <v>0</v>
      </c>
      <c r="EU58" s="13">
        <f>IFERROR(Table410[[#This Row],[Dec_2027_Days_Forecast]]*Table410[[#This Row],[Cost Boolean]]*(VLOOKUP(Table410[[#This Row],[RATE CONCAT]],Tables!I:N,6,0)),0)</f>
        <v>0</v>
      </c>
      <c r="EW58" s="13">
        <f>Table410[[#This Row],[Dec_2027_F]]-Table410[[#This Row],[Dec_2027_A]]</f>
        <v>0</v>
      </c>
    </row>
    <row r="59" spans="25:153" s="13" customFormat="1" ht="15" customHeight="1">
      <c r="Y59" s="13" t="str">
        <f>CONCATENATE(Table410[[#This Row],[JG]],Table410[[#This Row],[Country]],Table410[[#This Row],[Resource Provider]])</f>
        <v/>
      </c>
      <c r="Z59" s="13">
        <f>VLOOKUP(Table410[[#This Row],[RATE CONCAT]],Tables!I:N,5,0)</f>
        <v>0</v>
      </c>
      <c r="AA59" s="52"/>
      <c r="AB59" s="127"/>
      <c r="AC59" s="127"/>
      <c r="AD59" s="127"/>
      <c r="AE59" s="127"/>
      <c r="AF59" s="127"/>
      <c r="AG59" s="127"/>
      <c r="AH59" s="127"/>
      <c r="AI59" s="127"/>
      <c r="AJ59" s="127"/>
      <c r="AK59" s="127"/>
      <c r="AL59" s="127"/>
      <c r="AM59" s="127"/>
      <c r="AN59" s="176">
        <f>IFERROR(AVERAGE(Table410[[#This Row],[Jan_2026_Days_Forecast]:[Dec_2026_Days_Forecast]]),0)/19</f>
        <v>0</v>
      </c>
      <c r="AO59" s="176">
        <f>IFERROR(AVERAGE(Table410[[#This Row],[Jan_2026_Days_Actual]:[Dec_2026_Days_Actual]]),0)/19</f>
        <v>0</v>
      </c>
      <c r="BB59" s="176">
        <f>IFERROR(AVERAGE(Table410[[#This Row],[Jan_2027_Days_Forecast]:[Dec_2027_Days_Forecast]]),0)</f>
        <v>0</v>
      </c>
      <c r="BC59" s="127"/>
      <c r="BD59" s="127"/>
      <c r="BE59" s="127"/>
      <c r="BF59" s="127"/>
      <c r="BG59" s="127"/>
      <c r="BH59" s="127"/>
      <c r="BI59" s="127"/>
      <c r="BJ59" s="127"/>
      <c r="BK59" s="127"/>
      <c r="BL59" s="127"/>
      <c r="BM59" s="127"/>
      <c r="BN59" s="127"/>
      <c r="BO59" s="176"/>
      <c r="BP59" s="176"/>
      <c r="BQ59" s="13">
        <f>IFERROR(Table410[[#This Row],[Jan_2026_Days_Forecast]]*Table410[[#This Row],[Cost Boolean]]*(VLOOKUP(Table410[[#This Row],[RATE CONCAT]],Tables!I:N,5,0)),0)</f>
        <v>0</v>
      </c>
      <c r="BR59" s="13">
        <f>IFERROR(Table410[[#This Row],[Jan_2026_Days_Actual]]*Table410[[#This Row],[Cost Boolean]]*(VLOOKUP(Table410[[#This Row],[RATE CONCAT]],Tables!I:N,5,0)),0)</f>
        <v>0</v>
      </c>
      <c r="BS59" s="13">
        <f>Table410[[#This Row],[Jan_2026_F]]-Table410[[#This Row],[Jan_2026_A]]</f>
        <v>0</v>
      </c>
      <c r="BU59" s="13">
        <f>IFERROR(Table410[[#This Row],[Feb_2026_Days_Forecast]]*Table410[[#This Row],[Cost Boolean]]*(VLOOKUP(Table410[[#This Row],[RATE CONCAT]],Tables!I:N,5,0)),0)</f>
        <v>0</v>
      </c>
      <c r="BV59" s="13">
        <f>IFERROR(Table410[[#This Row],[Feb_2026_Days_Actual]]*Table410[[#This Row],[Cost Boolean]]*(VLOOKUP(Table410[[#This Row],[RATE CONCAT]],Tables!I:N,5,0)),0)</f>
        <v>0</v>
      </c>
      <c r="BW59" s="13">
        <f>Table410[[#This Row],[Feb_2026_F]]-Table410[[#This Row],[Feb_2026_A]]</f>
        <v>0</v>
      </c>
      <c r="BY59" s="13">
        <f>IFERROR(Table410[[#This Row],[Mar_2026_Days_Forecast]]*Table410[[#This Row],[Cost Boolean]]*(VLOOKUP(Table410[[#This Row],[RATE CONCAT]],Tables!I:N,5,0)),0)</f>
        <v>0</v>
      </c>
      <c r="BZ59" s="13">
        <f>IFERROR(Table410[[#This Row],[Mar_2026_Days_Actual]]*Table410[[#This Row],[Cost Boolean]]*(VLOOKUP(Table410[[#This Row],[RATE CONCAT]],Tables!I:N,5,0)),0)</f>
        <v>0</v>
      </c>
      <c r="CA59" s="13">
        <f>Table410[[#This Row],[Mar_2026_F]]-Table410[[#This Row],[Mar_2026_A]]</f>
        <v>0</v>
      </c>
      <c r="CC59" s="13">
        <f>IFERROR(Table410[[#This Row],[Apr_2026_Days_Forecast]]*Table410[[#This Row],[Cost Boolean]]*(VLOOKUP(Table410[[#This Row],[RATE CONCAT]],Tables!I:N,5,0)),0)</f>
        <v>0</v>
      </c>
      <c r="CD59" s="13">
        <f>IFERROR(Table410[[#This Row],[Apr_2026_Days_Actual]]*Table410[[#This Row],[Cost Boolean]]*(VLOOKUP(Table410[[#This Row],[RATE CONCAT]],Tables!I:N,5,0)),0)</f>
        <v>0</v>
      </c>
      <c r="CE59" s="13">
        <f>Table410[[#This Row],[Apr_2026_F]]-Table410[[#This Row],[Apr_2026_A]]</f>
        <v>0</v>
      </c>
      <c r="CG59" s="13">
        <f>IFERROR(Table410[[#This Row],[May_2026_Days_Forecast]] *Table410[[#This Row],[Cost Boolean]]*(VLOOKUP(Table410[[#This Row],[RATE CONCAT]],Tables!I:N,5,0)),0)</f>
        <v>0</v>
      </c>
      <c r="CH59" s="13">
        <f>IFERROR(Table410[[#This Row],[May_2026_Days_Actual]]*Table410[[#This Row],[Cost Boolean]]*(VLOOKUP(Table410[[#This Row],[RATE CONCAT]],Tables!I:N,5,0)),0)</f>
        <v>0</v>
      </c>
      <c r="CI59" s="13">
        <f>Table410[[#This Row],[May_2026_F]]-Table410[[#This Row],[May_2026_A]]</f>
        <v>0</v>
      </c>
      <c r="CK59" s="13">
        <f>IFERROR(Table410[[#This Row],[Jun_2026_Days_Forecast]]*Table410[[#This Row],[Cost Boolean]]*(VLOOKUP(Table410[[#This Row],[RATE CONCAT]],Tables!I:N,5,0)),0)</f>
        <v>0</v>
      </c>
      <c r="CL59" s="13">
        <f>IFERROR(Table410[[#This Row],[Jun_2026_Days_Actual]]*Table410[[#This Row],[Cost Boolean]]*(VLOOKUP(Table410[[#This Row],[RATE CONCAT]],Tables!I:N,5,0)),0)</f>
        <v>0</v>
      </c>
      <c r="CM59" s="13">
        <f>Table410[[#This Row],[Jun_2026_F]]-Table410[[#This Row],[Jun_2026_A]]</f>
        <v>0</v>
      </c>
      <c r="CO59" s="13">
        <f>IFERROR(Table410[[#This Row],[Jul_2026_Days_Forecast]]*Table410[[#This Row],[Cost Boolean]]*(VLOOKUP(Table410[[#This Row],[RATE CONCAT]],Tables!I:N,5,0)),0)</f>
        <v>0</v>
      </c>
      <c r="CP59" s="13">
        <f>IFERROR(Table410[[#This Row],[Jul_2026_Days_Actual]]*Table410[[#This Row],[Cost Boolean]]*(VLOOKUP(Table410[[#This Row],[RATE CONCAT]],Tables!I:N,5,0)),0)</f>
        <v>0</v>
      </c>
      <c r="CQ59" s="13">
        <f>Table410[[#This Row],[Jul_2026_F]]-Table410[[#This Row],[Jul_2026_A]]</f>
        <v>0</v>
      </c>
      <c r="CS59" s="13">
        <f>IFERROR(Table410[[#This Row],[Aug_2026_Days_Forecast]]*Table410[[#This Row],[Cost Boolean]]*(VLOOKUP(Table410[[#This Row],[RATE CONCAT]],Tables!I:N,5,0)),0)</f>
        <v>0</v>
      </c>
      <c r="CT59" s="13">
        <f>IFERROR(Table410[[#This Row],[Aug_2026_Days_Actual]]*Table410[[#This Row],[Cost Boolean]]*(VLOOKUP(Table410[[#This Row],[RATE CONCAT]],Tables!I:N,5,0)),0)</f>
        <v>0</v>
      </c>
      <c r="CU59" s="13">
        <f>Table410[[#This Row],[Aug_2026_F]]-Table410[[#This Row],[Aug_2026_A]]</f>
        <v>0</v>
      </c>
      <c r="CW59" s="13">
        <f>IFERROR(Table410[[#This Row],[Sep_2026_Days_Forecast]]*Table410[[#This Row],[Cost Boolean]]*(VLOOKUP(Table410[[#This Row],[RATE CONCAT]],Tables!I:N,5,0)),0)</f>
        <v>0</v>
      </c>
      <c r="CX59" s="13">
        <f>IFERROR(Table410[[#This Row],[Sep_2026_Days_Actual]]*Table410[[#This Row],[Cost Boolean]]*(VLOOKUP(Table410[[#This Row],[RATE CONCAT]],Tables!I:N,5,0)),0)</f>
        <v>0</v>
      </c>
      <c r="CY59" s="13">
        <f>Table410[[#This Row],[Sep_2026_F]]-Table410[[#This Row],[Sep_2026_A]]</f>
        <v>0</v>
      </c>
      <c r="DA59" s="13">
        <f>IFERROR(Table410[[#This Row],[Oct_2026_Days_Forecast]]*Table410[[#This Row],[Cost Boolean]]*(VLOOKUP(Table410[[#This Row],[RATE CONCAT]],Tables!I:N,5,0)),0)</f>
        <v>0</v>
      </c>
      <c r="DB59" s="13">
        <f>IFERROR(Table410[[#This Row],[Oct_2026_Days_Actual]]*Table410[[#This Row],[Cost Boolean]]*(VLOOKUP(Table410[[#This Row],[RATE CONCAT]],Tables!I:N,5,0)),0)</f>
        <v>0</v>
      </c>
      <c r="DC59" s="13">
        <f>Table410[[#This Row],[Oct_2026_F]]-Table410[[#This Row],[Oct_2026_A]]</f>
        <v>0</v>
      </c>
      <c r="DE59" s="13">
        <f>IFERROR(Table410[[#This Row],[Nov_2026_Days_Forecast]]*Table410[[#This Row],[Cost Boolean]]*(VLOOKUP(Table410[[#This Row],[RATE CONCAT]],Tables!I:N,5,0)),0)</f>
        <v>0</v>
      </c>
      <c r="DF59" s="13">
        <f>IFERROR(Table410[[#This Row],[Nov_2026_Days_Actual]]*Table410[[#This Row],[Cost Boolean]]*(VLOOKUP(Table410[[#This Row],[RATE CONCAT]],Tables!I:N,5,0)),0)</f>
        <v>0</v>
      </c>
      <c r="DG59" s="13">
        <f>Table410[[#This Row],[Nov_2026_F]]-Table410[[#This Row],[Nov_2026_A]]</f>
        <v>0</v>
      </c>
      <c r="DI59" s="13">
        <f>IFERROR(Table410[[#This Row],[Dec_2026_Days_Forecast]]*Table410[[#This Row],[Cost Boolean]]*(VLOOKUP(Table410[[#This Row],[RATE CONCAT]],Tables!I:N,5,0)),0)</f>
        <v>0</v>
      </c>
      <c r="DJ59" s="13">
        <f>IFERROR(Table410[[#This Row],[Dec_2026_Days_Actual]]*Table410[[#This Row],[Cost Boolean]]*(VLOOKUP(Table410[[#This Row],[RATE CONCAT]],Tables!I:N,5,0)),0)</f>
        <v>0</v>
      </c>
      <c r="DK59" s="13">
        <f>Table410[[#This Row],[Dec_2026_F]]-Table410[[#This Row],[Dec_2026_A]]</f>
        <v>0</v>
      </c>
      <c r="DN59" s="13">
        <f>IFERROR(Table410[[#This Row],[Jan_2027_Days_Forecast]]*Table410[[#This Row],[Cost Boolean]]*(VLOOKUP(Table410[[#This Row],[RATE CONCAT]],Tables!I:N,6,0)),0)</f>
        <v>0</v>
      </c>
      <c r="DP59" s="13">
        <f>Table410[[#This Row],[Jan_2027_F]]-Table410[[#This Row],[Jan_2027_A]]</f>
        <v>0</v>
      </c>
      <c r="DQ59" s="13">
        <f>IFERROR(Table410[[#This Row],[Feb_2027_Days_Forecast]]*Table410[[#This Row],[Cost Boolean]]*(VLOOKUP(Table410[[#This Row],[RATE CONCAT]],Tables!I:N,6,0)),0)</f>
        <v>0</v>
      </c>
      <c r="DS59" s="13">
        <f>Table410[[#This Row],[Feb_2027_F]]-Table410[[#This Row],[Feb_2027_A]]</f>
        <v>0</v>
      </c>
      <c r="DT59" s="13">
        <f>IFERROR(Table410[[#This Row],[Mar_2027_Days_Forecast]]*Table410[[#This Row],[Cost Boolean]]*(VLOOKUP(Table410[[#This Row],[RATE CONCAT]],Tables!I:N,6,0)),0)</f>
        <v>0</v>
      </c>
      <c r="DV59" s="13">
        <f>Table410[[#This Row],[Mar_2027_F]]-Table410[[#This Row],[Mar_2027_A]]</f>
        <v>0</v>
      </c>
      <c r="DW59" s="13">
        <f>IFERROR(Table410[[#This Row],[Apr_2027_Days_Forecast]]*Table410[[#This Row],[Cost Boolean]]*(VLOOKUP(Table410[[#This Row],[RATE CONCAT]],Tables!I:N,6,0)),0)</f>
        <v>0</v>
      </c>
      <c r="DY59" s="13">
        <f>Table410[[#This Row],[Apr_2027_F]]-Table410[[#This Row],[Apr_2027_A]]</f>
        <v>0</v>
      </c>
      <c r="DZ59" s="13">
        <f>IFERROR(Table410[[#This Row],[May_2027_Days_Forecast]]*Table410[[#This Row],[Cost Boolean]]*(VLOOKUP(Table410[[#This Row],[RATE CONCAT]],Tables!I:N,6,0)),0)</f>
        <v>0</v>
      </c>
      <c r="EB59" s="13">
        <f>Table410[[#This Row],[May_2027_F]]-Table410[[#This Row],[May_2027_A]]</f>
        <v>0</v>
      </c>
      <c r="EC59" s="13">
        <f>IFERROR(Table410[[#This Row],[Jun_2027_Days_Forecast]]*Table410[[#This Row],[Cost Boolean]]*(VLOOKUP(Table410[[#This Row],[RATE CONCAT]],Tables!I:N,6,0)),0)</f>
        <v>0</v>
      </c>
      <c r="EE59" s="13">
        <f>Table410[[#This Row],[Jun_2027_F]]-Table410[[#This Row],[Jun_2027_A]]</f>
        <v>0</v>
      </c>
      <c r="EF59" s="13">
        <f>IFERROR(Table410[[#This Row],[Jul_2027_Days_Forecast]]*Table410[[#This Row],[Cost Boolean]]*(VLOOKUP(Table410[[#This Row],[RATE CONCAT]],Tables!I:N,6,0)),0)</f>
        <v>0</v>
      </c>
      <c r="EH59" s="13">
        <f>Table410[[#This Row],[Jul_2027_F]]-Table410[[#This Row],[Jul_2027_A]]</f>
        <v>0</v>
      </c>
      <c r="EI59" s="13">
        <f>IFERROR(Table410[[#This Row],[Aug_2027_Days_Forecast]]*Table410[[#This Row],[Cost Boolean]]*(VLOOKUP(Table410[[#This Row],[RATE CONCAT]],Tables!I:N,6,0)),0)</f>
        <v>0</v>
      </c>
      <c r="EK59" s="13">
        <f>Table410[[#This Row],[Aug_2027_F]]-Table410[[#This Row],[Aug_2027_A]]</f>
        <v>0</v>
      </c>
      <c r="EL59" s="13">
        <f>IFERROR(Table410[[#This Row],[Sep_2027_Days_Forecast]]*Table410[[#This Row],[Cost Boolean]]*(VLOOKUP(Table410[[#This Row],[RATE CONCAT]],Tables!I:N,6,0)),0)</f>
        <v>0</v>
      </c>
      <c r="EN59" s="13">
        <f>Table410[[#This Row],[Sep_2027_F]]-Table410[[#This Row],[Sep_2027_A]]</f>
        <v>0</v>
      </c>
      <c r="EO59" s="13">
        <f>IFERROR(Table410[[#This Row],[Oct_2027_Days_Forecast]]*Table410[[#This Row],[Cost Boolean]]*(VLOOKUP(Table410[[#This Row],[RATE CONCAT]],Tables!I:N,6,0)),0)</f>
        <v>0</v>
      </c>
      <c r="EQ59" s="13">
        <f>Table410[[#This Row],[Oct_2027_F]]-Table410[[#This Row],[Oct_2027_A]]</f>
        <v>0</v>
      </c>
      <c r="ER59" s="13">
        <f>IFERROR(Table410[[#This Row],[Nov_2027_Days_Forecast]]*Table410[[#This Row],[Cost Boolean]]*(VLOOKUP(Table410[[#This Row],[RATE CONCAT]],Tables!I:N,6,0)),0)</f>
        <v>0</v>
      </c>
      <c r="ET59" s="13">
        <f>Table410[[#This Row],[Nov_2027_F]]-Table410[[#This Row],[Nov_2027_A]]</f>
        <v>0</v>
      </c>
      <c r="EU59" s="13">
        <f>IFERROR(Table410[[#This Row],[Dec_2027_Days_Forecast]]*Table410[[#This Row],[Cost Boolean]]*(VLOOKUP(Table410[[#This Row],[RATE CONCAT]],Tables!I:N,6,0)),0)</f>
        <v>0</v>
      </c>
      <c r="EW59" s="13">
        <f>Table410[[#This Row],[Dec_2027_F]]-Table410[[#This Row],[Dec_2027_A]]</f>
        <v>0</v>
      </c>
    </row>
    <row r="60" spans="25:153" s="13" customFormat="1" ht="15" customHeight="1">
      <c r="Y60" s="13" t="str">
        <f>CONCATENATE(Table410[[#This Row],[JG]],Table410[[#This Row],[Country]],Table410[[#This Row],[Resource Provider]])</f>
        <v/>
      </c>
      <c r="Z60" s="13">
        <f>VLOOKUP(Table410[[#This Row],[RATE CONCAT]],Tables!I:N,5,0)</f>
        <v>0</v>
      </c>
      <c r="AA60" s="52"/>
      <c r="AB60" s="127"/>
      <c r="AC60" s="127"/>
      <c r="AD60" s="127"/>
      <c r="AE60" s="127"/>
      <c r="AF60" s="127"/>
      <c r="AG60" s="127"/>
      <c r="AH60" s="127"/>
      <c r="AI60" s="127"/>
      <c r="AJ60" s="127"/>
      <c r="AK60" s="127"/>
      <c r="AL60" s="127"/>
      <c r="AM60" s="127"/>
      <c r="AN60" s="176">
        <f>IFERROR(AVERAGE(Table410[[#This Row],[Jan_2026_Days_Forecast]:[Dec_2026_Days_Forecast]]),0)/19</f>
        <v>0</v>
      </c>
      <c r="AO60" s="176">
        <f>IFERROR(AVERAGE(Table410[[#This Row],[Jan_2026_Days_Actual]:[Dec_2026_Days_Actual]]),0)/19</f>
        <v>0</v>
      </c>
      <c r="BB60" s="176">
        <f>IFERROR(AVERAGE(Table410[[#This Row],[Jan_2027_Days_Forecast]:[Dec_2027_Days_Forecast]]),0)</f>
        <v>0</v>
      </c>
      <c r="BC60" s="127"/>
      <c r="BD60" s="127"/>
      <c r="BE60" s="127"/>
      <c r="BF60" s="127"/>
      <c r="BG60" s="127"/>
      <c r="BH60" s="127"/>
      <c r="BI60" s="127"/>
      <c r="BJ60" s="127"/>
      <c r="BK60" s="127"/>
      <c r="BL60" s="127"/>
      <c r="BM60" s="127"/>
      <c r="BN60" s="127"/>
      <c r="BO60" s="176"/>
      <c r="BP60" s="176"/>
      <c r="BQ60" s="13">
        <f>IFERROR(Table410[[#This Row],[Jan_2026_Days_Forecast]]*Table410[[#This Row],[Cost Boolean]]*(VLOOKUP(Table410[[#This Row],[RATE CONCAT]],Tables!I:N,5,0)),0)</f>
        <v>0</v>
      </c>
      <c r="BR60" s="13">
        <f>IFERROR(Table410[[#This Row],[Jan_2026_Days_Actual]]*Table410[[#This Row],[Cost Boolean]]*(VLOOKUP(Table410[[#This Row],[RATE CONCAT]],Tables!I:N,5,0)),0)</f>
        <v>0</v>
      </c>
      <c r="BS60" s="13">
        <f>Table410[[#This Row],[Jan_2026_F]]-Table410[[#This Row],[Jan_2026_A]]</f>
        <v>0</v>
      </c>
      <c r="BU60" s="13">
        <f>IFERROR(Table410[[#This Row],[Feb_2026_Days_Forecast]]*Table410[[#This Row],[Cost Boolean]]*(VLOOKUP(Table410[[#This Row],[RATE CONCAT]],Tables!I:N,5,0)),0)</f>
        <v>0</v>
      </c>
      <c r="BV60" s="13">
        <f>IFERROR(Table410[[#This Row],[Feb_2026_Days_Actual]]*Table410[[#This Row],[Cost Boolean]]*(VLOOKUP(Table410[[#This Row],[RATE CONCAT]],Tables!I:N,5,0)),0)</f>
        <v>0</v>
      </c>
      <c r="BW60" s="13">
        <f>Table410[[#This Row],[Feb_2026_F]]-Table410[[#This Row],[Feb_2026_A]]</f>
        <v>0</v>
      </c>
      <c r="BY60" s="13">
        <f>IFERROR(Table410[[#This Row],[Mar_2026_Days_Forecast]]*Table410[[#This Row],[Cost Boolean]]*(VLOOKUP(Table410[[#This Row],[RATE CONCAT]],Tables!I:N,5,0)),0)</f>
        <v>0</v>
      </c>
      <c r="BZ60" s="13">
        <f>IFERROR(Table410[[#This Row],[Mar_2026_Days_Actual]]*Table410[[#This Row],[Cost Boolean]]*(VLOOKUP(Table410[[#This Row],[RATE CONCAT]],Tables!I:N,5,0)),0)</f>
        <v>0</v>
      </c>
      <c r="CA60" s="13">
        <f>Table410[[#This Row],[Mar_2026_F]]-Table410[[#This Row],[Mar_2026_A]]</f>
        <v>0</v>
      </c>
      <c r="CC60" s="13">
        <f>IFERROR(Table410[[#This Row],[Apr_2026_Days_Forecast]]*Table410[[#This Row],[Cost Boolean]]*(VLOOKUP(Table410[[#This Row],[RATE CONCAT]],Tables!I:N,5,0)),0)</f>
        <v>0</v>
      </c>
      <c r="CD60" s="13">
        <f>IFERROR(Table410[[#This Row],[Apr_2026_Days_Actual]]*Table410[[#This Row],[Cost Boolean]]*(VLOOKUP(Table410[[#This Row],[RATE CONCAT]],Tables!I:N,5,0)),0)</f>
        <v>0</v>
      </c>
      <c r="CE60" s="13">
        <f>Table410[[#This Row],[Apr_2026_F]]-Table410[[#This Row],[Apr_2026_A]]</f>
        <v>0</v>
      </c>
      <c r="CG60" s="13">
        <f>IFERROR(Table410[[#This Row],[May_2026_Days_Forecast]] *Table410[[#This Row],[Cost Boolean]]*(VLOOKUP(Table410[[#This Row],[RATE CONCAT]],Tables!I:N,5,0)),0)</f>
        <v>0</v>
      </c>
      <c r="CH60" s="13">
        <f>IFERROR(Table410[[#This Row],[May_2026_Days_Actual]]*Table410[[#This Row],[Cost Boolean]]*(VLOOKUP(Table410[[#This Row],[RATE CONCAT]],Tables!I:N,5,0)),0)</f>
        <v>0</v>
      </c>
      <c r="CI60" s="13">
        <f>Table410[[#This Row],[May_2026_F]]-Table410[[#This Row],[May_2026_A]]</f>
        <v>0</v>
      </c>
      <c r="CK60" s="13">
        <f>IFERROR(Table410[[#This Row],[Jun_2026_Days_Forecast]]*Table410[[#This Row],[Cost Boolean]]*(VLOOKUP(Table410[[#This Row],[RATE CONCAT]],Tables!I:N,5,0)),0)</f>
        <v>0</v>
      </c>
      <c r="CL60" s="13">
        <f>IFERROR(Table410[[#This Row],[Jun_2026_Days_Actual]]*Table410[[#This Row],[Cost Boolean]]*(VLOOKUP(Table410[[#This Row],[RATE CONCAT]],Tables!I:N,5,0)),0)</f>
        <v>0</v>
      </c>
      <c r="CM60" s="13">
        <f>Table410[[#This Row],[Jun_2026_F]]-Table410[[#This Row],[Jun_2026_A]]</f>
        <v>0</v>
      </c>
      <c r="CO60" s="13">
        <f>IFERROR(Table410[[#This Row],[Jul_2026_Days_Forecast]]*Table410[[#This Row],[Cost Boolean]]*(VLOOKUP(Table410[[#This Row],[RATE CONCAT]],Tables!I:N,5,0)),0)</f>
        <v>0</v>
      </c>
      <c r="CP60" s="13">
        <f>IFERROR(Table410[[#This Row],[Jul_2026_Days_Actual]]*Table410[[#This Row],[Cost Boolean]]*(VLOOKUP(Table410[[#This Row],[RATE CONCAT]],Tables!I:N,5,0)),0)</f>
        <v>0</v>
      </c>
      <c r="CQ60" s="13">
        <f>Table410[[#This Row],[Jul_2026_F]]-Table410[[#This Row],[Jul_2026_A]]</f>
        <v>0</v>
      </c>
      <c r="CS60" s="13">
        <f>IFERROR(Table410[[#This Row],[Aug_2026_Days_Forecast]]*Table410[[#This Row],[Cost Boolean]]*(VLOOKUP(Table410[[#This Row],[RATE CONCAT]],Tables!I:N,5,0)),0)</f>
        <v>0</v>
      </c>
      <c r="CT60" s="13">
        <f>IFERROR(Table410[[#This Row],[Aug_2026_Days_Actual]]*Table410[[#This Row],[Cost Boolean]]*(VLOOKUP(Table410[[#This Row],[RATE CONCAT]],Tables!I:N,5,0)),0)</f>
        <v>0</v>
      </c>
      <c r="CU60" s="13">
        <f>Table410[[#This Row],[Aug_2026_F]]-Table410[[#This Row],[Aug_2026_A]]</f>
        <v>0</v>
      </c>
      <c r="CW60" s="13">
        <f>IFERROR(Table410[[#This Row],[Sep_2026_Days_Forecast]]*Table410[[#This Row],[Cost Boolean]]*(VLOOKUP(Table410[[#This Row],[RATE CONCAT]],Tables!I:N,5,0)),0)</f>
        <v>0</v>
      </c>
      <c r="CX60" s="13">
        <f>IFERROR(Table410[[#This Row],[Sep_2026_Days_Actual]]*Table410[[#This Row],[Cost Boolean]]*(VLOOKUP(Table410[[#This Row],[RATE CONCAT]],Tables!I:N,5,0)),0)</f>
        <v>0</v>
      </c>
      <c r="CY60" s="13">
        <f>Table410[[#This Row],[Sep_2026_F]]-Table410[[#This Row],[Sep_2026_A]]</f>
        <v>0</v>
      </c>
      <c r="DA60" s="13">
        <f>IFERROR(Table410[[#This Row],[Oct_2026_Days_Forecast]]*Table410[[#This Row],[Cost Boolean]]*(VLOOKUP(Table410[[#This Row],[RATE CONCAT]],Tables!I:N,5,0)),0)</f>
        <v>0</v>
      </c>
      <c r="DB60" s="13">
        <f>IFERROR(Table410[[#This Row],[Oct_2026_Days_Actual]]*Table410[[#This Row],[Cost Boolean]]*(VLOOKUP(Table410[[#This Row],[RATE CONCAT]],Tables!I:N,5,0)),0)</f>
        <v>0</v>
      </c>
      <c r="DC60" s="13">
        <f>Table410[[#This Row],[Oct_2026_F]]-Table410[[#This Row],[Oct_2026_A]]</f>
        <v>0</v>
      </c>
      <c r="DE60" s="13">
        <f>IFERROR(Table410[[#This Row],[Nov_2026_Days_Forecast]]*Table410[[#This Row],[Cost Boolean]]*(VLOOKUP(Table410[[#This Row],[RATE CONCAT]],Tables!I:N,5,0)),0)</f>
        <v>0</v>
      </c>
      <c r="DF60" s="13">
        <f>IFERROR(Table410[[#This Row],[Nov_2026_Days_Actual]]*Table410[[#This Row],[Cost Boolean]]*(VLOOKUP(Table410[[#This Row],[RATE CONCAT]],Tables!I:N,5,0)),0)</f>
        <v>0</v>
      </c>
      <c r="DG60" s="13">
        <f>Table410[[#This Row],[Nov_2026_F]]-Table410[[#This Row],[Nov_2026_A]]</f>
        <v>0</v>
      </c>
      <c r="DI60" s="13">
        <f>IFERROR(Table410[[#This Row],[Dec_2026_Days_Forecast]]*Table410[[#This Row],[Cost Boolean]]*(VLOOKUP(Table410[[#This Row],[RATE CONCAT]],Tables!I:N,5,0)),0)</f>
        <v>0</v>
      </c>
      <c r="DJ60" s="13">
        <f>IFERROR(Table410[[#This Row],[Dec_2026_Days_Actual]]*Table410[[#This Row],[Cost Boolean]]*(VLOOKUP(Table410[[#This Row],[RATE CONCAT]],Tables!I:N,5,0)),0)</f>
        <v>0</v>
      </c>
      <c r="DK60" s="13">
        <f>Table410[[#This Row],[Dec_2026_F]]-Table410[[#This Row],[Dec_2026_A]]</f>
        <v>0</v>
      </c>
      <c r="DN60" s="13">
        <f>IFERROR(Table410[[#This Row],[Jan_2027_Days_Forecast]]*Table410[[#This Row],[Cost Boolean]]*(VLOOKUP(Table410[[#This Row],[RATE CONCAT]],Tables!I:N,6,0)),0)</f>
        <v>0</v>
      </c>
      <c r="DP60" s="13">
        <f>Table410[[#This Row],[Jan_2027_F]]-Table410[[#This Row],[Jan_2027_A]]</f>
        <v>0</v>
      </c>
      <c r="DQ60" s="13">
        <f>IFERROR(Table410[[#This Row],[Feb_2027_Days_Forecast]]*Table410[[#This Row],[Cost Boolean]]*(VLOOKUP(Table410[[#This Row],[RATE CONCAT]],Tables!I:N,6,0)),0)</f>
        <v>0</v>
      </c>
      <c r="DS60" s="13">
        <f>Table410[[#This Row],[Feb_2027_F]]-Table410[[#This Row],[Feb_2027_A]]</f>
        <v>0</v>
      </c>
      <c r="DT60" s="13">
        <f>IFERROR(Table410[[#This Row],[Mar_2027_Days_Forecast]]*Table410[[#This Row],[Cost Boolean]]*(VLOOKUP(Table410[[#This Row],[RATE CONCAT]],Tables!I:N,6,0)),0)</f>
        <v>0</v>
      </c>
      <c r="DV60" s="13">
        <f>Table410[[#This Row],[Mar_2027_F]]-Table410[[#This Row],[Mar_2027_A]]</f>
        <v>0</v>
      </c>
      <c r="DW60" s="13">
        <f>IFERROR(Table410[[#This Row],[Apr_2027_Days_Forecast]]*Table410[[#This Row],[Cost Boolean]]*(VLOOKUP(Table410[[#This Row],[RATE CONCAT]],Tables!I:N,6,0)),0)</f>
        <v>0</v>
      </c>
      <c r="DY60" s="13">
        <f>Table410[[#This Row],[Apr_2027_F]]-Table410[[#This Row],[Apr_2027_A]]</f>
        <v>0</v>
      </c>
      <c r="DZ60" s="13">
        <f>IFERROR(Table410[[#This Row],[May_2027_Days_Forecast]]*Table410[[#This Row],[Cost Boolean]]*(VLOOKUP(Table410[[#This Row],[RATE CONCAT]],Tables!I:N,6,0)),0)</f>
        <v>0</v>
      </c>
      <c r="EB60" s="13">
        <f>Table410[[#This Row],[May_2027_F]]-Table410[[#This Row],[May_2027_A]]</f>
        <v>0</v>
      </c>
      <c r="EC60" s="13">
        <f>IFERROR(Table410[[#This Row],[Jun_2027_Days_Forecast]]*Table410[[#This Row],[Cost Boolean]]*(VLOOKUP(Table410[[#This Row],[RATE CONCAT]],Tables!I:N,6,0)),0)</f>
        <v>0</v>
      </c>
      <c r="EE60" s="13">
        <f>Table410[[#This Row],[Jun_2027_F]]-Table410[[#This Row],[Jun_2027_A]]</f>
        <v>0</v>
      </c>
      <c r="EF60" s="13">
        <f>IFERROR(Table410[[#This Row],[Jul_2027_Days_Forecast]]*Table410[[#This Row],[Cost Boolean]]*(VLOOKUP(Table410[[#This Row],[RATE CONCAT]],Tables!I:N,6,0)),0)</f>
        <v>0</v>
      </c>
      <c r="EH60" s="13">
        <f>Table410[[#This Row],[Jul_2027_F]]-Table410[[#This Row],[Jul_2027_A]]</f>
        <v>0</v>
      </c>
      <c r="EI60" s="13">
        <f>IFERROR(Table410[[#This Row],[Aug_2027_Days_Forecast]]*Table410[[#This Row],[Cost Boolean]]*(VLOOKUP(Table410[[#This Row],[RATE CONCAT]],Tables!I:N,6,0)),0)</f>
        <v>0</v>
      </c>
      <c r="EK60" s="13">
        <f>Table410[[#This Row],[Aug_2027_F]]-Table410[[#This Row],[Aug_2027_A]]</f>
        <v>0</v>
      </c>
      <c r="EL60" s="13">
        <f>IFERROR(Table410[[#This Row],[Sep_2027_Days_Forecast]]*Table410[[#This Row],[Cost Boolean]]*(VLOOKUP(Table410[[#This Row],[RATE CONCAT]],Tables!I:N,6,0)),0)</f>
        <v>0</v>
      </c>
      <c r="EN60" s="13">
        <f>Table410[[#This Row],[Sep_2027_F]]-Table410[[#This Row],[Sep_2027_A]]</f>
        <v>0</v>
      </c>
      <c r="EO60" s="13">
        <f>IFERROR(Table410[[#This Row],[Oct_2027_Days_Forecast]]*Table410[[#This Row],[Cost Boolean]]*(VLOOKUP(Table410[[#This Row],[RATE CONCAT]],Tables!I:N,6,0)),0)</f>
        <v>0</v>
      </c>
      <c r="EQ60" s="13">
        <f>Table410[[#This Row],[Oct_2027_F]]-Table410[[#This Row],[Oct_2027_A]]</f>
        <v>0</v>
      </c>
      <c r="ER60" s="13">
        <f>IFERROR(Table410[[#This Row],[Nov_2027_Days_Forecast]]*Table410[[#This Row],[Cost Boolean]]*(VLOOKUP(Table410[[#This Row],[RATE CONCAT]],Tables!I:N,6,0)),0)</f>
        <v>0</v>
      </c>
      <c r="ET60" s="13">
        <f>Table410[[#This Row],[Nov_2027_F]]-Table410[[#This Row],[Nov_2027_A]]</f>
        <v>0</v>
      </c>
      <c r="EU60" s="13">
        <f>IFERROR(Table410[[#This Row],[Dec_2027_Days_Forecast]]*Table410[[#This Row],[Cost Boolean]]*(VLOOKUP(Table410[[#This Row],[RATE CONCAT]],Tables!I:N,6,0)),0)</f>
        <v>0</v>
      </c>
      <c r="EW60" s="13">
        <f>Table410[[#This Row],[Dec_2027_F]]-Table410[[#This Row],[Dec_2027_A]]</f>
        <v>0</v>
      </c>
    </row>
    <row r="61" spans="25:153" s="13" customFormat="1" ht="15" customHeight="1">
      <c r="Y61" s="13" t="str">
        <f>CONCATENATE(Table410[[#This Row],[JG]],Table410[[#This Row],[Country]],Table410[[#This Row],[Resource Provider]])</f>
        <v/>
      </c>
      <c r="Z61" s="13">
        <f>VLOOKUP(Table410[[#This Row],[RATE CONCAT]],Tables!I:N,5,0)</f>
        <v>0</v>
      </c>
      <c r="AA61" s="52"/>
      <c r="AB61" s="127"/>
      <c r="AC61" s="127"/>
      <c r="AD61" s="127"/>
      <c r="AE61" s="127"/>
      <c r="AF61" s="127"/>
      <c r="AG61" s="127"/>
      <c r="AH61" s="127"/>
      <c r="AI61" s="127"/>
      <c r="AJ61" s="127"/>
      <c r="AK61" s="127"/>
      <c r="AL61" s="127"/>
      <c r="AM61" s="127"/>
      <c r="AN61" s="176">
        <f>IFERROR(AVERAGE(Table410[[#This Row],[Jan_2026_Days_Forecast]:[Dec_2026_Days_Forecast]]),0)/19</f>
        <v>0</v>
      </c>
      <c r="AO61" s="176">
        <f>IFERROR(AVERAGE(Table410[[#This Row],[Jan_2026_Days_Actual]:[Dec_2026_Days_Actual]]),0)/19</f>
        <v>0</v>
      </c>
      <c r="BB61" s="176">
        <f>IFERROR(AVERAGE(Table410[[#This Row],[Jan_2027_Days_Forecast]:[Dec_2027_Days_Forecast]]),0)</f>
        <v>0</v>
      </c>
      <c r="BC61" s="129"/>
      <c r="BD61" s="129"/>
      <c r="BE61" s="129"/>
      <c r="BF61" s="129"/>
      <c r="BG61" s="129"/>
      <c r="BH61" s="129"/>
      <c r="BI61" s="129"/>
      <c r="BJ61" s="129"/>
      <c r="BK61" s="129"/>
      <c r="BL61" s="129"/>
      <c r="BM61" s="129"/>
      <c r="BN61" s="129"/>
      <c r="BO61" s="176"/>
      <c r="BP61" s="176"/>
      <c r="BQ61" s="13">
        <f>IFERROR(Table410[[#This Row],[Jan_2026_Days_Forecast]]*Table410[[#This Row],[Cost Boolean]]*(VLOOKUP(Table410[[#This Row],[RATE CONCAT]],Tables!I:N,5,0)),0)</f>
        <v>0</v>
      </c>
      <c r="BR61" s="13">
        <f>IFERROR(Table410[[#This Row],[Jan_2026_Days_Actual]]*Table410[[#This Row],[Cost Boolean]]*(VLOOKUP(Table410[[#This Row],[RATE CONCAT]],Tables!I:N,5,0)),0)</f>
        <v>0</v>
      </c>
      <c r="BS61" s="13">
        <f>Table410[[#This Row],[Jan_2026_F]]-Table410[[#This Row],[Jan_2026_A]]</f>
        <v>0</v>
      </c>
      <c r="BU61" s="13">
        <f>IFERROR(Table410[[#This Row],[Feb_2026_Days_Forecast]]*Table410[[#This Row],[Cost Boolean]]*(VLOOKUP(Table410[[#This Row],[RATE CONCAT]],Tables!I:N,5,0)),0)</f>
        <v>0</v>
      </c>
      <c r="BV61" s="13">
        <f>IFERROR(Table410[[#This Row],[Feb_2026_Days_Actual]]*Table410[[#This Row],[Cost Boolean]]*(VLOOKUP(Table410[[#This Row],[RATE CONCAT]],Tables!I:N,5,0)),0)</f>
        <v>0</v>
      </c>
      <c r="BW61" s="13">
        <f>Table410[[#This Row],[Feb_2026_F]]-Table410[[#This Row],[Feb_2026_A]]</f>
        <v>0</v>
      </c>
      <c r="BY61" s="13">
        <f>IFERROR(Table410[[#This Row],[Mar_2026_Days_Forecast]]*Table410[[#This Row],[Cost Boolean]]*(VLOOKUP(Table410[[#This Row],[RATE CONCAT]],Tables!I:N,5,0)),0)</f>
        <v>0</v>
      </c>
      <c r="BZ61" s="13">
        <f>IFERROR(Table410[[#This Row],[Mar_2026_Days_Actual]]*Table410[[#This Row],[Cost Boolean]]*(VLOOKUP(Table410[[#This Row],[RATE CONCAT]],Tables!I:N,5,0)),0)</f>
        <v>0</v>
      </c>
      <c r="CA61" s="13">
        <f>Table410[[#This Row],[Mar_2026_F]]-Table410[[#This Row],[Mar_2026_A]]</f>
        <v>0</v>
      </c>
      <c r="CC61" s="13">
        <f>IFERROR(Table410[[#This Row],[Apr_2026_Days_Forecast]]*Table410[[#This Row],[Cost Boolean]]*(VLOOKUP(Table410[[#This Row],[RATE CONCAT]],Tables!I:N,5,0)),0)</f>
        <v>0</v>
      </c>
      <c r="CD61" s="13">
        <f>IFERROR(Table410[[#This Row],[Apr_2026_Days_Actual]]*Table410[[#This Row],[Cost Boolean]]*(VLOOKUP(Table410[[#This Row],[RATE CONCAT]],Tables!I:N,5,0)),0)</f>
        <v>0</v>
      </c>
      <c r="CE61" s="13">
        <f>Table410[[#This Row],[Apr_2026_F]]-Table410[[#This Row],[Apr_2026_A]]</f>
        <v>0</v>
      </c>
      <c r="CG61" s="13">
        <f>IFERROR(Table410[[#This Row],[May_2026_Days_Forecast]] *Table410[[#This Row],[Cost Boolean]]*(VLOOKUP(Table410[[#This Row],[RATE CONCAT]],Tables!I:N,5,0)),0)</f>
        <v>0</v>
      </c>
      <c r="CH61" s="13">
        <f>IFERROR(Table410[[#This Row],[May_2026_Days_Actual]]*Table410[[#This Row],[Cost Boolean]]*(VLOOKUP(Table410[[#This Row],[RATE CONCAT]],Tables!I:N,5,0)),0)</f>
        <v>0</v>
      </c>
      <c r="CI61" s="13">
        <f>Table410[[#This Row],[May_2026_F]]-Table410[[#This Row],[May_2026_A]]</f>
        <v>0</v>
      </c>
      <c r="CK61" s="13">
        <f>IFERROR(Table410[[#This Row],[Jun_2026_Days_Forecast]]*Table410[[#This Row],[Cost Boolean]]*(VLOOKUP(Table410[[#This Row],[RATE CONCAT]],Tables!I:N,5,0)),0)</f>
        <v>0</v>
      </c>
      <c r="CL61" s="13">
        <f>IFERROR(Table410[[#This Row],[Jun_2026_Days_Actual]]*Table410[[#This Row],[Cost Boolean]]*(VLOOKUP(Table410[[#This Row],[RATE CONCAT]],Tables!I:N,5,0)),0)</f>
        <v>0</v>
      </c>
      <c r="CM61" s="13">
        <f>Table410[[#This Row],[Jun_2026_F]]-Table410[[#This Row],[Jun_2026_A]]</f>
        <v>0</v>
      </c>
      <c r="CO61" s="13">
        <f>IFERROR(Table410[[#This Row],[Jul_2026_Days_Forecast]]*Table410[[#This Row],[Cost Boolean]]*(VLOOKUP(Table410[[#This Row],[RATE CONCAT]],Tables!I:N,5,0)),0)</f>
        <v>0</v>
      </c>
      <c r="CP61" s="13">
        <f>IFERROR(Table410[[#This Row],[Jul_2026_Days_Actual]]*Table410[[#This Row],[Cost Boolean]]*(VLOOKUP(Table410[[#This Row],[RATE CONCAT]],Tables!I:N,5,0)),0)</f>
        <v>0</v>
      </c>
      <c r="CQ61" s="13">
        <f>Table410[[#This Row],[Jul_2026_F]]-Table410[[#This Row],[Jul_2026_A]]</f>
        <v>0</v>
      </c>
      <c r="CS61" s="13">
        <f>IFERROR(Table410[[#This Row],[Aug_2026_Days_Forecast]]*Table410[[#This Row],[Cost Boolean]]*(VLOOKUP(Table410[[#This Row],[RATE CONCAT]],Tables!I:N,5,0)),0)</f>
        <v>0</v>
      </c>
      <c r="CT61" s="13">
        <f>IFERROR(Table410[[#This Row],[Aug_2026_Days_Actual]]*Table410[[#This Row],[Cost Boolean]]*(VLOOKUP(Table410[[#This Row],[RATE CONCAT]],Tables!I:N,5,0)),0)</f>
        <v>0</v>
      </c>
      <c r="CU61" s="13">
        <f>Table410[[#This Row],[Aug_2026_F]]-Table410[[#This Row],[Aug_2026_A]]</f>
        <v>0</v>
      </c>
      <c r="CW61" s="13">
        <f>IFERROR(Table410[[#This Row],[Sep_2026_Days_Forecast]]*Table410[[#This Row],[Cost Boolean]]*(VLOOKUP(Table410[[#This Row],[RATE CONCAT]],Tables!I:N,5,0)),0)</f>
        <v>0</v>
      </c>
      <c r="CX61" s="13">
        <f>IFERROR(Table410[[#This Row],[Sep_2026_Days_Actual]]*Table410[[#This Row],[Cost Boolean]]*(VLOOKUP(Table410[[#This Row],[RATE CONCAT]],Tables!I:N,5,0)),0)</f>
        <v>0</v>
      </c>
      <c r="CY61" s="13">
        <f>Table410[[#This Row],[Sep_2026_F]]-Table410[[#This Row],[Sep_2026_A]]</f>
        <v>0</v>
      </c>
      <c r="DA61" s="13">
        <f>IFERROR(Table410[[#This Row],[Oct_2026_Days_Forecast]]*Table410[[#This Row],[Cost Boolean]]*(VLOOKUP(Table410[[#This Row],[RATE CONCAT]],Tables!I:N,5,0)),0)</f>
        <v>0</v>
      </c>
      <c r="DB61" s="13">
        <f>IFERROR(Table410[[#This Row],[Oct_2026_Days_Actual]]*Table410[[#This Row],[Cost Boolean]]*(VLOOKUP(Table410[[#This Row],[RATE CONCAT]],Tables!I:N,5,0)),0)</f>
        <v>0</v>
      </c>
      <c r="DC61" s="13">
        <f>Table410[[#This Row],[Oct_2026_F]]-Table410[[#This Row],[Oct_2026_A]]</f>
        <v>0</v>
      </c>
      <c r="DE61" s="13">
        <f>IFERROR(Table410[[#This Row],[Nov_2026_Days_Forecast]]*Table410[[#This Row],[Cost Boolean]]*(VLOOKUP(Table410[[#This Row],[RATE CONCAT]],Tables!I:N,5,0)),0)</f>
        <v>0</v>
      </c>
      <c r="DF61" s="13">
        <f>IFERROR(Table410[[#This Row],[Nov_2026_Days_Actual]]*Table410[[#This Row],[Cost Boolean]]*(VLOOKUP(Table410[[#This Row],[RATE CONCAT]],Tables!I:N,5,0)),0)</f>
        <v>0</v>
      </c>
      <c r="DG61" s="13">
        <f>Table410[[#This Row],[Nov_2026_F]]-Table410[[#This Row],[Nov_2026_A]]</f>
        <v>0</v>
      </c>
      <c r="DI61" s="13">
        <f>IFERROR(Table410[[#This Row],[Dec_2026_Days_Forecast]]*Table410[[#This Row],[Cost Boolean]]*(VLOOKUP(Table410[[#This Row],[RATE CONCAT]],Tables!I:N,5,0)),0)</f>
        <v>0</v>
      </c>
      <c r="DJ61" s="13">
        <f>IFERROR(Table410[[#This Row],[Dec_2026_Days_Actual]]*Table410[[#This Row],[Cost Boolean]]*(VLOOKUP(Table410[[#This Row],[RATE CONCAT]],Tables!I:N,5,0)),0)</f>
        <v>0</v>
      </c>
      <c r="DK61" s="13">
        <f>Table410[[#This Row],[Dec_2026_F]]-Table410[[#This Row],[Dec_2026_A]]</f>
        <v>0</v>
      </c>
      <c r="DN61" s="13">
        <f>IFERROR(Table410[[#This Row],[Jan_2027_Days_Forecast]]*Table410[[#This Row],[Cost Boolean]]*(VLOOKUP(Table410[[#This Row],[RATE CONCAT]],Tables!I:N,6,0)),0)</f>
        <v>0</v>
      </c>
      <c r="DP61" s="13">
        <f>Table410[[#This Row],[Jan_2027_F]]-Table410[[#This Row],[Jan_2027_A]]</f>
        <v>0</v>
      </c>
      <c r="DQ61" s="13">
        <f>IFERROR(Table410[[#This Row],[Feb_2027_Days_Forecast]]*Table410[[#This Row],[Cost Boolean]]*(VLOOKUP(Table410[[#This Row],[RATE CONCAT]],Tables!I:N,6,0)),0)</f>
        <v>0</v>
      </c>
      <c r="DS61" s="13">
        <f>Table410[[#This Row],[Feb_2027_F]]-Table410[[#This Row],[Feb_2027_A]]</f>
        <v>0</v>
      </c>
      <c r="DT61" s="13">
        <f>IFERROR(Table410[[#This Row],[Mar_2027_Days_Forecast]]*Table410[[#This Row],[Cost Boolean]]*(VLOOKUP(Table410[[#This Row],[RATE CONCAT]],Tables!I:N,6,0)),0)</f>
        <v>0</v>
      </c>
      <c r="DV61" s="13">
        <f>Table410[[#This Row],[Mar_2027_F]]-Table410[[#This Row],[Mar_2027_A]]</f>
        <v>0</v>
      </c>
      <c r="DW61" s="13">
        <f>IFERROR(Table410[[#This Row],[Apr_2027_Days_Forecast]]*Table410[[#This Row],[Cost Boolean]]*(VLOOKUP(Table410[[#This Row],[RATE CONCAT]],Tables!I:N,6,0)),0)</f>
        <v>0</v>
      </c>
      <c r="DY61" s="13">
        <f>Table410[[#This Row],[Apr_2027_F]]-Table410[[#This Row],[Apr_2027_A]]</f>
        <v>0</v>
      </c>
      <c r="DZ61" s="13">
        <f>IFERROR(Table410[[#This Row],[May_2027_Days_Forecast]]*Table410[[#This Row],[Cost Boolean]]*(VLOOKUP(Table410[[#This Row],[RATE CONCAT]],Tables!I:N,6,0)),0)</f>
        <v>0</v>
      </c>
      <c r="EB61" s="13">
        <f>Table410[[#This Row],[May_2027_F]]-Table410[[#This Row],[May_2027_A]]</f>
        <v>0</v>
      </c>
      <c r="EC61" s="13">
        <f>IFERROR(Table410[[#This Row],[Jun_2027_Days_Forecast]]*Table410[[#This Row],[Cost Boolean]]*(VLOOKUP(Table410[[#This Row],[RATE CONCAT]],Tables!I:N,6,0)),0)</f>
        <v>0</v>
      </c>
      <c r="EE61" s="13">
        <f>Table410[[#This Row],[Jun_2027_F]]-Table410[[#This Row],[Jun_2027_A]]</f>
        <v>0</v>
      </c>
      <c r="EF61" s="13">
        <f>IFERROR(Table410[[#This Row],[Jul_2027_Days_Forecast]]*Table410[[#This Row],[Cost Boolean]]*(VLOOKUP(Table410[[#This Row],[RATE CONCAT]],Tables!I:N,6,0)),0)</f>
        <v>0</v>
      </c>
      <c r="EH61" s="13">
        <f>Table410[[#This Row],[Jul_2027_F]]-Table410[[#This Row],[Jul_2027_A]]</f>
        <v>0</v>
      </c>
      <c r="EI61" s="13">
        <f>IFERROR(Table410[[#This Row],[Aug_2027_Days_Forecast]]*Table410[[#This Row],[Cost Boolean]]*(VLOOKUP(Table410[[#This Row],[RATE CONCAT]],Tables!I:N,6,0)),0)</f>
        <v>0</v>
      </c>
      <c r="EK61" s="13">
        <f>Table410[[#This Row],[Aug_2027_F]]-Table410[[#This Row],[Aug_2027_A]]</f>
        <v>0</v>
      </c>
      <c r="EL61" s="13">
        <f>IFERROR(Table410[[#This Row],[Sep_2027_Days_Forecast]]*Table410[[#This Row],[Cost Boolean]]*(VLOOKUP(Table410[[#This Row],[RATE CONCAT]],Tables!I:N,6,0)),0)</f>
        <v>0</v>
      </c>
      <c r="EN61" s="13">
        <f>Table410[[#This Row],[Sep_2027_F]]-Table410[[#This Row],[Sep_2027_A]]</f>
        <v>0</v>
      </c>
      <c r="EO61" s="13">
        <f>IFERROR(Table410[[#This Row],[Oct_2027_Days_Forecast]]*Table410[[#This Row],[Cost Boolean]]*(VLOOKUP(Table410[[#This Row],[RATE CONCAT]],Tables!I:N,6,0)),0)</f>
        <v>0</v>
      </c>
      <c r="EQ61" s="13">
        <f>Table410[[#This Row],[Oct_2027_F]]-Table410[[#This Row],[Oct_2027_A]]</f>
        <v>0</v>
      </c>
      <c r="ER61" s="13">
        <f>IFERROR(Table410[[#This Row],[Nov_2027_Days_Forecast]]*Table410[[#This Row],[Cost Boolean]]*(VLOOKUP(Table410[[#This Row],[RATE CONCAT]],Tables!I:N,6,0)),0)</f>
        <v>0</v>
      </c>
      <c r="ET61" s="13">
        <f>Table410[[#This Row],[Nov_2027_F]]-Table410[[#This Row],[Nov_2027_A]]</f>
        <v>0</v>
      </c>
      <c r="EU61" s="13">
        <f>IFERROR(Table410[[#This Row],[Dec_2027_Days_Forecast]]*Table410[[#This Row],[Cost Boolean]]*(VLOOKUP(Table410[[#This Row],[RATE CONCAT]],Tables!I:N,6,0)),0)</f>
        <v>0</v>
      </c>
      <c r="EW61" s="13">
        <f>Table410[[#This Row],[Dec_2027_F]]-Table410[[#This Row],[Dec_2027_A]]</f>
        <v>0</v>
      </c>
    </row>
    <row r="62" spans="25:153" s="13" customFormat="1" ht="15" customHeight="1">
      <c r="Y62" s="13" t="str">
        <f>CONCATENATE(Table410[[#This Row],[JG]],Table410[[#This Row],[Country]],Table410[[#This Row],[Resource Provider]])</f>
        <v/>
      </c>
      <c r="Z62" s="13">
        <f>VLOOKUP(Table410[[#This Row],[RATE CONCAT]],Tables!I:N,5,0)</f>
        <v>0</v>
      </c>
      <c r="AA62" s="52"/>
      <c r="AB62" s="127"/>
      <c r="AC62" s="127"/>
      <c r="AD62" s="127"/>
      <c r="AE62" s="127"/>
      <c r="AF62" s="127"/>
      <c r="AG62" s="127"/>
      <c r="AH62" s="127"/>
      <c r="AI62" s="127"/>
      <c r="AJ62" s="127"/>
      <c r="AK62" s="127"/>
      <c r="AL62" s="127"/>
      <c r="AM62" s="127"/>
      <c r="AN62" s="176">
        <f>IFERROR(AVERAGE(Table410[[#This Row],[Jan_2026_Days_Forecast]:[Dec_2026_Days_Forecast]]),0)/19</f>
        <v>0</v>
      </c>
      <c r="AO62" s="176">
        <f>IFERROR(AVERAGE(Table410[[#This Row],[Jan_2026_Days_Actual]:[Dec_2026_Days_Actual]]),0)/19</f>
        <v>0</v>
      </c>
      <c r="BB62" s="176">
        <f>IFERROR(AVERAGE(Table410[[#This Row],[Jan_2027_Days_Forecast]:[Dec_2027_Days_Forecast]]),0)</f>
        <v>0</v>
      </c>
      <c r="BC62" s="127"/>
      <c r="BD62" s="127"/>
      <c r="BE62" s="127"/>
      <c r="BF62" s="127"/>
      <c r="BG62" s="127"/>
      <c r="BH62" s="127"/>
      <c r="BI62" s="127"/>
      <c r="BJ62" s="127"/>
      <c r="BK62" s="127"/>
      <c r="BL62" s="127"/>
      <c r="BM62" s="127"/>
      <c r="BN62" s="127"/>
      <c r="BO62" s="176"/>
      <c r="BP62" s="176"/>
      <c r="BQ62" s="13">
        <f>IFERROR(Table410[[#This Row],[Jan_2026_Days_Forecast]]*Table410[[#This Row],[Cost Boolean]]*(VLOOKUP(Table410[[#This Row],[RATE CONCAT]],Tables!I:N,5,0)),0)</f>
        <v>0</v>
      </c>
      <c r="BR62" s="13">
        <f>IFERROR(Table410[[#This Row],[Jan_2026_Days_Actual]]*Table410[[#This Row],[Cost Boolean]]*(VLOOKUP(Table410[[#This Row],[RATE CONCAT]],Tables!I:N,5,0)),0)</f>
        <v>0</v>
      </c>
      <c r="BS62" s="13">
        <f>Table410[[#This Row],[Jan_2026_F]]-Table410[[#This Row],[Jan_2026_A]]</f>
        <v>0</v>
      </c>
      <c r="BU62" s="13">
        <f>IFERROR(Table410[[#This Row],[Feb_2026_Days_Forecast]]*Table410[[#This Row],[Cost Boolean]]*(VLOOKUP(Table410[[#This Row],[RATE CONCAT]],Tables!I:N,5,0)),0)</f>
        <v>0</v>
      </c>
      <c r="BV62" s="13">
        <f>IFERROR(Table410[[#This Row],[Feb_2026_Days_Actual]]*Table410[[#This Row],[Cost Boolean]]*(VLOOKUP(Table410[[#This Row],[RATE CONCAT]],Tables!I:N,5,0)),0)</f>
        <v>0</v>
      </c>
      <c r="BW62" s="13">
        <f>Table410[[#This Row],[Feb_2026_F]]-Table410[[#This Row],[Feb_2026_A]]</f>
        <v>0</v>
      </c>
      <c r="BY62" s="13">
        <f>IFERROR(Table410[[#This Row],[Mar_2026_Days_Forecast]]*Table410[[#This Row],[Cost Boolean]]*(VLOOKUP(Table410[[#This Row],[RATE CONCAT]],Tables!I:N,5,0)),0)</f>
        <v>0</v>
      </c>
      <c r="BZ62" s="13">
        <f>IFERROR(Table410[[#This Row],[Mar_2026_Days_Actual]]*Table410[[#This Row],[Cost Boolean]]*(VLOOKUP(Table410[[#This Row],[RATE CONCAT]],Tables!I:N,5,0)),0)</f>
        <v>0</v>
      </c>
      <c r="CA62" s="13">
        <f>Table410[[#This Row],[Mar_2026_F]]-Table410[[#This Row],[Mar_2026_A]]</f>
        <v>0</v>
      </c>
      <c r="CC62" s="13">
        <f>IFERROR(Table410[[#This Row],[Apr_2026_Days_Forecast]]*Table410[[#This Row],[Cost Boolean]]*(VLOOKUP(Table410[[#This Row],[RATE CONCAT]],Tables!I:N,5,0)),0)</f>
        <v>0</v>
      </c>
      <c r="CD62" s="13">
        <f>IFERROR(Table410[[#This Row],[Apr_2026_Days_Actual]]*Table410[[#This Row],[Cost Boolean]]*(VLOOKUP(Table410[[#This Row],[RATE CONCAT]],Tables!I:N,5,0)),0)</f>
        <v>0</v>
      </c>
      <c r="CE62" s="13">
        <f>Table410[[#This Row],[Apr_2026_F]]-Table410[[#This Row],[Apr_2026_A]]</f>
        <v>0</v>
      </c>
      <c r="CG62" s="13">
        <f>IFERROR(Table410[[#This Row],[May_2026_Days_Forecast]] *Table410[[#This Row],[Cost Boolean]]*(VLOOKUP(Table410[[#This Row],[RATE CONCAT]],Tables!I:N,5,0)),0)</f>
        <v>0</v>
      </c>
      <c r="CH62" s="13">
        <f>IFERROR(Table410[[#This Row],[May_2026_Days_Actual]]*Table410[[#This Row],[Cost Boolean]]*(VLOOKUP(Table410[[#This Row],[RATE CONCAT]],Tables!I:N,5,0)),0)</f>
        <v>0</v>
      </c>
      <c r="CI62" s="13">
        <f>Table410[[#This Row],[May_2026_F]]-Table410[[#This Row],[May_2026_A]]</f>
        <v>0</v>
      </c>
      <c r="CK62" s="13">
        <f>IFERROR(Table410[[#This Row],[Jun_2026_Days_Forecast]]*Table410[[#This Row],[Cost Boolean]]*(VLOOKUP(Table410[[#This Row],[RATE CONCAT]],Tables!I:N,5,0)),0)</f>
        <v>0</v>
      </c>
      <c r="CL62" s="13">
        <f>IFERROR(Table410[[#This Row],[Jun_2026_Days_Actual]]*Table410[[#This Row],[Cost Boolean]]*(VLOOKUP(Table410[[#This Row],[RATE CONCAT]],Tables!I:N,5,0)),0)</f>
        <v>0</v>
      </c>
      <c r="CM62" s="13">
        <f>Table410[[#This Row],[Jun_2026_F]]-Table410[[#This Row],[Jun_2026_A]]</f>
        <v>0</v>
      </c>
      <c r="CO62" s="13">
        <f>IFERROR(Table410[[#This Row],[Jul_2026_Days_Forecast]]*Table410[[#This Row],[Cost Boolean]]*(VLOOKUP(Table410[[#This Row],[RATE CONCAT]],Tables!I:N,5,0)),0)</f>
        <v>0</v>
      </c>
      <c r="CP62" s="13">
        <f>IFERROR(Table410[[#This Row],[Jul_2026_Days_Actual]]*Table410[[#This Row],[Cost Boolean]]*(VLOOKUP(Table410[[#This Row],[RATE CONCAT]],Tables!I:N,5,0)),0)</f>
        <v>0</v>
      </c>
      <c r="CQ62" s="13">
        <f>Table410[[#This Row],[Jul_2026_F]]-Table410[[#This Row],[Jul_2026_A]]</f>
        <v>0</v>
      </c>
      <c r="CS62" s="13">
        <f>IFERROR(Table410[[#This Row],[Aug_2026_Days_Forecast]]*Table410[[#This Row],[Cost Boolean]]*(VLOOKUP(Table410[[#This Row],[RATE CONCAT]],Tables!I:N,5,0)),0)</f>
        <v>0</v>
      </c>
      <c r="CT62" s="13">
        <f>IFERROR(Table410[[#This Row],[Aug_2026_Days_Actual]]*Table410[[#This Row],[Cost Boolean]]*(VLOOKUP(Table410[[#This Row],[RATE CONCAT]],Tables!I:N,5,0)),0)</f>
        <v>0</v>
      </c>
      <c r="CU62" s="13">
        <f>Table410[[#This Row],[Aug_2026_F]]-Table410[[#This Row],[Aug_2026_A]]</f>
        <v>0</v>
      </c>
      <c r="CW62" s="13">
        <f>IFERROR(Table410[[#This Row],[Sep_2026_Days_Forecast]]*Table410[[#This Row],[Cost Boolean]]*(VLOOKUP(Table410[[#This Row],[RATE CONCAT]],Tables!I:N,5,0)),0)</f>
        <v>0</v>
      </c>
      <c r="CX62" s="13">
        <f>IFERROR(Table410[[#This Row],[Sep_2026_Days_Actual]]*Table410[[#This Row],[Cost Boolean]]*(VLOOKUP(Table410[[#This Row],[RATE CONCAT]],Tables!I:N,5,0)),0)</f>
        <v>0</v>
      </c>
      <c r="CY62" s="13">
        <f>Table410[[#This Row],[Sep_2026_F]]-Table410[[#This Row],[Sep_2026_A]]</f>
        <v>0</v>
      </c>
      <c r="DA62" s="13">
        <f>IFERROR(Table410[[#This Row],[Oct_2026_Days_Forecast]]*Table410[[#This Row],[Cost Boolean]]*(VLOOKUP(Table410[[#This Row],[RATE CONCAT]],Tables!I:N,5,0)),0)</f>
        <v>0</v>
      </c>
      <c r="DB62" s="13">
        <f>IFERROR(Table410[[#This Row],[Oct_2026_Days_Actual]]*Table410[[#This Row],[Cost Boolean]]*(VLOOKUP(Table410[[#This Row],[RATE CONCAT]],Tables!I:N,5,0)),0)</f>
        <v>0</v>
      </c>
      <c r="DC62" s="13">
        <f>Table410[[#This Row],[Oct_2026_F]]-Table410[[#This Row],[Oct_2026_A]]</f>
        <v>0</v>
      </c>
      <c r="DE62" s="13">
        <f>IFERROR(Table410[[#This Row],[Nov_2026_Days_Forecast]]*Table410[[#This Row],[Cost Boolean]]*(VLOOKUP(Table410[[#This Row],[RATE CONCAT]],Tables!I:N,5,0)),0)</f>
        <v>0</v>
      </c>
      <c r="DF62" s="13">
        <f>IFERROR(Table410[[#This Row],[Nov_2026_Days_Actual]]*Table410[[#This Row],[Cost Boolean]]*(VLOOKUP(Table410[[#This Row],[RATE CONCAT]],Tables!I:N,5,0)),0)</f>
        <v>0</v>
      </c>
      <c r="DG62" s="13">
        <f>Table410[[#This Row],[Nov_2026_F]]-Table410[[#This Row],[Nov_2026_A]]</f>
        <v>0</v>
      </c>
      <c r="DI62" s="13">
        <f>IFERROR(Table410[[#This Row],[Dec_2026_Days_Forecast]]*Table410[[#This Row],[Cost Boolean]]*(VLOOKUP(Table410[[#This Row],[RATE CONCAT]],Tables!I:N,5,0)),0)</f>
        <v>0</v>
      </c>
      <c r="DJ62" s="13">
        <f>IFERROR(Table410[[#This Row],[Dec_2026_Days_Actual]]*Table410[[#This Row],[Cost Boolean]]*(VLOOKUP(Table410[[#This Row],[RATE CONCAT]],Tables!I:N,5,0)),0)</f>
        <v>0</v>
      </c>
      <c r="DK62" s="13">
        <f>Table410[[#This Row],[Dec_2026_F]]-Table410[[#This Row],[Dec_2026_A]]</f>
        <v>0</v>
      </c>
      <c r="DN62" s="13">
        <f>IFERROR(Table410[[#This Row],[Jan_2027_Days_Forecast]]*Table410[[#This Row],[Cost Boolean]]*(VLOOKUP(Table410[[#This Row],[RATE CONCAT]],Tables!I:N,6,0)),0)</f>
        <v>0</v>
      </c>
      <c r="DP62" s="13">
        <f>Table410[[#This Row],[Jan_2027_F]]-Table410[[#This Row],[Jan_2027_A]]</f>
        <v>0</v>
      </c>
      <c r="DQ62" s="13">
        <f>IFERROR(Table410[[#This Row],[Feb_2027_Days_Forecast]]*Table410[[#This Row],[Cost Boolean]]*(VLOOKUP(Table410[[#This Row],[RATE CONCAT]],Tables!I:N,6,0)),0)</f>
        <v>0</v>
      </c>
      <c r="DS62" s="13">
        <f>Table410[[#This Row],[Feb_2027_F]]-Table410[[#This Row],[Feb_2027_A]]</f>
        <v>0</v>
      </c>
      <c r="DT62" s="13">
        <f>IFERROR(Table410[[#This Row],[Mar_2027_Days_Forecast]]*Table410[[#This Row],[Cost Boolean]]*(VLOOKUP(Table410[[#This Row],[RATE CONCAT]],Tables!I:N,6,0)),0)</f>
        <v>0</v>
      </c>
      <c r="DV62" s="13">
        <f>Table410[[#This Row],[Mar_2027_F]]-Table410[[#This Row],[Mar_2027_A]]</f>
        <v>0</v>
      </c>
      <c r="DW62" s="13">
        <f>IFERROR(Table410[[#This Row],[Apr_2027_Days_Forecast]]*Table410[[#This Row],[Cost Boolean]]*(VLOOKUP(Table410[[#This Row],[RATE CONCAT]],Tables!I:N,6,0)),0)</f>
        <v>0</v>
      </c>
      <c r="DY62" s="13">
        <f>Table410[[#This Row],[Apr_2027_F]]-Table410[[#This Row],[Apr_2027_A]]</f>
        <v>0</v>
      </c>
      <c r="DZ62" s="13">
        <f>IFERROR(Table410[[#This Row],[May_2027_Days_Forecast]]*Table410[[#This Row],[Cost Boolean]]*(VLOOKUP(Table410[[#This Row],[RATE CONCAT]],Tables!I:N,6,0)),0)</f>
        <v>0</v>
      </c>
      <c r="EB62" s="13">
        <f>Table410[[#This Row],[May_2027_F]]-Table410[[#This Row],[May_2027_A]]</f>
        <v>0</v>
      </c>
      <c r="EC62" s="13">
        <f>IFERROR(Table410[[#This Row],[Jun_2027_Days_Forecast]]*Table410[[#This Row],[Cost Boolean]]*(VLOOKUP(Table410[[#This Row],[RATE CONCAT]],Tables!I:N,6,0)),0)</f>
        <v>0</v>
      </c>
      <c r="EE62" s="13">
        <f>Table410[[#This Row],[Jun_2027_F]]-Table410[[#This Row],[Jun_2027_A]]</f>
        <v>0</v>
      </c>
      <c r="EF62" s="13">
        <f>IFERROR(Table410[[#This Row],[Jul_2027_Days_Forecast]]*Table410[[#This Row],[Cost Boolean]]*(VLOOKUP(Table410[[#This Row],[RATE CONCAT]],Tables!I:N,6,0)),0)</f>
        <v>0</v>
      </c>
      <c r="EH62" s="13">
        <f>Table410[[#This Row],[Jul_2027_F]]-Table410[[#This Row],[Jul_2027_A]]</f>
        <v>0</v>
      </c>
      <c r="EI62" s="13">
        <f>IFERROR(Table410[[#This Row],[Aug_2027_Days_Forecast]]*Table410[[#This Row],[Cost Boolean]]*(VLOOKUP(Table410[[#This Row],[RATE CONCAT]],Tables!I:N,6,0)),0)</f>
        <v>0</v>
      </c>
      <c r="EK62" s="13">
        <f>Table410[[#This Row],[Aug_2027_F]]-Table410[[#This Row],[Aug_2027_A]]</f>
        <v>0</v>
      </c>
      <c r="EL62" s="13">
        <f>IFERROR(Table410[[#This Row],[Sep_2027_Days_Forecast]]*Table410[[#This Row],[Cost Boolean]]*(VLOOKUP(Table410[[#This Row],[RATE CONCAT]],Tables!I:N,6,0)),0)</f>
        <v>0</v>
      </c>
      <c r="EN62" s="13">
        <f>Table410[[#This Row],[Sep_2027_F]]-Table410[[#This Row],[Sep_2027_A]]</f>
        <v>0</v>
      </c>
      <c r="EO62" s="13">
        <f>IFERROR(Table410[[#This Row],[Oct_2027_Days_Forecast]]*Table410[[#This Row],[Cost Boolean]]*(VLOOKUP(Table410[[#This Row],[RATE CONCAT]],Tables!I:N,6,0)),0)</f>
        <v>0</v>
      </c>
      <c r="EQ62" s="13">
        <f>Table410[[#This Row],[Oct_2027_F]]-Table410[[#This Row],[Oct_2027_A]]</f>
        <v>0</v>
      </c>
      <c r="ER62" s="13">
        <f>IFERROR(Table410[[#This Row],[Nov_2027_Days_Forecast]]*Table410[[#This Row],[Cost Boolean]]*(VLOOKUP(Table410[[#This Row],[RATE CONCAT]],Tables!I:N,6,0)),0)</f>
        <v>0</v>
      </c>
      <c r="ET62" s="13">
        <f>Table410[[#This Row],[Nov_2027_F]]-Table410[[#This Row],[Nov_2027_A]]</f>
        <v>0</v>
      </c>
      <c r="EU62" s="13">
        <f>IFERROR(Table410[[#This Row],[Dec_2027_Days_Forecast]]*Table410[[#This Row],[Cost Boolean]]*(VLOOKUP(Table410[[#This Row],[RATE CONCAT]],Tables!I:N,6,0)),0)</f>
        <v>0</v>
      </c>
      <c r="EW62" s="13">
        <f>Table410[[#This Row],[Dec_2027_F]]-Table410[[#This Row],[Dec_2027_A]]</f>
        <v>0</v>
      </c>
    </row>
    <row r="63" spans="25:153" s="13" customFormat="1" ht="15" customHeight="1">
      <c r="Y63" s="13" t="str">
        <f>CONCATENATE(Table410[[#This Row],[JG]],Table410[[#This Row],[Country]],Table410[[#This Row],[Resource Provider]])</f>
        <v/>
      </c>
      <c r="Z63" s="13">
        <f>VLOOKUP(Table410[[#This Row],[RATE CONCAT]],Tables!I:N,5,0)</f>
        <v>0</v>
      </c>
      <c r="AA63" s="52"/>
      <c r="AB63" s="127"/>
      <c r="AC63" s="127"/>
      <c r="AD63" s="127"/>
      <c r="AE63" s="127"/>
      <c r="AF63" s="127"/>
      <c r="AG63" s="127"/>
      <c r="AH63" s="127"/>
      <c r="AI63" s="127"/>
      <c r="AJ63" s="127"/>
      <c r="AK63" s="127"/>
      <c r="AL63" s="127"/>
      <c r="AM63" s="127"/>
      <c r="AN63" s="176">
        <f>IFERROR(AVERAGE(Table410[[#This Row],[Jan_2026_Days_Forecast]:[Dec_2026_Days_Forecast]]),0)/19</f>
        <v>0</v>
      </c>
      <c r="AO63" s="176">
        <f>IFERROR(AVERAGE(Table410[[#This Row],[Jan_2026_Days_Actual]:[Dec_2026_Days_Actual]]),0)/19</f>
        <v>0</v>
      </c>
      <c r="BB63" s="176">
        <f>IFERROR(AVERAGE(Table410[[#This Row],[Jan_2027_Days_Forecast]:[Dec_2027_Days_Forecast]]),0)</f>
        <v>0</v>
      </c>
      <c r="BC63" s="127"/>
      <c r="BD63" s="127"/>
      <c r="BE63" s="127"/>
      <c r="BF63" s="127"/>
      <c r="BG63" s="127"/>
      <c r="BH63" s="127"/>
      <c r="BI63" s="127"/>
      <c r="BJ63" s="127"/>
      <c r="BK63" s="127"/>
      <c r="BL63" s="127"/>
      <c r="BM63" s="127"/>
      <c r="BN63" s="127"/>
      <c r="BO63" s="176"/>
      <c r="BP63" s="176"/>
      <c r="BQ63" s="13">
        <f>IFERROR(Table410[[#This Row],[Jan_2026_Days_Forecast]]*Table410[[#This Row],[Cost Boolean]]*(VLOOKUP(Table410[[#This Row],[RATE CONCAT]],Tables!I:N,5,0)),0)</f>
        <v>0</v>
      </c>
      <c r="BR63" s="13">
        <f>IFERROR(Table410[[#This Row],[Jan_2026_Days_Actual]]*Table410[[#This Row],[Cost Boolean]]*(VLOOKUP(Table410[[#This Row],[RATE CONCAT]],Tables!I:N,5,0)),0)</f>
        <v>0</v>
      </c>
      <c r="BS63" s="13">
        <f>Table410[[#This Row],[Jan_2026_F]]-Table410[[#This Row],[Jan_2026_A]]</f>
        <v>0</v>
      </c>
      <c r="BU63" s="13">
        <f>IFERROR(Table410[[#This Row],[Feb_2026_Days_Forecast]]*Table410[[#This Row],[Cost Boolean]]*(VLOOKUP(Table410[[#This Row],[RATE CONCAT]],Tables!I:N,5,0)),0)</f>
        <v>0</v>
      </c>
      <c r="BV63" s="13">
        <f>IFERROR(Table410[[#This Row],[Feb_2026_Days_Actual]]*Table410[[#This Row],[Cost Boolean]]*(VLOOKUP(Table410[[#This Row],[RATE CONCAT]],Tables!I:N,5,0)),0)</f>
        <v>0</v>
      </c>
      <c r="BW63" s="13">
        <f>Table410[[#This Row],[Feb_2026_F]]-Table410[[#This Row],[Feb_2026_A]]</f>
        <v>0</v>
      </c>
      <c r="BY63" s="13">
        <f>IFERROR(Table410[[#This Row],[Mar_2026_Days_Forecast]]*Table410[[#This Row],[Cost Boolean]]*(VLOOKUP(Table410[[#This Row],[RATE CONCAT]],Tables!I:N,5,0)),0)</f>
        <v>0</v>
      </c>
      <c r="BZ63" s="13">
        <f>IFERROR(Table410[[#This Row],[Mar_2026_Days_Actual]]*Table410[[#This Row],[Cost Boolean]]*(VLOOKUP(Table410[[#This Row],[RATE CONCAT]],Tables!I:N,5,0)),0)</f>
        <v>0</v>
      </c>
      <c r="CA63" s="13">
        <f>Table410[[#This Row],[Mar_2026_F]]-Table410[[#This Row],[Mar_2026_A]]</f>
        <v>0</v>
      </c>
      <c r="CC63" s="13">
        <f>IFERROR(Table410[[#This Row],[Apr_2026_Days_Forecast]]*Table410[[#This Row],[Cost Boolean]]*(VLOOKUP(Table410[[#This Row],[RATE CONCAT]],Tables!I:N,5,0)),0)</f>
        <v>0</v>
      </c>
      <c r="CD63" s="13">
        <f>IFERROR(Table410[[#This Row],[Apr_2026_Days_Actual]]*Table410[[#This Row],[Cost Boolean]]*(VLOOKUP(Table410[[#This Row],[RATE CONCAT]],Tables!I:N,5,0)),0)</f>
        <v>0</v>
      </c>
      <c r="CE63" s="13">
        <f>Table410[[#This Row],[Apr_2026_F]]-Table410[[#This Row],[Apr_2026_A]]</f>
        <v>0</v>
      </c>
      <c r="CG63" s="13">
        <f>IFERROR(Table410[[#This Row],[May_2026_Days_Forecast]] *Table410[[#This Row],[Cost Boolean]]*(VLOOKUP(Table410[[#This Row],[RATE CONCAT]],Tables!I:N,5,0)),0)</f>
        <v>0</v>
      </c>
      <c r="CH63" s="13">
        <f>IFERROR(Table410[[#This Row],[May_2026_Days_Actual]]*Table410[[#This Row],[Cost Boolean]]*(VLOOKUP(Table410[[#This Row],[RATE CONCAT]],Tables!I:N,5,0)),0)</f>
        <v>0</v>
      </c>
      <c r="CI63" s="13">
        <f>Table410[[#This Row],[May_2026_F]]-Table410[[#This Row],[May_2026_A]]</f>
        <v>0</v>
      </c>
      <c r="CK63" s="13">
        <f>IFERROR(Table410[[#This Row],[Jun_2026_Days_Forecast]]*Table410[[#This Row],[Cost Boolean]]*(VLOOKUP(Table410[[#This Row],[RATE CONCAT]],Tables!I:N,5,0)),0)</f>
        <v>0</v>
      </c>
      <c r="CL63" s="13">
        <f>IFERROR(Table410[[#This Row],[Jun_2026_Days_Actual]]*Table410[[#This Row],[Cost Boolean]]*(VLOOKUP(Table410[[#This Row],[RATE CONCAT]],Tables!I:N,5,0)),0)</f>
        <v>0</v>
      </c>
      <c r="CM63" s="13">
        <f>Table410[[#This Row],[Jun_2026_F]]-Table410[[#This Row],[Jun_2026_A]]</f>
        <v>0</v>
      </c>
      <c r="CO63" s="13">
        <f>IFERROR(Table410[[#This Row],[Jul_2026_Days_Forecast]]*Table410[[#This Row],[Cost Boolean]]*(VLOOKUP(Table410[[#This Row],[RATE CONCAT]],Tables!I:N,5,0)),0)</f>
        <v>0</v>
      </c>
      <c r="CP63" s="13">
        <f>IFERROR(Table410[[#This Row],[Jul_2026_Days_Actual]]*Table410[[#This Row],[Cost Boolean]]*(VLOOKUP(Table410[[#This Row],[RATE CONCAT]],Tables!I:N,5,0)),0)</f>
        <v>0</v>
      </c>
      <c r="CQ63" s="13">
        <f>Table410[[#This Row],[Jul_2026_F]]-Table410[[#This Row],[Jul_2026_A]]</f>
        <v>0</v>
      </c>
      <c r="CS63" s="13">
        <f>IFERROR(Table410[[#This Row],[Aug_2026_Days_Forecast]]*Table410[[#This Row],[Cost Boolean]]*(VLOOKUP(Table410[[#This Row],[RATE CONCAT]],Tables!I:N,5,0)),0)</f>
        <v>0</v>
      </c>
      <c r="CT63" s="13">
        <f>IFERROR(Table410[[#This Row],[Aug_2026_Days_Actual]]*Table410[[#This Row],[Cost Boolean]]*(VLOOKUP(Table410[[#This Row],[RATE CONCAT]],Tables!I:N,5,0)),0)</f>
        <v>0</v>
      </c>
      <c r="CU63" s="13">
        <f>Table410[[#This Row],[Aug_2026_F]]-Table410[[#This Row],[Aug_2026_A]]</f>
        <v>0</v>
      </c>
      <c r="CW63" s="13">
        <f>IFERROR(Table410[[#This Row],[Sep_2026_Days_Forecast]]*Table410[[#This Row],[Cost Boolean]]*(VLOOKUP(Table410[[#This Row],[RATE CONCAT]],Tables!I:N,5,0)),0)</f>
        <v>0</v>
      </c>
      <c r="CX63" s="13">
        <f>IFERROR(Table410[[#This Row],[Sep_2026_Days_Actual]]*Table410[[#This Row],[Cost Boolean]]*(VLOOKUP(Table410[[#This Row],[RATE CONCAT]],Tables!I:N,5,0)),0)</f>
        <v>0</v>
      </c>
      <c r="CY63" s="13">
        <f>Table410[[#This Row],[Sep_2026_F]]-Table410[[#This Row],[Sep_2026_A]]</f>
        <v>0</v>
      </c>
      <c r="DA63" s="13">
        <f>IFERROR(Table410[[#This Row],[Oct_2026_Days_Forecast]]*Table410[[#This Row],[Cost Boolean]]*(VLOOKUP(Table410[[#This Row],[RATE CONCAT]],Tables!I:N,5,0)),0)</f>
        <v>0</v>
      </c>
      <c r="DB63" s="13">
        <f>IFERROR(Table410[[#This Row],[Oct_2026_Days_Actual]]*Table410[[#This Row],[Cost Boolean]]*(VLOOKUP(Table410[[#This Row],[RATE CONCAT]],Tables!I:N,5,0)),0)</f>
        <v>0</v>
      </c>
      <c r="DC63" s="13">
        <f>Table410[[#This Row],[Oct_2026_F]]-Table410[[#This Row],[Oct_2026_A]]</f>
        <v>0</v>
      </c>
      <c r="DE63" s="13">
        <f>IFERROR(Table410[[#This Row],[Nov_2026_Days_Forecast]]*Table410[[#This Row],[Cost Boolean]]*(VLOOKUP(Table410[[#This Row],[RATE CONCAT]],Tables!I:N,5,0)),0)</f>
        <v>0</v>
      </c>
      <c r="DF63" s="13">
        <f>IFERROR(Table410[[#This Row],[Nov_2026_Days_Actual]]*Table410[[#This Row],[Cost Boolean]]*(VLOOKUP(Table410[[#This Row],[RATE CONCAT]],Tables!I:N,5,0)),0)</f>
        <v>0</v>
      </c>
      <c r="DG63" s="13">
        <f>Table410[[#This Row],[Nov_2026_F]]-Table410[[#This Row],[Nov_2026_A]]</f>
        <v>0</v>
      </c>
      <c r="DI63" s="13">
        <f>IFERROR(Table410[[#This Row],[Dec_2026_Days_Forecast]]*Table410[[#This Row],[Cost Boolean]]*(VLOOKUP(Table410[[#This Row],[RATE CONCAT]],Tables!I:N,5,0)),0)</f>
        <v>0</v>
      </c>
      <c r="DJ63" s="13">
        <f>IFERROR(Table410[[#This Row],[Dec_2026_Days_Actual]]*Table410[[#This Row],[Cost Boolean]]*(VLOOKUP(Table410[[#This Row],[RATE CONCAT]],Tables!I:N,5,0)),0)</f>
        <v>0</v>
      </c>
      <c r="DK63" s="13">
        <f>Table410[[#This Row],[Dec_2026_F]]-Table410[[#This Row],[Dec_2026_A]]</f>
        <v>0</v>
      </c>
      <c r="DN63" s="13">
        <f>IFERROR(Table410[[#This Row],[Jan_2027_Days_Forecast]]*Table410[[#This Row],[Cost Boolean]]*(VLOOKUP(Table410[[#This Row],[RATE CONCAT]],Tables!I:N,6,0)),0)</f>
        <v>0</v>
      </c>
      <c r="DP63" s="13">
        <f>Table410[[#This Row],[Jan_2027_F]]-Table410[[#This Row],[Jan_2027_A]]</f>
        <v>0</v>
      </c>
      <c r="DQ63" s="13">
        <f>IFERROR(Table410[[#This Row],[Feb_2027_Days_Forecast]]*Table410[[#This Row],[Cost Boolean]]*(VLOOKUP(Table410[[#This Row],[RATE CONCAT]],Tables!I:N,6,0)),0)</f>
        <v>0</v>
      </c>
      <c r="DS63" s="13">
        <f>Table410[[#This Row],[Feb_2027_F]]-Table410[[#This Row],[Feb_2027_A]]</f>
        <v>0</v>
      </c>
      <c r="DT63" s="13">
        <f>IFERROR(Table410[[#This Row],[Mar_2027_Days_Forecast]]*Table410[[#This Row],[Cost Boolean]]*(VLOOKUP(Table410[[#This Row],[RATE CONCAT]],Tables!I:N,6,0)),0)</f>
        <v>0</v>
      </c>
      <c r="DV63" s="13">
        <f>Table410[[#This Row],[Mar_2027_F]]-Table410[[#This Row],[Mar_2027_A]]</f>
        <v>0</v>
      </c>
      <c r="DW63" s="13">
        <f>IFERROR(Table410[[#This Row],[Apr_2027_Days_Forecast]]*Table410[[#This Row],[Cost Boolean]]*(VLOOKUP(Table410[[#This Row],[RATE CONCAT]],Tables!I:N,6,0)),0)</f>
        <v>0</v>
      </c>
      <c r="DY63" s="13">
        <f>Table410[[#This Row],[Apr_2027_F]]-Table410[[#This Row],[Apr_2027_A]]</f>
        <v>0</v>
      </c>
      <c r="DZ63" s="13">
        <f>IFERROR(Table410[[#This Row],[May_2027_Days_Forecast]]*Table410[[#This Row],[Cost Boolean]]*(VLOOKUP(Table410[[#This Row],[RATE CONCAT]],Tables!I:N,6,0)),0)</f>
        <v>0</v>
      </c>
      <c r="EB63" s="13">
        <f>Table410[[#This Row],[May_2027_F]]-Table410[[#This Row],[May_2027_A]]</f>
        <v>0</v>
      </c>
      <c r="EC63" s="13">
        <f>IFERROR(Table410[[#This Row],[Jun_2027_Days_Forecast]]*Table410[[#This Row],[Cost Boolean]]*(VLOOKUP(Table410[[#This Row],[RATE CONCAT]],Tables!I:N,6,0)),0)</f>
        <v>0</v>
      </c>
      <c r="EE63" s="13">
        <f>Table410[[#This Row],[Jun_2027_F]]-Table410[[#This Row],[Jun_2027_A]]</f>
        <v>0</v>
      </c>
      <c r="EF63" s="13">
        <f>IFERROR(Table410[[#This Row],[Jul_2027_Days_Forecast]]*Table410[[#This Row],[Cost Boolean]]*(VLOOKUP(Table410[[#This Row],[RATE CONCAT]],Tables!I:N,6,0)),0)</f>
        <v>0</v>
      </c>
      <c r="EH63" s="13">
        <f>Table410[[#This Row],[Jul_2027_F]]-Table410[[#This Row],[Jul_2027_A]]</f>
        <v>0</v>
      </c>
      <c r="EI63" s="13">
        <f>IFERROR(Table410[[#This Row],[Aug_2027_Days_Forecast]]*Table410[[#This Row],[Cost Boolean]]*(VLOOKUP(Table410[[#This Row],[RATE CONCAT]],Tables!I:N,6,0)),0)</f>
        <v>0</v>
      </c>
      <c r="EK63" s="13">
        <f>Table410[[#This Row],[Aug_2027_F]]-Table410[[#This Row],[Aug_2027_A]]</f>
        <v>0</v>
      </c>
      <c r="EL63" s="13">
        <f>IFERROR(Table410[[#This Row],[Sep_2027_Days_Forecast]]*Table410[[#This Row],[Cost Boolean]]*(VLOOKUP(Table410[[#This Row],[RATE CONCAT]],Tables!I:N,6,0)),0)</f>
        <v>0</v>
      </c>
      <c r="EN63" s="13">
        <f>Table410[[#This Row],[Sep_2027_F]]-Table410[[#This Row],[Sep_2027_A]]</f>
        <v>0</v>
      </c>
      <c r="EO63" s="13">
        <f>IFERROR(Table410[[#This Row],[Oct_2027_Days_Forecast]]*Table410[[#This Row],[Cost Boolean]]*(VLOOKUP(Table410[[#This Row],[RATE CONCAT]],Tables!I:N,6,0)),0)</f>
        <v>0</v>
      </c>
      <c r="EQ63" s="13">
        <f>Table410[[#This Row],[Oct_2027_F]]-Table410[[#This Row],[Oct_2027_A]]</f>
        <v>0</v>
      </c>
      <c r="ER63" s="13">
        <f>IFERROR(Table410[[#This Row],[Nov_2027_Days_Forecast]]*Table410[[#This Row],[Cost Boolean]]*(VLOOKUP(Table410[[#This Row],[RATE CONCAT]],Tables!I:N,6,0)),0)</f>
        <v>0</v>
      </c>
      <c r="ET63" s="13">
        <f>Table410[[#This Row],[Nov_2027_F]]-Table410[[#This Row],[Nov_2027_A]]</f>
        <v>0</v>
      </c>
      <c r="EU63" s="13">
        <f>IFERROR(Table410[[#This Row],[Dec_2027_Days_Forecast]]*Table410[[#This Row],[Cost Boolean]]*(VLOOKUP(Table410[[#This Row],[RATE CONCAT]],Tables!I:N,6,0)),0)</f>
        <v>0</v>
      </c>
      <c r="EW63" s="13">
        <f>Table410[[#This Row],[Dec_2027_F]]-Table410[[#This Row],[Dec_2027_A]]</f>
        <v>0</v>
      </c>
    </row>
    <row r="64" spans="25:153" s="13" customFormat="1" ht="15" customHeight="1">
      <c r="Y64" s="13" t="str">
        <f>CONCATENATE(Table410[[#This Row],[JG]],Table410[[#This Row],[Country]],Table410[[#This Row],[Resource Provider]])</f>
        <v/>
      </c>
      <c r="Z64" s="13">
        <f>VLOOKUP(Table410[[#This Row],[RATE CONCAT]],Tables!I:N,5,0)</f>
        <v>0</v>
      </c>
      <c r="AA64" s="52"/>
      <c r="AB64" s="127"/>
      <c r="AC64" s="127"/>
      <c r="AD64" s="127"/>
      <c r="AE64" s="127"/>
      <c r="AF64" s="127"/>
      <c r="AG64" s="127"/>
      <c r="AH64" s="127"/>
      <c r="AI64" s="127"/>
      <c r="AJ64" s="127"/>
      <c r="AK64" s="127"/>
      <c r="AL64" s="127"/>
      <c r="AM64" s="127"/>
      <c r="AN64" s="176">
        <f>IFERROR(AVERAGE(Table410[[#This Row],[Jan_2026_Days_Forecast]:[Dec_2026_Days_Forecast]]),0)/19</f>
        <v>0</v>
      </c>
      <c r="AO64" s="176">
        <f>IFERROR(AVERAGE(Table410[[#This Row],[Jan_2026_Days_Actual]:[Dec_2026_Days_Actual]]),0)/19</f>
        <v>0</v>
      </c>
      <c r="BB64" s="176">
        <f>IFERROR(AVERAGE(Table410[[#This Row],[Jan_2027_Days_Forecast]:[Dec_2027_Days_Forecast]]),0)</f>
        <v>0</v>
      </c>
      <c r="BC64" s="127"/>
      <c r="BD64" s="127"/>
      <c r="BE64" s="127"/>
      <c r="BF64" s="127"/>
      <c r="BG64" s="127"/>
      <c r="BH64" s="127"/>
      <c r="BI64" s="127"/>
      <c r="BJ64" s="127"/>
      <c r="BK64" s="127"/>
      <c r="BL64" s="127"/>
      <c r="BM64" s="127"/>
      <c r="BN64" s="127"/>
      <c r="BO64" s="176"/>
      <c r="BP64" s="176"/>
      <c r="BQ64" s="13">
        <f>IFERROR(Table410[[#This Row],[Jan_2026_Days_Forecast]]*Table410[[#This Row],[Cost Boolean]]*(VLOOKUP(Table410[[#This Row],[RATE CONCAT]],Tables!I:N,5,0)),0)</f>
        <v>0</v>
      </c>
      <c r="BR64" s="13">
        <f>IFERROR(Table410[[#This Row],[Jan_2026_Days_Actual]]*Table410[[#This Row],[Cost Boolean]]*(VLOOKUP(Table410[[#This Row],[RATE CONCAT]],Tables!I:N,5,0)),0)</f>
        <v>0</v>
      </c>
      <c r="BS64" s="13">
        <f>Table410[[#This Row],[Jan_2026_F]]-Table410[[#This Row],[Jan_2026_A]]</f>
        <v>0</v>
      </c>
      <c r="BU64" s="13">
        <f>IFERROR(Table410[[#This Row],[Feb_2026_Days_Forecast]]*Table410[[#This Row],[Cost Boolean]]*(VLOOKUP(Table410[[#This Row],[RATE CONCAT]],Tables!I:N,5,0)),0)</f>
        <v>0</v>
      </c>
      <c r="BV64" s="13">
        <f>IFERROR(Table410[[#This Row],[Feb_2026_Days_Actual]]*Table410[[#This Row],[Cost Boolean]]*(VLOOKUP(Table410[[#This Row],[RATE CONCAT]],Tables!I:N,5,0)),0)</f>
        <v>0</v>
      </c>
      <c r="BW64" s="13">
        <f>Table410[[#This Row],[Feb_2026_F]]-Table410[[#This Row],[Feb_2026_A]]</f>
        <v>0</v>
      </c>
      <c r="BY64" s="13">
        <f>IFERROR(Table410[[#This Row],[Mar_2026_Days_Forecast]]*Table410[[#This Row],[Cost Boolean]]*(VLOOKUP(Table410[[#This Row],[RATE CONCAT]],Tables!I:N,5,0)),0)</f>
        <v>0</v>
      </c>
      <c r="BZ64" s="13">
        <f>IFERROR(Table410[[#This Row],[Mar_2026_Days_Actual]]*Table410[[#This Row],[Cost Boolean]]*(VLOOKUP(Table410[[#This Row],[RATE CONCAT]],Tables!I:N,5,0)),0)</f>
        <v>0</v>
      </c>
      <c r="CA64" s="13">
        <f>Table410[[#This Row],[Mar_2026_F]]-Table410[[#This Row],[Mar_2026_A]]</f>
        <v>0</v>
      </c>
      <c r="CC64" s="13">
        <f>IFERROR(Table410[[#This Row],[Apr_2026_Days_Forecast]]*Table410[[#This Row],[Cost Boolean]]*(VLOOKUP(Table410[[#This Row],[RATE CONCAT]],Tables!I:N,5,0)),0)</f>
        <v>0</v>
      </c>
      <c r="CD64" s="13">
        <f>IFERROR(Table410[[#This Row],[Apr_2026_Days_Actual]]*Table410[[#This Row],[Cost Boolean]]*(VLOOKUP(Table410[[#This Row],[RATE CONCAT]],Tables!I:N,5,0)),0)</f>
        <v>0</v>
      </c>
      <c r="CE64" s="13">
        <f>Table410[[#This Row],[Apr_2026_F]]-Table410[[#This Row],[Apr_2026_A]]</f>
        <v>0</v>
      </c>
      <c r="CG64" s="13">
        <f>IFERROR(Table410[[#This Row],[May_2026_Days_Forecast]] *Table410[[#This Row],[Cost Boolean]]*(VLOOKUP(Table410[[#This Row],[RATE CONCAT]],Tables!I:N,5,0)),0)</f>
        <v>0</v>
      </c>
      <c r="CH64" s="13">
        <f>IFERROR(Table410[[#This Row],[May_2026_Days_Actual]]*Table410[[#This Row],[Cost Boolean]]*(VLOOKUP(Table410[[#This Row],[RATE CONCAT]],Tables!I:N,5,0)),0)</f>
        <v>0</v>
      </c>
      <c r="CI64" s="13">
        <f>Table410[[#This Row],[May_2026_F]]-Table410[[#This Row],[May_2026_A]]</f>
        <v>0</v>
      </c>
      <c r="CK64" s="13">
        <f>IFERROR(Table410[[#This Row],[Jun_2026_Days_Forecast]]*Table410[[#This Row],[Cost Boolean]]*(VLOOKUP(Table410[[#This Row],[RATE CONCAT]],Tables!I:N,5,0)),0)</f>
        <v>0</v>
      </c>
      <c r="CL64" s="13">
        <f>IFERROR(Table410[[#This Row],[Jun_2026_Days_Actual]]*Table410[[#This Row],[Cost Boolean]]*(VLOOKUP(Table410[[#This Row],[RATE CONCAT]],Tables!I:N,5,0)),0)</f>
        <v>0</v>
      </c>
      <c r="CM64" s="13">
        <f>Table410[[#This Row],[Jun_2026_F]]-Table410[[#This Row],[Jun_2026_A]]</f>
        <v>0</v>
      </c>
      <c r="CO64" s="13">
        <f>IFERROR(Table410[[#This Row],[Jul_2026_Days_Forecast]]*Table410[[#This Row],[Cost Boolean]]*(VLOOKUP(Table410[[#This Row],[RATE CONCAT]],Tables!I:N,5,0)),0)</f>
        <v>0</v>
      </c>
      <c r="CP64" s="13">
        <f>IFERROR(Table410[[#This Row],[Jul_2026_Days_Actual]]*Table410[[#This Row],[Cost Boolean]]*(VLOOKUP(Table410[[#This Row],[RATE CONCAT]],Tables!I:N,5,0)),0)</f>
        <v>0</v>
      </c>
      <c r="CQ64" s="13">
        <f>Table410[[#This Row],[Jul_2026_F]]-Table410[[#This Row],[Jul_2026_A]]</f>
        <v>0</v>
      </c>
      <c r="CS64" s="13">
        <f>IFERROR(Table410[[#This Row],[Aug_2026_Days_Forecast]]*Table410[[#This Row],[Cost Boolean]]*(VLOOKUP(Table410[[#This Row],[RATE CONCAT]],Tables!I:N,5,0)),0)</f>
        <v>0</v>
      </c>
      <c r="CT64" s="13">
        <f>IFERROR(Table410[[#This Row],[Aug_2026_Days_Actual]]*Table410[[#This Row],[Cost Boolean]]*(VLOOKUP(Table410[[#This Row],[RATE CONCAT]],Tables!I:N,5,0)),0)</f>
        <v>0</v>
      </c>
      <c r="CU64" s="13">
        <f>Table410[[#This Row],[Aug_2026_F]]-Table410[[#This Row],[Aug_2026_A]]</f>
        <v>0</v>
      </c>
      <c r="CW64" s="13">
        <f>IFERROR(Table410[[#This Row],[Sep_2026_Days_Forecast]]*Table410[[#This Row],[Cost Boolean]]*(VLOOKUP(Table410[[#This Row],[RATE CONCAT]],Tables!I:N,5,0)),0)</f>
        <v>0</v>
      </c>
      <c r="CX64" s="13">
        <f>IFERROR(Table410[[#This Row],[Sep_2026_Days_Actual]]*Table410[[#This Row],[Cost Boolean]]*(VLOOKUP(Table410[[#This Row],[RATE CONCAT]],Tables!I:N,5,0)),0)</f>
        <v>0</v>
      </c>
      <c r="CY64" s="13">
        <f>Table410[[#This Row],[Sep_2026_F]]-Table410[[#This Row],[Sep_2026_A]]</f>
        <v>0</v>
      </c>
      <c r="DA64" s="13">
        <f>IFERROR(Table410[[#This Row],[Oct_2026_Days_Forecast]]*Table410[[#This Row],[Cost Boolean]]*(VLOOKUP(Table410[[#This Row],[RATE CONCAT]],Tables!I:N,5,0)),0)</f>
        <v>0</v>
      </c>
      <c r="DB64" s="13">
        <f>IFERROR(Table410[[#This Row],[Oct_2026_Days_Actual]]*Table410[[#This Row],[Cost Boolean]]*(VLOOKUP(Table410[[#This Row],[RATE CONCAT]],Tables!I:N,5,0)),0)</f>
        <v>0</v>
      </c>
      <c r="DC64" s="13">
        <f>Table410[[#This Row],[Oct_2026_F]]-Table410[[#This Row],[Oct_2026_A]]</f>
        <v>0</v>
      </c>
      <c r="DE64" s="13">
        <f>IFERROR(Table410[[#This Row],[Nov_2026_Days_Forecast]]*Table410[[#This Row],[Cost Boolean]]*(VLOOKUP(Table410[[#This Row],[RATE CONCAT]],Tables!I:N,5,0)),0)</f>
        <v>0</v>
      </c>
      <c r="DF64" s="13">
        <f>IFERROR(Table410[[#This Row],[Nov_2026_Days_Actual]]*Table410[[#This Row],[Cost Boolean]]*(VLOOKUP(Table410[[#This Row],[RATE CONCAT]],Tables!I:N,5,0)),0)</f>
        <v>0</v>
      </c>
      <c r="DG64" s="13">
        <f>Table410[[#This Row],[Nov_2026_F]]-Table410[[#This Row],[Nov_2026_A]]</f>
        <v>0</v>
      </c>
      <c r="DI64" s="13">
        <f>IFERROR(Table410[[#This Row],[Dec_2026_Days_Forecast]]*Table410[[#This Row],[Cost Boolean]]*(VLOOKUP(Table410[[#This Row],[RATE CONCAT]],Tables!I:N,5,0)),0)</f>
        <v>0</v>
      </c>
      <c r="DJ64" s="13">
        <f>IFERROR(Table410[[#This Row],[Dec_2026_Days_Actual]]*Table410[[#This Row],[Cost Boolean]]*(VLOOKUP(Table410[[#This Row],[RATE CONCAT]],Tables!I:N,5,0)),0)</f>
        <v>0</v>
      </c>
      <c r="DK64" s="13">
        <f>Table410[[#This Row],[Dec_2026_F]]-Table410[[#This Row],[Dec_2026_A]]</f>
        <v>0</v>
      </c>
      <c r="DN64" s="13">
        <f>IFERROR(Table410[[#This Row],[Jan_2027_Days_Forecast]]*Table410[[#This Row],[Cost Boolean]]*(VLOOKUP(Table410[[#This Row],[RATE CONCAT]],Tables!I:N,6,0)),0)</f>
        <v>0</v>
      </c>
      <c r="DP64" s="13">
        <f>Table410[[#This Row],[Jan_2027_F]]-Table410[[#This Row],[Jan_2027_A]]</f>
        <v>0</v>
      </c>
      <c r="DQ64" s="13">
        <f>IFERROR(Table410[[#This Row],[Feb_2027_Days_Forecast]]*Table410[[#This Row],[Cost Boolean]]*(VLOOKUP(Table410[[#This Row],[RATE CONCAT]],Tables!I:N,6,0)),0)</f>
        <v>0</v>
      </c>
      <c r="DS64" s="13">
        <f>Table410[[#This Row],[Feb_2027_F]]-Table410[[#This Row],[Feb_2027_A]]</f>
        <v>0</v>
      </c>
      <c r="DT64" s="13">
        <f>IFERROR(Table410[[#This Row],[Mar_2027_Days_Forecast]]*Table410[[#This Row],[Cost Boolean]]*(VLOOKUP(Table410[[#This Row],[RATE CONCAT]],Tables!I:N,6,0)),0)</f>
        <v>0</v>
      </c>
      <c r="DV64" s="13">
        <f>Table410[[#This Row],[Mar_2027_F]]-Table410[[#This Row],[Mar_2027_A]]</f>
        <v>0</v>
      </c>
      <c r="DW64" s="13">
        <f>IFERROR(Table410[[#This Row],[Apr_2027_Days_Forecast]]*Table410[[#This Row],[Cost Boolean]]*(VLOOKUP(Table410[[#This Row],[RATE CONCAT]],Tables!I:N,6,0)),0)</f>
        <v>0</v>
      </c>
      <c r="DY64" s="13">
        <f>Table410[[#This Row],[Apr_2027_F]]-Table410[[#This Row],[Apr_2027_A]]</f>
        <v>0</v>
      </c>
      <c r="DZ64" s="13">
        <f>IFERROR(Table410[[#This Row],[May_2027_Days_Forecast]]*Table410[[#This Row],[Cost Boolean]]*(VLOOKUP(Table410[[#This Row],[RATE CONCAT]],Tables!I:N,6,0)),0)</f>
        <v>0</v>
      </c>
      <c r="EB64" s="13">
        <f>Table410[[#This Row],[May_2027_F]]-Table410[[#This Row],[May_2027_A]]</f>
        <v>0</v>
      </c>
      <c r="EC64" s="13">
        <f>IFERROR(Table410[[#This Row],[Jun_2027_Days_Forecast]]*Table410[[#This Row],[Cost Boolean]]*(VLOOKUP(Table410[[#This Row],[RATE CONCAT]],Tables!I:N,6,0)),0)</f>
        <v>0</v>
      </c>
      <c r="EE64" s="13">
        <f>Table410[[#This Row],[Jun_2027_F]]-Table410[[#This Row],[Jun_2027_A]]</f>
        <v>0</v>
      </c>
      <c r="EF64" s="13">
        <f>IFERROR(Table410[[#This Row],[Jul_2027_Days_Forecast]]*Table410[[#This Row],[Cost Boolean]]*(VLOOKUP(Table410[[#This Row],[RATE CONCAT]],Tables!I:N,6,0)),0)</f>
        <v>0</v>
      </c>
      <c r="EH64" s="13">
        <f>Table410[[#This Row],[Jul_2027_F]]-Table410[[#This Row],[Jul_2027_A]]</f>
        <v>0</v>
      </c>
      <c r="EI64" s="13">
        <f>IFERROR(Table410[[#This Row],[Aug_2027_Days_Forecast]]*Table410[[#This Row],[Cost Boolean]]*(VLOOKUP(Table410[[#This Row],[RATE CONCAT]],Tables!I:N,6,0)),0)</f>
        <v>0</v>
      </c>
      <c r="EK64" s="13">
        <f>Table410[[#This Row],[Aug_2027_F]]-Table410[[#This Row],[Aug_2027_A]]</f>
        <v>0</v>
      </c>
      <c r="EL64" s="13">
        <f>IFERROR(Table410[[#This Row],[Sep_2027_Days_Forecast]]*Table410[[#This Row],[Cost Boolean]]*(VLOOKUP(Table410[[#This Row],[RATE CONCAT]],Tables!I:N,6,0)),0)</f>
        <v>0</v>
      </c>
      <c r="EN64" s="13">
        <f>Table410[[#This Row],[Sep_2027_F]]-Table410[[#This Row],[Sep_2027_A]]</f>
        <v>0</v>
      </c>
      <c r="EO64" s="13">
        <f>IFERROR(Table410[[#This Row],[Oct_2027_Days_Forecast]]*Table410[[#This Row],[Cost Boolean]]*(VLOOKUP(Table410[[#This Row],[RATE CONCAT]],Tables!I:N,6,0)),0)</f>
        <v>0</v>
      </c>
      <c r="EQ64" s="13">
        <f>Table410[[#This Row],[Oct_2027_F]]-Table410[[#This Row],[Oct_2027_A]]</f>
        <v>0</v>
      </c>
      <c r="ER64" s="13">
        <f>IFERROR(Table410[[#This Row],[Nov_2027_Days_Forecast]]*Table410[[#This Row],[Cost Boolean]]*(VLOOKUP(Table410[[#This Row],[RATE CONCAT]],Tables!I:N,6,0)),0)</f>
        <v>0</v>
      </c>
      <c r="ET64" s="13">
        <f>Table410[[#This Row],[Nov_2027_F]]-Table410[[#This Row],[Nov_2027_A]]</f>
        <v>0</v>
      </c>
      <c r="EU64" s="13">
        <f>IFERROR(Table410[[#This Row],[Dec_2027_Days_Forecast]]*Table410[[#This Row],[Cost Boolean]]*(VLOOKUP(Table410[[#This Row],[RATE CONCAT]],Tables!I:N,6,0)),0)</f>
        <v>0</v>
      </c>
      <c r="EW64" s="13">
        <f>Table410[[#This Row],[Dec_2027_F]]-Table410[[#This Row],[Dec_2027_A]]</f>
        <v>0</v>
      </c>
    </row>
    <row r="65" spans="25:153" s="13" customFormat="1" ht="15" customHeight="1">
      <c r="Y65" s="13" t="str">
        <f>CONCATENATE(Table410[[#This Row],[JG]],Table410[[#This Row],[Country]],Table410[[#This Row],[Resource Provider]])</f>
        <v/>
      </c>
      <c r="Z65" s="13">
        <f>VLOOKUP(Table410[[#This Row],[RATE CONCAT]],Tables!I:N,5,0)</f>
        <v>0</v>
      </c>
      <c r="AA65" s="52"/>
      <c r="AB65" s="127"/>
      <c r="AC65" s="127"/>
      <c r="AD65" s="127"/>
      <c r="AE65" s="127"/>
      <c r="AF65" s="127"/>
      <c r="AG65" s="127"/>
      <c r="AH65" s="127"/>
      <c r="AI65" s="127"/>
      <c r="AJ65" s="127"/>
      <c r="AK65" s="127"/>
      <c r="AL65" s="127"/>
      <c r="AM65" s="127"/>
      <c r="AN65" s="176">
        <f>IFERROR(AVERAGE(Table410[[#This Row],[Jan_2026_Days_Forecast]:[Dec_2026_Days_Forecast]]),0)/19</f>
        <v>0</v>
      </c>
      <c r="AO65" s="176">
        <f>IFERROR(AVERAGE(Table410[[#This Row],[Jan_2026_Days_Actual]:[Dec_2026_Days_Actual]]),0)/19</f>
        <v>0</v>
      </c>
      <c r="BB65" s="176">
        <f>IFERROR(AVERAGE(Table410[[#This Row],[Jan_2027_Days_Forecast]:[Dec_2027_Days_Forecast]]),0)</f>
        <v>0</v>
      </c>
      <c r="BC65" s="128"/>
      <c r="BD65" s="128"/>
      <c r="BE65" s="128"/>
      <c r="BF65" s="128"/>
      <c r="BG65" s="128"/>
      <c r="BH65" s="128"/>
      <c r="BI65" s="128"/>
      <c r="BJ65" s="128"/>
      <c r="BK65" s="128"/>
      <c r="BL65" s="128"/>
      <c r="BM65" s="128"/>
      <c r="BN65" s="128"/>
      <c r="BO65" s="176"/>
      <c r="BP65" s="176"/>
      <c r="BQ65" s="13">
        <f>IFERROR(Table410[[#This Row],[Jan_2026_Days_Forecast]]*Table410[[#This Row],[Cost Boolean]]*(VLOOKUP(Table410[[#This Row],[RATE CONCAT]],Tables!I:N,5,0)),0)</f>
        <v>0</v>
      </c>
      <c r="BR65" s="13">
        <f>IFERROR(Table410[[#This Row],[Jan_2026_Days_Actual]]*Table410[[#This Row],[Cost Boolean]]*(VLOOKUP(Table410[[#This Row],[RATE CONCAT]],Tables!I:N,5,0)),0)</f>
        <v>0</v>
      </c>
      <c r="BS65" s="13">
        <f>Table410[[#This Row],[Jan_2026_F]]-Table410[[#This Row],[Jan_2026_A]]</f>
        <v>0</v>
      </c>
      <c r="BU65" s="13">
        <f>IFERROR(Table410[[#This Row],[Feb_2026_Days_Forecast]]*Table410[[#This Row],[Cost Boolean]]*(VLOOKUP(Table410[[#This Row],[RATE CONCAT]],Tables!I:N,5,0)),0)</f>
        <v>0</v>
      </c>
      <c r="BV65" s="13">
        <f>IFERROR(Table410[[#This Row],[Feb_2026_Days_Actual]]*Table410[[#This Row],[Cost Boolean]]*(VLOOKUP(Table410[[#This Row],[RATE CONCAT]],Tables!I:N,5,0)),0)</f>
        <v>0</v>
      </c>
      <c r="BW65" s="13">
        <f>Table410[[#This Row],[Feb_2026_F]]-Table410[[#This Row],[Feb_2026_A]]</f>
        <v>0</v>
      </c>
      <c r="BY65" s="13">
        <f>IFERROR(Table410[[#This Row],[Mar_2026_Days_Forecast]]*Table410[[#This Row],[Cost Boolean]]*(VLOOKUP(Table410[[#This Row],[RATE CONCAT]],Tables!I:N,5,0)),0)</f>
        <v>0</v>
      </c>
      <c r="BZ65" s="13">
        <f>IFERROR(Table410[[#This Row],[Mar_2026_Days_Actual]]*Table410[[#This Row],[Cost Boolean]]*(VLOOKUP(Table410[[#This Row],[RATE CONCAT]],Tables!I:N,5,0)),0)</f>
        <v>0</v>
      </c>
      <c r="CA65" s="13">
        <f>Table410[[#This Row],[Mar_2026_F]]-Table410[[#This Row],[Mar_2026_A]]</f>
        <v>0</v>
      </c>
      <c r="CC65" s="13">
        <f>IFERROR(Table410[[#This Row],[Apr_2026_Days_Forecast]]*Table410[[#This Row],[Cost Boolean]]*(VLOOKUP(Table410[[#This Row],[RATE CONCAT]],Tables!I:N,5,0)),0)</f>
        <v>0</v>
      </c>
      <c r="CD65" s="13">
        <f>IFERROR(Table410[[#This Row],[Apr_2026_Days_Actual]]*Table410[[#This Row],[Cost Boolean]]*(VLOOKUP(Table410[[#This Row],[RATE CONCAT]],Tables!I:N,5,0)),0)</f>
        <v>0</v>
      </c>
      <c r="CE65" s="13">
        <f>Table410[[#This Row],[Apr_2026_F]]-Table410[[#This Row],[Apr_2026_A]]</f>
        <v>0</v>
      </c>
      <c r="CG65" s="13">
        <f>IFERROR(Table410[[#This Row],[May_2026_Days_Forecast]] *Table410[[#This Row],[Cost Boolean]]*(VLOOKUP(Table410[[#This Row],[RATE CONCAT]],Tables!I:N,5,0)),0)</f>
        <v>0</v>
      </c>
      <c r="CH65" s="13">
        <f>IFERROR(Table410[[#This Row],[May_2026_Days_Actual]]*Table410[[#This Row],[Cost Boolean]]*(VLOOKUP(Table410[[#This Row],[RATE CONCAT]],Tables!I:N,5,0)),0)</f>
        <v>0</v>
      </c>
      <c r="CI65" s="13">
        <f>Table410[[#This Row],[May_2026_F]]-Table410[[#This Row],[May_2026_A]]</f>
        <v>0</v>
      </c>
      <c r="CK65" s="13">
        <f>IFERROR(Table410[[#This Row],[Jun_2026_Days_Forecast]]*Table410[[#This Row],[Cost Boolean]]*(VLOOKUP(Table410[[#This Row],[RATE CONCAT]],Tables!I:N,5,0)),0)</f>
        <v>0</v>
      </c>
      <c r="CL65" s="13">
        <f>IFERROR(Table410[[#This Row],[Jun_2026_Days_Actual]]*Table410[[#This Row],[Cost Boolean]]*(VLOOKUP(Table410[[#This Row],[RATE CONCAT]],Tables!I:N,5,0)),0)</f>
        <v>0</v>
      </c>
      <c r="CM65" s="13">
        <f>Table410[[#This Row],[Jun_2026_F]]-Table410[[#This Row],[Jun_2026_A]]</f>
        <v>0</v>
      </c>
      <c r="CO65" s="13">
        <f>IFERROR(Table410[[#This Row],[Jul_2026_Days_Forecast]]*Table410[[#This Row],[Cost Boolean]]*(VLOOKUP(Table410[[#This Row],[RATE CONCAT]],Tables!I:N,5,0)),0)</f>
        <v>0</v>
      </c>
      <c r="CP65" s="13">
        <f>IFERROR(Table410[[#This Row],[Jul_2026_Days_Actual]]*Table410[[#This Row],[Cost Boolean]]*(VLOOKUP(Table410[[#This Row],[RATE CONCAT]],Tables!I:N,5,0)),0)</f>
        <v>0</v>
      </c>
      <c r="CQ65" s="13">
        <f>Table410[[#This Row],[Jul_2026_F]]-Table410[[#This Row],[Jul_2026_A]]</f>
        <v>0</v>
      </c>
      <c r="CS65" s="13">
        <f>IFERROR(Table410[[#This Row],[Aug_2026_Days_Forecast]]*Table410[[#This Row],[Cost Boolean]]*(VLOOKUP(Table410[[#This Row],[RATE CONCAT]],Tables!I:N,5,0)),0)</f>
        <v>0</v>
      </c>
      <c r="CT65" s="13">
        <f>IFERROR(Table410[[#This Row],[Aug_2026_Days_Actual]]*Table410[[#This Row],[Cost Boolean]]*(VLOOKUP(Table410[[#This Row],[RATE CONCAT]],Tables!I:N,5,0)),0)</f>
        <v>0</v>
      </c>
      <c r="CU65" s="13">
        <f>Table410[[#This Row],[Aug_2026_F]]-Table410[[#This Row],[Aug_2026_A]]</f>
        <v>0</v>
      </c>
      <c r="CW65" s="13">
        <f>IFERROR(Table410[[#This Row],[Sep_2026_Days_Forecast]]*Table410[[#This Row],[Cost Boolean]]*(VLOOKUP(Table410[[#This Row],[RATE CONCAT]],Tables!I:N,5,0)),0)</f>
        <v>0</v>
      </c>
      <c r="CX65" s="13">
        <f>IFERROR(Table410[[#This Row],[Sep_2026_Days_Actual]]*Table410[[#This Row],[Cost Boolean]]*(VLOOKUP(Table410[[#This Row],[RATE CONCAT]],Tables!I:N,5,0)),0)</f>
        <v>0</v>
      </c>
      <c r="CY65" s="13">
        <f>Table410[[#This Row],[Sep_2026_F]]-Table410[[#This Row],[Sep_2026_A]]</f>
        <v>0</v>
      </c>
      <c r="DA65" s="13">
        <f>IFERROR(Table410[[#This Row],[Oct_2026_Days_Forecast]]*Table410[[#This Row],[Cost Boolean]]*(VLOOKUP(Table410[[#This Row],[RATE CONCAT]],Tables!I:N,5,0)),0)</f>
        <v>0</v>
      </c>
      <c r="DB65" s="13">
        <f>IFERROR(Table410[[#This Row],[Oct_2026_Days_Actual]]*Table410[[#This Row],[Cost Boolean]]*(VLOOKUP(Table410[[#This Row],[RATE CONCAT]],Tables!I:N,5,0)),0)</f>
        <v>0</v>
      </c>
      <c r="DC65" s="13">
        <f>Table410[[#This Row],[Oct_2026_F]]-Table410[[#This Row],[Oct_2026_A]]</f>
        <v>0</v>
      </c>
      <c r="DE65" s="13">
        <f>IFERROR(Table410[[#This Row],[Nov_2026_Days_Forecast]]*Table410[[#This Row],[Cost Boolean]]*(VLOOKUP(Table410[[#This Row],[RATE CONCAT]],Tables!I:N,5,0)),0)</f>
        <v>0</v>
      </c>
      <c r="DF65" s="13">
        <f>IFERROR(Table410[[#This Row],[Nov_2026_Days_Actual]]*Table410[[#This Row],[Cost Boolean]]*(VLOOKUP(Table410[[#This Row],[RATE CONCAT]],Tables!I:N,5,0)),0)</f>
        <v>0</v>
      </c>
      <c r="DG65" s="13">
        <f>Table410[[#This Row],[Nov_2026_F]]-Table410[[#This Row],[Nov_2026_A]]</f>
        <v>0</v>
      </c>
      <c r="DI65" s="13">
        <f>IFERROR(Table410[[#This Row],[Dec_2026_Days_Forecast]]*Table410[[#This Row],[Cost Boolean]]*(VLOOKUP(Table410[[#This Row],[RATE CONCAT]],Tables!I:N,5,0)),0)</f>
        <v>0</v>
      </c>
      <c r="DJ65" s="13">
        <f>IFERROR(Table410[[#This Row],[Dec_2026_Days_Actual]]*Table410[[#This Row],[Cost Boolean]]*(VLOOKUP(Table410[[#This Row],[RATE CONCAT]],Tables!I:N,5,0)),0)</f>
        <v>0</v>
      </c>
      <c r="DK65" s="13">
        <f>Table410[[#This Row],[Dec_2026_F]]-Table410[[#This Row],[Dec_2026_A]]</f>
        <v>0</v>
      </c>
      <c r="DN65" s="13">
        <f>IFERROR(Table410[[#This Row],[Jan_2027_Days_Forecast]]*Table410[[#This Row],[Cost Boolean]]*(VLOOKUP(Table410[[#This Row],[RATE CONCAT]],Tables!I:N,6,0)),0)</f>
        <v>0</v>
      </c>
      <c r="DP65" s="13">
        <f>Table410[[#This Row],[Jan_2027_F]]-Table410[[#This Row],[Jan_2027_A]]</f>
        <v>0</v>
      </c>
      <c r="DQ65" s="13">
        <f>IFERROR(Table410[[#This Row],[Feb_2027_Days_Forecast]]*Table410[[#This Row],[Cost Boolean]]*(VLOOKUP(Table410[[#This Row],[RATE CONCAT]],Tables!I:N,6,0)),0)</f>
        <v>0</v>
      </c>
      <c r="DS65" s="13">
        <f>Table410[[#This Row],[Feb_2027_F]]-Table410[[#This Row],[Feb_2027_A]]</f>
        <v>0</v>
      </c>
      <c r="DT65" s="13">
        <f>IFERROR(Table410[[#This Row],[Mar_2027_Days_Forecast]]*Table410[[#This Row],[Cost Boolean]]*(VLOOKUP(Table410[[#This Row],[RATE CONCAT]],Tables!I:N,6,0)),0)</f>
        <v>0</v>
      </c>
      <c r="DV65" s="13">
        <f>Table410[[#This Row],[Mar_2027_F]]-Table410[[#This Row],[Mar_2027_A]]</f>
        <v>0</v>
      </c>
      <c r="DW65" s="13">
        <f>IFERROR(Table410[[#This Row],[Apr_2027_Days_Forecast]]*Table410[[#This Row],[Cost Boolean]]*(VLOOKUP(Table410[[#This Row],[RATE CONCAT]],Tables!I:N,6,0)),0)</f>
        <v>0</v>
      </c>
      <c r="DY65" s="13">
        <f>Table410[[#This Row],[Apr_2027_F]]-Table410[[#This Row],[Apr_2027_A]]</f>
        <v>0</v>
      </c>
      <c r="DZ65" s="13">
        <f>IFERROR(Table410[[#This Row],[May_2027_Days_Forecast]]*Table410[[#This Row],[Cost Boolean]]*(VLOOKUP(Table410[[#This Row],[RATE CONCAT]],Tables!I:N,6,0)),0)</f>
        <v>0</v>
      </c>
      <c r="EB65" s="13">
        <f>Table410[[#This Row],[May_2027_F]]-Table410[[#This Row],[May_2027_A]]</f>
        <v>0</v>
      </c>
      <c r="EC65" s="13">
        <f>IFERROR(Table410[[#This Row],[Jun_2027_Days_Forecast]]*Table410[[#This Row],[Cost Boolean]]*(VLOOKUP(Table410[[#This Row],[RATE CONCAT]],Tables!I:N,6,0)),0)</f>
        <v>0</v>
      </c>
      <c r="EE65" s="13">
        <f>Table410[[#This Row],[Jun_2027_F]]-Table410[[#This Row],[Jun_2027_A]]</f>
        <v>0</v>
      </c>
      <c r="EF65" s="13">
        <f>IFERROR(Table410[[#This Row],[Jul_2027_Days_Forecast]]*Table410[[#This Row],[Cost Boolean]]*(VLOOKUP(Table410[[#This Row],[RATE CONCAT]],Tables!I:N,6,0)),0)</f>
        <v>0</v>
      </c>
      <c r="EH65" s="13">
        <f>Table410[[#This Row],[Jul_2027_F]]-Table410[[#This Row],[Jul_2027_A]]</f>
        <v>0</v>
      </c>
      <c r="EI65" s="13">
        <f>IFERROR(Table410[[#This Row],[Aug_2027_Days_Forecast]]*Table410[[#This Row],[Cost Boolean]]*(VLOOKUP(Table410[[#This Row],[RATE CONCAT]],Tables!I:N,6,0)),0)</f>
        <v>0</v>
      </c>
      <c r="EK65" s="13">
        <f>Table410[[#This Row],[Aug_2027_F]]-Table410[[#This Row],[Aug_2027_A]]</f>
        <v>0</v>
      </c>
      <c r="EL65" s="13">
        <f>IFERROR(Table410[[#This Row],[Sep_2027_Days_Forecast]]*Table410[[#This Row],[Cost Boolean]]*(VLOOKUP(Table410[[#This Row],[RATE CONCAT]],Tables!I:N,6,0)),0)</f>
        <v>0</v>
      </c>
      <c r="EN65" s="13">
        <f>Table410[[#This Row],[Sep_2027_F]]-Table410[[#This Row],[Sep_2027_A]]</f>
        <v>0</v>
      </c>
      <c r="EO65" s="13">
        <f>IFERROR(Table410[[#This Row],[Oct_2027_Days_Forecast]]*Table410[[#This Row],[Cost Boolean]]*(VLOOKUP(Table410[[#This Row],[RATE CONCAT]],Tables!I:N,6,0)),0)</f>
        <v>0</v>
      </c>
      <c r="EQ65" s="13">
        <f>Table410[[#This Row],[Oct_2027_F]]-Table410[[#This Row],[Oct_2027_A]]</f>
        <v>0</v>
      </c>
      <c r="ER65" s="13">
        <f>IFERROR(Table410[[#This Row],[Nov_2027_Days_Forecast]]*Table410[[#This Row],[Cost Boolean]]*(VLOOKUP(Table410[[#This Row],[RATE CONCAT]],Tables!I:N,6,0)),0)</f>
        <v>0</v>
      </c>
      <c r="ET65" s="13">
        <f>Table410[[#This Row],[Nov_2027_F]]-Table410[[#This Row],[Nov_2027_A]]</f>
        <v>0</v>
      </c>
      <c r="EU65" s="13">
        <f>IFERROR(Table410[[#This Row],[Dec_2027_Days_Forecast]]*Table410[[#This Row],[Cost Boolean]]*(VLOOKUP(Table410[[#This Row],[RATE CONCAT]],Tables!I:N,6,0)),0)</f>
        <v>0</v>
      </c>
      <c r="EW65" s="13">
        <f>Table410[[#This Row],[Dec_2027_F]]-Table410[[#This Row],[Dec_2027_A]]</f>
        <v>0</v>
      </c>
    </row>
    <row r="66" spans="25:153" s="13" customFormat="1" ht="15" customHeight="1">
      <c r="Y66" s="13" t="str">
        <f>CONCATENATE(Table410[[#This Row],[JG]],Table410[[#This Row],[Country]],Table410[[#This Row],[Resource Provider]])</f>
        <v/>
      </c>
      <c r="Z66" s="13">
        <f>VLOOKUP(Table410[[#This Row],[RATE CONCAT]],Tables!I:N,5,0)</f>
        <v>0</v>
      </c>
      <c r="AA66" s="52"/>
      <c r="AB66" s="127"/>
      <c r="AC66" s="127"/>
      <c r="AD66" s="127"/>
      <c r="AE66" s="127"/>
      <c r="AF66" s="127"/>
      <c r="AG66" s="127"/>
      <c r="AH66" s="127"/>
      <c r="AI66" s="127"/>
      <c r="AJ66" s="127"/>
      <c r="AK66" s="127"/>
      <c r="AL66" s="127"/>
      <c r="AM66" s="127"/>
      <c r="AN66" s="176">
        <f>IFERROR(AVERAGE(Table410[[#This Row],[Jan_2026_Days_Forecast]:[Dec_2026_Days_Forecast]]),0)/19</f>
        <v>0</v>
      </c>
      <c r="AO66" s="176">
        <f>IFERROR(AVERAGE(Table410[[#This Row],[Jan_2026_Days_Actual]:[Dec_2026_Days_Actual]]),0)/19</f>
        <v>0</v>
      </c>
      <c r="BB66" s="176">
        <f>IFERROR(AVERAGE(Table410[[#This Row],[Jan_2027_Days_Forecast]:[Dec_2027_Days_Forecast]]),0)</f>
        <v>0</v>
      </c>
      <c r="BC66" s="127"/>
      <c r="BD66" s="127"/>
      <c r="BE66" s="127"/>
      <c r="BF66" s="127"/>
      <c r="BG66" s="127"/>
      <c r="BH66" s="127"/>
      <c r="BI66" s="127"/>
      <c r="BJ66" s="127"/>
      <c r="BK66" s="127"/>
      <c r="BL66" s="127"/>
      <c r="BM66" s="127"/>
      <c r="BN66" s="127"/>
      <c r="BO66" s="176"/>
      <c r="BP66" s="176"/>
      <c r="BQ66" s="13">
        <f>IFERROR(Table410[[#This Row],[Jan_2026_Days_Forecast]]*Table410[[#This Row],[Cost Boolean]]*(VLOOKUP(Table410[[#This Row],[RATE CONCAT]],Tables!I:N,5,0)),0)</f>
        <v>0</v>
      </c>
      <c r="BR66" s="13">
        <f>IFERROR(Table410[[#This Row],[Jan_2026_Days_Actual]]*Table410[[#This Row],[Cost Boolean]]*(VLOOKUP(Table410[[#This Row],[RATE CONCAT]],Tables!I:N,5,0)),0)</f>
        <v>0</v>
      </c>
      <c r="BS66" s="13">
        <f>Table410[[#This Row],[Jan_2026_F]]-Table410[[#This Row],[Jan_2026_A]]</f>
        <v>0</v>
      </c>
      <c r="BU66" s="13">
        <f>IFERROR(Table410[[#This Row],[Feb_2026_Days_Forecast]]*Table410[[#This Row],[Cost Boolean]]*(VLOOKUP(Table410[[#This Row],[RATE CONCAT]],Tables!I:N,5,0)),0)</f>
        <v>0</v>
      </c>
      <c r="BV66" s="13">
        <f>IFERROR(Table410[[#This Row],[Feb_2026_Days_Actual]]*Table410[[#This Row],[Cost Boolean]]*(VLOOKUP(Table410[[#This Row],[RATE CONCAT]],Tables!I:N,5,0)),0)</f>
        <v>0</v>
      </c>
      <c r="BW66" s="13">
        <f>Table410[[#This Row],[Feb_2026_F]]-Table410[[#This Row],[Feb_2026_A]]</f>
        <v>0</v>
      </c>
      <c r="BY66" s="13">
        <f>IFERROR(Table410[[#This Row],[Mar_2026_Days_Forecast]]*Table410[[#This Row],[Cost Boolean]]*(VLOOKUP(Table410[[#This Row],[RATE CONCAT]],Tables!I:N,5,0)),0)</f>
        <v>0</v>
      </c>
      <c r="BZ66" s="13">
        <f>IFERROR(Table410[[#This Row],[Mar_2026_Days_Actual]]*Table410[[#This Row],[Cost Boolean]]*(VLOOKUP(Table410[[#This Row],[RATE CONCAT]],Tables!I:N,5,0)),0)</f>
        <v>0</v>
      </c>
      <c r="CA66" s="13">
        <f>Table410[[#This Row],[Mar_2026_F]]-Table410[[#This Row],[Mar_2026_A]]</f>
        <v>0</v>
      </c>
      <c r="CC66" s="13">
        <f>IFERROR(Table410[[#This Row],[Apr_2026_Days_Forecast]]*Table410[[#This Row],[Cost Boolean]]*(VLOOKUP(Table410[[#This Row],[RATE CONCAT]],Tables!I:N,5,0)),0)</f>
        <v>0</v>
      </c>
      <c r="CD66" s="13">
        <f>IFERROR(Table410[[#This Row],[Apr_2026_Days_Actual]]*Table410[[#This Row],[Cost Boolean]]*(VLOOKUP(Table410[[#This Row],[RATE CONCAT]],Tables!I:N,5,0)),0)</f>
        <v>0</v>
      </c>
      <c r="CE66" s="13">
        <f>Table410[[#This Row],[Apr_2026_F]]-Table410[[#This Row],[Apr_2026_A]]</f>
        <v>0</v>
      </c>
      <c r="CG66" s="13">
        <f>IFERROR(Table410[[#This Row],[May_2026_Days_Forecast]] *Table410[[#This Row],[Cost Boolean]]*(VLOOKUP(Table410[[#This Row],[RATE CONCAT]],Tables!I:N,5,0)),0)</f>
        <v>0</v>
      </c>
      <c r="CH66" s="13">
        <f>IFERROR(Table410[[#This Row],[May_2026_Days_Actual]]*Table410[[#This Row],[Cost Boolean]]*(VLOOKUP(Table410[[#This Row],[RATE CONCAT]],Tables!I:N,5,0)),0)</f>
        <v>0</v>
      </c>
      <c r="CI66" s="13">
        <f>Table410[[#This Row],[May_2026_F]]-Table410[[#This Row],[May_2026_A]]</f>
        <v>0</v>
      </c>
      <c r="CK66" s="13">
        <f>IFERROR(Table410[[#This Row],[Jun_2026_Days_Forecast]]*Table410[[#This Row],[Cost Boolean]]*(VLOOKUP(Table410[[#This Row],[RATE CONCAT]],Tables!I:N,5,0)),0)</f>
        <v>0</v>
      </c>
      <c r="CL66" s="13">
        <f>IFERROR(Table410[[#This Row],[Jun_2026_Days_Actual]]*Table410[[#This Row],[Cost Boolean]]*(VLOOKUP(Table410[[#This Row],[RATE CONCAT]],Tables!I:N,5,0)),0)</f>
        <v>0</v>
      </c>
      <c r="CM66" s="13">
        <f>Table410[[#This Row],[Jun_2026_F]]-Table410[[#This Row],[Jun_2026_A]]</f>
        <v>0</v>
      </c>
      <c r="CO66" s="13">
        <f>IFERROR(Table410[[#This Row],[Jul_2026_Days_Forecast]]*Table410[[#This Row],[Cost Boolean]]*(VLOOKUP(Table410[[#This Row],[RATE CONCAT]],Tables!I:N,5,0)),0)</f>
        <v>0</v>
      </c>
      <c r="CP66" s="13">
        <f>IFERROR(Table410[[#This Row],[Jul_2026_Days_Actual]]*Table410[[#This Row],[Cost Boolean]]*(VLOOKUP(Table410[[#This Row],[RATE CONCAT]],Tables!I:N,5,0)),0)</f>
        <v>0</v>
      </c>
      <c r="CQ66" s="13">
        <f>Table410[[#This Row],[Jul_2026_F]]-Table410[[#This Row],[Jul_2026_A]]</f>
        <v>0</v>
      </c>
      <c r="CS66" s="13">
        <f>IFERROR(Table410[[#This Row],[Aug_2026_Days_Forecast]]*Table410[[#This Row],[Cost Boolean]]*(VLOOKUP(Table410[[#This Row],[RATE CONCAT]],Tables!I:N,5,0)),0)</f>
        <v>0</v>
      </c>
      <c r="CT66" s="13">
        <f>IFERROR(Table410[[#This Row],[Aug_2026_Days_Actual]]*Table410[[#This Row],[Cost Boolean]]*(VLOOKUP(Table410[[#This Row],[RATE CONCAT]],Tables!I:N,5,0)),0)</f>
        <v>0</v>
      </c>
      <c r="CU66" s="13">
        <f>Table410[[#This Row],[Aug_2026_F]]-Table410[[#This Row],[Aug_2026_A]]</f>
        <v>0</v>
      </c>
      <c r="CW66" s="13">
        <f>IFERROR(Table410[[#This Row],[Sep_2026_Days_Forecast]]*Table410[[#This Row],[Cost Boolean]]*(VLOOKUP(Table410[[#This Row],[RATE CONCAT]],Tables!I:N,5,0)),0)</f>
        <v>0</v>
      </c>
      <c r="CX66" s="13">
        <f>IFERROR(Table410[[#This Row],[Sep_2026_Days_Actual]]*Table410[[#This Row],[Cost Boolean]]*(VLOOKUP(Table410[[#This Row],[RATE CONCAT]],Tables!I:N,5,0)),0)</f>
        <v>0</v>
      </c>
      <c r="CY66" s="13">
        <f>Table410[[#This Row],[Sep_2026_F]]-Table410[[#This Row],[Sep_2026_A]]</f>
        <v>0</v>
      </c>
      <c r="DA66" s="13">
        <f>IFERROR(Table410[[#This Row],[Oct_2026_Days_Forecast]]*Table410[[#This Row],[Cost Boolean]]*(VLOOKUP(Table410[[#This Row],[RATE CONCAT]],Tables!I:N,5,0)),0)</f>
        <v>0</v>
      </c>
      <c r="DB66" s="13">
        <f>IFERROR(Table410[[#This Row],[Oct_2026_Days_Actual]]*Table410[[#This Row],[Cost Boolean]]*(VLOOKUP(Table410[[#This Row],[RATE CONCAT]],Tables!I:N,5,0)),0)</f>
        <v>0</v>
      </c>
      <c r="DC66" s="13">
        <f>Table410[[#This Row],[Oct_2026_F]]-Table410[[#This Row],[Oct_2026_A]]</f>
        <v>0</v>
      </c>
      <c r="DE66" s="13">
        <f>IFERROR(Table410[[#This Row],[Nov_2026_Days_Forecast]]*Table410[[#This Row],[Cost Boolean]]*(VLOOKUP(Table410[[#This Row],[RATE CONCAT]],Tables!I:N,5,0)),0)</f>
        <v>0</v>
      </c>
      <c r="DF66" s="13">
        <f>IFERROR(Table410[[#This Row],[Nov_2026_Days_Actual]]*Table410[[#This Row],[Cost Boolean]]*(VLOOKUP(Table410[[#This Row],[RATE CONCAT]],Tables!I:N,5,0)),0)</f>
        <v>0</v>
      </c>
      <c r="DG66" s="13">
        <f>Table410[[#This Row],[Nov_2026_F]]-Table410[[#This Row],[Nov_2026_A]]</f>
        <v>0</v>
      </c>
      <c r="DI66" s="13">
        <f>IFERROR(Table410[[#This Row],[Dec_2026_Days_Forecast]]*Table410[[#This Row],[Cost Boolean]]*(VLOOKUP(Table410[[#This Row],[RATE CONCAT]],Tables!I:N,5,0)),0)</f>
        <v>0</v>
      </c>
      <c r="DJ66" s="13">
        <f>IFERROR(Table410[[#This Row],[Dec_2026_Days_Actual]]*Table410[[#This Row],[Cost Boolean]]*(VLOOKUP(Table410[[#This Row],[RATE CONCAT]],Tables!I:N,5,0)),0)</f>
        <v>0</v>
      </c>
      <c r="DK66" s="13">
        <f>Table410[[#This Row],[Dec_2026_F]]-Table410[[#This Row],[Dec_2026_A]]</f>
        <v>0</v>
      </c>
      <c r="DN66" s="13">
        <f>IFERROR(Table410[[#This Row],[Jan_2027_Days_Forecast]]*Table410[[#This Row],[Cost Boolean]]*(VLOOKUP(Table410[[#This Row],[RATE CONCAT]],Tables!I:N,6,0)),0)</f>
        <v>0</v>
      </c>
      <c r="DP66" s="13">
        <f>Table410[[#This Row],[Jan_2027_F]]-Table410[[#This Row],[Jan_2027_A]]</f>
        <v>0</v>
      </c>
      <c r="DQ66" s="13">
        <f>IFERROR(Table410[[#This Row],[Feb_2027_Days_Forecast]]*Table410[[#This Row],[Cost Boolean]]*(VLOOKUP(Table410[[#This Row],[RATE CONCAT]],Tables!I:N,6,0)),0)</f>
        <v>0</v>
      </c>
      <c r="DS66" s="13">
        <f>Table410[[#This Row],[Feb_2027_F]]-Table410[[#This Row],[Feb_2027_A]]</f>
        <v>0</v>
      </c>
      <c r="DT66" s="13">
        <f>IFERROR(Table410[[#This Row],[Mar_2027_Days_Forecast]]*Table410[[#This Row],[Cost Boolean]]*(VLOOKUP(Table410[[#This Row],[RATE CONCAT]],Tables!I:N,6,0)),0)</f>
        <v>0</v>
      </c>
      <c r="DV66" s="13">
        <f>Table410[[#This Row],[Mar_2027_F]]-Table410[[#This Row],[Mar_2027_A]]</f>
        <v>0</v>
      </c>
      <c r="DW66" s="13">
        <f>IFERROR(Table410[[#This Row],[Apr_2027_Days_Forecast]]*Table410[[#This Row],[Cost Boolean]]*(VLOOKUP(Table410[[#This Row],[RATE CONCAT]],Tables!I:N,6,0)),0)</f>
        <v>0</v>
      </c>
      <c r="DY66" s="13">
        <f>Table410[[#This Row],[Apr_2027_F]]-Table410[[#This Row],[Apr_2027_A]]</f>
        <v>0</v>
      </c>
      <c r="DZ66" s="13">
        <f>IFERROR(Table410[[#This Row],[May_2027_Days_Forecast]]*Table410[[#This Row],[Cost Boolean]]*(VLOOKUP(Table410[[#This Row],[RATE CONCAT]],Tables!I:N,6,0)),0)</f>
        <v>0</v>
      </c>
      <c r="EB66" s="13">
        <f>Table410[[#This Row],[May_2027_F]]-Table410[[#This Row],[May_2027_A]]</f>
        <v>0</v>
      </c>
      <c r="EC66" s="13">
        <f>IFERROR(Table410[[#This Row],[Jun_2027_Days_Forecast]]*Table410[[#This Row],[Cost Boolean]]*(VLOOKUP(Table410[[#This Row],[RATE CONCAT]],Tables!I:N,6,0)),0)</f>
        <v>0</v>
      </c>
      <c r="EE66" s="13">
        <f>Table410[[#This Row],[Jun_2027_F]]-Table410[[#This Row],[Jun_2027_A]]</f>
        <v>0</v>
      </c>
      <c r="EF66" s="13">
        <f>IFERROR(Table410[[#This Row],[Jul_2027_Days_Forecast]]*Table410[[#This Row],[Cost Boolean]]*(VLOOKUP(Table410[[#This Row],[RATE CONCAT]],Tables!I:N,6,0)),0)</f>
        <v>0</v>
      </c>
      <c r="EH66" s="13">
        <f>Table410[[#This Row],[Jul_2027_F]]-Table410[[#This Row],[Jul_2027_A]]</f>
        <v>0</v>
      </c>
      <c r="EI66" s="13">
        <f>IFERROR(Table410[[#This Row],[Aug_2027_Days_Forecast]]*Table410[[#This Row],[Cost Boolean]]*(VLOOKUP(Table410[[#This Row],[RATE CONCAT]],Tables!I:N,6,0)),0)</f>
        <v>0</v>
      </c>
      <c r="EK66" s="13">
        <f>Table410[[#This Row],[Aug_2027_F]]-Table410[[#This Row],[Aug_2027_A]]</f>
        <v>0</v>
      </c>
      <c r="EL66" s="13">
        <f>IFERROR(Table410[[#This Row],[Sep_2027_Days_Forecast]]*Table410[[#This Row],[Cost Boolean]]*(VLOOKUP(Table410[[#This Row],[RATE CONCAT]],Tables!I:N,6,0)),0)</f>
        <v>0</v>
      </c>
      <c r="EN66" s="13">
        <f>Table410[[#This Row],[Sep_2027_F]]-Table410[[#This Row],[Sep_2027_A]]</f>
        <v>0</v>
      </c>
      <c r="EO66" s="13">
        <f>IFERROR(Table410[[#This Row],[Oct_2027_Days_Forecast]]*Table410[[#This Row],[Cost Boolean]]*(VLOOKUP(Table410[[#This Row],[RATE CONCAT]],Tables!I:N,6,0)),0)</f>
        <v>0</v>
      </c>
      <c r="EQ66" s="13">
        <f>Table410[[#This Row],[Oct_2027_F]]-Table410[[#This Row],[Oct_2027_A]]</f>
        <v>0</v>
      </c>
      <c r="ER66" s="13">
        <f>IFERROR(Table410[[#This Row],[Nov_2027_Days_Forecast]]*Table410[[#This Row],[Cost Boolean]]*(VLOOKUP(Table410[[#This Row],[RATE CONCAT]],Tables!I:N,6,0)),0)</f>
        <v>0</v>
      </c>
      <c r="ET66" s="13">
        <f>Table410[[#This Row],[Nov_2027_F]]-Table410[[#This Row],[Nov_2027_A]]</f>
        <v>0</v>
      </c>
      <c r="EU66" s="13">
        <f>IFERROR(Table410[[#This Row],[Dec_2027_Days_Forecast]]*Table410[[#This Row],[Cost Boolean]]*(VLOOKUP(Table410[[#This Row],[RATE CONCAT]],Tables!I:N,6,0)),0)</f>
        <v>0</v>
      </c>
      <c r="EW66" s="13">
        <f>Table410[[#This Row],[Dec_2027_F]]-Table410[[#This Row],[Dec_2027_A]]</f>
        <v>0</v>
      </c>
    </row>
    <row r="67" spans="25:153" s="13" customFormat="1" ht="15" customHeight="1">
      <c r="Y67" s="13" t="str">
        <f>CONCATENATE(Table410[[#This Row],[JG]],Table410[[#This Row],[Country]],Table410[[#This Row],[Resource Provider]])</f>
        <v/>
      </c>
      <c r="Z67" s="13">
        <f>VLOOKUP(Table410[[#This Row],[RATE CONCAT]],Tables!I:N,5,0)</f>
        <v>0</v>
      </c>
      <c r="AA67" s="52"/>
      <c r="AB67" s="127"/>
      <c r="AC67" s="127"/>
      <c r="AD67" s="127"/>
      <c r="AE67" s="127"/>
      <c r="AF67" s="127"/>
      <c r="AG67" s="127"/>
      <c r="AH67" s="127"/>
      <c r="AI67" s="127"/>
      <c r="AJ67" s="127"/>
      <c r="AK67" s="127"/>
      <c r="AL67" s="127"/>
      <c r="AM67" s="127"/>
      <c r="AN67" s="176">
        <f>IFERROR(AVERAGE(Table410[[#This Row],[Jan_2026_Days_Forecast]:[Dec_2026_Days_Forecast]]),0)/19</f>
        <v>0</v>
      </c>
      <c r="AO67" s="176">
        <f>IFERROR(AVERAGE(Table410[[#This Row],[Jan_2026_Days_Actual]:[Dec_2026_Days_Actual]]),0)/19</f>
        <v>0</v>
      </c>
      <c r="BB67" s="176">
        <f>IFERROR(AVERAGE(Table410[[#This Row],[Jan_2027_Days_Forecast]:[Dec_2027_Days_Forecast]]),0)</f>
        <v>0</v>
      </c>
      <c r="BC67" s="127"/>
      <c r="BD67" s="127"/>
      <c r="BE67" s="127"/>
      <c r="BF67" s="127"/>
      <c r="BG67" s="127"/>
      <c r="BH67" s="127"/>
      <c r="BI67" s="127"/>
      <c r="BJ67" s="127"/>
      <c r="BK67" s="127"/>
      <c r="BL67" s="127"/>
      <c r="BM67" s="127"/>
      <c r="BN67" s="127"/>
      <c r="BO67" s="176"/>
      <c r="BP67" s="176"/>
      <c r="BQ67" s="13">
        <f>IFERROR(Table410[[#This Row],[Jan_2026_Days_Forecast]]*Table410[[#This Row],[Cost Boolean]]*(VLOOKUP(Table410[[#This Row],[RATE CONCAT]],Tables!I:N,5,0)),0)</f>
        <v>0</v>
      </c>
      <c r="BR67" s="13">
        <f>IFERROR(Table410[[#This Row],[Jan_2026_Days_Actual]]*Table410[[#This Row],[Cost Boolean]]*(VLOOKUP(Table410[[#This Row],[RATE CONCAT]],Tables!I:N,5,0)),0)</f>
        <v>0</v>
      </c>
      <c r="BS67" s="13">
        <f>Table410[[#This Row],[Jan_2026_F]]-Table410[[#This Row],[Jan_2026_A]]</f>
        <v>0</v>
      </c>
      <c r="BU67" s="13">
        <f>IFERROR(Table410[[#This Row],[Feb_2026_Days_Forecast]]*Table410[[#This Row],[Cost Boolean]]*(VLOOKUP(Table410[[#This Row],[RATE CONCAT]],Tables!I:N,5,0)),0)</f>
        <v>0</v>
      </c>
      <c r="BV67" s="13">
        <f>IFERROR(Table410[[#This Row],[Feb_2026_Days_Actual]]*Table410[[#This Row],[Cost Boolean]]*(VLOOKUP(Table410[[#This Row],[RATE CONCAT]],Tables!I:N,5,0)),0)</f>
        <v>0</v>
      </c>
      <c r="BW67" s="13">
        <f>Table410[[#This Row],[Feb_2026_F]]-Table410[[#This Row],[Feb_2026_A]]</f>
        <v>0</v>
      </c>
      <c r="BY67" s="13">
        <f>IFERROR(Table410[[#This Row],[Mar_2026_Days_Forecast]]*Table410[[#This Row],[Cost Boolean]]*(VLOOKUP(Table410[[#This Row],[RATE CONCAT]],Tables!I:N,5,0)),0)</f>
        <v>0</v>
      </c>
      <c r="BZ67" s="13">
        <f>IFERROR(Table410[[#This Row],[Mar_2026_Days_Actual]]*Table410[[#This Row],[Cost Boolean]]*(VLOOKUP(Table410[[#This Row],[RATE CONCAT]],Tables!I:N,5,0)),0)</f>
        <v>0</v>
      </c>
      <c r="CA67" s="13">
        <f>Table410[[#This Row],[Mar_2026_F]]-Table410[[#This Row],[Mar_2026_A]]</f>
        <v>0</v>
      </c>
      <c r="CC67" s="13">
        <f>IFERROR(Table410[[#This Row],[Apr_2026_Days_Forecast]]*Table410[[#This Row],[Cost Boolean]]*(VLOOKUP(Table410[[#This Row],[RATE CONCAT]],Tables!I:N,5,0)),0)</f>
        <v>0</v>
      </c>
      <c r="CD67" s="13">
        <f>IFERROR(Table410[[#This Row],[Apr_2026_Days_Actual]]*Table410[[#This Row],[Cost Boolean]]*(VLOOKUP(Table410[[#This Row],[RATE CONCAT]],Tables!I:N,5,0)),0)</f>
        <v>0</v>
      </c>
      <c r="CE67" s="13">
        <f>Table410[[#This Row],[Apr_2026_F]]-Table410[[#This Row],[Apr_2026_A]]</f>
        <v>0</v>
      </c>
      <c r="CG67" s="13">
        <f>IFERROR(Table410[[#This Row],[May_2026_Days_Forecast]] *Table410[[#This Row],[Cost Boolean]]*(VLOOKUP(Table410[[#This Row],[RATE CONCAT]],Tables!I:N,5,0)),0)</f>
        <v>0</v>
      </c>
      <c r="CH67" s="13">
        <f>IFERROR(Table410[[#This Row],[May_2026_Days_Actual]]*Table410[[#This Row],[Cost Boolean]]*(VLOOKUP(Table410[[#This Row],[RATE CONCAT]],Tables!I:N,5,0)),0)</f>
        <v>0</v>
      </c>
      <c r="CI67" s="13">
        <f>Table410[[#This Row],[May_2026_F]]-Table410[[#This Row],[May_2026_A]]</f>
        <v>0</v>
      </c>
      <c r="CK67" s="13">
        <f>IFERROR(Table410[[#This Row],[Jun_2026_Days_Forecast]]*Table410[[#This Row],[Cost Boolean]]*(VLOOKUP(Table410[[#This Row],[RATE CONCAT]],Tables!I:N,5,0)),0)</f>
        <v>0</v>
      </c>
      <c r="CL67" s="13">
        <f>IFERROR(Table410[[#This Row],[Jun_2026_Days_Actual]]*Table410[[#This Row],[Cost Boolean]]*(VLOOKUP(Table410[[#This Row],[RATE CONCAT]],Tables!I:N,5,0)),0)</f>
        <v>0</v>
      </c>
      <c r="CM67" s="13">
        <f>Table410[[#This Row],[Jun_2026_F]]-Table410[[#This Row],[Jun_2026_A]]</f>
        <v>0</v>
      </c>
      <c r="CO67" s="13">
        <f>IFERROR(Table410[[#This Row],[Jul_2026_Days_Forecast]]*Table410[[#This Row],[Cost Boolean]]*(VLOOKUP(Table410[[#This Row],[RATE CONCAT]],Tables!I:N,5,0)),0)</f>
        <v>0</v>
      </c>
      <c r="CP67" s="13">
        <f>IFERROR(Table410[[#This Row],[Jul_2026_Days_Actual]]*Table410[[#This Row],[Cost Boolean]]*(VLOOKUP(Table410[[#This Row],[RATE CONCAT]],Tables!I:N,5,0)),0)</f>
        <v>0</v>
      </c>
      <c r="CQ67" s="13">
        <f>Table410[[#This Row],[Jul_2026_F]]-Table410[[#This Row],[Jul_2026_A]]</f>
        <v>0</v>
      </c>
      <c r="CS67" s="13">
        <f>IFERROR(Table410[[#This Row],[Aug_2026_Days_Forecast]]*Table410[[#This Row],[Cost Boolean]]*(VLOOKUP(Table410[[#This Row],[RATE CONCAT]],Tables!I:N,5,0)),0)</f>
        <v>0</v>
      </c>
      <c r="CT67" s="13">
        <f>IFERROR(Table410[[#This Row],[Aug_2026_Days_Actual]]*Table410[[#This Row],[Cost Boolean]]*(VLOOKUP(Table410[[#This Row],[RATE CONCAT]],Tables!I:N,5,0)),0)</f>
        <v>0</v>
      </c>
      <c r="CU67" s="13">
        <f>Table410[[#This Row],[Aug_2026_F]]-Table410[[#This Row],[Aug_2026_A]]</f>
        <v>0</v>
      </c>
      <c r="CW67" s="13">
        <f>IFERROR(Table410[[#This Row],[Sep_2026_Days_Forecast]]*Table410[[#This Row],[Cost Boolean]]*(VLOOKUP(Table410[[#This Row],[RATE CONCAT]],Tables!I:N,5,0)),0)</f>
        <v>0</v>
      </c>
      <c r="CX67" s="13">
        <f>IFERROR(Table410[[#This Row],[Sep_2026_Days_Actual]]*Table410[[#This Row],[Cost Boolean]]*(VLOOKUP(Table410[[#This Row],[RATE CONCAT]],Tables!I:N,5,0)),0)</f>
        <v>0</v>
      </c>
      <c r="CY67" s="13">
        <f>Table410[[#This Row],[Sep_2026_F]]-Table410[[#This Row],[Sep_2026_A]]</f>
        <v>0</v>
      </c>
      <c r="DA67" s="13">
        <f>IFERROR(Table410[[#This Row],[Oct_2026_Days_Forecast]]*Table410[[#This Row],[Cost Boolean]]*(VLOOKUP(Table410[[#This Row],[RATE CONCAT]],Tables!I:N,5,0)),0)</f>
        <v>0</v>
      </c>
      <c r="DB67" s="13">
        <f>IFERROR(Table410[[#This Row],[Oct_2026_Days_Actual]]*Table410[[#This Row],[Cost Boolean]]*(VLOOKUP(Table410[[#This Row],[RATE CONCAT]],Tables!I:N,5,0)),0)</f>
        <v>0</v>
      </c>
      <c r="DC67" s="13">
        <f>Table410[[#This Row],[Oct_2026_F]]-Table410[[#This Row],[Oct_2026_A]]</f>
        <v>0</v>
      </c>
      <c r="DE67" s="13">
        <f>IFERROR(Table410[[#This Row],[Nov_2026_Days_Forecast]]*Table410[[#This Row],[Cost Boolean]]*(VLOOKUP(Table410[[#This Row],[RATE CONCAT]],Tables!I:N,5,0)),0)</f>
        <v>0</v>
      </c>
      <c r="DF67" s="13">
        <f>IFERROR(Table410[[#This Row],[Nov_2026_Days_Actual]]*Table410[[#This Row],[Cost Boolean]]*(VLOOKUP(Table410[[#This Row],[RATE CONCAT]],Tables!I:N,5,0)),0)</f>
        <v>0</v>
      </c>
      <c r="DG67" s="13">
        <f>Table410[[#This Row],[Nov_2026_F]]-Table410[[#This Row],[Nov_2026_A]]</f>
        <v>0</v>
      </c>
      <c r="DI67" s="13">
        <f>IFERROR(Table410[[#This Row],[Dec_2026_Days_Forecast]]*Table410[[#This Row],[Cost Boolean]]*(VLOOKUP(Table410[[#This Row],[RATE CONCAT]],Tables!I:N,5,0)),0)</f>
        <v>0</v>
      </c>
      <c r="DJ67" s="13">
        <f>IFERROR(Table410[[#This Row],[Dec_2026_Days_Actual]]*Table410[[#This Row],[Cost Boolean]]*(VLOOKUP(Table410[[#This Row],[RATE CONCAT]],Tables!I:N,5,0)),0)</f>
        <v>0</v>
      </c>
      <c r="DK67" s="13">
        <f>Table410[[#This Row],[Dec_2026_F]]-Table410[[#This Row],[Dec_2026_A]]</f>
        <v>0</v>
      </c>
      <c r="DN67" s="13">
        <f>IFERROR(Table410[[#This Row],[Jan_2027_Days_Forecast]]*Table410[[#This Row],[Cost Boolean]]*(VLOOKUP(Table410[[#This Row],[RATE CONCAT]],Tables!I:N,6,0)),0)</f>
        <v>0</v>
      </c>
      <c r="DP67" s="13">
        <f>Table410[[#This Row],[Jan_2027_F]]-Table410[[#This Row],[Jan_2027_A]]</f>
        <v>0</v>
      </c>
      <c r="DQ67" s="13">
        <f>IFERROR(Table410[[#This Row],[Feb_2027_Days_Forecast]]*Table410[[#This Row],[Cost Boolean]]*(VLOOKUP(Table410[[#This Row],[RATE CONCAT]],Tables!I:N,6,0)),0)</f>
        <v>0</v>
      </c>
      <c r="DS67" s="13">
        <f>Table410[[#This Row],[Feb_2027_F]]-Table410[[#This Row],[Feb_2027_A]]</f>
        <v>0</v>
      </c>
      <c r="DT67" s="13">
        <f>IFERROR(Table410[[#This Row],[Mar_2027_Days_Forecast]]*Table410[[#This Row],[Cost Boolean]]*(VLOOKUP(Table410[[#This Row],[RATE CONCAT]],Tables!I:N,6,0)),0)</f>
        <v>0</v>
      </c>
      <c r="DV67" s="13">
        <f>Table410[[#This Row],[Mar_2027_F]]-Table410[[#This Row],[Mar_2027_A]]</f>
        <v>0</v>
      </c>
      <c r="DW67" s="13">
        <f>IFERROR(Table410[[#This Row],[Apr_2027_Days_Forecast]]*Table410[[#This Row],[Cost Boolean]]*(VLOOKUP(Table410[[#This Row],[RATE CONCAT]],Tables!I:N,6,0)),0)</f>
        <v>0</v>
      </c>
      <c r="DY67" s="13">
        <f>Table410[[#This Row],[Apr_2027_F]]-Table410[[#This Row],[Apr_2027_A]]</f>
        <v>0</v>
      </c>
      <c r="DZ67" s="13">
        <f>IFERROR(Table410[[#This Row],[May_2027_Days_Forecast]]*Table410[[#This Row],[Cost Boolean]]*(VLOOKUP(Table410[[#This Row],[RATE CONCAT]],Tables!I:N,6,0)),0)</f>
        <v>0</v>
      </c>
      <c r="EB67" s="13">
        <f>Table410[[#This Row],[May_2027_F]]-Table410[[#This Row],[May_2027_A]]</f>
        <v>0</v>
      </c>
      <c r="EC67" s="13">
        <f>IFERROR(Table410[[#This Row],[Jun_2027_Days_Forecast]]*Table410[[#This Row],[Cost Boolean]]*(VLOOKUP(Table410[[#This Row],[RATE CONCAT]],Tables!I:N,6,0)),0)</f>
        <v>0</v>
      </c>
      <c r="EE67" s="13">
        <f>Table410[[#This Row],[Jun_2027_F]]-Table410[[#This Row],[Jun_2027_A]]</f>
        <v>0</v>
      </c>
      <c r="EF67" s="13">
        <f>IFERROR(Table410[[#This Row],[Jul_2027_Days_Forecast]]*Table410[[#This Row],[Cost Boolean]]*(VLOOKUP(Table410[[#This Row],[RATE CONCAT]],Tables!I:N,6,0)),0)</f>
        <v>0</v>
      </c>
      <c r="EH67" s="13">
        <f>Table410[[#This Row],[Jul_2027_F]]-Table410[[#This Row],[Jul_2027_A]]</f>
        <v>0</v>
      </c>
      <c r="EI67" s="13">
        <f>IFERROR(Table410[[#This Row],[Aug_2027_Days_Forecast]]*Table410[[#This Row],[Cost Boolean]]*(VLOOKUP(Table410[[#This Row],[RATE CONCAT]],Tables!I:N,6,0)),0)</f>
        <v>0</v>
      </c>
      <c r="EK67" s="13">
        <f>Table410[[#This Row],[Aug_2027_F]]-Table410[[#This Row],[Aug_2027_A]]</f>
        <v>0</v>
      </c>
      <c r="EL67" s="13">
        <f>IFERROR(Table410[[#This Row],[Sep_2027_Days_Forecast]]*Table410[[#This Row],[Cost Boolean]]*(VLOOKUP(Table410[[#This Row],[RATE CONCAT]],Tables!I:N,6,0)),0)</f>
        <v>0</v>
      </c>
      <c r="EN67" s="13">
        <f>Table410[[#This Row],[Sep_2027_F]]-Table410[[#This Row],[Sep_2027_A]]</f>
        <v>0</v>
      </c>
      <c r="EO67" s="13">
        <f>IFERROR(Table410[[#This Row],[Oct_2027_Days_Forecast]]*Table410[[#This Row],[Cost Boolean]]*(VLOOKUP(Table410[[#This Row],[RATE CONCAT]],Tables!I:N,6,0)),0)</f>
        <v>0</v>
      </c>
      <c r="EQ67" s="13">
        <f>Table410[[#This Row],[Oct_2027_F]]-Table410[[#This Row],[Oct_2027_A]]</f>
        <v>0</v>
      </c>
      <c r="ER67" s="13">
        <f>IFERROR(Table410[[#This Row],[Nov_2027_Days_Forecast]]*Table410[[#This Row],[Cost Boolean]]*(VLOOKUP(Table410[[#This Row],[RATE CONCAT]],Tables!I:N,6,0)),0)</f>
        <v>0</v>
      </c>
      <c r="ET67" s="13">
        <f>Table410[[#This Row],[Nov_2027_F]]-Table410[[#This Row],[Nov_2027_A]]</f>
        <v>0</v>
      </c>
      <c r="EU67" s="13">
        <f>IFERROR(Table410[[#This Row],[Dec_2027_Days_Forecast]]*Table410[[#This Row],[Cost Boolean]]*(VLOOKUP(Table410[[#This Row],[RATE CONCAT]],Tables!I:N,6,0)),0)</f>
        <v>0</v>
      </c>
      <c r="EW67" s="13">
        <f>Table410[[#This Row],[Dec_2027_F]]-Table410[[#This Row],[Dec_2027_A]]</f>
        <v>0</v>
      </c>
    </row>
    <row r="68" spans="25:153" s="13" customFormat="1" ht="14.45">
      <c r="Y68" s="13" t="str">
        <f>CONCATENATE(Table410[[#This Row],[JG]],Table410[[#This Row],[Country]],Table410[[#This Row],[Resource Provider]])</f>
        <v/>
      </c>
      <c r="Z68" s="13">
        <f>VLOOKUP(Table410[[#This Row],[RATE CONCAT]],Tables!I:N,5,0)</f>
        <v>0</v>
      </c>
      <c r="AA68" s="52"/>
      <c r="AB68" s="127"/>
      <c r="AC68" s="127"/>
      <c r="AD68" s="127"/>
      <c r="AE68" s="127"/>
      <c r="AF68" s="127"/>
      <c r="AG68" s="127"/>
      <c r="AH68" s="127"/>
      <c r="AI68" s="127"/>
      <c r="AJ68" s="127"/>
      <c r="AK68" s="127"/>
      <c r="AL68" s="127"/>
      <c r="AM68" s="127"/>
      <c r="AN68" s="176">
        <f>IFERROR(AVERAGE(Table410[[#This Row],[Jan_2026_Days_Forecast]:[Dec_2026_Days_Forecast]]),0)/19</f>
        <v>0</v>
      </c>
      <c r="AO68" s="176">
        <f>IFERROR(AVERAGE(Table410[[#This Row],[Jan_2026_Days_Actual]:[Dec_2026_Days_Actual]]),0)/19</f>
        <v>0</v>
      </c>
      <c r="BB68" s="176">
        <f>IFERROR(AVERAGE(Table410[[#This Row],[Jan_2027_Days_Forecast]:[Dec_2027_Days_Forecast]]),0)</f>
        <v>0</v>
      </c>
      <c r="BC68" s="127"/>
      <c r="BD68" s="127"/>
      <c r="BE68" s="127"/>
      <c r="BF68" s="127"/>
      <c r="BG68" s="127"/>
      <c r="BH68" s="127"/>
      <c r="BI68" s="127"/>
      <c r="BJ68" s="127"/>
      <c r="BK68" s="127"/>
      <c r="BL68" s="127"/>
      <c r="BM68" s="127"/>
      <c r="BN68" s="127"/>
      <c r="BO68" s="176"/>
      <c r="BP68" s="176"/>
      <c r="BQ68" s="13">
        <f>IFERROR(Table410[[#This Row],[Jan_2026_Days_Forecast]]*Table410[[#This Row],[Cost Boolean]]*(VLOOKUP(Table410[[#This Row],[RATE CONCAT]],Tables!I:N,5,0)),0)</f>
        <v>0</v>
      </c>
      <c r="BR68" s="13">
        <f>IFERROR(Table410[[#This Row],[Jan_2026_Days_Actual]]*Table410[[#This Row],[Cost Boolean]]*(VLOOKUP(Table410[[#This Row],[RATE CONCAT]],Tables!I:N,5,0)),0)</f>
        <v>0</v>
      </c>
      <c r="BS68" s="13">
        <f>Table410[[#This Row],[Jan_2026_F]]-Table410[[#This Row],[Jan_2026_A]]</f>
        <v>0</v>
      </c>
      <c r="BU68" s="13">
        <f>IFERROR(Table410[[#This Row],[Feb_2026_Days_Forecast]]*Table410[[#This Row],[Cost Boolean]]*(VLOOKUP(Table410[[#This Row],[RATE CONCAT]],Tables!I:N,5,0)),0)</f>
        <v>0</v>
      </c>
      <c r="BV68" s="13">
        <f>IFERROR(Table410[[#This Row],[Feb_2026_Days_Actual]]*Table410[[#This Row],[Cost Boolean]]*(VLOOKUP(Table410[[#This Row],[RATE CONCAT]],Tables!I:N,5,0)),0)</f>
        <v>0</v>
      </c>
      <c r="BW68" s="13">
        <f>Table410[[#This Row],[Feb_2026_F]]-Table410[[#This Row],[Feb_2026_A]]</f>
        <v>0</v>
      </c>
      <c r="BY68" s="13">
        <f>IFERROR(Table410[[#This Row],[Mar_2026_Days_Forecast]]*Table410[[#This Row],[Cost Boolean]]*(VLOOKUP(Table410[[#This Row],[RATE CONCAT]],Tables!I:N,5,0)),0)</f>
        <v>0</v>
      </c>
      <c r="BZ68" s="13">
        <f>IFERROR(Table410[[#This Row],[Mar_2026_Days_Actual]]*Table410[[#This Row],[Cost Boolean]]*(VLOOKUP(Table410[[#This Row],[RATE CONCAT]],Tables!I:N,5,0)),0)</f>
        <v>0</v>
      </c>
      <c r="CA68" s="13">
        <f>Table410[[#This Row],[Mar_2026_F]]-Table410[[#This Row],[Mar_2026_A]]</f>
        <v>0</v>
      </c>
      <c r="CC68" s="13">
        <f>IFERROR(Table410[[#This Row],[Apr_2026_Days_Forecast]]*Table410[[#This Row],[Cost Boolean]]*(VLOOKUP(Table410[[#This Row],[RATE CONCAT]],Tables!I:N,5,0)),0)</f>
        <v>0</v>
      </c>
      <c r="CD68" s="13">
        <f>IFERROR(Table410[[#This Row],[Apr_2026_Days_Actual]]*Table410[[#This Row],[Cost Boolean]]*(VLOOKUP(Table410[[#This Row],[RATE CONCAT]],Tables!I:N,5,0)),0)</f>
        <v>0</v>
      </c>
      <c r="CE68" s="13">
        <f>Table410[[#This Row],[Apr_2026_F]]-Table410[[#This Row],[Apr_2026_A]]</f>
        <v>0</v>
      </c>
      <c r="CG68" s="13">
        <f>IFERROR(Table410[[#This Row],[May_2026_Days_Forecast]] *Table410[[#This Row],[Cost Boolean]]*(VLOOKUP(Table410[[#This Row],[RATE CONCAT]],Tables!I:N,5,0)),0)</f>
        <v>0</v>
      </c>
      <c r="CH68" s="13">
        <f>IFERROR(Table410[[#This Row],[May_2026_Days_Actual]]*Table410[[#This Row],[Cost Boolean]]*(VLOOKUP(Table410[[#This Row],[RATE CONCAT]],Tables!I:N,5,0)),0)</f>
        <v>0</v>
      </c>
      <c r="CI68" s="13">
        <f>Table410[[#This Row],[May_2026_F]]-Table410[[#This Row],[May_2026_A]]</f>
        <v>0</v>
      </c>
      <c r="CK68" s="13">
        <f>IFERROR(Table410[[#This Row],[Jun_2026_Days_Forecast]]*Table410[[#This Row],[Cost Boolean]]*(VLOOKUP(Table410[[#This Row],[RATE CONCAT]],Tables!I:N,5,0)),0)</f>
        <v>0</v>
      </c>
      <c r="CL68" s="13">
        <f>IFERROR(Table410[[#This Row],[Jun_2026_Days_Actual]]*Table410[[#This Row],[Cost Boolean]]*(VLOOKUP(Table410[[#This Row],[RATE CONCAT]],Tables!I:N,5,0)),0)</f>
        <v>0</v>
      </c>
      <c r="CM68" s="13">
        <f>Table410[[#This Row],[Jun_2026_F]]-Table410[[#This Row],[Jun_2026_A]]</f>
        <v>0</v>
      </c>
      <c r="CO68" s="13">
        <f>IFERROR(Table410[[#This Row],[Jul_2026_Days_Forecast]]*Table410[[#This Row],[Cost Boolean]]*(VLOOKUP(Table410[[#This Row],[RATE CONCAT]],Tables!I:N,5,0)),0)</f>
        <v>0</v>
      </c>
      <c r="CP68" s="13">
        <f>IFERROR(Table410[[#This Row],[Jul_2026_Days_Actual]]*Table410[[#This Row],[Cost Boolean]]*(VLOOKUP(Table410[[#This Row],[RATE CONCAT]],Tables!I:N,5,0)),0)</f>
        <v>0</v>
      </c>
      <c r="CQ68" s="13">
        <f>Table410[[#This Row],[Jul_2026_F]]-Table410[[#This Row],[Jul_2026_A]]</f>
        <v>0</v>
      </c>
      <c r="CS68" s="13">
        <f>IFERROR(Table410[[#This Row],[Aug_2026_Days_Forecast]]*Table410[[#This Row],[Cost Boolean]]*(VLOOKUP(Table410[[#This Row],[RATE CONCAT]],Tables!I:N,5,0)),0)</f>
        <v>0</v>
      </c>
      <c r="CT68" s="13">
        <f>IFERROR(Table410[[#This Row],[Aug_2026_Days_Actual]]*Table410[[#This Row],[Cost Boolean]]*(VLOOKUP(Table410[[#This Row],[RATE CONCAT]],Tables!I:N,5,0)),0)</f>
        <v>0</v>
      </c>
      <c r="CU68" s="13">
        <f>Table410[[#This Row],[Aug_2026_F]]-Table410[[#This Row],[Aug_2026_A]]</f>
        <v>0</v>
      </c>
      <c r="CW68" s="13">
        <f>IFERROR(Table410[[#This Row],[Sep_2026_Days_Forecast]]*Table410[[#This Row],[Cost Boolean]]*(VLOOKUP(Table410[[#This Row],[RATE CONCAT]],Tables!I:N,5,0)),0)</f>
        <v>0</v>
      </c>
      <c r="CX68" s="13">
        <f>IFERROR(Table410[[#This Row],[Sep_2026_Days_Actual]]*Table410[[#This Row],[Cost Boolean]]*(VLOOKUP(Table410[[#This Row],[RATE CONCAT]],Tables!I:N,5,0)),0)</f>
        <v>0</v>
      </c>
      <c r="CY68" s="13">
        <f>Table410[[#This Row],[Sep_2026_F]]-Table410[[#This Row],[Sep_2026_A]]</f>
        <v>0</v>
      </c>
      <c r="DA68" s="13">
        <f>IFERROR(Table410[[#This Row],[Oct_2026_Days_Forecast]]*Table410[[#This Row],[Cost Boolean]]*(VLOOKUP(Table410[[#This Row],[RATE CONCAT]],Tables!I:N,5,0)),0)</f>
        <v>0</v>
      </c>
      <c r="DB68" s="13">
        <f>IFERROR(Table410[[#This Row],[Oct_2026_Days_Actual]]*Table410[[#This Row],[Cost Boolean]]*(VLOOKUP(Table410[[#This Row],[RATE CONCAT]],Tables!I:N,5,0)),0)</f>
        <v>0</v>
      </c>
      <c r="DC68" s="13">
        <f>Table410[[#This Row],[Oct_2026_F]]-Table410[[#This Row],[Oct_2026_A]]</f>
        <v>0</v>
      </c>
      <c r="DE68" s="13">
        <f>IFERROR(Table410[[#This Row],[Nov_2026_Days_Forecast]]*Table410[[#This Row],[Cost Boolean]]*(VLOOKUP(Table410[[#This Row],[RATE CONCAT]],Tables!I:N,5,0)),0)</f>
        <v>0</v>
      </c>
      <c r="DF68" s="13">
        <f>IFERROR(Table410[[#This Row],[Nov_2026_Days_Actual]]*Table410[[#This Row],[Cost Boolean]]*(VLOOKUP(Table410[[#This Row],[RATE CONCAT]],Tables!I:N,5,0)),0)</f>
        <v>0</v>
      </c>
      <c r="DG68" s="13">
        <f>Table410[[#This Row],[Nov_2026_F]]-Table410[[#This Row],[Nov_2026_A]]</f>
        <v>0</v>
      </c>
      <c r="DI68" s="13">
        <f>IFERROR(Table410[[#This Row],[Dec_2026_Days_Forecast]]*Table410[[#This Row],[Cost Boolean]]*(VLOOKUP(Table410[[#This Row],[RATE CONCAT]],Tables!I:N,5,0)),0)</f>
        <v>0</v>
      </c>
      <c r="DJ68" s="13">
        <f>IFERROR(Table410[[#This Row],[Dec_2026_Days_Actual]]*Table410[[#This Row],[Cost Boolean]]*(VLOOKUP(Table410[[#This Row],[RATE CONCAT]],Tables!I:N,5,0)),0)</f>
        <v>0</v>
      </c>
      <c r="DK68" s="13">
        <f>Table410[[#This Row],[Dec_2026_F]]-Table410[[#This Row],[Dec_2026_A]]</f>
        <v>0</v>
      </c>
      <c r="DN68" s="13">
        <f>IFERROR(Table410[[#This Row],[Jan_2027_Days_Forecast]]*Table410[[#This Row],[Cost Boolean]]*(VLOOKUP(Table410[[#This Row],[RATE CONCAT]],Tables!I:N,6,0)),0)</f>
        <v>0</v>
      </c>
      <c r="DP68" s="13">
        <f>Table410[[#This Row],[Jan_2027_F]]-Table410[[#This Row],[Jan_2027_A]]</f>
        <v>0</v>
      </c>
      <c r="DQ68" s="13">
        <f>IFERROR(Table410[[#This Row],[Feb_2027_Days_Forecast]]*Table410[[#This Row],[Cost Boolean]]*(VLOOKUP(Table410[[#This Row],[RATE CONCAT]],Tables!I:N,6,0)),0)</f>
        <v>0</v>
      </c>
      <c r="DS68" s="13">
        <f>Table410[[#This Row],[Feb_2027_F]]-Table410[[#This Row],[Feb_2027_A]]</f>
        <v>0</v>
      </c>
      <c r="DT68" s="13">
        <f>IFERROR(Table410[[#This Row],[Mar_2027_Days_Forecast]]*Table410[[#This Row],[Cost Boolean]]*(VLOOKUP(Table410[[#This Row],[RATE CONCAT]],Tables!I:N,6,0)),0)</f>
        <v>0</v>
      </c>
      <c r="DV68" s="13">
        <f>Table410[[#This Row],[Mar_2027_F]]-Table410[[#This Row],[Mar_2027_A]]</f>
        <v>0</v>
      </c>
      <c r="DW68" s="13">
        <f>IFERROR(Table410[[#This Row],[Apr_2027_Days_Forecast]]*Table410[[#This Row],[Cost Boolean]]*(VLOOKUP(Table410[[#This Row],[RATE CONCAT]],Tables!I:N,6,0)),0)</f>
        <v>0</v>
      </c>
      <c r="DY68" s="13">
        <f>Table410[[#This Row],[Apr_2027_F]]-Table410[[#This Row],[Apr_2027_A]]</f>
        <v>0</v>
      </c>
      <c r="DZ68" s="13">
        <f>IFERROR(Table410[[#This Row],[May_2027_Days_Forecast]]*Table410[[#This Row],[Cost Boolean]]*(VLOOKUP(Table410[[#This Row],[RATE CONCAT]],Tables!I:N,6,0)),0)</f>
        <v>0</v>
      </c>
      <c r="EB68" s="13">
        <f>Table410[[#This Row],[May_2027_F]]-Table410[[#This Row],[May_2027_A]]</f>
        <v>0</v>
      </c>
      <c r="EC68" s="13">
        <f>IFERROR(Table410[[#This Row],[Jun_2027_Days_Forecast]]*Table410[[#This Row],[Cost Boolean]]*(VLOOKUP(Table410[[#This Row],[RATE CONCAT]],Tables!I:N,6,0)),0)</f>
        <v>0</v>
      </c>
      <c r="EE68" s="13">
        <f>Table410[[#This Row],[Jun_2027_F]]-Table410[[#This Row],[Jun_2027_A]]</f>
        <v>0</v>
      </c>
      <c r="EF68" s="13">
        <f>IFERROR(Table410[[#This Row],[Jul_2027_Days_Forecast]]*Table410[[#This Row],[Cost Boolean]]*(VLOOKUP(Table410[[#This Row],[RATE CONCAT]],Tables!I:N,6,0)),0)</f>
        <v>0</v>
      </c>
      <c r="EH68" s="13">
        <f>Table410[[#This Row],[Jul_2027_F]]-Table410[[#This Row],[Jul_2027_A]]</f>
        <v>0</v>
      </c>
      <c r="EI68" s="13">
        <f>IFERROR(Table410[[#This Row],[Aug_2027_Days_Forecast]]*Table410[[#This Row],[Cost Boolean]]*(VLOOKUP(Table410[[#This Row],[RATE CONCAT]],Tables!I:N,6,0)),0)</f>
        <v>0</v>
      </c>
      <c r="EK68" s="13">
        <f>Table410[[#This Row],[Aug_2027_F]]-Table410[[#This Row],[Aug_2027_A]]</f>
        <v>0</v>
      </c>
      <c r="EL68" s="13">
        <f>IFERROR(Table410[[#This Row],[Sep_2027_Days_Forecast]]*Table410[[#This Row],[Cost Boolean]]*(VLOOKUP(Table410[[#This Row],[RATE CONCAT]],Tables!I:N,6,0)),0)</f>
        <v>0</v>
      </c>
      <c r="EN68" s="13">
        <f>Table410[[#This Row],[Sep_2027_F]]-Table410[[#This Row],[Sep_2027_A]]</f>
        <v>0</v>
      </c>
      <c r="EO68" s="13">
        <f>IFERROR(Table410[[#This Row],[Oct_2027_Days_Forecast]]*Table410[[#This Row],[Cost Boolean]]*(VLOOKUP(Table410[[#This Row],[RATE CONCAT]],Tables!I:N,6,0)),0)</f>
        <v>0</v>
      </c>
      <c r="EQ68" s="13">
        <f>Table410[[#This Row],[Oct_2027_F]]-Table410[[#This Row],[Oct_2027_A]]</f>
        <v>0</v>
      </c>
      <c r="ER68" s="13">
        <f>IFERROR(Table410[[#This Row],[Nov_2027_Days_Forecast]]*Table410[[#This Row],[Cost Boolean]]*(VLOOKUP(Table410[[#This Row],[RATE CONCAT]],Tables!I:N,6,0)),0)</f>
        <v>0</v>
      </c>
      <c r="ET68" s="13">
        <f>Table410[[#This Row],[Nov_2027_F]]-Table410[[#This Row],[Nov_2027_A]]</f>
        <v>0</v>
      </c>
      <c r="EU68" s="13">
        <f>IFERROR(Table410[[#This Row],[Dec_2027_Days_Forecast]]*Table410[[#This Row],[Cost Boolean]]*(VLOOKUP(Table410[[#This Row],[RATE CONCAT]],Tables!I:N,6,0)),0)</f>
        <v>0</v>
      </c>
      <c r="EW68" s="13">
        <f>Table410[[#This Row],[Dec_2027_F]]-Table410[[#This Row],[Dec_2027_A]]</f>
        <v>0</v>
      </c>
    </row>
    <row r="69" spans="25:153" s="13" customFormat="1" ht="15" customHeight="1">
      <c r="Y69" s="13" t="str">
        <f>CONCATENATE(Table410[[#This Row],[JG]],Table410[[#This Row],[Country]],Table410[[#This Row],[Resource Provider]])</f>
        <v/>
      </c>
      <c r="Z69" s="13">
        <f>VLOOKUP(Table410[[#This Row],[RATE CONCAT]],Tables!I:N,5,0)</f>
        <v>0</v>
      </c>
      <c r="AA69" s="52"/>
      <c r="AB69" s="127"/>
      <c r="AC69" s="127"/>
      <c r="AD69" s="127"/>
      <c r="AE69" s="127"/>
      <c r="AF69" s="127"/>
      <c r="AG69" s="127"/>
      <c r="AH69" s="127"/>
      <c r="AI69" s="127"/>
      <c r="AJ69" s="127"/>
      <c r="AK69" s="127"/>
      <c r="AL69" s="127"/>
      <c r="AM69" s="127"/>
      <c r="AN69" s="176">
        <f>IFERROR(AVERAGE(Table410[[#This Row],[Jan_2026_Days_Forecast]:[Dec_2026_Days_Forecast]]),0)/19</f>
        <v>0</v>
      </c>
      <c r="AO69" s="176">
        <f>IFERROR(AVERAGE(Table410[[#This Row],[Jan_2026_Days_Actual]:[Dec_2026_Days_Actual]]),0)/19</f>
        <v>0</v>
      </c>
      <c r="BB69" s="176">
        <f>IFERROR(AVERAGE(Table410[[#This Row],[Jan_2027_Days_Forecast]:[Dec_2027_Days_Forecast]]),0)</f>
        <v>0</v>
      </c>
      <c r="BC69" s="127"/>
      <c r="BD69" s="127"/>
      <c r="BE69" s="127"/>
      <c r="BF69" s="127"/>
      <c r="BG69" s="127"/>
      <c r="BH69" s="127"/>
      <c r="BI69" s="127"/>
      <c r="BJ69" s="127"/>
      <c r="BK69" s="127"/>
      <c r="BL69" s="127"/>
      <c r="BM69" s="127"/>
      <c r="BN69" s="127"/>
      <c r="BO69" s="176"/>
      <c r="BP69" s="176"/>
      <c r="BQ69" s="13">
        <f>IFERROR(Table410[[#This Row],[Jan_2026_Days_Forecast]]*Table410[[#This Row],[Cost Boolean]]*(VLOOKUP(Table410[[#This Row],[RATE CONCAT]],Tables!I:N,5,0)),0)</f>
        <v>0</v>
      </c>
      <c r="BR69" s="13">
        <f>IFERROR(Table410[[#This Row],[Jan_2026_Days_Actual]]*Table410[[#This Row],[Cost Boolean]]*(VLOOKUP(Table410[[#This Row],[RATE CONCAT]],Tables!I:N,5,0)),0)</f>
        <v>0</v>
      </c>
      <c r="BS69" s="13">
        <f>Table410[[#This Row],[Jan_2026_F]]-Table410[[#This Row],[Jan_2026_A]]</f>
        <v>0</v>
      </c>
      <c r="BU69" s="13">
        <f>IFERROR(Table410[[#This Row],[Feb_2026_Days_Forecast]]*Table410[[#This Row],[Cost Boolean]]*(VLOOKUP(Table410[[#This Row],[RATE CONCAT]],Tables!I:N,5,0)),0)</f>
        <v>0</v>
      </c>
      <c r="BV69" s="13">
        <f>IFERROR(Table410[[#This Row],[Feb_2026_Days_Actual]]*Table410[[#This Row],[Cost Boolean]]*(VLOOKUP(Table410[[#This Row],[RATE CONCAT]],Tables!I:N,5,0)),0)</f>
        <v>0</v>
      </c>
      <c r="BW69" s="13">
        <f>Table410[[#This Row],[Feb_2026_F]]-Table410[[#This Row],[Feb_2026_A]]</f>
        <v>0</v>
      </c>
      <c r="BY69" s="13">
        <f>IFERROR(Table410[[#This Row],[Mar_2026_Days_Forecast]]*Table410[[#This Row],[Cost Boolean]]*(VLOOKUP(Table410[[#This Row],[RATE CONCAT]],Tables!I:N,5,0)),0)</f>
        <v>0</v>
      </c>
      <c r="BZ69" s="13">
        <f>IFERROR(Table410[[#This Row],[Mar_2026_Days_Actual]]*Table410[[#This Row],[Cost Boolean]]*(VLOOKUP(Table410[[#This Row],[RATE CONCAT]],Tables!I:N,5,0)),0)</f>
        <v>0</v>
      </c>
      <c r="CA69" s="13">
        <f>Table410[[#This Row],[Mar_2026_F]]-Table410[[#This Row],[Mar_2026_A]]</f>
        <v>0</v>
      </c>
      <c r="CC69" s="13">
        <f>IFERROR(Table410[[#This Row],[Apr_2026_Days_Forecast]]*Table410[[#This Row],[Cost Boolean]]*(VLOOKUP(Table410[[#This Row],[RATE CONCAT]],Tables!I:N,5,0)),0)</f>
        <v>0</v>
      </c>
      <c r="CD69" s="13">
        <f>IFERROR(Table410[[#This Row],[Apr_2026_Days_Actual]]*Table410[[#This Row],[Cost Boolean]]*(VLOOKUP(Table410[[#This Row],[RATE CONCAT]],Tables!I:N,5,0)),0)</f>
        <v>0</v>
      </c>
      <c r="CE69" s="13">
        <f>Table410[[#This Row],[Apr_2026_F]]-Table410[[#This Row],[Apr_2026_A]]</f>
        <v>0</v>
      </c>
      <c r="CG69" s="13">
        <f>IFERROR(Table410[[#This Row],[May_2026_Days_Forecast]] *Table410[[#This Row],[Cost Boolean]]*(VLOOKUP(Table410[[#This Row],[RATE CONCAT]],Tables!I:N,5,0)),0)</f>
        <v>0</v>
      </c>
      <c r="CH69" s="13">
        <f>IFERROR(Table410[[#This Row],[May_2026_Days_Actual]]*Table410[[#This Row],[Cost Boolean]]*(VLOOKUP(Table410[[#This Row],[RATE CONCAT]],Tables!I:N,5,0)),0)</f>
        <v>0</v>
      </c>
      <c r="CI69" s="13">
        <f>Table410[[#This Row],[May_2026_F]]-Table410[[#This Row],[May_2026_A]]</f>
        <v>0</v>
      </c>
      <c r="CK69" s="13">
        <f>IFERROR(Table410[[#This Row],[Jun_2026_Days_Forecast]]*Table410[[#This Row],[Cost Boolean]]*(VLOOKUP(Table410[[#This Row],[RATE CONCAT]],Tables!I:N,5,0)),0)</f>
        <v>0</v>
      </c>
      <c r="CL69" s="13">
        <f>IFERROR(Table410[[#This Row],[Jun_2026_Days_Actual]]*Table410[[#This Row],[Cost Boolean]]*(VLOOKUP(Table410[[#This Row],[RATE CONCAT]],Tables!I:N,5,0)),0)</f>
        <v>0</v>
      </c>
      <c r="CM69" s="13">
        <f>Table410[[#This Row],[Jun_2026_F]]-Table410[[#This Row],[Jun_2026_A]]</f>
        <v>0</v>
      </c>
      <c r="CO69" s="13">
        <f>IFERROR(Table410[[#This Row],[Jul_2026_Days_Forecast]]*Table410[[#This Row],[Cost Boolean]]*(VLOOKUP(Table410[[#This Row],[RATE CONCAT]],Tables!I:N,5,0)),0)</f>
        <v>0</v>
      </c>
      <c r="CP69" s="13">
        <f>IFERROR(Table410[[#This Row],[Jul_2026_Days_Actual]]*Table410[[#This Row],[Cost Boolean]]*(VLOOKUP(Table410[[#This Row],[RATE CONCAT]],Tables!I:N,5,0)),0)</f>
        <v>0</v>
      </c>
      <c r="CQ69" s="13">
        <f>Table410[[#This Row],[Jul_2026_F]]-Table410[[#This Row],[Jul_2026_A]]</f>
        <v>0</v>
      </c>
      <c r="CS69" s="13">
        <f>IFERROR(Table410[[#This Row],[Aug_2026_Days_Forecast]]*Table410[[#This Row],[Cost Boolean]]*(VLOOKUP(Table410[[#This Row],[RATE CONCAT]],Tables!I:N,5,0)),0)</f>
        <v>0</v>
      </c>
      <c r="CT69" s="13">
        <f>IFERROR(Table410[[#This Row],[Aug_2026_Days_Actual]]*Table410[[#This Row],[Cost Boolean]]*(VLOOKUP(Table410[[#This Row],[RATE CONCAT]],Tables!I:N,5,0)),0)</f>
        <v>0</v>
      </c>
      <c r="CU69" s="13">
        <f>Table410[[#This Row],[Aug_2026_F]]-Table410[[#This Row],[Aug_2026_A]]</f>
        <v>0</v>
      </c>
      <c r="CW69" s="13">
        <f>IFERROR(Table410[[#This Row],[Sep_2026_Days_Forecast]]*Table410[[#This Row],[Cost Boolean]]*(VLOOKUP(Table410[[#This Row],[RATE CONCAT]],Tables!I:N,5,0)),0)</f>
        <v>0</v>
      </c>
      <c r="CX69" s="13">
        <f>IFERROR(Table410[[#This Row],[Sep_2026_Days_Actual]]*Table410[[#This Row],[Cost Boolean]]*(VLOOKUP(Table410[[#This Row],[RATE CONCAT]],Tables!I:N,5,0)),0)</f>
        <v>0</v>
      </c>
      <c r="CY69" s="13">
        <f>Table410[[#This Row],[Sep_2026_F]]-Table410[[#This Row],[Sep_2026_A]]</f>
        <v>0</v>
      </c>
      <c r="DA69" s="13">
        <f>IFERROR(Table410[[#This Row],[Oct_2026_Days_Forecast]]*Table410[[#This Row],[Cost Boolean]]*(VLOOKUP(Table410[[#This Row],[RATE CONCAT]],Tables!I:N,5,0)),0)</f>
        <v>0</v>
      </c>
      <c r="DB69" s="13">
        <f>IFERROR(Table410[[#This Row],[Oct_2026_Days_Actual]]*Table410[[#This Row],[Cost Boolean]]*(VLOOKUP(Table410[[#This Row],[RATE CONCAT]],Tables!I:N,5,0)),0)</f>
        <v>0</v>
      </c>
      <c r="DC69" s="13">
        <f>Table410[[#This Row],[Oct_2026_F]]-Table410[[#This Row],[Oct_2026_A]]</f>
        <v>0</v>
      </c>
      <c r="DE69" s="13">
        <f>IFERROR(Table410[[#This Row],[Nov_2026_Days_Forecast]]*Table410[[#This Row],[Cost Boolean]]*(VLOOKUP(Table410[[#This Row],[RATE CONCAT]],Tables!I:N,5,0)),0)</f>
        <v>0</v>
      </c>
      <c r="DF69" s="13">
        <f>IFERROR(Table410[[#This Row],[Nov_2026_Days_Actual]]*Table410[[#This Row],[Cost Boolean]]*(VLOOKUP(Table410[[#This Row],[RATE CONCAT]],Tables!I:N,5,0)),0)</f>
        <v>0</v>
      </c>
      <c r="DG69" s="13">
        <f>Table410[[#This Row],[Nov_2026_F]]-Table410[[#This Row],[Nov_2026_A]]</f>
        <v>0</v>
      </c>
      <c r="DI69" s="13">
        <f>IFERROR(Table410[[#This Row],[Dec_2026_Days_Forecast]]*Table410[[#This Row],[Cost Boolean]]*(VLOOKUP(Table410[[#This Row],[RATE CONCAT]],Tables!I:N,5,0)),0)</f>
        <v>0</v>
      </c>
      <c r="DJ69" s="13">
        <f>IFERROR(Table410[[#This Row],[Dec_2026_Days_Actual]]*Table410[[#This Row],[Cost Boolean]]*(VLOOKUP(Table410[[#This Row],[RATE CONCAT]],Tables!I:N,5,0)),0)</f>
        <v>0</v>
      </c>
      <c r="DK69" s="13">
        <f>Table410[[#This Row],[Dec_2026_F]]-Table410[[#This Row],[Dec_2026_A]]</f>
        <v>0</v>
      </c>
      <c r="DN69" s="13">
        <f>IFERROR(Table410[[#This Row],[Jan_2027_Days_Forecast]]*Table410[[#This Row],[Cost Boolean]]*(VLOOKUP(Table410[[#This Row],[RATE CONCAT]],Tables!I:N,6,0)),0)</f>
        <v>0</v>
      </c>
      <c r="DP69" s="13">
        <f>Table410[[#This Row],[Jan_2027_F]]-Table410[[#This Row],[Jan_2027_A]]</f>
        <v>0</v>
      </c>
      <c r="DQ69" s="13">
        <f>IFERROR(Table410[[#This Row],[Feb_2027_Days_Forecast]]*Table410[[#This Row],[Cost Boolean]]*(VLOOKUP(Table410[[#This Row],[RATE CONCAT]],Tables!I:N,6,0)),0)</f>
        <v>0</v>
      </c>
      <c r="DS69" s="13">
        <f>Table410[[#This Row],[Feb_2027_F]]-Table410[[#This Row],[Feb_2027_A]]</f>
        <v>0</v>
      </c>
      <c r="DT69" s="13">
        <f>IFERROR(Table410[[#This Row],[Mar_2027_Days_Forecast]]*Table410[[#This Row],[Cost Boolean]]*(VLOOKUP(Table410[[#This Row],[RATE CONCAT]],Tables!I:N,6,0)),0)</f>
        <v>0</v>
      </c>
      <c r="DV69" s="13">
        <f>Table410[[#This Row],[Mar_2027_F]]-Table410[[#This Row],[Mar_2027_A]]</f>
        <v>0</v>
      </c>
      <c r="DW69" s="13">
        <f>IFERROR(Table410[[#This Row],[Apr_2027_Days_Forecast]]*Table410[[#This Row],[Cost Boolean]]*(VLOOKUP(Table410[[#This Row],[RATE CONCAT]],Tables!I:N,6,0)),0)</f>
        <v>0</v>
      </c>
      <c r="DY69" s="13">
        <f>Table410[[#This Row],[Apr_2027_F]]-Table410[[#This Row],[Apr_2027_A]]</f>
        <v>0</v>
      </c>
      <c r="DZ69" s="13">
        <f>IFERROR(Table410[[#This Row],[May_2027_Days_Forecast]]*Table410[[#This Row],[Cost Boolean]]*(VLOOKUP(Table410[[#This Row],[RATE CONCAT]],Tables!I:N,6,0)),0)</f>
        <v>0</v>
      </c>
      <c r="EB69" s="13">
        <f>Table410[[#This Row],[May_2027_F]]-Table410[[#This Row],[May_2027_A]]</f>
        <v>0</v>
      </c>
      <c r="EC69" s="13">
        <f>IFERROR(Table410[[#This Row],[Jun_2027_Days_Forecast]]*Table410[[#This Row],[Cost Boolean]]*(VLOOKUP(Table410[[#This Row],[RATE CONCAT]],Tables!I:N,6,0)),0)</f>
        <v>0</v>
      </c>
      <c r="EE69" s="13">
        <f>Table410[[#This Row],[Jun_2027_F]]-Table410[[#This Row],[Jun_2027_A]]</f>
        <v>0</v>
      </c>
      <c r="EF69" s="13">
        <f>IFERROR(Table410[[#This Row],[Jul_2027_Days_Forecast]]*Table410[[#This Row],[Cost Boolean]]*(VLOOKUP(Table410[[#This Row],[RATE CONCAT]],Tables!I:N,6,0)),0)</f>
        <v>0</v>
      </c>
      <c r="EH69" s="13">
        <f>Table410[[#This Row],[Jul_2027_F]]-Table410[[#This Row],[Jul_2027_A]]</f>
        <v>0</v>
      </c>
      <c r="EI69" s="13">
        <f>IFERROR(Table410[[#This Row],[Aug_2027_Days_Forecast]]*Table410[[#This Row],[Cost Boolean]]*(VLOOKUP(Table410[[#This Row],[RATE CONCAT]],Tables!I:N,6,0)),0)</f>
        <v>0</v>
      </c>
      <c r="EK69" s="13">
        <f>Table410[[#This Row],[Aug_2027_F]]-Table410[[#This Row],[Aug_2027_A]]</f>
        <v>0</v>
      </c>
      <c r="EL69" s="13">
        <f>IFERROR(Table410[[#This Row],[Sep_2027_Days_Forecast]]*Table410[[#This Row],[Cost Boolean]]*(VLOOKUP(Table410[[#This Row],[RATE CONCAT]],Tables!I:N,6,0)),0)</f>
        <v>0</v>
      </c>
      <c r="EN69" s="13">
        <f>Table410[[#This Row],[Sep_2027_F]]-Table410[[#This Row],[Sep_2027_A]]</f>
        <v>0</v>
      </c>
      <c r="EO69" s="13">
        <f>IFERROR(Table410[[#This Row],[Oct_2027_Days_Forecast]]*Table410[[#This Row],[Cost Boolean]]*(VLOOKUP(Table410[[#This Row],[RATE CONCAT]],Tables!I:N,6,0)),0)</f>
        <v>0</v>
      </c>
      <c r="EQ69" s="13">
        <f>Table410[[#This Row],[Oct_2027_F]]-Table410[[#This Row],[Oct_2027_A]]</f>
        <v>0</v>
      </c>
      <c r="ER69" s="13">
        <f>IFERROR(Table410[[#This Row],[Nov_2027_Days_Forecast]]*Table410[[#This Row],[Cost Boolean]]*(VLOOKUP(Table410[[#This Row],[RATE CONCAT]],Tables!I:N,6,0)),0)</f>
        <v>0</v>
      </c>
      <c r="ET69" s="13">
        <f>Table410[[#This Row],[Nov_2027_F]]-Table410[[#This Row],[Nov_2027_A]]</f>
        <v>0</v>
      </c>
      <c r="EU69" s="13">
        <f>IFERROR(Table410[[#This Row],[Dec_2027_Days_Forecast]]*Table410[[#This Row],[Cost Boolean]]*(VLOOKUP(Table410[[#This Row],[RATE CONCAT]],Tables!I:N,6,0)),0)</f>
        <v>0</v>
      </c>
      <c r="EW69" s="13">
        <f>Table410[[#This Row],[Dec_2027_F]]-Table410[[#This Row],[Dec_2027_A]]</f>
        <v>0</v>
      </c>
    </row>
    <row r="70" spans="25:153" s="13" customFormat="1" ht="15" customHeight="1">
      <c r="Y70" s="13" t="str">
        <f>CONCATENATE(Table410[[#This Row],[JG]],Table410[[#This Row],[Country]],Table410[[#This Row],[Resource Provider]])</f>
        <v/>
      </c>
      <c r="Z70" s="13">
        <f>VLOOKUP(Table410[[#This Row],[RATE CONCAT]],Tables!I:N,5,0)</f>
        <v>0</v>
      </c>
      <c r="AA70" s="52"/>
      <c r="AB70" s="127"/>
      <c r="AC70" s="127"/>
      <c r="AD70" s="127"/>
      <c r="AE70" s="127"/>
      <c r="AF70" s="127"/>
      <c r="AG70" s="127"/>
      <c r="AH70" s="127"/>
      <c r="AI70" s="127"/>
      <c r="AJ70" s="127"/>
      <c r="AK70" s="127"/>
      <c r="AL70" s="127"/>
      <c r="AM70" s="127"/>
      <c r="AN70" s="176">
        <f>IFERROR(AVERAGE(Table410[[#This Row],[Jan_2026_Days_Forecast]:[Dec_2026_Days_Forecast]]),0)/19</f>
        <v>0</v>
      </c>
      <c r="AO70" s="176">
        <f>IFERROR(AVERAGE(Table410[[#This Row],[Jan_2026_Days_Actual]:[Dec_2026_Days_Actual]]),0)/19</f>
        <v>0</v>
      </c>
      <c r="BB70" s="176">
        <f>IFERROR(AVERAGE(Table410[[#This Row],[Jan_2027_Days_Forecast]:[Dec_2027_Days_Forecast]]),0)</f>
        <v>0</v>
      </c>
      <c r="BC70" s="127"/>
      <c r="BD70" s="127"/>
      <c r="BE70" s="127"/>
      <c r="BF70" s="127"/>
      <c r="BG70" s="127"/>
      <c r="BH70" s="127"/>
      <c r="BI70" s="127"/>
      <c r="BJ70" s="127"/>
      <c r="BK70" s="127"/>
      <c r="BL70" s="127"/>
      <c r="BM70" s="127"/>
      <c r="BN70" s="127"/>
      <c r="BO70" s="176"/>
      <c r="BP70" s="176"/>
      <c r="BQ70" s="13">
        <f>IFERROR(Table410[[#This Row],[Jan_2026_Days_Forecast]]*Table410[[#This Row],[Cost Boolean]]*(VLOOKUP(Table410[[#This Row],[RATE CONCAT]],Tables!I:N,5,0)),0)</f>
        <v>0</v>
      </c>
      <c r="BR70" s="13">
        <f>IFERROR(Table410[[#This Row],[Jan_2026_Days_Actual]]*Table410[[#This Row],[Cost Boolean]]*(VLOOKUP(Table410[[#This Row],[RATE CONCAT]],Tables!I:N,5,0)),0)</f>
        <v>0</v>
      </c>
      <c r="BS70" s="13">
        <f>Table410[[#This Row],[Jan_2026_F]]-Table410[[#This Row],[Jan_2026_A]]</f>
        <v>0</v>
      </c>
      <c r="BU70" s="13">
        <f>IFERROR(Table410[[#This Row],[Feb_2026_Days_Forecast]]*Table410[[#This Row],[Cost Boolean]]*(VLOOKUP(Table410[[#This Row],[RATE CONCAT]],Tables!I:N,5,0)),0)</f>
        <v>0</v>
      </c>
      <c r="BV70" s="13">
        <f>IFERROR(Table410[[#This Row],[Feb_2026_Days_Actual]]*Table410[[#This Row],[Cost Boolean]]*(VLOOKUP(Table410[[#This Row],[RATE CONCAT]],Tables!I:N,5,0)),0)</f>
        <v>0</v>
      </c>
      <c r="BW70" s="13">
        <f>Table410[[#This Row],[Feb_2026_F]]-Table410[[#This Row],[Feb_2026_A]]</f>
        <v>0</v>
      </c>
      <c r="BY70" s="13">
        <f>IFERROR(Table410[[#This Row],[Mar_2026_Days_Forecast]]*Table410[[#This Row],[Cost Boolean]]*(VLOOKUP(Table410[[#This Row],[RATE CONCAT]],Tables!I:N,5,0)),0)</f>
        <v>0</v>
      </c>
      <c r="BZ70" s="13">
        <f>IFERROR(Table410[[#This Row],[Mar_2026_Days_Actual]]*Table410[[#This Row],[Cost Boolean]]*(VLOOKUP(Table410[[#This Row],[RATE CONCAT]],Tables!I:N,5,0)),0)</f>
        <v>0</v>
      </c>
      <c r="CA70" s="13">
        <f>Table410[[#This Row],[Mar_2026_F]]-Table410[[#This Row],[Mar_2026_A]]</f>
        <v>0</v>
      </c>
      <c r="CC70" s="13">
        <f>IFERROR(Table410[[#This Row],[Apr_2026_Days_Forecast]]*Table410[[#This Row],[Cost Boolean]]*(VLOOKUP(Table410[[#This Row],[RATE CONCAT]],Tables!I:N,5,0)),0)</f>
        <v>0</v>
      </c>
      <c r="CD70" s="13">
        <f>IFERROR(Table410[[#This Row],[Apr_2026_Days_Actual]]*Table410[[#This Row],[Cost Boolean]]*(VLOOKUP(Table410[[#This Row],[RATE CONCAT]],Tables!I:N,5,0)),0)</f>
        <v>0</v>
      </c>
      <c r="CE70" s="13">
        <f>Table410[[#This Row],[Apr_2026_F]]-Table410[[#This Row],[Apr_2026_A]]</f>
        <v>0</v>
      </c>
      <c r="CG70" s="13">
        <f>IFERROR(Table410[[#This Row],[May_2026_Days_Forecast]] *Table410[[#This Row],[Cost Boolean]]*(VLOOKUP(Table410[[#This Row],[RATE CONCAT]],Tables!I:N,5,0)),0)</f>
        <v>0</v>
      </c>
      <c r="CH70" s="13">
        <f>IFERROR(Table410[[#This Row],[May_2026_Days_Actual]]*Table410[[#This Row],[Cost Boolean]]*(VLOOKUP(Table410[[#This Row],[RATE CONCAT]],Tables!I:N,5,0)),0)</f>
        <v>0</v>
      </c>
      <c r="CI70" s="13">
        <f>Table410[[#This Row],[May_2026_F]]-Table410[[#This Row],[May_2026_A]]</f>
        <v>0</v>
      </c>
      <c r="CK70" s="13">
        <f>IFERROR(Table410[[#This Row],[Jun_2026_Days_Forecast]]*Table410[[#This Row],[Cost Boolean]]*(VLOOKUP(Table410[[#This Row],[RATE CONCAT]],Tables!I:N,5,0)),0)</f>
        <v>0</v>
      </c>
      <c r="CL70" s="13">
        <f>IFERROR(Table410[[#This Row],[Jun_2026_Days_Actual]]*Table410[[#This Row],[Cost Boolean]]*(VLOOKUP(Table410[[#This Row],[RATE CONCAT]],Tables!I:N,5,0)),0)</f>
        <v>0</v>
      </c>
      <c r="CM70" s="13">
        <f>Table410[[#This Row],[Jun_2026_F]]-Table410[[#This Row],[Jun_2026_A]]</f>
        <v>0</v>
      </c>
      <c r="CO70" s="13">
        <f>IFERROR(Table410[[#This Row],[Jul_2026_Days_Forecast]]*Table410[[#This Row],[Cost Boolean]]*(VLOOKUP(Table410[[#This Row],[RATE CONCAT]],Tables!I:N,5,0)),0)</f>
        <v>0</v>
      </c>
      <c r="CP70" s="13">
        <f>IFERROR(Table410[[#This Row],[Jul_2026_Days_Actual]]*Table410[[#This Row],[Cost Boolean]]*(VLOOKUP(Table410[[#This Row],[RATE CONCAT]],Tables!I:N,5,0)),0)</f>
        <v>0</v>
      </c>
      <c r="CQ70" s="13">
        <f>Table410[[#This Row],[Jul_2026_F]]-Table410[[#This Row],[Jul_2026_A]]</f>
        <v>0</v>
      </c>
      <c r="CS70" s="13">
        <f>IFERROR(Table410[[#This Row],[Aug_2026_Days_Forecast]]*Table410[[#This Row],[Cost Boolean]]*(VLOOKUP(Table410[[#This Row],[RATE CONCAT]],Tables!I:N,5,0)),0)</f>
        <v>0</v>
      </c>
      <c r="CT70" s="13">
        <f>IFERROR(Table410[[#This Row],[Aug_2026_Days_Actual]]*Table410[[#This Row],[Cost Boolean]]*(VLOOKUP(Table410[[#This Row],[RATE CONCAT]],Tables!I:N,5,0)),0)</f>
        <v>0</v>
      </c>
      <c r="CU70" s="13">
        <f>Table410[[#This Row],[Aug_2026_F]]-Table410[[#This Row],[Aug_2026_A]]</f>
        <v>0</v>
      </c>
      <c r="CW70" s="13">
        <f>IFERROR(Table410[[#This Row],[Sep_2026_Days_Forecast]]*Table410[[#This Row],[Cost Boolean]]*(VLOOKUP(Table410[[#This Row],[RATE CONCAT]],Tables!I:N,5,0)),0)</f>
        <v>0</v>
      </c>
      <c r="CX70" s="13">
        <f>IFERROR(Table410[[#This Row],[Sep_2026_Days_Actual]]*Table410[[#This Row],[Cost Boolean]]*(VLOOKUP(Table410[[#This Row],[RATE CONCAT]],Tables!I:N,5,0)),0)</f>
        <v>0</v>
      </c>
      <c r="CY70" s="13">
        <f>Table410[[#This Row],[Sep_2026_F]]-Table410[[#This Row],[Sep_2026_A]]</f>
        <v>0</v>
      </c>
      <c r="DA70" s="13">
        <f>IFERROR(Table410[[#This Row],[Oct_2026_Days_Forecast]]*Table410[[#This Row],[Cost Boolean]]*(VLOOKUP(Table410[[#This Row],[RATE CONCAT]],Tables!I:N,5,0)),0)</f>
        <v>0</v>
      </c>
      <c r="DB70" s="13">
        <f>IFERROR(Table410[[#This Row],[Oct_2026_Days_Actual]]*Table410[[#This Row],[Cost Boolean]]*(VLOOKUP(Table410[[#This Row],[RATE CONCAT]],Tables!I:N,5,0)),0)</f>
        <v>0</v>
      </c>
      <c r="DC70" s="13">
        <f>Table410[[#This Row],[Oct_2026_F]]-Table410[[#This Row],[Oct_2026_A]]</f>
        <v>0</v>
      </c>
      <c r="DE70" s="13">
        <f>IFERROR(Table410[[#This Row],[Nov_2026_Days_Forecast]]*Table410[[#This Row],[Cost Boolean]]*(VLOOKUP(Table410[[#This Row],[RATE CONCAT]],Tables!I:N,5,0)),0)</f>
        <v>0</v>
      </c>
      <c r="DF70" s="13">
        <f>IFERROR(Table410[[#This Row],[Nov_2026_Days_Actual]]*Table410[[#This Row],[Cost Boolean]]*(VLOOKUP(Table410[[#This Row],[RATE CONCAT]],Tables!I:N,5,0)),0)</f>
        <v>0</v>
      </c>
      <c r="DG70" s="13">
        <f>Table410[[#This Row],[Nov_2026_F]]-Table410[[#This Row],[Nov_2026_A]]</f>
        <v>0</v>
      </c>
      <c r="DI70" s="13">
        <f>IFERROR(Table410[[#This Row],[Dec_2026_Days_Forecast]]*Table410[[#This Row],[Cost Boolean]]*(VLOOKUP(Table410[[#This Row],[RATE CONCAT]],Tables!I:N,5,0)),0)</f>
        <v>0</v>
      </c>
      <c r="DJ70" s="13">
        <f>IFERROR(Table410[[#This Row],[Dec_2026_Days_Actual]]*Table410[[#This Row],[Cost Boolean]]*(VLOOKUP(Table410[[#This Row],[RATE CONCAT]],Tables!I:N,5,0)),0)</f>
        <v>0</v>
      </c>
      <c r="DK70" s="13">
        <f>Table410[[#This Row],[Dec_2026_F]]-Table410[[#This Row],[Dec_2026_A]]</f>
        <v>0</v>
      </c>
      <c r="DN70" s="13">
        <f>IFERROR(Table410[[#This Row],[Jan_2027_Days_Forecast]]*Table410[[#This Row],[Cost Boolean]]*(VLOOKUP(Table410[[#This Row],[RATE CONCAT]],Tables!I:N,6,0)),0)</f>
        <v>0</v>
      </c>
      <c r="DP70" s="13">
        <f>Table410[[#This Row],[Jan_2027_F]]-Table410[[#This Row],[Jan_2027_A]]</f>
        <v>0</v>
      </c>
      <c r="DQ70" s="13">
        <f>IFERROR(Table410[[#This Row],[Feb_2027_Days_Forecast]]*Table410[[#This Row],[Cost Boolean]]*(VLOOKUP(Table410[[#This Row],[RATE CONCAT]],Tables!I:N,6,0)),0)</f>
        <v>0</v>
      </c>
      <c r="DS70" s="13">
        <f>Table410[[#This Row],[Feb_2027_F]]-Table410[[#This Row],[Feb_2027_A]]</f>
        <v>0</v>
      </c>
      <c r="DT70" s="13">
        <f>IFERROR(Table410[[#This Row],[Mar_2027_Days_Forecast]]*Table410[[#This Row],[Cost Boolean]]*(VLOOKUP(Table410[[#This Row],[RATE CONCAT]],Tables!I:N,6,0)),0)</f>
        <v>0</v>
      </c>
      <c r="DV70" s="13">
        <f>Table410[[#This Row],[Mar_2027_F]]-Table410[[#This Row],[Mar_2027_A]]</f>
        <v>0</v>
      </c>
      <c r="DW70" s="13">
        <f>IFERROR(Table410[[#This Row],[Apr_2027_Days_Forecast]]*Table410[[#This Row],[Cost Boolean]]*(VLOOKUP(Table410[[#This Row],[RATE CONCAT]],Tables!I:N,6,0)),0)</f>
        <v>0</v>
      </c>
      <c r="DY70" s="13">
        <f>Table410[[#This Row],[Apr_2027_F]]-Table410[[#This Row],[Apr_2027_A]]</f>
        <v>0</v>
      </c>
      <c r="DZ70" s="13">
        <f>IFERROR(Table410[[#This Row],[May_2027_Days_Forecast]]*Table410[[#This Row],[Cost Boolean]]*(VLOOKUP(Table410[[#This Row],[RATE CONCAT]],Tables!I:N,6,0)),0)</f>
        <v>0</v>
      </c>
      <c r="EB70" s="13">
        <f>Table410[[#This Row],[May_2027_F]]-Table410[[#This Row],[May_2027_A]]</f>
        <v>0</v>
      </c>
      <c r="EC70" s="13">
        <f>IFERROR(Table410[[#This Row],[Jun_2027_Days_Forecast]]*Table410[[#This Row],[Cost Boolean]]*(VLOOKUP(Table410[[#This Row],[RATE CONCAT]],Tables!I:N,6,0)),0)</f>
        <v>0</v>
      </c>
      <c r="EE70" s="13">
        <f>Table410[[#This Row],[Jun_2027_F]]-Table410[[#This Row],[Jun_2027_A]]</f>
        <v>0</v>
      </c>
      <c r="EF70" s="13">
        <f>IFERROR(Table410[[#This Row],[Jul_2027_Days_Forecast]]*Table410[[#This Row],[Cost Boolean]]*(VLOOKUP(Table410[[#This Row],[RATE CONCAT]],Tables!I:N,6,0)),0)</f>
        <v>0</v>
      </c>
      <c r="EH70" s="13">
        <f>Table410[[#This Row],[Jul_2027_F]]-Table410[[#This Row],[Jul_2027_A]]</f>
        <v>0</v>
      </c>
      <c r="EI70" s="13">
        <f>IFERROR(Table410[[#This Row],[Aug_2027_Days_Forecast]]*Table410[[#This Row],[Cost Boolean]]*(VLOOKUP(Table410[[#This Row],[RATE CONCAT]],Tables!I:N,6,0)),0)</f>
        <v>0</v>
      </c>
      <c r="EK70" s="13">
        <f>Table410[[#This Row],[Aug_2027_F]]-Table410[[#This Row],[Aug_2027_A]]</f>
        <v>0</v>
      </c>
      <c r="EL70" s="13">
        <f>IFERROR(Table410[[#This Row],[Sep_2027_Days_Forecast]]*Table410[[#This Row],[Cost Boolean]]*(VLOOKUP(Table410[[#This Row],[RATE CONCAT]],Tables!I:N,6,0)),0)</f>
        <v>0</v>
      </c>
      <c r="EN70" s="13">
        <f>Table410[[#This Row],[Sep_2027_F]]-Table410[[#This Row],[Sep_2027_A]]</f>
        <v>0</v>
      </c>
      <c r="EO70" s="13">
        <f>IFERROR(Table410[[#This Row],[Oct_2027_Days_Forecast]]*Table410[[#This Row],[Cost Boolean]]*(VLOOKUP(Table410[[#This Row],[RATE CONCAT]],Tables!I:N,6,0)),0)</f>
        <v>0</v>
      </c>
      <c r="EQ70" s="13">
        <f>Table410[[#This Row],[Oct_2027_F]]-Table410[[#This Row],[Oct_2027_A]]</f>
        <v>0</v>
      </c>
      <c r="ER70" s="13">
        <f>IFERROR(Table410[[#This Row],[Nov_2027_Days_Forecast]]*Table410[[#This Row],[Cost Boolean]]*(VLOOKUP(Table410[[#This Row],[RATE CONCAT]],Tables!I:N,6,0)),0)</f>
        <v>0</v>
      </c>
      <c r="ET70" s="13">
        <f>Table410[[#This Row],[Nov_2027_F]]-Table410[[#This Row],[Nov_2027_A]]</f>
        <v>0</v>
      </c>
      <c r="EU70" s="13">
        <f>IFERROR(Table410[[#This Row],[Dec_2027_Days_Forecast]]*Table410[[#This Row],[Cost Boolean]]*(VLOOKUP(Table410[[#This Row],[RATE CONCAT]],Tables!I:N,6,0)),0)</f>
        <v>0</v>
      </c>
      <c r="EW70" s="13">
        <f>Table410[[#This Row],[Dec_2027_F]]-Table410[[#This Row],[Dec_2027_A]]</f>
        <v>0</v>
      </c>
    </row>
    <row r="71" spans="25:153" s="13" customFormat="1" ht="15" customHeight="1">
      <c r="Y71" s="13" t="str">
        <f>CONCATENATE(Table410[[#This Row],[JG]],Table410[[#This Row],[Country]],Table410[[#This Row],[Resource Provider]])</f>
        <v/>
      </c>
      <c r="Z71" s="13">
        <f>VLOOKUP(Table410[[#This Row],[RATE CONCAT]],Tables!I:N,5,0)</f>
        <v>0</v>
      </c>
      <c r="AA71" s="52"/>
      <c r="AB71" s="127"/>
      <c r="AC71" s="127"/>
      <c r="AD71" s="127"/>
      <c r="AE71" s="127"/>
      <c r="AF71" s="127"/>
      <c r="AG71" s="127"/>
      <c r="AH71" s="127"/>
      <c r="AI71" s="127"/>
      <c r="AJ71" s="127"/>
      <c r="AK71" s="127"/>
      <c r="AL71" s="127"/>
      <c r="AM71" s="127"/>
      <c r="AN71" s="176">
        <f>IFERROR(AVERAGE(Table410[[#This Row],[Jan_2026_Days_Forecast]:[Dec_2026_Days_Forecast]]),0)/19</f>
        <v>0</v>
      </c>
      <c r="AO71" s="176">
        <f>IFERROR(AVERAGE(Table410[[#This Row],[Jan_2026_Days_Actual]:[Dec_2026_Days_Actual]]),0)/19</f>
        <v>0</v>
      </c>
      <c r="BB71" s="176">
        <f>IFERROR(AVERAGE(Table410[[#This Row],[Jan_2027_Days_Forecast]:[Dec_2027_Days_Forecast]]),0)</f>
        <v>0</v>
      </c>
      <c r="BC71" s="127"/>
      <c r="BD71" s="127"/>
      <c r="BE71" s="127"/>
      <c r="BF71" s="127"/>
      <c r="BG71" s="127"/>
      <c r="BH71" s="127"/>
      <c r="BI71" s="127"/>
      <c r="BJ71" s="127"/>
      <c r="BK71" s="127"/>
      <c r="BL71" s="127"/>
      <c r="BM71" s="127"/>
      <c r="BN71" s="127"/>
      <c r="BO71" s="176"/>
      <c r="BP71" s="176"/>
      <c r="BQ71" s="13">
        <f>IFERROR(Table410[[#This Row],[Jan_2026_Days_Forecast]]*Table410[[#This Row],[Cost Boolean]]*(VLOOKUP(Table410[[#This Row],[RATE CONCAT]],Tables!I:N,5,0)),0)</f>
        <v>0</v>
      </c>
      <c r="BR71" s="13">
        <f>IFERROR(Table410[[#This Row],[Jan_2026_Days_Actual]]*Table410[[#This Row],[Cost Boolean]]*(VLOOKUP(Table410[[#This Row],[RATE CONCAT]],Tables!I:N,5,0)),0)</f>
        <v>0</v>
      </c>
      <c r="BS71" s="13">
        <f>Table410[[#This Row],[Jan_2026_F]]-Table410[[#This Row],[Jan_2026_A]]</f>
        <v>0</v>
      </c>
      <c r="BU71" s="13">
        <f>IFERROR(Table410[[#This Row],[Feb_2026_Days_Forecast]]*Table410[[#This Row],[Cost Boolean]]*(VLOOKUP(Table410[[#This Row],[RATE CONCAT]],Tables!I:N,5,0)),0)</f>
        <v>0</v>
      </c>
      <c r="BV71" s="13">
        <f>IFERROR(Table410[[#This Row],[Feb_2026_Days_Actual]]*Table410[[#This Row],[Cost Boolean]]*(VLOOKUP(Table410[[#This Row],[RATE CONCAT]],Tables!I:N,5,0)),0)</f>
        <v>0</v>
      </c>
      <c r="BW71" s="13">
        <f>Table410[[#This Row],[Feb_2026_F]]-Table410[[#This Row],[Feb_2026_A]]</f>
        <v>0</v>
      </c>
      <c r="BY71" s="13">
        <f>IFERROR(Table410[[#This Row],[Mar_2026_Days_Forecast]]*Table410[[#This Row],[Cost Boolean]]*(VLOOKUP(Table410[[#This Row],[RATE CONCAT]],Tables!I:N,5,0)),0)</f>
        <v>0</v>
      </c>
      <c r="BZ71" s="13">
        <f>IFERROR(Table410[[#This Row],[Mar_2026_Days_Actual]]*Table410[[#This Row],[Cost Boolean]]*(VLOOKUP(Table410[[#This Row],[RATE CONCAT]],Tables!I:N,5,0)),0)</f>
        <v>0</v>
      </c>
      <c r="CA71" s="13">
        <f>Table410[[#This Row],[Mar_2026_F]]-Table410[[#This Row],[Mar_2026_A]]</f>
        <v>0</v>
      </c>
      <c r="CC71" s="13">
        <f>IFERROR(Table410[[#This Row],[Apr_2026_Days_Forecast]]*Table410[[#This Row],[Cost Boolean]]*(VLOOKUP(Table410[[#This Row],[RATE CONCAT]],Tables!I:N,5,0)),0)</f>
        <v>0</v>
      </c>
      <c r="CD71" s="13">
        <f>IFERROR(Table410[[#This Row],[Apr_2026_Days_Actual]]*Table410[[#This Row],[Cost Boolean]]*(VLOOKUP(Table410[[#This Row],[RATE CONCAT]],Tables!I:N,5,0)),0)</f>
        <v>0</v>
      </c>
      <c r="CE71" s="13">
        <f>Table410[[#This Row],[Apr_2026_F]]-Table410[[#This Row],[Apr_2026_A]]</f>
        <v>0</v>
      </c>
      <c r="CG71" s="13">
        <f>IFERROR(Table410[[#This Row],[May_2026_Days_Forecast]] *Table410[[#This Row],[Cost Boolean]]*(VLOOKUP(Table410[[#This Row],[RATE CONCAT]],Tables!I:N,5,0)),0)</f>
        <v>0</v>
      </c>
      <c r="CH71" s="13">
        <f>IFERROR(Table410[[#This Row],[May_2026_Days_Actual]]*Table410[[#This Row],[Cost Boolean]]*(VLOOKUP(Table410[[#This Row],[RATE CONCAT]],Tables!I:N,5,0)),0)</f>
        <v>0</v>
      </c>
      <c r="CI71" s="13">
        <f>Table410[[#This Row],[May_2026_F]]-Table410[[#This Row],[May_2026_A]]</f>
        <v>0</v>
      </c>
      <c r="CK71" s="13">
        <f>IFERROR(Table410[[#This Row],[Jun_2026_Days_Forecast]]*Table410[[#This Row],[Cost Boolean]]*(VLOOKUP(Table410[[#This Row],[RATE CONCAT]],Tables!I:N,5,0)),0)</f>
        <v>0</v>
      </c>
      <c r="CL71" s="13">
        <f>IFERROR(Table410[[#This Row],[Jun_2026_Days_Actual]]*Table410[[#This Row],[Cost Boolean]]*(VLOOKUP(Table410[[#This Row],[RATE CONCAT]],Tables!I:N,5,0)),0)</f>
        <v>0</v>
      </c>
      <c r="CM71" s="13">
        <f>Table410[[#This Row],[Jun_2026_F]]-Table410[[#This Row],[Jun_2026_A]]</f>
        <v>0</v>
      </c>
      <c r="CO71" s="13">
        <f>IFERROR(Table410[[#This Row],[Jul_2026_Days_Forecast]]*Table410[[#This Row],[Cost Boolean]]*(VLOOKUP(Table410[[#This Row],[RATE CONCAT]],Tables!I:N,5,0)),0)</f>
        <v>0</v>
      </c>
      <c r="CP71" s="13">
        <f>IFERROR(Table410[[#This Row],[Jul_2026_Days_Actual]]*Table410[[#This Row],[Cost Boolean]]*(VLOOKUP(Table410[[#This Row],[RATE CONCAT]],Tables!I:N,5,0)),0)</f>
        <v>0</v>
      </c>
      <c r="CQ71" s="13">
        <f>Table410[[#This Row],[Jul_2026_F]]-Table410[[#This Row],[Jul_2026_A]]</f>
        <v>0</v>
      </c>
      <c r="CS71" s="13">
        <f>IFERROR(Table410[[#This Row],[Aug_2026_Days_Forecast]]*Table410[[#This Row],[Cost Boolean]]*(VLOOKUP(Table410[[#This Row],[RATE CONCAT]],Tables!I:N,5,0)),0)</f>
        <v>0</v>
      </c>
      <c r="CT71" s="13">
        <f>IFERROR(Table410[[#This Row],[Aug_2026_Days_Actual]]*Table410[[#This Row],[Cost Boolean]]*(VLOOKUP(Table410[[#This Row],[RATE CONCAT]],Tables!I:N,5,0)),0)</f>
        <v>0</v>
      </c>
      <c r="CU71" s="13">
        <f>Table410[[#This Row],[Aug_2026_F]]-Table410[[#This Row],[Aug_2026_A]]</f>
        <v>0</v>
      </c>
      <c r="CW71" s="13">
        <f>IFERROR(Table410[[#This Row],[Sep_2026_Days_Forecast]]*Table410[[#This Row],[Cost Boolean]]*(VLOOKUP(Table410[[#This Row],[RATE CONCAT]],Tables!I:N,5,0)),0)</f>
        <v>0</v>
      </c>
      <c r="CX71" s="13">
        <f>IFERROR(Table410[[#This Row],[Sep_2026_Days_Actual]]*Table410[[#This Row],[Cost Boolean]]*(VLOOKUP(Table410[[#This Row],[RATE CONCAT]],Tables!I:N,5,0)),0)</f>
        <v>0</v>
      </c>
      <c r="CY71" s="13">
        <f>Table410[[#This Row],[Sep_2026_F]]-Table410[[#This Row],[Sep_2026_A]]</f>
        <v>0</v>
      </c>
      <c r="DA71" s="13">
        <f>IFERROR(Table410[[#This Row],[Oct_2026_Days_Forecast]]*Table410[[#This Row],[Cost Boolean]]*(VLOOKUP(Table410[[#This Row],[RATE CONCAT]],Tables!I:N,5,0)),0)</f>
        <v>0</v>
      </c>
      <c r="DB71" s="13">
        <f>IFERROR(Table410[[#This Row],[Oct_2026_Days_Actual]]*Table410[[#This Row],[Cost Boolean]]*(VLOOKUP(Table410[[#This Row],[RATE CONCAT]],Tables!I:N,5,0)),0)</f>
        <v>0</v>
      </c>
      <c r="DC71" s="13">
        <f>Table410[[#This Row],[Oct_2026_F]]-Table410[[#This Row],[Oct_2026_A]]</f>
        <v>0</v>
      </c>
      <c r="DE71" s="13">
        <f>IFERROR(Table410[[#This Row],[Nov_2026_Days_Forecast]]*Table410[[#This Row],[Cost Boolean]]*(VLOOKUP(Table410[[#This Row],[RATE CONCAT]],Tables!I:N,5,0)),0)</f>
        <v>0</v>
      </c>
      <c r="DF71" s="13">
        <f>IFERROR(Table410[[#This Row],[Nov_2026_Days_Actual]]*Table410[[#This Row],[Cost Boolean]]*(VLOOKUP(Table410[[#This Row],[RATE CONCAT]],Tables!I:N,5,0)),0)</f>
        <v>0</v>
      </c>
      <c r="DG71" s="13">
        <f>Table410[[#This Row],[Nov_2026_F]]-Table410[[#This Row],[Nov_2026_A]]</f>
        <v>0</v>
      </c>
      <c r="DI71" s="13">
        <f>IFERROR(Table410[[#This Row],[Dec_2026_Days_Forecast]]*Table410[[#This Row],[Cost Boolean]]*(VLOOKUP(Table410[[#This Row],[RATE CONCAT]],Tables!I:N,5,0)),0)</f>
        <v>0</v>
      </c>
      <c r="DJ71" s="13">
        <f>IFERROR(Table410[[#This Row],[Dec_2026_Days_Actual]]*Table410[[#This Row],[Cost Boolean]]*(VLOOKUP(Table410[[#This Row],[RATE CONCAT]],Tables!I:N,5,0)),0)</f>
        <v>0</v>
      </c>
      <c r="DK71" s="13">
        <f>Table410[[#This Row],[Dec_2026_F]]-Table410[[#This Row],[Dec_2026_A]]</f>
        <v>0</v>
      </c>
      <c r="DN71" s="13">
        <f>IFERROR(Table410[[#This Row],[Jan_2027_Days_Forecast]]*Table410[[#This Row],[Cost Boolean]]*(VLOOKUP(Table410[[#This Row],[RATE CONCAT]],Tables!I:N,6,0)),0)</f>
        <v>0</v>
      </c>
      <c r="DP71" s="13">
        <f>Table410[[#This Row],[Jan_2027_F]]-Table410[[#This Row],[Jan_2027_A]]</f>
        <v>0</v>
      </c>
      <c r="DQ71" s="13">
        <f>IFERROR(Table410[[#This Row],[Feb_2027_Days_Forecast]]*Table410[[#This Row],[Cost Boolean]]*(VLOOKUP(Table410[[#This Row],[RATE CONCAT]],Tables!I:N,6,0)),0)</f>
        <v>0</v>
      </c>
      <c r="DS71" s="13">
        <f>Table410[[#This Row],[Feb_2027_F]]-Table410[[#This Row],[Feb_2027_A]]</f>
        <v>0</v>
      </c>
      <c r="DT71" s="13">
        <f>IFERROR(Table410[[#This Row],[Mar_2027_Days_Forecast]]*Table410[[#This Row],[Cost Boolean]]*(VLOOKUP(Table410[[#This Row],[RATE CONCAT]],Tables!I:N,6,0)),0)</f>
        <v>0</v>
      </c>
      <c r="DV71" s="13">
        <f>Table410[[#This Row],[Mar_2027_F]]-Table410[[#This Row],[Mar_2027_A]]</f>
        <v>0</v>
      </c>
      <c r="DW71" s="13">
        <f>IFERROR(Table410[[#This Row],[Apr_2027_Days_Forecast]]*Table410[[#This Row],[Cost Boolean]]*(VLOOKUP(Table410[[#This Row],[RATE CONCAT]],Tables!I:N,6,0)),0)</f>
        <v>0</v>
      </c>
      <c r="DY71" s="13">
        <f>Table410[[#This Row],[Apr_2027_F]]-Table410[[#This Row],[Apr_2027_A]]</f>
        <v>0</v>
      </c>
      <c r="DZ71" s="13">
        <f>IFERROR(Table410[[#This Row],[May_2027_Days_Forecast]]*Table410[[#This Row],[Cost Boolean]]*(VLOOKUP(Table410[[#This Row],[RATE CONCAT]],Tables!I:N,6,0)),0)</f>
        <v>0</v>
      </c>
      <c r="EB71" s="13">
        <f>Table410[[#This Row],[May_2027_F]]-Table410[[#This Row],[May_2027_A]]</f>
        <v>0</v>
      </c>
      <c r="EC71" s="13">
        <f>IFERROR(Table410[[#This Row],[Jun_2027_Days_Forecast]]*Table410[[#This Row],[Cost Boolean]]*(VLOOKUP(Table410[[#This Row],[RATE CONCAT]],Tables!I:N,6,0)),0)</f>
        <v>0</v>
      </c>
      <c r="EE71" s="13">
        <f>Table410[[#This Row],[Jun_2027_F]]-Table410[[#This Row],[Jun_2027_A]]</f>
        <v>0</v>
      </c>
      <c r="EF71" s="13">
        <f>IFERROR(Table410[[#This Row],[Jul_2027_Days_Forecast]]*Table410[[#This Row],[Cost Boolean]]*(VLOOKUP(Table410[[#This Row],[RATE CONCAT]],Tables!I:N,6,0)),0)</f>
        <v>0</v>
      </c>
      <c r="EH71" s="13">
        <f>Table410[[#This Row],[Jul_2027_F]]-Table410[[#This Row],[Jul_2027_A]]</f>
        <v>0</v>
      </c>
      <c r="EI71" s="13">
        <f>IFERROR(Table410[[#This Row],[Aug_2027_Days_Forecast]]*Table410[[#This Row],[Cost Boolean]]*(VLOOKUP(Table410[[#This Row],[RATE CONCAT]],Tables!I:N,6,0)),0)</f>
        <v>0</v>
      </c>
      <c r="EK71" s="13">
        <f>Table410[[#This Row],[Aug_2027_F]]-Table410[[#This Row],[Aug_2027_A]]</f>
        <v>0</v>
      </c>
      <c r="EL71" s="13">
        <f>IFERROR(Table410[[#This Row],[Sep_2027_Days_Forecast]]*Table410[[#This Row],[Cost Boolean]]*(VLOOKUP(Table410[[#This Row],[RATE CONCAT]],Tables!I:N,6,0)),0)</f>
        <v>0</v>
      </c>
      <c r="EN71" s="13">
        <f>Table410[[#This Row],[Sep_2027_F]]-Table410[[#This Row],[Sep_2027_A]]</f>
        <v>0</v>
      </c>
      <c r="EO71" s="13">
        <f>IFERROR(Table410[[#This Row],[Oct_2027_Days_Forecast]]*Table410[[#This Row],[Cost Boolean]]*(VLOOKUP(Table410[[#This Row],[RATE CONCAT]],Tables!I:N,6,0)),0)</f>
        <v>0</v>
      </c>
      <c r="EQ71" s="13">
        <f>Table410[[#This Row],[Oct_2027_F]]-Table410[[#This Row],[Oct_2027_A]]</f>
        <v>0</v>
      </c>
      <c r="ER71" s="13">
        <f>IFERROR(Table410[[#This Row],[Nov_2027_Days_Forecast]]*Table410[[#This Row],[Cost Boolean]]*(VLOOKUP(Table410[[#This Row],[RATE CONCAT]],Tables!I:N,6,0)),0)</f>
        <v>0</v>
      </c>
      <c r="ET71" s="13">
        <f>Table410[[#This Row],[Nov_2027_F]]-Table410[[#This Row],[Nov_2027_A]]</f>
        <v>0</v>
      </c>
      <c r="EU71" s="13">
        <f>IFERROR(Table410[[#This Row],[Dec_2027_Days_Forecast]]*Table410[[#This Row],[Cost Boolean]]*(VLOOKUP(Table410[[#This Row],[RATE CONCAT]],Tables!I:N,6,0)),0)</f>
        <v>0</v>
      </c>
      <c r="EW71" s="13">
        <f>Table410[[#This Row],[Dec_2027_F]]-Table410[[#This Row],[Dec_2027_A]]</f>
        <v>0</v>
      </c>
    </row>
    <row r="72" spans="25:153" s="13" customFormat="1" ht="15" customHeight="1">
      <c r="Y72" s="13" t="str">
        <f>CONCATENATE(Table410[[#This Row],[JG]],Table410[[#This Row],[Country]],Table410[[#This Row],[Resource Provider]])</f>
        <v/>
      </c>
      <c r="Z72" s="13">
        <f>VLOOKUP(Table410[[#This Row],[RATE CONCAT]],Tables!I:N,5,0)</f>
        <v>0</v>
      </c>
      <c r="AA72" s="52"/>
      <c r="AB72" s="127"/>
      <c r="AC72" s="127"/>
      <c r="AD72" s="127"/>
      <c r="AE72" s="127"/>
      <c r="AF72" s="127"/>
      <c r="AG72" s="127"/>
      <c r="AH72" s="127"/>
      <c r="AI72" s="127"/>
      <c r="AJ72" s="127"/>
      <c r="AK72" s="127"/>
      <c r="AL72" s="127"/>
      <c r="AM72" s="127"/>
      <c r="AN72" s="176">
        <f>IFERROR(AVERAGE(Table410[[#This Row],[Jan_2026_Days_Forecast]:[Dec_2026_Days_Forecast]]),0)/19</f>
        <v>0</v>
      </c>
      <c r="AO72" s="176">
        <f>IFERROR(AVERAGE(Table410[[#This Row],[Jan_2026_Days_Actual]:[Dec_2026_Days_Actual]]),0)/19</f>
        <v>0</v>
      </c>
      <c r="BB72" s="176">
        <f>IFERROR(AVERAGE(Table410[[#This Row],[Jan_2027_Days_Forecast]:[Dec_2027_Days_Forecast]]),0)</f>
        <v>0</v>
      </c>
      <c r="BC72" s="127"/>
      <c r="BD72" s="127"/>
      <c r="BE72" s="127"/>
      <c r="BF72" s="127"/>
      <c r="BG72" s="127"/>
      <c r="BH72" s="127"/>
      <c r="BI72" s="127"/>
      <c r="BJ72" s="127"/>
      <c r="BK72" s="127"/>
      <c r="BL72" s="127"/>
      <c r="BM72" s="127"/>
      <c r="BN72" s="127"/>
      <c r="BO72" s="176"/>
      <c r="BP72" s="176"/>
      <c r="BQ72" s="13">
        <f>IFERROR(Table410[[#This Row],[Jan_2026_Days_Forecast]]*Table410[[#This Row],[Cost Boolean]]*(VLOOKUP(Table410[[#This Row],[RATE CONCAT]],Tables!I:N,5,0)),0)</f>
        <v>0</v>
      </c>
      <c r="BR72" s="13">
        <f>IFERROR(Table410[[#This Row],[Jan_2026_Days_Actual]]*Table410[[#This Row],[Cost Boolean]]*(VLOOKUP(Table410[[#This Row],[RATE CONCAT]],Tables!I:N,5,0)),0)</f>
        <v>0</v>
      </c>
      <c r="BS72" s="13">
        <f>Table410[[#This Row],[Jan_2026_F]]-Table410[[#This Row],[Jan_2026_A]]</f>
        <v>0</v>
      </c>
      <c r="BU72" s="13">
        <f>IFERROR(Table410[[#This Row],[Feb_2026_Days_Forecast]]*Table410[[#This Row],[Cost Boolean]]*(VLOOKUP(Table410[[#This Row],[RATE CONCAT]],Tables!I:N,5,0)),0)</f>
        <v>0</v>
      </c>
      <c r="BV72" s="13">
        <f>IFERROR(Table410[[#This Row],[Feb_2026_Days_Actual]]*Table410[[#This Row],[Cost Boolean]]*(VLOOKUP(Table410[[#This Row],[RATE CONCAT]],Tables!I:N,5,0)),0)</f>
        <v>0</v>
      </c>
      <c r="BW72" s="13">
        <f>Table410[[#This Row],[Feb_2026_F]]-Table410[[#This Row],[Feb_2026_A]]</f>
        <v>0</v>
      </c>
      <c r="BY72" s="13">
        <f>IFERROR(Table410[[#This Row],[Mar_2026_Days_Forecast]]*Table410[[#This Row],[Cost Boolean]]*(VLOOKUP(Table410[[#This Row],[RATE CONCAT]],Tables!I:N,5,0)),0)</f>
        <v>0</v>
      </c>
      <c r="BZ72" s="13">
        <f>IFERROR(Table410[[#This Row],[Mar_2026_Days_Actual]]*Table410[[#This Row],[Cost Boolean]]*(VLOOKUP(Table410[[#This Row],[RATE CONCAT]],Tables!I:N,5,0)),0)</f>
        <v>0</v>
      </c>
      <c r="CA72" s="13">
        <f>Table410[[#This Row],[Mar_2026_F]]-Table410[[#This Row],[Mar_2026_A]]</f>
        <v>0</v>
      </c>
      <c r="CC72" s="13">
        <f>IFERROR(Table410[[#This Row],[Apr_2026_Days_Forecast]]*Table410[[#This Row],[Cost Boolean]]*(VLOOKUP(Table410[[#This Row],[RATE CONCAT]],Tables!I:N,5,0)),0)</f>
        <v>0</v>
      </c>
      <c r="CD72" s="13">
        <f>IFERROR(Table410[[#This Row],[Apr_2026_Days_Actual]]*Table410[[#This Row],[Cost Boolean]]*(VLOOKUP(Table410[[#This Row],[RATE CONCAT]],Tables!I:N,5,0)),0)</f>
        <v>0</v>
      </c>
      <c r="CE72" s="13">
        <f>Table410[[#This Row],[Apr_2026_F]]-Table410[[#This Row],[Apr_2026_A]]</f>
        <v>0</v>
      </c>
      <c r="CG72" s="13">
        <f>IFERROR(Table410[[#This Row],[May_2026_Days_Forecast]] *Table410[[#This Row],[Cost Boolean]]*(VLOOKUP(Table410[[#This Row],[RATE CONCAT]],Tables!I:N,5,0)),0)</f>
        <v>0</v>
      </c>
      <c r="CH72" s="13">
        <f>IFERROR(Table410[[#This Row],[May_2026_Days_Actual]]*Table410[[#This Row],[Cost Boolean]]*(VLOOKUP(Table410[[#This Row],[RATE CONCAT]],Tables!I:N,5,0)),0)</f>
        <v>0</v>
      </c>
      <c r="CI72" s="13">
        <f>Table410[[#This Row],[May_2026_F]]-Table410[[#This Row],[May_2026_A]]</f>
        <v>0</v>
      </c>
      <c r="CK72" s="13">
        <f>IFERROR(Table410[[#This Row],[Jun_2026_Days_Forecast]]*Table410[[#This Row],[Cost Boolean]]*(VLOOKUP(Table410[[#This Row],[RATE CONCAT]],Tables!I:N,5,0)),0)</f>
        <v>0</v>
      </c>
      <c r="CL72" s="13">
        <f>IFERROR(Table410[[#This Row],[Jun_2026_Days_Actual]]*Table410[[#This Row],[Cost Boolean]]*(VLOOKUP(Table410[[#This Row],[RATE CONCAT]],Tables!I:N,5,0)),0)</f>
        <v>0</v>
      </c>
      <c r="CM72" s="13">
        <f>Table410[[#This Row],[Jun_2026_F]]-Table410[[#This Row],[Jun_2026_A]]</f>
        <v>0</v>
      </c>
      <c r="CO72" s="13">
        <f>IFERROR(Table410[[#This Row],[Jul_2026_Days_Forecast]]*Table410[[#This Row],[Cost Boolean]]*(VLOOKUP(Table410[[#This Row],[RATE CONCAT]],Tables!I:N,5,0)),0)</f>
        <v>0</v>
      </c>
      <c r="CP72" s="13">
        <f>IFERROR(Table410[[#This Row],[Jul_2026_Days_Actual]]*Table410[[#This Row],[Cost Boolean]]*(VLOOKUP(Table410[[#This Row],[RATE CONCAT]],Tables!I:N,5,0)),0)</f>
        <v>0</v>
      </c>
      <c r="CQ72" s="13">
        <f>Table410[[#This Row],[Jul_2026_F]]-Table410[[#This Row],[Jul_2026_A]]</f>
        <v>0</v>
      </c>
      <c r="CS72" s="13">
        <f>IFERROR(Table410[[#This Row],[Aug_2026_Days_Forecast]]*Table410[[#This Row],[Cost Boolean]]*(VLOOKUP(Table410[[#This Row],[RATE CONCAT]],Tables!I:N,5,0)),0)</f>
        <v>0</v>
      </c>
      <c r="CT72" s="13">
        <f>IFERROR(Table410[[#This Row],[Aug_2026_Days_Actual]]*Table410[[#This Row],[Cost Boolean]]*(VLOOKUP(Table410[[#This Row],[RATE CONCAT]],Tables!I:N,5,0)),0)</f>
        <v>0</v>
      </c>
      <c r="CU72" s="13">
        <f>Table410[[#This Row],[Aug_2026_F]]-Table410[[#This Row],[Aug_2026_A]]</f>
        <v>0</v>
      </c>
      <c r="CW72" s="13">
        <f>IFERROR(Table410[[#This Row],[Sep_2026_Days_Forecast]]*Table410[[#This Row],[Cost Boolean]]*(VLOOKUP(Table410[[#This Row],[RATE CONCAT]],Tables!I:N,5,0)),0)</f>
        <v>0</v>
      </c>
      <c r="CX72" s="13">
        <f>IFERROR(Table410[[#This Row],[Sep_2026_Days_Actual]]*Table410[[#This Row],[Cost Boolean]]*(VLOOKUP(Table410[[#This Row],[RATE CONCAT]],Tables!I:N,5,0)),0)</f>
        <v>0</v>
      </c>
      <c r="CY72" s="13">
        <f>Table410[[#This Row],[Sep_2026_F]]-Table410[[#This Row],[Sep_2026_A]]</f>
        <v>0</v>
      </c>
      <c r="DA72" s="13">
        <f>IFERROR(Table410[[#This Row],[Oct_2026_Days_Forecast]]*Table410[[#This Row],[Cost Boolean]]*(VLOOKUP(Table410[[#This Row],[RATE CONCAT]],Tables!I:N,5,0)),0)</f>
        <v>0</v>
      </c>
      <c r="DB72" s="13">
        <f>IFERROR(Table410[[#This Row],[Oct_2026_Days_Actual]]*Table410[[#This Row],[Cost Boolean]]*(VLOOKUP(Table410[[#This Row],[RATE CONCAT]],Tables!I:N,5,0)),0)</f>
        <v>0</v>
      </c>
      <c r="DC72" s="13">
        <f>Table410[[#This Row],[Oct_2026_F]]-Table410[[#This Row],[Oct_2026_A]]</f>
        <v>0</v>
      </c>
      <c r="DE72" s="13">
        <f>IFERROR(Table410[[#This Row],[Nov_2026_Days_Forecast]]*Table410[[#This Row],[Cost Boolean]]*(VLOOKUP(Table410[[#This Row],[RATE CONCAT]],Tables!I:N,5,0)),0)</f>
        <v>0</v>
      </c>
      <c r="DF72" s="13">
        <f>IFERROR(Table410[[#This Row],[Nov_2026_Days_Actual]]*Table410[[#This Row],[Cost Boolean]]*(VLOOKUP(Table410[[#This Row],[RATE CONCAT]],Tables!I:N,5,0)),0)</f>
        <v>0</v>
      </c>
      <c r="DG72" s="13">
        <f>Table410[[#This Row],[Nov_2026_F]]-Table410[[#This Row],[Nov_2026_A]]</f>
        <v>0</v>
      </c>
      <c r="DI72" s="13">
        <f>IFERROR(Table410[[#This Row],[Dec_2026_Days_Forecast]]*Table410[[#This Row],[Cost Boolean]]*(VLOOKUP(Table410[[#This Row],[RATE CONCAT]],Tables!I:N,5,0)),0)</f>
        <v>0</v>
      </c>
      <c r="DJ72" s="13">
        <f>IFERROR(Table410[[#This Row],[Dec_2026_Days_Actual]]*Table410[[#This Row],[Cost Boolean]]*(VLOOKUP(Table410[[#This Row],[RATE CONCAT]],Tables!I:N,5,0)),0)</f>
        <v>0</v>
      </c>
      <c r="DK72" s="13">
        <f>Table410[[#This Row],[Dec_2026_F]]-Table410[[#This Row],[Dec_2026_A]]</f>
        <v>0</v>
      </c>
      <c r="DN72" s="13">
        <f>IFERROR(Table410[[#This Row],[Jan_2027_Days_Forecast]]*Table410[[#This Row],[Cost Boolean]]*(VLOOKUP(Table410[[#This Row],[RATE CONCAT]],Tables!I:N,6,0)),0)</f>
        <v>0</v>
      </c>
      <c r="DP72" s="13">
        <f>Table410[[#This Row],[Jan_2027_F]]-Table410[[#This Row],[Jan_2027_A]]</f>
        <v>0</v>
      </c>
      <c r="DQ72" s="13">
        <f>IFERROR(Table410[[#This Row],[Feb_2027_Days_Forecast]]*Table410[[#This Row],[Cost Boolean]]*(VLOOKUP(Table410[[#This Row],[RATE CONCAT]],Tables!I:N,6,0)),0)</f>
        <v>0</v>
      </c>
      <c r="DS72" s="13">
        <f>Table410[[#This Row],[Feb_2027_F]]-Table410[[#This Row],[Feb_2027_A]]</f>
        <v>0</v>
      </c>
      <c r="DT72" s="13">
        <f>IFERROR(Table410[[#This Row],[Mar_2027_Days_Forecast]]*Table410[[#This Row],[Cost Boolean]]*(VLOOKUP(Table410[[#This Row],[RATE CONCAT]],Tables!I:N,6,0)),0)</f>
        <v>0</v>
      </c>
      <c r="DV72" s="13">
        <f>Table410[[#This Row],[Mar_2027_F]]-Table410[[#This Row],[Mar_2027_A]]</f>
        <v>0</v>
      </c>
      <c r="DW72" s="13">
        <f>IFERROR(Table410[[#This Row],[Apr_2027_Days_Forecast]]*Table410[[#This Row],[Cost Boolean]]*(VLOOKUP(Table410[[#This Row],[RATE CONCAT]],Tables!I:N,6,0)),0)</f>
        <v>0</v>
      </c>
      <c r="DY72" s="13">
        <f>Table410[[#This Row],[Apr_2027_F]]-Table410[[#This Row],[Apr_2027_A]]</f>
        <v>0</v>
      </c>
      <c r="DZ72" s="13">
        <f>IFERROR(Table410[[#This Row],[May_2027_Days_Forecast]]*Table410[[#This Row],[Cost Boolean]]*(VLOOKUP(Table410[[#This Row],[RATE CONCAT]],Tables!I:N,6,0)),0)</f>
        <v>0</v>
      </c>
      <c r="EB72" s="13">
        <f>Table410[[#This Row],[May_2027_F]]-Table410[[#This Row],[May_2027_A]]</f>
        <v>0</v>
      </c>
      <c r="EC72" s="13">
        <f>IFERROR(Table410[[#This Row],[Jun_2027_Days_Forecast]]*Table410[[#This Row],[Cost Boolean]]*(VLOOKUP(Table410[[#This Row],[RATE CONCAT]],Tables!I:N,6,0)),0)</f>
        <v>0</v>
      </c>
      <c r="EE72" s="13">
        <f>Table410[[#This Row],[Jun_2027_F]]-Table410[[#This Row],[Jun_2027_A]]</f>
        <v>0</v>
      </c>
      <c r="EF72" s="13">
        <f>IFERROR(Table410[[#This Row],[Jul_2027_Days_Forecast]]*Table410[[#This Row],[Cost Boolean]]*(VLOOKUP(Table410[[#This Row],[RATE CONCAT]],Tables!I:N,6,0)),0)</f>
        <v>0</v>
      </c>
      <c r="EH72" s="13">
        <f>Table410[[#This Row],[Jul_2027_F]]-Table410[[#This Row],[Jul_2027_A]]</f>
        <v>0</v>
      </c>
      <c r="EI72" s="13">
        <f>IFERROR(Table410[[#This Row],[Aug_2027_Days_Forecast]]*Table410[[#This Row],[Cost Boolean]]*(VLOOKUP(Table410[[#This Row],[RATE CONCAT]],Tables!I:N,6,0)),0)</f>
        <v>0</v>
      </c>
      <c r="EK72" s="13">
        <f>Table410[[#This Row],[Aug_2027_F]]-Table410[[#This Row],[Aug_2027_A]]</f>
        <v>0</v>
      </c>
      <c r="EL72" s="13">
        <f>IFERROR(Table410[[#This Row],[Sep_2027_Days_Forecast]]*Table410[[#This Row],[Cost Boolean]]*(VLOOKUP(Table410[[#This Row],[RATE CONCAT]],Tables!I:N,6,0)),0)</f>
        <v>0</v>
      </c>
      <c r="EN72" s="13">
        <f>Table410[[#This Row],[Sep_2027_F]]-Table410[[#This Row],[Sep_2027_A]]</f>
        <v>0</v>
      </c>
      <c r="EO72" s="13">
        <f>IFERROR(Table410[[#This Row],[Oct_2027_Days_Forecast]]*Table410[[#This Row],[Cost Boolean]]*(VLOOKUP(Table410[[#This Row],[RATE CONCAT]],Tables!I:N,6,0)),0)</f>
        <v>0</v>
      </c>
      <c r="EQ72" s="13">
        <f>Table410[[#This Row],[Oct_2027_F]]-Table410[[#This Row],[Oct_2027_A]]</f>
        <v>0</v>
      </c>
      <c r="ER72" s="13">
        <f>IFERROR(Table410[[#This Row],[Nov_2027_Days_Forecast]]*Table410[[#This Row],[Cost Boolean]]*(VLOOKUP(Table410[[#This Row],[RATE CONCAT]],Tables!I:N,6,0)),0)</f>
        <v>0</v>
      </c>
      <c r="ET72" s="13">
        <f>Table410[[#This Row],[Nov_2027_F]]-Table410[[#This Row],[Nov_2027_A]]</f>
        <v>0</v>
      </c>
      <c r="EU72" s="13">
        <f>IFERROR(Table410[[#This Row],[Dec_2027_Days_Forecast]]*Table410[[#This Row],[Cost Boolean]]*(VLOOKUP(Table410[[#This Row],[RATE CONCAT]],Tables!I:N,6,0)),0)</f>
        <v>0</v>
      </c>
      <c r="EW72" s="13">
        <f>Table410[[#This Row],[Dec_2027_F]]-Table410[[#This Row],[Dec_2027_A]]</f>
        <v>0</v>
      </c>
    </row>
    <row r="73" spans="25:153" s="13" customFormat="1" ht="15" customHeight="1">
      <c r="Y73" s="13" t="str">
        <f>CONCATENATE(Table410[[#This Row],[JG]],Table410[[#This Row],[Country]],Table410[[#This Row],[Resource Provider]])</f>
        <v/>
      </c>
      <c r="Z73" s="13">
        <f>VLOOKUP(Table410[[#This Row],[RATE CONCAT]],Tables!I:N,5,0)</f>
        <v>0</v>
      </c>
      <c r="AA73" s="52"/>
      <c r="AB73" s="127"/>
      <c r="AC73" s="127"/>
      <c r="AD73" s="127"/>
      <c r="AE73" s="127"/>
      <c r="AF73" s="127"/>
      <c r="AG73" s="127"/>
      <c r="AH73" s="127"/>
      <c r="AI73" s="127"/>
      <c r="AJ73" s="127"/>
      <c r="AK73" s="127"/>
      <c r="AL73" s="130"/>
      <c r="AM73" s="130"/>
      <c r="AN73" s="176">
        <f>IFERROR(AVERAGE(Table410[[#This Row],[Jan_2026_Days_Forecast]:[Dec_2026_Days_Forecast]]),0)/19</f>
        <v>0</v>
      </c>
      <c r="AO73" s="176">
        <f>IFERROR(AVERAGE(Table410[[#This Row],[Jan_2026_Days_Actual]:[Dec_2026_Days_Actual]]),0)/19</f>
        <v>0</v>
      </c>
      <c r="BB73" s="176">
        <f>IFERROR(AVERAGE(Table410[[#This Row],[Jan_2027_Days_Forecast]:[Dec_2027_Days_Forecast]]),0)</f>
        <v>0</v>
      </c>
      <c r="BC73" s="127"/>
      <c r="BD73" s="127"/>
      <c r="BE73" s="127"/>
      <c r="BF73" s="127"/>
      <c r="BG73" s="127"/>
      <c r="BH73" s="127"/>
      <c r="BI73" s="127"/>
      <c r="BJ73" s="127"/>
      <c r="BK73" s="127"/>
      <c r="BL73" s="127"/>
      <c r="BM73" s="127"/>
      <c r="BN73" s="127"/>
      <c r="BO73" s="176"/>
      <c r="BP73" s="176"/>
      <c r="BQ73" s="13">
        <f>IFERROR(Table410[[#This Row],[Jan_2026_Days_Forecast]]*Table410[[#This Row],[Cost Boolean]]*(VLOOKUP(Table410[[#This Row],[RATE CONCAT]],Tables!I:N,5,0)),0)</f>
        <v>0</v>
      </c>
      <c r="BR73" s="13">
        <f>IFERROR(Table410[[#This Row],[Jan_2026_Days_Actual]]*Table410[[#This Row],[Cost Boolean]]*(VLOOKUP(Table410[[#This Row],[RATE CONCAT]],Tables!I:N,5,0)),0)</f>
        <v>0</v>
      </c>
      <c r="BS73" s="13">
        <f>Table410[[#This Row],[Jan_2026_F]]-Table410[[#This Row],[Jan_2026_A]]</f>
        <v>0</v>
      </c>
      <c r="BU73" s="13">
        <f>IFERROR(Table410[[#This Row],[Feb_2026_Days_Forecast]]*Table410[[#This Row],[Cost Boolean]]*(VLOOKUP(Table410[[#This Row],[RATE CONCAT]],Tables!I:N,5,0)),0)</f>
        <v>0</v>
      </c>
      <c r="BV73" s="13">
        <f>IFERROR(Table410[[#This Row],[Feb_2026_Days_Actual]]*Table410[[#This Row],[Cost Boolean]]*(VLOOKUP(Table410[[#This Row],[RATE CONCAT]],Tables!I:N,5,0)),0)</f>
        <v>0</v>
      </c>
      <c r="BW73" s="13">
        <f>Table410[[#This Row],[Feb_2026_F]]-Table410[[#This Row],[Feb_2026_A]]</f>
        <v>0</v>
      </c>
      <c r="BY73" s="13">
        <f>IFERROR(Table410[[#This Row],[Mar_2026_Days_Forecast]]*Table410[[#This Row],[Cost Boolean]]*(VLOOKUP(Table410[[#This Row],[RATE CONCAT]],Tables!I:N,5,0)),0)</f>
        <v>0</v>
      </c>
      <c r="BZ73" s="13">
        <f>IFERROR(Table410[[#This Row],[Mar_2026_Days_Actual]]*Table410[[#This Row],[Cost Boolean]]*(VLOOKUP(Table410[[#This Row],[RATE CONCAT]],Tables!I:N,5,0)),0)</f>
        <v>0</v>
      </c>
      <c r="CA73" s="13">
        <f>Table410[[#This Row],[Mar_2026_F]]-Table410[[#This Row],[Mar_2026_A]]</f>
        <v>0</v>
      </c>
      <c r="CC73" s="13">
        <f>IFERROR(Table410[[#This Row],[Apr_2026_Days_Forecast]]*Table410[[#This Row],[Cost Boolean]]*(VLOOKUP(Table410[[#This Row],[RATE CONCAT]],Tables!I:N,5,0)),0)</f>
        <v>0</v>
      </c>
      <c r="CD73" s="13">
        <f>IFERROR(Table410[[#This Row],[Apr_2026_Days_Actual]]*Table410[[#This Row],[Cost Boolean]]*(VLOOKUP(Table410[[#This Row],[RATE CONCAT]],Tables!I:N,5,0)),0)</f>
        <v>0</v>
      </c>
      <c r="CE73" s="13">
        <f>Table410[[#This Row],[Apr_2026_F]]-Table410[[#This Row],[Apr_2026_A]]</f>
        <v>0</v>
      </c>
      <c r="CG73" s="13">
        <f>IFERROR(Table410[[#This Row],[May_2026_Days_Forecast]] *Table410[[#This Row],[Cost Boolean]]*(VLOOKUP(Table410[[#This Row],[RATE CONCAT]],Tables!I:N,5,0)),0)</f>
        <v>0</v>
      </c>
      <c r="CH73" s="13">
        <f>IFERROR(Table410[[#This Row],[May_2026_Days_Actual]]*Table410[[#This Row],[Cost Boolean]]*(VLOOKUP(Table410[[#This Row],[RATE CONCAT]],Tables!I:N,5,0)),0)</f>
        <v>0</v>
      </c>
      <c r="CI73" s="13">
        <f>Table410[[#This Row],[May_2026_F]]-Table410[[#This Row],[May_2026_A]]</f>
        <v>0</v>
      </c>
      <c r="CK73" s="13">
        <f>IFERROR(Table410[[#This Row],[Jun_2026_Days_Forecast]]*Table410[[#This Row],[Cost Boolean]]*(VLOOKUP(Table410[[#This Row],[RATE CONCAT]],Tables!I:N,5,0)),0)</f>
        <v>0</v>
      </c>
      <c r="CL73" s="13">
        <f>IFERROR(Table410[[#This Row],[Jun_2026_Days_Actual]]*Table410[[#This Row],[Cost Boolean]]*(VLOOKUP(Table410[[#This Row],[RATE CONCAT]],Tables!I:N,5,0)),0)</f>
        <v>0</v>
      </c>
      <c r="CM73" s="13">
        <f>Table410[[#This Row],[Jun_2026_F]]-Table410[[#This Row],[Jun_2026_A]]</f>
        <v>0</v>
      </c>
      <c r="CO73" s="13">
        <f>IFERROR(Table410[[#This Row],[Jul_2026_Days_Forecast]]*Table410[[#This Row],[Cost Boolean]]*(VLOOKUP(Table410[[#This Row],[RATE CONCAT]],Tables!I:N,5,0)),0)</f>
        <v>0</v>
      </c>
      <c r="CP73" s="13">
        <f>IFERROR(Table410[[#This Row],[Jul_2026_Days_Actual]]*Table410[[#This Row],[Cost Boolean]]*(VLOOKUP(Table410[[#This Row],[RATE CONCAT]],Tables!I:N,5,0)),0)</f>
        <v>0</v>
      </c>
      <c r="CQ73" s="13">
        <f>Table410[[#This Row],[Jul_2026_F]]-Table410[[#This Row],[Jul_2026_A]]</f>
        <v>0</v>
      </c>
      <c r="CS73" s="13">
        <f>IFERROR(Table410[[#This Row],[Aug_2026_Days_Forecast]]*Table410[[#This Row],[Cost Boolean]]*(VLOOKUP(Table410[[#This Row],[RATE CONCAT]],Tables!I:N,5,0)),0)</f>
        <v>0</v>
      </c>
      <c r="CT73" s="13">
        <f>IFERROR(Table410[[#This Row],[Aug_2026_Days_Actual]]*Table410[[#This Row],[Cost Boolean]]*(VLOOKUP(Table410[[#This Row],[RATE CONCAT]],Tables!I:N,5,0)),0)</f>
        <v>0</v>
      </c>
      <c r="CU73" s="13">
        <f>Table410[[#This Row],[Aug_2026_F]]-Table410[[#This Row],[Aug_2026_A]]</f>
        <v>0</v>
      </c>
      <c r="CW73" s="13">
        <f>IFERROR(Table410[[#This Row],[Sep_2026_Days_Forecast]]*Table410[[#This Row],[Cost Boolean]]*(VLOOKUP(Table410[[#This Row],[RATE CONCAT]],Tables!I:N,5,0)),0)</f>
        <v>0</v>
      </c>
      <c r="CX73" s="13">
        <f>IFERROR(Table410[[#This Row],[Sep_2026_Days_Actual]]*Table410[[#This Row],[Cost Boolean]]*(VLOOKUP(Table410[[#This Row],[RATE CONCAT]],Tables!I:N,5,0)),0)</f>
        <v>0</v>
      </c>
      <c r="CY73" s="13">
        <f>Table410[[#This Row],[Sep_2026_F]]-Table410[[#This Row],[Sep_2026_A]]</f>
        <v>0</v>
      </c>
      <c r="DA73" s="13">
        <f>IFERROR(Table410[[#This Row],[Oct_2026_Days_Forecast]]*Table410[[#This Row],[Cost Boolean]]*(VLOOKUP(Table410[[#This Row],[RATE CONCAT]],Tables!I:N,5,0)),0)</f>
        <v>0</v>
      </c>
      <c r="DB73" s="13">
        <f>IFERROR(Table410[[#This Row],[Oct_2026_Days_Actual]]*Table410[[#This Row],[Cost Boolean]]*(VLOOKUP(Table410[[#This Row],[RATE CONCAT]],Tables!I:N,5,0)),0)</f>
        <v>0</v>
      </c>
      <c r="DC73" s="13">
        <f>Table410[[#This Row],[Oct_2026_F]]-Table410[[#This Row],[Oct_2026_A]]</f>
        <v>0</v>
      </c>
      <c r="DE73" s="13">
        <f>IFERROR(Table410[[#This Row],[Nov_2026_Days_Forecast]]*Table410[[#This Row],[Cost Boolean]]*(VLOOKUP(Table410[[#This Row],[RATE CONCAT]],Tables!I:N,5,0)),0)</f>
        <v>0</v>
      </c>
      <c r="DF73" s="13">
        <f>IFERROR(Table410[[#This Row],[Nov_2026_Days_Actual]]*Table410[[#This Row],[Cost Boolean]]*(VLOOKUP(Table410[[#This Row],[RATE CONCAT]],Tables!I:N,5,0)),0)</f>
        <v>0</v>
      </c>
      <c r="DG73" s="13">
        <f>Table410[[#This Row],[Nov_2026_F]]-Table410[[#This Row],[Nov_2026_A]]</f>
        <v>0</v>
      </c>
      <c r="DI73" s="13">
        <f>IFERROR(Table410[[#This Row],[Dec_2026_Days_Forecast]]*Table410[[#This Row],[Cost Boolean]]*(VLOOKUP(Table410[[#This Row],[RATE CONCAT]],Tables!I:N,5,0)),0)</f>
        <v>0</v>
      </c>
      <c r="DJ73" s="13">
        <f>IFERROR(Table410[[#This Row],[Dec_2026_Days_Actual]]*Table410[[#This Row],[Cost Boolean]]*(VLOOKUP(Table410[[#This Row],[RATE CONCAT]],Tables!I:N,5,0)),0)</f>
        <v>0</v>
      </c>
      <c r="DK73" s="13">
        <f>Table410[[#This Row],[Dec_2026_F]]-Table410[[#This Row],[Dec_2026_A]]</f>
        <v>0</v>
      </c>
      <c r="DN73" s="13">
        <f>IFERROR(Table410[[#This Row],[Jan_2027_Days_Forecast]]*Table410[[#This Row],[Cost Boolean]]*(VLOOKUP(Table410[[#This Row],[RATE CONCAT]],Tables!I:N,6,0)),0)</f>
        <v>0</v>
      </c>
      <c r="DP73" s="13">
        <f>Table410[[#This Row],[Jan_2027_F]]-Table410[[#This Row],[Jan_2027_A]]</f>
        <v>0</v>
      </c>
      <c r="DQ73" s="13">
        <f>IFERROR(Table410[[#This Row],[Feb_2027_Days_Forecast]]*Table410[[#This Row],[Cost Boolean]]*(VLOOKUP(Table410[[#This Row],[RATE CONCAT]],Tables!I:N,6,0)),0)</f>
        <v>0</v>
      </c>
      <c r="DS73" s="13">
        <f>Table410[[#This Row],[Feb_2027_F]]-Table410[[#This Row],[Feb_2027_A]]</f>
        <v>0</v>
      </c>
      <c r="DT73" s="13">
        <f>IFERROR(Table410[[#This Row],[Mar_2027_Days_Forecast]]*Table410[[#This Row],[Cost Boolean]]*(VLOOKUP(Table410[[#This Row],[RATE CONCAT]],Tables!I:N,6,0)),0)</f>
        <v>0</v>
      </c>
      <c r="DV73" s="13">
        <f>Table410[[#This Row],[Mar_2027_F]]-Table410[[#This Row],[Mar_2027_A]]</f>
        <v>0</v>
      </c>
      <c r="DW73" s="13">
        <f>IFERROR(Table410[[#This Row],[Apr_2027_Days_Forecast]]*Table410[[#This Row],[Cost Boolean]]*(VLOOKUP(Table410[[#This Row],[RATE CONCAT]],Tables!I:N,6,0)),0)</f>
        <v>0</v>
      </c>
      <c r="DY73" s="13">
        <f>Table410[[#This Row],[Apr_2027_F]]-Table410[[#This Row],[Apr_2027_A]]</f>
        <v>0</v>
      </c>
      <c r="DZ73" s="13">
        <f>IFERROR(Table410[[#This Row],[May_2027_Days_Forecast]]*Table410[[#This Row],[Cost Boolean]]*(VLOOKUP(Table410[[#This Row],[RATE CONCAT]],Tables!I:N,6,0)),0)</f>
        <v>0</v>
      </c>
      <c r="EB73" s="13">
        <f>Table410[[#This Row],[May_2027_F]]-Table410[[#This Row],[May_2027_A]]</f>
        <v>0</v>
      </c>
      <c r="EC73" s="13">
        <f>IFERROR(Table410[[#This Row],[Jun_2027_Days_Forecast]]*Table410[[#This Row],[Cost Boolean]]*(VLOOKUP(Table410[[#This Row],[RATE CONCAT]],Tables!I:N,6,0)),0)</f>
        <v>0</v>
      </c>
      <c r="EE73" s="13">
        <f>Table410[[#This Row],[Jun_2027_F]]-Table410[[#This Row],[Jun_2027_A]]</f>
        <v>0</v>
      </c>
      <c r="EF73" s="13">
        <f>IFERROR(Table410[[#This Row],[Jul_2027_Days_Forecast]]*Table410[[#This Row],[Cost Boolean]]*(VLOOKUP(Table410[[#This Row],[RATE CONCAT]],Tables!I:N,6,0)),0)</f>
        <v>0</v>
      </c>
      <c r="EH73" s="13">
        <f>Table410[[#This Row],[Jul_2027_F]]-Table410[[#This Row],[Jul_2027_A]]</f>
        <v>0</v>
      </c>
      <c r="EI73" s="13">
        <f>IFERROR(Table410[[#This Row],[Aug_2027_Days_Forecast]]*Table410[[#This Row],[Cost Boolean]]*(VLOOKUP(Table410[[#This Row],[RATE CONCAT]],Tables!I:N,6,0)),0)</f>
        <v>0</v>
      </c>
      <c r="EK73" s="13">
        <f>Table410[[#This Row],[Aug_2027_F]]-Table410[[#This Row],[Aug_2027_A]]</f>
        <v>0</v>
      </c>
      <c r="EL73" s="13">
        <f>IFERROR(Table410[[#This Row],[Sep_2027_Days_Forecast]]*Table410[[#This Row],[Cost Boolean]]*(VLOOKUP(Table410[[#This Row],[RATE CONCAT]],Tables!I:N,6,0)),0)</f>
        <v>0</v>
      </c>
      <c r="EN73" s="13">
        <f>Table410[[#This Row],[Sep_2027_F]]-Table410[[#This Row],[Sep_2027_A]]</f>
        <v>0</v>
      </c>
      <c r="EO73" s="13">
        <f>IFERROR(Table410[[#This Row],[Oct_2027_Days_Forecast]]*Table410[[#This Row],[Cost Boolean]]*(VLOOKUP(Table410[[#This Row],[RATE CONCAT]],Tables!I:N,6,0)),0)</f>
        <v>0</v>
      </c>
      <c r="EQ73" s="13">
        <f>Table410[[#This Row],[Oct_2027_F]]-Table410[[#This Row],[Oct_2027_A]]</f>
        <v>0</v>
      </c>
      <c r="ER73" s="13">
        <f>IFERROR(Table410[[#This Row],[Nov_2027_Days_Forecast]]*Table410[[#This Row],[Cost Boolean]]*(VLOOKUP(Table410[[#This Row],[RATE CONCAT]],Tables!I:N,6,0)),0)</f>
        <v>0</v>
      </c>
      <c r="ET73" s="13">
        <f>Table410[[#This Row],[Nov_2027_F]]-Table410[[#This Row],[Nov_2027_A]]</f>
        <v>0</v>
      </c>
      <c r="EU73" s="13">
        <f>IFERROR(Table410[[#This Row],[Dec_2027_Days_Forecast]]*Table410[[#This Row],[Cost Boolean]]*(VLOOKUP(Table410[[#This Row],[RATE CONCAT]],Tables!I:N,6,0)),0)</f>
        <v>0</v>
      </c>
      <c r="EW73" s="13">
        <f>Table410[[#This Row],[Dec_2027_F]]-Table410[[#This Row],[Dec_2027_A]]</f>
        <v>0</v>
      </c>
    </row>
    <row r="74" spans="25:153" s="13" customFormat="1" ht="15" customHeight="1">
      <c r="Y74" s="13" t="str">
        <f>CONCATENATE(Table410[[#This Row],[JG]],Table410[[#This Row],[Country]],Table410[[#This Row],[Resource Provider]])</f>
        <v/>
      </c>
      <c r="Z74" s="13">
        <f>VLOOKUP(Table410[[#This Row],[RATE CONCAT]],Tables!I:N,5,0)</f>
        <v>0</v>
      </c>
      <c r="AA74" s="52"/>
      <c r="AB74" s="127"/>
      <c r="AC74" s="127"/>
      <c r="AD74" s="127"/>
      <c r="AE74" s="127"/>
      <c r="AF74" s="130"/>
      <c r="AG74" s="130"/>
      <c r="AH74" s="130"/>
      <c r="AI74" s="130"/>
      <c r="AJ74" s="130"/>
      <c r="AK74" s="130"/>
      <c r="AL74" s="130"/>
      <c r="AM74" s="130"/>
      <c r="AN74" s="176">
        <f>IFERROR(AVERAGE(Table410[[#This Row],[Jan_2026_Days_Forecast]:[Dec_2026_Days_Forecast]]),0)/19</f>
        <v>0</v>
      </c>
      <c r="AO74" s="176">
        <f>IFERROR(AVERAGE(Table410[[#This Row],[Jan_2026_Days_Actual]:[Dec_2026_Days_Actual]]),0)/19</f>
        <v>0</v>
      </c>
      <c r="BB74" s="176">
        <f>IFERROR(AVERAGE(Table410[[#This Row],[Jan_2027_Days_Forecast]:[Dec_2027_Days_Forecast]]),0)</f>
        <v>0</v>
      </c>
      <c r="BC74" s="127"/>
      <c r="BD74" s="127"/>
      <c r="BE74" s="127"/>
      <c r="BF74" s="127"/>
      <c r="BG74" s="127"/>
      <c r="BH74" s="127"/>
      <c r="BI74" s="127"/>
      <c r="BJ74" s="127"/>
      <c r="BK74" s="127"/>
      <c r="BL74" s="127"/>
      <c r="BM74" s="127"/>
      <c r="BN74" s="127"/>
      <c r="BO74" s="176"/>
      <c r="BP74" s="176"/>
      <c r="BQ74" s="13">
        <f>IFERROR(Table410[[#This Row],[Jan_2026_Days_Forecast]]*Table410[[#This Row],[Cost Boolean]]*(VLOOKUP(Table410[[#This Row],[RATE CONCAT]],Tables!I:N,5,0)),0)</f>
        <v>0</v>
      </c>
      <c r="BR74" s="13">
        <f>IFERROR(Table410[[#This Row],[Jan_2026_Days_Actual]]*Table410[[#This Row],[Cost Boolean]]*(VLOOKUP(Table410[[#This Row],[RATE CONCAT]],Tables!I:N,5,0)),0)</f>
        <v>0</v>
      </c>
      <c r="BS74" s="13">
        <f>Table410[[#This Row],[Jan_2026_F]]-Table410[[#This Row],[Jan_2026_A]]</f>
        <v>0</v>
      </c>
      <c r="BU74" s="13">
        <f>IFERROR(Table410[[#This Row],[Feb_2026_Days_Forecast]]*Table410[[#This Row],[Cost Boolean]]*(VLOOKUP(Table410[[#This Row],[RATE CONCAT]],Tables!I:N,5,0)),0)</f>
        <v>0</v>
      </c>
      <c r="BV74" s="13">
        <f>IFERROR(Table410[[#This Row],[Feb_2026_Days_Actual]]*Table410[[#This Row],[Cost Boolean]]*(VLOOKUP(Table410[[#This Row],[RATE CONCAT]],Tables!I:N,5,0)),0)</f>
        <v>0</v>
      </c>
      <c r="BW74" s="13">
        <f>Table410[[#This Row],[Feb_2026_F]]-Table410[[#This Row],[Feb_2026_A]]</f>
        <v>0</v>
      </c>
      <c r="BY74" s="13">
        <f>IFERROR(Table410[[#This Row],[Mar_2026_Days_Forecast]]*Table410[[#This Row],[Cost Boolean]]*(VLOOKUP(Table410[[#This Row],[RATE CONCAT]],Tables!I:N,5,0)),0)</f>
        <v>0</v>
      </c>
      <c r="BZ74" s="13">
        <f>IFERROR(Table410[[#This Row],[Mar_2026_Days_Actual]]*Table410[[#This Row],[Cost Boolean]]*(VLOOKUP(Table410[[#This Row],[RATE CONCAT]],Tables!I:N,5,0)),0)</f>
        <v>0</v>
      </c>
      <c r="CA74" s="13">
        <f>Table410[[#This Row],[Mar_2026_F]]-Table410[[#This Row],[Mar_2026_A]]</f>
        <v>0</v>
      </c>
      <c r="CC74" s="13">
        <f>IFERROR(Table410[[#This Row],[Apr_2026_Days_Forecast]]*Table410[[#This Row],[Cost Boolean]]*(VLOOKUP(Table410[[#This Row],[RATE CONCAT]],Tables!I:N,5,0)),0)</f>
        <v>0</v>
      </c>
      <c r="CD74" s="13">
        <f>IFERROR(Table410[[#This Row],[Apr_2026_Days_Actual]]*Table410[[#This Row],[Cost Boolean]]*(VLOOKUP(Table410[[#This Row],[RATE CONCAT]],Tables!I:N,5,0)),0)</f>
        <v>0</v>
      </c>
      <c r="CE74" s="13">
        <f>Table410[[#This Row],[Apr_2026_F]]-Table410[[#This Row],[Apr_2026_A]]</f>
        <v>0</v>
      </c>
      <c r="CG74" s="13">
        <f>IFERROR(Table410[[#This Row],[May_2026_Days_Forecast]] *Table410[[#This Row],[Cost Boolean]]*(VLOOKUP(Table410[[#This Row],[RATE CONCAT]],Tables!I:N,5,0)),0)</f>
        <v>0</v>
      </c>
      <c r="CH74" s="13">
        <f>IFERROR(Table410[[#This Row],[May_2026_Days_Actual]]*Table410[[#This Row],[Cost Boolean]]*(VLOOKUP(Table410[[#This Row],[RATE CONCAT]],Tables!I:N,5,0)),0)</f>
        <v>0</v>
      </c>
      <c r="CI74" s="13">
        <f>Table410[[#This Row],[May_2026_F]]-Table410[[#This Row],[May_2026_A]]</f>
        <v>0</v>
      </c>
      <c r="CK74" s="13">
        <f>IFERROR(Table410[[#This Row],[Jun_2026_Days_Forecast]]*Table410[[#This Row],[Cost Boolean]]*(VLOOKUP(Table410[[#This Row],[RATE CONCAT]],Tables!I:N,5,0)),0)</f>
        <v>0</v>
      </c>
      <c r="CL74" s="13">
        <f>IFERROR(Table410[[#This Row],[Jun_2026_Days_Actual]]*Table410[[#This Row],[Cost Boolean]]*(VLOOKUP(Table410[[#This Row],[RATE CONCAT]],Tables!I:N,5,0)),0)</f>
        <v>0</v>
      </c>
      <c r="CM74" s="13">
        <f>Table410[[#This Row],[Jun_2026_F]]-Table410[[#This Row],[Jun_2026_A]]</f>
        <v>0</v>
      </c>
      <c r="CO74" s="13">
        <f>IFERROR(Table410[[#This Row],[Jul_2026_Days_Forecast]]*Table410[[#This Row],[Cost Boolean]]*(VLOOKUP(Table410[[#This Row],[RATE CONCAT]],Tables!I:N,5,0)),0)</f>
        <v>0</v>
      </c>
      <c r="CP74" s="13">
        <f>IFERROR(Table410[[#This Row],[Jul_2026_Days_Actual]]*Table410[[#This Row],[Cost Boolean]]*(VLOOKUP(Table410[[#This Row],[RATE CONCAT]],Tables!I:N,5,0)),0)</f>
        <v>0</v>
      </c>
      <c r="CQ74" s="13">
        <f>Table410[[#This Row],[Jul_2026_F]]-Table410[[#This Row],[Jul_2026_A]]</f>
        <v>0</v>
      </c>
      <c r="CS74" s="13">
        <f>IFERROR(Table410[[#This Row],[Aug_2026_Days_Forecast]]*Table410[[#This Row],[Cost Boolean]]*(VLOOKUP(Table410[[#This Row],[RATE CONCAT]],Tables!I:N,5,0)),0)</f>
        <v>0</v>
      </c>
      <c r="CT74" s="13">
        <f>IFERROR(Table410[[#This Row],[Aug_2026_Days_Actual]]*Table410[[#This Row],[Cost Boolean]]*(VLOOKUP(Table410[[#This Row],[RATE CONCAT]],Tables!I:N,5,0)),0)</f>
        <v>0</v>
      </c>
      <c r="CU74" s="13">
        <f>Table410[[#This Row],[Aug_2026_F]]-Table410[[#This Row],[Aug_2026_A]]</f>
        <v>0</v>
      </c>
      <c r="CW74" s="13">
        <f>IFERROR(Table410[[#This Row],[Sep_2026_Days_Forecast]]*Table410[[#This Row],[Cost Boolean]]*(VLOOKUP(Table410[[#This Row],[RATE CONCAT]],Tables!I:N,5,0)),0)</f>
        <v>0</v>
      </c>
      <c r="CX74" s="13">
        <f>IFERROR(Table410[[#This Row],[Sep_2026_Days_Actual]]*Table410[[#This Row],[Cost Boolean]]*(VLOOKUP(Table410[[#This Row],[RATE CONCAT]],Tables!I:N,5,0)),0)</f>
        <v>0</v>
      </c>
      <c r="CY74" s="13">
        <f>Table410[[#This Row],[Sep_2026_F]]-Table410[[#This Row],[Sep_2026_A]]</f>
        <v>0</v>
      </c>
      <c r="DA74" s="13">
        <f>IFERROR(Table410[[#This Row],[Oct_2026_Days_Forecast]]*Table410[[#This Row],[Cost Boolean]]*(VLOOKUP(Table410[[#This Row],[RATE CONCAT]],Tables!I:N,5,0)),0)</f>
        <v>0</v>
      </c>
      <c r="DB74" s="13">
        <f>IFERROR(Table410[[#This Row],[Oct_2026_Days_Actual]]*Table410[[#This Row],[Cost Boolean]]*(VLOOKUP(Table410[[#This Row],[RATE CONCAT]],Tables!I:N,5,0)),0)</f>
        <v>0</v>
      </c>
      <c r="DC74" s="13">
        <f>Table410[[#This Row],[Oct_2026_F]]-Table410[[#This Row],[Oct_2026_A]]</f>
        <v>0</v>
      </c>
      <c r="DE74" s="13">
        <f>IFERROR(Table410[[#This Row],[Nov_2026_Days_Forecast]]*Table410[[#This Row],[Cost Boolean]]*(VLOOKUP(Table410[[#This Row],[RATE CONCAT]],Tables!I:N,5,0)),0)</f>
        <v>0</v>
      </c>
      <c r="DF74" s="13">
        <f>IFERROR(Table410[[#This Row],[Nov_2026_Days_Actual]]*Table410[[#This Row],[Cost Boolean]]*(VLOOKUP(Table410[[#This Row],[RATE CONCAT]],Tables!I:N,5,0)),0)</f>
        <v>0</v>
      </c>
      <c r="DG74" s="13">
        <f>Table410[[#This Row],[Nov_2026_F]]-Table410[[#This Row],[Nov_2026_A]]</f>
        <v>0</v>
      </c>
      <c r="DI74" s="13">
        <f>IFERROR(Table410[[#This Row],[Dec_2026_Days_Forecast]]*Table410[[#This Row],[Cost Boolean]]*(VLOOKUP(Table410[[#This Row],[RATE CONCAT]],Tables!I:N,5,0)),0)</f>
        <v>0</v>
      </c>
      <c r="DJ74" s="13">
        <f>IFERROR(Table410[[#This Row],[Dec_2026_Days_Actual]]*Table410[[#This Row],[Cost Boolean]]*(VLOOKUP(Table410[[#This Row],[RATE CONCAT]],Tables!I:N,5,0)),0)</f>
        <v>0</v>
      </c>
      <c r="DK74" s="13">
        <f>Table410[[#This Row],[Dec_2026_F]]-Table410[[#This Row],[Dec_2026_A]]</f>
        <v>0</v>
      </c>
      <c r="DN74" s="13">
        <f>IFERROR(Table410[[#This Row],[Jan_2027_Days_Forecast]]*Table410[[#This Row],[Cost Boolean]]*(VLOOKUP(Table410[[#This Row],[RATE CONCAT]],Tables!I:N,6,0)),0)</f>
        <v>0</v>
      </c>
      <c r="DP74" s="13">
        <f>Table410[[#This Row],[Jan_2027_F]]-Table410[[#This Row],[Jan_2027_A]]</f>
        <v>0</v>
      </c>
      <c r="DQ74" s="13">
        <f>IFERROR(Table410[[#This Row],[Feb_2027_Days_Forecast]]*Table410[[#This Row],[Cost Boolean]]*(VLOOKUP(Table410[[#This Row],[RATE CONCAT]],Tables!I:N,6,0)),0)</f>
        <v>0</v>
      </c>
      <c r="DS74" s="13">
        <f>Table410[[#This Row],[Feb_2027_F]]-Table410[[#This Row],[Feb_2027_A]]</f>
        <v>0</v>
      </c>
      <c r="DT74" s="13">
        <f>IFERROR(Table410[[#This Row],[Mar_2027_Days_Forecast]]*Table410[[#This Row],[Cost Boolean]]*(VLOOKUP(Table410[[#This Row],[RATE CONCAT]],Tables!I:N,6,0)),0)</f>
        <v>0</v>
      </c>
      <c r="DV74" s="13">
        <f>Table410[[#This Row],[Mar_2027_F]]-Table410[[#This Row],[Mar_2027_A]]</f>
        <v>0</v>
      </c>
      <c r="DW74" s="13">
        <f>IFERROR(Table410[[#This Row],[Apr_2027_Days_Forecast]]*Table410[[#This Row],[Cost Boolean]]*(VLOOKUP(Table410[[#This Row],[RATE CONCAT]],Tables!I:N,6,0)),0)</f>
        <v>0</v>
      </c>
      <c r="DY74" s="13">
        <f>Table410[[#This Row],[Apr_2027_F]]-Table410[[#This Row],[Apr_2027_A]]</f>
        <v>0</v>
      </c>
      <c r="DZ74" s="13">
        <f>IFERROR(Table410[[#This Row],[May_2027_Days_Forecast]]*Table410[[#This Row],[Cost Boolean]]*(VLOOKUP(Table410[[#This Row],[RATE CONCAT]],Tables!I:N,6,0)),0)</f>
        <v>0</v>
      </c>
      <c r="EB74" s="13">
        <f>Table410[[#This Row],[May_2027_F]]-Table410[[#This Row],[May_2027_A]]</f>
        <v>0</v>
      </c>
      <c r="EC74" s="13">
        <f>IFERROR(Table410[[#This Row],[Jun_2027_Days_Forecast]]*Table410[[#This Row],[Cost Boolean]]*(VLOOKUP(Table410[[#This Row],[RATE CONCAT]],Tables!I:N,6,0)),0)</f>
        <v>0</v>
      </c>
      <c r="EE74" s="13">
        <f>Table410[[#This Row],[Jun_2027_F]]-Table410[[#This Row],[Jun_2027_A]]</f>
        <v>0</v>
      </c>
      <c r="EF74" s="13">
        <f>IFERROR(Table410[[#This Row],[Jul_2027_Days_Forecast]]*Table410[[#This Row],[Cost Boolean]]*(VLOOKUP(Table410[[#This Row],[RATE CONCAT]],Tables!I:N,6,0)),0)</f>
        <v>0</v>
      </c>
      <c r="EH74" s="13">
        <f>Table410[[#This Row],[Jul_2027_F]]-Table410[[#This Row],[Jul_2027_A]]</f>
        <v>0</v>
      </c>
      <c r="EI74" s="13">
        <f>IFERROR(Table410[[#This Row],[Aug_2027_Days_Forecast]]*Table410[[#This Row],[Cost Boolean]]*(VLOOKUP(Table410[[#This Row],[RATE CONCAT]],Tables!I:N,6,0)),0)</f>
        <v>0</v>
      </c>
      <c r="EK74" s="13">
        <f>Table410[[#This Row],[Aug_2027_F]]-Table410[[#This Row],[Aug_2027_A]]</f>
        <v>0</v>
      </c>
      <c r="EL74" s="13">
        <f>IFERROR(Table410[[#This Row],[Sep_2027_Days_Forecast]]*Table410[[#This Row],[Cost Boolean]]*(VLOOKUP(Table410[[#This Row],[RATE CONCAT]],Tables!I:N,6,0)),0)</f>
        <v>0</v>
      </c>
      <c r="EN74" s="13">
        <f>Table410[[#This Row],[Sep_2027_F]]-Table410[[#This Row],[Sep_2027_A]]</f>
        <v>0</v>
      </c>
      <c r="EO74" s="13">
        <f>IFERROR(Table410[[#This Row],[Oct_2027_Days_Forecast]]*Table410[[#This Row],[Cost Boolean]]*(VLOOKUP(Table410[[#This Row],[RATE CONCAT]],Tables!I:N,6,0)),0)</f>
        <v>0</v>
      </c>
      <c r="EQ74" s="13">
        <f>Table410[[#This Row],[Oct_2027_F]]-Table410[[#This Row],[Oct_2027_A]]</f>
        <v>0</v>
      </c>
      <c r="ER74" s="13">
        <f>IFERROR(Table410[[#This Row],[Nov_2027_Days_Forecast]]*Table410[[#This Row],[Cost Boolean]]*(VLOOKUP(Table410[[#This Row],[RATE CONCAT]],Tables!I:N,6,0)),0)</f>
        <v>0</v>
      </c>
      <c r="ET74" s="13">
        <f>Table410[[#This Row],[Nov_2027_F]]-Table410[[#This Row],[Nov_2027_A]]</f>
        <v>0</v>
      </c>
      <c r="EU74" s="13">
        <f>IFERROR(Table410[[#This Row],[Dec_2027_Days_Forecast]]*Table410[[#This Row],[Cost Boolean]]*(VLOOKUP(Table410[[#This Row],[RATE CONCAT]],Tables!I:N,6,0)),0)</f>
        <v>0</v>
      </c>
      <c r="EW74" s="13">
        <f>Table410[[#This Row],[Dec_2027_F]]-Table410[[#This Row],[Dec_2027_A]]</f>
        <v>0</v>
      </c>
    </row>
    <row r="75" spans="25:153" s="13" customFormat="1" ht="15" customHeight="1">
      <c r="Y75" s="13" t="str">
        <f>CONCATENATE(Table410[[#This Row],[JG]],Table410[[#This Row],[Country]],Table410[[#This Row],[Resource Provider]])</f>
        <v/>
      </c>
      <c r="Z75" s="13">
        <f>VLOOKUP(Table410[[#This Row],[RATE CONCAT]],Tables!I:N,5,0)</f>
        <v>0</v>
      </c>
      <c r="AA75" s="52"/>
      <c r="AB75" s="127"/>
      <c r="AC75" s="127"/>
      <c r="AD75" s="127"/>
      <c r="AE75" s="127"/>
      <c r="AF75" s="127"/>
      <c r="AG75" s="127"/>
      <c r="AH75" s="127"/>
      <c r="AI75" s="127"/>
      <c r="AJ75" s="127"/>
      <c r="AK75" s="127"/>
      <c r="AL75" s="127"/>
      <c r="AM75" s="127"/>
      <c r="AN75" s="176">
        <f>IFERROR(AVERAGE(Table410[[#This Row],[Jan_2026_Days_Forecast]:[Dec_2026_Days_Forecast]]),0)/19</f>
        <v>0</v>
      </c>
      <c r="AO75" s="176">
        <f>IFERROR(AVERAGE(Table410[[#This Row],[Jan_2026_Days_Actual]:[Dec_2026_Days_Actual]]),0)/19</f>
        <v>0</v>
      </c>
      <c r="BB75" s="176">
        <f>IFERROR(AVERAGE(Table410[[#This Row],[Jan_2027_Days_Forecast]:[Dec_2027_Days_Forecast]]),0)</f>
        <v>0</v>
      </c>
      <c r="BC75" s="127"/>
      <c r="BD75" s="127"/>
      <c r="BE75" s="127"/>
      <c r="BF75" s="127"/>
      <c r="BG75" s="127"/>
      <c r="BH75" s="127"/>
      <c r="BI75" s="127"/>
      <c r="BJ75" s="127"/>
      <c r="BK75" s="127"/>
      <c r="BL75" s="127"/>
      <c r="BM75" s="127"/>
      <c r="BN75" s="127"/>
      <c r="BO75" s="176"/>
      <c r="BP75" s="176"/>
      <c r="BQ75" s="13">
        <f>IFERROR(Table410[[#This Row],[Jan_2026_Days_Forecast]]*Table410[[#This Row],[Cost Boolean]]*(VLOOKUP(Table410[[#This Row],[RATE CONCAT]],Tables!I:N,5,0)),0)</f>
        <v>0</v>
      </c>
      <c r="BR75" s="13">
        <f>IFERROR(Table410[[#This Row],[Jan_2026_Days_Actual]]*Table410[[#This Row],[Cost Boolean]]*(VLOOKUP(Table410[[#This Row],[RATE CONCAT]],Tables!I:N,5,0)),0)</f>
        <v>0</v>
      </c>
      <c r="BS75" s="13">
        <f>Table410[[#This Row],[Jan_2026_F]]-Table410[[#This Row],[Jan_2026_A]]</f>
        <v>0</v>
      </c>
      <c r="BU75" s="13">
        <f>IFERROR(Table410[[#This Row],[Feb_2026_Days_Forecast]]*Table410[[#This Row],[Cost Boolean]]*(VLOOKUP(Table410[[#This Row],[RATE CONCAT]],Tables!I:N,5,0)),0)</f>
        <v>0</v>
      </c>
      <c r="BV75" s="13">
        <f>IFERROR(Table410[[#This Row],[Feb_2026_Days_Actual]]*Table410[[#This Row],[Cost Boolean]]*(VLOOKUP(Table410[[#This Row],[RATE CONCAT]],Tables!I:N,5,0)),0)</f>
        <v>0</v>
      </c>
      <c r="BW75" s="13">
        <f>Table410[[#This Row],[Feb_2026_F]]-Table410[[#This Row],[Feb_2026_A]]</f>
        <v>0</v>
      </c>
      <c r="BY75" s="13">
        <f>IFERROR(Table410[[#This Row],[Mar_2026_Days_Forecast]]*Table410[[#This Row],[Cost Boolean]]*(VLOOKUP(Table410[[#This Row],[RATE CONCAT]],Tables!I:N,5,0)),0)</f>
        <v>0</v>
      </c>
      <c r="BZ75" s="13">
        <f>IFERROR(Table410[[#This Row],[Mar_2026_Days_Actual]]*Table410[[#This Row],[Cost Boolean]]*(VLOOKUP(Table410[[#This Row],[RATE CONCAT]],Tables!I:N,5,0)),0)</f>
        <v>0</v>
      </c>
      <c r="CA75" s="13">
        <f>Table410[[#This Row],[Mar_2026_F]]-Table410[[#This Row],[Mar_2026_A]]</f>
        <v>0</v>
      </c>
      <c r="CC75" s="13">
        <f>IFERROR(Table410[[#This Row],[Apr_2026_Days_Forecast]]*Table410[[#This Row],[Cost Boolean]]*(VLOOKUP(Table410[[#This Row],[RATE CONCAT]],Tables!I:N,5,0)),0)</f>
        <v>0</v>
      </c>
      <c r="CD75" s="13">
        <f>IFERROR(Table410[[#This Row],[Apr_2026_Days_Actual]]*Table410[[#This Row],[Cost Boolean]]*(VLOOKUP(Table410[[#This Row],[RATE CONCAT]],Tables!I:N,5,0)),0)</f>
        <v>0</v>
      </c>
      <c r="CE75" s="13">
        <f>Table410[[#This Row],[Apr_2026_F]]-Table410[[#This Row],[Apr_2026_A]]</f>
        <v>0</v>
      </c>
      <c r="CG75" s="13">
        <f>IFERROR(Table410[[#This Row],[May_2026_Days_Forecast]] *Table410[[#This Row],[Cost Boolean]]*(VLOOKUP(Table410[[#This Row],[RATE CONCAT]],Tables!I:N,5,0)),0)</f>
        <v>0</v>
      </c>
      <c r="CH75" s="13">
        <f>IFERROR(Table410[[#This Row],[May_2026_Days_Actual]]*Table410[[#This Row],[Cost Boolean]]*(VLOOKUP(Table410[[#This Row],[RATE CONCAT]],Tables!I:N,5,0)),0)</f>
        <v>0</v>
      </c>
      <c r="CI75" s="13">
        <f>Table410[[#This Row],[May_2026_F]]-Table410[[#This Row],[May_2026_A]]</f>
        <v>0</v>
      </c>
      <c r="CK75" s="13">
        <f>IFERROR(Table410[[#This Row],[Jun_2026_Days_Forecast]]*Table410[[#This Row],[Cost Boolean]]*(VLOOKUP(Table410[[#This Row],[RATE CONCAT]],Tables!I:N,5,0)),0)</f>
        <v>0</v>
      </c>
      <c r="CL75" s="13">
        <f>IFERROR(Table410[[#This Row],[Jun_2026_Days_Actual]]*Table410[[#This Row],[Cost Boolean]]*(VLOOKUP(Table410[[#This Row],[RATE CONCAT]],Tables!I:N,5,0)),0)</f>
        <v>0</v>
      </c>
      <c r="CM75" s="13">
        <f>Table410[[#This Row],[Jun_2026_F]]-Table410[[#This Row],[Jun_2026_A]]</f>
        <v>0</v>
      </c>
      <c r="CO75" s="13">
        <f>IFERROR(Table410[[#This Row],[Jul_2026_Days_Forecast]]*Table410[[#This Row],[Cost Boolean]]*(VLOOKUP(Table410[[#This Row],[RATE CONCAT]],Tables!I:N,5,0)),0)</f>
        <v>0</v>
      </c>
      <c r="CP75" s="13">
        <f>IFERROR(Table410[[#This Row],[Jul_2026_Days_Actual]]*Table410[[#This Row],[Cost Boolean]]*(VLOOKUP(Table410[[#This Row],[RATE CONCAT]],Tables!I:N,5,0)),0)</f>
        <v>0</v>
      </c>
      <c r="CQ75" s="13">
        <f>Table410[[#This Row],[Jul_2026_F]]-Table410[[#This Row],[Jul_2026_A]]</f>
        <v>0</v>
      </c>
      <c r="CS75" s="13">
        <f>IFERROR(Table410[[#This Row],[Aug_2026_Days_Forecast]]*Table410[[#This Row],[Cost Boolean]]*(VLOOKUP(Table410[[#This Row],[RATE CONCAT]],Tables!I:N,5,0)),0)</f>
        <v>0</v>
      </c>
      <c r="CT75" s="13">
        <f>IFERROR(Table410[[#This Row],[Aug_2026_Days_Actual]]*Table410[[#This Row],[Cost Boolean]]*(VLOOKUP(Table410[[#This Row],[RATE CONCAT]],Tables!I:N,5,0)),0)</f>
        <v>0</v>
      </c>
      <c r="CU75" s="13">
        <f>Table410[[#This Row],[Aug_2026_F]]-Table410[[#This Row],[Aug_2026_A]]</f>
        <v>0</v>
      </c>
      <c r="CW75" s="13">
        <f>IFERROR(Table410[[#This Row],[Sep_2026_Days_Forecast]]*Table410[[#This Row],[Cost Boolean]]*(VLOOKUP(Table410[[#This Row],[RATE CONCAT]],Tables!I:N,5,0)),0)</f>
        <v>0</v>
      </c>
      <c r="CX75" s="13">
        <f>IFERROR(Table410[[#This Row],[Sep_2026_Days_Actual]]*Table410[[#This Row],[Cost Boolean]]*(VLOOKUP(Table410[[#This Row],[RATE CONCAT]],Tables!I:N,5,0)),0)</f>
        <v>0</v>
      </c>
      <c r="CY75" s="13">
        <f>Table410[[#This Row],[Sep_2026_F]]-Table410[[#This Row],[Sep_2026_A]]</f>
        <v>0</v>
      </c>
      <c r="DA75" s="13">
        <f>IFERROR(Table410[[#This Row],[Oct_2026_Days_Forecast]]*Table410[[#This Row],[Cost Boolean]]*(VLOOKUP(Table410[[#This Row],[RATE CONCAT]],Tables!I:N,5,0)),0)</f>
        <v>0</v>
      </c>
      <c r="DB75" s="13">
        <f>IFERROR(Table410[[#This Row],[Oct_2026_Days_Actual]]*Table410[[#This Row],[Cost Boolean]]*(VLOOKUP(Table410[[#This Row],[RATE CONCAT]],Tables!I:N,5,0)),0)</f>
        <v>0</v>
      </c>
      <c r="DC75" s="13">
        <f>Table410[[#This Row],[Oct_2026_F]]-Table410[[#This Row],[Oct_2026_A]]</f>
        <v>0</v>
      </c>
      <c r="DE75" s="13">
        <f>IFERROR(Table410[[#This Row],[Nov_2026_Days_Forecast]]*Table410[[#This Row],[Cost Boolean]]*(VLOOKUP(Table410[[#This Row],[RATE CONCAT]],Tables!I:N,5,0)),0)</f>
        <v>0</v>
      </c>
      <c r="DF75" s="13">
        <f>IFERROR(Table410[[#This Row],[Nov_2026_Days_Actual]]*Table410[[#This Row],[Cost Boolean]]*(VLOOKUP(Table410[[#This Row],[RATE CONCAT]],Tables!I:N,5,0)),0)</f>
        <v>0</v>
      </c>
      <c r="DG75" s="13">
        <f>Table410[[#This Row],[Nov_2026_F]]-Table410[[#This Row],[Nov_2026_A]]</f>
        <v>0</v>
      </c>
      <c r="DI75" s="13">
        <f>IFERROR(Table410[[#This Row],[Dec_2026_Days_Forecast]]*Table410[[#This Row],[Cost Boolean]]*(VLOOKUP(Table410[[#This Row],[RATE CONCAT]],Tables!I:N,5,0)),0)</f>
        <v>0</v>
      </c>
      <c r="DJ75" s="13">
        <f>IFERROR(Table410[[#This Row],[Dec_2026_Days_Actual]]*Table410[[#This Row],[Cost Boolean]]*(VLOOKUP(Table410[[#This Row],[RATE CONCAT]],Tables!I:N,5,0)),0)</f>
        <v>0</v>
      </c>
      <c r="DK75" s="13">
        <f>Table410[[#This Row],[Dec_2026_F]]-Table410[[#This Row],[Dec_2026_A]]</f>
        <v>0</v>
      </c>
      <c r="DN75" s="13">
        <f>IFERROR(Table410[[#This Row],[Jan_2027_Days_Forecast]]*Table410[[#This Row],[Cost Boolean]]*(VLOOKUP(Table410[[#This Row],[RATE CONCAT]],Tables!I:N,6,0)),0)</f>
        <v>0</v>
      </c>
      <c r="DP75" s="13">
        <f>Table410[[#This Row],[Jan_2027_F]]-Table410[[#This Row],[Jan_2027_A]]</f>
        <v>0</v>
      </c>
      <c r="DQ75" s="13">
        <f>IFERROR(Table410[[#This Row],[Feb_2027_Days_Forecast]]*Table410[[#This Row],[Cost Boolean]]*(VLOOKUP(Table410[[#This Row],[RATE CONCAT]],Tables!I:N,6,0)),0)</f>
        <v>0</v>
      </c>
      <c r="DS75" s="13">
        <f>Table410[[#This Row],[Feb_2027_F]]-Table410[[#This Row],[Feb_2027_A]]</f>
        <v>0</v>
      </c>
      <c r="DT75" s="13">
        <f>IFERROR(Table410[[#This Row],[Mar_2027_Days_Forecast]]*Table410[[#This Row],[Cost Boolean]]*(VLOOKUP(Table410[[#This Row],[RATE CONCAT]],Tables!I:N,6,0)),0)</f>
        <v>0</v>
      </c>
      <c r="DV75" s="13">
        <f>Table410[[#This Row],[Mar_2027_F]]-Table410[[#This Row],[Mar_2027_A]]</f>
        <v>0</v>
      </c>
      <c r="DW75" s="13">
        <f>IFERROR(Table410[[#This Row],[Apr_2027_Days_Forecast]]*Table410[[#This Row],[Cost Boolean]]*(VLOOKUP(Table410[[#This Row],[RATE CONCAT]],Tables!I:N,6,0)),0)</f>
        <v>0</v>
      </c>
      <c r="DY75" s="13">
        <f>Table410[[#This Row],[Apr_2027_F]]-Table410[[#This Row],[Apr_2027_A]]</f>
        <v>0</v>
      </c>
      <c r="DZ75" s="13">
        <f>IFERROR(Table410[[#This Row],[May_2027_Days_Forecast]]*Table410[[#This Row],[Cost Boolean]]*(VLOOKUP(Table410[[#This Row],[RATE CONCAT]],Tables!I:N,6,0)),0)</f>
        <v>0</v>
      </c>
      <c r="EB75" s="13">
        <f>Table410[[#This Row],[May_2027_F]]-Table410[[#This Row],[May_2027_A]]</f>
        <v>0</v>
      </c>
      <c r="EC75" s="13">
        <f>IFERROR(Table410[[#This Row],[Jun_2027_Days_Forecast]]*Table410[[#This Row],[Cost Boolean]]*(VLOOKUP(Table410[[#This Row],[RATE CONCAT]],Tables!I:N,6,0)),0)</f>
        <v>0</v>
      </c>
      <c r="EE75" s="13">
        <f>Table410[[#This Row],[Jun_2027_F]]-Table410[[#This Row],[Jun_2027_A]]</f>
        <v>0</v>
      </c>
      <c r="EF75" s="13">
        <f>IFERROR(Table410[[#This Row],[Jul_2027_Days_Forecast]]*Table410[[#This Row],[Cost Boolean]]*(VLOOKUP(Table410[[#This Row],[RATE CONCAT]],Tables!I:N,6,0)),0)</f>
        <v>0</v>
      </c>
      <c r="EH75" s="13">
        <f>Table410[[#This Row],[Jul_2027_F]]-Table410[[#This Row],[Jul_2027_A]]</f>
        <v>0</v>
      </c>
      <c r="EI75" s="13">
        <f>IFERROR(Table410[[#This Row],[Aug_2027_Days_Forecast]]*Table410[[#This Row],[Cost Boolean]]*(VLOOKUP(Table410[[#This Row],[RATE CONCAT]],Tables!I:N,6,0)),0)</f>
        <v>0</v>
      </c>
      <c r="EK75" s="13">
        <f>Table410[[#This Row],[Aug_2027_F]]-Table410[[#This Row],[Aug_2027_A]]</f>
        <v>0</v>
      </c>
      <c r="EL75" s="13">
        <f>IFERROR(Table410[[#This Row],[Sep_2027_Days_Forecast]]*Table410[[#This Row],[Cost Boolean]]*(VLOOKUP(Table410[[#This Row],[RATE CONCAT]],Tables!I:N,6,0)),0)</f>
        <v>0</v>
      </c>
      <c r="EN75" s="13">
        <f>Table410[[#This Row],[Sep_2027_F]]-Table410[[#This Row],[Sep_2027_A]]</f>
        <v>0</v>
      </c>
      <c r="EO75" s="13">
        <f>IFERROR(Table410[[#This Row],[Oct_2027_Days_Forecast]]*Table410[[#This Row],[Cost Boolean]]*(VLOOKUP(Table410[[#This Row],[RATE CONCAT]],Tables!I:N,6,0)),0)</f>
        <v>0</v>
      </c>
      <c r="EQ75" s="13">
        <f>Table410[[#This Row],[Oct_2027_F]]-Table410[[#This Row],[Oct_2027_A]]</f>
        <v>0</v>
      </c>
      <c r="ER75" s="13">
        <f>IFERROR(Table410[[#This Row],[Nov_2027_Days_Forecast]]*Table410[[#This Row],[Cost Boolean]]*(VLOOKUP(Table410[[#This Row],[RATE CONCAT]],Tables!I:N,6,0)),0)</f>
        <v>0</v>
      </c>
      <c r="ET75" s="13">
        <f>Table410[[#This Row],[Nov_2027_F]]-Table410[[#This Row],[Nov_2027_A]]</f>
        <v>0</v>
      </c>
      <c r="EU75" s="13">
        <f>IFERROR(Table410[[#This Row],[Dec_2027_Days_Forecast]]*Table410[[#This Row],[Cost Boolean]]*(VLOOKUP(Table410[[#This Row],[RATE CONCAT]],Tables!I:N,6,0)),0)</f>
        <v>0</v>
      </c>
      <c r="EW75" s="13">
        <f>Table410[[#This Row],[Dec_2027_F]]-Table410[[#This Row],[Dec_2027_A]]</f>
        <v>0</v>
      </c>
    </row>
    <row r="76" spans="25:153" s="13" customFormat="1" ht="15" customHeight="1">
      <c r="Y76" s="13" t="str">
        <f>CONCATENATE(Table410[[#This Row],[JG]],Table410[[#This Row],[Country]],Table410[[#This Row],[Resource Provider]])</f>
        <v/>
      </c>
      <c r="Z76" s="13">
        <f>VLOOKUP(Table410[[#This Row],[RATE CONCAT]],Tables!I:N,5,0)</f>
        <v>0</v>
      </c>
      <c r="AA76" s="52"/>
      <c r="AB76" s="127"/>
      <c r="AC76" s="127"/>
      <c r="AD76" s="127"/>
      <c r="AE76" s="127"/>
      <c r="AF76" s="127"/>
      <c r="AG76" s="127"/>
      <c r="AH76" s="127"/>
      <c r="AI76" s="127"/>
      <c r="AJ76" s="127"/>
      <c r="AK76" s="127"/>
      <c r="AL76" s="130"/>
      <c r="AM76" s="130"/>
      <c r="AN76" s="176">
        <f>IFERROR(AVERAGE(Table410[[#This Row],[Jan_2026_Days_Forecast]:[Dec_2026_Days_Forecast]]),0)/19</f>
        <v>0</v>
      </c>
      <c r="AO76" s="176">
        <f>IFERROR(AVERAGE(Table410[[#This Row],[Jan_2026_Days_Actual]:[Dec_2026_Days_Actual]]),0)/19</f>
        <v>0</v>
      </c>
      <c r="BB76" s="176">
        <f>IFERROR(AVERAGE(Table410[[#This Row],[Jan_2027_Days_Forecast]:[Dec_2027_Days_Forecast]]),0)</f>
        <v>0</v>
      </c>
      <c r="BC76" s="127"/>
      <c r="BD76" s="127"/>
      <c r="BE76" s="127"/>
      <c r="BF76" s="127"/>
      <c r="BG76" s="127"/>
      <c r="BH76" s="127"/>
      <c r="BI76" s="127"/>
      <c r="BJ76" s="127"/>
      <c r="BK76" s="127"/>
      <c r="BL76" s="127"/>
      <c r="BM76" s="127"/>
      <c r="BN76" s="127"/>
      <c r="BO76" s="176"/>
      <c r="BP76" s="176"/>
      <c r="BQ76" s="13">
        <f>IFERROR(Table410[[#This Row],[Jan_2026_Days_Forecast]]*Table410[[#This Row],[Cost Boolean]]*(VLOOKUP(Table410[[#This Row],[RATE CONCAT]],Tables!I:N,5,0)),0)</f>
        <v>0</v>
      </c>
      <c r="BR76" s="13">
        <f>IFERROR(Table410[[#This Row],[Jan_2026_Days_Actual]]*Table410[[#This Row],[Cost Boolean]]*(VLOOKUP(Table410[[#This Row],[RATE CONCAT]],Tables!I:N,5,0)),0)</f>
        <v>0</v>
      </c>
      <c r="BS76" s="13">
        <f>Table410[[#This Row],[Jan_2026_F]]-Table410[[#This Row],[Jan_2026_A]]</f>
        <v>0</v>
      </c>
      <c r="BU76" s="13">
        <f>IFERROR(Table410[[#This Row],[Feb_2026_Days_Forecast]]*Table410[[#This Row],[Cost Boolean]]*(VLOOKUP(Table410[[#This Row],[RATE CONCAT]],Tables!I:N,5,0)),0)</f>
        <v>0</v>
      </c>
      <c r="BV76" s="13">
        <f>IFERROR(Table410[[#This Row],[Feb_2026_Days_Actual]]*Table410[[#This Row],[Cost Boolean]]*(VLOOKUP(Table410[[#This Row],[RATE CONCAT]],Tables!I:N,5,0)),0)</f>
        <v>0</v>
      </c>
      <c r="BW76" s="13">
        <f>Table410[[#This Row],[Feb_2026_F]]-Table410[[#This Row],[Feb_2026_A]]</f>
        <v>0</v>
      </c>
      <c r="BY76" s="13">
        <f>IFERROR(Table410[[#This Row],[Mar_2026_Days_Forecast]]*Table410[[#This Row],[Cost Boolean]]*(VLOOKUP(Table410[[#This Row],[RATE CONCAT]],Tables!I:N,5,0)),0)</f>
        <v>0</v>
      </c>
      <c r="BZ76" s="13">
        <f>IFERROR(Table410[[#This Row],[Mar_2026_Days_Actual]]*Table410[[#This Row],[Cost Boolean]]*(VLOOKUP(Table410[[#This Row],[RATE CONCAT]],Tables!I:N,5,0)),0)</f>
        <v>0</v>
      </c>
      <c r="CA76" s="13">
        <f>Table410[[#This Row],[Mar_2026_F]]-Table410[[#This Row],[Mar_2026_A]]</f>
        <v>0</v>
      </c>
      <c r="CC76" s="13">
        <f>IFERROR(Table410[[#This Row],[Apr_2026_Days_Forecast]]*Table410[[#This Row],[Cost Boolean]]*(VLOOKUP(Table410[[#This Row],[RATE CONCAT]],Tables!I:N,5,0)),0)</f>
        <v>0</v>
      </c>
      <c r="CD76" s="13">
        <f>IFERROR(Table410[[#This Row],[Apr_2026_Days_Actual]]*Table410[[#This Row],[Cost Boolean]]*(VLOOKUP(Table410[[#This Row],[RATE CONCAT]],Tables!I:N,5,0)),0)</f>
        <v>0</v>
      </c>
      <c r="CE76" s="13">
        <f>Table410[[#This Row],[Apr_2026_F]]-Table410[[#This Row],[Apr_2026_A]]</f>
        <v>0</v>
      </c>
      <c r="CG76" s="13">
        <f>IFERROR(Table410[[#This Row],[May_2026_Days_Forecast]] *Table410[[#This Row],[Cost Boolean]]*(VLOOKUP(Table410[[#This Row],[RATE CONCAT]],Tables!I:N,5,0)),0)</f>
        <v>0</v>
      </c>
      <c r="CH76" s="13">
        <f>IFERROR(Table410[[#This Row],[May_2026_Days_Actual]]*Table410[[#This Row],[Cost Boolean]]*(VLOOKUP(Table410[[#This Row],[RATE CONCAT]],Tables!I:N,5,0)),0)</f>
        <v>0</v>
      </c>
      <c r="CI76" s="13">
        <f>Table410[[#This Row],[May_2026_F]]-Table410[[#This Row],[May_2026_A]]</f>
        <v>0</v>
      </c>
      <c r="CK76" s="13">
        <f>IFERROR(Table410[[#This Row],[Jun_2026_Days_Forecast]]*Table410[[#This Row],[Cost Boolean]]*(VLOOKUP(Table410[[#This Row],[RATE CONCAT]],Tables!I:N,5,0)),0)</f>
        <v>0</v>
      </c>
      <c r="CL76" s="13">
        <f>IFERROR(Table410[[#This Row],[Jun_2026_Days_Actual]]*Table410[[#This Row],[Cost Boolean]]*(VLOOKUP(Table410[[#This Row],[RATE CONCAT]],Tables!I:N,5,0)),0)</f>
        <v>0</v>
      </c>
      <c r="CM76" s="13">
        <f>Table410[[#This Row],[Jun_2026_F]]-Table410[[#This Row],[Jun_2026_A]]</f>
        <v>0</v>
      </c>
      <c r="CO76" s="13">
        <f>IFERROR(Table410[[#This Row],[Jul_2026_Days_Forecast]]*Table410[[#This Row],[Cost Boolean]]*(VLOOKUP(Table410[[#This Row],[RATE CONCAT]],Tables!I:N,5,0)),0)</f>
        <v>0</v>
      </c>
      <c r="CP76" s="13">
        <f>IFERROR(Table410[[#This Row],[Jul_2026_Days_Actual]]*Table410[[#This Row],[Cost Boolean]]*(VLOOKUP(Table410[[#This Row],[RATE CONCAT]],Tables!I:N,5,0)),0)</f>
        <v>0</v>
      </c>
      <c r="CQ76" s="13">
        <f>Table410[[#This Row],[Jul_2026_F]]-Table410[[#This Row],[Jul_2026_A]]</f>
        <v>0</v>
      </c>
      <c r="CS76" s="13">
        <f>IFERROR(Table410[[#This Row],[Aug_2026_Days_Forecast]]*Table410[[#This Row],[Cost Boolean]]*(VLOOKUP(Table410[[#This Row],[RATE CONCAT]],Tables!I:N,5,0)),0)</f>
        <v>0</v>
      </c>
      <c r="CT76" s="13">
        <f>IFERROR(Table410[[#This Row],[Aug_2026_Days_Actual]]*Table410[[#This Row],[Cost Boolean]]*(VLOOKUP(Table410[[#This Row],[RATE CONCAT]],Tables!I:N,5,0)),0)</f>
        <v>0</v>
      </c>
      <c r="CU76" s="13">
        <f>Table410[[#This Row],[Aug_2026_F]]-Table410[[#This Row],[Aug_2026_A]]</f>
        <v>0</v>
      </c>
      <c r="CW76" s="13">
        <f>IFERROR(Table410[[#This Row],[Sep_2026_Days_Forecast]]*Table410[[#This Row],[Cost Boolean]]*(VLOOKUP(Table410[[#This Row],[RATE CONCAT]],Tables!I:N,5,0)),0)</f>
        <v>0</v>
      </c>
      <c r="CX76" s="13">
        <f>IFERROR(Table410[[#This Row],[Sep_2026_Days_Actual]]*Table410[[#This Row],[Cost Boolean]]*(VLOOKUP(Table410[[#This Row],[RATE CONCAT]],Tables!I:N,5,0)),0)</f>
        <v>0</v>
      </c>
      <c r="CY76" s="13">
        <f>Table410[[#This Row],[Sep_2026_F]]-Table410[[#This Row],[Sep_2026_A]]</f>
        <v>0</v>
      </c>
      <c r="DA76" s="13">
        <f>IFERROR(Table410[[#This Row],[Oct_2026_Days_Forecast]]*Table410[[#This Row],[Cost Boolean]]*(VLOOKUP(Table410[[#This Row],[RATE CONCAT]],Tables!I:N,5,0)),0)</f>
        <v>0</v>
      </c>
      <c r="DB76" s="13">
        <f>IFERROR(Table410[[#This Row],[Oct_2026_Days_Actual]]*Table410[[#This Row],[Cost Boolean]]*(VLOOKUP(Table410[[#This Row],[RATE CONCAT]],Tables!I:N,5,0)),0)</f>
        <v>0</v>
      </c>
      <c r="DC76" s="13">
        <f>Table410[[#This Row],[Oct_2026_F]]-Table410[[#This Row],[Oct_2026_A]]</f>
        <v>0</v>
      </c>
      <c r="DE76" s="13">
        <f>IFERROR(Table410[[#This Row],[Nov_2026_Days_Forecast]]*Table410[[#This Row],[Cost Boolean]]*(VLOOKUP(Table410[[#This Row],[RATE CONCAT]],Tables!I:N,5,0)),0)</f>
        <v>0</v>
      </c>
      <c r="DF76" s="13">
        <f>IFERROR(Table410[[#This Row],[Nov_2026_Days_Actual]]*Table410[[#This Row],[Cost Boolean]]*(VLOOKUP(Table410[[#This Row],[RATE CONCAT]],Tables!I:N,5,0)),0)</f>
        <v>0</v>
      </c>
      <c r="DG76" s="13">
        <f>Table410[[#This Row],[Nov_2026_F]]-Table410[[#This Row],[Nov_2026_A]]</f>
        <v>0</v>
      </c>
      <c r="DI76" s="13">
        <f>IFERROR(Table410[[#This Row],[Dec_2026_Days_Forecast]]*Table410[[#This Row],[Cost Boolean]]*(VLOOKUP(Table410[[#This Row],[RATE CONCAT]],Tables!I:N,5,0)),0)</f>
        <v>0</v>
      </c>
      <c r="DJ76" s="13">
        <f>IFERROR(Table410[[#This Row],[Dec_2026_Days_Actual]]*Table410[[#This Row],[Cost Boolean]]*(VLOOKUP(Table410[[#This Row],[RATE CONCAT]],Tables!I:N,5,0)),0)</f>
        <v>0</v>
      </c>
      <c r="DK76" s="13">
        <f>Table410[[#This Row],[Dec_2026_F]]-Table410[[#This Row],[Dec_2026_A]]</f>
        <v>0</v>
      </c>
      <c r="DN76" s="13">
        <f>IFERROR(Table410[[#This Row],[Jan_2027_Days_Forecast]]*Table410[[#This Row],[Cost Boolean]]*(VLOOKUP(Table410[[#This Row],[RATE CONCAT]],Tables!I:N,6,0)),0)</f>
        <v>0</v>
      </c>
      <c r="DP76" s="13">
        <f>Table410[[#This Row],[Jan_2027_F]]-Table410[[#This Row],[Jan_2027_A]]</f>
        <v>0</v>
      </c>
      <c r="DQ76" s="13">
        <f>IFERROR(Table410[[#This Row],[Feb_2027_Days_Forecast]]*Table410[[#This Row],[Cost Boolean]]*(VLOOKUP(Table410[[#This Row],[RATE CONCAT]],Tables!I:N,6,0)),0)</f>
        <v>0</v>
      </c>
      <c r="DS76" s="13">
        <f>Table410[[#This Row],[Feb_2027_F]]-Table410[[#This Row],[Feb_2027_A]]</f>
        <v>0</v>
      </c>
      <c r="DT76" s="13">
        <f>IFERROR(Table410[[#This Row],[Mar_2027_Days_Forecast]]*Table410[[#This Row],[Cost Boolean]]*(VLOOKUP(Table410[[#This Row],[RATE CONCAT]],Tables!I:N,6,0)),0)</f>
        <v>0</v>
      </c>
      <c r="DV76" s="13">
        <f>Table410[[#This Row],[Mar_2027_F]]-Table410[[#This Row],[Mar_2027_A]]</f>
        <v>0</v>
      </c>
      <c r="DW76" s="13">
        <f>IFERROR(Table410[[#This Row],[Apr_2027_Days_Forecast]]*Table410[[#This Row],[Cost Boolean]]*(VLOOKUP(Table410[[#This Row],[RATE CONCAT]],Tables!I:N,6,0)),0)</f>
        <v>0</v>
      </c>
      <c r="DY76" s="13">
        <f>Table410[[#This Row],[Apr_2027_F]]-Table410[[#This Row],[Apr_2027_A]]</f>
        <v>0</v>
      </c>
      <c r="DZ76" s="13">
        <f>IFERROR(Table410[[#This Row],[May_2027_Days_Forecast]]*Table410[[#This Row],[Cost Boolean]]*(VLOOKUP(Table410[[#This Row],[RATE CONCAT]],Tables!I:N,6,0)),0)</f>
        <v>0</v>
      </c>
      <c r="EB76" s="13">
        <f>Table410[[#This Row],[May_2027_F]]-Table410[[#This Row],[May_2027_A]]</f>
        <v>0</v>
      </c>
      <c r="EC76" s="13">
        <f>IFERROR(Table410[[#This Row],[Jun_2027_Days_Forecast]]*Table410[[#This Row],[Cost Boolean]]*(VLOOKUP(Table410[[#This Row],[RATE CONCAT]],Tables!I:N,6,0)),0)</f>
        <v>0</v>
      </c>
      <c r="EE76" s="13">
        <f>Table410[[#This Row],[Jun_2027_F]]-Table410[[#This Row],[Jun_2027_A]]</f>
        <v>0</v>
      </c>
      <c r="EF76" s="13">
        <f>IFERROR(Table410[[#This Row],[Jul_2027_Days_Forecast]]*Table410[[#This Row],[Cost Boolean]]*(VLOOKUP(Table410[[#This Row],[RATE CONCAT]],Tables!I:N,6,0)),0)</f>
        <v>0</v>
      </c>
      <c r="EH76" s="13">
        <f>Table410[[#This Row],[Jul_2027_F]]-Table410[[#This Row],[Jul_2027_A]]</f>
        <v>0</v>
      </c>
      <c r="EI76" s="13">
        <f>IFERROR(Table410[[#This Row],[Aug_2027_Days_Forecast]]*Table410[[#This Row],[Cost Boolean]]*(VLOOKUP(Table410[[#This Row],[RATE CONCAT]],Tables!I:N,6,0)),0)</f>
        <v>0</v>
      </c>
      <c r="EK76" s="13">
        <f>Table410[[#This Row],[Aug_2027_F]]-Table410[[#This Row],[Aug_2027_A]]</f>
        <v>0</v>
      </c>
      <c r="EL76" s="13">
        <f>IFERROR(Table410[[#This Row],[Sep_2027_Days_Forecast]]*Table410[[#This Row],[Cost Boolean]]*(VLOOKUP(Table410[[#This Row],[RATE CONCAT]],Tables!I:N,6,0)),0)</f>
        <v>0</v>
      </c>
      <c r="EN76" s="13">
        <f>Table410[[#This Row],[Sep_2027_F]]-Table410[[#This Row],[Sep_2027_A]]</f>
        <v>0</v>
      </c>
      <c r="EO76" s="13">
        <f>IFERROR(Table410[[#This Row],[Oct_2027_Days_Forecast]]*Table410[[#This Row],[Cost Boolean]]*(VLOOKUP(Table410[[#This Row],[RATE CONCAT]],Tables!I:N,6,0)),0)</f>
        <v>0</v>
      </c>
      <c r="EQ76" s="13">
        <f>Table410[[#This Row],[Oct_2027_F]]-Table410[[#This Row],[Oct_2027_A]]</f>
        <v>0</v>
      </c>
      <c r="ER76" s="13">
        <f>IFERROR(Table410[[#This Row],[Nov_2027_Days_Forecast]]*Table410[[#This Row],[Cost Boolean]]*(VLOOKUP(Table410[[#This Row],[RATE CONCAT]],Tables!I:N,6,0)),0)</f>
        <v>0</v>
      </c>
      <c r="ET76" s="13">
        <f>Table410[[#This Row],[Nov_2027_F]]-Table410[[#This Row],[Nov_2027_A]]</f>
        <v>0</v>
      </c>
      <c r="EU76" s="13">
        <f>IFERROR(Table410[[#This Row],[Dec_2027_Days_Forecast]]*Table410[[#This Row],[Cost Boolean]]*(VLOOKUP(Table410[[#This Row],[RATE CONCAT]],Tables!I:N,6,0)),0)</f>
        <v>0</v>
      </c>
      <c r="EW76" s="13">
        <f>Table410[[#This Row],[Dec_2027_F]]-Table410[[#This Row],[Dec_2027_A]]</f>
        <v>0</v>
      </c>
    </row>
    <row r="77" spans="25:153" s="13" customFormat="1" ht="15" customHeight="1">
      <c r="Y77" s="13" t="str">
        <f>CONCATENATE(Table410[[#This Row],[JG]],Table410[[#This Row],[Country]],Table410[[#This Row],[Resource Provider]])</f>
        <v/>
      </c>
      <c r="Z77" s="13">
        <f>VLOOKUP(Table410[[#This Row],[RATE CONCAT]],Tables!I:N,5,0)</f>
        <v>0</v>
      </c>
      <c r="AA77" s="52"/>
      <c r="AB77" s="127"/>
      <c r="AC77" s="127"/>
      <c r="AD77" s="127"/>
      <c r="AE77" s="127"/>
      <c r="AF77" s="127"/>
      <c r="AG77" s="127"/>
      <c r="AH77" s="130"/>
      <c r="AI77" s="130"/>
      <c r="AJ77" s="130"/>
      <c r="AK77" s="130"/>
      <c r="AL77" s="130"/>
      <c r="AM77" s="130"/>
      <c r="AN77" s="176">
        <f>IFERROR(AVERAGE(Table410[[#This Row],[Jan_2026_Days_Forecast]:[Dec_2026_Days_Forecast]]),0)/19</f>
        <v>0</v>
      </c>
      <c r="AO77" s="176">
        <f>IFERROR(AVERAGE(Table410[[#This Row],[Jan_2026_Days_Actual]:[Dec_2026_Days_Actual]]),0)/19</f>
        <v>0</v>
      </c>
      <c r="BB77" s="176">
        <f>IFERROR(AVERAGE(Table410[[#This Row],[Jan_2027_Days_Forecast]:[Dec_2027_Days_Forecast]]),0)</f>
        <v>0</v>
      </c>
      <c r="BC77" s="127"/>
      <c r="BD77" s="127"/>
      <c r="BE77" s="127"/>
      <c r="BF77" s="127"/>
      <c r="BG77" s="127"/>
      <c r="BH77" s="127"/>
      <c r="BI77" s="127"/>
      <c r="BJ77" s="127"/>
      <c r="BK77" s="127"/>
      <c r="BL77" s="127"/>
      <c r="BM77" s="127"/>
      <c r="BN77" s="127"/>
      <c r="BO77" s="176"/>
      <c r="BP77" s="176"/>
      <c r="BQ77" s="13">
        <f>IFERROR(Table410[[#This Row],[Jan_2026_Days_Forecast]]*Table410[[#This Row],[Cost Boolean]]*(VLOOKUP(Table410[[#This Row],[RATE CONCAT]],Tables!I:N,5,0)),0)</f>
        <v>0</v>
      </c>
      <c r="BR77" s="13">
        <f>IFERROR(Table410[[#This Row],[Jan_2026_Days_Actual]]*Table410[[#This Row],[Cost Boolean]]*(VLOOKUP(Table410[[#This Row],[RATE CONCAT]],Tables!I:N,5,0)),0)</f>
        <v>0</v>
      </c>
      <c r="BS77" s="13">
        <f>Table410[[#This Row],[Jan_2026_F]]-Table410[[#This Row],[Jan_2026_A]]</f>
        <v>0</v>
      </c>
      <c r="BU77" s="13">
        <f>IFERROR(Table410[[#This Row],[Feb_2026_Days_Forecast]]*Table410[[#This Row],[Cost Boolean]]*(VLOOKUP(Table410[[#This Row],[RATE CONCAT]],Tables!I:N,5,0)),0)</f>
        <v>0</v>
      </c>
      <c r="BV77" s="13">
        <f>IFERROR(Table410[[#This Row],[Feb_2026_Days_Actual]]*Table410[[#This Row],[Cost Boolean]]*(VLOOKUP(Table410[[#This Row],[RATE CONCAT]],Tables!I:N,5,0)),0)</f>
        <v>0</v>
      </c>
      <c r="BW77" s="13">
        <f>Table410[[#This Row],[Feb_2026_F]]-Table410[[#This Row],[Feb_2026_A]]</f>
        <v>0</v>
      </c>
      <c r="BY77" s="13">
        <f>IFERROR(Table410[[#This Row],[Mar_2026_Days_Forecast]]*Table410[[#This Row],[Cost Boolean]]*(VLOOKUP(Table410[[#This Row],[RATE CONCAT]],Tables!I:N,5,0)),0)</f>
        <v>0</v>
      </c>
      <c r="BZ77" s="13">
        <f>IFERROR(Table410[[#This Row],[Mar_2026_Days_Actual]]*Table410[[#This Row],[Cost Boolean]]*(VLOOKUP(Table410[[#This Row],[RATE CONCAT]],Tables!I:N,5,0)),0)</f>
        <v>0</v>
      </c>
      <c r="CA77" s="13">
        <f>Table410[[#This Row],[Mar_2026_F]]-Table410[[#This Row],[Mar_2026_A]]</f>
        <v>0</v>
      </c>
      <c r="CC77" s="13">
        <f>IFERROR(Table410[[#This Row],[Apr_2026_Days_Forecast]]*Table410[[#This Row],[Cost Boolean]]*(VLOOKUP(Table410[[#This Row],[RATE CONCAT]],Tables!I:N,5,0)),0)</f>
        <v>0</v>
      </c>
      <c r="CD77" s="13">
        <f>IFERROR(Table410[[#This Row],[Apr_2026_Days_Actual]]*Table410[[#This Row],[Cost Boolean]]*(VLOOKUP(Table410[[#This Row],[RATE CONCAT]],Tables!I:N,5,0)),0)</f>
        <v>0</v>
      </c>
      <c r="CE77" s="13">
        <f>Table410[[#This Row],[Apr_2026_F]]-Table410[[#This Row],[Apr_2026_A]]</f>
        <v>0</v>
      </c>
      <c r="CG77" s="13">
        <f>IFERROR(Table410[[#This Row],[May_2026_Days_Forecast]] *Table410[[#This Row],[Cost Boolean]]*(VLOOKUP(Table410[[#This Row],[RATE CONCAT]],Tables!I:N,5,0)),0)</f>
        <v>0</v>
      </c>
      <c r="CH77" s="13">
        <f>IFERROR(Table410[[#This Row],[May_2026_Days_Actual]]*Table410[[#This Row],[Cost Boolean]]*(VLOOKUP(Table410[[#This Row],[RATE CONCAT]],Tables!I:N,5,0)),0)</f>
        <v>0</v>
      </c>
      <c r="CI77" s="13">
        <f>Table410[[#This Row],[May_2026_F]]-Table410[[#This Row],[May_2026_A]]</f>
        <v>0</v>
      </c>
      <c r="CK77" s="13">
        <f>IFERROR(Table410[[#This Row],[Jun_2026_Days_Forecast]]*Table410[[#This Row],[Cost Boolean]]*(VLOOKUP(Table410[[#This Row],[RATE CONCAT]],Tables!I:N,5,0)),0)</f>
        <v>0</v>
      </c>
      <c r="CL77" s="13">
        <f>IFERROR(Table410[[#This Row],[Jun_2026_Days_Actual]]*Table410[[#This Row],[Cost Boolean]]*(VLOOKUP(Table410[[#This Row],[RATE CONCAT]],Tables!I:N,5,0)),0)</f>
        <v>0</v>
      </c>
      <c r="CM77" s="13">
        <f>Table410[[#This Row],[Jun_2026_F]]-Table410[[#This Row],[Jun_2026_A]]</f>
        <v>0</v>
      </c>
      <c r="CO77" s="13">
        <f>IFERROR(Table410[[#This Row],[Jul_2026_Days_Forecast]]*Table410[[#This Row],[Cost Boolean]]*(VLOOKUP(Table410[[#This Row],[RATE CONCAT]],Tables!I:N,5,0)),0)</f>
        <v>0</v>
      </c>
      <c r="CP77" s="13">
        <f>IFERROR(Table410[[#This Row],[Jul_2026_Days_Actual]]*Table410[[#This Row],[Cost Boolean]]*(VLOOKUP(Table410[[#This Row],[RATE CONCAT]],Tables!I:N,5,0)),0)</f>
        <v>0</v>
      </c>
      <c r="CQ77" s="13">
        <f>Table410[[#This Row],[Jul_2026_F]]-Table410[[#This Row],[Jul_2026_A]]</f>
        <v>0</v>
      </c>
      <c r="CS77" s="13">
        <f>IFERROR(Table410[[#This Row],[Aug_2026_Days_Forecast]]*Table410[[#This Row],[Cost Boolean]]*(VLOOKUP(Table410[[#This Row],[RATE CONCAT]],Tables!I:N,5,0)),0)</f>
        <v>0</v>
      </c>
      <c r="CT77" s="13">
        <f>IFERROR(Table410[[#This Row],[Aug_2026_Days_Actual]]*Table410[[#This Row],[Cost Boolean]]*(VLOOKUP(Table410[[#This Row],[RATE CONCAT]],Tables!I:N,5,0)),0)</f>
        <v>0</v>
      </c>
      <c r="CU77" s="13">
        <f>Table410[[#This Row],[Aug_2026_F]]-Table410[[#This Row],[Aug_2026_A]]</f>
        <v>0</v>
      </c>
      <c r="CW77" s="13">
        <f>IFERROR(Table410[[#This Row],[Sep_2026_Days_Forecast]]*Table410[[#This Row],[Cost Boolean]]*(VLOOKUP(Table410[[#This Row],[RATE CONCAT]],Tables!I:N,5,0)),0)</f>
        <v>0</v>
      </c>
      <c r="CX77" s="13">
        <f>IFERROR(Table410[[#This Row],[Sep_2026_Days_Actual]]*Table410[[#This Row],[Cost Boolean]]*(VLOOKUP(Table410[[#This Row],[RATE CONCAT]],Tables!I:N,5,0)),0)</f>
        <v>0</v>
      </c>
      <c r="CY77" s="13">
        <f>Table410[[#This Row],[Sep_2026_F]]-Table410[[#This Row],[Sep_2026_A]]</f>
        <v>0</v>
      </c>
      <c r="DA77" s="13">
        <f>IFERROR(Table410[[#This Row],[Oct_2026_Days_Forecast]]*Table410[[#This Row],[Cost Boolean]]*(VLOOKUP(Table410[[#This Row],[RATE CONCAT]],Tables!I:N,5,0)),0)</f>
        <v>0</v>
      </c>
      <c r="DB77" s="13">
        <f>IFERROR(Table410[[#This Row],[Oct_2026_Days_Actual]]*Table410[[#This Row],[Cost Boolean]]*(VLOOKUP(Table410[[#This Row],[RATE CONCAT]],Tables!I:N,5,0)),0)</f>
        <v>0</v>
      </c>
      <c r="DC77" s="13">
        <f>Table410[[#This Row],[Oct_2026_F]]-Table410[[#This Row],[Oct_2026_A]]</f>
        <v>0</v>
      </c>
      <c r="DE77" s="13">
        <f>IFERROR(Table410[[#This Row],[Nov_2026_Days_Forecast]]*Table410[[#This Row],[Cost Boolean]]*(VLOOKUP(Table410[[#This Row],[RATE CONCAT]],Tables!I:N,5,0)),0)</f>
        <v>0</v>
      </c>
      <c r="DF77" s="13">
        <f>IFERROR(Table410[[#This Row],[Nov_2026_Days_Actual]]*Table410[[#This Row],[Cost Boolean]]*(VLOOKUP(Table410[[#This Row],[RATE CONCAT]],Tables!I:N,5,0)),0)</f>
        <v>0</v>
      </c>
      <c r="DG77" s="13">
        <f>Table410[[#This Row],[Nov_2026_F]]-Table410[[#This Row],[Nov_2026_A]]</f>
        <v>0</v>
      </c>
      <c r="DI77" s="13">
        <f>IFERROR(Table410[[#This Row],[Dec_2026_Days_Forecast]]*Table410[[#This Row],[Cost Boolean]]*(VLOOKUP(Table410[[#This Row],[RATE CONCAT]],Tables!I:N,5,0)),0)</f>
        <v>0</v>
      </c>
      <c r="DJ77" s="13">
        <f>IFERROR(Table410[[#This Row],[Dec_2026_Days_Actual]]*Table410[[#This Row],[Cost Boolean]]*(VLOOKUP(Table410[[#This Row],[RATE CONCAT]],Tables!I:N,5,0)),0)</f>
        <v>0</v>
      </c>
      <c r="DK77" s="13">
        <f>Table410[[#This Row],[Dec_2026_F]]-Table410[[#This Row],[Dec_2026_A]]</f>
        <v>0</v>
      </c>
      <c r="DN77" s="13">
        <f>IFERROR(Table410[[#This Row],[Jan_2027_Days_Forecast]]*Table410[[#This Row],[Cost Boolean]]*(VLOOKUP(Table410[[#This Row],[RATE CONCAT]],Tables!I:N,6,0)),0)</f>
        <v>0</v>
      </c>
      <c r="DP77" s="13">
        <f>Table410[[#This Row],[Jan_2027_F]]-Table410[[#This Row],[Jan_2027_A]]</f>
        <v>0</v>
      </c>
      <c r="DQ77" s="13">
        <f>IFERROR(Table410[[#This Row],[Feb_2027_Days_Forecast]]*Table410[[#This Row],[Cost Boolean]]*(VLOOKUP(Table410[[#This Row],[RATE CONCAT]],Tables!I:N,6,0)),0)</f>
        <v>0</v>
      </c>
      <c r="DS77" s="13">
        <f>Table410[[#This Row],[Feb_2027_F]]-Table410[[#This Row],[Feb_2027_A]]</f>
        <v>0</v>
      </c>
      <c r="DT77" s="13">
        <f>IFERROR(Table410[[#This Row],[Mar_2027_Days_Forecast]]*Table410[[#This Row],[Cost Boolean]]*(VLOOKUP(Table410[[#This Row],[RATE CONCAT]],Tables!I:N,6,0)),0)</f>
        <v>0</v>
      </c>
      <c r="DV77" s="13">
        <f>Table410[[#This Row],[Mar_2027_F]]-Table410[[#This Row],[Mar_2027_A]]</f>
        <v>0</v>
      </c>
      <c r="DW77" s="13">
        <f>IFERROR(Table410[[#This Row],[Apr_2027_Days_Forecast]]*Table410[[#This Row],[Cost Boolean]]*(VLOOKUP(Table410[[#This Row],[RATE CONCAT]],Tables!I:N,6,0)),0)</f>
        <v>0</v>
      </c>
      <c r="DY77" s="13">
        <f>Table410[[#This Row],[Apr_2027_F]]-Table410[[#This Row],[Apr_2027_A]]</f>
        <v>0</v>
      </c>
      <c r="DZ77" s="13">
        <f>IFERROR(Table410[[#This Row],[May_2027_Days_Forecast]]*Table410[[#This Row],[Cost Boolean]]*(VLOOKUP(Table410[[#This Row],[RATE CONCAT]],Tables!I:N,6,0)),0)</f>
        <v>0</v>
      </c>
      <c r="EB77" s="13">
        <f>Table410[[#This Row],[May_2027_F]]-Table410[[#This Row],[May_2027_A]]</f>
        <v>0</v>
      </c>
      <c r="EC77" s="13">
        <f>IFERROR(Table410[[#This Row],[Jun_2027_Days_Forecast]]*Table410[[#This Row],[Cost Boolean]]*(VLOOKUP(Table410[[#This Row],[RATE CONCAT]],Tables!I:N,6,0)),0)</f>
        <v>0</v>
      </c>
      <c r="EE77" s="13">
        <f>Table410[[#This Row],[Jun_2027_F]]-Table410[[#This Row],[Jun_2027_A]]</f>
        <v>0</v>
      </c>
      <c r="EF77" s="13">
        <f>IFERROR(Table410[[#This Row],[Jul_2027_Days_Forecast]]*Table410[[#This Row],[Cost Boolean]]*(VLOOKUP(Table410[[#This Row],[RATE CONCAT]],Tables!I:N,6,0)),0)</f>
        <v>0</v>
      </c>
      <c r="EH77" s="13">
        <f>Table410[[#This Row],[Jul_2027_F]]-Table410[[#This Row],[Jul_2027_A]]</f>
        <v>0</v>
      </c>
      <c r="EI77" s="13">
        <f>IFERROR(Table410[[#This Row],[Aug_2027_Days_Forecast]]*Table410[[#This Row],[Cost Boolean]]*(VLOOKUP(Table410[[#This Row],[RATE CONCAT]],Tables!I:N,6,0)),0)</f>
        <v>0</v>
      </c>
      <c r="EK77" s="13">
        <f>Table410[[#This Row],[Aug_2027_F]]-Table410[[#This Row],[Aug_2027_A]]</f>
        <v>0</v>
      </c>
      <c r="EL77" s="13">
        <f>IFERROR(Table410[[#This Row],[Sep_2027_Days_Forecast]]*Table410[[#This Row],[Cost Boolean]]*(VLOOKUP(Table410[[#This Row],[RATE CONCAT]],Tables!I:N,6,0)),0)</f>
        <v>0</v>
      </c>
      <c r="EN77" s="13">
        <f>Table410[[#This Row],[Sep_2027_F]]-Table410[[#This Row],[Sep_2027_A]]</f>
        <v>0</v>
      </c>
      <c r="EO77" s="13">
        <f>IFERROR(Table410[[#This Row],[Oct_2027_Days_Forecast]]*Table410[[#This Row],[Cost Boolean]]*(VLOOKUP(Table410[[#This Row],[RATE CONCAT]],Tables!I:N,6,0)),0)</f>
        <v>0</v>
      </c>
      <c r="EQ77" s="13">
        <f>Table410[[#This Row],[Oct_2027_F]]-Table410[[#This Row],[Oct_2027_A]]</f>
        <v>0</v>
      </c>
      <c r="ER77" s="13">
        <f>IFERROR(Table410[[#This Row],[Nov_2027_Days_Forecast]]*Table410[[#This Row],[Cost Boolean]]*(VLOOKUP(Table410[[#This Row],[RATE CONCAT]],Tables!I:N,6,0)),0)</f>
        <v>0</v>
      </c>
      <c r="ET77" s="13">
        <f>Table410[[#This Row],[Nov_2027_F]]-Table410[[#This Row],[Nov_2027_A]]</f>
        <v>0</v>
      </c>
      <c r="EU77" s="13">
        <f>IFERROR(Table410[[#This Row],[Dec_2027_Days_Forecast]]*Table410[[#This Row],[Cost Boolean]]*(VLOOKUP(Table410[[#This Row],[RATE CONCAT]],Tables!I:N,6,0)),0)</f>
        <v>0</v>
      </c>
      <c r="EW77" s="13">
        <f>Table410[[#This Row],[Dec_2027_F]]-Table410[[#This Row],[Dec_2027_A]]</f>
        <v>0</v>
      </c>
    </row>
    <row r="78" spans="25:153" s="13" customFormat="1" ht="15" customHeight="1">
      <c r="Y78" s="13" t="str">
        <f>CONCATENATE(Table410[[#This Row],[JG]],Table410[[#This Row],[Country]],Table410[[#This Row],[Resource Provider]])</f>
        <v/>
      </c>
      <c r="Z78" s="13">
        <f>VLOOKUP(Table410[[#This Row],[RATE CONCAT]],Tables!I:N,5,0)</f>
        <v>0</v>
      </c>
      <c r="AA78" s="52"/>
      <c r="AB78" s="127"/>
      <c r="AC78" s="127"/>
      <c r="AD78" s="127"/>
      <c r="AE78" s="127"/>
      <c r="AF78" s="127"/>
      <c r="AG78" s="127"/>
      <c r="AH78" s="130"/>
      <c r="AI78" s="130"/>
      <c r="AJ78" s="130"/>
      <c r="AK78" s="130"/>
      <c r="AL78" s="130"/>
      <c r="AM78" s="130"/>
      <c r="AN78" s="176">
        <f>IFERROR(AVERAGE(Table410[[#This Row],[Jan_2026_Days_Forecast]:[Dec_2026_Days_Forecast]]),0)/19</f>
        <v>0</v>
      </c>
      <c r="AO78" s="176">
        <f>IFERROR(AVERAGE(Table410[[#This Row],[Jan_2026_Days_Actual]:[Dec_2026_Days_Actual]]),0)/19</f>
        <v>0</v>
      </c>
      <c r="BB78" s="176">
        <f>IFERROR(AVERAGE(Table410[[#This Row],[Jan_2027_Days_Forecast]:[Dec_2027_Days_Forecast]]),0)</f>
        <v>0</v>
      </c>
      <c r="BC78" s="127"/>
      <c r="BD78" s="127"/>
      <c r="BE78" s="127"/>
      <c r="BF78" s="127"/>
      <c r="BG78" s="127"/>
      <c r="BH78" s="127"/>
      <c r="BI78" s="127"/>
      <c r="BJ78" s="127"/>
      <c r="BK78" s="127"/>
      <c r="BL78" s="127"/>
      <c r="BM78" s="127"/>
      <c r="BN78" s="127"/>
      <c r="BO78" s="176"/>
      <c r="BP78" s="176"/>
      <c r="BQ78" s="13">
        <f>IFERROR(Table410[[#This Row],[Jan_2026_Days_Forecast]]*Table410[[#This Row],[Cost Boolean]]*(VLOOKUP(Table410[[#This Row],[RATE CONCAT]],Tables!I:N,5,0)),0)</f>
        <v>0</v>
      </c>
      <c r="BR78" s="13">
        <f>IFERROR(Table410[[#This Row],[Jan_2026_Days_Actual]]*Table410[[#This Row],[Cost Boolean]]*(VLOOKUP(Table410[[#This Row],[RATE CONCAT]],Tables!I:N,5,0)),0)</f>
        <v>0</v>
      </c>
      <c r="BS78" s="13">
        <f>Table410[[#This Row],[Jan_2026_F]]-Table410[[#This Row],[Jan_2026_A]]</f>
        <v>0</v>
      </c>
      <c r="BU78" s="13">
        <f>IFERROR(Table410[[#This Row],[Feb_2026_Days_Forecast]]*Table410[[#This Row],[Cost Boolean]]*(VLOOKUP(Table410[[#This Row],[RATE CONCAT]],Tables!I:N,5,0)),0)</f>
        <v>0</v>
      </c>
      <c r="BV78" s="13">
        <f>IFERROR(Table410[[#This Row],[Feb_2026_Days_Actual]]*Table410[[#This Row],[Cost Boolean]]*(VLOOKUP(Table410[[#This Row],[RATE CONCAT]],Tables!I:N,5,0)),0)</f>
        <v>0</v>
      </c>
      <c r="BW78" s="13">
        <f>Table410[[#This Row],[Feb_2026_F]]-Table410[[#This Row],[Feb_2026_A]]</f>
        <v>0</v>
      </c>
      <c r="BY78" s="13">
        <f>IFERROR(Table410[[#This Row],[Mar_2026_Days_Forecast]]*Table410[[#This Row],[Cost Boolean]]*(VLOOKUP(Table410[[#This Row],[RATE CONCAT]],Tables!I:N,5,0)),0)</f>
        <v>0</v>
      </c>
      <c r="BZ78" s="13">
        <f>IFERROR(Table410[[#This Row],[Mar_2026_Days_Actual]]*Table410[[#This Row],[Cost Boolean]]*(VLOOKUP(Table410[[#This Row],[RATE CONCAT]],Tables!I:N,5,0)),0)</f>
        <v>0</v>
      </c>
      <c r="CA78" s="13">
        <f>Table410[[#This Row],[Mar_2026_F]]-Table410[[#This Row],[Mar_2026_A]]</f>
        <v>0</v>
      </c>
      <c r="CC78" s="13">
        <f>IFERROR(Table410[[#This Row],[Apr_2026_Days_Forecast]]*Table410[[#This Row],[Cost Boolean]]*(VLOOKUP(Table410[[#This Row],[RATE CONCAT]],Tables!I:N,5,0)),0)</f>
        <v>0</v>
      </c>
      <c r="CD78" s="13">
        <f>IFERROR(Table410[[#This Row],[Apr_2026_Days_Actual]]*Table410[[#This Row],[Cost Boolean]]*(VLOOKUP(Table410[[#This Row],[RATE CONCAT]],Tables!I:N,5,0)),0)</f>
        <v>0</v>
      </c>
      <c r="CE78" s="13">
        <f>Table410[[#This Row],[Apr_2026_F]]-Table410[[#This Row],[Apr_2026_A]]</f>
        <v>0</v>
      </c>
      <c r="CG78" s="13">
        <f>IFERROR(Table410[[#This Row],[May_2026_Days_Forecast]] *Table410[[#This Row],[Cost Boolean]]*(VLOOKUP(Table410[[#This Row],[RATE CONCAT]],Tables!I:N,5,0)),0)</f>
        <v>0</v>
      </c>
      <c r="CH78" s="13">
        <f>IFERROR(Table410[[#This Row],[May_2026_Days_Actual]]*Table410[[#This Row],[Cost Boolean]]*(VLOOKUP(Table410[[#This Row],[RATE CONCAT]],Tables!I:N,5,0)),0)</f>
        <v>0</v>
      </c>
      <c r="CI78" s="13">
        <f>Table410[[#This Row],[May_2026_F]]-Table410[[#This Row],[May_2026_A]]</f>
        <v>0</v>
      </c>
      <c r="CK78" s="13">
        <f>IFERROR(Table410[[#This Row],[Jun_2026_Days_Forecast]]*Table410[[#This Row],[Cost Boolean]]*(VLOOKUP(Table410[[#This Row],[RATE CONCAT]],Tables!I:N,5,0)),0)</f>
        <v>0</v>
      </c>
      <c r="CL78" s="13">
        <f>IFERROR(Table410[[#This Row],[Jun_2026_Days_Actual]]*Table410[[#This Row],[Cost Boolean]]*(VLOOKUP(Table410[[#This Row],[RATE CONCAT]],Tables!I:N,5,0)),0)</f>
        <v>0</v>
      </c>
      <c r="CM78" s="13">
        <f>Table410[[#This Row],[Jun_2026_F]]-Table410[[#This Row],[Jun_2026_A]]</f>
        <v>0</v>
      </c>
      <c r="CO78" s="13">
        <f>IFERROR(Table410[[#This Row],[Jul_2026_Days_Forecast]]*Table410[[#This Row],[Cost Boolean]]*(VLOOKUP(Table410[[#This Row],[RATE CONCAT]],Tables!I:N,5,0)),0)</f>
        <v>0</v>
      </c>
      <c r="CP78" s="13">
        <f>IFERROR(Table410[[#This Row],[Jul_2026_Days_Actual]]*Table410[[#This Row],[Cost Boolean]]*(VLOOKUP(Table410[[#This Row],[RATE CONCAT]],Tables!I:N,5,0)),0)</f>
        <v>0</v>
      </c>
      <c r="CQ78" s="13">
        <f>Table410[[#This Row],[Jul_2026_F]]-Table410[[#This Row],[Jul_2026_A]]</f>
        <v>0</v>
      </c>
      <c r="CS78" s="13">
        <f>IFERROR(Table410[[#This Row],[Aug_2026_Days_Forecast]]*Table410[[#This Row],[Cost Boolean]]*(VLOOKUP(Table410[[#This Row],[RATE CONCAT]],Tables!I:N,5,0)),0)</f>
        <v>0</v>
      </c>
      <c r="CT78" s="13">
        <f>IFERROR(Table410[[#This Row],[Aug_2026_Days_Actual]]*Table410[[#This Row],[Cost Boolean]]*(VLOOKUP(Table410[[#This Row],[RATE CONCAT]],Tables!I:N,5,0)),0)</f>
        <v>0</v>
      </c>
      <c r="CU78" s="13">
        <f>Table410[[#This Row],[Aug_2026_F]]-Table410[[#This Row],[Aug_2026_A]]</f>
        <v>0</v>
      </c>
      <c r="CW78" s="13">
        <f>IFERROR(Table410[[#This Row],[Sep_2026_Days_Forecast]]*Table410[[#This Row],[Cost Boolean]]*(VLOOKUP(Table410[[#This Row],[RATE CONCAT]],Tables!I:N,5,0)),0)</f>
        <v>0</v>
      </c>
      <c r="CX78" s="13">
        <f>IFERROR(Table410[[#This Row],[Sep_2026_Days_Actual]]*Table410[[#This Row],[Cost Boolean]]*(VLOOKUP(Table410[[#This Row],[RATE CONCAT]],Tables!I:N,5,0)),0)</f>
        <v>0</v>
      </c>
      <c r="CY78" s="13">
        <f>Table410[[#This Row],[Sep_2026_F]]-Table410[[#This Row],[Sep_2026_A]]</f>
        <v>0</v>
      </c>
      <c r="DA78" s="13">
        <f>IFERROR(Table410[[#This Row],[Oct_2026_Days_Forecast]]*Table410[[#This Row],[Cost Boolean]]*(VLOOKUP(Table410[[#This Row],[RATE CONCAT]],Tables!I:N,5,0)),0)</f>
        <v>0</v>
      </c>
      <c r="DB78" s="13">
        <f>IFERROR(Table410[[#This Row],[Oct_2026_Days_Actual]]*Table410[[#This Row],[Cost Boolean]]*(VLOOKUP(Table410[[#This Row],[RATE CONCAT]],Tables!I:N,5,0)),0)</f>
        <v>0</v>
      </c>
      <c r="DC78" s="13">
        <f>Table410[[#This Row],[Oct_2026_F]]-Table410[[#This Row],[Oct_2026_A]]</f>
        <v>0</v>
      </c>
      <c r="DE78" s="13">
        <f>IFERROR(Table410[[#This Row],[Nov_2026_Days_Forecast]]*Table410[[#This Row],[Cost Boolean]]*(VLOOKUP(Table410[[#This Row],[RATE CONCAT]],Tables!I:N,5,0)),0)</f>
        <v>0</v>
      </c>
      <c r="DF78" s="13">
        <f>IFERROR(Table410[[#This Row],[Nov_2026_Days_Actual]]*Table410[[#This Row],[Cost Boolean]]*(VLOOKUP(Table410[[#This Row],[RATE CONCAT]],Tables!I:N,5,0)),0)</f>
        <v>0</v>
      </c>
      <c r="DG78" s="13">
        <f>Table410[[#This Row],[Nov_2026_F]]-Table410[[#This Row],[Nov_2026_A]]</f>
        <v>0</v>
      </c>
      <c r="DI78" s="13">
        <f>IFERROR(Table410[[#This Row],[Dec_2026_Days_Forecast]]*Table410[[#This Row],[Cost Boolean]]*(VLOOKUP(Table410[[#This Row],[RATE CONCAT]],Tables!I:N,5,0)),0)</f>
        <v>0</v>
      </c>
      <c r="DJ78" s="13">
        <f>IFERROR(Table410[[#This Row],[Dec_2026_Days_Actual]]*Table410[[#This Row],[Cost Boolean]]*(VLOOKUP(Table410[[#This Row],[RATE CONCAT]],Tables!I:N,5,0)),0)</f>
        <v>0</v>
      </c>
      <c r="DK78" s="13">
        <f>Table410[[#This Row],[Dec_2026_F]]-Table410[[#This Row],[Dec_2026_A]]</f>
        <v>0</v>
      </c>
      <c r="DN78" s="13">
        <f>IFERROR(Table410[[#This Row],[Jan_2027_Days_Forecast]]*Table410[[#This Row],[Cost Boolean]]*(VLOOKUP(Table410[[#This Row],[RATE CONCAT]],Tables!I:N,6,0)),0)</f>
        <v>0</v>
      </c>
      <c r="DP78" s="13">
        <f>Table410[[#This Row],[Jan_2027_F]]-Table410[[#This Row],[Jan_2027_A]]</f>
        <v>0</v>
      </c>
      <c r="DQ78" s="13">
        <f>IFERROR(Table410[[#This Row],[Feb_2027_Days_Forecast]]*Table410[[#This Row],[Cost Boolean]]*(VLOOKUP(Table410[[#This Row],[RATE CONCAT]],Tables!I:N,6,0)),0)</f>
        <v>0</v>
      </c>
      <c r="DS78" s="13">
        <f>Table410[[#This Row],[Feb_2027_F]]-Table410[[#This Row],[Feb_2027_A]]</f>
        <v>0</v>
      </c>
      <c r="DT78" s="13">
        <f>IFERROR(Table410[[#This Row],[Mar_2027_Days_Forecast]]*Table410[[#This Row],[Cost Boolean]]*(VLOOKUP(Table410[[#This Row],[RATE CONCAT]],Tables!I:N,6,0)),0)</f>
        <v>0</v>
      </c>
      <c r="DV78" s="13">
        <f>Table410[[#This Row],[Mar_2027_F]]-Table410[[#This Row],[Mar_2027_A]]</f>
        <v>0</v>
      </c>
      <c r="DW78" s="13">
        <f>IFERROR(Table410[[#This Row],[Apr_2027_Days_Forecast]]*Table410[[#This Row],[Cost Boolean]]*(VLOOKUP(Table410[[#This Row],[RATE CONCAT]],Tables!I:N,6,0)),0)</f>
        <v>0</v>
      </c>
      <c r="DY78" s="13">
        <f>Table410[[#This Row],[Apr_2027_F]]-Table410[[#This Row],[Apr_2027_A]]</f>
        <v>0</v>
      </c>
      <c r="DZ78" s="13">
        <f>IFERROR(Table410[[#This Row],[May_2027_Days_Forecast]]*Table410[[#This Row],[Cost Boolean]]*(VLOOKUP(Table410[[#This Row],[RATE CONCAT]],Tables!I:N,6,0)),0)</f>
        <v>0</v>
      </c>
      <c r="EB78" s="13">
        <f>Table410[[#This Row],[May_2027_F]]-Table410[[#This Row],[May_2027_A]]</f>
        <v>0</v>
      </c>
      <c r="EC78" s="13">
        <f>IFERROR(Table410[[#This Row],[Jun_2027_Days_Forecast]]*Table410[[#This Row],[Cost Boolean]]*(VLOOKUP(Table410[[#This Row],[RATE CONCAT]],Tables!I:N,6,0)),0)</f>
        <v>0</v>
      </c>
      <c r="EE78" s="13">
        <f>Table410[[#This Row],[Jun_2027_F]]-Table410[[#This Row],[Jun_2027_A]]</f>
        <v>0</v>
      </c>
      <c r="EF78" s="13">
        <f>IFERROR(Table410[[#This Row],[Jul_2027_Days_Forecast]]*Table410[[#This Row],[Cost Boolean]]*(VLOOKUP(Table410[[#This Row],[RATE CONCAT]],Tables!I:N,6,0)),0)</f>
        <v>0</v>
      </c>
      <c r="EH78" s="13">
        <f>Table410[[#This Row],[Jul_2027_F]]-Table410[[#This Row],[Jul_2027_A]]</f>
        <v>0</v>
      </c>
      <c r="EI78" s="13">
        <f>IFERROR(Table410[[#This Row],[Aug_2027_Days_Forecast]]*Table410[[#This Row],[Cost Boolean]]*(VLOOKUP(Table410[[#This Row],[RATE CONCAT]],Tables!I:N,6,0)),0)</f>
        <v>0</v>
      </c>
      <c r="EK78" s="13">
        <f>Table410[[#This Row],[Aug_2027_F]]-Table410[[#This Row],[Aug_2027_A]]</f>
        <v>0</v>
      </c>
      <c r="EL78" s="13">
        <f>IFERROR(Table410[[#This Row],[Sep_2027_Days_Forecast]]*Table410[[#This Row],[Cost Boolean]]*(VLOOKUP(Table410[[#This Row],[RATE CONCAT]],Tables!I:N,6,0)),0)</f>
        <v>0</v>
      </c>
      <c r="EN78" s="13">
        <f>Table410[[#This Row],[Sep_2027_F]]-Table410[[#This Row],[Sep_2027_A]]</f>
        <v>0</v>
      </c>
      <c r="EO78" s="13">
        <f>IFERROR(Table410[[#This Row],[Oct_2027_Days_Forecast]]*Table410[[#This Row],[Cost Boolean]]*(VLOOKUP(Table410[[#This Row],[RATE CONCAT]],Tables!I:N,6,0)),0)</f>
        <v>0</v>
      </c>
      <c r="EQ78" s="13">
        <f>Table410[[#This Row],[Oct_2027_F]]-Table410[[#This Row],[Oct_2027_A]]</f>
        <v>0</v>
      </c>
      <c r="ER78" s="13">
        <f>IFERROR(Table410[[#This Row],[Nov_2027_Days_Forecast]]*Table410[[#This Row],[Cost Boolean]]*(VLOOKUP(Table410[[#This Row],[RATE CONCAT]],Tables!I:N,6,0)),0)</f>
        <v>0</v>
      </c>
      <c r="ET78" s="13">
        <f>Table410[[#This Row],[Nov_2027_F]]-Table410[[#This Row],[Nov_2027_A]]</f>
        <v>0</v>
      </c>
      <c r="EU78" s="13">
        <f>IFERROR(Table410[[#This Row],[Dec_2027_Days_Forecast]]*Table410[[#This Row],[Cost Boolean]]*(VLOOKUP(Table410[[#This Row],[RATE CONCAT]],Tables!I:N,6,0)),0)</f>
        <v>0</v>
      </c>
      <c r="EW78" s="13">
        <f>Table410[[#This Row],[Dec_2027_F]]-Table410[[#This Row],[Dec_2027_A]]</f>
        <v>0</v>
      </c>
    </row>
    <row r="79" spans="25:153" s="13" customFormat="1" ht="15" customHeight="1">
      <c r="Y79" s="13" t="str">
        <f>CONCATENATE(Table410[[#This Row],[JG]],Table410[[#This Row],[Country]],Table410[[#This Row],[Resource Provider]])</f>
        <v/>
      </c>
      <c r="Z79" s="13">
        <f>VLOOKUP(Table410[[#This Row],[RATE CONCAT]],Tables!I:N,5,0)</f>
        <v>0</v>
      </c>
      <c r="AA79" s="52"/>
      <c r="AB79" s="130"/>
      <c r="AC79" s="130"/>
      <c r="AD79" s="130"/>
      <c r="AE79" s="130"/>
      <c r="AF79" s="130"/>
      <c r="AG79" s="130"/>
      <c r="AH79" s="130"/>
      <c r="AI79" s="130"/>
      <c r="AJ79" s="130"/>
      <c r="AK79" s="130"/>
      <c r="AL79" s="130"/>
      <c r="AM79" s="130"/>
      <c r="AN79" s="176">
        <f>IFERROR(AVERAGE(Table410[[#This Row],[Jan_2026_Days_Forecast]:[Dec_2026_Days_Forecast]]),0)/19</f>
        <v>0</v>
      </c>
      <c r="AO79" s="176">
        <f>IFERROR(AVERAGE(Table410[[#This Row],[Jan_2026_Days_Actual]:[Dec_2026_Days_Actual]]),0)/19</f>
        <v>0</v>
      </c>
      <c r="BB79" s="176">
        <f>IFERROR(AVERAGE(Table410[[#This Row],[Jan_2027_Days_Forecast]:[Dec_2027_Days_Forecast]]),0)</f>
        <v>0</v>
      </c>
      <c r="BC79" s="127"/>
      <c r="BD79" s="127"/>
      <c r="BE79" s="127"/>
      <c r="BF79" s="127"/>
      <c r="BG79" s="127"/>
      <c r="BH79" s="127"/>
      <c r="BI79" s="127"/>
      <c r="BJ79" s="127"/>
      <c r="BK79" s="127"/>
      <c r="BL79" s="127"/>
      <c r="BM79" s="127"/>
      <c r="BN79" s="127"/>
      <c r="BO79" s="176"/>
      <c r="BP79" s="176"/>
      <c r="BQ79" s="13">
        <f>IFERROR(Table410[[#This Row],[Jan_2026_Days_Forecast]]*Table410[[#This Row],[Cost Boolean]]*(VLOOKUP(Table410[[#This Row],[RATE CONCAT]],Tables!I:N,5,0)),0)</f>
        <v>0</v>
      </c>
      <c r="BR79" s="13">
        <f>IFERROR(Table410[[#This Row],[Jan_2026_Days_Actual]]*Table410[[#This Row],[Cost Boolean]]*(VLOOKUP(Table410[[#This Row],[RATE CONCAT]],Tables!I:N,5,0)),0)</f>
        <v>0</v>
      </c>
      <c r="BS79" s="13">
        <f>Table410[[#This Row],[Jan_2026_F]]-Table410[[#This Row],[Jan_2026_A]]</f>
        <v>0</v>
      </c>
      <c r="BU79" s="13">
        <f>IFERROR(Table410[[#This Row],[Feb_2026_Days_Forecast]]*Table410[[#This Row],[Cost Boolean]]*(VLOOKUP(Table410[[#This Row],[RATE CONCAT]],Tables!I:N,5,0)),0)</f>
        <v>0</v>
      </c>
      <c r="BV79" s="13">
        <f>IFERROR(Table410[[#This Row],[Feb_2026_Days_Actual]]*Table410[[#This Row],[Cost Boolean]]*(VLOOKUP(Table410[[#This Row],[RATE CONCAT]],Tables!I:N,5,0)),0)</f>
        <v>0</v>
      </c>
      <c r="BW79" s="13">
        <f>Table410[[#This Row],[Feb_2026_F]]-Table410[[#This Row],[Feb_2026_A]]</f>
        <v>0</v>
      </c>
      <c r="BY79" s="13">
        <f>IFERROR(Table410[[#This Row],[Mar_2026_Days_Forecast]]*Table410[[#This Row],[Cost Boolean]]*(VLOOKUP(Table410[[#This Row],[RATE CONCAT]],Tables!I:N,5,0)),0)</f>
        <v>0</v>
      </c>
      <c r="BZ79" s="13">
        <f>IFERROR(Table410[[#This Row],[Mar_2026_Days_Actual]]*Table410[[#This Row],[Cost Boolean]]*(VLOOKUP(Table410[[#This Row],[RATE CONCAT]],Tables!I:N,5,0)),0)</f>
        <v>0</v>
      </c>
      <c r="CA79" s="13">
        <f>Table410[[#This Row],[Mar_2026_F]]-Table410[[#This Row],[Mar_2026_A]]</f>
        <v>0</v>
      </c>
      <c r="CC79" s="13">
        <f>IFERROR(Table410[[#This Row],[Apr_2026_Days_Forecast]]*Table410[[#This Row],[Cost Boolean]]*(VLOOKUP(Table410[[#This Row],[RATE CONCAT]],Tables!I:N,5,0)),0)</f>
        <v>0</v>
      </c>
      <c r="CD79" s="13">
        <f>IFERROR(Table410[[#This Row],[Apr_2026_Days_Actual]]*Table410[[#This Row],[Cost Boolean]]*(VLOOKUP(Table410[[#This Row],[RATE CONCAT]],Tables!I:N,5,0)),0)</f>
        <v>0</v>
      </c>
      <c r="CE79" s="13">
        <f>Table410[[#This Row],[Apr_2026_F]]-Table410[[#This Row],[Apr_2026_A]]</f>
        <v>0</v>
      </c>
      <c r="CG79" s="13">
        <f>IFERROR(Table410[[#This Row],[May_2026_Days_Forecast]] *Table410[[#This Row],[Cost Boolean]]*(VLOOKUP(Table410[[#This Row],[RATE CONCAT]],Tables!I:N,5,0)),0)</f>
        <v>0</v>
      </c>
      <c r="CH79" s="13">
        <f>IFERROR(Table410[[#This Row],[May_2026_Days_Actual]]*Table410[[#This Row],[Cost Boolean]]*(VLOOKUP(Table410[[#This Row],[RATE CONCAT]],Tables!I:N,5,0)),0)</f>
        <v>0</v>
      </c>
      <c r="CI79" s="13">
        <f>Table410[[#This Row],[May_2026_F]]-Table410[[#This Row],[May_2026_A]]</f>
        <v>0</v>
      </c>
      <c r="CK79" s="13">
        <f>IFERROR(Table410[[#This Row],[Jun_2026_Days_Forecast]]*Table410[[#This Row],[Cost Boolean]]*(VLOOKUP(Table410[[#This Row],[RATE CONCAT]],Tables!I:N,5,0)),0)</f>
        <v>0</v>
      </c>
      <c r="CL79" s="13">
        <f>IFERROR(Table410[[#This Row],[Jun_2026_Days_Actual]]*Table410[[#This Row],[Cost Boolean]]*(VLOOKUP(Table410[[#This Row],[RATE CONCAT]],Tables!I:N,5,0)),0)</f>
        <v>0</v>
      </c>
      <c r="CM79" s="13">
        <f>Table410[[#This Row],[Jun_2026_F]]-Table410[[#This Row],[Jun_2026_A]]</f>
        <v>0</v>
      </c>
      <c r="CO79" s="13">
        <f>IFERROR(Table410[[#This Row],[Jul_2026_Days_Forecast]]*Table410[[#This Row],[Cost Boolean]]*(VLOOKUP(Table410[[#This Row],[RATE CONCAT]],Tables!I:N,5,0)),0)</f>
        <v>0</v>
      </c>
      <c r="CP79" s="13">
        <f>IFERROR(Table410[[#This Row],[Jul_2026_Days_Actual]]*Table410[[#This Row],[Cost Boolean]]*(VLOOKUP(Table410[[#This Row],[RATE CONCAT]],Tables!I:N,5,0)),0)</f>
        <v>0</v>
      </c>
      <c r="CQ79" s="13">
        <f>Table410[[#This Row],[Jul_2026_F]]-Table410[[#This Row],[Jul_2026_A]]</f>
        <v>0</v>
      </c>
      <c r="CS79" s="13">
        <f>IFERROR(Table410[[#This Row],[Aug_2026_Days_Forecast]]*Table410[[#This Row],[Cost Boolean]]*(VLOOKUP(Table410[[#This Row],[RATE CONCAT]],Tables!I:N,5,0)),0)</f>
        <v>0</v>
      </c>
      <c r="CT79" s="13">
        <f>IFERROR(Table410[[#This Row],[Aug_2026_Days_Actual]]*Table410[[#This Row],[Cost Boolean]]*(VLOOKUP(Table410[[#This Row],[RATE CONCAT]],Tables!I:N,5,0)),0)</f>
        <v>0</v>
      </c>
      <c r="CU79" s="13">
        <f>Table410[[#This Row],[Aug_2026_F]]-Table410[[#This Row],[Aug_2026_A]]</f>
        <v>0</v>
      </c>
      <c r="CW79" s="13">
        <f>IFERROR(Table410[[#This Row],[Sep_2026_Days_Forecast]]*Table410[[#This Row],[Cost Boolean]]*(VLOOKUP(Table410[[#This Row],[RATE CONCAT]],Tables!I:N,5,0)),0)</f>
        <v>0</v>
      </c>
      <c r="CX79" s="13">
        <f>IFERROR(Table410[[#This Row],[Sep_2026_Days_Actual]]*Table410[[#This Row],[Cost Boolean]]*(VLOOKUP(Table410[[#This Row],[RATE CONCAT]],Tables!I:N,5,0)),0)</f>
        <v>0</v>
      </c>
      <c r="CY79" s="13">
        <f>Table410[[#This Row],[Sep_2026_F]]-Table410[[#This Row],[Sep_2026_A]]</f>
        <v>0</v>
      </c>
      <c r="DA79" s="13">
        <f>IFERROR(Table410[[#This Row],[Oct_2026_Days_Forecast]]*Table410[[#This Row],[Cost Boolean]]*(VLOOKUP(Table410[[#This Row],[RATE CONCAT]],Tables!I:N,5,0)),0)</f>
        <v>0</v>
      </c>
      <c r="DB79" s="13">
        <f>IFERROR(Table410[[#This Row],[Oct_2026_Days_Actual]]*Table410[[#This Row],[Cost Boolean]]*(VLOOKUP(Table410[[#This Row],[RATE CONCAT]],Tables!I:N,5,0)),0)</f>
        <v>0</v>
      </c>
      <c r="DC79" s="13">
        <f>Table410[[#This Row],[Oct_2026_F]]-Table410[[#This Row],[Oct_2026_A]]</f>
        <v>0</v>
      </c>
      <c r="DE79" s="13">
        <f>IFERROR(Table410[[#This Row],[Nov_2026_Days_Forecast]]*Table410[[#This Row],[Cost Boolean]]*(VLOOKUP(Table410[[#This Row],[RATE CONCAT]],Tables!I:N,5,0)),0)</f>
        <v>0</v>
      </c>
      <c r="DF79" s="13">
        <f>IFERROR(Table410[[#This Row],[Nov_2026_Days_Actual]]*Table410[[#This Row],[Cost Boolean]]*(VLOOKUP(Table410[[#This Row],[RATE CONCAT]],Tables!I:N,5,0)),0)</f>
        <v>0</v>
      </c>
      <c r="DG79" s="13">
        <f>Table410[[#This Row],[Nov_2026_F]]-Table410[[#This Row],[Nov_2026_A]]</f>
        <v>0</v>
      </c>
      <c r="DI79" s="13">
        <f>IFERROR(Table410[[#This Row],[Dec_2026_Days_Forecast]]*Table410[[#This Row],[Cost Boolean]]*(VLOOKUP(Table410[[#This Row],[RATE CONCAT]],Tables!I:N,5,0)),0)</f>
        <v>0</v>
      </c>
      <c r="DJ79" s="13">
        <f>IFERROR(Table410[[#This Row],[Dec_2026_Days_Actual]]*Table410[[#This Row],[Cost Boolean]]*(VLOOKUP(Table410[[#This Row],[RATE CONCAT]],Tables!I:N,5,0)),0)</f>
        <v>0</v>
      </c>
      <c r="DK79" s="13">
        <f>Table410[[#This Row],[Dec_2026_F]]-Table410[[#This Row],[Dec_2026_A]]</f>
        <v>0</v>
      </c>
      <c r="DN79" s="13">
        <f>IFERROR(Table410[[#This Row],[Jan_2027_Days_Forecast]]*Table410[[#This Row],[Cost Boolean]]*(VLOOKUP(Table410[[#This Row],[RATE CONCAT]],Tables!I:N,6,0)),0)</f>
        <v>0</v>
      </c>
      <c r="DP79" s="13">
        <f>Table410[[#This Row],[Jan_2027_F]]-Table410[[#This Row],[Jan_2027_A]]</f>
        <v>0</v>
      </c>
      <c r="DQ79" s="13">
        <f>IFERROR(Table410[[#This Row],[Feb_2027_Days_Forecast]]*Table410[[#This Row],[Cost Boolean]]*(VLOOKUP(Table410[[#This Row],[RATE CONCAT]],Tables!I:N,6,0)),0)</f>
        <v>0</v>
      </c>
      <c r="DS79" s="13">
        <f>Table410[[#This Row],[Feb_2027_F]]-Table410[[#This Row],[Feb_2027_A]]</f>
        <v>0</v>
      </c>
      <c r="DT79" s="13">
        <f>IFERROR(Table410[[#This Row],[Mar_2027_Days_Forecast]]*Table410[[#This Row],[Cost Boolean]]*(VLOOKUP(Table410[[#This Row],[RATE CONCAT]],Tables!I:N,6,0)),0)</f>
        <v>0</v>
      </c>
      <c r="DV79" s="13">
        <f>Table410[[#This Row],[Mar_2027_F]]-Table410[[#This Row],[Mar_2027_A]]</f>
        <v>0</v>
      </c>
      <c r="DW79" s="13">
        <f>IFERROR(Table410[[#This Row],[Apr_2027_Days_Forecast]]*Table410[[#This Row],[Cost Boolean]]*(VLOOKUP(Table410[[#This Row],[RATE CONCAT]],Tables!I:N,6,0)),0)</f>
        <v>0</v>
      </c>
      <c r="DY79" s="13">
        <f>Table410[[#This Row],[Apr_2027_F]]-Table410[[#This Row],[Apr_2027_A]]</f>
        <v>0</v>
      </c>
      <c r="DZ79" s="13">
        <f>IFERROR(Table410[[#This Row],[May_2027_Days_Forecast]]*Table410[[#This Row],[Cost Boolean]]*(VLOOKUP(Table410[[#This Row],[RATE CONCAT]],Tables!I:N,6,0)),0)</f>
        <v>0</v>
      </c>
      <c r="EB79" s="13">
        <f>Table410[[#This Row],[May_2027_F]]-Table410[[#This Row],[May_2027_A]]</f>
        <v>0</v>
      </c>
      <c r="EC79" s="13">
        <f>IFERROR(Table410[[#This Row],[Jun_2027_Days_Forecast]]*Table410[[#This Row],[Cost Boolean]]*(VLOOKUP(Table410[[#This Row],[RATE CONCAT]],Tables!I:N,6,0)),0)</f>
        <v>0</v>
      </c>
      <c r="EE79" s="13">
        <f>Table410[[#This Row],[Jun_2027_F]]-Table410[[#This Row],[Jun_2027_A]]</f>
        <v>0</v>
      </c>
      <c r="EF79" s="13">
        <f>IFERROR(Table410[[#This Row],[Jul_2027_Days_Forecast]]*Table410[[#This Row],[Cost Boolean]]*(VLOOKUP(Table410[[#This Row],[RATE CONCAT]],Tables!I:N,6,0)),0)</f>
        <v>0</v>
      </c>
      <c r="EH79" s="13">
        <f>Table410[[#This Row],[Jul_2027_F]]-Table410[[#This Row],[Jul_2027_A]]</f>
        <v>0</v>
      </c>
      <c r="EI79" s="13">
        <f>IFERROR(Table410[[#This Row],[Aug_2027_Days_Forecast]]*Table410[[#This Row],[Cost Boolean]]*(VLOOKUP(Table410[[#This Row],[RATE CONCAT]],Tables!I:N,6,0)),0)</f>
        <v>0</v>
      </c>
      <c r="EK79" s="13">
        <f>Table410[[#This Row],[Aug_2027_F]]-Table410[[#This Row],[Aug_2027_A]]</f>
        <v>0</v>
      </c>
      <c r="EL79" s="13">
        <f>IFERROR(Table410[[#This Row],[Sep_2027_Days_Forecast]]*Table410[[#This Row],[Cost Boolean]]*(VLOOKUP(Table410[[#This Row],[RATE CONCAT]],Tables!I:N,6,0)),0)</f>
        <v>0</v>
      </c>
      <c r="EN79" s="13">
        <f>Table410[[#This Row],[Sep_2027_F]]-Table410[[#This Row],[Sep_2027_A]]</f>
        <v>0</v>
      </c>
      <c r="EO79" s="13">
        <f>IFERROR(Table410[[#This Row],[Oct_2027_Days_Forecast]]*Table410[[#This Row],[Cost Boolean]]*(VLOOKUP(Table410[[#This Row],[RATE CONCAT]],Tables!I:N,6,0)),0)</f>
        <v>0</v>
      </c>
      <c r="EQ79" s="13">
        <f>Table410[[#This Row],[Oct_2027_F]]-Table410[[#This Row],[Oct_2027_A]]</f>
        <v>0</v>
      </c>
      <c r="ER79" s="13">
        <f>IFERROR(Table410[[#This Row],[Nov_2027_Days_Forecast]]*Table410[[#This Row],[Cost Boolean]]*(VLOOKUP(Table410[[#This Row],[RATE CONCAT]],Tables!I:N,6,0)),0)</f>
        <v>0</v>
      </c>
      <c r="ET79" s="13">
        <f>Table410[[#This Row],[Nov_2027_F]]-Table410[[#This Row],[Nov_2027_A]]</f>
        <v>0</v>
      </c>
      <c r="EU79" s="13">
        <f>IFERROR(Table410[[#This Row],[Dec_2027_Days_Forecast]]*Table410[[#This Row],[Cost Boolean]]*(VLOOKUP(Table410[[#This Row],[RATE CONCAT]],Tables!I:N,6,0)),0)</f>
        <v>0</v>
      </c>
      <c r="EW79" s="13">
        <f>Table410[[#This Row],[Dec_2027_F]]-Table410[[#This Row],[Dec_2027_A]]</f>
        <v>0</v>
      </c>
    </row>
    <row r="80" spans="25:153" s="13" customFormat="1" ht="15" customHeight="1">
      <c r="Y80" s="13" t="str">
        <f>CONCATENATE(Table410[[#This Row],[JG]],Table410[[#This Row],[Country]],Table410[[#This Row],[Resource Provider]])</f>
        <v/>
      </c>
      <c r="Z80" s="13">
        <f>VLOOKUP(Table410[[#This Row],[RATE CONCAT]],Tables!I:N,5,0)</f>
        <v>0</v>
      </c>
      <c r="AA80" s="52"/>
      <c r="AB80" s="130"/>
      <c r="AC80" s="130"/>
      <c r="AD80" s="130"/>
      <c r="AE80" s="130"/>
      <c r="AF80" s="130"/>
      <c r="AG80" s="130"/>
      <c r="AH80" s="130"/>
      <c r="AI80" s="130"/>
      <c r="AJ80" s="130"/>
      <c r="AK80" s="130"/>
      <c r="AL80" s="130"/>
      <c r="AM80" s="130"/>
      <c r="AN80" s="176">
        <f>IFERROR(AVERAGE(Table410[[#This Row],[Jan_2026_Days_Forecast]:[Dec_2026_Days_Forecast]]),0)/19</f>
        <v>0</v>
      </c>
      <c r="AO80" s="176">
        <f>IFERROR(AVERAGE(Table410[[#This Row],[Jan_2026_Days_Actual]:[Dec_2026_Days_Actual]]),0)/19</f>
        <v>0</v>
      </c>
      <c r="BB80" s="176">
        <f>IFERROR(AVERAGE(Table410[[#This Row],[Jan_2027_Days_Forecast]:[Dec_2027_Days_Forecast]]),0)</f>
        <v>0</v>
      </c>
      <c r="BC80" s="127"/>
      <c r="BD80" s="127"/>
      <c r="BE80" s="127"/>
      <c r="BF80" s="127"/>
      <c r="BG80" s="127"/>
      <c r="BH80" s="127"/>
      <c r="BI80" s="127"/>
      <c r="BJ80" s="127"/>
      <c r="BK80" s="127"/>
      <c r="BL80" s="127"/>
      <c r="BM80" s="127"/>
      <c r="BN80" s="127"/>
      <c r="BO80" s="176"/>
      <c r="BP80" s="176"/>
      <c r="BQ80" s="13">
        <f>IFERROR(Table410[[#This Row],[Jan_2026_Days_Forecast]]*Table410[[#This Row],[Cost Boolean]]*(VLOOKUP(Table410[[#This Row],[RATE CONCAT]],Tables!I:N,5,0)),0)</f>
        <v>0</v>
      </c>
      <c r="BR80" s="13">
        <f>IFERROR(Table410[[#This Row],[Jan_2026_Days_Actual]]*Table410[[#This Row],[Cost Boolean]]*(VLOOKUP(Table410[[#This Row],[RATE CONCAT]],Tables!I:N,5,0)),0)</f>
        <v>0</v>
      </c>
      <c r="BS80" s="13">
        <f>Table410[[#This Row],[Jan_2026_F]]-Table410[[#This Row],[Jan_2026_A]]</f>
        <v>0</v>
      </c>
      <c r="BU80" s="13">
        <f>IFERROR(Table410[[#This Row],[Feb_2026_Days_Forecast]]*Table410[[#This Row],[Cost Boolean]]*(VLOOKUP(Table410[[#This Row],[RATE CONCAT]],Tables!I:N,5,0)),0)</f>
        <v>0</v>
      </c>
      <c r="BV80" s="13">
        <f>IFERROR(Table410[[#This Row],[Feb_2026_Days_Actual]]*Table410[[#This Row],[Cost Boolean]]*(VLOOKUP(Table410[[#This Row],[RATE CONCAT]],Tables!I:N,5,0)),0)</f>
        <v>0</v>
      </c>
      <c r="BW80" s="13">
        <f>Table410[[#This Row],[Feb_2026_F]]-Table410[[#This Row],[Feb_2026_A]]</f>
        <v>0</v>
      </c>
      <c r="BY80" s="13">
        <f>IFERROR(Table410[[#This Row],[Mar_2026_Days_Forecast]]*Table410[[#This Row],[Cost Boolean]]*(VLOOKUP(Table410[[#This Row],[RATE CONCAT]],Tables!I:N,5,0)),0)</f>
        <v>0</v>
      </c>
      <c r="BZ80" s="13">
        <f>IFERROR(Table410[[#This Row],[Mar_2026_Days_Actual]]*Table410[[#This Row],[Cost Boolean]]*(VLOOKUP(Table410[[#This Row],[RATE CONCAT]],Tables!I:N,5,0)),0)</f>
        <v>0</v>
      </c>
      <c r="CA80" s="13">
        <f>Table410[[#This Row],[Mar_2026_F]]-Table410[[#This Row],[Mar_2026_A]]</f>
        <v>0</v>
      </c>
      <c r="CC80" s="13">
        <f>IFERROR(Table410[[#This Row],[Apr_2026_Days_Forecast]]*Table410[[#This Row],[Cost Boolean]]*(VLOOKUP(Table410[[#This Row],[RATE CONCAT]],Tables!I:N,5,0)),0)</f>
        <v>0</v>
      </c>
      <c r="CD80" s="13">
        <f>IFERROR(Table410[[#This Row],[Apr_2026_Days_Actual]]*Table410[[#This Row],[Cost Boolean]]*(VLOOKUP(Table410[[#This Row],[RATE CONCAT]],Tables!I:N,5,0)),0)</f>
        <v>0</v>
      </c>
      <c r="CE80" s="13">
        <f>Table410[[#This Row],[Apr_2026_F]]-Table410[[#This Row],[Apr_2026_A]]</f>
        <v>0</v>
      </c>
      <c r="CG80" s="13">
        <f>IFERROR(Table410[[#This Row],[May_2026_Days_Forecast]] *Table410[[#This Row],[Cost Boolean]]*(VLOOKUP(Table410[[#This Row],[RATE CONCAT]],Tables!I:N,5,0)),0)</f>
        <v>0</v>
      </c>
      <c r="CH80" s="13">
        <f>IFERROR(Table410[[#This Row],[May_2026_Days_Actual]]*Table410[[#This Row],[Cost Boolean]]*(VLOOKUP(Table410[[#This Row],[RATE CONCAT]],Tables!I:N,5,0)),0)</f>
        <v>0</v>
      </c>
      <c r="CI80" s="13">
        <f>Table410[[#This Row],[May_2026_F]]-Table410[[#This Row],[May_2026_A]]</f>
        <v>0</v>
      </c>
      <c r="CK80" s="13">
        <f>IFERROR(Table410[[#This Row],[Jun_2026_Days_Forecast]]*Table410[[#This Row],[Cost Boolean]]*(VLOOKUP(Table410[[#This Row],[RATE CONCAT]],Tables!I:N,5,0)),0)</f>
        <v>0</v>
      </c>
      <c r="CL80" s="13">
        <f>IFERROR(Table410[[#This Row],[Jun_2026_Days_Actual]]*Table410[[#This Row],[Cost Boolean]]*(VLOOKUP(Table410[[#This Row],[RATE CONCAT]],Tables!I:N,5,0)),0)</f>
        <v>0</v>
      </c>
      <c r="CM80" s="13">
        <f>Table410[[#This Row],[Jun_2026_F]]-Table410[[#This Row],[Jun_2026_A]]</f>
        <v>0</v>
      </c>
      <c r="CO80" s="13">
        <f>IFERROR(Table410[[#This Row],[Jul_2026_Days_Forecast]]*Table410[[#This Row],[Cost Boolean]]*(VLOOKUP(Table410[[#This Row],[RATE CONCAT]],Tables!I:N,5,0)),0)</f>
        <v>0</v>
      </c>
      <c r="CP80" s="13">
        <f>IFERROR(Table410[[#This Row],[Jul_2026_Days_Actual]]*Table410[[#This Row],[Cost Boolean]]*(VLOOKUP(Table410[[#This Row],[RATE CONCAT]],Tables!I:N,5,0)),0)</f>
        <v>0</v>
      </c>
      <c r="CQ80" s="13">
        <f>Table410[[#This Row],[Jul_2026_F]]-Table410[[#This Row],[Jul_2026_A]]</f>
        <v>0</v>
      </c>
      <c r="CS80" s="13">
        <f>IFERROR(Table410[[#This Row],[Aug_2026_Days_Forecast]]*Table410[[#This Row],[Cost Boolean]]*(VLOOKUP(Table410[[#This Row],[RATE CONCAT]],Tables!I:N,5,0)),0)</f>
        <v>0</v>
      </c>
      <c r="CT80" s="13">
        <f>IFERROR(Table410[[#This Row],[Aug_2026_Days_Actual]]*Table410[[#This Row],[Cost Boolean]]*(VLOOKUP(Table410[[#This Row],[RATE CONCAT]],Tables!I:N,5,0)),0)</f>
        <v>0</v>
      </c>
      <c r="CU80" s="13">
        <f>Table410[[#This Row],[Aug_2026_F]]-Table410[[#This Row],[Aug_2026_A]]</f>
        <v>0</v>
      </c>
      <c r="CW80" s="13">
        <f>IFERROR(Table410[[#This Row],[Sep_2026_Days_Forecast]]*Table410[[#This Row],[Cost Boolean]]*(VLOOKUP(Table410[[#This Row],[RATE CONCAT]],Tables!I:N,5,0)),0)</f>
        <v>0</v>
      </c>
      <c r="CX80" s="13">
        <f>IFERROR(Table410[[#This Row],[Sep_2026_Days_Actual]]*Table410[[#This Row],[Cost Boolean]]*(VLOOKUP(Table410[[#This Row],[RATE CONCAT]],Tables!I:N,5,0)),0)</f>
        <v>0</v>
      </c>
      <c r="CY80" s="13">
        <f>Table410[[#This Row],[Sep_2026_F]]-Table410[[#This Row],[Sep_2026_A]]</f>
        <v>0</v>
      </c>
      <c r="DA80" s="13">
        <f>IFERROR(Table410[[#This Row],[Oct_2026_Days_Forecast]]*Table410[[#This Row],[Cost Boolean]]*(VLOOKUP(Table410[[#This Row],[RATE CONCAT]],Tables!I:N,5,0)),0)</f>
        <v>0</v>
      </c>
      <c r="DB80" s="13">
        <f>IFERROR(Table410[[#This Row],[Oct_2026_Days_Actual]]*Table410[[#This Row],[Cost Boolean]]*(VLOOKUP(Table410[[#This Row],[RATE CONCAT]],Tables!I:N,5,0)),0)</f>
        <v>0</v>
      </c>
      <c r="DC80" s="13">
        <f>Table410[[#This Row],[Oct_2026_F]]-Table410[[#This Row],[Oct_2026_A]]</f>
        <v>0</v>
      </c>
      <c r="DE80" s="13">
        <f>IFERROR(Table410[[#This Row],[Nov_2026_Days_Forecast]]*Table410[[#This Row],[Cost Boolean]]*(VLOOKUP(Table410[[#This Row],[RATE CONCAT]],Tables!I:N,5,0)),0)</f>
        <v>0</v>
      </c>
      <c r="DF80" s="13">
        <f>IFERROR(Table410[[#This Row],[Nov_2026_Days_Actual]]*Table410[[#This Row],[Cost Boolean]]*(VLOOKUP(Table410[[#This Row],[RATE CONCAT]],Tables!I:N,5,0)),0)</f>
        <v>0</v>
      </c>
      <c r="DG80" s="13">
        <f>Table410[[#This Row],[Nov_2026_F]]-Table410[[#This Row],[Nov_2026_A]]</f>
        <v>0</v>
      </c>
      <c r="DI80" s="13">
        <f>IFERROR(Table410[[#This Row],[Dec_2026_Days_Forecast]]*Table410[[#This Row],[Cost Boolean]]*(VLOOKUP(Table410[[#This Row],[RATE CONCAT]],Tables!I:N,5,0)),0)</f>
        <v>0</v>
      </c>
      <c r="DJ80" s="13">
        <f>IFERROR(Table410[[#This Row],[Dec_2026_Days_Actual]]*Table410[[#This Row],[Cost Boolean]]*(VLOOKUP(Table410[[#This Row],[RATE CONCAT]],Tables!I:N,5,0)),0)</f>
        <v>0</v>
      </c>
      <c r="DK80" s="13">
        <f>Table410[[#This Row],[Dec_2026_F]]-Table410[[#This Row],[Dec_2026_A]]</f>
        <v>0</v>
      </c>
      <c r="DN80" s="13">
        <f>IFERROR(Table410[[#This Row],[Jan_2027_Days_Forecast]]*Table410[[#This Row],[Cost Boolean]]*(VLOOKUP(Table410[[#This Row],[RATE CONCAT]],Tables!I:N,6,0)),0)</f>
        <v>0</v>
      </c>
      <c r="DP80" s="13">
        <f>Table410[[#This Row],[Jan_2027_F]]-Table410[[#This Row],[Jan_2027_A]]</f>
        <v>0</v>
      </c>
      <c r="DQ80" s="13">
        <f>IFERROR(Table410[[#This Row],[Feb_2027_Days_Forecast]]*Table410[[#This Row],[Cost Boolean]]*(VLOOKUP(Table410[[#This Row],[RATE CONCAT]],Tables!I:N,6,0)),0)</f>
        <v>0</v>
      </c>
      <c r="DS80" s="13">
        <f>Table410[[#This Row],[Feb_2027_F]]-Table410[[#This Row],[Feb_2027_A]]</f>
        <v>0</v>
      </c>
      <c r="DT80" s="13">
        <f>IFERROR(Table410[[#This Row],[Mar_2027_Days_Forecast]]*Table410[[#This Row],[Cost Boolean]]*(VLOOKUP(Table410[[#This Row],[RATE CONCAT]],Tables!I:N,6,0)),0)</f>
        <v>0</v>
      </c>
      <c r="DV80" s="13">
        <f>Table410[[#This Row],[Mar_2027_F]]-Table410[[#This Row],[Mar_2027_A]]</f>
        <v>0</v>
      </c>
      <c r="DW80" s="13">
        <f>IFERROR(Table410[[#This Row],[Apr_2027_Days_Forecast]]*Table410[[#This Row],[Cost Boolean]]*(VLOOKUP(Table410[[#This Row],[RATE CONCAT]],Tables!I:N,6,0)),0)</f>
        <v>0</v>
      </c>
      <c r="DY80" s="13">
        <f>Table410[[#This Row],[Apr_2027_F]]-Table410[[#This Row],[Apr_2027_A]]</f>
        <v>0</v>
      </c>
      <c r="DZ80" s="13">
        <f>IFERROR(Table410[[#This Row],[May_2027_Days_Forecast]]*Table410[[#This Row],[Cost Boolean]]*(VLOOKUP(Table410[[#This Row],[RATE CONCAT]],Tables!I:N,6,0)),0)</f>
        <v>0</v>
      </c>
      <c r="EB80" s="13">
        <f>Table410[[#This Row],[May_2027_F]]-Table410[[#This Row],[May_2027_A]]</f>
        <v>0</v>
      </c>
      <c r="EC80" s="13">
        <f>IFERROR(Table410[[#This Row],[Jun_2027_Days_Forecast]]*Table410[[#This Row],[Cost Boolean]]*(VLOOKUP(Table410[[#This Row],[RATE CONCAT]],Tables!I:N,6,0)),0)</f>
        <v>0</v>
      </c>
      <c r="EE80" s="13">
        <f>Table410[[#This Row],[Jun_2027_F]]-Table410[[#This Row],[Jun_2027_A]]</f>
        <v>0</v>
      </c>
      <c r="EF80" s="13">
        <f>IFERROR(Table410[[#This Row],[Jul_2027_Days_Forecast]]*Table410[[#This Row],[Cost Boolean]]*(VLOOKUP(Table410[[#This Row],[RATE CONCAT]],Tables!I:N,6,0)),0)</f>
        <v>0</v>
      </c>
      <c r="EH80" s="13">
        <f>Table410[[#This Row],[Jul_2027_F]]-Table410[[#This Row],[Jul_2027_A]]</f>
        <v>0</v>
      </c>
      <c r="EI80" s="13">
        <f>IFERROR(Table410[[#This Row],[Aug_2027_Days_Forecast]]*Table410[[#This Row],[Cost Boolean]]*(VLOOKUP(Table410[[#This Row],[RATE CONCAT]],Tables!I:N,6,0)),0)</f>
        <v>0</v>
      </c>
      <c r="EK80" s="13">
        <f>Table410[[#This Row],[Aug_2027_F]]-Table410[[#This Row],[Aug_2027_A]]</f>
        <v>0</v>
      </c>
      <c r="EL80" s="13">
        <f>IFERROR(Table410[[#This Row],[Sep_2027_Days_Forecast]]*Table410[[#This Row],[Cost Boolean]]*(VLOOKUP(Table410[[#This Row],[RATE CONCAT]],Tables!I:N,6,0)),0)</f>
        <v>0</v>
      </c>
      <c r="EN80" s="13">
        <f>Table410[[#This Row],[Sep_2027_F]]-Table410[[#This Row],[Sep_2027_A]]</f>
        <v>0</v>
      </c>
      <c r="EO80" s="13">
        <f>IFERROR(Table410[[#This Row],[Oct_2027_Days_Forecast]]*Table410[[#This Row],[Cost Boolean]]*(VLOOKUP(Table410[[#This Row],[RATE CONCAT]],Tables!I:N,6,0)),0)</f>
        <v>0</v>
      </c>
      <c r="EQ80" s="13">
        <f>Table410[[#This Row],[Oct_2027_F]]-Table410[[#This Row],[Oct_2027_A]]</f>
        <v>0</v>
      </c>
      <c r="ER80" s="13">
        <f>IFERROR(Table410[[#This Row],[Nov_2027_Days_Forecast]]*Table410[[#This Row],[Cost Boolean]]*(VLOOKUP(Table410[[#This Row],[RATE CONCAT]],Tables!I:N,6,0)),0)</f>
        <v>0</v>
      </c>
      <c r="ET80" s="13">
        <f>Table410[[#This Row],[Nov_2027_F]]-Table410[[#This Row],[Nov_2027_A]]</f>
        <v>0</v>
      </c>
      <c r="EU80" s="13">
        <f>IFERROR(Table410[[#This Row],[Dec_2027_Days_Forecast]]*Table410[[#This Row],[Cost Boolean]]*(VLOOKUP(Table410[[#This Row],[RATE CONCAT]],Tables!I:N,6,0)),0)</f>
        <v>0</v>
      </c>
      <c r="EW80" s="13">
        <f>Table410[[#This Row],[Dec_2027_F]]-Table410[[#This Row],[Dec_2027_A]]</f>
        <v>0</v>
      </c>
    </row>
    <row r="81" spans="1:153" s="13" customFormat="1" ht="15" customHeight="1">
      <c r="Y81" s="13" t="str">
        <f>CONCATENATE(Table410[[#This Row],[JG]],Table410[[#This Row],[Country]],Table410[[#This Row],[Resource Provider]])</f>
        <v/>
      </c>
      <c r="Z81" s="13">
        <f>VLOOKUP(Table410[[#This Row],[RATE CONCAT]],Tables!I:N,5,0)</f>
        <v>0</v>
      </c>
      <c r="AA81" s="52"/>
      <c r="AB81" s="130"/>
      <c r="AC81" s="130"/>
      <c r="AD81" s="130"/>
      <c r="AE81" s="130"/>
      <c r="AF81" s="130"/>
      <c r="AG81" s="130"/>
      <c r="AH81" s="130"/>
      <c r="AI81" s="130"/>
      <c r="AJ81" s="130"/>
      <c r="AK81" s="130"/>
      <c r="AL81" s="130"/>
      <c r="AM81" s="130"/>
      <c r="AN81" s="176">
        <f>IFERROR(AVERAGE(Table410[[#This Row],[Jan_2026_Days_Forecast]:[Dec_2026_Days_Forecast]]),0)/19</f>
        <v>0</v>
      </c>
      <c r="AO81" s="176">
        <f>IFERROR(AVERAGE(Table410[[#This Row],[Jan_2026_Days_Actual]:[Dec_2026_Days_Actual]]),0)/19</f>
        <v>0</v>
      </c>
      <c r="BB81" s="176">
        <f>IFERROR(AVERAGE(Table410[[#This Row],[Jan_2027_Days_Forecast]:[Dec_2027_Days_Forecast]]),0)</f>
        <v>0</v>
      </c>
      <c r="BC81" s="127"/>
      <c r="BD81" s="127"/>
      <c r="BE81" s="127"/>
      <c r="BF81" s="127"/>
      <c r="BG81" s="127"/>
      <c r="BH81" s="127"/>
      <c r="BI81" s="127"/>
      <c r="BJ81" s="127"/>
      <c r="BK81" s="127"/>
      <c r="BL81" s="127"/>
      <c r="BM81" s="127"/>
      <c r="BN81" s="127"/>
      <c r="BO81" s="176"/>
      <c r="BP81" s="176"/>
      <c r="BQ81" s="13">
        <f>IFERROR(Table410[[#This Row],[Jan_2026_Days_Forecast]]*Table410[[#This Row],[Cost Boolean]]*(VLOOKUP(Table410[[#This Row],[RATE CONCAT]],Tables!I:N,5,0)),0)</f>
        <v>0</v>
      </c>
      <c r="BR81" s="13">
        <f>IFERROR(Table410[[#This Row],[Jan_2026_Days_Actual]]*Table410[[#This Row],[Cost Boolean]]*(VLOOKUP(Table410[[#This Row],[RATE CONCAT]],Tables!I:N,5,0)),0)</f>
        <v>0</v>
      </c>
      <c r="BS81" s="13">
        <f>Table410[[#This Row],[Jan_2026_F]]-Table410[[#This Row],[Jan_2026_A]]</f>
        <v>0</v>
      </c>
      <c r="BU81" s="13">
        <f>IFERROR(Table410[[#This Row],[Feb_2026_Days_Forecast]]*Table410[[#This Row],[Cost Boolean]]*(VLOOKUP(Table410[[#This Row],[RATE CONCAT]],Tables!I:N,5,0)),0)</f>
        <v>0</v>
      </c>
      <c r="BV81" s="13">
        <f>IFERROR(Table410[[#This Row],[Feb_2026_Days_Actual]]*Table410[[#This Row],[Cost Boolean]]*(VLOOKUP(Table410[[#This Row],[RATE CONCAT]],Tables!I:N,5,0)),0)</f>
        <v>0</v>
      </c>
      <c r="BW81" s="13">
        <f>Table410[[#This Row],[Feb_2026_F]]-Table410[[#This Row],[Feb_2026_A]]</f>
        <v>0</v>
      </c>
      <c r="BY81" s="13">
        <f>IFERROR(Table410[[#This Row],[Mar_2026_Days_Forecast]]*Table410[[#This Row],[Cost Boolean]]*(VLOOKUP(Table410[[#This Row],[RATE CONCAT]],Tables!I:N,5,0)),0)</f>
        <v>0</v>
      </c>
      <c r="BZ81" s="13">
        <f>IFERROR(Table410[[#This Row],[Mar_2026_Days_Actual]]*Table410[[#This Row],[Cost Boolean]]*(VLOOKUP(Table410[[#This Row],[RATE CONCAT]],Tables!I:N,5,0)),0)</f>
        <v>0</v>
      </c>
      <c r="CA81" s="13">
        <f>Table410[[#This Row],[Mar_2026_F]]-Table410[[#This Row],[Mar_2026_A]]</f>
        <v>0</v>
      </c>
      <c r="CC81" s="13">
        <f>IFERROR(Table410[[#This Row],[Apr_2026_Days_Forecast]]*Table410[[#This Row],[Cost Boolean]]*(VLOOKUP(Table410[[#This Row],[RATE CONCAT]],Tables!I:N,5,0)),0)</f>
        <v>0</v>
      </c>
      <c r="CD81" s="13">
        <f>IFERROR(Table410[[#This Row],[Apr_2026_Days_Actual]]*Table410[[#This Row],[Cost Boolean]]*(VLOOKUP(Table410[[#This Row],[RATE CONCAT]],Tables!I:N,5,0)),0)</f>
        <v>0</v>
      </c>
      <c r="CE81" s="13">
        <f>Table410[[#This Row],[Apr_2026_F]]-Table410[[#This Row],[Apr_2026_A]]</f>
        <v>0</v>
      </c>
      <c r="CG81" s="13">
        <f>IFERROR(Table410[[#This Row],[May_2026_Days_Forecast]] *Table410[[#This Row],[Cost Boolean]]*(VLOOKUP(Table410[[#This Row],[RATE CONCAT]],Tables!I:N,5,0)),0)</f>
        <v>0</v>
      </c>
      <c r="CH81" s="13">
        <f>IFERROR(Table410[[#This Row],[May_2026_Days_Actual]]*Table410[[#This Row],[Cost Boolean]]*(VLOOKUP(Table410[[#This Row],[RATE CONCAT]],Tables!I:N,5,0)),0)</f>
        <v>0</v>
      </c>
      <c r="CI81" s="13">
        <f>Table410[[#This Row],[May_2026_F]]-Table410[[#This Row],[May_2026_A]]</f>
        <v>0</v>
      </c>
      <c r="CK81" s="13">
        <f>IFERROR(Table410[[#This Row],[Jun_2026_Days_Forecast]]*Table410[[#This Row],[Cost Boolean]]*(VLOOKUP(Table410[[#This Row],[RATE CONCAT]],Tables!I:N,5,0)),0)</f>
        <v>0</v>
      </c>
      <c r="CL81" s="13">
        <f>IFERROR(Table410[[#This Row],[Jun_2026_Days_Actual]]*Table410[[#This Row],[Cost Boolean]]*(VLOOKUP(Table410[[#This Row],[RATE CONCAT]],Tables!I:N,5,0)),0)</f>
        <v>0</v>
      </c>
      <c r="CM81" s="13">
        <f>Table410[[#This Row],[Jun_2026_F]]-Table410[[#This Row],[Jun_2026_A]]</f>
        <v>0</v>
      </c>
      <c r="CO81" s="13">
        <f>IFERROR(Table410[[#This Row],[Jul_2026_Days_Forecast]]*Table410[[#This Row],[Cost Boolean]]*(VLOOKUP(Table410[[#This Row],[RATE CONCAT]],Tables!I:N,5,0)),0)</f>
        <v>0</v>
      </c>
      <c r="CP81" s="13">
        <f>IFERROR(Table410[[#This Row],[Jul_2026_Days_Actual]]*Table410[[#This Row],[Cost Boolean]]*(VLOOKUP(Table410[[#This Row],[RATE CONCAT]],Tables!I:N,5,0)),0)</f>
        <v>0</v>
      </c>
      <c r="CQ81" s="13">
        <f>Table410[[#This Row],[Jul_2026_F]]-Table410[[#This Row],[Jul_2026_A]]</f>
        <v>0</v>
      </c>
      <c r="CS81" s="13">
        <f>IFERROR(Table410[[#This Row],[Aug_2026_Days_Forecast]]*Table410[[#This Row],[Cost Boolean]]*(VLOOKUP(Table410[[#This Row],[RATE CONCAT]],Tables!I:N,5,0)),0)</f>
        <v>0</v>
      </c>
      <c r="CT81" s="13">
        <f>IFERROR(Table410[[#This Row],[Aug_2026_Days_Actual]]*Table410[[#This Row],[Cost Boolean]]*(VLOOKUP(Table410[[#This Row],[RATE CONCAT]],Tables!I:N,5,0)),0)</f>
        <v>0</v>
      </c>
      <c r="CU81" s="13">
        <f>Table410[[#This Row],[Aug_2026_F]]-Table410[[#This Row],[Aug_2026_A]]</f>
        <v>0</v>
      </c>
      <c r="CW81" s="13">
        <f>IFERROR(Table410[[#This Row],[Sep_2026_Days_Forecast]]*Table410[[#This Row],[Cost Boolean]]*(VLOOKUP(Table410[[#This Row],[RATE CONCAT]],Tables!I:N,5,0)),0)</f>
        <v>0</v>
      </c>
      <c r="CX81" s="13">
        <f>IFERROR(Table410[[#This Row],[Sep_2026_Days_Actual]]*Table410[[#This Row],[Cost Boolean]]*(VLOOKUP(Table410[[#This Row],[RATE CONCAT]],Tables!I:N,5,0)),0)</f>
        <v>0</v>
      </c>
      <c r="CY81" s="13">
        <f>Table410[[#This Row],[Sep_2026_F]]-Table410[[#This Row],[Sep_2026_A]]</f>
        <v>0</v>
      </c>
      <c r="DA81" s="13">
        <f>IFERROR(Table410[[#This Row],[Oct_2026_Days_Forecast]]*Table410[[#This Row],[Cost Boolean]]*(VLOOKUP(Table410[[#This Row],[RATE CONCAT]],Tables!I:N,5,0)),0)</f>
        <v>0</v>
      </c>
      <c r="DB81" s="13">
        <f>IFERROR(Table410[[#This Row],[Oct_2026_Days_Actual]]*Table410[[#This Row],[Cost Boolean]]*(VLOOKUP(Table410[[#This Row],[RATE CONCAT]],Tables!I:N,5,0)),0)</f>
        <v>0</v>
      </c>
      <c r="DC81" s="13">
        <f>Table410[[#This Row],[Oct_2026_F]]-Table410[[#This Row],[Oct_2026_A]]</f>
        <v>0</v>
      </c>
      <c r="DE81" s="13">
        <f>IFERROR(Table410[[#This Row],[Nov_2026_Days_Forecast]]*Table410[[#This Row],[Cost Boolean]]*(VLOOKUP(Table410[[#This Row],[RATE CONCAT]],Tables!I:N,5,0)),0)</f>
        <v>0</v>
      </c>
      <c r="DF81" s="13">
        <f>IFERROR(Table410[[#This Row],[Nov_2026_Days_Actual]]*Table410[[#This Row],[Cost Boolean]]*(VLOOKUP(Table410[[#This Row],[RATE CONCAT]],Tables!I:N,5,0)),0)</f>
        <v>0</v>
      </c>
      <c r="DG81" s="13">
        <f>Table410[[#This Row],[Nov_2026_F]]-Table410[[#This Row],[Nov_2026_A]]</f>
        <v>0</v>
      </c>
      <c r="DI81" s="13">
        <f>IFERROR(Table410[[#This Row],[Dec_2026_Days_Forecast]]*Table410[[#This Row],[Cost Boolean]]*(VLOOKUP(Table410[[#This Row],[RATE CONCAT]],Tables!I:N,5,0)),0)</f>
        <v>0</v>
      </c>
      <c r="DJ81" s="13">
        <f>IFERROR(Table410[[#This Row],[Dec_2026_Days_Actual]]*Table410[[#This Row],[Cost Boolean]]*(VLOOKUP(Table410[[#This Row],[RATE CONCAT]],Tables!I:N,5,0)),0)</f>
        <v>0</v>
      </c>
      <c r="DK81" s="13">
        <f>Table410[[#This Row],[Dec_2026_F]]-Table410[[#This Row],[Dec_2026_A]]</f>
        <v>0</v>
      </c>
      <c r="DN81" s="13">
        <f>IFERROR(Table410[[#This Row],[Jan_2027_Days_Forecast]]*Table410[[#This Row],[Cost Boolean]]*(VLOOKUP(Table410[[#This Row],[RATE CONCAT]],Tables!I:N,6,0)),0)</f>
        <v>0</v>
      </c>
      <c r="DP81" s="13">
        <f>Table410[[#This Row],[Jan_2027_F]]-Table410[[#This Row],[Jan_2027_A]]</f>
        <v>0</v>
      </c>
      <c r="DQ81" s="13">
        <f>IFERROR(Table410[[#This Row],[Feb_2027_Days_Forecast]]*Table410[[#This Row],[Cost Boolean]]*(VLOOKUP(Table410[[#This Row],[RATE CONCAT]],Tables!I:N,6,0)),0)</f>
        <v>0</v>
      </c>
      <c r="DS81" s="13">
        <f>Table410[[#This Row],[Feb_2027_F]]-Table410[[#This Row],[Feb_2027_A]]</f>
        <v>0</v>
      </c>
      <c r="DT81" s="13">
        <f>IFERROR(Table410[[#This Row],[Mar_2027_Days_Forecast]]*Table410[[#This Row],[Cost Boolean]]*(VLOOKUP(Table410[[#This Row],[RATE CONCAT]],Tables!I:N,6,0)),0)</f>
        <v>0</v>
      </c>
      <c r="DV81" s="13">
        <f>Table410[[#This Row],[Mar_2027_F]]-Table410[[#This Row],[Mar_2027_A]]</f>
        <v>0</v>
      </c>
      <c r="DW81" s="13">
        <f>IFERROR(Table410[[#This Row],[Apr_2027_Days_Forecast]]*Table410[[#This Row],[Cost Boolean]]*(VLOOKUP(Table410[[#This Row],[RATE CONCAT]],Tables!I:N,6,0)),0)</f>
        <v>0</v>
      </c>
      <c r="DY81" s="13">
        <f>Table410[[#This Row],[Apr_2027_F]]-Table410[[#This Row],[Apr_2027_A]]</f>
        <v>0</v>
      </c>
      <c r="DZ81" s="13">
        <f>IFERROR(Table410[[#This Row],[May_2027_Days_Forecast]]*Table410[[#This Row],[Cost Boolean]]*(VLOOKUP(Table410[[#This Row],[RATE CONCAT]],Tables!I:N,6,0)),0)</f>
        <v>0</v>
      </c>
      <c r="EB81" s="13">
        <f>Table410[[#This Row],[May_2027_F]]-Table410[[#This Row],[May_2027_A]]</f>
        <v>0</v>
      </c>
      <c r="EC81" s="13">
        <f>IFERROR(Table410[[#This Row],[Jun_2027_Days_Forecast]]*Table410[[#This Row],[Cost Boolean]]*(VLOOKUP(Table410[[#This Row],[RATE CONCAT]],Tables!I:N,6,0)),0)</f>
        <v>0</v>
      </c>
      <c r="EE81" s="13">
        <f>Table410[[#This Row],[Jun_2027_F]]-Table410[[#This Row],[Jun_2027_A]]</f>
        <v>0</v>
      </c>
      <c r="EF81" s="13">
        <f>IFERROR(Table410[[#This Row],[Jul_2027_Days_Forecast]]*Table410[[#This Row],[Cost Boolean]]*(VLOOKUP(Table410[[#This Row],[RATE CONCAT]],Tables!I:N,6,0)),0)</f>
        <v>0</v>
      </c>
      <c r="EH81" s="13">
        <f>Table410[[#This Row],[Jul_2027_F]]-Table410[[#This Row],[Jul_2027_A]]</f>
        <v>0</v>
      </c>
      <c r="EI81" s="13">
        <f>IFERROR(Table410[[#This Row],[Aug_2027_Days_Forecast]]*Table410[[#This Row],[Cost Boolean]]*(VLOOKUP(Table410[[#This Row],[RATE CONCAT]],Tables!I:N,6,0)),0)</f>
        <v>0</v>
      </c>
      <c r="EK81" s="13">
        <f>Table410[[#This Row],[Aug_2027_F]]-Table410[[#This Row],[Aug_2027_A]]</f>
        <v>0</v>
      </c>
      <c r="EL81" s="13">
        <f>IFERROR(Table410[[#This Row],[Sep_2027_Days_Forecast]]*Table410[[#This Row],[Cost Boolean]]*(VLOOKUP(Table410[[#This Row],[RATE CONCAT]],Tables!I:N,6,0)),0)</f>
        <v>0</v>
      </c>
      <c r="EN81" s="13">
        <f>Table410[[#This Row],[Sep_2027_F]]-Table410[[#This Row],[Sep_2027_A]]</f>
        <v>0</v>
      </c>
      <c r="EO81" s="13">
        <f>IFERROR(Table410[[#This Row],[Oct_2027_Days_Forecast]]*Table410[[#This Row],[Cost Boolean]]*(VLOOKUP(Table410[[#This Row],[RATE CONCAT]],Tables!I:N,6,0)),0)</f>
        <v>0</v>
      </c>
      <c r="EQ81" s="13">
        <f>Table410[[#This Row],[Oct_2027_F]]-Table410[[#This Row],[Oct_2027_A]]</f>
        <v>0</v>
      </c>
      <c r="ER81" s="13">
        <f>IFERROR(Table410[[#This Row],[Nov_2027_Days_Forecast]]*Table410[[#This Row],[Cost Boolean]]*(VLOOKUP(Table410[[#This Row],[RATE CONCAT]],Tables!I:N,6,0)),0)</f>
        <v>0</v>
      </c>
      <c r="ET81" s="13">
        <f>Table410[[#This Row],[Nov_2027_F]]-Table410[[#This Row],[Nov_2027_A]]</f>
        <v>0</v>
      </c>
      <c r="EU81" s="13">
        <f>IFERROR(Table410[[#This Row],[Dec_2027_Days_Forecast]]*Table410[[#This Row],[Cost Boolean]]*(VLOOKUP(Table410[[#This Row],[RATE CONCAT]],Tables!I:N,6,0)),0)</f>
        <v>0</v>
      </c>
      <c r="EW81" s="13">
        <f>Table410[[#This Row],[Dec_2027_F]]-Table410[[#This Row],[Dec_2027_A]]</f>
        <v>0</v>
      </c>
    </row>
    <row r="82" spans="1:153" s="13" customFormat="1" ht="15" customHeight="1">
      <c r="Y82" s="13" t="str">
        <f>CONCATENATE(Table410[[#This Row],[JG]],Table410[[#This Row],[Country]],Table410[[#This Row],[Resource Provider]])</f>
        <v/>
      </c>
      <c r="Z82" s="13">
        <f>VLOOKUP(Table410[[#This Row],[RATE CONCAT]],Tables!I:N,5,0)</f>
        <v>0</v>
      </c>
      <c r="AA82" s="52"/>
      <c r="AB82" s="130"/>
      <c r="AC82" s="130"/>
      <c r="AD82" s="130"/>
      <c r="AE82" s="130"/>
      <c r="AF82" s="130"/>
      <c r="AG82" s="130"/>
      <c r="AH82" s="130"/>
      <c r="AI82" s="130"/>
      <c r="AJ82" s="130"/>
      <c r="AK82" s="130"/>
      <c r="AL82" s="130"/>
      <c r="AM82" s="130"/>
      <c r="AN82" s="176">
        <f>IFERROR(AVERAGE(Table410[[#This Row],[Jan_2026_Days_Forecast]:[Dec_2026_Days_Forecast]]),0)/19</f>
        <v>0</v>
      </c>
      <c r="AO82" s="176">
        <f>IFERROR(AVERAGE(Table410[[#This Row],[Jan_2026_Days_Actual]:[Dec_2026_Days_Actual]]),0)/19</f>
        <v>0</v>
      </c>
      <c r="BB82" s="176">
        <f>IFERROR(AVERAGE(Table410[[#This Row],[Jan_2027_Days_Forecast]:[Dec_2027_Days_Forecast]]),0)</f>
        <v>0</v>
      </c>
      <c r="BC82" s="127"/>
      <c r="BD82" s="127"/>
      <c r="BE82" s="127"/>
      <c r="BF82" s="127"/>
      <c r="BG82" s="127"/>
      <c r="BH82" s="127"/>
      <c r="BI82" s="127"/>
      <c r="BJ82" s="127"/>
      <c r="BK82" s="127"/>
      <c r="BL82" s="127"/>
      <c r="BM82" s="127"/>
      <c r="BN82" s="127"/>
      <c r="BO82" s="176"/>
      <c r="BP82" s="176"/>
      <c r="BQ82" s="13">
        <f>IFERROR(Table410[[#This Row],[Jan_2026_Days_Forecast]]*Table410[[#This Row],[Cost Boolean]]*(VLOOKUP(Table410[[#This Row],[RATE CONCAT]],Tables!I:N,5,0)),0)</f>
        <v>0</v>
      </c>
      <c r="BR82" s="13">
        <f>IFERROR(Table410[[#This Row],[Jan_2026_Days_Actual]]*Table410[[#This Row],[Cost Boolean]]*(VLOOKUP(Table410[[#This Row],[RATE CONCAT]],Tables!I:N,5,0)),0)</f>
        <v>0</v>
      </c>
      <c r="BS82" s="13">
        <f>Table410[[#This Row],[Jan_2026_F]]-Table410[[#This Row],[Jan_2026_A]]</f>
        <v>0</v>
      </c>
      <c r="BU82" s="13">
        <f>IFERROR(Table410[[#This Row],[Feb_2026_Days_Forecast]]*Table410[[#This Row],[Cost Boolean]]*(VLOOKUP(Table410[[#This Row],[RATE CONCAT]],Tables!I:N,5,0)),0)</f>
        <v>0</v>
      </c>
      <c r="BV82" s="13">
        <f>IFERROR(Table410[[#This Row],[Feb_2026_Days_Actual]]*Table410[[#This Row],[Cost Boolean]]*(VLOOKUP(Table410[[#This Row],[RATE CONCAT]],Tables!I:N,5,0)),0)</f>
        <v>0</v>
      </c>
      <c r="BW82" s="13">
        <f>Table410[[#This Row],[Feb_2026_F]]-Table410[[#This Row],[Feb_2026_A]]</f>
        <v>0</v>
      </c>
      <c r="BY82" s="13">
        <f>IFERROR(Table410[[#This Row],[Mar_2026_Days_Forecast]]*Table410[[#This Row],[Cost Boolean]]*(VLOOKUP(Table410[[#This Row],[RATE CONCAT]],Tables!I:N,5,0)),0)</f>
        <v>0</v>
      </c>
      <c r="BZ82" s="13">
        <f>IFERROR(Table410[[#This Row],[Mar_2026_Days_Actual]]*Table410[[#This Row],[Cost Boolean]]*(VLOOKUP(Table410[[#This Row],[RATE CONCAT]],Tables!I:N,5,0)),0)</f>
        <v>0</v>
      </c>
      <c r="CA82" s="13">
        <f>Table410[[#This Row],[Mar_2026_F]]-Table410[[#This Row],[Mar_2026_A]]</f>
        <v>0</v>
      </c>
      <c r="CC82" s="13">
        <f>IFERROR(Table410[[#This Row],[Apr_2026_Days_Forecast]]*Table410[[#This Row],[Cost Boolean]]*(VLOOKUP(Table410[[#This Row],[RATE CONCAT]],Tables!I:N,5,0)),0)</f>
        <v>0</v>
      </c>
      <c r="CD82" s="13">
        <f>IFERROR(Table410[[#This Row],[Apr_2026_Days_Actual]]*Table410[[#This Row],[Cost Boolean]]*(VLOOKUP(Table410[[#This Row],[RATE CONCAT]],Tables!I:N,5,0)),0)</f>
        <v>0</v>
      </c>
      <c r="CE82" s="13">
        <f>Table410[[#This Row],[Apr_2026_F]]-Table410[[#This Row],[Apr_2026_A]]</f>
        <v>0</v>
      </c>
      <c r="CG82" s="13">
        <f>IFERROR(Table410[[#This Row],[May_2026_Days_Forecast]] *Table410[[#This Row],[Cost Boolean]]*(VLOOKUP(Table410[[#This Row],[RATE CONCAT]],Tables!I:N,5,0)),0)</f>
        <v>0</v>
      </c>
      <c r="CH82" s="13">
        <f>IFERROR(Table410[[#This Row],[May_2026_Days_Actual]]*Table410[[#This Row],[Cost Boolean]]*(VLOOKUP(Table410[[#This Row],[RATE CONCAT]],Tables!I:N,5,0)),0)</f>
        <v>0</v>
      </c>
      <c r="CI82" s="13">
        <f>Table410[[#This Row],[May_2026_F]]-Table410[[#This Row],[May_2026_A]]</f>
        <v>0</v>
      </c>
      <c r="CK82" s="13">
        <f>IFERROR(Table410[[#This Row],[Jun_2026_Days_Forecast]]*Table410[[#This Row],[Cost Boolean]]*(VLOOKUP(Table410[[#This Row],[RATE CONCAT]],Tables!I:N,5,0)),0)</f>
        <v>0</v>
      </c>
      <c r="CL82" s="13">
        <f>IFERROR(Table410[[#This Row],[Jun_2026_Days_Actual]]*Table410[[#This Row],[Cost Boolean]]*(VLOOKUP(Table410[[#This Row],[RATE CONCAT]],Tables!I:N,5,0)),0)</f>
        <v>0</v>
      </c>
      <c r="CM82" s="13">
        <f>Table410[[#This Row],[Jun_2026_F]]-Table410[[#This Row],[Jun_2026_A]]</f>
        <v>0</v>
      </c>
      <c r="CO82" s="13">
        <f>IFERROR(Table410[[#This Row],[Jul_2026_Days_Forecast]]*Table410[[#This Row],[Cost Boolean]]*(VLOOKUP(Table410[[#This Row],[RATE CONCAT]],Tables!I:N,5,0)),0)</f>
        <v>0</v>
      </c>
      <c r="CP82" s="13">
        <f>IFERROR(Table410[[#This Row],[Jul_2026_Days_Actual]]*Table410[[#This Row],[Cost Boolean]]*(VLOOKUP(Table410[[#This Row],[RATE CONCAT]],Tables!I:N,5,0)),0)</f>
        <v>0</v>
      </c>
      <c r="CQ82" s="13">
        <f>Table410[[#This Row],[Jul_2026_F]]-Table410[[#This Row],[Jul_2026_A]]</f>
        <v>0</v>
      </c>
      <c r="CS82" s="13">
        <f>IFERROR(Table410[[#This Row],[Aug_2026_Days_Forecast]]*Table410[[#This Row],[Cost Boolean]]*(VLOOKUP(Table410[[#This Row],[RATE CONCAT]],Tables!I:N,5,0)),0)</f>
        <v>0</v>
      </c>
      <c r="CT82" s="13">
        <f>IFERROR(Table410[[#This Row],[Aug_2026_Days_Actual]]*Table410[[#This Row],[Cost Boolean]]*(VLOOKUP(Table410[[#This Row],[RATE CONCAT]],Tables!I:N,5,0)),0)</f>
        <v>0</v>
      </c>
      <c r="CU82" s="13">
        <f>Table410[[#This Row],[Aug_2026_F]]-Table410[[#This Row],[Aug_2026_A]]</f>
        <v>0</v>
      </c>
      <c r="CW82" s="13">
        <f>IFERROR(Table410[[#This Row],[Sep_2026_Days_Forecast]]*Table410[[#This Row],[Cost Boolean]]*(VLOOKUP(Table410[[#This Row],[RATE CONCAT]],Tables!I:N,5,0)),0)</f>
        <v>0</v>
      </c>
      <c r="CX82" s="13">
        <f>IFERROR(Table410[[#This Row],[Sep_2026_Days_Actual]]*Table410[[#This Row],[Cost Boolean]]*(VLOOKUP(Table410[[#This Row],[RATE CONCAT]],Tables!I:N,5,0)),0)</f>
        <v>0</v>
      </c>
      <c r="CY82" s="13">
        <f>Table410[[#This Row],[Sep_2026_F]]-Table410[[#This Row],[Sep_2026_A]]</f>
        <v>0</v>
      </c>
      <c r="DA82" s="13">
        <f>IFERROR(Table410[[#This Row],[Oct_2026_Days_Forecast]]*Table410[[#This Row],[Cost Boolean]]*(VLOOKUP(Table410[[#This Row],[RATE CONCAT]],Tables!I:N,5,0)),0)</f>
        <v>0</v>
      </c>
      <c r="DB82" s="13">
        <f>IFERROR(Table410[[#This Row],[Oct_2026_Days_Actual]]*Table410[[#This Row],[Cost Boolean]]*(VLOOKUP(Table410[[#This Row],[RATE CONCAT]],Tables!I:N,5,0)),0)</f>
        <v>0</v>
      </c>
      <c r="DC82" s="13">
        <f>Table410[[#This Row],[Oct_2026_F]]-Table410[[#This Row],[Oct_2026_A]]</f>
        <v>0</v>
      </c>
      <c r="DE82" s="13">
        <f>IFERROR(Table410[[#This Row],[Nov_2026_Days_Forecast]]*Table410[[#This Row],[Cost Boolean]]*(VLOOKUP(Table410[[#This Row],[RATE CONCAT]],Tables!I:N,5,0)),0)</f>
        <v>0</v>
      </c>
      <c r="DF82" s="13">
        <f>IFERROR(Table410[[#This Row],[Nov_2026_Days_Actual]]*Table410[[#This Row],[Cost Boolean]]*(VLOOKUP(Table410[[#This Row],[RATE CONCAT]],Tables!I:N,5,0)),0)</f>
        <v>0</v>
      </c>
      <c r="DG82" s="13">
        <f>Table410[[#This Row],[Nov_2026_F]]-Table410[[#This Row],[Nov_2026_A]]</f>
        <v>0</v>
      </c>
      <c r="DI82" s="13">
        <f>IFERROR(Table410[[#This Row],[Dec_2026_Days_Forecast]]*Table410[[#This Row],[Cost Boolean]]*(VLOOKUP(Table410[[#This Row],[RATE CONCAT]],Tables!I:N,5,0)),0)</f>
        <v>0</v>
      </c>
      <c r="DJ82" s="13">
        <f>IFERROR(Table410[[#This Row],[Dec_2026_Days_Actual]]*Table410[[#This Row],[Cost Boolean]]*(VLOOKUP(Table410[[#This Row],[RATE CONCAT]],Tables!I:N,5,0)),0)</f>
        <v>0</v>
      </c>
      <c r="DK82" s="13">
        <f>Table410[[#This Row],[Dec_2026_F]]-Table410[[#This Row],[Dec_2026_A]]</f>
        <v>0</v>
      </c>
      <c r="DN82" s="13">
        <f>IFERROR(Table410[[#This Row],[Jan_2027_Days_Forecast]]*Table410[[#This Row],[Cost Boolean]]*(VLOOKUP(Table410[[#This Row],[RATE CONCAT]],Tables!I:N,6,0)),0)</f>
        <v>0</v>
      </c>
      <c r="DP82" s="13">
        <f>Table410[[#This Row],[Jan_2027_F]]-Table410[[#This Row],[Jan_2027_A]]</f>
        <v>0</v>
      </c>
      <c r="DQ82" s="13">
        <f>IFERROR(Table410[[#This Row],[Feb_2027_Days_Forecast]]*Table410[[#This Row],[Cost Boolean]]*(VLOOKUP(Table410[[#This Row],[RATE CONCAT]],Tables!I:N,6,0)),0)</f>
        <v>0</v>
      </c>
      <c r="DS82" s="13">
        <f>Table410[[#This Row],[Feb_2027_F]]-Table410[[#This Row],[Feb_2027_A]]</f>
        <v>0</v>
      </c>
      <c r="DT82" s="13">
        <f>IFERROR(Table410[[#This Row],[Mar_2027_Days_Forecast]]*Table410[[#This Row],[Cost Boolean]]*(VLOOKUP(Table410[[#This Row],[RATE CONCAT]],Tables!I:N,6,0)),0)</f>
        <v>0</v>
      </c>
      <c r="DV82" s="13">
        <f>Table410[[#This Row],[Mar_2027_F]]-Table410[[#This Row],[Mar_2027_A]]</f>
        <v>0</v>
      </c>
      <c r="DW82" s="13">
        <f>IFERROR(Table410[[#This Row],[Apr_2027_Days_Forecast]]*Table410[[#This Row],[Cost Boolean]]*(VLOOKUP(Table410[[#This Row],[RATE CONCAT]],Tables!I:N,6,0)),0)</f>
        <v>0</v>
      </c>
      <c r="DY82" s="13">
        <f>Table410[[#This Row],[Apr_2027_F]]-Table410[[#This Row],[Apr_2027_A]]</f>
        <v>0</v>
      </c>
      <c r="DZ82" s="13">
        <f>IFERROR(Table410[[#This Row],[May_2027_Days_Forecast]]*Table410[[#This Row],[Cost Boolean]]*(VLOOKUP(Table410[[#This Row],[RATE CONCAT]],Tables!I:N,6,0)),0)</f>
        <v>0</v>
      </c>
      <c r="EB82" s="13">
        <f>Table410[[#This Row],[May_2027_F]]-Table410[[#This Row],[May_2027_A]]</f>
        <v>0</v>
      </c>
      <c r="EC82" s="13">
        <f>IFERROR(Table410[[#This Row],[Jun_2027_Days_Forecast]]*Table410[[#This Row],[Cost Boolean]]*(VLOOKUP(Table410[[#This Row],[RATE CONCAT]],Tables!I:N,6,0)),0)</f>
        <v>0</v>
      </c>
      <c r="EE82" s="13">
        <f>Table410[[#This Row],[Jun_2027_F]]-Table410[[#This Row],[Jun_2027_A]]</f>
        <v>0</v>
      </c>
      <c r="EF82" s="13">
        <f>IFERROR(Table410[[#This Row],[Jul_2027_Days_Forecast]]*Table410[[#This Row],[Cost Boolean]]*(VLOOKUP(Table410[[#This Row],[RATE CONCAT]],Tables!I:N,6,0)),0)</f>
        <v>0</v>
      </c>
      <c r="EH82" s="13">
        <f>Table410[[#This Row],[Jul_2027_F]]-Table410[[#This Row],[Jul_2027_A]]</f>
        <v>0</v>
      </c>
      <c r="EI82" s="13">
        <f>IFERROR(Table410[[#This Row],[Aug_2027_Days_Forecast]]*Table410[[#This Row],[Cost Boolean]]*(VLOOKUP(Table410[[#This Row],[RATE CONCAT]],Tables!I:N,6,0)),0)</f>
        <v>0</v>
      </c>
      <c r="EK82" s="13">
        <f>Table410[[#This Row],[Aug_2027_F]]-Table410[[#This Row],[Aug_2027_A]]</f>
        <v>0</v>
      </c>
      <c r="EL82" s="13">
        <f>IFERROR(Table410[[#This Row],[Sep_2027_Days_Forecast]]*Table410[[#This Row],[Cost Boolean]]*(VLOOKUP(Table410[[#This Row],[RATE CONCAT]],Tables!I:N,6,0)),0)</f>
        <v>0</v>
      </c>
      <c r="EN82" s="13">
        <f>Table410[[#This Row],[Sep_2027_F]]-Table410[[#This Row],[Sep_2027_A]]</f>
        <v>0</v>
      </c>
      <c r="EO82" s="13">
        <f>IFERROR(Table410[[#This Row],[Oct_2027_Days_Forecast]]*Table410[[#This Row],[Cost Boolean]]*(VLOOKUP(Table410[[#This Row],[RATE CONCAT]],Tables!I:N,6,0)),0)</f>
        <v>0</v>
      </c>
      <c r="EQ82" s="13">
        <f>Table410[[#This Row],[Oct_2027_F]]-Table410[[#This Row],[Oct_2027_A]]</f>
        <v>0</v>
      </c>
      <c r="ER82" s="13">
        <f>IFERROR(Table410[[#This Row],[Nov_2027_Days_Forecast]]*Table410[[#This Row],[Cost Boolean]]*(VLOOKUP(Table410[[#This Row],[RATE CONCAT]],Tables!I:N,6,0)),0)</f>
        <v>0</v>
      </c>
      <c r="ET82" s="13">
        <f>Table410[[#This Row],[Nov_2027_F]]-Table410[[#This Row],[Nov_2027_A]]</f>
        <v>0</v>
      </c>
      <c r="EU82" s="13">
        <f>IFERROR(Table410[[#This Row],[Dec_2027_Days_Forecast]]*Table410[[#This Row],[Cost Boolean]]*(VLOOKUP(Table410[[#This Row],[RATE CONCAT]],Tables!I:N,6,0)),0)</f>
        <v>0</v>
      </c>
      <c r="EW82" s="13">
        <f>Table410[[#This Row],[Dec_2027_F]]-Table410[[#This Row],[Dec_2027_A]]</f>
        <v>0</v>
      </c>
    </row>
    <row r="83" spans="1:153" s="13" customFormat="1" ht="15" customHeight="1">
      <c r="Y83" s="13" t="str">
        <f>CONCATENATE(Table410[[#This Row],[JG]],Table410[[#This Row],[Country]],Table410[[#This Row],[Resource Provider]])</f>
        <v/>
      </c>
      <c r="Z83" s="13">
        <f>VLOOKUP(Table410[[#This Row],[RATE CONCAT]],Tables!I:N,5,0)</f>
        <v>0</v>
      </c>
      <c r="AA83" s="52"/>
      <c r="AB83" s="130"/>
      <c r="AC83" s="130"/>
      <c r="AD83" s="130"/>
      <c r="AE83" s="130"/>
      <c r="AF83" s="130"/>
      <c r="AG83" s="130"/>
      <c r="AH83" s="130"/>
      <c r="AI83" s="130"/>
      <c r="AJ83" s="130"/>
      <c r="AK83" s="130"/>
      <c r="AL83" s="130"/>
      <c r="AM83" s="130"/>
      <c r="AN83" s="176">
        <f>IFERROR(AVERAGE(Table410[[#This Row],[Jan_2026_Days_Forecast]:[Dec_2026_Days_Forecast]]),0)/19</f>
        <v>0</v>
      </c>
      <c r="AO83" s="176">
        <f>IFERROR(AVERAGE(Table410[[#This Row],[Jan_2026_Days_Actual]:[Dec_2026_Days_Actual]]),0)/19</f>
        <v>0</v>
      </c>
      <c r="BB83" s="176">
        <f>IFERROR(AVERAGE(Table410[[#This Row],[Jan_2027_Days_Forecast]:[Dec_2027_Days_Forecast]]),0)</f>
        <v>0</v>
      </c>
      <c r="BC83" s="127"/>
      <c r="BD83" s="127"/>
      <c r="BE83" s="127"/>
      <c r="BF83" s="127"/>
      <c r="BG83" s="127"/>
      <c r="BH83" s="127"/>
      <c r="BI83" s="127"/>
      <c r="BJ83" s="127"/>
      <c r="BK83" s="127"/>
      <c r="BL83" s="127"/>
      <c r="BM83" s="127"/>
      <c r="BN83" s="127"/>
      <c r="BO83" s="176"/>
      <c r="BP83" s="176"/>
      <c r="BQ83" s="13">
        <f>IFERROR(Table410[[#This Row],[Jan_2026_Days_Forecast]]*Table410[[#This Row],[Cost Boolean]]*(VLOOKUP(Table410[[#This Row],[RATE CONCAT]],Tables!I:N,5,0)),0)</f>
        <v>0</v>
      </c>
      <c r="BR83" s="13">
        <f>IFERROR(Table410[[#This Row],[Jan_2026_Days_Actual]]*Table410[[#This Row],[Cost Boolean]]*(VLOOKUP(Table410[[#This Row],[RATE CONCAT]],Tables!I:N,5,0)),0)</f>
        <v>0</v>
      </c>
      <c r="BS83" s="13">
        <f>Table410[[#This Row],[Jan_2026_F]]-Table410[[#This Row],[Jan_2026_A]]</f>
        <v>0</v>
      </c>
      <c r="BU83" s="13">
        <f>IFERROR(Table410[[#This Row],[Feb_2026_Days_Forecast]]*Table410[[#This Row],[Cost Boolean]]*(VLOOKUP(Table410[[#This Row],[RATE CONCAT]],Tables!I:N,5,0)),0)</f>
        <v>0</v>
      </c>
      <c r="BV83" s="13">
        <f>IFERROR(Table410[[#This Row],[Feb_2026_Days_Actual]]*Table410[[#This Row],[Cost Boolean]]*(VLOOKUP(Table410[[#This Row],[RATE CONCAT]],Tables!I:N,5,0)),0)</f>
        <v>0</v>
      </c>
      <c r="BW83" s="13">
        <f>Table410[[#This Row],[Feb_2026_F]]-Table410[[#This Row],[Feb_2026_A]]</f>
        <v>0</v>
      </c>
      <c r="BY83" s="13">
        <f>IFERROR(Table410[[#This Row],[Mar_2026_Days_Forecast]]*Table410[[#This Row],[Cost Boolean]]*(VLOOKUP(Table410[[#This Row],[RATE CONCAT]],Tables!I:N,5,0)),0)</f>
        <v>0</v>
      </c>
      <c r="BZ83" s="13">
        <f>IFERROR(Table410[[#This Row],[Mar_2026_Days_Actual]]*Table410[[#This Row],[Cost Boolean]]*(VLOOKUP(Table410[[#This Row],[RATE CONCAT]],Tables!I:N,5,0)),0)</f>
        <v>0</v>
      </c>
      <c r="CA83" s="13">
        <f>Table410[[#This Row],[Mar_2026_F]]-Table410[[#This Row],[Mar_2026_A]]</f>
        <v>0</v>
      </c>
      <c r="CC83" s="13">
        <f>IFERROR(Table410[[#This Row],[Apr_2026_Days_Forecast]]*Table410[[#This Row],[Cost Boolean]]*(VLOOKUP(Table410[[#This Row],[RATE CONCAT]],Tables!I:N,5,0)),0)</f>
        <v>0</v>
      </c>
      <c r="CD83" s="13">
        <f>IFERROR(Table410[[#This Row],[Apr_2026_Days_Actual]]*Table410[[#This Row],[Cost Boolean]]*(VLOOKUP(Table410[[#This Row],[RATE CONCAT]],Tables!I:N,5,0)),0)</f>
        <v>0</v>
      </c>
      <c r="CE83" s="13">
        <f>Table410[[#This Row],[Apr_2026_F]]-Table410[[#This Row],[Apr_2026_A]]</f>
        <v>0</v>
      </c>
      <c r="CG83" s="13">
        <f>IFERROR(Table410[[#This Row],[May_2026_Days_Forecast]] *Table410[[#This Row],[Cost Boolean]]*(VLOOKUP(Table410[[#This Row],[RATE CONCAT]],Tables!I:N,5,0)),0)</f>
        <v>0</v>
      </c>
      <c r="CH83" s="13">
        <f>IFERROR(Table410[[#This Row],[May_2026_Days_Actual]]*Table410[[#This Row],[Cost Boolean]]*(VLOOKUP(Table410[[#This Row],[RATE CONCAT]],Tables!I:N,5,0)),0)</f>
        <v>0</v>
      </c>
      <c r="CI83" s="13">
        <f>Table410[[#This Row],[May_2026_F]]-Table410[[#This Row],[May_2026_A]]</f>
        <v>0</v>
      </c>
      <c r="CK83" s="13">
        <f>IFERROR(Table410[[#This Row],[Jun_2026_Days_Forecast]]*Table410[[#This Row],[Cost Boolean]]*(VLOOKUP(Table410[[#This Row],[RATE CONCAT]],Tables!I:N,5,0)),0)</f>
        <v>0</v>
      </c>
      <c r="CL83" s="13">
        <f>IFERROR(Table410[[#This Row],[Jun_2026_Days_Actual]]*Table410[[#This Row],[Cost Boolean]]*(VLOOKUP(Table410[[#This Row],[RATE CONCAT]],Tables!I:N,5,0)),0)</f>
        <v>0</v>
      </c>
      <c r="CM83" s="13">
        <f>Table410[[#This Row],[Jun_2026_F]]-Table410[[#This Row],[Jun_2026_A]]</f>
        <v>0</v>
      </c>
      <c r="CO83" s="13">
        <f>IFERROR(Table410[[#This Row],[Jul_2026_Days_Forecast]]*Table410[[#This Row],[Cost Boolean]]*(VLOOKUP(Table410[[#This Row],[RATE CONCAT]],Tables!I:N,5,0)),0)</f>
        <v>0</v>
      </c>
      <c r="CP83" s="13">
        <f>IFERROR(Table410[[#This Row],[Jul_2026_Days_Actual]]*Table410[[#This Row],[Cost Boolean]]*(VLOOKUP(Table410[[#This Row],[RATE CONCAT]],Tables!I:N,5,0)),0)</f>
        <v>0</v>
      </c>
      <c r="CQ83" s="13">
        <f>Table410[[#This Row],[Jul_2026_F]]-Table410[[#This Row],[Jul_2026_A]]</f>
        <v>0</v>
      </c>
      <c r="CS83" s="13">
        <f>IFERROR(Table410[[#This Row],[Aug_2026_Days_Forecast]]*Table410[[#This Row],[Cost Boolean]]*(VLOOKUP(Table410[[#This Row],[RATE CONCAT]],Tables!I:N,5,0)),0)</f>
        <v>0</v>
      </c>
      <c r="CT83" s="13">
        <f>IFERROR(Table410[[#This Row],[Aug_2026_Days_Actual]]*Table410[[#This Row],[Cost Boolean]]*(VLOOKUP(Table410[[#This Row],[RATE CONCAT]],Tables!I:N,5,0)),0)</f>
        <v>0</v>
      </c>
      <c r="CU83" s="13">
        <f>Table410[[#This Row],[Aug_2026_F]]-Table410[[#This Row],[Aug_2026_A]]</f>
        <v>0</v>
      </c>
      <c r="CW83" s="13">
        <f>IFERROR(Table410[[#This Row],[Sep_2026_Days_Forecast]]*Table410[[#This Row],[Cost Boolean]]*(VLOOKUP(Table410[[#This Row],[RATE CONCAT]],Tables!I:N,5,0)),0)</f>
        <v>0</v>
      </c>
      <c r="CX83" s="13">
        <f>IFERROR(Table410[[#This Row],[Sep_2026_Days_Actual]]*Table410[[#This Row],[Cost Boolean]]*(VLOOKUP(Table410[[#This Row],[RATE CONCAT]],Tables!I:N,5,0)),0)</f>
        <v>0</v>
      </c>
      <c r="CY83" s="13">
        <f>Table410[[#This Row],[Sep_2026_F]]-Table410[[#This Row],[Sep_2026_A]]</f>
        <v>0</v>
      </c>
      <c r="DA83" s="13">
        <f>IFERROR(Table410[[#This Row],[Oct_2026_Days_Forecast]]*Table410[[#This Row],[Cost Boolean]]*(VLOOKUP(Table410[[#This Row],[RATE CONCAT]],Tables!I:N,5,0)),0)</f>
        <v>0</v>
      </c>
      <c r="DB83" s="13">
        <f>IFERROR(Table410[[#This Row],[Oct_2026_Days_Actual]]*Table410[[#This Row],[Cost Boolean]]*(VLOOKUP(Table410[[#This Row],[RATE CONCAT]],Tables!I:N,5,0)),0)</f>
        <v>0</v>
      </c>
      <c r="DC83" s="13">
        <f>Table410[[#This Row],[Oct_2026_F]]-Table410[[#This Row],[Oct_2026_A]]</f>
        <v>0</v>
      </c>
      <c r="DE83" s="13">
        <f>IFERROR(Table410[[#This Row],[Nov_2026_Days_Forecast]]*Table410[[#This Row],[Cost Boolean]]*(VLOOKUP(Table410[[#This Row],[RATE CONCAT]],Tables!I:N,5,0)),0)</f>
        <v>0</v>
      </c>
      <c r="DF83" s="13">
        <f>IFERROR(Table410[[#This Row],[Nov_2026_Days_Actual]]*Table410[[#This Row],[Cost Boolean]]*(VLOOKUP(Table410[[#This Row],[RATE CONCAT]],Tables!I:N,5,0)),0)</f>
        <v>0</v>
      </c>
      <c r="DG83" s="13">
        <f>Table410[[#This Row],[Nov_2026_F]]-Table410[[#This Row],[Nov_2026_A]]</f>
        <v>0</v>
      </c>
      <c r="DI83" s="13">
        <f>IFERROR(Table410[[#This Row],[Dec_2026_Days_Forecast]]*Table410[[#This Row],[Cost Boolean]]*(VLOOKUP(Table410[[#This Row],[RATE CONCAT]],Tables!I:N,5,0)),0)</f>
        <v>0</v>
      </c>
      <c r="DJ83" s="13">
        <f>IFERROR(Table410[[#This Row],[Dec_2026_Days_Actual]]*Table410[[#This Row],[Cost Boolean]]*(VLOOKUP(Table410[[#This Row],[RATE CONCAT]],Tables!I:N,5,0)),0)</f>
        <v>0</v>
      </c>
      <c r="DK83" s="13">
        <f>Table410[[#This Row],[Dec_2026_F]]-Table410[[#This Row],[Dec_2026_A]]</f>
        <v>0</v>
      </c>
      <c r="DN83" s="13">
        <f>IFERROR(Table410[[#This Row],[Jan_2027_Days_Forecast]]*Table410[[#This Row],[Cost Boolean]]*(VLOOKUP(Table410[[#This Row],[RATE CONCAT]],Tables!I:N,6,0)),0)</f>
        <v>0</v>
      </c>
      <c r="DP83" s="13">
        <f>Table410[[#This Row],[Jan_2027_F]]-Table410[[#This Row],[Jan_2027_A]]</f>
        <v>0</v>
      </c>
      <c r="DQ83" s="13">
        <f>IFERROR(Table410[[#This Row],[Feb_2027_Days_Forecast]]*Table410[[#This Row],[Cost Boolean]]*(VLOOKUP(Table410[[#This Row],[RATE CONCAT]],Tables!I:N,6,0)),0)</f>
        <v>0</v>
      </c>
      <c r="DS83" s="13">
        <f>Table410[[#This Row],[Feb_2027_F]]-Table410[[#This Row],[Feb_2027_A]]</f>
        <v>0</v>
      </c>
      <c r="DT83" s="13">
        <f>IFERROR(Table410[[#This Row],[Mar_2027_Days_Forecast]]*Table410[[#This Row],[Cost Boolean]]*(VLOOKUP(Table410[[#This Row],[RATE CONCAT]],Tables!I:N,6,0)),0)</f>
        <v>0</v>
      </c>
      <c r="DV83" s="13">
        <f>Table410[[#This Row],[Mar_2027_F]]-Table410[[#This Row],[Mar_2027_A]]</f>
        <v>0</v>
      </c>
      <c r="DW83" s="13">
        <f>IFERROR(Table410[[#This Row],[Apr_2027_Days_Forecast]]*Table410[[#This Row],[Cost Boolean]]*(VLOOKUP(Table410[[#This Row],[RATE CONCAT]],Tables!I:N,6,0)),0)</f>
        <v>0</v>
      </c>
      <c r="DY83" s="13">
        <f>Table410[[#This Row],[Apr_2027_F]]-Table410[[#This Row],[Apr_2027_A]]</f>
        <v>0</v>
      </c>
      <c r="DZ83" s="13">
        <f>IFERROR(Table410[[#This Row],[May_2027_Days_Forecast]]*Table410[[#This Row],[Cost Boolean]]*(VLOOKUP(Table410[[#This Row],[RATE CONCAT]],Tables!I:N,6,0)),0)</f>
        <v>0</v>
      </c>
      <c r="EB83" s="13">
        <f>Table410[[#This Row],[May_2027_F]]-Table410[[#This Row],[May_2027_A]]</f>
        <v>0</v>
      </c>
      <c r="EC83" s="13">
        <f>IFERROR(Table410[[#This Row],[Jun_2027_Days_Forecast]]*Table410[[#This Row],[Cost Boolean]]*(VLOOKUP(Table410[[#This Row],[RATE CONCAT]],Tables!I:N,6,0)),0)</f>
        <v>0</v>
      </c>
      <c r="EE83" s="13">
        <f>Table410[[#This Row],[Jun_2027_F]]-Table410[[#This Row],[Jun_2027_A]]</f>
        <v>0</v>
      </c>
      <c r="EF83" s="13">
        <f>IFERROR(Table410[[#This Row],[Jul_2027_Days_Forecast]]*Table410[[#This Row],[Cost Boolean]]*(VLOOKUP(Table410[[#This Row],[RATE CONCAT]],Tables!I:N,6,0)),0)</f>
        <v>0</v>
      </c>
      <c r="EH83" s="13">
        <f>Table410[[#This Row],[Jul_2027_F]]-Table410[[#This Row],[Jul_2027_A]]</f>
        <v>0</v>
      </c>
      <c r="EI83" s="13">
        <f>IFERROR(Table410[[#This Row],[Aug_2027_Days_Forecast]]*Table410[[#This Row],[Cost Boolean]]*(VLOOKUP(Table410[[#This Row],[RATE CONCAT]],Tables!I:N,6,0)),0)</f>
        <v>0</v>
      </c>
      <c r="EK83" s="13">
        <f>Table410[[#This Row],[Aug_2027_F]]-Table410[[#This Row],[Aug_2027_A]]</f>
        <v>0</v>
      </c>
      <c r="EL83" s="13">
        <f>IFERROR(Table410[[#This Row],[Sep_2027_Days_Forecast]]*Table410[[#This Row],[Cost Boolean]]*(VLOOKUP(Table410[[#This Row],[RATE CONCAT]],Tables!I:N,6,0)),0)</f>
        <v>0</v>
      </c>
      <c r="EN83" s="13">
        <f>Table410[[#This Row],[Sep_2027_F]]-Table410[[#This Row],[Sep_2027_A]]</f>
        <v>0</v>
      </c>
      <c r="EO83" s="13">
        <f>IFERROR(Table410[[#This Row],[Oct_2027_Days_Forecast]]*Table410[[#This Row],[Cost Boolean]]*(VLOOKUP(Table410[[#This Row],[RATE CONCAT]],Tables!I:N,6,0)),0)</f>
        <v>0</v>
      </c>
      <c r="EQ83" s="13">
        <f>Table410[[#This Row],[Oct_2027_F]]-Table410[[#This Row],[Oct_2027_A]]</f>
        <v>0</v>
      </c>
      <c r="ER83" s="13">
        <f>IFERROR(Table410[[#This Row],[Nov_2027_Days_Forecast]]*Table410[[#This Row],[Cost Boolean]]*(VLOOKUP(Table410[[#This Row],[RATE CONCAT]],Tables!I:N,6,0)),0)</f>
        <v>0</v>
      </c>
      <c r="ET83" s="13">
        <f>Table410[[#This Row],[Nov_2027_F]]-Table410[[#This Row],[Nov_2027_A]]</f>
        <v>0</v>
      </c>
      <c r="EU83" s="13">
        <f>IFERROR(Table410[[#This Row],[Dec_2027_Days_Forecast]]*Table410[[#This Row],[Cost Boolean]]*(VLOOKUP(Table410[[#This Row],[RATE CONCAT]],Tables!I:N,6,0)),0)</f>
        <v>0</v>
      </c>
      <c r="EW83" s="13">
        <f>Table410[[#This Row],[Dec_2027_F]]-Table410[[#This Row],[Dec_2027_A]]</f>
        <v>0</v>
      </c>
    </row>
    <row r="84" spans="1:153" s="13" customFormat="1" ht="15" customHeight="1">
      <c r="Y84" s="13" t="str">
        <f>CONCATENATE(Table410[[#This Row],[JG]],Table410[[#This Row],[Country]],Table410[[#This Row],[Resource Provider]])</f>
        <v/>
      </c>
      <c r="Z84" s="13">
        <f>VLOOKUP(Table410[[#This Row],[RATE CONCAT]],Tables!I:N,5,0)</f>
        <v>0</v>
      </c>
      <c r="AA84" s="52"/>
      <c r="AB84" s="130"/>
      <c r="AC84" s="130"/>
      <c r="AD84" s="130"/>
      <c r="AE84" s="130"/>
      <c r="AF84" s="130"/>
      <c r="AG84" s="130"/>
      <c r="AH84" s="130"/>
      <c r="AI84" s="130"/>
      <c r="AJ84" s="130"/>
      <c r="AK84" s="130"/>
      <c r="AL84" s="130"/>
      <c r="AM84" s="130"/>
      <c r="AN84" s="176">
        <f>IFERROR(AVERAGE(Table410[[#This Row],[Jan_2026_Days_Forecast]:[Dec_2026_Days_Forecast]]),0)/19</f>
        <v>0</v>
      </c>
      <c r="AO84" s="176">
        <f>IFERROR(AVERAGE(Table410[[#This Row],[Jan_2026_Days_Actual]:[Dec_2026_Days_Actual]]),0)/19</f>
        <v>0</v>
      </c>
      <c r="BB84" s="176">
        <f>IFERROR(AVERAGE(Table410[[#This Row],[Jan_2027_Days_Forecast]:[Dec_2027_Days_Forecast]]),0)</f>
        <v>0</v>
      </c>
      <c r="BC84" s="127"/>
      <c r="BD84" s="127"/>
      <c r="BE84" s="127"/>
      <c r="BF84" s="127"/>
      <c r="BG84" s="127"/>
      <c r="BH84" s="127"/>
      <c r="BI84" s="127"/>
      <c r="BJ84" s="127"/>
      <c r="BK84" s="127"/>
      <c r="BL84" s="127"/>
      <c r="BM84" s="127"/>
      <c r="BN84" s="127"/>
      <c r="BO84" s="176"/>
      <c r="BP84" s="176"/>
      <c r="BQ84" s="13">
        <f>IFERROR(Table410[[#This Row],[Jan_2026_Days_Forecast]]*Table410[[#This Row],[Cost Boolean]]*(VLOOKUP(Table410[[#This Row],[RATE CONCAT]],Tables!I:N,5,0)),0)</f>
        <v>0</v>
      </c>
      <c r="BR84" s="13">
        <f>IFERROR(Table410[[#This Row],[Jan_2026_Days_Actual]]*Table410[[#This Row],[Cost Boolean]]*(VLOOKUP(Table410[[#This Row],[RATE CONCAT]],Tables!I:N,5,0)),0)</f>
        <v>0</v>
      </c>
      <c r="BS84" s="13">
        <f>Table410[[#This Row],[Jan_2026_F]]-Table410[[#This Row],[Jan_2026_A]]</f>
        <v>0</v>
      </c>
      <c r="BU84" s="13">
        <f>IFERROR(Table410[[#This Row],[Feb_2026_Days_Forecast]]*Table410[[#This Row],[Cost Boolean]]*(VLOOKUP(Table410[[#This Row],[RATE CONCAT]],Tables!I:N,5,0)),0)</f>
        <v>0</v>
      </c>
      <c r="BV84" s="13">
        <f>IFERROR(Table410[[#This Row],[Feb_2026_Days_Actual]]*Table410[[#This Row],[Cost Boolean]]*(VLOOKUP(Table410[[#This Row],[RATE CONCAT]],Tables!I:N,5,0)),0)</f>
        <v>0</v>
      </c>
      <c r="BW84" s="13">
        <f>Table410[[#This Row],[Feb_2026_F]]-Table410[[#This Row],[Feb_2026_A]]</f>
        <v>0</v>
      </c>
      <c r="BY84" s="13">
        <f>IFERROR(Table410[[#This Row],[Mar_2026_Days_Forecast]]*Table410[[#This Row],[Cost Boolean]]*(VLOOKUP(Table410[[#This Row],[RATE CONCAT]],Tables!I:N,5,0)),0)</f>
        <v>0</v>
      </c>
      <c r="BZ84" s="13">
        <f>IFERROR(Table410[[#This Row],[Mar_2026_Days_Actual]]*Table410[[#This Row],[Cost Boolean]]*(VLOOKUP(Table410[[#This Row],[RATE CONCAT]],Tables!I:N,5,0)),0)</f>
        <v>0</v>
      </c>
      <c r="CA84" s="13">
        <f>Table410[[#This Row],[Mar_2026_F]]-Table410[[#This Row],[Mar_2026_A]]</f>
        <v>0</v>
      </c>
      <c r="CC84" s="13">
        <f>IFERROR(Table410[[#This Row],[Apr_2026_Days_Forecast]]*Table410[[#This Row],[Cost Boolean]]*(VLOOKUP(Table410[[#This Row],[RATE CONCAT]],Tables!I:N,5,0)),0)</f>
        <v>0</v>
      </c>
      <c r="CD84" s="13">
        <f>IFERROR(Table410[[#This Row],[Apr_2026_Days_Actual]]*Table410[[#This Row],[Cost Boolean]]*(VLOOKUP(Table410[[#This Row],[RATE CONCAT]],Tables!I:N,5,0)),0)</f>
        <v>0</v>
      </c>
      <c r="CE84" s="13">
        <f>Table410[[#This Row],[Apr_2026_F]]-Table410[[#This Row],[Apr_2026_A]]</f>
        <v>0</v>
      </c>
      <c r="CG84" s="13">
        <f>IFERROR(Table410[[#This Row],[May_2026_Days_Forecast]] *Table410[[#This Row],[Cost Boolean]]*(VLOOKUP(Table410[[#This Row],[RATE CONCAT]],Tables!I:N,5,0)),0)</f>
        <v>0</v>
      </c>
      <c r="CH84" s="13">
        <f>IFERROR(Table410[[#This Row],[May_2026_Days_Actual]]*Table410[[#This Row],[Cost Boolean]]*(VLOOKUP(Table410[[#This Row],[RATE CONCAT]],Tables!I:N,5,0)),0)</f>
        <v>0</v>
      </c>
      <c r="CI84" s="13">
        <f>Table410[[#This Row],[May_2026_F]]-Table410[[#This Row],[May_2026_A]]</f>
        <v>0</v>
      </c>
      <c r="CK84" s="13">
        <f>IFERROR(Table410[[#This Row],[Jun_2026_Days_Forecast]]*Table410[[#This Row],[Cost Boolean]]*(VLOOKUP(Table410[[#This Row],[RATE CONCAT]],Tables!I:N,5,0)),0)</f>
        <v>0</v>
      </c>
      <c r="CL84" s="13">
        <f>IFERROR(Table410[[#This Row],[Jun_2026_Days_Actual]]*Table410[[#This Row],[Cost Boolean]]*(VLOOKUP(Table410[[#This Row],[RATE CONCAT]],Tables!I:N,5,0)),0)</f>
        <v>0</v>
      </c>
      <c r="CM84" s="13">
        <f>Table410[[#This Row],[Jun_2026_F]]-Table410[[#This Row],[Jun_2026_A]]</f>
        <v>0</v>
      </c>
      <c r="CO84" s="13">
        <f>IFERROR(Table410[[#This Row],[Jul_2026_Days_Forecast]]*Table410[[#This Row],[Cost Boolean]]*(VLOOKUP(Table410[[#This Row],[RATE CONCAT]],Tables!I:N,5,0)),0)</f>
        <v>0</v>
      </c>
      <c r="CP84" s="13">
        <f>IFERROR(Table410[[#This Row],[Jul_2026_Days_Actual]]*Table410[[#This Row],[Cost Boolean]]*(VLOOKUP(Table410[[#This Row],[RATE CONCAT]],Tables!I:N,5,0)),0)</f>
        <v>0</v>
      </c>
      <c r="CQ84" s="13">
        <f>Table410[[#This Row],[Jul_2026_F]]-Table410[[#This Row],[Jul_2026_A]]</f>
        <v>0</v>
      </c>
      <c r="CS84" s="13">
        <f>IFERROR(Table410[[#This Row],[Aug_2026_Days_Forecast]]*Table410[[#This Row],[Cost Boolean]]*(VLOOKUP(Table410[[#This Row],[RATE CONCAT]],Tables!I:N,5,0)),0)</f>
        <v>0</v>
      </c>
      <c r="CT84" s="13">
        <f>IFERROR(Table410[[#This Row],[Aug_2026_Days_Actual]]*Table410[[#This Row],[Cost Boolean]]*(VLOOKUP(Table410[[#This Row],[RATE CONCAT]],Tables!I:N,5,0)),0)</f>
        <v>0</v>
      </c>
      <c r="CU84" s="13">
        <f>Table410[[#This Row],[Aug_2026_F]]-Table410[[#This Row],[Aug_2026_A]]</f>
        <v>0</v>
      </c>
      <c r="CW84" s="13">
        <f>IFERROR(Table410[[#This Row],[Sep_2026_Days_Forecast]]*Table410[[#This Row],[Cost Boolean]]*(VLOOKUP(Table410[[#This Row],[RATE CONCAT]],Tables!I:N,5,0)),0)</f>
        <v>0</v>
      </c>
      <c r="CX84" s="13">
        <f>IFERROR(Table410[[#This Row],[Sep_2026_Days_Actual]]*Table410[[#This Row],[Cost Boolean]]*(VLOOKUP(Table410[[#This Row],[RATE CONCAT]],Tables!I:N,5,0)),0)</f>
        <v>0</v>
      </c>
      <c r="CY84" s="13">
        <f>Table410[[#This Row],[Sep_2026_F]]-Table410[[#This Row],[Sep_2026_A]]</f>
        <v>0</v>
      </c>
      <c r="DA84" s="13">
        <f>IFERROR(Table410[[#This Row],[Oct_2026_Days_Forecast]]*Table410[[#This Row],[Cost Boolean]]*(VLOOKUP(Table410[[#This Row],[RATE CONCAT]],Tables!I:N,5,0)),0)</f>
        <v>0</v>
      </c>
      <c r="DB84" s="13">
        <f>IFERROR(Table410[[#This Row],[Oct_2026_Days_Actual]]*Table410[[#This Row],[Cost Boolean]]*(VLOOKUP(Table410[[#This Row],[RATE CONCAT]],Tables!I:N,5,0)),0)</f>
        <v>0</v>
      </c>
      <c r="DC84" s="13">
        <f>Table410[[#This Row],[Oct_2026_F]]-Table410[[#This Row],[Oct_2026_A]]</f>
        <v>0</v>
      </c>
      <c r="DE84" s="13">
        <f>IFERROR(Table410[[#This Row],[Nov_2026_Days_Forecast]]*Table410[[#This Row],[Cost Boolean]]*(VLOOKUP(Table410[[#This Row],[RATE CONCAT]],Tables!I:N,5,0)),0)</f>
        <v>0</v>
      </c>
      <c r="DF84" s="13">
        <f>IFERROR(Table410[[#This Row],[Nov_2026_Days_Actual]]*Table410[[#This Row],[Cost Boolean]]*(VLOOKUP(Table410[[#This Row],[RATE CONCAT]],Tables!I:N,5,0)),0)</f>
        <v>0</v>
      </c>
      <c r="DG84" s="13">
        <f>Table410[[#This Row],[Nov_2026_F]]-Table410[[#This Row],[Nov_2026_A]]</f>
        <v>0</v>
      </c>
      <c r="DI84" s="13">
        <f>IFERROR(Table410[[#This Row],[Dec_2026_Days_Forecast]]*Table410[[#This Row],[Cost Boolean]]*(VLOOKUP(Table410[[#This Row],[RATE CONCAT]],Tables!I:N,5,0)),0)</f>
        <v>0</v>
      </c>
      <c r="DJ84" s="13">
        <f>IFERROR(Table410[[#This Row],[Dec_2026_Days_Actual]]*Table410[[#This Row],[Cost Boolean]]*(VLOOKUP(Table410[[#This Row],[RATE CONCAT]],Tables!I:N,5,0)),0)</f>
        <v>0</v>
      </c>
      <c r="DK84" s="13">
        <f>Table410[[#This Row],[Dec_2026_F]]-Table410[[#This Row],[Dec_2026_A]]</f>
        <v>0</v>
      </c>
      <c r="DN84" s="13">
        <f>IFERROR(Table410[[#This Row],[Jan_2027_Days_Forecast]]*Table410[[#This Row],[Cost Boolean]]*(VLOOKUP(Table410[[#This Row],[RATE CONCAT]],Tables!I:N,6,0)),0)</f>
        <v>0</v>
      </c>
      <c r="DP84" s="13">
        <f>Table410[[#This Row],[Jan_2027_F]]-Table410[[#This Row],[Jan_2027_A]]</f>
        <v>0</v>
      </c>
      <c r="DQ84" s="13">
        <f>IFERROR(Table410[[#This Row],[Feb_2027_Days_Forecast]]*Table410[[#This Row],[Cost Boolean]]*(VLOOKUP(Table410[[#This Row],[RATE CONCAT]],Tables!I:N,6,0)),0)</f>
        <v>0</v>
      </c>
      <c r="DS84" s="13">
        <f>Table410[[#This Row],[Feb_2027_F]]-Table410[[#This Row],[Feb_2027_A]]</f>
        <v>0</v>
      </c>
      <c r="DT84" s="13">
        <f>IFERROR(Table410[[#This Row],[Mar_2027_Days_Forecast]]*Table410[[#This Row],[Cost Boolean]]*(VLOOKUP(Table410[[#This Row],[RATE CONCAT]],Tables!I:N,6,0)),0)</f>
        <v>0</v>
      </c>
      <c r="DV84" s="13">
        <f>Table410[[#This Row],[Mar_2027_F]]-Table410[[#This Row],[Mar_2027_A]]</f>
        <v>0</v>
      </c>
      <c r="DW84" s="13">
        <f>IFERROR(Table410[[#This Row],[Apr_2027_Days_Forecast]]*Table410[[#This Row],[Cost Boolean]]*(VLOOKUP(Table410[[#This Row],[RATE CONCAT]],Tables!I:N,6,0)),0)</f>
        <v>0</v>
      </c>
      <c r="DY84" s="13">
        <f>Table410[[#This Row],[Apr_2027_F]]-Table410[[#This Row],[Apr_2027_A]]</f>
        <v>0</v>
      </c>
      <c r="DZ84" s="13">
        <f>IFERROR(Table410[[#This Row],[May_2027_Days_Forecast]]*Table410[[#This Row],[Cost Boolean]]*(VLOOKUP(Table410[[#This Row],[RATE CONCAT]],Tables!I:N,6,0)),0)</f>
        <v>0</v>
      </c>
      <c r="EB84" s="13">
        <f>Table410[[#This Row],[May_2027_F]]-Table410[[#This Row],[May_2027_A]]</f>
        <v>0</v>
      </c>
      <c r="EC84" s="13">
        <f>IFERROR(Table410[[#This Row],[Jun_2027_Days_Forecast]]*Table410[[#This Row],[Cost Boolean]]*(VLOOKUP(Table410[[#This Row],[RATE CONCAT]],Tables!I:N,6,0)),0)</f>
        <v>0</v>
      </c>
      <c r="EE84" s="13">
        <f>Table410[[#This Row],[Jun_2027_F]]-Table410[[#This Row],[Jun_2027_A]]</f>
        <v>0</v>
      </c>
      <c r="EF84" s="13">
        <f>IFERROR(Table410[[#This Row],[Jul_2027_Days_Forecast]]*Table410[[#This Row],[Cost Boolean]]*(VLOOKUP(Table410[[#This Row],[RATE CONCAT]],Tables!I:N,6,0)),0)</f>
        <v>0</v>
      </c>
      <c r="EH84" s="13">
        <f>Table410[[#This Row],[Jul_2027_F]]-Table410[[#This Row],[Jul_2027_A]]</f>
        <v>0</v>
      </c>
      <c r="EI84" s="13">
        <f>IFERROR(Table410[[#This Row],[Aug_2027_Days_Forecast]]*Table410[[#This Row],[Cost Boolean]]*(VLOOKUP(Table410[[#This Row],[RATE CONCAT]],Tables!I:N,6,0)),0)</f>
        <v>0</v>
      </c>
      <c r="EK84" s="13">
        <f>Table410[[#This Row],[Aug_2027_F]]-Table410[[#This Row],[Aug_2027_A]]</f>
        <v>0</v>
      </c>
      <c r="EL84" s="13">
        <f>IFERROR(Table410[[#This Row],[Sep_2027_Days_Forecast]]*Table410[[#This Row],[Cost Boolean]]*(VLOOKUP(Table410[[#This Row],[RATE CONCAT]],Tables!I:N,6,0)),0)</f>
        <v>0</v>
      </c>
      <c r="EN84" s="13">
        <f>Table410[[#This Row],[Sep_2027_F]]-Table410[[#This Row],[Sep_2027_A]]</f>
        <v>0</v>
      </c>
      <c r="EO84" s="13">
        <f>IFERROR(Table410[[#This Row],[Oct_2027_Days_Forecast]]*Table410[[#This Row],[Cost Boolean]]*(VLOOKUP(Table410[[#This Row],[RATE CONCAT]],Tables!I:N,6,0)),0)</f>
        <v>0</v>
      </c>
      <c r="EQ84" s="13">
        <f>Table410[[#This Row],[Oct_2027_F]]-Table410[[#This Row],[Oct_2027_A]]</f>
        <v>0</v>
      </c>
      <c r="ER84" s="13">
        <f>IFERROR(Table410[[#This Row],[Nov_2027_Days_Forecast]]*Table410[[#This Row],[Cost Boolean]]*(VLOOKUP(Table410[[#This Row],[RATE CONCAT]],Tables!I:N,6,0)),0)</f>
        <v>0</v>
      </c>
      <c r="ET84" s="13">
        <f>Table410[[#This Row],[Nov_2027_F]]-Table410[[#This Row],[Nov_2027_A]]</f>
        <v>0</v>
      </c>
      <c r="EU84" s="13">
        <f>IFERROR(Table410[[#This Row],[Dec_2027_Days_Forecast]]*Table410[[#This Row],[Cost Boolean]]*(VLOOKUP(Table410[[#This Row],[RATE CONCAT]],Tables!I:N,6,0)),0)</f>
        <v>0</v>
      </c>
      <c r="EW84" s="13">
        <f>Table410[[#This Row],[Dec_2027_F]]-Table410[[#This Row],[Dec_2027_A]]</f>
        <v>0</v>
      </c>
    </row>
    <row r="85" spans="1:153" s="13" customFormat="1" ht="15" customHeight="1">
      <c r="Y85" s="13" t="str">
        <f>CONCATENATE(Table410[[#This Row],[JG]],Table410[[#This Row],[Country]],Table410[[#This Row],[Resource Provider]])</f>
        <v/>
      </c>
      <c r="Z85" s="13">
        <f>VLOOKUP(Table410[[#This Row],[RATE CONCAT]],Tables!I:N,5,0)</f>
        <v>0</v>
      </c>
      <c r="AA85" s="52"/>
      <c r="AB85" s="130"/>
      <c r="AC85" s="130"/>
      <c r="AD85" s="130"/>
      <c r="AE85" s="130"/>
      <c r="AF85" s="130"/>
      <c r="AG85" s="130"/>
      <c r="AH85" s="130"/>
      <c r="AI85" s="130"/>
      <c r="AJ85" s="130"/>
      <c r="AK85" s="130"/>
      <c r="AL85" s="130"/>
      <c r="AM85" s="130"/>
      <c r="AN85" s="176">
        <f>IFERROR(AVERAGE(Table410[[#This Row],[Jan_2026_Days_Forecast]:[Dec_2026_Days_Forecast]]),0)/19</f>
        <v>0</v>
      </c>
      <c r="AO85" s="176">
        <f>IFERROR(AVERAGE(Table410[[#This Row],[Jan_2026_Days_Actual]:[Dec_2026_Days_Actual]]),0)/19</f>
        <v>0</v>
      </c>
      <c r="BB85" s="176">
        <f>IFERROR(AVERAGE(Table410[[#This Row],[Jan_2027_Days_Forecast]:[Dec_2027_Days_Forecast]]),0)</f>
        <v>0</v>
      </c>
      <c r="BC85" s="127"/>
      <c r="BD85" s="127"/>
      <c r="BE85" s="127"/>
      <c r="BF85" s="127"/>
      <c r="BG85" s="127"/>
      <c r="BH85" s="127"/>
      <c r="BI85" s="127"/>
      <c r="BJ85" s="127"/>
      <c r="BK85" s="127"/>
      <c r="BL85" s="127"/>
      <c r="BM85" s="127"/>
      <c r="BN85" s="127"/>
      <c r="BO85" s="176"/>
      <c r="BP85" s="176"/>
      <c r="BQ85" s="13">
        <f>IFERROR(Table410[[#This Row],[Jan_2026_Days_Forecast]]*Table410[[#This Row],[Cost Boolean]]*(VLOOKUP(Table410[[#This Row],[RATE CONCAT]],Tables!I:N,5,0)),0)</f>
        <v>0</v>
      </c>
      <c r="BR85" s="13">
        <f>IFERROR(Table410[[#This Row],[Jan_2026_Days_Actual]]*Table410[[#This Row],[Cost Boolean]]*(VLOOKUP(Table410[[#This Row],[RATE CONCAT]],Tables!I:N,5,0)),0)</f>
        <v>0</v>
      </c>
      <c r="BS85" s="13">
        <f>Table410[[#This Row],[Jan_2026_F]]-Table410[[#This Row],[Jan_2026_A]]</f>
        <v>0</v>
      </c>
      <c r="BU85" s="13">
        <f>IFERROR(Table410[[#This Row],[Feb_2026_Days_Forecast]]*Table410[[#This Row],[Cost Boolean]]*(VLOOKUP(Table410[[#This Row],[RATE CONCAT]],Tables!I:N,5,0)),0)</f>
        <v>0</v>
      </c>
      <c r="BV85" s="13">
        <f>IFERROR(Table410[[#This Row],[Feb_2026_Days_Actual]]*Table410[[#This Row],[Cost Boolean]]*(VLOOKUP(Table410[[#This Row],[RATE CONCAT]],Tables!I:N,5,0)),0)</f>
        <v>0</v>
      </c>
      <c r="BW85" s="13">
        <f>Table410[[#This Row],[Feb_2026_F]]-Table410[[#This Row],[Feb_2026_A]]</f>
        <v>0</v>
      </c>
      <c r="BY85" s="13">
        <f>IFERROR(Table410[[#This Row],[Mar_2026_Days_Forecast]]*Table410[[#This Row],[Cost Boolean]]*(VLOOKUP(Table410[[#This Row],[RATE CONCAT]],Tables!I:N,5,0)),0)</f>
        <v>0</v>
      </c>
      <c r="BZ85" s="13">
        <f>IFERROR(Table410[[#This Row],[Mar_2026_Days_Actual]]*Table410[[#This Row],[Cost Boolean]]*(VLOOKUP(Table410[[#This Row],[RATE CONCAT]],Tables!I:N,5,0)),0)</f>
        <v>0</v>
      </c>
      <c r="CA85" s="13">
        <f>Table410[[#This Row],[Mar_2026_F]]-Table410[[#This Row],[Mar_2026_A]]</f>
        <v>0</v>
      </c>
      <c r="CC85" s="13">
        <f>IFERROR(Table410[[#This Row],[Apr_2026_Days_Forecast]]*Table410[[#This Row],[Cost Boolean]]*(VLOOKUP(Table410[[#This Row],[RATE CONCAT]],Tables!I:N,5,0)),0)</f>
        <v>0</v>
      </c>
      <c r="CD85" s="13">
        <f>IFERROR(Table410[[#This Row],[Apr_2026_Days_Actual]]*Table410[[#This Row],[Cost Boolean]]*(VLOOKUP(Table410[[#This Row],[RATE CONCAT]],Tables!I:N,5,0)),0)</f>
        <v>0</v>
      </c>
      <c r="CE85" s="13">
        <f>Table410[[#This Row],[Apr_2026_F]]-Table410[[#This Row],[Apr_2026_A]]</f>
        <v>0</v>
      </c>
      <c r="CG85" s="13">
        <f>IFERROR(Table410[[#This Row],[May_2026_Days_Forecast]] *Table410[[#This Row],[Cost Boolean]]*(VLOOKUP(Table410[[#This Row],[RATE CONCAT]],Tables!I:N,5,0)),0)</f>
        <v>0</v>
      </c>
      <c r="CH85" s="13">
        <f>IFERROR(Table410[[#This Row],[May_2026_Days_Actual]]*Table410[[#This Row],[Cost Boolean]]*(VLOOKUP(Table410[[#This Row],[RATE CONCAT]],Tables!I:N,5,0)),0)</f>
        <v>0</v>
      </c>
      <c r="CI85" s="13">
        <f>Table410[[#This Row],[May_2026_F]]-Table410[[#This Row],[May_2026_A]]</f>
        <v>0</v>
      </c>
      <c r="CK85" s="13">
        <f>IFERROR(Table410[[#This Row],[Jun_2026_Days_Forecast]]*Table410[[#This Row],[Cost Boolean]]*(VLOOKUP(Table410[[#This Row],[RATE CONCAT]],Tables!I:N,5,0)),0)</f>
        <v>0</v>
      </c>
      <c r="CL85" s="13">
        <f>IFERROR(Table410[[#This Row],[Jun_2026_Days_Actual]]*Table410[[#This Row],[Cost Boolean]]*(VLOOKUP(Table410[[#This Row],[RATE CONCAT]],Tables!I:N,5,0)),0)</f>
        <v>0</v>
      </c>
      <c r="CM85" s="13">
        <f>Table410[[#This Row],[Jun_2026_F]]-Table410[[#This Row],[Jun_2026_A]]</f>
        <v>0</v>
      </c>
      <c r="CO85" s="13">
        <f>IFERROR(Table410[[#This Row],[Jul_2026_Days_Forecast]]*Table410[[#This Row],[Cost Boolean]]*(VLOOKUP(Table410[[#This Row],[RATE CONCAT]],Tables!I:N,5,0)),0)</f>
        <v>0</v>
      </c>
      <c r="CP85" s="13">
        <f>IFERROR(Table410[[#This Row],[Jul_2026_Days_Actual]]*Table410[[#This Row],[Cost Boolean]]*(VLOOKUP(Table410[[#This Row],[RATE CONCAT]],Tables!I:N,5,0)),0)</f>
        <v>0</v>
      </c>
      <c r="CQ85" s="13">
        <f>Table410[[#This Row],[Jul_2026_F]]-Table410[[#This Row],[Jul_2026_A]]</f>
        <v>0</v>
      </c>
      <c r="CS85" s="13">
        <f>IFERROR(Table410[[#This Row],[Aug_2026_Days_Forecast]]*Table410[[#This Row],[Cost Boolean]]*(VLOOKUP(Table410[[#This Row],[RATE CONCAT]],Tables!I:N,5,0)),0)</f>
        <v>0</v>
      </c>
      <c r="CT85" s="13">
        <f>IFERROR(Table410[[#This Row],[Aug_2026_Days_Actual]]*Table410[[#This Row],[Cost Boolean]]*(VLOOKUP(Table410[[#This Row],[RATE CONCAT]],Tables!I:N,5,0)),0)</f>
        <v>0</v>
      </c>
      <c r="CU85" s="13">
        <f>Table410[[#This Row],[Aug_2026_F]]-Table410[[#This Row],[Aug_2026_A]]</f>
        <v>0</v>
      </c>
      <c r="CW85" s="13">
        <f>IFERROR(Table410[[#This Row],[Sep_2026_Days_Forecast]]*Table410[[#This Row],[Cost Boolean]]*(VLOOKUP(Table410[[#This Row],[RATE CONCAT]],Tables!I:N,5,0)),0)</f>
        <v>0</v>
      </c>
      <c r="CX85" s="13">
        <f>IFERROR(Table410[[#This Row],[Sep_2026_Days_Actual]]*Table410[[#This Row],[Cost Boolean]]*(VLOOKUP(Table410[[#This Row],[RATE CONCAT]],Tables!I:N,5,0)),0)</f>
        <v>0</v>
      </c>
      <c r="CY85" s="13">
        <f>Table410[[#This Row],[Sep_2026_F]]-Table410[[#This Row],[Sep_2026_A]]</f>
        <v>0</v>
      </c>
      <c r="DA85" s="13">
        <f>IFERROR(Table410[[#This Row],[Oct_2026_Days_Forecast]]*Table410[[#This Row],[Cost Boolean]]*(VLOOKUP(Table410[[#This Row],[RATE CONCAT]],Tables!I:N,5,0)),0)</f>
        <v>0</v>
      </c>
      <c r="DB85" s="13">
        <f>IFERROR(Table410[[#This Row],[Oct_2026_Days_Actual]]*Table410[[#This Row],[Cost Boolean]]*(VLOOKUP(Table410[[#This Row],[RATE CONCAT]],Tables!I:N,5,0)),0)</f>
        <v>0</v>
      </c>
      <c r="DC85" s="13">
        <f>Table410[[#This Row],[Oct_2026_F]]-Table410[[#This Row],[Oct_2026_A]]</f>
        <v>0</v>
      </c>
      <c r="DE85" s="13">
        <f>IFERROR(Table410[[#This Row],[Nov_2026_Days_Forecast]]*Table410[[#This Row],[Cost Boolean]]*(VLOOKUP(Table410[[#This Row],[RATE CONCAT]],Tables!I:N,5,0)),0)</f>
        <v>0</v>
      </c>
      <c r="DF85" s="13">
        <f>IFERROR(Table410[[#This Row],[Nov_2026_Days_Actual]]*Table410[[#This Row],[Cost Boolean]]*(VLOOKUP(Table410[[#This Row],[RATE CONCAT]],Tables!I:N,5,0)),0)</f>
        <v>0</v>
      </c>
      <c r="DG85" s="13">
        <f>Table410[[#This Row],[Nov_2026_F]]-Table410[[#This Row],[Nov_2026_A]]</f>
        <v>0</v>
      </c>
      <c r="DI85" s="13">
        <f>IFERROR(Table410[[#This Row],[Dec_2026_Days_Forecast]]*Table410[[#This Row],[Cost Boolean]]*(VLOOKUP(Table410[[#This Row],[RATE CONCAT]],Tables!I:N,5,0)),0)</f>
        <v>0</v>
      </c>
      <c r="DJ85" s="13">
        <f>IFERROR(Table410[[#This Row],[Dec_2026_Days_Actual]]*Table410[[#This Row],[Cost Boolean]]*(VLOOKUP(Table410[[#This Row],[RATE CONCAT]],Tables!I:N,5,0)),0)</f>
        <v>0</v>
      </c>
      <c r="DK85" s="13">
        <f>Table410[[#This Row],[Dec_2026_F]]-Table410[[#This Row],[Dec_2026_A]]</f>
        <v>0</v>
      </c>
      <c r="DN85" s="13">
        <f>IFERROR(Table410[[#This Row],[Jan_2027_Days_Forecast]]*Table410[[#This Row],[Cost Boolean]]*(VLOOKUP(Table410[[#This Row],[RATE CONCAT]],Tables!I:N,6,0)),0)</f>
        <v>0</v>
      </c>
      <c r="DP85" s="13">
        <f>Table410[[#This Row],[Jan_2027_F]]-Table410[[#This Row],[Jan_2027_A]]</f>
        <v>0</v>
      </c>
      <c r="DQ85" s="13">
        <f>IFERROR(Table410[[#This Row],[Feb_2027_Days_Forecast]]*Table410[[#This Row],[Cost Boolean]]*(VLOOKUP(Table410[[#This Row],[RATE CONCAT]],Tables!I:N,6,0)),0)</f>
        <v>0</v>
      </c>
      <c r="DS85" s="13">
        <f>Table410[[#This Row],[Feb_2027_F]]-Table410[[#This Row],[Feb_2027_A]]</f>
        <v>0</v>
      </c>
      <c r="DT85" s="13">
        <f>IFERROR(Table410[[#This Row],[Mar_2027_Days_Forecast]]*Table410[[#This Row],[Cost Boolean]]*(VLOOKUP(Table410[[#This Row],[RATE CONCAT]],Tables!I:N,6,0)),0)</f>
        <v>0</v>
      </c>
      <c r="DV85" s="13">
        <f>Table410[[#This Row],[Mar_2027_F]]-Table410[[#This Row],[Mar_2027_A]]</f>
        <v>0</v>
      </c>
      <c r="DW85" s="13">
        <f>IFERROR(Table410[[#This Row],[Apr_2027_Days_Forecast]]*Table410[[#This Row],[Cost Boolean]]*(VLOOKUP(Table410[[#This Row],[RATE CONCAT]],Tables!I:N,6,0)),0)</f>
        <v>0</v>
      </c>
      <c r="DY85" s="13">
        <f>Table410[[#This Row],[Apr_2027_F]]-Table410[[#This Row],[Apr_2027_A]]</f>
        <v>0</v>
      </c>
      <c r="DZ85" s="13">
        <f>IFERROR(Table410[[#This Row],[May_2027_Days_Forecast]]*Table410[[#This Row],[Cost Boolean]]*(VLOOKUP(Table410[[#This Row],[RATE CONCAT]],Tables!I:N,6,0)),0)</f>
        <v>0</v>
      </c>
      <c r="EB85" s="13">
        <f>Table410[[#This Row],[May_2027_F]]-Table410[[#This Row],[May_2027_A]]</f>
        <v>0</v>
      </c>
      <c r="EC85" s="13">
        <f>IFERROR(Table410[[#This Row],[Jun_2027_Days_Forecast]]*Table410[[#This Row],[Cost Boolean]]*(VLOOKUP(Table410[[#This Row],[RATE CONCAT]],Tables!I:N,6,0)),0)</f>
        <v>0</v>
      </c>
      <c r="EE85" s="13">
        <f>Table410[[#This Row],[Jun_2027_F]]-Table410[[#This Row],[Jun_2027_A]]</f>
        <v>0</v>
      </c>
      <c r="EF85" s="13">
        <f>IFERROR(Table410[[#This Row],[Jul_2027_Days_Forecast]]*Table410[[#This Row],[Cost Boolean]]*(VLOOKUP(Table410[[#This Row],[RATE CONCAT]],Tables!I:N,6,0)),0)</f>
        <v>0</v>
      </c>
      <c r="EH85" s="13">
        <f>Table410[[#This Row],[Jul_2027_F]]-Table410[[#This Row],[Jul_2027_A]]</f>
        <v>0</v>
      </c>
      <c r="EI85" s="13">
        <f>IFERROR(Table410[[#This Row],[Aug_2027_Days_Forecast]]*Table410[[#This Row],[Cost Boolean]]*(VLOOKUP(Table410[[#This Row],[RATE CONCAT]],Tables!I:N,6,0)),0)</f>
        <v>0</v>
      </c>
      <c r="EK85" s="13">
        <f>Table410[[#This Row],[Aug_2027_F]]-Table410[[#This Row],[Aug_2027_A]]</f>
        <v>0</v>
      </c>
      <c r="EL85" s="13">
        <f>IFERROR(Table410[[#This Row],[Sep_2027_Days_Forecast]]*Table410[[#This Row],[Cost Boolean]]*(VLOOKUP(Table410[[#This Row],[RATE CONCAT]],Tables!I:N,6,0)),0)</f>
        <v>0</v>
      </c>
      <c r="EN85" s="13">
        <f>Table410[[#This Row],[Sep_2027_F]]-Table410[[#This Row],[Sep_2027_A]]</f>
        <v>0</v>
      </c>
      <c r="EO85" s="13">
        <f>IFERROR(Table410[[#This Row],[Oct_2027_Days_Forecast]]*Table410[[#This Row],[Cost Boolean]]*(VLOOKUP(Table410[[#This Row],[RATE CONCAT]],Tables!I:N,6,0)),0)</f>
        <v>0</v>
      </c>
      <c r="EQ85" s="13">
        <f>Table410[[#This Row],[Oct_2027_F]]-Table410[[#This Row],[Oct_2027_A]]</f>
        <v>0</v>
      </c>
      <c r="ER85" s="13">
        <f>IFERROR(Table410[[#This Row],[Nov_2027_Days_Forecast]]*Table410[[#This Row],[Cost Boolean]]*(VLOOKUP(Table410[[#This Row],[RATE CONCAT]],Tables!I:N,6,0)),0)</f>
        <v>0</v>
      </c>
      <c r="ET85" s="13">
        <f>Table410[[#This Row],[Nov_2027_F]]-Table410[[#This Row],[Nov_2027_A]]</f>
        <v>0</v>
      </c>
      <c r="EU85" s="13">
        <f>IFERROR(Table410[[#This Row],[Dec_2027_Days_Forecast]]*Table410[[#This Row],[Cost Boolean]]*(VLOOKUP(Table410[[#This Row],[RATE CONCAT]],Tables!I:N,6,0)),0)</f>
        <v>0</v>
      </c>
      <c r="EW85" s="13">
        <f>Table410[[#This Row],[Dec_2027_F]]-Table410[[#This Row],[Dec_2027_A]]</f>
        <v>0</v>
      </c>
    </row>
    <row r="86" spans="1:153" ht="1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4" t="str">
        <f>CONCATENATE(Table410[[#This Row],[JG]],Table410[[#This Row],[Country]],Table410[[#This Row],[Resource Provider]])</f>
        <v/>
      </c>
      <c r="Z86" s="14">
        <f>VLOOKUP(Table410[[#This Row],[RATE CONCAT]],Tables!I:N,5,0)</f>
        <v>0</v>
      </c>
      <c r="AA86" s="52"/>
      <c r="AB86" s="127"/>
      <c r="AC86" s="127"/>
      <c r="AD86" s="127"/>
      <c r="AE86" s="127"/>
      <c r="AF86" s="130"/>
      <c r="AG86" s="130"/>
      <c r="AH86" s="130"/>
      <c r="AI86" s="130"/>
      <c r="AJ86" s="130"/>
      <c r="AK86" s="130"/>
      <c r="AL86" s="130"/>
      <c r="AM86" s="130"/>
      <c r="AN86" s="176">
        <f>IFERROR(AVERAGE(Table410[[#This Row],[Jan_2026_Days_Forecast]:[Dec_2026_Days_Forecast]]),0)/19</f>
        <v>0</v>
      </c>
      <c r="AO86" s="176">
        <f>IFERROR(AVERAGE(Table410[[#This Row],[Jan_2026_Days_Actual]:[Dec_2026_Days_Actual]]),0)/19</f>
        <v>0</v>
      </c>
      <c r="AP86" s="84"/>
      <c r="AQ86" s="84"/>
      <c r="AR86" s="84"/>
      <c r="AS86" s="84"/>
      <c r="AT86" s="84"/>
      <c r="AU86" s="84"/>
      <c r="AV86" s="84"/>
      <c r="AW86" s="84"/>
      <c r="AX86" s="84"/>
      <c r="AY86" s="84"/>
      <c r="AZ86" s="84"/>
      <c r="BA86" s="84"/>
      <c r="BB86" s="176">
        <f>IFERROR(AVERAGE(Table410[[#This Row],[Jan_2027_Days_Forecast]:[Dec_2027_Days_Forecast]]),0)</f>
        <v>0</v>
      </c>
      <c r="BC86" s="127"/>
      <c r="BD86" s="127"/>
      <c r="BE86" s="127"/>
      <c r="BF86" s="127"/>
      <c r="BG86" s="127"/>
      <c r="BH86" s="127"/>
      <c r="BI86" s="127"/>
      <c r="BJ86" s="127"/>
      <c r="BK86" s="127"/>
      <c r="BL86" s="127"/>
      <c r="BM86" s="127"/>
      <c r="BN86" s="127"/>
      <c r="BO86" s="176"/>
      <c r="BP86" s="176"/>
      <c r="BQ86" s="3">
        <f>IFERROR(Table410[[#This Row],[Jan_2026_Days_Forecast]]*Table410[[#This Row],[Cost Boolean]]*(VLOOKUP(Table410[[#This Row],[RATE CONCAT]],Tables!I:N,5,0)),0)</f>
        <v>0</v>
      </c>
      <c r="BR86" s="3">
        <f>IFERROR(Table410[[#This Row],[Jan_2026_Days_Actual]]*Table410[[#This Row],[Cost Boolean]]*(VLOOKUP(Table410[[#This Row],[RATE CONCAT]],Tables!I:N,5,0)),0)</f>
        <v>0</v>
      </c>
      <c r="BS86" s="13">
        <f>Table410[[#This Row],[Jan_2026_F]]-Table410[[#This Row],[Jan_2026_A]]</f>
        <v>0</v>
      </c>
      <c r="BT86" s="107"/>
      <c r="BU86" s="13">
        <f>IFERROR(Table410[[#This Row],[Feb_2026_Days_Forecast]]*Table410[[#This Row],[Cost Boolean]]*(VLOOKUP(Table410[[#This Row],[RATE CONCAT]],Tables!I:N,5,0)),0)</f>
        <v>0</v>
      </c>
      <c r="BV86" s="3">
        <f>IFERROR(Table410[[#This Row],[Feb_2026_Days_Actual]]*Table410[[#This Row],[Cost Boolean]]*(VLOOKUP(Table410[[#This Row],[RATE CONCAT]],Tables!I:N,5,0)),0)</f>
        <v>0</v>
      </c>
      <c r="BW86" s="13">
        <f>Table410[[#This Row],[Feb_2026_F]]-Table410[[#This Row],[Feb_2026_A]]</f>
        <v>0</v>
      </c>
      <c r="BX86" s="103"/>
      <c r="BY86" s="3"/>
      <c r="BZ86" s="3">
        <f>IFERROR(Table410[[#This Row],[Mar_2026_Days_Actual]]*Table410[[#This Row],[Cost Boolean]]*(VLOOKUP(Table410[[#This Row],[RATE CONCAT]],Tables!I:N,5,0)),0)</f>
        <v>0</v>
      </c>
      <c r="CA86" s="3">
        <f>Table410[[#This Row],[Mar_2026_F]]-Table410[[#This Row],[Mar_2026_A]]</f>
        <v>0</v>
      </c>
      <c r="CB86" s="103"/>
      <c r="CC86" s="3">
        <f>IFERROR(Table410[[#This Row],[Apr_2026_Days_Forecast]]*Table410[[#This Row],[Cost Boolean]]*(VLOOKUP(Table410[[#This Row],[RATE CONCAT]],Tables!I:N,5,0)),0)</f>
        <v>0</v>
      </c>
      <c r="CD86" s="3">
        <f>IFERROR(Table410[[#This Row],[Apr_2026_Days_Actual]]*Table410[[#This Row],[Cost Boolean]]*(VLOOKUP(Table410[[#This Row],[RATE CONCAT]],Tables!I:N,5,0)),0)</f>
        <v>0</v>
      </c>
      <c r="CE86" s="3">
        <f>Table410[[#This Row],[Apr_2026_F]]-Table410[[#This Row],[Apr_2026_A]]</f>
        <v>0</v>
      </c>
      <c r="CF86" s="103"/>
      <c r="CG86" s="3">
        <f>IFERROR(Table410[[#This Row],[May_2026_Days_Forecast]] *Table410[[#This Row],[Cost Boolean]]*(VLOOKUP(Table410[[#This Row],[RATE CONCAT]],Tables!I:N,5,0)),0)</f>
        <v>0</v>
      </c>
      <c r="CH86" s="3">
        <f>IFERROR(Table410[[#This Row],[May_2026_Days_Actual]]*Table410[[#This Row],[Cost Boolean]]*(VLOOKUP(Table410[[#This Row],[RATE CONCAT]],Tables!I:N,5,0)),0)</f>
        <v>0</v>
      </c>
      <c r="CI86" s="3">
        <f>Table410[[#This Row],[May_2026_F]]-Table410[[#This Row],[May_2026_A]]</f>
        <v>0</v>
      </c>
      <c r="CJ86" s="103"/>
      <c r="CK86" s="3">
        <f>IFERROR(Table410[[#This Row],[Jun_2026_Days_Forecast]]*Table410[[#This Row],[Cost Boolean]]*(VLOOKUP(Table410[[#This Row],[RATE CONCAT]],Tables!I:N,5,0)),0)</f>
        <v>0</v>
      </c>
      <c r="CL86" s="3">
        <f>IFERROR(Table410[[#This Row],[Jun_2026_Days_Actual]]*Table410[[#This Row],[Cost Boolean]]*(VLOOKUP(Table410[[#This Row],[RATE CONCAT]],Tables!I:N,5,0)),0)</f>
        <v>0</v>
      </c>
      <c r="CM86" s="3">
        <f>Table410[[#This Row],[Jun_2026_F]]-Table410[[#This Row],[Jun_2026_A]]</f>
        <v>0</v>
      </c>
      <c r="CN86" s="103"/>
      <c r="CO86" s="3">
        <f>IFERROR(Table410[[#This Row],[Jul_2026_Days_Forecast]]*Table410[[#This Row],[Cost Boolean]]*(VLOOKUP(Table410[[#This Row],[RATE CONCAT]],Tables!I:N,5,0)),0)</f>
        <v>0</v>
      </c>
      <c r="CP86" s="3">
        <f>IFERROR(Table410[[#This Row],[Jul_2026_Days_Actual]]*Table410[[#This Row],[Cost Boolean]]*(VLOOKUP(Table410[[#This Row],[RATE CONCAT]],Tables!I:N,5,0)),0)</f>
        <v>0</v>
      </c>
      <c r="CQ86" s="3">
        <f>Table410[[#This Row],[Jul_2026_F]]-Table410[[#This Row],[Jul_2026_A]]</f>
        <v>0</v>
      </c>
      <c r="CR86" s="103"/>
      <c r="CS86" s="3">
        <f>IFERROR(Table410[[#This Row],[Aug_2026_Days_Forecast]]*Table410[[#This Row],[Cost Boolean]]*(VLOOKUP(Table410[[#This Row],[RATE CONCAT]],Tables!I:N,5,0)),0)</f>
        <v>0</v>
      </c>
      <c r="CT86" s="3">
        <f>IFERROR(Table410[[#This Row],[Aug_2026_Days_Actual]]*Table410[[#This Row],[Cost Boolean]]*(VLOOKUP(Table410[[#This Row],[RATE CONCAT]],Tables!I:N,5,0)),0)</f>
        <v>0</v>
      </c>
      <c r="CU86" s="3">
        <f>Table410[[#This Row],[Aug_2026_F]]-Table410[[#This Row],[Aug_2026_A]]</f>
        <v>0</v>
      </c>
      <c r="CV86" s="103"/>
      <c r="CW86" s="3">
        <f>IFERROR(Table410[[#This Row],[Sep_2026_Days_Forecast]]*Table410[[#This Row],[Cost Boolean]]*(VLOOKUP(Table410[[#This Row],[RATE CONCAT]],Tables!I:N,5,0)),0)</f>
        <v>0</v>
      </c>
      <c r="CX86" s="3">
        <f>IFERROR(Table410[[#This Row],[Sep_2026_Days_Actual]]*Table410[[#This Row],[Cost Boolean]]*(VLOOKUP(Table410[[#This Row],[RATE CONCAT]],Tables!I:N,5,0)),0)</f>
        <v>0</v>
      </c>
      <c r="CY86" s="3">
        <f>Table410[[#This Row],[Sep_2026_F]]-Table410[[#This Row],[Sep_2026_A]]</f>
        <v>0</v>
      </c>
      <c r="CZ86" s="103"/>
      <c r="DA86" s="3">
        <f>IFERROR(Table410[[#This Row],[Oct_2026_Days_Forecast]]*Table410[[#This Row],[Cost Boolean]]*(VLOOKUP(Table410[[#This Row],[RATE CONCAT]],Tables!I:N,5,0)),0)</f>
        <v>0</v>
      </c>
      <c r="DB86" s="3">
        <f>IFERROR(Table410[[#This Row],[Oct_2026_Days_Actual]]*Table410[[#This Row],[Cost Boolean]]*(VLOOKUP(Table410[[#This Row],[RATE CONCAT]],Tables!I:N,5,0)),0)</f>
        <v>0</v>
      </c>
      <c r="DC86" s="3">
        <f>Table410[[#This Row],[Oct_2026_F]]-Table410[[#This Row],[Oct_2026_A]]</f>
        <v>0</v>
      </c>
      <c r="DD86" s="103"/>
      <c r="DE86" s="3">
        <f>IFERROR(Table410[[#This Row],[Nov_2026_Days_Forecast]]*Table410[[#This Row],[Cost Boolean]]*(VLOOKUP(Table410[[#This Row],[RATE CONCAT]],Tables!I:N,5,0)),0)</f>
        <v>0</v>
      </c>
      <c r="DF86" s="3">
        <f>IFERROR(Table410[[#This Row],[Nov_2026_Days_Actual]]*Table410[[#This Row],[Cost Boolean]]*(VLOOKUP(Table410[[#This Row],[RATE CONCAT]],Tables!I:N,5,0)),0)</f>
        <v>0</v>
      </c>
      <c r="DG86" s="3">
        <f>Table410[[#This Row],[Nov_2026_F]]-Table410[[#This Row],[Nov_2026_A]]</f>
        <v>0</v>
      </c>
      <c r="DH86" s="103"/>
      <c r="DI86" s="3">
        <f>IFERROR(Table410[[#This Row],[Dec_2026_Days_Forecast]]*Table410[[#This Row],[Cost Boolean]]*(VLOOKUP(Table410[[#This Row],[RATE CONCAT]],Tables!I:N,5,0)),0)</f>
        <v>0</v>
      </c>
      <c r="DJ86" s="3">
        <f>IFERROR(Table410[[#This Row],[Dec_2026_Days_Actual]]*Table410[[#This Row],[Cost Boolean]]*(VLOOKUP(Table410[[#This Row],[RATE CONCAT]],Tables!I:N,5,0)),0)</f>
        <v>0</v>
      </c>
      <c r="DK86" s="3">
        <f>Table410[[#This Row],[Dec_2026_F]]-Table410[[#This Row],[Dec_2026_A]]</f>
        <v>0</v>
      </c>
      <c r="DL86" s="103"/>
      <c r="DM86" s="60"/>
      <c r="DN86" s="3">
        <f>IFERROR(Table410[[#This Row],[Jan_2027_Days_Forecast]]*Table410[[#This Row],[Cost Boolean]]*(VLOOKUP(Table410[[#This Row],[RATE CONCAT]],Tables!I:N,6,0)),0)</f>
        <v>0</v>
      </c>
      <c r="DO86" s="3"/>
      <c r="DP86" s="3">
        <f>Table410[[#This Row],[Jan_2027_F]]-Table410[[#This Row],[Jan_2027_A]]</f>
        <v>0</v>
      </c>
      <c r="DQ86" s="3">
        <f>IFERROR(Table410[[#This Row],[Feb_2027_Days_Forecast]]*Table410[[#This Row],[Cost Boolean]]*(VLOOKUP(Table410[[#This Row],[RATE CONCAT]],Tables!I:N,6,0)),0)</f>
        <v>0</v>
      </c>
      <c r="DR86" s="3"/>
      <c r="DS86" s="3">
        <f>Table410[[#This Row],[Feb_2027_F]]-Table410[[#This Row],[Feb_2027_A]]</f>
        <v>0</v>
      </c>
      <c r="DT86" s="3">
        <f>IFERROR(Table410[[#This Row],[Mar_2027_Days_Forecast]]*Table410[[#This Row],[Cost Boolean]]*(VLOOKUP(Table410[[#This Row],[RATE CONCAT]],Tables!I:N,6,0)),0)</f>
        <v>0</v>
      </c>
      <c r="DU86" s="3"/>
      <c r="DV86" s="3">
        <f>Table410[[#This Row],[Mar_2027_F]]-Table410[[#This Row],[Mar_2027_A]]</f>
        <v>0</v>
      </c>
      <c r="DW86" s="3">
        <f>IFERROR(Table410[[#This Row],[Apr_2027_Days_Forecast]]*Table410[[#This Row],[Cost Boolean]]*(VLOOKUP(Table410[[#This Row],[RATE CONCAT]],Tables!I:N,6,0)),0)</f>
        <v>0</v>
      </c>
      <c r="DX86" s="3"/>
      <c r="DY86" s="3">
        <f>Table410[[#This Row],[Apr_2027_F]]-Table410[[#This Row],[Apr_2027_A]]</f>
        <v>0</v>
      </c>
      <c r="DZ86" s="3">
        <f>IFERROR(Table410[[#This Row],[May_2027_Days_Forecast]]*Table410[[#This Row],[Cost Boolean]]*(VLOOKUP(Table410[[#This Row],[RATE CONCAT]],Tables!I:N,6,0)),0)</f>
        <v>0</v>
      </c>
      <c r="EA86" s="3"/>
      <c r="EB86" s="3">
        <f>Table410[[#This Row],[May_2027_F]]-Table410[[#This Row],[May_2027_A]]</f>
        <v>0</v>
      </c>
      <c r="EC86" s="3">
        <f>IFERROR(Table410[[#This Row],[Jun_2027_Days_Forecast]]*Table410[[#This Row],[Cost Boolean]]*(VLOOKUP(Table410[[#This Row],[RATE CONCAT]],Tables!I:N,6,0)),0)</f>
        <v>0</v>
      </c>
      <c r="ED86" s="3"/>
      <c r="EE86" s="3">
        <f>Table410[[#This Row],[Jun_2027_F]]-Table410[[#This Row],[Jun_2027_A]]</f>
        <v>0</v>
      </c>
      <c r="EF86" s="3">
        <f>IFERROR(Table410[[#This Row],[Jul_2027_Days_Forecast]]*Table410[[#This Row],[Cost Boolean]]*(VLOOKUP(Table410[[#This Row],[RATE CONCAT]],Tables!I:N,6,0)),0)</f>
        <v>0</v>
      </c>
      <c r="EG86" s="3"/>
      <c r="EH86" s="3">
        <f>Table410[[#This Row],[Jul_2027_F]]-Table410[[#This Row],[Jul_2027_A]]</f>
        <v>0</v>
      </c>
      <c r="EI86" s="3">
        <f>IFERROR(Table410[[#This Row],[Aug_2027_Days_Forecast]]*Table410[[#This Row],[Cost Boolean]]*(VLOOKUP(Table410[[#This Row],[RATE CONCAT]],Tables!I:N,6,0)),0)</f>
        <v>0</v>
      </c>
      <c r="EJ86" s="3"/>
      <c r="EK86" s="3">
        <f>Table410[[#This Row],[Aug_2027_F]]-Table410[[#This Row],[Aug_2027_A]]</f>
        <v>0</v>
      </c>
      <c r="EL86" s="3">
        <f>IFERROR(Table410[[#This Row],[Sep_2027_Days_Forecast]]*Table410[[#This Row],[Cost Boolean]]*(VLOOKUP(Table410[[#This Row],[RATE CONCAT]],Tables!I:N,6,0)),0)</f>
        <v>0</v>
      </c>
      <c r="EM86" s="3"/>
      <c r="EN86" s="3">
        <f>Table410[[#This Row],[Sep_2027_F]]-Table410[[#This Row],[Sep_2027_A]]</f>
        <v>0</v>
      </c>
      <c r="EO86" s="3">
        <f>IFERROR(Table410[[#This Row],[Oct_2027_Days_Forecast]]*Table410[[#This Row],[Cost Boolean]]*(VLOOKUP(Table410[[#This Row],[RATE CONCAT]],Tables!I:N,6,0)),0)</f>
        <v>0</v>
      </c>
      <c r="EP86" s="3"/>
      <c r="EQ86" s="3">
        <f>Table410[[#This Row],[Oct_2027_F]]-Table410[[#This Row],[Oct_2027_A]]</f>
        <v>0</v>
      </c>
      <c r="ER86" s="3">
        <f>IFERROR(Table410[[#This Row],[Nov_2027_Days_Forecast]]*Table410[[#This Row],[Cost Boolean]]*(VLOOKUP(Table410[[#This Row],[RATE CONCAT]],Tables!I:N,6,0)),0)</f>
        <v>0</v>
      </c>
      <c r="ES86" s="3"/>
      <c r="ET86" s="3">
        <f>Table410[[#This Row],[Nov_2027_F]]-Table410[[#This Row],[Nov_2027_A]]</f>
        <v>0</v>
      </c>
      <c r="EU86" s="3">
        <f>IFERROR(Table410[[#This Row],[Dec_2027_Days_Forecast]]*Table410[[#This Row],[Cost Boolean]]*(VLOOKUP(Table410[[#This Row],[RATE CONCAT]],Tables!I:N,6,0)),0)</f>
        <v>0</v>
      </c>
      <c r="EV86" s="3"/>
      <c r="EW86" s="3">
        <f>Table410[[#This Row],[Dec_2027_F]]-Table410[[#This Row],[Dec_2027_A]]</f>
        <v>0</v>
      </c>
    </row>
    <row r="87" spans="1:153" ht="1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4" t="str">
        <f>CONCATENATE(Table410[[#This Row],[JG]],Table410[[#This Row],[Country]],Table410[[#This Row],[Resource Provider]])</f>
        <v/>
      </c>
      <c r="Z87" s="14">
        <f>VLOOKUP(Table410[[#This Row],[RATE CONCAT]],Tables!I:N,5,0)</f>
        <v>0</v>
      </c>
      <c r="AA87" s="123"/>
      <c r="AB87" s="130"/>
      <c r="AC87" s="130"/>
      <c r="AD87" s="130"/>
      <c r="AE87" s="130"/>
      <c r="AF87" s="130"/>
      <c r="AG87" s="130"/>
      <c r="AH87" s="130"/>
      <c r="AI87" s="130"/>
      <c r="AJ87" s="130"/>
      <c r="AK87" s="130"/>
      <c r="AL87" s="130"/>
      <c r="AM87" s="130"/>
      <c r="AN87" s="176">
        <f>IFERROR(AVERAGE(Table410[[#This Row],[Jan_2026_Days_Forecast]:[Dec_2026_Days_Forecast]]),0)/19</f>
        <v>0</v>
      </c>
      <c r="AO87" s="176">
        <f>IFERROR(AVERAGE(Table410[[#This Row],[Jan_2026_Days_Actual]:[Dec_2026_Days_Actual]]),0)/19</f>
        <v>0</v>
      </c>
      <c r="AP87" s="84"/>
      <c r="AQ87" s="84"/>
      <c r="AR87" s="84"/>
      <c r="AS87" s="84"/>
      <c r="AT87" s="84"/>
      <c r="AU87" s="84"/>
      <c r="AV87" s="84"/>
      <c r="AW87" s="84"/>
      <c r="AX87" s="84"/>
      <c r="AY87" s="84"/>
      <c r="AZ87" s="84"/>
      <c r="BA87" s="84"/>
      <c r="BB87" s="176">
        <f>IFERROR(AVERAGE(Table410[[#This Row],[Jan_2027_Days_Forecast]:[Dec_2027_Days_Forecast]]),0)</f>
        <v>0</v>
      </c>
      <c r="BC87" s="127"/>
      <c r="BD87" s="127"/>
      <c r="BE87" s="127"/>
      <c r="BF87" s="127"/>
      <c r="BG87" s="127"/>
      <c r="BH87" s="127"/>
      <c r="BI87" s="127"/>
      <c r="BJ87" s="127"/>
      <c r="BK87" s="127"/>
      <c r="BL87" s="127"/>
      <c r="BM87" s="127"/>
      <c r="BN87" s="127"/>
      <c r="BO87" s="176"/>
      <c r="BP87" s="176"/>
      <c r="BQ87" s="3">
        <f>IFERROR(Table410[[#This Row],[Jan_2026_Days_Forecast]]*Table410[[#This Row],[Cost Boolean]]*(VLOOKUP(Table410[[#This Row],[RATE CONCAT]],Tables!I:N,5,0)),0)</f>
        <v>0</v>
      </c>
      <c r="BR87" s="3">
        <f>IFERROR(Table410[[#This Row],[Jan_2026_Days_Actual]]*Table410[[#This Row],[Cost Boolean]]*(VLOOKUP(Table410[[#This Row],[RATE CONCAT]],Tables!I:N,5,0)),0)</f>
        <v>0</v>
      </c>
      <c r="BS87" s="13">
        <f>Table410[[#This Row],[Jan_2026_F]]-Table410[[#This Row],[Jan_2026_A]]</f>
        <v>0</v>
      </c>
      <c r="BT87" s="114"/>
      <c r="BU87" s="13">
        <f>IFERROR(Table410[[#This Row],[Feb_2026_Days_Forecast]]*Table410[[#This Row],[Cost Boolean]]*(VLOOKUP(Table410[[#This Row],[RATE CONCAT]],Tables!I:N,5,0)),0)</f>
        <v>0</v>
      </c>
      <c r="BV87" s="3">
        <f>IFERROR(Table410[[#This Row],[Feb_2026_Days_Actual]]*Table410[[#This Row],[Cost Boolean]]*(VLOOKUP(Table410[[#This Row],[RATE CONCAT]],Tables!I:N,5,0)),0)</f>
        <v>0</v>
      </c>
      <c r="BW87" s="13">
        <f>Table410[[#This Row],[Feb_2026_F]]-Table410[[#This Row],[Feb_2026_A]]</f>
        <v>0</v>
      </c>
      <c r="BX87" s="3"/>
      <c r="BY87" s="3">
        <f>IFERROR(Table410[[#This Row],[Mar_2026_Days_Forecast]]*Table410[[#This Row],[Cost Boolean]]*(VLOOKUP(Table410[[#This Row],[RATE CONCAT]],Tables!I:N,5,0)),0)</f>
        <v>0</v>
      </c>
      <c r="BZ87" s="3">
        <f>IFERROR(Table410[[#This Row],[Mar_2026_Days_Actual]]*Table410[[#This Row],[Cost Boolean]]*(VLOOKUP(Table410[[#This Row],[RATE CONCAT]],Tables!I:N,5,0)),0)</f>
        <v>0</v>
      </c>
      <c r="CA87" s="3">
        <f>Table410[[#This Row],[Mar_2026_F]]-Table410[[#This Row],[Mar_2026_A]]</f>
        <v>0</v>
      </c>
      <c r="CB87" s="103"/>
      <c r="CC87" s="3">
        <f>IFERROR(Table410[[#This Row],[Apr_2026_Days_Forecast]]*Table410[[#This Row],[Cost Boolean]]*(VLOOKUP(Table410[[#This Row],[RATE CONCAT]],Tables!I:N,5,0)),0)</f>
        <v>0</v>
      </c>
      <c r="CD87" s="3">
        <f>IFERROR(Table410[[#This Row],[Apr_2026_Days_Actual]]*Table410[[#This Row],[Cost Boolean]]*(VLOOKUP(Table410[[#This Row],[RATE CONCAT]],Tables!I:N,5,0)),0)</f>
        <v>0</v>
      </c>
      <c r="CE87" s="3">
        <f>Table410[[#This Row],[Apr_2026_F]]-Table410[[#This Row],[Apr_2026_A]]</f>
        <v>0</v>
      </c>
      <c r="CF87" s="103"/>
      <c r="CG87" s="3">
        <f>IFERROR(Table410[[#This Row],[May_2026_Days_Forecast]] *Table410[[#This Row],[Cost Boolean]]*(VLOOKUP(Table410[[#This Row],[RATE CONCAT]],Tables!I:N,5,0)),0)</f>
        <v>0</v>
      </c>
      <c r="CH87" s="3">
        <f>IFERROR(Table410[[#This Row],[May_2026_Days_Actual]]*Table410[[#This Row],[Cost Boolean]]*(VLOOKUP(Table410[[#This Row],[RATE CONCAT]],Tables!I:N,5,0)),0)</f>
        <v>0</v>
      </c>
      <c r="CI87" s="3">
        <f>Table410[[#This Row],[May_2026_F]]-Table410[[#This Row],[May_2026_A]]</f>
        <v>0</v>
      </c>
      <c r="CJ87" s="103"/>
      <c r="CK87" s="3">
        <f>IFERROR(Table410[[#This Row],[Jun_2026_Days_Forecast]]*Table410[[#This Row],[Cost Boolean]]*(VLOOKUP(Table410[[#This Row],[RATE CONCAT]],Tables!I:N,5,0)),0)</f>
        <v>0</v>
      </c>
      <c r="CL87" s="3">
        <f>IFERROR(Table410[[#This Row],[Jun_2026_Days_Actual]]*Table410[[#This Row],[Cost Boolean]]*(VLOOKUP(Table410[[#This Row],[RATE CONCAT]],Tables!I:N,5,0)),0)</f>
        <v>0</v>
      </c>
      <c r="CM87" s="3">
        <f>Table410[[#This Row],[Jun_2026_F]]-Table410[[#This Row],[Jun_2026_A]]</f>
        <v>0</v>
      </c>
      <c r="CN87" s="103"/>
      <c r="CO87" s="3">
        <f>IFERROR(Table410[[#This Row],[Jul_2026_Days_Forecast]]*Table410[[#This Row],[Cost Boolean]]*(VLOOKUP(Table410[[#This Row],[RATE CONCAT]],Tables!I:N,5,0)),0)</f>
        <v>0</v>
      </c>
      <c r="CP87" s="3">
        <f>IFERROR(Table410[[#This Row],[Jul_2026_Days_Actual]]*Table410[[#This Row],[Cost Boolean]]*(VLOOKUP(Table410[[#This Row],[RATE CONCAT]],Tables!I:N,5,0)),0)</f>
        <v>0</v>
      </c>
      <c r="CQ87" s="3">
        <f>Table410[[#This Row],[Jul_2026_F]]-Table410[[#This Row],[Jul_2026_A]]</f>
        <v>0</v>
      </c>
      <c r="CR87" s="103"/>
      <c r="CS87" s="3">
        <f>IFERROR(Table410[[#This Row],[Aug_2026_Days_Forecast]]*Table410[[#This Row],[Cost Boolean]]*(VLOOKUP(Table410[[#This Row],[RATE CONCAT]],Tables!I:N,5,0)),0)</f>
        <v>0</v>
      </c>
      <c r="CT87" s="3">
        <f>IFERROR(Table410[[#This Row],[Aug_2026_Days_Actual]]*Table410[[#This Row],[Cost Boolean]]*(VLOOKUP(Table410[[#This Row],[RATE CONCAT]],Tables!I:N,5,0)),0)</f>
        <v>0</v>
      </c>
      <c r="CU87" s="3">
        <f>Table410[[#This Row],[Aug_2026_F]]-Table410[[#This Row],[Aug_2026_A]]</f>
        <v>0</v>
      </c>
      <c r="CV87" s="103"/>
      <c r="CW87" s="3">
        <f>IFERROR(Table410[[#This Row],[Sep_2026_Days_Forecast]]*Table410[[#This Row],[Cost Boolean]]*(VLOOKUP(Table410[[#This Row],[RATE CONCAT]],Tables!I:N,5,0)),0)</f>
        <v>0</v>
      </c>
      <c r="CX87" s="3">
        <f>IFERROR(Table410[[#This Row],[Sep_2026_Days_Actual]]*Table410[[#This Row],[Cost Boolean]]*(VLOOKUP(Table410[[#This Row],[RATE CONCAT]],Tables!I:N,5,0)),0)</f>
        <v>0</v>
      </c>
      <c r="CY87" s="3">
        <f>Table410[[#This Row],[Sep_2026_F]]-Table410[[#This Row],[Sep_2026_A]]</f>
        <v>0</v>
      </c>
      <c r="CZ87" s="103"/>
      <c r="DA87" s="3">
        <f>IFERROR(Table410[[#This Row],[Oct_2026_Days_Forecast]]*Table410[[#This Row],[Cost Boolean]]*(VLOOKUP(Table410[[#This Row],[RATE CONCAT]],Tables!I:N,5,0)),0)</f>
        <v>0</v>
      </c>
      <c r="DB87" s="3">
        <f>IFERROR(Table410[[#This Row],[Oct_2026_Days_Actual]]*Table410[[#This Row],[Cost Boolean]]*(VLOOKUP(Table410[[#This Row],[RATE CONCAT]],Tables!I:N,5,0)),0)</f>
        <v>0</v>
      </c>
      <c r="DC87" s="3">
        <f>Table410[[#This Row],[Oct_2026_F]]-Table410[[#This Row],[Oct_2026_A]]</f>
        <v>0</v>
      </c>
      <c r="DD87" s="103"/>
      <c r="DE87" s="3">
        <f>IFERROR(Table410[[#This Row],[Nov_2026_Days_Forecast]]*Table410[[#This Row],[Cost Boolean]]*(VLOOKUP(Table410[[#This Row],[RATE CONCAT]],Tables!I:N,5,0)),0)</f>
        <v>0</v>
      </c>
      <c r="DF87" s="3">
        <f>IFERROR(Table410[[#This Row],[Nov_2026_Days_Actual]]*Table410[[#This Row],[Cost Boolean]]*(VLOOKUP(Table410[[#This Row],[RATE CONCAT]],Tables!I:N,5,0)),0)</f>
        <v>0</v>
      </c>
      <c r="DG87" s="3">
        <f>Table410[[#This Row],[Nov_2026_F]]-Table410[[#This Row],[Nov_2026_A]]</f>
        <v>0</v>
      </c>
      <c r="DH87" s="103"/>
      <c r="DI87" s="3">
        <f>IFERROR(Table410[[#This Row],[Dec_2026_Days_Forecast]]*Table410[[#This Row],[Cost Boolean]]*(VLOOKUP(Table410[[#This Row],[RATE CONCAT]],Tables!I:N,5,0)),0)</f>
        <v>0</v>
      </c>
      <c r="DJ87" s="3">
        <f>IFERROR(Table410[[#This Row],[Dec_2026_Days_Actual]]*Table410[[#This Row],[Cost Boolean]]*(VLOOKUP(Table410[[#This Row],[RATE CONCAT]],Tables!I:N,5,0)),0)</f>
        <v>0</v>
      </c>
      <c r="DK87" s="126">
        <f>Table410[[#This Row],[Dec_2026_F]]-Table410[[#This Row],[Dec_2026_A]]</f>
        <v>0</v>
      </c>
      <c r="DL87" s="103"/>
      <c r="DM87" s="60"/>
      <c r="DN87" s="3">
        <f>IFERROR(Table410[[#This Row],[Jan_2027_Days_Forecast]]*Table410[[#This Row],[Cost Boolean]]*(VLOOKUP(Table410[[#This Row],[RATE CONCAT]],Tables!I:N,6,0)),0)</f>
        <v>0</v>
      </c>
      <c r="DO87" s="3"/>
      <c r="DP87" s="3">
        <f>Table410[[#This Row],[Jan_2027_F]]-Table410[[#This Row],[Jan_2027_A]]</f>
        <v>0</v>
      </c>
      <c r="DQ87" s="3">
        <f>IFERROR(Table410[[#This Row],[Feb_2027_Days_Forecast]]*Table410[[#This Row],[Cost Boolean]]*(VLOOKUP(Table410[[#This Row],[RATE CONCAT]],Tables!I:N,6,0)),0)</f>
        <v>0</v>
      </c>
      <c r="DR87" s="3"/>
      <c r="DS87" s="3">
        <f>Table410[[#This Row],[Feb_2027_F]]-Table410[[#This Row],[Feb_2027_A]]</f>
        <v>0</v>
      </c>
      <c r="DT87" s="3">
        <f>IFERROR(Table410[[#This Row],[Mar_2027_Days_Forecast]]*Table410[[#This Row],[Cost Boolean]]*(VLOOKUP(Table410[[#This Row],[RATE CONCAT]],Tables!I:N,6,0)),0)</f>
        <v>0</v>
      </c>
      <c r="DU87" s="3"/>
      <c r="DV87" s="3">
        <f>Table410[[#This Row],[Mar_2027_F]]-Table410[[#This Row],[Mar_2027_A]]</f>
        <v>0</v>
      </c>
      <c r="DW87" s="3">
        <f>IFERROR(Table410[[#This Row],[Apr_2027_Days_Forecast]]*Table410[[#This Row],[Cost Boolean]]*(VLOOKUP(Table410[[#This Row],[RATE CONCAT]],Tables!I:N,6,0)),0)</f>
        <v>0</v>
      </c>
      <c r="DX87" s="3"/>
      <c r="DY87" s="3">
        <f>Table410[[#This Row],[Apr_2027_F]]-Table410[[#This Row],[Apr_2027_A]]</f>
        <v>0</v>
      </c>
      <c r="DZ87" s="3">
        <f>IFERROR(Table410[[#This Row],[May_2027_Days_Forecast]]*Table410[[#This Row],[Cost Boolean]]*(VLOOKUP(Table410[[#This Row],[RATE CONCAT]],Tables!I:N,6,0)),0)</f>
        <v>0</v>
      </c>
      <c r="EA87" s="3"/>
      <c r="EB87" s="3">
        <f>Table410[[#This Row],[May_2027_F]]-Table410[[#This Row],[May_2027_A]]</f>
        <v>0</v>
      </c>
      <c r="EC87" s="3">
        <f>IFERROR(Table410[[#This Row],[Jun_2027_Days_Forecast]]*Table410[[#This Row],[Cost Boolean]]*(VLOOKUP(Table410[[#This Row],[RATE CONCAT]],Tables!I:N,6,0)),0)</f>
        <v>0</v>
      </c>
      <c r="ED87" s="3"/>
      <c r="EE87" s="3">
        <f>Table410[[#This Row],[Jun_2027_F]]-Table410[[#This Row],[Jun_2027_A]]</f>
        <v>0</v>
      </c>
      <c r="EF87" s="3">
        <f>IFERROR(Table410[[#This Row],[Jul_2027_Days_Forecast]]*Table410[[#This Row],[Cost Boolean]]*(VLOOKUP(Table410[[#This Row],[RATE CONCAT]],Tables!I:N,6,0)),0)</f>
        <v>0</v>
      </c>
      <c r="EG87" s="3"/>
      <c r="EH87" s="3">
        <f>Table410[[#This Row],[Jul_2027_F]]-Table410[[#This Row],[Jul_2027_A]]</f>
        <v>0</v>
      </c>
      <c r="EI87" s="3">
        <f>IFERROR(Table410[[#This Row],[Aug_2027_Days_Forecast]]*Table410[[#This Row],[Cost Boolean]]*(VLOOKUP(Table410[[#This Row],[RATE CONCAT]],Tables!I:N,6,0)),0)</f>
        <v>0</v>
      </c>
      <c r="EJ87" s="3"/>
      <c r="EK87" s="3">
        <f>Table410[[#This Row],[Aug_2027_F]]-Table410[[#This Row],[Aug_2027_A]]</f>
        <v>0</v>
      </c>
      <c r="EL87" s="3">
        <f>IFERROR(Table410[[#This Row],[Sep_2027_Days_Forecast]]*Table410[[#This Row],[Cost Boolean]]*(VLOOKUP(Table410[[#This Row],[RATE CONCAT]],Tables!I:N,6,0)),0)</f>
        <v>0</v>
      </c>
      <c r="EM87" s="3"/>
      <c r="EN87" s="3">
        <f>Table410[[#This Row],[Sep_2027_F]]-Table410[[#This Row],[Sep_2027_A]]</f>
        <v>0</v>
      </c>
      <c r="EO87" s="3">
        <f>IFERROR(Table410[[#This Row],[Oct_2027_Days_Forecast]]*Table410[[#This Row],[Cost Boolean]]*(VLOOKUP(Table410[[#This Row],[RATE CONCAT]],Tables!I:N,6,0)),0)</f>
        <v>0</v>
      </c>
      <c r="EP87" s="3"/>
      <c r="EQ87" s="3">
        <f>Table410[[#This Row],[Oct_2027_F]]-Table410[[#This Row],[Oct_2027_A]]</f>
        <v>0</v>
      </c>
      <c r="ER87" s="3">
        <f>IFERROR(Table410[[#This Row],[Nov_2027_Days_Forecast]]*Table410[[#This Row],[Cost Boolean]]*(VLOOKUP(Table410[[#This Row],[RATE CONCAT]],Tables!I:N,6,0)),0)</f>
        <v>0</v>
      </c>
      <c r="ES87" s="3"/>
      <c r="ET87" s="3">
        <f>Table410[[#This Row],[Nov_2027_F]]-Table410[[#This Row],[Nov_2027_A]]</f>
        <v>0</v>
      </c>
      <c r="EU87" s="3">
        <f>IFERROR(Table410[[#This Row],[Dec_2027_Days_Forecast]]*Table410[[#This Row],[Cost Boolean]]*(VLOOKUP(Table410[[#This Row],[RATE CONCAT]],Tables!I:N,6,0)),0)</f>
        <v>0</v>
      </c>
      <c r="EV87" s="3"/>
      <c r="EW87" s="3">
        <f>Table410[[#This Row],[Dec_2027_F]]-Table410[[#This Row],[Dec_2027_A]]</f>
        <v>0</v>
      </c>
    </row>
    <row r="88" spans="1:153" ht="1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4" t="str">
        <f>CONCATENATE(Table410[[#This Row],[JG]],Table410[[#This Row],[Country]],Table410[[#This Row],[Resource Provider]])</f>
        <v/>
      </c>
      <c r="Z88" s="14">
        <f>VLOOKUP(Table410[[#This Row],[RATE CONCAT]],Tables!I:N,5,0)</f>
        <v>0</v>
      </c>
      <c r="AA88" s="123"/>
      <c r="AB88" s="130"/>
      <c r="AC88" s="130"/>
      <c r="AD88" s="130"/>
      <c r="AE88" s="130"/>
      <c r="AF88" s="130"/>
      <c r="AG88" s="130"/>
      <c r="AH88" s="130"/>
      <c r="AI88" s="130"/>
      <c r="AJ88" s="130"/>
      <c r="AK88" s="130"/>
      <c r="AL88" s="130"/>
      <c r="AM88" s="130"/>
      <c r="AN88" s="176">
        <f>IFERROR(AVERAGE(Table410[[#This Row],[Jan_2026_Days_Forecast]:[Dec_2026_Days_Forecast]]),0)/19</f>
        <v>0</v>
      </c>
      <c r="AO88" s="176">
        <f>IFERROR(AVERAGE(Table410[[#This Row],[Jan_2026_Days_Actual]:[Dec_2026_Days_Actual]]),0)/19</f>
        <v>0</v>
      </c>
      <c r="AP88" s="84"/>
      <c r="AQ88" s="84"/>
      <c r="AR88" s="84"/>
      <c r="AS88" s="84"/>
      <c r="AT88" s="84"/>
      <c r="AU88" s="84"/>
      <c r="AV88" s="84"/>
      <c r="AW88" s="84"/>
      <c r="AX88" s="84"/>
      <c r="AY88" s="84"/>
      <c r="AZ88" s="84"/>
      <c r="BA88" s="84"/>
      <c r="BB88" s="176">
        <f>IFERROR(AVERAGE(Table410[[#This Row],[Jan_2027_Days_Forecast]:[Dec_2027_Days_Forecast]]),0)</f>
        <v>0</v>
      </c>
      <c r="BC88" s="127"/>
      <c r="BD88" s="127"/>
      <c r="BE88" s="127"/>
      <c r="BF88" s="127"/>
      <c r="BG88" s="127"/>
      <c r="BH88" s="127"/>
      <c r="BI88" s="127"/>
      <c r="BJ88" s="127"/>
      <c r="BK88" s="127"/>
      <c r="BL88" s="127"/>
      <c r="BM88" s="127"/>
      <c r="BN88" s="127"/>
      <c r="BO88" s="176"/>
      <c r="BP88" s="176"/>
      <c r="BQ88" s="3">
        <f>IFERROR(Table410[[#This Row],[Jan_2026_Days_Forecast]]*Table410[[#This Row],[Cost Boolean]]*(VLOOKUP(Table410[[#This Row],[RATE CONCAT]],Tables!I:N,5,0)),0)</f>
        <v>0</v>
      </c>
      <c r="BR88" s="3">
        <f>IFERROR(Table410[[#This Row],[Jan_2026_Days_Actual]]*Table410[[#This Row],[Cost Boolean]]*(VLOOKUP(Table410[[#This Row],[RATE CONCAT]],Tables!I:N,5,0)),0)</f>
        <v>0</v>
      </c>
      <c r="BS88" s="13">
        <f>Table410[[#This Row],[Jan_2026_F]]-Table410[[#This Row],[Jan_2026_A]]</f>
        <v>0</v>
      </c>
      <c r="BT88" s="114"/>
      <c r="BU88" s="13">
        <f>IFERROR(Table410[[#This Row],[Feb_2026_Days_Forecast]]*Table410[[#This Row],[Cost Boolean]]*(VLOOKUP(Table410[[#This Row],[RATE CONCAT]],Tables!I:N,5,0)),0)</f>
        <v>0</v>
      </c>
      <c r="BV88" s="3">
        <f>IFERROR(Table410[[#This Row],[Feb_2026_Days_Actual]]*Table410[[#This Row],[Cost Boolean]]*(VLOOKUP(Table410[[#This Row],[RATE CONCAT]],Tables!I:N,5,0)),0)</f>
        <v>0</v>
      </c>
      <c r="BW88" s="13">
        <f>Table410[[#This Row],[Feb_2026_F]]-Table410[[#This Row],[Feb_2026_A]]</f>
        <v>0</v>
      </c>
      <c r="BX88" s="3"/>
      <c r="BY88" s="3">
        <f>IFERROR(Table410[[#This Row],[Mar_2026_Days_Forecast]]*Table410[[#This Row],[Cost Boolean]]*(VLOOKUP(Table410[[#This Row],[RATE CONCAT]],Tables!I:N,5,0)),0)</f>
        <v>0</v>
      </c>
      <c r="BZ88" s="3">
        <f>IFERROR(Table410[[#This Row],[Mar_2026_Days_Actual]]*Table410[[#This Row],[Cost Boolean]]*(VLOOKUP(Table410[[#This Row],[RATE CONCAT]],Tables!I:N,5,0)),0)</f>
        <v>0</v>
      </c>
      <c r="CA88" s="3">
        <f>Table410[[#This Row],[Mar_2026_F]]-Table410[[#This Row],[Mar_2026_A]]</f>
        <v>0</v>
      </c>
      <c r="CB88" s="103"/>
      <c r="CC88" s="3">
        <f>IFERROR(Table410[[#This Row],[Apr_2026_Days_Forecast]]*Table410[[#This Row],[Cost Boolean]]*(VLOOKUP(Table410[[#This Row],[RATE CONCAT]],Tables!I:N,5,0)),0)</f>
        <v>0</v>
      </c>
      <c r="CD88" s="3">
        <f>IFERROR(Table410[[#This Row],[Apr_2026_Days_Actual]]*Table410[[#This Row],[Cost Boolean]]*(VLOOKUP(Table410[[#This Row],[RATE CONCAT]],Tables!I:N,5,0)),0)</f>
        <v>0</v>
      </c>
      <c r="CE88" s="3">
        <f>Table410[[#This Row],[Apr_2026_F]]-Table410[[#This Row],[Apr_2026_A]]</f>
        <v>0</v>
      </c>
      <c r="CF88" s="103"/>
      <c r="CG88" s="3">
        <f>IFERROR(Table410[[#This Row],[May_2026_Days_Forecast]] *Table410[[#This Row],[Cost Boolean]]*(VLOOKUP(Table410[[#This Row],[RATE CONCAT]],Tables!I:N,5,0)),0)</f>
        <v>0</v>
      </c>
      <c r="CH88" s="3">
        <f>IFERROR(Table410[[#This Row],[May_2026_Days_Actual]]*Table410[[#This Row],[Cost Boolean]]*(VLOOKUP(Table410[[#This Row],[RATE CONCAT]],Tables!I:N,5,0)),0)</f>
        <v>0</v>
      </c>
      <c r="CI88" s="3">
        <f>Table410[[#This Row],[May_2026_F]]-Table410[[#This Row],[May_2026_A]]</f>
        <v>0</v>
      </c>
      <c r="CJ88" s="103"/>
      <c r="CK88" s="3">
        <f>IFERROR(Table410[[#This Row],[Jun_2026_Days_Forecast]]*Table410[[#This Row],[Cost Boolean]]*(VLOOKUP(Table410[[#This Row],[RATE CONCAT]],Tables!I:N,5,0)),0)</f>
        <v>0</v>
      </c>
      <c r="CL88" s="3">
        <f>IFERROR(Table410[[#This Row],[Jun_2026_Days_Actual]]*Table410[[#This Row],[Cost Boolean]]*(VLOOKUP(Table410[[#This Row],[RATE CONCAT]],Tables!I:N,5,0)),0)</f>
        <v>0</v>
      </c>
      <c r="CM88" s="3">
        <f>Table410[[#This Row],[Jun_2026_F]]-Table410[[#This Row],[Jun_2026_A]]</f>
        <v>0</v>
      </c>
      <c r="CN88" s="103"/>
      <c r="CO88" s="3">
        <f>IFERROR(Table410[[#This Row],[Jul_2026_Days_Forecast]]*Table410[[#This Row],[Cost Boolean]]*(VLOOKUP(Table410[[#This Row],[RATE CONCAT]],Tables!I:N,5,0)),0)</f>
        <v>0</v>
      </c>
      <c r="CP88" s="3">
        <f>IFERROR(Table410[[#This Row],[Jul_2026_Days_Actual]]*Table410[[#This Row],[Cost Boolean]]*(VLOOKUP(Table410[[#This Row],[RATE CONCAT]],Tables!I:N,5,0)),0)</f>
        <v>0</v>
      </c>
      <c r="CQ88" s="3">
        <f>Table410[[#This Row],[Jul_2026_F]]-Table410[[#This Row],[Jul_2026_A]]</f>
        <v>0</v>
      </c>
      <c r="CR88" s="103"/>
      <c r="CS88" s="3">
        <f>IFERROR(Table410[[#This Row],[Aug_2026_Days_Forecast]]*Table410[[#This Row],[Cost Boolean]]*(VLOOKUP(Table410[[#This Row],[RATE CONCAT]],Tables!I:N,5,0)),0)</f>
        <v>0</v>
      </c>
      <c r="CT88" s="3">
        <f>IFERROR(Table410[[#This Row],[Aug_2026_Days_Actual]]*Table410[[#This Row],[Cost Boolean]]*(VLOOKUP(Table410[[#This Row],[RATE CONCAT]],Tables!I:N,5,0)),0)</f>
        <v>0</v>
      </c>
      <c r="CU88" s="3">
        <f>Table410[[#This Row],[Aug_2026_F]]-Table410[[#This Row],[Aug_2026_A]]</f>
        <v>0</v>
      </c>
      <c r="CV88" s="103"/>
      <c r="CW88" s="3">
        <f>IFERROR(Table410[[#This Row],[Sep_2026_Days_Forecast]]*Table410[[#This Row],[Cost Boolean]]*(VLOOKUP(Table410[[#This Row],[RATE CONCAT]],Tables!I:N,5,0)),0)</f>
        <v>0</v>
      </c>
      <c r="CX88" s="3">
        <f>IFERROR(Table410[[#This Row],[Sep_2026_Days_Actual]]*Table410[[#This Row],[Cost Boolean]]*(VLOOKUP(Table410[[#This Row],[RATE CONCAT]],Tables!I:N,5,0)),0)</f>
        <v>0</v>
      </c>
      <c r="CY88" s="3">
        <f>Table410[[#This Row],[Sep_2026_F]]-Table410[[#This Row],[Sep_2026_A]]</f>
        <v>0</v>
      </c>
      <c r="CZ88" s="103"/>
      <c r="DA88" s="3">
        <f>IFERROR(Table410[[#This Row],[Oct_2026_Days_Forecast]]*Table410[[#This Row],[Cost Boolean]]*(VLOOKUP(Table410[[#This Row],[RATE CONCAT]],Tables!I:N,5,0)),0)</f>
        <v>0</v>
      </c>
      <c r="DB88" s="3">
        <f>IFERROR(Table410[[#This Row],[Oct_2026_Days_Actual]]*Table410[[#This Row],[Cost Boolean]]*(VLOOKUP(Table410[[#This Row],[RATE CONCAT]],Tables!I:N,5,0)),0)</f>
        <v>0</v>
      </c>
      <c r="DC88" s="3">
        <f>Table410[[#This Row],[Oct_2026_F]]-Table410[[#This Row],[Oct_2026_A]]</f>
        <v>0</v>
      </c>
      <c r="DD88" s="103"/>
      <c r="DE88" s="3">
        <f>IFERROR(Table410[[#This Row],[Nov_2026_Days_Forecast]]*Table410[[#This Row],[Cost Boolean]]*(VLOOKUP(Table410[[#This Row],[RATE CONCAT]],Tables!I:N,5,0)),0)</f>
        <v>0</v>
      </c>
      <c r="DF88" s="3">
        <f>IFERROR(Table410[[#This Row],[Nov_2026_Days_Actual]]*Table410[[#This Row],[Cost Boolean]]*(VLOOKUP(Table410[[#This Row],[RATE CONCAT]],Tables!I:N,5,0)),0)</f>
        <v>0</v>
      </c>
      <c r="DG88" s="3">
        <f>Table410[[#This Row],[Nov_2026_F]]-Table410[[#This Row],[Nov_2026_A]]</f>
        <v>0</v>
      </c>
      <c r="DH88" s="103"/>
      <c r="DI88" s="3">
        <f>IFERROR(Table410[[#This Row],[Dec_2026_Days_Forecast]]*Table410[[#This Row],[Cost Boolean]]*(VLOOKUP(Table410[[#This Row],[RATE CONCAT]],Tables!I:N,5,0)),0)</f>
        <v>0</v>
      </c>
      <c r="DJ88" s="3">
        <f>IFERROR(Table410[[#This Row],[Dec_2026_Days_Actual]]*Table410[[#This Row],[Cost Boolean]]*(VLOOKUP(Table410[[#This Row],[RATE CONCAT]],Tables!I:N,5,0)),0)</f>
        <v>0</v>
      </c>
      <c r="DK88" s="126">
        <f>Table410[[#This Row],[Dec_2026_F]]-Table410[[#This Row],[Dec_2026_A]]</f>
        <v>0</v>
      </c>
      <c r="DL88" s="103"/>
      <c r="DM88" s="60"/>
      <c r="DN88" s="3">
        <f>IFERROR(Table410[[#This Row],[Jan_2027_Days_Forecast]]*Table410[[#This Row],[Cost Boolean]]*(VLOOKUP(Table410[[#This Row],[RATE CONCAT]],Tables!I:N,6,0)),0)</f>
        <v>0</v>
      </c>
      <c r="DO88" s="3"/>
      <c r="DP88" s="3">
        <f>Table410[[#This Row],[Jan_2027_F]]-Table410[[#This Row],[Jan_2027_A]]</f>
        <v>0</v>
      </c>
      <c r="DQ88" s="3">
        <f>IFERROR(Table410[[#This Row],[Feb_2027_Days_Forecast]]*Table410[[#This Row],[Cost Boolean]]*(VLOOKUP(Table410[[#This Row],[RATE CONCAT]],Tables!I:N,6,0)),0)</f>
        <v>0</v>
      </c>
      <c r="DR88" s="3"/>
      <c r="DS88" s="3">
        <f>Table410[[#This Row],[Feb_2027_F]]-Table410[[#This Row],[Feb_2027_A]]</f>
        <v>0</v>
      </c>
      <c r="DT88" s="3">
        <f>IFERROR(Table410[[#This Row],[Mar_2027_Days_Forecast]]*Table410[[#This Row],[Cost Boolean]]*(VLOOKUP(Table410[[#This Row],[RATE CONCAT]],Tables!I:N,6,0)),0)</f>
        <v>0</v>
      </c>
      <c r="DU88" s="3"/>
      <c r="DV88" s="3">
        <f>Table410[[#This Row],[Mar_2027_F]]-Table410[[#This Row],[Mar_2027_A]]</f>
        <v>0</v>
      </c>
      <c r="DW88" s="3">
        <f>IFERROR(Table410[[#This Row],[Apr_2027_Days_Forecast]]*Table410[[#This Row],[Cost Boolean]]*(VLOOKUP(Table410[[#This Row],[RATE CONCAT]],Tables!I:N,6,0)),0)</f>
        <v>0</v>
      </c>
      <c r="DX88" s="3"/>
      <c r="DY88" s="3">
        <f>Table410[[#This Row],[Apr_2027_F]]-Table410[[#This Row],[Apr_2027_A]]</f>
        <v>0</v>
      </c>
      <c r="DZ88" s="3">
        <f>IFERROR(Table410[[#This Row],[May_2027_Days_Forecast]]*Table410[[#This Row],[Cost Boolean]]*(VLOOKUP(Table410[[#This Row],[RATE CONCAT]],Tables!I:N,6,0)),0)</f>
        <v>0</v>
      </c>
      <c r="EA88" s="3"/>
      <c r="EB88" s="3">
        <f>Table410[[#This Row],[May_2027_F]]-Table410[[#This Row],[May_2027_A]]</f>
        <v>0</v>
      </c>
      <c r="EC88" s="3">
        <f>IFERROR(Table410[[#This Row],[Jun_2027_Days_Forecast]]*Table410[[#This Row],[Cost Boolean]]*(VLOOKUP(Table410[[#This Row],[RATE CONCAT]],Tables!I:N,6,0)),0)</f>
        <v>0</v>
      </c>
      <c r="ED88" s="3"/>
      <c r="EE88" s="3">
        <f>Table410[[#This Row],[Jun_2027_F]]-Table410[[#This Row],[Jun_2027_A]]</f>
        <v>0</v>
      </c>
      <c r="EF88" s="3">
        <f>IFERROR(Table410[[#This Row],[Jul_2027_Days_Forecast]]*Table410[[#This Row],[Cost Boolean]]*(VLOOKUP(Table410[[#This Row],[RATE CONCAT]],Tables!I:N,6,0)),0)</f>
        <v>0</v>
      </c>
      <c r="EG88" s="3"/>
      <c r="EH88" s="3">
        <f>Table410[[#This Row],[Jul_2027_F]]-Table410[[#This Row],[Jul_2027_A]]</f>
        <v>0</v>
      </c>
      <c r="EI88" s="3">
        <f>IFERROR(Table410[[#This Row],[Aug_2027_Days_Forecast]]*Table410[[#This Row],[Cost Boolean]]*(VLOOKUP(Table410[[#This Row],[RATE CONCAT]],Tables!I:N,6,0)),0)</f>
        <v>0</v>
      </c>
      <c r="EJ88" s="3"/>
      <c r="EK88" s="3">
        <f>Table410[[#This Row],[Aug_2027_F]]-Table410[[#This Row],[Aug_2027_A]]</f>
        <v>0</v>
      </c>
      <c r="EL88" s="3">
        <f>IFERROR(Table410[[#This Row],[Sep_2027_Days_Forecast]]*Table410[[#This Row],[Cost Boolean]]*(VLOOKUP(Table410[[#This Row],[RATE CONCAT]],Tables!I:N,6,0)),0)</f>
        <v>0</v>
      </c>
      <c r="EM88" s="3"/>
      <c r="EN88" s="3">
        <f>Table410[[#This Row],[Sep_2027_F]]-Table410[[#This Row],[Sep_2027_A]]</f>
        <v>0</v>
      </c>
      <c r="EO88" s="3">
        <f>IFERROR(Table410[[#This Row],[Oct_2027_Days_Forecast]]*Table410[[#This Row],[Cost Boolean]]*(VLOOKUP(Table410[[#This Row],[RATE CONCAT]],Tables!I:N,6,0)),0)</f>
        <v>0</v>
      </c>
      <c r="EP88" s="3"/>
      <c r="EQ88" s="3">
        <f>Table410[[#This Row],[Oct_2027_F]]-Table410[[#This Row],[Oct_2027_A]]</f>
        <v>0</v>
      </c>
      <c r="ER88" s="3">
        <f>IFERROR(Table410[[#This Row],[Nov_2027_Days_Forecast]]*Table410[[#This Row],[Cost Boolean]]*(VLOOKUP(Table410[[#This Row],[RATE CONCAT]],Tables!I:N,6,0)),0)</f>
        <v>0</v>
      </c>
      <c r="ES88" s="3"/>
      <c r="ET88" s="3">
        <f>Table410[[#This Row],[Nov_2027_F]]-Table410[[#This Row],[Nov_2027_A]]</f>
        <v>0</v>
      </c>
      <c r="EU88" s="3">
        <f>IFERROR(Table410[[#This Row],[Dec_2027_Days_Forecast]]*Table410[[#This Row],[Cost Boolean]]*(VLOOKUP(Table410[[#This Row],[RATE CONCAT]],Tables!I:N,6,0)),0)</f>
        <v>0</v>
      </c>
      <c r="EV88" s="3"/>
      <c r="EW88" s="3">
        <f>Table410[[#This Row],[Dec_2027_F]]-Table410[[#This Row],[Dec_2027_A]]</f>
        <v>0</v>
      </c>
    </row>
    <row r="89" spans="1:153" ht="1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4" t="str">
        <f>CONCATENATE(Table410[[#This Row],[JG]],Table410[[#This Row],[Country]],Table410[[#This Row],[Resource Provider]])</f>
        <v/>
      </c>
      <c r="Z89" s="14">
        <f>VLOOKUP(Table410[[#This Row],[RATE CONCAT]],Tables!I:N,5,0)</f>
        <v>0</v>
      </c>
      <c r="AA89" s="123"/>
      <c r="AB89" s="130"/>
      <c r="AC89" s="130"/>
      <c r="AD89" s="130"/>
      <c r="AE89" s="130"/>
      <c r="AF89" s="130"/>
      <c r="AG89" s="130"/>
      <c r="AH89" s="130"/>
      <c r="AI89" s="130"/>
      <c r="AJ89" s="130"/>
      <c r="AK89" s="130"/>
      <c r="AL89" s="130"/>
      <c r="AM89" s="130"/>
      <c r="AN89" s="176">
        <f>IFERROR(AVERAGE(Table410[[#This Row],[Jan_2026_Days_Forecast]:[Dec_2026_Days_Forecast]]),0)/19</f>
        <v>0</v>
      </c>
      <c r="AO89" s="176">
        <f>IFERROR(AVERAGE(Table410[[#This Row],[Jan_2026_Days_Actual]:[Dec_2026_Days_Actual]]),0)/19</f>
        <v>0</v>
      </c>
      <c r="AP89" s="84"/>
      <c r="AQ89" s="84"/>
      <c r="AR89" s="84"/>
      <c r="AS89" s="84"/>
      <c r="AT89" s="84"/>
      <c r="AU89" s="84"/>
      <c r="AV89" s="84"/>
      <c r="AW89" s="84"/>
      <c r="AX89" s="84"/>
      <c r="AY89" s="84"/>
      <c r="AZ89" s="84"/>
      <c r="BA89" s="84"/>
      <c r="BB89" s="176">
        <f>IFERROR(AVERAGE(Table410[[#This Row],[Jan_2027_Days_Forecast]:[Dec_2027_Days_Forecast]]),0)</f>
        <v>0</v>
      </c>
      <c r="BC89" s="127"/>
      <c r="BD89" s="127"/>
      <c r="BE89" s="127"/>
      <c r="BF89" s="127"/>
      <c r="BG89" s="127"/>
      <c r="BH89" s="127"/>
      <c r="BI89" s="127"/>
      <c r="BJ89" s="127"/>
      <c r="BK89" s="127"/>
      <c r="BL89" s="127"/>
      <c r="BM89" s="127"/>
      <c r="BN89" s="127"/>
      <c r="BO89" s="176"/>
      <c r="BP89" s="176"/>
      <c r="BQ89" s="3">
        <f>IFERROR(Table410[[#This Row],[Jan_2026_Days_Forecast]]*Table410[[#This Row],[Cost Boolean]]*(VLOOKUP(Table410[[#This Row],[RATE CONCAT]],Tables!I:N,5,0)),0)</f>
        <v>0</v>
      </c>
      <c r="BR89" s="3">
        <f>IFERROR(Table410[[#This Row],[Jan_2026_Days_Actual]]*Table410[[#This Row],[Cost Boolean]]*(VLOOKUP(Table410[[#This Row],[RATE CONCAT]],Tables!I:N,5,0)),0)</f>
        <v>0</v>
      </c>
      <c r="BS89" s="13">
        <f>Table410[[#This Row],[Jan_2026_F]]-Table410[[#This Row],[Jan_2026_A]]</f>
        <v>0</v>
      </c>
      <c r="BT89" s="114"/>
      <c r="BU89" s="13">
        <f>IFERROR(Table410[[#This Row],[Feb_2026_Days_Forecast]]*Table410[[#This Row],[Cost Boolean]]*(VLOOKUP(Table410[[#This Row],[RATE CONCAT]],Tables!I:N,5,0)),0)</f>
        <v>0</v>
      </c>
      <c r="BV89" s="3">
        <f>IFERROR(Table410[[#This Row],[Feb_2026_Days_Actual]]*Table410[[#This Row],[Cost Boolean]]*(VLOOKUP(Table410[[#This Row],[RATE CONCAT]],Tables!I:N,5,0)),0)</f>
        <v>0</v>
      </c>
      <c r="BW89" s="13">
        <f>Table410[[#This Row],[Feb_2026_F]]-Table410[[#This Row],[Feb_2026_A]]</f>
        <v>0</v>
      </c>
      <c r="BX89" s="3"/>
      <c r="BY89" s="3">
        <f>IFERROR(Table410[[#This Row],[Mar_2026_Days_Forecast]]*Table410[[#This Row],[Cost Boolean]]*(VLOOKUP(Table410[[#This Row],[RATE CONCAT]],Tables!I:N,5,0)),0)</f>
        <v>0</v>
      </c>
      <c r="BZ89" s="3">
        <f>IFERROR(Table410[[#This Row],[Mar_2026_Days_Actual]]*Table410[[#This Row],[Cost Boolean]]*(VLOOKUP(Table410[[#This Row],[RATE CONCAT]],Tables!I:N,5,0)),0)</f>
        <v>0</v>
      </c>
      <c r="CA89" s="3">
        <f>Table410[[#This Row],[Mar_2026_F]]-Table410[[#This Row],[Mar_2026_A]]</f>
        <v>0</v>
      </c>
      <c r="CB89" s="103"/>
      <c r="CC89" s="3">
        <f>IFERROR(Table410[[#This Row],[Apr_2026_Days_Forecast]]*Table410[[#This Row],[Cost Boolean]]*(VLOOKUP(Table410[[#This Row],[RATE CONCAT]],Tables!I:N,5,0)),0)</f>
        <v>0</v>
      </c>
      <c r="CD89" s="3">
        <f>IFERROR(Table410[[#This Row],[Apr_2026_Days_Actual]]*Table410[[#This Row],[Cost Boolean]]*(VLOOKUP(Table410[[#This Row],[RATE CONCAT]],Tables!I:N,5,0)),0)</f>
        <v>0</v>
      </c>
      <c r="CE89" s="3">
        <f>Table410[[#This Row],[Apr_2026_F]]-Table410[[#This Row],[Apr_2026_A]]</f>
        <v>0</v>
      </c>
      <c r="CF89" s="103"/>
      <c r="CG89" s="3">
        <f>IFERROR(Table410[[#This Row],[May_2026_Days_Forecast]] *Table410[[#This Row],[Cost Boolean]]*(VLOOKUP(Table410[[#This Row],[RATE CONCAT]],Tables!I:N,5,0)),0)</f>
        <v>0</v>
      </c>
      <c r="CH89" s="3">
        <f>IFERROR(Table410[[#This Row],[May_2026_Days_Actual]]*Table410[[#This Row],[Cost Boolean]]*(VLOOKUP(Table410[[#This Row],[RATE CONCAT]],Tables!I:N,5,0)),0)</f>
        <v>0</v>
      </c>
      <c r="CI89" s="3">
        <f>Table410[[#This Row],[May_2026_F]]-Table410[[#This Row],[May_2026_A]]</f>
        <v>0</v>
      </c>
      <c r="CJ89" s="103"/>
      <c r="CK89" s="3">
        <f>IFERROR(Table410[[#This Row],[Jun_2026_Days_Forecast]]*Table410[[#This Row],[Cost Boolean]]*(VLOOKUP(Table410[[#This Row],[RATE CONCAT]],Tables!I:N,5,0)),0)</f>
        <v>0</v>
      </c>
      <c r="CL89" s="3">
        <f>IFERROR(Table410[[#This Row],[Jun_2026_Days_Actual]]*Table410[[#This Row],[Cost Boolean]]*(VLOOKUP(Table410[[#This Row],[RATE CONCAT]],Tables!I:N,5,0)),0)</f>
        <v>0</v>
      </c>
      <c r="CM89" s="3">
        <f>Table410[[#This Row],[Jun_2026_F]]-Table410[[#This Row],[Jun_2026_A]]</f>
        <v>0</v>
      </c>
      <c r="CN89" s="103"/>
      <c r="CO89" s="3">
        <f>IFERROR(Table410[[#This Row],[Jul_2026_Days_Forecast]]*Table410[[#This Row],[Cost Boolean]]*(VLOOKUP(Table410[[#This Row],[RATE CONCAT]],Tables!I:N,5,0)),0)</f>
        <v>0</v>
      </c>
      <c r="CP89" s="3">
        <f>IFERROR(Table410[[#This Row],[Jul_2026_Days_Actual]]*Table410[[#This Row],[Cost Boolean]]*(VLOOKUP(Table410[[#This Row],[RATE CONCAT]],Tables!I:N,5,0)),0)</f>
        <v>0</v>
      </c>
      <c r="CQ89" s="3">
        <f>Table410[[#This Row],[Jul_2026_F]]-Table410[[#This Row],[Jul_2026_A]]</f>
        <v>0</v>
      </c>
      <c r="CR89" s="103"/>
      <c r="CS89" s="3">
        <f>IFERROR(Table410[[#This Row],[Aug_2026_Days_Forecast]]*Table410[[#This Row],[Cost Boolean]]*(VLOOKUP(Table410[[#This Row],[RATE CONCAT]],Tables!I:N,5,0)),0)</f>
        <v>0</v>
      </c>
      <c r="CT89" s="3">
        <f>IFERROR(Table410[[#This Row],[Aug_2026_Days_Actual]]*Table410[[#This Row],[Cost Boolean]]*(VLOOKUP(Table410[[#This Row],[RATE CONCAT]],Tables!I:N,5,0)),0)</f>
        <v>0</v>
      </c>
      <c r="CU89" s="3">
        <f>Table410[[#This Row],[Aug_2026_F]]-Table410[[#This Row],[Aug_2026_A]]</f>
        <v>0</v>
      </c>
      <c r="CV89" s="103"/>
      <c r="CW89" s="3">
        <f>IFERROR(Table410[[#This Row],[Sep_2026_Days_Forecast]]*Table410[[#This Row],[Cost Boolean]]*(VLOOKUP(Table410[[#This Row],[RATE CONCAT]],Tables!I:N,5,0)),0)</f>
        <v>0</v>
      </c>
      <c r="CX89" s="3">
        <f>IFERROR(Table410[[#This Row],[Sep_2026_Days_Actual]]*Table410[[#This Row],[Cost Boolean]]*(VLOOKUP(Table410[[#This Row],[RATE CONCAT]],Tables!I:N,5,0)),0)</f>
        <v>0</v>
      </c>
      <c r="CY89" s="3">
        <f>Table410[[#This Row],[Sep_2026_F]]-Table410[[#This Row],[Sep_2026_A]]</f>
        <v>0</v>
      </c>
      <c r="CZ89" s="103"/>
      <c r="DA89" s="3">
        <f>IFERROR(Table410[[#This Row],[Oct_2026_Days_Forecast]]*Table410[[#This Row],[Cost Boolean]]*(VLOOKUP(Table410[[#This Row],[RATE CONCAT]],Tables!I:N,5,0)),0)</f>
        <v>0</v>
      </c>
      <c r="DB89" s="3">
        <f>IFERROR(Table410[[#This Row],[Oct_2026_Days_Actual]]*Table410[[#This Row],[Cost Boolean]]*(VLOOKUP(Table410[[#This Row],[RATE CONCAT]],Tables!I:N,5,0)),0)</f>
        <v>0</v>
      </c>
      <c r="DC89" s="3">
        <f>Table410[[#This Row],[Oct_2026_F]]-Table410[[#This Row],[Oct_2026_A]]</f>
        <v>0</v>
      </c>
      <c r="DD89" s="103"/>
      <c r="DE89" s="3">
        <f>IFERROR(Table410[[#This Row],[Nov_2026_Days_Forecast]]*Table410[[#This Row],[Cost Boolean]]*(VLOOKUP(Table410[[#This Row],[RATE CONCAT]],Tables!I:N,5,0)),0)</f>
        <v>0</v>
      </c>
      <c r="DF89" s="3">
        <f>IFERROR(Table410[[#This Row],[Nov_2026_Days_Actual]]*Table410[[#This Row],[Cost Boolean]]*(VLOOKUP(Table410[[#This Row],[RATE CONCAT]],Tables!I:N,5,0)),0)</f>
        <v>0</v>
      </c>
      <c r="DG89" s="3">
        <f>Table410[[#This Row],[Nov_2026_F]]-Table410[[#This Row],[Nov_2026_A]]</f>
        <v>0</v>
      </c>
      <c r="DH89" s="103"/>
      <c r="DI89" s="3">
        <f>IFERROR(Table410[[#This Row],[Dec_2026_Days_Forecast]]*Table410[[#This Row],[Cost Boolean]]*(VLOOKUP(Table410[[#This Row],[RATE CONCAT]],Tables!I:N,5,0)),0)</f>
        <v>0</v>
      </c>
      <c r="DJ89" s="3">
        <f>IFERROR(Table410[[#This Row],[Dec_2026_Days_Actual]]*Table410[[#This Row],[Cost Boolean]]*(VLOOKUP(Table410[[#This Row],[RATE CONCAT]],Tables!I:N,5,0)),0)</f>
        <v>0</v>
      </c>
      <c r="DK89" s="126">
        <f>Table410[[#This Row],[Dec_2026_F]]-Table410[[#This Row],[Dec_2026_A]]</f>
        <v>0</v>
      </c>
      <c r="DL89" s="103"/>
      <c r="DM89" s="60"/>
      <c r="DN89" s="3">
        <f>IFERROR(Table410[[#This Row],[Jan_2027_Days_Forecast]]*Table410[[#This Row],[Cost Boolean]]*(VLOOKUP(Table410[[#This Row],[RATE CONCAT]],Tables!I:N,6,0)),0)</f>
        <v>0</v>
      </c>
      <c r="DO89" s="3"/>
      <c r="DP89" s="3">
        <f>Table410[[#This Row],[Jan_2027_F]]-Table410[[#This Row],[Jan_2027_A]]</f>
        <v>0</v>
      </c>
      <c r="DQ89" s="3">
        <f>IFERROR(Table410[[#This Row],[Feb_2027_Days_Forecast]]*Table410[[#This Row],[Cost Boolean]]*(VLOOKUP(Table410[[#This Row],[RATE CONCAT]],Tables!I:N,6,0)),0)</f>
        <v>0</v>
      </c>
      <c r="DR89" s="3"/>
      <c r="DS89" s="3">
        <f>Table410[[#This Row],[Feb_2027_F]]-Table410[[#This Row],[Feb_2027_A]]</f>
        <v>0</v>
      </c>
      <c r="DT89" s="3">
        <f>IFERROR(Table410[[#This Row],[Mar_2027_Days_Forecast]]*Table410[[#This Row],[Cost Boolean]]*(VLOOKUP(Table410[[#This Row],[RATE CONCAT]],Tables!I:N,6,0)),0)</f>
        <v>0</v>
      </c>
      <c r="DU89" s="3"/>
      <c r="DV89" s="3">
        <f>Table410[[#This Row],[Mar_2027_F]]-Table410[[#This Row],[Mar_2027_A]]</f>
        <v>0</v>
      </c>
      <c r="DW89" s="3">
        <f>IFERROR(Table410[[#This Row],[Apr_2027_Days_Forecast]]*Table410[[#This Row],[Cost Boolean]]*(VLOOKUP(Table410[[#This Row],[RATE CONCAT]],Tables!I:N,6,0)),0)</f>
        <v>0</v>
      </c>
      <c r="DX89" s="3"/>
      <c r="DY89" s="3">
        <f>Table410[[#This Row],[Apr_2027_F]]-Table410[[#This Row],[Apr_2027_A]]</f>
        <v>0</v>
      </c>
      <c r="DZ89" s="3">
        <f>IFERROR(Table410[[#This Row],[May_2027_Days_Forecast]]*Table410[[#This Row],[Cost Boolean]]*(VLOOKUP(Table410[[#This Row],[RATE CONCAT]],Tables!I:N,6,0)),0)</f>
        <v>0</v>
      </c>
      <c r="EA89" s="3"/>
      <c r="EB89" s="3">
        <f>Table410[[#This Row],[May_2027_F]]-Table410[[#This Row],[May_2027_A]]</f>
        <v>0</v>
      </c>
      <c r="EC89" s="3">
        <f>IFERROR(Table410[[#This Row],[Jun_2027_Days_Forecast]]*Table410[[#This Row],[Cost Boolean]]*(VLOOKUP(Table410[[#This Row],[RATE CONCAT]],Tables!I:N,6,0)),0)</f>
        <v>0</v>
      </c>
      <c r="ED89" s="3"/>
      <c r="EE89" s="3">
        <f>Table410[[#This Row],[Jun_2027_F]]-Table410[[#This Row],[Jun_2027_A]]</f>
        <v>0</v>
      </c>
      <c r="EF89" s="3">
        <f>IFERROR(Table410[[#This Row],[Jul_2027_Days_Forecast]]*Table410[[#This Row],[Cost Boolean]]*(VLOOKUP(Table410[[#This Row],[RATE CONCAT]],Tables!I:N,6,0)),0)</f>
        <v>0</v>
      </c>
      <c r="EG89" s="3"/>
      <c r="EH89" s="3">
        <f>Table410[[#This Row],[Jul_2027_F]]-Table410[[#This Row],[Jul_2027_A]]</f>
        <v>0</v>
      </c>
      <c r="EI89" s="3">
        <f>IFERROR(Table410[[#This Row],[Aug_2027_Days_Forecast]]*Table410[[#This Row],[Cost Boolean]]*(VLOOKUP(Table410[[#This Row],[RATE CONCAT]],Tables!I:N,6,0)),0)</f>
        <v>0</v>
      </c>
      <c r="EJ89" s="3"/>
      <c r="EK89" s="3">
        <f>Table410[[#This Row],[Aug_2027_F]]-Table410[[#This Row],[Aug_2027_A]]</f>
        <v>0</v>
      </c>
      <c r="EL89" s="3">
        <f>IFERROR(Table410[[#This Row],[Sep_2027_Days_Forecast]]*Table410[[#This Row],[Cost Boolean]]*(VLOOKUP(Table410[[#This Row],[RATE CONCAT]],Tables!I:N,6,0)),0)</f>
        <v>0</v>
      </c>
      <c r="EM89" s="3"/>
      <c r="EN89" s="3">
        <f>Table410[[#This Row],[Sep_2027_F]]-Table410[[#This Row],[Sep_2027_A]]</f>
        <v>0</v>
      </c>
      <c r="EO89" s="3">
        <f>IFERROR(Table410[[#This Row],[Oct_2027_Days_Forecast]]*Table410[[#This Row],[Cost Boolean]]*(VLOOKUP(Table410[[#This Row],[RATE CONCAT]],Tables!I:N,6,0)),0)</f>
        <v>0</v>
      </c>
      <c r="EP89" s="3"/>
      <c r="EQ89" s="3">
        <f>Table410[[#This Row],[Oct_2027_F]]-Table410[[#This Row],[Oct_2027_A]]</f>
        <v>0</v>
      </c>
      <c r="ER89" s="3">
        <f>IFERROR(Table410[[#This Row],[Nov_2027_Days_Forecast]]*Table410[[#This Row],[Cost Boolean]]*(VLOOKUP(Table410[[#This Row],[RATE CONCAT]],Tables!I:N,6,0)),0)</f>
        <v>0</v>
      </c>
      <c r="ES89" s="3"/>
      <c r="ET89" s="3">
        <f>Table410[[#This Row],[Nov_2027_F]]-Table410[[#This Row],[Nov_2027_A]]</f>
        <v>0</v>
      </c>
      <c r="EU89" s="3">
        <f>IFERROR(Table410[[#This Row],[Dec_2027_Days_Forecast]]*Table410[[#This Row],[Cost Boolean]]*(VLOOKUP(Table410[[#This Row],[RATE CONCAT]],Tables!I:N,6,0)),0)</f>
        <v>0</v>
      </c>
      <c r="EV89" s="3"/>
      <c r="EW89" s="3">
        <f>Table410[[#This Row],[Dec_2027_F]]-Table410[[#This Row],[Dec_2027_A]]</f>
        <v>0</v>
      </c>
    </row>
    <row r="90" spans="1:153" ht="1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4" t="str">
        <f>CONCATENATE(Table410[[#This Row],[JG]],Table410[[#This Row],[Country]],Table410[[#This Row],[Resource Provider]])</f>
        <v/>
      </c>
      <c r="Z90" s="14">
        <f>VLOOKUP(Table410[[#This Row],[RATE CONCAT]],Tables!I:N,5,0)</f>
        <v>0</v>
      </c>
      <c r="AA90" s="123"/>
      <c r="AB90" s="130"/>
      <c r="AC90" s="130"/>
      <c r="AD90" s="130"/>
      <c r="AE90" s="130"/>
      <c r="AF90" s="130"/>
      <c r="AG90" s="130"/>
      <c r="AH90" s="130"/>
      <c r="AI90" s="130"/>
      <c r="AJ90" s="130"/>
      <c r="AK90" s="130"/>
      <c r="AL90" s="130"/>
      <c r="AM90" s="130"/>
      <c r="AN90" s="176">
        <f>IFERROR(AVERAGE(Table410[[#This Row],[Jan_2026_Days_Forecast]:[Dec_2026_Days_Forecast]]),0)/19</f>
        <v>0</v>
      </c>
      <c r="AO90" s="176">
        <f>IFERROR(AVERAGE(Table410[[#This Row],[Jan_2026_Days_Actual]:[Dec_2026_Days_Actual]]),0)/19</f>
        <v>0</v>
      </c>
      <c r="AP90" s="84"/>
      <c r="AQ90" s="84"/>
      <c r="AR90" s="84"/>
      <c r="AS90" s="84"/>
      <c r="AT90" s="84"/>
      <c r="AU90" s="84"/>
      <c r="AV90" s="84"/>
      <c r="AW90" s="84"/>
      <c r="AX90" s="84"/>
      <c r="AY90" s="84"/>
      <c r="AZ90" s="84"/>
      <c r="BA90" s="84"/>
      <c r="BB90" s="176">
        <f>IFERROR(AVERAGE(Table410[[#This Row],[Jan_2027_Days_Forecast]:[Dec_2027_Days_Forecast]]),0)</f>
        <v>0</v>
      </c>
      <c r="BC90" s="127"/>
      <c r="BD90" s="127"/>
      <c r="BE90" s="127"/>
      <c r="BF90" s="127"/>
      <c r="BG90" s="127"/>
      <c r="BH90" s="127"/>
      <c r="BI90" s="127"/>
      <c r="BJ90" s="127"/>
      <c r="BK90" s="127"/>
      <c r="BL90" s="127"/>
      <c r="BM90" s="127"/>
      <c r="BN90" s="127"/>
      <c r="BO90" s="176"/>
      <c r="BP90" s="176"/>
      <c r="BQ90" s="3">
        <f>IFERROR(Table410[[#This Row],[Jan_2026_Days_Forecast]]*Table410[[#This Row],[Cost Boolean]]*(VLOOKUP(Table410[[#This Row],[RATE CONCAT]],Tables!I:N,5,0)),0)</f>
        <v>0</v>
      </c>
      <c r="BR90" s="3">
        <f>IFERROR(Table410[[#This Row],[Jan_2026_Days_Actual]]*Table410[[#This Row],[Cost Boolean]]*(VLOOKUP(Table410[[#This Row],[RATE CONCAT]],Tables!I:N,5,0)),0)</f>
        <v>0</v>
      </c>
      <c r="BS90" s="13">
        <f>Table410[[#This Row],[Jan_2026_F]]-Table410[[#This Row],[Jan_2026_A]]</f>
        <v>0</v>
      </c>
      <c r="BT90" s="114"/>
      <c r="BU90" s="13">
        <f>IFERROR(Table410[[#This Row],[Feb_2026_Days_Forecast]]*Table410[[#This Row],[Cost Boolean]]*(VLOOKUP(Table410[[#This Row],[RATE CONCAT]],Tables!I:N,5,0)),0)</f>
        <v>0</v>
      </c>
      <c r="BV90" s="3">
        <f>IFERROR(Table410[[#This Row],[Feb_2026_Days_Actual]]*Table410[[#This Row],[Cost Boolean]]*(VLOOKUP(Table410[[#This Row],[RATE CONCAT]],Tables!I:N,5,0)),0)</f>
        <v>0</v>
      </c>
      <c r="BW90" s="13">
        <f>Table410[[#This Row],[Feb_2026_F]]-Table410[[#This Row],[Feb_2026_A]]</f>
        <v>0</v>
      </c>
      <c r="BX90" s="3"/>
      <c r="BY90" s="3">
        <f>IFERROR(Table410[[#This Row],[Mar_2026_Days_Forecast]]*Table410[[#This Row],[Cost Boolean]]*(VLOOKUP(Table410[[#This Row],[RATE CONCAT]],Tables!I:N,5,0)),0)</f>
        <v>0</v>
      </c>
      <c r="BZ90" s="3">
        <f>IFERROR(Table410[[#This Row],[Mar_2026_Days_Actual]]*Table410[[#This Row],[Cost Boolean]]*(VLOOKUP(Table410[[#This Row],[RATE CONCAT]],Tables!I:N,5,0)),0)</f>
        <v>0</v>
      </c>
      <c r="CA90" s="3">
        <f>Table410[[#This Row],[Mar_2026_F]]-Table410[[#This Row],[Mar_2026_A]]</f>
        <v>0</v>
      </c>
      <c r="CB90" s="103"/>
      <c r="CC90" s="3">
        <f>IFERROR(Table410[[#This Row],[Apr_2026_Days_Forecast]]*Table410[[#This Row],[Cost Boolean]]*(VLOOKUP(Table410[[#This Row],[RATE CONCAT]],Tables!I:N,5,0)),0)</f>
        <v>0</v>
      </c>
      <c r="CD90" s="3">
        <f>IFERROR(Table410[[#This Row],[Apr_2026_Days_Actual]]*Table410[[#This Row],[Cost Boolean]]*(VLOOKUP(Table410[[#This Row],[RATE CONCAT]],Tables!I:N,5,0)),0)</f>
        <v>0</v>
      </c>
      <c r="CE90" s="3">
        <f>Table410[[#This Row],[Apr_2026_F]]-Table410[[#This Row],[Apr_2026_A]]</f>
        <v>0</v>
      </c>
      <c r="CF90" s="103"/>
      <c r="CG90" s="3">
        <f>IFERROR(Table410[[#This Row],[May_2026_Days_Forecast]] *Table410[[#This Row],[Cost Boolean]]*(VLOOKUP(Table410[[#This Row],[RATE CONCAT]],Tables!I:N,5,0)),0)</f>
        <v>0</v>
      </c>
      <c r="CH90" s="3">
        <f>IFERROR(Table410[[#This Row],[May_2026_Days_Actual]]*Table410[[#This Row],[Cost Boolean]]*(VLOOKUP(Table410[[#This Row],[RATE CONCAT]],Tables!I:N,5,0)),0)</f>
        <v>0</v>
      </c>
      <c r="CI90" s="3">
        <f>Table410[[#This Row],[May_2026_F]]-Table410[[#This Row],[May_2026_A]]</f>
        <v>0</v>
      </c>
      <c r="CJ90" s="103"/>
      <c r="CK90" s="3">
        <f>IFERROR(Table410[[#This Row],[Jun_2026_Days_Forecast]]*Table410[[#This Row],[Cost Boolean]]*(VLOOKUP(Table410[[#This Row],[RATE CONCAT]],Tables!I:N,5,0)),0)</f>
        <v>0</v>
      </c>
      <c r="CL90" s="3">
        <f>IFERROR(Table410[[#This Row],[Jun_2026_Days_Actual]]*Table410[[#This Row],[Cost Boolean]]*(VLOOKUP(Table410[[#This Row],[RATE CONCAT]],Tables!I:N,5,0)),0)</f>
        <v>0</v>
      </c>
      <c r="CM90" s="3">
        <f>Table410[[#This Row],[Jun_2026_F]]-Table410[[#This Row],[Jun_2026_A]]</f>
        <v>0</v>
      </c>
      <c r="CN90" s="103"/>
      <c r="CO90" s="3">
        <f>IFERROR(Table410[[#This Row],[Jul_2026_Days_Forecast]]*Table410[[#This Row],[Cost Boolean]]*(VLOOKUP(Table410[[#This Row],[RATE CONCAT]],Tables!I:N,5,0)),0)</f>
        <v>0</v>
      </c>
      <c r="CP90" s="3">
        <f>IFERROR(Table410[[#This Row],[Jul_2026_Days_Actual]]*Table410[[#This Row],[Cost Boolean]]*(VLOOKUP(Table410[[#This Row],[RATE CONCAT]],Tables!I:N,5,0)),0)</f>
        <v>0</v>
      </c>
      <c r="CQ90" s="3">
        <f>Table410[[#This Row],[Jul_2026_F]]-Table410[[#This Row],[Jul_2026_A]]</f>
        <v>0</v>
      </c>
      <c r="CR90" s="103"/>
      <c r="CS90" s="3">
        <f>IFERROR(Table410[[#This Row],[Aug_2026_Days_Forecast]]*Table410[[#This Row],[Cost Boolean]]*(VLOOKUP(Table410[[#This Row],[RATE CONCAT]],Tables!I:N,5,0)),0)</f>
        <v>0</v>
      </c>
      <c r="CT90" s="3">
        <f>IFERROR(Table410[[#This Row],[Aug_2026_Days_Actual]]*Table410[[#This Row],[Cost Boolean]]*(VLOOKUP(Table410[[#This Row],[RATE CONCAT]],Tables!I:N,5,0)),0)</f>
        <v>0</v>
      </c>
      <c r="CU90" s="3">
        <f>Table410[[#This Row],[Aug_2026_F]]-Table410[[#This Row],[Aug_2026_A]]</f>
        <v>0</v>
      </c>
      <c r="CV90" s="103"/>
      <c r="CW90" s="3">
        <f>IFERROR(Table410[[#This Row],[Sep_2026_Days_Forecast]]*Table410[[#This Row],[Cost Boolean]]*(VLOOKUP(Table410[[#This Row],[RATE CONCAT]],Tables!I:N,5,0)),0)</f>
        <v>0</v>
      </c>
      <c r="CX90" s="3">
        <f>IFERROR(Table410[[#This Row],[Sep_2026_Days_Actual]]*Table410[[#This Row],[Cost Boolean]]*(VLOOKUP(Table410[[#This Row],[RATE CONCAT]],Tables!I:N,5,0)),0)</f>
        <v>0</v>
      </c>
      <c r="CY90" s="3">
        <f>Table410[[#This Row],[Sep_2026_F]]-Table410[[#This Row],[Sep_2026_A]]</f>
        <v>0</v>
      </c>
      <c r="CZ90" s="103"/>
      <c r="DA90" s="3">
        <f>IFERROR(Table410[[#This Row],[Oct_2026_Days_Forecast]]*Table410[[#This Row],[Cost Boolean]]*(VLOOKUP(Table410[[#This Row],[RATE CONCAT]],Tables!I:N,5,0)),0)</f>
        <v>0</v>
      </c>
      <c r="DB90" s="3">
        <f>IFERROR(Table410[[#This Row],[Oct_2026_Days_Actual]]*Table410[[#This Row],[Cost Boolean]]*(VLOOKUP(Table410[[#This Row],[RATE CONCAT]],Tables!I:N,5,0)),0)</f>
        <v>0</v>
      </c>
      <c r="DC90" s="3">
        <f>Table410[[#This Row],[Oct_2026_F]]-Table410[[#This Row],[Oct_2026_A]]</f>
        <v>0</v>
      </c>
      <c r="DD90" s="103"/>
      <c r="DE90" s="3">
        <f>IFERROR(Table410[[#This Row],[Nov_2026_Days_Forecast]]*Table410[[#This Row],[Cost Boolean]]*(VLOOKUP(Table410[[#This Row],[RATE CONCAT]],Tables!I:N,5,0)),0)</f>
        <v>0</v>
      </c>
      <c r="DF90" s="3">
        <f>IFERROR(Table410[[#This Row],[Nov_2026_Days_Actual]]*Table410[[#This Row],[Cost Boolean]]*(VLOOKUP(Table410[[#This Row],[RATE CONCAT]],Tables!I:N,5,0)),0)</f>
        <v>0</v>
      </c>
      <c r="DG90" s="3">
        <f>Table410[[#This Row],[Nov_2026_F]]-Table410[[#This Row],[Nov_2026_A]]</f>
        <v>0</v>
      </c>
      <c r="DH90" s="103"/>
      <c r="DI90" s="3">
        <f>IFERROR(Table410[[#This Row],[Dec_2026_Days_Forecast]]*Table410[[#This Row],[Cost Boolean]]*(VLOOKUP(Table410[[#This Row],[RATE CONCAT]],Tables!I:N,5,0)),0)</f>
        <v>0</v>
      </c>
      <c r="DJ90" s="3">
        <f>IFERROR(Table410[[#This Row],[Dec_2026_Days_Actual]]*Table410[[#This Row],[Cost Boolean]]*(VLOOKUP(Table410[[#This Row],[RATE CONCAT]],Tables!I:N,5,0)),0)</f>
        <v>0</v>
      </c>
      <c r="DK90" s="126">
        <f>Table410[[#This Row],[Dec_2026_F]]-Table410[[#This Row],[Dec_2026_A]]</f>
        <v>0</v>
      </c>
      <c r="DL90" s="103"/>
      <c r="DM90" s="60"/>
      <c r="DN90" s="3">
        <f>IFERROR(Table410[[#This Row],[Jan_2027_Days_Forecast]]*Table410[[#This Row],[Cost Boolean]]*(VLOOKUP(Table410[[#This Row],[RATE CONCAT]],Tables!I:N,6,0)),0)</f>
        <v>0</v>
      </c>
      <c r="DO90" s="3"/>
      <c r="DP90" s="3">
        <f>Table410[[#This Row],[Jan_2027_F]]-Table410[[#This Row],[Jan_2027_A]]</f>
        <v>0</v>
      </c>
      <c r="DQ90" s="3">
        <f>IFERROR(Table410[[#This Row],[Feb_2027_Days_Forecast]]*Table410[[#This Row],[Cost Boolean]]*(VLOOKUP(Table410[[#This Row],[RATE CONCAT]],Tables!I:N,6,0)),0)</f>
        <v>0</v>
      </c>
      <c r="DR90" s="3"/>
      <c r="DS90" s="3">
        <f>Table410[[#This Row],[Feb_2027_F]]-Table410[[#This Row],[Feb_2027_A]]</f>
        <v>0</v>
      </c>
      <c r="DT90" s="3">
        <f>IFERROR(Table410[[#This Row],[Mar_2027_Days_Forecast]]*Table410[[#This Row],[Cost Boolean]]*(VLOOKUP(Table410[[#This Row],[RATE CONCAT]],Tables!I:N,6,0)),0)</f>
        <v>0</v>
      </c>
      <c r="DU90" s="3"/>
      <c r="DV90" s="3">
        <f>Table410[[#This Row],[Mar_2027_F]]-Table410[[#This Row],[Mar_2027_A]]</f>
        <v>0</v>
      </c>
      <c r="DW90" s="3">
        <f>IFERROR(Table410[[#This Row],[Apr_2027_Days_Forecast]]*Table410[[#This Row],[Cost Boolean]]*(VLOOKUP(Table410[[#This Row],[RATE CONCAT]],Tables!I:N,6,0)),0)</f>
        <v>0</v>
      </c>
      <c r="DX90" s="3"/>
      <c r="DY90" s="3">
        <f>Table410[[#This Row],[Apr_2027_F]]-Table410[[#This Row],[Apr_2027_A]]</f>
        <v>0</v>
      </c>
      <c r="DZ90" s="3">
        <f>IFERROR(Table410[[#This Row],[May_2027_Days_Forecast]]*Table410[[#This Row],[Cost Boolean]]*(VLOOKUP(Table410[[#This Row],[RATE CONCAT]],Tables!I:N,6,0)),0)</f>
        <v>0</v>
      </c>
      <c r="EA90" s="3"/>
      <c r="EB90" s="3">
        <f>Table410[[#This Row],[May_2027_F]]-Table410[[#This Row],[May_2027_A]]</f>
        <v>0</v>
      </c>
      <c r="EC90" s="3">
        <f>IFERROR(Table410[[#This Row],[Jun_2027_Days_Forecast]]*Table410[[#This Row],[Cost Boolean]]*(VLOOKUP(Table410[[#This Row],[RATE CONCAT]],Tables!I:N,6,0)),0)</f>
        <v>0</v>
      </c>
      <c r="ED90" s="3"/>
      <c r="EE90" s="3">
        <f>Table410[[#This Row],[Jun_2027_F]]-Table410[[#This Row],[Jun_2027_A]]</f>
        <v>0</v>
      </c>
      <c r="EF90" s="3">
        <f>IFERROR(Table410[[#This Row],[Jul_2027_Days_Forecast]]*Table410[[#This Row],[Cost Boolean]]*(VLOOKUP(Table410[[#This Row],[RATE CONCAT]],Tables!I:N,6,0)),0)</f>
        <v>0</v>
      </c>
      <c r="EG90" s="3"/>
      <c r="EH90" s="3">
        <f>Table410[[#This Row],[Jul_2027_F]]-Table410[[#This Row],[Jul_2027_A]]</f>
        <v>0</v>
      </c>
      <c r="EI90" s="3">
        <f>IFERROR(Table410[[#This Row],[Aug_2027_Days_Forecast]]*Table410[[#This Row],[Cost Boolean]]*(VLOOKUP(Table410[[#This Row],[RATE CONCAT]],Tables!I:N,6,0)),0)</f>
        <v>0</v>
      </c>
      <c r="EJ90" s="3"/>
      <c r="EK90" s="3">
        <f>Table410[[#This Row],[Aug_2027_F]]-Table410[[#This Row],[Aug_2027_A]]</f>
        <v>0</v>
      </c>
      <c r="EL90" s="3">
        <f>IFERROR(Table410[[#This Row],[Sep_2027_Days_Forecast]]*Table410[[#This Row],[Cost Boolean]]*(VLOOKUP(Table410[[#This Row],[RATE CONCAT]],Tables!I:N,6,0)),0)</f>
        <v>0</v>
      </c>
      <c r="EM90" s="3"/>
      <c r="EN90" s="3">
        <f>Table410[[#This Row],[Sep_2027_F]]-Table410[[#This Row],[Sep_2027_A]]</f>
        <v>0</v>
      </c>
      <c r="EO90" s="3">
        <f>IFERROR(Table410[[#This Row],[Oct_2027_Days_Forecast]]*Table410[[#This Row],[Cost Boolean]]*(VLOOKUP(Table410[[#This Row],[RATE CONCAT]],Tables!I:N,6,0)),0)</f>
        <v>0</v>
      </c>
      <c r="EP90" s="3"/>
      <c r="EQ90" s="3">
        <f>Table410[[#This Row],[Oct_2027_F]]-Table410[[#This Row],[Oct_2027_A]]</f>
        <v>0</v>
      </c>
      <c r="ER90" s="3">
        <f>IFERROR(Table410[[#This Row],[Nov_2027_Days_Forecast]]*Table410[[#This Row],[Cost Boolean]]*(VLOOKUP(Table410[[#This Row],[RATE CONCAT]],Tables!I:N,6,0)),0)</f>
        <v>0</v>
      </c>
      <c r="ES90" s="3"/>
      <c r="ET90" s="3">
        <f>Table410[[#This Row],[Nov_2027_F]]-Table410[[#This Row],[Nov_2027_A]]</f>
        <v>0</v>
      </c>
      <c r="EU90" s="3">
        <f>IFERROR(Table410[[#This Row],[Dec_2027_Days_Forecast]]*Table410[[#This Row],[Cost Boolean]]*(VLOOKUP(Table410[[#This Row],[RATE CONCAT]],Tables!I:N,6,0)),0)</f>
        <v>0</v>
      </c>
      <c r="EV90" s="3"/>
      <c r="EW90" s="3">
        <f>Table410[[#This Row],[Dec_2027_F]]-Table410[[#This Row],[Dec_2027_A]]</f>
        <v>0</v>
      </c>
    </row>
    <row r="91" spans="1:153" ht="1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4" t="str">
        <f>CONCATENATE(Table410[[#This Row],[JG]],Table410[[#This Row],[Country]],Table410[[#This Row],[Resource Provider]])</f>
        <v/>
      </c>
      <c r="Z91" s="14">
        <f>VLOOKUP(Table410[[#This Row],[RATE CONCAT]],Tables!I:N,5,0)</f>
        <v>0</v>
      </c>
      <c r="AA91" s="123"/>
      <c r="AB91" s="130"/>
      <c r="AC91" s="130"/>
      <c r="AD91" s="130"/>
      <c r="AE91" s="130"/>
      <c r="AF91" s="130"/>
      <c r="AG91" s="130"/>
      <c r="AH91" s="130"/>
      <c r="AI91" s="130"/>
      <c r="AJ91" s="130"/>
      <c r="AK91" s="130"/>
      <c r="AL91" s="130"/>
      <c r="AM91" s="130"/>
      <c r="AN91" s="176">
        <f>IFERROR(AVERAGE(Table410[[#This Row],[Jan_2026_Days_Forecast]:[Dec_2026_Days_Forecast]]),0)/19</f>
        <v>0</v>
      </c>
      <c r="AO91" s="176">
        <f>IFERROR(AVERAGE(Table410[[#This Row],[Jan_2026_Days_Actual]:[Dec_2026_Days_Actual]]),0)/19</f>
        <v>0</v>
      </c>
      <c r="AP91" s="84"/>
      <c r="AQ91" s="84"/>
      <c r="AR91" s="84"/>
      <c r="AS91" s="84"/>
      <c r="AT91" s="84"/>
      <c r="AU91" s="84"/>
      <c r="AV91" s="84"/>
      <c r="AW91" s="84"/>
      <c r="AX91" s="84"/>
      <c r="AY91" s="84"/>
      <c r="AZ91" s="84"/>
      <c r="BA91" s="84"/>
      <c r="BB91" s="176">
        <f>IFERROR(AVERAGE(Table410[[#This Row],[Jan_2027_Days_Forecast]:[Dec_2027_Days_Forecast]]),0)</f>
        <v>0</v>
      </c>
      <c r="BC91" s="129"/>
      <c r="BD91" s="129"/>
      <c r="BE91" s="129"/>
      <c r="BF91" s="129"/>
      <c r="BG91" s="129"/>
      <c r="BH91" s="129"/>
      <c r="BI91" s="129"/>
      <c r="BJ91" s="129"/>
      <c r="BK91" s="129"/>
      <c r="BL91" s="129"/>
      <c r="BM91" s="129"/>
      <c r="BN91" s="129"/>
      <c r="BO91" s="176"/>
      <c r="BP91" s="176"/>
      <c r="BQ91" s="3">
        <f>IFERROR(Table410[[#This Row],[Jan_2026_Days_Forecast]]*Table410[[#This Row],[Cost Boolean]]*(VLOOKUP(Table410[[#This Row],[RATE CONCAT]],Tables!I:N,5,0)),0)</f>
        <v>0</v>
      </c>
      <c r="BR91" s="3">
        <f>IFERROR(Table410[[#This Row],[Jan_2026_Days_Actual]]*Table410[[#This Row],[Cost Boolean]]*(VLOOKUP(Table410[[#This Row],[RATE CONCAT]],Tables!I:N,5,0)),0)</f>
        <v>0</v>
      </c>
      <c r="BS91" s="13">
        <f>Table410[[#This Row],[Jan_2026_F]]-Table410[[#This Row],[Jan_2026_A]]</f>
        <v>0</v>
      </c>
      <c r="BT91" s="114"/>
      <c r="BU91" s="13">
        <f>IFERROR(Table410[[#This Row],[Feb_2026_Days_Forecast]]*Table410[[#This Row],[Cost Boolean]]*(VLOOKUP(Table410[[#This Row],[RATE CONCAT]],Tables!I:N,5,0)),0)</f>
        <v>0</v>
      </c>
      <c r="BV91" s="3">
        <f>IFERROR(Table410[[#This Row],[Feb_2026_Days_Actual]]*Table410[[#This Row],[Cost Boolean]]*(VLOOKUP(Table410[[#This Row],[RATE CONCAT]],Tables!I:N,5,0)),0)</f>
        <v>0</v>
      </c>
      <c r="BW91" s="13">
        <f>Table410[[#This Row],[Feb_2026_F]]-Table410[[#This Row],[Feb_2026_A]]</f>
        <v>0</v>
      </c>
      <c r="BX91" s="3"/>
      <c r="BY91" s="3">
        <f>IFERROR(Table410[[#This Row],[Mar_2026_Days_Forecast]]*Table410[[#This Row],[Cost Boolean]]*(VLOOKUP(Table410[[#This Row],[RATE CONCAT]],Tables!I:N,5,0)),0)</f>
        <v>0</v>
      </c>
      <c r="BZ91" s="3">
        <f>IFERROR(Table410[[#This Row],[Mar_2026_Days_Actual]]*Table410[[#This Row],[Cost Boolean]]*(VLOOKUP(Table410[[#This Row],[RATE CONCAT]],Tables!I:N,5,0)),0)</f>
        <v>0</v>
      </c>
      <c r="CA91" s="3">
        <f>Table410[[#This Row],[Mar_2026_F]]-Table410[[#This Row],[Mar_2026_A]]</f>
        <v>0</v>
      </c>
      <c r="CB91" s="103"/>
      <c r="CC91" s="3">
        <f>IFERROR(Table410[[#This Row],[Apr_2026_Days_Forecast]]*Table410[[#This Row],[Cost Boolean]]*(VLOOKUP(Table410[[#This Row],[RATE CONCAT]],Tables!I:N,5,0)),0)</f>
        <v>0</v>
      </c>
      <c r="CD91" s="3">
        <f>IFERROR(Table410[[#This Row],[Apr_2026_Days_Actual]]*Table410[[#This Row],[Cost Boolean]]*(VLOOKUP(Table410[[#This Row],[RATE CONCAT]],Tables!I:N,5,0)),0)</f>
        <v>0</v>
      </c>
      <c r="CE91" s="3">
        <f>Table410[[#This Row],[Apr_2026_F]]-Table410[[#This Row],[Apr_2026_A]]</f>
        <v>0</v>
      </c>
      <c r="CF91" s="103"/>
      <c r="CG91" s="3">
        <f>IFERROR(Table410[[#This Row],[May_2026_Days_Forecast]] *Table410[[#This Row],[Cost Boolean]]*(VLOOKUP(Table410[[#This Row],[RATE CONCAT]],Tables!I:N,5,0)),0)</f>
        <v>0</v>
      </c>
      <c r="CH91" s="3">
        <f>IFERROR(Table410[[#This Row],[May_2026_Days_Actual]]*Table410[[#This Row],[Cost Boolean]]*(VLOOKUP(Table410[[#This Row],[RATE CONCAT]],Tables!I:N,5,0)),0)</f>
        <v>0</v>
      </c>
      <c r="CI91" s="3">
        <f>Table410[[#This Row],[May_2026_F]]-Table410[[#This Row],[May_2026_A]]</f>
        <v>0</v>
      </c>
      <c r="CJ91" s="103"/>
      <c r="CK91" s="3">
        <f>IFERROR(Table410[[#This Row],[Jun_2026_Days_Forecast]]*Table410[[#This Row],[Cost Boolean]]*(VLOOKUP(Table410[[#This Row],[RATE CONCAT]],Tables!I:N,5,0)),0)</f>
        <v>0</v>
      </c>
      <c r="CL91" s="3">
        <f>IFERROR(Table410[[#This Row],[Jun_2026_Days_Actual]]*Table410[[#This Row],[Cost Boolean]]*(VLOOKUP(Table410[[#This Row],[RATE CONCAT]],Tables!I:N,5,0)),0)</f>
        <v>0</v>
      </c>
      <c r="CM91" s="3">
        <f>Table410[[#This Row],[Jun_2026_F]]-Table410[[#This Row],[Jun_2026_A]]</f>
        <v>0</v>
      </c>
      <c r="CN91" s="103"/>
      <c r="CO91" s="3">
        <f>IFERROR(Table410[[#This Row],[Jul_2026_Days_Forecast]]*Table410[[#This Row],[Cost Boolean]]*(VLOOKUP(Table410[[#This Row],[RATE CONCAT]],Tables!I:N,5,0)),0)</f>
        <v>0</v>
      </c>
      <c r="CP91" s="3">
        <f>IFERROR(Table410[[#This Row],[Jul_2026_Days_Actual]]*Table410[[#This Row],[Cost Boolean]]*(VLOOKUP(Table410[[#This Row],[RATE CONCAT]],Tables!I:N,5,0)),0)</f>
        <v>0</v>
      </c>
      <c r="CQ91" s="3">
        <f>Table410[[#This Row],[Jul_2026_F]]-Table410[[#This Row],[Jul_2026_A]]</f>
        <v>0</v>
      </c>
      <c r="CR91" s="103"/>
      <c r="CS91" s="3">
        <f>IFERROR(Table410[[#This Row],[Aug_2026_Days_Forecast]]*Table410[[#This Row],[Cost Boolean]]*(VLOOKUP(Table410[[#This Row],[RATE CONCAT]],Tables!I:N,5,0)),0)</f>
        <v>0</v>
      </c>
      <c r="CT91" s="3">
        <f>IFERROR(Table410[[#This Row],[Aug_2026_Days_Actual]]*Table410[[#This Row],[Cost Boolean]]*(VLOOKUP(Table410[[#This Row],[RATE CONCAT]],Tables!I:N,5,0)),0)</f>
        <v>0</v>
      </c>
      <c r="CU91" s="3">
        <f>Table410[[#This Row],[Aug_2026_F]]-Table410[[#This Row],[Aug_2026_A]]</f>
        <v>0</v>
      </c>
      <c r="CV91" s="103"/>
      <c r="CW91" s="3">
        <f>IFERROR(Table410[[#This Row],[Sep_2026_Days_Forecast]]*Table410[[#This Row],[Cost Boolean]]*(VLOOKUP(Table410[[#This Row],[RATE CONCAT]],Tables!I:N,5,0)),0)</f>
        <v>0</v>
      </c>
      <c r="CX91" s="3">
        <f>IFERROR(Table410[[#This Row],[Sep_2026_Days_Actual]]*Table410[[#This Row],[Cost Boolean]]*(VLOOKUP(Table410[[#This Row],[RATE CONCAT]],Tables!I:N,5,0)),0)</f>
        <v>0</v>
      </c>
      <c r="CY91" s="3">
        <f>Table410[[#This Row],[Sep_2026_F]]-Table410[[#This Row],[Sep_2026_A]]</f>
        <v>0</v>
      </c>
      <c r="CZ91" s="103"/>
      <c r="DA91" s="3">
        <f>IFERROR(Table410[[#This Row],[Oct_2026_Days_Forecast]]*Table410[[#This Row],[Cost Boolean]]*(VLOOKUP(Table410[[#This Row],[RATE CONCAT]],Tables!I:N,5,0)),0)</f>
        <v>0</v>
      </c>
      <c r="DB91" s="3">
        <f>IFERROR(Table410[[#This Row],[Oct_2026_Days_Actual]]*Table410[[#This Row],[Cost Boolean]]*(VLOOKUP(Table410[[#This Row],[RATE CONCAT]],Tables!I:N,5,0)),0)</f>
        <v>0</v>
      </c>
      <c r="DC91" s="3">
        <f>Table410[[#This Row],[Oct_2026_F]]-Table410[[#This Row],[Oct_2026_A]]</f>
        <v>0</v>
      </c>
      <c r="DD91" s="103"/>
      <c r="DE91" s="3">
        <f>IFERROR(Table410[[#This Row],[Nov_2026_Days_Forecast]]*Table410[[#This Row],[Cost Boolean]]*(VLOOKUP(Table410[[#This Row],[RATE CONCAT]],Tables!I:N,5,0)),0)</f>
        <v>0</v>
      </c>
      <c r="DF91" s="3">
        <f>IFERROR(Table410[[#This Row],[Nov_2026_Days_Actual]]*Table410[[#This Row],[Cost Boolean]]*(VLOOKUP(Table410[[#This Row],[RATE CONCAT]],Tables!I:N,5,0)),0)</f>
        <v>0</v>
      </c>
      <c r="DG91" s="3">
        <f>Table410[[#This Row],[Nov_2026_F]]-Table410[[#This Row],[Nov_2026_A]]</f>
        <v>0</v>
      </c>
      <c r="DH91" s="103"/>
      <c r="DI91" s="3">
        <f>IFERROR(Table410[[#This Row],[Dec_2026_Days_Forecast]]*Table410[[#This Row],[Cost Boolean]]*(VLOOKUP(Table410[[#This Row],[RATE CONCAT]],Tables!I:N,5,0)),0)</f>
        <v>0</v>
      </c>
      <c r="DJ91" s="3">
        <f>IFERROR(Table410[[#This Row],[Dec_2026_Days_Actual]]*Table410[[#This Row],[Cost Boolean]]*(VLOOKUP(Table410[[#This Row],[RATE CONCAT]],Tables!I:N,5,0)),0)</f>
        <v>0</v>
      </c>
      <c r="DK91" s="126">
        <f>Table410[[#This Row],[Dec_2026_F]]-Table410[[#This Row],[Dec_2026_A]]</f>
        <v>0</v>
      </c>
      <c r="DL91" s="103"/>
      <c r="DM91" s="60"/>
      <c r="DN91" s="3">
        <f>IFERROR(Table410[[#This Row],[Jan_2027_Days_Forecast]]*Table410[[#This Row],[Cost Boolean]]*(VLOOKUP(Table410[[#This Row],[RATE CONCAT]],Tables!I:N,6,0)),0)</f>
        <v>0</v>
      </c>
      <c r="DO91" s="3"/>
      <c r="DP91" s="3">
        <f>Table410[[#This Row],[Jan_2027_F]]-Table410[[#This Row],[Jan_2027_A]]</f>
        <v>0</v>
      </c>
      <c r="DQ91" s="3">
        <f>IFERROR(Table410[[#This Row],[Feb_2027_Days_Forecast]]*Table410[[#This Row],[Cost Boolean]]*(VLOOKUP(Table410[[#This Row],[RATE CONCAT]],Tables!I:N,6,0)),0)</f>
        <v>0</v>
      </c>
      <c r="DR91" s="3"/>
      <c r="DS91" s="3">
        <f>Table410[[#This Row],[Feb_2027_F]]-Table410[[#This Row],[Feb_2027_A]]</f>
        <v>0</v>
      </c>
      <c r="DT91" s="3">
        <f>IFERROR(Table410[[#This Row],[Mar_2027_Days_Forecast]]*Table410[[#This Row],[Cost Boolean]]*(VLOOKUP(Table410[[#This Row],[RATE CONCAT]],Tables!I:N,6,0)),0)</f>
        <v>0</v>
      </c>
      <c r="DU91" s="3"/>
      <c r="DV91" s="3">
        <f>Table410[[#This Row],[Mar_2027_F]]-Table410[[#This Row],[Mar_2027_A]]</f>
        <v>0</v>
      </c>
      <c r="DW91" s="3">
        <f>IFERROR(Table410[[#This Row],[Apr_2027_Days_Forecast]]*Table410[[#This Row],[Cost Boolean]]*(VLOOKUP(Table410[[#This Row],[RATE CONCAT]],Tables!I:N,6,0)),0)</f>
        <v>0</v>
      </c>
      <c r="DX91" s="3"/>
      <c r="DY91" s="3">
        <f>Table410[[#This Row],[Apr_2027_F]]-Table410[[#This Row],[Apr_2027_A]]</f>
        <v>0</v>
      </c>
      <c r="DZ91" s="3">
        <f>IFERROR(Table410[[#This Row],[May_2027_Days_Forecast]]*Table410[[#This Row],[Cost Boolean]]*(VLOOKUP(Table410[[#This Row],[RATE CONCAT]],Tables!I:N,6,0)),0)</f>
        <v>0</v>
      </c>
      <c r="EA91" s="3"/>
      <c r="EB91" s="3">
        <f>Table410[[#This Row],[May_2027_F]]-Table410[[#This Row],[May_2027_A]]</f>
        <v>0</v>
      </c>
      <c r="EC91" s="3">
        <f>IFERROR(Table410[[#This Row],[Jun_2027_Days_Forecast]]*Table410[[#This Row],[Cost Boolean]]*(VLOOKUP(Table410[[#This Row],[RATE CONCAT]],Tables!I:N,6,0)),0)</f>
        <v>0</v>
      </c>
      <c r="ED91" s="3"/>
      <c r="EE91" s="3">
        <f>Table410[[#This Row],[Jun_2027_F]]-Table410[[#This Row],[Jun_2027_A]]</f>
        <v>0</v>
      </c>
      <c r="EF91" s="3">
        <f>IFERROR(Table410[[#This Row],[Jul_2027_Days_Forecast]]*Table410[[#This Row],[Cost Boolean]]*(VLOOKUP(Table410[[#This Row],[RATE CONCAT]],Tables!I:N,6,0)),0)</f>
        <v>0</v>
      </c>
      <c r="EG91" s="3"/>
      <c r="EH91" s="3">
        <f>Table410[[#This Row],[Jul_2027_F]]-Table410[[#This Row],[Jul_2027_A]]</f>
        <v>0</v>
      </c>
      <c r="EI91" s="3">
        <f>IFERROR(Table410[[#This Row],[Aug_2027_Days_Forecast]]*Table410[[#This Row],[Cost Boolean]]*(VLOOKUP(Table410[[#This Row],[RATE CONCAT]],Tables!I:N,6,0)),0)</f>
        <v>0</v>
      </c>
      <c r="EJ91" s="3"/>
      <c r="EK91" s="3">
        <f>Table410[[#This Row],[Aug_2027_F]]-Table410[[#This Row],[Aug_2027_A]]</f>
        <v>0</v>
      </c>
      <c r="EL91" s="3">
        <f>IFERROR(Table410[[#This Row],[Sep_2027_Days_Forecast]]*Table410[[#This Row],[Cost Boolean]]*(VLOOKUP(Table410[[#This Row],[RATE CONCAT]],Tables!I:N,6,0)),0)</f>
        <v>0</v>
      </c>
      <c r="EM91" s="3"/>
      <c r="EN91" s="3">
        <f>Table410[[#This Row],[Sep_2027_F]]-Table410[[#This Row],[Sep_2027_A]]</f>
        <v>0</v>
      </c>
      <c r="EO91" s="3">
        <f>IFERROR(Table410[[#This Row],[Oct_2027_Days_Forecast]]*Table410[[#This Row],[Cost Boolean]]*(VLOOKUP(Table410[[#This Row],[RATE CONCAT]],Tables!I:N,6,0)),0)</f>
        <v>0</v>
      </c>
      <c r="EP91" s="3"/>
      <c r="EQ91" s="3">
        <f>Table410[[#This Row],[Oct_2027_F]]-Table410[[#This Row],[Oct_2027_A]]</f>
        <v>0</v>
      </c>
      <c r="ER91" s="3">
        <f>IFERROR(Table410[[#This Row],[Nov_2027_Days_Forecast]]*Table410[[#This Row],[Cost Boolean]]*(VLOOKUP(Table410[[#This Row],[RATE CONCAT]],Tables!I:N,6,0)),0)</f>
        <v>0</v>
      </c>
      <c r="ES91" s="3"/>
      <c r="ET91" s="3">
        <f>Table410[[#This Row],[Nov_2027_F]]-Table410[[#This Row],[Nov_2027_A]]</f>
        <v>0</v>
      </c>
      <c r="EU91" s="3">
        <f>IFERROR(Table410[[#This Row],[Dec_2027_Days_Forecast]]*Table410[[#This Row],[Cost Boolean]]*(VLOOKUP(Table410[[#This Row],[RATE CONCAT]],Tables!I:N,6,0)),0)</f>
        <v>0</v>
      </c>
      <c r="EV91" s="3"/>
      <c r="EW91" s="3">
        <f>Table410[[#This Row],[Dec_2027_F]]-Table410[[#This Row],[Dec_2027_A]]</f>
        <v>0</v>
      </c>
    </row>
    <row r="92" spans="1:153" ht="1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4" t="str">
        <f>CONCATENATE(Table410[[#This Row],[JG]],Table410[[#This Row],[Country]],Table410[[#This Row],[Resource Provider]])</f>
        <v/>
      </c>
      <c r="Z92" s="14">
        <f>VLOOKUP(Table410[[#This Row],[RATE CONCAT]],Tables!I:N,5,0)</f>
        <v>0</v>
      </c>
      <c r="AA92" s="123"/>
      <c r="AB92" s="127"/>
      <c r="AC92" s="127"/>
      <c r="AD92" s="127"/>
      <c r="AE92" s="130"/>
      <c r="AF92" s="130"/>
      <c r="AG92" s="130"/>
      <c r="AH92" s="130"/>
      <c r="AI92" s="130"/>
      <c r="AJ92" s="130"/>
      <c r="AK92" s="130"/>
      <c r="AL92" s="130"/>
      <c r="AM92" s="130"/>
      <c r="AN92" s="176">
        <f>IFERROR(AVERAGE(Table410[[#This Row],[Jan_2026_Days_Forecast]:[Dec_2026_Days_Forecast]]),0)/19</f>
        <v>0</v>
      </c>
      <c r="AO92" s="176">
        <f>IFERROR(AVERAGE(Table410[[#This Row],[Jan_2026_Days_Actual]:[Dec_2026_Days_Actual]]),0)/19</f>
        <v>0</v>
      </c>
      <c r="AP92" s="84"/>
      <c r="AQ92" s="84"/>
      <c r="AR92" s="84"/>
      <c r="AS92" s="84"/>
      <c r="AT92" s="84"/>
      <c r="AU92" s="84"/>
      <c r="AV92" s="84"/>
      <c r="AW92" s="84"/>
      <c r="AX92" s="84"/>
      <c r="AY92" s="84"/>
      <c r="AZ92" s="84"/>
      <c r="BA92" s="84"/>
      <c r="BB92" s="176">
        <f>IFERROR(AVERAGE(Table410[[#This Row],[Jan_2027_Days_Forecast]:[Dec_2027_Days_Forecast]]),0)</f>
        <v>0</v>
      </c>
      <c r="BC92" s="129"/>
      <c r="BD92" s="129"/>
      <c r="BE92" s="129"/>
      <c r="BF92" s="129"/>
      <c r="BG92" s="129"/>
      <c r="BH92" s="129"/>
      <c r="BI92" s="129"/>
      <c r="BJ92" s="129"/>
      <c r="BK92" s="129"/>
      <c r="BL92" s="129"/>
      <c r="BM92" s="129"/>
      <c r="BN92" s="129"/>
      <c r="BO92" s="176"/>
      <c r="BP92" s="176"/>
      <c r="BQ92" s="3">
        <f>IFERROR(Table410[[#This Row],[Jan_2026_Days_Forecast]]*Table410[[#This Row],[Cost Boolean]]*(VLOOKUP(Table410[[#This Row],[RATE CONCAT]],Tables!I:N,5,0)),0)</f>
        <v>0</v>
      </c>
      <c r="BR92" s="3">
        <f>IFERROR(Table410[[#This Row],[Jan_2026_Days_Actual]]*Table410[[#This Row],[Cost Boolean]]*(VLOOKUP(Table410[[#This Row],[RATE CONCAT]],Tables!I:N,5,0)),0)</f>
        <v>0</v>
      </c>
      <c r="BS92" s="13">
        <f>Table410[[#This Row],[Jan_2026_F]]-Table410[[#This Row],[Jan_2026_A]]</f>
        <v>0</v>
      </c>
      <c r="BT92" s="114"/>
      <c r="BU92" s="13">
        <f>IFERROR(Table410[[#This Row],[Feb_2026_Days_Forecast]]*Table410[[#This Row],[Cost Boolean]]*(VLOOKUP(Table410[[#This Row],[RATE CONCAT]],Tables!I:N,5,0)),0)</f>
        <v>0</v>
      </c>
      <c r="BV92" s="3">
        <f>IFERROR(Table410[[#This Row],[Feb_2026_Days_Actual]]*Table410[[#This Row],[Cost Boolean]]*(VLOOKUP(Table410[[#This Row],[RATE CONCAT]],Tables!I:N,5,0)),0)</f>
        <v>0</v>
      </c>
      <c r="BW92" s="13">
        <f>Table410[[#This Row],[Feb_2026_F]]-Table410[[#This Row],[Feb_2026_A]]</f>
        <v>0</v>
      </c>
      <c r="BX92" s="3"/>
      <c r="BY92" s="3">
        <f>IFERROR(Table410[[#This Row],[Mar_2026_Days_Forecast]]*Table410[[#This Row],[Cost Boolean]]*(VLOOKUP(Table410[[#This Row],[RATE CONCAT]],Tables!I:N,5,0)),0)</f>
        <v>0</v>
      </c>
      <c r="BZ92" s="3">
        <f>IFERROR(Table410[[#This Row],[Mar_2026_Days_Actual]]*Table410[[#This Row],[Cost Boolean]]*(VLOOKUP(Table410[[#This Row],[RATE CONCAT]],Tables!I:N,5,0)),0)</f>
        <v>0</v>
      </c>
      <c r="CA92" s="3">
        <f>Table410[[#This Row],[Mar_2026_F]]-Table410[[#This Row],[Mar_2026_A]]</f>
        <v>0</v>
      </c>
      <c r="CB92" s="103"/>
      <c r="CC92" s="3">
        <f>IFERROR(Table410[[#This Row],[Apr_2026_Days_Forecast]]*Table410[[#This Row],[Cost Boolean]]*(VLOOKUP(Table410[[#This Row],[RATE CONCAT]],Tables!I:N,5,0)),0)</f>
        <v>0</v>
      </c>
      <c r="CD92" s="3">
        <f>IFERROR(Table410[[#This Row],[Apr_2026_Days_Actual]]*Table410[[#This Row],[Cost Boolean]]*(VLOOKUP(Table410[[#This Row],[RATE CONCAT]],Tables!I:N,5,0)),0)</f>
        <v>0</v>
      </c>
      <c r="CE92" s="3">
        <f>Table410[[#This Row],[Apr_2026_F]]-Table410[[#This Row],[Apr_2026_A]]</f>
        <v>0</v>
      </c>
      <c r="CF92" s="103"/>
      <c r="CG92" s="3">
        <f>IFERROR(Table410[[#This Row],[May_2026_Days_Forecast]] *Table410[[#This Row],[Cost Boolean]]*(VLOOKUP(Table410[[#This Row],[RATE CONCAT]],Tables!I:N,5,0)),0)</f>
        <v>0</v>
      </c>
      <c r="CH92" s="3">
        <f>IFERROR(Table410[[#This Row],[May_2026_Days_Actual]]*Table410[[#This Row],[Cost Boolean]]*(VLOOKUP(Table410[[#This Row],[RATE CONCAT]],Tables!I:N,5,0)),0)</f>
        <v>0</v>
      </c>
      <c r="CI92" s="3">
        <f>Table410[[#This Row],[May_2026_F]]-Table410[[#This Row],[May_2026_A]]</f>
        <v>0</v>
      </c>
      <c r="CJ92" s="103"/>
      <c r="CK92" s="3">
        <f>IFERROR(Table410[[#This Row],[Jun_2026_Days_Forecast]]*Table410[[#This Row],[Cost Boolean]]*(VLOOKUP(Table410[[#This Row],[RATE CONCAT]],Tables!I:N,5,0)),0)</f>
        <v>0</v>
      </c>
      <c r="CL92" s="3">
        <f>IFERROR(Table410[[#This Row],[Jun_2026_Days_Actual]]*Table410[[#This Row],[Cost Boolean]]*(VLOOKUP(Table410[[#This Row],[RATE CONCAT]],Tables!I:N,5,0)),0)</f>
        <v>0</v>
      </c>
      <c r="CM92" s="3">
        <f>Table410[[#This Row],[Jun_2026_F]]-Table410[[#This Row],[Jun_2026_A]]</f>
        <v>0</v>
      </c>
      <c r="CN92" s="103"/>
      <c r="CO92" s="3">
        <f>IFERROR(Table410[[#This Row],[Jul_2026_Days_Forecast]]*Table410[[#This Row],[Cost Boolean]]*(VLOOKUP(Table410[[#This Row],[RATE CONCAT]],Tables!I:N,5,0)),0)</f>
        <v>0</v>
      </c>
      <c r="CP92" s="3">
        <f>IFERROR(Table410[[#This Row],[Jul_2026_Days_Actual]]*Table410[[#This Row],[Cost Boolean]]*(VLOOKUP(Table410[[#This Row],[RATE CONCAT]],Tables!I:N,5,0)),0)</f>
        <v>0</v>
      </c>
      <c r="CQ92" s="3">
        <f>Table410[[#This Row],[Jul_2026_F]]-Table410[[#This Row],[Jul_2026_A]]</f>
        <v>0</v>
      </c>
      <c r="CR92" s="103"/>
      <c r="CS92" s="3">
        <f>IFERROR(Table410[[#This Row],[Aug_2026_Days_Forecast]]*Table410[[#This Row],[Cost Boolean]]*(VLOOKUP(Table410[[#This Row],[RATE CONCAT]],Tables!I:N,5,0)),0)</f>
        <v>0</v>
      </c>
      <c r="CT92" s="3">
        <f>IFERROR(Table410[[#This Row],[Aug_2026_Days_Actual]]*Table410[[#This Row],[Cost Boolean]]*(VLOOKUP(Table410[[#This Row],[RATE CONCAT]],Tables!I:N,5,0)),0)</f>
        <v>0</v>
      </c>
      <c r="CU92" s="3">
        <f>Table410[[#This Row],[Aug_2026_F]]-Table410[[#This Row],[Aug_2026_A]]</f>
        <v>0</v>
      </c>
      <c r="CV92" s="103"/>
      <c r="CW92" s="3">
        <f>IFERROR(Table410[[#This Row],[Sep_2026_Days_Forecast]]*Table410[[#This Row],[Cost Boolean]]*(VLOOKUP(Table410[[#This Row],[RATE CONCAT]],Tables!I:N,5,0)),0)</f>
        <v>0</v>
      </c>
      <c r="CX92" s="3">
        <f>IFERROR(Table410[[#This Row],[Sep_2026_Days_Actual]]*Table410[[#This Row],[Cost Boolean]]*(VLOOKUP(Table410[[#This Row],[RATE CONCAT]],Tables!I:N,5,0)),0)</f>
        <v>0</v>
      </c>
      <c r="CY92" s="3">
        <f>Table410[[#This Row],[Sep_2026_F]]-Table410[[#This Row],[Sep_2026_A]]</f>
        <v>0</v>
      </c>
      <c r="CZ92" s="103"/>
      <c r="DA92" s="3">
        <f>IFERROR(Table410[[#This Row],[Oct_2026_Days_Forecast]]*Table410[[#This Row],[Cost Boolean]]*(VLOOKUP(Table410[[#This Row],[RATE CONCAT]],Tables!I:N,5,0)),0)</f>
        <v>0</v>
      </c>
      <c r="DB92" s="3">
        <f>IFERROR(Table410[[#This Row],[Oct_2026_Days_Actual]]*Table410[[#This Row],[Cost Boolean]]*(VLOOKUP(Table410[[#This Row],[RATE CONCAT]],Tables!I:N,5,0)),0)</f>
        <v>0</v>
      </c>
      <c r="DC92" s="3">
        <f>Table410[[#This Row],[Oct_2026_F]]-Table410[[#This Row],[Oct_2026_A]]</f>
        <v>0</v>
      </c>
      <c r="DD92" s="103"/>
      <c r="DE92" s="3">
        <f>IFERROR(Table410[[#This Row],[Nov_2026_Days_Forecast]]*Table410[[#This Row],[Cost Boolean]]*(VLOOKUP(Table410[[#This Row],[RATE CONCAT]],Tables!I:N,5,0)),0)</f>
        <v>0</v>
      </c>
      <c r="DF92" s="3">
        <f>IFERROR(Table410[[#This Row],[Nov_2026_Days_Actual]]*Table410[[#This Row],[Cost Boolean]]*(VLOOKUP(Table410[[#This Row],[RATE CONCAT]],Tables!I:N,5,0)),0)</f>
        <v>0</v>
      </c>
      <c r="DG92" s="3">
        <f>Table410[[#This Row],[Nov_2026_F]]-Table410[[#This Row],[Nov_2026_A]]</f>
        <v>0</v>
      </c>
      <c r="DH92" s="103"/>
      <c r="DI92" s="3">
        <f>IFERROR(Table410[[#This Row],[Dec_2026_Days_Forecast]]*Table410[[#This Row],[Cost Boolean]]*(VLOOKUP(Table410[[#This Row],[RATE CONCAT]],Tables!I:N,5,0)),0)</f>
        <v>0</v>
      </c>
      <c r="DJ92" s="3">
        <f>IFERROR(Table410[[#This Row],[Dec_2026_Days_Actual]]*Table410[[#This Row],[Cost Boolean]]*(VLOOKUP(Table410[[#This Row],[RATE CONCAT]],Tables!I:N,5,0)),0)</f>
        <v>0</v>
      </c>
      <c r="DK92" s="126">
        <f>Table410[[#This Row],[Dec_2026_F]]-Table410[[#This Row],[Dec_2026_A]]</f>
        <v>0</v>
      </c>
      <c r="DL92" s="103"/>
      <c r="DM92" s="60"/>
      <c r="DN92" s="3">
        <f>IFERROR(Table410[[#This Row],[Jan_2027_Days_Forecast]]*Table410[[#This Row],[Cost Boolean]]*(VLOOKUP(Table410[[#This Row],[RATE CONCAT]],Tables!I:N,6,0)),0)</f>
        <v>0</v>
      </c>
      <c r="DO92" s="3"/>
      <c r="DP92" s="3">
        <f>Table410[[#This Row],[Jan_2027_F]]-Table410[[#This Row],[Jan_2027_A]]</f>
        <v>0</v>
      </c>
      <c r="DQ92" s="3">
        <f>IFERROR(Table410[[#This Row],[Feb_2027_Days_Forecast]]*Table410[[#This Row],[Cost Boolean]]*(VLOOKUP(Table410[[#This Row],[RATE CONCAT]],Tables!I:N,6,0)),0)</f>
        <v>0</v>
      </c>
      <c r="DR92" s="3"/>
      <c r="DS92" s="3">
        <f>Table410[[#This Row],[Feb_2027_F]]-Table410[[#This Row],[Feb_2027_A]]</f>
        <v>0</v>
      </c>
      <c r="DT92" s="3">
        <f>IFERROR(Table410[[#This Row],[Mar_2027_Days_Forecast]]*Table410[[#This Row],[Cost Boolean]]*(VLOOKUP(Table410[[#This Row],[RATE CONCAT]],Tables!I:N,6,0)),0)</f>
        <v>0</v>
      </c>
      <c r="DU92" s="3"/>
      <c r="DV92" s="3">
        <f>Table410[[#This Row],[Mar_2027_F]]-Table410[[#This Row],[Mar_2027_A]]</f>
        <v>0</v>
      </c>
      <c r="DW92" s="3">
        <f>IFERROR(Table410[[#This Row],[Apr_2027_Days_Forecast]]*Table410[[#This Row],[Cost Boolean]]*(VLOOKUP(Table410[[#This Row],[RATE CONCAT]],Tables!I:N,6,0)),0)</f>
        <v>0</v>
      </c>
      <c r="DX92" s="3"/>
      <c r="DY92" s="3">
        <f>Table410[[#This Row],[Apr_2027_F]]-Table410[[#This Row],[Apr_2027_A]]</f>
        <v>0</v>
      </c>
      <c r="DZ92" s="3">
        <f>IFERROR(Table410[[#This Row],[May_2027_Days_Forecast]]*Table410[[#This Row],[Cost Boolean]]*(VLOOKUP(Table410[[#This Row],[RATE CONCAT]],Tables!I:N,6,0)),0)</f>
        <v>0</v>
      </c>
      <c r="EA92" s="3"/>
      <c r="EB92" s="3">
        <f>Table410[[#This Row],[May_2027_F]]-Table410[[#This Row],[May_2027_A]]</f>
        <v>0</v>
      </c>
      <c r="EC92" s="3">
        <f>IFERROR(Table410[[#This Row],[Jun_2027_Days_Forecast]]*Table410[[#This Row],[Cost Boolean]]*(VLOOKUP(Table410[[#This Row],[RATE CONCAT]],Tables!I:N,6,0)),0)</f>
        <v>0</v>
      </c>
      <c r="ED92" s="3"/>
      <c r="EE92" s="3">
        <f>Table410[[#This Row],[Jun_2027_F]]-Table410[[#This Row],[Jun_2027_A]]</f>
        <v>0</v>
      </c>
      <c r="EF92" s="3">
        <f>IFERROR(Table410[[#This Row],[Jul_2027_Days_Forecast]]*Table410[[#This Row],[Cost Boolean]]*(VLOOKUP(Table410[[#This Row],[RATE CONCAT]],Tables!I:N,6,0)),0)</f>
        <v>0</v>
      </c>
      <c r="EG92" s="3"/>
      <c r="EH92" s="3">
        <f>Table410[[#This Row],[Jul_2027_F]]-Table410[[#This Row],[Jul_2027_A]]</f>
        <v>0</v>
      </c>
      <c r="EI92" s="3">
        <f>IFERROR(Table410[[#This Row],[Aug_2027_Days_Forecast]]*Table410[[#This Row],[Cost Boolean]]*(VLOOKUP(Table410[[#This Row],[RATE CONCAT]],Tables!I:N,6,0)),0)</f>
        <v>0</v>
      </c>
      <c r="EJ92" s="3"/>
      <c r="EK92" s="3">
        <f>Table410[[#This Row],[Aug_2027_F]]-Table410[[#This Row],[Aug_2027_A]]</f>
        <v>0</v>
      </c>
      <c r="EL92" s="3">
        <f>IFERROR(Table410[[#This Row],[Sep_2027_Days_Forecast]]*Table410[[#This Row],[Cost Boolean]]*(VLOOKUP(Table410[[#This Row],[RATE CONCAT]],Tables!I:N,6,0)),0)</f>
        <v>0</v>
      </c>
      <c r="EM92" s="3"/>
      <c r="EN92" s="3">
        <f>Table410[[#This Row],[Sep_2027_F]]-Table410[[#This Row],[Sep_2027_A]]</f>
        <v>0</v>
      </c>
      <c r="EO92" s="3">
        <f>IFERROR(Table410[[#This Row],[Oct_2027_Days_Forecast]]*Table410[[#This Row],[Cost Boolean]]*(VLOOKUP(Table410[[#This Row],[RATE CONCAT]],Tables!I:N,6,0)),0)</f>
        <v>0</v>
      </c>
      <c r="EP92" s="3"/>
      <c r="EQ92" s="3">
        <f>Table410[[#This Row],[Oct_2027_F]]-Table410[[#This Row],[Oct_2027_A]]</f>
        <v>0</v>
      </c>
      <c r="ER92" s="3">
        <f>IFERROR(Table410[[#This Row],[Nov_2027_Days_Forecast]]*Table410[[#This Row],[Cost Boolean]]*(VLOOKUP(Table410[[#This Row],[RATE CONCAT]],Tables!I:N,6,0)),0)</f>
        <v>0</v>
      </c>
      <c r="ES92" s="3"/>
      <c r="ET92" s="3">
        <f>Table410[[#This Row],[Nov_2027_F]]-Table410[[#This Row],[Nov_2027_A]]</f>
        <v>0</v>
      </c>
      <c r="EU92" s="3">
        <f>IFERROR(Table410[[#This Row],[Dec_2027_Days_Forecast]]*Table410[[#This Row],[Cost Boolean]]*(VLOOKUP(Table410[[#This Row],[RATE CONCAT]],Tables!I:N,6,0)),0)</f>
        <v>0</v>
      </c>
      <c r="EV92" s="3"/>
      <c r="EW92" s="3">
        <f>Table410[[#This Row],[Dec_2027_F]]-Table410[[#This Row],[Dec_2027_A]]</f>
        <v>0</v>
      </c>
    </row>
    <row r="93" spans="1:153" ht="1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4" t="str">
        <f>CONCATENATE(Table410[[#This Row],[JG]],Table410[[#This Row],[Country]],Table410[[#This Row],[Resource Provider]])</f>
        <v/>
      </c>
      <c r="Z93" s="14">
        <f>VLOOKUP(Table410[[#This Row],[RATE CONCAT]],Tables!I:N,5,0)</f>
        <v>0</v>
      </c>
      <c r="AA93" s="123"/>
      <c r="AB93" s="127"/>
      <c r="AC93" s="127"/>
      <c r="AD93" s="127"/>
      <c r="AE93" s="130"/>
      <c r="AF93" s="130"/>
      <c r="AG93" s="130"/>
      <c r="AH93" s="130"/>
      <c r="AI93" s="130"/>
      <c r="AJ93" s="130"/>
      <c r="AK93" s="130"/>
      <c r="AL93" s="130"/>
      <c r="AM93" s="130"/>
      <c r="AN93" s="176">
        <f>IFERROR(AVERAGE(Table410[[#This Row],[Jan_2026_Days_Forecast]:[Dec_2026_Days_Forecast]]),0)/19</f>
        <v>0</v>
      </c>
      <c r="AO93" s="176">
        <f>IFERROR(AVERAGE(Table410[[#This Row],[Jan_2026_Days_Actual]:[Dec_2026_Days_Actual]]),0)/19</f>
        <v>0</v>
      </c>
      <c r="AP93" s="84"/>
      <c r="AQ93" s="84"/>
      <c r="AR93" s="84"/>
      <c r="AS93" s="84"/>
      <c r="AT93" s="84"/>
      <c r="AU93" s="84"/>
      <c r="AV93" s="84"/>
      <c r="AW93" s="84"/>
      <c r="AX93" s="84"/>
      <c r="AY93" s="84"/>
      <c r="AZ93" s="84"/>
      <c r="BA93" s="84"/>
      <c r="BB93" s="176">
        <f>IFERROR(AVERAGE(Table410[[#This Row],[Jan_2027_Days_Forecast]:[Dec_2027_Days_Forecast]]),0)</f>
        <v>0</v>
      </c>
      <c r="BC93" s="129"/>
      <c r="BD93" s="129"/>
      <c r="BE93" s="129"/>
      <c r="BF93" s="129"/>
      <c r="BG93" s="129"/>
      <c r="BH93" s="129"/>
      <c r="BI93" s="129"/>
      <c r="BJ93" s="129"/>
      <c r="BK93" s="129"/>
      <c r="BL93" s="129"/>
      <c r="BM93" s="129"/>
      <c r="BN93" s="129"/>
      <c r="BO93" s="176"/>
      <c r="BP93" s="176"/>
      <c r="BQ93" s="3">
        <f>IFERROR(Table410[[#This Row],[Jan_2026_Days_Forecast]]*Table410[[#This Row],[Cost Boolean]]*(VLOOKUP(Table410[[#This Row],[RATE CONCAT]],Tables!I:N,5,0)),0)</f>
        <v>0</v>
      </c>
      <c r="BR93" s="3">
        <f>IFERROR(Table410[[#This Row],[Jan_2026_Days_Actual]]*Table410[[#This Row],[Cost Boolean]]*(VLOOKUP(Table410[[#This Row],[RATE CONCAT]],Tables!I:N,5,0)),0)</f>
        <v>0</v>
      </c>
      <c r="BS93" s="13">
        <f>Table410[[#This Row],[Jan_2026_F]]-Table410[[#This Row],[Jan_2026_A]]</f>
        <v>0</v>
      </c>
      <c r="BT93" s="114"/>
      <c r="BU93" s="13">
        <f>IFERROR(Table410[[#This Row],[Feb_2026_Days_Forecast]]*Table410[[#This Row],[Cost Boolean]]*(VLOOKUP(Table410[[#This Row],[RATE CONCAT]],Tables!I:N,5,0)),0)</f>
        <v>0</v>
      </c>
      <c r="BV93" s="3">
        <f>IFERROR(Table410[[#This Row],[Feb_2026_Days_Actual]]*Table410[[#This Row],[Cost Boolean]]*(VLOOKUP(Table410[[#This Row],[RATE CONCAT]],Tables!I:N,5,0)),0)</f>
        <v>0</v>
      </c>
      <c r="BW93" s="13">
        <f>Table410[[#This Row],[Feb_2026_F]]-Table410[[#This Row],[Feb_2026_A]]</f>
        <v>0</v>
      </c>
      <c r="BX93" s="3"/>
      <c r="BY93" s="3">
        <f>IFERROR(Table410[[#This Row],[Mar_2026_Days_Forecast]]*Table410[[#This Row],[Cost Boolean]]*(VLOOKUP(Table410[[#This Row],[RATE CONCAT]],Tables!I:N,5,0)),0)</f>
        <v>0</v>
      </c>
      <c r="BZ93" s="3">
        <f>IFERROR(Table410[[#This Row],[Mar_2026_Days_Actual]]*Table410[[#This Row],[Cost Boolean]]*(VLOOKUP(Table410[[#This Row],[RATE CONCAT]],Tables!I:N,5,0)),0)</f>
        <v>0</v>
      </c>
      <c r="CA93" s="3">
        <f>Table410[[#This Row],[Mar_2026_F]]-Table410[[#This Row],[Mar_2026_A]]</f>
        <v>0</v>
      </c>
      <c r="CB93" s="103"/>
      <c r="CC93" s="3">
        <f>IFERROR(Table410[[#This Row],[Apr_2026_Days_Forecast]]*Table410[[#This Row],[Cost Boolean]]*(VLOOKUP(Table410[[#This Row],[RATE CONCAT]],Tables!I:N,5,0)),0)</f>
        <v>0</v>
      </c>
      <c r="CD93" s="3">
        <f>IFERROR(Table410[[#This Row],[Apr_2026_Days_Actual]]*Table410[[#This Row],[Cost Boolean]]*(VLOOKUP(Table410[[#This Row],[RATE CONCAT]],Tables!I:N,5,0)),0)</f>
        <v>0</v>
      </c>
      <c r="CE93" s="3">
        <f>Table410[[#This Row],[Apr_2026_F]]-Table410[[#This Row],[Apr_2026_A]]</f>
        <v>0</v>
      </c>
      <c r="CF93" s="103"/>
      <c r="CG93" s="3">
        <f>IFERROR(Table410[[#This Row],[May_2026_Days_Forecast]] *Table410[[#This Row],[Cost Boolean]]*(VLOOKUP(Table410[[#This Row],[RATE CONCAT]],Tables!I:N,5,0)),0)</f>
        <v>0</v>
      </c>
      <c r="CH93" s="3">
        <f>IFERROR(Table410[[#This Row],[May_2026_Days_Actual]]*Table410[[#This Row],[Cost Boolean]]*(VLOOKUP(Table410[[#This Row],[RATE CONCAT]],Tables!I:N,5,0)),0)</f>
        <v>0</v>
      </c>
      <c r="CI93" s="3">
        <f>Table410[[#This Row],[May_2026_F]]-Table410[[#This Row],[May_2026_A]]</f>
        <v>0</v>
      </c>
      <c r="CJ93" s="103"/>
      <c r="CK93" s="3">
        <f>IFERROR(Table410[[#This Row],[Jun_2026_Days_Forecast]]*Table410[[#This Row],[Cost Boolean]]*(VLOOKUP(Table410[[#This Row],[RATE CONCAT]],Tables!I:N,5,0)),0)</f>
        <v>0</v>
      </c>
      <c r="CL93" s="3">
        <f>IFERROR(Table410[[#This Row],[Jun_2026_Days_Actual]]*Table410[[#This Row],[Cost Boolean]]*(VLOOKUP(Table410[[#This Row],[RATE CONCAT]],Tables!I:N,5,0)),0)</f>
        <v>0</v>
      </c>
      <c r="CM93" s="3">
        <f>Table410[[#This Row],[Jun_2026_F]]-Table410[[#This Row],[Jun_2026_A]]</f>
        <v>0</v>
      </c>
      <c r="CN93" s="103"/>
      <c r="CO93" s="3">
        <f>IFERROR(Table410[[#This Row],[Jul_2026_Days_Forecast]]*Table410[[#This Row],[Cost Boolean]]*(VLOOKUP(Table410[[#This Row],[RATE CONCAT]],Tables!I:N,5,0)),0)</f>
        <v>0</v>
      </c>
      <c r="CP93" s="3">
        <f>IFERROR(Table410[[#This Row],[Jul_2026_Days_Actual]]*Table410[[#This Row],[Cost Boolean]]*(VLOOKUP(Table410[[#This Row],[RATE CONCAT]],Tables!I:N,5,0)),0)</f>
        <v>0</v>
      </c>
      <c r="CQ93" s="3">
        <f>Table410[[#This Row],[Jul_2026_F]]-Table410[[#This Row],[Jul_2026_A]]</f>
        <v>0</v>
      </c>
      <c r="CR93" s="103"/>
      <c r="CS93" s="3">
        <f>IFERROR(Table410[[#This Row],[Aug_2026_Days_Forecast]]*Table410[[#This Row],[Cost Boolean]]*(VLOOKUP(Table410[[#This Row],[RATE CONCAT]],Tables!I:N,5,0)),0)</f>
        <v>0</v>
      </c>
      <c r="CT93" s="3">
        <f>IFERROR(Table410[[#This Row],[Aug_2026_Days_Actual]]*Table410[[#This Row],[Cost Boolean]]*(VLOOKUP(Table410[[#This Row],[RATE CONCAT]],Tables!I:N,5,0)),0)</f>
        <v>0</v>
      </c>
      <c r="CU93" s="3">
        <f>Table410[[#This Row],[Aug_2026_F]]-Table410[[#This Row],[Aug_2026_A]]</f>
        <v>0</v>
      </c>
      <c r="CV93" s="103"/>
      <c r="CW93" s="3">
        <f>IFERROR(Table410[[#This Row],[Sep_2026_Days_Forecast]]*Table410[[#This Row],[Cost Boolean]]*(VLOOKUP(Table410[[#This Row],[RATE CONCAT]],Tables!I:N,5,0)),0)</f>
        <v>0</v>
      </c>
      <c r="CX93" s="3">
        <f>IFERROR(Table410[[#This Row],[Sep_2026_Days_Actual]]*Table410[[#This Row],[Cost Boolean]]*(VLOOKUP(Table410[[#This Row],[RATE CONCAT]],Tables!I:N,5,0)),0)</f>
        <v>0</v>
      </c>
      <c r="CY93" s="3">
        <f>Table410[[#This Row],[Sep_2026_F]]-Table410[[#This Row],[Sep_2026_A]]</f>
        <v>0</v>
      </c>
      <c r="CZ93" s="103"/>
      <c r="DA93" s="3">
        <f>IFERROR(Table410[[#This Row],[Oct_2026_Days_Forecast]]*Table410[[#This Row],[Cost Boolean]]*(VLOOKUP(Table410[[#This Row],[RATE CONCAT]],Tables!I:N,5,0)),0)</f>
        <v>0</v>
      </c>
      <c r="DB93" s="3">
        <f>IFERROR(Table410[[#This Row],[Oct_2026_Days_Actual]]*Table410[[#This Row],[Cost Boolean]]*(VLOOKUP(Table410[[#This Row],[RATE CONCAT]],Tables!I:N,5,0)),0)</f>
        <v>0</v>
      </c>
      <c r="DC93" s="3">
        <f>Table410[[#This Row],[Oct_2026_F]]-Table410[[#This Row],[Oct_2026_A]]</f>
        <v>0</v>
      </c>
      <c r="DD93" s="103"/>
      <c r="DE93" s="3">
        <f>IFERROR(Table410[[#This Row],[Nov_2026_Days_Forecast]]*Table410[[#This Row],[Cost Boolean]]*(VLOOKUP(Table410[[#This Row],[RATE CONCAT]],Tables!I:N,5,0)),0)</f>
        <v>0</v>
      </c>
      <c r="DF93" s="3">
        <f>IFERROR(Table410[[#This Row],[Nov_2026_Days_Actual]]*Table410[[#This Row],[Cost Boolean]]*(VLOOKUP(Table410[[#This Row],[RATE CONCAT]],Tables!I:N,5,0)),0)</f>
        <v>0</v>
      </c>
      <c r="DG93" s="3">
        <f>Table410[[#This Row],[Nov_2026_F]]-Table410[[#This Row],[Nov_2026_A]]</f>
        <v>0</v>
      </c>
      <c r="DH93" s="103"/>
      <c r="DI93" s="3">
        <f>IFERROR(Table410[[#This Row],[Dec_2026_Days_Forecast]]*Table410[[#This Row],[Cost Boolean]]*(VLOOKUP(Table410[[#This Row],[RATE CONCAT]],Tables!I:N,5,0)),0)</f>
        <v>0</v>
      </c>
      <c r="DJ93" s="3">
        <f>IFERROR(Table410[[#This Row],[Dec_2026_Days_Actual]]*Table410[[#This Row],[Cost Boolean]]*(VLOOKUP(Table410[[#This Row],[RATE CONCAT]],Tables!I:N,5,0)),0)</f>
        <v>0</v>
      </c>
      <c r="DK93" s="126">
        <f>Table410[[#This Row],[Dec_2026_F]]-Table410[[#This Row],[Dec_2026_A]]</f>
        <v>0</v>
      </c>
      <c r="DL93" s="103"/>
      <c r="DM93" s="60"/>
      <c r="DN93" s="3">
        <f>IFERROR(Table410[[#This Row],[Jan_2027_Days_Forecast]]*Table410[[#This Row],[Cost Boolean]]*(VLOOKUP(Table410[[#This Row],[RATE CONCAT]],Tables!I:N,6,0)),0)</f>
        <v>0</v>
      </c>
      <c r="DO93" s="3"/>
      <c r="DP93" s="3">
        <f>Table410[[#This Row],[Jan_2027_F]]-Table410[[#This Row],[Jan_2027_A]]</f>
        <v>0</v>
      </c>
      <c r="DQ93" s="3">
        <f>IFERROR(Table410[[#This Row],[Feb_2027_Days_Forecast]]*Table410[[#This Row],[Cost Boolean]]*(VLOOKUP(Table410[[#This Row],[RATE CONCAT]],Tables!I:N,6,0)),0)</f>
        <v>0</v>
      </c>
      <c r="DR93" s="3"/>
      <c r="DS93" s="3">
        <f>Table410[[#This Row],[Feb_2027_F]]-Table410[[#This Row],[Feb_2027_A]]</f>
        <v>0</v>
      </c>
      <c r="DT93" s="3">
        <f>IFERROR(Table410[[#This Row],[Mar_2027_Days_Forecast]]*Table410[[#This Row],[Cost Boolean]]*(VLOOKUP(Table410[[#This Row],[RATE CONCAT]],Tables!I:N,6,0)),0)</f>
        <v>0</v>
      </c>
      <c r="DU93" s="3"/>
      <c r="DV93" s="3">
        <f>Table410[[#This Row],[Mar_2027_F]]-Table410[[#This Row],[Mar_2027_A]]</f>
        <v>0</v>
      </c>
      <c r="DW93" s="3">
        <f>IFERROR(Table410[[#This Row],[Apr_2027_Days_Forecast]]*Table410[[#This Row],[Cost Boolean]]*(VLOOKUP(Table410[[#This Row],[RATE CONCAT]],Tables!I:N,6,0)),0)</f>
        <v>0</v>
      </c>
      <c r="DX93" s="3"/>
      <c r="DY93" s="3">
        <f>Table410[[#This Row],[Apr_2027_F]]-Table410[[#This Row],[Apr_2027_A]]</f>
        <v>0</v>
      </c>
      <c r="DZ93" s="3">
        <f>IFERROR(Table410[[#This Row],[May_2027_Days_Forecast]]*Table410[[#This Row],[Cost Boolean]]*(VLOOKUP(Table410[[#This Row],[RATE CONCAT]],Tables!I:N,6,0)),0)</f>
        <v>0</v>
      </c>
      <c r="EA93" s="3"/>
      <c r="EB93" s="3">
        <f>Table410[[#This Row],[May_2027_F]]-Table410[[#This Row],[May_2027_A]]</f>
        <v>0</v>
      </c>
      <c r="EC93" s="3">
        <f>IFERROR(Table410[[#This Row],[Jun_2027_Days_Forecast]]*Table410[[#This Row],[Cost Boolean]]*(VLOOKUP(Table410[[#This Row],[RATE CONCAT]],Tables!I:N,6,0)),0)</f>
        <v>0</v>
      </c>
      <c r="ED93" s="3"/>
      <c r="EE93" s="3">
        <f>Table410[[#This Row],[Jun_2027_F]]-Table410[[#This Row],[Jun_2027_A]]</f>
        <v>0</v>
      </c>
      <c r="EF93" s="3">
        <f>IFERROR(Table410[[#This Row],[Jul_2027_Days_Forecast]]*Table410[[#This Row],[Cost Boolean]]*(VLOOKUP(Table410[[#This Row],[RATE CONCAT]],Tables!I:N,6,0)),0)</f>
        <v>0</v>
      </c>
      <c r="EG93" s="3"/>
      <c r="EH93" s="3">
        <f>Table410[[#This Row],[Jul_2027_F]]-Table410[[#This Row],[Jul_2027_A]]</f>
        <v>0</v>
      </c>
      <c r="EI93" s="3">
        <f>IFERROR(Table410[[#This Row],[Aug_2027_Days_Forecast]]*Table410[[#This Row],[Cost Boolean]]*(VLOOKUP(Table410[[#This Row],[RATE CONCAT]],Tables!I:N,6,0)),0)</f>
        <v>0</v>
      </c>
      <c r="EJ93" s="3"/>
      <c r="EK93" s="3">
        <f>Table410[[#This Row],[Aug_2027_F]]-Table410[[#This Row],[Aug_2027_A]]</f>
        <v>0</v>
      </c>
      <c r="EL93" s="3">
        <f>IFERROR(Table410[[#This Row],[Sep_2027_Days_Forecast]]*Table410[[#This Row],[Cost Boolean]]*(VLOOKUP(Table410[[#This Row],[RATE CONCAT]],Tables!I:N,6,0)),0)</f>
        <v>0</v>
      </c>
      <c r="EM93" s="3"/>
      <c r="EN93" s="3">
        <f>Table410[[#This Row],[Sep_2027_F]]-Table410[[#This Row],[Sep_2027_A]]</f>
        <v>0</v>
      </c>
      <c r="EO93" s="3">
        <f>IFERROR(Table410[[#This Row],[Oct_2027_Days_Forecast]]*Table410[[#This Row],[Cost Boolean]]*(VLOOKUP(Table410[[#This Row],[RATE CONCAT]],Tables!I:N,6,0)),0)</f>
        <v>0</v>
      </c>
      <c r="EP93" s="3"/>
      <c r="EQ93" s="3">
        <f>Table410[[#This Row],[Oct_2027_F]]-Table410[[#This Row],[Oct_2027_A]]</f>
        <v>0</v>
      </c>
      <c r="ER93" s="3">
        <f>IFERROR(Table410[[#This Row],[Nov_2027_Days_Forecast]]*Table410[[#This Row],[Cost Boolean]]*(VLOOKUP(Table410[[#This Row],[RATE CONCAT]],Tables!I:N,6,0)),0)</f>
        <v>0</v>
      </c>
      <c r="ES93" s="3"/>
      <c r="ET93" s="3">
        <f>Table410[[#This Row],[Nov_2027_F]]-Table410[[#This Row],[Nov_2027_A]]</f>
        <v>0</v>
      </c>
      <c r="EU93" s="3">
        <f>IFERROR(Table410[[#This Row],[Dec_2027_Days_Forecast]]*Table410[[#This Row],[Cost Boolean]]*(VLOOKUP(Table410[[#This Row],[RATE CONCAT]],Tables!I:N,6,0)),0)</f>
        <v>0</v>
      </c>
      <c r="EV93" s="3"/>
      <c r="EW93" s="3">
        <f>Table410[[#This Row],[Dec_2027_F]]-Table410[[#This Row],[Dec_2027_A]]</f>
        <v>0</v>
      </c>
    </row>
    <row r="94" spans="1:153" ht="1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4" t="str">
        <f>CONCATENATE(Table410[[#This Row],[JG]],Table410[[#This Row],[Country]],Table410[[#This Row],[Resource Provider]])</f>
        <v/>
      </c>
      <c r="Z94" s="14">
        <f>VLOOKUP(Table410[[#This Row],[RATE CONCAT]],Tables!I:N,5,0)</f>
        <v>0</v>
      </c>
      <c r="AA94" s="123"/>
      <c r="AB94" s="130"/>
      <c r="AC94" s="130"/>
      <c r="AD94" s="130"/>
      <c r="AE94" s="130"/>
      <c r="AF94" s="130"/>
      <c r="AG94" s="130"/>
      <c r="AH94" s="130"/>
      <c r="AI94" s="130"/>
      <c r="AJ94" s="130"/>
      <c r="AK94" s="130"/>
      <c r="AL94" s="130"/>
      <c r="AM94" s="130"/>
      <c r="AN94" s="176">
        <f>IFERROR(AVERAGE(Table410[[#This Row],[Jan_2026_Days_Forecast]:[Dec_2026_Days_Forecast]]),0)/19</f>
        <v>0</v>
      </c>
      <c r="AO94" s="176">
        <f>IFERROR(AVERAGE(Table410[[#This Row],[Jan_2026_Days_Actual]:[Dec_2026_Days_Actual]]),0)/19</f>
        <v>0</v>
      </c>
      <c r="AP94" s="84"/>
      <c r="AQ94" s="84"/>
      <c r="AR94" s="84"/>
      <c r="AS94" s="84"/>
      <c r="AT94" s="84"/>
      <c r="AU94" s="84"/>
      <c r="AV94" s="84"/>
      <c r="AW94" s="84"/>
      <c r="AX94" s="84"/>
      <c r="AY94" s="84"/>
      <c r="AZ94" s="84"/>
      <c r="BA94" s="84"/>
      <c r="BB94" s="176">
        <f>IFERROR(AVERAGE(Table410[[#This Row],[Jan_2027_Days_Forecast]:[Dec_2027_Days_Forecast]]),0)</f>
        <v>0</v>
      </c>
      <c r="BC94" s="129"/>
      <c r="BD94" s="129"/>
      <c r="BE94" s="129"/>
      <c r="BF94" s="129"/>
      <c r="BG94" s="129"/>
      <c r="BH94" s="129"/>
      <c r="BI94" s="129"/>
      <c r="BJ94" s="129"/>
      <c r="BK94" s="129"/>
      <c r="BL94" s="129"/>
      <c r="BM94" s="129"/>
      <c r="BN94" s="129"/>
      <c r="BO94" s="176"/>
      <c r="BP94" s="176"/>
      <c r="BQ94" s="3">
        <f>IFERROR(Table410[[#This Row],[Jan_2026_Days_Forecast]]*Table410[[#This Row],[Cost Boolean]]*(VLOOKUP(Table410[[#This Row],[RATE CONCAT]],Tables!I:N,5,0)),0)</f>
        <v>0</v>
      </c>
      <c r="BR94" s="3">
        <f>IFERROR(Table410[[#This Row],[Jan_2026_Days_Actual]]*Table410[[#This Row],[Cost Boolean]]*(VLOOKUP(Table410[[#This Row],[RATE CONCAT]],Tables!I:N,5,0)),0)</f>
        <v>0</v>
      </c>
      <c r="BS94" s="13">
        <f>Table410[[#This Row],[Jan_2026_F]]-Table410[[#This Row],[Jan_2026_A]]</f>
        <v>0</v>
      </c>
      <c r="BT94" s="114"/>
      <c r="BU94" s="13">
        <f>IFERROR(Table410[[#This Row],[Feb_2026_Days_Forecast]]*Table410[[#This Row],[Cost Boolean]]*(VLOOKUP(Table410[[#This Row],[RATE CONCAT]],Tables!I:N,5,0)),0)</f>
        <v>0</v>
      </c>
      <c r="BV94" s="3">
        <f>IFERROR(Table410[[#This Row],[Feb_2026_Days_Actual]]*Table410[[#This Row],[Cost Boolean]]*(VLOOKUP(Table410[[#This Row],[RATE CONCAT]],Tables!I:N,5,0)),0)</f>
        <v>0</v>
      </c>
      <c r="BW94" s="13">
        <f>Table410[[#This Row],[Feb_2026_F]]-Table410[[#This Row],[Feb_2026_A]]</f>
        <v>0</v>
      </c>
      <c r="BX94" s="3"/>
      <c r="BY94" s="3">
        <f>IFERROR(Table410[[#This Row],[Mar_2026_Days_Forecast]]*Table410[[#This Row],[Cost Boolean]]*(VLOOKUP(Table410[[#This Row],[RATE CONCAT]],Tables!I:N,5,0)),0)</f>
        <v>0</v>
      </c>
      <c r="BZ94" s="3">
        <f>IFERROR(Table410[[#This Row],[Mar_2026_Days_Actual]]*Table410[[#This Row],[Cost Boolean]]*(VLOOKUP(Table410[[#This Row],[RATE CONCAT]],Tables!I:N,5,0)),0)</f>
        <v>0</v>
      </c>
      <c r="CA94" s="3">
        <f>Table410[[#This Row],[Mar_2026_F]]-Table410[[#This Row],[Mar_2026_A]]</f>
        <v>0</v>
      </c>
      <c r="CB94" s="103"/>
      <c r="CC94" s="3">
        <f>IFERROR(Table410[[#This Row],[Apr_2026_Days_Forecast]]*Table410[[#This Row],[Cost Boolean]]*(VLOOKUP(Table410[[#This Row],[RATE CONCAT]],Tables!I:N,5,0)),0)</f>
        <v>0</v>
      </c>
      <c r="CD94" s="3">
        <f>IFERROR(Table410[[#This Row],[Apr_2026_Days_Actual]]*Table410[[#This Row],[Cost Boolean]]*(VLOOKUP(Table410[[#This Row],[RATE CONCAT]],Tables!I:N,5,0)),0)</f>
        <v>0</v>
      </c>
      <c r="CE94" s="3">
        <f>Table410[[#This Row],[Apr_2026_F]]-Table410[[#This Row],[Apr_2026_A]]</f>
        <v>0</v>
      </c>
      <c r="CF94" s="103"/>
      <c r="CG94" s="3">
        <f>IFERROR(Table410[[#This Row],[May_2026_Days_Forecast]] *Table410[[#This Row],[Cost Boolean]]*(VLOOKUP(Table410[[#This Row],[RATE CONCAT]],Tables!I:N,5,0)),0)</f>
        <v>0</v>
      </c>
      <c r="CH94" s="3">
        <f>IFERROR(Table410[[#This Row],[May_2026_Days_Actual]]*Table410[[#This Row],[Cost Boolean]]*(VLOOKUP(Table410[[#This Row],[RATE CONCAT]],Tables!I:N,5,0)),0)</f>
        <v>0</v>
      </c>
      <c r="CI94" s="3">
        <f>Table410[[#This Row],[May_2026_F]]-Table410[[#This Row],[May_2026_A]]</f>
        <v>0</v>
      </c>
      <c r="CJ94" s="103"/>
      <c r="CK94" s="3">
        <f>IFERROR(Table410[[#This Row],[Jun_2026_Days_Forecast]]*Table410[[#This Row],[Cost Boolean]]*(VLOOKUP(Table410[[#This Row],[RATE CONCAT]],Tables!I:N,5,0)),0)</f>
        <v>0</v>
      </c>
      <c r="CL94" s="3">
        <f>IFERROR(Table410[[#This Row],[Jun_2026_Days_Actual]]*Table410[[#This Row],[Cost Boolean]]*(VLOOKUP(Table410[[#This Row],[RATE CONCAT]],Tables!I:N,5,0)),0)</f>
        <v>0</v>
      </c>
      <c r="CM94" s="3">
        <f>Table410[[#This Row],[Jun_2026_F]]-Table410[[#This Row],[Jun_2026_A]]</f>
        <v>0</v>
      </c>
      <c r="CN94" s="103"/>
      <c r="CO94" s="3">
        <f>IFERROR(Table410[[#This Row],[Jul_2026_Days_Forecast]]*Table410[[#This Row],[Cost Boolean]]*(VLOOKUP(Table410[[#This Row],[RATE CONCAT]],Tables!I:N,5,0)),0)</f>
        <v>0</v>
      </c>
      <c r="CP94" s="3">
        <f>IFERROR(Table410[[#This Row],[Jul_2026_Days_Actual]]*Table410[[#This Row],[Cost Boolean]]*(VLOOKUP(Table410[[#This Row],[RATE CONCAT]],Tables!I:N,5,0)),0)</f>
        <v>0</v>
      </c>
      <c r="CQ94" s="3">
        <f>Table410[[#This Row],[Jul_2026_F]]-Table410[[#This Row],[Jul_2026_A]]</f>
        <v>0</v>
      </c>
      <c r="CR94" s="103"/>
      <c r="CS94" s="3">
        <f>IFERROR(Table410[[#This Row],[Aug_2026_Days_Forecast]]*Table410[[#This Row],[Cost Boolean]]*(VLOOKUP(Table410[[#This Row],[RATE CONCAT]],Tables!I:N,5,0)),0)</f>
        <v>0</v>
      </c>
      <c r="CT94" s="3">
        <f>IFERROR(Table410[[#This Row],[Aug_2026_Days_Actual]]*Table410[[#This Row],[Cost Boolean]]*(VLOOKUP(Table410[[#This Row],[RATE CONCAT]],Tables!I:N,5,0)),0)</f>
        <v>0</v>
      </c>
      <c r="CU94" s="3">
        <f>Table410[[#This Row],[Aug_2026_F]]-Table410[[#This Row],[Aug_2026_A]]</f>
        <v>0</v>
      </c>
      <c r="CV94" s="103"/>
      <c r="CW94" s="3">
        <f>IFERROR(Table410[[#This Row],[Sep_2026_Days_Forecast]]*Table410[[#This Row],[Cost Boolean]]*(VLOOKUP(Table410[[#This Row],[RATE CONCAT]],Tables!I:N,5,0)),0)</f>
        <v>0</v>
      </c>
      <c r="CX94" s="3">
        <f>IFERROR(Table410[[#This Row],[Sep_2026_Days_Actual]]*Table410[[#This Row],[Cost Boolean]]*(VLOOKUP(Table410[[#This Row],[RATE CONCAT]],Tables!I:N,5,0)),0)</f>
        <v>0</v>
      </c>
      <c r="CY94" s="3">
        <f>Table410[[#This Row],[Sep_2026_F]]-Table410[[#This Row],[Sep_2026_A]]</f>
        <v>0</v>
      </c>
      <c r="CZ94" s="103"/>
      <c r="DA94" s="3">
        <f>IFERROR(Table410[[#This Row],[Oct_2026_Days_Forecast]]*Table410[[#This Row],[Cost Boolean]]*(VLOOKUP(Table410[[#This Row],[RATE CONCAT]],Tables!I:N,5,0)),0)</f>
        <v>0</v>
      </c>
      <c r="DB94" s="3">
        <f>IFERROR(Table410[[#This Row],[Oct_2026_Days_Actual]]*Table410[[#This Row],[Cost Boolean]]*(VLOOKUP(Table410[[#This Row],[RATE CONCAT]],Tables!I:N,5,0)),0)</f>
        <v>0</v>
      </c>
      <c r="DC94" s="3">
        <f>Table410[[#This Row],[Oct_2026_F]]-Table410[[#This Row],[Oct_2026_A]]</f>
        <v>0</v>
      </c>
      <c r="DD94" s="103"/>
      <c r="DE94" s="3">
        <f>IFERROR(Table410[[#This Row],[Nov_2026_Days_Forecast]]*Table410[[#This Row],[Cost Boolean]]*(VLOOKUP(Table410[[#This Row],[RATE CONCAT]],Tables!I:N,5,0)),0)</f>
        <v>0</v>
      </c>
      <c r="DF94" s="3">
        <f>IFERROR(Table410[[#This Row],[Nov_2026_Days_Actual]]*Table410[[#This Row],[Cost Boolean]]*(VLOOKUP(Table410[[#This Row],[RATE CONCAT]],Tables!I:N,5,0)),0)</f>
        <v>0</v>
      </c>
      <c r="DG94" s="3">
        <f>Table410[[#This Row],[Nov_2026_F]]-Table410[[#This Row],[Nov_2026_A]]</f>
        <v>0</v>
      </c>
      <c r="DH94" s="103"/>
      <c r="DI94" s="3">
        <f>IFERROR(Table410[[#This Row],[Dec_2026_Days_Forecast]]*Table410[[#This Row],[Cost Boolean]]*(VLOOKUP(Table410[[#This Row],[RATE CONCAT]],Tables!I:N,5,0)),0)</f>
        <v>0</v>
      </c>
      <c r="DJ94" s="3">
        <f>IFERROR(Table410[[#This Row],[Dec_2026_Days_Actual]]*Table410[[#This Row],[Cost Boolean]]*(VLOOKUP(Table410[[#This Row],[RATE CONCAT]],Tables!I:N,5,0)),0)</f>
        <v>0</v>
      </c>
      <c r="DK94" s="126">
        <f>Table410[[#This Row],[Dec_2026_F]]-Table410[[#This Row],[Dec_2026_A]]</f>
        <v>0</v>
      </c>
      <c r="DL94" s="103"/>
      <c r="DM94" s="60"/>
      <c r="DN94" s="3">
        <f>IFERROR(Table410[[#This Row],[Jan_2027_Days_Forecast]]*Table410[[#This Row],[Cost Boolean]]*(VLOOKUP(Table410[[#This Row],[RATE CONCAT]],Tables!I:N,6,0)),0)</f>
        <v>0</v>
      </c>
      <c r="DO94" s="3"/>
      <c r="DP94" s="3">
        <f>Table410[[#This Row],[Jan_2027_F]]-Table410[[#This Row],[Jan_2027_A]]</f>
        <v>0</v>
      </c>
      <c r="DQ94" s="3">
        <f>IFERROR(Table410[[#This Row],[Feb_2027_Days_Forecast]]*Table410[[#This Row],[Cost Boolean]]*(VLOOKUP(Table410[[#This Row],[RATE CONCAT]],Tables!I:N,6,0)),0)</f>
        <v>0</v>
      </c>
      <c r="DR94" s="3"/>
      <c r="DS94" s="3">
        <f>Table410[[#This Row],[Feb_2027_F]]-Table410[[#This Row],[Feb_2027_A]]</f>
        <v>0</v>
      </c>
      <c r="DT94" s="3">
        <f>IFERROR(Table410[[#This Row],[Mar_2027_Days_Forecast]]*Table410[[#This Row],[Cost Boolean]]*(VLOOKUP(Table410[[#This Row],[RATE CONCAT]],Tables!I:N,6,0)),0)</f>
        <v>0</v>
      </c>
      <c r="DU94" s="3"/>
      <c r="DV94" s="3">
        <f>Table410[[#This Row],[Mar_2027_F]]-Table410[[#This Row],[Mar_2027_A]]</f>
        <v>0</v>
      </c>
      <c r="DW94" s="3">
        <f>IFERROR(Table410[[#This Row],[Apr_2027_Days_Forecast]]*Table410[[#This Row],[Cost Boolean]]*(VLOOKUP(Table410[[#This Row],[RATE CONCAT]],Tables!I:N,6,0)),0)</f>
        <v>0</v>
      </c>
      <c r="DX94" s="3"/>
      <c r="DY94" s="3">
        <f>Table410[[#This Row],[Apr_2027_F]]-Table410[[#This Row],[Apr_2027_A]]</f>
        <v>0</v>
      </c>
      <c r="DZ94" s="3">
        <f>IFERROR(Table410[[#This Row],[May_2027_Days_Forecast]]*Table410[[#This Row],[Cost Boolean]]*(VLOOKUP(Table410[[#This Row],[RATE CONCAT]],Tables!I:N,6,0)),0)</f>
        <v>0</v>
      </c>
      <c r="EA94" s="3"/>
      <c r="EB94" s="3">
        <f>Table410[[#This Row],[May_2027_F]]-Table410[[#This Row],[May_2027_A]]</f>
        <v>0</v>
      </c>
      <c r="EC94" s="3">
        <f>IFERROR(Table410[[#This Row],[Jun_2027_Days_Forecast]]*Table410[[#This Row],[Cost Boolean]]*(VLOOKUP(Table410[[#This Row],[RATE CONCAT]],Tables!I:N,6,0)),0)</f>
        <v>0</v>
      </c>
      <c r="ED94" s="3"/>
      <c r="EE94" s="3">
        <f>Table410[[#This Row],[Jun_2027_F]]-Table410[[#This Row],[Jun_2027_A]]</f>
        <v>0</v>
      </c>
      <c r="EF94" s="3">
        <f>IFERROR(Table410[[#This Row],[Jul_2027_Days_Forecast]]*Table410[[#This Row],[Cost Boolean]]*(VLOOKUP(Table410[[#This Row],[RATE CONCAT]],Tables!I:N,6,0)),0)</f>
        <v>0</v>
      </c>
      <c r="EG94" s="3"/>
      <c r="EH94" s="3">
        <f>Table410[[#This Row],[Jul_2027_F]]-Table410[[#This Row],[Jul_2027_A]]</f>
        <v>0</v>
      </c>
      <c r="EI94" s="3">
        <f>IFERROR(Table410[[#This Row],[Aug_2027_Days_Forecast]]*Table410[[#This Row],[Cost Boolean]]*(VLOOKUP(Table410[[#This Row],[RATE CONCAT]],Tables!I:N,6,0)),0)</f>
        <v>0</v>
      </c>
      <c r="EJ94" s="3"/>
      <c r="EK94" s="3">
        <f>Table410[[#This Row],[Aug_2027_F]]-Table410[[#This Row],[Aug_2027_A]]</f>
        <v>0</v>
      </c>
      <c r="EL94" s="3">
        <f>IFERROR(Table410[[#This Row],[Sep_2027_Days_Forecast]]*Table410[[#This Row],[Cost Boolean]]*(VLOOKUP(Table410[[#This Row],[RATE CONCAT]],Tables!I:N,6,0)),0)</f>
        <v>0</v>
      </c>
      <c r="EM94" s="3"/>
      <c r="EN94" s="3">
        <f>Table410[[#This Row],[Sep_2027_F]]-Table410[[#This Row],[Sep_2027_A]]</f>
        <v>0</v>
      </c>
      <c r="EO94" s="3">
        <f>IFERROR(Table410[[#This Row],[Oct_2027_Days_Forecast]]*Table410[[#This Row],[Cost Boolean]]*(VLOOKUP(Table410[[#This Row],[RATE CONCAT]],Tables!I:N,6,0)),0)</f>
        <v>0</v>
      </c>
      <c r="EP94" s="3"/>
      <c r="EQ94" s="3">
        <f>Table410[[#This Row],[Oct_2027_F]]-Table410[[#This Row],[Oct_2027_A]]</f>
        <v>0</v>
      </c>
      <c r="ER94" s="3">
        <f>IFERROR(Table410[[#This Row],[Nov_2027_Days_Forecast]]*Table410[[#This Row],[Cost Boolean]]*(VLOOKUP(Table410[[#This Row],[RATE CONCAT]],Tables!I:N,6,0)),0)</f>
        <v>0</v>
      </c>
      <c r="ES94" s="3"/>
      <c r="ET94" s="3">
        <f>Table410[[#This Row],[Nov_2027_F]]-Table410[[#This Row],[Nov_2027_A]]</f>
        <v>0</v>
      </c>
      <c r="EU94" s="3">
        <f>IFERROR(Table410[[#This Row],[Dec_2027_Days_Forecast]]*Table410[[#This Row],[Cost Boolean]]*(VLOOKUP(Table410[[#This Row],[RATE CONCAT]],Tables!I:N,6,0)),0)</f>
        <v>0</v>
      </c>
      <c r="EV94" s="3"/>
      <c r="EW94" s="3">
        <f>Table410[[#This Row],[Dec_2027_F]]-Table410[[#This Row],[Dec_2027_A]]</f>
        <v>0</v>
      </c>
    </row>
    <row r="95" spans="1:153" ht="1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4" t="str">
        <f>CONCATENATE(Table410[[#This Row],[JG]],Table410[[#This Row],[Country]],Table410[[#This Row],[Resource Provider]])</f>
        <v/>
      </c>
      <c r="Z95" s="14">
        <f>VLOOKUP(Table410[[#This Row],[RATE CONCAT]],Tables!I:N,5,0)</f>
        <v>0</v>
      </c>
      <c r="AA95" s="123"/>
      <c r="AB95" s="130"/>
      <c r="AC95" s="130"/>
      <c r="AD95" s="130"/>
      <c r="AE95" s="130"/>
      <c r="AF95" s="130"/>
      <c r="AG95" s="130"/>
      <c r="AH95" s="130"/>
      <c r="AI95" s="130"/>
      <c r="AJ95" s="130"/>
      <c r="AK95" s="130"/>
      <c r="AL95" s="130"/>
      <c r="AM95" s="130"/>
      <c r="AN95" s="176">
        <f>IFERROR(AVERAGE(Table410[[#This Row],[Jan_2026_Days_Forecast]:[Dec_2026_Days_Forecast]]),0)/19</f>
        <v>0</v>
      </c>
      <c r="AO95" s="176">
        <f>IFERROR(AVERAGE(Table410[[#This Row],[Jan_2026_Days_Actual]:[Dec_2026_Days_Actual]]),0)/19</f>
        <v>0</v>
      </c>
      <c r="AP95" s="84"/>
      <c r="AQ95" s="84"/>
      <c r="AR95" s="84"/>
      <c r="AS95" s="84"/>
      <c r="AT95" s="84"/>
      <c r="AU95" s="84"/>
      <c r="AV95" s="84"/>
      <c r="AW95" s="84"/>
      <c r="AX95" s="84"/>
      <c r="AY95" s="84"/>
      <c r="AZ95" s="84"/>
      <c r="BA95" s="84"/>
      <c r="BB95" s="176">
        <f>IFERROR(AVERAGE(Table410[[#This Row],[Jan_2027_Days_Forecast]:[Dec_2027_Days_Forecast]]),0)</f>
        <v>0</v>
      </c>
      <c r="BC95" s="129"/>
      <c r="BD95" s="129"/>
      <c r="BE95" s="129"/>
      <c r="BF95" s="129"/>
      <c r="BG95" s="129"/>
      <c r="BH95" s="129"/>
      <c r="BI95" s="129"/>
      <c r="BJ95" s="129"/>
      <c r="BK95" s="129"/>
      <c r="BL95" s="129"/>
      <c r="BM95" s="129"/>
      <c r="BN95" s="129"/>
      <c r="BO95" s="176"/>
      <c r="BP95" s="176"/>
      <c r="BQ95" s="3">
        <f>IFERROR(Table410[[#This Row],[Jan_2026_Days_Forecast]]*Table410[[#This Row],[Cost Boolean]]*(VLOOKUP(Table410[[#This Row],[RATE CONCAT]],Tables!I:N,5,0)),0)</f>
        <v>0</v>
      </c>
      <c r="BR95" s="3">
        <f>IFERROR(Table410[[#This Row],[Jan_2026_Days_Actual]]*Table410[[#This Row],[Cost Boolean]]*(VLOOKUP(Table410[[#This Row],[RATE CONCAT]],Tables!I:N,5,0)),0)</f>
        <v>0</v>
      </c>
      <c r="BS95" s="13">
        <f>Table410[[#This Row],[Jan_2026_F]]-Table410[[#This Row],[Jan_2026_A]]</f>
        <v>0</v>
      </c>
      <c r="BT95" s="114"/>
      <c r="BU95" s="13">
        <f>IFERROR(Table410[[#This Row],[Feb_2026_Days_Forecast]]*Table410[[#This Row],[Cost Boolean]]*(VLOOKUP(Table410[[#This Row],[RATE CONCAT]],Tables!I:N,5,0)),0)</f>
        <v>0</v>
      </c>
      <c r="BV95" s="3">
        <f>IFERROR(Table410[[#This Row],[Feb_2026_Days_Actual]]*Table410[[#This Row],[Cost Boolean]]*(VLOOKUP(Table410[[#This Row],[RATE CONCAT]],Tables!I:N,5,0)),0)</f>
        <v>0</v>
      </c>
      <c r="BW95" s="13">
        <f>Table410[[#This Row],[Feb_2026_F]]-Table410[[#This Row],[Feb_2026_A]]</f>
        <v>0</v>
      </c>
      <c r="BX95" s="3"/>
      <c r="BY95" s="3">
        <f>IFERROR(Table410[[#This Row],[Mar_2026_Days_Forecast]]*Table410[[#This Row],[Cost Boolean]]*(VLOOKUP(Table410[[#This Row],[RATE CONCAT]],Tables!I:N,5,0)),0)</f>
        <v>0</v>
      </c>
      <c r="BZ95" s="3">
        <f>IFERROR(Table410[[#This Row],[Mar_2026_Days_Actual]]*Table410[[#This Row],[Cost Boolean]]*(VLOOKUP(Table410[[#This Row],[RATE CONCAT]],Tables!I:N,5,0)),0)</f>
        <v>0</v>
      </c>
      <c r="CA95" s="3">
        <f>Table410[[#This Row],[Mar_2026_F]]-Table410[[#This Row],[Mar_2026_A]]</f>
        <v>0</v>
      </c>
      <c r="CB95" s="103"/>
      <c r="CC95" s="3">
        <f>IFERROR(Table410[[#This Row],[Apr_2026_Days_Forecast]]*Table410[[#This Row],[Cost Boolean]]*(VLOOKUP(Table410[[#This Row],[RATE CONCAT]],Tables!I:N,5,0)),0)</f>
        <v>0</v>
      </c>
      <c r="CD95" s="3">
        <f>IFERROR(Table410[[#This Row],[Apr_2026_Days_Actual]]*Table410[[#This Row],[Cost Boolean]]*(VLOOKUP(Table410[[#This Row],[RATE CONCAT]],Tables!I:N,5,0)),0)</f>
        <v>0</v>
      </c>
      <c r="CE95" s="3">
        <f>Table410[[#This Row],[Apr_2026_F]]-Table410[[#This Row],[Apr_2026_A]]</f>
        <v>0</v>
      </c>
      <c r="CF95" s="103"/>
      <c r="CG95" s="3">
        <f>IFERROR(Table410[[#This Row],[May_2026_Days_Forecast]] *Table410[[#This Row],[Cost Boolean]]*(VLOOKUP(Table410[[#This Row],[RATE CONCAT]],Tables!I:N,5,0)),0)</f>
        <v>0</v>
      </c>
      <c r="CH95" s="3">
        <f>IFERROR(Table410[[#This Row],[May_2026_Days_Actual]]*Table410[[#This Row],[Cost Boolean]]*(VLOOKUP(Table410[[#This Row],[RATE CONCAT]],Tables!I:N,5,0)),0)</f>
        <v>0</v>
      </c>
      <c r="CI95" s="3">
        <f>Table410[[#This Row],[May_2026_F]]-Table410[[#This Row],[May_2026_A]]</f>
        <v>0</v>
      </c>
      <c r="CJ95" s="103"/>
      <c r="CK95" s="3">
        <f>IFERROR(Table410[[#This Row],[Jun_2026_Days_Forecast]]*Table410[[#This Row],[Cost Boolean]]*(VLOOKUP(Table410[[#This Row],[RATE CONCAT]],Tables!I:N,5,0)),0)</f>
        <v>0</v>
      </c>
      <c r="CL95" s="3">
        <f>IFERROR(Table410[[#This Row],[Jun_2026_Days_Actual]]*Table410[[#This Row],[Cost Boolean]]*(VLOOKUP(Table410[[#This Row],[RATE CONCAT]],Tables!I:N,5,0)),0)</f>
        <v>0</v>
      </c>
      <c r="CM95" s="3">
        <f>Table410[[#This Row],[Jun_2026_F]]-Table410[[#This Row],[Jun_2026_A]]</f>
        <v>0</v>
      </c>
      <c r="CN95" s="103"/>
      <c r="CO95" s="3">
        <f>IFERROR(Table410[[#This Row],[Jul_2026_Days_Forecast]]*Table410[[#This Row],[Cost Boolean]]*(VLOOKUP(Table410[[#This Row],[RATE CONCAT]],Tables!I:N,5,0)),0)</f>
        <v>0</v>
      </c>
      <c r="CP95" s="3">
        <f>IFERROR(Table410[[#This Row],[Jul_2026_Days_Actual]]*Table410[[#This Row],[Cost Boolean]]*(VLOOKUP(Table410[[#This Row],[RATE CONCAT]],Tables!I:N,5,0)),0)</f>
        <v>0</v>
      </c>
      <c r="CQ95" s="3">
        <f>Table410[[#This Row],[Jul_2026_F]]-Table410[[#This Row],[Jul_2026_A]]</f>
        <v>0</v>
      </c>
      <c r="CR95" s="103"/>
      <c r="CS95" s="3">
        <f>IFERROR(Table410[[#This Row],[Aug_2026_Days_Forecast]]*Table410[[#This Row],[Cost Boolean]]*(VLOOKUP(Table410[[#This Row],[RATE CONCAT]],Tables!I:N,5,0)),0)</f>
        <v>0</v>
      </c>
      <c r="CT95" s="3">
        <f>IFERROR(Table410[[#This Row],[Aug_2026_Days_Actual]]*Table410[[#This Row],[Cost Boolean]]*(VLOOKUP(Table410[[#This Row],[RATE CONCAT]],Tables!I:N,5,0)),0)</f>
        <v>0</v>
      </c>
      <c r="CU95" s="3">
        <f>Table410[[#This Row],[Aug_2026_F]]-Table410[[#This Row],[Aug_2026_A]]</f>
        <v>0</v>
      </c>
      <c r="CV95" s="103"/>
      <c r="CW95" s="3">
        <f>IFERROR(Table410[[#This Row],[Sep_2026_Days_Forecast]]*Table410[[#This Row],[Cost Boolean]]*(VLOOKUP(Table410[[#This Row],[RATE CONCAT]],Tables!I:N,5,0)),0)</f>
        <v>0</v>
      </c>
      <c r="CX95" s="3">
        <f>IFERROR(Table410[[#This Row],[Sep_2026_Days_Actual]]*Table410[[#This Row],[Cost Boolean]]*(VLOOKUP(Table410[[#This Row],[RATE CONCAT]],Tables!I:N,5,0)),0)</f>
        <v>0</v>
      </c>
      <c r="CY95" s="3">
        <f>Table410[[#This Row],[Sep_2026_F]]-Table410[[#This Row],[Sep_2026_A]]</f>
        <v>0</v>
      </c>
      <c r="CZ95" s="103"/>
      <c r="DA95" s="3">
        <f>IFERROR(Table410[[#This Row],[Oct_2026_Days_Forecast]]*Table410[[#This Row],[Cost Boolean]]*(VLOOKUP(Table410[[#This Row],[RATE CONCAT]],Tables!I:N,5,0)),0)</f>
        <v>0</v>
      </c>
      <c r="DB95" s="3">
        <f>IFERROR(Table410[[#This Row],[Oct_2026_Days_Actual]]*Table410[[#This Row],[Cost Boolean]]*(VLOOKUP(Table410[[#This Row],[RATE CONCAT]],Tables!I:N,5,0)),0)</f>
        <v>0</v>
      </c>
      <c r="DC95" s="3">
        <f>Table410[[#This Row],[Oct_2026_F]]-Table410[[#This Row],[Oct_2026_A]]</f>
        <v>0</v>
      </c>
      <c r="DD95" s="103"/>
      <c r="DE95" s="3">
        <f>IFERROR(Table410[[#This Row],[Nov_2026_Days_Forecast]]*Table410[[#This Row],[Cost Boolean]]*(VLOOKUP(Table410[[#This Row],[RATE CONCAT]],Tables!I:N,5,0)),0)</f>
        <v>0</v>
      </c>
      <c r="DF95" s="3">
        <f>IFERROR(Table410[[#This Row],[Nov_2026_Days_Actual]]*Table410[[#This Row],[Cost Boolean]]*(VLOOKUP(Table410[[#This Row],[RATE CONCAT]],Tables!I:N,5,0)),0)</f>
        <v>0</v>
      </c>
      <c r="DG95" s="3">
        <f>Table410[[#This Row],[Nov_2026_F]]-Table410[[#This Row],[Nov_2026_A]]</f>
        <v>0</v>
      </c>
      <c r="DH95" s="103"/>
      <c r="DI95" s="3">
        <f>IFERROR(Table410[[#This Row],[Dec_2026_Days_Forecast]]*Table410[[#This Row],[Cost Boolean]]*(VLOOKUP(Table410[[#This Row],[RATE CONCAT]],Tables!I:N,5,0)),0)</f>
        <v>0</v>
      </c>
      <c r="DJ95" s="3">
        <f>IFERROR(Table410[[#This Row],[Dec_2026_Days_Actual]]*Table410[[#This Row],[Cost Boolean]]*(VLOOKUP(Table410[[#This Row],[RATE CONCAT]],Tables!I:N,5,0)),0)</f>
        <v>0</v>
      </c>
      <c r="DK95" s="126">
        <f>Table410[[#This Row],[Dec_2026_F]]-Table410[[#This Row],[Dec_2026_A]]</f>
        <v>0</v>
      </c>
      <c r="DL95" s="103"/>
      <c r="DM95" s="60"/>
      <c r="DN95" s="3">
        <f>IFERROR(Table410[[#This Row],[Jan_2027_Days_Forecast]]*Table410[[#This Row],[Cost Boolean]]*(VLOOKUP(Table410[[#This Row],[RATE CONCAT]],Tables!I:N,6,0)),0)</f>
        <v>0</v>
      </c>
      <c r="DO95" s="3"/>
      <c r="DP95" s="3">
        <f>Table410[[#This Row],[Jan_2027_F]]-Table410[[#This Row],[Jan_2027_A]]</f>
        <v>0</v>
      </c>
      <c r="DQ95" s="3">
        <f>IFERROR(Table410[[#This Row],[Feb_2027_Days_Forecast]]*Table410[[#This Row],[Cost Boolean]]*(VLOOKUP(Table410[[#This Row],[RATE CONCAT]],Tables!I:N,6,0)),0)</f>
        <v>0</v>
      </c>
      <c r="DR95" s="3"/>
      <c r="DS95" s="3">
        <f>Table410[[#This Row],[Feb_2027_F]]-Table410[[#This Row],[Feb_2027_A]]</f>
        <v>0</v>
      </c>
      <c r="DT95" s="3">
        <f>IFERROR(Table410[[#This Row],[Mar_2027_Days_Forecast]]*Table410[[#This Row],[Cost Boolean]]*(VLOOKUP(Table410[[#This Row],[RATE CONCAT]],Tables!I:N,6,0)),0)</f>
        <v>0</v>
      </c>
      <c r="DU95" s="3"/>
      <c r="DV95" s="3">
        <f>Table410[[#This Row],[Mar_2027_F]]-Table410[[#This Row],[Mar_2027_A]]</f>
        <v>0</v>
      </c>
      <c r="DW95" s="3">
        <f>IFERROR(Table410[[#This Row],[Apr_2027_Days_Forecast]]*Table410[[#This Row],[Cost Boolean]]*(VLOOKUP(Table410[[#This Row],[RATE CONCAT]],Tables!I:N,6,0)),0)</f>
        <v>0</v>
      </c>
      <c r="DX95" s="3"/>
      <c r="DY95" s="3">
        <f>Table410[[#This Row],[Apr_2027_F]]-Table410[[#This Row],[Apr_2027_A]]</f>
        <v>0</v>
      </c>
      <c r="DZ95" s="3">
        <f>IFERROR(Table410[[#This Row],[May_2027_Days_Forecast]]*Table410[[#This Row],[Cost Boolean]]*(VLOOKUP(Table410[[#This Row],[RATE CONCAT]],Tables!I:N,6,0)),0)</f>
        <v>0</v>
      </c>
      <c r="EA95" s="3"/>
      <c r="EB95" s="3">
        <f>Table410[[#This Row],[May_2027_F]]-Table410[[#This Row],[May_2027_A]]</f>
        <v>0</v>
      </c>
      <c r="EC95" s="3">
        <f>IFERROR(Table410[[#This Row],[Jun_2027_Days_Forecast]]*Table410[[#This Row],[Cost Boolean]]*(VLOOKUP(Table410[[#This Row],[RATE CONCAT]],Tables!I:N,6,0)),0)</f>
        <v>0</v>
      </c>
      <c r="ED95" s="3"/>
      <c r="EE95" s="3">
        <f>Table410[[#This Row],[Jun_2027_F]]-Table410[[#This Row],[Jun_2027_A]]</f>
        <v>0</v>
      </c>
      <c r="EF95" s="3">
        <f>IFERROR(Table410[[#This Row],[Jul_2027_Days_Forecast]]*Table410[[#This Row],[Cost Boolean]]*(VLOOKUP(Table410[[#This Row],[RATE CONCAT]],Tables!I:N,6,0)),0)</f>
        <v>0</v>
      </c>
      <c r="EG95" s="3"/>
      <c r="EH95" s="3">
        <f>Table410[[#This Row],[Jul_2027_F]]-Table410[[#This Row],[Jul_2027_A]]</f>
        <v>0</v>
      </c>
      <c r="EI95" s="3">
        <f>IFERROR(Table410[[#This Row],[Aug_2027_Days_Forecast]]*Table410[[#This Row],[Cost Boolean]]*(VLOOKUP(Table410[[#This Row],[RATE CONCAT]],Tables!I:N,6,0)),0)</f>
        <v>0</v>
      </c>
      <c r="EJ95" s="3"/>
      <c r="EK95" s="3">
        <f>Table410[[#This Row],[Aug_2027_F]]-Table410[[#This Row],[Aug_2027_A]]</f>
        <v>0</v>
      </c>
      <c r="EL95" s="3">
        <f>IFERROR(Table410[[#This Row],[Sep_2027_Days_Forecast]]*Table410[[#This Row],[Cost Boolean]]*(VLOOKUP(Table410[[#This Row],[RATE CONCAT]],Tables!I:N,6,0)),0)</f>
        <v>0</v>
      </c>
      <c r="EM95" s="3"/>
      <c r="EN95" s="3">
        <f>Table410[[#This Row],[Sep_2027_F]]-Table410[[#This Row],[Sep_2027_A]]</f>
        <v>0</v>
      </c>
      <c r="EO95" s="3">
        <f>IFERROR(Table410[[#This Row],[Oct_2027_Days_Forecast]]*Table410[[#This Row],[Cost Boolean]]*(VLOOKUP(Table410[[#This Row],[RATE CONCAT]],Tables!I:N,6,0)),0)</f>
        <v>0</v>
      </c>
      <c r="EP95" s="3"/>
      <c r="EQ95" s="3">
        <f>Table410[[#This Row],[Oct_2027_F]]-Table410[[#This Row],[Oct_2027_A]]</f>
        <v>0</v>
      </c>
      <c r="ER95" s="3">
        <f>IFERROR(Table410[[#This Row],[Nov_2027_Days_Forecast]]*Table410[[#This Row],[Cost Boolean]]*(VLOOKUP(Table410[[#This Row],[RATE CONCAT]],Tables!I:N,6,0)),0)</f>
        <v>0</v>
      </c>
      <c r="ES95" s="3"/>
      <c r="ET95" s="3">
        <f>Table410[[#This Row],[Nov_2027_F]]-Table410[[#This Row],[Nov_2027_A]]</f>
        <v>0</v>
      </c>
      <c r="EU95" s="3">
        <f>IFERROR(Table410[[#This Row],[Dec_2027_Days_Forecast]]*Table410[[#This Row],[Cost Boolean]]*(VLOOKUP(Table410[[#This Row],[RATE CONCAT]],Tables!I:N,6,0)),0)</f>
        <v>0</v>
      </c>
      <c r="EV95" s="3"/>
      <c r="EW95" s="3">
        <f>Table410[[#This Row],[Dec_2027_F]]-Table410[[#This Row],[Dec_2027_A]]</f>
        <v>0</v>
      </c>
    </row>
    <row r="96" spans="1:153" ht="1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4" t="str">
        <f>CONCATENATE(Table410[[#This Row],[JG]],Table410[[#This Row],[Country]],Table410[[#This Row],[Resource Provider]])</f>
        <v/>
      </c>
      <c r="Z96" s="14">
        <f>VLOOKUP(Table410[[#This Row],[RATE CONCAT]],Tables!I:N,5,0)</f>
        <v>0</v>
      </c>
      <c r="AA96" s="123"/>
      <c r="AB96" s="127"/>
      <c r="AC96" s="127"/>
      <c r="AD96" s="127"/>
      <c r="AE96" s="130"/>
      <c r="AF96" s="130"/>
      <c r="AG96" s="130"/>
      <c r="AH96" s="130"/>
      <c r="AI96" s="130"/>
      <c r="AJ96" s="130"/>
      <c r="AK96" s="130"/>
      <c r="AL96" s="130"/>
      <c r="AM96" s="130"/>
      <c r="AN96" s="176">
        <f>IFERROR(AVERAGE(Table410[[#This Row],[Jan_2026_Days_Forecast]:[Dec_2026_Days_Forecast]]),0)/19</f>
        <v>0</v>
      </c>
      <c r="AO96" s="176">
        <f>IFERROR(AVERAGE(Table410[[#This Row],[Jan_2026_Days_Actual]:[Dec_2026_Days_Actual]]),0)/19</f>
        <v>0</v>
      </c>
      <c r="AP96" s="84"/>
      <c r="AQ96" s="84"/>
      <c r="AR96" s="84"/>
      <c r="AS96" s="84"/>
      <c r="AT96" s="84"/>
      <c r="AU96" s="84"/>
      <c r="AV96" s="84"/>
      <c r="AW96" s="84"/>
      <c r="AX96" s="84"/>
      <c r="AY96" s="84"/>
      <c r="AZ96" s="84"/>
      <c r="BA96" s="84"/>
      <c r="BB96" s="176">
        <f>IFERROR(AVERAGE(Table410[[#This Row],[Jan_2027_Days_Forecast]:[Dec_2027_Days_Forecast]]),0)</f>
        <v>0</v>
      </c>
      <c r="BC96" s="129"/>
      <c r="BD96" s="129"/>
      <c r="BE96" s="129"/>
      <c r="BF96" s="129"/>
      <c r="BG96" s="129"/>
      <c r="BH96" s="129"/>
      <c r="BI96" s="129"/>
      <c r="BJ96" s="129"/>
      <c r="BK96" s="129"/>
      <c r="BL96" s="129"/>
      <c r="BM96" s="129"/>
      <c r="BN96" s="129"/>
      <c r="BO96" s="176"/>
      <c r="BP96" s="176"/>
      <c r="BQ96" s="3">
        <f>IFERROR(Table410[[#This Row],[Jan_2026_Days_Forecast]]*Table410[[#This Row],[Cost Boolean]]*(VLOOKUP(Table410[[#This Row],[RATE CONCAT]],Tables!I:N,5,0)),0)</f>
        <v>0</v>
      </c>
      <c r="BR96" s="3">
        <f>IFERROR(Table410[[#This Row],[Jan_2026_Days_Actual]]*Table410[[#This Row],[Cost Boolean]]*(VLOOKUP(Table410[[#This Row],[RATE CONCAT]],Tables!I:N,5,0)),0)</f>
        <v>0</v>
      </c>
      <c r="BS96" s="13">
        <f>Table410[[#This Row],[Jan_2026_F]]-Table410[[#This Row],[Jan_2026_A]]</f>
        <v>0</v>
      </c>
      <c r="BT96" s="114"/>
      <c r="BU96" s="13">
        <f>IFERROR(Table410[[#This Row],[Feb_2026_Days_Forecast]]*Table410[[#This Row],[Cost Boolean]]*(VLOOKUP(Table410[[#This Row],[RATE CONCAT]],Tables!I:N,5,0)),0)</f>
        <v>0</v>
      </c>
      <c r="BV96" s="3">
        <f>IFERROR(Table410[[#This Row],[Feb_2026_Days_Actual]]*Table410[[#This Row],[Cost Boolean]]*(VLOOKUP(Table410[[#This Row],[RATE CONCAT]],Tables!I:N,5,0)),0)</f>
        <v>0</v>
      </c>
      <c r="BW96" s="13">
        <f>Table410[[#This Row],[Feb_2026_F]]-Table410[[#This Row],[Feb_2026_A]]</f>
        <v>0</v>
      </c>
      <c r="BX96" s="3"/>
      <c r="BY96" s="3">
        <f>IFERROR(Table410[[#This Row],[Mar_2026_Days_Forecast]]*Table410[[#This Row],[Cost Boolean]]*(VLOOKUP(Table410[[#This Row],[RATE CONCAT]],Tables!I:N,5,0)),0)</f>
        <v>0</v>
      </c>
      <c r="BZ96" s="3">
        <f>IFERROR(Table410[[#This Row],[Mar_2026_Days_Actual]]*Table410[[#This Row],[Cost Boolean]]*(VLOOKUP(Table410[[#This Row],[RATE CONCAT]],Tables!I:N,5,0)),0)</f>
        <v>0</v>
      </c>
      <c r="CA96" s="3">
        <f>Table410[[#This Row],[Mar_2026_F]]-Table410[[#This Row],[Mar_2026_A]]</f>
        <v>0</v>
      </c>
      <c r="CB96" s="103"/>
      <c r="CC96" s="3">
        <f>IFERROR(Table410[[#This Row],[Apr_2026_Days_Forecast]]*Table410[[#This Row],[Cost Boolean]]*(VLOOKUP(Table410[[#This Row],[RATE CONCAT]],Tables!I:N,5,0)),0)</f>
        <v>0</v>
      </c>
      <c r="CD96" s="3">
        <f>IFERROR(Table410[[#This Row],[Apr_2026_Days_Actual]]*Table410[[#This Row],[Cost Boolean]]*(VLOOKUP(Table410[[#This Row],[RATE CONCAT]],Tables!I:N,5,0)),0)</f>
        <v>0</v>
      </c>
      <c r="CE96" s="3">
        <f>Table410[[#This Row],[Apr_2026_F]]-Table410[[#This Row],[Apr_2026_A]]</f>
        <v>0</v>
      </c>
      <c r="CF96" s="103"/>
      <c r="CG96" s="3">
        <f>IFERROR(Table410[[#This Row],[May_2026_Days_Forecast]] *Table410[[#This Row],[Cost Boolean]]*(VLOOKUP(Table410[[#This Row],[RATE CONCAT]],Tables!I:N,5,0)),0)</f>
        <v>0</v>
      </c>
      <c r="CH96" s="3">
        <f>IFERROR(Table410[[#This Row],[May_2026_Days_Actual]]*Table410[[#This Row],[Cost Boolean]]*(VLOOKUP(Table410[[#This Row],[RATE CONCAT]],Tables!I:N,5,0)),0)</f>
        <v>0</v>
      </c>
      <c r="CI96" s="3">
        <f>Table410[[#This Row],[May_2026_F]]-Table410[[#This Row],[May_2026_A]]</f>
        <v>0</v>
      </c>
      <c r="CJ96" s="103"/>
      <c r="CK96" s="3">
        <f>IFERROR(Table410[[#This Row],[Jun_2026_Days_Forecast]]*Table410[[#This Row],[Cost Boolean]]*(VLOOKUP(Table410[[#This Row],[RATE CONCAT]],Tables!I:N,5,0)),0)</f>
        <v>0</v>
      </c>
      <c r="CL96" s="3">
        <f>IFERROR(Table410[[#This Row],[Jun_2026_Days_Actual]]*Table410[[#This Row],[Cost Boolean]]*(VLOOKUP(Table410[[#This Row],[RATE CONCAT]],Tables!I:N,5,0)),0)</f>
        <v>0</v>
      </c>
      <c r="CM96" s="3">
        <f>Table410[[#This Row],[Jun_2026_F]]-Table410[[#This Row],[Jun_2026_A]]</f>
        <v>0</v>
      </c>
      <c r="CN96" s="103"/>
      <c r="CO96" s="3">
        <f>IFERROR(Table410[[#This Row],[Jul_2026_Days_Forecast]]*Table410[[#This Row],[Cost Boolean]]*(VLOOKUP(Table410[[#This Row],[RATE CONCAT]],Tables!I:N,5,0)),0)</f>
        <v>0</v>
      </c>
      <c r="CP96" s="3">
        <f>IFERROR(Table410[[#This Row],[Jul_2026_Days_Actual]]*Table410[[#This Row],[Cost Boolean]]*(VLOOKUP(Table410[[#This Row],[RATE CONCAT]],Tables!I:N,5,0)),0)</f>
        <v>0</v>
      </c>
      <c r="CQ96" s="3">
        <f>Table410[[#This Row],[Jul_2026_F]]-Table410[[#This Row],[Jul_2026_A]]</f>
        <v>0</v>
      </c>
      <c r="CR96" s="103"/>
      <c r="CS96" s="3">
        <f>IFERROR(Table410[[#This Row],[Aug_2026_Days_Forecast]]*Table410[[#This Row],[Cost Boolean]]*(VLOOKUP(Table410[[#This Row],[RATE CONCAT]],Tables!I:N,5,0)),0)</f>
        <v>0</v>
      </c>
      <c r="CT96" s="3">
        <f>IFERROR(Table410[[#This Row],[Aug_2026_Days_Actual]]*Table410[[#This Row],[Cost Boolean]]*(VLOOKUP(Table410[[#This Row],[RATE CONCAT]],Tables!I:N,5,0)),0)</f>
        <v>0</v>
      </c>
      <c r="CU96" s="3">
        <f>Table410[[#This Row],[Aug_2026_F]]-Table410[[#This Row],[Aug_2026_A]]</f>
        <v>0</v>
      </c>
      <c r="CV96" s="103"/>
      <c r="CW96" s="3">
        <f>IFERROR(Table410[[#This Row],[Sep_2026_Days_Forecast]]*Table410[[#This Row],[Cost Boolean]]*(VLOOKUP(Table410[[#This Row],[RATE CONCAT]],Tables!I:N,5,0)),0)</f>
        <v>0</v>
      </c>
      <c r="CX96" s="3">
        <f>IFERROR(Table410[[#This Row],[Sep_2026_Days_Actual]]*Table410[[#This Row],[Cost Boolean]]*(VLOOKUP(Table410[[#This Row],[RATE CONCAT]],Tables!I:N,5,0)),0)</f>
        <v>0</v>
      </c>
      <c r="CY96" s="3">
        <f>Table410[[#This Row],[Sep_2026_F]]-Table410[[#This Row],[Sep_2026_A]]</f>
        <v>0</v>
      </c>
      <c r="CZ96" s="103"/>
      <c r="DA96" s="3">
        <f>IFERROR(Table410[[#This Row],[Oct_2026_Days_Forecast]]*Table410[[#This Row],[Cost Boolean]]*(VLOOKUP(Table410[[#This Row],[RATE CONCAT]],Tables!I:N,5,0)),0)</f>
        <v>0</v>
      </c>
      <c r="DB96" s="3">
        <f>IFERROR(Table410[[#This Row],[Oct_2026_Days_Actual]]*Table410[[#This Row],[Cost Boolean]]*(VLOOKUP(Table410[[#This Row],[RATE CONCAT]],Tables!I:N,5,0)),0)</f>
        <v>0</v>
      </c>
      <c r="DC96" s="3">
        <f>Table410[[#This Row],[Oct_2026_F]]-Table410[[#This Row],[Oct_2026_A]]</f>
        <v>0</v>
      </c>
      <c r="DD96" s="103"/>
      <c r="DE96" s="3">
        <f>IFERROR(Table410[[#This Row],[Nov_2026_Days_Forecast]]*Table410[[#This Row],[Cost Boolean]]*(VLOOKUP(Table410[[#This Row],[RATE CONCAT]],Tables!I:N,5,0)),0)</f>
        <v>0</v>
      </c>
      <c r="DF96" s="3">
        <f>IFERROR(Table410[[#This Row],[Nov_2026_Days_Actual]]*Table410[[#This Row],[Cost Boolean]]*(VLOOKUP(Table410[[#This Row],[RATE CONCAT]],Tables!I:N,5,0)),0)</f>
        <v>0</v>
      </c>
      <c r="DG96" s="3">
        <f>Table410[[#This Row],[Nov_2026_F]]-Table410[[#This Row],[Nov_2026_A]]</f>
        <v>0</v>
      </c>
      <c r="DH96" s="103"/>
      <c r="DI96" s="3">
        <f>IFERROR(Table410[[#This Row],[Dec_2026_Days_Forecast]]*Table410[[#This Row],[Cost Boolean]]*(VLOOKUP(Table410[[#This Row],[RATE CONCAT]],Tables!I:N,5,0)),0)</f>
        <v>0</v>
      </c>
      <c r="DJ96" s="3">
        <f>IFERROR(Table410[[#This Row],[Dec_2026_Days_Actual]]*Table410[[#This Row],[Cost Boolean]]*(VLOOKUP(Table410[[#This Row],[RATE CONCAT]],Tables!I:N,5,0)),0)</f>
        <v>0</v>
      </c>
      <c r="DK96" s="126">
        <f>Table410[[#This Row],[Dec_2026_F]]-Table410[[#This Row],[Dec_2026_A]]</f>
        <v>0</v>
      </c>
      <c r="DL96" s="103"/>
      <c r="DM96" s="60"/>
      <c r="DN96" s="3">
        <f>IFERROR(Table410[[#This Row],[Jan_2027_Days_Forecast]]*Table410[[#This Row],[Cost Boolean]]*(VLOOKUP(Table410[[#This Row],[RATE CONCAT]],Tables!I:N,6,0)),0)</f>
        <v>0</v>
      </c>
      <c r="DO96" s="3"/>
      <c r="DP96" s="3">
        <f>Table410[[#This Row],[Jan_2027_F]]-Table410[[#This Row],[Jan_2027_A]]</f>
        <v>0</v>
      </c>
      <c r="DQ96" s="3">
        <f>IFERROR(Table410[[#This Row],[Feb_2027_Days_Forecast]]*Table410[[#This Row],[Cost Boolean]]*(VLOOKUP(Table410[[#This Row],[RATE CONCAT]],Tables!I:N,6,0)),0)</f>
        <v>0</v>
      </c>
      <c r="DR96" s="3"/>
      <c r="DS96" s="3">
        <f>Table410[[#This Row],[Feb_2027_F]]-Table410[[#This Row],[Feb_2027_A]]</f>
        <v>0</v>
      </c>
      <c r="DT96" s="3">
        <f>IFERROR(Table410[[#This Row],[Mar_2027_Days_Forecast]]*Table410[[#This Row],[Cost Boolean]]*(VLOOKUP(Table410[[#This Row],[RATE CONCAT]],Tables!I:N,6,0)),0)</f>
        <v>0</v>
      </c>
      <c r="DU96" s="3"/>
      <c r="DV96" s="3">
        <f>Table410[[#This Row],[Mar_2027_F]]-Table410[[#This Row],[Mar_2027_A]]</f>
        <v>0</v>
      </c>
      <c r="DW96" s="3">
        <f>IFERROR(Table410[[#This Row],[Apr_2027_Days_Forecast]]*Table410[[#This Row],[Cost Boolean]]*(VLOOKUP(Table410[[#This Row],[RATE CONCAT]],Tables!I:N,6,0)),0)</f>
        <v>0</v>
      </c>
      <c r="DX96" s="3"/>
      <c r="DY96" s="3">
        <f>Table410[[#This Row],[Apr_2027_F]]-Table410[[#This Row],[Apr_2027_A]]</f>
        <v>0</v>
      </c>
      <c r="DZ96" s="3">
        <f>IFERROR(Table410[[#This Row],[May_2027_Days_Forecast]]*Table410[[#This Row],[Cost Boolean]]*(VLOOKUP(Table410[[#This Row],[RATE CONCAT]],Tables!I:N,6,0)),0)</f>
        <v>0</v>
      </c>
      <c r="EA96" s="3"/>
      <c r="EB96" s="3">
        <f>Table410[[#This Row],[May_2027_F]]-Table410[[#This Row],[May_2027_A]]</f>
        <v>0</v>
      </c>
      <c r="EC96" s="3">
        <f>IFERROR(Table410[[#This Row],[Jun_2027_Days_Forecast]]*Table410[[#This Row],[Cost Boolean]]*(VLOOKUP(Table410[[#This Row],[RATE CONCAT]],Tables!I:N,6,0)),0)</f>
        <v>0</v>
      </c>
      <c r="ED96" s="3"/>
      <c r="EE96" s="3">
        <f>Table410[[#This Row],[Jun_2027_F]]-Table410[[#This Row],[Jun_2027_A]]</f>
        <v>0</v>
      </c>
      <c r="EF96" s="3">
        <f>IFERROR(Table410[[#This Row],[Jul_2027_Days_Forecast]]*Table410[[#This Row],[Cost Boolean]]*(VLOOKUP(Table410[[#This Row],[RATE CONCAT]],Tables!I:N,6,0)),0)</f>
        <v>0</v>
      </c>
      <c r="EG96" s="3"/>
      <c r="EH96" s="3">
        <f>Table410[[#This Row],[Jul_2027_F]]-Table410[[#This Row],[Jul_2027_A]]</f>
        <v>0</v>
      </c>
      <c r="EI96" s="3">
        <f>IFERROR(Table410[[#This Row],[Aug_2027_Days_Forecast]]*Table410[[#This Row],[Cost Boolean]]*(VLOOKUP(Table410[[#This Row],[RATE CONCAT]],Tables!I:N,6,0)),0)</f>
        <v>0</v>
      </c>
      <c r="EJ96" s="3"/>
      <c r="EK96" s="3">
        <f>Table410[[#This Row],[Aug_2027_F]]-Table410[[#This Row],[Aug_2027_A]]</f>
        <v>0</v>
      </c>
      <c r="EL96" s="3">
        <f>IFERROR(Table410[[#This Row],[Sep_2027_Days_Forecast]]*Table410[[#This Row],[Cost Boolean]]*(VLOOKUP(Table410[[#This Row],[RATE CONCAT]],Tables!I:N,6,0)),0)</f>
        <v>0</v>
      </c>
      <c r="EM96" s="3"/>
      <c r="EN96" s="3">
        <f>Table410[[#This Row],[Sep_2027_F]]-Table410[[#This Row],[Sep_2027_A]]</f>
        <v>0</v>
      </c>
      <c r="EO96" s="3">
        <f>IFERROR(Table410[[#This Row],[Oct_2027_Days_Forecast]]*Table410[[#This Row],[Cost Boolean]]*(VLOOKUP(Table410[[#This Row],[RATE CONCAT]],Tables!I:N,6,0)),0)</f>
        <v>0</v>
      </c>
      <c r="EP96" s="3"/>
      <c r="EQ96" s="3">
        <f>Table410[[#This Row],[Oct_2027_F]]-Table410[[#This Row],[Oct_2027_A]]</f>
        <v>0</v>
      </c>
      <c r="ER96" s="3">
        <f>IFERROR(Table410[[#This Row],[Nov_2027_Days_Forecast]]*Table410[[#This Row],[Cost Boolean]]*(VLOOKUP(Table410[[#This Row],[RATE CONCAT]],Tables!I:N,6,0)),0)</f>
        <v>0</v>
      </c>
      <c r="ES96" s="3"/>
      <c r="ET96" s="3">
        <f>Table410[[#This Row],[Nov_2027_F]]-Table410[[#This Row],[Nov_2027_A]]</f>
        <v>0</v>
      </c>
      <c r="EU96" s="3">
        <f>IFERROR(Table410[[#This Row],[Dec_2027_Days_Forecast]]*Table410[[#This Row],[Cost Boolean]]*(VLOOKUP(Table410[[#This Row],[RATE CONCAT]],Tables!I:N,6,0)),0)</f>
        <v>0</v>
      </c>
      <c r="EV96" s="3"/>
      <c r="EW96" s="3">
        <f>Table410[[#This Row],[Dec_2027_F]]-Table410[[#This Row],[Dec_2027_A]]</f>
        <v>0</v>
      </c>
    </row>
    <row r="97" spans="1:153" ht="1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4" t="str">
        <f>CONCATENATE(Table410[[#This Row],[JG]],Table410[[#This Row],[Country]],Table410[[#This Row],[Resource Provider]])</f>
        <v/>
      </c>
      <c r="Z97" s="14">
        <f>VLOOKUP(Table410[[#This Row],[RATE CONCAT]],Tables!I:N,5,0)</f>
        <v>0</v>
      </c>
      <c r="AA97" s="123"/>
      <c r="AB97" s="127"/>
      <c r="AC97" s="127"/>
      <c r="AD97" s="127"/>
      <c r="AE97" s="127"/>
      <c r="AF97" s="127"/>
      <c r="AG97" s="127"/>
      <c r="AH97" s="127"/>
      <c r="AI97" s="127"/>
      <c r="AJ97" s="127"/>
      <c r="AK97" s="127"/>
      <c r="AL97" s="131"/>
      <c r="AM97" s="131"/>
      <c r="AN97" s="176">
        <f>IFERROR(AVERAGE(Table410[[#This Row],[Jan_2026_Days_Forecast]:[Dec_2026_Days_Forecast]]),0)/19</f>
        <v>0</v>
      </c>
      <c r="AO97" s="176">
        <f>IFERROR(AVERAGE(Table410[[#This Row],[Jan_2026_Days_Actual]:[Dec_2026_Days_Actual]]),0)/19</f>
        <v>0</v>
      </c>
      <c r="AP97" s="84"/>
      <c r="AQ97" s="84"/>
      <c r="AR97" s="84"/>
      <c r="AS97" s="84"/>
      <c r="AT97" s="84"/>
      <c r="AU97" s="84"/>
      <c r="AV97" s="84"/>
      <c r="AW97" s="84"/>
      <c r="AX97" s="84"/>
      <c r="AY97" s="84"/>
      <c r="AZ97" s="84"/>
      <c r="BA97" s="84"/>
      <c r="BB97" s="176">
        <f>IFERROR(AVERAGE(Table410[[#This Row],[Jan_2027_Days_Forecast]:[Dec_2027_Days_Forecast]]),0)</f>
        <v>0</v>
      </c>
      <c r="BC97" s="129"/>
      <c r="BD97" s="129"/>
      <c r="BE97" s="129"/>
      <c r="BF97" s="129"/>
      <c r="BG97" s="129"/>
      <c r="BH97" s="129"/>
      <c r="BI97" s="129"/>
      <c r="BJ97" s="129"/>
      <c r="BK97" s="129"/>
      <c r="BL97" s="129"/>
      <c r="BM97" s="129"/>
      <c r="BN97" s="129"/>
      <c r="BO97" s="176"/>
      <c r="BP97" s="176"/>
      <c r="BQ97" s="3">
        <f>IFERROR(Table410[[#This Row],[Jan_2026_Days_Forecast]]*Table410[[#This Row],[Cost Boolean]]*(VLOOKUP(Table410[[#This Row],[RATE CONCAT]],Tables!I:N,5,0)),0)</f>
        <v>0</v>
      </c>
      <c r="BR97" s="3">
        <f>IFERROR(Table410[[#This Row],[Jan_2026_Days_Actual]]*Table410[[#This Row],[Cost Boolean]]*(VLOOKUP(Table410[[#This Row],[RATE CONCAT]],Tables!I:N,5,0)),0)</f>
        <v>0</v>
      </c>
      <c r="BS97" s="13">
        <f>Table410[[#This Row],[Jan_2026_F]]-Table410[[#This Row],[Jan_2026_A]]</f>
        <v>0</v>
      </c>
      <c r="BT97" s="114"/>
      <c r="BU97" s="13">
        <f>IFERROR(Table410[[#This Row],[Feb_2026_Days_Forecast]]*Table410[[#This Row],[Cost Boolean]]*(VLOOKUP(Table410[[#This Row],[RATE CONCAT]],Tables!I:N,5,0)),0)</f>
        <v>0</v>
      </c>
      <c r="BV97" s="3">
        <f>IFERROR(Table410[[#This Row],[Feb_2026_Days_Actual]]*Table410[[#This Row],[Cost Boolean]]*(VLOOKUP(Table410[[#This Row],[RATE CONCAT]],Tables!I:N,5,0)),0)</f>
        <v>0</v>
      </c>
      <c r="BW97" s="13">
        <f>Table410[[#This Row],[Feb_2026_F]]-Table410[[#This Row],[Feb_2026_A]]</f>
        <v>0</v>
      </c>
      <c r="BX97" s="3"/>
      <c r="BY97" s="3">
        <f>IFERROR(Table410[[#This Row],[Mar_2026_Days_Forecast]]*Table410[[#This Row],[Cost Boolean]]*(VLOOKUP(Table410[[#This Row],[RATE CONCAT]],Tables!I:N,5,0)),0)</f>
        <v>0</v>
      </c>
      <c r="BZ97" s="3">
        <f>IFERROR(Table410[[#This Row],[Mar_2026_Days_Actual]]*Table410[[#This Row],[Cost Boolean]]*(VLOOKUP(Table410[[#This Row],[RATE CONCAT]],Tables!I:N,5,0)),0)</f>
        <v>0</v>
      </c>
      <c r="CA97" s="3">
        <f>Table410[[#This Row],[Mar_2026_F]]-Table410[[#This Row],[Mar_2026_A]]</f>
        <v>0</v>
      </c>
      <c r="CB97" s="103"/>
      <c r="CC97" s="3">
        <f>IFERROR(Table410[[#This Row],[Apr_2026_Days_Forecast]]*Table410[[#This Row],[Cost Boolean]]*(VLOOKUP(Table410[[#This Row],[RATE CONCAT]],Tables!I:N,5,0)),0)</f>
        <v>0</v>
      </c>
      <c r="CD97" s="3">
        <f>IFERROR(Table410[[#This Row],[Apr_2026_Days_Actual]]*Table410[[#This Row],[Cost Boolean]]*(VLOOKUP(Table410[[#This Row],[RATE CONCAT]],Tables!I:N,5,0)),0)</f>
        <v>0</v>
      </c>
      <c r="CE97" s="3">
        <f>Table410[[#This Row],[Apr_2026_F]]-Table410[[#This Row],[Apr_2026_A]]</f>
        <v>0</v>
      </c>
      <c r="CF97" s="103"/>
      <c r="CG97" s="3">
        <f>IFERROR(Table410[[#This Row],[May_2026_Days_Forecast]] *Table410[[#This Row],[Cost Boolean]]*(VLOOKUP(Table410[[#This Row],[RATE CONCAT]],Tables!I:N,5,0)),0)</f>
        <v>0</v>
      </c>
      <c r="CH97" s="3">
        <f>IFERROR(Table410[[#This Row],[May_2026_Days_Actual]]*Table410[[#This Row],[Cost Boolean]]*(VLOOKUP(Table410[[#This Row],[RATE CONCAT]],Tables!I:N,5,0)),0)</f>
        <v>0</v>
      </c>
      <c r="CI97" s="3">
        <f>Table410[[#This Row],[May_2026_F]]-Table410[[#This Row],[May_2026_A]]</f>
        <v>0</v>
      </c>
      <c r="CJ97" s="103"/>
      <c r="CK97" s="3">
        <f>IFERROR(Table410[[#This Row],[Jun_2026_Days_Forecast]]*Table410[[#This Row],[Cost Boolean]]*(VLOOKUP(Table410[[#This Row],[RATE CONCAT]],Tables!I:N,5,0)),0)</f>
        <v>0</v>
      </c>
      <c r="CL97" s="3">
        <f>IFERROR(Table410[[#This Row],[Jun_2026_Days_Actual]]*Table410[[#This Row],[Cost Boolean]]*(VLOOKUP(Table410[[#This Row],[RATE CONCAT]],Tables!I:N,5,0)),0)</f>
        <v>0</v>
      </c>
      <c r="CM97" s="3">
        <f>Table410[[#This Row],[Jun_2026_F]]-Table410[[#This Row],[Jun_2026_A]]</f>
        <v>0</v>
      </c>
      <c r="CN97" s="103"/>
      <c r="CO97" s="3">
        <f>IFERROR(Table410[[#This Row],[Jul_2026_Days_Forecast]]*Table410[[#This Row],[Cost Boolean]]*(VLOOKUP(Table410[[#This Row],[RATE CONCAT]],Tables!I:N,5,0)),0)</f>
        <v>0</v>
      </c>
      <c r="CP97" s="3">
        <f>IFERROR(Table410[[#This Row],[Jul_2026_Days_Actual]]*Table410[[#This Row],[Cost Boolean]]*(VLOOKUP(Table410[[#This Row],[RATE CONCAT]],Tables!I:N,5,0)),0)</f>
        <v>0</v>
      </c>
      <c r="CQ97" s="3">
        <f>Table410[[#This Row],[Jul_2026_F]]-Table410[[#This Row],[Jul_2026_A]]</f>
        <v>0</v>
      </c>
      <c r="CR97" s="103"/>
      <c r="CS97" s="3">
        <f>IFERROR(Table410[[#This Row],[Aug_2026_Days_Forecast]]*Table410[[#This Row],[Cost Boolean]]*(VLOOKUP(Table410[[#This Row],[RATE CONCAT]],Tables!I:N,5,0)),0)</f>
        <v>0</v>
      </c>
      <c r="CT97" s="3">
        <f>IFERROR(Table410[[#This Row],[Aug_2026_Days_Actual]]*Table410[[#This Row],[Cost Boolean]]*(VLOOKUP(Table410[[#This Row],[RATE CONCAT]],Tables!I:N,5,0)),0)</f>
        <v>0</v>
      </c>
      <c r="CU97" s="3">
        <f>Table410[[#This Row],[Aug_2026_F]]-Table410[[#This Row],[Aug_2026_A]]</f>
        <v>0</v>
      </c>
      <c r="CV97" s="103"/>
      <c r="CW97" s="3">
        <f>IFERROR(Table410[[#This Row],[Sep_2026_Days_Forecast]]*Table410[[#This Row],[Cost Boolean]]*(VLOOKUP(Table410[[#This Row],[RATE CONCAT]],Tables!I:N,5,0)),0)</f>
        <v>0</v>
      </c>
      <c r="CX97" s="3">
        <f>IFERROR(Table410[[#This Row],[Sep_2026_Days_Actual]]*Table410[[#This Row],[Cost Boolean]]*(VLOOKUP(Table410[[#This Row],[RATE CONCAT]],Tables!I:N,5,0)),0)</f>
        <v>0</v>
      </c>
      <c r="CY97" s="3">
        <f>Table410[[#This Row],[Sep_2026_F]]-Table410[[#This Row],[Sep_2026_A]]</f>
        <v>0</v>
      </c>
      <c r="CZ97" s="103"/>
      <c r="DA97" s="3">
        <f>IFERROR(Table410[[#This Row],[Oct_2026_Days_Forecast]]*Table410[[#This Row],[Cost Boolean]]*(VLOOKUP(Table410[[#This Row],[RATE CONCAT]],Tables!I:N,5,0)),0)</f>
        <v>0</v>
      </c>
      <c r="DB97" s="3">
        <f>IFERROR(Table410[[#This Row],[Oct_2026_Days_Actual]]*Table410[[#This Row],[Cost Boolean]]*(VLOOKUP(Table410[[#This Row],[RATE CONCAT]],Tables!I:N,5,0)),0)</f>
        <v>0</v>
      </c>
      <c r="DC97" s="3">
        <f>Table410[[#This Row],[Oct_2026_F]]-Table410[[#This Row],[Oct_2026_A]]</f>
        <v>0</v>
      </c>
      <c r="DD97" s="103"/>
      <c r="DE97" s="3">
        <f>IFERROR(Table410[[#This Row],[Nov_2026_Days_Forecast]]*Table410[[#This Row],[Cost Boolean]]*(VLOOKUP(Table410[[#This Row],[RATE CONCAT]],Tables!I:N,5,0)),0)</f>
        <v>0</v>
      </c>
      <c r="DF97" s="3">
        <f>IFERROR(Table410[[#This Row],[Nov_2026_Days_Actual]]*Table410[[#This Row],[Cost Boolean]]*(VLOOKUP(Table410[[#This Row],[RATE CONCAT]],Tables!I:N,5,0)),0)</f>
        <v>0</v>
      </c>
      <c r="DG97" s="3">
        <f>Table410[[#This Row],[Nov_2026_F]]-Table410[[#This Row],[Nov_2026_A]]</f>
        <v>0</v>
      </c>
      <c r="DH97" s="103"/>
      <c r="DI97" s="3">
        <f>IFERROR(Table410[[#This Row],[Dec_2026_Days_Forecast]]*Table410[[#This Row],[Cost Boolean]]*(VLOOKUP(Table410[[#This Row],[RATE CONCAT]],Tables!I:N,5,0)),0)</f>
        <v>0</v>
      </c>
      <c r="DJ97" s="3">
        <f>IFERROR(Table410[[#This Row],[Dec_2026_Days_Actual]]*Table410[[#This Row],[Cost Boolean]]*(VLOOKUP(Table410[[#This Row],[RATE CONCAT]],Tables!I:N,5,0)),0)</f>
        <v>0</v>
      </c>
      <c r="DK97" s="126">
        <f>Table410[[#This Row],[Dec_2026_F]]-Table410[[#This Row],[Dec_2026_A]]</f>
        <v>0</v>
      </c>
      <c r="DL97" s="103"/>
      <c r="DM97" s="60"/>
      <c r="DN97" s="3">
        <f>IFERROR(Table410[[#This Row],[Jan_2027_Days_Forecast]]*Table410[[#This Row],[Cost Boolean]]*(VLOOKUP(Table410[[#This Row],[RATE CONCAT]],Tables!I:N,6,0)),0)</f>
        <v>0</v>
      </c>
      <c r="DO97" s="3"/>
      <c r="DP97" s="3">
        <f>Table410[[#This Row],[Jan_2027_F]]-Table410[[#This Row],[Jan_2027_A]]</f>
        <v>0</v>
      </c>
      <c r="DQ97" s="3">
        <f>IFERROR(Table410[[#This Row],[Feb_2027_Days_Forecast]]*Table410[[#This Row],[Cost Boolean]]*(VLOOKUP(Table410[[#This Row],[RATE CONCAT]],Tables!I:N,6,0)),0)</f>
        <v>0</v>
      </c>
      <c r="DR97" s="3"/>
      <c r="DS97" s="3">
        <f>Table410[[#This Row],[Feb_2027_F]]-Table410[[#This Row],[Feb_2027_A]]</f>
        <v>0</v>
      </c>
      <c r="DT97" s="3">
        <f>IFERROR(Table410[[#This Row],[Mar_2027_Days_Forecast]]*Table410[[#This Row],[Cost Boolean]]*(VLOOKUP(Table410[[#This Row],[RATE CONCAT]],Tables!I:N,6,0)),0)</f>
        <v>0</v>
      </c>
      <c r="DU97" s="3"/>
      <c r="DV97" s="3">
        <f>Table410[[#This Row],[Mar_2027_F]]-Table410[[#This Row],[Mar_2027_A]]</f>
        <v>0</v>
      </c>
      <c r="DW97" s="3">
        <f>IFERROR(Table410[[#This Row],[Apr_2027_Days_Forecast]]*Table410[[#This Row],[Cost Boolean]]*(VLOOKUP(Table410[[#This Row],[RATE CONCAT]],Tables!I:N,6,0)),0)</f>
        <v>0</v>
      </c>
      <c r="DX97" s="3"/>
      <c r="DY97" s="3">
        <f>Table410[[#This Row],[Apr_2027_F]]-Table410[[#This Row],[Apr_2027_A]]</f>
        <v>0</v>
      </c>
      <c r="DZ97" s="3">
        <f>IFERROR(Table410[[#This Row],[May_2027_Days_Forecast]]*Table410[[#This Row],[Cost Boolean]]*(VLOOKUP(Table410[[#This Row],[RATE CONCAT]],Tables!I:N,6,0)),0)</f>
        <v>0</v>
      </c>
      <c r="EA97" s="3"/>
      <c r="EB97" s="3">
        <f>Table410[[#This Row],[May_2027_F]]-Table410[[#This Row],[May_2027_A]]</f>
        <v>0</v>
      </c>
      <c r="EC97" s="3">
        <f>IFERROR(Table410[[#This Row],[Jun_2027_Days_Forecast]]*Table410[[#This Row],[Cost Boolean]]*(VLOOKUP(Table410[[#This Row],[RATE CONCAT]],Tables!I:N,6,0)),0)</f>
        <v>0</v>
      </c>
      <c r="ED97" s="3"/>
      <c r="EE97" s="3">
        <f>Table410[[#This Row],[Jun_2027_F]]-Table410[[#This Row],[Jun_2027_A]]</f>
        <v>0</v>
      </c>
      <c r="EF97" s="3">
        <f>IFERROR(Table410[[#This Row],[Jul_2027_Days_Forecast]]*Table410[[#This Row],[Cost Boolean]]*(VLOOKUP(Table410[[#This Row],[RATE CONCAT]],Tables!I:N,6,0)),0)</f>
        <v>0</v>
      </c>
      <c r="EG97" s="3"/>
      <c r="EH97" s="3">
        <f>Table410[[#This Row],[Jul_2027_F]]-Table410[[#This Row],[Jul_2027_A]]</f>
        <v>0</v>
      </c>
      <c r="EI97" s="3">
        <f>IFERROR(Table410[[#This Row],[Aug_2027_Days_Forecast]]*Table410[[#This Row],[Cost Boolean]]*(VLOOKUP(Table410[[#This Row],[RATE CONCAT]],Tables!I:N,6,0)),0)</f>
        <v>0</v>
      </c>
      <c r="EJ97" s="3"/>
      <c r="EK97" s="3">
        <f>Table410[[#This Row],[Aug_2027_F]]-Table410[[#This Row],[Aug_2027_A]]</f>
        <v>0</v>
      </c>
      <c r="EL97" s="3">
        <f>IFERROR(Table410[[#This Row],[Sep_2027_Days_Forecast]]*Table410[[#This Row],[Cost Boolean]]*(VLOOKUP(Table410[[#This Row],[RATE CONCAT]],Tables!I:N,6,0)),0)</f>
        <v>0</v>
      </c>
      <c r="EM97" s="3"/>
      <c r="EN97" s="3">
        <f>Table410[[#This Row],[Sep_2027_F]]-Table410[[#This Row],[Sep_2027_A]]</f>
        <v>0</v>
      </c>
      <c r="EO97" s="3">
        <f>IFERROR(Table410[[#This Row],[Oct_2027_Days_Forecast]]*Table410[[#This Row],[Cost Boolean]]*(VLOOKUP(Table410[[#This Row],[RATE CONCAT]],Tables!I:N,6,0)),0)</f>
        <v>0</v>
      </c>
      <c r="EP97" s="3"/>
      <c r="EQ97" s="3">
        <f>Table410[[#This Row],[Oct_2027_F]]-Table410[[#This Row],[Oct_2027_A]]</f>
        <v>0</v>
      </c>
      <c r="ER97" s="3">
        <f>IFERROR(Table410[[#This Row],[Nov_2027_Days_Forecast]]*Table410[[#This Row],[Cost Boolean]]*(VLOOKUP(Table410[[#This Row],[RATE CONCAT]],Tables!I:N,6,0)),0)</f>
        <v>0</v>
      </c>
      <c r="ES97" s="3"/>
      <c r="ET97" s="3">
        <f>Table410[[#This Row],[Nov_2027_F]]-Table410[[#This Row],[Nov_2027_A]]</f>
        <v>0</v>
      </c>
      <c r="EU97" s="3">
        <f>IFERROR(Table410[[#This Row],[Dec_2027_Days_Forecast]]*Table410[[#This Row],[Cost Boolean]]*(VLOOKUP(Table410[[#This Row],[RATE CONCAT]],Tables!I:N,6,0)),0)</f>
        <v>0</v>
      </c>
      <c r="EV97" s="3"/>
      <c r="EW97" s="3">
        <f>Table410[[#This Row],[Dec_2027_F]]-Table410[[#This Row],[Dec_2027_A]]</f>
        <v>0</v>
      </c>
    </row>
    <row r="98" spans="1:153" ht="1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4" t="str">
        <f>CONCATENATE(Table410[[#This Row],[JG]],Table410[[#This Row],[Country]],Table410[[#This Row],[Resource Provider]])</f>
        <v/>
      </c>
      <c r="Z98" s="14">
        <f>VLOOKUP(Table410[[#This Row],[RATE CONCAT]],Tables!I:N,5,0)</f>
        <v>0</v>
      </c>
      <c r="AA98" s="123"/>
      <c r="AB98" s="130"/>
      <c r="AC98" s="130"/>
      <c r="AD98" s="130"/>
      <c r="AE98" s="130"/>
      <c r="AF98" s="130"/>
      <c r="AG98" s="131"/>
      <c r="AH98" s="131"/>
      <c r="AI98" s="131"/>
      <c r="AJ98" s="131"/>
      <c r="AK98" s="131"/>
      <c r="AL98" s="130"/>
      <c r="AM98" s="130"/>
      <c r="AN98" s="176">
        <f>IFERROR(AVERAGE(Table410[[#This Row],[Jan_2026_Days_Forecast]:[Dec_2026_Days_Forecast]]),0)/19</f>
        <v>0</v>
      </c>
      <c r="AO98" s="176">
        <f>IFERROR(AVERAGE(Table410[[#This Row],[Jan_2026_Days_Actual]:[Dec_2026_Days_Actual]]),0)/19</f>
        <v>0</v>
      </c>
      <c r="AP98" s="84"/>
      <c r="AQ98" s="84"/>
      <c r="AR98" s="84"/>
      <c r="AS98" s="84"/>
      <c r="AT98" s="84"/>
      <c r="AU98" s="84"/>
      <c r="AV98" s="84"/>
      <c r="AW98" s="84"/>
      <c r="AX98" s="84"/>
      <c r="AY98" s="84"/>
      <c r="AZ98" s="84"/>
      <c r="BA98" s="84"/>
      <c r="BB98" s="176">
        <f>IFERROR(AVERAGE(Table410[[#This Row],[Jan_2027_Days_Forecast]:[Dec_2027_Days_Forecast]]),0)</f>
        <v>0</v>
      </c>
      <c r="BC98" s="127"/>
      <c r="BD98" s="127"/>
      <c r="BE98" s="127"/>
      <c r="BF98" s="127"/>
      <c r="BG98" s="127"/>
      <c r="BH98" s="127"/>
      <c r="BI98" s="127"/>
      <c r="BJ98" s="127"/>
      <c r="BK98" s="127"/>
      <c r="BL98" s="127"/>
      <c r="BM98" s="127"/>
      <c r="BN98" s="127"/>
      <c r="BO98" s="176"/>
      <c r="BP98" s="176"/>
      <c r="BQ98" s="3">
        <f>IFERROR(Table410[[#This Row],[Jan_2026_Days_Forecast]]*Table410[[#This Row],[Cost Boolean]]*(VLOOKUP(Table410[[#This Row],[RATE CONCAT]],Tables!I:N,5,0)),0)</f>
        <v>0</v>
      </c>
      <c r="BR98" s="3">
        <f>IFERROR(Table410[[#This Row],[Jan_2026_Days_Actual]]*Table410[[#This Row],[Cost Boolean]]*(VLOOKUP(Table410[[#This Row],[RATE CONCAT]],Tables!I:N,5,0)),0)</f>
        <v>0</v>
      </c>
      <c r="BS98" s="13">
        <f>Table410[[#This Row],[Jan_2026_F]]-Table410[[#This Row],[Jan_2026_A]]</f>
        <v>0</v>
      </c>
      <c r="BT98" s="114"/>
      <c r="BU98" s="13">
        <f>IFERROR(Table410[[#This Row],[Feb_2026_Days_Forecast]]*Table410[[#This Row],[Cost Boolean]]*(VLOOKUP(Table410[[#This Row],[RATE CONCAT]],Tables!I:N,5,0)),0)</f>
        <v>0</v>
      </c>
      <c r="BV98" s="3">
        <f>IFERROR(Table410[[#This Row],[Feb_2026_Days_Actual]]*Table410[[#This Row],[Cost Boolean]]*(VLOOKUP(Table410[[#This Row],[RATE CONCAT]],Tables!I:N,5,0)),0)</f>
        <v>0</v>
      </c>
      <c r="BW98" s="13">
        <f>Table410[[#This Row],[Feb_2026_F]]-Table410[[#This Row],[Feb_2026_A]]</f>
        <v>0</v>
      </c>
      <c r="BX98" s="3"/>
      <c r="BY98" s="3">
        <f>IFERROR(Table410[[#This Row],[Mar_2026_Days_Forecast]]*Table410[[#This Row],[Cost Boolean]]*(VLOOKUP(Table410[[#This Row],[RATE CONCAT]],Tables!I:N,5,0)),0)</f>
        <v>0</v>
      </c>
      <c r="BZ98" s="3">
        <f>IFERROR(Table410[[#This Row],[Mar_2026_Days_Actual]]*Table410[[#This Row],[Cost Boolean]]*(VLOOKUP(Table410[[#This Row],[RATE CONCAT]],Tables!I:N,5,0)),0)</f>
        <v>0</v>
      </c>
      <c r="CA98" s="3">
        <f>Table410[[#This Row],[Mar_2026_F]]-Table410[[#This Row],[Mar_2026_A]]</f>
        <v>0</v>
      </c>
      <c r="CB98" s="103"/>
      <c r="CC98" s="3">
        <f>IFERROR(Table410[[#This Row],[Apr_2026_Days_Forecast]]*Table410[[#This Row],[Cost Boolean]]*(VLOOKUP(Table410[[#This Row],[RATE CONCAT]],Tables!I:N,5,0)),0)</f>
        <v>0</v>
      </c>
      <c r="CD98" s="3">
        <f>IFERROR(Table410[[#This Row],[Apr_2026_Days_Actual]]*Table410[[#This Row],[Cost Boolean]]*(VLOOKUP(Table410[[#This Row],[RATE CONCAT]],Tables!I:N,5,0)),0)</f>
        <v>0</v>
      </c>
      <c r="CE98" s="3">
        <f>Table410[[#This Row],[Apr_2026_F]]-Table410[[#This Row],[Apr_2026_A]]</f>
        <v>0</v>
      </c>
      <c r="CF98" s="103"/>
      <c r="CG98" s="3">
        <f>IFERROR(Table410[[#This Row],[May_2026_Days_Forecast]] *Table410[[#This Row],[Cost Boolean]]*(VLOOKUP(Table410[[#This Row],[RATE CONCAT]],Tables!I:N,5,0)),0)</f>
        <v>0</v>
      </c>
      <c r="CH98" s="3">
        <f>IFERROR(Table410[[#This Row],[May_2026_Days_Actual]]*Table410[[#This Row],[Cost Boolean]]*(VLOOKUP(Table410[[#This Row],[RATE CONCAT]],Tables!I:N,5,0)),0)</f>
        <v>0</v>
      </c>
      <c r="CI98" s="3">
        <f>Table410[[#This Row],[May_2026_F]]-Table410[[#This Row],[May_2026_A]]</f>
        <v>0</v>
      </c>
      <c r="CJ98" s="103"/>
      <c r="CK98" s="3">
        <f>IFERROR(Table410[[#This Row],[Jun_2026_Days_Forecast]]*Table410[[#This Row],[Cost Boolean]]*(VLOOKUP(Table410[[#This Row],[RATE CONCAT]],Tables!I:N,5,0)),0)</f>
        <v>0</v>
      </c>
      <c r="CL98" s="3">
        <f>IFERROR(Table410[[#This Row],[Jun_2026_Days_Actual]]*Table410[[#This Row],[Cost Boolean]]*(VLOOKUP(Table410[[#This Row],[RATE CONCAT]],Tables!I:N,5,0)),0)</f>
        <v>0</v>
      </c>
      <c r="CM98" s="3">
        <f>Table410[[#This Row],[Jun_2026_F]]-Table410[[#This Row],[Jun_2026_A]]</f>
        <v>0</v>
      </c>
      <c r="CN98" s="103"/>
      <c r="CO98" s="3">
        <f>IFERROR(Table410[[#This Row],[Jul_2026_Days_Forecast]]*Table410[[#This Row],[Cost Boolean]]*(VLOOKUP(Table410[[#This Row],[RATE CONCAT]],Tables!I:N,5,0)),0)</f>
        <v>0</v>
      </c>
      <c r="CP98" s="3">
        <f>IFERROR(Table410[[#This Row],[Jul_2026_Days_Actual]]*Table410[[#This Row],[Cost Boolean]]*(VLOOKUP(Table410[[#This Row],[RATE CONCAT]],Tables!I:N,5,0)),0)</f>
        <v>0</v>
      </c>
      <c r="CQ98" s="3">
        <f>Table410[[#This Row],[Jul_2026_F]]-Table410[[#This Row],[Jul_2026_A]]</f>
        <v>0</v>
      </c>
      <c r="CR98" s="103"/>
      <c r="CS98" s="3">
        <f>IFERROR(Table410[[#This Row],[Aug_2026_Days_Forecast]]*Table410[[#This Row],[Cost Boolean]]*(VLOOKUP(Table410[[#This Row],[RATE CONCAT]],Tables!I:N,5,0)),0)</f>
        <v>0</v>
      </c>
      <c r="CT98" s="3">
        <f>IFERROR(Table410[[#This Row],[Aug_2026_Days_Actual]]*Table410[[#This Row],[Cost Boolean]]*(VLOOKUP(Table410[[#This Row],[RATE CONCAT]],Tables!I:N,5,0)),0)</f>
        <v>0</v>
      </c>
      <c r="CU98" s="3">
        <f>Table410[[#This Row],[Aug_2026_F]]-Table410[[#This Row],[Aug_2026_A]]</f>
        <v>0</v>
      </c>
      <c r="CV98" s="103"/>
      <c r="CW98" s="3">
        <f>IFERROR(Table410[[#This Row],[Sep_2026_Days_Forecast]]*Table410[[#This Row],[Cost Boolean]]*(VLOOKUP(Table410[[#This Row],[RATE CONCAT]],Tables!I:N,5,0)),0)</f>
        <v>0</v>
      </c>
      <c r="CX98" s="3">
        <f>IFERROR(Table410[[#This Row],[Sep_2026_Days_Actual]]*Table410[[#This Row],[Cost Boolean]]*(VLOOKUP(Table410[[#This Row],[RATE CONCAT]],Tables!I:N,5,0)),0)</f>
        <v>0</v>
      </c>
      <c r="CY98" s="3">
        <f>Table410[[#This Row],[Sep_2026_F]]-Table410[[#This Row],[Sep_2026_A]]</f>
        <v>0</v>
      </c>
      <c r="CZ98" s="103"/>
      <c r="DA98" s="3">
        <f>IFERROR(Table410[[#This Row],[Oct_2026_Days_Forecast]]*Table410[[#This Row],[Cost Boolean]]*(VLOOKUP(Table410[[#This Row],[RATE CONCAT]],Tables!I:N,5,0)),0)</f>
        <v>0</v>
      </c>
      <c r="DB98" s="3">
        <f>IFERROR(Table410[[#This Row],[Oct_2026_Days_Actual]]*Table410[[#This Row],[Cost Boolean]]*(VLOOKUP(Table410[[#This Row],[RATE CONCAT]],Tables!I:N,5,0)),0)</f>
        <v>0</v>
      </c>
      <c r="DC98" s="3">
        <f>Table410[[#This Row],[Oct_2026_F]]-Table410[[#This Row],[Oct_2026_A]]</f>
        <v>0</v>
      </c>
      <c r="DD98" s="103"/>
      <c r="DE98" s="3">
        <f>IFERROR(Table410[[#This Row],[Nov_2026_Days_Forecast]]*Table410[[#This Row],[Cost Boolean]]*(VLOOKUP(Table410[[#This Row],[RATE CONCAT]],Tables!I:N,5,0)),0)</f>
        <v>0</v>
      </c>
      <c r="DF98" s="3">
        <f>IFERROR(Table410[[#This Row],[Nov_2026_Days_Actual]]*Table410[[#This Row],[Cost Boolean]]*(VLOOKUP(Table410[[#This Row],[RATE CONCAT]],Tables!I:N,5,0)),0)</f>
        <v>0</v>
      </c>
      <c r="DG98" s="3">
        <f>Table410[[#This Row],[Nov_2026_F]]-Table410[[#This Row],[Nov_2026_A]]</f>
        <v>0</v>
      </c>
      <c r="DH98" s="103"/>
      <c r="DI98" s="3">
        <f>IFERROR(Table410[[#This Row],[Dec_2026_Days_Forecast]]*Table410[[#This Row],[Cost Boolean]]*(VLOOKUP(Table410[[#This Row],[RATE CONCAT]],Tables!I:N,5,0)),0)</f>
        <v>0</v>
      </c>
      <c r="DJ98" s="3">
        <f>IFERROR(Table410[[#This Row],[Dec_2026_Days_Actual]]*Table410[[#This Row],[Cost Boolean]]*(VLOOKUP(Table410[[#This Row],[RATE CONCAT]],Tables!I:N,5,0)),0)</f>
        <v>0</v>
      </c>
      <c r="DK98" s="126">
        <f>Table410[[#This Row],[Dec_2026_F]]-Table410[[#This Row],[Dec_2026_A]]</f>
        <v>0</v>
      </c>
      <c r="DL98" s="103"/>
      <c r="DM98" s="60"/>
      <c r="DN98" s="3">
        <f>IFERROR(Table410[[#This Row],[Jan_2027_Days_Forecast]]*Table410[[#This Row],[Cost Boolean]]*(VLOOKUP(Table410[[#This Row],[RATE CONCAT]],Tables!I:N,6,0)),0)</f>
        <v>0</v>
      </c>
      <c r="DO98" s="3"/>
      <c r="DP98" s="3">
        <f>Table410[[#This Row],[Jan_2027_F]]-Table410[[#This Row],[Jan_2027_A]]</f>
        <v>0</v>
      </c>
      <c r="DQ98" s="3">
        <f>IFERROR(Table410[[#This Row],[Feb_2027_Days_Forecast]]*Table410[[#This Row],[Cost Boolean]]*(VLOOKUP(Table410[[#This Row],[RATE CONCAT]],Tables!I:N,6,0)),0)</f>
        <v>0</v>
      </c>
      <c r="DR98" s="3"/>
      <c r="DS98" s="3">
        <f>Table410[[#This Row],[Feb_2027_F]]-Table410[[#This Row],[Feb_2027_A]]</f>
        <v>0</v>
      </c>
      <c r="DT98" s="3">
        <f>IFERROR(Table410[[#This Row],[Mar_2027_Days_Forecast]]*Table410[[#This Row],[Cost Boolean]]*(VLOOKUP(Table410[[#This Row],[RATE CONCAT]],Tables!I:N,6,0)),0)</f>
        <v>0</v>
      </c>
      <c r="DU98" s="3"/>
      <c r="DV98" s="3">
        <f>Table410[[#This Row],[Mar_2027_F]]-Table410[[#This Row],[Mar_2027_A]]</f>
        <v>0</v>
      </c>
      <c r="DW98" s="3">
        <f>IFERROR(Table410[[#This Row],[Apr_2027_Days_Forecast]]*Table410[[#This Row],[Cost Boolean]]*(VLOOKUP(Table410[[#This Row],[RATE CONCAT]],Tables!I:N,6,0)),0)</f>
        <v>0</v>
      </c>
      <c r="DX98" s="3"/>
      <c r="DY98" s="3">
        <f>Table410[[#This Row],[Apr_2027_F]]-Table410[[#This Row],[Apr_2027_A]]</f>
        <v>0</v>
      </c>
      <c r="DZ98" s="3">
        <f>IFERROR(Table410[[#This Row],[May_2027_Days_Forecast]]*Table410[[#This Row],[Cost Boolean]]*(VLOOKUP(Table410[[#This Row],[RATE CONCAT]],Tables!I:N,6,0)),0)</f>
        <v>0</v>
      </c>
      <c r="EA98" s="3"/>
      <c r="EB98" s="3">
        <f>Table410[[#This Row],[May_2027_F]]-Table410[[#This Row],[May_2027_A]]</f>
        <v>0</v>
      </c>
      <c r="EC98" s="3">
        <f>IFERROR(Table410[[#This Row],[Jun_2027_Days_Forecast]]*Table410[[#This Row],[Cost Boolean]]*(VLOOKUP(Table410[[#This Row],[RATE CONCAT]],Tables!I:N,6,0)),0)</f>
        <v>0</v>
      </c>
      <c r="ED98" s="3"/>
      <c r="EE98" s="3">
        <f>Table410[[#This Row],[Jun_2027_F]]-Table410[[#This Row],[Jun_2027_A]]</f>
        <v>0</v>
      </c>
      <c r="EF98" s="3">
        <f>IFERROR(Table410[[#This Row],[Jul_2027_Days_Forecast]]*Table410[[#This Row],[Cost Boolean]]*(VLOOKUP(Table410[[#This Row],[RATE CONCAT]],Tables!I:N,6,0)),0)</f>
        <v>0</v>
      </c>
      <c r="EG98" s="3"/>
      <c r="EH98" s="3">
        <f>Table410[[#This Row],[Jul_2027_F]]-Table410[[#This Row],[Jul_2027_A]]</f>
        <v>0</v>
      </c>
      <c r="EI98" s="3">
        <f>IFERROR(Table410[[#This Row],[Aug_2027_Days_Forecast]]*Table410[[#This Row],[Cost Boolean]]*(VLOOKUP(Table410[[#This Row],[RATE CONCAT]],Tables!I:N,6,0)),0)</f>
        <v>0</v>
      </c>
      <c r="EJ98" s="3"/>
      <c r="EK98" s="3">
        <f>Table410[[#This Row],[Aug_2027_F]]-Table410[[#This Row],[Aug_2027_A]]</f>
        <v>0</v>
      </c>
      <c r="EL98" s="3">
        <f>IFERROR(Table410[[#This Row],[Sep_2027_Days_Forecast]]*Table410[[#This Row],[Cost Boolean]]*(VLOOKUP(Table410[[#This Row],[RATE CONCAT]],Tables!I:N,6,0)),0)</f>
        <v>0</v>
      </c>
      <c r="EM98" s="3"/>
      <c r="EN98" s="3">
        <f>Table410[[#This Row],[Sep_2027_F]]-Table410[[#This Row],[Sep_2027_A]]</f>
        <v>0</v>
      </c>
      <c r="EO98" s="3">
        <f>IFERROR(Table410[[#This Row],[Oct_2027_Days_Forecast]]*Table410[[#This Row],[Cost Boolean]]*(VLOOKUP(Table410[[#This Row],[RATE CONCAT]],Tables!I:N,6,0)),0)</f>
        <v>0</v>
      </c>
      <c r="EP98" s="3"/>
      <c r="EQ98" s="3">
        <f>Table410[[#This Row],[Oct_2027_F]]-Table410[[#This Row],[Oct_2027_A]]</f>
        <v>0</v>
      </c>
      <c r="ER98" s="3">
        <f>IFERROR(Table410[[#This Row],[Nov_2027_Days_Forecast]]*Table410[[#This Row],[Cost Boolean]]*(VLOOKUP(Table410[[#This Row],[RATE CONCAT]],Tables!I:N,6,0)),0)</f>
        <v>0</v>
      </c>
      <c r="ES98" s="3"/>
      <c r="ET98" s="3">
        <f>Table410[[#This Row],[Nov_2027_F]]-Table410[[#This Row],[Nov_2027_A]]</f>
        <v>0</v>
      </c>
      <c r="EU98" s="3">
        <f>IFERROR(Table410[[#This Row],[Dec_2027_Days_Forecast]]*Table410[[#This Row],[Cost Boolean]]*(VLOOKUP(Table410[[#This Row],[RATE CONCAT]],Tables!I:N,6,0)),0)</f>
        <v>0</v>
      </c>
      <c r="EV98" s="3"/>
      <c r="EW98" s="3">
        <f>Table410[[#This Row],[Dec_2027_F]]-Table410[[#This Row],[Dec_2027_A]]</f>
        <v>0</v>
      </c>
    </row>
    <row r="99" spans="1:153" ht="1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4" t="str">
        <f>CONCATENATE(Table410[[#This Row],[JG]],Table410[[#This Row],[Country]],Table410[[#This Row],[Resource Provider]])</f>
        <v/>
      </c>
      <c r="Z99" s="14">
        <f>VLOOKUP(Table410[[#This Row],[RATE CONCAT]],Tables!I:N,5,0)</f>
        <v>0</v>
      </c>
      <c r="AA99" s="123"/>
      <c r="AB99" s="129"/>
      <c r="AC99" s="129"/>
      <c r="AD99" s="129"/>
      <c r="AE99" s="129"/>
      <c r="AF99" s="129"/>
      <c r="AG99" s="131"/>
      <c r="AH99" s="131"/>
      <c r="AI99" s="131"/>
      <c r="AJ99" s="131"/>
      <c r="AK99" s="131"/>
      <c r="AL99" s="131"/>
      <c r="AM99" s="131"/>
      <c r="AN99" s="176">
        <f>IFERROR(AVERAGE(Table410[[#This Row],[Jan_2026_Days_Forecast]:[Dec_2026_Days_Forecast]]),0)/19</f>
        <v>0</v>
      </c>
      <c r="AO99" s="176">
        <f>IFERROR(AVERAGE(Table410[[#This Row],[Jan_2026_Days_Actual]:[Dec_2026_Days_Actual]]),0)/19</f>
        <v>0</v>
      </c>
      <c r="AP99" s="84"/>
      <c r="AQ99" s="84"/>
      <c r="AR99" s="84"/>
      <c r="AS99" s="84"/>
      <c r="AT99" s="84"/>
      <c r="AU99" s="84"/>
      <c r="AV99" s="84"/>
      <c r="AW99" s="84"/>
      <c r="AX99" s="84"/>
      <c r="AY99" s="84"/>
      <c r="AZ99" s="84"/>
      <c r="BA99" s="84"/>
      <c r="BB99" s="176">
        <f>IFERROR(AVERAGE(Table410[[#This Row],[Jan_2027_Days_Forecast]:[Dec_2027_Days_Forecast]]),0)</f>
        <v>0</v>
      </c>
      <c r="BC99" s="129"/>
      <c r="BD99" s="129"/>
      <c r="BE99" s="129"/>
      <c r="BF99" s="129"/>
      <c r="BG99" s="129"/>
      <c r="BH99" s="129"/>
      <c r="BI99" s="129"/>
      <c r="BJ99" s="129"/>
      <c r="BK99" s="129"/>
      <c r="BL99" s="129"/>
      <c r="BM99" s="129"/>
      <c r="BN99" s="129"/>
      <c r="BO99" s="176"/>
      <c r="BP99" s="176"/>
      <c r="BQ99" s="3">
        <f>IFERROR(Table410[[#This Row],[Jan_2026_Days_Forecast]]*Table410[[#This Row],[Cost Boolean]]*(VLOOKUP(Table410[[#This Row],[RATE CONCAT]],Tables!I:N,5,0)),0)</f>
        <v>0</v>
      </c>
      <c r="BR99" s="3">
        <f>IFERROR(Table410[[#This Row],[Jan_2026_Days_Actual]]*Table410[[#This Row],[Cost Boolean]]*(VLOOKUP(Table410[[#This Row],[RATE CONCAT]],Tables!I:N,5,0)),0)</f>
        <v>0</v>
      </c>
      <c r="BS99" s="13">
        <f>Table410[[#This Row],[Jan_2026_F]]-Table410[[#This Row],[Jan_2026_A]]</f>
        <v>0</v>
      </c>
      <c r="BT99" s="114"/>
      <c r="BU99" s="13">
        <f>IFERROR(Table410[[#This Row],[Feb_2026_Days_Forecast]]*Table410[[#This Row],[Cost Boolean]]*(VLOOKUP(Table410[[#This Row],[RATE CONCAT]],Tables!I:N,5,0)),0)</f>
        <v>0</v>
      </c>
      <c r="BV99" s="3">
        <f>IFERROR(Table410[[#This Row],[Feb_2026_Days_Actual]]*Table410[[#This Row],[Cost Boolean]]*(VLOOKUP(Table410[[#This Row],[RATE CONCAT]],Tables!I:N,5,0)),0)</f>
        <v>0</v>
      </c>
      <c r="BW99" s="13">
        <f>Table410[[#This Row],[Feb_2026_F]]-Table410[[#This Row],[Feb_2026_A]]</f>
        <v>0</v>
      </c>
      <c r="BX99" s="3"/>
      <c r="BY99" s="3">
        <f>IFERROR(Table410[[#This Row],[Mar_2026_Days_Forecast]]*Table410[[#This Row],[Cost Boolean]]*(VLOOKUP(Table410[[#This Row],[RATE CONCAT]],Tables!I:N,5,0)),0)</f>
        <v>0</v>
      </c>
      <c r="BZ99" s="3">
        <f>IFERROR(Table410[[#This Row],[Mar_2026_Days_Actual]]*Table410[[#This Row],[Cost Boolean]]*(VLOOKUP(Table410[[#This Row],[RATE CONCAT]],Tables!I:N,5,0)),0)</f>
        <v>0</v>
      </c>
      <c r="CA99" s="3">
        <f>Table410[[#This Row],[Mar_2026_F]]-Table410[[#This Row],[Mar_2026_A]]</f>
        <v>0</v>
      </c>
      <c r="CB99" s="103"/>
      <c r="CC99" s="3">
        <f>IFERROR(Table410[[#This Row],[Apr_2026_Days_Forecast]]*Table410[[#This Row],[Cost Boolean]]*(VLOOKUP(Table410[[#This Row],[RATE CONCAT]],Tables!I:N,5,0)),0)</f>
        <v>0</v>
      </c>
      <c r="CD99" s="3">
        <f>IFERROR(Table410[[#This Row],[Apr_2026_Days_Actual]]*Table410[[#This Row],[Cost Boolean]]*(VLOOKUP(Table410[[#This Row],[RATE CONCAT]],Tables!I:N,5,0)),0)</f>
        <v>0</v>
      </c>
      <c r="CE99" s="3">
        <f>Table410[[#This Row],[Apr_2026_F]]-Table410[[#This Row],[Apr_2026_A]]</f>
        <v>0</v>
      </c>
      <c r="CF99" s="103"/>
      <c r="CG99" s="3">
        <f>IFERROR(Table410[[#This Row],[May_2026_Days_Forecast]] *Table410[[#This Row],[Cost Boolean]]*(VLOOKUP(Table410[[#This Row],[RATE CONCAT]],Tables!I:N,5,0)),0)</f>
        <v>0</v>
      </c>
      <c r="CH99" s="3">
        <f>IFERROR(Table410[[#This Row],[May_2026_Days_Actual]]*Table410[[#This Row],[Cost Boolean]]*(VLOOKUP(Table410[[#This Row],[RATE CONCAT]],Tables!I:N,5,0)),0)</f>
        <v>0</v>
      </c>
      <c r="CI99" s="3">
        <f>Table410[[#This Row],[May_2026_F]]-Table410[[#This Row],[May_2026_A]]</f>
        <v>0</v>
      </c>
      <c r="CJ99" s="103"/>
      <c r="CK99" s="3">
        <f>IFERROR(Table410[[#This Row],[Jun_2026_Days_Forecast]]*Table410[[#This Row],[Cost Boolean]]*(VLOOKUP(Table410[[#This Row],[RATE CONCAT]],Tables!I:N,5,0)),0)</f>
        <v>0</v>
      </c>
      <c r="CL99" s="3">
        <f>IFERROR(Table410[[#This Row],[Jun_2026_Days_Actual]]*Table410[[#This Row],[Cost Boolean]]*(VLOOKUP(Table410[[#This Row],[RATE CONCAT]],Tables!I:N,5,0)),0)</f>
        <v>0</v>
      </c>
      <c r="CM99" s="3">
        <f>Table410[[#This Row],[Jun_2026_F]]-Table410[[#This Row],[Jun_2026_A]]</f>
        <v>0</v>
      </c>
      <c r="CN99" s="103"/>
      <c r="CO99" s="3">
        <f>IFERROR(Table410[[#This Row],[Jul_2026_Days_Forecast]]*Table410[[#This Row],[Cost Boolean]]*(VLOOKUP(Table410[[#This Row],[RATE CONCAT]],Tables!I:N,5,0)),0)</f>
        <v>0</v>
      </c>
      <c r="CP99" s="3">
        <f>IFERROR(Table410[[#This Row],[Jul_2026_Days_Actual]]*Table410[[#This Row],[Cost Boolean]]*(VLOOKUP(Table410[[#This Row],[RATE CONCAT]],Tables!I:N,5,0)),0)</f>
        <v>0</v>
      </c>
      <c r="CQ99" s="3">
        <f>Table410[[#This Row],[Jul_2026_F]]-Table410[[#This Row],[Jul_2026_A]]</f>
        <v>0</v>
      </c>
      <c r="CR99" s="103"/>
      <c r="CS99" s="3">
        <f>IFERROR(Table410[[#This Row],[Aug_2026_Days_Forecast]]*Table410[[#This Row],[Cost Boolean]]*(VLOOKUP(Table410[[#This Row],[RATE CONCAT]],Tables!I:N,5,0)),0)</f>
        <v>0</v>
      </c>
      <c r="CT99" s="3">
        <f>IFERROR(Table410[[#This Row],[Aug_2026_Days_Actual]]*Table410[[#This Row],[Cost Boolean]]*(VLOOKUP(Table410[[#This Row],[RATE CONCAT]],Tables!I:N,5,0)),0)</f>
        <v>0</v>
      </c>
      <c r="CU99" s="3">
        <f>Table410[[#This Row],[Aug_2026_F]]-Table410[[#This Row],[Aug_2026_A]]</f>
        <v>0</v>
      </c>
      <c r="CV99" s="103"/>
      <c r="CW99" s="3">
        <f>IFERROR(Table410[[#This Row],[Sep_2026_Days_Forecast]]*Table410[[#This Row],[Cost Boolean]]*(VLOOKUP(Table410[[#This Row],[RATE CONCAT]],Tables!I:N,5,0)),0)</f>
        <v>0</v>
      </c>
      <c r="CX99" s="3">
        <f>IFERROR(Table410[[#This Row],[Sep_2026_Days_Actual]]*Table410[[#This Row],[Cost Boolean]]*(VLOOKUP(Table410[[#This Row],[RATE CONCAT]],Tables!I:N,5,0)),0)</f>
        <v>0</v>
      </c>
      <c r="CY99" s="3">
        <f>Table410[[#This Row],[Sep_2026_F]]-Table410[[#This Row],[Sep_2026_A]]</f>
        <v>0</v>
      </c>
      <c r="CZ99" s="103"/>
      <c r="DA99" s="3">
        <f>IFERROR(Table410[[#This Row],[Oct_2026_Days_Forecast]]*Table410[[#This Row],[Cost Boolean]]*(VLOOKUP(Table410[[#This Row],[RATE CONCAT]],Tables!I:N,5,0)),0)</f>
        <v>0</v>
      </c>
      <c r="DB99" s="3">
        <f>IFERROR(Table410[[#This Row],[Oct_2026_Days_Actual]]*Table410[[#This Row],[Cost Boolean]]*(VLOOKUP(Table410[[#This Row],[RATE CONCAT]],Tables!I:N,5,0)),0)</f>
        <v>0</v>
      </c>
      <c r="DC99" s="3">
        <f>Table410[[#This Row],[Oct_2026_F]]-Table410[[#This Row],[Oct_2026_A]]</f>
        <v>0</v>
      </c>
      <c r="DD99" s="103"/>
      <c r="DE99" s="3">
        <f>IFERROR(Table410[[#This Row],[Nov_2026_Days_Forecast]]*Table410[[#This Row],[Cost Boolean]]*(VLOOKUP(Table410[[#This Row],[RATE CONCAT]],Tables!I:N,5,0)),0)</f>
        <v>0</v>
      </c>
      <c r="DF99" s="3">
        <f>IFERROR(Table410[[#This Row],[Nov_2026_Days_Actual]]*Table410[[#This Row],[Cost Boolean]]*(VLOOKUP(Table410[[#This Row],[RATE CONCAT]],Tables!I:N,5,0)),0)</f>
        <v>0</v>
      </c>
      <c r="DG99" s="3">
        <f>Table410[[#This Row],[Nov_2026_F]]-Table410[[#This Row],[Nov_2026_A]]</f>
        <v>0</v>
      </c>
      <c r="DH99" s="103"/>
      <c r="DI99" s="3">
        <f>IFERROR(Table410[[#This Row],[Dec_2026_Days_Forecast]]*Table410[[#This Row],[Cost Boolean]]*(VLOOKUP(Table410[[#This Row],[RATE CONCAT]],Tables!I:N,5,0)),0)</f>
        <v>0</v>
      </c>
      <c r="DJ99" s="3">
        <f>IFERROR(Table410[[#This Row],[Dec_2026_Days_Actual]]*Table410[[#This Row],[Cost Boolean]]*(VLOOKUP(Table410[[#This Row],[RATE CONCAT]],Tables!I:N,5,0)),0)</f>
        <v>0</v>
      </c>
      <c r="DK99" s="126">
        <f>Table410[[#This Row],[Dec_2026_F]]-Table410[[#This Row],[Dec_2026_A]]</f>
        <v>0</v>
      </c>
      <c r="DL99" s="103"/>
      <c r="DM99" s="60"/>
      <c r="DN99" s="3">
        <f>IFERROR(Table410[[#This Row],[Jan_2027_Days_Forecast]]*Table410[[#This Row],[Cost Boolean]]*(VLOOKUP(Table410[[#This Row],[RATE CONCAT]],Tables!I:N,6,0)),0)</f>
        <v>0</v>
      </c>
      <c r="DO99" s="3"/>
      <c r="DP99" s="3">
        <f>Table410[[#This Row],[Jan_2027_F]]-Table410[[#This Row],[Jan_2027_A]]</f>
        <v>0</v>
      </c>
      <c r="DQ99" s="3">
        <f>IFERROR(Table410[[#This Row],[Feb_2027_Days_Forecast]]*Table410[[#This Row],[Cost Boolean]]*(VLOOKUP(Table410[[#This Row],[RATE CONCAT]],Tables!I:N,6,0)),0)</f>
        <v>0</v>
      </c>
      <c r="DR99" s="3"/>
      <c r="DS99" s="3">
        <f>Table410[[#This Row],[Feb_2027_F]]-Table410[[#This Row],[Feb_2027_A]]</f>
        <v>0</v>
      </c>
      <c r="DT99" s="3">
        <f>IFERROR(Table410[[#This Row],[Mar_2027_Days_Forecast]]*Table410[[#This Row],[Cost Boolean]]*(VLOOKUP(Table410[[#This Row],[RATE CONCAT]],Tables!I:N,6,0)),0)</f>
        <v>0</v>
      </c>
      <c r="DU99" s="3"/>
      <c r="DV99" s="3">
        <f>Table410[[#This Row],[Mar_2027_F]]-Table410[[#This Row],[Mar_2027_A]]</f>
        <v>0</v>
      </c>
      <c r="DW99" s="3">
        <f>IFERROR(Table410[[#This Row],[Apr_2027_Days_Forecast]]*Table410[[#This Row],[Cost Boolean]]*(VLOOKUP(Table410[[#This Row],[RATE CONCAT]],Tables!I:N,6,0)),0)</f>
        <v>0</v>
      </c>
      <c r="DX99" s="3"/>
      <c r="DY99" s="3">
        <f>Table410[[#This Row],[Apr_2027_F]]-Table410[[#This Row],[Apr_2027_A]]</f>
        <v>0</v>
      </c>
      <c r="DZ99" s="3">
        <f>IFERROR(Table410[[#This Row],[May_2027_Days_Forecast]]*Table410[[#This Row],[Cost Boolean]]*(VLOOKUP(Table410[[#This Row],[RATE CONCAT]],Tables!I:N,6,0)),0)</f>
        <v>0</v>
      </c>
      <c r="EA99" s="3"/>
      <c r="EB99" s="3">
        <f>Table410[[#This Row],[May_2027_F]]-Table410[[#This Row],[May_2027_A]]</f>
        <v>0</v>
      </c>
      <c r="EC99" s="3">
        <f>IFERROR(Table410[[#This Row],[Jun_2027_Days_Forecast]]*Table410[[#This Row],[Cost Boolean]]*(VLOOKUP(Table410[[#This Row],[RATE CONCAT]],Tables!I:N,6,0)),0)</f>
        <v>0</v>
      </c>
      <c r="ED99" s="3"/>
      <c r="EE99" s="3">
        <f>Table410[[#This Row],[Jun_2027_F]]-Table410[[#This Row],[Jun_2027_A]]</f>
        <v>0</v>
      </c>
      <c r="EF99" s="3">
        <f>IFERROR(Table410[[#This Row],[Jul_2027_Days_Forecast]]*Table410[[#This Row],[Cost Boolean]]*(VLOOKUP(Table410[[#This Row],[RATE CONCAT]],Tables!I:N,6,0)),0)</f>
        <v>0</v>
      </c>
      <c r="EG99" s="3"/>
      <c r="EH99" s="3">
        <f>Table410[[#This Row],[Jul_2027_F]]-Table410[[#This Row],[Jul_2027_A]]</f>
        <v>0</v>
      </c>
      <c r="EI99" s="3">
        <f>IFERROR(Table410[[#This Row],[Aug_2027_Days_Forecast]]*Table410[[#This Row],[Cost Boolean]]*(VLOOKUP(Table410[[#This Row],[RATE CONCAT]],Tables!I:N,6,0)),0)</f>
        <v>0</v>
      </c>
      <c r="EJ99" s="3"/>
      <c r="EK99" s="3">
        <f>Table410[[#This Row],[Aug_2027_F]]-Table410[[#This Row],[Aug_2027_A]]</f>
        <v>0</v>
      </c>
      <c r="EL99" s="3">
        <f>IFERROR(Table410[[#This Row],[Sep_2027_Days_Forecast]]*Table410[[#This Row],[Cost Boolean]]*(VLOOKUP(Table410[[#This Row],[RATE CONCAT]],Tables!I:N,6,0)),0)</f>
        <v>0</v>
      </c>
      <c r="EM99" s="3"/>
      <c r="EN99" s="3">
        <f>Table410[[#This Row],[Sep_2027_F]]-Table410[[#This Row],[Sep_2027_A]]</f>
        <v>0</v>
      </c>
      <c r="EO99" s="3">
        <f>IFERROR(Table410[[#This Row],[Oct_2027_Days_Forecast]]*Table410[[#This Row],[Cost Boolean]]*(VLOOKUP(Table410[[#This Row],[RATE CONCAT]],Tables!I:N,6,0)),0)</f>
        <v>0</v>
      </c>
      <c r="EP99" s="3"/>
      <c r="EQ99" s="3">
        <f>Table410[[#This Row],[Oct_2027_F]]-Table410[[#This Row],[Oct_2027_A]]</f>
        <v>0</v>
      </c>
      <c r="ER99" s="3">
        <f>IFERROR(Table410[[#This Row],[Nov_2027_Days_Forecast]]*Table410[[#This Row],[Cost Boolean]]*(VLOOKUP(Table410[[#This Row],[RATE CONCAT]],Tables!I:N,6,0)),0)</f>
        <v>0</v>
      </c>
      <c r="ES99" s="3"/>
      <c r="ET99" s="3">
        <f>Table410[[#This Row],[Nov_2027_F]]-Table410[[#This Row],[Nov_2027_A]]</f>
        <v>0</v>
      </c>
      <c r="EU99" s="3">
        <f>IFERROR(Table410[[#This Row],[Dec_2027_Days_Forecast]]*Table410[[#This Row],[Cost Boolean]]*(VLOOKUP(Table410[[#This Row],[RATE CONCAT]],Tables!I:N,6,0)),0)</f>
        <v>0</v>
      </c>
      <c r="EV99" s="3"/>
      <c r="EW99" s="3">
        <f>Table410[[#This Row],[Dec_2027_F]]-Table410[[#This Row],[Dec_2027_A]]</f>
        <v>0</v>
      </c>
    </row>
    <row r="100" spans="1:153" ht="1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4" t="str">
        <f>CONCATENATE(Table410[[#This Row],[JG]],Table410[[#This Row],[Country]],Table410[[#This Row],[Resource Provider]])</f>
        <v/>
      </c>
      <c r="Z100" s="14">
        <f>VLOOKUP(Table410[[#This Row],[RATE CONCAT]],Tables!I:N,5,0)</f>
        <v>0</v>
      </c>
      <c r="AA100" s="123"/>
      <c r="AB100" s="129"/>
      <c r="AC100" s="129"/>
      <c r="AD100" s="129"/>
      <c r="AE100" s="131"/>
      <c r="AF100" s="131"/>
      <c r="AG100" s="131"/>
      <c r="AH100" s="131"/>
      <c r="AI100" s="131"/>
      <c r="AJ100" s="131"/>
      <c r="AK100" s="131"/>
      <c r="AL100" s="131"/>
      <c r="AM100" s="131"/>
      <c r="AN100" s="176">
        <f>IFERROR(AVERAGE(Table410[[#This Row],[Jan_2026_Days_Forecast]:[Dec_2026_Days_Forecast]]),0)/19</f>
        <v>0</v>
      </c>
      <c r="AO100" s="176">
        <f>IFERROR(AVERAGE(Table410[[#This Row],[Jan_2026_Days_Actual]:[Dec_2026_Days_Actual]]),0)/19</f>
        <v>0</v>
      </c>
      <c r="AP100" s="84"/>
      <c r="AQ100" s="84"/>
      <c r="AR100" s="84"/>
      <c r="AS100" s="84"/>
      <c r="AT100" s="84"/>
      <c r="AU100" s="84"/>
      <c r="AV100" s="84"/>
      <c r="AW100" s="84"/>
      <c r="AX100" s="84"/>
      <c r="AY100" s="84"/>
      <c r="AZ100" s="84"/>
      <c r="BA100" s="84"/>
      <c r="BB100" s="176">
        <f>IFERROR(AVERAGE(Table410[[#This Row],[Jan_2027_Days_Forecast]:[Dec_2027_Days_Forecast]]),0)</f>
        <v>0</v>
      </c>
      <c r="BC100" s="129"/>
      <c r="BD100" s="129"/>
      <c r="BE100" s="129"/>
      <c r="BF100" s="129"/>
      <c r="BG100" s="129"/>
      <c r="BH100" s="129"/>
      <c r="BI100" s="129"/>
      <c r="BJ100" s="129"/>
      <c r="BK100" s="129"/>
      <c r="BL100" s="129"/>
      <c r="BM100" s="129"/>
      <c r="BN100" s="129"/>
      <c r="BO100" s="176"/>
      <c r="BP100" s="176"/>
      <c r="BQ100" s="3">
        <f>IFERROR(Table410[[#This Row],[Jan_2026_Days_Forecast]]*Table410[[#This Row],[Cost Boolean]]*(VLOOKUP(Table410[[#This Row],[RATE CONCAT]],Tables!I:N,5,0)),0)</f>
        <v>0</v>
      </c>
      <c r="BR100" s="3">
        <f>IFERROR(Table410[[#This Row],[Jan_2026_Days_Actual]]*Table410[[#This Row],[Cost Boolean]]*(VLOOKUP(Table410[[#This Row],[RATE CONCAT]],Tables!I:N,5,0)),0)</f>
        <v>0</v>
      </c>
      <c r="BS100" s="13">
        <f>Table410[[#This Row],[Jan_2026_F]]-Table410[[#This Row],[Jan_2026_A]]</f>
        <v>0</v>
      </c>
      <c r="BT100" s="114"/>
      <c r="BU100" s="13">
        <f>IFERROR(Table410[[#This Row],[Feb_2026_Days_Forecast]]*Table410[[#This Row],[Cost Boolean]]*(VLOOKUP(Table410[[#This Row],[RATE CONCAT]],Tables!I:N,5,0)),0)</f>
        <v>0</v>
      </c>
      <c r="BV100" s="3">
        <f>IFERROR(Table410[[#This Row],[Feb_2026_Days_Actual]]*Table410[[#This Row],[Cost Boolean]]*(VLOOKUP(Table410[[#This Row],[RATE CONCAT]],Tables!I:N,5,0)),0)</f>
        <v>0</v>
      </c>
      <c r="BW100" s="13">
        <f>Table410[[#This Row],[Feb_2026_F]]-Table410[[#This Row],[Feb_2026_A]]</f>
        <v>0</v>
      </c>
      <c r="BX100" s="3"/>
      <c r="BY100" s="3">
        <f>IFERROR(Table410[[#This Row],[Mar_2026_Days_Forecast]]*Table410[[#This Row],[Cost Boolean]]*(VLOOKUP(Table410[[#This Row],[RATE CONCAT]],Tables!I:N,5,0)),0)</f>
        <v>0</v>
      </c>
      <c r="BZ100" s="3">
        <f>IFERROR(Table410[[#This Row],[Mar_2026_Days_Actual]]*Table410[[#This Row],[Cost Boolean]]*(VLOOKUP(Table410[[#This Row],[RATE CONCAT]],Tables!I:N,5,0)),0)</f>
        <v>0</v>
      </c>
      <c r="CA100" s="3">
        <f>Table410[[#This Row],[Mar_2026_F]]-Table410[[#This Row],[Mar_2026_A]]</f>
        <v>0</v>
      </c>
      <c r="CB100" s="103"/>
      <c r="CC100" s="3">
        <f>IFERROR(Table410[[#This Row],[Apr_2026_Days_Forecast]]*Table410[[#This Row],[Cost Boolean]]*(VLOOKUP(Table410[[#This Row],[RATE CONCAT]],Tables!I:N,5,0)),0)</f>
        <v>0</v>
      </c>
      <c r="CD100" s="3">
        <f>IFERROR(Table410[[#This Row],[Apr_2026_Days_Actual]]*Table410[[#This Row],[Cost Boolean]]*(VLOOKUP(Table410[[#This Row],[RATE CONCAT]],Tables!I:N,5,0)),0)</f>
        <v>0</v>
      </c>
      <c r="CE100" s="3">
        <f>Table410[[#This Row],[Apr_2026_F]]-Table410[[#This Row],[Apr_2026_A]]</f>
        <v>0</v>
      </c>
      <c r="CF100" s="103"/>
      <c r="CG100" s="3">
        <f>IFERROR(Table410[[#This Row],[May_2026_Days_Forecast]] *Table410[[#This Row],[Cost Boolean]]*(VLOOKUP(Table410[[#This Row],[RATE CONCAT]],Tables!I:N,5,0)),0)</f>
        <v>0</v>
      </c>
      <c r="CH100" s="3">
        <f>IFERROR(Table410[[#This Row],[May_2026_Days_Actual]]*Table410[[#This Row],[Cost Boolean]]*(VLOOKUP(Table410[[#This Row],[RATE CONCAT]],Tables!I:N,5,0)),0)</f>
        <v>0</v>
      </c>
      <c r="CI100" s="3">
        <f>Table410[[#This Row],[May_2026_F]]-Table410[[#This Row],[May_2026_A]]</f>
        <v>0</v>
      </c>
      <c r="CJ100" s="103"/>
      <c r="CK100" s="3">
        <f>IFERROR(Table410[[#This Row],[Jun_2026_Days_Forecast]]*Table410[[#This Row],[Cost Boolean]]*(VLOOKUP(Table410[[#This Row],[RATE CONCAT]],Tables!I:N,5,0)),0)</f>
        <v>0</v>
      </c>
      <c r="CL100" s="3">
        <f>IFERROR(Table410[[#This Row],[Jun_2026_Days_Actual]]*Table410[[#This Row],[Cost Boolean]]*(VLOOKUP(Table410[[#This Row],[RATE CONCAT]],Tables!I:N,5,0)),0)</f>
        <v>0</v>
      </c>
      <c r="CM100" s="3">
        <f>Table410[[#This Row],[Jun_2026_F]]-Table410[[#This Row],[Jun_2026_A]]</f>
        <v>0</v>
      </c>
      <c r="CN100" s="103"/>
      <c r="CO100" s="3">
        <f>IFERROR(Table410[[#This Row],[Jul_2026_Days_Forecast]]*Table410[[#This Row],[Cost Boolean]]*(VLOOKUP(Table410[[#This Row],[RATE CONCAT]],Tables!I:N,5,0)),0)</f>
        <v>0</v>
      </c>
      <c r="CP100" s="3">
        <f>IFERROR(Table410[[#This Row],[Jul_2026_Days_Actual]]*Table410[[#This Row],[Cost Boolean]]*(VLOOKUP(Table410[[#This Row],[RATE CONCAT]],Tables!I:N,5,0)),0)</f>
        <v>0</v>
      </c>
      <c r="CQ100" s="3">
        <f>Table410[[#This Row],[Jul_2026_F]]-Table410[[#This Row],[Jul_2026_A]]</f>
        <v>0</v>
      </c>
      <c r="CR100" s="103"/>
      <c r="CS100" s="3">
        <f>IFERROR(Table410[[#This Row],[Aug_2026_Days_Forecast]]*Table410[[#This Row],[Cost Boolean]]*(VLOOKUP(Table410[[#This Row],[RATE CONCAT]],Tables!I:N,5,0)),0)</f>
        <v>0</v>
      </c>
      <c r="CT100" s="3">
        <f>IFERROR(Table410[[#This Row],[Aug_2026_Days_Actual]]*Table410[[#This Row],[Cost Boolean]]*(VLOOKUP(Table410[[#This Row],[RATE CONCAT]],Tables!I:N,5,0)),0)</f>
        <v>0</v>
      </c>
      <c r="CU100" s="3">
        <f>Table410[[#This Row],[Aug_2026_F]]-Table410[[#This Row],[Aug_2026_A]]</f>
        <v>0</v>
      </c>
      <c r="CV100" s="103"/>
      <c r="CW100" s="3">
        <f>IFERROR(Table410[[#This Row],[Sep_2026_Days_Forecast]]*Table410[[#This Row],[Cost Boolean]]*(VLOOKUP(Table410[[#This Row],[RATE CONCAT]],Tables!I:N,5,0)),0)</f>
        <v>0</v>
      </c>
      <c r="CX100" s="3">
        <f>IFERROR(Table410[[#This Row],[Sep_2026_Days_Actual]]*Table410[[#This Row],[Cost Boolean]]*(VLOOKUP(Table410[[#This Row],[RATE CONCAT]],Tables!I:N,5,0)),0)</f>
        <v>0</v>
      </c>
      <c r="CY100" s="3">
        <f>Table410[[#This Row],[Sep_2026_F]]-Table410[[#This Row],[Sep_2026_A]]</f>
        <v>0</v>
      </c>
      <c r="CZ100" s="103"/>
      <c r="DA100" s="3">
        <f>IFERROR(Table410[[#This Row],[Oct_2026_Days_Forecast]]*Table410[[#This Row],[Cost Boolean]]*(VLOOKUP(Table410[[#This Row],[RATE CONCAT]],Tables!I:N,5,0)),0)</f>
        <v>0</v>
      </c>
      <c r="DB100" s="3">
        <f>IFERROR(Table410[[#This Row],[Oct_2026_Days_Actual]]*Table410[[#This Row],[Cost Boolean]]*(VLOOKUP(Table410[[#This Row],[RATE CONCAT]],Tables!I:N,5,0)),0)</f>
        <v>0</v>
      </c>
      <c r="DC100" s="3">
        <f>Table410[[#This Row],[Oct_2026_F]]-Table410[[#This Row],[Oct_2026_A]]</f>
        <v>0</v>
      </c>
      <c r="DD100" s="103"/>
      <c r="DE100" s="3">
        <f>IFERROR(Table410[[#This Row],[Nov_2026_Days_Forecast]]*Table410[[#This Row],[Cost Boolean]]*(VLOOKUP(Table410[[#This Row],[RATE CONCAT]],Tables!I:N,5,0)),0)</f>
        <v>0</v>
      </c>
      <c r="DF100" s="3">
        <f>IFERROR(Table410[[#This Row],[Nov_2026_Days_Actual]]*Table410[[#This Row],[Cost Boolean]]*(VLOOKUP(Table410[[#This Row],[RATE CONCAT]],Tables!I:N,5,0)),0)</f>
        <v>0</v>
      </c>
      <c r="DG100" s="3">
        <f>Table410[[#This Row],[Nov_2026_F]]-Table410[[#This Row],[Nov_2026_A]]</f>
        <v>0</v>
      </c>
      <c r="DH100" s="103"/>
      <c r="DI100" s="3">
        <f>IFERROR(Table410[[#This Row],[Dec_2026_Days_Forecast]]*Table410[[#This Row],[Cost Boolean]]*(VLOOKUP(Table410[[#This Row],[RATE CONCAT]],Tables!I:N,5,0)),0)</f>
        <v>0</v>
      </c>
      <c r="DJ100" s="3">
        <f>IFERROR(Table410[[#This Row],[Dec_2026_Days_Actual]]*Table410[[#This Row],[Cost Boolean]]*(VLOOKUP(Table410[[#This Row],[RATE CONCAT]],Tables!I:N,5,0)),0)</f>
        <v>0</v>
      </c>
      <c r="DK100" s="126">
        <f>Table410[[#This Row],[Dec_2026_F]]-Table410[[#This Row],[Dec_2026_A]]</f>
        <v>0</v>
      </c>
      <c r="DL100" s="103"/>
      <c r="DM100" s="60"/>
      <c r="DN100" s="3">
        <f>IFERROR(Table410[[#This Row],[Jan_2027_Days_Forecast]]*Table410[[#This Row],[Cost Boolean]]*(VLOOKUP(Table410[[#This Row],[RATE CONCAT]],Tables!I:N,6,0)),0)</f>
        <v>0</v>
      </c>
      <c r="DO100" s="3"/>
      <c r="DP100" s="3">
        <f>Table410[[#This Row],[Jan_2027_F]]-Table410[[#This Row],[Jan_2027_A]]</f>
        <v>0</v>
      </c>
      <c r="DQ100" s="3">
        <f>IFERROR(Table410[[#This Row],[Feb_2027_Days_Forecast]]*Table410[[#This Row],[Cost Boolean]]*(VLOOKUP(Table410[[#This Row],[RATE CONCAT]],Tables!I:N,6,0)),0)</f>
        <v>0</v>
      </c>
      <c r="DR100" s="3"/>
      <c r="DS100" s="3">
        <f>Table410[[#This Row],[Feb_2027_F]]-Table410[[#This Row],[Feb_2027_A]]</f>
        <v>0</v>
      </c>
      <c r="DT100" s="3">
        <f>IFERROR(Table410[[#This Row],[Mar_2027_Days_Forecast]]*Table410[[#This Row],[Cost Boolean]]*(VLOOKUP(Table410[[#This Row],[RATE CONCAT]],Tables!I:N,6,0)),0)</f>
        <v>0</v>
      </c>
      <c r="DU100" s="3"/>
      <c r="DV100" s="3">
        <f>Table410[[#This Row],[Mar_2027_F]]-Table410[[#This Row],[Mar_2027_A]]</f>
        <v>0</v>
      </c>
      <c r="DW100" s="3">
        <f>IFERROR(Table410[[#This Row],[Apr_2027_Days_Forecast]]*Table410[[#This Row],[Cost Boolean]]*(VLOOKUP(Table410[[#This Row],[RATE CONCAT]],Tables!I:N,6,0)),0)</f>
        <v>0</v>
      </c>
      <c r="DX100" s="3"/>
      <c r="DY100" s="3">
        <f>Table410[[#This Row],[Apr_2027_F]]-Table410[[#This Row],[Apr_2027_A]]</f>
        <v>0</v>
      </c>
      <c r="DZ100" s="3">
        <f>IFERROR(Table410[[#This Row],[May_2027_Days_Forecast]]*Table410[[#This Row],[Cost Boolean]]*(VLOOKUP(Table410[[#This Row],[RATE CONCAT]],Tables!I:N,6,0)),0)</f>
        <v>0</v>
      </c>
      <c r="EA100" s="3"/>
      <c r="EB100" s="3">
        <f>Table410[[#This Row],[May_2027_F]]-Table410[[#This Row],[May_2027_A]]</f>
        <v>0</v>
      </c>
      <c r="EC100" s="3">
        <f>IFERROR(Table410[[#This Row],[Jun_2027_Days_Forecast]]*Table410[[#This Row],[Cost Boolean]]*(VLOOKUP(Table410[[#This Row],[RATE CONCAT]],Tables!I:N,6,0)),0)</f>
        <v>0</v>
      </c>
      <c r="ED100" s="3"/>
      <c r="EE100" s="3">
        <f>Table410[[#This Row],[Jun_2027_F]]-Table410[[#This Row],[Jun_2027_A]]</f>
        <v>0</v>
      </c>
      <c r="EF100" s="3">
        <f>IFERROR(Table410[[#This Row],[Jul_2027_Days_Forecast]]*Table410[[#This Row],[Cost Boolean]]*(VLOOKUP(Table410[[#This Row],[RATE CONCAT]],Tables!I:N,6,0)),0)</f>
        <v>0</v>
      </c>
      <c r="EG100" s="3"/>
      <c r="EH100" s="3">
        <f>Table410[[#This Row],[Jul_2027_F]]-Table410[[#This Row],[Jul_2027_A]]</f>
        <v>0</v>
      </c>
      <c r="EI100" s="3">
        <f>IFERROR(Table410[[#This Row],[Aug_2027_Days_Forecast]]*Table410[[#This Row],[Cost Boolean]]*(VLOOKUP(Table410[[#This Row],[RATE CONCAT]],Tables!I:N,6,0)),0)</f>
        <v>0</v>
      </c>
      <c r="EJ100" s="3"/>
      <c r="EK100" s="3">
        <f>Table410[[#This Row],[Aug_2027_F]]-Table410[[#This Row],[Aug_2027_A]]</f>
        <v>0</v>
      </c>
      <c r="EL100" s="3">
        <f>IFERROR(Table410[[#This Row],[Sep_2027_Days_Forecast]]*Table410[[#This Row],[Cost Boolean]]*(VLOOKUP(Table410[[#This Row],[RATE CONCAT]],Tables!I:N,6,0)),0)</f>
        <v>0</v>
      </c>
      <c r="EM100" s="3"/>
      <c r="EN100" s="3">
        <f>Table410[[#This Row],[Sep_2027_F]]-Table410[[#This Row],[Sep_2027_A]]</f>
        <v>0</v>
      </c>
      <c r="EO100" s="3">
        <f>IFERROR(Table410[[#This Row],[Oct_2027_Days_Forecast]]*Table410[[#This Row],[Cost Boolean]]*(VLOOKUP(Table410[[#This Row],[RATE CONCAT]],Tables!I:N,6,0)),0)</f>
        <v>0</v>
      </c>
      <c r="EP100" s="3"/>
      <c r="EQ100" s="3">
        <f>Table410[[#This Row],[Oct_2027_F]]-Table410[[#This Row],[Oct_2027_A]]</f>
        <v>0</v>
      </c>
      <c r="ER100" s="3">
        <f>IFERROR(Table410[[#This Row],[Nov_2027_Days_Forecast]]*Table410[[#This Row],[Cost Boolean]]*(VLOOKUP(Table410[[#This Row],[RATE CONCAT]],Tables!I:N,6,0)),0)</f>
        <v>0</v>
      </c>
      <c r="ES100" s="3"/>
      <c r="ET100" s="3">
        <f>Table410[[#This Row],[Nov_2027_F]]-Table410[[#This Row],[Nov_2027_A]]</f>
        <v>0</v>
      </c>
      <c r="EU100" s="3">
        <f>IFERROR(Table410[[#This Row],[Dec_2027_Days_Forecast]]*Table410[[#This Row],[Cost Boolean]]*(VLOOKUP(Table410[[#This Row],[RATE CONCAT]],Tables!I:N,6,0)),0)</f>
        <v>0</v>
      </c>
      <c r="EV100" s="3"/>
      <c r="EW100" s="3">
        <f>Table410[[#This Row],[Dec_2027_F]]-Table410[[#This Row],[Dec_2027_A]]</f>
        <v>0</v>
      </c>
    </row>
    <row r="101" spans="1:153" ht="1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4" t="str">
        <f>CONCATENATE(Table410[[#This Row],[JG]],Table410[[#This Row],[Country]],Table410[[#This Row],[Resource Provider]])</f>
        <v/>
      </c>
      <c r="Z101" s="14">
        <f>VLOOKUP(Table410[[#This Row],[RATE CONCAT]],Tables!I:N,5,0)</f>
        <v>0</v>
      </c>
      <c r="AA101" s="123"/>
      <c r="AB101" s="129"/>
      <c r="AC101" s="129"/>
      <c r="AD101" s="129"/>
      <c r="AE101" s="131"/>
      <c r="AF101" s="131"/>
      <c r="AG101" s="131"/>
      <c r="AH101" s="131"/>
      <c r="AI101" s="131"/>
      <c r="AJ101" s="131"/>
      <c r="AK101" s="131"/>
      <c r="AL101" s="131"/>
      <c r="AM101" s="131"/>
      <c r="AN101" s="176">
        <f>IFERROR(AVERAGE(Table410[[#This Row],[Jan_2026_Days_Forecast]:[Dec_2026_Days_Forecast]]),0)/19</f>
        <v>0</v>
      </c>
      <c r="AO101" s="176">
        <f>IFERROR(AVERAGE(Table410[[#This Row],[Jan_2026_Days_Actual]:[Dec_2026_Days_Actual]]),0)/19</f>
        <v>0</v>
      </c>
      <c r="AP101" s="84"/>
      <c r="AQ101" s="84"/>
      <c r="AR101" s="84"/>
      <c r="AS101" s="84"/>
      <c r="AT101" s="84"/>
      <c r="AU101" s="84"/>
      <c r="AV101" s="84"/>
      <c r="AW101" s="84"/>
      <c r="AX101" s="84"/>
      <c r="AY101" s="84"/>
      <c r="AZ101" s="84"/>
      <c r="BA101" s="84"/>
      <c r="BB101" s="176">
        <f>IFERROR(AVERAGE(Table410[[#This Row],[Jan_2027_Days_Forecast]:[Dec_2027_Days_Forecast]]),0)</f>
        <v>0</v>
      </c>
      <c r="BC101" s="129"/>
      <c r="BD101" s="129"/>
      <c r="BE101" s="129"/>
      <c r="BF101" s="129"/>
      <c r="BG101" s="129"/>
      <c r="BH101" s="129"/>
      <c r="BI101" s="129"/>
      <c r="BJ101" s="129"/>
      <c r="BK101" s="129"/>
      <c r="BL101" s="129"/>
      <c r="BM101" s="129"/>
      <c r="BN101" s="129"/>
      <c r="BO101" s="176"/>
      <c r="BP101" s="176"/>
      <c r="BQ101" s="3">
        <f>IFERROR(Table410[[#This Row],[Jan_2026_Days_Forecast]]*Table410[[#This Row],[Cost Boolean]]*(VLOOKUP(Table410[[#This Row],[RATE CONCAT]],Tables!I:N,5,0)),0)</f>
        <v>0</v>
      </c>
      <c r="BR101" s="3">
        <f>IFERROR(Table410[[#This Row],[Jan_2026_Days_Actual]]*Table410[[#This Row],[Cost Boolean]]*(VLOOKUP(Table410[[#This Row],[RATE CONCAT]],Tables!I:N,5,0)),0)</f>
        <v>0</v>
      </c>
      <c r="BS101" s="13">
        <f>Table410[[#This Row],[Jan_2026_F]]-Table410[[#This Row],[Jan_2026_A]]</f>
        <v>0</v>
      </c>
      <c r="BT101" s="114"/>
      <c r="BU101" s="13">
        <f>IFERROR(Table410[[#This Row],[Feb_2026_Days_Forecast]]*Table410[[#This Row],[Cost Boolean]]*(VLOOKUP(Table410[[#This Row],[RATE CONCAT]],Tables!I:N,5,0)),0)</f>
        <v>0</v>
      </c>
      <c r="BV101" s="3">
        <f>IFERROR(Table410[[#This Row],[Feb_2026_Days_Actual]]*Table410[[#This Row],[Cost Boolean]]*(VLOOKUP(Table410[[#This Row],[RATE CONCAT]],Tables!I:N,5,0)),0)</f>
        <v>0</v>
      </c>
      <c r="BW101" s="13">
        <f>Table410[[#This Row],[Feb_2026_F]]-Table410[[#This Row],[Feb_2026_A]]</f>
        <v>0</v>
      </c>
      <c r="BX101" s="3"/>
      <c r="BY101" s="3">
        <f>IFERROR(Table410[[#This Row],[Mar_2026_Days_Forecast]]*Table410[[#This Row],[Cost Boolean]]*(VLOOKUP(Table410[[#This Row],[RATE CONCAT]],Tables!I:N,5,0)),0)</f>
        <v>0</v>
      </c>
      <c r="BZ101" s="3">
        <f>IFERROR(Table410[[#This Row],[Mar_2026_Days_Actual]]*Table410[[#This Row],[Cost Boolean]]*(VLOOKUP(Table410[[#This Row],[RATE CONCAT]],Tables!I:N,5,0)),0)</f>
        <v>0</v>
      </c>
      <c r="CA101" s="3">
        <f>Table410[[#This Row],[Mar_2026_F]]-Table410[[#This Row],[Mar_2026_A]]</f>
        <v>0</v>
      </c>
      <c r="CB101" s="103"/>
      <c r="CC101" s="3">
        <f>IFERROR(Table410[[#This Row],[Apr_2026_Days_Forecast]]*Table410[[#This Row],[Cost Boolean]]*(VLOOKUP(Table410[[#This Row],[RATE CONCAT]],Tables!I:N,5,0)),0)</f>
        <v>0</v>
      </c>
      <c r="CD101" s="3">
        <f>IFERROR(Table410[[#This Row],[Apr_2026_Days_Actual]]*Table410[[#This Row],[Cost Boolean]]*(VLOOKUP(Table410[[#This Row],[RATE CONCAT]],Tables!I:N,5,0)),0)</f>
        <v>0</v>
      </c>
      <c r="CE101" s="3">
        <f>Table410[[#This Row],[Apr_2026_F]]-Table410[[#This Row],[Apr_2026_A]]</f>
        <v>0</v>
      </c>
      <c r="CF101" s="103"/>
      <c r="CG101" s="3">
        <f>IFERROR(Table410[[#This Row],[May_2026_Days_Forecast]] *Table410[[#This Row],[Cost Boolean]]*(VLOOKUP(Table410[[#This Row],[RATE CONCAT]],Tables!I:N,5,0)),0)</f>
        <v>0</v>
      </c>
      <c r="CH101" s="3">
        <f>IFERROR(Table410[[#This Row],[May_2026_Days_Actual]]*Table410[[#This Row],[Cost Boolean]]*(VLOOKUP(Table410[[#This Row],[RATE CONCAT]],Tables!I:N,5,0)),0)</f>
        <v>0</v>
      </c>
      <c r="CI101" s="3">
        <f>Table410[[#This Row],[May_2026_F]]-Table410[[#This Row],[May_2026_A]]</f>
        <v>0</v>
      </c>
      <c r="CJ101" s="103"/>
      <c r="CK101" s="3">
        <f>IFERROR(Table410[[#This Row],[Jun_2026_Days_Forecast]]*Table410[[#This Row],[Cost Boolean]]*(VLOOKUP(Table410[[#This Row],[RATE CONCAT]],Tables!I:N,5,0)),0)</f>
        <v>0</v>
      </c>
      <c r="CL101" s="3">
        <f>IFERROR(Table410[[#This Row],[Jun_2026_Days_Actual]]*Table410[[#This Row],[Cost Boolean]]*(VLOOKUP(Table410[[#This Row],[RATE CONCAT]],Tables!I:N,5,0)),0)</f>
        <v>0</v>
      </c>
      <c r="CM101" s="3">
        <f>Table410[[#This Row],[Jun_2026_F]]-Table410[[#This Row],[Jun_2026_A]]</f>
        <v>0</v>
      </c>
      <c r="CN101" s="103"/>
      <c r="CO101" s="3">
        <f>IFERROR(Table410[[#This Row],[Jul_2026_Days_Forecast]]*Table410[[#This Row],[Cost Boolean]]*(VLOOKUP(Table410[[#This Row],[RATE CONCAT]],Tables!I:N,5,0)),0)</f>
        <v>0</v>
      </c>
      <c r="CP101" s="3">
        <f>IFERROR(Table410[[#This Row],[Jul_2026_Days_Actual]]*Table410[[#This Row],[Cost Boolean]]*(VLOOKUP(Table410[[#This Row],[RATE CONCAT]],Tables!I:N,5,0)),0)</f>
        <v>0</v>
      </c>
      <c r="CQ101" s="3">
        <f>Table410[[#This Row],[Jul_2026_F]]-Table410[[#This Row],[Jul_2026_A]]</f>
        <v>0</v>
      </c>
      <c r="CR101" s="103"/>
      <c r="CS101" s="3">
        <f>IFERROR(Table410[[#This Row],[Aug_2026_Days_Forecast]]*Table410[[#This Row],[Cost Boolean]]*(VLOOKUP(Table410[[#This Row],[RATE CONCAT]],Tables!I:N,5,0)),0)</f>
        <v>0</v>
      </c>
      <c r="CT101" s="3">
        <f>IFERROR(Table410[[#This Row],[Aug_2026_Days_Actual]]*Table410[[#This Row],[Cost Boolean]]*(VLOOKUP(Table410[[#This Row],[RATE CONCAT]],Tables!I:N,5,0)),0)</f>
        <v>0</v>
      </c>
      <c r="CU101" s="3">
        <f>Table410[[#This Row],[Aug_2026_F]]-Table410[[#This Row],[Aug_2026_A]]</f>
        <v>0</v>
      </c>
      <c r="CV101" s="103"/>
      <c r="CW101" s="3">
        <f>IFERROR(Table410[[#This Row],[Sep_2026_Days_Forecast]]*Table410[[#This Row],[Cost Boolean]]*(VLOOKUP(Table410[[#This Row],[RATE CONCAT]],Tables!I:N,5,0)),0)</f>
        <v>0</v>
      </c>
      <c r="CX101" s="3">
        <f>IFERROR(Table410[[#This Row],[Sep_2026_Days_Actual]]*Table410[[#This Row],[Cost Boolean]]*(VLOOKUP(Table410[[#This Row],[RATE CONCAT]],Tables!I:N,5,0)),0)</f>
        <v>0</v>
      </c>
      <c r="CY101" s="3">
        <f>Table410[[#This Row],[Sep_2026_F]]-Table410[[#This Row],[Sep_2026_A]]</f>
        <v>0</v>
      </c>
      <c r="CZ101" s="103"/>
      <c r="DA101" s="3">
        <f>IFERROR(Table410[[#This Row],[Oct_2026_Days_Forecast]]*Table410[[#This Row],[Cost Boolean]]*(VLOOKUP(Table410[[#This Row],[RATE CONCAT]],Tables!I:N,5,0)),0)</f>
        <v>0</v>
      </c>
      <c r="DB101" s="3">
        <f>IFERROR(Table410[[#This Row],[Oct_2026_Days_Actual]]*Table410[[#This Row],[Cost Boolean]]*(VLOOKUP(Table410[[#This Row],[RATE CONCAT]],Tables!I:N,5,0)),0)</f>
        <v>0</v>
      </c>
      <c r="DC101" s="3">
        <f>Table410[[#This Row],[Oct_2026_F]]-Table410[[#This Row],[Oct_2026_A]]</f>
        <v>0</v>
      </c>
      <c r="DD101" s="103"/>
      <c r="DE101" s="3">
        <f>IFERROR(Table410[[#This Row],[Nov_2026_Days_Forecast]]*Table410[[#This Row],[Cost Boolean]]*(VLOOKUP(Table410[[#This Row],[RATE CONCAT]],Tables!I:N,5,0)),0)</f>
        <v>0</v>
      </c>
      <c r="DF101" s="3">
        <f>IFERROR(Table410[[#This Row],[Nov_2026_Days_Actual]]*Table410[[#This Row],[Cost Boolean]]*(VLOOKUP(Table410[[#This Row],[RATE CONCAT]],Tables!I:N,5,0)),0)</f>
        <v>0</v>
      </c>
      <c r="DG101" s="3">
        <f>Table410[[#This Row],[Nov_2026_F]]-Table410[[#This Row],[Nov_2026_A]]</f>
        <v>0</v>
      </c>
      <c r="DH101" s="103"/>
      <c r="DI101" s="3">
        <f>IFERROR(Table410[[#This Row],[Dec_2026_Days_Forecast]]*Table410[[#This Row],[Cost Boolean]]*(VLOOKUP(Table410[[#This Row],[RATE CONCAT]],Tables!I:N,5,0)),0)</f>
        <v>0</v>
      </c>
      <c r="DJ101" s="3">
        <f>IFERROR(Table410[[#This Row],[Dec_2026_Days_Actual]]*Table410[[#This Row],[Cost Boolean]]*(VLOOKUP(Table410[[#This Row],[RATE CONCAT]],Tables!I:N,5,0)),0)</f>
        <v>0</v>
      </c>
      <c r="DK101" s="126">
        <f>Table410[[#This Row],[Dec_2026_F]]-Table410[[#This Row],[Dec_2026_A]]</f>
        <v>0</v>
      </c>
      <c r="DL101" s="103"/>
      <c r="DM101" s="60"/>
      <c r="DN101" s="3">
        <f>IFERROR(Table410[[#This Row],[Jan_2027_Days_Forecast]]*Table410[[#This Row],[Cost Boolean]]*(VLOOKUP(Table410[[#This Row],[RATE CONCAT]],Tables!I:N,6,0)),0)</f>
        <v>0</v>
      </c>
      <c r="DO101" s="3"/>
      <c r="DP101" s="3">
        <f>Table410[[#This Row],[Jan_2027_F]]-Table410[[#This Row],[Jan_2027_A]]</f>
        <v>0</v>
      </c>
      <c r="DQ101" s="3">
        <f>IFERROR(Table410[[#This Row],[Feb_2027_Days_Forecast]]*Table410[[#This Row],[Cost Boolean]]*(VLOOKUP(Table410[[#This Row],[RATE CONCAT]],Tables!I:N,6,0)),0)</f>
        <v>0</v>
      </c>
      <c r="DR101" s="3"/>
      <c r="DS101" s="3">
        <f>Table410[[#This Row],[Feb_2027_F]]-Table410[[#This Row],[Feb_2027_A]]</f>
        <v>0</v>
      </c>
      <c r="DT101" s="3">
        <f>IFERROR(Table410[[#This Row],[Mar_2027_Days_Forecast]]*Table410[[#This Row],[Cost Boolean]]*(VLOOKUP(Table410[[#This Row],[RATE CONCAT]],Tables!I:N,6,0)),0)</f>
        <v>0</v>
      </c>
      <c r="DU101" s="3"/>
      <c r="DV101" s="3">
        <f>Table410[[#This Row],[Mar_2027_F]]-Table410[[#This Row],[Mar_2027_A]]</f>
        <v>0</v>
      </c>
      <c r="DW101" s="3">
        <f>IFERROR(Table410[[#This Row],[Apr_2027_Days_Forecast]]*Table410[[#This Row],[Cost Boolean]]*(VLOOKUP(Table410[[#This Row],[RATE CONCAT]],Tables!I:N,6,0)),0)</f>
        <v>0</v>
      </c>
      <c r="DX101" s="3"/>
      <c r="DY101" s="3">
        <f>Table410[[#This Row],[Apr_2027_F]]-Table410[[#This Row],[Apr_2027_A]]</f>
        <v>0</v>
      </c>
      <c r="DZ101" s="3">
        <f>IFERROR(Table410[[#This Row],[May_2027_Days_Forecast]]*Table410[[#This Row],[Cost Boolean]]*(VLOOKUP(Table410[[#This Row],[RATE CONCAT]],Tables!I:N,6,0)),0)</f>
        <v>0</v>
      </c>
      <c r="EA101" s="3"/>
      <c r="EB101" s="3">
        <f>Table410[[#This Row],[May_2027_F]]-Table410[[#This Row],[May_2027_A]]</f>
        <v>0</v>
      </c>
      <c r="EC101" s="3">
        <f>IFERROR(Table410[[#This Row],[Jun_2027_Days_Forecast]]*Table410[[#This Row],[Cost Boolean]]*(VLOOKUP(Table410[[#This Row],[RATE CONCAT]],Tables!I:N,6,0)),0)</f>
        <v>0</v>
      </c>
      <c r="ED101" s="3"/>
      <c r="EE101" s="3">
        <f>Table410[[#This Row],[Jun_2027_F]]-Table410[[#This Row],[Jun_2027_A]]</f>
        <v>0</v>
      </c>
      <c r="EF101" s="3">
        <f>IFERROR(Table410[[#This Row],[Jul_2027_Days_Forecast]]*Table410[[#This Row],[Cost Boolean]]*(VLOOKUP(Table410[[#This Row],[RATE CONCAT]],Tables!I:N,6,0)),0)</f>
        <v>0</v>
      </c>
      <c r="EG101" s="3"/>
      <c r="EH101" s="3">
        <f>Table410[[#This Row],[Jul_2027_F]]-Table410[[#This Row],[Jul_2027_A]]</f>
        <v>0</v>
      </c>
      <c r="EI101" s="3">
        <f>IFERROR(Table410[[#This Row],[Aug_2027_Days_Forecast]]*Table410[[#This Row],[Cost Boolean]]*(VLOOKUP(Table410[[#This Row],[RATE CONCAT]],Tables!I:N,6,0)),0)</f>
        <v>0</v>
      </c>
      <c r="EJ101" s="3"/>
      <c r="EK101" s="3">
        <f>Table410[[#This Row],[Aug_2027_F]]-Table410[[#This Row],[Aug_2027_A]]</f>
        <v>0</v>
      </c>
      <c r="EL101" s="3">
        <f>IFERROR(Table410[[#This Row],[Sep_2027_Days_Forecast]]*Table410[[#This Row],[Cost Boolean]]*(VLOOKUP(Table410[[#This Row],[RATE CONCAT]],Tables!I:N,6,0)),0)</f>
        <v>0</v>
      </c>
      <c r="EM101" s="3"/>
      <c r="EN101" s="3">
        <f>Table410[[#This Row],[Sep_2027_F]]-Table410[[#This Row],[Sep_2027_A]]</f>
        <v>0</v>
      </c>
      <c r="EO101" s="3">
        <f>IFERROR(Table410[[#This Row],[Oct_2027_Days_Forecast]]*Table410[[#This Row],[Cost Boolean]]*(VLOOKUP(Table410[[#This Row],[RATE CONCAT]],Tables!I:N,6,0)),0)</f>
        <v>0</v>
      </c>
      <c r="EP101" s="3"/>
      <c r="EQ101" s="3">
        <f>Table410[[#This Row],[Oct_2027_F]]-Table410[[#This Row],[Oct_2027_A]]</f>
        <v>0</v>
      </c>
      <c r="ER101" s="3">
        <f>IFERROR(Table410[[#This Row],[Nov_2027_Days_Forecast]]*Table410[[#This Row],[Cost Boolean]]*(VLOOKUP(Table410[[#This Row],[RATE CONCAT]],Tables!I:N,6,0)),0)</f>
        <v>0</v>
      </c>
      <c r="ES101" s="3"/>
      <c r="ET101" s="3">
        <f>Table410[[#This Row],[Nov_2027_F]]-Table410[[#This Row],[Nov_2027_A]]</f>
        <v>0</v>
      </c>
      <c r="EU101" s="3">
        <f>IFERROR(Table410[[#This Row],[Dec_2027_Days_Forecast]]*Table410[[#This Row],[Cost Boolean]]*(VLOOKUP(Table410[[#This Row],[RATE CONCAT]],Tables!I:N,6,0)),0)</f>
        <v>0</v>
      </c>
      <c r="EV101" s="3"/>
      <c r="EW101" s="3">
        <f>Table410[[#This Row],[Dec_2027_F]]-Table410[[#This Row],[Dec_2027_A]]</f>
        <v>0</v>
      </c>
    </row>
    <row r="102" spans="1:153" ht="1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4" t="str">
        <f>CONCATENATE(Table410[[#This Row],[JG]],Table410[[#This Row],[Country]],Table410[[#This Row],[Resource Provider]])</f>
        <v/>
      </c>
      <c r="Z102" s="14">
        <f>VLOOKUP(Table410[[#This Row],[RATE CONCAT]],Tables!I:N,5,0)</f>
        <v>0</v>
      </c>
      <c r="AA102" s="123"/>
      <c r="AB102" s="130"/>
      <c r="AC102" s="130"/>
      <c r="AD102" s="130"/>
      <c r="AE102" s="131"/>
      <c r="AF102" s="131"/>
      <c r="AG102" s="131"/>
      <c r="AH102" s="131"/>
      <c r="AI102" s="131"/>
      <c r="AJ102" s="131"/>
      <c r="AK102" s="131"/>
      <c r="AL102" s="131"/>
      <c r="AM102" s="131"/>
      <c r="AN102" s="176">
        <f>IFERROR(AVERAGE(Table410[[#This Row],[Jan_2026_Days_Forecast]:[Dec_2026_Days_Forecast]]),0)/19</f>
        <v>0</v>
      </c>
      <c r="AO102" s="176">
        <f>IFERROR(AVERAGE(Table410[[#This Row],[Jan_2026_Days_Actual]:[Dec_2026_Days_Actual]]),0)/19</f>
        <v>0</v>
      </c>
      <c r="AP102" s="84"/>
      <c r="AQ102" s="84"/>
      <c r="AR102" s="84"/>
      <c r="AS102" s="84"/>
      <c r="AT102" s="84"/>
      <c r="AU102" s="84"/>
      <c r="AV102" s="84"/>
      <c r="AW102" s="84"/>
      <c r="AX102" s="84"/>
      <c r="AY102" s="84"/>
      <c r="AZ102" s="84"/>
      <c r="BA102" s="84"/>
      <c r="BB102" s="176">
        <f>IFERROR(AVERAGE(Table410[[#This Row],[Jan_2027_Days_Forecast]:[Dec_2027_Days_Forecast]]),0)</f>
        <v>0</v>
      </c>
      <c r="BC102" s="129"/>
      <c r="BD102" s="129"/>
      <c r="BE102" s="129"/>
      <c r="BF102" s="129"/>
      <c r="BG102" s="129"/>
      <c r="BH102" s="129"/>
      <c r="BI102" s="129"/>
      <c r="BJ102" s="129"/>
      <c r="BK102" s="129"/>
      <c r="BL102" s="129"/>
      <c r="BM102" s="129"/>
      <c r="BN102" s="129"/>
      <c r="BO102" s="176"/>
      <c r="BP102" s="176"/>
      <c r="BQ102" s="3">
        <f>IFERROR(Table410[[#This Row],[Jan_2026_Days_Forecast]]*Table410[[#This Row],[Cost Boolean]]*(VLOOKUP(Table410[[#This Row],[RATE CONCAT]],Tables!I:N,5,0)),0)</f>
        <v>0</v>
      </c>
      <c r="BR102" s="3">
        <f>IFERROR(Table410[[#This Row],[Jan_2026_Days_Actual]]*Table410[[#This Row],[Cost Boolean]]*(VLOOKUP(Table410[[#This Row],[RATE CONCAT]],Tables!I:N,5,0)),0)</f>
        <v>0</v>
      </c>
      <c r="BS102" s="13">
        <f>Table410[[#This Row],[Jan_2026_F]]-Table410[[#This Row],[Jan_2026_A]]</f>
        <v>0</v>
      </c>
      <c r="BT102" s="114"/>
      <c r="BU102" s="13">
        <f>IFERROR(Table410[[#This Row],[Feb_2026_Days_Forecast]]*Table410[[#This Row],[Cost Boolean]]*(VLOOKUP(Table410[[#This Row],[RATE CONCAT]],Tables!I:N,5,0)),0)</f>
        <v>0</v>
      </c>
      <c r="BV102" s="3">
        <f>IFERROR(Table410[[#This Row],[Feb_2026_Days_Actual]]*Table410[[#This Row],[Cost Boolean]]*(VLOOKUP(Table410[[#This Row],[RATE CONCAT]],Tables!I:N,5,0)),0)</f>
        <v>0</v>
      </c>
      <c r="BW102" s="13">
        <f>Table410[[#This Row],[Feb_2026_F]]-Table410[[#This Row],[Feb_2026_A]]</f>
        <v>0</v>
      </c>
      <c r="BX102" s="3"/>
      <c r="BY102" s="3">
        <f>IFERROR(Table410[[#This Row],[Mar_2026_Days_Forecast]]*Table410[[#This Row],[Cost Boolean]]*(VLOOKUP(Table410[[#This Row],[RATE CONCAT]],Tables!I:N,5,0)),0)</f>
        <v>0</v>
      </c>
      <c r="BZ102" s="3">
        <f>IFERROR(Table410[[#This Row],[Mar_2026_Days_Actual]]*Table410[[#This Row],[Cost Boolean]]*(VLOOKUP(Table410[[#This Row],[RATE CONCAT]],Tables!I:N,5,0)),0)</f>
        <v>0</v>
      </c>
      <c r="CA102" s="3">
        <f>Table410[[#This Row],[Mar_2026_F]]-Table410[[#This Row],[Mar_2026_A]]</f>
        <v>0</v>
      </c>
      <c r="CB102" s="103"/>
      <c r="CC102" s="3">
        <f>IFERROR(Table410[[#This Row],[Apr_2026_Days_Forecast]]*Table410[[#This Row],[Cost Boolean]]*(VLOOKUP(Table410[[#This Row],[RATE CONCAT]],Tables!I:N,5,0)),0)</f>
        <v>0</v>
      </c>
      <c r="CD102" s="3">
        <f>IFERROR(Table410[[#This Row],[Apr_2026_Days_Actual]]*Table410[[#This Row],[Cost Boolean]]*(VLOOKUP(Table410[[#This Row],[RATE CONCAT]],Tables!I:N,5,0)),0)</f>
        <v>0</v>
      </c>
      <c r="CE102" s="3">
        <f>Table410[[#This Row],[Apr_2026_F]]-Table410[[#This Row],[Apr_2026_A]]</f>
        <v>0</v>
      </c>
      <c r="CF102" s="103"/>
      <c r="CG102" s="3">
        <f>IFERROR(Table410[[#This Row],[May_2026_Days_Forecast]] *Table410[[#This Row],[Cost Boolean]]*(VLOOKUP(Table410[[#This Row],[RATE CONCAT]],Tables!I:N,5,0)),0)</f>
        <v>0</v>
      </c>
      <c r="CH102" s="3">
        <f>IFERROR(Table410[[#This Row],[May_2026_Days_Actual]]*Table410[[#This Row],[Cost Boolean]]*(VLOOKUP(Table410[[#This Row],[RATE CONCAT]],Tables!I:N,5,0)),0)</f>
        <v>0</v>
      </c>
      <c r="CI102" s="3">
        <f>Table410[[#This Row],[May_2026_F]]-Table410[[#This Row],[May_2026_A]]</f>
        <v>0</v>
      </c>
      <c r="CJ102" s="103"/>
      <c r="CK102" s="3">
        <f>IFERROR(Table410[[#This Row],[Jun_2026_Days_Forecast]]*Table410[[#This Row],[Cost Boolean]]*(VLOOKUP(Table410[[#This Row],[RATE CONCAT]],Tables!I:N,5,0)),0)</f>
        <v>0</v>
      </c>
      <c r="CL102" s="3">
        <f>IFERROR(Table410[[#This Row],[Jun_2026_Days_Actual]]*Table410[[#This Row],[Cost Boolean]]*(VLOOKUP(Table410[[#This Row],[RATE CONCAT]],Tables!I:N,5,0)),0)</f>
        <v>0</v>
      </c>
      <c r="CM102" s="3">
        <f>Table410[[#This Row],[Jun_2026_F]]-Table410[[#This Row],[Jun_2026_A]]</f>
        <v>0</v>
      </c>
      <c r="CN102" s="103"/>
      <c r="CO102" s="3">
        <f>IFERROR(Table410[[#This Row],[Jul_2026_Days_Forecast]]*Table410[[#This Row],[Cost Boolean]]*(VLOOKUP(Table410[[#This Row],[RATE CONCAT]],Tables!I:N,5,0)),0)</f>
        <v>0</v>
      </c>
      <c r="CP102" s="3">
        <f>IFERROR(Table410[[#This Row],[Jul_2026_Days_Actual]]*Table410[[#This Row],[Cost Boolean]]*(VLOOKUP(Table410[[#This Row],[RATE CONCAT]],Tables!I:N,5,0)),0)</f>
        <v>0</v>
      </c>
      <c r="CQ102" s="3">
        <f>Table410[[#This Row],[Jul_2026_F]]-Table410[[#This Row],[Jul_2026_A]]</f>
        <v>0</v>
      </c>
      <c r="CR102" s="103"/>
      <c r="CS102" s="3">
        <f>IFERROR(Table410[[#This Row],[Aug_2026_Days_Forecast]]*Table410[[#This Row],[Cost Boolean]]*(VLOOKUP(Table410[[#This Row],[RATE CONCAT]],Tables!I:N,5,0)),0)</f>
        <v>0</v>
      </c>
      <c r="CT102" s="3">
        <f>IFERROR(Table410[[#This Row],[Aug_2026_Days_Actual]]*Table410[[#This Row],[Cost Boolean]]*(VLOOKUP(Table410[[#This Row],[RATE CONCAT]],Tables!I:N,5,0)),0)</f>
        <v>0</v>
      </c>
      <c r="CU102" s="3">
        <f>Table410[[#This Row],[Aug_2026_F]]-Table410[[#This Row],[Aug_2026_A]]</f>
        <v>0</v>
      </c>
      <c r="CV102" s="103"/>
      <c r="CW102" s="3">
        <f>IFERROR(Table410[[#This Row],[Sep_2026_Days_Forecast]]*Table410[[#This Row],[Cost Boolean]]*(VLOOKUP(Table410[[#This Row],[RATE CONCAT]],Tables!I:N,5,0)),0)</f>
        <v>0</v>
      </c>
      <c r="CX102" s="3">
        <f>IFERROR(Table410[[#This Row],[Sep_2026_Days_Actual]]*Table410[[#This Row],[Cost Boolean]]*(VLOOKUP(Table410[[#This Row],[RATE CONCAT]],Tables!I:N,5,0)),0)</f>
        <v>0</v>
      </c>
      <c r="CY102" s="3">
        <f>Table410[[#This Row],[Sep_2026_F]]-Table410[[#This Row],[Sep_2026_A]]</f>
        <v>0</v>
      </c>
      <c r="CZ102" s="103"/>
      <c r="DA102" s="3">
        <f>IFERROR(Table410[[#This Row],[Oct_2026_Days_Forecast]]*Table410[[#This Row],[Cost Boolean]]*(VLOOKUP(Table410[[#This Row],[RATE CONCAT]],Tables!I:N,5,0)),0)</f>
        <v>0</v>
      </c>
      <c r="DB102" s="3">
        <f>IFERROR(Table410[[#This Row],[Oct_2026_Days_Actual]]*Table410[[#This Row],[Cost Boolean]]*(VLOOKUP(Table410[[#This Row],[RATE CONCAT]],Tables!I:N,5,0)),0)</f>
        <v>0</v>
      </c>
      <c r="DC102" s="3">
        <f>Table410[[#This Row],[Oct_2026_F]]-Table410[[#This Row],[Oct_2026_A]]</f>
        <v>0</v>
      </c>
      <c r="DD102" s="103"/>
      <c r="DE102" s="3">
        <f>IFERROR(Table410[[#This Row],[Nov_2026_Days_Forecast]]*Table410[[#This Row],[Cost Boolean]]*(VLOOKUP(Table410[[#This Row],[RATE CONCAT]],Tables!I:N,5,0)),0)</f>
        <v>0</v>
      </c>
      <c r="DF102" s="3">
        <f>IFERROR(Table410[[#This Row],[Nov_2026_Days_Actual]]*Table410[[#This Row],[Cost Boolean]]*(VLOOKUP(Table410[[#This Row],[RATE CONCAT]],Tables!I:N,5,0)),0)</f>
        <v>0</v>
      </c>
      <c r="DG102" s="3">
        <f>Table410[[#This Row],[Nov_2026_F]]-Table410[[#This Row],[Nov_2026_A]]</f>
        <v>0</v>
      </c>
      <c r="DH102" s="103"/>
      <c r="DI102" s="3">
        <f>IFERROR(Table410[[#This Row],[Dec_2026_Days_Forecast]]*Table410[[#This Row],[Cost Boolean]]*(VLOOKUP(Table410[[#This Row],[RATE CONCAT]],Tables!I:N,5,0)),0)</f>
        <v>0</v>
      </c>
      <c r="DJ102" s="3">
        <f>IFERROR(Table410[[#This Row],[Dec_2026_Days_Actual]]*Table410[[#This Row],[Cost Boolean]]*(VLOOKUP(Table410[[#This Row],[RATE CONCAT]],Tables!I:N,5,0)),0)</f>
        <v>0</v>
      </c>
      <c r="DK102" s="126">
        <f>Table410[[#This Row],[Dec_2026_F]]-Table410[[#This Row],[Dec_2026_A]]</f>
        <v>0</v>
      </c>
      <c r="DL102" s="103"/>
      <c r="DM102" s="60"/>
      <c r="DN102" s="3">
        <f>IFERROR(Table410[[#This Row],[Jan_2027_Days_Forecast]]*Table410[[#This Row],[Cost Boolean]]*(VLOOKUP(Table410[[#This Row],[RATE CONCAT]],Tables!I:N,6,0)),0)</f>
        <v>0</v>
      </c>
      <c r="DO102" s="3"/>
      <c r="DP102" s="3">
        <f>Table410[[#This Row],[Jan_2027_F]]-Table410[[#This Row],[Jan_2027_A]]</f>
        <v>0</v>
      </c>
      <c r="DQ102" s="3">
        <f>IFERROR(Table410[[#This Row],[Feb_2027_Days_Forecast]]*Table410[[#This Row],[Cost Boolean]]*(VLOOKUP(Table410[[#This Row],[RATE CONCAT]],Tables!I:N,6,0)),0)</f>
        <v>0</v>
      </c>
      <c r="DR102" s="3"/>
      <c r="DS102" s="3">
        <f>Table410[[#This Row],[Feb_2027_F]]-Table410[[#This Row],[Feb_2027_A]]</f>
        <v>0</v>
      </c>
      <c r="DT102" s="3">
        <f>IFERROR(Table410[[#This Row],[Mar_2027_Days_Forecast]]*Table410[[#This Row],[Cost Boolean]]*(VLOOKUP(Table410[[#This Row],[RATE CONCAT]],Tables!I:N,6,0)),0)</f>
        <v>0</v>
      </c>
      <c r="DU102" s="3"/>
      <c r="DV102" s="3">
        <f>Table410[[#This Row],[Mar_2027_F]]-Table410[[#This Row],[Mar_2027_A]]</f>
        <v>0</v>
      </c>
      <c r="DW102" s="3">
        <f>IFERROR(Table410[[#This Row],[Apr_2027_Days_Forecast]]*Table410[[#This Row],[Cost Boolean]]*(VLOOKUP(Table410[[#This Row],[RATE CONCAT]],Tables!I:N,6,0)),0)</f>
        <v>0</v>
      </c>
      <c r="DX102" s="3"/>
      <c r="DY102" s="3">
        <f>Table410[[#This Row],[Apr_2027_F]]-Table410[[#This Row],[Apr_2027_A]]</f>
        <v>0</v>
      </c>
      <c r="DZ102" s="3">
        <f>IFERROR(Table410[[#This Row],[May_2027_Days_Forecast]]*Table410[[#This Row],[Cost Boolean]]*(VLOOKUP(Table410[[#This Row],[RATE CONCAT]],Tables!I:N,6,0)),0)</f>
        <v>0</v>
      </c>
      <c r="EA102" s="3"/>
      <c r="EB102" s="3">
        <f>Table410[[#This Row],[May_2027_F]]-Table410[[#This Row],[May_2027_A]]</f>
        <v>0</v>
      </c>
      <c r="EC102" s="3">
        <f>IFERROR(Table410[[#This Row],[Jun_2027_Days_Forecast]]*Table410[[#This Row],[Cost Boolean]]*(VLOOKUP(Table410[[#This Row],[RATE CONCAT]],Tables!I:N,6,0)),0)</f>
        <v>0</v>
      </c>
      <c r="ED102" s="3"/>
      <c r="EE102" s="3">
        <f>Table410[[#This Row],[Jun_2027_F]]-Table410[[#This Row],[Jun_2027_A]]</f>
        <v>0</v>
      </c>
      <c r="EF102" s="3">
        <f>IFERROR(Table410[[#This Row],[Jul_2027_Days_Forecast]]*Table410[[#This Row],[Cost Boolean]]*(VLOOKUP(Table410[[#This Row],[RATE CONCAT]],Tables!I:N,6,0)),0)</f>
        <v>0</v>
      </c>
      <c r="EG102" s="3"/>
      <c r="EH102" s="3">
        <f>Table410[[#This Row],[Jul_2027_F]]-Table410[[#This Row],[Jul_2027_A]]</f>
        <v>0</v>
      </c>
      <c r="EI102" s="3">
        <f>IFERROR(Table410[[#This Row],[Aug_2027_Days_Forecast]]*Table410[[#This Row],[Cost Boolean]]*(VLOOKUP(Table410[[#This Row],[RATE CONCAT]],Tables!I:N,6,0)),0)</f>
        <v>0</v>
      </c>
      <c r="EJ102" s="3"/>
      <c r="EK102" s="3">
        <f>Table410[[#This Row],[Aug_2027_F]]-Table410[[#This Row],[Aug_2027_A]]</f>
        <v>0</v>
      </c>
      <c r="EL102" s="3">
        <f>IFERROR(Table410[[#This Row],[Sep_2027_Days_Forecast]]*Table410[[#This Row],[Cost Boolean]]*(VLOOKUP(Table410[[#This Row],[RATE CONCAT]],Tables!I:N,6,0)),0)</f>
        <v>0</v>
      </c>
      <c r="EM102" s="3"/>
      <c r="EN102" s="3">
        <f>Table410[[#This Row],[Sep_2027_F]]-Table410[[#This Row],[Sep_2027_A]]</f>
        <v>0</v>
      </c>
      <c r="EO102" s="3">
        <f>IFERROR(Table410[[#This Row],[Oct_2027_Days_Forecast]]*Table410[[#This Row],[Cost Boolean]]*(VLOOKUP(Table410[[#This Row],[RATE CONCAT]],Tables!I:N,6,0)),0)</f>
        <v>0</v>
      </c>
      <c r="EP102" s="3"/>
      <c r="EQ102" s="3">
        <f>Table410[[#This Row],[Oct_2027_F]]-Table410[[#This Row],[Oct_2027_A]]</f>
        <v>0</v>
      </c>
      <c r="ER102" s="3">
        <f>IFERROR(Table410[[#This Row],[Nov_2027_Days_Forecast]]*Table410[[#This Row],[Cost Boolean]]*(VLOOKUP(Table410[[#This Row],[RATE CONCAT]],Tables!I:N,6,0)),0)</f>
        <v>0</v>
      </c>
      <c r="ES102" s="3"/>
      <c r="ET102" s="3">
        <f>Table410[[#This Row],[Nov_2027_F]]-Table410[[#This Row],[Nov_2027_A]]</f>
        <v>0</v>
      </c>
      <c r="EU102" s="3">
        <f>IFERROR(Table410[[#This Row],[Dec_2027_Days_Forecast]]*Table410[[#This Row],[Cost Boolean]]*(VLOOKUP(Table410[[#This Row],[RATE CONCAT]],Tables!I:N,6,0)),0)</f>
        <v>0</v>
      </c>
      <c r="EV102" s="3"/>
      <c r="EW102" s="3">
        <f>Table410[[#This Row],[Dec_2027_F]]-Table410[[#This Row],[Dec_2027_A]]</f>
        <v>0</v>
      </c>
    </row>
    <row r="103" spans="1:153" ht="1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4" t="str">
        <f>CONCATENATE(Table410[[#This Row],[JG]],Table410[[#This Row],[Country]],Table410[[#This Row],[Resource Provider]])</f>
        <v/>
      </c>
      <c r="Z103" s="14">
        <f>VLOOKUP(Table410[[#This Row],[RATE CONCAT]],Tables!I:N,5,0)</f>
        <v>0</v>
      </c>
      <c r="AA103" s="123"/>
      <c r="AB103" s="130"/>
      <c r="AC103" s="130"/>
      <c r="AD103" s="130"/>
      <c r="AE103" s="131"/>
      <c r="AF103" s="131"/>
      <c r="AG103" s="131"/>
      <c r="AH103" s="131"/>
      <c r="AI103" s="131"/>
      <c r="AJ103" s="131"/>
      <c r="AK103" s="131"/>
      <c r="AL103" s="131"/>
      <c r="AM103" s="131"/>
      <c r="AN103" s="176">
        <f>IFERROR(AVERAGE(Table410[[#This Row],[Jan_2026_Days_Forecast]:[Dec_2026_Days_Forecast]]),0)/19</f>
        <v>0</v>
      </c>
      <c r="AO103" s="176">
        <f>IFERROR(AVERAGE(Table410[[#This Row],[Jan_2026_Days_Actual]:[Dec_2026_Days_Actual]]),0)/19</f>
        <v>0</v>
      </c>
      <c r="AP103" s="84"/>
      <c r="AQ103" s="84"/>
      <c r="AR103" s="84"/>
      <c r="AS103" s="84"/>
      <c r="AT103" s="84"/>
      <c r="AU103" s="84"/>
      <c r="AV103" s="84"/>
      <c r="AW103" s="84"/>
      <c r="AX103" s="84"/>
      <c r="AY103" s="84"/>
      <c r="AZ103" s="84"/>
      <c r="BA103" s="84"/>
      <c r="BB103" s="176">
        <f>IFERROR(AVERAGE(Table410[[#This Row],[Jan_2027_Days_Forecast]:[Dec_2027_Days_Forecast]]),0)</f>
        <v>0</v>
      </c>
      <c r="BC103" s="129"/>
      <c r="BD103" s="129"/>
      <c r="BE103" s="129"/>
      <c r="BF103" s="129"/>
      <c r="BG103" s="129"/>
      <c r="BH103" s="129"/>
      <c r="BI103" s="129"/>
      <c r="BJ103" s="129"/>
      <c r="BK103" s="129"/>
      <c r="BL103" s="129"/>
      <c r="BM103" s="129"/>
      <c r="BN103" s="129"/>
      <c r="BO103" s="176"/>
      <c r="BP103" s="176"/>
      <c r="BQ103" s="3">
        <f>IFERROR(Table410[[#This Row],[Jan_2026_Days_Forecast]]*Table410[[#This Row],[Cost Boolean]]*(VLOOKUP(Table410[[#This Row],[RATE CONCAT]],Tables!I:N,5,0)),0)</f>
        <v>0</v>
      </c>
      <c r="BR103" s="3">
        <f>IFERROR(Table410[[#This Row],[Jan_2026_Days_Actual]]*Table410[[#This Row],[Cost Boolean]]*(VLOOKUP(Table410[[#This Row],[RATE CONCAT]],Tables!I:N,5,0)),0)</f>
        <v>0</v>
      </c>
      <c r="BS103" s="13">
        <f>Table410[[#This Row],[Jan_2026_F]]-Table410[[#This Row],[Jan_2026_A]]</f>
        <v>0</v>
      </c>
      <c r="BT103" s="114"/>
      <c r="BU103" s="13">
        <f>IFERROR(Table410[[#This Row],[Feb_2026_Days_Forecast]]*Table410[[#This Row],[Cost Boolean]]*(VLOOKUP(Table410[[#This Row],[RATE CONCAT]],Tables!I:N,5,0)),0)</f>
        <v>0</v>
      </c>
      <c r="BV103" s="3">
        <f>IFERROR(Table410[[#This Row],[Feb_2026_Days_Actual]]*Table410[[#This Row],[Cost Boolean]]*(VLOOKUP(Table410[[#This Row],[RATE CONCAT]],Tables!I:N,5,0)),0)</f>
        <v>0</v>
      </c>
      <c r="BW103" s="13">
        <f>Table410[[#This Row],[Feb_2026_F]]-Table410[[#This Row],[Feb_2026_A]]</f>
        <v>0</v>
      </c>
      <c r="BX103" s="3"/>
      <c r="BY103" s="3">
        <f>IFERROR(Table410[[#This Row],[Mar_2026_Days_Forecast]]*Table410[[#This Row],[Cost Boolean]]*(VLOOKUP(Table410[[#This Row],[RATE CONCAT]],Tables!I:N,5,0)),0)</f>
        <v>0</v>
      </c>
      <c r="BZ103" s="3">
        <f>IFERROR(Table410[[#This Row],[Mar_2026_Days_Actual]]*Table410[[#This Row],[Cost Boolean]]*(VLOOKUP(Table410[[#This Row],[RATE CONCAT]],Tables!I:N,5,0)),0)</f>
        <v>0</v>
      </c>
      <c r="CA103" s="3">
        <f>Table410[[#This Row],[Mar_2026_F]]-Table410[[#This Row],[Mar_2026_A]]</f>
        <v>0</v>
      </c>
      <c r="CB103" s="103"/>
      <c r="CC103" s="3">
        <f>IFERROR(Table410[[#This Row],[Apr_2026_Days_Forecast]]*Table410[[#This Row],[Cost Boolean]]*(VLOOKUP(Table410[[#This Row],[RATE CONCAT]],Tables!I:N,5,0)),0)</f>
        <v>0</v>
      </c>
      <c r="CD103" s="3">
        <f>IFERROR(Table410[[#This Row],[Apr_2026_Days_Actual]]*Table410[[#This Row],[Cost Boolean]]*(VLOOKUP(Table410[[#This Row],[RATE CONCAT]],Tables!I:N,5,0)),0)</f>
        <v>0</v>
      </c>
      <c r="CE103" s="3">
        <f>Table410[[#This Row],[Apr_2026_F]]-Table410[[#This Row],[Apr_2026_A]]</f>
        <v>0</v>
      </c>
      <c r="CF103" s="103"/>
      <c r="CG103" s="3">
        <f>IFERROR(Table410[[#This Row],[May_2026_Days_Forecast]] *Table410[[#This Row],[Cost Boolean]]*(VLOOKUP(Table410[[#This Row],[RATE CONCAT]],Tables!I:N,5,0)),0)</f>
        <v>0</v>
      </c>
      <c r="CH103" s="3">
        <f>IFERROR(Table410[[#This Row],[May_2026_Days_Actual]]*Table410[[#This Row],[Cost Boolean]]*(VLOOKUP(Table410[[#This Row],[RATE CONCAT]],Tables!I:N,5,0)),0)</f>
        <v>0</v>
      </c>
      <c r="CI103" s="3">
        <f>Table410[[#This Row],[May_2026_F]]-Table410[[#This Row],[May_2026_A]]</f>
        <v>0</v>
      </c>
      <c r="CJ103" s="103"/>
      <c r="CK103" s="3">
        <f>IFERROR(Table410[[#This Row],[Jun_2026_Days_Forecast]]*Table410[[#This Row],[Cost Boolean]]*(VLOOKUP(Table410[[#This Row],[RATE CONCAT]],Tables!I:N,5,0)),0)</f>
        <v>0</v>
      </c>
      <c r="CL103" s="3">
        <f>IFERROR(Table410[[#This Row],[Jun_2026_Days_Actual]]*Table410[[#This Row],[Cost Boolean]]*(VLOOKUP(Table410[[#This Row],[RATE CONCAT]],Tables!I:N,5,0)),0)</f>
        <v>0</v>
      </c>
      <c r="CM103" s="3">
        <f>Table410[[#This Row],[Jun_2026_F]]-Table410[[#This Row],[Jun_2026_A]]</f>
        <v>0</v>
      </c>
      <c r="CN103" s="103"/>
      <c r="CO103" s="3">
        <f>IFERROR(Table410[[#This Row],[Jul_2026_Days_Forecast]]*Table410[[#This Row],[Cost Boolean]]*(VLOOKUP(Table410[[#This Row],[RATE CONCAT]],Tables!I:N,5,0)),0)</f>
        <v>0</v>
      </c>
      <c r="CP103" s="3">
        <f>IFERROR(Table410[[#This Row],[Jul_2026_Days_Actual]]*Table410[[#This Row],[Cost Boolean]]*(VLOOKUP(Table410[[#This Row],[RATE CONCAT]],Tables!I:N,5,0)),0)</f>
        <v>0</v>
      </c>
      <c r="CQ103" s="3">
        <f>Table410[[#This Row],[Jul_2026_F]]-Table410[[#This Row],[Jul_2026_A]]</f>
        <v>0</v>
      </c>
      <c r="CR103" s="103"/>
      <c r="CS103" s="3">
        <f>IFERROR(Table410[[#This Row],[Aug_2026_Days_Forecast]]*Table410[[#This Row],[Cost Boolean]]*(VLOOKUP(Table410[[#This Row],[RATE CONCAT]],Tables!I:N,5,0)),0)</f>
        <v>0</v>
      </c>
      <c r="CT103" s="3">
        <f>IFERROR(Table410[[#This Row],[Aug_2026_Days_Actual]]*Table410[[#This Row],[Cost Boolean]]*(VLOOKUP(Table410[[#This Row],[RATE CONCAT]],Tables!I:N,5,0)),0)</f>
        <v>0</v>
      </c>
      <c r="CU103" s="3">
        <f>Table410[[#This Row],[Aug_2026_F]]-Table410[[#This Row],[Aug_2026_A]]</f>
        <v>0</v>
      </c>
      <c r="CV103" s="103"/>
      <c r="CW103" s="3">
        <f>IFERROR(Table410[[#This Row],[Sep_2026_Days_Forecast]]*Table410[[#This Row],[Cost Boolean]]*(VLOOKUP(Table410[[#This Row],[RATE CONCAT]],Tables!I:N,5,0)),0)</f>
        <v>0</v>
      </c>
      <c r="CX103" s="3">
        <f>IFERROR(Table410[[#This Row],[Sep_2026_Days_Actual]]*Table410[[#This Row],[Cost Boolean]]*(VLOOKUP(Table410[[#This Row],[RATE CONCAT]],Tables!I:N,5,0)),0)</f>
        <v>0</v>
      </c>
      <c r="CY103" s="3">
        <f>Table410[[#This Row],[Sep_2026_F]]-Table410[[#This Row],[Sep_2026_A]]</f>
        <v>0</v>
      </c>
      <c r="CZ103" s="103"/>
      <c r="DA103" s="3">
        <f>IFERROR(Table410[[#This Row],[Oct_2026_Days_Forecast]]*Table410[[#This Row],[Cost Boolean]]*(VLOOKUP(Table410[[#This Row],[RATE CONCAT]],Tables!I:N,5,0)),0)</f>
        <v>0</v>
      </c>
      <c r="DB103" s="3">
        <f>IFERROR(Table410[[#This Row],[Oct_2026_Days_Actual]]*Table410[[#This Row],[Cost Boolean]]*(VLOOKUP(Table410[[#This Row],[RATE CONCAT]],Tables!I:N,5,0)),0)</f>
        <v>0</v>
      </c>
      <c r="DC103" s="3">
        <f>Table410[[#This Row],[Oct_2026_F]]-Table410[[#This Row],[Oct_2026_A]]</f>
        <v>0</v>
      </c>
      <c r="DD103" s="103"/>
      <c r="DE103" s="3">
        <f>IFERROR(Table410[[#This Row],[Nov_2026_Days_Forecast]]*Table410[[#This Row],[Cost Boolean]]*(VLOOKUP(Table410[[#This Row],[RATE CONCAT]],Tables!I:N,5,0)),0)</f>
        <v>0</v>
      </c>
      <c r="DF103" s="3">
        <f>IFERROR(Table410[[#This Row],[Nov_2026_Days_Actual]]*Table410[[#This Row],[Cost Boolean]]*(VLOOKUP(Table410[[#This Row],[RATE CONCAT]],Tables!I:N,5,0)),0)</f>
        <v>0</v>
      </c>
      <c r="DG103" s="3">
        <f>Table410[[#This Row],[Nov_2026_F]]-Table410[[#This Row],[Nov_2026_A]]</f>
        <v>0</v>
      </c>
      <c r="DH103" s="103"/>
      <c r="DI103" s="3">
        <f>IFERROR(Table410[[#This Row],[Dec_2026_Days_Forecast]]*Table410[[#This Row],[Cost Boolean]]*(VLOOKUP(Table410[[#This Row],[RATE CONCAT]],Tables!I:N,5,0)),0)</f>
        <v>0</v>
      </c>
      <c r="DJ103" s="3">
        <f>IFERROR(Table410[[#This Row],[Dec_2026_Days_Actual]]*Table410[[#This Row],[Cost Boolean]]*(VLOOKUP(Table410[[#This Row],[RATE CONCAT]],Tables!I:N,5,0)),0)</f>
        <v>0</v>
      </c>
      <c r="DK103" s="126">
        <f>Table410[[#This Row],[Dec_2026_F]]-Table410[[#This Row],[Dec_2026_A]]</f>
        <v>0</v>
      </c>
      <c r="DL103" s="103"/>
      <c r="DM103" s="60"/>
      <c r="DN103" s="3">
        <f>IFERROR(Table410[[#This Row],[Jan_2027_Days_Forecast]]*Table410[[#This Row],[Cost Boolean]]*(VLOOKUP(Table410[[#This Row],[RATE CONCAT]],Tables!I:N,6,0)),0)</f>
        <v>0</v>
      </c>
      <c r="DO103" s="3"/>
      <c r="DP103" s="3">
        <f>Table410[[#This Row],[Jan_2027_F]]-Table410[[#This Row],[Jan_2027_A]]</f>
        <v>0</v>
      </c>
      <c r="DQ103" s="3">
        <f>IFERROR(Table410[[#This Row],[Feb_2027_Days_Forecast]]*Table410[[#This Row],[Cost Boolean]]*(VLOOKUP(Table410[[#This Row],[RATE CONCAT]],Tables!I:N,6,0)),0)</f>
        <v>0</v>
      </c>
      <c r="DR103" s="3"/>
      <c r="DS103" s="3">
        <f>Table410[[#This Row],[Feb_2027_F]]-Table410[[#This Row],[Feb_2027_A]]</f>
        <v>0</v>
      </c>
      <c r="DT103" s="3">
        <f>IFERROR(Table410[[#This Row],[Mar_2027_Days_Forecast]]*Table410[[#This Row],[Cost Boolean]]*(VLOOKUP(Table410[[#This Row],[RATE CONCAT]],Tables!I:N,6,0)),0)</f>
        <v>0</v>
      </c>
      <c r="DU103" s="3"/>
      <c r="DV103" s="3">
        <f>Table410[[#This Row],[Mar_2027_F]]-Table410[[#This Row],[Mar_2027_A]]</f>
        <v>0</v>
      </c>
      <c r="DW103" s="3">
        <f>IFERROR(Table410[[#This Row],[Apr_2027_Days_Forecast]]*Table410[[#This Row],[Cost Boolean]]*(VLOOKUP(Table410[[#This Row],[RATE CONCAT]],Tables!I:N,6,0)),0)</f>
        <v>0</v>
      </c>
      <c r="DX103" s="3"/>
      <c r="DY103" s="3">
        <f>Table410[[#This Row],[Apr_2027_F]]-Table410[[#This Row],[Apr_2027_A]]</f>
        <v>0</v>
      </c>
      <c r="DZ103" s="3">
        <f>IFERROR(Table410[[#This Row],[May_2027_Days_Forecast]]*Table410[[#This Row],[Cost Boolean]]*(VLOOKUP(Table410[[#This Row],[RATE CONCAT]],Tables!I:N,6,0)),0)</f>
        <v>0</v>
      </c>
      <c r="EA103" s="3"/>
      <c r="EB103" s="3">
        <f>Table410[[#This Row],[May_2027_F]]-Table410[[#This Row],[May_2027_A]]</f>
        <v>0</v>
      </c>
      <c r="EC103" s="3">
        <f>IFERROR(Table410[[#This Row],[Jun_2027_Days_Forecast]]*Table410[[#This Row],[Cost Boolean]]*(VLOOKUP(Table410[[#This Row],[RATE CONCAT]],Tables!I:N,6,0)),0)</f>
        <v>0</v>
      </c>
      <c r="ED103" s="3"/>
      <c r="EE103" s="3">
        <f>Table410[[#This Row],[Jun_2027_F]]-Table410[[#This Row],[Jun_2027_A]]</f>
        <v>0</v>
      </c>
      <c r="EF103" s="3">
        <f>IFERROR(Table410[[#This Row],[Jul_2027_Days_Forecast]]*Table410[[#This Row],[Cost Boolean]]*(VLOOKUP(Table410[[#This Row],[RATE CONCAT]],Tables!I:N,6,0)),0)</f>
        <v>0</v>
      </c>
      <c r="EG103" s="3"/>
      <c r="EH103" s="3">
        <f>Table410[[#This Row],[Jul_2027_F]]-Table410[[#This Row],[Jul_2027_A]]</f>
        <v>0</v>
      </c>
      <c r="EI103" s="3">
        <f>IFERROR(Table410[[#This Row],[Aug_2027_Days_Forecast]]*Table410[[#This Row],[Cost Boolean]]*(VLOOKUP(Table410[[#This Row],[RATE CONCAT]],Tables!I:N,6,0)),0)</f>
        <v>0</v>
      </c>
      <c r="EJ103" s="3"/>
      <c r="EK103" s="3">
        <f>Table410[[#This Row],[Aug_2027_F]]-Table410[[#This Row],[Aug_2027_A]]</f>
        <v>0</v>
      </c>
      <c r="EL103" s="3">
        <f>IFERROR(Table410[[#This Row],[Sep_2027_Days_Forecast]]*Table410[[#This Row],[Cost Boolean]]*(VLOOKUP(Table410[[#This Row],[RATE CONCAT]],Tables!I:N,6,0)),0)</f>
        <v>0</v>
      </c>
      <c r="EM103" s="3"/>
      <c r="EN103" s="3">
        <f>Table410[[#This Row],[Sep_2027_F]]-Table410[[#This Row],[Sep_2027_A]]</f>
        <v>0</v>
      </c>
      <c r="EO103" s="3">
        <f>IFERROR(Table410[[#This Row],[Oct_2027_Days_Forecast]]*Table410[[#This Row],[Cost Boolean]]*(VLOOKUP(Table410[[#This Row],[RATE CONCAT]],Tables!I:N,6,0)),0)</f>
        <v>0</v>
      </c>
      <c r="EP103" s="3"/>
      <c r="EQ103" s="3">
        <f>Table410[[#This Row],[Oct_2027_F]]-Table410[[#This Row],[Oct_2027_A]]</f>
        <v>0</v>
      </c>
      <c r="ER103" s="3">
        <f>IFERROR(Table410[[#This Row],[Nov_2027_Days_Forecast]]*Table410[[#This Row],[Cost Boolean]]*(VLOOKUP(Table410[[#This Row],[RATE CONCAT]],Tables!I:N,6,0)),0)</f>
        <v>0</v>
      </c>
      <c r="ES103" s="3"/>
      <c r="ET103" s="3">
        <f>Table410[[#This Row],[Nov_2027_F]]-Table410[[#This Row],[Nov_2027_A]]</f>
        <v>0</v>
      </c>
      <c r="EU103" s="3">
        <f>IFERROR(Table410[[#This Row],[Dec_2027_Days_Forecast]]*Table410[[#This Row],[Cost Boolean]]*(VLOOKUP(Table410[[#This Row],[RATE CONCAT]],Tables!I:N,6,0)),0)</f>
        <v>0</v>
      </c>
      <c r="EV103" s="3"/>
      <c r="EW103" s="3">
        <f>Table410[[#This Row],[Dec_2027_F]]-Table410[[#This Row],[Dec_2027_A]]</f>
        <v>0</v>
      </c>
    </row>
    <row r="104" spans="1:153" ht="1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4" t="str">
        <f>CONCATENATE(Table410[[#This Row],[JG]],Table410[[#This Row],[Country]],Table410[[#This Row],[Resource Provider]])</f>
        <v/>
      </c>
      <c r="Z104" s="14">
        <f>VLOOKUP(Table410[[#This Row],[RATE CONCAT]],Tables!I:N,5,0)</f>
        <v>0</v>
      </c>
      <c r="AA104" s="123"/>
      <c r="AB104" s="129"/>
      <c r="AC104" s="129"/>
      <c r="AD104" s="129"/>
      <c r="AE104" s="129"/>
      <c r="AF104" s="129"/>
      <c r="AG104" s="129"/>
      <c r="AH104" s="131"/>
      <c r="AI104" s="131"/>
      <c r="AJ104" s="131"/>
      <c r="AK104" s="131"/>
      <c r="AL104" s="131"/>
      <c r="AM104" s="131"/>
      <c r="AN104" s="176">
        <f>IFERROR(AVERAGE(Table410[[#This Row],[Jan_2026_Days_Forecast]:[Dec_2026_Days_Forecast]]),0)/19</f>
        <v>0</v>
      </c>
      <c r="AO104" s="176">
        <f>IFERROR(AVERAGE(Table410[[#This Row],[Jan_2026_Days_Actual]:[Dec_2026_Days_Actual]]),0)/19</f>
        <v>0</v>
      </c>
      <c r="AP104" s="84"/>
      <c r="AQ104" s="84"/>
      <c r="AR104" s="84"/>
      <c r="AS104" s="84"/>
      <c r="AT104" s="84"/>
      <c r="AU104" s="84"/>
      <c r="AV104" s="84"/>
      <c r="AW104" s="84"/>
      <c r="AX104" s="84"/>
      <c r="AY104" s="84"/>
      <c r="AZ104" s="84"/>
      <c r="BA104" s="84"/>
      <c r="BB104" s="176">
        <f>IFERROR(AVERAGE(Table410[[#This Row],[Jan_2027_Days_Forecast]:[Dec_2027_Days_Forecast]]),0)</f>
        <v>0</v>
      </c>
      <c r="BC104" s="129"/>
      <c r="BD104" s="129"/>
      <c r="BE104" s="129"/>
      <c r="BF104" s="129"/>
      <c r="BG104" s="129"/>
      <c r="BH104" s="129"/>
      <c r="BI104" s="129"/>
      <c r="BJ104" s="129"/>
      <c r="BK104" s="129"/>
      <c r="BL104" s="129"/>
      <c r="BM104" s="129"/>
      <c r="BN104" s="129"/>
      <c r="BO104" s="176"/>
      <c r="BP104" s="176"/>
      <c r="BQ104" s="3">
        <f>IFERROR(Table410[[#This Row],[Jan_2026_Days_Forecast]]*Table410[[#This Row],[Cost Boolean]]*(VLOOKUP(Table410[[#This Row],[RATE CONCAT]],Tables!I:N,5,0)),0)</f>
        <v>0</v>
      </c>
      <c r="BR104" s="3">
        <f>IFERROR(Table410[[#This Row],[Jan_2026_Days_Actual]]*Table410[[#This Row],[Cost Boolean]]*(VLOOKUP(Table410[[#This Row],[RATE CONCAT]],Tables!I:N,5,0)),0)</f>
        <v>0</v>
      </c>
      <c r="BS104" s="13">
        <f>Table410[[#This Row],[Jan_2026_F]]-Table410[[#This Row],[Jan_2026_A]]</f>
        <v>0</v>
      </c>
      <c r="BT104" s="114"/>
      <c r="BU104" s="13">
        <f>IFERROR(Table410[[#This Row],[Feb_2026_Days_Forecast]]*Table410[[#This Row],[Cost Boolean]]*(VLOOKUP(Table410[[#This Row],[RATE CONCAT]],Tables!I:N,5,0)),0)</f>
        <v>0</v>
      </c>
      <c r="BV104" s="3">
        <f>IFERROR(Table410[[#This Row],[Feb_2026_Days_Actual]]*Table410[[#This Row],[Cost Boolean]]*(VLOOKUP(Table410[[#This Row],[RATE CONCAT]],Tables!I:N,5,0)),0)</f>
        <v>0</v>
      </c>
      <c r="BW104" s="13">
        <f>Table410[[#This Row],[Feb_2026_F]]-Table410[[#This Row],[Feb_2026_A]]</f>
        <v>0</v>
      </c>
      <c r="BX104" s="3"/>
      <c r="BY104" s="3">
        <f>IFERROR(Table410[[#This Row],[Mar_2026_Days_Forecast]]*Table410[[#This Row],[Cost Boolean]]*(VLOOKUP(Table410[[#This Row],[RATE CONCAT]],Tables!I:N,5,0)),0)</f>
        <v>0</v>
      </c>
      <c r="BZ104" s="3">
        <f>IFERROR(Table410[[#This Row],[Mar_2026_Days_Actual]]*Table410[[#This Row],[Cost Boolean]]*(VLOOKUP(Table410[[#This Row],[RATE CONCAT]],Tables!I:N,5,0)),0)</f>
        <v>0</v>
      </c>
      <c r="CA104" s="3">
        <f>Table410[[#This Row],[Mar_2026_F]]-Table410[[#This Row],[Mar_2026_A]]</f>
        <v>0</v>
      </c>
      <c r="CB104" s="103"/>
      <c r="CC104" s="3">
        <f>IFERROR(Table410[[#This Row],[Apr_2026_Days_Forecast]]*Table410[[#This Row],[Cost Boolean]]*(VLOOKUP(Table410[[#This Row],[RATE CONCAT]],Tables!I:N,5,0)),0)</f>
        <v>0</v>
      </c>
      <c r="CD104" s="3">
        <f>IFERROR(Table410[[#This Row],[Apr_2026_Days_Actual]]*Table410[[#This Row],[Cost Boolean]]*(VLOOKUP(Table410[[#This Row],[RATE CONCAT]],Tables!I:N,5,0)),0)</f>
        <v>0</v>
      </c>
      <c r="CE104" s="3">
        <f>Table410[[#This Row],[Apr_2026_F]]-Table410[[#This Row],[Apr_2026_A]]</f>
        <v>0</v>
      </c>
      <c r="CF104" s="103"/>
      <c r="CG104" s="3">
        <f>IFERROR(Table410[[#This Row],[May_2026_Days_Forecast]] *Table410[[#This Row],[Cost Boolean]]*(VLOOKUP(Table410[[#This Row],[RATE CONCAT]],Tables!I:N,5,0)),0)</f>
        <v>0</v>
      </c>
      <c r="CH104" s="3">
        <f>IFERROR(Table410[[#This Row],[May_2026_Days_Actual]]*Table410[[#This Row],[Cost Boolean]]*(VLOOKUP(Table410[[#This Row],[RATE CONCAT]],Tables!I:N,5,0)),0)</f>
        <v>0</v>
      </c>
      <c r="CI104" s="3">
        <f>Table410[[#This Row],[May_2026_F]]-Table410[[#This Row],[May_2026_A]]</f>
        <v>0</v>
      </c>
      <c r="CJ104" s="103"/>
      <c r="CK104" s="3">
        <f>IFERROR(Table410[[#This Row],[Jun_2026_Days_Forecast]]*Table410[[#This Row],[Cost Boolean]]*(VLOOKUP(Table410[[#This Row],[RATE CONCAT]],Tables!I:N,5,0)),0)</f>
        <v>0</v>
      </c>
      <c r="CL104" s="3">
        <f>IFERROR(Table410[[#This Row],[Jun_2026_Days_Actual]]*Table410[[#This Row],[Cost Boolean]]*(VLOOKUP(Table410[[#This Row],[RATE CONCAT]],Tables!I:N,5,0)),0)</f>
        <v>0</v>
      </c>
      <c r="CM104" s="3">
        <f>Table410[[#This Row],[Jun_2026_F]]-Table410[[#This Row],[Jun_2026_A]]</f>
        <v>0</v>
      </c>
      <c r="CN104" s="103"/>
      <c r="CO104" s="3">
        <f>IFERROR(Table410[[#This Row],[Jul_2026_Days_Forecast]]*Table410[[#This Row],[Cost Boolean]]*(VLOOKUP(Table410[[#This Row],[RATE CONCAT]],Tables!I:N,5,0)),0)</f>
        <v>0</v>
      </c>
      <c r="CP104" s="3">
        <f>IFERROR(Table410[[#This Row],[Jul_2026_Days_Actual]]*Table410[[#This Row],[Cost Boolean]]*(VLOOKUP(Table410[[#This Row],[RATE CONCAT]],Tables!I:N,5,0)),0)</f>
        <v>0</v>
      </c>
      <c r="CQ104" s="3">
        <f>Table410[[#This Row],[Jul_2026_F]]-Table410[[#This Row],[Jul_2026_A]]</f>
        <v>0</v>
      </c>
      <c r="CR104" s="103"/>
      <c r="CS104" s="3">
        <f>IFERROR(Table410[[#This Row],[Aug_2026_Days_Forecast]]*Table410[[#This Row],[Cost Boolean]]*(VLOOKUP(Table410[[#This Row],[RATE CONCAT]],Tables!I:N,5,0)),0)</f>
        <v>0</v>
      </c>
      <c r="CT104" s="3">
        <f>IFERROR(Table410[[#This Row],[Aug_2026_Days_Actual]]*Table410[[#This Row],[Cost Boolean]]*(VLOOKUP(Table410[[#This Row],[RATE CONCAT]],Tables!I:N,5,0)),0)</f>
        <v>0</v>
      </c>
      <c r="CU104" s="3">
        <f>Table410[[#This Row],[Aug_2026_F]]-Table410[[#This Row],[Aug_2026_A]]</f>
        <v>0</v>
      </c>
      <c r="CV104" s="103"/>
      <c r="CW104" s="3">
        <f>IFERROR(Table410[[#This Row],[Sep_2026_Days_Forecast]]*Table410[[#This Row],[Cost Boolean]]*(VLOOKUP(Table410[[#This Row],[RATE CONCAT]],Tables!I:N,5,0)),0)</f>
        <v>0</v>
      </c>
      <c r="CX104" s="3">
        <f>IFERROR(Table410[[#This Row],[Sep_2026_Days_Actual]]*Table410[[#This Row],[Cost Boolean]]*(VLOOKUP(Table410[[#This Row],[RATE CONCAT]],Tables!I:N,5,0)),0)</f>
        <v>0</v>
      </c>
      <c r="CY104" s="3">
        <f>Table410[[#This Row],[Sep_2026_F]]-Table410[[#This Row],[Sep_2026_A]]</f>
        <v>0</v>
      </c>
      <c r="CZ104" s="103"/>
      <c r="DA104" s="3">
        <f>IFERROR(Table410[[#This Row],[Oct_2026_Days_Forecast]]*Table410[[#This Row],[Cost Boolean]]*(VLOOKUP(Table410[[#This Row],[RATE CONCAT]],Tables!I:N,5,0)),0)</f>
        <v>0</v>
      </c>
      <c r="DB104" s="3">
        <f>IFERROR(Table410[[#This Row],[Oct_2026_Days_Actual]]*Table410[[#This Row],[Cost Boolean]]*(VLOOKUP(Table410[[#This Row],[RATE CONCAT]],Tables!I:N,5,0)),0)</f>
        <v>0</v>
      </c>
      <c r="DC104" s="3">
        <f>Table410[[#This Row],[Oct_2026_F]]-Table410[[#This Row],[Oct_2026_A]]</f>
        <v>0</v>
      </c>
      <c r="DD104" s="103"/>
      <c r="DE104" s="3">
        <f>IFERROR(Table410[[#This Row],[Nov_2026_Days_Forecast]]*Table410[[#This Row],[Cost Boolean]]*(VLOOKUP(Table410[[#This Row],[RATE CONCAT]],Tables!I:N,5,0)),0)</f>
        <v>0</v>
      </c>
      <c r="DF104" s="3">
        <f>IFERROR(Table410[[#This Row],[Nov_2026_Days_Actual]]*Table410[[#This Row],[Cost Boolean]]*(VLOOKUP(Table410[[#This Row],[RATE CONCAT]],Tables!I:N,5,0)),0)</f>
        <v>0</v>
      </c>
      <c r="DG104" s="3">
        <f>Table410[[#This Row],[Nov_2026_F]]-Table410[[#This Row],[Nov_2026_A]]</f>
        <v>0</v>
      </c>
      <c r="DH104" s="103"/>
      <c r="DI104" s="3">
        <f>IFERROR(Table410[[#This Row],[Dec_2026_Days_Forecast]]*Table410[[#This Row],[Cost Boolean]]*(VLOOKUP(Table410[[#This Row],[RATE CONCAT]],Tables!I:N,5,0)),0)</f>
        <v>0</v>
      </c>
      <c r="DJ104" s="3">
        <f>IFERROR(Table410[[#This Row],[Dec_2026_Days_Actual]]*Table410[[#This Row],[Cost Boolean]]*(VLOOKUP(Table410[[#This Row],[RATE CONCAT]],Tables!I:N,5,0)),0)</f>
        <v>0</v>
      </c>
      <c r="DK104" s="126">
        <f>Table410[[#This Row],[Dec_2026_F]]-Table410[[#This Row],[Dec_2026_A]]</f>
        <v>0</v>
      </c>
      <c r="DL104" s="103"/>
      <c r="DM104" s="60"/>
      <c r="DN104" s="3">
        <f>IFERROR(Table410[[#This Row],[Jan_2027_Days_Forecast]]*Table410[[#This Row],[Cost Boolean]]*(VLOOKUP(Table410[[#This Row],[RATE CONCAT]],Tables!I:N,6,0)),0)</f>
        <v>0</v>
      </c>
      <c r="DO104" s="3"/>
      <c r="DP104" s="3">
        <f>Table410[[#This Row],[Jan_2027_F]]-Table410[[#This Row],[Jan_2027_A]]</f>
        <v>0</v>
      </c>
      <c r="DQ104" s="3">
        <f>IFERROR(Table410[[#This Row],[Feb_2027_Days_Forecast]]*Table410[[#This Row],[Cost Boolean]]*(VLOOKUP(Table410[[#This Row],[RATE CONCAT]],Tables!I:N,6,0)),0)</f>
        <v>0</v>
      </c>
      <c r="DR104" s="3"/>
      <c r="DS104" s="3">
        <f>Table410[[#This Row],[Feb_2027_F]]-Table410[[#This Row],[Feb_2027_A]]</f>
        <v>0</v>
      </c>
      <c r="DT104" s="3">
        <f>IFERROR(Table410[[#This Row],[Mar_2027_Days_Forecast]]*Table410[[#This Row],[Cost Boolean]]*(VLOOKUP(Table410[[#This Row],[RATE CONCAT]],Tables!I:N,6,0)),0)</f>
        <v>0</v>
      </c>
      <c r="DU104" s="3"/>
      <c r="DV104" s="3">
        <f>Table410[[#This Row],[Mar_2027_F]]-Table410[[#This Row],[Mar_2027_A]]</f>
        <v>0</v>
      </c>
      <c r="DW104" s="3">
        <f>IFERROR(Table410[[#This Row],[Apr_2027_Days_Forecast]]*Table410[[#This Row],[Cost Boolean]]*(VLOOKUP(Table410[[#This Row],[RATE CONCAT]],Tables!I:N,6,0)),0)</f>
        <v>0</v>
      </c>
      <c r="DX104" s="3"/>
      <c r="DY104" s="3">
        <f>Table410[[#This Row],[Apr_2027_F]]-Table410[[#This Row],[Apr_2027_A]]</f>
        <v>0</v>
      </c>
      <c r="DZ104" s="3">
        <f>IFERROR(Table410[[#This Row],[May_2027_Days_Forecast]]*Table410[[#This Row],[Cost Boolean]]*(VLOOKUP(Table410[[#This Row],[RATE CONCAT]],Tables!I:N,6,0)),0)</f>
        <v>0</v>
      </c>
      <c r="EA104" s="3"/>
      <c r="EB104" s="3">
        <f>Table410[[#This Row],[May_2027_F]]-Table410[[#This Row],[May_2027_A]]</f>
        <v>0</v>
      </c>
      <c r="EC104" s="3">
        <f>IFERROR(Table410[[#This Row],[Jun_2027_Days_Forecast]]*Table410[[#This Row],[Cost Boolean]]*(VLOOKUP(Table410[[#This Row],[RATE CONCAT]],Tables!I:N,6,0)),0)</f>
        <v>0</v>
      </c>
      <c r="ED104" s="3"/>
      <c r="EE104" s="3">
        <f>Table410[[#This Row],[Jun_2027_F]]-Table410[[#This Row],[Jun_2027_A]]</f>
        <v>0</v>
      </c>
      <c r="EF104" s="3">
        <f>IFERROR(Table410[[#This Row],[Jul_2027_Days_Forecast]]*Table410[[#This Row],[Cost Boolean]]*(VLOOKUP(Table410[[#This Row],[RATE CONCAT]],Tables!I:N,6,0)),0)</f>
        <v>0</v>
      </c>
      <c r="EG104" s="3"/>
      <c r="EH104" s="3">
        <f>Table410[[#This Row],[Jul_2027_F]]-Table410[[#This Row],[Jul_2027_A]]</f>
        <v>0</v>
      </c>
      <c r="EI104" s="3">
        <f>IFERROR(Table410[[#This Row],[Aug_2027_Days_Forecast]]*Table410[[#This Row],[Cost Boolean]]*(VLOOKUP(Table410[[#This Row],[RATE CONCAT]],Tables!I:N,6,0)),0)</f>
        <v>0</v>
      </c>
      <c r="EJ104" s="3"/>
      <c r="EK104" s="3">
        <f>Table410[[#This Row],[Aug_2027_F]]-Table410[[#This Row],[Aug_2027_A]]</f>
        <v>0</v>
      </c>
      <c r="EL104" s="3">
        <f>IFERROR(Table410[[#This Row],[Sep_2027_Days_Forecast]]*Table410[[#This Row],[Cost Boolean]]*(VLOOKUP(Table410[[#This Row],[RATE CONCAT]],Tables!I:N,6,0)),0)</f>
        <v>0</v>
      </c>
      <c r="EM104" s="3"/>
      <c r="EN104" s="3">
        <f>Table410[[#This Row],[Sep_2027_F]]-Table410[[#This Row],[Sep_2027_A]]</f>
        <v>0</v>
      </c>
      <c r="EO104" s="3">
        <f>IFERROR(Table410[[#This Row],[Oct_2027_Days_Forecast]]*Table410[[#This Row],[Cost Boolean]]*(VLOOKUP(Table410[[#This Row],[RATE CONCAT]],Tables!I:N,6,0)),0)</f>
        <v>0</v>
      </c>
      <c r="EP104" s="3"/>
      <c r="EQ104" s="3">
        <f>Table410[[#This Row],[Oct_2027_F]]-Table410[[#This Row],[Oct_2027_A]]</f>
        <v>0</v>
      </c>
      <c r="ER104" s="3">
        <f>IFERROR(Table410[[#This Row],[Nov_2027_Days_Forecast]]*Table410[[#This Row],[Cost Boolean]]*(VLOOKUP(Table410[[#This Row],[RATE CONCAT]],Tables!I:N,6,0)),0)</f>
        <v>0</v>
      </c>
      <c r="ES104" s="3"/>
      <c r="ET104" s="3">
        <f>Table410[[#This Row],[Nov_2027_F]]-Table410[[#This Row],[Nov_2027_A]]</f>
        <v>0</v>
      </c>
      <c r="EU104" s="3">
        <f>IFERROR(Table410[[#This Row],[Dec_2027_Days_Forecast]]*Table410[[#This Row],[Cost Boolean]]*(VLOOKUP(Table410[[#This Row],[RATE CONCAT]],Tables!I:N,6,0)),0)</f>
        <v>0</v>
      </c>
      <c r="EV104" s="3"/>
      <c r="EW104" s="3">
        <f>Table410[[#This Row],[Dec_2027_F]]-Table410[[#This Row],[Dec_2027_A]]</f>
        <v>0</v>
      </c>
    </row>
    <row r="105" spans="1:153" ht="1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4" t="str">
        <f>CONCATENATE(Table410[[#This Row],[JG]],Table410[[#This Row],[Country]],Table410[[#This Row],[Resource Provider]])</f>
        <v/>
      </c>
      <c r="Z105" s="14">
        <f>VLOOKUP(Table410[[#This Row],[RATE CONCAT]],Tables!I:N,5,0)</f>
        <v>0</v>
      </c>
      <c r="AA105" s="123"/>
      <c r="AB105" s="129"/>
      <c r="AC105" s="129"/>
      <c r="AD105" s="129"/>
      <c r="AE105" s="129"/>
      <c r="AF105" s="129"/>
      <c r="AG105" s="129"/>
      <c r="AH105" s="131"/>
      <c r="AI105" s="131"/>
      <c r="AJ105" s="131"/>
      <c r="AK105" s="131"/>
      <c r="AL105" s="131"/>
      <c r="AM105" s="131"/>
      <c r="AN105" s="176">
        <f>IFERROR(AVERAGE(Table410[[#This Row],[Jan_2026_Days_Forecast]:[Dec_2026_Days_Forecast]]),0)/19</f>
        <v>0</v>
      </c>
      <c r="AO105" s="176">
        <f>IFERROR(AVERAGE(Table410[[#This Row],[Jan_2026_Days_Actual]:[Dec_2026_Days_Actual]]),0)/19</f>
        <v>0</v>
      </c>
      <c r="AP105" s="84"/>
      <c r="AQ105" s="84"/>
      <c r="AR105" s="84"/>
      <c r="AS105" s="84"/>
      <c r="AT105" s="84"/>
      <c r="AU105" s="84"/>
      <c r="AV105" s="84"/>
      <c r="AW105" s="84"/>
      <c r="AX105" s="84"/>
      <c r="AY105" s="84"/>
      <c r="AZ105" s="84"/>
      <c r="BA105" s="84"/>
      <c r="BB105" s="176">
        <f>IFERROR(AVERAGE(Table410[[#This Row],[Jan_2027_Days_Forecast]:[Dec_2027_Days_Forecast]]),0)</f>
        <v>0</v>
      </c>
      <c r="BC105" s="129"/>
      <c r="BD105" s="129"/>
      <c r="BE105" s="129"/>
      <c r="BF105" s="129"/>
      <c r="BG105" s="129"/>
      <c r="BH105" s="129"/>
      <c r="BI105" s="129"/>
      <c r="BJ105" s="129"/>
      <c r="BK105" s="129"/>
      <c r="BL105" s="129"/>
      <c r="BM105" s="129"/>
      <c r="BN105" s="129"/>
      <c r="BO105" s="176"/>
      <c r="BP105" s="176"/>
      <c r="BQ105" s="3">
        <f>IFERROR(Table410[[#This Row],[Jan_2026_Days_Forecast]]*Table410[[#This Row],[Cost Boolean]]*(VLOOKUP(Table410[[#This Row],[RATE CONCAT]],Tables!I:N,5,0)),0)</f>
        <v>0</v>
      </c>
      <c r="BR105" s="3">
        <f>IFERROR(Table410[[#This Row],[Jan_2026_Days_Actual]]*Table410[[#This Row],[Cost Boolean]]*(VLOOKUP(Table410[[#This Row],[RATE CONCAT]],Tables!I:N,5,0)),0)</f>
        <v>0</v>
      </c>
      <c r="BS105" s="13">
        <f>Table410[[#This Row],[Jan_2026_F]]-Table410[[#This Row],[Jan_2026_A]]</f>
        <v>0</v>
      </c>
      <c r="BT105" s="114"/>
      <c r="BU105" s="13">
        <f>IFERROR(Table410[[#This Row],[Feb_2026_Days_Forecast]]*Table410[[#This Row],[Cost Boolean]]*(VLOOKUP(Table410[[#This Row],[RATE CONCAT]],Tables!I:N,5,0)),0)</f>
        <v>0</v>
      </c>
      <c r="BV105" s="3">
        <f>IFERROR(Table410[[#This Row],[Feb_2026_Days_Actual]]*Table410[[#This Row],[Cost Boolean]]*(VLOOKUP(Table410[[#This Row],[RATE CONCAT]],Tables!I:N,5,0)),0)</f>
        <v>0</v>
      </c>
      <c r="BW105" s="13">
        <f>Table410[[#This Row],[Feb_2026_F]]-Table410[[#This Row],[Feb_2026_A]]</f>
        <v>0</v>
      </c>
      <c r="BX105" s="3"/>
      <c r="BY105" s="3">
        <f>IFERROR(Table410[[#This Row],[Mar_2026_Days_Forecast]]*Table410[[#This Row],[Cost Boolean]]*(VLOOKUP(Table410[[#This Row],[RATE CONCAT]],Tables!I:N,5,0)),0)</f>
        <v>0</v>
      </c>
      <c r="BZ105" s="3">
        <f>IFERROR(Table410[[#This Row],[Mar_2026_Days_Actual]]*Table410[[#This Row],[Cost Boolean]]*(VLOOKUP(Table410[[#This Row],[RATE CONCAT]],Tables!I:N,5,0)),0)</f>
        <v>0</v>
      </c>
      <c r="CA105" s="3">
        <f>Table410[[#This Row],[Mar_2026_F]]-Table410[[#This Row],[Mar_2026_A]]</f>
        <v>0</v>
      </c>
      <c r="CB105" s="103"/>
      <c r="CC105" s="3">
        <f>IFERROR(Table410[[#This Row],[Apr_2026_Days_Forecast]]*Table410[[#This Row],[Cost Boolean]]*(VLOOKUP(Table410[[#This Row],[RATE CONCAT]],Tables!I:N,5,0)),0)</f>
        <v>0</v>
      </c>
      <c r="CD105" s="3">
        <f>IFERROR(Table410[[#This Row],[Apr_2026_Days_Actual]]*Table410[[#This Row],[Cost Boolean]]*(VLOOKUP(Table410[[#This Row],[RATE CONCAT]],Tables!I:N,5,0)),0)</f>
        <v>0</v>
      </c>
      <c r="CE105" s="3">
        <f>Table410[[#This Row],[Apr_2026_F]]-Table410[[#This Row],[Apr_2026_A]]</f>
        <v>0</v>
      </c>
      <c r="CF105" s="103"/>
      <c r="CG105" s="3">
        <f>IFERROR(Table410[[#This Row],[May_2026_Days_Forecast]] *Table410[[#This Row],[Cost Boolean]]*(VLOOKUP(Table410[[#This Row],[RATE CONCAT]],Tables!I:N,5,0)),0)</f>
        <v>0</v>
      </c>
      <c r="CH105" s="3">
        <f>IFERROR(Table410[[#This Row],[May_2026_Days_Actual]]*Table410[[#This Row],[Cost Boolean]]*(VLOOKUP(Table410[[#This Row],[RATE CONCAT]],Tables!I:N,5,0)),0)</f>
        <v>0</v>
      </c>
      <c r="CI105" s="3">
        <f>Table410[[#This Row],[May_2026_F]]-Table410[[#This Row],[May_2026_A]]</f>
        <v>0</v>
      </c>
      <c r="CJ105" s="103"/>
      <c r="CK105" s="3">
        <f>IFERROR(Table410[[#This Row],[Jun_2026_Days_Forecast]]*Table410[[#This Row],[Cost Boolean]]*(VLOOKUP(Table410[[#This Row],[RATE CONCAT]],Tables!I:N,5,0)),0)</f>
        <v>0</v>
      </c>
      <c r="CL105" s="3">
        <f>IFERROR(Table410[[#This Row],[Jun_2026_Days_Actual]]*Table410[[#This Row],[Cost Boolean]]*(VLOOKUP(Table410[[#This Row],[RATE CONCAT]],Tables!I:N,5,0)),0)</f>
        <v>0</v>
      </c>
      <c r="CM105" s="3">
        <f>Table410[[#This Row],[Jun_2026_F]]-Table410[[#This Row],[Jun_2026_A]]</f>
        <v>0</v>
      </c>
      <c r="CN105" s="103"/>
      <c r="CO105" s="3">
        <f>IFERROR(Table410[[#This Row],[Jul_2026_Days_Forecast]]*Table410[[#This Row],[Cost Boolean]]*(VLOOKUP(Table410[[#This Row],[RATE CONCAT]],Tables!I:N,5,0)),0)</f>
        <v>0</v>
      </c>
      <c r="CP105" s="3">
        <f>IFERROR(Table410[[#This Row],[Jul_2026_Days_Actual]]*Table410[[#This Row],[Cost Boolean]]*(VLOOKUP(Table410[[#This Row],[RATE CONCAT]],Tables!I:N,5,0)),0)</f>
        <v>0</v>
      </c>
      <c r="CQ105" s="3">
        <f>Table410[[#This Row],[Jul_2026_F]]-Table410[[#This Row],[Jul_2026_A]]</f>
        <v>0</v>
      </c>
      <c r="CR105" s="103"/>
      <c r="CS105" s="3">
        <f>IFERROR(Table410[[#This Row],[Aug_2026_Days_Forecast]]*Table410[[#This Row],[Cost Boolean]]*(VLOOKUP(Table410[[#This Row],[RATE CONCAT]],Tables!I:N,5,0)),0)</f>
        <v>0</v>
      </c>
      <c r="CT105" s="3">
        <f>IFERROR(Table410[[#This Row],[Aug_2026_Days_Actual]]*Table410[[#This Row],[Cost Boolean]]*(VLOOKUP(Table410[[#This Row],[RATE CONCAT]],Tables!I:N,5,0)),0)</f>
        <v>0</v>
      </c>
      <c r="CU105" s="3">
        <f>Table410[[#This Row],[Aug_2026_F]]-Table410[[#This Row],[Aug_2026_A]]</f>
        <v>0</v>
      </c>
      <c r="CV105" s="103"/>
      <c r="CW105" s="3">
        <f>IFERROR(Table410[[#This Row],[Sep_2026_Days_Forecast]]*Table410[[#This Row],[Cost Boolean]]*(VLOOKUP(Table410[[#This Row],[RATE CONCAT]],Tables!I:N,5,0)),0)</f>
        <v>0</v>
      </c>
      <c r="CX105" s="3">
        <f>IFERROR(Table410[[#This Row],[Sep_2026_Days_Actual]]*Table410[[#This Row],[Cost Boolean]]*(VLOOKUP(Table410[[#This Row],[RATE CONCAT]],Tables!I:N,5,0)),0)</f>
        <v>0</v>
      </c>
      <c r="CY105" s="3">
        <f>Table410[[#This Row],[Sep_2026_F]]-Table410[[#This Row],[Sep_2026_A]]</f>
        <v>0</v>
      </c>
      <c r="CZ105" s="103"/>
      <c r="DA105" s="3">
        <f>IFERROR(Table410[[#This Row],[Oct_2026_Days_Forecast]]*Table410[[#This Row],[Cost Boolean]]*(VLOOKUP(Table410[[#This Row],[RATE CONCAT]],Tables!I:N,5,0)),0)</f>
        <v>0</v>
      </c>
      <c r="DB105" s="3">
        <f>IFERROR(Table410[[#This Row],[Oct_2026_Days_Actual]]*Table410[[#This Row],[Cost Boolean]]*(VLOOKUP(Table410[[#This Row],[RATE CONCAT]],Tables!I:N,5,0)),0)</f>
        <v>0</v>
      </c>
      <c r="DC105" s="3">
        <f>Table410[[#This Row],[Oct_2026_F]]-Table410[[#This Row],[Oct_2026_A]]</f>
        <v>0</v>
      </c>
      <c r="DD105" s="103"/>
      <c r="DE105" s="3">
        <f>IFERROR(Table410[[#This Row],[Nov_2026_Days_Forecast]]*Table410[[#This Row],[Cost Boolean]]*(VLOOKUP(Table410[[#This Row],[RATE CONCAT]],Tables!I:N,5,0)),0)</f>
        <v>0</v>
      </c>
      <c r="DF105" s="3">
        <f>IFERROR(Table410[[#This Row],[Nov_2026_Days_Actual]]*Table410[[#This Row],[Cost Boolean]]*(VLOOKUP(Table410[[#This Row],[RATE CONCAT]],Tables!I:N,5,0)),0)</f>
        <v>0</v>
      </c>
      <c r="DG105" s="3">
        <f>Table410[[#This Row],[Nov_2026_F]]-Table410[[#This Row],[Nov_2026_A]]</f>
        <v>0</v>
      </c>
      <c r="DH105" s="103"/>
      <c r="DI105" s="3">
        <f>IFERROR(Table410[[#This Row],[Dec_2026_Days_Forecast]]*Table410[[#This Row],[Cost Boolean]]*(VLOOKUP(Table410[[#This Row],[RATE CONCAT]],Tables!I:N,5,0)),0)</f>
        <v>0</v>
      </c>
      <c r="DJ105" s="3">
        <f>IFERROR(Table410[[#This Row],[Dec_2026_Days_Actual]]*Table410[[#This Row],[Cost Boolean]]*(VLOOKUP(Table410[[#This Row],[RATE CONCAT]],Tables!I:N,5,0)),0)</f>
        <v>0</v>
      </c>
      <c r="DK105" s="126">
        <f>Table410[[#This Row],[Dec_2026_F]]-Table410[[#This Row],[Dec_2026_A]]</f>
        <v>0</v>
      </c>
      <c r="DL105" s="103"/>
      <c r="DM105" s="60"/>
      <c r="DN105" s="3">
        <f>IFERROR(Table410[[#This Row],[Jan_2027_Days_Forecast]]*Table410[[#This Row],[Cost Boolean]]*(VLOOKUP(Table410[[#This Row],[RATE CONCAT]],Tables!I:N,6,0)),0)</f>
        <v>0</v>
      </c>
      <c r="DO105" s="3"/>
      <c r="DP105" s="3">
        <f>Table410[[#This Row],[Jan_2027_F]]-Table410[[#This Row],[Jan_2027_A]]</f>
        <v>0</v>
      </c>
      <c r="DQ105" s="3">
        <f>IFERROR(Table410[[#This Row],[Feb_2027_Days_Forecast]]*Table410[[#This Row],[Cost Boolean]]*(VLOOKUP(Table410[[#This Row],[RATE CONCAT]],Tables!I:N,6,0)),0)</f>
        <v>0</v>
      </c>
      <c r="DR105" s="3"/>
      <c r="DS105" s="3">
        <f>Table410[[#This Row],[Feb_2027_F]]-Table410[[#This Row],[Feb_2027_A]]</f>
        <v>0</v>
      </c>
      <c r="DT105" s="3">
        <f>IFERROR(Table410[[#This Row],[Mar_2027_Days_Forecast]]*Table410[[#This Row],[Cost Boolean]]*(VLOOKUP(Table410[[#This Row],[RATE CONCAT]],Tables!I:N,6,0)),0)</f>
        <v>0</v>
      </c>
      <c r="DU105" s="3"/>
      <c r="DV105" s="3">
        <f>Table410[[#This Row],[Mar_2027_F]]-Table410[[#This Row],[Mar_2027_A]]</f>
        <v>0</v>
      </c>
      <c r="DW105" s="3">
        <f>IFERROR(Table410[[#This Row],[Apr_2027_Days_Forecast]]*Table410[[#This Row],[Cost Boolean]]*(VLOOKUP(Table410[[#This Row],[RATE CONCAT]],Tables!I:N,6,0)),0)</f>
        <v>0</v>
      </c>
      <c r="DX105" s="3"/>
      <c r="DY105" s="3">
        <f>Table410[[#This Row],[Apr_2027_F]]-Table410[[#This Row],[Apr_2027_A]]</f>
        <v>0</v>
      </c>
      <c r="DZ105" s="3">
        <f>IFERROR(Table410[[#This Row],[May_2027_Days_Forecast]]*Table410[[#This Row],[Cost Boolean]]*(VLOOKUP(Table410[[#This Row],[RATE CONCAT]],Tables!I:N,6,0)),0)</f>
        <v>0</v>
      </c>
      <c r="EA105" s="3"/>
      <c r="EB105" s="3">
        <f>Table410[[#This Row],[May_2027_F]]-Table410[[#This Row],[May_2027_A]]</f>
        <v>0</v>
      </c>
      <c r="EC105" s="3">
        <f>IFERROR(Table410[[#This Row],[Jun_2027_Days_Forecast]]*Table410[[#This Row],[Cost Boolean]]*(VLOOKUP(Table410[[#This Row],[RATE CONCAT]],Tables!I:N,6,0)),0)</f>
        <v>0</v>
      </c>
      <c r="ED105" s="3"/>
      <c r="EE105" s="3">
        <f>Table410[[#This Row],[Jun_2027_F]]-Table410[[#This Row],[Jun_2027_A]]</f>
        <v>0</v>
      </c>
      <c r="EF105" s="3">
        <f>IFERROR(Table410[[#This Row],[Jul_2027_Days_Forecast]]*Table410[[#This Row],[Cost Boolean]]*(VLOOKUP(Table410[[#This Row],[RATE CONCAT]],Tables!I:N,6,0)),0)</f>
        <v>0</v>
      </c>
      <c r="EG105" s="3"/>
      <c r="EH105" s="3">
        <f>Table410[[#This Row],[Jul_2027_F]]-Table410[[#This Row],[Jul_2027_A]]</f>
        <v>0</v>
      </c>
      <c r="EI105" s="3">
        <f>IFERROR(Table410[[#This Row],[Aug_2027_Days_Forecast]]*Table410[[#This Row],[Cost Boolean]]*(VLOOKUP(Table410[[#This Row],[RATE CONCAT]],Tables!I:N,6,0)),0)</f>
        <v>0</v>
      </c>
      <c r="EJ105" s="3"/>
      <c r="EK105" s="3">
        <f>Table410[[#This Row],[Aug_2027_F]]-Table410[[#This Row],[Aug_2027_A]]</f>
        <v>0</v>
      </c>
      <c r="EL105" s="3">
        <f>IFERROR(Table410[[#This Row],[Sep_2027_Days_Forecast]]*Table410[[#This Row],[Cost Boolean]]*(VLOOKUP(Table410[[#This Row],[RATE CONCAT]],Tables!I:N,6,0)),0)</f>
        <v>0</v>
      </c>
      <c r="EM105" s="3"/>
      <c r="EN105" s="3">
        <f>Table410[[#This Row],[Sep_2027_F]]-Table410[[#This Row],[Sep_2027_A]]</f>
        <v>0</v>
      </c>
      <c r="EO105" s="3">
        <f>IFERROR(Table410[[#This Row],[Oct_2027_Days_Forecast]]*Table410[[#This Row],[Cost Boolean]]*(VLOOKUP(Table410[[#This Row],[RATE CONCAT]],Tables!I:N,6,0)),0)</f>
        <v>0</v>
      </c>
      <c r="EP105" s="3"/>
      <c r="EQ105" s="3">
        <f>Table410[[#This Row],[Oct_2027_F]]-Table410[[#This Row],[Oct_2027_A]]</f>
        <v>0</v>
      </c>
      <c r="ER105" s="3">
        <f>IFERROR(Table410[[#This Row],[Nov_2027_Days_Forecast]]*Table410[[#This Row],[Cost Boolean]]*(VLOOKUP(Table410[[#This Row],[RATE CONCAT]],Tables!I:N,6,0)),0)</f>
        <v>0</v>
      </c>
      <c r="ES105" s="3"/>
      <c r="ET105" s="3">
        <f>Table410[[#This Row],[Nov_2027_F]]-Table410[[#This Row],[Nov_2027_A]]</f>
        <v>0</v>
      </c>
      <c r="EU105" s="3">
        <f>IFERROR(Table410[[#This Row],[Dec_2027_Days_Forecast]]*Table410[[#This Row],[Cost Boolean]]*(VLOOKUP(Table410[[#This Row],[RATE CONCAT]],Tables!I:N,6,0)),0)</f>
        <v>0</v>
      </c>
      <c r="EV105" s="3"/>
      <c r="EW105" s="3">
        <f>Table410[[#This Row],[Dec_2027_F]]-Table410[[#This Row],[Dec_2027_A]]</f>
        <v>0</v>
      </c>
    </row>
    <row r="106" spans="1:153" ht="1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4" t="str">
        <f>CONCATENATE(Table410[[#This Row],[JG]],Table410[[#This Row],[Country]],Table410[[#This Row],[Resource Provider]])</f>
        <v/>
      </c>
      <c r="Z106" s="14">
        <f>VLOOKUP(Table410[[#This Row],[RATE CONCAT]],Tables!I:N,5,0)</f>
        <v>0</v>
      </c>
      <c r="AA106" s="123"/>
      <c r="AB106" s="129"/>
      <c r="AC106" s="129"/>
      <c r="AD106" s="129"/>
      <c r="AE106" s="129"/>
      <c r="AF106" s="129"/>
      <c r="AG106" s="129"/>
      <c r="AH106" s="129"/>
      <c r="AI106" s="129"/>
      <c r="AJ106" s="129"/>
      <c r="AK106" s="131"/>
      <c r="AL106" s="131"/>
      <c r="AM106" s="131"/>
      <c r="AN106" s="176">
        <f>IFERROR(AVERAGE(Table410[[#This Row],[Jan_2026_Days_Forecast]:[Dec_2026_Days_Forecast]]),0)/19</f>
        <v>0</v>
      </c>
      <c r="AO106" s="176">
        <f>IFERROR(AVERAGE(Table410[[#This Row],[Jan_2026_Days_Actual]:[Dec_2026_Days_Actual]]),0)/19</f>
        <v>0</v>
      </c>
      <c r="AP106" s="84"/>
      <c r="AQ106" s="84"/>
      <c r="AR106" s="84"/>
      <c r="AS106" s="84"/>
      <c r="AT106" s="84"/>
      <c r="AU106" s="84"/>
      <c r="AV106" s="84"/>
      <c r="AW106" s="84"/>
      <c r="AX106" s="84"/>
      <c r="AY106" s="84"/>
      <c r="AZ106" s="84"/>
      <c r="BA106" s="84"/>
      <c r="BB106" s="176">
        <f>IFERROR(AVERAGE(Table410[[#This Row],[Jan_2027_Days_Forecast]:[Dec_2027_Days_Forecast]]),0)</f>
        <v>0</v>
      </c>
      <c r="BC106" s="129"/>
      <c r="BD106" s="129"/>
      <c r="BE106" s="129"/>
      <c r="BF106" s="129"/>
      <c r="BG106" s="129"/>
      <c r="BH106" s="129"/>
      <c r="BI106" s="129"/>
      <c r="BJ106" s="129"/>
      <c r="BK106" s="129"/>
      <c r="BL106" s="129"/>
      <c r="BM106" s="129"/>
      <c r="BN106" s="129"/>
      <c r="BO106" s="176"/>
      <c r="BP106" s="176"/>
      <c r="BQ106" s="3">
        <f>IFERROR(Table410[[#This Row],[Jan_2026_Days_Forecast]]*Table410[[#This Row],[Cost Boolean]]*(VLOOKUP(Table410[[#This Row],[RATE CONCAT]],Tables!I:N,5,0)),0)</f>
        <v>0</v>
      </c>
      <c r="BR106" s="3">
        <f>IFERROR(Table410[[#This Row],[Jan_2026_Days_Actual]]*Table410[[#This Row],[Cost Boolean]]*(VLOOKUP(Table410[[#This Row],[RATE CONCAT]],Tables!I:N,5,0)),0)</f>
        <v>0</v>
      </c>
      <c r="BS106" s="13">
        <f>Table410[[#This Row],[Jan_2026_F]]-Table410[[#This Row],[Jan_2026_A]]</f>
        <v>0</v>
      </c>
      <c r="BT106" s="114"/>
      <c r="BU106" s="13">
        <f>IFERROR(Table410[[#This Row],[Feb_2026_Days_Forecast]]*Table410[[#This Row],[Cost Boolean]]*(VLOOKUP(Table410[[#This Row],[RATE CONCAT]],Tables!I:N,5,0)),0)</f>
        <v>0</v>
      </c>
      <c r="BV106" s="3">
        <f>IFERROR(Table410[[#This Row],[Feb_2026_Days_Actual]]*Table410[[#This Row],[Cost Boolean]]*(VLOOKUP(Table410[[#This Row],[RATE CONCAT]],Tables!I:N,5,0)),0)</f>
        <v>0</v>
      </c>
      <c r="BW106" s="13">
        <f>Table410[[#This Row],[Feb_2026_F]]-Table410[[#This Row],[Feb_2026_A]]</f>
        <v>0</v>
      </c>
      <c r="BX106" s="3"/>
      <c r="BY106" s="3">
        <f>IFERROR(Table410[[#This Row],[Mar_2026_Days_Forecast]]*Table410[[#This Row],[Cost Boolean]]*(VLOOKUP(Table410[[#This Row],[RATE CONCAT]],Tables!I:N,5,0)),0)</f>
        <v>0</v>
      </c>
      <c r="BZ106" s="3">
        <f>IFERROR(Table410[[#This Row],[Mar_2026_Days_Actual]]*Table410[[#This Row],[Cost Boolean]]*(VLOOKUP(Table410[[#This Row],[RATE CONCAT]],Tables!I:N,5,0)),0)</f>
        <v>0</v>
      </c>
      <c r="CA106" s="3">
        <f>Table410[[#This Row],[Mar_2026_F]]-Table410[[#This Row],[Mar_2026_A]]</f>
        <v>0</v>
      </c>
      <c r="CB106" s="103"/>
      <c r="CC106" s="3">
        <f>IFERROR(Table410[[#This Row],[Apr_2026_Days_Forecast]]*Table410[[#This Row],[Cost Boolean]]*(VLOOKUP(Table410[[#This Row],[RATE CONCAT]],Tables!I:N,5,0)),0)</f>
        <v>0</v>
      </c>
      <c r="CD106" s="3">
        <f>IFERROR(Table410[[#This Row],[Apr_2026_Days_Actual]]*Table410[[#This Row],[Cost Boolean]]*(VLOOKUP(Table410[[#This Row],[RATE CONCAT]],Tables!I:N,5,0)),0)</f>
        <v>0</v>
      </c>
      <c r="CE106" s="3">
        <f>Table410[[#This Row],[Apr_2026_F]]-Table410[[#This Row],[Apr_2026_A]]</f>
        <v>0</v>
      </c>
      <c r="CF106" s="103"/>
      <c r="CG106" s="3">
        <f>IFERROR(Table410[[#This Row],[May_2026_Days_Forecast]] *Table410[[#This Row],[Cost Boolean]]*(VLOOKUP(Table410[[#This Row],[RATE CONCAT]],Tables!I:N,5,0)),0)</f>
        <v>0</v>
      </c>
      <c r="CH106" s="3">
        <f>IFERROR(Table410[[#This Row],[May_2026_Days_Actual]]*Table410[[#This Row],[Cost Boolean]]*(VLOOKUP(Table410[[#This Row],[RATE CONCAT]],Tables!I:N,5,0)),0)</f>
        <v>0</v>
      </c>
      <c r="CI106" s="3">
        <f>Table410[[#This Row],[May_2026_F]]-Table410[[#This Row],[May_2026_A]]</f>
        <v>0</v>
      </c>
      <c r="CJ106" s="103"/>
      <c r="CK106" s="3">
        <f>IFERROR(Table410[[#This Row],[Jun_2026_Days_Forecast]]*Table410[[#This Row],[Cost Boolean]]*(VLOOKUP(Table410[[#This Row],[RATE CONCAT]],Tables!I:N,5,0)),0)</f>
        <v>0</v>
      </c>
      <c r="CL106" s="3">
        <f>IFERROR(Table410[[#This Row],[Jun_2026_Days_Actual]]*Table410[[#This Row],[Cost Boolean]]*(VLOOKUP(Table410[[#This Row],[RATE CONCAT]],Tables!I:N,5,0)),0)</f>
        <v>0</v>
      </c>
      <c r="CM106" s="3">
        <f>Table410[[#This Row],[Jun_2026_F]]-Table410[[#This Row],[Jun_2026_A]]</f>
        <v>0</v>
      </c>
      <c r="CN106" s="103"/>
      <c r="CO106" s="3">
        <f>IFERROR(Table410[[#This Row],[Jul_2026_Days_Forecast]]*Table410[[#This Row],[Cost Boolean]]*(VLOOKUP(Table410[[#This Row],[RATE CONCAT]],Tables!I:N,5,0)),0)</f>
        <v>0</v>
      </c>
      <c r="CP106" s="3">
        <f>IFERROR(Table410[[#This Row],[Jul_2026_Days_Actual]]*Table410[[#This Row],[Cost Boolean]]*(VLOOKUP(Table410[[#This Row],[RATE CONCAT]],Tables!I:N,5,0)),0)</f>
        <v>0</v>
      </c>
      <c r="CQ106" s="3">
        <f>Table410[[#This Row],[Jul_2026_F]]-Table410[[#This Row],[Jul_2026_A]]</f>
        <v>0</v>
      </c>
      <c r="CR106" s="103"/>
      <c r="CS106" s="3">
        <f>IFERROR(Table410[[#This Row],[Aug_2026_Days_Forecast]]*Table410[[#This Row],[Cost Boolean]]*(VLOOKUP(Table410[[#This Row],[RATE CONCAT]],Tables!I:N,5,0)),0)</f>
        <v>0</v>
      </c>
      <c r="CT106" s="3">
        <f>IFERROR(Table410[[#This Row],[Aug_2026_Days_Actual]]*Table410[[#This Row],[Cost Boolean]]*(VLOOKUP(Table410[[#This Row],[RATE CONCAT]],Tables!I:N,5,0)),0)</f>
        <v>0</v>
      </c>
      <c r="CU106" s="3">
        <f>Table410[[#This Row],[Aug_2026_F]]-Table410[[#This Row],[Aug_2026_A]]</f>
        <v>0</v>
      </c>
      <c r="CV106" s="103"/>
      <c r="CW106" s="3">
        <f>IFERROR(Table410[[#This Row],[Sep_2026_Days_Forecast]]*Table410[[#This Row],[Cost Boolean]]*(VLOOKUP(Table410[[#This Row],[RATE CONCAT]],Tables!I:N,5,0)),0)</f>
        <v>0</v>
      </c>
      <c r="CX106" s="3">
        <f>IFERROR(Table410[[#This Row],[Sep_2026_Days_Actual]]*Table410[[#This Row],[Cost Boolean]]*(VLOOKUP(Table410[[#This Row],[RATE CONCAT]],Tables!I:N,5,0)),0)</f>
        <v>0</v>
      </c>
      <c r="CY106" s="3">
        <f>Table410[[#This Row],[Sep_2026_F]]-Table410[[#This Row],[Sep_2026_A]]</f>
        <v>0</v>
      </c>
      <c r="CZ106" s="103"/>
      <c r="DA106" s="3">
        <f>IFERROR(Table410[[#This Row],[Oct_2026_Days_Forecast]]*Table410[[#This Row],[Cost Boolean]]*(VLOOKUP(Table410[[#This Row],[RATE CONCAT]],Tables!I:N,5,0)),0)</f>
        <v>0</v>
      </c>
      <c r="DB106" s="3">
        <f>IFERROR(Table410[[#This Row],[Oct_2026_Days_Actual]]*Table410[[#This Row],[Cost Boolean]]*(VLOOKUP(Table410[[#This Row],[RATE CONCAT]],Tables!I:N,5,0)),0)</f>
        <v>0</v>
      </c>
      <c r="DC106" s="3">
        <f>Table410[[#This Row],[Oct_2026_F]]-Table410[[#This Row],[Oct_2026_A]]</f>
        <v>0</v>
      </c>
      <c r="DD106" s="103"/>
      <c r="DE106" s="3">
        <f>IFERROR(Table410[[#This Row],[Nov_2026_Days_Forecast]]*Table410[[#This Row],[Cost Boolean]]*(VLOOKUP(Table410[[#This Row],[RATE CONCAT]],Tables!I:N,5,0)),0)</f>
        <v>0</v>
      </c>
      <c r="DF106" s="3">
        <f>IFERROR(Table410[[#This Row],[Nov_2026_Days_Actual]]*Table410[[#This Row],[Cost Boolean]]*(VLOOKUP(Table410[[#This Row],[RATE CONCAT]],Tables!I:N,5,0)),0)</f>
        <v>0</v>
      </c>
      <c r="DG106" s="3">
        <f>Table410[[#This Row],[Nov_2026_F]]-Table410[[#This Row],[Nov_2026_A]]</f>
        <v>0</v>
      </c>
      <c r="DH106" s="103"/>
      <c r="DI106" s="3">
        <f>IFERROR(Table410[[#This Row],[Dec_2026_Days_Forecast]]*Table410[[#This Row],[Cost Boolean]]*(VLOOKUP(Table410[[#This Row],[RATE CONCAT]],Tables!I:N,5,0)),0)</f>
        <v>0</v>
      </c>
      <c r="DJ106" s="3">
        <f>IFERROR(Table410[[#This Row],[Dec_2026_Days_Actual]]*Table410[[#This Row],[Cost Boolean]]*(VLOOKUP(Table410[[#This Row],[RATE CONCAT]],Tables!I:N,5,0)),0)</f>
        <v>0</v>
      </c>
      <c r="DK106" s="126">
        <f>Table410[[#This Row],[Dec_2026_F]]-Table410[[#This Row],[Dec_2026_A]]</f>
        <v>0</v>
      </c>
      <c r="DL106" s="103"/>
      <c r="DM106" s="60"/>
      <c r="DN106" s="3">
        <f>IFERROR(Table410[[#This Row],[Jan_2027_Days_Forecast]]*Table410[[#This Row],[Cost Boolean]]*(VLOOKUP(Table410[[#This Row],[RATE CONCAT]],Tables!I:N,6,0)),0)</f>
        <v>0</v>
      </c>
      <c r="DO106" s="3"/>
      <c r="DP106" s="3">
        <f>Table410[[#This Row],[Jan_2027_F]]-Table410[[#This Row],[Jan_2027_A]]</f>
        <v>0</v>
      </c>
      <c r="DQ106" s="3">
        <f>IFERROR(Table410[[#This Row],[Feb_2027_Days_Forecast]]*Table410[[#This Row],[Cost Boolean]]*(VLOOKUP(Table410[[#This Row],[RATE CONCAT]],Tables!I:N,6,0)),0)</f>
        <v>0</v>
      </c>
      <c r="DR106" s="3"/>
      <c r="DS106" s="3">
        <f>Table410[[#This Row],[Feb_2027_F]]-Table410[[#This Row],[Feb_2027_A]]</f>
        <v>0</v>
      </c>
      <c r="DT106" s="3">
        <f>IFERROR(Table410[[#This Row],[Mar_2027_Days_Forecast]]*Table410[[#This Row],[Cost Boolean]]*(VLOOKUP(Table410[[#This Row],[RATE CONCAT]],Tables!I:N,6,0)),0)</f>
        <v>0</v>
      </c>
      <c r="DU106" s="3"/>
      <c r="DV106" s="3">
        <f>Table410[[#This Row],[Mar_2027_F]]-Table410[[#This Row],[Mar_2027_A]]</f>
        <v>0</v>
      </c>
      <c r="DW106" s="3">
        <f>IFERROR(Table410[[#This Row],[Apr_2027_Days_Forecast]]*Table410[[#This Row],[Cost Boolean]]*(VLOOKUP(Table410[[#This Row],[RATE CONCAT]],Tables!I:N,6,0)),0)</f>
        <v>0</v>
      </c>
      <c r="DX106" s="3"/>
      <c r="DY106" s="3">
        <f>Table410[[#This Row],[Apr_2027_F]]-Table410[[#This Row],[Apr_2027_A]]</f>
        <v>0</v>
      </c>
      <c r="DZ106" s="3">
        <f>IFERROR(Table410[[#This Row],[May_2027_Days_Forecast]]*Table410[[#This Row],[Cost Boolean]]*(VLOOKUP(Table410[[#This Row],[RATE CONCAT]],Tables!I:N,6,0)),0)</f>
        <v>0</v>
      </c>
      <c r="EA106" s="3"/>
      <c r="EB106" s="3">
        <f>Table410[[#This Row],[May_2027_F]]-Table410[[#This Row],[May_2027_A]]</f>
        <v>0</v>
      </c>
      <c r="EC106" s="3">
        <f>IFERROR(Table410[[#This Row],[Jun_2027_Days_Forecast]]*Table410[[#This Row],[Cost Boolean]]*(VLOOKUP(Table410[[#This Row],[RATE CONCAT]],Tables!I:N,6,0)),0)</f>
        <v>0</v>
      </c>
      <c r="ED106" s="3"/>
      <c r="EE106" s="3">
        <f>Table410[[#This Row],[Jun_2027_F]]-Table410[[#This Row],[Jun_2027_A]]</f>
        <v>0</v>
      </c>
      <c r="EF106" s="3">
        <f>IFERROR(Table410[[#This Row],[Jul_2027_Days_Forecast]]*Table410[[#This Row],[Cost Boolean]]*(VLOOKUP(Table410[[#This Row],[RATE CONCAT]],Tables!I:N,6,0)),0)</f>
        <v>0</v>
      </c>
      <c r="EG106" s="3"/>
      <c r="EH106" s="3">
        <f>Table410[[#This Row],[Jul_2027_F]]-Table410[[#This Row],[Jul_2027_A]]</f>
        <v>0</v>
      </c>
      <c r="EI106" s="3">
        <f>IFERROR(Table410[[#This Row],[Aug_2027_Days_Forecast]]*Table410[[#This Row],[Cost Boolean]]*(VLOOKUP(Table410[[#This Row],[RATE CONCAT]],Tables!I:N,6,0)),0)</f>
        <v>0</v>
      </c>
      <c r="EJ106" s="3"/>
      <c r="EK106" s="3">
        <f>Table410[[#This Row],[Aug_2027_F]]-Table410[[#This Row],[Aug_2027_A]]</f>
        <v>0</v>
      </c>
      <c r="EL106" s="3">
        <f>IFERROR(Table410[[#This Row],[Sep_2027_Days_Forecast]]*Table410[[#This Row],[Cost Boolean]]*(VLOOKUP(Table410[[#This Row],[RATE CONCAT]],Tables!I:N,6,0)),0)</f>
        <v>0</v>
      </c>
      <c r="EM106" s="3"/>
      <c r="EN106" s="3">
        <f>Table410[[#This Row],[Sep_2027_F]]-Table410[[#This Row],[Sep_2027_A]]</f>
        <v>0</v>
      </c>
      <c r="EO106" s="3">
        <f>IFERROR(Table410[[#This Row],[Oct_2027_Days_Forecast]]*Table410[[#This Row],[Cost Boolean]]*(VLOOKUP(Table410[[#This Row],[RATE CONCAT]],Tables!I:N,6,0)),0)</f>
        <v>0</v>
      </c>
      <c r="EP106" s="3"/>
      <c r="EQ106" s="3">
        <f>Table410[[#This Row],[Oct_2027_F]]-Table410[[#This Row],[Oct_2027_A]]</f>
        <v>0</v>
      </c>
      <c r="ER106" s="3">
        <f>IFERROR(Table410[[#This Row],[Nov_2027_Days_Forecast]]*Table410[[#This Row],[Cost Boolean]]*(VLOOKUP(Table410[[#This Row],[RATE CONCAT]],Tables!I:N,6,0)),0)</f>
        <v>0</v>
      </c>
      <c r="ES106" s="3"/>
      <c r="ET106" s="3">
        <f>Table410[[#This Row],[Nov_2027_F]]-Table410[[#This Row],[Nov_2027_A]]</f>
        <v>0</v>
      </c>
      <c r="EU106" s="3">
        <f>IFERROR(Table410[[#This Row],[Dec_2027_Days_Forecast]]*Table410[[#This Row],[Cost Boolean]]*(VLOOKUP(Table410[[#This Row],[RATE CONCAT]],Tables!I:N,6,0)),0)</f>
        <v>0</v>
      </c>
      <c r="EV106" s="3"/>
      <c r="EW106" s="3">
        <f>Table410[[#This Row],[Dec_2027_F]]-Table410[[#This Row],[Dec_2027_A]]</f>
        <v>0</v>
      </c>
    </row>
    <row r="107" spans="1:153" ht="1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4" t="str">
        <f>CONCATENATE(Table410[[#This Row],[JG]],Table410[[#This Row],[Country]],Table410[[#This Row],[Resource Provider]])</f>
        <v/>
      </c>
      <c r="Z107" s="14">
        <f>VLOOKUP(Table410[[#This Row],[RATE CONCAT]],Tables!I:N,5,0)</f>
        <v>0</v>
      </c>
      <c r="AA107" s="123"/>
      <c r="AB107" s="129"/>
      <c r="AC107" s="129"/>
      <c r="AD107" s="129"/>
      <c r="AE107" s="129"/>
      <c r="AF107" s="129"/>
      <c r="AG107" s="129"/>
      <c r="AH107" s="129"/>
      <c r="AI107" s="129"/>
      <c r="AJ107" s="131"/>
      <c r="AK107" s="131"/>
      <c r="AL107" s="131"/>
      <c r="AM107" s="131"/>
      <c r="AN107" s="176">
        <f>IFERROR(AVERAGE(Table410[[#This Row],[Jan_2026_Days_Forecast]:[Dec_2026_Days_Forecast]]),0)/19</f>
        <v>0</v>
      </c>
      <c r="AO107" s="176">
        <f>IFERROR(AVERAGE(Table410[[#This Row],[Jan_2026_Days_Actual]:[Dec_2026_Days_Actual]]),0)/19</f>
        <v>0</v>
      </c>
      <c r="AP107" s="84"/>
      <c r="AQ107" s="84"/>
      <c r="AR107" s="84"/>
      <c r="AS107" s="84"/>
      <c r="AT107" s="84"/>
      <c r="AU107" s="84"/>
      <c r="AV107" s="84"/>
      <c r="AW107" s="84"/>
      <c r="AX107" s="84"/>
      <c r="AY107" s="84"/>
      <c r="AZ107" s="84"/>
      <c r="BA107" s="84"/>
      <c r="BB107" s="176">
        <f>IFERROR(AVERAGE(Table410[[#This Row],[Jan_2027_Days_Forecast]:[Dec_2027_Days_Forecast]]),0)</f>
        <v>0</v>
      </c>
      <c r="BC107" s="129"/>
      <c r="BD107" s="129"/>
      <c r="BE107" s="129"/>
      <c r="BF107" s="129"/>
      <c r="BG107" s="129"/>
      <c r="BH107" s="129"/>
      <c r="BI107" s="129"/>
      <c r="BJ107" s="129"/>
      <c r="BK107" s="129"/>
      <c r="BL107" s="129"/>
      <c r="BM107" s="129"/>
      <c r="BN107" s="129"/>
      <c r="BO107" s="176"/>
      <c r="BP107" s="176"/>
      <c r="BQ107" s="3">
        <f>IFERROR(Table410[[#This Row],[Jan_2026_Days_Forecast]]*Table410[[#This Row],[Cost Boolean]]*(VLOOKUP(Table410[[#This Row],[RATE CONCAT]],Tables!I:N,5,0)),0)</f>
        <v>0</v>
      </c>
      <c r="BR107" s="3">
        <f>IFERROR(Table410[[#This Row],[Jan_2026_Days_Actual]]*Table410[[#This Row],[Cost Boolean]]*(VLOOKUP(Table410[[#This Row],[RATE CONCAT]],Tables!I:N,5,0)),0)</f>
        <v>0</v>
      </c>
      <c r="BS107" s="13">
        <f>Table410[[#This Row],[Jan_2026_F]]-Table410[[#This Row],[Jan_2026_A]]</f>
        <v>0</v>
      </c>
      <c r="BT107" s="114"/>
      <c r="BU107" s="13">
        <f>IFERROR(Table410[[#This Row],[Feb_2026_Days_Forecast]]*Table410[[#This Row],[Cost Boolean]]*(VLOOKUP(Table410[[#This Row],[RATE CONCAT]],Tables!I:N,5,0)),0)</f>
        <v>0</v>
      </c>
      <c r="BV107" s="3">
        <f>IFERROR(Table410[[#This Row],[Feb_2026_Days_Actual]]*Table410[[#This Row],[Cost Boolean]]*(VLOOKUP(Table410[[#This Row],[RATE CONCAT]],Tables!I:N,5,0)),0)</f>
        <v>0</v>
      </c>
      <c r="BW107" s="13">
        <f>Table410[[#This Row],[Feb_2026_F]]-Table410[[#This Row],[Feb_2026_A]]</f>
        <v>0</v>
      </c>
      <c r="BX107" s="3"/>
      <c r="BY107" s="3">
        <f>IFERROR(Table410[[#This Row],[Mar_2026_Days_Forecast]]*Table410[[#This Row],[Cost Boolean]]*(VLOOKUP(Table410[[#This Row],[RATE CONCAT]],Tables!I:N,5,0)),0)</f>
        <v>0</v>
      </c>
      <c r="BZ107" s="3">
        <f>IFERROR(Table410[[#This Row],[Mar_2026_Days_Actual]]*Table410[[#This Row],[Cost Boolean]]*(VLOOKUP(Table410[[#This Row],[RATE CONCAT]],Tables!I:N,5,0)),0)</f>
        <v>0</v>
      </c>
      <c r="CA107" s="3">
        <f>Table410[[#This Row],[Mar_2026_F]]-Table410[[#This Row],[Mar_2026_A]]</f>
        <v>0</v>
      </c>
      <c r="CB107" s="103"/>
      <c r="CC107" s="3">
        <f>IFERROR(Table410[[#This Row],[Apr_2026_Days_Forecast]]*Table410[[#This Row],[Cost Boolean]]*(VLOOKUP(Table410[[#This Row],[RATE CONCAT]],Tables!I:N,5,0)),0)</f>
        <v>0</v>
      </c>
      <c r="CD107" s="3">
        <f>IFERROR(Table410[[#This Row],[Apr_2026_Days_Actual]]*Table410[[#This Row],[Cost Boolean]]*(VLOOKUP(Table410[[#This Row],[RATE CONCAT]],Tables!I:N,5,0)),0)</f>
        <v>0</v>
      </c>
      <c r="CE107" s="3">
        <f>Table410[[#This Row],[Apr_2026_F]]-Table410[[#This Row],[Apr_2026_A]]</f>
        <v>0</v>
      </c>
      <c r="CF107" s="103"/>
      <c r="CG107" s="3">
        <f>IFERROR(Table410[[#This Row],[May_2026_Days_Forecast]] *Table410[[#This Row],[Cost Boolean]]*(VLOOKUP(Table410[[#This Row],[RATE CONCAT]],Tables!I:N,5,0)),0)</f>
        <v>0</v>
      </c>
      <c r="CH107" s="3">
        <f>IFERROR(Table410[[#This Row],[May_2026_Days_Actual]]*Table410[[#This Row],[Cost Boolean]]*(VLOOKUP(Table410[[#This Row],[RATE CONCAT]],Tables!I:N,5,0)),0)</f>
        <v>0</v>
      </c>
      <c r="CI107" s="3">
        <f>Table410[[#This Row],[May_2026_F]]-Table410[[#This Row],[May_2026_A]]</f>
        <v>0</v>
      </c>
      <c r="CJ107" s="103"/>
      <c r="CK107" s="3">
        <f>IFERROR(Table410[[#This Row],[Jun_2026_Days_Forecast]]*Table410[[#This Row],[Cost Boolean]]*(VLOOKUP(Table410[[#This Row],[RATE CONCAT]],Tables!I:N,5,0)),0)</f>
        <v>0</v>
      </c>
      <c r="CL107" s="3">
        <f>IFERROR(Table410[[#This Row],[Jun_2026_Days_Actual]]*Table410[[#This Row],[Cost Boolean]]*(VLOOKUP(Table410[[#This Row],[RATE CONCAT]],Tables!I:N,5,0)),0)</f>
        <v>0</v>
      </c>
      <c r="CM107" s="3">
        <f>Table410[[#This Row],[Jun_2026_F]]-Table410[[#This Row],[Jun_2026_A]]</f>
        <v>0</v>
      </c>
      <c r="CN107" s="103"/>
      <c r="CO107" s="3">
        <f>IFERROR(Table410[[#This Row],[Jul_2026_Days_Forecast]]*Table410[[#This Row],[Cost Boolean]]*(VLOOKUP(Table410[[#This Row],[RATE CONCAT]],Tables!I:N,5,0)),0)</f>
        <v>0</v>
      </c>
      <c r="CP107" s="3">
        <f>IFERROR(Table410[[#This Row],[Jul_2026_Days_Actual]]*Table410[[#This Row],[Cost Boolean]]*(VLOOKUP(Table410[[#This Row],[RATE CONCAT]],Tables!I:N,5,0)),0)</f>
        <v>0</v>
      </c>
      <c r="CQ107" s="3">
        <f>Table410[[#This Row],[Jul_2026_F]]-Table410[[#This Row],[Jul_2026_A]]</f>
        <v>0</v>
      </c>
      <c r="CR107" s="103"/>
      <c r="CS107" s="3">
        <f>IFERROR(Table410[[#This Row],[Aug_2026_Days_Forecast]]*Table410[[#This Row],[Cost Boolean]]*(VLOOKUP(Table410[[#This Row],[RATE CONCAT]],Tables!I:N,5,0)),0)</f>
        <v>0</v>
      </c>
      <c r="CT107" s="3">
        <f>IFERROR(Table410[[#This Row],[Aug_2026_Days_Actual]]*Table410[[#This Row],[Cost Boolean]]*(VLOOKUP(Table410[[#This Row],[RATE CONCAT]],Tables!I:N,5,0)),0)</f>
        <v>0</v>
      </c>
      <c r="CU107" s="3">
        <f>Table410[[#This Row],[Aug_2026_F]]-Table410[[#This Row],[Aug_2026_A]]</f>
        <v>0</v>
      </c>
      <c r="CV107" s="103"/>
      <c r="CW107" s="3">
        <f>IFERROR(Table410[[#This Row],[Sep_2026_Days_Forecast]]*Table410[[#This Row],[Cost Boolean]]*(VLOOKUP(Table410[[#This Row],[RATE CONCAT]],Tables!I:N,5,0)),0)</f>
        <v>0</v>
      </c>
      <c r="CX107" s="3">
        <f>IFERROR(Table410[[#This Row],[Sep_2026_Days_Actual]]*Table410[[#This Row],[Cost Boolean]]*(VLOOKUP(Table410[[#This Row],[RATE CONCAT]],Tables!I:N,5,0)),0)</f>
        <v>0</v>
      </c>
      <c r="CY107" s="3">
        <f>Table410[[#This Row],[Sep_2026_F]]-Table410[[#This Row],[Sep_2026_A]]</f>
        <v>0</v>
      </c>
      <c r="CZ107" s="103"/>
      <c r="DA107" s="3">
        <f>IFERROR(Table410[[#This Row],[Oct_2026_Days_Forecast]]*Table410[[#This Row],[Cost Boolean]]*(VLOOKUP(Table410[[#This Row],[RATE CONCAT]],Tables!I:N,5,0)),0)</f>
        <v>0</v>
      </c>
      <c r="DB107" s="3">
        <f>IFERROR(Table410[[#This Row],[Oct_2026_Days_Actual]]*Table410[[#This Row],[Cost Boolean]]*(VLOOKUP(Table410[[#This Row],[RATE CONCAT]],Tables!I:N,5,0)),0)</f>
        <v>0</v>
      </c>
      <c r="DC107" s="3">
        <f>Table410[[#This Row],[Oct_2026_F]]-Table410[[#This Row],[Oct_2026_A]]</f>
        <v>0</v>
      </c>
      <c r="DD107" s="103"/>
      <c r="DE107" s="3">
        <f>IFERROR(Table410[[#This Row],[Nov_2026_Days_Forecast]]*Table410[[#This Row],[Cost Boolean]]*(VLOOKUP(Table410[[#This Row],[RATE CONCAT]],Tables!I:N,5,0)),0)</f>
        <v>0</v>
      </c>
      <c r="DF107" s="3">
        <f>IFERROR(Table410[[#This Row],[Nov_2026_Days_Actual]]*Table410[[#This Row],[Cost Boolean]]*(VLOOKUP(Table410[[#This Row],[RATE CONCAT]],Tables!I:N,5,0)),0)</f>
        <v>0</v>
      </c>
      <c r="DG107" s="3">
        <f>Table410[[#This Row],[Nov_2026_F]]-Table410[[#This Row],[Nov_2026_A]]</f>
        <v>0</v>
      </c>
      <c r="DH107" s="103"/>
      <c r="DI107" s="3">
        <f>IFERROR(Table410[[#This Row],[Dec_2026_Days_Forecast]]*Table410[[#This Row],[Cost Boolean]]*(VLOOKUP(Table410[[#This Row],[RATE CONCAT]],Tables!I:N,5,0)),0)</f>
        <v>0</v>
      </c>
      <c r="DJ107" s="3">
        <f>IFERROR(Table410[[#This Row],[Dec_2026_Days_Actual]]*Table410[[#This Row],[Cost Boolean]]*(VLOOKUP(Table410[[#This Row],[RATE CONCAT]],Tables!I:N,5,0)),0)</f>
        <v>0</v>
      </c>
      <c r="DK107" s="126">
        <f>Table410[[#This Row],[Dec_2026_F]]-Table410[[#This Row],[Dec_2026_A]]</f>
        <v>0</v>
      </c>
      <c r="DL107" s="103"/>
      <c r="DM107" s="60"/>
      <c r="DN107" s="3">
        <f>IFERROR(Table410[[#This Row],[Jan_2027_Days_Forecast]]*Table410[[#This Row],[Cost Boolean]]*(VLOOKUP(Table410[[#This Row],[RATE CONCAT]],Tables!I:N,6,0)),0)</f>
        <v>0</v>
      </c>
      <c r="DO107" s="3"/>
      <c r="DP107" s="3">
        <f>Table410[[#This Row],[Jan_2027_F]]-Table410[[#This Row],[Jan_2027_A]]</f>
        <v>0</v>
      </c>
      <c r="DQ107" s="3">
        <f>IFERROR(Table410[[#This Row],[Feb_2027_Days_Forecast]]*Table410[[#This Row],[Cost Boolean]]*(VLOOKUP(Table410[[#This Row],[RATE CONCAT]],Tables!I:N,6,0)),0)</f>
        <v>0</v>
      </c>
      <c r="DR107" s="3"/>
      <c r="DS107" s="3">
        <f>Table410[[#This Row],[Feb_2027_F]]-Table410[[#This Row],[Feb_2027_A]]</f>
        <v>0</v>
      </c>
      <c r="DT107" s="3">
        <f>IFERROR(Table410[[#This Row],[Mar_2027_Days_Forecast]]*Table410[[#This Row],[Cost Boolean]]*(VLOOKUP(Table410[[#This Row],[RATE CONCAT]],Tables!I:N,6,0)),0)</f>
        <v>0</v>
      </c>
      <c r="DU107" s="3"/>
      <c r="DV107" s="3">
        <f>Table410[[#This Row],[Mar_2027_F]]-Table410[[#This Row],[Mar_2027_A]]</f>
        <v>0</v>
      </c>
      <c r="DW107" s="3">
        <f>IFERROR(Table410[[#This Row],[Apr_2027_Days_Forecast]]*Table410[[#This Row],[Cost Boolean]]*(VLOOKUP(Table410[[#This Row],[RATE CONCAT]],Tables!I:N,6,0)),0)</f>
        <v>0</v>
      </c>
      <c r="DX107" s="3"/>
      <c r="DY107" s="3">
        <f>Table410[[#This Row],[Apr_2027_F]]-Table410[[#This Row],[Apr_2027_A]]</f>
        <v>0</v>
      </c>
      <c r="DZ107" s="3">
        <f>IFERROR(Table410[[#This Row],[May_2027_Days_Forecast]]*Table410[[#This Row],[Cost Boolean]]*(VLOOKUP(Table410[[#This Row],[RATE CONCAT]],Tables!I:N,6,0)),0)</f>
        <v>0</v>
      </c>
      <c r="EA107" s="3"/>
      <c r="EB107" s="3">
        <f>Table410[[#This Row],[May_2027_F]]-Table410[[#This Row],[May_2027_A]]</f>
        <v>0</v>
      </c>
      <c r="EC107" s="3">
        <f>IFERROR(Table410[[#This Row],[Jun_2027_Days_Forecast]]*Table410[[#This Row],[Cost Boolean]]*(VLOOKUP(Table410[[#This Row],[RATE CONCAT]],Tables!I:N,6,0)),0)</f>
        <v>0</v>
      </c>
      <c r="ED107" s="3"/>
      <c r="EE107" s="3">
        <f>Table410[[#This Row],[Jun_2027_F]]-Table410[[#This Row],[Jun_2027_A]]</f>
        <v>0</v>
      </c>
      <c r="EF107" s="3">
        <f>IFERROR(Table410[[#This Row],[Jul_2027_Days_Forecast]]*Table410[[#This Row],[Cost Boolean]]*(VLOOKUP(Table410[[#This Row],[RATE CONCAT]],Tables!I:N,6,0)),0)</f>
        <v>0</v>
      </c>
      <c r="EG107" s="3"/>
      <c r="EH107" s="3">
        <f>Table410[[#This Row],[Jul_2027_F]]-Table410[[#This Row],[Jul_2027_A]]</f>
        <v>0</v>
      </c>
      <c r="EI107" s="3">
        <f>IFERROR(Table410[[#This Row],[Aug_2027_Days_Forecast]]*Table410[[#This Row],[Cost Boolean]]*(VLOOKUP(Table410[[#This Row],[RATE CONCAT]],Tables!I:N,6,0)),0)</f>
        <v>0</v>
      </c>
      <c r="EJ107" s="3"/>
      <c r="EK107" s="3">
        <f>Table410[[#This Row],[Aug_2027_F]]-Table410[[#This Row],[Aug_2027_A]]</f>
        <v>0</v>
      </c>
      <c r="EL107" s="3">
        <f>IFERROR(Table410[[#This Row],[Sep_2027_Days_Forecast]]*Table410[[#This Row],[Cost Boolean]]*(VLOOKUP(Table410[[#This Row],[RATE CONCAT]],Tables!I:N,6,0)),0)</f>
        <v>0</v>
      </c>
      <c r="EM107" s="3"/>
      <c r="EN107" s="3">
        <f>Table410[[#This Row],[Sep_2027_F]]-Table410[[#This Row],[Sep_2027_A]]</f>
        <v>0</v>
      </c>
      <c r="EO107" s="3">
        <f>IFERROR(Table410[[#This Row],[Oct_2027_Days_Forecast]]*Table410[[#This Row],[Cost Boolean]]*(VLOOKUP(Table410[[#This Row],[RATE CONCAT]],Tables!I:N,6,0)),0)</f>
        <v>0</v>
      </c>
      <c r="EP107" s="3"/>
      <c r="EQ107" s="3">
        <f>Table410[[#This Row],[Oct_2027_F]]-Table410[[#This Row],[Oct_2027_A]]</f>
        <v>0</v>
      </c>
      <c r="ER107" s="3">
        <f>IFERROR(Table410[[#This Row],[Nov_2027_Days_Forecast]]*Table410[[#This Row],[Cost Boolean]]*(VLOOKUP(Table410[[#This Row],[RATE CONCAT]],Tables!I:N,6,0)),0)</f>
        <v>0</v>
      </c>
      <c r="ES107" s="3"/>
      <c r="ET107" s="3">
        <f>Table410[[#This Row],[Nov_2027_F]]-Table410[[#This Row],[Nov_2027_A]]</f>
        <v>0</v>
      </c>
      <c r="EU107" s="3">
        <f>IFERROR(Table410[[#This Row],[Dec_2027_Days_Forecast]]*Table410[[#This Row],[Cost Boolean]]*(VLOOKUP(Table410[[#This Row],[RATE CONCAT]],Tables!I:N,6,0)),0)</f>
        <v>0</v>
      </c>
      <c r="EV107" s="3"/>
      <c r="EW107" s="3">
        <f>Table410[[#This Row],[Dec_2027_F]]-Table410[[#This Row],[Dec_2027_A]]</f>
        <v>0</v>
      </c>
    </row>
    <row r="108" spans="1:153" ht="1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4" t="str">
        <f>CONCATENATE(Table410[[#This Row],[JG]],Table410[[#This Row],[Country]],Table410[[#This Row],[Resource Provider]])</f>
        <v/>
      </c>
      <c r="Z108" s="14">
        <f>VLOOKUP(Table410[[#This Row],[RATE CONCAT]],Tables!I:N,5,0)</f>
        <v>0</v>
      </c>
      <c r="AA108" s="123"/>
      <c r="AB108" s="129"/>
      <c r="AC108" s="129"/>
      <c r="AD108" s="129"/>
      <c r="AE108" s="129"/>
      <c r="AF108" s="129"/>
      <c r="AG108" s="129"/>
      <c r="AH108" s="129"/>
      <c r="AI108" s="129"/>
      <c r="AJ108" s="129"/>
      <c r="AK108" s="129"/>
      <c r="AL108" s="129"/>
      <c r="AM108" s="131"/>
      <c r="AN108" s="176">
        <f>IFERROR(AVERAGE(Table410[[#This Row],[Jan_2026_Days_Forecast]:[Dec_2026_Days_Forecast]]),0)/19</f>
        <v>0</v>
      </c>
      <c r="AO108" s="176">
        <f>IFERROR(AVERAGE(Table410[[#This Row],[Jan_2026_Days_Actual]:[Dec_2026_Days_Actual]]),0)/19</f>
        <v>0</v>
      </c>
      <c r="AP108" s="84"/>
      <c r="AQ108" s="84"/>
      <c r="AR108" s="84"/>
      <c r="AS108" s="84"/>
      <c r="AT108" s="84"/>
      <c r="AU108" s="84"/>
      <c r="AV108" s="84"/>
      <c r="AW108" s="84"/>
      <c r="AX108" s="84"/>
      <c r="AY108" s="84"/>
      <c r="AZ108" s="84"/>
      <c r="BA108" s="84"/>
      <c r="BB108" s="176">
        <f>IFERROR(AVERAGE(Table410[[#This Row],[Jan_2027_Days_Forecast]:[Dec_2027_Days_Forecast]]),0)</f>
        <v>0</v>
      </c>
      <c r="BC108" s="129"/>
      <c r="BD108" s="129"/>
      <c r="BE108" s="129"/>
      <c r="BF108" s="129"/>
      <c r="BG108" s="129"/>
      <c r="BH108" s="129"/>
      <c r="BI108" s="129"/>
      <c r="BJ108" s="129"/>
      <c r="BK108" s="129"/>
      <c r="BL108" s="129"/>
      <c r="BM108" s="129"/>
      <c r="BN108" s="129"/>
      <c r="BO108" s="176"/>
      <c r="BP108" s="176"/>
      <c r="BQ108" s="3">
        <f>IFERROR(Table410[[#This Row],[Jan_2026_Days_Forecast]]*Table410[[#This Row],[Cost Boolean]]*(VLOOKUP(Table410[[#This Row],[RATE CONCAT]],Tables!I:N,5,0)),0)</f>
        <v>0</v>
      </c>
      <c r="BR108" s="3">
        <f>IFERROR(Table410[[#This Row],[Jan_2026_Days_Actual]]*Table410[[#This Row],[Cost Boolean]]*(VLOOKUP(Table410[[#This Row],[RATE CONCAT]],Tables!I:N,5,0)),0)</f>
        <v>0</v>
      </c>
      <c r="BS108" s="13">
        <f>Table410[[#This Row],[Jan_2026_F]]-Table410[[#This Row],[Jan_2026_A]]</f>
        <v>0</v>
      </c>
      <c r="BT108" s="114"/>
      <c r="BU108" s="13">
        <f>IFERROR(Table410[[#This Row],[Feb_2026_Days_Forecast]]*Table410[[#This Row],[Cost Boolean]]*(VLOOKUP(Table410[[#This Row],[RATE CONCAT]],Tables!I:N,5,0)),0)</f>
        <v>0</v>
      </c>
      <c r="BV108" s="3">
        <f>IFERROR(Table410[[#This Row],[Feb_2026_Days_Actual]]*Table410[[#This Row],[Cost Boolean]]*(VLOOKUP(Table410[[#This Row],[RATE CONCAT]],Tables!I:N,5,0)),0)</f>
        <v>0</v>
      </c>
      <c r="BW108" s="13">
        <f>Table410[[#This Row],[Feb_2026_F]]-Table410[[#This Row],[Feb_2026_A]]</f>
        <v>0</v>
      </c>
      <c r="BX108" s="3"/>
      <c r="BY108" s="3">
        <f>IFERROR(Table410[[#This Row],[Mar_2026_Days_Forecast]]*Table410[[#This Row],[Cost Boolean]]*(VLOOKUP(Table410[[#This Row],[RATE CONCAT]],Tables!I:N,5,0)),0)</f>
        <v>0</v>
      </c>
      <c r="BZ108" s="3">
        <f>IFERROR(Table410[[#This Row],[Mar_2026_Days_Actual]]*Table410[[#This Row],[Cost Boolean]]*(VLOOKUP(Table410[[#This Row],[RATE CONCAT]],Tables!I:N,5,0)),0)</f>
        <v>0</v>
      </c>
      <c r="CA108" s="3">
        <f>Table410[[#This Row],[Mar_2026_F]]-Table410[[#This Row],[Mar_2026_A]]</f>
        <v>0</v>
      </c>
      <c r="CB108" s="103"/>
      <c r="CC108" s="3">
        <f>IFERROR(Table410[[#This Row],[Apr_2026_Days_Forecast]]*Table410[[#This Row],[Cost Boolean]]*(VLOOKUP(Table410[[#This Row],[RATE CONCAT]],Tables!I:N,5,0)),0)</f>
        <v>0</v>
      </c>
      <c r="CD108" s="3">
        <f>IFERROR(Table410[[#This Row],[Apr_2026_Days_Actual]]*Table410[[#This Row],[Cost Boolean]]*(VLOOKUP(Table410[[#This Row],[RATE CONCAT]],Tables!I:N,5,0)),0)</f>
        <v>0</v>
      </c>
      <c r="CE108" s="3">
        <f>Table410[[#This Row],[Apr_2026_F]]-Table410[[#This Row],[Apr_2026_A]]</f>
        <v>0</v>
      </c>
      <c r="CF108" s="103"/>
      <c r="CG108" s="3">
        <f>IFERROR(Table410[[#This Row],[May_2026_Days_Forecast]] *Table410[[#This Row],[Cost Boolean]]*(VLOOKUP(Table410[[#This Row],[RATE CONCAT]],Tables!I:N,5,0)),0)</f>
        <v>0</v>
      </c>
      <c r="CH108" s="3">
        <f>IFERROR(Table410[[#This Row],[May_2026_Days_Actual]]*Table410[[#This Row],[Cost Boolean]]*(VLOOKUP(Table410[[#This Row],[RATE CONCAT]],Tables!I:N,5,0)),0)</f>
        <v>0</v>
      </c>
      <c r="CI108" s="3">
        <f>Table410[[#This Row],[May_2026_F]]-Table410[[#This Row],[May_2026_A]]</f>
        <v>0</v>
      </c>
      <c r="CJ108" s="103"/>
      <c r="CK108" s="3">
        <f>IFERROR(Table410[[#This Row],[Jun_2026_Days_Forecast]]*Table410[[#This Row],[Cost Boolean]]*(VLOOKUP(Table410[[#This Row],[RATE CONCAT]],Tables!I:N,5,0)),0)</f>
        <v>0</v>
      </c>
      <c r="CL108" s="3">
        <f>IFERROR(Table410[[#This Row],[Jun_2026_Days_Actual]]*Table410[[#This Row],[Cost Boolean]]*(VLOOKUP(Table410[[#This Row],[RATE CONCAT]],Tables!I:N,5,0)),0)</f>
        <v>0</v>
      </c>
      <c r="CM108" s="3">
        <f>Table410[[#This Row],[Jun_2026_F]]-Table410[[#This Row],[Jun_2026_A]]</f>
        <v>0</v>
      </c>
      <c r="CN108" s="103"/>
      <c r="CO108" s="3">
        <f>IFERROR(Table410[[#This Row],[Jul_2026_Days_Forecast]]*Table410[[#This Row],[Cost Boolean]]*(VLOOKUP(Table410[[#This Row],[RATE CONCAT]],Tables!I:N,5,0)),0)</f>
        <v>0</v>
      </c>
      <c r="CP108" s="3">
        <f>IFERROR(Table410[[#This Row],[Jul_2026_Days_Actual]]*Table410[[#This Row],[Cost Boolean]]*(VLOOKUP(Table410[[#This Row],[RATE CONCAT]],Tables!I:N,5,0)),0)</f>
        <v>0</v>
      </c>
      <c r="CQ108" s="3">
        <f>Table410[[#This Row],[Jul_2026_F]]-Table410[[#This Row],[Jul_2026_A]]</f>
        <v>0</v>
      </c>
      <c r="CR108" s="103"/>
      <c r="CS108" s="3">
        <f>IFERROR(Table410[[#This Row],[Aug_2026_Days_Forecast]]*Table410[[#This Row],[Cost Boolean]]*(VLOOKUP(Table410[[#This Row],[RATE CONCAT]],Tables!I:N,5,0)),0)</f>
        <v>0</v>
      </c>
      <c r="CT108" s="3">
        <f>IFERROR(Table410[[#This Row],[Aug_2026_Days_Actual]]*Table410[[#This Row],[Cost Boolean]]*(VLOOKUP(Table410[[#This Row],[RATE CONCAT]],Tables!I:N,5,0)),0)</f>
        <v>0</v>
      </c>
      <c r="CU108" s="3">
        <f>Table410[[#This Row],[Aug_2026_F]]-Table410[[#This Row],[Aug_2026_A]]</f>
        <v>0</v>
      </c>
      <c r="CV108" s="103"/>
      <c r="CW108" s="3">
        <f>IFERROR(Table410[[#This Row],[Sep_2026_Days_Forecast]]*Table410[[#This Row],[Cost Boolean]]*(VLOOKUP(Table410[[#This Row],[RATE CONCAT]],Tables!I:N,5,0)),0)</f>
        <v>0</v>
      </c>
      <c r="CX108" s="3">
        <f>IFERROR(Table410[[#This Row],[Sep_2026_Days_Actual]]*Table410[[#This Row],[Cost Boolean]]*(VLOOKUP(Table410[[#This Row],[RATE CONCAT]],Tables!I:N,5,0)),0)</f>
        <v>0</v>
      </c>
      <c r="CY108" s="3">
        <f>Table410[[#This Row],[Sep_2026_F]]-Table410[[#This Row],[Sep_2026_A]]</f>
        <v>0</v>
      </c>
      <c r="CZ108" s="103"/>
      <c r="DA108" s="3">
        <f>IFERROR(Table410[[#This Row],[Oct_2026_Days_Forecast]]*Table410[[#This Row],[Cost Boolean]]*(VLOOKUP(Table410[[#This Row],[RATE CONCAT]],Tables!I:N,5,0)),0)</f>
        <v>0</v>
      </c>
      <c r="DB108" s="3">
        <f>IFERROR(Table410[[#This Row],[Oct_2026_Days_Actual]]*Table410[[#This Row],[Cost Boolean]]*(VLOOKUP(Table410[[#This Row],[RATE CONCAT]],Tables!I:N,5,0)),0)</f>
        <v>0</v>
      </c>
      <c r="DC108" s="3">
        <f>Table410[[#This Row],[Oct_2026_F]]-Table410[[#This Row],[Oct_2026_A]]</f>
        <v>0</v>
      </c>
      <c r="DD108" s="103"/>
      <c r="DE108" s="3">
        <f>IFERROR(Table410[[#This Row],[Nov_2026_Days_Forecast]]*Table410[[#This Row],[Cost Boolean]]*(VLOOKUP(Table410[[#This Row],[RATE CONCAT]],Tables!I:N,5,0)),0)</f>
        <v>0</v>
      </c>
      <c r="DF108" s="3">
        <f>IFERROR(Table410[[#This Row],[Nov_2026_Days_Actual]]*Table410[[#This Row],[Cost Boolean]]*(VLOOKUP(Table410[[#This Row],[RATE CONCAT]],Tables!I:N,5,0)),0)</f>
        <v>0</v>
      </c>
      <c r="DG108" s="3">
        <f>Table410[[#This Row],[Nov_2026_F]]-Table410[[#This Row],[Nov_2026_A]]</f>
        <v>0</v>
      </c>
      <c r="DH108" s="103"/>
      <c r="DI108" s="3">
        <f>IFERROR(Table410[[#This Row],[Dec_2026_Days_Forecast]]*Table410[[#This Row],[Cost Boolean]]*(VLOOKUP(Table410[[#This Row],[RATE CONCAT]],Tables!I:N,5,0)),0)</f>
        <v>0</v>
      </c>
      <c r="DJ108" s="3">
        <f>IFERROR(Table410[[#This Row],[Dec_2026_Days_Actual]]*Table410[[#This Row],[Cost Boolean]]*(VLOOKUP(Table410[[#This Row],[RATE CONCAT]],Tables!I:N,5,0)),0)</f>
        <v>0</v>
      </c>
      <c r="DK108" s="126">
        <f>Table410[[#This Row],[Dec_2026_F]]-Table410[[#This Row],[Dec_2026_A]]</f>
        <v>0</v>
      </c>
      <c r="DL108" s="103"/>
      <c r="DM108" s="60"/>
      <c r="DN108" s="3">
        <f>IFERROR(Table410[[#This Row],[Jan_2027_Days_Forecast]]*Table410[[#This Row],[Cost Boolean]]*(VLOOKUP(Table410[[#This Row],[RATE CONCAT]],Tables!I:N,6,0)),0)</f>
        <v>0</v>
      </c>
      <c r="DO108" s="3"/>
      <c r="DP108" s="3">
        <f>Table410[[#This Row],[Jan_2027_F]]-Table410[[#This Row],[Jan_2027_A]]</f>
        <v>0</v>
      </c>
      <c r="DQ108" s="3">
        <f>IFERROR(Table410[[#This Row],[Feb_2027_Days_Forecast]]*Table410[[#This Row],[Cost Boolean]]*(VLOOKUP(Table410[[#This Row],[RATE CONCAT]],Tables!I:N,6,0)),0)</f>
        <v>0</v>
      </c>
      <c r="DR108" s="3"/>
      <c r="DS108" s="3">
        <f>Table410[[#This Row],[Feb_2027_F]]-Table410[[#This Row],[Feb_2027_A]]</f>
        <v>0</v>
      </c>
      <c r="DT108" s="3">
        <f>IFERROR(Table410[[#This Row],[Mar_2027_Days_Forecast]]*Table410[[#This Row],[Cost Boolean]]*(VLOOKUP(Table410[[#This Row],[RATE CONCAT]],Tables!I:N,6,0)),0)</f>
        <v>0</v>
      </c>
      <c r="DU108" s="3"/>
      <c r="DV108" s="3">
        <f>Table410[[#This Row],[Mar_2027_F]]-Table410[[#This Row],[Mar_2027_A]]</f>
        <v>0</v>
      </c>
      <c r="DW108" s="3">
        <f>IFERROR(Table410[[#This Row],[Apr_2027_Days_Forecast]]*Table410[[#This Row],[Cost Boolean]]*(VLOOKUP(Table410[[#This Row],[RATE CONCAT]],Tables!I:N,6,0)),0)</f>
        <v>0</v>
      </c>
      <c r="DX108" s="3"/>
      <c r="DY108" s="3">
        <f>Table410[[#This Row],[Apr_2027_F]]-Table410[[#This Row],[Apr_2027_A]]</f>
        <v>0</v>
      </c>
      <c r="DZ108" s="3">
        <f>IFERROR(Table410[[#This Row],[May_2027_Days_Forecast]]*Table410[[#This Row],[Cost Boolean]]*(VLOOKUP(Table410[[#This Row],[RATE CONCAT]],Tables!I:N,6,0)),0)</f>
        <v>0</v>
      </c>
      <c r="EA108" s="3"/>
      <c r="EB108" s="3">
        <f>Table410[[#This Row],[May_2027_F]]-Table410[[#This Row],[May_2027_A]]</f>
        <v>0</v>
      </c>
      <c r="EC108" s="3">
        <f>IFERROR(Table410[[#This Row],[Jun_2027_Days_Forecast]]*Table410[[#This Row],[Cost Boolean]]*(VLOOKUP(Table410[[#This Row],[RATE CONCAT]],Tables!I:N,6,0)),0)</f>
        <v>0</v>
      </c>
      <c r="ED108" s="3"/>
      <c r="EE108" s="3">
        <f>Table410[[#This Row],[Jun_2027_F]]-Table410[[#This Row],[Jun_2027_A]]</f>
        <v>0</v>
      </c>
      <c r="EF108" s="3">
        <f>IFERROR(Table410[[#This Row],[Jul_2027_Days_Forecast]]*Table410[[#This Row],[Cost Boolean]]*(VLOOKUP(Table410[[#This Row],[RATE CONCAT]],Tables!I:N,6,0)),0)</f>
        <v>0</v>
      </c>
      <c r="EG108" s="3"/>
      <c r="EH108" s="3">
        <f>Table410[[#This Row],[Jul_2027_F]]-Table410[[#This Row],[Jul_2027_A]]</f>
        <v>0</v>
      </c>
      <c r="EI108" s="3">
        <f>IFERROR(Table410[[#This Row],[Aug_2027_Days_Forecast]]*Table410[[#This Row],[Cost Boolean]]*(VLOOKUP(Table410[[#This Row],[RATE CONCAT]],Tables!I:N,6,0)),0)</f>
        <v>0</v>
      </c>
      <c r="EJ108" s="3"/>
      <c r="EK108" s="3">
        <f>Table410[[#This Row],[Aug_2027_F]]-Table410[[#This Row],[Aug_2027_A]]</f>
        <v>0</v>
      </c>
      <c r="EL108" s="3">
        <f>IFERROR(Table410[[#This Row],[Sep_2027_Days_Forecast]]*Table410[[#This Row],[Cost Boolean]]*(VLOOKUP(Table410[[#This Row],[RATE CONCAT]],Tables!I:N,6,0)),0)</f>
        <v>0</v>
      </c>
      <c r="EM108" s="3"/>
      <c r="EN108" s="3">
        <f>Table410[[#This Row],[Sep_2027_F]]-Table410[[#This Row],[Sep_2027_A]]</f>
        <v>0</v>
      </c>
      <c r="EO108" s="3">
        <f>IFERROR(Table410[[#This Row],[Oct_2027_Days_Forecast]]*Table410[[#This Row],[Cost Boolean]]*(VLOOKUP(Table410[[#This Row],[RATE CONCAT]],Tables!I:N,6,0)),0)</f>
        <v>0</v>
      </c>
      <c r="EP108" s="3"/>
      <c r="EQ108" s="3">
        <f>Table410[[#This Row],[Oct_2027_F]]-Table410[[#This Row],[Oct_2027_A]]</f>
        <v>0</v>
      </c>
      <c r="ER108" s="3">
        <f>IFERROR(Table410[[#This Row],[Nov_2027_Days_Forecast]]*Table410[[#This Row],[Cost Boolean]]*(VLOOKUP(Table410[[#This Row],[RATE CONCAT]],Tables!I:N,6,0)),0)</f>
        <v>0</v>
      </c>
      <c r="ES108" s="3"/>
      <c r="ET108" s="3">
        <f>Table410[[#This Row],[Nov_2027_F]]-Table410[[#This Row],[Nov_2027_A]]</f>
        <v>0</v>
      </c>
      <c r="EU108" s="3">
        <f>IFERROR(Table410[[#This Row],[Dec_2027_Days_Forecast]]*Table410[[#This Row],[Cost Boolean]]*(VLOOKUP(Table410[[#This Row],[RATE CONCAT]],Tables!I:N,6,0)),0)</f>
        <v>0</v>
      </c>
      <c r="EV108" s="3"/>
      <c r="EW108" s="3">
        <f>Table410[[#This Row],[Dec_2027_F]]-Table410[[#This Row],[Dec_2027_A]]</f>
        <v>0</v>
      </c>
    </row>
    <row r="109" spans="1:153" ht="1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4" t="str">
        <f>CONCATENATE(Table410[[#This Row],[JG]],Table410[[#This Row],[Country]],Table410[[#This Row],[Resource Provider]])</f>
        <v/>
      </c>
      <c r="Z109" s="14">
        <f>VLOOKUP(Table410[[#This Row],[RATE CONCAT]],Tables!I:N,5,0)</f>
        <v>0</v>
      </c>
      <c r="AA109" s="123"/>
      <c r="AB109" s="129"/>
      <c r="AC109" s="129"/>
      <c r="AD109" s="129"/>
      <c r="AE109" s="129"/>
      <c r="AF109" s="129"/>
      <c r="AG109" s="129"/>
      <c r="AH109" s="129"/>
      <c r="AI109" s="129"/>
      <c r="AJ109" s="129"/>
      <c r="AK109" s="129"/>
      <c r="AL109" s="129"/>
      <c r="AM109" s="129"/>
      <c r="AN109" s="176">
        <f>IFERROR(AVERAGE(Table410[[#This Row],[Jan_2026_Days_Forecast]:[Dec_2026_Days_Forecast]]),0)/19</f>
        <v>0</v>
      </c>
      <c r="AO109" s="176">
        <f>IFERROR(AVERAGE(Table410[[#This Row],[Jan_2026_Days_Actual]:[Dec_2026_Days_Actual]]),0)/19</f>
        <v>0</v>
      </c>
      <c r="AP109" s="84"/>
      <c r="AQ109" s="84"/>
      <c r="AR109" s="84"/>
      <c r="AS109" s="84"/>
      <c r="AT109" s="84"/>
      <c r="AU109" s="84"/>
      <c r="AV109" s="84"/>
      <c r="AW109" s="84"/>
      <c r="AX109" s="84"/>
      <c r="AY109" s="84"/>
      <c r="AZ109" s="84"/>
      <c r="BA109" s="84"/>
      <c r="BB109" s="176">
        <f>IFERROR(AVERAGE(Table410[[#This Row],[Jan_2027_Days_Forecast]:[Dec_2027_Days_Forecast]]),0)</f>
        <v>0</v>
      </c>
      <c r="BC109" s="129"/>
      <c r="BD109" s="129"/>
      <c r="BE109" s="129"/>
      <c r="BF109" s="129"/>
      <c r="BG109" s="129"/>
      <c r="BH109" s="129"/>
      <c r="BI109" s="129"/>
      <c r="BJ109" s="129"/>
      <c r="BK109" s="129"/>
      <c r="BL109" s="129"/>
      <c r="BM109" s="129"/>
      <c r="BN109" s="129"/>
      <c r="BO109" s="176"/>
      <c r="BP109" s="176"/>
      <c r="BQ109" s="3">
        <f>IFERROR(Table410[[#This Row],[Jan_2026_Days_Forecast]]*Table410[[#This Row],[Cost Boolean]]*(VLOOKUP(Table410[[#This Row],[RATE CONCAT]],Tables!I:N,5,0)),0)</f>
        <v>0</v>
      </c>
      <c r="BR109" s="3">
        <f>IFERROR(Table410[[#This Row],[Jan_2026_Days_Actual]]*Table410[[#This Row],[Cost Boolean]]*(VLOOKUP(Table410[[#This Row],[RATE CONCAT]],Tables!I:N,5,0)),0)</f>
        <v>0</v>
      </c>
      <c r="BS109" s="13">
        <f>Table410[[#This Row],[Jan_2026_F]]-Table410[[#This Row],[Jan_2026_A]]</f>
        <v>0</v>
      </c>
      <c r="BT109" s="114"/>
      <c r="BU109" s="13">
        <f>IFERROR(Table410[[#This Row],[Feb_2026_Days_Forecast]]*Table410[[#This Row],[Cost Boolean]]*(VLOOKUP(Table410[[#This Row],[RATE CONCAT]],Tables!I:N,5,0)),0)</f>
        <v>0</v>
      </c>
      <c r="BV109" s="3">
        <f>IFERROR(Table410[[#This Row],[Feb_2026_Days_Actual]]*Table410[[#This Row],[Cost Boolean]]*(VLOOKUP(Table410[[#This Row],[RATE CONCAT]],Tables!I:N,5,0)),0)</f>
        <v>0</v>
      </c>
      <c r="BW109" s="13">
        <f>Table410[[#This Row],[Feb_2026_F]]-Table410[[#This Row],[Feb_2026_A]]</f>
        <v>0</v>
      </c>
      <c r="BX109" s="3"/>
      <c r="BY109" s="3">
        <f>IFERROR(Table410[[#This Row],[Mar_2026_Days_Forecast]]*Table410[[#This Row],[Cost Boolean]]*(VLOOKUP(Table410[[#This Row],[RATE CONCAT]],Tables!I:N,5,0)),0)</f>
        <v>0</v>
      </c>
      <c r="BZ109" s="3">
        <f>IFERROR(Table410[[#This Row],[Mar_2026_Days_Actual]]*Table410[[#This Row],[Cost Boolean]]*(VLOOKUP(Table410[[#This Row],[RATE CONCAT]],Tables!I:N,5,0)),0)</f>
        <v>0</v>
      </c>
      <c r="CA109" s="3">
        <f>Table410[[#This Row],[Mar_2026_F]]-Table410[[#This Row],[Mar_2026_A]]</f>
        <v>0</v>
      </c>
      <c r="CB109" s="103"/>
      <c r="CC109" s="3">
        <f>IFERROR(Table410[[#This Row],[Apr_2026_Days_Forecast]]*Table410[[#This Row],[Cost Boolean]]*(VLOOKUP(Table410[[#This Row],[RATE CONCAT]],Tables!I:N,5,0)),0)</f>
        <v>0</v>
      </c>
      <c r="CD109" s="3">
        <f>IFERROR(Table410[[#This Row],[Apr_2026_Days_Actual]]*Table410[[#This Row],[Cost Boolean]]*(VLOOKUP(Table410[[#This Row],[RATE CONCAT]],Tables!I:N,5,0)),0)</f>
        <v>0</v>
      </c>
      <c r="CE109" s="3">
        <f>Table410[[#This Row],[Apr_2026_F]]-Table410[[#This Row],[Apr_2026_A]]</f>
        <v>0</v>
      </c>
      <c r="CF109" s="103"/>
      <c r="CG109" s="3">
        <f>IFERROR(Table410[[#This Row],[May_2026_Days_Forecast]] *Table410[[#This Row],[Cost Boolean]]*(VLOOKUP(Table410[[#This Row],[RATE CONCAT]],Tables!I:N,5,0)),0)</f>
        <v>0</v>
      </c>
      <c r="CH109" s="3">
        <f>IFERROR(Table410[[#This Row],[May_2026_Days_Actual]]*Table410[[#This Row],[Cost Boolean]]*(VLOOKUP(Table410[[#This Row],[RATE CONCAT]],Tables!I:N,5,0)),0)</f>
        <v>0</v>
      </c>
      <c r="CI109" s="3">
        <f>Table410[[#This Row],[May_2026_F]]-Table410[[#This Row],[May_2026_A]]</f>
        <v>0</v>
      </c>
      <c r="CJ109" s="103"/>
      <c r="CK109" s="3">
        <f>IFERROR(Table410[[#This Row],[Jun_2026_Days_Forecast]]*Table410[[#This Row],[Cost Boolean]]*(VLOOKUP(Table410[[#This Row],[RATE CONCAT]],Tables!I:N,5,0)),0)</f>
        <v>0</v>
      </c>
      <c r="CL109" s="3">
        <f>IFERROR(Table410[[#This Row],[Jun_2026_Days_Actual]]*Table410[[#This Row],[Cost Boolean]]*(VLOOKUP(Table410[[#This Row],[RATE CONCAT]],Tables!I:N,5,0)),0)</f>
        <v>0</v>
      </c>
      <c r="CM109" s="3">
        <f>Table410[[#This Row],[Jun_2026_F]]-Table410[[#This Row],[Jun_2026_A]]</f>
        <v>0</v>
      </c>
      <c r="CN109" s="103"/>
      <c r="CO109" s="3">
        <f>IFERROR(Table410[[#This Row],[Jul_2026_Days_Forecast]]*Table410[[#This Row],[Cost Boolean]]*(VLOOKUP(Table410[[#This Row],[RATE CONCAT]],Tables!I:N,5,0)),0)</f>
        <v>0</v>
      </c>
      <c r="CP109" s="3">
        <f>IFERROR(Table410[[#This Row],[Jul_2026_Days_Actual]]*Table410[[#This Row],[Cost Boolean]]*(VLOOKUP(Table410[[#This Row],[RATE CONCAT]],Tables!I:N,5,0)),0)</f>
        <v>0</v>
      </c>
      <c r="CQ109" s="3">
        <f>Table410[[#This Row],[Jul_2026_F]]-Table410[[#This Row],[Jul_2026_A]]</f>
        <v>0</v>
      </c>
      <c r="CR109" s="103"/>
      <c r="CS109" s="3">
        <f>IFERROR(Table410[[#This Row],[Aug_2026_Days_Forecast]]*Table410[[#This Row],[Cost Boolean]]*(VLOOKUP(Table410[[#This Row],[RATE CONCAT]],Tables!I:N,5,0)),0)</f>
        <v>0</v>
      </c>
      <c r="CT109" s="3">
        <f>IFERROR(Table410[[#This Row],[Aug_2026_Days_Actual]]*Table410[[#This Row],[Cost Boolean]]*(VLOOKUP(Table410[[#This Row],[RATE CONCAT]],Tables!I:N,5,0)),0)</f>
        <v>0</v>
      </c>
      <c r="CU109" s="3">
        <f>Table410[[#This Row],[Aug_2026_F]]-Table410[[#This Row],[Aug_2026_A]]</f>
        <v>0</v>
      </c>
      <c r="CV109" s="103"/>
      <c r="CW109" s="3">
        <f>IFERROR(Table410[[#This Row],[Sep_2026_Days_Forecast]]*Table410[[#This Row],[Cost Boolean]]*(VLOOKUP(Table410[[#This Row],[RATE CONCAT]],Tables!I:N,5,0)),0)</f>
        <v>0</v>
      </c>
      <c r="CX109" s="3">
        <f>IFERROR(Table410[[#This Row],[Sep_2026_Days_Actual]]*Table410[[#This Row],[Cost Boolean]]*(VLOOKUP(Table410[[#This Row],[RATE CONCAT]],Tables!I:N,5,0)),0)</f>
        <v>0</v>
      </c>
      <c r="CY109" s="3">
        <f>Table410[[#This Row],[Sep_2026_F]]-Table410[[#This Row],[Sep_2026_A]]</f>
        <v>0</v>
      </c>
      <c r="CZ109" s="103"/>
      <c r="DA109" s="3">
        <f>IFERROR(Table410[[#This Row],[Oct_2026_Days_Forecast]]*Table410[[#This Row],[Cost Boolean]]*(VLOOKUP(Table410[[#This Row],[RATE CONCAT]],Tables!I:N,5,0)),0)</f>
        <v>0</v>
      </c>
      <c r="DB109" s="3">
        <f>IFERROR(Table410[[#This Row],[Oct_2026_Days_Actual]]*Table410[[#This Row],[Cost Boolean]]*(VLOOKUP(Table410[[#This Row],[RATE CONCAT]],Tables!I:N,5,0)),0)</f>
        <v>0</v>
      </c>
      <c r="DC109" s="3">
        <f>Table410[[#This Row],[Oct_2026_F]]-Table410[[#This Row],[Oct_2026_A]]</f>
        <v>0</v>
      </c>
      <c r="DD109" s="103"/>
      <c r="DE109" s="3">
        <f>IFERROR(Table410[[#This Row],[Nov_2026_Days_Forecast]]*Table410[[#This Row],[Cost Boolean]]*(VLOOKUP(Table410[[#This Row],[RATE CONCAT]],Tables!I:N,5,0)),0)</f>
        <v>0</v>
      </c>
      <c r="DF109" s="3">
        <f>IFERROR(Table410[[#This Row],[Nov_2026_Days_Actual]]*Table410[[#This Row],[Cost Boolean]]*(VLOOKUP(Table410[[#This Row],[RATE CONCAT]],Tables!I:N,5,0)),0)</f>
        <v>0</v>
      </c>
      <c r="DG109" s="3">
        <f>Table410[[#This Row],[Nov_2026_F]]-Table410[[#This Row],[Nov_2026_A]]</f>
        <v>0</v>
      </c>
      <c r="DH109" s="103"/>
      <c r="DI109" s="3">
        <f>IFERROR(Table410[[#This Row],[Dec_2026_Days_Forecast]]*Table410[[#This Row],[Cost Boolean]]*(VLOOKUP(Table410[[#This Row],[RATE CONCAT]],Tables!I:N,5,0)),0)</f>
        <v>0</v>
      </c>
      <c r="DJ109" s="3">
        <f>IFERROR(Table410[[#This Row],[Dec_2026_Days_Actual]]*Table410[[#This Row],[Cost Boolean]]*(VLOOKUP(Table410[[#This Row],[RATE CONCAT]],Tables!I:N,5,0)),0)</f>
        <v>0</v>
      </c>
      <c r="DK109" s="126">
        <f>Table410[[#This Row],[Dec_2026_F]]-Table410[[#This Row],[Dec_2026_A]]</f>
        <v>0</v>
      </c>
      <c r="DL109" s="103"/>
      <c r="DM109" s="60"/>
      <c r="DN109" s="3">
        <f>IFERROR(Table410[[#This Row],[Jan_2027_Days_Forecast]]*Table410[[#This Row],[Cost Boolean]]*(VLOOKUP(Table410[[#This Row],[RATE CONCAT]],Tables!I:N,6,0)),0)</f>
        <v>0</v>
      </c>
      <c r="DO109" s="3"/>
      <c r="DP109" s="3">
        <f>Table410[[#This Row],[Jan_2027_F]]-Table410[[#This Row],[Jan_2027_A]]</f>
        <v>0</v>
      </c>
      <c r="DQ109" s="3">
        <f>IFERROR(Table410[[#This Row],[Feb_2027_Days_Forecast]]*Table410[[#This Row],[Cost Boolean]]*(VLOOKUP(Table410[[#This Row],[RATE CONCAT]],Tables!I:N,6,0)),0)</f>
        <v>0</v>
      </c>
      <c r="DR109" s="3"/>
      <c r="DS109" s="3">
        <f>Table410[[#This Row],[Feb_2027_F]]-Table410[[#This Row],[Feb_2027_A]]</f>
        <v>0</v>
      </c>
      <c r="DT109" s="3">
        <f>IFERROR(Table410[[#This Row],[Mar_2027_Days_Forecast]]*Table410[[#This Row],[Cost Boolean]]*(VLOOKUP(Table410[[#This Row],[RATE CONCAT]],Tables!I:N,6,0)),0)</f>
        <v>0</v>
      </c>
      <c r="DU109" s="3"/>
      <c r="DV109" s="3">
        <f>Table410[[#This Row],[Mar_2027_F]]-Table410[[#This Row],[Mar_2027_A]]</f>
        <v>0</v>
      </c>
      <c r="DW109" s="3">
        <f>IFERROR(Table410[[#This Row],[Apr_2027_Days_Forecast]]*Table410[[#This Row],[Cost Boolean]]*(VLOOKUP(Table410[[#This Row],[RATE CONCAT]],Tables!I:N,6,0)),0)</f>
        <v>0</v>
      </c>
      <c r="DX109" s="3"/>
      <c r="DY109" s="3">
        <f>Table410[[#This Row],[Apr_2027_F]]-Table410[[#This Row],[Apr_2027_A]]</f>
        <v>0</v>
      </c>
      <c r="DZ109" s="3">
        <f>IFERROR(Table410[[#This Row],[May_2027_Days_Forecast]]*Table410[[#This Row],[Cost Boolean]]*(VLOOKUP(Table410[[#This Row],[RATE CONCAT]],Tables!I:N,6,0)),0)</f>
        <v>0</v>
      </c>
      <c r="EA109" s="3"/>
      <c r="EB109" s="3">
        <f>Table410[[#This Row],[May_2027_F]]-Table410[[#This Row],[May_2027_A]]</f>
        <v>0</v>
      </c>
      <c r="EC109" s="3">
        <f>IFERROR(Table410[[#This Row],[Jun_2027_Days_Forecast]]*Table410[[#This Row],[Cost Boolean]]*(VLOOKUP(Table410[[#This Row],[RATE CONCAT]],Tables!I:N,6,0)),0)</f>
        <v>0</v>
      </c>
      <c r="ED109" s="3"/>
      <c r="EE109" s="3">
        <f>Table410[[#This Row],[Jun_2027_F]]-Table410[[#This Row],[Jun_2027_A]]</f>
        <v>0</v>
      </c>
      <c r="EF109" s="3">
        <f>IFERROR(Table410[[#This Row],[Jul_2027_Days_Forecast]]*Table410[[#This Row],[Cost Boolean]]*(VLOOKUP(Table410[[#This Row],[RATE CONCAT]],Tables!I:N,6,0)),0)</f>
        <v>0</v>
      </c>
      <c r="EG109" s="3"/>
      <c r="EH109" s="3">
        <f>Table410[[#This Row],[Jul_2027_F]]-Table410[[#This Row],[Jul_2027_A]]</f>
        <v>0</v>
      </c>
      <c r="EI109" s="3">
        <f>IFERROR(Table410[[#This Row],[Aug_2027_Days_Forecast]]*Table410[[#This Row],[Cost Boolean]]*(VLOOKUP(Table410[[#This Row],[RATE CONCAT]],Tables!I:N,6,0)),0)</f>
        <v>0</v>
      </c>
      <c r="EJ109" s="3"/>
      <c r="EK109" s="3">
        <f>Table410[[#This Row],[Aug_2027_F]]-Table410[[#This Row],[Aug_2027_A]]</f>
        <v>0</v>
      </c>
      <c r="EL109" s="3">
        <f>IFERROR(Table410[[#This Row],[Sep_2027_Days_Forecast]]*Table410[[#This Row],[Cost Boolean]]*(VLOOKUP(Table410[[#This Row],[RATE CONCAT]],Tables!I:N,6,0)),0)</f>
        <v>0</v>
      </c>
      <c r="EM109" s="3"/>
      <c r="EN109" s="3">
        <f>Table410[[#This Row],[Sep_2027_F]]-Table410[[#This Row],[Sep_2027_A]]</f>
        <v>0</v>
      </c>
      <c r="EO109" s="3">
        <f>IFERROR(Table410[[#This Row],[Oct_2027_Days_Forecast]]*Table410[[#This Row],[Cost Boolean]]*(VLOOKUP(Table410[[#This Row],[RATE CONCAT]],Tables!I:N,6,0)),0)</f>
        <v>0</v>
      </c>
      <c r="EP109" s="3"/>
      <c r="EQ109" s="3">
        <f>Table410[[#This Row],[Oct_2027_F]]-Table410[[#This Row],[Oct_2027_A]]</f>
        <v>0</v>
      </c>
      <c r="ER109" s="3">
        <f>IFERROR(Table410[[#This Row],[Nov_2027_Days_Forecast]]*Table410[[#This Row],[Cost Boolean]]*(VLOOKUP(Table410[[#This Row],[RATE CONCAT]],Tables!I:N,6,0)),0)</f>
        <v>0</v>
      </c>
      <c r="ES109" s="3"/>
      <c r="ET109" s="3">
        <f>Table410[[#This Row],[Nov_2027_F]]-Table410[[#This Row],[Nov_2027_A]]</f>
        <v>0</v>
      </c>
      <c r="EU109" s="3">
        <f>IFERROR(Table410[[#This Row],[Dec_2027_Days_Forecast]]*Table410[[#This Row],[Cost Boolean]]*(VLOOKUP(Table410[[#This Row],[RATE CONCAT]],Tables!I:N,6,0)),0)</f>
        <v>0</v>
      </c>
      <c r="EV109" s="3"/>
      <c r="EW109" s="3">
        <f>Table410[[#This Row],[Dec_2027_F]]-Table410[[#This Row],[Dec_2027_A]]</f>
        <v>0</v>
      </c>
    </row>
    <row r="110" spans="1:153" ht="1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4" t="str">
        <f>CONCATENATE(Table410[[#This Row],[JG]],Table410[[#This Row],[Country]],Table410[[#This Row],[Resource Provider]])</f>
        <v/>
      </c>
      <c r="Z110" s="14">
        <f>VLOOKUP(Table410[[#This Row],[RATE CONCAT]],Tables!I:N,5,0)</f>
        <v>0</v>
      </c>
      <c r="AA110" s="123"/>
      <c r="AB110" s="129"/>
      <c r="AC110" s="129"/>
      <c r="AD110" s="129"/>
      <c r="AE110" s="129"/>
      <c r="AF110" s="129"/>
      <c r="AG110" s="129"/>
      <c r="AH110" s="129"/>
      <c r="AI110" s="129"/>
      <c r="AJ110" s="129"/>
      <c r="AK110" s="129"/>
      <c r="AL110" s="129"/>
      <c r="AM110" s="129"/>
      <c r="AN110" s="176">
        <f>IFERROR(AVERAGE(Table410[[#This Row],[Jan_2026_Days_Forecast]:[Dec_2026_Days_Forecast]]),0)/19</f>
        <v>0</v>
      </c>
      <c r="AO110" s="176">
        <f>IFERROR(AVERAGE(Table410[[#This Row],[Jan_2026_Days_Actual]:[Dec_2026_Days_Actual]]),0)/19</f>
        <v>0</v>
      </c>
      <c r="AP110" s="84"/>
      <c r="AQ110" s="84"/>
      <c r="AR110" s="84"/>
      <c r="AS110" s="84"/>
      <c r="AT110" s="84"/>
      <c r="AU110" s="84"/>
      <c r="AV110" s="84"/>
      <c r="AW110" s="84"/>
      <c r="AX110" s="84"/>
      <c r="AY110" s="84"/>
      <c r="AZ110" s="84"/>
      <c r="BA110" s="84"/>
      <c r="BB110" s="176">
        <f>IFERROR(AVERAGE(Table410[[#This Row],[Jan_2027_Days_Forecast]:[Dec_2027_Days_Forecast]]),0)</f>
        <v>0</v>
      </c>
      <c r="BC110" s="129"/>
      <c r="BD110" s="129"/>
      <c r="BE110" s="129"/>
      <c r="BF110" s="129"/>
      <c r="BG110" s="129"/>
      <c r="BH110" s="129"/>
      <c r="BI110" s="129"/>
      <c r="BJ110" s="129"/>
      <c r="BK110" s="129"/>
      <c r="BL110" s="129"/>
      <c r="BM110" s="129"/>
      <c r="BN110" s="129"/>
      <c r="BO110" s="176"/>
      <c r="BP110" s="176"/>
      <c r="BQ110" s="3">
        <f>IFERROR(Table410[[#This Row],[Jan_2026_Days_Forecast]]*Table410[[#This Row],[Cost Boolean]]*(VLOOKUP(Table410[[#This Row],[RATE CONCAT]],Tables!I:N,5,0)),0)</f>
        <v>0</v>
      </c>
      <c r="BR110" s="3">
        <f>IFERROR(Table410[[#This Row],[Jan_2026_Days_Actual]]*Table410[[#This Row],[Cost Boolean]]*(VLOOKUP(Table410[[#This Row],[RATE CONCAT]],Tables!I:N,5,0)),0)</f>
        <v>0</v>
      </c>
      <c r="BS110" s="13">
        <f>Table410[[#This Row],[Jan_2026_F]]-Table410[[#This Row],[Jan_2026_A]]</f>
        <v>0</v>
      </c>
      <c r="BT110" s="114"/>
      <c r="BU110" s="13">
        <f>IFERROR(Table410[[#This Row],[Feb_2026_Days_Forecast]]*Table410[[#This Row],[Cost Boolean]]*(VLOOKUP(Table410[[#This Row],[RATE CONCAT]],Tables!I:N,5,0)),0)</f>
        <v>0</v>
      </c>
      <c r="BV110" s="3">
        <f>IFERROR(Table410[[#This Row],[Feb_2026_Days_Actual]]*Table410[[#This Row],[Cost Boolean]]*(VLOOKUP(Table410[[#This Row],[RATE CONCAT]],Tables!I:N,5,0)),0)</f>
        <v>0</v>
      </c>
      <c r="BW110" s="13">
        <f>Table410[[#This Row],[Feb_2026_F]]-Table410[[#This Row],[Feb_2026_A]]</f>
        <v>0</v>
      </c>
      <c r="BX110" s="3"/>
      <c r="BY110" s="3">
        <f>IFERROR(Table410[[#This Row],[Mar_2026_Days_Forecast]]*Table410[[#This Row],[Cost Boolean]]*(VLOOKUP(Table410[[#This Row],[RATE CONCAT]],Tables!I:N,5,0)),0)</f>
        <v>0</v>
      </c>
      <c r="BZ110" s="3">
        <f>IFERROR(Table410[[#This Row],[Mar_2026_Days_Actual]]*Table410[[#This Row],[Cost Boolean]]*(VLOOKUP(Table410[[#This Row],[RATE CONCAT]],Tables!I:N,5,0)),0)</f>
        <v>0</v>
      </c>
      <c r="CA110" s="3">
        <f>Table410[[#This Row],[Mar_2026_F]]-Table410[[#This Row],[Mar_2026_A]]</f>
        <v>0</v>
      </c>
      <c r="CB110" s="103"/>
      <c r="CC110" s="3">
        <f>IFERROR(Table410[[#This Row],[Apr_2026_Days_Forecast]]*Table410[[#This Row],[Cost Boolean]]*(VLOOKUP(Table410[[#This Row],[RATE CONCAT]],Tables!I:N,5,0)),0)</f>
        <v>0</v>
      </c>
      <c r="CD110" s="3">
        <f>IFERROR(Table410[[#This Row],[Apr_2026_Days_Actual]]*Table410[[#This Row],[Cost Boolean]]*(VLOOKUP(Table410[[#This Row],[RATE CONCAT]],Tables!I:N,5,0)),0)</f>
        <v>0</v>
      </c>
      <c r="CE110" s="3">
        <f>Table410[[#This Row],[Apr_2026_F]]-Table410[[#This Row],[Apr_2026_A]]</f>
        <v>0</v>
      </c>
      <c r="CF110" s="103"/>
      <c r="CG110" s="3">
        <f>IFERROR(Table410[[#This Row],[May_2026_Days_Forecast]] *Table410[[#This Row],[Cost Boolean]]*(VLOOKUP(Table410[[#This Row],[RATE CONCAT]],Tables!I:N,5,0)),0)</f>
        <v>0</v>
      </c>
      <c r="CH110" s="3">
        <f>IFERROR(Table410[[#This Row],[May_2026_Days_Actual]]*Table410[[#This Row],[Cost Boolean]]*(VLOOKUP(Table410[[#This Row],[RATE CONCAT]],Tables!I:N,5,0)),0)</f>
        <v>0</v>
      </c>
      <c r="CI110" s="3">
        <f>Table410[[#This Row],[May_2026_F]]-Table410[[#This Row],[May_2026_A]]</f>
        <v>0</v>
      </c>
      <c r="CJ110" s="103"/>
      <c r="CK110" s="3">
        <f>IFERROR(Table410[[#This Row],[Jun_2026_Days_Forecast]]*Table410[[#This Row],[Cost Boolean]]*(VLOOKUP(Table410[[#This Row],[RATE CONCAT]],Tables!I:N,5,0)),0)</f>
        <v>0</v>
      </c>
      <c r="CL110" s="3">
        <f>IFERROR(Table410[[#This Row],[Jun_2026_Days_Actual]]*Table410[[#This Row],[Cost Boolean]]*(VLOOKUP(Table410[[#This Row],[RATE CONCAT]],Tables!I:N,5,0)),0)</f>
        <v>0</v>
      </c>
      <c r="CM110" s="3">
        <f>Table410[[#This Row],[Jun_2026_F]]-Table410[[#This Row],[Jun_2026_A]]</f>
        <v>0</v>
      </c>
      <c r="CN110" s="103"/>
      <c r="CO110" s="3">
        <f>IFERROR(Table410[[#This Row],[Jul_2026_Days_Forecast]]*Table410[[#This Row],[Cost Boolean]]*(VLOOKUP(Table410[[#This Row],[RATE CONCAT]],Tables!I:N,5,0)),0)</f>
        <v>0</v>
      </c>
      <c r="CP110" s="3">
        <f>IFERROR(Table410[[#This Row],[Jul_2026_Days_Actual]]*Table410[[#This Row],[Cost Boolean]]*(VLOOKUP(Table410[[#This Row],[RATE CONCAT]],Tables!I:N,5,0)),0)</f>
        <v>0</v>
      </c>
      <c r="CQ110" s="3">
        <f>Table410[[#This Row],[Jul_2026_F]]-Table410[[#This Row],[Jul_2026_A]]</f>
        <v>0</v>
      </c>
      <c r="CR110" s="103"/>
      <c r="CS110" s="3">
        <f>IFERROR(Table410[[#This Row],[Aug_2026_Days_Forecast]]*Table410[[#This Row],[Cost Boolean]]*(VLOOKUP(Table410[[#This Row],[RATE CONCAT]],Tables!I:N,5,0)),0)</f>
        <v>0</v>
      </c>
      <c r="CT110" s="3">
        <f>IFERROR(Table410[[#This Row],[Aug_2026_Days_Actual]]*Table410[[#This Row],[Cost Boolean]]*(VLOOKUP(Table410[[#This Row],[RATE CONCAT]],Tables!I:N,5,0)),0)</f>
        <v>0</v>
      </c>
      <c r="CU110" s="3">
        <f>Table410[[#This Row],[Aug_2026_F]]-Table410[[#This Row],[Aug_2026_A]]</f>
        <v>0</v>
      </c>
      <c r="CV110" s="103"/>
      <c r="CW110" s="3">
        <f>IFERROR(Table410[[#This Row],[Sep_2026_Days_Forecast]]*Table410[[#This Row],[Cost Boolean]]*(VLOOKUP(Table410[[#This Row],[RATE CONCAT]],Tables!I:N,5,0)),0)</f>
        <v>0</v>
      </c>
      <c r="CX110" s="3">
        <f>IFERROR(Table410[[#This Row],[Sep_2026_Days_Actual]]*Table410[[#This Row],[Cost Boolean]]*(VLOOKUP(Table410[[#This Row],[RATE CONCAT]],Tables!I:N,5,0)),0)</f>
        <v>0</v>
      </c>
      <c r="CY110" s="3">
        <f>Table410[[#This Row],[Sep_2026_F]]-Table410[[#This Row],[Sep_2026_A]]</f>
        <v>0</v>
      </c>
      <c r="CZ110" s="103"/>
      <c r="DA110" s="3">
        <f>IFERROR(Table410[[#This Row],[Oct_2026_Days_Forecast]]*Table410[[#This Row],[Cost Boolean]]*(VLOOKUP(Table410[[#This Row],[RATE CONCAT]],Tables!I:N,5,0)),0)</f>
        <v>0</v>
      </c>
      <c r="DB110" s="3">
        <f>IFERROR(Table410[[#This Row],[Oct_2026_Days_Actual]]*Table410[[#This Row],[Cost Boolean]]*(VLOOKUP(Table410[[#This Row],[RATE CONCAT]],Tables!I:N,5,0)),0)</f>
        <v>0</v>
      </c>
      <c r="DC110" s="3">
        <f>Table410[[#This Row],[Oct_2026_F]]-Table410[[#This Row],[Oct_2026_A]]</f>
        <v>0</v>
      </c>
      <c r="DD110" s="103"/>
      <c r="DE110" s="3">
        <f>IFERROR(Table410[[#This Row],[Nov_2026_Days_Forecast]]*Table410[[#This Row],[Cost Boolean]]*(VLOOKUP(Table410[[#This Row],[RATE CONCAT]],Tables!I:N,5,0)),0)</f>
        <v>0</v>
      </c>
      <c r="DF110" s="3">
        <f>IFERROR(Table410[[#This Row],[Nov_2026_Days_Actual]]*Table410[[#This Row],[Cost Boolean]]*(VLOOKUP(Table410[[#This Row],[RATE CONCAT]],Tables!I:N,5,0)),0)</f>
        <v>0</v>
      </c>
      <c r="DG110" s="3">
        <f>Table410[[#This Row],[Nov_2026_F]]-Table410[[#This Row],[Nov_2026_A]]</f>
        <v>0</v>
      </c>
      <c r="DH110" s="103"/>
      <c r="DI110" s="3">
        <f>IFERROR(Table410[[#This Row],[Dec_2026_Days_Forecast]]*Table410[[#This Row],[Cost Boolean]]*(VLOOKUP(Table410[[#This Row],[RATE CONCAT]],Tables!I:N,5,0)),0)</f>
        <v>0</v>
      </c>
      <c r="DJ110" s="3">
        <f>IFERROR(Table410[[#This Row],[Dec_2026_Days_Actual]]*Table410[[#This Row],[Cost Boolean]]*(VLOOKUP(Table410[[#This Row],[RATE CONCAT]],Tables!I:N,5,0)),0)</f>
        <v>0</v>
      </c>
      <c r="DK110" s="126">
        <f>Table410[[#This Row],[Dec_2026_F]]-Table410[[#This Row],[Dec_2026_A]]</f>
        <v>0</v>
      </c>
      <c r="DL110" s="103"/>
      <c r="DM110" s="60"/>
      <c r="DN110" s="3">
        <f>IFERROR(Table410[[#This Row],[Jan_2027_Days_Forecast]]*Table410[[#This Row],[Cost Boolean]]*(VLOOKUP(Table410[[#This Row],[RATE CONCAT]],Tables!I:N,6,0)),0)</f>
        <v>0</v>
      </c>
      <c r="DO110" s="3"/>
      <c r="DP110" s="3">
        <f>Table410[[#This Row],[Jan_2027_F]]-Table410[[#This Row],[Jan_2027_A]]</f>
        <v>0</v>
      </c>
      <c r="DQ110" s="3">
        <f>IFERROR(Table410[[#This Row],[Feb_2027_Days_Forecast]]*Table410[[#This Row],[Cost Boolean]]*(VLOOKUP(Table410[[#This Row],[RATE CONCAT]],Tables!I:N,6,0)),0)</f>
        <v>0</v>
      </c>
      <c r="DR110" s="3"/>
      <c r="DS110" s="3">
        <f>Table410[[#This Row],[Feb_2027_F]]-Table410[[#This Row],[Feb_2027_A]]</f>
        <v>0</v>
      </c>
      <c r="DT110" s="3">
        <f>IFERROR(Table410[[#This Row],[Mar_2027_Days_Forecast]]*Table410[[#This Row],[Cost Boolean]]*(VLOOKUP(Table410[[#This Row],[RATE CONCAT]],Tables!I:N,6,0)),0)</f>
        <v>0</v>
      </c>
      <c r="DU110" s="3"/>
      <c r="DV110" s="3">
        <f>Table410[[#This Row],[Mar_2027_F]]-Table410[[#This Row],[Mar_2027_A]]</f>
        <v>0</v>
      </c>
      <c r="DW110" s="3">
        <f>IFERROR(Table410[[#This Row],[Apr_2027_Days_Forecast]]*Table410[[#This Row],[Cost Boolean]]*(VLOOKUP(Table410[[#This Row],[RATE CONCAT]],Tables!I:N,6,0)),0)</f>
        <v>0</v>
      </c>
      <c r="DX110" s="3"/>
      <c r="DY110" s="3">
        <f>Table410[[#This Row],[Apr_2027_F]]-Table410[[#This Row],[Apr_2027_A]]</f>
        <v>0</v>
      </c>
      <c r="DZ110" s="3">
        <f>IFERROR(Table410[[#This Row],[May_2027_Days_Forecast]]*Table410[[#This Row],[Cost Boolean]]*(VLOOKUP(Table410[[#This Row],[RATE CONCAT]],Tables!I:N,6,0)),0)</f>
        <v>0</v>
      </c>
      <c r="EA110" s="3"/>
      <c r="EB110" s="3">
        <f>Table410[[#This Row],[May_2027_F]]-Table410[[#This Row],[May_2027_A]]</f>
        <v>0</v>
      </c>
      <c r="EC110" s="3">
        <f>IFERROR(Table410[[#This Row],[Jun_2027_Days_Forecast]]*Table410[[#This Row],[Cost Boolean]]*(VLOOKUP(Table410[[#This Row],[RATE CONCAT]],Tables!I:N,6,0)),0)</f>
        <v>0</v>
      </c>
      <c r="ED110" s="3"/>
      <c r="EE110" s="3">
        <f>Table410[[#This Row],[Jun_2027_F]]-Table410[[#This Row],[Jun_2027_A]]</f>
        <v>0</v>
      </c>
      <c r="EF110" s="3">
        <f>IFERROR(Table410[[#This Row],[Jul_2027_Days_Forecast]]*Table410[[#This Row],[Cost Boolean]]*(VLOOKUP(Table410[[#This Row],[RATE CONCAT]],Tables!I:N,6,0)),0)</f>
        <v>0</v>
      </c>
      <c r="EG110" s="3"/>
      <c r="EH110" s="3">
        <f>Table410[[#This Row],[Jul_2027_F]]-Table410[[#This Row],[Jul_2027_A]]</f>
        <v>0</v>
      </c>
      <c r="EI110" s="3">
        <f>IFERROR(Table410[[#This Row],[Aug_2027_Days_Forecast]]*Table410[[#This Row],[Cost Boolean]]*(VLOOKUP(Table410[[#This Row],[RATE CONCAT]],Tables!I:N,6,0)),0)</f>
        <v>0</v>
      </c>
      <c r="EJ110" s="3"/>
      <c r="EK110" s="3">
        <f>Table410[[#This Row],[Aug_2027_F]]-Table410[[#This Row],[Aug_2027_A]]</f>
        <v>0</v>
      </c>
      <c r="EL110" s="3">
        <f>IFERROR(Table410[[#This Row],[Sep_2027_Days_Forecast]]*Table410[[#This Row],[Cost Boolean]]*(VLOOKUP(Table410[[#This Row],[RATE CONCAT]],Tables!I:N,6,0)),0)</f>
        <v>0</v>
      </c>
      <c r="EM110" s="3"/>
      <c r="EN110" s="3">
        <f>Table410[[#This Row],[Sep_2027_F]]-Table410[[#This Row],[Sep_2027_A]]</f>
        <v>0</v>
      </c>
      <c r="EO110" s="3">
        <f>IFERROR(Table410[[#This Row],[Oct_2027_Days_Forecast]]*Table410[[#This Row],[Cost Boolean]]*(VLOOKUP(Table410[[#This Row],[RATE CONCAT]],Tables!I:N,6,0)),0)</f>
        <v>0</v>
      </c>
      <c r="EP110" s="3"/>
      <c r="EQ110" s="3">
        <f>Table410[[#This Row],[Oct_2027_F]]-Table410[[#This Row],[Oct_2027_A]]</f>
        <v>0</v>
      </c>
      <c r="ER110" s="3">
        <f>IFERROR(Table410[[#This Row],[Nov_2027_Days_Forecast]]*Table410[[#This Row],[Cost Boolean]]*(VLOOKUP(Table410[[#This Row],[RATE CONCAT]],Tables!I:N,6,0)),0)</f>
        <v>0</v>
      </c>
      <c r="ES110" s="3"/>
      <c r="ET110" s="3">
        <f>Table410[[#This Row],[Nov_2027_F]]-Table410[[#This Row],[Nov_2027_A]]</f>
        <v>0</v>
      </c>
      <c r="EU110" s="3">
        <f>IFERROR(Table410[[#This Row],[Dec_2027_Days_Forecast]]*Table410[[#This Row],[Cost Boolean]]*(VLOOKUP(Table410[[#This Row],[RATE CONCAT]],Tables!I:N,6,0)),0)</f>
        <v>0</v>
      </c>
      <c r="EV110" s="3"/>
      <c r="EW110" s="3">
        <f>Table410[[#This Row],[Dec_2027_F]]-Table410[[#This Row],[Dec_2027_A]]</f>
        <v>0</v>
      </c>
    </row>
    <row r="111" spans="1:153" ht="1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4" t="str">
        <f>CONCATENATE(Table410[[#This Row],[JG]],Table410[[#This Row],[Country]],Table410[[#This Row],[Resource Provider]])</f>
        <v/>
      </c>
      <c r="Z111" s="14">
        <f>VLOOKUP(Table410[[#This Row],[RATE CONCAT]],Tables!I:N,5,0)</f>
        <v>0</v>
      </c>
      <c r="AA111" s="123"/>
      <c r="AB111" s="129"/>
      <c r="AC111" s="129"/>
      <c r="AD111" s="129"/>
      <c r="AE111" s="129"/>
      <c r="AF111" s="129"/>
      <c r="AG111" s="129"/>
      <c r="AH111" s="129"/>
      <c r="AI111" s="129"/>
      <c r="AJ111" s="129"/>
      <c r="AK111" s="129"/>
      <c r="AL111" s="129"/>
      <c r="AM111" s="129"/>
      <c r="AN111" s="176">
        <f>IFERROR(AVERAGE(Table410[[#This Row],[Jan_2026_Days_Forecast]:[Dec_2026_Days_Forecast]]),0)/19</f>
        <v>0</v>
      </c>
      <c r="AO111" s="176">
        <f>IFERROR(AVERAGE(Table410[[#This Row],[Jan_2026_Days_Actual]:[Dec_2026_Days_Actual]]),0)/19</f>
        <v>0</v>
      </c>
      <c r="AP111" s="84"/>
      <c r="AQ111" s="84"/>
      <c r="AR111" s="84"/>
      <c r="AS111" s="84"/>
      <c r="AT111" s="84"/>
      <c r="AU111" s="84"/>
      <c r="AV111" s="84"/>
      <c r="AW111" s="84"/>
      <c r="AX111" s="84"/>
      <c r="AY111" s="84"/>
      <c r="AZ111" s="84"/>
      <c r="BA111" s="84"/>
      <c r="BB111" s="176">
        <f>IFERROR(AVERAGE(Table410[[#This Row],[Jan_2027_Days_Forecast]:[Dec_2027_Days_Forecast]]),0)</f>
        <v>0</v>
      </c>
      <c r="BC111" s="129"/>
      <c r="BD111" s="129"/>
      <c r="BE111" s="129"/>
      <c r="BF111" s="129"/>
      <c r="BG111" s="129"/>
      <c r="BH111" s="129"/>
      <c r="BI111" s="129"/>
      <c r="BJ111" s="129"/>
      <c r="BK111" s="129"/>
      <c r="BL111" s="129"/>
      <c r="BM111" s="129"/>
      <c r="BN111" s="129"/>
      <c r="BO111" s="176"/>
      <c r="BP111" s="176"/>
      <c r="BQ111" s="3">
        <f>IFERROR(Table410[[#This Row],[Jan_2026_Days_Forecast]]*Table410[[#This Row],[Cost Boolean]]*(VLOOKUP(Table410[[#This Row],[RATE CONCAT]],Tables!I:N,5,0)),0)</f>
        <v>0</v>
      </c>
      <c r="BR111" s="3">
        <f>IFERROR(Table410[[#This Row],[Jan_2026_Days_Actual]]*Table410[[#This Row],[Cost Boolean]]*(VLOOKUP(Table410[[#This Row],[RATE CONCAT]],Tables!I:N,5,0)),0)</f>
        <v>0</v>
      </c>
      <c r="BS111" s="13">
        <f>Table410[[#This Row],[Jan_2026_F]]-Table410[[#This Row],[Jan_2026_A]]</f>
        <v>0</v>
      </c>
      <c r="BT111" s="114"/>
      <c r="BU111" s="13">
        <f>IFERROR(Table410[[#This Row],[Feb_2026_Days_Forecast]]*Table410[[#This Row],[Cost Boolean]]*(VLOOKUP(Table410[[#This Row],[RATE CONCAT]],Tables!I:N,5,0)),0)</f>
        <v>0</v>
      </c>
      <c r="BV111" s="3">
        <f>IFERROR(Table410[[#This Row],[Feb_2026_Days_Actual]]*Table410[[#This Row],[Cost Boolean]]*(VLOOKUP(Table410[[#This Row],[RATE CONCAT]],Tables!I:N,5,0)),0)</f>
        <v>0</v>
      </c>
      <c r="BW111" s="13">
        <f>Table410[[#This Row],[Feb_2026_F]]-Table410[[#This Row],[Feb_2026_A]]</f>
        <v>0</v>
      </c>
      <c r="BX111" s="3"/>
      <c r="BY111" s="3">
        <f>IFERROR(Table410[[#This Row],[Mar_2026_Days_Forecast]]*Table410[[#This Row],[Cost Boolean]]*(VLOOKUP(Table410[[#This Row],[RATE CONCAT]],Tables!I:N,5,0)),0)</f>
        <v>0</v>
      </c>
      <c r="BZ111" s="3">
        <f>IFERROR(Table410[[#This Row],[Mar_2026_Days_Actual]]*Table410[[#This Row],[Cost Boolean]]*(VLOOKUP(Table410[[#This Row],[RATE CONCAT]],Tables!I:N,5,0)),0)</f>
        <v>0</v>
      </c>
      <c r="CA111" s="3">
        <f>Table410[[#This Row],[Mar_2026_F]]-Table410[[#This Row],[Mar_2026_A]]</f>
        <v>0</v>
      </c>
      <c r="CB111" s="103"/>
      <c r="CC111" s="3">
        <f>IFERROR(Table410[[#This Row],[Apr_2026_Days_Forecast]]*Table410[[#This Row],[Cost Boolean]]*(VLOOKUP(Table410[[#This Row],[RATE CONCAT]],Tables!I:N,5,0)),0)</f>
        <v>0</v>
      </c>
      <c r="CD111" s="3">
        <f>IFERROR(Table410[[#This Row],[Apr_2026_Days_Actual]]*Table410[[#This Row],[Cost Boolean]]*(VLOOKUP(Table410[[#This Row],[RATE CONCAT]],Tables!I:N,5,0)),0)</f>
        <v>0</v>
      </c>
      <c r="CE111" s="3">
        <f>Table410[[#This Row],[Apr_2026_F]]-Table410[[#This Row],[Apr_2026_A]]</f>
        <v>0</v>
      </c>
      <c r="CF111" s="103"/>
      <c r="CG111" s="3">
        <f>IFERROR(Table410[[#This Row],[May_2026_Days_Forecast]] *Table410[[#This Row],[Cost Boolean]]*(VLOOKUP(Table410[[#This Row],[RATE CONCAT]],Tables!I:N,5,0)),0)</f>
        <v>0</v>
      </c>
      <c r="CH111" s="3">
        <f>IFERROR(Table410[[#This Row],[May_2026_Days_Actual]]*Table410[[#This Row],[Cost Boolean]]*(VLOOKUP(Table410[[#This Row],[RATE CONCAT]],Tables!I:N,5,0)),0)</f>
        <v>0</v>
      </c>
      <c r="CI111" s="3">
        <f>Table410[[#This Row],[May_2026_F]]-Table410[[#This Row],[May_2026_A]]</f>
        <v>0</v>
      </c>
      <c r="CJ111" s="103"/>
      <c r="CK111" s="3">
        <f>IFERROR(Table410[[#This Row],[Jun_2026_Days_Forecast]]*Table410[[#This Row],[Cost Boolean]]*(VLOOKUP(Table410[[#This Row],[RATE CONCAT]],Tables!I:N,5,0)),0)</f>
        <v>0</v>
      </c>
      <c r="CL111" s="3">
        <f>IFERROR(Table410[[#This Row],[Jun_2026_Days_Actual]]*Table410[[#This Row],[Cost Boolean]]*(VLOOKUP(Table410[[#This Row],[RATE CONCAT]],Tables!I:N,5,0)),0)</f>
        <v>0</v>
      </c>
      <c r="CM111" s="3">
        <f>Table410[[#This Row],[Jun_2026_F]]-Table410[[#This Row],[Jun_2026_A]]</f>
        <v>0</v>
      </c>
      <c r="CN111" s="103"/>
      <c r="CO111" s="3">
        <f>IFERROR(Table410[[#This Row],[Jul_2026_Days_Forecast]]*Table410[[#This Row],[Cost Boolean]]*(VLOOKUP(Table410[[#This Row],[RATE CONCAT]],Tables!I:N,5,0)),0)</f>
        <v>0</v>
      </c>
      <c r="CP111" s="3">
        <f>IFERROR(Table410[[#This Row],[Jul_2026_Days_Actual]]*Table410[[#This Row],[Cost Boolean]]*(VLOOKUP(Table410[[#This Row],[RATE CONCAT]],Tables!I:N,5,0)),0)</f>
        <v>0</v>
      </c>
      <c r="CQ111" s="3">
        <f>Table410[[#This Row],[Jul_2026_F]]-Table410[[#This Row],[Jul_2026_A]]</f>
        <v>0</v>
      </c>
      <c r="CR111" s="103"/>
      <c r="CS111" s="3">
        <f>IFERROR(Table410[[#This Row],[Aug_2026_Days_Forecast]]*Table410[[#This Row],[Cost Boolean]]*(VLOOKUP(Table410[[#This Row],[RATE CONCAT]],Tables!I:N,5,0)),0)</f>
        <v>0</v>
      </c>
      <c r="CT111" s="3">
        <f>IFERROR(Table410[[#This Row],[Aug_2026_Days_Actual]]*Table410[[#This Row],[Cost Boolean]]*(VLOOKUP(Table410[[#This Row],[RATE CONCAT]],Tables!I:N,5,0)),0)</f>
        <v>0</v>
      </c>
      <c r="CU111" s="3">
        <f>Table410[[#This Row],[Aug_2026_F]]-Table410[[#This Row],[Aug_2026_A]]</f>
        <v>0</v>
      </c>
      <c r="CV111" s="103"/>
      <c r="CW111" s="3">
        <f>IFERROR(Table410[[#This Row],[Sep_2026_Days_Forecast]]*Table410[[#This Row],[Cost Boolean]]*(VLOOKUP(Table410[[#This Row],[RATE CONCAT]],Tables!I:N,5,0)),0)</f>
        <v>0</v>
      </c>
      <c r="CX111" s="3">
        <f>IFERROR(Table410[[#This Row],[Sep_2026_Days_Actual]]*Table410[[#This Row],[Cost Boolean]]*(VLOOKUP(Table410[[#This Row],[RATE CONCAT]],Tables!I:N,5,0)),0)</f>
        <v>0</v>
      </c>
      <c r="CY111" s="3">
        <f>Table410[[#This Row],[Sep_2026_F]]-Table410[[#This Row],[Sep_2026_A]]</f>
        <v>0</v>
      </c>
      <c r="CZ111" s="103"/>
      <c r="DA111" s="3">
        <f>IFERROR(Table410[[#This Row],[Oct_2026_Days_Forecast]]*Table410[[#This Row],[Cost Boolean]]*(VLOOKUP(Table410[[#This Row],[RATE CONCAT]],Tables!I:N,5,0)),0)</f>
        <v>0</v>
      </c>
      <c r="DB111" s="3">
        <f>IFERROR(Table410[[#This Row],[Oct_2026_Days_Actual]]*Table410[[#This Row],[Cost Boolean]]*(VLOOKUP(Table410[[#This Row],[RATE CONCAT]],Tables!I:N,5,0)),0)</f>
        <v>0</v>
      </c>
      <c r="DC111" s="3">
        <f>Table410[[#This Row],[Oct_2026_F]]-Table410[[#This Row],[Oct_2026_A]]</f>
        <v>0</v>
      </c>
      <c r="DD111" s="103"/>
      <c r="DE111" s="3">
        <f>IFERROR(Table410[[#This Row],[Nov_2026_Days_Forecast]]*Table410[[#This Row],[Cost Boolean]]*(VLOOKUP(Table410[[#This Row],[RATE CONCAT]],Tables!I:N,5,0)),0)</f>
        <v>0</v>
      </c>
      <c r="DF111" s="3">
        <f>IFERROR(Table410[[#This Row],[Nov_2026_Days_Actual]]*Table410[[#This Row],[Cost Boolean]]*(VLOOKUP(Table410[[#This Row],[RATE CONCAT]],Tables!I:N,5,0)),0)</f>
        <v>0</v>
      </c>
      <c r="DG111" s="3">
        <f>Table410[[#This Row],[Nov_2026_F]]-Table410[[#This Row],[Nov_2026_A]]</f>
        <v>0</v>
      </c>
      <c r="DH111" s="103"/>
      <c r="DI111" s="3">
        <f>IFERROR(Table410[[#This Row],[Dec_2026_Days_Forecast]]*Table410[[#This Row],[Cost Boolean]]*(VLOOKUP(Table410[[#This Row],[RATE CONCAT]],Tables!I:N,5,0)),0)</f>
        <v>0</v>
      </c>
      <c r="DJ111" s="3">
        <f>IFERROR(Table410[[#This Row],[Dec_2026_Days_Actual]]*Table410[[#This Row],[Cost Boolean]]*(VLOOKUP(Table410[[#This Row],[RATE CONCAT]],Tables!I:N,5,0)),0)</f>
        <v>0</v>
      </c>
      <c r="DK111" s="126">
        <f>Table410[[#This Row],[Dec_2026_F]]-Table410[[#This Row],[Dec_2026_A]]</f>
        <v>0</v>
      </c>
      <c r="DL111" s="103"/>
      <c r="DM111" s="60"/>
      <c r="DN111" s="3">
        <f>IFERROR(Table410[[#This Row],[Jan_2027_Days_Forecast]]*Table410[[#This Row],[Cost Boolean]]*(VLOOKUP(Table410[[#This Row],[RATE CONCAT]],Tables!I:N,6,0)),0)</f>
        <v>0</v>
      </c>
      <c r="DO111" s="3"/>
      <c r="DP111" s="3">
        <f>Table410[[#This Row],[Jan_2027_F]]-Table410[[#This Row],[Jan_2027_A]]</f>
        <v>0</v>
      </c>
      <c r="DQ111" s="3">
        <f>IFERROR(Table410[[#This Row],[Feb_2027_Days_Forecast]]*Table410[[#This Row],[Cost Boolean]]*(VLOOKUP(Table410[[#This Row],[RATE CONCAT]],Tables!I:N,6,0)),0)</f>
        <v>0</v>
      </c>
      <c r="DR111" s="3"/>
      <c r="DS111" s="3">
        <f>Table410[[#This Row],[Feb_2027_F]]-Table410[[#This Row],[Feb_2027_A]]</f>
        <v>0</v>
      </c>
      <c r="DT111" s="3">
        <f>IFERROR(Table410[[#This Row],[Mar_2027_Days_Forecast]]*Table410[[#This Row],[Cost Boolean]]*(VLOOKUP(Table410[[#This Row],[RATE CONCAT]],Tables!I:N,6,0)),0)</f>
        <v>0</v>
      </c>
      <c r="DU111" s="3"/>
      <c r="DV111" s="3">
        <f>Table410[[#This Row],[Mar_2027_F]]-Table410[[#This Row],[Mar_2027_A]]</f>
        <v>0</v>
      </c>
      <c r="DW111" s="3">
        <f>IFERROR(Table410[[#This Row],[Apr_2027_Days_Forecast]]*Table410[[#This Row],[Cost Boolean]]*(VLOOKUP(Table410[[#This Row],[RATE CONCAT]],Tables!I:N,6,0)),0)</f>
        <v>0</v>
      </c>
      <c r="DX111" s="3"/>
      <c r="DY111" s="3">
        <f>Table410[[#This Row],[Apr_2027_F]]-Table410[[#This Row],[Apr_2027_A]]</f>
        <v>0</v>
      </c>
      <c r="DZ111" s="3">
        <f>IFERROR(Table410[[#This Row],[May_2027_Days_Forecast]]*Table410[[#This Row],[Cost Boolean]]*(VLOOKUP(Table410[[#This Row],[RATE CONCAT]],Tables!I:N,6,0)),0)</f>
        <v>0</v>
      </c>
      <c r="EA111" s="3"/>
      <c r="EB111" s="3">
        <f>Table410[[#This Row],[May_2027_F]]-Table410[[#This Row],[May_2027_A]]</f>
        <v>0</v>
      </c>
      <c r="EC111" s="3">
        <f>IFERROR(Table410[[#This Row],[Jun_2027_Days_Forecast]]*Table410[[#This Row],[Cost Boolean]]*(VLOOKUP(Table410[[#This Row],[RATE CONCAT]],Tables!I:N,6,0)),0)</f>
        <v>0</v>
      </c>
      <c r="ED111" s="3"/>
      <c r="EE111" s="3">
        <f>Table410[[#This Row],[Jun_2027_F]]-Table410[[#This Row],[Jun_2027_A]]</f>
        <v>0</v>
      </c>
      <c r="EF111" s="3">
        <f>IFERROR(Table410[[#This Row],[Jul_2027_Days_Forecast]]*Table410[[#This Row],[Cost Boolean]]*(VLOOKUP(Table410[[#This Row],[RATE CONCAT]],Tables!I:N,6,0)),0)</f>
        <v>0</v>
      </c>
      <c r="EG111" s="3"/>
      <c r="EH111" s="3">
        <f>Table410[[#This Row],[Jul_2027_F]]-Table410[[#This Row],[Jul_2027_A]]</f>
        <v>0</v>
      </c>
      <c r="EI111" s="3">
        <f>IFERROR(Table410[[#This Row],[Aug_2027_Days_Forecast]]*Table410[[#This Row],[Cost Boolean]]*(VLOOKUP(Table410[[#This Row],[RATE CONCAT]],Tables!I:N,6,0)),0)</f>
        <v>0</v>
      </c>
      <c r="EJ111" s="3"/>
      <c r="EK111" s="3">
        <f>Table410[[#This Row],[Aug_2027_F]]-Table410[[#This Row],[Aug_2027_A]]</f>
        <v>0</v>
      </c>
      <c r="EL111" s="3">
        <f>IFERROR(Table410[[#This Row],[Sep_2027_Days_Forecast]]*Table410[[#This Row],[Cost Boolean]]*(VLOOKUP(Table410[[#This Row],[RATE CONCAT]],Tables!I:N,6,0)),0)</f>
        <v>0</v>
      </c>
      <c r="EM111" s="3"/>
      <c r="EN111" s="3">
        <f>Table410[[#This Row],[Sep_2027_F]]-Table410[[#This Row],[Sep_2027_A]]</f>
        <v>0</v>
      </c>
      <c r="EO111" s="3">
        <f>IFERROR(Table410[[#This Row],[Oct_2027_Days_Forecast]]*Table410[[#This Row],[Cost Boolean]]*(VLOOKUP(Table410[[#This Row],[RATE CONCAT]],Tables!I:N,6,0)),0)</f>
        <v>0</v>
      </c>
      <c r="EP111" s="3"/>
      <c r="EQ111" s="3">
        <f>Table410[[#This Row],[Oct_2027_F]]-Table410[[#This Row],[Oct_2027_A]]</f>
        <v>0</v>
      </c>
      <c r="ER111" s="3">
        <f>IFERROR(Table410[[#This Row],[Nov_2027_Days_Forecast]]*Table410[[#This Row],[Cost Boolean]]*(VLOOKUP(Table410[[#This Row],[RATE CONCAT]],Tables!I:N,6,0)),0)</f>
        <v>0</v>
      </c>
      <c r="ES111" s="3"/>
      <c r="ET111" s="3">
        <f>Table410[[#This Row],[Nov_2027_F]]-Table410[[#This Row],[Nov_2027_A]]</f>
        <v>0</v>
      </c>
      <c r="EU111" s="3">
        <f>IFERROR(Table410[[#This Row],[Dec_2027_Days_Forecast]]*Table410[[#This Row],[Cost Boolean]]*(VLOOKUP(Table410[[#This Row],[RATE CONCAT]],Tables!I:N,6,0)),0)</f>
        <v>0</v>
      </c>
      <c r="EV111" s="3"/>
      <c r="EW111" s="3">
        <f>Table410[[#This Row],[Dec_2027_F]]-Table410[[#This Row],[Dec_2027_A]]</f>
        <v>0</v>
      </c>
    </row>
    <row r="112" spans="1:153" ht="1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4" t="str">
        <f>CONCATENATE(Table410[[#This Row],[JG]],Table410[[#This Row],[Country]],Table410[[#This Row],[Resource Provider]])</f>
        <v/>
      </c>
      <c r="Z112" s="14">
        <f>VLOOKUP(Table410[[#This Row],[RATE CONCAT]],Tables!I:N,5,0)</f>
        <v>0</v>
      </c>
      <c r="AA112" s="123"/>
      <c r="AB112" s="129"/>
      <c r="AC112" s="129"/>
      <c r="AD112" s="129"/>
      <c r="AE112" s="129"/>
      <c r="AF112" s="129"/>
      <c r="AG112" s="129"/>
      <c r="AH112" s="129"/>
      <c r="AI112" s="129"/>
      <c r="AJ112" s="129"/>
      <c r="AK112" s="129"/>
      <c r="AL112" s="129"/>
      <c r="AM112" s="129"/>
      <c r="AN112" s="176">
        <f>IFERROR(AVERAGE(Table410[[#This Row],[Jan_2026_Days_Forecast]:[Dec_2026_Days_Forecast]]),0)/19</f>
        <v>0</v>
      </c>
      <c r="AO112" s="176">
        <f>IFERROR(AVERAGE(Table410[[#This Row],[Jan_2026_Days_Actual]:[Dec_2026_Days_Actual]]),0)/19</f>
        <v>0</v>
      </c>
      <c r="AP112" s="84"/>
      <c r="AQ112" s="84"/>
      <c r="AR112" s="84"/>
      <c r="AS112" s="84"/>
      <c r="AT112" s="84"/>
      <c r="AU112" s="84"/>
      <c r="AV112" s="84"/>
      <c r="AW112" s="84"/>
      <c r="AX112" s="84"/>
      <c r="AY112" s="84"/>
      <c r="AZ112" s="84"/>
      <c r="BA112" s="84"/>
      <c r="BB112" s="176">
        <f>IFERROR(AVERAGE(Table410[[#This Row],[Jan_2027_Days_Forecast]:[Dec_2027_Days_Forecast]]),0)</f>
        <v>0</v>
      </c>
      <c r="BC112" s="129"/>
      <c r="BD112" s="129"/>
      <c r="BE112" s="129"/>
      <c r="BF112" s="129"/>
      <c r="BG112" s="129"/>
      <c r="BH112" s="129"/>
      <c r="BI112" s="129"/>
      <c r="BJ112" s="129"/>
      <c r="BK112" s="129"/>
      <c r="BL112" s="129"/>
      <c r="BM112" s="129"/>
      <c r="BN112" s="129"/>
      <c r="BO112" s="176"/>
      <c r="BP112" s="176"/>
      <c r="BQ112" s="3">
        <f>IFERROR(Table410[[#This Row],[Jan_2026_Days_Forecast]]*Table410[[#This Row],[Cost Boolean]]*(VLOOKUP(Table410[[#This Row],[RATE CONCAT]],Tables!I:N,5,0)),0)</f>
        <v>0</v>
      </c>
      <c r="BR112" s="3">
        <f>IFERROR(Table410[[#This Row],[Jan_2026_Days_Actual]]*Table410[[#This Row],[Cost Boolean]]*(VLOOKUP(Table410[[#This Row],[RATE CONCAT]],Tables!I:N,5,0)),0)</f>
        <v>0</v>
      </c>
      <c r="BS112" s="13">
        <f>Table410[[#This Row],[Jan_2026_F]]-Table410[[#This Row],[Jan_2026_A]]</f>
        <v>0</v>
      </c>
      <c r="BT112" s="114"/>
      <c r="BU112" s="13">
        <f>IFERROR(Table410[[#This Row],[Feb_2026_Days_Forecast]]*Table410[[#This Row],[Cost Boolean]]*(VLOOKUP(Table410[[#This Row],[RATE CONCAT]],Tables!I:N,5,0)),0)</f>
        <v>0</v>
      </c>
      <c r="BV112" s="3">
        <f>IFERROR(Table410[[#This Row],[Feb_2026_Days_Actual]]*Table410[[#This Row],[Cost Boolean]]*(VLOOKUP(Table410[[#This Row],[RATE CONCAT]],Tables!I:N,5,0)),0)</f>
        <v>0</v>
      </c>
      <c r="BW112" s="13">
        <f>Table410[[#This Row],[Feb_2026_F]]-Table410[[#This Row],[Feb_2026_A]]</f>
        <v>0</v>
      </c>
      <c r="BX112" s="3"/>
      <c r="BY112" s="3">
        <f>IFERROR(Table410[[#This Row],[Mar_2026_Days_Forecast]]*Table410[[#This Row],[Cost Boolean]]*(VLOOKUP(Table410[[#This Row],[RATE CONCAT]],Tables!I:N,5,0)),0)</f>
        <v>0</v>
      </c>
      <c r="BZ112" s="3">
        <f>IFERROR(Table410[[#This Row],[Mar_2026_Days_Actual]]*Table410[[#This Row],[Cost Boolean]]*(VLOOKUP(Table410[[#This Row],[RATE CONCAT]],Tables!I:N,5,0)),0)</f>
        <v>0</v>
      </c>
      <c r="CA112" s="3">
        <f>Table410[[#This Row],[Mar_2026_F]]-Table410[[#This Row],[Mar_2026_A]]</f>
        <v>0</v>
      </c>
      <c r="CB112" s="103"/>
      <c r="CC112" s="3">
        <f>IFERROR(Table410[[#This Row],[Apr_2026_Days_Forecast]]*Table410[[#This Row],[Cost Boolean]]*(VLOOKUP(Table410[[#This Row],[RATE CONCAT]],Tables!I:N,5,0)),0)</f>
        <v>0</v>
      </c>
      <c r="CD112" s="3">
        <f>IFERROR(Table410[[#This Row],[Apr_2026_Days_Actual]]*Table410[[#This Row],[Cost Boolean]]*(VLOOKUP(Table410[[#This Row],[RATE CONCAT]],Tables!I:N,5,0)),0)</f>
        <v>0</v>
      </c>
      <c r="CE112" s="3">
        <f>Table410[[#This Row],[Apr_2026_F]]-Table410[[#This Row],[Apr_2026_A]]</f>
        <v>0</v>
      </c>
      <c r="CF112" s="103"/>
      <c r="CG112" s="3">
        <f>IFERROR(Table410[[#This Row],[May_2026_Days_Forecast]] *Table410[[#This Row],[Cost Boolean]]*(VLOOKUP(Table410[[#This Row],[RATE CONCAT]],Tables!I:N,5,0)),0)</f>
        <v>0</v>
      </c>
      <c r="CH112" s="3">
        <f>IFERROR(Table410[[#This Row],[May_2026_Days_Actual]]*Table410[[#This Row],[Cost Boolean]]*(VLOOKUP(Table410[[#This Row],[RATE CONCAT]],Tables!I:N,5,0)),0)</f>
        <v>0</v>
      </c>
      <c r="CI112" s="3">
        <f>Table410[[#This Row],[May_2026_F]]-Table410[[#This Row],[May_2026_A]]</f>
        <v>0</v>
      </c>
      <c r="CJ112" s="103"/>
      <c r="CK112" s="3">
        <f>IFERROR(Table410[[#This Row],[Jun_2026_Days_Forecast]]*Table410[[#This Row],[Cost Boolean]]*(VLOOKUP(Table410[[#This Row],[RATE CONCAT]],Tables!I:N,5,0)),0)</f>
        <v>0</v>
      </c>
      <c r="CL112" s="3">
        <f>IFERROR(Table410[[#This Row],[Jun_2026_Days_Actual]]*Table410[[#This Row],[Cost Boolean]]*(VLOOKUP(Table410[[#This Row],[RATE CONCAT]],Tables!I:N,5,0)),0)</f>
        <v>0</v>
      </c>
      <c r="CM112" s="3">
        <f>Table410[[#This Row],[Jun_2026_F]]-Table410[[#This Row],[Jun_2026_A]]</f>
        <v>0</v>
      </c>
      <c r="CN112" s="103"/>
      <c r="CO112" s="3">
        <f>IFERROR(Table410[[#This Row],[Jul_2026_Days_Forecast]]*Table410[[#This Row],[Cost Boolean]]*(VLOOKUP(Table410[[#This Row],[RATE CONCAT]],Tables!I:N,5,0)),0)</f>
        <v>0</v>
      </c>
      <c r="CP112" s="3">
        <f>IFERROR(Table410[[#This Row],[Jul_2026_Days_Actual]]*Table410[[#This Row],[Cost Boolean]]*(VLOOKUP(Table410[[#This Row],[RATE CONCAT]],Tables!I:N,5,0)),0)</f>
        <v>0</v>
      </c>
      <c r="CQ112" s="3">
        <f>Table410[[#This Row],[Jul_2026_F]]-Table410[[#This Row],[Jul_2026_A]]</f>
        <v>0</v>
      </c>
      <c r="CR112" s="103"/>
      <c r="CS112" s="3">
        <f>IFERROR(Table410[[#This Row],[Aug_2026_Days_Forecast]]*Table410[[#This Row],[Cost Boolean]]*(VLOOKUP(Table410[[#This Row],[RATE CONCAT]],Tables!I:N,5,0)),0)</f>
        <v>0</v>
      </c>
      <c r="CT112" s="3">
        <f>IFERROR(Table410[[#This Row],[Aug_2026_Days_Actual]]*Table410[[#This Row],[Cost Boolean]]*(VLOOKUP(Table410[[#This Row],[RATE CONCAT]],Tables!I:N,5,0)),0)</f>
        <v>0</v>
      </c>
      <c r="CU112" s="3">
        <f>Table410[[#This Row],[Aug_2026_F]]-Table410[[#This Row],[Aug_2026_A]]</f>
        <v>0</v>
      </c>
      <c r="CV112" s="103"/>
      <c r="CW112" s="3">
        <f>IFERROR(Table410[[#This Row],[Sep_2026_Days_Forecast]]*Table410[[#This Row],[Cost Boolean]]*(VLOOKUP(Table410[[#This Row],[RATE CONCAT]],Tables!I:N,5,0)),0)</f>
        <v>0</v>
      </c>
      <c r="CX112" s="3">
        <f>IFERROR(Table410[[#This Row],[Sep_2026_Days_Actual]]*Table410[[#This Row],[Cost Boolean]]*(VLOOKUP(Table410[[#This Row],[RATE CONCAT]],Tables!I:N,5,0)),0)</f>
        <v>0</v>
      </c>
      <c r="CY112" s="3">
        <f>Table410[[#This Row],[Sep_2026_F]]-Table410[[#This Row],[Sep_2026_A]]</f>
        <v>0</v>
      </c>
      <c r="CZ112" s="103"/>
      <c r="DA112" s="3">
        <f>IFERROR(Table410[[#This Row],[Oct_2026_Days_Forecast]]*Table410[[#This Row],[Cost Boolean]]*(VLOOKUP(Table410[[#This Row],[RATE CONCAT]],Tables!I:N,5,0)),0)</f>
        <v>0</v>
      </c>
      <c r="DB112" s="3">
        <f>IFERROR(Table410[[#This Row],[Oct_2026_Days_Actual]]*Table410[[#This Row],[Cost Boolean]]*(VLOOKUP(Table410[[#This Row],[RATE CONCAT]],Tables!I:N,5,0)),0)</f>
        <v>0</v>
      </c>
      <c r="DC112" s="3">
        <f>Table410[[#This Row],[Oct_2026_F]]-Table410[[#This Row],[Oct_2026_A]]</f>
        <v>0</v>
      </c>
      <c r="DD112" s="103"/>
      <c r="DE112" s="3">
        <f>IFERROR(Table410[[#This Row],[Nov_2026_Days_Forecast]]*Table410[[#This Row],[Cost Boolean]]*(VLOOKUP(Table410[[#This Row],[RATE CONCAT]],Tables!I:N,5,0)),0)</f>
        <v>0</v>
      </c>
      <c r="DF112" s="3">
        <f>IFERROR(Table410[[#This Row],[Nov_2026_Days_Actual]]*Table410[[#This Row],[Cost Boolean]]*(VLOOKUP(Table410[[#This Row],[RATE CONCAT]],Tables!I:N,5,0)),0)</f>
        <v>0</v>
      </c>
      <c r="DG112" s="3">
        <f>Table410[[#This Row],[Nov_2026_F]]-Table410[[#This Row],[Nov_2026_A]]</f>
        <v>0</v>
      </c>
      <c r="DH112" s="103"/>
      <c r="DI112" s="3">
        <f>IFERROR(Table410[[#This Row],[Dec_2026_Days_Forecast]]*Table410[[#This Row],[Cost Boolean]]*(VLOOKUP(Table410[[#This Row],[RATE CONCAT]],Tables!I:N,5,0)),0)</f>
        <v>0</v>
      </c>
      <c r="DJ112" s="3">
        <f>IFERROR(Table410[[#This Row],[Dec_2026_Days_Actual]]*Table410[[#This Row],[Cost Boolean]]*(VLOOKUP(Table410[[#This Row],[RATE CONCAT]],Tables!I:N,5,0)),0)</f>
        <v>0</v>
      </c>
      <c r="DK112" s="126">
        <f>Table410[[#This Row],[Dec_2026_F]]-Table410[[#This Row],[Dec_2026_A]]</f>
        <v>0</v>
      </c>
      <c r="DL112" s="103"/>
      <c r="DM112" s="60"/>
      <c r="DN112" s="3">
        <f>IFERROR(Table410[[#This Row],[Jan_2027_Days_Forecast]]*Table410[[#This Row],[Cost Boolean]]*(VLOOKUP(Table410[[#This Row],[RATE CONCAT]],Tables!I:N,6,0)),0)</f>
        <v>0</v>
      </c>
      <c r="DO112" s="3"/>
      <c r="DP112" s="3">
        <f>Table410[[#This Row],[Jan_2027_F]]-Table410[[#This Row],[Jan_2027_A]]</f>
        <v>0</v>
      </c>
      <c r="DQ112" s="3">
        <f>IFERROR(Table410[[#This Row],[Feb_2027_Days_Forecast]]*Table410[[#This Row],[Cost Boolean]]*(VLOOKUP(Table410[[#This Row],[RATE CONCAT]],Tables!I:N,6,0)),0)</f>
        <v>0</v>
      </c>
      <c r="DR112" s="3"/>
      <c r="DS112" s="3">
        <f>Table410[[#This Row],[Feb_2027_F]]-Table410[[#This Row],[Feb_2027_A]]</f>
        <v>0</v>
      </c>
      <c r="DT112" s="3">
        <f>IFERROR(Table410[[#This Row],[Mar_2027_Days_Forecast]]*Table410[[#This Row],[Cost Boolean]]*(VLOOKUP(Table410[[#This Row],[RATE CONCAT]],Tables!I:N,6,0)),0)</f>
        <v>0</v>
      </c>
      <c r="DU112" s="3"/>
      <c r="DV112" s="3">
        <f>Table410[[#This Row],[Mar_2027_F]]-Table410[[#This Row],[Mar_2027_A]]</f>
        <v>0</v>
      </c>
      <c r="DW112" s="3">
        <f>IFERROR(Table410[[#This Row],[Apr_2027_Days_Forecast]]*Table410[[#This Row],[Cost Boolean]]*(VLOOKUP(Table410[[#This Row],[RATE CONCAT]],Tables!I:N,6,0)),0)</f>
        <v>0</v>
      </c>
      <c r="DX112" s="3"/>
      <c r="DY112" s="3">
        <f>Table410[[#This Row],[Apr_2027_F]]-Table410[[#This Row],[Apr_2027_A]]</f>
        <v>0</v>
      </c>
      <c r="DZ112" s="3">
        <f>IFERROR(Table410[[#This Row],[May_2027_Days_Forecast]]*Table410[[#This Row],[Cost Boolean]]*(VLOOKUP(Table410[[#This Row],[RATE CONCAT]],Tables!I:N,6,0)),0)</f>
        <v>0</v>
      </c>
      <c r="EA112" s="3"/>
      <c r="EB112" s="3">
        <f>Table410[[#This Row],[May_2027_F]]-Table410[[#This Row],[May_2027_A]]</f>
        <v>0</v>
      </c>
      <c r="EC112" s="3">
        <f>IFERROR(Table410[[#This Row],[Jun_2027_Days_Forecast]]*Table410[[#This Row],[Cost Boolean]]*(VLOOKUP(Table410[[#This Row],[RATE CONCAT]],Tables!I:N,6,0)),0)</f>
        <v>0</v>
      </c>
      <c r="ED112" s="3"/>
      <c r="EE112" s="3">
        <f>Table410[[#This Row],[Jun_2027_F]]-Table410[[#This Row],[Jun_2027_A]]</f>
        <v>0</v>
      </c>
      <c r="EF112" s="3">
        <f>IFERROR(Table410[[#This Row],[Jul_2027_Days_Forecast]]*Table410[[#This Row],[Cost Boolean]]*(VLOOKUP(Table410[[#This Row],[RATE CONCAT]],Tables!I:N,6,0)),0)</f>
        <v>0</v>
      </c>
      <c r="EG112" s="3"/>
      <c r="EH112" s="3">
        <f>Table410[[#This Row],[Jul_2027_F]]-Table410[[#This Row],[Jul_2027_A]]</f>
        <v>0</v>
      </c>
      <c r="EI112" s="3">
        <f>IFERROR(Table410[[#This Row],[Aug_2027_Days_Forecast]]*Table410[[#This Row],[Cost Boolean]]*(VLOOKUP(Table410[[#This Row],[RATE CONCAT]],Tables!I:N,6,0)),0)</f>
        <v>0</v>
      </c>
      <c r="EJ112" s="3"/>
      <c r="EK112" s="3">
        <f>Table410[[#This Row],[Aug_2027_F]]-Table410[[#This Row],[Aug_2027_A]]</f>
        <v>0</v>
      </c>
      <c r="EL112" s="3">
        <f>IFERROR(Table410[[#This Row],[Sep_2027_Days_Forecast]]*Table410[[#This Row],[Cost Boolean]]*(VLOOKUP(Table410[[#This Row],[RATE CONCAT]],Tables!I:N,6,0)),0)</f>
        <v>0</v>
      </c>
      <c r="EM112" s="3"/>
      <c r="EN112" s="3">
        <f>Table410[[#This Row],[Sep_2027_F]]-Table410[[#This Row],[Sep_2027_A]]</f>
        <v>0</v>
      </c>
      <c r="EO112" s="3">
        <f>IFERROR(Table410[[#This Row],[Oct_2027_Days_Forecast]]*Table410[[#This Row],[Cost Boolean]]*(VLOOKUP(Table410[[#This Row],[RATE CONCAT]],Tables!I:N,6,0)),0)</f>
        <v>0</v>
      </c>
      <c r="EP112" s="3"/>
      <c r="EQ112" s="3">
        <f>Table410[[#This Row],[Oct_2027_F]]-Table410[[#This Row],[Oct_2027_A]]</f>
        <v>0</v>
      </c>
      <c r="ER112" s="3">
        <f>IFERROR(Table410[[#This Row],[Nov_2027_Days_Forecast]]*Table410[[#This Row],[Cost Boolean]]*(VLOOKUP(Table410[[#This Row],[RATE CONCAT]],Tables!I:N,6,0)),0)</f>
        <v>0</v>
      </c>
      <c r="ES112" s="3"/>
      <c r="ET112" s="3">
        <f>Table410[[#This Row],[Nov_2027_F]]-Table410[[#This Row],[Nov_2027_A]]</f>
        <v>0</v>
      </c>
      <c r="EU112" s="3">
        <f>IFERROR(Table410[[#This Row],[Dec_2027_Days_Forecast]]*Table410[[#This Row],[Cost Boolean]]*(VLOOKUP(Table410[[#This Row],[RATE CONCAT]],Tables!I:N,6,0)),0)</f>
        <v>0</v>
      </c>
      <c r="EV112" s="3"/>
      <c r="EW112" s="3">
        <f>Table410[[#This Row],[Dec_2027_F]]-Table410[[#This Row],[Dec_2027_A]]</f>
        <v>0</v>
      </c>
    </row>
    <row r="113" spans="1:153" ht="1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4" t="str">
        <f>CONCATENATE(Table410[[#This Row],[JG]],Table410[[#This Row],[Country]],Table410[[#This Row],[Resource Provider]])</f>
        <v/>
      </c>
      <c r="Z113" s="14">
        <f>VLOOKUP(Table410[[#This Row],[RATE CONCAT]],Tables!I:N,5,0)</f>
        <v>0</v>
      </c>
      <c r="AA113" s="123"/>
      <c r="AB113" s="129"/>
      <c r="AC113" s="129"/>
      <c r="AD113" s="129"/>
      <c r="AE113" s="129"/>
      <c r="AF113" s="129"/>
      <c r="AG113" s="129"/>
      <c r="AH113" s="129"/>
      <c r="AI113" s="129"/>
      <c r="AJ113" s="129"/>
      <c r="AK113" s="129"/>
      <c r="AL113" s="129"/>
      <c r="AM113" s="129"/>
      <c r="AN113" s="176">
        <f>IFERROR(AVERAGE(Table410[[#This Row],[Jan_2026_Days_Forecast]:[Dec_2026_Days_Forecast]]),0)/19</f>
        <v>0</v>
      </c>
      <c r="AO113" s="176">
        <f>IFERROR(AVERAGE(Table410[[#This Row],[Jan_2026_Days_Actual]:[Dec_2026_Days_Actual]]),0)/19</f>
        <v>0</v>
      </c>
      <c r="AP113" s="84"/>
      <c r="AQ113" s="84"/>
      <c r="AR113" s="84"/>
      <c r="AS113" s="84"/>
      <c r="AT113" s="84"/>
      <c r="AU113" s="84"/>
      <c r="AV113" s="84"/>
      <c r="AW113" s="84"/>
      <c r="AX113" s="84"/>
      <c r="AY113" s="84"/>
      <c r="AZ113" s="84"/>
      <c r="BA113" s="84"/>
      <c r="BB113" s="176">
        <f>IFERROR(AVERAGE(Table410[[#This Row],[Jan_2027_Days_Forecast]:[Dec_2027_Days_Forecast]]),0)</f>
        <v>0</v>
      </c>
      <c r="BC113" s="129"/>
      <c r="BD113" s="129"/>
      <c r="BE113" s="129"/>
      <c r="BF113" s="129"/>
      <c r="BG113" s="129"/>
      <c r="BH113" s="129"/>
      <c r="BI113" s="129"/>
      <c r="BJ113" s="129"/>
      <c r="BK113" s="129"/>
      <c r="BL113" s="129"/>
      <c r="BM113" s="129"/>
      <c r="BN113" s="129"/>
      <c r="BO113" s="176"/>
      <c r="BP113" s="176"/>
      <c r="BQ113" s="3">
        <f>IFERROR(Table410[[#This Row],[Jan_2026_Days_Forecast]]*Table410[[#This Row],[Cost Boolean]]*(VLOOKUP(Table410[[#This Row],[RATE CONCAT]],Tables!I:N,5,0)),0)</f>
        <v>0</v>
      </c>
      <c r="BR113" s="3">
        <f>IFERROR(Table410[[#This Row],[Jan_2026_Days_Actual]]*Table410[[#This Row],[Cost Boolean]]*(VLOOKUP(Table410[[#This Row],[RATE CONCAT]],Tables!I:N,5,0)),0)</f>
        <v>0</v>
      </c>
      <c r="BS113" s="13">
        <f>Table410[[#This Row],[Jan_2026_F]]-Table410[[#This Row],[Jan_2026_A]]</f>
        <v>0</v>
      </c>
      <c r="BT113" s="114"/>
      <c r="BU113" s="13">
        <f>IFERROR(Table410[[#This Row],[Feb_2026_Days_Forecast]]*Table410[[#This Row],[Cost Boolean]]*(VLOOKUP(Table410[[#This Row],[RATE CONCAT]],Tables!I:N,5,0)),0)</f>
        <v>0</v>
      </c>
      <c r="BV113" s="3">
        <f>IFERROR(Table410[[#This Row],[Feb_2026_Days_Actual]]*Table410[[#This Row],[Cost Boolean]]*(VLOOKUP(Table410[[#This Row],[RATE CONCAT]],Tables!I:N,5,0)),0)</f>
        <v>0</v>
      </c>
      <c r="BW113" s="13">
        <f>Table410[[#This Row],[Feb_2026_F]]-Table410[[#This Row],[Feb_2026_A]]</f>
        <v>0</v>
      </c>
      <c r="BX113" s="3"/>
      <c r="BY113" s="3">
        <f>IFERROR(Table410[[#This Row],[Mar_2026_Days_Forecast]]*Table410[[#This Row],[Cost Boolean]]*(VLOOKUP(Table410[[#This Row],[RATE CONCAT]],Tables!I:N,5,0)),0)</f>
        <v>0</v>
      </c>
      <c r="BZ113" s="3">
        <f>IFERROR(Table410[[#This Row],[Mar_2026_Days_Actual]]*Table410[[#This Row],[Cost Boolean]]*(VLOOKUP(Table410[[#This Row],[RATE CONCAT]],Tables!I:N,5,0)),0)</f>
        <v>0</v>
      </c>
      <c r="CA113" s="3">
        <f>Table410[[#This Row],[Mar_2026_F]]-Table410[[#This Row],[Mar_2026_A]]</f>
        <v>0</v>
      </c>
      <c r="CB113" s="103"/>
      <c r="CC113" s="3">
        <f>IFERROR(Table410[[#This Row],[Apr_2026_Days_Forecast]]*Table410[[#This Row],[Cost Boolean]]*(VLOOKUP(Table410[[#This Row],[RATE CONCAT]],Tables!I:N,5,0)),0)</f>
        <v>0</v>
      </c>
      <c r="CD113" s="3">
        <f>IFERROR(Table410[[#This Row],[Apr_2026_Days_Actual]]*Table410[[#This Row],[Cost Boolean]]*(VLOOKUP(Table410[[#This Row],[RATE CONCAT]],Tables!I:N,5,0)),0)</f>
        <v>0</v>
      </c>
      <c r="CE113" s="3">
        <f>Table410[[#This Row],[Apr_2026_F]]-Table410[[#This Row],[Apr_2026_A]]</f>
        <v>0</v>
      </c>
      <c r="CF113" s="103"/>
      <c r="CG113" s="3">
        <f>IFERROR(Table410[[#This Row],[May_2026_Days_Forecast]] *Table410[[#This Row],[Cost Boolean]]*(VLOOKUP(Table410[[#This Row],[RATE CONCAT]],Tables!I:N,5,0)),0)</f>
        <v>0</v>
      </c>
      <c r="CH113" s="3">
        <f>IFERROR(Table410[[#This Row],[May_2026_Days_Actual]]*Table410[[#This Row],[Cost Boolean]]*(VLOOKUP(Table410[[#This Row],[RATE CONCAT]],Tables!I:N,5,0)),0)</f>
        <v>0</v>
      </c>
      <c r="CI113" s="3">
        <f>Table410[[#This Row],[May_2026_F]]-Table410[[#This Row],[May_2026_A]]</f>
        <v>0</v>
      </c>
      <c r="CJ113" s="103"/>
      <c r="CK113" s="3">
        <f>IFERROR(Table410[[#This Row],[Jun_2026_Days_Forecast]]*Table410[[#This Row],[Cost Boolean]]*(VLOOKUP(Table410[[#This Row],[RATE CONCAT]],Tables!I:N,5,0)),0)</f>
        <v>0</v>
      </c>
      <c r="CL113" s="3">
        <f>IFERROR(Table410[[#This Row],[Jun_2026_Days_Actual]]*Table410[[#This Row],[Cost Boolean]]*(VLOOKUP(Table410[[#This Row],[RATE CONCAT]],Tables!I:N,5,0)),0)</f>
        <v>0</v>
      </c>
      <c r="CM113" s="3">
        <f>Table410[[#This Row],[Jun_2026_F]]-Table410[[#This Row],[Jun_2026_A]]</f>
        <v>0</v>
      </c>
      <c r="CN113" s="103"/>
      <c r="CO113" s="3">
        <f>IFERROR(Table410[[#This Row],[Jul_2026_Days_Forecast]]*Table410[[#This Row],[Cost Boolean]]*(VLOOKUP(Table410[[#This Row],[RATE CONCAT]],Tables!I:N,5,0)),0)</f>
        <v>0</v>
      </c>
      <c r="CP113" s="3">
        <f>IFERROR(Table410[[#This Row],[Jul_2026_Days_Actual]]*Table410[[#This Row],[Cost Boolean]]*(VLOOKUP(Table410[[#This Row],[RATE CONCAT]],Tables!I:N,5,0)),0)</f>
        <v>0</v>
      </c>
      <c r="CQ113" s="3">
        <f>Table410[[#This Row],[Jul_2026_F]]-Table410[[#This Row],[Jul_2026_A]]</f>
        <v>0</v>
      </c>
      <c r="CR113" s="103"/>
      <c r="CS113" s="3">
        <f>IFERROR(Table410[[#This Row],[Aug_2026_Days_Forecast]]*Table410[[#This Row],[Cost Boolean]]*(VLOOKUP(Table410[[#This Row],[RATE CONCAT]],Tables!I:N,5,0)),0)</f>
        <v>0</v>
      </c>
      <c r="CT113" s="3">
        <f>IFERROR(Table410[[#This Row],[Aug_2026_Days_Actual]]*Table410[[#This Row],[Cost Boolean]]*(VLOOKUP(Table410[[#This Row],[RATE CONCAT]],Tables!I:N,5,0)),0)</f>
        <v>0</v>
      </c>
      <c r="CU113" s="3">
        <f>Table410[[#This Row],[Aug_2026_F]]-Table410[[#This Row],[Aug_2026_A]]</f>
        <v>0</v>
      </c>
      <c r="CV113" s="103"/>
      <c r="CW113" s="3">
        <f>IFERROR(Table410[[#This Row],[Sep_2026_Days_Forecast]]*Table410[[#This Row],[Cost Boolean]]*(VLOOKUP(Table410[[#This Row],[RATE CONCAT]],Tables!I:N,5,0)),0)</f>
        <v>0</v>
      </c>
      <c r="CX113" s="3">
        <f>IFERROR(Table410[[#This Row],[Sep_2026_Days_Actual]]*Table410[[#This Row],[Cost Boolean]]*(VLOOKUP(Table410[[#This Row],[RATE CONCAT]],Tables!I:N,5,0)),0)</f>
        <v>0</v>
      </c>
      <c r="CY113" s="3">
        <f>Table410[[#This Row],[Sep_2026_F]]-Table410[[#This Row],[Sep_2026_A]]</f>
        <v>0</v>
      </c>
      <c r="CZ113" s="103"/>
      <c r="DA113" s="3">
        <f>IFERROR(Table410[[#This Row],[Oct_2026_Days_Forecast]]*Table410[[#This Row],[Cost Boolean]]*(VLOOKUP(Table410[[#This Row],[RATE CONCAT]],Tables!I:N,5,0)),0)</f>
        <v>0</v>
      </c>
      <c r="DB113" s="3">
        <f>IFERROR(Table410[[#This Row],[Oct_2026_Days_Actual]]*Table410[[#This Row],[Cost Boolean]]*(VLOOKUP(Table410[[#This Row],[RATE CONCAT]],Tables!I:N,5,0)),0)</f>
        <v>0</v>
      </c>
      <c r="DC113" s="3">
        <f>Table410[[#This Row],[Oct_2026_F]]-Table410[[#This Row],[Oct_2026_A]]</f>
        <v>0</v>
      </c>
      <c r="DD113" s="103"/>
      <c r="DE113" s="3">
        <f>IFERROR(Table410[[#This Row],[Nov_2026_Days_Forecast]]*Table410[[#This Row],[Cost Boolean]]*(VLOOKUP(Table410[[#This Row],[RATE CONCAT]],Tables!I:N,5,0)),0)</f>
        <v>0</v>
      </c>
      <c r="DF113" s="3">
        <f>IFERROR(Table410[[#This Row],[Nov_2026_Days_Actual]]*Table410[[#This Row],[Cost Boolean]]*(VLOOKUP(Table410[[#This Row],[RATE CONCAT]],Tables!I:N,5,0)),0)</f>
        <v>0</v>
      </c>
      <c r="DG113" s="3">
        <f>Table410[[#This Row],[Nov_2026_F]]-Table410[[#This Row],[Nov_2026_A]]</f>
        <v>0</v>
      </c>
      <c r="DH113" s="103"/>
      <c r="DI113" s="3">
        <f>IFERROR(Table410[[#This Row],[Dec_2026_Days_Forecast]]*Table410[[#This Row],[Cost Boolean]]*(VLOOKUP(Table410[[#This Row],[RATE CONCAT]],Tables!I:N,5,0)),0)</f>
        <v>0</v>
      </c>
      <c r="DJ113" s="3">
        <f>IFERROR(Table410[[#This Row],[Dec_2026_Days_Actual]]*Table410[[#This Row],[Cost Boolean]]*(VLOOKUP(Table410[[#This Row],[RATE CONCAT]],Tables!I:N,5,0)),0)</f>
        <v>0</v>
      </c>
      <c r="DK113" s="126">
        <f>Table410[[#This Row],[Dec_2026_F]]-Table410[[#This Row],[Dec_2026_A]]</f>
        <v>0</v>
      </c>
      <c r="DL113" s="103"/>
      <c r="DM113" s="60"/>
      <c r="DN113" s="3">
        <f>IFERROR(Table410[[#This Row],[Jan_2027_Days_Forecast]]*Table410[[#This Row],[Cost Boolean]]*(VLOOKUP(Table410[[#This Row],[RATE CONCAT]],Tables!I:N,6,0)),0)</f>
        <v>0</v>
      </c>
      <c r="DO113" s="3"/>
      <c r="DP113" s="3">
        <f>Table410[[#This Row],[Jan_2027_F]]-Table410[[#This Row],[Jan_2027_A]]</f>
        <v>0</v>
      </c>
      <c r="DQ113" s="3">
        <f>IFERROR(Table410[[#This Row],[Feb_2027_Days_Forecast]]*Table410[[#This Row],[Cost Boolean]]*(VLOOKUP(Table410[[#This Row],[RATE CONCAT]],Tables!I:N,6,0)),0)</f>
        <v>0</v>
      </c>
      <c r="DR113" s="3"/>
      <c r="DS113" s="3">
        <f>Table410[[#This Row],[Feb_2027_F]]-Table410[[#This Row],[Feb_2027_A]]</f>
        <v>0</v>
      </c>
      <c r="DT113" s="3">
        <f>IFERROR(Table410[[#This Row],[Mar_2027_Days_Forecast]]*Table410[[#This Row],[Cost Boolean]]*(VLOOKUP(Table410[[#This Row],[RATE CONCAT]],Tables!I:N,6,0)),0)</f>
        <v>0</v>
      </c>
      <c r="DU113" s="3"/>
      <c r="DV113" s="3">
        <f>Table410[[#This Row],[Mar_2027_F]]-Table410[[#This Row],[Mar_2027_A]]</f>
        <v>0</v>
      </c>
      <c r="DW113" s="3">
        <f>IFERROR(Table410[[#This Row],[Apr_2027_Days_Forecast]]*Table410[[#This Row],[Cost Boolean]]*(VLOOKUP(Table410[[#This Row],[RATE CONCAT]],Tables!I:N,6,0)),0)</f>
        <v>0</v>
      </c>
      <c r="DX113" s="3"/>
      <c r="DY113" s="3">
        <f>Table410[[#This Row],[Apr_2027_F]]-Table410[[#This Row],[Apr_2027_A]]</f>
        <v>0</v>
      </c>
      <c r="DZ113" s="3">
        <f>IFERROR(Table410[[#This Row],[May_2027_Days_Forecast]]*Table410[[#This Row],[Cost Boolean]]*(VLOOKUP(Table410[[#This Row],[RATE CONCAT]],Tables!I:N,6,0)),0)</f>
        <v>0</v>
      </c>
      <c r="EA113" s="3"/>
      <c r="EB113" s="3">
        <f>Table410[[#This Row],[May_2027_F]]-Table410[[#This Row],[May_2027_A]]</f>
        <v>0</v>
      </c>
      <c r="EC113" s="3">
        <f>IFERROR(Table410[[#This Row],[Jun_2027_Days_Forecast]]*Table410[[#This Row],[Cost Boolean]]*(VLOOKUP(Table410[[#This Row],[RATE CONCAT]],Tables!I:N,6,0)),0)</f>
        <v>0</v>
      </c>
      <c r="ED113" s="3"/>
      <c r="EE113" s="3">
        <f>Table410[[#This Row],[Jun_2027_F]]-Table410[[#This Row],[Jun_2027_A]]</f>
        <v>0</v>
      </c>
      <c r="EF113" s="3">
        <f>IFERROR(Table410[[#This Row],[Jul_2027_Days_Forecast]]*Table410[[#This Row],[Cost Boolean]]*(VLOOKUP(Table410[[#This Row],[RATE CONCAT]],Tables!I:N,6,0)),0)</f>
        <v>0</v>
      </c>
      <c r="EG113" s="3"/>
      <c r="EH113" s="3">
        <f>Table410[[#This Row],[Jul_2027_F]]-Table410[[#This Row],[Jul_2027_A]]</f>
        <v>0</v>
      </c>
      <c r="EI113" s="3">
        <f>IFERROR(Table410[[#This Row],[Aug_2027_Days_Forecast]]*Table410[[#This Row],[Cost Boolean]]*(VLOOKUP(Table410[[#This Row],[RATE CONCAT]],Tables!I:N,6,0)),0)</f>
        <v>0</v>
      </c>
      <c r="EJ113" s="3"/>
      <c r="EK113" s="3">
        <f>Table410[[#This Row],[Aug_2027_F]]-Table410[[#This Row],[Aug_2027_A]]</f>
        <v>0</v>
      </c>
      <c r="EL113" s="3">
        <f>IFERROR(Table410[[#This Row],[Sep_2027_Days_Forecast]]*Table410[[#This Row],[Cost Boolean]]*(VLOOKUP(Table410[[#This Row],[RATE CONCAT]],Tables!I:N,6,0)),0)</f>
        <v>0</v>
      </c>
      <c r="EM113" s="3"/>
      <c r="EN113" s="3">
        <f>Table410[[#This Row],[Sep_2027_F]]-Table410[[#This Row],[Sep_2027_A]]</f>
        <v>0</v>
      </c>
      <c r="EO113" s="3">
        <f>IFERROR(Table410[[#This Row],[Oct_2027_Days_Forecast]]*Table410[[#This Row],[Cost Boolean]]*(VLOOKUP(Table410[[#This Row],[RATE CONCAT]],Tables!I:N,6,0)),0)</f>
        <v>0</v>
      </c>
      <c r="EP113" s="3"/>
      <c r="EQ113" s="3">
        <f>Table410[[#This Row],[Oct_2027_F]]-Table410[[#This Row],[Oct_2027_A]]</f>
        <v>0</v>
      </c>
      <c r="ER113" s="3">
        <f>IFERROR(Table410[[#This Row],[Nov_2027_Days_Forecast]]*Table410[[#This Row],[Cost Boolean]]*(VLOOKUP(Table410[[#This Row],[RATE CONCAT]],Tables!I:N,6,0)),0)</f>
        <v>0</v>
      </c>
      <c r="ES113" s="3"/>
      <c r="ET113" s="3">
        <f>Table410[[#This Row],[Nov_2027_F]]-Table410[[#This Row],[Nov_2027_A]]</f>
        <v>0</v>
      </c>
      <c r="EU113" s="3">
        <f>IFERROR(Table410[[#This Row],[Dec_2027_Days_Forecast]]*Table410[[#This Row],[Cost Boolean]]*(VLOOKUP(Table410[[#This Row],[RATE CONCAT]],Tables!I:N,6,0)),0)</f>
        <v>0</v>
      </c>
      <c r="EV113" s="3"/>
      <c r="EW113" s="3">
        <f>Table410[[#This Row],[Dec_2027_F]]-Table410[[#This Row],[Dec_2027_A]]</f>
        <v>0</v>
      </c>
    </row>
    <row r="114" spans="1:153" ht="1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4" t="str">
        <f>CONCATENATE(Table410[[#This Row],[JG]],Table410[[#This Row],[Country]],Table410[[#This Row],[Resource Provider]])</f>
        <v/>
      </c>
      <c r="Z114" s="14">
        <f>VLOOKUP(Table410[[#This Row],[RATE CONCAT]],Tables!I:N,5,0)</f>
        <v>0</v>
      </c>
      <c r="AA114" s="123"/>
      <c r="AB114" s="129"/>
      <c r="AC114" s="129"/>
      <c r="AD114" s="129"/>
      <c r="AE114" s="129"/>
      <c r="AF114" s="129"/>
      <c r="AG114" s="129"/>
      <c r="AH114" s="129"/>
      <c r="AI114" s="129"/>
      <c r="AJ114" s="129"/>
      <c r="AK114" s="129"/>
      <c r="AL114" s="129"/>
      <c r="AM114" s="129"/>
      <c r="AN114" s="176">
        <f>IFERROR(AVERAGE(Table410[[#This Row],[Jan_2026_Days_Forecast]:[Dec_2026_Days_Forecast]]),0)/19</f>
        <v>0</v>
      </c>
      <c r="AO114" s="176">
        <f>IFERROR(AVERAGE(Table410[[#This Row],[Jan_2026_Days_Actual]:[Dec_2026_Days_Actual]]),0)/19</f>
        <v>0</v>
      </c>
      <c r="AP114" s="84"/>
      <c r="AQ114" s="84"/>
      <c r="AR114" s="84"/>
      <c r="AS114" s="84"/>
      <c r="AT114" s="84"/>
      <c r="AU114" s="84"/>
      <c r="AV114" s="84"/>
      <c r="AW114" s="84"/>
      <c r="AX114" s="84"/>
      <c r="AY114" s="84"/>
      <c r="AZ114" s="84"/>
      <c r="BA114" s="84"/>
      <c r="BB114" s="176">
        <f>IFERROR(AVERAGE(Table410[[#This Row],[Jan_2027_Days_Forecast]:[Dec_2027_Days_Forecast]]),0)</f>
        <v>0</v>
      </c>
      <c r="BC114" s="129"/>
      <c r="BD114" s="129"/>
      <c r="BE114" s="129"/>
      <c r="BF114" s="129"/>
      <c r="BG114" s="129"/>
      <c r="BH114" s="129"/>
      <c r="BI114" s="129"/>
      <c r="BJ114" s="129"/>
      <c r="BK114" s="129"/>
      <c r="BL114" s="129"/>
      <c r="BM114" s="129"/>
      <c r="BN114" s="129"/>
      <c r="BO114" s="176"/>
      <c r="BP114" s="176"/>
      <c r="BQ114" s="3">
        <f>IFERROR(Table410[[#This Row],[Jan_2026_Days_Forecast]]*Table410[[#This Row],[Cost Boolean]]*(VLOOKUP(Table410[[#This Row],[RATE CONCAT]],Tables!I:N,5,0)),0)</f>
        <v>0</v>
      </c>
      <c r="BR114" s="3">
        <f>IFERROR(Table410[[#This Row],[Jan_2026_Days_Actual]]*Table410[[#This Row],[Cost Boolean]]*(VLOOKUP(Table410[[#This Row],[RATE CONCAT]],Tables!I:N,5,0)),0)</f>
        <v>0</v>
      </c>
      <c r="BS114" s="13">
        <f>Table410[[#This Row],[Jan_2026_F]]-Table410[[#This Row],[Jan_2026_A]]</f>
        <v>0</v>
      </c>
      <c r="BT114" s="114"/>
      <c r="BU114" s="13">
        <f>IFERROR(Table410[[#This Row],[Feb_2026_Days_Forecast]]*Table410[[#This Row],[Cost Boolean]]*(VLOOKUP(Table410[[#This Row],[RATE CONCAT]],Tables!I:N,5,0)),0)</f>
        <v>0</v>
      </c>
      <c r="BV114" s="3">
        <f>IFERROR(Table410[[#This Row],[Feb_2026_Days_Actual]]*Table410[[#This Row],[Cost Boolean]]*(VLOOKUP(Table410[[#This Row],[RATE CONCAT]],Tables!I:N,5,0)),0)</f>
        <v>0</v>
      </c>
      <c r="BW114" s="13">
        <f>Table410[[#This Row],[Feb_2026_F]]-Table410[[#This Row],[Feb_2026_A]]</f>
        <v>0</v>
      </c>
      <c r="BX114" s="3"/>
      <c r="BY114" s="3">
        <f>IFERROR(Table410[[#This Row],[Mar_2026_Days_Forecast]]*Table410[[#This Row],[Cost Boolean]]*(VLOOKUP(Table410[[#This Row],[RATE CONCAT]],Tables!I:N,5,0)),0)</f>
        <v>0</v>
      </c>
      <c r="BZ114" s="3">
        <f>IFERROR(Table410[[#This Row],[Mar_2026_Days_Actual]]*Table410[[#This Row],[Cost Boolean]]*(VLOOKUP(Table410[[#This Row],[RATE CONCAT]],Tables!I:N,5,0)),0)</f>
        <v>0</v>
      </c>
      <c r="CA114" s="3">
        <f>Table410[[#This Row],[Mar_2026_F]]-Table410[[#This Row],[Mar_2026_A]]</f>
        <v>0</v>
      </c>
      <c r="CB114" s="103"/>
      <c r="CC114" s="3">
        <f>IFERROR(Table410[[#This Row],[Apr_2026_Days_Forecast]]*Table410[[#This Row],[Cost Boolean]]*(VLOOKUP(Table410[[#This Row],[RATE CONCAT]],Tables!I:N,5,0)),0)</f>
        <v>0</v>
      </c>
      <c r="CD114" s="3">
        <f>IFERROR(Table410[[#This Row],[Apr_2026_Days_Actual]]*Table410[[#This Row],[Cost Boolean]]*(VLOOKUP(Table410[[#This Row],[RATE CONCAT]],Tables!I:N,5,0)),0)</f>
        <v>0</v>
      </c>
      <c r="CE114" s="3">
        <f>Table410[[#This Row],[Apr_2026_F]]-Table410[[#This Row],[Apr_2026_A]]</f>
        <v>0</v>
      </c>
      <c r="CF114" s="103"/>
      <c r="CG114" s="3">
        <f>IFERROR(Table410[[#This Row],[May_2026_Days_Forecast]] *Table410[[#This Row],[Cost Boolean]]*(VLOOKUP(Table410[[#This Row],[RATE CONCAT]],Tables!I:N,5,0)),0)</f>
        <v>0</v>
      </c>
      <c r="CH114" s="3">
        <f>IFERROR(Table410[[#This Row],[May_2026_Days_Actual]]*Table410[[#This Row],[Cost Boolean]]*(VLOOKUP(Table410[[#This Row],[RATE CONCAT]],Tables!I:N,5,0)),0)</f>
        <v>0</v>
      </c>
      <c r="CI114" s="3">
        <f>Table410[[#This Row],[May_2026_F]]-Table410[[#This Row],[May_2026_A]]</f>
        <v>0</v>
      </c>
      <c r="CJ114" s="103"/>
      <c r="CK114" s="3">
        <f>IFERROR(Table410[[#This Row],[Jun_2026_Days_Forecast]]*Table410[[#This Row],[Cost Boolean]]*(VLOOKUP(Table410[[#This Row],[RATE CONCAT]],Tables!I:N,5,0)),0)</f>
        <v>0</v>
      </c>
      <c r="CL114" s="3">
        <f>IFERROR(Table410[[#This Row],[Jun_2026_Days_Actual]]*Table410[[#This Row],[Cost Boolean]]*(VLOOKUP(Table410[[#This Row],[RATE CONCAT]],Tables!I:N,5,0)),0)</f>
        <v>0</v>
      </c>
      <c r="CM114" s="3">
        <f>Table410[[#This Row],[Jun_2026_F]]-Table410[[#This Row],[Jun_2026_A]]</f>
        <v>0</v>
      </c>
      <c r="CN114" s="103"/>
      <c r="CO114" s="3">
        <f>IFERROR(Table410[[#This Row],[Jul_2026_Days_Forecast]]*Table410[[#This Row],[Cost Boolean]]*(VLOOKUP(Table410[[#This Row],[RATE CONCAT]],Tables!I:N,5,0)),0)</f>
        <v>0</v>
      </c>
      <c r="CP114" s="3">
        <f>IFERROR(Table410[[#This Row],[Jul_2026_Days_Actual]]*Table410[[#This Row],[Cost Boolean]]*(VLOOKUP(Table410[[#This Row],[RATE CONCAT]],Tables!I:N,5,0)),0)</f>
        <v>0</v>
      </c>
      <c r="CQ114" s="3">
        <f>Table410[[#This Row],[Jul_2026_F]]-Table410[[#This Row],[Jul_2026_A]]</f>
        <v>0</v>
      </c>
      <c r="CR114" s="103"/>
      <c r="CS114" s="3">
        <f>IFERROR(Table410[[#This Row],[Aug_2026_Days_Forecast]]*Table410[[#This Row],[Cost Boolean]]*(VLOOKUP(Table410[[#This Row],[RATE CONCAT]],Tables!I:N,5,0)),0)</f>
        <v>0</v>
      </c>
      <c r="CT114" s="3">
        <f>IFERROR(Table410[[#This Row],[Aug_2026_Days_Actual]]*Table410[[#This Row],[Cost Boolean]]*(VLOOKUP(Table410[[#This Row],[RATE CONCAT]],Tables!I:N,5,0)),0)</f>
        <v>0</v>
      </c>
      <c r="CU114" s="3">
        <f>Table410[[#This Row],[Aug_2026_F]]-Table410[[#This Row],[Aug_2026_A]]</f>
        <v>0</v>
      </c>
      <c r="CV114" s="103"/>
      <c r="CW114" s="3">
        <f>IFERROR(Table410[[#This Row],[Sep_2026_Days_Forecast]]*Table410[[#This Row],[Cost Boolean]]*(VLOOKUP(Table410[[#This Row],[RATE CONCAT]],Tables!I:N,5,0)),0)</f>
        <v>0</v>
      </c>
      <c r="CX114" s="3">
        <f>IFERROR(Table410[[#This Row],[Sep_2026_Days_Actual]]*Table410[[#This Row],[Cost Boolean]]*(VLOOKUP(Table410[[#This Row],[RATE CONCAT]],Tables!I:N,5,0)),0)</f>
        <v>0</v>
      </c>
      <c r="CY114" s="3">
        <f>Table410[[#This Row],[Sep_2026_F]]-Table410[[#This Row],[Sep_2026_A]]</f>
        <v>0</v>
      </c>
      <c r="CZ114" s="103"/>
      <c r="DA114" s="3">
        <f>IFERROR(Table410[[#This Row],[Oct_2026_Days_Forecast]]*Table410[[#This Row],[Cost Boolean]]*(VLOOKUP(Table410[[#This Row],[RATE CONCAT]],Tables!I:N,5,0)),0)</f>
        <v>0</v>
      </c>
      <c r="DB114" s="3">
        <f>IFERROR(Table410[[#This Row],[Oct_2026_Days_Actual]]*Table410[[#This Row],[Cost Boolean]]*(VLOOKUP(Table410[[#This Row],[RATE CONCAT]],Tables!I:N,5,0)),0)</f>
        <v>0</v>
      </c>
      <c r="DC114" s="3">
        <f>Table410[[#This Row],[Oct_2026_F]]-Table410[[#This Row],[Oct_2026_A]]</f>
        <v>0</v>
      </c>
      <c r="DD114" s="103"/>
      <c r="DE114" s="3">
        <f>IFERROR(Table410[[#This Row],[Nov_2026_Days_Forecast]]*Table410[[#This Row],[Cost Boolean]]*(VLOOKUP(Table410[[#This Row],[RATE CONCAT]],Tables!I:N,5,0)),0)</f>
        <v>0</v>
      </c>
      <c r="DF114" s="3">
        <f>IFERROR(Table410[[#This Row],[Nov_2026_Days_Actual]]*Table410[[#This Row],[Cost Boolean]]*(VLOOKUP(Table410[[#This Row],[RATE CONCAT]],Tables!I:N,5,0)),0)</f>
        <v>0</v>
      </c>
      <c r="DG114" s="3">
        <f>Table410[[#This Row],[Nov_2026_F]]-Table410[[#This Row],[Nov_2026_A]]</f>
        <v>0</v>
      </c>
      <c r="DH114" s="103"/>
      <c r="DI114" s="3">
        <f>IFERROR(Table410[[#This Row],[Dec_2026_Days_Forecast]]*Table410[[#This Row],[Cost Boolean]]*(VLOOKUP(Table410[[#This Row],[RATE CONCAT]],Tables!I:N,5,0)),0)</f>
        <v>0</v>
      </c>
      <c r="DJ114" s="3">
        <f>IFERROR(Table410[[#This Row],[Dec_2026_Days_Actual]]*Table410[[#This Row],[Cost Boolean]]*(VLOOKUP(Table410[[#This Row],[RATE CONCAT]],Tables!I:N,5,0)),0)</f>
        <v>0</v>
      </c>
      <c r="DK114" s="126">
        <f>Table410[[#This Row],[Dec_2026_F]]-Table410[[#This Row],[Dec_2026_A]]</f>
        <v>0</v>
      </c>
      <c r="DL114" s="103"/>
      <c r="DM114" s="60"/>
      <c r="DN114" s="3">
        <f>IFERROR(Table410[[#This Row],[Jan_2027_Days_Forecast]]*Table410[[#This Row],[Cost Boolean]]*(VLOOKUP(Table410[[#This Row],[RATE CONCAT]],Tables!I:N,6,0)),0)</f>
        <v>0</v>
      </c>
      <c r="DO114" s="3"/>
      <c r="DP114" s="3">
        <f>Table410[[#This Row],[Jan_2027_F]]-Table410[[#This Row],[Jan_2027_A]]</f>
        <v>0</v>
      </c>
      <c r="DQ114" s="3">
        <f>IFERROR(Table410[[#This Row],[Feb_2027_Days_Forecast]]*Table410[[#This Row],[Cost Boolean]]*(VLOOKUP(Table410[[#This Row],[RATE CONCAT]],Tables!I:N,6,0)),0)</f>
        <v>0</v>
      </c>
      <c r="DR114" s="3"/>
      <c r="DS114" s="3">
        <f>Table410[[#This Row],[Feb_2027_F]]-Table410[[#This Row],[Feb_2027_A]]</f>
        <v>0</v>
      </c>
      <c r="DT114" s="3">
        <f>IFERROR(Table410[[#This Row],[Mar_2027_Days_Forecast]]*Table410[[#This Row],[Cost Boolean]]*(VLOOKUP(Table410[[#This Row],[RATE CONCAT]],Tables!I:N,6,0)),0)</f>
        <v>0</v>
      </c>
      <c r="DU114" s="3"/>
      <c r="DV114" s="3">
        <f>Table410[[#This Row],[Mar_2027_F]]-Table410[[#This Row],[Mar_2027_A]]</f>
        <v>0</v>
      </c>
      <c r="DW114" s="3">
        <f>IFERROR(Table410[[#This Row],[Apr_2027_Days_Forecast]]*Table410[[#This Row],[Cost Boolean]]*(VLOOKUP(Table410[[#This Row],[RATE CONCAT]],Tables!I:N,6,0)),0)</f>
        <v>0</v>
      </c>
      <c r="DX114" s="3"/>
      <c r="DY114" s="3">
        <f>Table410[[#This Row],[Apr_2027_F]]-Table410[[#This Row],[Apr_2027_A]]</f>
        <v>0</v>
      </c>
      <c r="DZ114" s="3">
        <f>IFERROR(Table410[[#This Row],[May_2027_Days_Forecast]]*Table410[[#This Row],[Cost Boolean]]*(VLOOKUP(Table410[[#This Row],[RATE CONCAT]],Tables!I:N,6,0)),0)</f>
        <v>0</v>
      </c>
      <c r="EA114" s="3"/>
      <c r="EB114" s="3">
        <f>Table410[[#This Row],[May_2027_F]]-Table410[[#This Row],[May_2027_A]]</f>
        <v>0</v>
      </c>
      <c r="EC114" s="3">
        <f>IFERROR(Table410[[#This Row],[Jun_2027_Days_Forecast]]*Table410[[#This Row],[Cost Boolean]]*(VLOOKUP(Table410[[#This Row],[RATE CONCAT]],Tables!I:N,6,0)),0)</f>
        <v>0</v>
      </c>
      <c r="ED114" s="3"/>
      <c r="EE114" s="3">
        <f>Table410[[#This Row],[Jun_2027_F]]-Table410[[#This Row],[Jun_2027_A]]</f>
        <v>0</v>
      </c>
      <c r="EF114" s="3">
        <f>IFERROR(Table410[[#This Row],[Jul_2027_Days_Forecast]]*Table410[[#This Row],[Cost Boolean]]*(VLOOKUP(Table410[[#This Row],[RATE CONCAT]],Tables!I:N,6,0)),0)</f>
        <v>0</v>
      </c>
      <c r="EG114" s="3"/>
      <c r="EH114" s="3">
        <f>Table410[[#This Row],[Jul_2027_F]]-Table410[[#This Row],[Jul_2027_A]]</f>
        <v>0</v>
      </c>
      <c r="EI114" s="3">
        <f>IFERROR(Table410[[#This Row],[Aug_2027_Days_Forecast]]*Table410[[#This Row],[Cost Boolean]]*(VLOOKUP(Table410[[#This Row],[RATE CONCAT]],Tables!I:N,6,0)),0)</f>
        <v>0</v>
      </c>
      <c r="EJ114" s="3"/>
      <c r="EK114" s="3">
        <f>Table410[[#This Row],[Aug_2027_F]]-Table410[[#This Row],[Aug_2027_A]]</f>
        <v>0</v>
      </c>
      <c r="EL114" s="3">
        <f>IFERROR(Table410[[#This Row],[Sep_2027_Days_Forecast]]*Table410[[#This Row],[Cost Boolean]]*(VLOOKUP(Table410[[#This Row],[RATE CONCAT]],Tables!I:N,6,0)),0)</f>
        <v>0</v>
      </c>
      <c r="EM114" s="3"/>
      <c r="EN114" s="3">
        <f>Table410[[#This Row],[Sep_2027_F]]-Table410[[#This Row],[Sep_2027_A]]</f>
        <v>0</v>
      </c>
      <c r="EO114" s="3">
        <f>IFERROR(Table410[[#This Row],[Oct_2027_Days_Forecast]]*Table410[[#This Row],[Cost Boolean]]*(VLOOKUP(Table410[[#This Row],[RATE CONCAT]],Tables!I:N,6,0)),0)</f>
        <v>0</v>
      </c>
      <c r="EP114" s="3"/>
      <c r="EQ114" s="3">
        <f>Table410[[#This Row],[Oct_2027_F]]-Table410[[#This Row],[Oct_2027_A]]</f>
        <v>0</v>
      </c>
      <c r="ER114" s="3">
        <f>IFERROR(Table410[[#This Row],[Nov_2027_Days_Forecast]]*Table410[[#This Row],[Cost Boolean]]*(VLOOKUP(Table410[[#This Row],[RATE CONCAT]],Tables!I:N,6,0)),0)</f>
        <v>0</v>
      </c>
      <c r="ES114" s="3"/>
      <c r="ET114" s="3">
        <f>Table410[[#This Row],[Nov_2027_F]]-Table410[[#This Row],[Nov_2027_A]]</f>
        <v>0</v>
      </c>
      <c r="EU114" s="3">
        <f>IFERROR(Table410[[#This Row],[Dec_2027_Days_Forecast]]*Table410[[#This Row],[Cost Boolean]]*(VLOOKUP(Table410[[#This Row],[RATE CONCAT]],Tables!I:N,6,0)),0)</f>
        <v>0</v>
      </c>
      <c r="EV114" s="3"/>
      <c r="EW114" s="3">
        <f>Table410[[#This Row],[Dec_2027_F]]-Table410[[#This Row],[Dec_2027_A]]</f>
        <v>0</v>
      </c>
    </row>
    <row r="115" spans="1:153" ht="1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4" t="str">
        <f>CONCATENATE(Table410[[#This Row],[JG]],Table410[[#This Row],[Country]],Table410[[#This Row],[Resource Provider]])</f>
        <v/>
      </c>
      <c r="Z115" s="14">
        <f>VLOOKUP(Table410[[#This Row],[RATE CONCAT]],Tables!I:N,5,0)</f>
        <v>0</v>
      </c>
      <c r="AA115" s="123"/>
      <c r="AB115" s="129"/>
      <c r="AC115" s="129"/>
      <c r="AD115" s="129"/>
      <c r="AE115" s="129"/>
      <c r="AF115" s="129"/>
      <c r="AG115" s="129"/>
      <c r="AH115" s="129"/>
      <c r="AI115" s="129"/>
      <c r="AJ115" s="129"/>
      <c r="AK115" s="129"/>
      <c r="AL115" s="129"/>
      <c r="AM115" s="129"/>
      <c r="AN115" s="176">
        <f>IFERROR(AVERAGE(Table410[[#This Row],[Jan_2026_Days_Forecast]:[Dec_2026_Days_Forecast]]),0)/19</f>
        <v>0</v>
      </c>
      <c r="AO115" s="176">
        <f>IFERROR(AVERAGE(Table410[[#This Row],[Jan_2026_Days_Actual]:[Dec_2026_Days_Actual]]),0)/19</f>
        <v>0</v>
      </c>
      <c r="AP115" s="84"/>
      <c r="AQ115" s="84"/>
      <c r="AR115" s="84"/>
      <c r="AS115" s="84"/>
      <c r="AT115" s="84"/>
      <c r="AU115" s="84"/>
      <c r="AV115" s="84"/>
      <c r="AW115" s="84"/>
      <c r="AX115" s="84"/>
      <c r="AY115" s="84"/>
      <c r="AZ115" s="84"/>
      <c r="BA115" s="84"/>
      <c r="BB115" s="176">
        <f>IFERROR(AVERAGE(Table410[[#This Row],[Jan_2027_Days_Forecast]:[Dec_2027_Days_Forecast]]),0)</f>
        <v>0</v>
      </c>
      <c r="BC115" s="129"/>
      <c r="BD115" s="129"/>
      <c r="BE115" s="129"/>
      <c r="BF115" s="129"/>
      <c r="BG115" s="129"/>
      <c r="BH115" s="129"/>
      <c r="BI115" s="129"/>
      <c r="BJ115" s="129"/>
      <c r="BK115" s="129"/>
      <c r="BL115" s="129"/>
      <c r="BM115" s="129"/>
      <c r="BN115" s="129"/>
      <c r="BO115" s="176"/>
      <c r="BP115" s="176"/>
      <c r="BQ115" s="3">
        <f>IFERROR(Table410[[#This Row],[Jan_2026_Days_Forecast]]*Table410[[#This Row],[Cost Boolean]]*(VLOOKUP(Table410[[#This Row],[RATE CONCAT]],Tables!I:N,5,0)),0)</f>
        <v>0</v>
      </c>
      <c r="BR115" s="3">
        <f>IFERROR(Table410[[#This Row],[Jan_2026_Days_Actual]]*Table410[[#This Row],[Cost Boolean]]*(VLOOKUP(Table410[[#This Row],[RATE CONCAT]],Tables!I:N,5,0)),0)</f>
        <v>0</v>
      </c>
      <c r="BS115" s="13">
        <f>Table410[[#This Row],[Jan_2026_F]]-Table410[[#This Row],[Jan_2026_A]]</f>
        <v>0</v>
      </c>
      <c r="BT115" s="114"/>
      <c r="BU115" s="13">
        <f>IFERROR(Table410[[#This Row],[Feb_2026_Days_Forecast]]*Table410[[#This Row],[Cost Boolean]]*(VLOOKUP(Table410[[#This Row],[RATE CONCAT]],Tables!I:N,5,0)),0)</f>
        <v>0</v>
      </c>
      <c r="BV115" s="3">
        <f>IFERROR(Table410[[#This Row],[Feb_2026_Days_Actual]]*Table410[[#This Row],[Cost Boolean]]*(VLOOKUP(Table410[[#This Row],[RATE CONCAT]],Tables!I:N,5,0)),0)</f>
        <v>0</v>
      </c>
      <c r="BW115" s="13">
        <f>Table410[[#This Row],[Feb_2026_F]]-Table410[[#This Row],[Feb_2026_A]]</f>
        <v>0</v>
      </c>
      <c r="BX115" s="3"/>
      <c r="BY115" s="3">
        <f>IFERROR(Table410[[#This Row],[Mar_2026_Days_Forecast]]*Table410[[#This Row],[Cost Boolean]]*(VLOOKUP(Table410[[#This Row],[RATE CONCAT]],Tables!I:N,5,0)),0)</f>
        <v>0</v>
      </c>
      <c r="BZ115" s="3">
        <f>IFERROR(Table410[[#This Row],[Mar_2026_Days_Actual]]*Table410[[#This Row],[Cost Boolean]]*(VLOOKUP(Table410[[#This Row],[RATE CONCAT]],Tables!I:N,5,0)),0)</f>
        <v>0</v>
      </c>
      <c r="CA115" s="3">
        <f>Table410[[#This Row],[Mar_2026_F]]-Table410[[#This Row],[Mar_2026_A]]</f>
        <v>0</v>
      </c>
      <c r="CB115" s="103"/>
      <c r="CC115" s="3">
        <f>IFERROR(Table410[[#This Row],[Apr_2026_Days_Forecast]]*Table410[[#This Row],[Cost Boolean]]*(VLOOKUP(Table410[[#This Row],[RATE CONCAT]],Tables!I:N,5,0)),0)</f>
        <v>0</v>
      </c>
      <c r="CD115" s="3">
        <f>IFERROR(Table410[[#This Row],[Apr_2026_Days_Actual]]*Table410[[#This Row],[Cost Boolean]]*(VLOOKUP(Table410[[#This Row],[RATE CONCAT]],Tables!I:N,5,0)),0)</f>
        <v>0</v>
      </c>
      <c r="CE115" s="3">
        <f>Table410[[#This Row],[Apr_2026_F]]-Table410[[#This Row],[Apr_2026_A]]</f>
        <v>0</v>
      </c>
      <c r="CF115" s="103"/>
      <c r="CG115" s="3">
        <f>IFERROR(Table410[[#This Row],[May_2026_Days_Forecast]] *Table410[[#This Row],[Cost Boolean]]*(VLOOKUP(Table410[[#This Row],[RATE CONCAT]],Tables!I:N,5,0)),0)</f>
        <v>0</v>
      </c>
      <c r="CH115" s="3">
        <f>IFERROR(Table410[[#This Row],[May_2026_Days_Actual]]*Table410[[#This Row],[Cost Boolean]]*(VLOOKUP(Table410[[#This Row],[RATE CONCAT]],Tables!I:N,5,0)),0)</f>
        <v>0</v>
      </c>
      <c r="CI115" s="3">
        <f>Table410[[#This Row],[May_2026_F]]-Table410[[#This Row],[May_2026_A]]</f>
        <v>0</v>
      </c>
      <c r="CJ115" s="103"/>
      <c r="CK115" s="3">
        <f>IFERROR(Table410[[#This Row],[Jun_2026_Days_Forecast]]*Table410[[#This Row],[Cost Boolean]]*(VLOOKUP(Table410[[#This Row],[RATE CONCAT]],Tables!I:N,5,0)),0)</f>
        <v>0</v>
      </c>
      <c r="CL115" s="3">
        <f>IFERROR(Table410[[#This Row],[Jun_2026_Days_Actual]]*Table410[[#This Row],[Cost Boolean]]*(VLOOKUP(Table410[[#This Row],[RATE CONCAT]],Tables!I:N,5,0)),0)</f>
        <v>0</v>
      </c>
      <c r="CM115" s="3">
        <f>Table410[[#This Row],[Jun_2026_F]]-Table410[[#This Row],[Jun_2026_A]]</f>
        <v>0</v>
      </c>
      <c r="CN115" s="103"/>
      <c r="CO115" s="3">
        <f>IFERROR(Table410[[#This Row],[Jul_2026_Days_Forecast]]*Table410[[#This Row],[Cost Boolean]]*(VLOOKUP(Table410[[#This Row],[RATE CONCAT]],Tables!I:N,5,0)),0)</f>
        <v>0</v>
      </c>
      <c r="CP115" s="3">
        <f>IFERROR(Table410[[#This Row],[Jul_2026_Days_Actual]]*Table410[[#This Row],[Cost Boolean]]*(VLOOKUP(Table410[[#This Row],[RATE CONCAT]],Tables!I:N,5,0)),0)</f>
        <v>0</v>
      </c>
      <c r="CQ115" s="3">
        <f>Table410[[#This Row],[Jul_2026_F]]-Table410[[#This Row],[Jul_2026_A]]</f>
        <v>0</v>
      </c>
      <c r="CR115" s="103"/>
      <c r="CS115" s="3">
        <f>IFERROR(Table410[[#This Row],[Aug_2026_Days_Forecast]]*Table410[[#This Row],[Cost Boolean]]*(VLOOKUP(Table410[[#This Row],[RATE CONCAT]],Tables!I:N,5,0)),0)</f>
        <v>0</v>
      </c>
      <c r="CT115" s="3">
        <f>IFERROR(Table410[[#This Row],[Aug_2026_Days_Actual]]*Table410[[#This Row],[Cost Boolean]]*(VLOOKUP(Table410[[#This Row],[RATE CONCAT]],Tables!I:N,5,0)),0)</f>
        <v>0</v>
      </c>
      <c r="CU115" s="3">
        <f>Table410[[#This Row],[Aug_2026_F]]-Table410[[#This Row],[Aug_2026_A]]</f>
        <v>0</v>
      </c>
      <c r="CV115" s="103"/>
      <c r="CW115" s="3">
        <f>IFERROR(Table410[[#This Row],[Sep_2026_Days_Forecast]]*Table410[[#This Row],[Cost Boolean]]*(VLOOKUP(Table410[[#This Row],[RATE CONCAT]],Tables!I:N,5,0)),0)</f>
        <v>0</v>
      </c>
      <c r="CX115" s="3">
        <f>IFERROR(Table410[[#This Row],[Sep_2026_Days_Actual]]*Table410[[#This Row],[Cost Boolean]]*(VLOOKUP(Table410[[#This Row],[RATE CONCAT]],Tables!I:N,5,0)),0)</f>
        <v>0</v>
      </c>
      <c r="CY115" s="3">
        <f>Table410[[#This Row],[Sep_2026_F]]-Table410[[#This Row],[Sep_2026_A]]</f>
        <v>0</v>
      </c>
      <c r="CZ115" s="103"/>
      <c r="DA115" s="3">
        <f>IFERROR(Table410[[#This Row],[Oct_2026_Days_Forecast]]*Table410[[#This Row],[Cost Boolean]]*(VLOOKUP(Table410[[#This Row],[RATE CONCAT]],Tables!I:N,5,0)),0)</f>
        <v>0</v>
      </c>
      <c r="DB115" s="3">
        <f>IFERROR(Table410[[#This Row],[Oct_2026_Days_Actual]]*Table410[[#This Row],[Cost Boolean]]*(VLOOKUP(Table410[[#This Row],[RATE CONCAT]],Tables!I:N,5,0)),0)</f>
        <v>0</v>
      </c>
      <c r="DC115" s="3">
        <f>Table410[[#This Row],[Oct_2026_F]]-Table410[[#This Row],[Oct_2026_A]]</f>
        <v>0</v>
      </c>
      <c r="DD115" s="103"/>
      <c r="DE115" s="3">
        <f>IFERROR(Table410[[#This Row],[Nov_2026_Days_Forecast]]*Table410[[#This Row],[Cost Boolean]]*(VLOOKUP(Table410[[#This Row],[RATE CONCAT]],Tables!I:N,5,0)),0)</f>
        <v>0</v>
      </c>
      <c r="DF115" s="3">
        <f>IFERROR(Table410[[#This Row],[Nov_2026_Days_Actual]]*Table410[[#This Row],[Cost Boolean]]*(VLOOKUP(Table410[[#This Row],[RATE CONCAT]],Tables!I:N,5,0)),0)</f>
        <v>0</v>
      </c>
      <c r="DG115" s="3">
        <f>Table410[[#This Row],[Nov_2026_F]]-Table410[[#This Row],[Nov_2026_A]]</f>
        <v>0</v>
      </c>
      <c r="DH115" s="103"/>
      <c r="DI115" s="3">
        <f>IFERROR(Table410[[#This Row],[Dec_2026_Days_Forecast]]*Table410[[#This Row],[Cost Boolean]]*(VLOOKUP(Table410[[#This Row],[RATE CONCAT]],Tables!I:N,5,0)),0)</f>
        <v>0</v>
      </c>
      <c r="DJ115" s="3">
        <f>IFERROR(Table410[[#This Row],[Dec_2026_Days_Actual]]*Table410[[#This Row],[Cost Boolean]]*(VLOOKUP(Table410[[#This Row],[RATE CONCAT]],Tables!I:N,5,0)),0)</f>
        <v>0</v>
      </c>
      <c r="DK115" s="126">
        <f>Table410[[#This Row],[Dec_2026_F]]-Table410[[#This Row],[Dec_2026_A]]</f>
        <v>0</v>
      </c>
      <c r="DL115" s="103"/>
      <c r="DM115" s="60"/>
      <c r="DN115" s="3">
        <f>IFERROR(Table410[[#This Row],[Jan_2027_Days_Forecast]]*Table410[[#This Row],[Cost Boolean]]*(VLOOKUP(Table410[[#This Row],[RATE CONCAT]],Tables!I:N,6,0)),0)</f>
        <v>0</v>
      </c>
      <c r="DO115" s="3"/>
      <c r="DP115" s="3">
        <f>Table410[[#This Row],[Jan_2027_F]]-Table410[[#This Row],[Jan_2027_A]]</f>
        <v>0</v>
      </c>
      <c r="DQ115" s="3">
        <f>IFERROR(Table410[[#This Row],[Feb_2027_Days_Forecast]]*Table410[[#This Row],[Cost Boolean]]*(VLOOKUP(Table410[[#This Row],[RATE CONCAT]],Tables!I:N,6,0)),0)</f>
        <v>0</v>
      </c>
      <c r="DR115" s="3"/>
      <c r="DS115" s="3">
        <f>Table410[[#This Row],[Feb_2027_F]]-Table410[[#This Row],[Feb_2027_A]]</f>
        <v>0</v>
      </c>
      <c r="DT115" s="3">
        <f>IFERROR(Table410[[#This Row],[Mar_2027_Days_Forecast]]*Table410[[#This Row],[Cost Boolean]]*(VLOOKUP(Table410[[#This Row],[RATE CONCAT]],Tables!I:N,6,0)),0)</f>
        <v>0</v>
      </c>
      <c r="DU115" s="3"/>
      <c r="DV115" s="3">
        <f>Table410[[#This Row],[Mar_2027_F]]-Table410[[#This Row],[Mar_2027_A]]</f>
        <v>0</v>
      </c>
      <c r="DW115" s="3">
        <f>IFERROR(Table410[[#This Row],[Apr_2027_Days_Forecast]]*Table410[[#This Row],[Cost Boolean]]*(VLOOKUP(Table410[[#This Row],[RATE CONCAT]],Tables!I:N,6,0)),0)</f>
        <v>0</v>
      </c>
      <c r="DX115" s="3"/>
      <c r="DY115" s="3">
        <f>Table410[[#This Row],[Apr_2027_F]]-Table410[[#This Row],[Apr_2027_A]]</f>
        <v>0</v>
      </c>
      <c r="DZ115" s="3">
        <f>IFERROR(Table410[[#This Row],[May_2027_Days_Forecast]]*Table410[[#This Row],[Cost Boolean]]*(VLOOKUP(Table410[[#This Row],[RATE CONCAT]],Tables!I:N,6,0)),0)</f>
        <v>0</v>
      </c>
      <c r="EA115" s="3"/>
      <c r="EB115" s="3">
        <f>Table410[[#This Row],[May_2027_F]]-Table410[[#This Row],[May_2027_A]]</f>
        <v>0</v>
      </c>
      <c r="EC115" s="3">
        <f>IFERROR(Table410[[#This Row],[Jun_2027_Days_Forecast]]*Table410[[#This Row],[Cost Boolean]]*(VLOOKUP(Table410[[#This Row],[RATE CONCAT]],Tables!I:N,6,0)),0)</f>
        <v>0</v>
      </c>
      <c r="ED115" s="3"/>
      <c r="EE115" s="3">
        <f>Table410[[#This Row],[Jun_2027_F]]-Table410[[#This Row],[Jun_2027_A]]</f>
        <v>0</v>
      </c>
      <c r="EF115" s="3">
        <f>IFERROR(Table410[[#This Row],[Jul_2027_Days_Forecast]]*Table410[[#This Row],[Cost Boolean]]*(VLOOKUP(Table410[[#This Row],[RATE CONCAT]],Tables!I:N,6,0)),0)</f>
        <v>0</v>
      </c>
      <c r="EG115" s="3"/>
      <c r="EH115" s="3">
        <f>Table410[[#This Row],[Jul_2027_F]]-Table410[[#This Row],[Jul_2027_A]]</f>
        <v>0</v>
      </c>
      <c r="EI115" s="3">
        <f>IFERROR(Table410[[#This Row],[Aug_2027_Days_Forecast]]*Table410[[#This Row],[Cost Boolean]]*(VLOOKUP(Table410[[#This Row],[RATE CONCAT]],Tables!I:N,6,0)),0)</f>
        <v>0</v>
      </c>
      <c r="EJ115" s="3"/>
      <c r="EK115" s="3">
        <f>Table410[[#This Row],[Aug_2027_F]]-Table410[[#This Row],[Aug_2027_A]]</f>
        <v>0</v>
      </c>
      <c r="EL115" s="3">
        <f>IFERROR(Table410[[#This Row],[Sep_2027_Days_Forecast]]*Table410[[#This Row],[Cost Boolean]]*(VLOOKUP(Table410[[#This Row],[RATE CONCAT]],Tables!I:N,6,0)),0)</f>
        <v>0</v>
      </c>
      <c r="EM115" s="3"/>
      <c r="EN115" s="3">
        <f>Table410[[#This Row],[Sep_2027_F]]-Table410[[#This Row],[Sep_2027_A]]</f>
        <v>0</v>
      </c>
      <c r="EO115" s="3">
        <f>IFERROR(Table410[[#This Row],[Oct_2027_Days_Forecast]]*Table410[[#This Row],[Cost Boolean]]*(VLOOKUP(Table410[[#This Row],[RATE CONCAT]],Tables!I:N,6,0)),0)</f>
        <v>0</v>
      </c>
      <c r="EP115" s="3"/>
      <c r="EQ115" s="3">
        <f>Table410[[#This Row],[Oct_2027_F]]-Table410[[#This Row],[Oct_2027_A]]</f>
        <v>0</v>
      </c>
      <c r="ER115" s="3">
        <f>IFERROR(Table410[[#This Row],[Nov_2027_Days_Forecast]]*Table410[[#This Row],[Cost Boolean]]*(VLOOKUP(Table410[[#This Row],[RATE CONCAT]],Tables!I:N,6,0)),0)</f>
        <v>0</v>
      </c>
      <c r="ES115" s="3"/>
      <c r="ET115" s="3">
        <f>Table410[[#This Row],[Nov_2027_F]]-Table410[[#This Row],[Nov_2027_A]]</f>
        <v>0</v>
      </c>
      <c r="EU115" s="3">
        <f>IFERROR(Table410[[#This Row],[Dec_2027_Days_Forecast]]*Table410[[#This Row],[Cost Boolean]]*(VLOOKUP(Table410[[#This Row],[RATE CONCAT]],Tables!I:N,6,0)),0)</f>
        <v>0</v>
      </c>
      <c r="EV115" s="3"/>
      <c r="EW115" s="3">
        <f>Table410[[#This Row],[Dec_2027_F]]-Table410[[#This Row],[Dec_2027_A]]</f>
        <v>0</v>
      </c>
    </row>
    <row r="116" spans="1:153" ht="1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4" t="str">
        <f>CONCATENATE(Table410[[#This Row],[JG]],Table410[[#This Row],[Country]],Table410[[#This Row],[Resource Provider]])</f>
        <v/>
      </c>
      <c r="Z116" s="14">
        <f>VLOOKUP(Table410[[#This Row],[RATE CONCAT]],Tables!I:N,5,0)</f>
        <v>0</v>
      </c>
      <c r="AA116" s="123"/>
      <c r="AB116" s="84"/>
      <c r="AC116" s="84"/>
      <c r="AD116" s="84"/>
      <c r="AE116" s="84"/>
      <c r="AF116" s="84"/>
      <c r="AG116" s="84"/>
      <c r="AH116" s="84"/>
      <c r="AI116" s="84"/>
      <c r="AJ116" s="84"/>
      <c r="AK116" s="84"/>
      <c r="AL116" s="84"/>
      <c r="AM116" s="124"/>
      <c r="AN116" s="176">
        <f>IFERROR(AVERAGE(Table410[[#This Row],[Jan_2026_Days_Forecast]:[Dec_2026_Days_Forecast]]),0)/19</f>
        <v>0</v>
      </c>
      <c r="AO116" s="176">
        <f>IFERROR(AVERAGE(Table410[[#This Row],[Jan_2026_Days_Actual]:[Dec_2026_Days_Actual]]),0)/19</f>
        <v>0</v>
      </c>
      <c r="AP116" s="84"/>
      <c r="AQ116" s="84"/>
      <c r="AR116" s="84"/>
      <c r="AS116" s="84"/>
      <c r="AT116" s="84"/>
      <c r="AU116" s="84"/>
      <c r="AV116" s="84"/>
      <c r="AW116" s="84"/>
      <c r="AX116" s="84"/>
      <c r="AY116" s="84"/>
      <c r="AZ116" s="84"/>
      <c r="BA116" s="84"/>
      <c r="BB116" s="176">
        <f>IFERROR(AVERAGE(Table410[[#This Row],[Jan_2027_Days_Forecast]:[Dec_2027_Days_Forecast]]),0)</f>
        <v>0</v>
      </c>
      <c r="BC116" s="127"/>
      <c r="BD116" s="127"/>
      <c r="BE116" s="127"/>
      <c r="BF116" s="127"/>
      <c r="BG116" s="127"/>
      <c r="BH116" s="127"/>
      <c r="BI116" s="127"/>
      <c r="BJ116" s="127"/>
      <c r="BK116" s="127"/>
      <c r="BL116" s="127"/>
      <c r="BM116" s="127"/>
      <c r="BN116" s="127"/>
      <c r="BO116" s="176"/>
      <c r="BP116" s="176"/>
      <c r="BQ116" s="3">
        <f>IFERROR(Table410[[#This Row],[Jan_2026_Days_Forecast]]*Table410[[#This Row],[Cost Boolean]]*(VLOOKUP(Table410[[#This Row],[RATE CONCAT]],Tables!I:N,5,0)),0)</f>
        <v>0</v>
      </c>
      <c r="BR116" s="3">
        <f>IFERROR(Table410[[#This Row],[Jan_2026_Days_Actual]]*Table410[[#This Row],[Cost Boolean]]*(VLOOKUP(Table410[[#This Row],[RATE CONCAT]],Tables!I:N,5,0)),0)</f>
        <v>0</v>
      </c>
      <c r="BS116" s="13">
        <f>Table410[[#This Row],[Jan_2026_F]]-Table410[[#This Row],[Jan_2026_A]]</f>
        <v>0</v>
      </c>
      <c r="BT116" s="114"/>
      <c r="BU116" s="13">
        <f>IFERROR(Table410[[#This Row],[Feb_2026_Days_Forecast]]*Table410[[#This Row],[Cost Boolean]]*(VLOOKUP(Table410[[#This Row],[RATE CONCAT]],Tables!I:N,5,0)),0)</f>
        <v>0</v>
      </c>
      <c r="BV116" s="3">
        <f>IFERROR(Table410[[#This Row],[Feb_2026_Days_Actual]]*Table410[[#This Row],[Cost Boolean]]*(VLOOKUP(Table410[[#This Row],[RATE CONCAT]],Tables!I:N,5,0)),0)</f>
        <v>0</v>
      </c>
      <c r="BW116" s="13">
        <f>Table410[[#This Row],[Feb_2026_F]]-Table410[[#This Row],[Feb_2026_A]]</f>
        <v>0</v>
      </c>
      <c r="BX116" s="3"/>
      <c r="BY116" s="3">
        <f>IFERROR(Table410[[#This Row],[Mar_2026_Days_Forecast]]*Table410[[#This Row],[Cost Boolean]]*(VLOOKUP(Table410[[#This Row],[RATE CONCAT]],Tables!I:N,5,0)),0)</f>
        <v>0</v>
      </c>
      <c r="BZ116" s="3">
        <f>IFERROR(Table410[[#This Row],[Mar_2026_Days_Actual]]*Table410[[#This Row],[Cost Boolean]]*(VLOOKUP(Table410[[#This Row],[RATE CONCAT]],Tables!I:N,5,0)),0)</f>
        <v>0</v>
      </c>
      <c r="CA116" s="3">
        <f>Table410[[#This Row],[Mar_2026_F]]-Table410[[#This Row],[Mar_2026_A]]</f>
        <v>0</v>
      </c>
      <c r="CB116" s="103"/>
      <c r="CC116" s="3">
        <f>IFERROR(Table410[[#This Row],[Apr_2026_Days_Forecast]]*Table410[[#This Row],[Cost Boolean]]*(VLOOKUP(Table410[[#This Row],[RATE CONCAT]],Tables!I:N,5,0)),0)</f>
        <v>0</v>
      </c>
      <c r="CD116" s="3">
        <f>IFERROR(Table410[[#This Row],[Apr_2026_Days_Actual]]*Table410[[#This Row],[Cost Boolean]]*(VLOOKUP(Table410[[#This Row],[RATE CONCAT]],Tables!I:N,5,0)),0)</f>
        <v>0</v>
      </c>
      <c r="CE116" s="3">
        <f>Table410[[#This Row],[Apr_2026_F]]-Table410[[#This Row],[Apr_2026_A]]</f>
        <v>0</v>
      </c>
      <c r="CF116" s="103"/>
      <c r="CG116" s="3">
        <f>IFERROR(Table410[[#This Row],[May_2026_Days_Forecast]] *Table410[[#This Row],[Cost Boolean]]*(VLOOKUP(Table410[[#This Row],[RATE CONCAT]],Tables!I:N,5,0)),0)</f>
        <v>0</v>
      </c>
      <c r="CH116" s="3">
        <f>IFERROR(Table410[[#This Row],[May_2026_Days_Actual]]*Table410[[#This Row],[Cost Boolean]]*(VLOOKUP(Table410[[#This Row],[RATE CONCAT]],Tables!I:N,5,0)),0)</f>
        <v>0</v>
      </c>
      <c r="CI116" s="3">
        <f>Table410[[#This Row],[May_2026_F]]-Table410[[#This Row],[May_2026_A]]</f>
        <v>0</v>
      </c>
      <c r="CJ116" s="103"/>
      <c r="CK116" s="3">
        <f>IFERROR(Table410[[#This Row],[Jun_2026_Days_Forecast]]*Table410[[#This Row],[Cost Boolean]]*(VLOOKUP(Table410[[#This Row],[RATE CONCAT]],Tables!I:N,5,0)),0)</f>
        <v>0</v>
      </c>
      <c r="CL116" s="3">
        <f>IFERROR(Table410[[#This Row],[Jun_2026_Days_Actual]]*Table410[[#This Row],[Cost Boolean]]*(VLOOKUP(Table410[[#This Row],[RATE CONCAT]],Tables!I:N,5,0)),0)</f>
        <v>0</v>
      </c>
      <c r="CM116" s="3">
        <f>Table410[[#This Row],[Jun_2026_F]]-Table410[[#This Row],[Jun_2026_A]]</f>
        <v>0</v>
      </c>
      <c r="CN116" s="103"/>
      <c r="CO116" s="3">
        <f>IFERROR(Table410[[#This Row],[Jul_2026_Days_Forecast]]*Table410[[#This Row],[Cost Boolean]]*(VLOOKUP(Table410[[#This Row],[RATE CONCAT]],Tables!I:N,5,0)),0)</f>
        <v>0</v>
      </c>
      <c r="CP116" s="3">
        <f>IFERROR(Table410[[#This Row],[Jul_2026_Days_Actual]]*Table410[[#This Row],[Cost Boolean]]*(VLOOKUP(Table410[[#This Row],[RATE CONCAT]],Tables!I:N,5,0)),0)</f>
        <v>0</v>
      </c>
      <c r="CQ116" s="3">
        <f>Table410[[#This Row],[Jul_2026_F]]-Table410[[#This Row],[Jul_2026_A]]</f>
        <v>0</v>
      </c>
      <c r="CR116" s="103"/>
      <c r="CS116" s="3">
        <f>IFERROR(Table410[[#This Row],[Aug_2026_Days_Forecast]]*Table410[[#This Row],[Cost Boolean]]*(VLOOKUP(Table410[[#This Row],[RATE CONCAT]],Tables!I:N,5,0)),0)</f>
        <v>0</v>
      </c>
      <c r="CT116" s="3">
        <f>IFERROR(Table410[[#This Row],[Aug_2026_Days_Actual]]*Table410[[#This Row],[Cost Boolean]]*(VLOOKUP(Table410[[#This Row],[RATE CONCAT]],Tables!I:N,5,0)),0)</f>
        <v>0</v>
      </c>
      <c r="CU116" s="3">
        <f>Table410[[#This Row],[Aug_2026_F]]-Table410[[#This Row],[Aug_2026_A]]</f>
        <v>0</v>
      </c>
      <c r="CV116" s="103"/>
      <c r="CW116" s="3">
        <f>IFERROR(Table410[[#This Row],[Sep_2026_Days_Forecast]]*Table410[[#This Row],[Cost Boolean]]*(VLOOKUP(Table410[[#This Row],[RATE CONCAT]],Tables!I:N,5,0)),0)</f>
        <v>0</v>
      </c>
      <c r="CX116" s="3">
        <f>IFERROR(Table410[[#This Row],[Sep_2026_Days_Actual]]*Table410[[#This Row],[Cost Boolean]]*(VLOOKUP(Table410[[#This Row],[RATE CONCAT]],Tables!I:N,5,0)),0)</f>
        <v>0</v>
      </c>
      <c r="CY116" s="3">
        <f>Table410[[#This Row],[Sep_2026_F]]-Table410[[#This Row],[Sep_2026_A]]</f>
        <v>0</v>
      </c>
      <c r="CZ116" s="103"/>
      <c r="DA116" s="3">
        <f>IFERROR(Table410[[#This Row],[Oct_2026_Days_Forecast]]*Table410[[#This Row],[Cost Boolean]]*(VLOOKUP(Table410[[#This Row],[RATE CONCAT]],Tables!I:N,5,0)),0)</f>
        <v>0</v>
      </c>
      <c r="DB116" s="3">
        <f>IFERROR(Table410[[#This Row],[Oct_2026_Days_Actual]]*Table410[[#This Row],[Cost Boolean]]*(VLOOKUP(Table410[[#This Row],[RATE CONCAT]],Tables!I:N,5,0)),0)</f>
        <v>0</v>
      </c>
      <c r="DC116" s="3">
        <f>Table410[[#This Row],[Oct_2026_F]]-Table410[[#This Row],[Oct_2026_A]]</f>
        <v>0</v>
      </c>
      <c r="DD116" s="103"/>
      <c r="DE116" s="3">
        <f>IFERROR(Table410[[#This Row],[Nov_2026_Days_Forecast]]*Table410[[#This Row],[Cost Boolean]]*(VLOOKUP(Table410[[#This Row],[RATE CONCAT]],Tables!I:N,5,0)),0)</f>
        <v>0</v>
      </c>
      <c r="DF116" s="3">
        <f>IFERROR(Table410[[#This Row],[Nov_2026_Days_Actual]]*Table410[[#This Row],[Cost Boolean]]*(VLOOKUP(Table410[[#This Row],[RATE CONCAT]],Tables!I:N,5,0)),0)</f>
        <v>0</v>
      </c>
      <c r="DG116" s="3">
        <f>Table410[[#This Row],[Nov_2026_F]]-Table410[[#This Row],[Nov_2026_A]]</f>
        <v>0</v>
      </c>
      <c r="DH116" s="103"/>
      <c r="DI116" s="3">
        <f>IFERROR(Table410[[#This Row],[Dec_2026_Days_Forecast]]*Table410[[#This Row],[Cost Boolean]]*(VLOOKUP(Table410[[#This Row],[RATE CONCAT]],Tables!I:N,5,0)),0)</f>
        <v>0</v>
      </c>
      <c r="DJ116" s="3">
        <f>IFERROR(Table410[[#This Row],[Dec_2026_Days_Actual]]*Table410[[#This Row],[Cost Boolean]]*(VLOOKUP(Table410[[#This Row],[RATE CONCAT]],Tables!I:N,5,0)),0)</f>
        <v>0</v>
      </c>
      <c r="DK116" s="126">
        <f>Table410[[#This Row],[Dec_2026_F]]-Table410[[#This Row],[Dec_2026_A]]</f>
        <v>0</v>
      </c>
      <c r="DL116" s="103"/>
      <c r="DM116" s="60"/>
      <c r="DN116" s="3">
        <f>IFERROR(Table410[[#This Row],[Jan_2027_Days_Forecast]]*Table410[[#This Row],[Cost Boolean]]*(VLOOKUP(Table410[[#This Row],[RATE CONCAT]],Tables!I:N,6,0)),0)</f>
        <v>0</v>
      </c>
      <c r="DO116" s="3"/>
      <c r="DP116" s="3">
        <f>Table410[[#This Row],[Jan_2027_F]]-Table410[[#This Row],[Jan_2027_A]]</f>
        <v>0</v>
      </c>
      <c r="DQ116" s="3">
        <f>IFERROR(Table410[[#This Row],[Feb_2027_Days_Forecast]]*Table410[[#This Row],[Cost Boolean]]*(VLOOKUP(Table410[[#This Row],[RATE CONCAT]],Tables!I:N,6,0)),0)</f>
        <v>0</v>
      </c>
      <c r="DR116" s="3"/>
      <c r="DS116" s="3">
        <f>Table410[[#This Row],[Feb_2027_F]]-Table410[[#This Row],[Feb_2027_A]]</f>
        <v>0</v>
      </c>
      <c r="DT116" s="3">
        <f>IFERROR(Table410[[#This Row],[Mar_2027_Days_Forecast]]*Table410[[#This Row],[Cost Boolean]]*(VLOOKUP(Table410[[#This Row],[RATE CONCAT]],Tables!I:N,6,0)),0)</f>
        <v>0</v>
      </c>
      <c r="DU116" s="3"/>
      <c r="DV116" s="3">
        <f>Table410[[#This Row],[Mar_2027_F]]-Table410[[#This Row],[Mar_2027_A]]</f>
        <v>0</v>
      </c>
      <c r="DW116" s="3">
        <f>IFERROR(Table410[[#This Row],[Apr_2027_Days_Forecast]]*Table410[[#This Row],[Cost Boolean]]*(VLOOKUP(Table410[[#This Row],[RATE CONCAT]],Tables!I:N,6,0)),0)</f>
        <v>0</v>
      </c>
      <c r="DX116" s="3"/>
      <c r="DY116" s="3">
        <f>Table410[[#This Row],[Apr_2027_F]]-Table410[[#This Row],[Apr_2027_A]]</f>
        <v>0</v>
      </c>
      <c r="DZ116" s="3">
        <f>IFERROR(Table410[[#This Row],[May_2027_Days_Forecast]]*Table410[[#This Row],[Cost Boolean]]*(VLOOKUP(Table410[[#This Row],[RATE CONCAT]],Tables!I:N,6,0)),0)</f>
        <v>0</v>
      </c>
      <c r="EA116" s="3"/>
      <c r="EB116" s="3">
        <f>Table410[[#This Row],[May_2027_F]]-Table410[[#This Row],[May_2027_A]]</f>
        <v>0</v>
      </c>
      <c r="EC116" s="3">
        <f>IFERROR(Table410[[#This Row],[Jun_2027_Days_Forecast]]*Table410[[#This Row],[Cost Boolean]]*(VLOOKUP(Table410[[#This Row],[RATE CONCAT]],Tables!I:N,6,0)),0)</f>
        <v>0</v>
      </c>
      <c r="ED116" s="3"/>
      <c r="EE116" s="3">
        <f>Table410[[#This Row],[Jun_2027_F]]-Table410[[#This Row],[Jun_2027_A]]</f>
        <v>0</v>
      </c>
      <c r="EF116" s="3">
        <f>IFERROR(Table410[[#This Row],[Jul_2027_Days_Forecast]]*Table410[[#This Row],[Cost Boolean]]*(VLOOKUP(Table410[[#This Row],[RATE CONCAT]],Tables!I:N,6,0)),0)</f>
        <v>0</v>
      </c>
      <c r="EG116" s="3"/>
      <c r="EH116" s="3">
        <f>Table410[[#This Row],[Jul_2027_F]]-Table410[[#This Row],[Jul_2027_A]]</f>
        <v>0</v>
      </c>
      <c r="EI116" s="3">
        <f>IFERROR(Table410[[#This Row],[Aug_2027_Days_Forecast]]*Table410[[#This Row],[Cost Boolean]]*(VLOOKUP(Table410[[#This Row],[RATE CONCAT]],Tables!I:N,6,0)),0)</f>
        <v>0</v>
      </c>
      <c r="EJ116" s="3"/>
      <c r="EK116" s="3">
        <f>Table410[[#This Row],[Aug_2027_F]]-Table410[[#This Row],[Aug_2027_A]]</f>
        <v>0</v>
      </c>
      <c r="EL116" s="3">
        <f>IFERROR(Table410[[#This Row],[Sep_2027_Days_Forecast]]*Table410[[#This Row],[Cost Boolean]]*(VLOOKUP(Table410[[#This Row],[RATE CONCAT]],Tables!I:N,6,0)),0)</f>
        <v>0</v>
      </c>
      <c r="EM116" s="3"/>
      <c r="EN116" s="3">
        <f>Table410[[#This Row],[Sep_2027_F]]-Table410[[#This Row],[Sep_2027_A]]</f>
        <v>0</v>
      </c>
      <c r="EO116" s="3">
        <f>IFERROR(Table410[[#This Row],[Oct_2027_Days_Forecast]]*Table410[[#This Row],[Cost Boolean]]*(VLOOKUP(Table410[[#This Row],[RATE CONCAT]],Tables!I:N,6,0)),0)</f>
        <v>0</v>
      </c>
      <c r="EP116" s="3"/>
      <c r="EQ116" s="3">
        <f>Table410[[#This Row],[Oct_2027_F]]-Table410[[#This Row],[Oct_2027_A]]</f>
        <v>0</v>
      </c>
      <c r="ER116" s="3">
        <f>IFERROR(Table410[[#This Row],[Nov_2027_Days_Forecast]]*Table410[[#This Row],[Cost Boolean]]*(VLOOKUP(Table410[[#This Row],[RATE CONCAT]],Tables!I:N,6,0)),0)</f>
        <v>0</v>
      </c>
      <c r="ES116" s="3"/>
      <c r="ET116" s="3">
        <f>Table410[[#This Row],[Nov_2027_F]]-Table410[[#This Row],[Nov_2027_A]]</f>
        <v>0</v>
      </c>
      <c r="EU116" s="3">
        <f>IFERROR(Table410[[#This Row],[Dec_2027_Days_Forecast]]*Table410[[#This Row],[Cost Boolean]]*(VLOOKUP(Table410[[#This Row],[RATE CONCAT]],Tables!I:N,6,0)),0)</f>
        <v>0</v>
      </c>
      <c r="EV116" s="3"/>
      <c r="EW116" s="3">
        <f>Table410[[#This Row],[Dec_2027_F]]-Table410[[#This Row],[Dec_2027_A]]</f>
        <v>0</v>
      </c>
    </row>
    <row r="117" spans="1:153" ht="1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4" t="str">
        <f>CONCATENATE(Table410[[#This Row],[JG]],Table410[[#This Row],[Country]],Table410[[#This Row],[Resource Provider]])</f>
        <v/>
      </c>
      <c r="Z117" s="14">
        <f>VLOOKUP(Table410[[#This Row],[RATE CONCAT]],Tables!I:N,5,0)</f>
        <v>0</v>
      </c>
      <c r="AA117" s="123"/>
      <c r="AB117" s="84"/>
      <c r="AC117" s="84"/>
      <c r="AD117" s="84"/>
      <c r="AE117" s="84"/>
      <c r="AF117" s="84"/>
      <c r="AG117" s="84"/>
      <c r="AH117" s="84"/>
      <c r="AI117" s="84"/>
      <c r="AJ117" s="84"/>
      <c r="AK117" s="84"/>
      <c r="AL117" s="84"/>
      <c r="AM117" s="124"/>
      <c r="AN117" s="176">
        <f>IFERROR(AVERAGE(Table410[[#This Row],[Jan_2026_Days_Forecast]:[Dec_2026_Days_Forecast]]),0)/19</f>
        <v>0</v>
      </c>
      <c r="AO117" s="176">
        <f>IFERROR(AVERAGE(Table410[[#This Row],[Jan_2026_Days_Actual]:[Dec_2026_Days_Actual]]),0)/19</f>
        <v>0</v>
      </c>
      <c r="AP117" s="84"/>
      <c r="AQ117" s="84"/>
      <c r="AR117" s="84"/>
      <c r="AS117" s="84"/>
      <c r="AT117" s="84"/>
      <c r="AU117" s="84"/>
      <c r="AV117" s="84"/>
      <c r="AW117" s="84"/>
      <c r="AX117" s="84"/>
      <c r="AY117" s="84"/>
      <c r="AZ117" s="84"/>
      <c r="BA117" s="84"/>
      <c r="BB117" s="176">
        <f>IFERROR(AVERAGE(Table410[[#This Row],[Jan_2027_Days_Forecast]:[Dec_2027_Days_Forecast]]),0)</f>
        <v>0</v>
      </c>
      <c r="BC117" s="129"/>
      <c r="BD117" s="129"/>
      <c r="BE117" s="129"/>
      <c r="BF117" s="129"/>
      <c r="BG117" s="129"/>
      <c r="BH117" s="129"/>
      <c r="BI117" s="16"/>
      <c r="BJ117" s="16"/>
      <c r="BK117" s="16"/>
      <c r="BL117" s="16"/>
      <c r="BM117" s="16"/>
      <c r="BN117" s="125"/>
      <c r="BO117" s="176"/>
      <c r="BP117" s="176"/>
      <c r="BQ117" s="3">
        <f>IFERROR(Table410[[#This Row],[Jan_2026_Days_Forecast]]*Table410[[#This Row],[Cost Boolean]]*(VLOOKUP(Table410[[#This Row],[RATE CONCAT]],Tables!I:N,5,0)),0)</f>
        <v>0</v>
      </c>
      <c r="BR117" s="3">
        <f>IFERROR(Table410[[#This Row],[Jan_2026_Days_Actual]]*Table410[[#This Row],[Cost Boolean]]*(VLOOKUP(Table410[[#This Row],[RATE CONCAT]],Tables!I:N,5,0)),0)</f>
        <v>0</v>
      </c>
      <c r="BS117" s="13">
        <f>Table410[[#This Row],[Jan_2026_F]]-Table410[[#This Row],[Jan_2026_A]]</f>
        <v>0</v>
      </c>
      <c r="BT117" s="114"/>
      <c r="BU117" s="13">
        <f>IFERROR(Table410[[#This Row],[Feb_2026_Days_Forecast]]*Table410[[#This Row],[Cost Boolean]]*(VLOOKUP(Table410[[#This Row],[RATE CONCAT]],Tables!I:N,5,0)),0)</f>
        <v>0</v>
      </c>
      <c r="BV117" s="3">
        <f>IFERROR(Table410[[#This Row],[Feb_2026_Days_Actual]]*Table410[[#This Row],[Cost Boolean]]*(VLOOKUP(Table410[[#This Row],[RATE CONCAT]],Tables!I:N,5,0)),0)</f>
        <v>0</v>
      </c>
      <c r="BW117" s="13">
        <f>Table410[[#This Row],[Feb_2026_F]]-Table410[[#This Row],[Feb_2026_A]]</f>
        <v>0</v>
      </c>
      <c r="BX117" s="3"/>
      <c r="BY117" s="3">
        <f>IFERROR(Table410[[#This Row],[Mar_2026_Days_Forecast]]*Table410[[#This Row],[Cost Boolean]]*(VLOOKUP(Table410[[#This Row],[RATE CONCAT]],Tables!I:N,5,0)),0)</f>
        <v>0</v>
      </c>
      <c r="BZ117" s="3">
        <f>IFERROR(Table410[[#This Row],[Mar_2026_Days_Actual]]*Table410[[#This Row],[Cost Boolean]]*(VLOOKUP(Table410[[#This Row],[RATE CONCAT]],Tables!I:N,5,0)),0)</f>
        <v>0</v>
      </c>
      <c r="CA117" s="3">
        <f>Table410[[#This Row],[Mar_2026_F]]-Table410[[#This Row],[Mar_2026_A]]</f>
        <v>0</v>
      </c>
      <c r="CB117" s="103"/>
      <c r="CC117" s="3">
        <f>IFERROR(Table410[[#This Row],[Apr_2026_Days_Forecast]]*Table410[[#This Row],[Cost Boolean]]*(VLOOKUP(Table410[[#This Row],[RATE CONCAT]],Tables!I:N,5,0)),0)</f>
        <v>0</v>
      </c>
      <c r="CD117" s="3">
        <f>IFERROR(Table410[[#This Row],[Apr_2026_Days_Actual]]*Table410[[#This Row],[Cost Boolean]]*(VLOOKUP(Table410[[#This Row],[RATE CONCAT]],Tables!I:N,5,0)),0)</f>
        <v>0</v>
      </c>
      <c r="CE117" s="3">
        <f>Table410[[#This Row],[Apr_2026_F]]-Table410[[#This Row],[Apr_2026_A]]</f>
        <v>0</v>
      </c>
      <c r="CF117" s="103"/>
      <c r="CG117" s="3">
        <f>IFERROR(Table410[[#This Row],[May_2026_Days_Forecast]] *Table410[[#This Row],[Cost Boolean]]*(VLOOKUP(Table410[[#This Row],[RATE CONCAT]],Tables!I:N,5,0)),0)</f>
        <v>0</v>
      </c>
      <c r="CH117" s="3">
        <f>IFERROR(Table410[[#This Row],[May_2026_Days_Actual]]*Table410[[#This Row],[Cost Boolean]]*(VLOOKUP(Table410[[#This Row],[RATE CONCAT]],Tables!I:N,5,0)),0)</f>
        <v>0</v>
      </c>
      <c r="CI117" s="3">
        <f>Table410[[#This Row],[May_2026_F]]-Table410[[#This Row],[May_2026_A]]</f>
        <v>0</v>
      </c>
      <c r="CJ117" s="103"/>
      <c r="CK117" s="3">
        <f>IFERROR(Table410[[#This Row],[Jun_2026_Days_Forecast]]*Table410[[#This Row],[Cost Boolean]]*(VLOOKUP(Table410[[#This Row],[RATE CONCAT]],Tables!I:N,5,0)),0)</f>
        <v>0</v>
      </c>
      <c r="CL117" s="3">
        <f>IFERROR(Table410[[#This Row],[Jun_2026_Days_Actual]]*Table410[[#This Row],[Cost Boolean]]*(VLOOKUP(Table410[[#This Row],[RATE CONCAT]],Tables!I:N,5,0)),0)</f>
        <v>0</v>
      </c>
      <c r="CM117" s="3">
        <f>Table410[[#This Row],[Jun_2026_F]]-Table410[[#This Row],[Jun_2026_A]]</f>
        <v>0</v>
      </c>
      <c r="CN117" s="103"/>
      <c r="CO117" s="3">
        <f>IFERROR(Table410[[#This Row],[Jul_2026_Days_Forecast]]*Table410[[#This Row],[Cost Boolean]]*(VLOOKUP(Table410[[#This Row],[RATE CONCAT]],Tables!I:N,5,0)),0)</f>
        <v>0</v>
      </c>
      <c r="CP117" s="3">
        <f>IFERROR(Table410[[#This Row],[Jul_2026_Days_Actual]]*Table410[[#This Row],[Cost Boolean]]*(VLOOKUP(Table410[[#This Row],[RATE CONCAT]],Tables!I:N,5,0)),0)</f>
        <v>0</v>
      </c>
      <c r="CQ117" s="3">
        <f>Table410[[#This Row],[Jul_2026_F]]-Table410[[#This Row],[Jul_2026_A]]</f>
        <v>0</v>
      </c>
      <c r="CR117" s="103"/>
      <c r="CS117" s="3">
        <f>IFERROR(Table410[[#This Row],[Aug_2026_Days_Forecast]]*Table410[[#This Row],[Cost Boolean]]*(VLOOKUP(Table410[[#This Row],[RATE CONCAT]],Tables!I:N,5,0)),0)</f>
        <v>0</v>
      </c>
      <c r="CT117" s="3">
        <f>IFERROR(Table410[[#This Row],[Aug_2026_Days_Actual]]*Table410[[#This Row],[Cost Boolean]]*(VLOOKUP(Table410[[#This Row],[RATE CONCAT]],Tables!I:N,5,0)),0)</f>
        <v>0</v>
      </c>
      <c r="CU117" s="3">
        <f>Table410[[#This Row],[Aug_2026_F]]-Table410[[#This Row],[Aug_2026_A]]</f>
        <v>0</v>
      </c>
      <c r="CV117" s="103"/>
      <c r="CW117" s="3">
        <f>IFERROR(Table410[[#This Row],[Sep_2026_Days_Forecast]]*Table410[[#This Row],[Cost Boolean]]*(VLOOKUP(Table410[[#This Row],[RATE CONCAT]],Tables!I:N,5,0)),0)</f>
        <v>0</v>
      </c>
      <c r="CX117" s="3">
        <f>IFERROR(Table410[[#This Row],[Sep_2026_Days_Actual]]*Table410[[#This Row],[Cost Boolean]]*(VLOOKUP(Table410[[#This Row],[RATE CONCAT]],Tables!I:N,5,0)),0)</f>
        <v>0</v>
      </c>
      <c r="CY117" s="3">
        <f>Table410[[#This Row],[Sep_2026_F]]-Table410[[#This Row],[Sep_2026_A]]</f>
        <v>0</v>
      </c>
      <c r="CZ117" s="103"/>
      <c r="DA117" s="3">
        <f>IFERROR(Table410[[#This Row],[Oct_2026_Days_Forecast]]*Table410[[#This Row],[Cost Boolean]]*(VLOOKUP(Table410[[#This Row],[RATE CONCAT]],Tables!I:N,5,0)),0)</f>
        <v>0</v>
      </c>
      <c r="DB117" s="3">
        <f>IFERROR(Table410[[#This Row],[Oct_2026_Days_Actual]]*Table410[[#This Row],[Cost Boolean]]*(VLOOKUP(Table410[[#This Row],[RATE CONCAT]],Tables!I:N,5,0)),0)</f>
        <v>0</v>
      </c>
      <c r="DC117" s="3">
        <f>Table410[[#This Row],[Oct_2026_F]]-Table410[[#This Row],[Oct_2026_A]]</f>
        <v>0</v>
      </c>
      <c r="DD117" s="103"/>
      <c r="DE117" s="3">
        <f>IFERROR(Table410[[#This Row],[Nov_2026_Days_Forecast]]*Table410[[#This Row],[Cost Boolean]]*(VLOOKUP(Table410[[#This Row],[RATE CONCAT]],Tables!I:N,5,0)),0)</f>
        <v>0</v>
      </c>
      <c r="DF117" s="3">
        <f>IFERROR(Table410[[#This Row],[Nov_2026_Days_Actual]]*Table410[[#This Row],[Cost Boolean]]*(VLOOKUP(Table410[[#This Row],[RATE CONCAT]],Tables!I:N,5,0)),0)</f>
        <v>0</v>
      </c>
      <c r="DG117" s="3">
        <f>Table410[[#This Row],[Nov_2026_F]]-Table410[[#This Row],[Nov_2026_A]]</f>
        <v>0</v>
      </c>
      <c r="DH117" s="103"/>
      <c r="DI117" s="3">
        <f>IFERROR(Table410[[#This Row],[Dec_2026_Days_Forecast]]*Table410[[#This Row],[Cost Boolean]]*(VLOOKUP(Table410[[#This Row],[RATE CONCAT]],Tables!I:N,5,0)),0)</f>
        <v>0</v>
      </c>
      <c r="DJ117" s="3">
        <f>IFERROR(Table410[[#This Row],[Dec_2026_Days_Actual]]*Table410[[#This Row],[Cost Boolean]]*(VLOOKUP(Table410[[#This Row],[RATE CONCAT]],Tables!I:N,5,0)),0)</f>
        <v>0</v>
      </c>
      <c r="DK117" s="126">
        <f>Table410[[#This Row],[Dec_2026_F]]-Table410[[#This Row],[Dec_2026_A]]</f>
        <v>0</v>
      </c>
      <c r="DL117" s="103"/>
      <c r="DM117" s="60"/>
      <c r="DN117" s="3">
        <f>IFERROR(Table410[[#This Row],[Jan_2027_Days_Forecast]]*Table410[[#This Row],[Cost Boolean]]*(VLOOKUP(Table410[[#This Row],[RATE CONCAT]],Tables!I:N,6,0)),0)</f>
        <v>0</v>
      </c>
      <c r="DO117" s="3"/>
      <c r="DP117" s="3">
        <f>Table410[[#This Row],[Jan_2027_F]]-Table410[[#This Row],[Jan_2027_A]]</f>
        <v>0</v>
      </c>
      <c r="DQ117" s="3">
        <f>IFERROR(Table410[[#This Row],[Feb_2027_Days_Forecast]]*Table410[[#This Row],[Cost Boolean]]*(VLOOKUP(Table410[[#This Row],[RATE CONCAT]],Tables!I:N,6,0)),0)</f>
        <v>0</v>
      </c>
      <c r="DR117" s="3"/>
      <c r="DS117" s="3">
        <f>Table410[[#This Row],[Feb_2027_F]]-Table410[[#This Row],[Feb_2027_A]]</f>
        <v>0</v>
      </c>
      <c r="DT117" s="3">
        <f>IFERROR(Table410[[#This Row],[Mar_2027_Days_Forecast]]*Table410[[#This Row],[Cost Boolean]]*(VLOOKUP(Table410[[#This Row],[RATE CONCAT]],Tables!I:N,6,0)),0)</f>
        <v>0</v>
      </c>
      <c r="DU117" s="3"/>
      <c r="DV117" s="3">
        <f>Table410[[#This Row],[Mar_2027_F]]-Table410[[#This Row],[Mar_2027_A]]</f>
        <v>0</v>
      </c>
      <c r="DW117" s="3">
        <f>IFERROR(Table410[[#This Row],[Apr_2027_Days_Forecast]]*Table410[[#This Row],[Cost Boolean]]*(VLOOKUP(Table410[[#This Row],[RATE CONCAT]],Tables!I:N,6,0)),0)</f>
        <v>0</v>
      </c>
      <c r="DX117" s="3"/>
      <c r="DY117" s="3">
        <f>Table410[[#This Row],[Apr_2027_F]]-Table410[[#This Row],[Apr_2027_A]]</f>
        <v>0</v>
      </c>
      <c r="DZ117" s="3">
        <f>IFERROR(Table410[[#This Row],[May_2027_Days_Forecast]]*Table410[[#This Row],[Cost Boolean]]*(VLOOKUP(Table410[[#This Row],[RATE CONCAT]],Tables!I:N,6,0)),0)</f>
        <v>0</v>
      </c>
      <c r="EA117" s="3"/>
      <c r="EB117" s="3">
        <f>Table410[[#This Row],[May_2027_F]]-Table410[[#This Row],[May_2027_A]]</f>
        <v>0</v>
      </c>
      <c r="EC117" s="3">
        <f>IFERROR(Table410[[#This Row],[Jun_2027_Days_Forecast]]*Table410[[#This Row],[Cost Boolean]]*(VLOOKUP(Table410[[#This Row],[RATE CONCAT]],Tables!I:N,6,0)),0)</f>
        <v>0</v>
      </c>
      <c r="ED117" s="3"/>
      <c r="EE117" s="3">
        <f>Table410[[#This Row],[Jun_2027_F]]-Table410[[#This Row],[Jun_2027_A]]</f>
        <v>0</v>
      </c>
      <c r="EF117" s="3">
        <f>IFERROR(Table410[[#This Row],[Jul_2027_Days_Forecast]]*Table410[[#This Row],[Cost Boolean]]*(VLOOKUP(Table410[[#This Row],[RATE CONCAT]],Tables!I:N,6,0)),0)</f>
        <v>0</v>
      </c>
      <c r="EG117" s="3"/>
      <c r="EH117" s="3">
        <f>Table410[[#This Row],[Jul_2027_F]]-Table410[[#This Row],[Jul_2027_A]]</f>
        <v>0</v>
      </c>
      <c r="EI117" s="3">
        <f>IFERROR(Table410[[#This Row],[Aug_2027_Days_Forecast]]*Table410[[#This Row],[Cost Boolean]]*(VLOOKUP(Table410[[#This Row],[RATE CONCAT]],Tables!I:N,6,0)),0)</f>
        <v>0</v>
      </c>
      <c r="EJ117" s="3"/>
      <c r="EK117" s="3">
        <f>Table410[[#This Row],[Aug_2027_F]]-Table410[[#This Row],[Aug_2027_A]]</f>
        <v>0</v>
      </c>
      <c r="EL117" s="3">
        <f>IFERROR(Table410[[#This Row],[Sep_2027_Days_Forecast]]*Table410[[#This Row],[Cost Boolean]]*(VLOOKUP(Table410[[#This Row],[RATE CONCAT]],Tables!I:N,6,0)),0)</f>
        <v>0</v>
      </c>
      <c r="EM117" s="3"/>
      <c r="EN117" s="3">
        <f>Table410[[#This Row],[Sep_2027_F]]-Table410[[#This Row],[Sep_2027_A]]</f>
        <v>0</v>
      </c>
      <c r="EO117" s="3">
        <f>IFERROR(Table410[[#This Row],[Oct_2027_Days_Forecast]]*Table410[[#This Row],[Cost Boolean]]*(VLOOKUP(Table410[[#This Row],[RATE CONCAT]],Tables!I:N,6,0)),0)</f>
        <v>0</v>
      </c>
      <c r="EP117" s="3"/>
      <c r="EQ117" s="3">
        <f>Table410[[#This Row],[Oct_2027_F]]-Table410[[#This Row],[Oct_2027_A]]</f>
        <v>0</v>
      </c>
      <c r="ER117" s="3">
        <f>IFERROR(Table410[[#This Row],[Nov_2027_Days_Forecast]]*Table410[[#This Row],[Cost Boolean]]*(VLOOKUP(Table410[[#This Row],[RATE CONCAT]],Tables!I:N,6,0)),0)</f>
        <v>0</v>
      </c>
      <c r="ES117" s="3"/>
      <c r="ET117" s="3">
        <f>Table410[[#This Row],[Nov_2027_F]]-Table410[[#This Row],[Nov_2027_A]]</f>
        <v>0</v>
      </c>
      <c r="EU117" s="3">
        <f>IFERROR(Table410[[#This Row],[Dec_2027_Days_Forecast]]*Table410[[#This Row],[Cost Boolean]]*(VLOOKUP(Table410[[#This Row],[RATE CONCAT]],Tables!I:N,6,0)),0)</f>
        <v>0</v>
      </c>
      <c r="EV117" s="3"/>
      <c r="EW117" s="3">
        <f>Table410[[#This Row],[Dec_2027_F]]-Table410[[#This Row],[Dec_2027_A]]</f>
        <v>0</v>
      </c>
    </row>
    <row r="118" spans="1:153" ht="1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4" t="str">
        <f>CONCATENATE(Table410[[#This Row],[JG]],Table410[[#This Row],[Country]],Table410[[#This Row],[Resource Provider]])</f>
        <v/>
      </c>
      <c r="Z118" s="14">
        <f>VLOOKUP(Table410[[#This Row],[RATE CONCAT]],Tables!I:N,5,0)</f>
        <v>0</v>
      </c>
      <c r="AA118" s="123"/>
      <c r="AB118" s="84"/>
      <c r="AC118" s="84"/>
      <c r="AD118" s="84"/>
      <c r="AE118" s="84"/>
      <c r="AF118" s="84"/>
      <c r="AG118" s="84"/>
      <c r="AH118" s="84"/>
      <c r="AI118" s="84"/>
      <c r="AJ118" s="84"/>
      <c r="AK118" s="84"/>
      <c r="AL118" s="84"/>
      <c r="AM118" s="124"/>
      <c r="AN118" s="176">
        <f>IFERROR(AVERAGE(Table410[[#This Row],[Jan_2026_Days_Forecast]:[Dec_2026_Days_Forecast]]),0)/19</f>
        <v>0</v>
      </c>
      <c r="AO118" s="176">
        <f>IFERROR(AVERAGE(Table410[[#This Row],[Jan_2026_Days_Actual]:[Dec_2026_Days_Actual]]),0)/19</f>
        <v>0</v>
      </c>
      <c r="AP118" s="84"/>
      <c r="AQ118" s="84"/>
      <c r="AR118" s="84"/>
      <c r="AS118" s="84"/>
      <c r="AT118" s="84"/>
      <c r="AU118" s="84"/>
      <c r="AV118" s="84"/>
      <c r="AW118" s="84"/>
      <c r="AX118" s="84"/>
      <c r="AY118" s="84"/>
      <c r="AZ118" s="84"/>
      <c r="BA118" s="84"/>
      <c r="BB118" s="176">
        <f>IFERROR(AVERAGE(Table410[[#This Row],[Jan_2027_Days_Forecast]:[Dec_2027_Days_Forecast]]),0)</f>
        <v>0</v>
      </c>
      <c r="BC118" s="129"/>
      <c r="BD118" s="129"/>
      <c r="BE118" s="129"/>
      <c r="BF118" s="129"/>
      <c r="BG118" s="129"/>
      <c r="BH118" s="129"/>
      <c r="BI118" s="16"/>
      <c r="BJ118" s="16"/>
      <c r="BK118" s="16"/>
      <c r="BL118" s="16"/>
      <c r="BM118" s="16"/>
      <c r="BN118" s="125"/>
      <c r="BO118" s="176"/>
      <c r="BP118" s="176"/>
      <c r="BQ118" s="3">
        <f>IFERROR(Table410[[#This Row],[Jan_2026_Days_Forecast]]*Table410[[#This Row],[Cost Boolean]]*(VLOOKUP(Table410[[#This Row],[RATE CONCAT]],Tables!I:N,5,0)),0)</f>
        <v>0</v>
      </c>
      <c r="BR118" s="3">
        <f>IFERROR(Table410[[#This Row],[Jan_2026_Days_Actual]]*Table410[[#This Row],[Cost Boolean]]*(VLOOKUP(Table410[[#This Row],[RATE CONCAT]],Tables!I:N,5,0)),0)</f>
        <v>0</v>
      </c>
      <c r="BS118" s="13">
        <f>Table410[[#This Row],[Jan_2026_F]]-Table410[[#This Row],[Jan_2026_A]]</f>
        <v>0</v>
      </c>
      <c r="BT118" s="114"/>
      <c r="BU118" s="13">
        <f>IFERROR(Table410[[#This Row],[Feb_2026_Days_Forecast]]*Table410[[#This Row],[Cost Boolean]]*(VLOOKUP(Table410[[#This Row],[RATE CONCAT]],Tables!I:N,5,0)),0)</f>
        <v>0</v>
      </c>
      <c r="BV118" s="3">
        <f>IFERROR(Table410[[#This Row],[Feb_2026_Days_Actual]]*Table410[[#This Row],[Cost Boolean]]*(VLOOKUP(Table410[[#This Row],[RATE CONCAT]],Tables!I:N,5,0)),0)</f>
        <v>0</v>
      </c>
      <c r="BW118" s="13">
        <f>Table410[[#This Row],[Feb_2026_F]]-Table410[[#This Row],[Feb_2026_A]]</f>
        <v>0</v>
      </c>
      <c r="BX118" s="3"/>
      <c r="BY118" s="3">
        <f>IFERROR(Table410[[#This Row],[Mar_2026_Days_Forecast]]*Table410[[#This Row],[Cost Boolean]]*(VLOOKUP(Table410[[#This Row],[RATE CONCAT]],Tables!I:N,5,0)),0)</f>
        <v>0</v>
      </c>
      <c r="BZ118" s="3">
        <f>IFERROR(Table410[[#This Row],[Mar_2026_Days_Actual]]*Table410[[#This Row],[Cost Boolean]]*(VLOOKUP(Table410[[#This Row],[RATE CONCAT]],Tables!I:N,5,0)),0)</f>
        <v>0</v>
      </c>
      <c r="CA118" s="3">
        <f>Table410[[#This Row],[Mar_2026_F]]-Table410[[#This Row],[Mar_2026_A]]</f>
        <v>0</v>
      </c>
      <c r="CB118" s="103"/>
      <c r="CC118" s="3">
        <f>IFERROR(Table410[[#This Row],[Apr_2026_Days_Forecast]]*Table410[[#This Row],[Cost Boolean]]*(VLOOKUP(Table410[[#This Row],[RATE CONCAT]],Tables!I:N,5,0)),0)</f>
        <v>0</v>
      </c>
      <c r="CD118" s="3">
        <f>IFERROR(Table410[[#This Row],[Apr_2026_Days_Actual]]*Table410[[#This Row],[Cost Boolean]]*(VLOOKUP(Table410[[#This Row],[RATE CONCAT]],Tables!I:N,5,0)),0)</f>
        <v>0</v>
      </c>
      <c r="CE118" s="3">
        <f>Table410[[#This Row],[Apr_2026_F]]-Table410[[#This Row],[Apr_2026_A]]</f>
        <v>0</v>
      </c>
      <c r="CF118" s="103"/>
      <c r="CG118" s="3">
        <f>IFERROR(Table410[[#This Row],[May_2026_Days_Forecast]] *Table410[[#This Row],[Cost Boolean]]*(VLOOKUP(Table410[[#This Row],[RATE CONCAT]],Tables!I:N,5,0)),0)</f>
        <v>0</v>
      </c>
      <c r="CH118" s="3">
        <f>IFERROR(Table410[[#This Row],[May_2026_Days_Actual]]*Table410[[#This Row],[Cost Boolean]]*(VLOOKUP(Table410[[#This Row],[RATE CONCAT]],Tables!I:N,5,0)),0)</f>
        <v>0</v>
      </c>
      <c r="CI118" s="3">
        <f>Table410[[#This Row],[May_2026_F]]-Table410[[#This Row],[May_2026_A]]</f>
        <v>0</v>
      </c>
      <c r="CJ118" s="103"/>
      <c r="CK118" s="3">
        <f>IFERROR(Table410[[#This Row],[Jun_2026_Days_Forecast]]*Table410[[#This Row],[Cost Boolean]]*(VLOOKUP(Table410[[#This Row],[RATE CONCAT]],Tables!I:N,5,0)),0)</f>
        <v>0</v>
      </c>
      <c r="CL118" s="3">
        <f>IFERROR(Table410[[#This Row],[Jun_2026_Days_Actual]]*Table410[[#This Row],[Cost Boolean]]*(VLOOKUP(Table410[[#This Row],[RATE CONCAT]],Tables!I:N,5,0)),0)</f>
        <v>0</v>
      </c>
      <c r="CM118" s="3">
        <f>Table410[[#This Row],[Jun_2026_F]]-Table410[[#This Row],[Jun_2026_A]]</f>
        <v>0</v>
      </c>
      <c r="CN118" s="103"/>
      <c r="CO118" s="3">
        <f>IFERROR(Table410[[#This Row],[Jul_2026_Days_Forecast]]*Table410[[#This Row],[Cost Boolean]]*(VLOOKUP(Table410[[#This Row],[RATE CONCAT]],Tables!I:N,5,0)),0)</f>
        <v>0</v>
      </c>
      <c r="CP118" s="3">
        <f>IFERROR(Table410[[#This Row],[Jul_2026_Days_Actual]]*Table410[[#This Row],[Cost Boolean]]*(VLOOKUP(Table410[[#This Row],[RATE CONCAT]],Tables!I:N,5,0)),0)</f>
        <v>0</v>
      </c>
      <c r="CQ118" s="3">
        <f>Table410[[#This Row],[Jul_2026_F]]-Table410[[#This Row],[Jul_2026_A]]</f>
        <v>0</v>
      </c>
      <c r="CR118" s="103"/>
      <c r="CS118" s="3">
        <f>IFERROR(Table410[[#This Row],[Aug_2026_Days_Forecast]]*Table410[[#This Row],[Cost Boolean]]*(VLOOKUP(Table410[[#This Row],[RATE CONCAT]],Tables!I:N,5,0)),0)</f>
        <v>0</v>
      </c>
      <c r="CT118" s="3">
        <f>IFERROR(Table410[[#This Row],[Aug_2026_Days_Actual]]*Table410[[#This Row],[Cost Boolean]]*(VLOOKUP(Table410[[#This Row],[RATE CONCAT]],Tables!I:N,5,0)),0)</f>
        <v>0</v>
      </c>
      <c r="CU118" s="3">
        <f>Table410[[#This Row],[Aug_2026_F]]-Table410[[#This Row],[Aug_2026_A]]</f>
        <v>0</v>
      </c>
      <c r="CV118" s="103"/>
      <c r="CW118" s="3">
        <f>IFERROR(Table410[[#This Row],[Sep_2026_Days_Forecast]]*Table410[[#This Row],[Cost Boolean]]*(VLOOKUP(Table410[[#This Row],[RATE CONCAT]],Tables!I:N,5,0)),0)</f>
        <v>0</v>
      </c>
      <c r="CX118" s="3">
        <f>IFERROR(Table410[[#This Row],[Sep_2026_Days_Actual]]*Table410[[#This Row],[Cost Boolean]]*(VLOOKUP(Table410[[#This Row],[RATE CONCAT]],Tables!I:N,5,0)),0)</f>
        <v>0</v>
      </c>
      <c r="CY118" s="3">
        <f>Table410[[#This Row],[Sep_2026_F]]-Table410[[#This Row],[Sep_2026_A]]</f>
        <v>0</v>
      </c>
      <c r="CZ118" s="103"/>
      <c r="DA118" s="3">
        <f>IFERROR(Table410[[#This Row],[Oct_2026_Days_Forecast]]*Table410[[#This Row],[Cost Boolean]]*(VLOOKUP(Table410[[#This Row],[RATE CONCAT]],Tables!I:N,5,0)),0)</f>
        <v>0</v>
      </c>
      <c r="DB118" s="3">
        <f>IFERROR(Table410[[#This Row],[Oct_2026_Days_Actual]]*Table410[[#This Row],[Cost Boolean]]*(VLOOKUP(Table410[[#This Row],[RATE CONCAT]],Tables!I:N,5,0)),0)</f>
        <v>0</v>
      </c>
      <c r="DC118" s="3">
        <f>Table410[[#This Row],[Oct_2026_F]]-Table410[[#This Row],[Oct_2026_A]]</f>
        <v>0</v>
      </c>
      <c r="DD118" s="103"/>
      <c r="DE118" s="3">
        <f>IFERROR(Table410[[#This Row],[Nov_2026_Days_Forecast]]*Table410[[#This Row],[Cost Boolean]]*(VLOOKUP(Table410[[#This Row],[RATE CONCAT]],Tables!I:N,5,0)),0)</f>
        <v>0</v>
      </c>
      <c r="DF118" s="3">
        <f>IFERROR(Table410[[#This Row],[Nov_2026_Days_Actual]]*Table410[[#This Row],[Cost Boolean]]*(VLOOKUP(Table410[[#This Row],[RATE CONCAT]],Tables!I:N,5,0)),0)</f>
        <v>0</v>
      </c>
      <c r="DG118" s="3">
        <f>Table410[[#This Row],[Nov_2026_F]]-Table410[[#This Row],[Nov_2026_A]]</f>
        <v>0</v>
      </c>
      <c r="DH118" s="103"/>
      <c r="DI118" s="3">
        <f>IFERROR(Table410[[#This Row],[Dec_2026_Days_Forecast]]*Table410[[#This Row],[Cost Boolean]]*(VLOOKUP(Table410[[#This Row],[RATE CONCAT]],Tables!I:N,5,0)),0)</f>
        <v>0</v>
      </c>
      <c r="DJ118" s="3">
        <f>IFERROR(Table410[[#This Row],[Dec_2026_Days_Actual]]*Table410[[#This Row],[Cost Boolean]]*(VLOOKUP(Table410[[#This Row],[RATE CONCAT]],Tables!I:N,5,0)),0)</f>
        <v>0</v>
      </c>
      <c r="DK118" s="126">
        <f>Table410[[#This Row],[Dec_2026_F]]-Table410[[#This Row],[Dec_2026_A]]</f>
        <v>0</v>
      </c>
      <c r="DL118" s="103"/>
      <c r="DM118" s="60"/>
      <c r="DN118" s="3">
        <f>IFERROR(Table410[[#This Row],[Jan_2027_Days_Forecast]]*Table410[[#This Row],[Cost Boolean]]*(VLOOKUP(Table410[[#This Row],[RATE CONCAT]],Tables!I:N,6,0)),0)</f>
        <v>0</v>
      </c>
      <c r="DO118" s="3"/>
      <c r="DP118" s="3">
        <f>Table410[[#This Row],[Jan_2027_F]]-Table410[[#This Row],[Jan_2027_A]]</f>
        <v>0</v>
      </c>
      <c r="DQ118" s="3">
        <f>IFERROR(Table410[[#This Row],[Feb_2027_Days_Forecast]]*Table410[[#This Row],[Cost Boolean]]*(VLOOKUP(Table410[[#This Row],[RATE CONCAT]],Tables!I:N,6,0)),0)</f>
        <v>0</v>
      </c>
      <c r="DR118" s="3"/>
      <c r="DS118" s="3">
        <f>Table410[[#This Row],[Feb_2027_F]]-Table410[[#This Row],[Feb_2027_A]]</f>
        <v>0</v>
      </c>
      <c r="DT118" s="3">
        <f>IFERROR(Table410[[#This Row],[Mar_2027_Days_Forecast]]*Table410[[#This Row],[Cost Boolean]]*(VLOOKUP(Table410[[#This Row],[RATE CONCAT]],Tables!I:N,6,0)),0)</f>
        <v>0</v>
      </c>
      <c r="DU118" s="3"/>
      <c r="DV118" s="3">
        <f>Table410[[#This Row],[Mar_2027_F]]-Table410[[#This Row],[Mar_2027_A]]</f>
        <v>0</v>
      </c>
      <c r="DW118" s="3">
        <f>IFERROR(Table410[[#This Row],[Apr_2027_Days_Forecast]]*Table410[[#This Row],[Cost Boolean]]*(VLOOKUP(Table410[[#This Row],[RATE CONCAT]],Tables!I:N,6,0)),0)</f>
        <v>0</v>
      </c>
      <c r="DX118" s="3"/>
      <c r="DY118" s="3">
        <f>Table410[[#This Row],[Apr_2027_F]]-Table410[[#This Row],[Apr_2027_A]]</f>
        <v>0</v>
      </c>
      <c r="DZ118" s="3">
        <f>IFERROR(Table410[[#This Row],[May_2027_Days_Forecast]]*Table410[[#This Row],[Cost Boolean]]*(VLOOKUP(Table410[[#This Row],[RATE CONCAT]],Tables!I:N,6,0)),0)</f>
        <v>0</v>
      </c>
      <c r="EA118" s="3"/>
      <c r="EB118" s="3">
        <f>Table410[[#This Row],[May_2027_F]]-Table410[[#This Row],[May_2027_A]]</f>
        <v>0</v>
      </c>
      <c r="EC118" s="3">
        <f>IFERROR(Table410[[#This Row],[Jun_2027_Days_Forecast]]*Table410[[#This Row],[Cost Boolean]]*(VLOOKUP(Table410[[#This Row],[RATE CONCAT]],Tables!I:N,6,0)),0)</f>
        <v>0</v>
      </c>
      <c r="ED118" s="3"/>
      <c r="EE118" s="3">
        <f>Table410[[#This Row],[Jun_2027_F]]-Table410[[#This Row],[Jun_2027_A]]</f>
        <v>0</v>
      </c>
      <c r="EF118" s="3">
        <f>IFERROR(Table410[[#This Row],[Jul_2027_Days_Forecast]]*Table410[[#This Row],[Cost Boolean]]*(VLOOKUP(Table410[[#This Row],[RATE CONCAT]],Tables!I:N,6,0)),0)</f>
        <v>0</v>
      </c>
      <c r="EG118" s="3"/>
      <c r="EH118" s="3">
        <f>Table410[[#This Row],[Jul_2027_F]]-Table410[[#This Row],[Jul_2027_A]]</f>
        <v>0</v>
      </c>
      <c r="EI118" s="3">
        <f>IFERROR(Table410[[#This Row],[Aug_2027_Days_Forecast]]*Table410[[#This Row],[Cost Boolean]]*(VLOOKUP(Table410[[#This Row],[RATE CONCAT]],Tables!I:N,6,0)),0)</f>
        <v>0</v>
      </c>
      <c r="EJ118" s="3"/>
      <c r="EK118" s="3">
        <f>Table410[[#This Row],[Aug_2027_F]]-Table410[[#This Row],[Aug_2027_A]]</f>
        <v>0</v>
      </c>
      <c r="EL118" s="3">
        <f>IFERROR(Table410[[#This Row],[Sep_2027_Days_Forecast]]*Table410[[#This Row],[Cost Boolean]]*(VLOOKUP(Table410[[#This Row],[RATE CONCAT]],Tables!I:N,6,0)),0)</f>
        <v>0</v>
      </c>
      <c r="EM118" s="3"/>
      <c r="EN118" s="3">
        <f>Table410[[#This Row],[Sep_2027_F]]-Table410[[#This Row],[Sep_2027_A]]</f>
        <v>0</v>
      </c>
      <c r="EO118" s="3">
        <f>IFERROR(Table410[[#This Row],[Oct_2027_Days_Forecast]]*Table410[[#This Row],[Cost Boolean]]*(VLOOKUP(Table410[[#This Row],[RATE CONCAT]],Tables!I:N,6,0)),0)</f>
        <v>0</v>
      </c>
      <c r="EP118" s="3"/>
      <c r="EQ118" s="3">
        <f>Table410[[#This Row],[Oct_2027_F]]-Table410[[#This Row],[Oct_2027_A]]</f>
        <v>0</v>
      </c>
      <c r="ER118" s="3">
        <f>IFERROR(Table410[[#This Row],[Nov_2027_Days_Forecast]]*Table410[[#This Row],[Cost Boolean]]*(VLOOKUP(Table410[[#This Row],[RATE CONCAT]],Tables!I:N,6,0)),0)</f>
        <v>0</v>
      </c>
      <c r="ES118" s="3"/>
      <c r="ET118" s="3">
        <f>Table410[[#This Row],[Nov_2027_F]]-Table410[[#This Row],[Nov_2027_A]]</f>
        <v>0</v>
      </c>
      <c r="EU118" s="3">
        <f>IFERROR(Table410[[#This Row],[Dec_2027_Days_Forecast]]*Table410[[#This Row],[Cost Boolean]]*(VLOOKUP(Table410[[#This Row],[RATE CONCAT]],Tables!I:N,6,0)),0)</f>
        <v>0</v>
      </c>
      <c r="EV118" s="3"/>
      <c r="EW118" s="3">
        <f>Table410[[#This Row],[Dec_2027_F]]-Table410[[#This Row],[Dec_2027_A]]</f>
        <v>0</v>
      </c>
    </row>
    <row r="119" spans="1:153" ht="1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4" t="str">
        <f>CONCATENATE(Table410[[#This Row],[JG]],Table410[[#This Row],[Country]],Table410[[#This Row],[Resource Provider]])</f>
        <v/>
      </c>
      <c r="Z119" s="14">
        <f>VLOOKUP(Table410[[#This Row],[RATE CONCAT]],Tables!I:N,5,0)</f>
        <v>0</v>
      </c>
      <c r="AA119" s="123"/>
      <c r="AB119" s="84"/>
      <c r="AC119" s="84"/>
      <c r="AD119" s="84"/>
      <c r="AE119" s="84"/>
      <c r="AF119" s="84"/>
      <c r="AG119" s="84"/>
      <c r="AH119" s="84"/>
      <c r="AI119" s="84"/>
      <c r="AJ119" s="84"/>
      <c r="AK119" s="84"/>
      <c r="AL119" s="84"/>
      <c r="AM119" s="124"/>
      <c r="AN119" s="176">
        <f>IFERROR(AVERAGE(Table410[[#This Row],[Jan_2026_Days_Forecast]:[Dec_2026_Days_Forecast]]),0)/19</f>
        <v>0</v>
      </c>
      <c r="AO119" s="176">
        <f>IFERROR(AVERAGE(Table410[[#This Row],[Jan_2026_Days_Actual]:[Dec_2026_Days_Actual]]),0)/19</f>
        <v>0</v>
      </c>
      <c r="AP119" s="84"/>
      <c r="AQ119" s="84"/>
      <c r="AR119" s="84"/>
      <c r="AS119" s="84"/>
      <c r="AT119" s="84"/>
      <c r="AU119" s="84"/>
      <c r="AV119" s="84"/>
      <c r="AW119" s="84"/>
      <c r="AX119" s="84"/>
      <c r="AY119" s="84"/>
      <c r="AZ119" s="84"/>
      <c r="BA119" s="84"/>
      <c r="BB119" s="176">
        <f>IFERROR(AVERAGE(Table410[[#This Row],[Jan_2027_Days_Forecast]:[Dec_2027_Days_Forecast]]),0)</f>
        <v>0</v>
      </c>
      <c r="BC119" s="129"/>
      <c r="BD119" s="129"/>
      <c r="BE119" s="129"/>
      <c r="BF119" s="129"/>
      <c r="BG119" s="129"/>
      <c r="BH119" s="129"/>
      <c r="BI119" s="16"/>
      <c r="BJ119" s="16"/>
      <c r="BK119" s="16"/>
      <c r="BL119" s="16"/>
      <c r="BM119" s="16"/>
      <c r="BN119" s="125"/>
      <c r="BO119" s="176"/>
      <c r="BP119" s="176"/>
      <c r="BQ119" s="3">
        <f>IFERROR(Table410[[#This Row],[Jan_2026_Days_Forecast]]*Table410[[#This Row],[Cost Boolean]]*(VLOOKUP(Table410[[#This Row],[RATE CONCAT]],Tables!I:N,5,0)),0)</f>
        <v>0</v>
      </c>
      <c r="BR119" s="3">
        <f>IFERROR(Table410[[#This Row],[Jan_2026_Days_Actual]]*Table410[[#This Row],[Cost Boolean]]*(VLOOKUP(Table410[[#This Row],[RATE CONCAT]],Tables!I:N,5,0)),0)</f>
        <v>0</v>
      </c>
      <c r="BS119" s="13">
        <f>Table410[[#This Row],[Jan_2026_F]]-Table410[[#This Row],[Jan_2026_A]]</f>
        <v>0</v>
      </c>
      <c r="BT119" s="114"/>
      <c r="BU119" s="13">
        <f>IFERROR(Table410[[#This Row],[Feb_2026_Days_Forecast]]*Table410[[#This Row],[Cost Boolean]]*(VLOOKUP(Table410[[#This Row],[RATE CONCAT]],Tables!I:N,5,0)),0)</f>
        <v>0</v>
      </c>
      <c r="BV119" s="3">
        <f>IFERROR(Table410[[#This Row],[Feb_2026_Days_Actual]]*Table410[[#This Row],[Cost Boolean]]*(VLOOKUP(Table410[[#This Row],[RATE CONCAT]],Tables!I:N,5,0)),0)</f>
        <v>0</v>
      </c>
      <c r="BW119" s="13">
        <f>Table410[[#This Row],[Feb_2026_F]]-Table410[[#This Row],[Feb_2026_A]]</f>
        <v>0</v>
      </c>
      <c r="BX119" s="3"/>
      <c r="BY119" s="3">
        <f>IFERROR(Table410[[#This Row],[Mar_2026_Days_Forecast]]*Table410[[#This Row],[Cost Boolean]]*(VLOOKUP(Table410[[#This Row],[RATE CONCAT]],Tables!I:N,5,0)),0)</f>
        <v>0</v>
      </c>
      <c r="BZ119" s="3">
        <f>IFERROR(Table410[[#This Row],[Mar_2026_Days_Actual]]*Table410[[#This Row],[Cost Boolean]]*(VLOOKUP(Table410[[#This Row],[RATE CONCAT]],Tables!I:N,5,0)),0)</f>
        <v>0</v>
      </c>
      <c r="CA119" s="3">
        <f>Table410[[#This Row],[Mar_2026_F]]-Table410[[#This Row],[Mar_2026_A]]</f>
        <v>0</v>
      </c>
      <c r="CB119" s="103"/>
      <c r="CC119" s="3">
        <f>IFERROR(Table410[[#This Row],[Apr_2026_Days_Forecast]]*Table410[[#This Row],[Cost Boolean]]*(VLOOKUP(Table410[[#This Row],[RATE CONCAT]],Tables!I:N,5,0)),0)</f>
        <v>0</v>
      </c>
      <c r="CD119" s="3">
        <f>IFERROR(Table410[[#This Row],[Apr_2026_Days_Actual]]*Table410[[#This Row],[Cost Boolean]]*(VLOOKUP(Table410[[#This Row],[RATE CONCAT]],Tables!I:N,5,0)),0)</f>
        <v>0</v>
      </c>
      <c r="CE119" s="3">
        <f>Table410[[#This Row],[Apr_2026_F]]-Table410[[#This Row],[Apr_2026_A]]</f>
        <v>0</v>
      </c>
      <c r="CF119" s="103"/>
      <c r="CG119" s="3">
        <f>IFERROR(Table410[[#This Row],[May_2026_Days_Forecast]] *Table410[[#This Row],[Cost Boolean]]*(VLOOKUP(Table410[[#This Row],[RATE CONCAT]],Tables!I:N,5,0)),0)</f>
        <v>0</v>
      </c>
      <c r="CH119" s="3">
        <f>IFERROR(Table410[[#This Row],[May_2026_Days_Actual]]*Table410[[#This Row],[Cost Boolean]]*(VLOOKUP(Table410[[#This Row],[RATE CONCAT]],Tables!I:N,5,0)),0)</f>
        <v>0</v>
      </c>
      <c r="CI119" s="3">
        <f>Table410[[#This Row],[May_2026_F]]-Table410[[#This Row],[May_2026_A]]</f>
        <v>0</v>
      </c>
      <c r="CJ119" s="103"/>
      <c r="CK119" s="3">
        <f>IFERROR(Table410[[#This Row],[Jun_2026_Days_Forecast]]*Table410[[#This Row],[Cost Boolean]]*(VLOOKUP(Table410[[#This Row],[RATE CONCAT]],Tables!I:N,5,0)),0)</f>
        <v>0</v>
      </c>
      <c r="CL119" s="3">
        <f>IFERROR(Table410[[#This Row],[Jun_2026_Days_Actual]]*Table410[[#This Row],[Cost Boolean]]*(VLOOKUP(Table410[[#This Row],[RATE CONCAT]],Tables!I:N,5,0)),0)</f>
        <v>0</v>
      </c>
      <c r="CM119" s="3">
        <f>Table410[[#This Row],[Jun_2026_F]]-Table410[[#This Row],[Jun_2026_A]]</f>
        <v>0</v>
      </c>
      <c r="CN119" s="103"/>
      <c r="CO119" s="3">
        <f>IFERROR(Table410[[#This Row],[Jul_2026_Days_Forecast]]*Table410[[#This Row],[Cost Boolean]]*(VLOOKUP(Table410[[#This Row],[RATE CONCAT]],Tables!I:N,5,0)),0)</f>
        <v>0</v>
      </c>
      <c r="CP119" s="3">
        <f>IFERROR(Table410[[#This Row],[Jul_2026_Days_Actual]]*Table410[[#This Row],[Cost Boolean]]*(VLOOKUP(Table410[[#This Row],[RATE CONCAT]],Tables!I:N,5,0)),0)</f>
        <v>0</v>
      </c>
      <c r="CQ119" s="3">
        <f>Table410[[#This Row],[Jul_2026_F]]-Table410[[#This Row],[Jul_2026_A]]</f>
        <v>0</v>
      </c>
      <c r="CR119" s="103"/>
      <c r="CS119" s="3">
        <f>IFERROR(Table410[[#This Row],[Aug_2026_Days_Forecast]]*Table410[[#This Row],[Cost Boolean]]*(VLOOKUP(Table410[[#This Row],[RATE CONCAT]],Tables!I:N,5,0)),0)</f>
        <v>0</v>
      </c>
      <c r="CT119" s="3">
        <f>IFERROR(Table410[[#This Row],[Aug_2026_Days_Actual]]*Table410[[#This Row],[Cost Boolean]]*(VLOOKUP(Table410[[#This Row],[RATE CONCAT]],Tables!I:N,5,0)),0)</f>
        <v>0</v>
      </c>
      <c r="CU119" s="3">
        <f>Table410[[#This Row],[Aug_2026_F]]-Table410[[#This Row],[Aug_2026_A]]</f>
        <v>0</v>
      </c>
      <c r="CV119" s="103"/>
      <c r="CW119" s="3">
        <f>IFERROR(Table410[[#This Row],[Sep_2026_Days_Forecast]]*Table410[[#This Row],[Cost Boolean]]*(VLOOKUP(Table410[[#This Row],[RATE CONCAT]],Tables!I:N,5,0)),0)</f>
        <v>0</v>
      </c>
      <c r="CX119" s="3">
        <f>IFERROR(Table410[[#This Row],[Sep_2026_Days_Actual]]*Table410[[#This Row],[Cost Boolean]]*(VLOOKUP(Table410[[#This Row],[RATE CONCAT]],Tables!I:N,5,0)),0)</f>
        <v>0</v>
      </c>
      <c r="CY119" s="3">
        <f>Table410[[#This Row],[Sep_2026_F]]-Table410[[#This Row],[Sep_2026_A]]</f>
        <v>0</v>
      </c>
      <c r="CZ119" s="103"/>
      <c r="DA119" s="3">
        <f>IFERROR(Table410[[#This Row],[Oct_2026_Days_Forecast]]*Table410[[#This Row],[Cost Boolean]]*(VLOOKUP(Table410[[#This Row],[RATE CONCAT]],Tables!I:N,5,0)),0)</f>
        <v>0</v>
      </c>
      <c r="DB119" s="3">
        <f>IFERROR(Table410[[#This Row],[Oct_2026_Days_Actual]]*Table410[[#This Row],[Cost Boolean]]*(VLOOKUP(Table410[[#This Row],[RATE CONCAT]],Tables!I:N,5,0)),0)</f>
        <v>0</v>
      </c>
      <c r="DC119" s="3">
        <f>Table410[[#This Row],[Oct_2026_F]]-Table410[[#This Row],[Oct_2026_A]]</f>
        <v>0</v>
      </c>
      <c r="DD119" s="103"/>
      <c r="DE119" s="3">
        <f>IFERROR(Table410[[#This Row],[Nov_2026_Days_Forecast]]*Table410[[#This Row],[Cost Boolean]]*(VLOOKUP(Table410[[#This Row],[RATE CONCAT]],Tables!I:N,5,0)),0)</f>
        <v>0</v>
      </c>
      <c r="DF119" s="3">
        <f>IFERROR(Table410[[#This Row],[Nov_2026_Days_Actual]]*Table410[[#This Row],[Cost Boolean]]*(VLOOKUP(Table410[[#This Row],[RATE CONCAT]],Tables!I:N,5,0)),0)</f>
        <v>0</v>
      </c>
      <c r="DG119" s="3">
        <f>Table410[[#This Row],[Nov_2026_F]]-Table410[[#This Row],[Nov_2026_A]]</f>
        <v>0</v>
      </c>
      <c r="DH119" s="103"/>
      <c r="DI119" s="3">
        <f>IFERROR(Table410[[#This Row],[Dec_2026_Days_Forecast]]*Table410[[#This Row],[Cost Boolean]]*(VLOOKUP(Table410[[#This Row],[RATE CONCAT]],Tables!I:N,5,0)),0)</f>
        <v>0</v>
      </c>
      <c r="DJ119" s="3">
        <f>IFERROR(Table410[[#This Row],[Dec_2026_Days_Actual]]*Table410[[#This Row],[Cost Boolean]]*(VLOOKUP(Table410[[#This Row],[RATE CONCAT]],Tables!I:N,5,0)),0)</f>
        <v>0</v>
      </c>
      <c r="DK119" s="126">
        <f>Table410[[#This Row],[Dec_2026_F]]-Table410[[#This Row],[Dec_2026_A]]</f>
        <v>0</v>
      </c>
      <c r="DL119" s="103"/>
      <c r="DM119" s="60"/>
      <c r="DN119" s="3">
        <f>IFERROR(Table410[[#This Row],[Jan_2027_Days_Forecast]]*Table410[[#This Row],[Cost Boolean]]*(VLOOKUP(Table410[[#This Row],[RATE CONCAT]],Tables!I:N,6,0)),0)</f>
        <v>0</v>
      </c>
      <c r="DO119" s="3"/>
      <c r="DP119" s="3">
        <f>Table410[[#This Row],[Jan_2027_F]]-Table410[[#This Row],[Jan_2027_A]]</f>
        <v>0</v>
      </c>
      <c r="DQ119" s="3">
        <f>IFERROR(Table410[[#This Row],[Feb_2027_Days_Forecast]]*Table410[[#This Row],[Cost Boolean]]*(VLOOKUP(Table410[[#This Row],[RATE CONCAT]],Tables!I:N,6,0)),0)</f>
        <v>0</v>
      </c>
      <c r="DR119" s="3"/>
      <c r="DS119" s="3">
        <f>Table410[[#This Row],[Feb_2027_F]]-Table410[[#This Row],[Feb_2027_A]]</f>
        <v>0</v>
      </c>
      <c r="DT119" s="3">
        <f>IFERROR(Table410[[#This Row],[Mar_2027_Days_Forecast]]*Table410[[#This Row],[Cost Boolean]]*(VLOOKUP(Table410[[#This Row],[RATE CONCAT]],Tables!I:N,6,0)),0)</f>
        <v>0</v>
      </c>
      <c r="DU119" s="3"/>
      <c r="DV119" s="3">
        <f>Table410[[#This Row],[Mar_2027_F]]-Table410[[#This Row],[Mar_2027_A]]</f>
        <v>0</v>
      </c>
      <c r="DW119" s="3">
        <f>IFERROR(Table410[[#This Row],[Apr_2027_Days_Forecast]]*Table410[[#This Row],[Cost Boolean]]*(VLOOKUP(Table410[[#This Row],[RATE CONCAT]],Tables!I:N,6,0)),0)</f>
        <v>0</v>
      </c>
      <c r="DX119" s="3"/>
      <c r="DY119" s="3">
        <f>Table410[[#This Row],[Apr_2027_F]]-Table410[[#This Row],[Apr_2027_A]]</f>
        <v>0</v>
      </c>
      <c r="DZ119" s="3">
        <f>IFERROR(Table410[[#This Row],[May_2027_Days_Forecast]]*Table410[[#This Row],[Cost Boolean]]*(VLOOKUP(Table410[[#This Row],[RATE CONCAT]],Tables!I:N,6,0)),0)</f>
        <v>0</v>
      </c>
      <c r="EA119" s="3"/>
      <c r="EB119" s="3">
        <f>Table410[[#This Row],[May_2027_F]]-Table410[[#This Row],[May_2027_A]]</f>
        <v>0</v>
      </c>
      <c r="EC119" s="3">
        <f>IFERROR(Table410[[#This Row],[Jun_2027_Days_Forecast]]*Table410[[#This Row],[Cost Boolean]]*(VLOOKUP(Table410[[#This Row],[RATE CONCAT]],Tables!I:N,6,0)),0)</f>
        <v>0</v>
      </c>
      <c r="ED119" s="3"/>
      <c r="EE119" s="3">
        <f>Table410[[#This Row],[Jun_2027_F]]-Table410[[#This Row],[Jun_2027_A]]</f>
        <v>0</v>
      </c>
      <c r="EF119" s="3">
        <f>IFERROR(Table410[[#This Row],[Jul_2027_Days_Forecast]]*Table410[[#This Row],[Cost Boolean]]*(VLOOKUP(Table410[[#This Row],[RATE CONCAT]],Tables!I:N,6,0)),0)</f>
        <v>0</v>
      </c>
      <c r="EG119" s="3"/>
      <c r="EH119" s="3">
        <f>Table410[[#This Row],[Jul_2027_F]]-Table410[[#This Row],[Jul_2027_A]]</f>
        <v>0</v>
      </c>
      <c r="EI119" s="3">
        <f>IFERROR(Table410[[#This Row],[Aug_2027_Days_Forecast]]*Table410[[#This Row],[Cost Boolean]]*(VLOOKUP(Table410[[#This Row],[RATE CONCAT]],Tables!I:N,6,0)),0)</f>
        <v>0</v>
      </c>
      <c r="EJ119" s="3"/>
      <c r="EK119" s="3">
        <f>Table410[[#This Row],[Aug_2027_F]]-Table410[[#This Row],[Aug_2027_A]]</f>
        <v>0</v>
      </c>
      <c r="EL119" s="3">
        <f>IFERROR(Table410[[#This Row],[Sep_2027_Days_Forecast]]*Table410[[#This Row],[Cost Boolean]]*(VLOOKUP(Table410[[#This Row],[RATE CONCAT]],Tables!I:N,6,0)),0)</f>
        <v>0</v>
      </c>
      <c r="EM119" s="3"/>
      <c r="EN119" s="3">
        <f>Table410[[#This Row],[Sep_2027_F]]-Table410[[#This Row],[Sep_2027_A]]</f>
        <v>0</v>
      </c>
      <c r="EO119" s="3">
        <f>IFERROR(Table410[[#This Row],[Oct_2027_Days_Forecast]]*Table410[[#This Row],[Cost Boolean]]*(VLOOKUP(Table410[[#This Row],[RATE CONCAT]],Tables!I:N,6,0)),0)</f>
        <v>0</v>
      </c>
      <c r="EP119" s="3"/>
      <c r="EQ119" s="3">
        <f>Table410[[#This Row],[Oct_2027_F]]-Table410[[#This Row],[Oct_2027_A]]</f>
        <v>0</v>
      </c>
      <c r="ER119" s="3">
        <f>IFERROR(Table410[[#This Row],[Nov_2027_Days_Forecast]]*Table410[[#This Row],[Cost Boolean]]*(VLOOKUP(Table410[[#This Row],[RATE CONCAT]],Tables!I:N,6,0)),0)</f>
        <v>0</v>
      </c>
      <c r="ES119" s="3"/>
      <c r="ET119" s="3">
        <f>Table410[[#This Row],[Nov_2027_F]]-Table410[[#This Row],[Nov_2027_A]]</f>
        <v>0</v>
      </c>
      <c r="EU119" s="3">
        <f>IFERROR(Table410[[#This Row],[Dec_2027_Days_Forecast]]*Table410[[#This Row],[Cost Boolean]]*(VLOOKUP(Table410[[#This Row],[RATE CONCAT]],Tables!I:N,6,0)),0)</f>
        <v>0</v>
      </c>
      <c r="EV119" s="3"/>
      <c r="EW119" s="3">
        <f>Table410[[#This Row],[Dec_2027_F]]-Table410[[#This Row],[Dec_2027_A]]</f>
        <v>0</v>
      </c>
    </row>
    <row r="120" spans="1:153" ht="1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4" t="str">
        <f>CONCATENATE(Table410[[#This Row],[JG]],Table410[[#This Row],[Country]],Table410[[#This Row],[Resource Provider]])</f>
        <v/>
      </c>
      <c r="Z120" s="14">
        <f>VLOOKUP(Table410[[#This Row],[RATE CONCAT]],Tables!I:N,5,0)</f>
        <v>0</v>
      </c>
      <c r="AA120" s="123"/>
      <c r="AB120" s="84"/>
      <c r="AC120" s="84"/>
      <c r="AD120" s="84"/>
      <c r="AE120" s="84"/>
      <c r="AF120" s="84"/>
      <c r="AG120" s="84"/>
      <c r="AH120" s="84"/>
      <c r="AI120" s="84"/>
      <c r="AJ120" s="84"/>
      <c r="AK120" s="84"/>
      <c r="AL120" s="84"/>
      <c r="AM120" s="124"/>
      <c r="AN120" s="176">
        <f>IFERROR(AVERAGE(Table410[[#This Row],[Jan_2026_Days_Forecast]:[Dec_2026_Days_Forecast]]),0)/19</f>
        <v>0</v>
      </c>
      <c r="AO120" s="176">
        <f>IFERROR(AVERAGE(Table410[[#This Row],[Jan_2026_Days_Actual]:[Dec_2026_Days_Actual]]),0)/19</f>
        <v>0</v>
      </c>
      <c r="AP120" s="84"/>
      <c r="AQ120" s="84"/>
      <c r="AR120" s="84"/>
      <c r="AS120" s="84"/>
      <c r="AT120" s="84"/>
      <c r="AU120" s="84"/>
      <c r="AV120" s="84"/>
      <c r="AW120" s="84"/>
      <c r="AX120" s="84"/>
      <c r="AY120" s="84"/>
      <c r="AZ120" s="84"/>
      <c r="BA120" s="84"/>
      <c r="BB120" s="176">
        <f>IFERROR(AVERAGE(Table410[[#This Row],[Jan_2027_Days_Forecast]:[Dec_2027_Days_Forecast]]),0)</f>
        <v>0</v>
      </c>
      <c r="BC120" s="129"/>
      <c r="BD120" s="129"/>
      <c r="BE120" s="129"/>
      <c r="BF120" s="129"/>
      <c r="BG120" s="129"/>
      <c r="BH120" s="129"/>
      <c r="BI120" s="16"/>
      <c r="BJ120" s="16"/>
      <c r="BK120" s="16"/>
      <c r="BL120" s="16"/>
      <c r="BM120" s="16"/>
      <c r="BN120" s="125"/>
      <c r="BO120" s="176"/>
      <c r="BP120" s="176"/>
      <c r="BQ120" s="3">
        <f>IFERROR(Table410[[#This Row],[Jan_2026_Days_Forecast]]*Table410[[#This Row],[Cost Boolean]]*(VLOOKUP(Table410[[#This Row],[RATE CONCAT]],Tables!I:N,5,0)),0)</f>
        <v>0</v>
      </c>
      <c r="BR120" s="3">
        <f>IFERROR(Table410[[#This Row],[Jan_2026_Days_Actual]]*Table410[[#This Row],[Cost Boolean]]*(VLOOKUP(Table410[[#This Row],[RATE CONCAT]],Tables!I:N,5,0)),0)</f>
        <v>0</v>
      </c>
      <c r="BS120" s="13">
        <f>Table410[[#This Row],[Jan_2026_F]]-Table410[[#This Row],[Jan_2026_A]]</f>
        <v>0</v>
      </c>
      <c r="BT120" s="114"/>
      <c r="BU120" s="13">
        <f>IFERROR(Table410[[#This Row],[Feb_2026_Days_Forecast]]*Table410[[#This Row],[Cost Boolean]]*(VLOOKUP(Table410[[#This Row],[RATE CONCAT]],Tables!I:N,5,0)),0)</f>
        <v>0</v>
      </c>
      <c r="BV120" s="3">
        <f>IFERROR(Table410[[#This Row],[Feb_2026_Days_Actual]]*Table410[[#This Row],[Cost Boolean]]*(VLOOKUP(Table410[[#This Row],[RATE CONCAT]],Tables!I:N,5,0)),0)</f>
        <v>0</v>
      </c>
      <c r="BW120" s="13">
        <f>Table410[[#This Row],[Feb_2026_F]]-Table410[[#This Row],[Feb_2026_A]]</f>
        <v>0</v>
      </c>
      <c r="BX120" s="3"/>
      <c r="BY120" s="3">
        <f>IFERROR(Table410[[#This Row],[Mar_2026_Days_Forecast]]*Table410[[#This Row],[Cost Boolean]]*(VLOOKUP(Table410[[#This Row],[RATE CONCAT]],Tables!I:N,5,0)),0)</f>
        <v>0</v>
      </c>
      <c r="BZ120" s="3">
        <f>IFERROR(Table410[[#This Row],[Mar_2026_Days_Actual]]*Table410[[#This Row],[Cost Boolean]]*(VLOOKUP(Table410[[#This Row],[RATE CONCAT]],Tables!I:N,5,0)),0)</f>
        <v>0</v>
      </c>
      <c r="CA120" s="3">
        <f>Table410[[#This Row],[Mar_2026_F]]-Table410[[#This Row],[Mar_2026_A]]</f>
        <v>0</v>
      </c>
      <c r="CB120" s="103"/>
      <c r="CC120" s="3">
        <f>IFERROR(Table410[[#This Row],[Apr_2026_Days_Forecast]]*Table410[[#This Row],[Cost Boolean]]*(VLOOKUP(Table410[[#This Row],[RATE CONCAT]],Tables!I:N,5,0)),0)</f>
        <v>0</v>
      </c>
      <c r="CD120" s="3">
        <f>IFERROR(Table410[[#This Row],[Apr_2026_Days_Actual]]*Table410[[#This Row],[Cost Boolean]]*(VLOOKUP(Table410[[#This Row],[RATE CONCAT]],Tables!I:N,5,0)),0)</f>
        <v>0</v>
      </c>
      <c r="CE120" s="3">
        <f>Table410[[#This Row],[Apr_2026_F]]-Table410[[#This Row],[Apr_2026_A]]</f>
        <v>0</v>
      </c>
      <c r="CF120" s="103"/>
      <c r="CG120" s="3">
        <f>IFERROR(Table410[[#This Row],[May_2026_Days_Forecast]] *Table410[[#This Row],[Cost Boolean]]*(VLOOKUP(Table410[[#This Row],[RATE CONCAT]],Tables!I:N,5,0)),0)</f>
        <v>0</v>
      </c>
      <c r="CH120" s="3">
        <f>IFERROR(Table410[[#This Row],[May_2026_Days_Actual]]*Table410[[#This Row],[Cost Boolean]]*(VLOOKUP(Table410[[#This Row],[RATE CONCAT]],Tables!I:N,5,0)),0)</f>
        <v>0</v>
      </c>
      <c r="CI120" s="3">
        <f>Table410[[#This Row],[May_2026_F]]-Table410[[#This Row],[May_2026_A]]</f>
        <v>0</v>
      </c>
      <c r="CJ120" s="103"/>
      <c r="CK120" s="3">
        <f>IFERROR(Table410[[#This Row],[Jun_2026_Days_Forecast]]*Table410[[#This Row],[Cost Boolean]]*(VLOOKUP(Table410[[#This Row],[RATE CONCAT]],Tables!I:N,5,0)),0)</f>
        <v>0</v>
      </c>
      <c r="CL120" s="3">
        <f>IFERROR(Table410[[#This Row],[Jun_2026_Days_Actual]]*Table410[[#This Row],[Cost Boolean]]*(VLOOKUP(Table410[[#This Row],[RATE CONCAT]],Tables!I:N,5,0)),0)</f>
        <v>0</v>
      </c>
      <c r="CM120" s="3">
        <f>Table410[[#This Row],[Jun_2026_F]]-Table410[[#This Row],[Jun_2026_A]]</f>
        <v>0</v>
      </c>
      <c r="CN120" s="103"/>
      <c r="CO120" s="3">
        <f>IFERROR(Table410[[#This Row],[Jul_2026_Days_Forecast]]*Table410[[#This Row],[Cost Boolean]]*(VLOOKUP(Table410[[#This Row],[RATE CONCAT]],Tables!I:N,5,0)),0)</f>
        <v>0</v>
      </c>
      <c r="CP120" s="3">
        <f>IFERROR(Table410[[#This Row],[Jul_2026_Days_Actual]]*Table410[[#This Row],[Cost Boolean]]*(VLOOKUP(Table410[[#This Row],[RATE CONCAT]],Tables!I:N,5,0)),0)</f>
        <v>0</v>
      </c>
      <c r="CQ120" s="3">
        <f>Table410[[#This Row],[Jul_2026_F]]-Table410[[#This Row],[Jul_2026_A]]</f>
        <v>0</v>
      </c>
      <c r="CR120" s="103"/>
      <c r="CS120" s="3">
        <f>IFERROR(Table410[[#This Row],[Aug_2026_Days_Forecast]]*Table410[[#This Row],[Cost Boolean]]*(VLOOKUP(Table410[[#This Row],[RATE CONCAT]],Tables!I:N,5,0)),0)</f>
        <v>0</v>
      </c>
      <c r="CT120" s="3">
        <f>IFERROR(Table410[[#This Row],[Aug_2026_Days_Actual]]*Table410[[#This Row],[Cost Boolean]]*(VLOOKUP(Table410[[#This Row],[RATE CONCAT]],Tables!I:N,5,0)),0)</f>
        <v>0</v>
      </c>
      <c r="CU120" s="3">
        <f>Table410[[#This Row],[Aug_2026_F]]-Table410[[#This Row],[Aug_2026_A]]</f>
        <v>0</v>
      </c>
      <c r="CV120" s="103"/>
      <c r="CW120" s="3">
        <f>IFERROR(Table410[[#This Row],[Sep_2026_Days_Forecast]]*Table410[[#This Row],[Cost Boolean]]*(VLOOKUP(Table410[[#This Row],[RATE CONCAT]],Tables!I:N,5,0)),0)</f>
        <v>0</v>
      </c>
      <c r="CX120" s="3">
        <f>IFERROR(Table410[[#This Row],[Sep_2026_Days_Actual]]*Table410[[#This Row],[Cost Boolean]]*(VLOOKUP(Table410[[#This Row],[RATE CONCAT]],Tables!I:N,5,0)),0)</f>
        <v>0</v>
      </c>
      <c r="CY120" s="3">
        <f>Table410[[#This Row],[Sep_2026_F]]-Table410[[#This Row],[Sep_2026_A]]</f>
        <v>0</v>
      </c>
      <c r="CZ120" s="103"/>
      <c r="DA120" s="3">
        <f>IFERROR(Table410[[#This Row],[Oct_2026_Days_Forecast]]*Table410[[#This Row],[Cost Boolean]]*(VLOOKUP(Table410[[#This Row],[RATE CONCAT]],Tables!I:N,5,0)),0)</f>
        <v>0</v>
      </c>
      <c r="DB120" s="3">
        <f>IFERROR(Table410[[#This Row],[Oct_2026_Days_Actual]]*Table410[[#This Row],[Cost Boolean]]*(VLOOKUP(Table410[[#This Row],[RATE CONCAT]],Tables!I:N,5,0)),0)</f>
        <v>0</v>
      </c>
      <c r="DC120" s="3">
        <f>Table410[[#This Row],[Oct_2026_F]]-Table410[[#This Row],[Oct_2026_A]]</f>
        <v>0</v>
      </c>
      <c r="DD120" s="103"/>
      <c r="DE120" s="3">
        <f>IFERROR(Table410[[#This Row],[Nov_2026_Days_Forecast]]*Table410[[#This Row],[Cost Boolean]]*(VLOOKUP(Table410[[#This Row],[RATE CONCAT]],Tables!I:N,5,0)),0)</f>
        <v>0</v>
      </c>
      <c r="DF120" s="3">
        <f>IFERROR(Table410[[#This Row],[Nov_2026_Days_Actual]]*Table410[[#This Row],[Cost Boolean]]*(VLOOKUP(Table410[[#This Row],[RATE CONCAT]],Tables!I:N,5,0)),0)</f>
        <v>0</v>
      </c>
      <c r="DG120" s="3">
        <f>Table410[[#This Row],[Nov_2026_F]]-Table410[[#This Row],[Nov_2026_A]]</f>
        <v>0</v>
      </c>
      <c r="DH120" s="103"/>
      <c r="DI120" s="3">
        <f>IFERROR(Table410[[#This Row],[Dec_2026_Days_Forecast]]*Table410[[#This Row],[Cost Boolean]]*(VLOOKUP(Table410[[#This Row],[RATE CONCAT]],Tables!I:N,5,0)),0)</f>
        <v>0</v>
      </c>
      <c r="DJ120" s="3">
        <f>IFERROR(Table410[[#This Row],[Dec_2026_Days_Actual]]*Table410[[#This Row],[Cost Boolean]]*(VLOOKUP(Table410[[#This Row],[RATE CONCAT]],Tables!I:N,5,0)),0)</f>
        <v>0</v>
      </c>
      <c r="DK120" s="126">
        <f>Table410[[#This Row],[Dec_2026_F]]-Table410[[#This Row],[Dec_2026_A]]</f>
        <v>0</v>
      </c>
      <c r="DL120" s="103"/>
      <c r="DM120" s="60"/>
      <c r="DN120" s="3">
        <f>IFERROR(Table410[[#This Row],[Jan_2027_Days_Forecast]]*Table410[[#This Row],[Cost Boolean]]*(VLOOKUP(Table410[[#This Row],[RATE CONCAT]],Tables!I:N,6,0)),0)</f>
        <v>0</v>
      </c>
      <c r="DO120" s="3"/>
      <c r="DP120" s="3">
        <f>Table410[[#This Row],[Jan_2027_F]]-Table410[[#This Row],[Jan_2027_A]]</f>
        <v>0</v>
      </c>
      <c r="DQ120" s="3">
        <f>IFERROR(Table410[[#This Row],[Feb_2027_Days_Forecast]]*Table410[[#This Row],[Cost Boolean]]*(VLOOKUP(Table410[[#This Row],[RATE CONCAT]],Tables!I:N,6,0)),0)</f>
        <v>0</v>
      </c>
      <c r="DR120" s="3"/>
      <c r="DS120" s="3">
        <f>Table410[[#This Row],[Feb_2027_F]]-Table410[[#This Row],[Feb_2027_A]]</f>
        <v>0</v>
      </c>
      <c r="DT120" s="3">
        <f>IFERROR(Table410[[#This Row],[Mar_2027_Days_Forecast]]*Table410[[#This Row],[Cost Boolean]]*(VLOOKUP(Table410[[#This Row],[RATE CONCAT]],Tables!I:N,6,0)),0)</f>
        <v>0</v>
      </c>
      <c r="DU120" s="3"/>
      <c r="DV120" s="3">
        <f>Table410[[#This Row],[Mar_2027_F]]-Table410[[#This Row],[Mar_2027_A]]</f>
        <v>0</v>
      </c>
      <c r="DW120" s="3">
        <f>IFERROR(Table410[[#This Row],[Apr_2027_Days_Forecast]]*Table410[[#This Row],[Cost Boolean]]*(VLOOKUP(Table410[[#This Row],[RATE CONCAT]],Tables!I:N,6,0)),0)</f>
        <v>0</v>
      </c>
      <c r="DX120" s="3"/>
      <c r="DY120" s="3">
        <f>Table410[[#This Row],[Apr_2027_F]]-Table410[[#This Row],[Apr_2027_A]]</f>
        <v>0</v>
      </c>
      <c r="DZ120" s="3">
        <f>IFERROR(Table410[[#This Row],[May_2027_Days_Forecast]]*Table410[[#This Row],[Cost Boolean]]*(VLOOKUP(Table410[[#This Row],[RATE CONCAT]],Tables!I:N,6,0)),0)</f>
        <v>0</v>
      </c>
      <c r="EA120" s="3"/>
      <c r="EB120" s="3">
        <f>Table410[[#This Row],[May_2027_F]]-Table410[[#This Row],[May_2027_A]]</f>
        <v>0</v>
      </c>
      <c r="EC120" s="3">
        <f>IFERROR(Table410[[#This Row],[Jun_2027_Days_Forecast]]*Table410[[#This Row],[Cost Boolean]]*(VLOOKUP(Table410[[#This Row],[RATE CONCAT]],Tables!I:N,6,0)),0)</f>
        <v>0</v>
      </c>
      <c r="ED120" s="3"/>
      <c r="EE120" s="3">
        <f>Table410[[#This Row],[Jun_2027_F]]-Table410[[#This Row],[Jun_2027_A]]</f>
        <v>0</v>
      </c>
      <c r="EF120" s="3">
        <f>IFERROR(Table410[[#This Row],[Jul_2027_Days_Forecast]]*Table410[[#This Row],[Cost Boolean]]*(VLOOKUP(Table410[[#This Row],[RATE CONCAT]],Tables!I:N,6,0)),0)</f>
        <v>0</v>
      </c>
      <c r="EG120" s="3"/>
      <c r="EH120" s="3">
        <f>Table410[[#This Row],[Jul_2027_F]]-Table410[[#This Row],[Jul_2027_A]]</f>
        <v>0</v>
      </c>
      <c r="EI120" s="3">
        <f>IFERROR(Table410[[#This Row],[Aug_2027_Days_Forecast]]*Table410[[#This Row],[Cost Boolean]]*(VLOOKUP(Table410[[#This Row],[RATE CONCAT]],Tables!I:N,6,0)),0)</f>
        <v>0</v>
      </c>
      <c r="EJ120" s="3"/>
      <c r="EK120" s="3">
        <f>Table410[[#This Row],[Aug_2027_F]]-Table410[[#This Row],[Aug_2027_A]]</f>
        <v>0</v>
      </c>
      <c r="EL120" s="3">
        <f>IFERROR(Table410[[#This Row],[Sep_2027_Days_Forecast]]*Table410[[#This Row],[Cost Boolean]]*(VLOOKUP(Table410[[#This Row],[RATE CONCAT]],Tables!I:N,6,0)),0)</f>
        <v>0</v>
      </c>
      <c r="EM120" s="3"/>
      <c r="EN120" s="3">
        <f>Table410[[#This Row],[Sep_2027_F]]-Table410[[#This Row],[Sep_2027_A]]</f>
        <v>0</v>
      </c>
      <c r="EO120" s="3">
        <f>IFERROR(Table410[[#This Row],[Oct_2027_Days_Forecast]]*Table410[[#This Row],[Cost Boolean]]*(VLOOKUP(Table410[[#This Row],[RATE CONCAT]],Tables!I:N,6,0)),0)</f>
        <v>0</v>
      </c>
      <c r="EP120" s="3"/>
      <c r="EQ120" s="3">
        <f>Table410[[#This Row],[Oct_2027_F]]-Table410[[#This Row],[Oct_2027_A]]</f>
        <v>0</v>
      </c>
      <c r="ER120" s="3">
        <f>IFERROR(Table410[[#This Row],[Nov_2027_Days_Forecast]]*Table410[[#This Row],[Cost Boolean]]*(VLOOKUP(Table410[[#This Row],[RATE CONCAT]],Tables!I:N,6,0)),0)</f>
        <v>0</v>
      </c>
      <c r="ES120" s="3"/>
      <c r="ET120" s="3">
        <f>Table410[[#This Row],[Nov_2027_F]]-Table410[[#This Row],[Nov_2027_A]]</f>
        <v>0</v>
      </c>
      <c r="EU120" s="3">
        <f>IFERROR(Table410[[#This Row],[Dec_2027_Days_Forecast]]*Table410[[#This Row],[Cost Boolean]]*(VLOOKUP(Table410[[#This Row],[RATE CONCAT]],Tables!I:N,6,0)),0)</f>
        <v>0</v>
      </c>
      <c r="EV120" s="3"/>
      <c r="EW120" s="3">
        <f>Table410[[#This Row],[Dec_2027_F]]-Table410[[#This Row],[Dec_2027_A]]</f>
        <v>0</v>
      </c>
    </row>
    <row r="121" spans="1:153" ht="1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4" t="str">
        <f>CONCATENATE(Table410[[#This Row],[JG]],Table410[[#This Row],[Country]],Table410[[#This Row],[Resource Provider]])</f>
        <v/>
      </c>
      <c r="Z121" s="14">
        <f>VLOOKUP(Table410[[#This Row],[RATE CONCAT]],Tables!I:N,5,0)</f>
        <v>0</v>
      </c>
      <c r="AA121" s="123"/>
      <c r="AB121" s="84"/>
      <c r="AC121" s="84"/>
      <c r="AD121" s="84"/>
      <c r="AE121" s="84"/>
      <c r="AF121" s="84"/>
      <c r="AG121" s="84"/>
      <c r="AH121" s="84"/>
      <c r="AI121" s="84"/>
      <c r="AJ121" s="84"/>
      <c r="AK121" s="84"/>
      <c r="AL121" s="84"/>
      <c r="AM121" s="124"/>
      <c r="AN121" s="176">
        <f>IFERROR(AVERAGE(Table410[[#This Row],[Jan_2026_Days_Forecast]:[Dec_2026_Days_Forecast]]),0)/19</f>
        <v>0</v>
      </c>
      <c r="AO121" s="176">
        <f>IFERROR(AVERAGE(Table410[[#This Row],[Jan_2026_Days_Actual]:[Dec_2026_Days_Actual]]),0)/19</f>
        <v>0</v>
      </c>
      <c r="AP121" s="84"/>
      <c r="AQ121" s="84"/>
      <c r="AR121" s="84"/>
      <c r="AS121" s="84"/>
      <c r="AT121" s="84"/>
      <c r="AU121" s="84"/>
      <c r="AV121" s="84"/>
      <c r="AW121" s="84"/>
      <c r="AX121" s="84"/>
      <c r="AY121" s="84"/>
      <c r="AZ121" s="84"/>
      <c r="BA121" s="84"/>
      <c r="BB121" s="176">
        <f>IFERROR(AVERAGE(Table410[[#This Row],[Jan_2027_Days_Forecast]:[Dec_2027_Days_Forecast]]),0)</f>
        <v>0</v>
      </c>
      <c r="BC121" s="129"/>
      <c r="BD121" s="129"/>
      <c r="BE121" s="129"/>
      <c r="BF121" s="129"/>
      <c r="BG121" s="129"/>
      <c r="BH121" s="129"/>
      <c r="BI121" s="16"/>
      <c r="BJ121" s="16"/>
      <c r="BK121" s="16"/>
      <c r="BL121" s="16"/>
      <c r="BM121" s="16"/>
      <c r="BN121" s="125"/>
      <c r="BO121" s="176"/>
      <c r="BP121" s="176"/>
      <c r="BQ121" s="3">
        <f>IFERROR(Table410[[#This Row],[Jan_2026_Days_Forecast]]*Table410[[#This Row],[Cost Boolean]]*(VLOOKUP(Table410[[#This Row],[RATE CONCAT]],Tables!I:N,5,0)),0)</f>
        <v>0</v>
      </c>
      <c r="BR121" s="3">
        <f>IFERROR(Table410[[#This Row],[Jan_2026_Days_Actual]]*Table410[[#This Row],[Cost Boolean]]*(VLOOKUP(Table410[[#This Row],[RATE CONCAT]],Tables!I:N,5,0)),0)</f>
        <v>0</v>
      </c>
      <c r="BS121" s="13">
        <f>Table410[[#This Row],[Jan_2026_F]]-Table410[[#This Row],[Jan_2026_A]]</f>
        <v>0</v>
      </c>
      <c r="BT121" s="114"/>
      <c r="BU121" s="13">
        <f>IFERROR(Table410[[#This Row],[Feb_2026_Days_Forecast]]*Table410[[#This Row],[Cost Boolean]]*(VLOOKUP(Table410[[#This Row],[RATE CONCAT]],Tables!I:N,5,0)),0)</f>
        <v>0</v>
      </c>
      <c r="BV121" s="3">
        <f>IFERROR(Table410[[#This Row],[Feb_2026_Days_Actual]]*Table410[[#This Row],[Cost Boolean]]*(VLOOKUP(Table410[[#This Row],[RATE CONCAT]],Tables!I:N,5,0)),0)</f>
        <v>0</v>
      </c>
      <c r="BW121" s="13">
        <f>Table410[[#This Row],[Feb_2026_F]]-Table410[[#This Row],[Feb_2026_A]]</f>
        <v>0</v>
      </c>
      <c r="BX121" s="3"/>
      <c r="BY121" s="3">
        <f>IFERROR(Table410[[#This Row],[Mar_2026_Days_Forecast]]*Table410[[#This Row],[Cost Boolean]]*(VLOOKUP(Table410[[#This Row],[RATE CONCAT]],Tables!I:N,5,0)),0)</f>
        <v>0</v>
      </c>
      <c r="BZ121" s="3">
        <f>IFERROR(Table410[[#This Row],[Mar_2026_Days_Actual]]*Table410[[#This Row],[Cost Boolean]]*(VLOOKUP(Table410[[#This Row],[RATE CONCAT]],Tables!I:N,5,0)),0)</f>
        <v>0</v>
      </c>
      <c r="CA121" s="3">
        <f>Table410[[#This Row],[Mar_2026_F]]-Table410[[#This Row],[Mar_2026_A]]</f>
        <v>0</v>
      </c>
      <c r="CB121" s="103"/>
      <c r="CC121" s="3">
        <f>IFERROR(Table410[[#This Row],[Apr_2026_Days_Forecast]]*Table410[[#This Row],[Cost Boolean]]*(VLOOKUP(Table410[[#This Row],[RATE CONCAT]],Tables!I:N,5,0)),0)</f>
        <v>0</v>
      </c>
      <c r="CD121" s="3">
        <f>IFERROR(Table410[[#This Row],[Apr_2026_Days_Actual]]*Table410[[#This Row],[Cost Boolean]]*(VLOOKUP(Table410[[#This Row],[RATE CONCAT]],Tables!I:N,5,0)),0)</f>
        <v>0</v>
      </c>
      <c r="CE121" s="3">
        <f>Table410[[#This Row],[Apr_2026_F]]-Table410[[#This Row],[Apr_2026_A]]</f>
        <v>0</v>
      </c>
      <c r="CF121" s="103"/>
      <c r="CG121" s="3">
        <f>IFERROR(Table410[[#This Row],[May_2026_Days_Forecast]] *Table410[[#This Row],[Cost Boolean]]*(VLOOKUP(Table410[[#This Row],[RATE CONCAT]],Tables!I:N,5,0)),0)</f>
        <v>0</v>
      </c>
      <c r="CH121" s="3">
        <f>IFERROR(Table410[[#This Row],[May_2026_Days_Actual]]*Table410[[#This Row],[Cost Boolean]]*(VLOOKUP(Table410[[#This Row],[RATE CONCAT]],Tables!I:N,5,0)),0)</f>
        <v>0</v>
      </c>
      <c r="CI121" s="3">
        <f>Table410[[#This Row],[May_2026_F]]-Table410[[#This Row],[May_2026_A]]</f>
        <v>0</v>
      </c>
      <c r="CJ121" s="103"/>
      <c r="CK121" s="3">
        <f>IFERROR(Table410[[#This Row],[Jun_2026_Days_Forecast]]*Table410[[#This Row],[Cost Boolean]]*(VLOOKUP(Table410[[#This Row],[RATE CONCAT]],Tables!I:N,5,0)),0)</f>
        <v>0</v>
      </c>
      <c r="CL121" s="3">
        <f>IFERROR(Table410[[#This Row],[Jun_2026_Days_Actual]]*Table410[[#This Row],[Cost Boolean]]*(VLOOKUP(Table410[[#This Row],[RATE CONCAT]],Tables!I:N,5,0)),0)</f>
        <v>0</v>
      </c>
      <c r="CM121" s="3">
        <f>Table410[[#This Row],[Jun_2026_F]]-Table410[[#This Row],[Jun_2026_A]]</f>
        <v>0</v>
      </c>
      <c r="CN121" s="103"/>
      <c r="CO121" s="3">
        <f>IFERROR(Table410[[#This Row],[Jul_2026_Days_Forecast]]*Table410[[#This Row],[Cost Boolean]]*(VLOOKUP(Table410[[#This Row],[RATE CONCAT]],Tables!I:N,5,0)),0)</f>
        <v>0</v>
      </c>
      <c r="CP121" s="3">
        <f>IFERROR(Table410[[#This Row],[Jul_2026_Days_Actual]]*Table410[[#This Row],[Cost Boolean]]*(VLOOKUP(Table410[[#This Row],[RATE CONCAT]],Tables!I:N,5,0)),0)</f>
        <v>0</v>
      </c>
      <c r="CQ121" s="3">
        <f>Table410[[#This Row],[Jul_2026_F]]-Table410[[#This Row],[Jul_2026_A]]</f>
        <v>0</v>
      </c>
      <c r="CR121" s="103"/>
      <c r="CS121" s="3">
        <f>IFERROR(Table410[[#This Row],[Aug_2026_Days_Forecast]]*Table410[[#This Row],[Cost Boolean]]*(VLOOKUP(Table410[[#This Row],[RATE CONCAT]],Tables!I:N,5,0)),0)</f>
        <v>0</v>
      </c>
      <c r="CT121" s="3">
        <f>IFERROR(Table410[[#This Row],[Aug_2026_Days_Actual]]*Table410[[#This Row],[Cost Boolean]]*(VLOOKUP(Table410[[#This Row],[RATE CONCAT]],Tables!I:N,5,0)),0)</f>
        <v>0</v>
      </c>
      <c r="CU121" s="3">
        <f>Table410[[#This Row],[Aug_2026_F]]-Table410[[#This Row],[Aug_2026_A]]</f>
        <v>0</v>
      </c>
      <c r="CV121" s="103"/>
      <c r="CW121" s="3">
        <f>IFERROR(Table410[[#This Row],[Sep_2026_Days_Forecast]]*Table410[[#This Row],[Cost Boolean]]*(VLOOKUP(Table410[[#This Row],[RATE CONCAT]],Tables!I:N,5,0)),0)</f>
        <v>0</v>
      </c>
      <c r="CX121" s="3">
        <f>IFERROR(Table410[[#This Row],[Sep_2026_Days_Actual]]*Table410[[#This Row],[Cost Boolean]]*(VLOOKUP(Table410[[#This Row],[RATE CONCAT]],Tables!I:N,5,0)),0)</f>
        <v>0</v>
      </c>
      <c r="CY121" s="3">
        <f>Table410[[#This Row],[Sep_2026_F]]-Table410[[#This Row],[Sep_2026_A]]</f>
        <v>0</v>
      </c>
      <c r="CZ121" s="103"/>
      <c r="DA121" s="3">
        <f>IFERROR(Table410[[#This Row],[Oct_2026_Days_Forecast]]*Table410[[#This Row],[Cost Boolean]]*(VLOOKUP(Table410[[#This Row],[RATE CONCAT]],Tables!I:N,5,0)),0)</f>
        <v>0</v>
      </c>
      <c r="DB121" s="3">
        <f>IFERROR(Table410[[#This Row],[Oct_2026_Days_Actual]]*Table410[[#This Row],[Cost Boolean]]*(VLOOKUP(Table410[[#This Row],[RATE CONCAT]],Tables!I:N,5,0)),0)</f>
        <v>0</v>
      </c>
      <c r="DC121" s="3">
        <f>Table410[[#This Row],[Oct_2026_F]]-Table410[[#This Row],[Oct_2026_A]]</f>
        <v>0</v>
      </c>
      <c r="DD121" s="103"/>
      <c r="DE121" s="3">
        <f>IFERROR(Table410[[#This Row],[Nov_2026_Days_Forecast]]*Table410[[#This Row],[Cost Boolean]]*(VLOOKUP(Table410[[#This Row],[RATE CONCAT]],Tables!I:N,5,0)),0)</f>
        <v>0</v>
      </c>
      <c r="DF121" s="3">
        <f>IFERROR(Table410[[#This Row],[Nov_2026_Days_Actual]]*Table410[[#This Row],[Cost Boolean]]*(VLOOKUP(Table410[[#This Row],[RATE CONCAT]],Tables!I:N,5,0)),0)</f>
        <v>0</v>
      </c>
      <c r="DG121" s="3">
        <f>Table410[[#This Row],[Nov_2026_F]]-Table410[[#This Row],[Nov_2026_A]]</f>
        <v>0</v>
      </c>
      <c r="DH121" s="103"/>
      <c r="DI121" s="3">
        <f>IFERROR(Table410[[#This Row],[Dec_2026_Days_Forecast]]*Table410[[#This Row],[Cost Boolean]]*(VLOOKUP(Table410[[#This Row],[RATE CONCAT]],Tables!I:N,5,0)),0)</f>
        <v>0</v>
      </c>
      <c r="DJ121" s="3">
        <f>IFERROR(Table410[[#This Row],[Dec_2026_Days_Actual]]*Table410[[#This Row],[Cost Boolean]]*(VLOOKUP(Table410[[#This Row],[RATE CONCAT]],Tables!I:N,5,0)),0)</f>
        <v>0</v>
      </c>
      <c r="DK121" s="126">
        <f>Table410[[#This Row],[Dec_2026_F]]-Table410[[#This Row],[Dec_2026_A]]</f>
        <v>0</v>
      </c>
      <c r="DL121" s="103"/>
      <c r="DM121" s="60"/>
      <c r="DN121" s="3">
        <f>IFERROR(Table410[[#This Row],[Jan_2027_Days_Forecast]]*Table410[[#This Row],[Cost Boolean]]*(VLOOKUP(Table410[[#This Row],[RATE CONCAT]],Tables!I:N,6,0)),0)</f>
        <v>0</v>
      </c>
      <c r="DO121" s="3"/>
      <c r="DP121" s="3">
        <f>Table410[[#This Row],[Jan_2027_F]]-Table410[[#This Row],[Jan_2027_A]]</f>
        <v>0</v>
      </c>
      <c r="DQ121" s="3">
        <f>IFERROR(Table410[[#This Row],[Feb_2027_Days_Forecast]]*Table410[[#This Row],[Cost Boolean]]*(VLOOKUP(Table410[[#This Row],[RATE CONCAT]],Tables!I:N,6,0)),0)</f>
        <v>0</v>
      </c>
      <c r="DR121" s="3"/>
      <c r="DS121" s="3">
        <f>Table410[[#This Row],[Feb_2027_F]]-Table410[[#This Row],[Feb_2027_A]]</f>
        <v>0</v>
      </c>
      <c r="DT121" s="3">
        <f>IFERROR(Table410[[#This Row],[Mar_2027_Days_Forecast]]*Table410[[#This Row],[Cost Boolean]]*(VLOOKUP(Table410[[#This Row],[RATE CONCAT]],Tables!I:N,6,0)),0)</f>
        <v>0</v>
      </c>
      <c r="DU121" s="3"/>
      <c r="DV121" s="3">
        <f>Table410[[#This Row],[Mar_2027_F]]-Table410[[#This Row],[Mar_2027_A]]</f>
        <v>0</v>
      </c>
      <c r="DW121" s="3">
        <f>IFERROR(Table410[[#This Row],[Apr_2027_Days_Forecast]]*Table410[[#This Row],[Cost Boolean]]*(VLOOKUP(Table410[[#This Row],[RATE CONCAT]],Tables!I:N,6,0)),0)</f>
        <v>0</v>
      </c>
      <c r="DX121" s="3"/>
      <c r="DY121" s="3">
        <f>Table410[[#This Row],[Apr_2027_F]]-Table410[[#This Row],[Apr_2027_A]]</f>
        <v>0</v>
      </c>
      <c r="DZ121" s="3">
        <f>IFERROR(Table410[[#This Row],[May_2027_Days_Forecast]]*Table410[[#This Row],[Cost Boolean]]*(VLOOKUP(Table410[[#This Row],[RATE CONCAT]],Tables!I:N,6,0)),0)</f>
        <v>0</v>
      </c>
      <c r="EA121" s="3"/>
      <c r="EB121" s="3">
        <f>Table410[[#This Row],[May_2027_F]]-Table410[[#This Row],[May_2027_A]]</f>
        <v>0</v>
      </c>
      <c r="EC121" s="3">
        <f>IFERROR(Table410[[#This Row],[Jun_2027_Days_Forecast]]*Table410[[#This Row],[Cost Boolean]]*(VLOOKUP(Table410[[#This Row],[RATE CONCAT]],Tables!I:N,6,0)),0)</f>
        <v>0</v>
      </c>
      <c r="ED121" s="3"/>
      <c r="EE121" s="3">
        <f>Table410[[#This Row],[Jun_2027_F]]-Table410[[#This Row],[Jun_2027_A]]</f>
        <v>0</v>
      </c>
      <c r="EF121" s="3">
        <f>IFERROR(Table410[[#This Row],[Jul_2027_Days_Forecast]]*Table410[[#This Row],[Cost Boolean]]*(VLOOKUP(Table410[[#This Row],[RATE CONCAT]],Tables!I:N,6,0)),0)</f>
        <v>0</v>
      </c>
      <c r="EG121" s="3"/>
      <c r="EH121" s="3">
        <f>Table410[[#This Row],[Jul_2027_F]]-Table410[[#This Row],[Jul_2027_A]]</f>
        <v>0</v>
      </c>
      <c r="EI121" s="3">
        <f>IFERROR(Table410[[#This Row],[Aug_2027_Days_Forecast]]*Table410[[#This Row],[Cost Boolean]]*(VLOOKUP(Table410[[#This Row],[RATE CONCAT]],Tables!I:N,6,0)),0)</f>
        <v>0</v>
      </c>
      <c r="EJ121" s="3"/>
      <c r="EK121" s="3">
        <f>Table410[[#This Row],[Aug_2027_F]]-Table410[[#This Row],[Aug_2027_A]]</f>
        <v>0</v>
      </c>
      <c r="EL121" s="3">
        <f>IFERROR(Table410[[#This Row],[Sep_2027_Days_Forecast]]*Table410[[#This Row],[Cost Boolean]]*(VLOOKUP(Table410[[#This Row],[RATE CONCAT]],Tables!I:N,6,0)),0)</f>
        <v>0</v>
      </c>
      <c r="EM121" s="3"/>
      <c r="EN121" s="3">
        <f>Table410[[#This Row],[Sep_2027_F]]-Table410[[#This Row],[Sep_2027_A]]</f>
        <v>0</v>
      </c>
      <c r="EO121" s="3">
        <f>IFERROR(Table410[[#This Row],[Oct_2027_Days_Forecast]]*Table410[[#This Row],[Cost Boolean]]*(VLOOKUP(Table410[[#This Row],[RATE CONCAT]],Tables!I:N,6,0)),0)</f>
        <v>0</v>
      </c>
      <c r="EP121" s="3"/>
      <c r="EQ121" s="3">
        <f>Table410[[#This Row],[Oct_2027_F]]-Table410[[#This Row],[Oct_2027_A]]</f>
        <v>0</v>
      </c>
      <c r="ER121" s="3">
        <f>IFERROR(Table410[[#This Row],[Nov_2027_Days_Forecast]]*Table410[[#This Row],[Cost Boolean]]*(VLOOKUP(Table410[[#This Row],[RATE CONCAT]],Tables!I:N,6,0)),0)</f>
        <v>0</v>
      </c>
      <c r="ES121" s="3"/>
      <c r="ET121" s="3">
        <f>Table410[[#This Row],[Nov_2027_F]]-Table410[[#This Row],[Nov_2027_A]]</f>
        <v>0</v>
      </c>
      <c r="EU121" s="3">
        <f>IFERROR(Table410[[#This Row],[Dec_2027_Days_Forecast]]*Table410[[#This Row],[Cost Boolean]]*(VLOOKUP(Table410[[#This Row],[RATE CONCAT]],Tables!I:N,6,0)),0)</f>
        <v>0</v>
      </c>
      <c r="EV121" s="3"/>
      <c r="EW121" s="3">
        <f>Table410[[#This Row],[Dec_2027_F]]-Table410[[#This Row],[Dec_2027_A]]</f>
        <v>0</v>
      </c>
    </row>
    <row r="122" spans="1:153" ht="1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4" t="str">
        <f>CONCATENATE(Table410[[#This Row],[JG]],Table410[[#This Row],[Country]],Table410[[#This Row],[Resource Provider]])</f>
        <v/>
      </c>
      <c r="Z122" s="14">
        <f>VLOOKUP(Table410[[#This Row],[RATE CONCAT]],Tables!I:N,5,0)</f>
        <v>0</v>
      </c>
      <c r="AA122" s="123"/>
      <c r="AB122" s="84"/>
      <c r="AC122" s="84"/>
      <c r="AD122" s="84"/>
      <c r="AE122" s="84"/>
      <c r="AF122" s="84"/>
      <c r="AG122" s="84"/>
      <c r="AH122" s="84"/>
      <c r="AI122" s="84"/>
      <c r="AJ122" s="84"/>
      <c r="AK122" s="84"/>
      <c r="AL122" s="84"/>
      <c r="AM122" s="124"/>
      <c r="AN122" s="176">
        <f>IFERROR(AVERAGE(Table410[[#This Row],[Jan_2026_Days_Forecast]:[Dec_2026_Days_Forecast]]),0)/19</f>
        <v>0</v>
      </c>
      <c r="AO122" s="176">
        <f>IFERROR(AVERAGE(Table410[[#This Row],[Jan_2026_Days_Actual]:[Dec_2026_Days_Actual]]),0)/19</f>
        <v>0</v>
      </c>
      <c r="AP122" s="84"/>
      <c r="AQ122" s="84"/>
      <c r="AR122" s="84"/>
      <c r="AS122" s="84"/>
      <c r="AT122" s="84"/>
      <c r="AU122" s="84"/>
      <c r="AV122" s="84"/>
      <c r="AW122" s="84"/>
      <c r="AX122" s="84"/>
      <c r="AY122" s="84"/>
      <c r="AZ122" s="84"/>
      <c r="BA122" s="84"/>
      <c r="BB122" s="176">
        <f>IFERROR(AVERAGE(Table410[[#This Row],[Jan_2027_Days_Forecast]:[Dec_2027_Days_Forecast]]),0)</f>
        <v>0</v>
      </c>
      <c r="BC122" s="129"/>
      <c r="BD122" s="129"/>
      <c r="BE122" s="129"/>
      <c r="BF122" s="129"/>
      <c r="BG122" s="129"/>
      <c r="BH122" s="129"/>
      <c r="BI122" s="16"/>
      <c r="BJ122" s="16"/>
      <c r="BK122" s="16"/>
      <c r="BL122" s="16"/>
      <c r="BM122" s="16"/>
      <c r="BN122" s="125"/>
      <c r="BO122" s="176"/>
      <c r="BP122" s="176"/>
      <c r="BQ122" s="3">
        <f>IFERROR(Table410[[#This Row],[Jan_2026_Days_Forecast]]*Table410[[#This Row],[Cost Boolean]]*(VLOOKUP(Table410[[#This Row],[RATE CONCAT]],Tables!I:N,5,0)),0)</f>
        <v>0</v>
      </c>
      <c r="BR122" s="3">
        <f>IFERROR(Table410[[#This Row],[Jan_2026_Days_Actual]]*Table410[[#This Row],[Cost Boolean]]*(VLOOKUP(Table410[[#This Row],[RATE CONCAT]],Tables!I:N,5,0)),0)</f>
        <v>0</v>
      </c>
      <c r="BS122" s="13">
        <f>Table410[[#This Row],[Jan_2026_F]]-Table410[[#This Row],[Jan_2026_A]]</f>
        <v>0</v>
      </c>
      <c r="BT122" s="114"/>
      <c r="BU122" s="13">
        <f>IFERROR(Table410[[#This Row],[Feb_2026_Days_Forecast]]*Table410[[#This Row],[Cost Boolean]]*(VLOOKUP(Table410[[#This Row],[RATE CONCAT]],Tables!I:N,5,0)),0)</f>
        <v>0</v>
      </c>
      <c r="BV122" s="3">
        <f>IFERROR(Table410[[#This Row],[Feb_2026_Days_Actual]]*Table410[[#This Row],[Cost Boolean]]*(VLOOKUP(Table410[[#This Row],[RATE CONCAT]],Tables!I:N,5,0)),0)</f>
        <v>0</v>
      </c>
      <c r="BW122" s="13">
        <f>Table410[[#This Row],[Feb_2026_F]]-Table410[[#This Row],[Feb_2026_A]]</f>
        <v>0</v>
      </c>
      <c r="BX122" s="3"/>
      <c r="BY122" s="3">
        <f>IFERROR(Table410[[#This Row],[Mar_2026_Days_Forecast]]*Table410[[#This Row],[Cost Boolean]]*(VLOOKUP(Table410[[#This Row],[RATE CONCAT]],Tables!I:N,5,0)),0)</f>
        <v>0</v>
      </c>
      <c r="BZ122" s="3">
        <f>IFERROR(Table410[[#This Row],[Mar_2026_Days_Actual]]*Table410[[#This Row],[Cost Boolean]]*(VLOOKUP(Table410[[#This Row],[RATE CONCAT]],Tables!I:N,5,0)),0)</f>
        <v>0</v>
      </c>
      <c r="CA122" s="3">
        <f>Table410[[#This Row],[Mar_2026_F]]-Table410[[#This Row],[Mar_2026_A]]</f>
        <v>0</v>
      </c>
      <c r="CB122" s="103"/>
      <c r="CC122" s="3">
        <f>IFERROR(Table410[[#This Row],[Apr_2026_Days_Forecast]]*Table410[[#This Row],[Cost Boolean]]*(VLOOKUP(Table410[[#This Row],[RATE CONCAT]],Tables!I:N,5,0)),0)</f>
        <v>0</v>
      </c>
      <c r="CD122" s="3">
        <f>IFERROR(Table410[[#This Row],[Apr_2026_Days_Actual]]*Table410[[#This Row],[Cost Boolean]]*(VLOOKUP(Table410[[#This Row],[RATE CONCAT]],Tables!I:N,5,0)),0)</f>
        <v>0</v>
      </c>
      <c r="CE122" s="3">
        <f>Table410[[#This Row],[Apr_2026_F]]-Table410[[#This Row],[Apr_2026_A]]</f>
        <v>0</v>
      </c>
      <c r="CF122" s="103"/>
      <c r="CG122" s="3">
        <f>IFERROR(Table410[[#This Row],[May_2026_Days_Forecast]] *Table410[[#This Row],[Cost Boolean]]*(VLOOKUP(Table410[[#This Row],[RATE CONCAT]],Tables!I:N,5,0)),0)</f>
        <v>0</v>
      </c>
      <c r="CH122" s="3">
        <f>IFERROR(Table410[[#This Row],[May_2026_Days_Actual]]*Table410[[#This Row],[Cost Boolean]]*(VLOOKUP(Table410[[#This Row],[RATE CONCAT]],Tables!I:N,5,0)),0)</f>
        <v>0</v>
      </c>
      <c r="CI122" s="3">
        <f>Table410[[#This Row],[May_2026_F]]-Table410[[#This Row],[May_2026_A]]</f>
        <v>0</v>
      </c>
      <c r="CJ122" s="103"/>
      <c r="CK122" s="3">
        <f>IFERROR(Table410[[#This Row],[Jun_2026_Days_Forecast]]*Table410[[#This Row],[Cost Boolean]]*(VLOOKUP(Table410[[#This Row],[RATE CONCAT]],Tables!I:N,5,0)),0)</f>
        <v>0</v>
      </c>
      <c r="CL122" s="3">
        <f>IFERROR(Table410[[#This Row],[Jun_2026_Days_Actual]]*Table410[[#This Row],[Cost Boolean]]*(VLOOKUP(Table410[[#This Row],[RATE CONCAT]],Tables!I:N,5,0)),0)</f>
        <v>0</v>
      </c>
      <c r="CM122" s="3">
        <f>Table410[[#This Row],[Jun_2026_F]]-Table410[[#This Row],[Jun_2026_A]]</f>
        <v>0</v>
      </c>
      <c r="CN122" s="103"/>
      <c r="CO122" s="3">
        <f>IFERROR(Table410[[#This Row],[Jul_2026_Days_Forecast]]*Table410[[#This Row],[Cost Boolean]]*(VLOOKUP(Table410[[#This Row],[RATE CONCAT]],Tables!I:N,5,0)),0)</f>
        <v>0</v>
      </c>
      <c r="CP122" s="3">
        <f>IFERROR(Table410[[#This Row],[Jul_2026_Days_Actual]]*Table410[[#This Row],[Cost Boolean]]*(VLOOKUP(Table410[[#This Row],[RATE CONCAT]],Tables!I:N,5,0)),0)</f>
        <v>0</v>
      </c>
      <c r="CQ122" s="3">
        <f>Table410[[#This Row],[Jul_2026_F]]-Table410[[#This Row],[Jul_2026_A]]</f>
        <v>0</v>
      </c>
      <c r="CR122" s="103"/>
      <c r="CS122" s="3">
        <f>IFERROR(Table410[[#This Row],[Aug_2026_Days_Forecast]]*Table410[[#This Row],[Cost Boolean]]*(VLOOKUP(Table410[[#This Row],[RATE CONCAT]],Tables!I:N,5,0)),0)</f>
        <v>0</v>
      </c>
      <c r="CT122" s="3">
        <f>IFERROR(Table410[[#This Row],[Aug_2026_Days_Actual]]*Table410[[#This Row],[Cost Boolean]]*(VLOOKUP(Table410[[#This Row],[RATE CONCAT]],Tables!I:N,5,0)),0)</f>
        <v>0</v>
      </c>
      <c r="CU122" s="3">
        <f>Table410[[#This Row],[Aug_2026_F]]-Table410[[#This Row],[Aug_2026_A]]</f>
        <v>0</v>
      </c>
      <c r="CV122" s="103"/>
      <c r="CW122" s="3">
        <f>IFERROR(Table410[[#This Row],[Sep_2026_Days_Forecast]]*Table410[[#This Row],[Cost Boolean]]*(VLOOKUP(Table410[[#This Row],[RATE CONCAT]],Tables!I:N,5,0)),0)</f>
        <v>0</v>
      </c>
      <c r="CX122" s="3">
        <f>IFERROR(Table410[[#This Row],[Sep_2026_Days_Actual]]*Table410[[#This Row],[Cost Boolean]]*(VLOOKUP(Table410[[#This Row],[RATE CONCAT]],Tables!I:N,5,0)),0)</f>
        <v>0</v>
      </c>
      <c r="CY122" s="3">
        <f>Table410[[#This Row],[Sep_2026_F]]-Table410[[#This Row],[Sep_2026_A]]</f>
        <v>0</v>
      </c>
      <c r="CZ122" s="103"/>
      <c r="DA122" s="3">
        <f>IFERROR(Table410[[#This Row],[Oct_2026_Days_Forecast]]*Table410[[#This Row],[Cost Boolean]]*(VLOOKUP(Table410[[#This Row],[RATE CONCAT]],Tables!I:N,5,0)),0)</f>
        <v>0</v>
      </c>
      <c r="DB122" s="3">
        <f>IFERROR(Table410[[#This Row],[Oct_2026_Days_Actual]]*Table410[[#This Row],[Cost Boolean]]*(VLOOKUP(Table410[[#This Row],[RATE CONCAT]],Tables!I:N,5,0)),0)</f>
        <v>0</v>
      </c>
      <c r="DC122" s="3">
        <f>Table410[[#This Row],[Oct_2026_F]]-Table410[[#This Row],[Oct_2026_A]]</f>
        <v>0</v>
      </c>
      <c r="DD122" s="103"/>
      <c r="DE122" s="3">
        <f>IFERROR(Table410[[#This Row],[Nov_2026_Days_Forecast]]*Table410[[#This Row],[Cost Boolean]]*(VLOOKUP(Table410[[#This Row],[RATE CONCAT]],Tables!I:N,5,0)),0)</f>
        <v>0</v>
      </c>
      <c r="DF122" s="3">
        <f>IFERROR(Table410[[#This Row],[Nov_2026_Days_Actual]]*Table410[[#This Row],[Cost Boolean]]*(VLOOKUP(Table410[[#This Row],[RATE CONCAT]],Tables!I:N,5,0)),0)</f>
        <v>0</v>
      </c>
      <c r="DG122" s="3">
        <f>Table410[[#This Row],[Nov_2026_F]]-Table410[[#This Row],[Nov_2026_A]]</f>
        <v>0</v>
      </c>
      <c r="DH122" s="103"/>
      <c r="DI122" s="3">
        <f>IFERROR(Table410[[#This Row],[Dec_2026_Days_Forecast]]*Table410[[#This Row],[Cost Boolean]]*(VLOOKUP(Table410[[#This Row],[RATE CONCAT]],Tables!I:N,5,0)),0)</f>
        <v>0</v>
      </c>
      <c r="DJ122" s="3">
        <f>IFERROR(Table410[[#This Row],[Dec_2026_Days_Actual]]*Table410[[#This Row],[Cost Boolean]]*(VLOOKUP(Table410[[#This Row],[RATE CONCAT]],Tables!I:N,5,0)),0)</f>
        <v>0</v>
      </c>
      <c r="DK122" s="126">
        <f>Table410[[#This Row],[Dec_2026_F]]-Table410[[#This Row],[Dec_2026_A]]</f>
        <v>0</v>
      </c>
      <c r="DL122" s="103"/>
      <c r="DM122" s="60"/>
      <c r="DN122" s="3">
        <f>IFERROR(Table410[[#This Row],[Jan_2027_Days_Forecast]]*Table410[[#This Row],[Cost Boolean]]*(VLOOKUP(Table410[[#This Row],[RATE CONCAT]],Tables!I:N,6,0)),0)</f>
        <v>0</v>
      </c>
      <c r="DO122" s="3"/>
      <c r="DP122" s="3">
        <f>Table410[[#This Row],[Jan_2027_F]]-Table410[[#This Row],[Jan_2027_A]]</f>
        <v>0</v>
      </c>
      <c r="DQ122" s="3">
        <f>IFERROR(Table410[[#This Row],[Feb_2027_Days_Forecast]]*Table410[[#This Row],[Cost Boolean]]*(VLOOKUP(Table410[[#This Row],[RATE CONCAT]],Tables!I:N,6,0)),0)</f>
        <v>0</v>
      </c>
      <c r="DR122" s="3"/>
      <c r="DS122" s="3">
        <f>Table410[[#This Row],[Feb_2027_F]]-Table410[[#This Row],[Feb_2027_A]]</f>
        <v>0</v>
      </c>
      <c r="DT122" s="3">
        <f>IFERROR(Table410[[#This Row],[Mar_2027_Days_Forecast]]*Table410[[#This Row],[Cost Boolean]]*(VLOOKUP(Table410[[#This Row],[RATE CONCAT]],Tables!I:N,6,0)),0)</f>
        <v>0</v>
      </c>
      <c r="DU122" s="3"/>
      <c r="DV122" s="3">
        <f>Table410[[#This Row],[Mar_2027_F]]-Table410[[#This Row],[Mar_2027_A]]</f>
        <v>0</v>
      </c>
      <c r="DW122" s="3">
        <f>IFERROR(Table410[[#This Row],[Apr_2027_Days_Forecast]]*Table410[[#This Row],[Cost Boolean]]*(VLOOKUP(Table410[[#This Row],[RATE CONCAT]],Tables!I:N,6,0)),0)</f>
        <v>0</v>
      </c>
      <c r="DX122" s="3"/>
      <c r="DY122" s="3">
        <f>Table410[[#This Row],[Apr_2027_F]]-Table410[[#This Row],[Apr_2027_A]]</f>
        <v>0</v>
      </c>
      <c r="DZ122" s="3">
        <f>IFERROR(Table410[[#This Row],[May_2027_Days_Forecast]]*Table410[[#This Row],[Cost Boolean]]*(VLOOKUP(Table410[[#This Row],[RATE CONCAT]],Tables!I:N,6,0)),0)</f>
        <v>0</v>
      </c>
      <c r="EA122" s="3"/>
      <c r="EB122" s="3">
        <f>Table410[[#This Row],[May_2027_F]]-Table410[[#This Row],[May_2027_A]]</f>
        <v>0</v>
      </c>
      <c r="EC122" s="3">
        <f>IFERROR(Table410[[#This Row],[Jun_2027_Days_Forecast]]*Table410[[#This Row],[Cost Boolean]]*(VLOOKUP(Table410[[#This Row],[RATE CONCAT]],Tables!I:N,6,0)),0)</f>
        <v>0</v>
      </c>
      <c r="ED122" s="3"/>
      <c r="EE122" s="3">
        <f>Table410[[#This Row],[Jun_2027_F]]-Table410[[#This Row],[Jun_2027_A]]</f>
        <v>0</v>
      </c>
      <c r="EF122" s="3">
        <f>IFERROR(Table410[[#This Row],[Jul_2027_Days_Forecast]]*Table410[[#This Row],[Cost Boolean]]*(VLOOKUP(Table410[[#This Row],[RATE CONCAT]],Tables!I:N,6,0)),0)</f>
        <v>0</v>
      </c>
      <c r="EG122" s="3"/>
      <c r="EH122" s="3">
        <f>Table410[[#This Row],[Jul_2027_F]]-Table410[[#This Row],[Jul_2027_A]]</f>
        <v>0</v>
      </c>
      <c r="EI122" s="3">
        <f>IFERROR(Table410[[#This Row],[Aug_2027_Days_Forecast]]*Table410[[#This Row],[Cost Boolean]]*(VLOOKUP(Table410[[#This Row],[RATE CONCAT]],Tables!I:N,6,0)),0)</f>
        <v>0</v>
      </c>
      <c r="EJ122" s="3"/>
      <c r="EK122" s="3">
        <f>Table410[[#This Row],[Aug_2027_F]]-Table410[[#This Row],[Aug_2027_A]]</f>
        <v>0</v>
      </c>
      <c r="EL122" s="3">
        <f>IFERROR(Table410[[#This Row],[Sep_2027_Days_Forecast]]*Table410[[#This Row],[Cost Boolean]]*(VLOOKUP(Table410[[#This Row],[RATE CONCAT]],Tables!I:N,6,0)),0)</f>
        <v>0</v>
      </c>
      <c r="EM122" s="3"/>
      <c r="EN122" s="3">
        <f>Table410[[#This Row],[Sep_2027_F]]-Table410[[#This Row],[Sep_2027_A]]</f>
        <v>0</v>
      </c>
      <c r="EO122" s="3">
        <f>IFERROR(Table410[[#This Row],[Oct_2027_Days_Forecast]]*Table410[[#This Row],[Cost Boolean]]*(VLOOKUP(Table410[[#This Row],[RATE CONCAT]],Tables!I:N,6,0)),0)</f>
        <v>0</v>
      </c>
      <c r="EP122" s="3"/>
      <c r="EQ122" s="3">
        <f>Table410[[#This Row],[Oct_2027_F]]-Table410[[#This Row],[Oct_2027_A]]</f>
        <v>0</v>
      </c>
      <c r="ER122" s="3">
        <f>IFERROR(Table410[[#This Row],[Nov_2027_Days_Forecast]]*Table410[[#This Row],[Cost Boolean]]*(VLOOKUP(Table410[[#This Row],[RATE CONCAT]],Tables!I:N,6,0)),0)</f>
        <v>0</v>
      </c>
      <c r="ES122" s="3"/>
      <c r="ET122" s="3">
        <f>Table410[[#This Row],[Nov_2027_F]]-Table410[[#This Row],[Nov_2027_A]]</f>
        <v>0</v>
      </c>
      <c r="EU122" s="3">
        <f>IFERROR(Table410[[#This Row],[Dec_2027_Days_Forecast]]*Table410[[#This Row],[Cost Boolean]]*(VLOOKUP(Table410[[#This Row],[RATE CONCAT]],Tables!I:N,6,0)),0)</f>
        <v>0</v>
      </c>
      <c r="EV122" s="3"/>
      <c r="EW122" s="3">
        <f>Table410[[#This Row],[Dec_2027_F]]-Table410[[#This Row],[Dec_2027_A]]</f>
        <v>0</v>
      </c>
    </row>
    <row r="123" spans="1:153" ht="1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4" t="str">
        <f>CONCATENATE(Table410[[#This Row],[JG]],Table410[[#This Row],[Country]],Table410[[#This Row],[Resource Provider]])</f>
        <v/>
      </c>
      <c r="Z123" s="14">
        <f>VLOOKUP(Table410[[#This Row],[RATE CONCAT]],Tables!I:N,5,0)</f>
        <v>0</v>
      </c>
      <c r="AA123" s="123"/>
      <c r="AB123" s="84"/>
      <c r="AC123" s="84"/>
      <c r="AD123" s="84"/>
      <c r="AE123" s="84"/>
      <c r="AF123" s="84"/>
      <c r="AG123" s="84"/>
      <c r="AH123" s="84"/>
      <c r="AI123" s="84"/>
      <c r="AJ123" s="84"/>
      <c r="AK123" s="84"/>
      <c r="AL123" s="84"/>
      <c r="AM123" s="124"/>
      <c r="AN123" s="176">
        <f>IFERROR(AVERAGE(Table410[[#This Row],[Jan_2026_Days_Forecast]:[Dec_2026_Days_Forecast]]),0)/19</f>
        <v>0</v>
      </c>
      <c r="AO123" s="176">
        <f>IFERROR(AVERAGE(Table410[[#This Row],[Jan_2026_Days_Actual]:[Dec_2026_Days_Actual]]),0)/19</f>
        <v>0</v>
      </c>
      <c r="AP123" s="84"/>
      <c r="AQ123" s="84"/>
      <c r="AR123" s="84"/>
      <c r="AS123" s="84"/>
      <c r="AT123" s="84"/>
      <c r="AU123" s="84"/>
      <c r="AV123" s="84"/>
      <c r="AW123" s="84"/>
      <c r="AX123" s="84"/>
      <c r="AY123" s="84"/>
      <c r="AZ123" s="84"/>
      <c r="BA123" s="84"/>
      <c r="BB123" s="176">
        <f>IFERROR(AVERAGE(Table410[[#This Row],[Jan_2027_Days_Forecast]:[Dec_2027_Days_Forecast]]),0)</f>
        <v>0</v>
      </c>
      <c r="BC123" s="129"/>
      <c r="BD123" s="129"/>
      <c r="BE123" s="129"/>
      <c r="BF123" s="129"/>
      <c r="BG123" s="129"/>
      <c r="BH123" s="129"/>
      <c r="BI123" s="16"/>
      <c r="BJ123" s="16"/>
      <c r="BK123" s="16"/>
      <c r="BL123" s="16"/>
      <c r="BM123" s="16"/>
      <c r="BN123" s="125"/>
      <c r="BO123" s="176"/>
      <c r="BP123" s="176"/>
      <c r="BQ123" s="3">
        <f>IFERROR(Table410[[#This Row],[Jan_2026_Days_Forecast]]*Table410[[#This Row],[Cost Boolean]]*(VLOOKUP(Table410[[#This Row],[RATE CONCAT]],Tables!I:N,5,0)),0)</f>
        <v>0</v>
      </c>
      <c r="BR123" s="3">
        <f>IFERROR(Table410[[#This Row],[Jan_2026_Days_Actual]]*Table410[[#This Row],[Cost Boolean]]*(VLOOKUP(Table410[[#This Row],[RATE CONCAT]],Tables!I:N,5,0)),0)</f>
        <v>0</v>
      </c>
      <c r="BS123" s="13">
        <f>Table410[[#This Row],[Jan_2026_F]]-Table410[[#This Row],[Jan_2026_A]]</f>
        <v>0</v>
      </c>
      <c r="BT123" s="114"/>
      <c r="BU123" s="13">
        <f>IFERROR(Table410[[#This Row],[Feb_2026_Days_Forecast]]*Table410[[#This Row],[Cost Boolean]]*(VLOOKUP(Table410[[#This Row],[RATE CONCAT]],Tables!I:N,5,0)),0)</f>
        <v>0</v>
      </c>
      <c r="BV123" s="3">
        <f>IFERROR(Table410[[#This Row],[Feb_2026_Days_Actual]]*Table410[[#This Row],[Cost Boolean]]*(VLOOKUP(Table410[[#This Row],[RATE CONCAT]],Tables!I:N,5,0)),0)</f>
        <v>0</v>
      </c>
      <c r="BW123" s="13">
        <f>Table410[[#This Row],[Feb_2026_F]]-Table410[[#This Row],[Feb_2026_A]]</f>
        <v>0</v>
      </c>
      <c r="BX123" s="3"/>
      <c r="BY123" s="3">
        <f>IFERROR(Table410[[#This Row],[Mar_2026_Days_Forecast]]*Table410[[#This Row],[Cost Boolean]]*(VLOOKUP(Table410[[#This Row],[RATE CONCAT]],Tables!I:N,5,0)),0)</f>
        <v>0</v>
      </c>
      <c r="BZ123" s="3">
        <f>IFERROR(Table410[[#This Row],[Mar_2026_Days_Actual]]*Table410[[#This Row],[Cost Boolean]]*(VLOOKUP(Table410[[#This Row],[RATE CONCAT]],Tables!I:N,5,0)),0)</f>
        <v>0</v>
      </c>
      <c r="CA123" s="3">
        <f>Table410[[#This Row],[Mar_2026_F]]-Table410[[#This Row],[Mar_2026_A]]</f>
        <v>0</v>
      </c>
      <c r="CB123" s="103"/>
      <c r="CC123" s="3">
        <f>IFERROR(Table410[[#This Row],[Apr_2026_Days_Forecast]]*Table410[[#This Row],[Cost Boolean]]*(VLOOKUP(Table410[[#This Row],[RATE CONCAT]],Tables!I:N,5,0)),0)</f>
        <v>0</v>
      </c>
      <c r="CD123" s="3">
        <f>IFERROR(Table410[[#This Row],[Apr_2026_Days_Actual]]*Table410[[#This Row],[Cost Boolean]]*(VLOOKUP(Table410[[#This Row],[RATE CONCAT]],Tables!I:N,5,0)),0)</f>
        <v>0</v>
      </c>
      <c r="CE123" s="3">
        <f>Table410[[#This Row],[Apr_2026_F]]-Table410[[#This Row],[Apr_2026_A]]</f>
        <v>0</v>
      </c>
      <c r="CF123" s="103"/>
      <c r="CG123" s="3">
        <f>IFERROR(Table410[[#This Row],[May_2026_Days_Forecast]] *Table410[[#This Row],[Cost Boolean]]*(VLOOKUP(Table410[[#This Row],[RATE CONCAT]],Tables!I:N,5,0)),0)</f>
        <v>0</v>
      </c>
      <c r="CH123" s="3">
        <f>IFERROR(Table410[[#This Row],[May_2026_Days_Actual]]*Table410[[#This Row],[Cost Boolean]]*(VLOOKUP(Table410[[#This Row],[RATE CONCAT]],Tables!I:N,5,0)),0)</f>
        <v>0</v>
      </c>
      <c r="CI123" s="3">
        <f>Table410[[#This Row],[May_2026_F]]-Table410[[#This Row],[May_2026_A]]</f>
        <v>0</v>
      </c>
      <c r="CJ123" s="103"/>
      <c r="CK123" s="3">
        <f>IFERROR(Table410[[#This Row],[Jun_2026_Days_Forecast]]*Table410[[#This Row],[Cost Boolean]]*(VLOOKUP(Table410[[#This Row],[RATE CONCAT]],Tables!I:N,5,0)),0)</f>
        <v>0</v>
      </c>
      <c r="CL123" s="3">
        <f>IFERROR(Table410[[#This Row],[Jun_2026_Days_Actual]]*Table410[[#This Row],[Cost Boolean]]*(VLOOKUP(Table410[[#This Row],[RATE CONCAT]],Tables!I:N,5,0)),0)</f>
        <v>0</v>
      </c>
      <c r="CM123" s="3">
        <f>Table410[[#This Row],[Jun_2026_F]]-Table410[[#This Row],[Jun_2026_A]]</f>
        <v>0</v>
      </c>
      <c r="CN123" s="103"/>
      <c r="CO123" s="3">
        <f>IFERROR(Table410[[#This Row],[Jul_2026_Days_Forecast]]*Table410[[#This Row],[Cost Boolean]]*(VLOOKUP(Table410[[#This Row],[RATE CONCAT]],Tables!I:N,5,0)),0)</f>
        <v>0</v>
      </c>
      <c r="CP123" s="3">
        <f>IFERROR(Table410[[#This Row],[Jul_2026_Days_Actual]]*Table410[[#This Row],[Cost Boolean]]*(VLOOKUP(Table410[[#This Row],[RATE CONCAT]],Tables!I:N,5,0)),0)</f>
        <v>0</v>
      </c>
      <c r="CQ123" s="3">
        <f>Table410[[#This Row],[Jul_2026_F]]-Table410[[#This Row],[Jul_2026_A]]</f>
        <v>0</v>
      </c>
      <c r="CR123" s="103"/>
      <c r="CS123" s="3">
        <f>IFERROR(Table410[[#This Row],[Aug_2026_Days_Forecast]]*Table410[[#This Row],[Cost Boolean]]*(VLOOKUP(Table410[[#This Row],[RATE CONCAT]],Tables!I:N,5,0)),0)</f>
        <v>0</v>
      </c>
      <c r="CT123" s="3">
        <f>IFERROR(Table410[[#This Row],[Aug_2026_Days_Actual]]*Table410[[#This Row],[Cost Boolean]]*(VLOOKUP(Table410[[#This Row],[RATE CONCAT]],Tables!I:N,5,0)),0)</f>
        <v>0</v>
      </c>
      <c r="CU123" s="3">
        <f>Table410[[#This Row],[Aug_2026_F]]-Table410[[#This Row],[Aug_2026_A]]</f>
        <v>0</v>
      </c>
      <c r="CV123" s="103"/>
      <c r="CW123" s="3">
        <f>IFERROR(Table410[[#This Row],[Sep_2026_Days_Forecast]]*Table410[[#This Row],[Cost Boolean]]*(VLOOKUP(Table410[[#This Row],[RATE CONCAT]],Tables!I:N,5,0)),0)</f>
        <v>0</v>
      </c>
      <c r="CX123" s="3">
        <f>IFERROR(Table410[[#This Row],[Sep_2026_Days_Actual]]*Table410[[#This Row],[Cost Boolean]]*(VLOOKUP(Table410[[#This Row],[RATE CONCAT]],Tables!I:N,5,0)),0)</f>
        <v>0</v>
      </c>
      <c r="CY123" s="3">
        <f>Table410[[#This Row],[Sep_2026_F]]-Table410[[#This Row],[Sep_2026_A]]</f>
        <v>0</v>
      </c>
      <c r="CZ123" s="103"/>
      <c r="DA123" s="3">
        <f>IFERROR(Table410[[#This Row],[Oct_2026_Days_Forecast]]*Table410[[#This Row],[Cost Boolean]]*(VLOOKUP(Table410[[#This Row],[RATE CONCAT]],Tables!I:N,5,0)),0)</f>
        <v>0</v>
      </c>
      <c r="DB123" s="3">
        <f>IFERROR(Table410[[#This Row],[Oct_2026_Days_Actual]]*Table410[[#This Row],[Cost Boolean]]*(VLOOKUP(Table410[[#This Row],[RATE CONCAT]],Tables!I:N,5,0)),0)</f>
        <v>0</v>
      </c>
      <c r="DC123" s="3">
        <f>Table410[[#This Row],[Oct_2026_F]]-Table410[[#This Row],[Oct_2026_A]]</f>
        <v>0</v>
      </c>
      <c r="DD123" s="103"/>
      <c r="DE123" s="3">
        <f>IFERROR(Table410[[#This Row],[Nov_2026_Days_Forecast]]*Table410[[#This Row],[Cost Boolean]]*(VLOOKUP(Table410[[#This Row],[RATE CONCAT]],Tables!I:N,5,0)),0)</f>
        <v>0</v>
      </c>
      <c r="DF123" s="3">
        <f>IFERROR(Table410[[#This Row],[Nov_2026_Days_Actual]]*Table410[[#This Row],[Cost Boolean]]*(VLOOKUP(Table410[[#This Row],[RATE CONCAT]],Tables!I:N,5,0)),0)</f>
        <v>0</v>
      </c>
      <c r="DG123" s="3">
        <f>Table410[[#This Row],[Nov_2026_F]]-Table410[[#This Row],[Nov_2026_A]]</f>
        <v>0</v>
      </c>
      <c r="DH123" s="103"/>
      <c r="DI123" s="3">
        <f>IFERROR(Table410[[#This Row],[Dec_2026_Days_Forecast]]*Table410[[#This Row],[Cost Boolean]]*(VLOOKUP(Table410[[#This Row],[RATE CONCAT]],Tables!I:N,5,0)),0)</f>
        <v>0</v>
      </c>
      <c r="DJ123" s="3">
        <f>IFERROR(Table410[[#This Row],[Dec_2026_Days_Actual]]*Table410[[#This Row],[Cost Boolean]]*(VLOOKUP(Table410[[#This Row],[RATE CONCAT]],Tables!I:N,5,0)),0)</f>
        <v>0</v>
      </c>
      <c r="DK123" s="126">
        <f>Table410[[#This Row],[Dec_2026_F]]-Table410[[#This Row],[Dec_2026_A]]</f>
        <v>0</v>
      </c>
      <c r="DL123" s="103"/>
      <c r="DM123" s="60"/>
      <c r="DN123" s="3">
        <f>IFERROR(Table410[[#This Row],[Jan_2027_Days_Forecast]]*Table410[[#This Row],[Cost Boolean]]*(VLOOKUP(Table410[[#This Row],[RATE CONCAT]],Tables!I:N,6,0)),0)</f>
        <v>0</v>
      </c>
      <c r="DO123" s="3"/>
      <c r="DP123" s="3">
        <f>Table410[[#This Row],[Jan_2027_F]]-Table410[[#This Row],[Jan_2027_A]]</f>
        <v>0</v>
      </c>
      <c r="DQ123" s="3">
        <f>IFERROR(Table410[[#This Row],[Feb_2027_Days_Forecast]]*Table410[[#This Row],[Cost Boolean]]*(VLOOKUP(Table410[[#This Row],[RATE CONCAT]],Tables!I:N,6,0)),0)</f>
        <v>0</v>
      </c>
      <c r="DR123" s="3"/>
      <c r="DS123" s="3">
        <f>Table410[[#This Row],[Feb_2027_F]]-Table410[[#This Row],[Feb_2027_A]]</f>
        <v>0</v>
      </c>
      <c r="DT123" s="3">
        <f>IFERROR(Table410[[#This Row],[Mar_2027_Days_Forecast]]*Table410[[#This Row],[Cost Boolean]]*(VLOOKUP(Table410[[#This Row],[RATE CONCAT]],Tables!I:N,6,0)),0)</f>
        <v>0</v>
      </c>
      <c r="DU123" s="3"/>
      <c r="DV123" s="3">
        <f>Table410[[#This Row],[Mar_2027_F]]-Table410[[#This Row],[Mar_2027_A]]</f>
        <v>0</v>
      </c>
      <c r="DW123" s="3">
        <f>IFERROR(Table410[[#This Row],[Apr_2027_Days_Forecast]]*Table410[[#This Row],[Cost Boolean]]*(VLOOKUP(Table410[[#This Row],[RATE CONCAT]],Tables!I:N,6,0)),0)</f>
        <v>0</v>
      </c>
      <c r="DX123" s="3"/>
      <c r="DY123" s="3">
        <f>Table410[[#This Row],[Apr_2027_F]]-Table410[[#This Row],[Apr_2027_A]]</f>
        <v>0</v>
      </c>
      <c r="DZ123" s="3">
        <f>IFERROR(Table410[[#This Row],[May_2027_Days_Forecast]]*Table410[[#This Row],[Cost Boolean]]*(VLOOKUP(Table410[[#This Row],[RATE CONCAT]],Tables!I:N,6,0)),0)</f>
        <v>0</v>
      </c>
      <c r="EA123" s="3"/>
      <c r="EB123" s="3">
        <f>Table410[[#This Row],[May_2027_F]]-Table410[[#This Row],[May_2027_A]]</f>
        <v>0</v>
      </c>
      <c r="EC123" s="3">
        <f>IFERROR(Table410[[#This Row],[Jun_2027_Days_Forecast]]*Table410[[#This Row],[Cost Boolean]]*(VLOOKUP(Table410[[#This Row],[RATE CONCAT]],Tables!I:N,6,0)),0)</f>
        <v>0</v>
      </c>
      <c r="ED123" s="3"/>
      <c r="EE123" s="3">
        <f>Table410[[#This Row],[Jun_2027_F]]-Table410[[#This Row],[Jun_2027_A]]</f>
        <v>0</v>
      </c>
      <c r="EF123" s="3">
        <f>IFERROR(Table410[[#This Row],[Jul_2027_Days_Forecast]]*Table410[[#This Row],[Cost Boolean]]*(VLOOKUP(Table410[[#This Row],[RATE CONCAT]],Tables!I:N,6,0)),0)</f>
        <v>0</v>
      </c>
      <c r="EG123" s="3"/>
      <c r="EH123" s="3">
        <f>Table410[[#This Row],[Jul_2027_F]]-Table410[[#This Row],[Jul_2027_A]]</f>
        <v>0</v>
      </c>
      <c r="EI123" s="3">
        <f>IFERROR(Table410[[#This Row],[Aug_2027_Days_Forecast]]*Table410[[#This Row],[Cost Boolean]]*(VLOOKUP(Table410[[#This Row],[RATE CONCAT]],Tables!I:N,6,0)),0)</f>
        <v>0</v>
      </c>
      <c r="EJ123" s="3"/>
      <c r="EK123" s="3">
        <f>Table410[[#This Row],[Aug_2027_F]]-Table410[[#This Row],[Aug_2027_A]]</f>
        <v>0</v>
      </c>
      <c r="EL123" s="3">
        <f>IFERROR(Table410[[#This Row],[Sep_2027_Days_Forecast]]*Table410[[#This Row],[Cost Boolean]]*(VLOOKUP(Table410[[#This Row],[RATE CONCAT]],Tables!I:N,6,0)),0)</f>
        <v>0</v>
      </c>
      <c r="EM123" s="3"/>
      <c r="EN123" s="3">
        <f>Table410[[#This Row],[Sep_2027_F]]-Table410[[#This Row],[Sep_2027_A]]</f>
        <v>0</v>
      </c>
      <c r="EO123" s="3">
        <f>IFERROR(Table410[[#This Row],[Oct_2027_Days_Forecast]]*Table410[[#This Row],[Cost Boolean]]*(VLOOKUP(Table410[[#This Row],[RATE CONCAT]],Tables!I:N,6,0)),0)</f>
        <v>0</v>
      </c>
      <c r="EP123" s="3"/>
      <c r="EQ123" s="3">
        <f>Table410[[#This Row],[Oct_2027_F]]-Table410[[#This Row],[Oct_2027_A]]</f>
        <v>0</v>
      </c>
      <c r="ER123" s="3">
        <f>IFERROR(Table410[[#This Row],[Nov_2027_Days_Forecast]]*Table410[[#This Row],[Cost Boolean]]*(VLOOKUP(Table410[[#This Row],[RATE CONCAT]],Tables!I:N,6,0)),0)</f>
        <v>0</v>
      </c>
      <c r="ES123" s="3"/>
      <c r="ET123" s="3">
        <f>Table410[[#This Row],[Nov_2027_F]]-Table410[[#This Row],[Nov_2027_A]]</f>
        <v>0</v>
      </c>
      <c r="EU123" s="3">
        <f>IFERROR(Table410[[#This Row],[Dec_2027_Days_Forecast]]*Table410[[#This Row],[Cost Boolean]]*(VLOOKUP(Table410[[#This Row],[RATE CONCAT]],Tables!I:N,6,0)),0)</f>
        <v>0</v>
      </c>
      <c r="EV123" s="3"/>
      <c r="EW123" s="3">
        <f>Table410[[#This Row],[Dec_2027_F]]-Table410[[#This Row],[Dec_2027_A]]</f>
        <v>0</v>
      </c>
    </row>
    <row r="124" spans="1:153" ht="1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4" t="str">
        <f>CONCATENATE(Table410[[#This Row],[JG]],Table410[[#This Row],[Country]],Table410[[#This Row],[Resource Provider]])</f>
        <v/>
      </c>
      <c r="Z124" s="14">
        <f>VLOOKUP(Table410[[#This Row],[RATE CONCAT]],Tables!I:N,5,0)</f>
        <v>0</v>
      </c>
      <c r="AA124" s="123"/>
      <c r="AB124" s="84"/>
      <c r="AC124" s="84"/>
      <c r="AD124" s="84"/>
      <c r="AE124" s="84"/>
      <c r="AF124" s="84"/>
      <c r="AG124" s="84"/>
      <c r="AH124" s="84"/>
      <c r="AI124" s="84"/>
      <c r="AJ124" s="84"/>
      <c r="AK124" s="84"/>
      <c r="AL124" s="84"/>
      <c r="AM124" s="124"/>
      <c r="AN124" s="176">
        <f>IFERROR(AVERAGE(Table410[[#This Row],[Jan_2026_Days_Forecast]:[Dec_2026_Days_Forecast]]),0)/19</f>
        <v>0</v>
      </c>
      <c r="AO124" s="176">
        <f>IFERROR(AVERAGE(Table410[[#This Row],[Jan_2026_Days_Actual]:[Dec_2026_Days_Actual]]),0)/19</f>
        <v>0</v>
      </c>
      <c r="AP124" s="84"/>
      <c r="AQ124" s="84"/>
      <c r="AR124" s="84"/>
      <c r="AS124" s="84"/>
      <c r="AT124" s="84"/>
      <c r="AU124" s="84"/>
      <c r="AV124" s="84"/>
      <c r="AW124" s="84"/>
      <c r="AX124" s="84"/>
      <c r="AY124" s="84"/>
      <c r="AZ124" s="84"/>
      <c r="BA124" s="84"/>
      <c r="BB124" s="176">
        <f>IFERROR(AVERAGE(Table410[[#This Row],[Jan_2027_Days_Forecast]:[Dec_2027_Days_Forecast]]),0)</f>
        <v>0</v>
      </c>
      <c r="BC124" s="129"/>
      <c r="BD124" s="129"/>
      <c r="BE124" s="129"/>
      <c r="BF124" s="129"/>
      <c r="BG124" s="129"/>
      <c r="BH124" s="129"/>
      <c r="BI124" s="16"/>
      <c r="BJ124" s="16"/>
      <c r="BK124" s="16"/>
      <c r="BL124" s="16"/>
      <c r="BM124" s="16"/>
      <c r="BN124" s="125"/>
      <c r="BO124" s="176"/>
      <c r="BP124" s="176"/>
      <c r="BQ124" s="3">
        <f>IFERROR(Table410[[#This Row],[Jan_2026_Days_Forecast]]*Table410[[#This Row],[Cost Boolean]]*(VLOOKUP(Table410[[#This Row],[RATE CONCAT]],Tables!I:N,5,0)),0)</f>
        <v>0</v>
      </c>
      <c r="BR124" s="3">
        <f>IFERROR(Table410[[#This Row],[Jan_2026_Days_Actual]]*Table410[[#This Row],[Cost Boolean]]*(VLOOKUP(Table410[[#This Row],[RATE CONCAT]],Tables!I:N,5,0)),0)</f>
        <v>0</v>
      </c>
      <c r="BS124" s="13">
        <f>Table410[[#This Row],[Jan_2026_F]]-Table410[[#This Row],[Jan_2026_A]]</f>
        <v>0</v>
      </c>
      <c r="BT124" s="114"/>
      <c r="BU124" s="13">
        <f>IFERROR(Table410[[#This Row],[Feb_2026_Days_Forecast]]*Table410[[#This Row],[Cost Boolean]]*(VLOOKUP(Table410[[#This Row],[RATE CONCAT]],Tables!I:N,5,0)),0)</f>
        <v>0</v>
      </c>
      <c r="BV124" s="3">
        <f>IFERROR(Table410[[#This Row],[Feb_2026_Days_Actual]]*Table410[[#This Row],[Cost Boolean]]*(VLOOKUP(Table410[[#This Row],[RATE CONCAT]],Tables!I:N,5,0)),0)</f>
        <v>0</v>
      </c>
      <c r="BW124" s="13">
        <f>Table410[[#This Row],[Feb_2026_F]]-Table410[[#This Row],[Feb_2026_A]]</f>
        <v>0</v>
      </c>
      <c r="BX124" s="3"/>
      <c r="BY124" s="3">
        <f>IFERROR(Table410[[#This Row],[Mar_2026_Days_Forecast]]*Table410[[#This Row],[Cost Boolean]]*(VLOOKUP(Table410[[#This Row],[RATE CONCAT]],Tables!I:N,5,0)),0)</f>
        <v>0</v>
      </c>
      <c r="BZ124" s="3">
        <f>IFERROR(Table410[[#This Row],[Mar_2026_Days_Actual]]*Table410[[#This Row],[Cost Boolean]]*(VLOOKUP(Table410[[#This Row],[RATE CONCAT]],Tables!I:N,5,0)),0)</f>
        <v>0</v>
      </c>
      <c r="CA124" s="3">
        <f>Table410[[#This Row],[Mar_2026_F]]-Table410[[#This Row],[Mar_2026_A]]</f>
        <v>0</v>
      </c>
      <c r="CB124" s="103"/>
      <c r="CC124" s="3">
        <f>IFERROR(Table410[[#This Row],[Apr_2026_Days_Forecast]]*Table410[[#This Row],[Cost Boolean]]*(VLOOKUP(Table410[[#This Row],[RATE CONCAT]],Tables!I:N,5,0)),0)</f>
        <v>0</v>
      </c>
      <c r="CD124" s="3">
        <f>IFERROR(Table410[[#This Row],[Apr_2026_Days_Actual]]*Table410[[#This Row],[Cost Boolean]]*(VLOOKUP(Table410[[#This Row],[RATE CONCAT]],Tables!I:N,5,0)),0)</f>
        <v>0</v>
      </c>
      <c r="CE124" s="3">
        <f>Table410[[#This Row],[Apr_2026_F]]-Table410[[#This Row],[Apr_2026_A]]</f>
        <v>0</v>
      </c>
      <c r="CF124" s="103"/>
      <c r="CG124" s="3">
        <f>IFERROR(Table410[[#This Row],[May_2026_Days_Forecast]] *Table410[[#This Row],[Cost Boolean]]*(VLOOKUP(Table410[[#This Row],[RATE CONCAT]],Tables!I:N,5,0)),0)</f>
        <v>0</v>
      </c>
      <c r="CH124" s="3">
        <f>IFERROR(Table410[[#This Row],[May_2026_Days_Actual]]*Table410[[#This Row],[Cost Boolean]]*(VLOOKUP(Table410[[#This Row],[RATE CONCAT]],Tables!I:N,5,0)),0)</f>
        <v>0</v>
      </c>
      <c r="CI124" s="3">
        <f>Table410[[#This Row],[May_2026_F]]-Table410[[#This Row],[May_2026_A]]</f>
        <v>0</v>
      </c>
      <c r="CJ124" s="103"/>
      <c r="CK124" s="3">
        <f>IFERROR(Table410[[#This Row],[Jun_2026_Days_Forecast]]*Table410[[#This Row],[Cost Boolean]]*(VLOOKUP(Table410[[#This Row],[RATE CONCAT]],Tables!I:N,5,0)),0)</f>
        <v>0</v>
      </c>
      <c r="CL124" s="3">
        <f>IFERROR(Table410[[#This Row],[Jun_2026_Days_Actual]]*Table410[[#This Row],[Cost Boolean]]*(VLOOKUP(Table410[[#This Row],[RATE CONCAT]],Tables!I:N,5,0)),0)</f>
        <v>0</v>
      </c>
      <c r="CM124" s="3">
        <f>Table410[[#This Row],[Jun_2026_F]]-Table410[[#This Row],[Jun_2026_A]]</f>
        <v>0</v>
      </c>
      <c r="CN124" s="103"/>
      <c r="CO124" s="3">
        <f>IFERROR(Table410[[#This Row],[Jul_2026_Days_Forecast]]*Table410[[#This Row],[Cost Boolean]]*(VLOOKUP(Table410[[#This Row],[RATE CONCAT]],Tables!I:N,5,0)),0)</f>
        <v>0</v>
      </c>
      <c r="CP124" s="3">
        <f>IFERROR(Table410[[#This Row],[Jul_2026_Days_Actual]]*Table410[[#This Row],[Cost Boolean]]*(VLOOKUP(Table410[[#This Row],[RATE CONCAT]],Tables!I:N,5,0)),0)</f>
        <v>0</v>
      </c>
      <c r="CQ124" s="3">
        <f>Table410[[#This Row],[Jul_2026_F]]-Table410[[#This Row],[Jul_2026_A]]</f>
        <v>0</v>
      </c>
      <c r="CR124" s="103"/>
      <c r="CS124" s="3">
        <f>IFERROR(Table410[[#This Row],[Aug_2026_Days_Forecast]]*Table410[[#This Row],[Cost Boolean]]*(VLOOKUP(Table410[[#This Row],[RATE CONCAT]],Tables!I:N,5,0)),0)</f>
        <v>0</v>
      </c>
      <c r="CT124" s="3">
        <f>IFERROR(Table410[[#This Row],[Aug_2026_Days_Actual]]*Table410[[#This Row],[Cost Boolean]]*(VLOOKUP(Table410[[#This Row],[RATE CONCAT]],Tables!I:N,5,0)),0)</f>
        <v>0</v>
      </c>
      <c r="CU124" s="3">
        <f>Table410[[#This Row],[Aug_2026_F]]-Table410[[#This Row],[Aug_2026_A]]</f>
        <v>0</v>
      </c>
      <c r="CV124" s="103"/>
      <c r="CW124" s="3">
        <f>IFERROR(Table410[[#This Row],[Sep_2026_Days_Forecast]]*Table410[[#This Row],[Cost Boolean]]*(VLOOKUP(Table410[[#This Row],[RATE CONCAT]],Tables!I:N,5,0)),0)</f>
        <v>0</v>
      </c>
      <c r="CX124" s="3">
        <f>IFERROR(Table410[[#This Row],[Sep_2026_Days_Actual]]*Table410[[#This Row],[Cost Boolean]]*(VLOOKUP(Table410[[#This Row],[RATE CONCAT]],Tables!I:N,5,0)),0)</f>
        <v>0</v>
      </c>
      <c r="CY124" s="3">
        <f>Table410[[#This Row],[Sep_2026_F]]-Table410[[#This Row],[Sep_2026_A]]</f>
        <v>0</v>
      </c>
      <c r="CZ124" s="103"/>
      <c r="DA124" s="3">
        <f>IFERROR(Table410[[#This Row],[Oct_2026_Days_Forecast]]*Table410[[#This Row],[Cost Boolean]]*(VLOOKUP(Table410[[#This Row],[RATE CONCAT]],Tables!I:N,5,0)),0)</f>
        <v>0</v>
      </c>
      <c r="DB124" s="3">
        <f>IFERROR(Table410[[#This Row],[Oct_2026_Days_Actual]]*Table410[[#This Row],[Cost Boolean]]*(VLOOKUP(Table410[[#This Row],[RATE CONCAT]],Tables!I:N,5,0)),0)</f>
        <v>0</v>
      </c>
      <c r="DC124" s="3">
        <f>Table410[[#This Row],[Oct_2026_F]]-Table410[[#This Row],[Oct_2026_A]]</f>
        <v>0</v>
      </c>
      <c r="DD124" s="103"/>
      <c r="DE124" s="3">
        <f>IFERROR(Table410[[#This Row],[Nov_2026_Days_Forecast]]*Table410[[#This Row],[Cost Boolean]]*(VLOOKUP(Table410[[#This Row],[RATE CONCAT]],Tables!I:N,5,0)),0)</f>
        <v>0</v>
      </c>
      <c r="DF124" s="3">
        <f>IFERROR(Table410[[#This Row],[Nov_2026_Days_Actual]]*Table410[[#This Row],[Cost Boolean]]*(VLOOKUP(Table410[[#This Row],[RATE CONCAT]],Tables!I:N,5,0)),0)</f>
        <v>0</v>
      </c>
      <c r="DG124" s="3">
        <f>Table410[[#This Row],[Nov_2026_F]]-Table410[[#This Row],[Nov_2026_A]]</f>
        <v>0</v>
      </c>
      <c r="DH124" s="103"/>
      <c r="DI124" s="3">
        <f>IFERROR(Table410[[#This Row],[Dec_2026_Days_Forecast]]*Table410[[#This Row],[Cost Boolean]]*(VLOOKUP(Table410[[#This Row],[RATE CONCAT]],Tables!I:N,5,0)),0)</f>
        <v>0</v>
      </c>
      <c r="DJ124" s="3">
        <f>IFERROR(Table410[[#This Row],[Dec_2026_Days_Actual]]*Table410[[#This Row],[Cost Boolean]]*(VLOOKUP(Table410[[#This Row],[RATE CONCAT]],Tables!I:N,5,0)),0)</f>
        <v>0</v>
      </c>
      <c r="DK124" s="126">
        <f>Table410[[#This Row],[Dec_2026_F]]-Table410[[#This Row],[Dec_2026_A]]</f>
        <v>0</v>
      </c>
      <c r="DL124" s="103"/>
      <c r="DM124" s="60"/>
      <c r="DN124" s="3">
        <f>IFERROR(Table410[[#This Row],[Jan_2027_Days_Forecast]]*Table410[[#This Row],[Cost Boolean]]*(VLOOKUP(Table410[[#This Row],[RATE CONCAT]],Tables!I:N,6,0)),0)</f>
        <v>0</v>
      </c>
      <c r="DO124" s="3"/>
      <c r="DP124" s="3">
        <f>Table410[[#This Row],[Jan_2027_F]]-Table410[[#This Row],[Jan_2027_A]]</f>
        <v>0</v>
      </c>
      <c r="DQ124" s="3">
        <f>IFERROR(Table410[[#This Row],[Feb_2027_Days_Forecast]]*Table410[[#This Row],[Cost Boolean]]*(VLOOKUP(Table410[[#This Row],[RATE CONCAT]],Tables!I:N,6,0)),0)</f>
        <v>0</v>
      </c>
      <c r="DR124" s="3"/>
      <c r="DS124" s="3">
        <f>Table410[[#This Row],[Feb_2027_F]]-Table410[[#This Row],[Feb_2027_A]]</f>
        <v>0</v>
      </c>
      <c r="DT124" s="3">
        <f>IFERROR(Table410[[#This Row],[Mar_2027_Days_Forecast]]*Table410[[#This Row],[Cost Boolean]]*(VLOOKUP(Table410[[#This Row],[RATE CONCAT]],Tables!I:N,6,0)),0)</f>
        <v>0</v>
      </c>
      <c r="DU124" s="3"/>
      <c r="DV124" s="3">
        <f>Table410[[#This Row],[Mar_2027_F]]-Table410[[#This Row],[Mar_2027_A]]</f>
        <v>0</v>
      </c>
      <c r="DW124" s="3">
        <f>IFERROR(Table410[[#This Row],[Apr_2027_Days_Forecast]]*Table410[[#This Row],[Cost Boolean]]*(VLOOKUP(Table410[[#This Row],[RATE CONCAT]],Tables!I:N,6,0)),0)</f>
        <v>0</v>
      </c>
      <c r="DX124" s="3"/>
      <c r="DY124" s="3">
        <f>Table410[[#This Row],[Apr_2027_F]]-Table410[[#This Row],[Apr_2027_A]]</f>
        <v>0</v>
      </c>
      <c r="DZ124" s="3">
        <f>IFERROR(Table410[[#This Row],[May_2027_Days_Forecast]]*Table410[[#This Row],[Cost Boolean]]*(VLOOKUP(Table410[[#This Row],[RATE CONCAT]],Tables!I:N,6,0)),0)</f>
        <v>0</v>
      </c>
      <c r="EA124" s="3"/>
      <c r="EB124" s="3">
        <f>Table410[[#This Row],[May_2027_F]]-Table410[[#This Row],[May_2027_A]]</f>
        <v>0</v>
      </c>
      <c r="EC124" s="3">
        <f>IFERROR(Table410[[#This Row],[Jun_2027_Days_Forecast]]*Table410[[#This Row],[Cost Boolean]]*(VLOOKUP(Table410[[#This Row],[RATE CONCAT]],Tables!I:N,6,0)),0)</f>
        <v>0</v>
      </c>
      <c r="ED124" s="3"/>
      <c r="EE124" s="3">
        <f>Table410[[#This Row],[Jun_2027_F]]-Table410[[#This Row],[Jun_2027_A]]</f>
        <v>0</v>
      </c>
      <c r="EF124" s="3">
        <f>IFERROR(Table410[[#This Row],[Jul_2027_Days_Forecast]]*Table410[[#This Row],[Cost Boolean]]*(VLOOKUP(Table410[[#This Row],[RATE CONCAT]],Tables!I:N,6,0)),0)</f>
        <v>0</v>
      </c>
      <c r="EG124" s="3"/>
      <c r="EH124" s="3">
        <f>Table410[[#This Row],[Jul_2027_F]]-Table410[[#This Row],[Jul_2027_A]]</f>
        <v>0</v>
      </c>
      <c r="EI124" s="3">
        <f>IFERROR(Table410[[#This Row],[Aug_2027_Days_Forecast]]*Table410[[#This Row],[Cost Boolean]]*(VLOOKUP(Table410[[#This Row],[RATE CONCAT]],Tables!I:N,6,0)),0)</f>
        <v>0</v>
      </c>
      <c r="EJ124" s="3"/>
      <c r="EK124" s="3">
        <f>Table410[[#This Row],[Aug_2027_F]]-Table410[[#This Row],[Aug_2027_A]]</f>
        <v>0</v>
      </c>
      <c r="EL124" s="3">
        <f>IFERROR(Table410[[#This Row],[Sep_2027_Days_Forecast]]*Table410[[#This Row],[Cost Boolean]]*(VLOOKUP(Table410[[#This Row],[RATE CONCAT]],Tables!I:N,6,0)),0)</f>
        <v>0</v>
      </c>
      <c r="EM124" s="3"/>
      <c r="EN124" s="3">
        <f>Table410[[#This Row],[Sep_2027_F]]-Table410[[#This Row],[Sep_2027_A]]</f>
        <v>0</v>
      </c>
      <c r="EO124" s="3">
        <f>IFERROR(Table410[[#This Row],[Oct_2027_Days_Forecast]]*Table410[[#This Row],[Cost Boolean]]*(VLOOKUP(Table410[[#This Row],[RATE CONCAT]],Tables!I:N,6,0)),0)</f>
        <v>0</v>
      </c>
      <c r="EP124" s="3"/>
      <c r="EQ124" s="3">
        <f>Table410[[#This Row],[Oct_2027_F]]-Table410[[#This Row],[Oct_2027_A]]</f>
        <v>0</v>
      </c>
      <c r="ER124" s="3">
        <f>IFERROR(Table410[[#This Row],[Nov_2027_Days_Forecast]]*Table410[[#This Row],[Cost Boolean]]*(VLOOKUP(Table410[[#This Row],[RATE CONCAT]],Tables!I:N,6,0)),0)</f>
        <v>0</v>
      </c>
      <c r="ES124" s="3"/>
      <c r="ET124" s="3">
        <f>Table410[[#This Row],[Nov_2027_F]]-Table410[[#This Row],[Nov_2027_A]]</f>
        <v>0</v>
      </c>
      <c r="EU124" s="3">
        <f>IFERROR(Table410[[#This Row],[Dec_2027_Days_Forecast]]*Table410[[#This Row],[Cost Boolean]]*(VLOOKUP(Table410[[#This Row],[RATE CONCAT]],Tables!I:N,6,0)),0)</f>
        <v>0</v>
      </c>
      <c r="EV124" s="3"/>
      <c r="EW124" s="3">
        <f>Table410[[#This Row],[Dec_2027_F]]-Table410[[#This Row],[Dec_2027_A]]</f>
        <v>0</v>
      </c>
    </row>
    <row r="125" spans="1:153" ht="1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4" t="str">
        <f>CONCATENATE(Table410[[#This Row],[JG]],Table410[[#This Row],[Country]],Table410[[#This Row],[Resource Provider]])</f>
        <v/>
      </c>
      <c r="Z125" s="14">
        <f>VLOOKUP(Table410[[#This Row],[RATE CONCAT]],Tables!I:N,5,0)</f>
        <v>0</v>
      </c>
      <c r="AA125" s="123"/>
      <c r="AB125" s="84"/>
      <c r="AC125" s="84"/>
      <c r="AD125" s="84"/>
      <c r="AE125" s="84"/>
      <c r="AF125" s="84"/>
      <c r="AG125" s="84"/>
      <c r="AH125" s="84"/>
      <c r="AI125" s="84"/>
      <c r="AJ125" s="84"/>
      <c r="AK125" s="84"/>
      <c r="AL125" s="84"/>
      <c r="AM125" s="124"/>
      <c r="AN125" s="176">
        <f>IFERROR(AVERAGE(Table410[[#This Row],[Jan_2026_Days_Forecast]:[Dec_2026_Days_Forecast]]),0)/19</f>
        <v>0</v>
      </c>
      <c r="AO125" s="176">
        <f>IFERROR(AVERAGE(Table410[[#This Row],[Jan_2026_Days_Actual]:[Dec_2026_Days_Actual]]),0)/19</f>
        <v>0</v>
      </c>
      <c r="AP125" s="84"/>
      <c r="AQ125" s="84"/>
      <c r="AR125" s="84"/>
      <c r="AS125" s="84"/>
      <c r="AT125" s="84"/>
      <c r="AU125" s="84"/>
      <c r="AV125" s="84"/>
      <c r="AW125" s="84"/>
      <c r="AX125" s="84"/>
      <c r="AY125" s="84"/>
      <c r="AZ125" s="84"/>
      <c r="BA125" s="84"/>
      <c r="BB125" s="176">
        <f>IFERROR(AVERAGE(Table410[[#This Row],[Jan_2027_Days_Forecast]:[Dec_2027_Days_Forecast]]),0)</f>
        <v>0</v>
      </c>
      <c r="BC125" s="129"/>
      <c r="BD125" s="129"/>
      <c r="BE125" s="129"/>
      <c r="BF125" s="129"/>
      <c r="BG125" s="129"/>
      <c r="BH125" s="129"/>
      <c r="BI125" s="16"/>
      <c r="BJ125" s="16"/>
      <c r="BK125" s="16"/>
      <c r="BL125" s="16"/>
      <c r="BM125" s="16"/>
      <c r="BN125" s="125"/>
      <c r="BO125" s="176"/>
      <c r="BP125" s="176"/>
      <c r="BQ125" s="3">
        <f>IFERROR(Table410[[#This Row],[Jan_2026_Days_Forecast]]*Table410[[#This Row],[Cost Boolean]]*(VLOOKUP(Table410[[#This Row],[RATE CONCAT]],Tables!I:N,5,0)),0)</f>
        <v>0</v>
      </c>
      <c r="BR125" s="3">
        <f>IFERROR(Table410[[#This Row],[Jan_2026_Days_Actual]]*Table410[[#This Row],[Cost Boolean]]*(VLOOKUP(Table410[[#This Row],[RATE CONCAT]],Tables!I:N,5,0)),0)</f>
        <v>0</v>
      </c>
      <c r="BS125" s="13">
        <f>Table410[[#This Row],[Jan_2026_F]]-Table410[[#This Row],[Jan_2026_A]]</f>
        <v>0</v>
      </c>
      <c r="BT125" s="114"/>
      <c r="BU125" s="13">
        <f>IFERROR(Table410[[#This Row],[Feb_2026_Days_Forecast]]*Table410[[#This Row],[Cost Boolean]]*(VLOOKUP(Table410[[#This Row],[RATE CONCAT]],Tables!I:N,5,0)),0)</f>
        <v>0</v>
      </c>
      <c r="BV125" s="3">
        <f>IFERROR(Table410[[#This Row],[Feb_2026_Days_Actual]]*Table410[[#This Row],[Cost Boolean]]*(VLOOKUP(Table410[[#This Row],[RATE CONCAT]],Tables!I:N,5,0)),0)</f>
        <v>0</v>
      </c>
      <c r="BW125" s="13">
        <f>Table410[[#This Row],[Feb_2026_F]]-Table410[[#This Row],[Feb_2026_A]]</f>
        <v>0</v>
      </c>
      <c r="BX125" s="3"/>
      <c r="BY125" s="3">
        <f>IFERROR(Table410[[#This Row],[Mar_2026_Days_Forecast]]*Table410[[#This Row],[Cost Boolean]]*(VLOOKUP(Table410[[#This Row],[RATE CONCAT]],Tables!I:N,5,0)),0)</f>
        <v>0</v>
      </c>
      <c r="BZ125" s="3">
        <f>IFERROR(Table410[[#This Row],[Mar_2026_Days_Actual]]*Table410[[#This Row],[Cost Boolean]]*(VLOOKUP(Table410[[#This Row],[RATE CONCAT]],Tables!I:N,5,0)),0)</f>
        <v>0</v>
      </c>
      <c r="CA125" s="3">
        <f>Table410[[#This Row],[Mar_2026_F]]-Table410[[#This Row],[Mar_2026_A]]</f>
        <v>0</v>
      </c>
      <c r="CB125" s="103"/>
      <c r="CC125" s="3">
        <f>IFERROR(Table410[[#This Row],[Apr_2026_Days_Forecast]]*Table410[[#This Row],[Cost Boolean]]*(VLOOKUP(Table410[[#This Row],[RATE CONCAT]],Tables!I:N,5,0)),0)</f>
        <v>0</v>
      </c>
      <c r="CD125" s="3">
        <f>IFERROR(Table410[[#This Row],[Apr_2026_Days_Actual]]*Table410[[#This Row],[Cost Boolean]]*(VLOOKUP(Table410[[#This Row],[RATE CONCAT]],Tables!I:N,5,0)),0)</f>
        <v>0</v>
      </c>
      <c r="CE125" s="3">
        <f>Table410[[#This Row],[Apr_2026_F]]-Table410[[#This Row],[Apr_2026_A]]</f>
        <v>0</v>
      </c>
      <c r="CF125" s="103"/>
      <c r="CG125" s="3">
        <f>IFERROR(Table410[[#This Row],[May_2026_Days_Forecast]] *Table410[[#This Row],[Cost Boolean]]*(VLOOKUP(Table410[[#This Row],[RATE CONCAT]],Tables!I:N,5,0)),0)</f>
        <v>0</v>
      </c>
      <c r="CH125" s="3">
        <f>IFERROR(Table410[[#This Row],[May_2026_Days_Actual]]*Table410[[#This Row],[Cost Boolean]]*(VLOOKUP(Table410[[#This Row],[RATE CONCAT]],Tables!I:N,5,0)),0)</f>
        <v>0</v>
      </c>
      <c r="CI125" s="3">
        <f>Table410[[#This Row],[May_2026_F]]-Table410[[#This Row],[May_2026_A]]</f>
        <v>0</v>
      </c>
      <c r="CJ125" s="103"/>
      <c r="CK125" s="3">
        <f>IFERROR(Table410[[#This Row],[Jun_2026_Days_Forecast]]*Table410[[#This Row],[Cost Boolean]]*(VLOOKUP(Table410[[#This Row],[RATE CONCAT]],Tables!I:N,5,0)),0)</f>
        <v>0</v>
      </c>
      <c r="CL125" s="3">
        <f>IFERROR(Table410[[#This Row],[Jun_2026_Days_Actual]]*Table410[[#This Row],[Cost Boolean]]*(VLOOKUP(Table410[[#This Row],[RATE CONCAT]],Tables!I:N,5,0)),0)</f>
        <v>0</v>
      </c>
      <c r="CM125" s="3">
        <f>Table410[[#This Row],[Jun_2026_F]]-Table410[[#This Row],[Jun_2026_A]]</f>
        <v>0</v>
      </c>
      <c r="CN125" s="103"/>
      <c r="CO125" s="3">
        <f>IFERROR(Table410[[#This Row],[Jul_2026_Days_Forecast]]*Table410[[#This Row],[Cost Boolean]]*(VLOOKUP(Table410[[#This Row],[RATE CONCAT]],Tables!I:N,5,0)),0)</f>
        <v>0</v>
      </c>
      <c r="CP125" s="3">
        <f>IFERROR(Table410[[#This Row],[Jul_2026_Days_Actual]]*Table410[[#This Row],[Cost Boolean]]*(VLOOKUP(Table410[[#This Row],[RATE CONCAT]],Tables!I:N,5,0)),0)</f>
        <v>0</v>
      </c>
      <c r="CQ125" s="3">
        <f>Table410[[#This Row],[Jul_2026_F]]-Table410[[#This Row],[Jul_2026_A]]</f>
        <v>0</v>
      </c>
      <c r="CR125" s="103"/>
      <c r="CS125" s="3">
        <f>IFERROR(Table410[[#This Row],[Aug_2026_Days_Forecast]]*Table410[[#This Row],[Cost Boolean]]*(VLOOKUP(Table410[[#This Row],[RATE CONCAT]],Tables!I:N,5,0)),0)</f>
        <v>0</v>
      </c>
      <c r="CT125" s="3">
        <f>IFERROR(Table410[[#This Row],[Aug_2026_Days_Actual]]*Table410[[#This Row],[Cost Boolean]]*(VLOOKUP(Table410[[#This Row],[RATE CONCAT]],Tables!I:N,5,0)),0)</f>
        <v>0</v>
      </c>
      <c r="CU125" s="3">
        <f>Table410[[#This Row],[Aug_2026_F]]-Table410[[#This Row],[Aug_2026_A]]</f>
        <v>0</v>
      </c>
      <c r="CV125" s="103"/>
      <c r="CW125" s="3">
        <f>IFERROR(Table410[[#This Row],[Sep_2026_Days_Forecast]]*Table410[[#This Row],[Cost Boolean]]*(VLOOKUP(Table410[[#This Row],[RATE CONCAT]],Tables!I:N,5,0)),0)</f>
        <v>0</v>
      </c>
      <c r="CX125" s="3">
        <f>IFERROR(Table410[[#This Row],[Sep_2026_Days_Actual]]*Table410[[#This Row],[Cost Boolean]]*(VLOOKUP(Table410[[#This Row],[RATE CONCAT]],Tables!I:N,5,0)),0)</f>
        <v>0</v>
      </c>
      <c r="CY125" s="3">
        <f>Table410[[#This Row],[Sep_2026_F]]-Table410[[#This Row],[Sep_2026_A]]</f>
        <v>0</v>
      </c>
      <c r="CZ125" s="103"/>
      <c r="DA125" s="3">
        <f>IFERROR(Table410[[#This Row],[Oct_2026_Days_Forecast]]*Table410[[#This Row],[Cost Boolean]]*(VLOOKUP(Table410[[#This Row],[RATE CONCAT]],Tables!I:N,5,0)),0)</f>
        <v>0</v>
      </c>
      <c r="DB125" s="3">
        <f>IFERROR(Table410[[#This Row],[Oct_2026_Days_Actual]]*Table410[[#This Row],[Cost Boolean]]*(VLOOKUP(Table410[[#This Row],[RATE CONCAT]],Tables!I:N,5,0)),0)</f>
        <v>0</v>
      </c>
      <c r="DC125" s="3">
        <f>Table410[[#This Row],[Oct_2026_F]]-Table410[[#This Row],[Oct_2026_A]]</f>
        <v>0</v>
      </c>
      <c r="DD125" s="103"/>
      <c r="DE125" s="3">
        <f>IFERROR(Table410[[#This Row],[Nov_2026_Days_Forecast]]*Table410[[#This Row],[Cost Boolean]]*(VLOOKUP(Table410[[#This Row],[RATE CONCAT]],Tables!I:N,5,0)),0)</f>
        <v>0</v>
      </c>
      <c r="DF125" s="3">
        <f>IFERROR(Table410[[#This Row],[Nov_2026_Days_Actual]]*Table410[[#This Row],[Cost Boolean]]*(VLOOKUP(Table410[[#This Row],[RATE CONCAT]],Tables!I:N,5,0)),0)</f>
        <v>0</v>
      </c>
      <c r="DG125" s="3">
        <f>Table410[[#This Row],[Nov_2026_F]]-Table410[[#This Row],[Nov_2026_A]]</f>
        <v>0</v>
      </c>
      <c r="DH125" s="103"/>
      <c r="DI125" s="3">
        <f>IFERROR(Table410[[#This Row],[Dec_2026_Days_Forecast]]*Table410[[#This Row],[Cost Boolean]]*(VLOOKUP(Table410[[#This Row],[RATE CONCAT]],Tables!I:N,5,0)),0)</f>
        <v>0</v>
      </c>
      <c r="DJ125" s="3">
        <f>IFERROR(Table410[[#This Row],[Dec_2026_Days_Actual]]*Table410[[#This Row],[Cost Boolean]]*(VLOOKUP(Table410[[#This Row],[RATE CONCAT]],Tables!I:N,5,0)),0)</f>
        <v>0</v>
      </c>
      <c r="DK125" s="126">
        <f>Table410[[#This Row],[Dec_2026_F]]-Table410[[#This Row],[Dec_2026_A]]</f>
        <v>0</v>
      </c>
      <c r="DL125" s="103"/>
      <c r="DM125" s="60"/>
      <c r="DN125" s="3">
        <f>IFERROR(Table410[[#This Row],[Jan_2027_Days_Forecast]]*Table410[[#This Row],[Cost Boolean]]*(VLOOKUP(Table410[[#This Row],[RATE CONCAT]],Tables!I:N,6,0)),0)</f>
        <v>0</v>
      </c>
      <c r="DO125" s="3"/>
      <c r="DP125" s="3">
        <f>Table410[[#This Row],[Jan_2027_F]]-Table410[[#This Row],[Jan_2027_A]]</f>
        <v>0</v>
      </c>
      <c r="DQ125" s="3">
        <f>IFERROR(Table410[[#This Row],[Feb_2027_Days_Forecast]]*Table410[[#This Row],[Cost Boolean]]*(VLOOKUP(Table410[[#This Row],[RATE CONCAT]],Tables!I:N,6,0)),0)</f>
        <v>0</v>
      </c>
      <c r="DR125" s="3"/>
      <c r="DS125" s="3">
        <f>Table410[[#This Row],[Feb_2027_F]]-Table410[[#This Row],[Feb_2027_A]]</f>
        <v>0</v>
      </c>
      <c r="DT125" s="3">
        <f>IFERROR(Table410[[#This Row],[Mar_2027_Days_Forecast]]*Table410[[#This Row],[Cost Boolean]]*(VLOOKUP(Table410[[#This Row],[RATE CONCAT]],Tables!I:N,6,0)),0)</f>
        <v>0</v>
      </c>
      <c r="DU125" s="3"/>
      <c r="DV125" s="3">
        <f>Table410[[#This Row],[Mar_2027_F]]-Table410[[#This Row],[Mar_2027_A]]</f>
        <v>0</v>
      </c>
      <c r="DW125" s="3">
        <f>IFERROR(Table410[[#This Row],[Apr_2027_Days_Forecast]]*Table410[[#This Row],[Cost Boolean]]*(VLOOKUP(Table410[[#This Row],[RATE CONCAT]],Tables!I:N,6,0)),0)</f>
        <v>0</v>
      </c>
      <c r="DX125" s="3"/>
      <c r="DY125" s="3">
        <f>Table410[[#This Row],[Apr_2027_F]]-Table410[[#This Row],[Apr_2027_A]]</f>
        <v>0</v>
      </c>
      <c r="DZ125" s="3">
        <f>IFERROR(Table410[[#This Row],[May_2027_Days_Forecast]]*Table410[[#This Row],[Cost Boolean]]*(VLOOKUP(Table410[[#This Row],[RATE CONCAT]],Tables!I:N,6,0)),0)</f>
        <v>0</v>
      </c>
      <c r="EA125" s="3"/>
      <c r="EB125" s="3">
        <f>Table410[[#This Row],[May_2027_F]]-Table410[[#This Row],[May_2027_A]]</f>
        <v>0</v>
      </c>
      <c r="EC125" s="3">
        <f>IFERROR(Table410[[#This Row],[Jun_2027_Days_Forecast]]*Table410[[#This Row],[Cost Boolean]]*(VLOOKUP(Table410[[#This Row],[RATE CONCAT]],Tables!I:N,6,0)),0)</f>
        <v>0</v>
      </c>
      <c r="ED125" s="3"/>
      <c r="EE125" s="3">
        <f>Table410[[#This Row],[Jun_2027_F]]-Table410[[#This Row],[Jun_2027_A]]</f>
        <v>0</v>
      </c>
      <c r="EF125" s="3">
        <f>IFERROR(Table410[[#This Row],[Jul_2027_Days_Forecast]]*Table410[[#This Row],[Cost Boolean]]*(VLOOKUP(Table410[[#This Row],[RATE CONCAT]],Tables!I:N,6,0)),0)</f>
        <v>0</v>
      </c>
      <c r="EG125" s="3"/>
      <c r="EH125" s="3">
        <f>Table410[[#This Row],[Jul_2027_F]]-Table410[[#This Row],[Jul_2027_A]]</f>
        <v>0</v>
      </c>
      <c r="EI125" s="3">
        <f>IFERROR(Table410[[#This Row],[Aug_2027_Days_Forecast]]*Table410[[#This Row],[Cost Boolean]]*(VLOOKUP(Table410[[#This Row],[RATE CONCAT]],Tables!I:N,6,0)),0)</f>
        <v>0</v>
      </c>
      <c r="EJ125" s="3"/>
      <c r="EK125" s="3">
        <f>Table410[[#This Row],[Aug_2027_F]]-Table410[[#This Row],[Aug_2027_A]]</f>
        <v>0</v>
      </c>
      <c r="EL125" s="3">
        <f>IFERROR(Table410[[#This Row],[Sep_2027_Days_Forecast]]*Table410[[#This Row],[Cost Boolean]]*(VLOOKUP(Table410[[#This Row],[RATE CONCAT]],Tables!I:N,6,0)),0)</f>
        <v>0</v>
      </c>
      <c r="EM125" s="3"/>
      <c r="EN125" s="3">
        <f>Table410[[#This Row],[Sep_2027_F]]-Table410[[#This Row],[Sep_2027_A]]</f>
        <v>0</v>
      </c>
      <c r="EO125" s="3">
        <f>IFERROR(Table410[[#This Row],[Oct_2027_Days_Forecast]]*Table410[[#This Row],[Cost Boolean]]*(VLOOKUP(Table410[[#This Row],[RATE CONCAT]],Tables!I:N,6,0)),0)</f>
        <v>0</v>
      </c>
      <c r="EP125" s="3"/>
      <c r="EQ125" s="3">
        <f>Table410[[#This Row],[Oct_2027_F]]-Table410[[#This Row],[Oct_2027_A]]</f>
        <v>0</v>
      </c>
      <c r="ER125" s="3">
        <f>IFERROR(Table410[[#This Row],[Nov_2027_Days_Forecast]]*Table410[[#This Row],[Cost Boolean]]*(VLOOKUP(Table410[[#This Row],[RATE CONCAT]],Tables!I:N,6,0)),0)</f>
        <v>0</v>
      </c>
      <c r="ES125" s="3"/>
      <c r="ET125" s="3">
        <f>Table410[[#This Row],[Nov_2027_F]]-Table410[[#This Row],[Nov_2027_A]]</f>
        <v>0</v>
      </c>
      <c r="EU125" s="3">
        <f>IFERROR(Table410[[#This Row],[Dec_2027_Days_Forecast]]*Table410[[#This Row],[Cost Boolean]]*(VLOOKUP(Table410[[#This Row],[RATE CONCAT]],Tables!I:N,6,0)),0)</f>
        <v>0</v>
      </c>
      <c r="EV125" s="3"/>
      <c r="EW125" s="3">
        <f>Table410[[#This Row],[Dec_2027_F]]-Table410[[#This Row],[Dec_2027_A]]</f>
        <v>0</v>
      </c>
    </row>
    <row r="126" spans="1:153" ht="1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Z126" s="14" t="e">
        <f>VLOOKUP(Table410[[#This Row],[RATE CONCAT]],Tables!I:N,5,0)</f>
        <v>#N/A</v>
      </c>
      <c r="AA126" s="123"/>
      <c r="AB126" s="84"/>
      <c r="AC126" s="84"/>
      <c r="AD126" s="84"/>
      <c r="AE126" s="84"/>
      <c r="AF126" s="84"/>
      <c r="AG126" s="84"/>
      <c r="AH126" s="84"/>
      <c r="AI126" s="84"/>
      <c r="AJ126" s="84"/>
      <c r="AK126" s="84"/>
      <c r="AL126" s="84"/>
      <c r="AM126" s="124"/>
      <c r="AN126" s="176">
        <f>IFERROR(AVERAGE(Table410[[#This Row],[Jan_2026_Days_Forecast]:[Dec_2026_Days_Forecast]]),0)/19</f>
        <v>0</v>
      </c>
      <c r="AO126" s="176">
        <f>IFERROR(AVERAGE(Table410[[#This Row],[Jan_2026_Days_Actual]:[Dec_2026_Days_Actual]]),0)/19</f>
        <v>0</v>
      </c>
      <c r="AP126" s="84"/>
      <c r="AQ126" s="84"/>
      <c r="AR126" s="84"/>
      <c r="AS126" s="84"/>
      <c r="AT126" s="84"/>
      <c r="AU126" s="84"/>
      <c r="AV126" s="84"/>
      <c r="AW126" s="84"/>
      <c r="AX126" s="84"/>
      <c r="AY126" s="84"/>
      <c r="AZ126" s="84"/>
      <c r="BA126" s="84"/>
      <c r="BB126" s="176">
        <f>IFERROR(AVERAGE(Table410[[#This Row],[Jan_2027_Days_Forecast]:[Dec_2027_Days_Forecast]]),0)</f>
        <v>0</v>
      </c>
      <c r="BC126" s="129"/>
      <c r="BD126" s="129"/>
      <c r="BE126" s="129"/>
      <c r="BF126" s="129"/>
      <c r="BG126" s="129"/>
      <c r="BH126" s="129"/>
      <c r="BI126" s="16"/>
      <c r="BJ126" s="16"/>
      <c r="BK126" s="16"/>
      <c r="BL126" s="16"/>
      <c r="BM126" s="16"/>
      <c r="BN126" s="125"/>
      <c r="BO126" s="176"/>
      <c r="BP126" s="176"/>
      <c r="BQ126" s="3">
        <f>IFERROR(Table410[[#This Row],[Jan_2026_Days_Forecast]]*Table410[[#This Row],[Cost Boolean]]*(VLOOKUP(Table410[[#This Row],[RATE CONCAT]],Tables!I:N,5,0)),0)</f>
        <v>0</v>
      </c>
      <c r="BR126" s="3">
        <f>IFERROR(Table410[[#This Row],[Jan_2026_Days_Actual]]*Table410[[#This Row],[Cost Boolean]]*(VLOOKUP(Table410[[#This Row],[RATE CONCAT]],Tables!I:N,5,0)),0)</f>
        <v>0</v>
      </c>
      <c r="BS126" s="13">
        <f>Table410[[#This Row],[Jan_2026_F]]-Table410[[#This Row],[Jan_2026_A]]</f>
        <v>0</v>
      </c>
      <c r="BT126" s="114"/>
      <c r="BU126" s="13">
        <f>IFERROR(Table410[[#This Row],[Feb_2026_Days_Forecast]]*Table410[[#This Row],[Cost Boolean]]*(VLOOKUP(Table410[[#This Row],[RATE CONCAT]],Tables!I:N,5,0)),0)</f>
        <v>0</v>
      </c>
      <c r="BV126" s="3">
        <f>IFERROR(Table410[[#This Row],[Feb_2026_Days_Actual]]*Table410[[#This Row],[Cost Boolean]]*(VLOOKUP(Table410[[#This Row],[RATE CONCAT]],Tables!I:N,5,0)),0)</f>
        <v>0</v>
      </c>
      <c r="BW126" s="13">
        <f>Table410[[#This Row],[Feb_2026_F]]-Table410[[#This Row],[Feb_2026_A]]</f>
        <v>0</v>
      </c>
      <c r="BX126" s="3"/>
      <c r="BY126" s="3">
        <f>IFERROR(Table410[[#This Row],[Mar_2026_Days_Forecast]]*Table410[[#This Row],[Cost Boolean]]*(VLOOKUP(Table410[[#This Row],[RATE CONCAT]],Tables!I:N,5,0)),0)</f>
        <v>0</v>
      </c>
      <c r="BZ126" s="3">
        <f>IFERROR(Table410[[#This Row],[Mar_2026_Days_Actual]]*Table410[[#This Row],[Cost Boolean]]*(VLOOKUP(Table410[[#This Row],[RATE CONCAT]],Tables!I:N,5,0)),0)</f>
        <v>0</v>
      </c>
      <c r="CA126" s="3">
        <f>Table410[[#This Row],[Mar_2026_F]]-Table410[[#This Row],[Mar_2026_A]]</f>
        <v>0</v>
      </c>
      <c r="CB126" s="103"/>
      <c r="CC126" s="3">
        <f>IFERROR(Table410[[#This Row],[Apr_2026_Days_Forecast]]*Table410[[#This Row],[Cost Boolean]]*(VLOOKUP(Table410[[#This Row],[RATE CONCAT]],Tables!I:N,5,0)),0)</f>
        <v>0</v>
      </c>
      <c r="CD126" s="3">
        <f>IFERROR(Table410[[#This Row],[Apr_2026_Days_Actual]]*Table410[[#This Row],[Cost Boolean]]*(VLOOKUP(Table410[[#This Row],[RATE CONCAT]],Tables!I:N,5,0)),0)</f>
        <v>0</v>
      </c>
      <c r="CE126" s="3">
        <f>Table410[[#This Row],[Apr_2026_F]]-Table410[[#This Row],[Apr_2026_A]]</f>
        <v>0</v>
      </c>
      <c r="CF126" s="103"/>
      <c r="CG126" s="3">
        <f>IFERROR(Table410[[#This Row],[May_2026_Days_Forecast]] *Table410[[#This Row],[Cost Boolean]]*(VLOOKUP(Table410[[#This Row],[RATE CONCAT]],Tables!I:N,5,0)),0)</f>
        <v>0</v>
      </c>
      <c r="CH126" s="3">
        <f>IFERROR(Table410[[#This Row],[May_2026_Days_Actual]]*Table410[[#This Row],[Cost Boolean]]*(VLOOKUP(Table410[[#This Row],[RATE CONCAT]],Tables!I:N,5,0)),0)</f>
        <v>0</v>
      </c>
      <c r="CI126" s="3">
        <f>Table410[[#This Row],[May_2026_F]]-Table410[[#This Row],[May_2026_A]]</f>
        <v>0</v>
      </c>
      <c r="CJ126" s="103"/>
      <c r="CK126" s="3">
        <f>IFERROR(Table410[[#This Row],[Jun_2026_Days_Forecast]]*Table410[[#This Row],[Cost Boolean]]*(VLOOKUP(Table410[[#This Row],[RATE CONCAT]],Tables!I:N,5,0)),0)</f>
        <v>0</v>
      </c>
      <c r="CL126" s="3">
        <f>IFERROR(Table410[[#This Row],[Jun_2026_Days_Actual]]*Table410[[#This Row],[Cost Boolean]]*(VLOOKUP(Table410[[#This Row],[RATE CONCAT]],Tables!I:N,5,0)),0)</f>
        <v>0</v>
      </c>
      <c r="CM126" s="3">
        <f>Table410[[#This Row],[Jun_2026_F]]-Table410[[#This Row],[Jun_2026_A]]</f>
        <v>0</v>
      </c>
      <c r="CN126" s="103"/>
      <c r="CO126" s="3">
        <f>IFERROR(Table410[[#This Row],[Jul_2026_Days_Forecast]]*Table410[[#This Row],[Cost Boolean]]*(VLOOKUP(Table410[[#This Row],[RATE CONCAT]],Tables!I:N,5,0)),0)</f>
        <v>0</v>
      </c>
      <c r="CP126" s="3">
        <f>IFERROR(Table410[[#This Row],[Jul_2026_Days_Actual]]*Table410[[#This Row],[Cost Boolean]]*(VLOOKUP(Table410[[#This Row],[RATE CONCAT]],Tables!I:N,5,0)),0)</f>
        <v>0</v>
      </c>
      <c r="CQ126" s="3">
        <f>Table410[[#This Row],[Jul_2026_F]]-Table410[[#This Row],[Jul_2026_A]]</f>
        <v>0</v>
      </c>
      <c r="CR126" s="103"/>
      <c r="CS126" s="3">
        <f>IFERROR(Table410[[#This Row],[Aug_2026_Days_Forecast]]*Table410[[#This Row],[Cost Boolean]]*(VLOOKUP(Table410[[#This Row],[RATE CONCAT]],Tables!I:N,5,0)),0)</f>
        <v>0</v>
      </c>
      <c r="CT126" s="3">
        <f>IFERROR(Table410[[#This Row],[Aug_2026_Days_Actual]]*Table410[[#This Row],[Cost Boolean]]*(VLOOKUP(Table410[[#This Row],[RATE CONCAT]],Tables!I:N,5,0)),0)</f>
        <v>0</v>
      </c>
      <c r="CU126" s="3">
        <f>Table410[[#This Row],[Aug_2026_F]]-Table410[[#This Row],[Aug_2026_A]]</f>
        <v>0</v>
      </c>
      <c r="CV126" s="103"/>
      <c r="CW126" s="3">
        <f>IFERROR(Table410[[#This Row],[Sep_2026_Days_Forecast]]*Table410[[#This Row],[Cost Boolean]]*(VLOOKUP(Table410[[#This Row],[RATE CONCAT]],Tables!I:N,5,0)),0)</f>
        <v>0</v>
      </c>
      <c r="CX126" s="3">
        <f>IFERROR(Table410[[#This Row],[Sep_2026_Days_Actual]]*Table410[[#This Row],[Cost Boolean]]*(VLOOKUP(Table410[[#This Row],[RATE CONCAT]],Tables!I:N,5,0)),0)</f>
        <v>0</v>
      </c>
      <c r="CY126" s="3">
        <f>Table410[[#This Row],[Sep_2026_F]]-Table410[[#This Row],[Sep_2026_A]]</f>
        <v>0</v>
      </c>
      <c r="CZ126" s="103"/>
      <c r="DA126" s="3">
        <f>IFERROR(Table410[[#This Row],[Oct_2026_Days_Forecast]]*Table410[[#This Row],[Cost Boolean]]*(VLOOKUP(Table410[[#This Row],[RATE CONCAT]],Tables!I:N,5,0)),0)</f>
        <v>0</v>
      </c>
      <c r="DB126" s="3">
        <f>IFERROR(Table410[[#This Row],[Oct_2026_Days_Actual]]*Table410[[#This Row],[Cost Boolean]]*(VLOOKUP(Table410[[#This Row],[RATE CONCAT]],Tables!I:N,5,0)),0)</f>
        <v>0</v>
      </c>
      <c r="DC126" s="3">
        <f>Table410[[#This Row],[Oct_2026_F]]-Table410[[#This Row],[Oct_2026_A]]</f>
        <v>0</v>
      </c>
      <c r="DD126" s="103"/>
      <c r="DE126" s="3">
        <f>IFERROR(Table410[[#This Row],[Nov_2026_Days_Forecast]]*Table410[[#This Row],[Cost Boolean]]*(VLOOKUP(Table410[[#This Row],[RATE CONCAT]],Tables!I:N,5,0)),0)</f>
        <v>0</v>
      </c>
      <c r="DF126" s="3">
        <f>IFERROR(Table410[[#This Row],[Nov_2026_Days_Actual]]*Table410[[#This Row],[Cost Boolean]]*(VLOOKUP(Table410[[#This Row],[RATE CONCAT]],Tables!I:N,5,0)),0)</f>
        <v>0</v>
      </c>
      <c r="DG126" s="3">
        <f>Table410[[#This Row],[Nov_2026_F]]-Table410[[#This Row],[Nov_2026_A]]</f>
        <v>0</v>
      </c>
      <c r="DH126" s="103"/>
      <c r="DI126" s="3">
        <f>IFERROR(Table410[[#This Row],[Dec_2026_Days_Forecast]]*Table410[[#This Row],[Cost Boolean]]*(VLOOKUP(Table410[[#This Row],[RATE CONCAT]],Tables!I:N,5,0)),0)</f>
        <v>0</v>
      </c>
      <c r="DJ126" s="3">
        <f>IFERROR(Table410[[#This Row],[Dec_2026_Days_Actual]]*Table410[[#This Row],[Cost Boolean]]*(VLOOKUP(Table410[[#This Row],[RATE CONCAT]],Tables!I:N,5,0)),0)</f>
        <v>0</v>
      </c>
      <c r="DK126" s="126">
        <f>Table410[[#This Row],[Dec_2026_F]]-Table410[[#This Row],[Dec_2026_A]]</f>
        <v>0</v>
      </c>
      <c r="DL126" s="103"/>
      <c r="DM126" s="60"/>
      <c r="DN126" s="3">
        <f>IFERROR(Table410[[#This Row],[Jan_2027_Days_Forecast]]*Table410[[#This Row],[Cost Boolean]]*(VLOOKUP(Table410[[#This Row],[RATE CONCAT]],Tables!I:N,6,0)),0)</f>
        <v>0</v>
      </c>
      <c r="DO126" s="3"/>
      <c r="DP126" s="3">
        <f>Table410[[#This Row],[Jan_2027_F]]-Table410[[#This Row],[Jan_2027_A]]</f>
        <v>0</v>
      </c>
      <c r="DQ126" s="3">
        <f>IFERROR(Table410[[#This Row],[Feb_2027_Days_Forecast]]*Table410[[#This Row],[Cost Boolean]]*(VLOOKUP(Table410[[#This Row],[RATE CONCAT]],Tables!I:N,6,0)),0)</f>
        <v>0</v>
      </c>
      <c r="DR126" s="3"/>
      <c r="DS126" s="3">
        <f>Table410[[#This Row],[Feb_2027_F]]-Table410[[#This Row],[Feb_2027_A]]</f>
        <v>0</v>
      </c>
      <c r="DT126" s="3">
        <f>IFERROR(Table410[[#This Row],[Mar_2027_Days_Forecast]]*Table410[[#This Row],[Cost Boolean]]*(VLOOKUP(Table410[[#This Row],[RATE CONCAT]],Tables!I:N,6,0)),0)</f>
        <v>0</v>
      </c>
      <c r="DU126" s="3"/>
      <c r="DV126" s="3">
        <f>Table410[[#This Row],[Mar_2027_F]]-Table410[[#This Row],[Mar_2027_A]]</f>
        <v>0</v>
      </c>
      <c r="DW126" s="3">
        <f>IFERROR(Table410[[#This Row],[Apr_2027_Days_Forecast]]*Table410[[#This Row],[Cost Boolean]]*(VLOOKUP(Table410[[#This Row],[RATE CONCAT]],Tables!I:N,6,0)),0)</f>
        <v>0</v>
      </c>
      <c r="DX126" s="3"/>
      <c r="DY126" s="3">
        <f>Table410[[#This Row],[Apr_2027_F]]-Table410[[#This Row],[Apr_2027_A]]</f>
        <v>0</v>
      </c>
      <c r="DZ126" s="3">
        <f>IFERROR(Table410[[#This Row],[May_2027_Days_Forecast]]*Table410[[#This Row],[Cost Boolean]]*(VLOOKUP(Table410[[#This Row],[RATE CONCAT]],Tables!I:N,6,0)),0)</f>
        <v>0</v>
      </c>
      <c r="EA126" s="3"/>
      <c r="EB126" s="3">
        <f>Table410[[#This Row],[May_2027_F]]-Table410[[#This Row],[May_2027_A]]</f>
        <v>0</v>
      </c>
      <c r="EC126" s="3">
        <f>IFERROR(Table410[[#This Row],[Jun_2027_Days_Forecast]]*Table410[[#This Row],[Cost Boolean]]*(VLOOKUP(Table410[[#This Row],[RATE CONCAT]],Tables!I:N,6,0)),0)</f>
        <v>0</v>
      </c>
      <c r="ED126" s="3"/>
      <c r="EE126" s="3">
        <f>Table410[[#This Row],[Jun_2027_F]]-Table410[[#This Row],[Jun_2027_A]]</f>
        <v>0</v>
      </c>
      <c r="EF126" s="3">
        <f>IFERROR(Table410[[#This Row],[Jul_2027_Days_Forecast]]*Table410[[#This Row],[Cost Boolean]]*(VLOOKUP(Table410[[#This Row],[RATE CONCAT]],Tables!I:N,6,0)),0)</f>
        <v>0</v>
      </c>
      <c r="EG126" s="3"/>
      <c r="EH126" s="3">
        <f>Table410[[#This Row],[Jul_2027_F]]-Table410[[#This Row],[Jul_2027_A]]</f>
        <v>0</v>
      </c>
      <c r="EI126" s="3">
        <f>IFERROR(Table410[[#This Row],[Aug_2027_Days_Forecast]]*Table410[[#This Row],[Cost Boolean]]*(VLOOKUP(Table410[[#This Row],[RATE CONCAT]],Tables!I:N,6,0)),0)</f>
        <v>0</v>
      </c>
      <c r="EJ126" s="3"/>
      <c r="EK126" s="3">
        <f>Table410[[#This Row],[Aug_2027_F]]-Table410[[#This Row],[Aug_2027_A]]</f>
        <v>0</v>
      </c>
      <c r="EL126" s="3">
        <f>IFERROR(Table410[[#This Row],[Sep_2027_Days_Forecast]]*Table410[[#This Row],[Cost Boolean]]*(VLOOKUP(Table410[[#This Row],[RATE CONCAT]],Tables!I:N,6,0)),0)</f>
        <v>0</v>
      </c>
      <c r="EM126" s="3"/>
      <c r="EN126" s="3">
        <f>Table410[[#This Row],[Sep_2027_F]]-Table410[[#This Row],[Sep_2027_A]]</f>
        <v>0</v>
      </c>
      <c r="EO126" s="3">
        <f>IFERROR(Table410[[#This Row],[Oct_2027_Days_Forecast]]*Table410[[#This Row],[Cost Boolean]]*(VLOOKUP(Table410[[#This Row],[RATE CONCAT]],Tables!I:N,6,0)),0)</f>
        <v>0</v>
      </c>
      <c r="EP126" s="3"/>
      <c r="EQ126" s="3">
        <f>Table410[[#This Row],[Oct_2027_F]]-Table410[[#This Row],[Oct_2027_A]]</f>
        <v>0</v>
      </c>
      <c r="ER126" s="3">
        <f>IFERROR(Table410[[#This Row],[Nov_2027_Days_Forecast]]*Table410[[#This Row],[Cost Boolean]]*(VLOOKUP(Table410[[#This Row],[RATE CONCAT]],Tables!I:N,6,0)),0)</f>
        <v>0</v>
      </c>
      <c r="ES126" s="3"/>
      <c r="ET126" s="3">
        <f>Table410[[#This Row],[Nov_2027_F]]-Table410[[#This Row],[Nov_2027_A]]</f>
        <v>0</v>
      </c>
      <c r="EU126" s="3">
        <f>IFERROR(Table410[[#This Row],[Dec_2027_Days_Forecast]]*Table410[[#This Row],[Cost Boolean]]*(VLOOKUP(Table410[[#This Row],[RATE CONCAT]],Tables!I:N,6,0)),0)</f>
        <v>0</v>
      </c>
      <c r="EV126" s="3"/>
      <c r="EW126" s="3">
        <f>Table410[[#This Row],[Dec_2027_F]]-Table410[[#This Row],[Dec_2027_A]]</f>
        <v>0</v>
      </c>
    </row>
    <row r="127" spans="1:153" ht="1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Z127" s="14" t="e">
        <f>VLOOKUP(Table410[[#This Row],[RATE CONCAT]],Tables!I:N,5,0)</f>
        <v>#N/A</v>
      </c>
      <c r="AA127" s="123"/>
      <c r="AB127" s="84"/>
      <c r="AC127" s="84"/>
      <c r="AD127" s="84"/>
      <c r="AE127" s="84"/>
      <c r="AF127" s="84"/>
      <c r="AG127" s="84"/>
      <c r="AH127" s="84"/>
      <c r="AI127" s="84"/>
      <c r="AJ127" s="84"/>
      <c r="AK127" s="84"/>
      <c r="AL127" s="84"/>
      <c r="AM127" s="124"/>
      <c r="AN127" s="176">
        <f>IFERROR(AVERAGE(Table410[[#This Row],[Jan_2026_Days_Forecast]:[Dec_2026_Days_Forecast]]),0)/19</f>
        <v>0</v>
      </c>
      <c r="AO127" s="176">
        <f>IFERROR(AVERAGE(Table410[[#This Row],[Jan_2026_Days_Actual]:[Dec_2026_Days_Actual]]),0)/19</f>
        <v>0</v>
      </c>
      <c r="AP127" s="84"/>
      <c r="AQ127" s="84"/>
      <c r="AR127" s="84"/>
      <c r="AS127" s="84"/>
      <c r="AT127" s="84"/>
      <c r="AU127" s="84"/>
      <c r="AV127" s="84"/>
      <c r="AW127" s="84"/>
      <c r="AX127" s="84"/>
      <c r="AY127" s="84"/>
      <c r="AZ127" s="84"/>
      <c r="BA127" s="84"/>
      <c r="BB127" s="176">
        <f>IFERROR(AVERAGE(Table410[[#This Row],[Jan_2027_Days_Forecast]:[Dec_2027_Days_Forecast]]),0)</f>
        <v>0</v>
      </c>
      <c r="BC127" s="129"/>
      <c r="BD127" s="129"/>
      <c r="BE127" s="129"/>
      <c r="BF127" s="129"/>
      <c r="BG127" s="129"/>
      <c r="BH127" s="129"/>
      <c r="BI127" s="16"/>
      <c r="BJ127" s="16"/>
      <c r="BK127" s="16"/>
      <c r="BL127" s="16"/>
      <c r="BM127" s="16"/>
      <c r="BN127" s="125"/>
      <c r="BO127" s="176"/>
      <c r="BP127" s="176"/>
      <c r="BQ127" s="3">
        <f>IFERROR(Table410[[#This Row],[Jan_2026_Days_Forecast]]*Table410[[#This Row],[Cost Boolean]]*(VLOOKUP(Table410[[#This Row],[RATE CONCAT]],Tables!I:N,5,0)),0)</f>
        <v>0</v>
      </c>
      <c r="BR127" s="3">
        <f>IFERROR(Table410[[#This Row],[Jan_2026_Days_Actual]]*Table410[[#This Row],[Cost Boolean]]*(VLOOKUP(Table410[[#This Row],[RATE CONCAT]],Tables!I:N,5,0)),0)</f>
        <v>0</v>
      </c>
      <c r="BS127" s="13">
        <f>Table410[[#This Row],[Jan_2026_F]]-Table410[[#This Row],[Jan_2026_A]]</f>
        <v>0</v>
      </c>
      <c r="BT127" s="114"/>
      <c r="BU127" s="13">
        <f>IFERROR(Table410[[#This Row],[Feb_2026_Days_Forecast]]*Table410[[#This Row],[Cost Boolean]]*(VLOOKUP(Table410[[#This Row],[RATE CONCAT]],Tables!I:N,5,0)),0)</f>
        <v>0</v>
      </c>
      <c r="BV127" s="3">
        <f>IFERROR(Table410[[#This Row],[Feb_2026_Days_Actual]]*Table410[[#This Row],[Cost Boolean]]*(VLOOKUP(Table410[[#This Row],[RATE CONCAT]],Tables!I:N,5,0)),0)</f>
        <v>0</v>
      </c>
      <c r="BW127" s="13">
        <f>Table410[[#This Row],[Feb_2026_F]]-Table410[[#This Row],[Feb_2026_A]]</f>
        <v>0</v>
      </c>
      <c r="BX127" s="3"/>
      <c r="BY127" s="3">
        <f>IFERROR(Table410[[#This Row],[Mar_2026_Days_Forecast]]*Table410[[#This Row],[Cost Boolean]]*(VLOOKUP(Table410[[#This Row],[RATE CONCAT]],Tables!I:N,5,0)),0)</f>
        <v>0</v>
      </c>
      <c r="BZ127" s="3">
        <f>IFERROR(Table410[[#This Row],[Mar_2026_Days_Actual]]*Table410[[#This Row],[Cost Boolean]]*(VLOOKUP(Table410[[#This Row],[RATE CONCAT]],Tables!I:N,5,0)),0)</f>
        <v>0</v>
      </c>
      <c r="CA127" s="3">
        <f>Table410[[#This Row],[Mar_2026_F]]-Table410[[#This Row],[Mar_2026_A]]</f>
        <v>0</v>
      </c>
      <c r="CB127" s="103"/>
      <c r="CC127" s="3">
        <f>IFERROR(Table410[[#This Row],[Apr_2026_Days_Forecast]]*Table410[[#This Row],[Cost Boolean]]*(VLOOKUP(Table410[[#This Row],[RATE CONCAT]],Tables!I:N,5,0)),0)</f>
        <v>0</v>
      </c>
      <c r="CD127" s="3">
        <f>IFERROR(Table410[[#This Row],[Apr_2026_Days_Actual]]*Table410[[#This Row],[Cost Boolean]]*(VLOOKUP(Table410[[#This Row],[RATE CONCAT]],Tables!I:N,5,0)),0)</f>
        <v>0</v>
      </c>
      <c r="CE127" s="3">
        <f>Table410[[#This Row],[Apr_2026_F]]-Table410[[#This Row],[Apr_2026_A]]</f>
        <v>0</v>
      </c>
      <c r="CF127" s="103"/>
      <c r="CG127" s="3">
        <f>IFERROR(Table410[[#This Row],[May_2026_Days_Forecast]] *Table410[[#This Row],[Cost Boolean]]*(VLOOKUP(Table410[[#This Row],[RATE CONCAT]],Tables!I:N,5,0)),0)</f>
        <v>0</v>
      </c>
      <c r="CH127" s="3">
        <f>IFERROR(Table410[[#This Row],[May_2026_Days_Actual]]*Table410[[#This Row],[Cost Boolean]]*(VLOOKUP(Table410[[#This Row],[RATE CONCAT]],Tables!I:N,5,0)),0)</f>
        <v>0</v>
      </c>
      <c r="CI127" s="3">
        <f>Table410[[#This Row],[May_2026_F]]-Table410[[#This Row],[May_2026_A]]</f>
        <v>0</v>
      </c>
      <c r="CJ127" s="103"/>
      <c r="CK127" s="3">
        <f>IFERROR(Table410[[#This Row],[Jun_2026_Days_Forecast]]*Table410[[#This Row],[Cost Boolean]]*(VLOOKUP(Table410[[#This Row],[RATE CONCAT]],Tables!I:N,5,0)),0)</f>
        <v>0</v>
      </c>
      <c r="CL127" s="3">
        <f>IFERROR(Table410[[#This Row],[Jun_2026_Days_Actual]]*Table410[[#This Row],[Cost Boolean]]*(VLOOKUP(Table410[[#This Row],[RATE CONCAT]],Tables!I:N,5,0)),0)</f>
        <v>0</v>
      </c>
      <c r="CM127" s="3">
        <f>Table410[[#This Row],[Jun_2026_F]]-Table410[[#This Row],[Jun_2026_A]]</f>
        <v>0</v>
      </c>
      <c r="CN127" s="103"/>
      <c r="CO127" s="3">
        <f>IFERROR(Table410[[#This Row],[Jul_2026_Days_Forecast]]*Table410[[#This Row],[Cost Boolean]]*(VLOOKUP(Table410[[#This Row],[RATE CONCAT]],Tables!I:N,5,0)),0)</f>
        <v>0</v>
      </c>
      <c r="CP127" s="3">
        <f>IFERROR(Table410[[#This Row],[Jul_2026_Days_Actual]]*Table410[[#This Row],[Cost Boolean]]*(VLOOKUP(Table410[[#This Row],[RATE CONCAT]],Tables!I:N,5,0)),0)</f>
        <v>0</v>
      </c>
      <c r="CQ127" s="3">
        <f>Table410[[#This Row],[Jul_2026_F]]-Table410[[#This Row],[Jul_2026_A]]</f>
        <v>0</v>
      </c>
      <c r="CR127" s="103"/>
      <c r="CS127" s="3">
        <f>IFERROR(Table410[[#This Row],[Aug_2026_Days_Forecast]]*Table410[[#This Row],[Cost Boolean]]*(VLOOKUP(Table410[[#This Row],[RATE CONCAT]],Tables!I:N,5,0)),0)</f>
        <v>0</v>
      </c>
      <c r="CT127" s="3">
        <f>IFERROR(Table410[[#This Row],[Aug_2026_Days_Actual]]*Table410[[#This Row],[Cost Boolean]]*(VLOOKUP(Table410[[#This Row],[RATE CONCAT]],Tables!I:N,5,0)),0)</f>
        <v>0</v>
      </c>
      <c r="CU127" s="3">
        <f>Table410[[#This Row],[Aug_2026_F]]-Table410[[#This Row],[Aug_2026_A]]</f>
        <v>0</v>
      </c>
      <c r="CV127" s="103"/>
      <c r="CW127" s="3">
        <f>IFERROR(Table410[[#This Row],[Sep_2026_Days_Forecast]]*Table410[[#This Row],[Cost Boolean]]*(VLOOKUP(Table410[[#This Row],[RATE CONCAT]],Tables!I:N,5,0)),0)</f>
        <v>0</v>
      </c>
      <c r="CX127" s="3">
        <f>IFERROR(Table410[[#This Row],[Sep_2026_Days_Actual]]*Table410[[#This Row],[Cost Boolean]]*(VLOOKUP(Table410[[#This Row],[RATE CONCAT]],Tables!I:N,5,0)),0)</f>
        <v>0</v>
      </c>
      <c r="CY127" s="3">
        <f>Table410[[#This Row],[Sep_2026_F]]-Table410[[#This Row],[Sep_2026_A]]</f>
        <v>0</v>
      </c>
      <c r="CZ127" s="103"/>
      <c r="DA127" s="3">
        <f>IFERROR(Table410[[#This Row],[Oct_2026_Days_Forecast]]*Table410[[#This Row],[Cost Boolean]]*(VLOOKUP(Table410[[#This Row],[RATE CONCAT]],Tables!I:N,5,0)),0)</f>
        <v>0</v>
      </c>
      <c r="DB127" s="3">
        <f>IFERROR(Table410[[#This Row],[Oct_2026_Days_Actual]]*Table410[[#This Row],[Cost Boolean]]*(VLOOKUP(Table410[[#This Row],[RATE CONCAT]],Tables!I:N,5,0)),0)</f>
        <v>0</v>
      </c>
      <c r="DC127" s="3">
        <f>Table410[[#This Row],[Oct_2026_F]]-Table410[[#This Row],[Oct_2026_A]]</f>
        <v>0</v>
      </c>
      <c r="DD127" s="103"/>
      <c r="DE127" s="3">
        <f>IFERROR(Table410[[#This Row],[Nov_2026_Days_Forecast]]*Table410[[#This Row],[Cost Boolean]]*(VLOOKUP(Table410[[#This Row],[RATE CONCAT]],Tables!I:N,5,0)),0)</f>
        <v>0</v>
      </c>
      <c r="DF127" s="3">
        <f>IFERROR(Table410[[#This Row],[Nov_2026_Days_Actual]]*Table410[[#This Row],[Cost Boolean]]*(VLOOKUP(Table410[[#This Row],[RATE CONCAT]],Tables!I:N,5,0)),0)</f>
        <v>0</v>
      </c>
      <c r="DG127" s="3">
        <f>Table410[[#This Row],[Nov_2026_F]]-Table410[[#This Row],[Nov_2026_A]]</f>
        <v>0</v>
      </c>
      <c r="DH127" s="103"/>
      <c r="DI127" s="3">
        <f>IFERROR(Table410[[#This Row],[Dec_2026_Days_Forecast]]*Table410[[#This Row],[Cost Boolean]]*(VLOOKUP(Table410[[#This Row],[RATE CONCAT]],Tables!I:N,5,0)),0)</f>
        <v>0</v>
      </c>
      <c r="DJ127" s="3">
        <f>IFERROR(Table410[[#This Row],[Dec_2026_Days_Actual]]*Table410[[#This Row],[Cost Boolean]]*(VLOOKUP(Table410[[#This Row],[RATE CONCAT]],Tables!I:N,5,0)),0)</f>
        <v>0</v>
      </c>
      <c r="DK127" s="126">
        <f>Table410[[#This Row],[Dec_2026_F]]-Table410[[#This Row],[Dec_2026_A]]</f>
        <v>0</v>
      </c>
      <c r="DL127" s="103"/>
      <c r="DM127" s="60"/>
      <c r="DN127" s="3">
        <f>IFERROR(Table410[[#This Row],[Jan_2027_Days_Forecast]]*Table410[[#This Row],[Cost Boolean]]*(VLOOKUP(Table410[[#This Row],[RATE CONCAT]],Tables!I:N,6,0)),0)</f>
        <v>0</v>
      </c>
      <c r="DO127" s="3"/>
      <c r="DP127" s="3">
        <f>Table410[[#This Row],[Jan_2027_F]]-Table410[[#This Row],[Jan_2027_A]]</f>
        <v>0</v>
      </c>
      <c r="DQ127" s="3">
        <f>IFERROR(Table410[[#This Row],[Feb_2027_Days_Forecast]]*Table410[[#This Row],[Cost Boolean]]*(VLOOKUP(Table410[[#This Row],[RATE CONCAT]],Tables!I:N,6,0)),0)</f>
        <v>0</v>
      </c>
      <c r="DR127" s="3"/>
      <c r="DS127" s="3">
        <f>Table410[[#This Row],[Feb_2027_F]]-Table410[[#This Row],[Feb_2027_A]]</f>
        <v>0</v>
      </c>
      <c r="DT127" s="3">
        <f>IFERROR(Table410[[#This Row],[Mar_2027_Days_Forecast]]*Table410[[#This Row],[Cost Boolean]]*(VLOOKUP(Table410[[#This Row],[RATE CONCAT]],Tables!I:N,6,0)),0)</f>
        <v>0</v>
      </c>
      <c r="DU127" s="3"/>
      <c r="DV127" s="3">
        <f>Table410[[#This Row],[Mar_2027_F]]-Table410[[#This Row],[Mar_2027_A]]</f>
        <v>0</v>
      </c>
      <c r="DW127" s="3">
        <f>IFERROR(Table410[[#This Row],[Apr_2027_Days_Forecast]]*Table410[[#This Row],[Cost Boolean]]*(VLOOKUP(Table410[[#This Row],[RATE CONCAT]],Tables!I:N,6,0)),0)</f>
        <v>0</v>
      </c>
      <c r="DX127" s="3"/>
      <c r="DY127" s="3">
        <f>Table410[[#This Row],[Apr_2027_F]]-Table410[[#This Row],[Apr_2027_A]]</f>
        <v>0</v>
      </c>
      <c r="DZ127" s="3">
        <f>IFERROR(Table410[[#This Row],[May_2027_Days_Forecast]]*Table410[[#This Row],[Cost Boolean]]*(VLOOKUP(Table410[[#This Row],[RATE CONCAT]],Tables!I:N,6,0)),0)</f>
        <v>0</v>
      </c>
      <c r="EA127" s="3"/>
      <c r="EB127" s="3">
        <f>Table410[[#This Row],[May_2027_F]]-Table410[[#This Row],[May_2027_A]]</f>
        <v>0</v>
      </c>
      <c r="EC127" s="3">
        <f>IFERROR(Table410[[#This Row],[Jun_2027_Days_Forecast]]*Table410[[#This Row],[Cost Boolean]]*(VLOOKUP(Table410[[#This Row],[RATE CONCAT]],Tables!I:N,6,0)),0)</f>
        <v>0</v>
      </c>
      <c r="ED127" s="3"/>
      <c r="EE127" s="3">
        <f>Table410[[#This Row],[Jun_2027_F]]-Table410[[#This Row],[Jun_2027_A]]</f>
        <v>0</v>
      </c>
      <c r="EF127" s="3">
        <f>IFERROR(Table410[[#This Row],[Jul_2027_Days_Forecast]]*Table410[[#This Row],[Cost Boolean]]*(VLOOKUP(Table410[[#This Row],[RATE CONCAT]],Tables!I:N,6,0)),0)</f>
        <v>0</v>
      </c>
      <c r="EG127" s="3"/>
      <c r="EH127" s="3">
        <f>Table410[[#This Row],[Jul_2027_F]]-Table410[[#This Row],[Jul_2027_A]]</f>
        <v>0</v>
      </c>
      <c r="EI127" s="3">
        <f>IFERROR(Table410[[#This Row],[Aug_2027_Days_Forecast]]*Table410[[#This Row],[Cost Boolean]]*(VLOOKUP(Table410[[#This Row],[RATE CONCAT]],Tables!I:N,6,0)),0)</f>
        <v>0</v>
      </c>
      <c r="EJ127" s="3"/>
      <c r="EK127" s="3">
        <f>Table410[[#This Row],[Aug_2027_F]]-Table410[[#This Row],[Aug_2027_A]]</f>
        <v>0</v>
      </c>
      <c r="EL127" s="3">
        <f>IFERROR(Table410[[#This Row],[Sep_2027_Days_Forecast]]*Table410[[#This Row],[Cost Boolean]]*(VLOOKUP(Table410[[#This Row],[RATE CONCAT]],Tables!I:N,6,0)),0)</f>
        <v>0</v>
      </c>
      <c r="EM127" s="3"/>
      <c r="EN127" s="3">
        <f>Table410[[#This Row],[Sep_2027_F]]-Table410[[#This Row],[Sep_2027_A]]</f>
        <v>0</v>
      </c>
      <c r="EO127" s="3">
        <f>IFERROR(Table410[[#This Row],[Oct_2027_Days_Forecast]]*Table410[[#This Row],[Cost Boolean]]*(VLOOKUP(Table410[[#This Row],[RATE CONCAT]],Tables!I:N,6,0)),0)</f>
        <v>0</v>
      </c>
      <c r="EP127" s="3"/>
      <c r="EQ127" s="3">
        <f>Table410[[#This Row],[Oct_2027_F]]-Table410[[#This Row],[Oct_2027_A]]</f>
        <v>0</v>
      </c>
      <c r="ER127" s="3">
        <f>IFERROR(Table410[[#This Row],[Nov_2027_Days_Forecast]]*Table410[[#This Row],[Cost Boolean]]*(VLOOKUP(Table410[[#This Row],[RATE CONCAT]],Tables!I:N,6,0)),0)</f>
        <v>0</v>
      </c>
      <c r="ES127" s="3"/>
      <c r="ET127" s="3">
        <f>Table410[[#This Row],[Nov_2027_F]]-Table410[[#This Row],[Nov_2027_A]]</f>
        <v>0</v>
      </c>
      <c r="EU127" s="3">
        <f>IFERROR(Table410[[#This Row],[Dec_2027_Days_Forecast]]*Table410[[#This Row],[Cost Boolean]]*(VLOOKUP(Table410[[#This Row],[RATE CONCAT]],Tables!I:N,6,0)),0)</f>
        <v>0</v>
      </c>
      <c r="EV127" s="3"/>
      <c r="EW127" s="3">
        <f>Table410[[#This Row],[Dec_2027_F]]-Table410[[#This Row],[Dec_2027_A]]</f>
        <v>0</v>
      </c>
    </row>
    <row r="128" spans="1:153" ht="1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Z128" s="14" t="e">
        <f>VLOOKUP(Table410[[#This Row],[RATE CONCAT]],Tables!I:N,5,0)</f>
        <v>#N/A</v>
      </c>
      <c r="AA128" s="123"/>
      <c r="AB128" s="84"/>
      <c r="AC128" s="84"/>
      <c r="AD128" s="84"/>
      <c r="AE128" s="84"/>
      <c r="AF128" s="84"/>
      <c r="AG128" s="84"/>
      <c r="AH128" s="84"/>
      <c r="AI128" s="84"/>
      <c r="AJ128" s="84"/>
      <c r="AK128" s="84"/>
      <c r="AL128" s="84"/>
      <c r="AM128" s="124"/>
      <c r="AN128" s="176">
        <f>IFERROR(AVERAGE(Table410[[#This Row],[Jan_2026_Days_Forecast]:[Dec_2026_Days_Forecast]]),0)/19</f>
        <v>0</v>
      </c>
      <c r="AO128" s="176">
        <f>IFERROR(AVERAGE(Table410[[#This Row],[Jan_2026_Days_Actual]:[Dec_2026_Days_Actual]]),0)/19</f>
        <v>0</v>
      </c>
      <c r="AP128" s="84"/>
      <c r="AQ128" s="84"/>
      <c r="AR128" s="84"/>
      <c r="AS128" s="84"/>
      <c r="AT128" s="84"/>
      <c r="AU128" s="84"/>
      <c r="AV128" s="84"/>
      <c r="AW128" s="84"/>
      <c r="AX128" s="84"/>
      <c r="AY128" s="84"/>
      <c r="AZ128" s="84"/>
      <c r="BA128" s="84"/>
      <c r="BB128" s="176">
        <f>IFERROR(AVERAGE(Table410[[#This Row],[Jan_2027_Days_Forecast]:[Dec_2027_Days_Forecast]]),0)</f>
        <v>0</v>
      </c>
      <c r="BC128" s="129"/>
      <c r="BD128" s="129"/>
      <c r="BE128" s="129"/>
      <c r="BF128" s="129"/>
      <c r="BG128" s="129"/>
      <c r="BH128" s="129"/>
      <c r="BI128" s="16"/>
      <c r="BJ128" s="16"/>
      <c r="BK128" s="16"/>
      <c r="BL128" s="16"/>
      <c r="BM128" s="16"/>
      <c r="BN128" s="125"/>
      <c r="BO128" s="176"/>
      <c r="BP128" s="176"/>
      <c r="BQ128" s="3">
        <f>IFERROR(Table410[[#This Row],[Jan_2026_Days_Forecast]]*Table410[[#This Row],[Cost Boolean]]*(VLOOKUP(Table410[[#This Row],[RATE CONCAT]],Tables!I:N,5,0)),0)</f>
        <v>0</v>
      </c>
      <c r="BR128" s="3">
        <f>IFERROR(Table410[[#This Row],[Jan_2026_Days_Actual]]*Table410[[#This Row],[Cost Boolean]]*(VLOOKUP(Table410[[#This Row],[RATE CONCAT]],Tables!I:N,5,0)),0)</f>
        <v>0</v>
      </c>
      <c r="BS128" s="13">
        <f>Table410[[#This Row],[Jan_2026_F]]-Table410[[#This Row],[Jan_2026_A]]</f>
        <v>0</v>
      </c>
      <c r="BT128" s="114"/>
      <c r="BU128" s="13">
        <f>IFERROR(Table410[[#This Row],[Feb_2026_Days_Forecast]]*Table410[[#This Row],[Cost Boolean]]*(VLOOKUP(Table410[[#This Row],[RATE CONCAT]],Tables!I:N,5,0)),0)</f>
        <v>0</v>
      </c>
      <c r="BV128" s="3">
        <f>IFERROR(Table410[[#This Row],[Feb_2026_Days_Actual]]*Table410[[#This Row],[Cost Boolean]]*(VLOOKUP(Table410[[#This Row],[RATE CONCAT]],Tables!I:N,5,0)),0)</f>
        <v>0</v>
      </c>
      <c r="BW128" s="13">
        <f>Table410[[#This Row],[Feb_2026_F]]-Table410[[#This Row],[Feb_2026_A]]</f>
        <v>0</v>
      </c>
      <c r="BX128" s="3"/>
      <c r="BY128" s="3">
        <f>IFERROR(Table410[[#This Row],[Mar_2026_Days_Forecast]]*Table410[[#This Row],[Cost Boolean]]*(VLOOKUP(Table410[[#This Row],[RATE CONCAT]],Tables!I:N,5,0)),0)</f>
        <v>0</v>
      </c>
      <c r="BZ128" s="3">
        <f>IFERROR(Table410[[#This Row],[Mar_2026_Days_Actual]]*Table410[[#This Row],[Cost Boolean]]*(VLOOKUP(Table410[[#This Row],[RATE CONCAT]],Tables!I:N,5,0)),0)</f>
        <v>0</v>
      </c>
      <c r="CA128" s="3">
        <f>Table410[[#This Row],[Mar_2026_F]]-Table410[[#This Row],[Mar_2026_A]]</f>
        <v>0</v>
      </c>
      <c r="CB128" s="103"/>
      <c r="CC128" s="3">
        <f>IFERROR(Table410[[#This Row],[Apr_2026_Days_Forecast]]*Table410[[#This Row],[Cost Boolean]]*(VLOOKUP(Table410[[#This Row],[RATE CONCAT]],Tables!I:N,5,0)),0)</f>
        <v>0</v>
      </c>
      <c r="CD128" s="3">
        <f>IFERROR(Table410[[#This Row],[Apr_2026_Days_Actual]]*Table410[[#This Row],[Cost Boolean]]*(VLOOKUP(Table410[[#This Row],[RATE CONCAT]],Tables!I:N,5,0)),0)</f>
        <v>0</v>
      </c>
      <c r="CE128" s="3">
        <f>Table410[[#This Row],[Apr_2026_F]]-Table410[[#This Row],[Apr_2026_A]]</f>
        <v>0</v>
      </c>
      <c r="CF128" s="103"/>
      <c r="CG128" s="3">
        <f>IFERROR(Table410[[#This Row],[May_2026_Days_Forecast]] *Table410[[#This Row],[Cost Boolean]]*(VLOOKUP(Table410[[#This Row],[RATE CONCAT]],Tables!I:N,5,0)),0)</f>
        <v>0</v>
      </c>
      <c r="CH128" s="3">
        <f>IFERROR(Table410[[#This Row],[May_2026_Days_Actual]]*Table410[[#This Row],[Cost Boolean]]*(VLOOKUP(Table410[[#This Row],[RATE CONCAT]],Tables!I:N,5,0)),0)</f>
        <v>0</v>
      </c>
      <c r="CI128" s="3">
        <f>Table410[[#This Row],[May_2026_F]]-Table410[[#This Row],[May_2026_A]]</f>
        <v>0</v>
      </c>
      <c r="CJ128" s="103"/>
      <c r="CK128" s="3">
        <f>IFERROR(Table410[[#This Row],[Jun_2026_Days_Forecast]]*Table410[[#This Row],[Cost Boolean]]*(VLOOKUP(Table410[[#This Row],[RATE CONCAT]],Tables!I:N,5,0)),0)</f>
        <v>0</v>
      </c>
      <c r="CL128" s="3">
        <f>IFERROR(Table410[[#This Row],[Jun_2026_Days_Actual]]*Table410[[#This Row],[Cost Boolean]]*(VLOOKUP(Table410[[#This Row],[RATE CONCAT]],Tables!I:N,5,0)),0)</f>
        <v>0</v>
      </c>
      <c r="CM128" s="3">
        <f>Table410[[#This Row],[Jun_2026_F]]-Table410[[#This Row],[Jun_2026_A]]</f>
        <v>0</v>
      </c>
      <c r="CN128" s="103"/>
      <c r="CO128" s="3">
        <f>IFERROR(Table410[[#This Row],[Jul_2026_Days_Forecast]]*Table410[[#This Row],[Cost Boolean]]*(VLOOKUP(Table410[[#This Row],[RATE CONCAT]],Tables!I:N,5,0)),0)</f>
        <v>0</v>
      </c>
      <c r="CP128" s="3">
        <f>IFERROR(Table410[[#This Row],[Jul_2026_Days_Actual]]*Table410[[#This Row],[Cost Boolean]]*(VLOOKUP(Table410[[#This Row],[RATE CONCAT]],Tables!I:N,5,0)),0)</f>
        <v>0</v>
      </c>
      <c r="CQ128" s="3">
        <f>Table410[[#This Row],[Jul_2026_F]]-Table410[[#This Row],[Jul_2026_A]]</f>
        <v>0</v>
      </c>
      <c r="CR128" s="103"/>
      <c r="CS128" s="3">
        <f>IFERROR(Table410[[#This Row],[Aug_2026_Days_Forecast]]*Table410[[#This Row],[Cost Boolean]]*(VLOOKUP(Table410[[#This Row],[RATE CONCAT]],Tables!I:N,5,0)),0)</f>
        <v>0</v>
      </c>
      <c r="CT128" s="3">
        <f>IFERROR(Table410[[#This Row],[Aug_2026_Days_Actual]]*Table410[[#This Row],[Cost Boolean]]*(VLOOKUP(Table410[[#This Row],[RATE CONCAT]],Tables!I:N,5,0)),0)</f>
        <v>0</v>
      </c>
      <c r="CU128" s="3">
        <f>Table410[[#This Row],[Aug_2026_F]]-Table410[[#This Row],[Aug_2026_A]]</f>
        <v>0</v>
      </c>
      <c r="CV128" s="103"/>
      <c r="CW128" s="3">
        <f>IFERROR(Table410[[#This Row],[Sep_2026_Days_Forecast]]*Table410[[#This Row],[Cost Boolean]]*(VLOOKUP(Table410[[#This Row],[RATE CONCAT]],Tables!I:N,5,0)),0)</f>
        <v>0</v>
      </c>
      <c r="CX128" s="3">
        <f>IFERROR(Table410[[#This Row],[Sep_2026_Days_Actual]]*Table410[[#This Row],[Cost Boolean]]*(VLOOKUP(Table410[[#This Row],[RATE CONCAT]],Tables!I:N,5,0)),0)</f>
        <v>0</v>
      </c>
      <c r="CY128" s="3">
        <f>Table410[[#This Row],[Sep_2026_F]]-Table410[[#This Row],[Sep_2026_A]]</f>
        <v>0</v>
      </c>
      <c r="CZ128" s="103"/>
      <c r="DA128" s="3">
        <f>IFERROR(Table410[[#This Row],[Oct_2026_Days_Forecast]]*Table410[[#This Row],[Cost Boolean]]*(VLOOKUP(Table410[[#This Row],[RATE CONCAT]],Tables!I:N,5,0)),0)</f>
        <v>0</v>
      </c>
      <c r="DB128" s="3">
        <f>IFERROR(Table410[[#This Row],[Oct_2026_Days_Actual]]*Table410[[#This Row],[Cost Boolean]]*(VLOOKUP(Table410[[#This Row],[RATE CONCAT]],Tables!I:N,5,0)),0)</f>
        <v>0</v>
      </c>
      <c r="DC128" s="3">
        <f>Table410[[#This Row],[Oct_2026_F]]-Table410[[#This Row],[Oct_2026_A]]</f>
        <v>0</v>
      </c>
      <c r="DD128" s="103"/>
      <c r="DE128" s="3">
        <f>IFERROR(Table410[[#This Row],[Nov_2026_Days_Forecast]]*Table410[[#This Row],[Cost Boolean]]*(VLOOKUP(Table410[[#This Row],[RATE CONCAT]],Tables!I:N,5,0)),0)</f>
        <v>0</v>
      </c>
      <c r="DF128" s="3">
        <f>IFERROR(Table410[[#This Row],[Nov_2026_Days_Actual]]*Table410[[#This Row],[Cost Boolean]]*(VLOOKUP(Table410[[#This Row],[RATE CONCAT]],Tables!I:N,5,0)),0)</f>
        <v>0</v>
      </c>
      <c r="DG128" s="3">
        <f>Table410[[#This Row],[Nov_2026_F]]-Table410[[#This Row],[Nov_2026_A]]</f>
        <v>0</v>
      </c>
      <c r="DH128" s="103"/>
      <c r="DI128" s="3">
        <f>IFERROR(Table410[[#This Row],[Dec_2026_Days_Forecast]]*Table410[[#This Row],[Cost Boolean]]*(VLOOKUP(Table410[[#This Row],[RATE CONCAT]],Tables!I:N,5,0)),0)</f>
        <v>0</v>
      </c>
      <c r="DJ128" s="3">
        <f>IFERROR(Table410[[#This Row],[Dec_2026_Days_Actual]]*Table410[[#This Row],[Cost Boolean]]*(VLOOKUP(Table410[[#This Row],[RATE CONCAT]],Tables!I:N,5,0)),0)</f>
        <v>0</v>
      </c>
      <c r="DK128" s="126">
        <f>Table410[[#This Row],[Dec_2026_F]]-Table410[[#This Row],[Dec_2026_A]]</f>
        <v>0</v>
      </c>
      <c r="DL128" s="103"/>
      <c r="DM128" s="60"/>
      <c r="DN128" s="3">
        <f>IFERROR(Table410[[#This Row],[Jan_2027_Days_Forecast]]*Table410[[#This Row],[Cost Boolean]]*(VLOOKUP(Table410[[#This Row],[RATE CONCAT]],Tables!I:N,6,0)),0)</f>
        <v>0</v>
      </c>
      <c r="DO128" s="3"/>
      <c r="DP128" s="3">
        <f>Table410[[#This Row],[Jan_2027_F]]-Table410[[#This Row],[Jan_2027_A]]</f>
        <v>0</v>
      </c>
      <c r="DQ128" s="3">
        <f>IFERROR(Table410[[#This Row],[Feb_2027_Days_Forecast]]*Table410[[#This Row],[Cost Boolean]]*(VLOOKUP(Table410[[#This Row],[RATE CONCAT]],Tables!I:N,6,0)),0)</f>
        <v>0</v>
      </c>
      <c r="DR128" s="3"/>
      <c r="DS128" s="3">
        <f>Table410[[#This Row],[Feb_2027_F]]-Table410[[#This Row],[Feb_2027_A]]</f>
        <v>0</v>
      </c>
      <c r="DT128" s="3">
        <f>IFERROR(Table410[[#This Row],[Mar_2027_Days_Forecast]]*Table410[[#This Row],[Cost Boolean]]*(VLOOKUP(Table410[[#This Row],[RATE CONCAT]],Tables!I:N,6,0)),0)</f>
        <v>0</v>
      </c>
      <c r="DU128" s="3"/>
      <c r="DV128" s="3">
        <f>Table410[[#This Row],[Mar_2027_F]]-Table410[[#This Row],[Mar_2027_A]]</f>
        <v>0</v>
      </c>
      <c r="DW128" s="3">
        <f>IFERROR(Table410[[#This Row],[Apr_2027_Days_Forecast]]*Table410[[#This Row],[Cost Boolean]]*(VLOOKUP(Table410[[#This Row],[RATE CONCAT]],Tables!I:N,6,0)),0)</f>
        <v>0</v>
      </c>
      <c r="DX128" s="3"/>
      <c r="DY128" s="3">
        <f>Table410[[#This Row],[Apr_2027_F]]-Table410[[#This Row],[Apr_2027_A]]</f>
        <v>0</v>
      </c>
      <c r="DZ128" s="3">
        <f>IFERROR(Table410[[#This Row],[May_2027_Days_Forecast]]*Table410[[#This Row],[Cost Boolean]]*(VLOOKUP(Table410[[#This Row],[RATE CONCAT]],Tables!I:N,6,0)),0)</f>
        <v>0</v>
      </c>
      <c r="EA128" s="3"/>
      <c r="EB128" s="3">
        <f>Table410[[#This Row],[May_2027_F]]-Table410[[#This Row],[May_2027_A]]</f>
        <v>0</v>
      </c>
      <c r="EC128" s="3">
        <f>IFERROR(Table410[[#This Row],[Jun_2027_Days_Forecast]]*Table410[[#This Row],[Cost Boolean]]*(VLOOKUP(Table410[[#This Row],[RATE CONCAT]],Tables!I:N,6,0)),0)</f>
        <v>0</v>
      </c>
      <c r="ED128" s="3"/>
      <c r="EE128" s="3">
        <f>Table410[[#This Row],[Jun_2027_F]]-Table410[[#This Row],[Jun_2027_A]]</f>
        <v>0</v>
      </c>
      <c r="EF128" s="3">
        <f>IFERROR(Table410[[#This Row],[Jul_2027_Days_Forecast]]*Table410[[#This Row],[Cost Boolean]]*(VLOOKUP(Table410[[#This Row],[RATE CONCAT]],Tables!I:N,6,0)),0)</f>
        <v>0</v>
      </c>
      <c r="EG128" s="3"/>
      <c r="EH128" s="3">
        <f>Table410[[#This Row],[Jul_2027_F]]-Table410[[#This Row],[Jul_2027_A]]</f>
        <v>0</v>
      </c>
      <c r="EI128" s="3">
        <f>IFERROR(Table410[[#This Row],[Aug_2027_Days_Forecast]]*Table410[[#This Row],[Cost Boolean]]*(VLOOKUP(Table410[[#This Row],[RATE CONCAT]],Tables!I:N,6,0)),0)</f>
        <v>0</v>
      </c>
      <c r="EJ128" s="3"/>
      <c r="EK128" s="3">
        <f>Table410[[#This Row],[Aug_2027_F]]-Table410[[#This Row],[Aug_2027_A]]</f>
        <v>0</v>
      </c>
      <c r="EL128" s="3">
        <f>IFERROR(Table410[[#This Row],[Sep_2027_Days_Forecast]]*Table410[[#This Row],[Cost Boolean]]*(VLOOKUP(Table410[[#This Row],[RATE CONCAT]],Tables!I:N,6,0)),0)</f>
        <v>0</v>
      </c>
      <c r="EM128" s="3"/>
      <c r="EN128" s="3">
        <f>Table410[[#This Row],[Sep_2027_F]]-Table410[[#This Row],[Sep_2027_A]]</f>
        <v>0</v>
      </c>
      <c r="EO128" s="3">
        <f>IFERROR(Table410[[#This Row],[Oct_2027_Days_Forecast]]*Table410[[#This Row],[Cost Boolean]]*(VLOOKUP(Table410[[#This Row],[RATE CONCAT]],Tables!I:N,6,0)),0)</f>
        <v>0</v>
      </c>
      <c r="EP128" s="3"/>
      <c r="EQ128" s="3">
        <f>Table410[[#This Row],[Oct_2027_F]]-Table410[[#This Row],[Oct_2027_A]]</f>
        <v>0</v>
      </c>
      <c r="ER128" s="3">
        <f>IFERROR(Table410[[#This Row],[Nov_2027_Days_Forecast]]*Table410[[#This Row],[Cost Boolean]]*(VLOOKUP(Table410[[#This Row],[RATE CONCAT]],Tables!I:N,6,0)),0)</f>
        <v>0</v>
      </c>
      <c r="ES128" s="3"/>
      <c r="ET128" s="3">
        <f>Table410[[#This Row],[Nov_2027_F]]-Table410[[#This Row],[Nov_2027_A]]</f>
        <v>0</v>
      </c>
      <c r="EU128" s="3">
        <f>IFERROR(Table410[[#This Row],[Dec_2027_Days_Forecast]]*Table410[[#This Row],[Cost Boolean]]*(VLOOKUP(Table410[[#This Row],[RATE CONCAT]],Tables!I:N,6,0)),0)</f>
        <v>0</v>
      </c>
      <c r="EV128" s="3"/>
      <c r="EW128" s="3">
        <f>Table410[[#This Row],[Dec_2027_F]]-Table410[[#This Row],[Dec_2027_A]]</f>
        <v>0</v>
      </c>
    </row>
    <row r="129" spans="1:153" ht="1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Z129" s="14" t="e">
        <f>VLOOKUP(Table410[[#This Row],[RATE CONCAT]],Tables!I:N,5,0)</f>
        <v>#N/A</v>
      </c>
      <c r="AA129" s="123"/>
      <c r="AB129" s="84"/>
      <c r="AC129" s="84"/>
      <c r="AD129" s="84"/>
      <c r="AE129" s="84"/>
      <c r="AF129" s="84"/>
      <c r="AG129" s="84"/>
      <c r="AH129" s="84"/>
      <c r="AI129" s="84"/>
      <c r="AJ129" s="84"/>
      <c r="AK129" s="84"/>
      <c r="AL129" s="84"/>
      <c r="AM129" s="124"/>
      <c r="AN129" s="176">
        <f>IFERROR(AVERAGE(Table410[[#This Row],[Jan_2026_Days_Forecast]:[Dec_2026_Days_Forecast]]),0)/19</f>
        <v>0</v>
      </c>
      <c r="AO129" s="176">
        <f>IFERROR(AVERAGE(Table410[[#This Row],[Jan_2026_Days_Actual]:[Dec_2026_Days_Actual]]),0)/19</f>
        <v>0</v>
      </c>
      <c r="AP129" s="84"/>
      <c r="AQ129" s="84"/>
      <c r="AR129" s="84"/>
      <c r="AS129" s="84"/>
      <c r="AT129" s="84"/>
      <c r="AU129" s="84"/>
      <c r="AV129" s="84"/>
      <c r="AW129" s="84"/>
      <c r="AX129" s="84"/>
      <c r="AY129" s="84"/>
      <c r="AZ129" s="84"/>
      <c r="BA129" s="84"/>
      <c r="BB129" s="176">
        <f>IFERROR(AVERAGE(Table410[[#This Row],[Jan_2027_Days_Forecast]:[Dec_2027_Days_Forecast]]),0)</f>
        <v>0</v>
      </c>
      <c r="BC129" s="129"/>
      <c r="BD129" s="129"/>
      <c r="BE129" s="129"/>
      <c r="BF129" s="129"/>
      <c r="BG129" s="129"/>
      <c r="BH129" s="129"/>
      <c r="BI129" s="16"/>
      <c r="BJ129" s="16"/>
      <c r="BK129" s="16"/>
      <c r="BL129" s="16"/>
      <c r="BM129" s="16"/>
      <c r="BN129" s="125"/>
      <c r="BO129" s="176"/>
      <c r="BP129" s="176"/>
      <c r="BQ129" s="3">
        <f>IFERROR(Table410[[#This Row],[Jan_2026_Days_Forecast]]*Table410[[#This Row],[Cost Boolean]]*(VLOOKUP(Table410[[#This Row],[RATE CONCAT]],Tables!I:N,5,0)),0)</f>
        <v>0</v>
      </c>
      <c r="BR129" s="3">
        <f>IFERROR(Table410[[#This Row],[Jan_2026_Days_Actual]]*Table410[[#This Row],[Cost Boolean]]*(VLOOKUP(Table410[[#This Row],[RATE CONCAT]],Tables!I:N,5,0)),0)</f>
        <v>0</v>
      </c>
      <c r="BS129" s="13">
        <f>Table410[[#This Row],[Jan_2026_F]]-Table410[[#This Row],[Jan_2026_A]]</f>
        <v>0</v>
      </c>
      <c r="BT129" s="114"/>
      <c r="BU129" s="13">
        <f>IFERROR(Table410[[#This Row],[Feb_2026_Days_Forecast]]*Table410[[#This Row],[Cost Boolean]]*(VLOOKUP(Table410[[#This Row],[RATE CONCAT]],Tables!I:N,5,0)),0)</f>
        <v>0</v>
      </c>
      <c r="BV129" s="3">
        <f>IFERROR(Table410[[#This Row],[Feb_2026_Days_Actual]]*Table410[[#This Row],[Cost Boolean]]*(VLOOKUP(Table410[[#This Row],[RATE CONCAT]],Tables!I:N,5,0)),0)</f>
        <v>0</v>
      </c>
      <c r="BW129" s="13">
        <f>Table410[[#This Row],[Feb_2026_F]]-Table410[[#This Row],[Feb_2026_A]]</f>
        <v>0</v>
      </c>
      <c r="BX129" s="3"/>
      <c r="BY129" s="3">
        <f>IFERROR(Table410[[#This Row],[Mar_2026_Days_Forecast]]*Table410[[#This Row],[Cost Boolean]]*(VLOOKUP(Table410[[#This Row],[RATE CONCAT]],Tables!I:N,5,0)),0)</f>
        <v>0</v>
      </c>
      <c r="BZ129" s="3">
        <f>IFERROR(Table410[[#This Row],[Mar_2026_Days_Actual]]*Table410[[#This Row],[Cost Boolean]]*(VLOOKUP(Table410[[#This Row],[RATE CONCAT]],Tables!I:N,5,0)),0)</f>
        <v>0</v>
      </c>
      <c r="CA129" s="3">
        <f>Table410[[#This Row],[Mar_2026_F]]-Table410[[#This Row],[Mar_2026_A]]</f>
        <v>0</v>
      </c>
      <c r="CB129" s="103"/>
      <c r="CC129" s="3">
        <f>IFERROR(Table410[[#This Row],[Apr_2026_Days_Forecast]]*Table410[[#This Row],[Cost Boolean]]*(VLOOKUP(Table410[[#This Row],[RATE CONCAT]],Tables!I:N,5,0)),0)</f>
        <v>0</v>
      </c>
      <c r="CD129" s="3">
        <f>IFERROR(Table410[[#This Row],[Apr_2026_Days_Actual]]*Table410[[#This Row],[Cost Boolean]]*(VLOOKUP(Table410[[#This Row],[RATE CONCAT]],Tables!I:N,5,0)),0)</f>
        <v>0</v>
      </c>
      <c r="CE129" s="3">
        <f>Table410[[#This Row],[Apr_2026_F]]-Table410[[#This Row],[Apr_2026_A]]</f>
        <v>0</v>
      </c>
      <c r="CF129" s="103"/>
      <c r="CG129" s="3">
        <f>IFERROR(Table410[[#This Row],[May_2026_Days_Forecast]] *Table410[[#This Row],[Cost Boolean]]*(VLOOKUP(Table410[[#This Row],[RATE CONCAT]],Tables!I:N,5,0)),0)</f>
        <v>0</v>
      </c>
      <c r="CH129" s="3">
        <f>IFERROR(Table410[[#This Row],[May_2026_Days_Actual]]*Table410[[#This Row],[Cost Boolean]]*(VLOOKUP(Table410[[#This Row],[RATE CONCAT]],Tables!I:N,5,0)),0)</f>
        <v>0</v>
      </c>
      <c r="CI129" s="3">
        <f>Table410[[#This Row],[May_2026_F]]-Table410[[#This Row],[May_2026_A]]</f>
        <v>0</v>
      </c>
      <c r="CJ129" s="103"/>
      <c r="CK129" s="3">
        <f>IFERROR(Table410[[#This Row],[Jun_2026_Days_Forecast]]*Table410[[#This Row],[Cost Boolean]]*(VLOOKUP(Table410[[#This Row],[RATE CONCAT]],Tables!I:N,5,0)),0)</f>
        <v>0</v>
      </c>
      <c r="CL129" s="3">
        <f>IFERROR(Table410[[#This Row],[Jun_2026_Days_Actual]]*Table410[[#This Row],[Cost Boolean]]*(VLOOKUP(Table410[[#This Row],[RATE CONCAT]],Tables!I:N,5,0)),0)</f>
        <v>0</v>
      </c>
      <c r="CM129" s="3">
        <f>Table410[[#This Row],[Jun_2026_F]]-Table410[[#This Row],[Jun_2026_A]]</f>
        <v>0</v>
      </c>
      <c r="CN129" s="103"/>
      <c r="CO129" s="3">
        <f>IFERROR(Table410[[#This Row],[Jul_2026_Days_Forecast]]*Table410[[#This Row],[Cost Boolean]]*(VLOOKUP(Table410[[#This Row],[RATE CONCAT]],Tables!I:N,5,0)),0)</f>
        <v>0</v>
      </c>
      <c r="CP129" s="3">
        <f>IFERROR(Table410[[#This Row],[Jul_2026_Days_Actual]]*Table410[[#This Row],[Cost Boolean]]*(VLOOKUP(Table410[[#This Row],[RATE CONCAT]],Tables!I:N,5,0)),0)</f>
        <v>0</v>
      </c>
      <c r="CQ129" s="3">
        <f>Table410[[#This Row],[Jul_2026_F]]-Table410[[#This Row],[Jul_2026_A]]</f>
        <v>0</v>
      </c>
      <c r="CR129" s="103"/>
      <c r="CS129" s="3">
        <f>IFERROR(Table410[[#This Row],[Aug_2026_Days_Forecast]]*Table410[[#This Row],[Cost Boolean]]*(VLOOKUP(Table410[[#This Row],[RATE CONCAT]],Tables!I:N,5,0)),0)</f>
        <v>0</v>
      </c>
      <c r="CT129" s="3">
        <f>IFERROR(Table410[[#This Row],[Aug_2026_Days_Actual]]*Table410[[#This Row],[Cost Boolean]]*(VLOOKUP(Table410[[#This Row],[RATE CONCAT]],Tables!I:N,5,0)),0)</f>
        <v>0</v>
      </c>
      <c r="CU129" s="3">
        <f>Table410[[#This Row],[Aug_2026_F]]-Table410[[#This Row],[Aug_2026_A]]</f>
        <v>0</v>
      </c>
      <c r="CV129" s="103"/>
      <c r="CW129" s="3">
        <f>IFERROR(Table410[[#This Row],[Sep_2026_Days_Forecast]]*Table410[[#This Row],[Cost Boolean]]*(VLOOKUP(Table410[[#This Row],[RATE CONCAT]],Tables!I:N,5,0)),0)</f>
        <v>0</v>
      </c>
      <c r="CX129" s="3">
        <f>IFERROR(Table410[[#This Row],[Sep_2026_Days_Actual]]*Table410[[#This Row],[Cost Boolean]]*(VLOOKUP(Table410[[#This Row],[RATE CONCAT]],Tables!I:N,5,0)),0)</f>
        <v>0</v>
      </c>
      <c r="CY129" s="3">
        <f>Table410[[#This Row],[Sep_2026_F]]-Table410[[#This Row],[Sep_2026_A]]</f>
        <v>0</v>
      </c>
      <c r="CZ129" s="103"/>
      <c r="DA129" s="3">
        <f>IFERROR(Table410[[#This Row],[Oct_2026_Days_Forecast]]*Table410[[#This Row],[Cost Boolean]]*(VLOOKUP(Table410[[#This Row],[RATE CONCAT]],Tables!I:N,5,0)),0)</f>
        <v>0</v>
      </c>
      <c r="DB129" s="3">
        <f>IFERROR(Table410[[#This Row],[Oct_2026_Days_Actual]]*Table410[[#This Row],[Cost Boolean]]*(VLOOKUP(Table410[[#This Row],[RATE CONCAT]],Tables!I:N,5,0)),0)</f>
        <v>0</v>
      </c>
      <c r="DC129" s="3">
        <f>Table410[[#This Row],[Oct_2026_F]]-Table410[[#This Row],[Oct_2026_A]]</f>
        <v>0</v>
      </c>
      <c r="DD129" s="103"/>
      <c r="DE129" s="3">
        <f>IFERROR(Table410[[#This Row],[Nov_2026_Days_Forecast]]*Table410[[#This Row],[Cost Boolean]]*(VLOOKUP(Table410[[#This Row],[RATE CONCAT]],Tables!I:N,5,0)),0)</f>
        <v>0</v>
      </c>
      <c r="DF129" s="3">
        <f>IFERROR(Table410[[#This Row],[Nov_2026_Days_Actual]]*Table410[[#This Row],[Cost Boolean]]*(VLOOKUP(Table410[[#This Row],[RATE CONCAT]],Tables!I:N,5,0)),0)</f>
        <v>0</v>
      </c>
      <c r="DG129" s="3">
        <f>Table410[[#This Row],[Nov_2026_F]]-Table410[[#This Row],[Nov_2026_A]]</f>
        <v>0</v>
      </c>
      <c r="DH129" s="103"/>
      <c r="DI129" s="3">
        <f>IFERROR(Table410[[#This Row],[Dec_2026_Days_Forecast]]*Table410[[#This Row],[Cost Boolean]]*(VLOOKUP(Table410[[#This Row],[RATE CONCAT]],Tables!I:N,5,0)),0)</f>
        <v>0</v>
      </c>
      <c r="DJ129" s="3">
        <f>IFERROR(Table410[[#This Row],[Dec_2026_Days_Actual]]*Table410[[#This Row],[Cost Boolean]]*(VLOOKUP(Table410[[#This Row],[RATE CONCAT]],Tables!I:N,5,0)),0)</f>
        <v>0</v>
      </c>
      <c r="DK129" s="126">
        <f>Table410[[#This Row],[Dec_2026_F]]-Table410[[#This Row],[Dec_2026_A]]</f>
        <v>0</v>
      </c>
      <c r="DL129" s="103"/>
      <c r="DM129" s="60"/>
      <c r="DN129" s="3">
        <f>IFERROR(Table410[[#This Row],[Jan_2027_Days_Forecast]]*Table410[[#This Row],[Cost Boolean]]*(VLOOKUP(Table410[[#This Row],[RATE CONCAT]],Tables!I:N,6,0)),0)</f>
        <v>0</v>
      </c>
      <c r="DO129" s="3"/>
      <c r="DP129" s="3">
        <f>Table410[[#This Row],[Jan_2027_F]]-Table410[[#This Row],[Jan_2027_A]]</f>
        <v>0</v>
      </c>
      <c r="DQ129" s="3">
        <f>IFERROR(Table410[[#This Row],[Feb_2027_Days_Forecast]]*Table410[[#This Row],[Cost Boolean]]*(VLOOKUP(Table410[[#This Row],[RATE CONCAT]],Tables!I:N,6,0)),0)</f>
        <v>0</v>
      </c>
      <c r="DR129" s="3"/>
      <c r="DS129" s="3">
        <f>Table410[[#This Row],[Feb_2027_F]]-Table410[[#This Row],[Feb_2027_A]]</f>
        <v>0</v>
      </c>
      <c r="DT129" s="3">
        <f>IFERROR(Table410[[#This Row],[Mar_2027_Days_Forecast]]*Table410[[#This Row],[Cost Boolean]]*(VLOOKUP(Table410[[#This Row],[RATE CONCAT]],Tables!I:N,6,0)),0)</f>
        <v>0</v>
      </c>
      <c r="DU129" s="3"/>
      <c r="DV129" s="3">
        <f>Table410[[#This Row],[Mar_2027_F]]-Table410[[#This Row],[Mar_2027_A]]</f>
        <v>0</v>
      </c>
      <c r="DW129" s="3">
        <f>IFERROR(Table410[[#This Row],[Apr_2027_Days_Forecast]]*Table410[[#This Row],[Cost Boolean]]*(VLOOKUP(Table410[[#This Row],[RATE CONCAT]],Tables!I:N,6,0)),0)</f>
        <v>0</v>
      </c>
      <c r="DX129" s="3"/>
      <c r="DY129" s="3">
        <f>Table410[[#This Row],[Apr_2027_F]]-Table410[[#This Row],[Apr_2027_A]]</f>
        <v>0</v>
      </c>
      <c r="DZ129" s="3">
        <f>IFERROR(Table410[[#This Row],[May_2027_Days_Forecast]]*Table410[[#This Row],[Cost Boolean]]*(VLOOKUP(Table410[[#This Row],[RATE CONCAT]],Tables!I:N,6,0)),0)</f>
        <v>0</v>
      </c>
      <c r="EA129" s="3"/>
      <c r="EB129" s="3">
        <f>Table410[[#This Row],[May_2027_F]]-Table410[[#This Row],[May_2027_A]]</f>
        <v>0</v>
      </c>
      <c r="EC129" s="3">
        <f>IFERROR(Table410[[#This Row],[Jun_2027_Days_Forecast]]*Table410[[#This Row],[Cost Boolean]]*(VLOOKUP(Table410[[#This Row],[RATE CONCAT]],Tables!I:N,6,0)),0)</f>
        <v>0</v>
      </c>
      <c r="ED129" s="3"/>
      <c r="EE129" s="3">
        <f>Table410[[#This Row],[Jun_2027_F]]-Table410[[#This Row],[Jun_2027_A]]</f>
        <v>0</v>
      </c>
      <c r="EF129" s="3">
        <f>IFERROR(Table410[[#This Row],[Jul_2027_Days_Forecast]]*Table410[[#This Row],[Cost Boolean]]*(VLOOKUP(Table410[[#This Row],[RATE CONCAT]],Tables!I:N,6,0)),0)</f>
        <v>0</v>
      </c>
      <c r="EG129" s="3"/>
      <c r="EH129" s="3">
        <f>Table410[[#This Row],[Jul_2027_F]]-Table410[[#This Row],[Jul_2027_A]]</f>
        <v>0</v>
      </c>
      <c r="EI129" s="3">
        <f>IFERROR(Table410[[#This Row],[Aug_2027_Days_Forecast]]*Table410[[#This Row],[Cost Boolean]]*(VLOOKUP(Table410[[#This Row],[RATE CONCAT]],Tables!I:N,6,0)),0)</f>
        <v>0</v>
      </c>
      <c r="EJ129" s="3"/>
      <c r="EK129" s="3">
        <f>Table410[[#This Row],[Aug_2027_F]]-Table410[[#This Row],[Aug_2027_A]]</f>
        <v>0</v>
      </c>
      <c r="EL129" s="3">
        <f>IFERROR(Table410[[#This Row],[Sep_2027_Days_Forecast]]*Table410[[#This Row],[Cost Boolean]]*(VLOOKUP(Table410[[#This Row],[RATE CONCAT]],Tables!I:N,6,0)),0)</f>
        <v>0</v>
      </c>
      <c r="EM129" s="3"/>
      <c r="EN129" s="3">
        <f>Table410[[#This Row],[Sep_2027_F]]-Table410[[#This Row],[Sep_2027_A]]</f>
        <v>0</v>
      </c>
      <c r="EO129" s="3">
        <f>IFERROR(Table410[[#This Row],[Oct_2027_Days_Forecast]]*Table410[[#This Row],[Cost Boolean]]*(VLOOKUP(Table410[[#This Row],[RATE CONCAT]],Tables!I:N,6,0)),0)</f>
        <v>0</v>
      </c>
      <c r="EP129" s="3"/>
      <c r="EQ129" s="3">
        <f>Table410[[#This Row],[Oct_2027_F]]-Table410[[#This Row],[Oct_2027_A]]</f>
        <v>0</v>
      </c>
      <c r="ER129" s="3">
        <f>IFERROR(Table410[[#This Row],[Nov_2027_Days_Forecast]]*Table410[[#This Row],[Cost Boolean]]*(VLOOKUP(Table410[[#This Row],[RATE CONCAT]],Tables!I:N,6,0)),0)</f>
        <v>0</v>
      </c>
      <c r="ES129" s="3"/>
      <c r="ET129" s="3">
        <f>Table410[[#This Row],[Nov_2027_F]]-Table410[[#This Row],[Nov_2027_A]]</f>
        <v>0</v>
      </c>
      <c r="EU129" s="3">
        <f>IFERROR(Table410[[#This Row],[Dec_2027_Days_Forecast]]*Table410[[#This Row],[Cost Boolean]]*(VLOOKUP(Table410[[#This Row],[RATE CONCAT]],Tables!I:N,6,0)),0)</f>
        <v>0</v>
      </c>
      <c r="EV129" s="3"/>
      <c r="EW129" s="3">
        <f>Table410[[#This Row],[Dec_2027_F]]-Table410[[#This Row],[Dec_2027_A]]</f>
        <v>0</v>
      </c>
    </row>
    <row r="130" spans="1:153" ht="1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Z130" s="14" t="e">
        <f>VLOOKUP(Table410[[#This Row],[RATE CONCAT]],Tables!I:N,5,0)</f>
        <v>#N/A</v>
      </c>
      <c r="AA130" s="123"/>
      <c r="AB130" s="84"/>
      <c r="AC130" s="84"/>
      <c r="AD130" s="84"/>
      <c r="AE130" s="84"/>
      <c r="AF130" s="84"/>
      <c r="AG130" s="84"/>
      <c r="AH130" s="84"/>
      <c r="AI130" s="84"/>
      <c r="AJ130" s="84"/>
      <c r="AK130" s="84"/>
      <c r="AL130" s="84"/>
      <c r="AM130" s="124"/>
      <c r="AN130" s="176">
        <f>IFERROR(AVERAGE(Table410[[#This Row],[Jan_2026_Days_Forecast]:[Dec_2026_Days_Forecast]]),0)/19</f>
        <v>0</v>
      </c>
      <c r="AO130" s="176">
        <f>IFERROR(AVERAGE(Table410[[#This Row],[Jan_2026_Days_Actual]:[Dec_2026_Days_Actual]]),0)/19</f>
        <v>0</v>
      </c>
      <c r="AP130" s="84"/>
      <c r="AQ130" s="84"/>
      <c r="AR130" s="84"/>
      <c r="AS130" s="84"/>
      <c r="AT130" s="84"/>
      <c r="AU130" s="84"/>
      <c r="AV130" s="84"/>
      <c r="AW130" s="84"/>
      <c r="AX130" s="84"/>
      <c r="AY130" s="84"/>
      <c r="AZ130" s="84"/>
      <c r="BA130" s="84"/>
      <c r="BB130" s="176">
        <f>IFERROR(AVERAGE(Table410[[#This Row],[Jan_2027_Days_Forecast]:[Dec_2027_Days_Forecast]]),0)</f>
        <v>0</v>
      </c>
      <c r="BC130" s="129"/>
      <c r="BD130" s="129"/>
      <c r="BE130" s="129"/>
      <c r="BF130" s="129"/>
      <c r="BG130" s="129"/>
      <c r="BH130" s="129"/>
      <c r="BI130" s="16"/>
      <c r="BJ130" s="16"/>
      <c r="BK130" s="16"/>
      <c r="BL130" s="16"/>
      <c r="BM130" s="16"/>
      <c r="BN130" s="125"/>
      <c r="BO130" s="176"/>
      <c r="BP130" s="176"/>
      <c r="BQ130" s="3">
        <f>IFERROR(Table410[[#This Row],[Jan_2026_Days_Forecast]]*Table410[[#This Row],[Cost Boolean]]*(VLOOKUP(Table410[[#This Row],[RATE CONCAT]],Tables!I:N,5,0)),0)</f>
        <v>0</v>
      </c>
      <c r="BR130" s="3">
        <f>IFERROR(Table410[[#This Row],[Jan_2026_Days_Actual]]*Table410[[#This Row],[Cost Boolean]]*(VLOOKUP(Table410[[#This Row],[RATE CONCAT]],Tables!I:N,5,0)),0)</f>
        <v>0</v>
      </c>
      <c r="BS130" s="13">
        <f>Table410[[#This Row],[Jan_2026_F]]-Table410[[#This Row],[Jan_2026_A]]</f>
        <v>0</v>
      </c>
      <c r="BT130" s="114"/>
      <c r="BU130" s="13">
        <f>IFERROR(Table410[[#This Row],[Feb_2026_Days_Forecast]]*Table410[[#This Row],[Cost Boolean]]*(VLOOKUP(Table410[[#This Row],[RATE CONCAT]],Tables!I:N,5,0)),0)</f>
        <v>0</v>
      </c>
      <c r="BV130" s="3">
        <f>IFERROR(Table410[[#This Row],[Feb_2026_Days_Actual]]*Table410[[#This Row],[Cost Boolean]]*(VLOOKUP(Table410[[#This Row],[RATE CONCAT]],Tables!I:N,5,0)),0)</f>
        <v>0</v>
      </c>
      <c r="BW130" s="13">
        <f>Table410[[#This Row],[Feb_2026_F]]-Table410[[#This Row],[Feb_2026_A]]</f>
        <v>0</v>
      </c>
      <c r="BX130" s="3"/>
      <c r="BY130" s="3">
        <f>IFERROR(Table410[[#This Row],[Mar_2026_Days_Forecast]]*Table410[[#This Row],[Cost Boolean]]*(VLOOKUP(Table410[[#This Row],[RATE CONCAT]],Tables!I:N,5,0)),0)</f>
        <v>0</v>
      </c>
      <c r="BZ130" s="3">
        <f>IFERROR(Table410[[#This Row],[Mar_2026_Days_Actual]]*Table410[[#This Row],[Cost Boolean]]*(VLOOKUP(Table410[[#This Row],[RATE CONCAT]],Tables!I:N,5,0)),0)</f>
        <v>0</v>
      </c>
      <c r="CA130" s="3">
        <f>Table410[[#This Row],[Mar_2026_F]]-Table410[[#This Row],[Mar_2026_A]]</f>
        <v>0</v>
      </c>
      <c r="CB130" s="103"/>
      <c r="CC130" s="3">
        <f>IFERROR(Table410[[#This Row],[Apr_2026_Days_Forecast]]*Table410[[#This Row],[Cost Boolean]]*(VLOOKUP(Table410[[#This Row],[RATE CONCAT]],Tables!I:N,5,0)),0)</f>
        <v>0</v>
      </c>
      <c r="CD130" s="3">
        <f>IFERROR(Table410[[#This Row],[Apr_2026_Days_Actual]]*Table410[[#This Row],[Cost Boolean]]*(VLOOKUP(Table410[[#This Row],[RATE CONCAT]],Tables!I:N,5,0)),0)</f>
        <v>0</v>
      </c>
      <c r="CE130" s="3">
        <f>Table410[[#This Row],[Apr_2026_F]]-Table410[[#This Row],[Apr_2026_A]]</f>
        <v>0</v>
      </c>
      <c r="CF130" s="103"/>
      <c r="CG130" s="3">
        <f>IFERROR(Table410[[#This Row],[May_2026_Days_Forecast]] *Table410[[#This Row],[Cost Boolean]]*(VLOOKUP(Table410[[#This Row],[RATE CONCAT]],Tables!I:N,5,0)),0)</f>
        <v>0</v>
      </c>
      <c r="CH130" s="3">
        <f>IFERROR(Table410[[#This Row],[May_2026_Days_Actual]]*Table410[[#This Row],[Cost Boolean]]*(VLOOKUP(Table410[[#This Row],[RATE CONCAT]],Tables!I:N,5,0)),0)</f>
        <v>0</v>
      </c>
      <c r="CI130" s="3">
        <f>Table410[[#This Row],[May_2026_F]]-Table410[[#This Row],[May_2026_A]]</f>
        <v>0</v>
      </c>
      <c r="CJ130" s="103"/>
      <c r="CK130" s="3">
        <f>IFERROR(Table410[[#This Row],[Jun_2026_Days_Forecast]]*Table410[[#This Row],[Cost Boolean]]*(VLOOKUP(Table410[[#This Row],[RATE CONCAT]],Tables!I:N,5,0)),0)</f>
        <v>0</v>
      </c>
      <c r="CL130" s="3">
        <f>IFERROR(Table410[[#This Row],[Jun_2026_Days_Actual]]*Table410[[#This Row],[Cost Boolean]]*(VLOOKUP(Table410[[#This Row],[RATE CONCAT]],Tables!I:N,5,0)),0)</f>
        <v>0</v>
      </c>
      <c r="CM130" s="3">
        <f>Table410[[#This Row],[Jun_2026_F]]-Table410[[#This Row],[Jun_2026_A]]</f>
        <v>0</v>
      </c>
      <c r="CN130" s="103"/>
      <c r="CO130" s="3">
        <f>IFERROR(Table410[[#This Row],[Jul_2026_Days_Forecast]]*Table410[[#This Row],[Cost Boolean]]*(VLOOKUP(Table410[[#This Row],[RATE CONCAT]],Tables!I:N,5,0)),0)</f>
        <v>0</v>
      </c>
      <c r="CP130" s="3">
        <f>IFERROR(Table410[[#This Row],[Jul_2026_Days_Actual]]*Table410[[#This Row],[Cost Boolean]]*(VLOOKUP(Table410[[#This Row],[RATE CONCAT]],Tables!I:N,5,0)),0)</f>
        <v>0</v>
      </c>
      <c r="CQ130" s="3">
        <f>Table410[[#This Row],[Jul_2026_F]]-Table410[[#This Row],[Jul_2026_A]]</f>
        <v>0</v>
      </c>
      <c r="CR130" s="103"/>
      <c r="CS130" s="3">
        <f>IFERROR(Table410[[#This Row],[Aug_2026_Days_Forecast]]*Table410[[#This Row],[Cost Boolean]]*(VLOOKUP(Table410[[#This Row],[RATE CONCAT]],Tables!I:N,5,0)),0)</f>
        <v>0</v>
      </c>
      <c r="CT130" s="3">
        <f>IFERROR(Table410[[#This Row],[Aug_2026_Days_Actual]]*Table410[[#This Row],[Cost Boolean]]*(VLOOKUP(Table410[[#This Row],[RATE CONCAT]],Tables!I:N,5,0)),0)</f>
        <v>0</v>
      </c>
      <c r="CU130" s="3">
        <f>Table410[[#This Row],[Aug_2026_F]]-Table410[[#This Row],[Aug_2026_A]]</f>
        <v>0</v>
      </c>
      <c r="CV130" s="103"/>
      <c r="CW130" s="3">
        <f>IFERROR(Table410[[#This Row],[Sep_2026_Days_Forecast]]*Table410[[#This Row],[Cost Boolean]]*(VLOOKUP(Table410[[#This Row],[RATE CONCAT]],Tables!I:N,5,0)),0)</f>
        <v>0</v>
      </c>
      <c r="CX130" s="3">
        <f>IFERROR(Table410[[#This Row],[Sep_2026_Days_Actual]]*Table410[[#This Row],[Cost Boolean]]*(VLOOKUP(Table410[[#This Row],[RATE CONCAT]],Tables!I:N,5,0)),0)</f>
        <v>0</v>
      </c>
      <c r="CY130" s="3">
        <f>Table410[[#This Row],[Sep_2026_F]]-Table410[[#This Row],[Sep_2026_A]]</f>
        <v>0</v>
      </c>
      <c r="CZ130" s="103"/>
      <c r="DA130" s="3">
        <f>IFERROR(Table410[[#This Row],[Oct_2026_Days_Forecast]]*Table410[[#This Row],[Cost Boolean]]*(VLOOKUP(Table410[[#This Row],[RATE CONCAT]],Tables!I:N,5,0)),0)</f>
        <v>0</v>
      </c>
      <c r="DB130" s="3">
        <f>IFERROR(Table410[[#This Row],[Oct_2026_Days_Actual]]*Table410[[#This Row],[Cost Boolean]]*(VLOOKUP(Table410[[#This Row],[RATE CONCAT]],Tables!I:N,5,0)),0)</f>
        <v>0</v>
      </c>
      <c r="DC130" s="3">
        <f>Table410[[#This Row],[Oct_2026_F]]-Table410[[#This Row],[Oct_2026_A]]</f>
        <v>0</v>
      </c>
      <c r="DD130" s="103"/>
      <c r="DE130" s="3">
        <f>IFERROR(Table410[[#This Row],[Nov_2026_Days_Forecast]]*Table410[[#This Row],[Cost Boolean]]*(VLOOKUP(Table410[[#This Row],[RATE CONCAT]],Tables!I:N,5,0)),0)</f>
        <v>0</v>
      </c>
      <c r="DF130" s="3">
        <f>IFERROR(Table410[[#This Row],[Nov_2026_Days_Actual]]*Table410[[#This Row],[Cost Boolean]]*(VLOOKUP(Table410[[#This Row],[RATE CONCAT]],Tables!I:N,5,0)),0)</f>
        <v>0</v>
      </c>
      <c r="DG130" s="3">
        <f>Table410[[#This Row],[Nov_2026_F]]-Table410[[#This Row],[Nov_2026_A]]</f>
        <v>0</v>
      </c>
      <c r="DH130" s="103"/>
      <c r="DI130" s="3">
        <f>IFERROR(Table410[[#This Row],[Dec_2026_Days_Forecast]]*Table410[[#This Row],[Cost Boolean]]*(VLOOKUP(Table410[[#This Row],[RATE CONCAT]],Tables!I:N,5,0)),0)</f>
        <v>0</v>
      </c>
      <c r="DJ130" s="3">
        <f>IFERROR(Table410[[#This Row],[Dec_2026_Days_Actual]]*Table410[[#This Row],[Cost Boolean]]*(VLOOKUP(Table410[[#This Row],[RATE CONCAT]],Tables!I:N,5,0)),0)</f>
        <v>0</v>
      </c>
      <c r="DK130" s="126">
        <f>Table410[[#This Row],[Dec_2026_F]]-Table410[[#This Row],[Dec_2026_A]]</f>
        <v>0</v>
      </c>
      <c r="DL130" s="103"/>
      <c r="DM130" s="60"/>
      <c r="DN130" s="3">
        <f>IFERROR(Table410[[#This Row],[Jan_2027_Days_Forecast]]*Table410[[#This Row],[Cost Boolean]]*(VLOOKUP(Table410[[#This Row],[RATE CONCAT]],Tables!I:N,6,0)),0)</f>
        <v>0</v>
      </c>
      <c r="DO130" s="3"/>
      <c r="DP130" s="3">
        <f>Table410[[#This Row],[Jan_2027_F]]-Table410[[#This Row],[Jan_2027_A]]</f>
        <v>0</v>
      </c>
      <c r="DQ130" s="3">
        <f>IFERROR(Table410[[#This Row],[Feb_2027_Days_Forecast]]*Table410[[#This Row],[Cost Boolean]]*(VLOOKUP(Table410[[#This Row],[RATE CONCAT]],Tables!I:N,6,0)),0)</f>
        <v>0</v>
      </c>
      <c r="DR130" s="3"/>
      <c r="DS130" s="3">
        <f>Table410[[#This Row],[Feb_2027_F]]-Table410[[#This Row],[Feb_2027_A]]</f>
        <v>0</v>
      </c>
      <c r="DT130" s="3">
        <f>IFERROR(Table410[[#This Row],[Mar_2027_Days_Forecast]]*Table410[[#This Row],[Cost Boolean]]*(VLOOKUP(Table410[[#This Row],[RATE CONCAT]],Tables!I:N,6,0)),0)</f>
        <v>0</v>
      </c>
      <c r="DU130" s="3"/>
      <c r="DV130" s="3">
        <f>Table410[[#This Row],[Mar_2027_F]]-Table410[[#This Row],[Mar_2027_A]]</f>
        <v>0</v>
      </c>
      <c r="DW130" s="3">
        <f>IFERROR(Table410[[#This Row],[Apr_2027_Days_Forecast]]*Table410[[#This Row],[Cost Boolean]]*(VLOOKUP(Table410[[#This Row],[RATE CONCAT]],Tables!I:N,6,0)),0)</f>
        <v>0</v>
      </c>
      <c r="DX130" s="3"/>
      <c r="DY130" s="3">
        <f>Table410[[#This Row],[Apr_2027_F]]-Table410[[#This Row],[Apr_2027_A]]</f>
        <v>0</v>
      </c>
      <c r="DZ130" s="3">
        <f>IFERROR(Table410[[#This Row],[May_2027_Days_Forecast]]*Table410[[#This Row],[Cost Boolean]]*(VLOOKUP(Table410[[#This Row],[RATE CONCAT]],Tables!I:N,6,0)),0)</f>
        <v>0</v>
      </c>
      <c r="EA130" s="3"/>
      <c r="EB130" s="3">
        <f>Table410[[#This Row],[May_2027_F]]-Table410[[#This Row],[May_2027_A]]</f>
        <v>0</v>
      </c>
      <c r="EC130" s="3">
        <f>IFERROR(Table410[[#This Row],[Jun_2027_Days_Forecast]]*Table410[[#This Row],[Cost Boolean]]*(VLOOKUP(Table410[[#This Row],[RATE CONCAT]],Tables!I:N,6,0)),0)</f>
        <v>0</v>
      </c>
      <c r="ED130" s="3"/>
      <c r="EE130" s="3">
        <f>Table410[[#This Row],[Jun_2027_F]]-Table410[[#This Row],[Jun_2027_A]]</f>
        <v>0</v>
      </c>
      <c r="EF130" s="3">
        <f>IFERROR(Table410[[#This Row],[Jul_2027_Days_Forecast]]*Table410[[#This Row],[Cost Boolean]]*(VLOOKUP(Table410[[#This Row],[RATE CONCAT]],Tables!I:N,6,0)),0)</f>
        <v>0</v>
      </c>
      <c r="EG130" s="3"/>
      <c r="EH130" s="3">
        <f>Table410[[#This Row],[Jul_2027_F]]-Table410[[#This Row],[Jul_2027_A]]</f>
        <v>0</v>
      </c>
      <c r="EI130" s="3">
        <f>IFERROR(Table410[[#This Row],[Aug_2027_Days_Forecast]]*Table410[[#This Row],[Cost Boolean]]*(VLOOKUP(Table410[[#This Row],[RATE CONCAT]],Tables!I:N,6,0)),0)</f>
        <v>0</v>
      </c>
      <c r="EJ130" s="3"/>
      <c r="EK130" s="3">
        <f>Table410[[#This Row],[Aug_2027_F]]-Table410[[#This Row],[Aug_2027_A]]</f>
        <v>0</v>
      </c>
      <c r="EL130" s="3">
        <f>IFERROR(Table410[[#This Row],[Sep_2027_Days_Forecast]]*Table410[[#This Row],[Cost Boolean]]*(VLOOKUP(Table410[[#This Row],[RATE CONCAT]],Tables!I:N,6,0)),0)</f>
        <v>0</v>
      </c>
      <c r="EM130" s="3"/>
      <c r="EN130" s="3">
        <f>Table410[[#This Row],[Sep_2027_F]]-Table410[[#This Row],[Sep_2027_A]]</f>
        <v>0</v>
      </c>
      <c r="EO130" s="3">
        <f>IFERROR(Table410[[#This Row],[Oct_2027_Days_Forecast]]*Table410[[#This Row],[Cost Boolean]]*(VLOOKUP(Table410[[#This Row],[RATE CONCAT]],Tables!I:N,6,0)),0)</f>
        <v>0</v>
      </c>
      <c r="EP130" s="3"/>
      <c r="EQ130" s="3">
        <f>Table410[[#This Row],[Oct_2027_F]]-Table410[[#This Row],[Oct_2027_A]]</f>
        <v>0</v>
      </c>
      <c r="ER130" s="3">
        <f>IFERROR(Table410[[#This Row],[Nov_2027_Days_Forecast]]*Table410[[#This Row],[Cost Boolean]]*(VLOOKUP(Table410[[#This Row],[RATE CONCAT]],Tables!I:N,6,0)),0)</f>
        <v>0</v>
      </c>
      <c r="ES130" s="3"/>
      <c r="ET130" s="3">
        <f>Table410[[#This Row],[Nov_2027_F]]-Table410[[#This Row],[Nov_2027_A]]</f>
        <v>0</v>
      </c>
      <c r="EU130" s="3">
        <f>IFERROR(Table410[[#This Row],[Dec_2027_Days_Forecast]]*Table410[[#This Row],[Cost Boolean]]*(VLOOKUP(Table410[[#This Row],[RATE CONCAT]],Tables!I:N,6,0)),0)</f>
        <v>0</v>
      </c>
      <c r="EV130" s="3"/>
      <c r="EW130" s="3">
        <f>Table410[[#This Row],[Dec_2027_F]]-Table410[[#This Row],[Dec_2027_A]]</f>
        <v>0</v>
      </c>
    </row>
    <row r="131" spans="1:153" ht="1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Z131" s="14" t="e">
        <f>VLOOKUP(Table410[[#This Row],[RATE CONCAT]],Tables!I:N,5,0)</f>
        <v>#N/A</v>
      </c>
      <c r="AA131" s="123"/>
      <c r="AB131" s="84"/>
      <c r="AC131" s="84"/>
      <c r="AD131" s="84"/>
      <c r="AE131" s="84"/>
      <c r="AF131" s="84"/>
      <c r="AG131" s="84"/>
      <c r="AH131" s="84"/>
      <c r="AI131" s="84"/>
      <c r="AJ131" s="84"/>
      <c r="AK131" s="84"/>
      <c r="AL131" s="84"/>
      <c r="AM131" s="124"/>
      <c r="AN131" s="176">
        <f>IFERROR(AVERAGE(Table410[[#This Row],[Jan_2026_Days_Forecast]:[Dec_2026_Days_Forecast]]),0)/19</f>
        <v>0</v>
      </c>
      <c r="AO131" s="176">
        <f>IFERROR(AVERAGE(Table410[[#This Row],[Jan_2026_Days_Actual]:[Dec_2026_Days_Actual]]),0)/19</f>
        <v>0</v>
      </c>
      <c r="AP131" s="84"/>
      <c r="AQ131" s="84"/>
      <c r="AR131" s="84"/>
      <c r="AS131" s="84"/>
      <c r="AT131" s="84"/>
      <c r="AU131" s="84"/>
      <c r="AV131" s="84"/>
      <c r="AW131" s="84"/>
      <c r="AX131" s="84"/>
      <c r="AY131" s="84"/>
      <c r="AZ131" s="84"/>
      <c r="BA131" s="84"/>
      <c r="BB131" s="176">
        <f>IFERROR(AVERAGE(Table410[[#This Row],[Jan_2027_Days_Forecast]:[Dec_2027_Days_Forecast]]),0)</f>
        <v>0</v>
      </c>
      <c r="BC131" s="129"/>
      <c r="BD131" s="129"/>
      <c r="BE131" s="129"/>
      <c r="BF131" s="129"/>
      <c r="BG131" s="129"/>
      <c r="BH131" s="129"/>
      <c r="BI131" s="16"/>
      <c r="BJ131" s="16"/>
      <c r="BK131" s="16"/>
      <c r="BL131" s="16"/>
      <c r="BM131" s="16"/>
      <c r="BN131" s="125"/>
      <c r="BO131" s="176"/>
      <c r="BP131" s="176"/>
      <c r="BQ131" s="3">
        <f>IFERROR(Table410[[#This Row],[Jan_2026_Days_Forecast]]*Table410[[#This Row],[Cost Boolean]]*(VLOOKUP(Table410[[#This Row],[RATE CONCAT]],Tables!I:N,5,0)),0)</f>
        <v>0</v>
      </c>
      <c r="BR131" s="3">
        <f>IFERROR(Table410[[#This Row],[Jan_2026_Days_Actual]]*Table410[[#This Row],[Cost Boolean]]*(VLOOKUP(Table410[[#This Row],[RATE CONCAT]],Tables!I:N,5,0)),0)</f>
        <v>0</v>
      </c>
      <c r="BS131" s="13">
        <f>Table410[[#This Row],[Jan_2026_F]]-Table410[[#This Row],[Jan_2026_A]]</f>
        <v>0</v>
      </c>
      <c r="BT131" s="114"/>
      <c r="BU131" s="13">
        <f>IFERROR(Table410[[#This Row],[Feb_2026_Days_Forecast]]*Table410[[#This Row],[Cost Boolean]]*(VLOOKUP(Table410[[#This Row],[RATE CONCAT]],Tables!I:N,5,0)),0)</f>
        <v>0</v>
      </c>
      <c r="BV131" s="3">
        <f>IFERROR(Table410[[#This Row],[Feb_2026_Days_Actual]]*Table410[[#This Row],[Cost Boolean]]*(VLOOKUP(Table410[[#This Row],[RATE CONCAT]],Tables!I:N,5,0)),0)</f>
        <v>0</v>
      </c>
      <c r="BW131" s="13">
        <f>Table410[[#This Row],[Feb_2026_F]]-Table410[[#This Row],[Feb_2026_A]]</f>
        <v>0</v>
      </c>
      <c r="BX131" s="3"/>
      <c r="BY131" s="3">
        <f>IFERROR(Table410[[#This Row],[Mar_2026_Days_Forecast]]*Table410[[#This Row],[Cost Boolean]]*(VLOOKUP(Table410[[#This Row],[RATE CONCAT]],Tables!I:N,5,0)),0)</f>
        <v>0</v>
      </c>
      <c r="BZ131" s="3">
        <f>IFERROR(Table410[[#This Row],[Mar_2026_Days_Actual]]*Table410[[#This Row],[Cost Boolean]]*(VLOOKUP(Table410[[#This Row],[RATE CONCAT]],Tables!I:N,5,0)),0)</f>
        <v>0</v>
      </c>
      <c r="CA131" s="3">
        <f>Table410[[#This Row],[Mar_2026_F]]-Table410[[#This Row],[Mar_2026_A]]</f>
        <v>0</v>
      </c>
      <c r="CB131" s="103"/>
      <c r="CC131" s="3">
        <f>IFERROR(Table410[[#This Row],[Apr_2026_Days_Forecast]]*Table410[[#This Row],[Cost Boolean]]*(VLOOKUP(Table410[[#This Row],[RATE CONCAT]],Tables!I:N,5,0)),0)</f>
        <v>0</v>
      </c>
      <c r="CD131" s="3">
        <f>IFERROR(Table410[[#This Row],[Apr_2026_Days_Actual]]*Table410[[#This Row],[Cost Boolean]]*(VLOOKUP(Table410[[#This Row],[RATE CONCAT]],Tables!I:N,5,0)),0)</f>
        <v>0</v>
      </c>
      <c r="CE131" s="3">
        <f>Table410[[#This Row],[Apr_2026_F]]-Table410[[#This Row],[Apr_2026_A]]</f>
        <v>0</v>
      </c>
      <c r="CF131" s="103"/>
      <c r="CG131" s="3">
        <f>IFERROR(Table410[[#This Row],[May_2026_Days_Forecast]] *Table410[[#This Row],[Cost Boolean]]*(VLOOKUP(Table410[[#This Row],[RATE CONCAT]],Tables!I:N,5,0)),0)</f>
        <v>0</v>
      </c>
      <c r="CH131" s="3">
        <f>IFERROR(Table410[[#This Row],[May_2026_Days_Actual]]*Table410[[#This Row],[Cost Boolean]]*(VLOOKUP(Table410[[#This Row],[RATE CONCAT]],Tables!I:N,5,0)),0)</f>
        <v>0</v>
      </c>
      <c r="CI131" s="3">
        <f>Table410[[#This Row],[May_2026_F]]-Table410[[#This Row],[May_2026_A]]</f>
        <v>0</v>
      </c>
      <c r="CJ131" s="103"/>
      <c r="CK131" s="3">
        <f>IFERROR(Table410[[#This Row],[Jun_2026_Days_Forecast]]*Table410[[#This Row],[Cost Boolean]]*(VLOOKUP(Table410[[#This Row],[RATE CONCAT]],Tables!I:N,5,0)),0)</f>
        <v>0</v>
      </c>
      <c r="CL131" s="3">
        <f>IFERROR(Table410[[#This Row],[Jun_2026_Days_Actual]]*Table410[[#This Row],[Cost Boolean]]*(VLOOKUP(Table410[[#This Row],[RATE CONCAT]],Tables!I:N,5,0)),0)</f>
        <v>0</v>
      </c>
      <c r="CM131" s="3">
        <f>Table410[[#This Row],[Jun_2026_F]]-Table410[[#This Row],[Jun_2026_A]]</f>
        <v>0</v>
      </c>
      <c r="CN131" s="103"/>
      <c r="CO131" s="3">
        <f>IFERROR(Table410[[#This Row],[Jul_2026_Days_Forecast]]*Table410[[#This Row],[Cost Boolean]]*(VLOOKUP(Table410[[#This Row],[RATE CONCAT]],Tables!I:N,5,0)),0)</f>
        <v>0</v>
      </c>
      <c r="CP131" s="3">
        <f>IFERROR(Table410[[#This Row],[Jul_2026_Days_Actual]]*Table410[[#This Row],[Cost Boolean]]*(VLOOKUP(Table410[[#This Row],[RATE CONCAT]],Tables!I:N,5,0)),0)</f>
        <v>0</v>
      </c>
      <c r="CQ131" s="3">
        <f>Table410[[#This Row],[Jul_2026_F]]-Table410[[#This Row],[Jul_2026_A]]</f>
        <v>0</v>
      </c>
      <c r="CR131" s="103"/>
      <c r="CS131" s="3">
        <f>IFERROR(Table410[[#This Row],[Aug_2026_Days_Forecast]]*Table410[[#This Row],[Cost Boolean]]*(VLOOKUP(Table410[[#This Row],[RATE CONCAT]],Tables!I:N,5,0)),0)</f>
        <v>0</v>
      </c>
      <c r="CT131" s="3">
        <f>IFERROR(Table410[[#This Row],[Aug_2026_Days_Actual]]*Table410[[#This Row],[Cost Boolean]]*(VLOOKUP(Table410[[#This Row],[RATE CONCAT]],Tables!I:N,5,0)),0)</f>
        <v>0</v>
      </c>
      <c r="CU131" s="3">
        <f>Table410[[#This Row],[Aug_2026_F]]-Table410[[#This Row],[Aug_2026_A]]</f>
        <v>0</v>
      </c>
      <c r="CV131" s="103"/>
      <c r="CW131" s="3">
        <f>IFERROR(Table410[[#This Row],[Sep_2026_Days_Forecast]]*Table410[[#This Row],[Cost Boolean]]*(VLOOKUP(Table410[[#This Row],[RATE CONCAT]],Tables!I:N,5,0)),0)</f>
        <v>0</v>
      </c>
      <c r="CX131" s="3">
        <f>IFERROR(Table410[[#This Row],[Sep_2026_Days_Actual]]*Table410[[#This Row],[Cost Boolean]]*(VLOOKUP(Table410[[#This Row],[RATE CONCAT]],Tables!I:N,5,0)),0)</f>
        <v>0</v>
      </c>
      <c r="CY131" s="3">
        <f>Table410[[#This Row],[Sep_2026_F]]-Table410[[#This Row],[Sep_2026_A]]</f>
        <v>0</v>
      </c>
      <c r="CZ131" s="103"/>
      <c r="DA131" s="3">
        <f>IFERROR(Table410[[#This Row],[Oct_2026_Days_Forecast]]*Table410[[#This Row],[Cost Boolean]]*(VLOOKUP(Table410[[#This Row],[RATE CONCAT]],Tables!I:N,5,0)),0)</f>
        <v>0</v>
      </c>
      <c r="DB131" s="3">
        <f>IFERROR(Table410[[#This Row],[Oct_2026_Days_Actual]]*Table410[[#This Row],[Cost Boolean]]*(VLOOKUP(Table410[[#This Row],[RATE CONCAT]],Tables!I:N,5,0)),0)</f>
        <v>0</v>
      </c>
      <c r="DC131" s="3">
        <f>Table410[[#This Row],[Oct_2026_F]]-Table410[[#This Row],[Oct_2026_A]]</f>
        <v>0</v>
      </c>
      <c r="DD131" s="103"/>
      <c r="DE131" s="3">
        <f>IFERROR(Table410[[#This Row],[Nov_2026_Days_Forecast]]*Table410[[#This Row],[Cost Boolean]]*(VLOOKUP(Table410[[#This Row],[RATE CONCAT]],Tables!I:N,5,0)),0)</f>
        <v>0</v>
      </c>
      <c r="DF131" s="3">
        <f>IFERROR(Table410[[#This Row],[Nov_2026_Days_Actual]]*Table410[[#This Row],[Cost Boolean]]*(VLOOKUP(Table410[[#This Row],[RATE CONCAT]],Tables!I:N,5,0)),0)</f>
        <v>0</v>
      </c>
      <c r="DG131" s="3">
        <f>Table410[[#This Row],[Nov_2026_F]]-Table410[[#This Row],[Nov_2026_A]]</f>
        <v>0</v>
      </c>
      <c r="DH131" s="103"/>
      <c r="DI131" s="3">
        <f>IFERROR(Table410[[#This Row],[Dec_2026_Days_Forecast]]*Table410[[#This Row],[Cost Boolean]]*(VLOOKUP(Table410[[#This Row],[RATE CONCAT]],Tables!I:N,5,0)),0)</f>
        <v>0</v>
      </c>
      <c r="DJ131" s="3">
        <f>IFERROR(Table410[[#This Row],[Dec_2026_Days_Actual]]*Table410[[#This Row],[Cost Boolean]]*(VLOOKUP(Table410[[#This Row],[RATE CONCAT]],Tables!I:N,5,0)),0)</f>
        <v>0</v>
      </c>
      <c r="DK131" s="126">
        <f>Table410[[#This Row],[Dec_2026_F]]-Table410[[#This Row],[Dec_2026_A]]</f>
        <v>0</v>
      </c>
      <c r="DL131" s="103"/>
      <c r="DM131" s="60"/>
      <c r="DN131" s="3">
        <f>IFERROR(Table410[[#This Row],[Jan_2027_Days_Forecast]]*Table410[[#This Row],[Cost Boolean]]*(VLOOKUP(Table410[[#This Row],[RATE CONCAT]],Tables!I:N,6,0)),0)</f>
        <v>0</v>
      </c>
      <c r="DO131" s="3"/>
      <c r="DP131" s="3">
        <f>Table410[[#This Row],[Jan_2027_F]]-Table410[[#This Row],[Jan_2027_A]]</f>
        <v>0</v>
      </c>
      <c r="DQ131" s="3">
        <f>IFERROR(Table410[[#This Row],[Feb_2027_Days_Forecast]]*Table410[[#This Row],[Cost Boolean]]*(VLOOKUP(Table410[[#This Row],[RATE CONCAT]],Tables!I:N,6,0)),0)</f>
        <v>0</v>
      </c>
      <c r="DR131" s="3"/>
      <c r="DS131" s="3">
        <f>Table410[[#This Row],[Feb_2027_F]]-Table410[[#This Row],[Feb_2027_A]]</f>
        <v>0</v>
      </c>
      <c r="DT131" s="3">
        <f>IFERROR(Table410[[#This Row],[Mar_2027_Days_Forecast]]*Table410[[#This Row],[Cost Boolean]]*(VLOOKUP(Table410[[#This Row],[RATE CONCAT]],Tables!I:N,6,0)),0)</f>
        <v>0</v>
      </c>
      <c r="DU131" s="3"/>
      <c r="DV131" s="3">
        <f>Table410[[#This Row],[Mar_2027_F]]-Table410[[#This Row],[Mar_2027_A]]</f>
        <v>0</v>
      </c>
      <c r="DW131" s="3">
        <f>IFERROR(Table410[[#This Row],[Apr_2027_Days_Forecast]]*Table410[[#This Row],[Cost Boolean]]*(VLOOKUP(Table410[[#This Row],[RATE CONCAT]],Tables!I:N,6,0)),0)</f>
        <v>0</v>
      </c>
      <c r="DX131" s="3"/>
      <c r="DY131" s="3">
        <f>Table410[[#This Row],[Apr_2027_F]]-Table410[[#This Row],[Apr_2027_A]]</f>
        <v>0</v>
      </c>
      <c r="DZ131" s="3">
        <f>IFERROR(Table410[[#This Row],[May_2027_Days_Forecast]]*Table410[[#This Row],[Cost Boolean]]*(VLOOKUP(Table410[[#This Row],[RATE CONCAT]],Tables!I:N,6,0)),0)</f>
        <v>0</v>
      </c>
      <c r="EA131" s="3"/>
      <c r="EB131" s="3">
        <f>Table410[[#This Row],[May_2027_F]]-Table410[[#This Row],[May_2027_A]]</f>
        <v>0</v>
      </c>
      <c r="EC131" s="3">
        <f>IFERROR(Table410[[#This Row],[Jun_2027_Days_Forecast]]*Table410[[#This Row],[Cost Boolean]]*(VLOOKUP(Table410[[#This Row],[RATE CONCAT]],Tables!I:N,6,0)),0)</f>
        <v>0</v>
      </c>
      <c r="ED131" s="3"/>
      <c r="EE131" s="3">
        <f>Table410[[#This Row],[Jun_2027_F]]-Table410[[#This Row],[Jun_2027_A]]</f>
        <v>0</v>
      </c>
      <c r="EF131" s="3">
        <f>IFERROR(Table410[[#This Row],[Jul_2027_Days_Forecast]]*Table410[[#This Row],[Cost Boolean]]*(VLOOKUP(Table410[[#This Row],[RATE CONCAT]],Tables!I:N,6,0)),0)</f>
        <v>0</v>
      </c>
      <c r="EG131" s="3"/>
      <c r="EH131" s="3">
        <f>Table410[[#This Row],[Jul_2027_F]]-Table410[[#This Row],[Jul_2027_A]]</f>
        <v>0</v>
      </c>
      <c r="EI131" s="3">
        <f>IFERROR(Table410[[#This Row],[Aug_2027_Days_Forecast]]*Table410[[#This Row],[Cost Boolean]]*(VLOOKUP(Table410[[#This Row],[RATE CONCAT]],Tables!I:N,6,0)),0)</f>
        <v>0</v>
      </c>
      <c r="EJ131" s="3"/>
      <c r="EK131" s="3">
        <f>Table410[[#This Row],[Aug_2027_F]]-Table410[[#This Row],[Aug_2027_A]]</f>
        <v>0</v>
      </c>
      <c r="EL131" s="3">
        <f>IFERROR(Table410[[#This Row],[Sep_2027_Days_Forecast]]*Table410[[#This Row],[Cost Boolean]]*(VLOOKUP(Table410[[#This Row],[RATE CONCAT]],Tables!I:N,6,0)),0)</f>
        <v>0</v>
      </c>
      <c r="EM131" s="3"/>
      <c r="EN131" s="3">
        <f>Table410[[#This Row],[Sep_2027_F]]-Table410[[#This Row],[Sep_2027_A]]</f>
        <v>0</v>
      </c>
      <c r="EO131" s="3">
        <f>IFERROR(Table410[[#This Row],[Oct_2027_Days_Forecast]]*Table410[[#This Row],[Cost Boolean]]*(VLOOKUP(Table410[[#This Row],[RATE CONCAT]],Tables!I:N,6,0)),0)</f>
        <v>0</v>
      </c>
      <c r="EP131" s="3"/>
      <c r="EQ131" s="3">
        <f>Table410[[#This Row],[Oct_2027_F]]-Table410[[#This Row],[Oct_2027_A]]</f>
        <v>0</v>
      </c>
      <c r="ER131" s="3">
        <f>IFERROR(Table410[[#This Row],[Nov_2027_Days_Forecast]]*Table410[[#This Row],[Cost Boolean]]*(VLOOKUP(Table410[[#This Row],[RATE CONCAT]],Tables!I:N,6,0)),0)</f>
        <v>0</v>
      </c>
      <c r="ES131" s="3"/>
      <c r="ET131" s="3">
        <f>Table410[[#This Row],[Nov_2027_F]]-Table410[[#This Row],[Nov_2027_A]]</f>
        <v>0</v>
      </c>
      <c r="EU131" s="3">
        <f>IFERROR(Table410[[#This Row],[Dec_2027_Days_Forecast]]*Table410[[#This Row],[Cost Boolean]]*(VLOOKUP(Table410[[#This Row],[RATE CONCAT]],Tables!I:N,6,0)),0)</f>
        <v>0</v>
      </c>
      <c r="EV131" s="3"/>
      <c r="EW131" s="3">
        <f>Table410[[#This Row],[Dec_2027_F]]-Table410[[#This Row],[Dec_2027_A]]</f>
        <v>0</v>
      </c>
    </row>
    <row r="132" spans="1:153" ht="1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Z132" s="14" t="e">
        <f>VLOOKUP(Table410[[#This Row],[RATE CONCAT]],Tables!I:N,5,0)</f>
        <v>#N/A</v>
      </c>
      <c r="AA132" s="123"/>
      <c r="AB132" s="84"/>
      <c r="AC132" s="84"/>
      <c r="AD132" s="84"/>
      <c r="AE132" s="84"/>
      <c r="AF132" s="84"/>
      <c r="AG132" s="84"/>
      <c r="AH132" s="84"/>
      <c r="AI132" s="84"/>
      <c r="AJ132" s="84"/>
      <c r="AK132" s="84"/>
      <c r="AL132" s="84"/>
      <c r="AM132" s="124"/>
      <c r="AN132" s="176">
        <f>IFERROR(AVERAGE(Table410[[#This Row],[Jan_2026_Days_Forecast]:[Dec_2026_Days_Forecast]]),0)/19</f>
        <v>0</v>
      </c>
      <c r="AO132" s="176">
        <f>IFERROR(AVERAGE(Table410[[#This Row],[Jan_2026_Days_Actual]:[Dec_2026_Days_Actual]]),0)/19</f>
        <v>0</v>
      </c>
      <c r="AP132" s="84"/>
      <c r="AQ132" s="84"/>
      <c r="AR132" s="84"/>
      <c r="AS132" s="84"/>
      <c r="AT132" s="84"/>
      <c r="AU132" s="84"/>
      <c r="AV132" s="84"/>
      <c r="AW132" s="84"/>
      <c r="AX132" s="84"/>
      <c r="AY132" s="84"/>
      <c r="AZ132" s="84"/>
      <c r="BA132" s="84"/>
      <c r="BB132" s="176">
        <f>IFERROR(AVERAGE(Table410[[#This Row],[Jan_2027_Days_Forecast]:[Dec_2027_Days_Forecast]]),0)</f>
        <v>0</v>
      </c>
      <c r="BC132" s="129"/>
      <c r="BD132" s="129"/>
      <c r="BE132" s="129"/>
      <c r="BF132" s="129"/>
      <c r="BG132" s="129"/>
      <c r="BH132" s="129"/>
      <c r="BI132" s="16"/>
      <c r="BJ132" s="16"/>
      <c r="BK132" s="16"/>
      <c r="BL132" s="16"/>
      <c r="BM132" s="16"/>
      <c r="BN132" s="125"/>
      <c r="BO132" s="176"/>
      <c r="BP132" s="176"/>
      <c r="BQ132" s="3">
        <f>IFERROR(Table410[[#This Row],[Jan_2026_Days_Forecast]]*Table410[[#This Row],[Cost Boolean]]*(VLOOKUP(Table410[[#This Row],[RATE CONCAT]],Tables!I:N,5,0)),0)</f>
        <v>0</v>
      </c>
      <c r="BR132" s="3">
        <f>IFERROR(Table410[[#This Row],[Jan_2026_Days_Actual]]*Table410[[#This Row],[Cost Boolean]]*(VLOOKUP(Table410[[#This Row],[RATE CONCAT]],Tables!I:N,5,0)),0)</f>
        <v>0</v>
      </c>
      <c r="BS132" s="13">
        <f>Table410[[#This Row],[Jan_2026_F]]-Table410[[#This Row],[Jan_2026_A]]</f>
        <v>0</v>
      </c>
      <c r="BT132" s="114"/>
      <c r="BU132" s="13">
        <f>IFERROR(Table410[[#This Row],[Feb_2026_Days_Forecast]]*Table410[[#This Row],[Cost Boolean]]*(VLOOKUP(Table410[[#This Row],[RATE CONCAT]],Tables!I:N,5,0)),0)</f>
        <v>0</v>
      </c>
      <c r="BV132" s="3">
        <f>IFERROR(Table410[[#This Row],[Feb_2026_Days_Actual]]*Table410[[#This Row],[Cost Boolean]]*(VLOOKUP(Table410[[#This Row],[RATE CONCAT]],Tables!I:N,5,0)),0)</f>
        <v>0</v>
      </c>
      <c r="BW132" s="13">
        <f>Table410[[#This Row],[Feb_2026_F]]-Table410[[#This Row],[Feb_2026_A]]</f>
        <v>0</v>
      </c>
      <c r="BX132" s="3"/>
      <c r="BY132" s="3">
        <f>IFERROR(Table410[[#This Row],[Mar_2026_Days_Forecast]]*Table410[[#This Row],[Cost Boolean]]*(VLOOKUP(Table410[[#This Row],[RATE CONCAT]],Tables!I:N,5,0)),0)</f>
        <v>0</v>
      </c>
      <c r="BZ132" s="3">
        <f>IFERROR(Table410[[#This Row],[Mar_2026_Days_Actual]]*Table410[[#This Row],[Cost Boolean]]*(VLOOKUP(Table410[[#This Row],[RATE CONCAT]],Tables!I:N,5,0)),0)</f>
        <v>0</v>
      </c>
      <c r="CA132" s="3">
        <f>Table410[[#This Row],[Mar_2026_F]]-Table410[[#This Row],[Mar_2026_A]]</f>
        <v>0</v>
      </c>
      <c r="CB132" s="103"/>
      <c r="CC132" s="3">
        <f>IFERROR(Table410[[#This Row],[Apr_2026_Days_Forecast]]*Table410[[#This Row],[Cost Boolean]]*(VLOOKUP(Table410[[#This Row],[RATE CONCAT]],Tables!I:N,5,0)),0)</f>
        <v>0</v>
      </c>
      <c r="CD132" s="3">
        <f>IFERROR(Table410[[#This Row],[Apr_2026_Days_Actual]]*Table410[[#This Row],[Cost Boolean]]*(VLOOKUP(Table410[[#This Row],[RATE CONCAT]],Tables!I:N,5,0)),0)</f>
        <v>0</v>
      </c>
      <c r="CE132" s="3">
        <f>Table410[[#This Row],[Apr_2026_F]]-Table410[[#This Row],[Apr_2026_A]]</f>
        <v>0</v>
      </c>
      <c r="CF132" s="103"/>
      <c r="CG132" s="3">
        <f>IFERROR(Table410[[#This Row],[May_2026_Days_Forecast]] *Table410[[#This Row],[Cost Boolean]]*(VLOOKUP(Table410[[#This Row],[RATE CONCAT]],Tables!I:N,5,0)),0)</f>
        <v>0</v>
      </c>
      <c r="CH132" s="3">
        <f>IFERROR(Table410[[#This Row],[May_2026_Days_Actual]]*Table410[[#This Row],[Cost Boolean]]*(VLOOKUP(Table410[[#This Row],[RATE CONCAT]],Tables!I:N,5,0)),0)</f>
        <v>0</v>
      </c>
      <c r="CI132" s="3">
        <f>Table410[[#This Row],[May_2026_F]]-Table410[[#This Row],[May_2026_A]]</f>
        <v>0</v>
      </c>
      <c r="CJ132" s="103"/>
      <c r="CK132" s="3">
        <f>IFERROR(Table410[[#This Row],[Jun_2026_Days_Forecast]]*Table410[[#This Row],[Cost Boolean]]*(VLOOKUP(Table410[[#This Row],[RATE CONCAT]],Tables!I:N,5,0)),0)</f>
        <v>0</v>
      </c>
      <c r="CL132" s="3">
        <f>IFERROR(Table410[[#This Row],[Jun_2026_Days_Actual]]*Table410[[#This Row],[Cost Boolean]]*(VLOOKUP(Table410[[#This Row],[RATE CONCAT]],Tables!I:N,5,0)),0)</f>
        <v>0</v>
      </c>
      <c r="CM132" s="3">
        <f>Table410[[#This Row],[Jun_2026_F]]-Table410[[#This Row],[Jun_2026_A]]</f>
        <v>0</v>
      </c>
      <c r="CN132" s="103"/>
      <c r="CO132" s="3">
        <f>IFERROR(Table410[[#This Row],[Jul_2026_Days_Forecast]]*Table410[[#This Row],[Cost Boolean]]*(VLOOKUP(Table410[[#This Row],[RATE CONCAT]],Tables!I:N,5,0)),0)</f>
        <v>0</v>
      </c>
      <c r="CP132" s="3">
        <f>IFERROR(Table410[[#This Row],[Jul_2026_Days_Actual]]*Table410[[#This Row],[Cost Boolean]]*(VLOOKUP(Table410[[#This Row],[RATE CONCAT]],Tables!I:N,5,0)),0)</f>
        <v>0</v>
      </c>
      <c r="CQ132" s="3">
        <f>Table410[[#This Row],[Jul_2026_F]]-Table410[[#This Row],[Jul_2026_A]]</f>
        <v>0</v>
      </c>
      <c r="CR132" s="103"/>
      <c r="CS132" s="3">
        <f>IFERROR(Table410[[#This Row],[Aug_2026_Days_Forecast]]*Table410[[#This Row],[Cost Boolean]]*(VLOOKUP(Table410[[#This Row],[RATE CONCAT]],Tables!I:N,5,0)),0)</f>
        <v>0</v>
      </c>
      <c r="CT132" s="3">
        <f>IFERROR(Table410[[#This Row],[Aug_2026_Days_Actual]]*Table410[[#This Row],[Cost Boolean]]*(VLOOKUP(Table410[[#This Row],[RATE CONCAT]],Tables!I:N,5,0)),0)</f>
        <v>0</v>
      </c>
      <c r="CU132" s="3">
        <f>Table410[[#This Row],[Aug_2026_F]]-Table410[[#This Row],[Aug_2026_A]]</f>
        <v>0</v>
      </c>
      <c r="CV132" s="103"/>
      <c r="CW132" s="3">
        <f>IFERROR(Table410[[#This Row],[Sep_2026_Days_Forecast]]*Table410[[#This Row],[Cost Boolean]]*(VLOOKUP(Table410[[#This Row],[RATE CONCAT]],Tables!I:N,5,0)),0)</f>
        <v>0</v>
      </c>
      <c r="CX132" s="3">
        <f>IFERROR(Table410[[#This Row],[Sep_2026_Days_Actual]]*Table410[[#This Row],[Cost Boolean]]*(VLOOKUP(Table410[[#This Row],[RATE CONCAT]],Tables!I:N,5,0)),0)</f>
        <v>0</v>
      </c>
      <c r="CY132" s="3">
        <f>Table410[[#This Row],[Sep_2026_F]]-Table410[[#This Row],[Sep_2026_A]]</f>
        <v>0</v>
      </c>
      <c r="CZ132" s="103"/>
      <c r="DA132" s="3">
        <f>IFERROR(Table410[[#This Row],[Oct_2026_Days_Forecast]]*Table410[[#This Row],[Cost Boolean]]*(VLOOKUP(Table410[[#This Row],[RATE CONCAT]],Tables!I:N,5,0)),0)</f>
        <v>0</v>
      </c>
      <c r="DB132" s="3">
        <f>IFERROR(Table410[[#This Row],[Oct_2026_Days_Actual]]*Table410[[#This Row],[Cost Boolean]]*(VLOOKUP(Table410[[#This Row],[RATE CONCAT]],Tables!I:N,5,0)),0)</f>
        <v>0</v>
      </c>
      <c r="DC132" s="3">
        <f>Table410[[#This Row],[Oct_2026_F]]-Table410[[#This Row],[Oct_2026_A]]</f>
        <v>0</v>
      </c>
      <c r="DD132" s="103"/>
      <c r="DE132" s="3">
        <f>IFERROR(Table410[[#This Row],[Nov_2026_Days_Forecast]]*Table410[[#This Row],[Cost Boolean]]*(VLOOKUP(Table410[[#This Row],[RATE CONCAT]],Tables!I:N,5,0)),0)</f>
        <v>0</v>
      </c>
      <c r="DF132" s="3">
        <f>IFERROR(Table410[[#This Row],[Nov_2026_Days_Actual]]*Table410[[#This Row],[Cost Boolean]]*(VLOOKUP(Table410[[#This Row],[RATE CONCAT]],Tables!I:N,5,0)),0)</f>
        <v>0</v>
      </c>
      <c r="DG132" s="3">
        <f>Table410[[#This Row],[Nov_2026_F]]-Table410[[#This Row],[Nov_2026_A]]</f>
        <v>0</v>
      </c>
      <c r="DH132" s="103"/>
      <c r="DI132" s="3">
        <f>IFERROR(Table410[[#This Row],[Dec_2026_Days_Forecast]]*Table410[[#This Row],[Cost Boolean]]*(VLOOKUP(Table410[[#This Row],[RATE CONCAT]],Tables!I:N,5,0)),0)</f>
        <v>0</v>
      </c>
      <c r="DJ132" s="3">
        <f>IFERROR(Table410[[#This Row],[Dec_2026_Days_Actual]]*Table410[[#This Row],[Cost Boolean]]*(VLOOKUP(Table410[[#This Row],[RATE CONCAT]],Tables!I:N,5,0)),0)</f>
        <v>0</v>
      </c>
      <c r="DK132" s="126">
        <f>Table410[[#This Row],[Dec_2026_F]]-Table410[[#This Row],[Dec_2026_A]]</f>
        <v>0</v>
      </c>
      <c r="DL132" s="103"/>
      <c r="DM132" s="60"/>
      <c r="DN132" s="3">
        <f>IFERROR(Table410[[#This Row],[Jan_2027_Days_Forecast]]*Table410[[#This Row],[Cost Boolean]]*(VLOOKUP(Table410[[#This Row],[RATE CONCAT]],Tables!I:N,6,0)),0)</f>
        <v>0</v>
      </c>
      <c r="DO132" s="3"/>
      <c r="DP132" s="3">
        <f>Table410[[#This Row],[Jan_2027_F]]-Table410[[#This Row],[Jan_2027_A]]</f>
        <v>0</v>
      </c>
      <c r="DQ132" s="3">
        <f>IFERROR(Table410[[#This Row],[Feb_2027_Days_Forecast]]*Table410[[#This Row],[Cost Boolean]]*(VLOOKUP(Table410[[#This Row],[RATE CONCAT]],Tables!I:N,6,0)),0)</f>
        <v>0</v>
      </c>
      <c r="DR132" s="3"/>
      <c r="DS132" s="3">
        <f>Table410[[#This Row],[Feb_2027_F]]-Table410[[#This Row],[Feb_2027_A]]</f>
        <v>0</v>
      </c>
      <c r="DT132" s="3">
        <f>IFERROR(Table410[[#This Row],[Mar_2027_Days_Forecast]]*Table410[[#This Row],[Cost Boolean]]*(VLOOKUP(Table410[[#This Row],[RATE CONCAT]],Tables!I:N,6,0)),0)</f>
        <v>0</v>
      </c>
      <c r="DU132" s="3"/>
      <c r="DV132" s="3">
        <f>Table410[[#This Row],[Mar_2027_F]]-Table410[[#This Row],[Mar_2027_A]]</f>
        <v>0</v>
      </c>
      <c r="DW132" s="3">
        <f>IFERROR(Table410[[#This Row],[Apr_2027_Days_Forecast]]*Table410[[#This Row],[Cost Boolean]]*(VLOOKUP(Table410[[#This Row],[RATE CONCAT]],Tables!I:N,6,0)),0)</f>
        <v>0</v>
      </c>
      <c r="DX132" s="3"/>
      <c r="DY132" s="3">
        <f>Table410[[#This Row],[Apr_2027_F]]-Table410[[#This Row],[Apr_2027_A]]</f>
        <v>0</v>
      </c>
      <c r="DZ132" s="3">
        <f>IFERROR(Table410[[#This Row],[May_2027_Days_Forecast]]*Table410[[#This Row],[Cost Boolean]]*(VLOOKUP(Table410[[#This Row],[RATE CONCAT]],Tables!I:N,6,0)),0)</f>
        <v>0</v>
      </c>
      <c r="EA132" s="3"/>
      <c r="EB132" s="3">
        <f>Table410[[#This Row],[May_2027_F]]-Table410[[#This Row],[May_2027_A]]</f>
        <v>0</v>
      </c>
      <c r="EC132" s="3">
        <f>IFERROR(Table410[[#This Row],[Jun_2027_Days_Forecast]]*Table410[[#This Row],[Cost Boolean]]*(VLOOKUP(Table410[[#This Row],[RATE CONCAT]],Tables!I:N,6,0)),0)</f>
        <v>0</v>
      </c>
      <c r="ED132" s="3"/>
      <c r="EE132" s="3">
        <f>Table410[[#This Row],[Jun_2027_F]]-Table410[[#This Row],[Jun_2027_A]]</f>
        <v>0</v>
      </c>
      <c r="EF132" s="3">
        <f>IFERROR(Table410[[#This Row],[Jul_2027_Days_Forecast]]*Table410[[#This Row],[Cost Boolean]]*(VLOOKUP(Table410[[#This Row],[RATE CONCAT]],Tables!I:N,6,0)),0)</f>
        <v>0</v>
      </c>
      <c r="EG132" s="3"/>
      <c r="EH132" s="3">
        <f>Table410[[#This Row],[Jul_2027_F]]-Table410[[#This Row],[Jul_2027_A]]</f>
        <v>0</v>
      </c>
      <c r="EI132" s="3">
        <f>IFERROR(Table410[[#This Row],[Aug_2027_Days_Forecast]]*Table410[[#This Row],[Cost Boolean]]*(VLOOKUP(Table410[[#This Row],[RATE CONCAT]],Tables!I:N,6,0)),0)</f>
        <v>0</v>
      </c>
      <c r="EJ132" s="3"/>
      <c r="EK132" s="3">
        <f>Table410[[#This Row],[Aug_2027_F]]-Table410[[#This Row],[Aug_2027_A]]</f>
        <v>0</v>
      </c>
      <c r="EL132" s="3">
        <f>IFERROR(Table410[[#This Row],[Sep_2027_Days_Forecast]]*Table410[[#This Row],[Cost Boolean]]*(VLOOKUP(Table410[[#This Row],[RATE CONCAT]],Tables!I:N,6,0)),0)</f>
        <v>0</v>
      </c>
      <c r="EM132" s="3"/>
      <c r="EN132" s="3">
        <f>Table410[[#This Row],[Sep_2027_F]]-Table410[[#This Row],[Sep_2027_A]]</f>
        <v>0</v>
      </c>
      <c r="EO132" s="3">
        <f>IFERROR(Table410[[#This Row],[Oct_2027_Days_Forecast]]*Table410[[#This Row],[Cost Boolean]]*(VLOOKUP(Table410[[#This Row],[RATE CONCAT]],Tables!I:N,6,0)),0)</f>
        <v>0</v>
      </c>
      <c r="EP132" s="3"/>
      <c r="EQ132" s="3">
        <f>Table410[[#This Row],[Oct_2027_F]]-Table410[[#This Row],[Oct_2027_A]]</f>
        <v>0</v>
      </c>
      <c r="ER132" s="3">
        <f>IFERROR(Table410[[#This Row],[Nov_2027_Days_Forecast]]*Table410[[#This Row],[Cost Boolean]]*(VLOOKUP(Table410[[#This Row],[RATE CONCAT]],Tables!I:N,6,0)),0)</f>
        <v>0</v>
      </c>
      <c r="ES132" s="3"/>
      <c r="ET132" s="3">
        <f>Table410[[#This Row],[Nov_2027_F]]-Table410[[#This Row],[Nov_2027_A]]</f>
        <v>0</v>
      </c>
      <c r="EU132" s="3">
        <f>IFERROR(Table410[[#This Row],[Dec_2027_Days_Forecast]]*Table410[[#This Row],[Cost Boolean]]*(VLOOKUP(Table410[[#This Row],[RATE CONCAT]],Tables!I:N,6,0)),0)</f>
        <v>0</v>
      </c>
      <c r="EV132" s="3"/>
      <c r="EW132" s="3">
        <f>Table410[[#This Row],[Dec_2027_F]]-Table410[[#This Row],[Dec_2027_A]]</f>
        <v>0</v>
      </c>
    </row>
    <row r="133" spans="1:153" ht="1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Z133" s="14" t="e">
        <f>VLOOKUP(Table410[[#This Row],[RATE CONCAT]],Tables!I:N,5,0)</f>
        <v>#N/A</v>
      </c>
      <c r="AA133" s="123"/>
      <c r="AB133" s="84"/>
      <c r="AC133" s="84"/>
      <c r="AD133" s="84"/>
      <c r="AE133" s="84"/>
      <c r="AF133" s="84"/>
      <c r="AG133" s="84"/>
      <c r="AH133" s="84"/>
      <c r="AI133" s="84"/>
      <c r="AJ133" s="84"/>
      <c r="AK133" s="84"/>
      <c r="AL133" s="84"/>
      <c r="AM133" s="124"/>
      <c r="AN133" s="176">
        <f>IFERROR(AVERAGE(Table410[[#This Row],[Jan_2026_Days_Forecast]:[Dec_2026_Days_Forecast]]),0)/19</f>
        <v>0</v>
      </c>
      <c r="AO133" s="176">
        <f>IFERROR(AVERAGE(Table410[[#This Row],[Jan_2026_Days_Actual]:[Dec_2026_Days_Actual]]),0)/19</f>
        <v>0</v>
      </c>
      <c r="AP133" s="84"/>
      <c r="AQ133" s="84"/>
      <c r="AR133" s="84"/>
      <c r="AS133" s="84"/>
      <c r="AT133" s="84"/>
      <c r="AU133" s="84"/>
      <c r="AV133" s="84"/>
      <c r="AW133" s="84"/>
      <c r="AX133" s="84"/>
      <c r="AY133" s="84"/>
      <c r="AZ133" s="84"/>
      <c r="BA133" s="84"/>
      <c r="BB133" s="176">
        <f>IFERROR(AVERAGE(Table410[[#This Row],[Jan_2027_Days_Forecast]:[Dec_2027_Days_Forecast]]),0)</f>
        <v>0</v>
      </c>
      <c r="BC133" s="129"/>
      <c r="BD133" s="129"/>
      <c r="BE133" s="129"/>
      <c r="BF133" s="129"/>
      <c r="BG133" s="129"/>
      <c r="BH133" s="129"/>
      <c r="BI133" s="16"/>
      <c r="BJ133" s="16"/>
      <c r="BK133" s="16"/>
      <c r="BL133" s="16"/>
      <c r="BM133" s="16"/>
      <c r="BN133" s="125"/>
      <c r="BO133" s="176"/>
      <c r="BP133" s="176"/>
      <c r="BQ133" s="3">
        <f>IFERROR(Table410[[#This Row],[Jan_2026_Days_Forecast]]*Table410[[#This Row],[Cost Boolean]]*(VLOOKUP(Table410[[#This Row],[RATE CONCAT]],Tables!I:N,5,0)),0)</f>
        <v>0</v>
      </c>
      <c r="BR133" s="3">
        <f>IFERROR(Table410[[#This Row],[Jan_2026_Days_Actual]]*Table410[[#This Row],[Cost Boolean]]*(VLOOKUP(Table410[[#This Row],[RATE CONCAT]],Tables!I:N,5,0)),0)</f>
        <v>0</v>
      </c>
      <c r="BS133" s="13">
        <f>Table410[[#This Row],[Jan_2026_F]]-Table410[[#This Row],[Jan_2026_A]]</f>
        <v>0</v>
      </c>
      <c r="BT133" s="114"/>
      <c r="BU133" s="13">
        <f>IFERROR(Table410[[#This Row],[Feb_2026_Days_Forecast]]*Table410[[#This Row],[Cost Boolean]]*(VLOOKUP(Table410[[#This Row],[RATE CONCAT]],Tables!I:N,5,0)),0)</f>
        <v>0</v>
      </c>
      <c r="BV133" s="3">
        <f>IFERROR(Table410[[#This Row],[Feb_2026_Days_Actual]]*Table410[[#This Row],[Cost Boolean]]*(VLOOKUP(Table410[[#This Row],[RATE CONCAT]],Tables!I:N,5,0)),0)</f>
        <v>0</v>
      </c>
      <c r="BW133" s="13">
        <f>Table410[[#This Row],[Feb_2026_F]]-Table410[[#This Row],[Feb_2026_A]]</f>
        <v>0</v>
      </c>
      <c r="BX133" s="3"/>
      <c r="BY133" s="3">
        <f>IFERROR(Table410[[#This Row],[Mar_2026_Days_Forecast]]*Table410[[#This Row],[Cost Boolean]]*(VLOOKUP(Table410[[#This Row],[RATE CONCAT]],Tables!I:N,5,0)),0)</f>
        <v>0</v>
      </c>
      <c r="BZ133" s="3">
        <f>IFERROR(Table410[[#This Row],[Mar_2026_Days_Actual]]*Table410[[#This Row],[Cost Boolean]]*(VLOOKUP(Table410[[#This Row],[RATE CONCAT]],Tables!I:N,5,0)),0)</f>
        <v>0</v>
      </c>
      <c r="CA133" s="3">
        <f>Table410[[#This Row],[Mar_2026_F]]-Table410[[#This Row],[Mar_2026_A]]</f>
        <v>0</v>
      </c>
      <c r="CB133" s="103"/>
      <c r="CC133" s="3">
        <f>IFERROR(Table410[[#This Row],[Apr_2026_Days_Forecast]]*Table410[[#This Row],[Cost Boolean]]*(VLOOKUP(Table410[[#This Row],[RATE CONCAT]],Tables!I:N,5,0)),0)</f>
        <v>0</v>
      </c>
      <c r="CD133" s="3">
        <f>IFERROR(Table410[[#This Row],[Apr_2026_Days_Actual]]*Table410[[#This Row],[Cost Boolean]]*(VLOOKUP(Table410[[#This Row],[RATE CONCAT]],Tables!I:N,5,0)),0)</f>
        <v>0</v>
      </c>
      <c r="CE133" s="3">
        <f>Table410[[#This Row],[Apr_2026_F]]-Table410[[#This Row],[Apr_2026_A]]</f>
        <v>0</v>
      </c>
      <c r="CF133" s="103"/>
      <c r="CG133" s="3">
        <f>IFERROR(Table410[[#This Row],[May_2026_Days_Forecast]] *Table410[[#This Row],[Cost Boolean]]*(VLOOKUP(Table410[[#This Row],[RATE CONCAT]],Tables!I:N,5,0)),0)</f>
        <v>0</v>
      </c>
      <c r="CH133" s="3">
        <f>IFERROR(Table410[[#This Row],[May_2026_Days_Actual]]*Table410[[#This Row],[Cost Boolean]]*(VLOOKUP(Table410[[#This Row],[RATE CONCAT]],Tables!I:N,5,0)),0)</f>
        <v>0</v>
      </c>
      <c r="CI133" s="3">
        <f>Table410[[#This Row],[May_2026_F]]-Table410[[#This Row],[May_2026_A]]</f>
        <v>0</v>
      </c>
      <c r="CJ133" s="103"/>
      <c r="CK133" s="3">
        <f>IFERROR(Table410[[#This Row],[Jun_2026_Days_Forecast]]*Table410[[#This Row],[Cost Boolean]]*(VLOOKUP(Table410[[#This Row],[RATE CONCAT]],Tables!I:N,5,0)),0)</f>
        <v>0</v>
      </c>
      <c r="CL133" s="3">
        <f>IFERROR(Table410[[#This Row],[Jun_2026_Days_Actual]]*Table410[[#This Row],[Cost Boolean]]*(VLOOKUP(Table410[[#This Row],[RATE CONCAT]],Tables!I:N,5,0)),0)</f>
        <v>0</v>
      </c>
      <c r="CM133" s="3">
        <f>Table410[[#This Row],[Jun_2026_F]]-Table410[[#This Row],[Jun_2026_A]]</f>
        <v>0</v>
      </c>
      <c r="CN133" s="103"/>
      <c r="CO133" s="3">
        <f>IFERROR(Table410[[#This Row],[Jul_2026_Days_Forecast]]*Table410[[#This Row],[Cost Boolean]]*(VLOOKUP(Table410[[#This Row],[RATE CONCAT]],Tables!I:N,5,0)),0)</f>
        <v>0</v>
      </c>
      <c r="CP133" s="3">
        <f>IFERROR(Table410[[#This Row],[Jul_2026_Days_Actual]]*Table410[[#This Row],[Cost Boolean]]*(VLOOKUP(Table410[[#This Row],[RATE CONCAT]],Tables!I:N,5,0)),0)</f>
        <v>0</v>
      </c>
      <c r="CQ133" s="3">
        <f>Table410[[#This Row],[Jul_2026_F]]-Table410[[#This Row],[Jul_2026_A]]</f>
        <v>0</v>
      </c>
      <c r="CR133" s="103"/>
      <c r="CS133" s="3">
        <f>IFERROR(Table410[[#This Row],[Aug_2026_Days_Forecast]]*Table410[[#This Row],[Cost Boolean]]*(VLOOKUP(Table410[[#This Row],[RATE CONCAT]],Tables!I:N,5,0)),0)</f>
        <v>0</v>
      </c>
      <c r="CT133" s="3">
        <f>IFERROR(Table410[[#This Row],[Aug_2026_Days_Actual]]*Table410[[#This Row],[Cost Boolean]]*(VLOOKUP(Table410[[#This Row],[RATE CONCAT]],Tables!I:N,5,0)),0)</f>
        <v>0</v>
      </c>
      <c r="CU133" s="3">
        <f>Table410[[#This Row],[Aug_2026_F]]-Table410[[#This Row],[Aug_2026_A]]</f>
        <v>0</v>
      </c>
      <c r="CV133" s="103"/>
      <c r="CW133" s="3">
        <f>IFERROR(Table410[[#This Row],[Sep_2026_Days_Forecast]]*Table410[[#This Row],[Cost Boolean]]*(VLOOKUP(Table410[[#This Row],[RATE CONCAT]],Tables!I:N,5,0)),0)</f>
        <v>0</v>
      </c>
      <c r="CX133" s="3">
        <f>IFERROR(Table410[[#This Row],[Sep_2026_Days_Actual]]*Table410[[#This Row],[Cost Boolean]]*(VLOOKUP(Table410[[#This Row],[RATE CONCAT]],Tables!I:N,5,0)),0)</f>
        <v>0</v>
      </c>
      <c r="CY133" s="3">
        <f>Table410[[#This Row],[Sep_2026_F]]-Table410[[#This Row],[Sep_2026_A]]</f>
        <v>0</v>
      </c>
      <c r="CZ133" s="103"/>
      <c r="DA133" s="3">
        <f>IFERROR(Table410[[#This Row],[Oct_2026_Days_Forecast]]*Table410[[#This Row],[Cost Boolean]]*(VLOOKUP(Table410[[#This Row],[RATE CONCAT]],Tables!I:N,5,0)),0)</f>
        <v>0</v>
      </c>
      <c r="DB133" s="3">
        <f>IFERROR(Table410[[#This Row],[Oct_2026_Days_Actual]]*Table410[[#This Row],[Cost Boolean]]*(VLOOKUP(Table410[[#This Row],[RATE CONCAT]],Tables!I:N,5,0)),0)</f>
        <v>0</v>
      </c>
      <c r="DC133" s="3">
        <f>Table410[[#This Row],[Oct_2026_F]]-Table410[[#This Row],[Oct_2026_A]]</f>
        <v>0</v>
      </c>
      <c r="DD133" s="103"/>
      <c r="DE133" s="3">
        <f>IFERROR(Table410[[#This Row],[Nov_2026_Days_Forecast]]*Table410[[#This Row],[Cost Boolean]]*(VLOOKUP(Table410[[#This Row],[RATE CONCAT]],Tables!I:N,5,0)),0)</f>
        <v>0</v>
      </c>
      <c r="DF133" s="3">
        <f>IFERROR(Table410[[#This Row],[Nov_2026_Days_Actual]]*Table410[[#This Row],[Cost Boolean]]*(VLOOKUP(Table410[[#This Row],[RATE CONCAT]],Tables!I:N,5,0)),0)</f>
        <v>0</v>
      </c>
      <c r="DG133" s="3">
        <f>Table410[[#This Row],[Nov_2026_F]]-Table410[[#This Row],[Nov_2026_A]]</f>
        <v>0</v>
      </c>
      <c r="DH133" s="103"/>
      <c r="DI133" s="3">
        <f>IFERROR(Table410[[#This Row],[Dec_2026_Days_Forecast]]*Table410[[#This Row],[Cost Boolean]]*(VLOOKUP(Table410[[#This Row],[RATE CONCAT]],Tables!I:N,5,0)),0)</f>
        <v>0</v>
      </c>
      <c r="DJ133" s="3">
        <f>IFERROR(Table410[[#This Row],[Dec_2026_Days_Actual]]*Table410[[#This Row],[Cost Boolean]]*(VLOOKUP(Table410[[#This Row],[RATE CONCAT]],Tables!I:N,5,0)),0)</f>
        <v>0</v>
      </c>
      <c r="DK133" s="126">
        <f>Table410[[#This Row],[Dec_2026_F]]-Table410[[#This Row],[Dec_2026_A]]</f>
        <v>0</v>
      </c>
      <c r="DL133" s="103"/>
      <c r="DM133" s="60"/>
      <c r="DN133" s="3">
        <f>IFERROR(Table410[[#This Row],[Jan_2027_Days_Forecast]]*Table410[[#This Row],[Cost Boolean]]*(VLOOKUP(Table410[[#This Row],[RATE CONCAT]],Tables!I:N,6,0)),0)</f>
        <v>0</v>
      </c>
      <c r="DO133" s="3"/>
      <c r="DP133" s="3">
        <f>Table410[[#This Row],[Jan_2027_F]]-Table410[[#This Row],[Jan_2027_A]]</f>
        <v>0</v>
      </c>
      <c r="DQ133" s="3">
        <f>IFERROR(Table410[[#This Row],[Feb_2027_Days_Forecast]]*Table410[[#This Row],[Cost Boolean]]*(VLOOKUP(Table410[[#This Row],[RATE CONCAT]],Tables!I:N,6,0)),0)</f>
        <v>0</v>
      </c>
      <c r="DR133" s="3"/>
      <c r="DS133" s="3">
        <f>Table410[[#This Row],[Feb_2027_F]]-Table410[[#This Row],[Feb_2027_A]]</f>
        <v>0</v>
      </c>
      <c r="DT133" s="3">
        <f>IFERROR(Table410[[#This Row],[Mar_2027_Days_Forecast]]*Table410[[#This Row],[Cost Boolean]]*(VLOOKUP(Table410[[#This Row],[RATE CONCAT]],Tables!I:N,6,0)),0)</f>
        <v>0</v>
      </c>
      <c r="DU133" s="3"/>
      <c r="DV133" s="3">
        <f>Table410[[#This Row],[Mar_2027_F]]-Table410[[#This Row],[Mar_2027_A]]</f>
        <v>0</v>
      </c>
      <c r="DW133" s="3">
        <f>IFERROR(Table410[[#This Row],[Apr_2027_Days_Forecast]]*Table410[[#This Row],[Cost Boolean]]*(VLOOKUP(Table410[[#This Row],[RATE CONCAT]],Tables!I:N,6,0)),0)</f>
        <v>0</v>
      </c>
      <c r="DX133" s="3"/>
      <c r="DY133" s="3">
        <f>Table410[[#This Row],[Apr_2027_F]]-Table410[[#This Row],[Apr_2027_A]]</f>
        <v>0</v>
      </c>
      <c r="DZ133" s="3">
        <f>IFERROR(Table410[[#This Row],[May_2027_Days_Forecast]]*Table410[[#This Row],[Cost Boolean]]*(VLOOKUP(Table410[[#This Row],[RATE CONCAT]],Tables!I:N,6,0)),0)</f>
        <v>0</v>
      </c>
      <c r="EA133" s="3"/>
      <c r="EB133" s="3">
        <f>Table410[[#This Row],[May_2027_F]]-Table410[[#This Row],[May_2027_A]]</f>
        <v>0</v>
      </c>
      <c r="EC133" s="3">
        <f>IFERROR(Table410[[#This Row],[Jun_2027_Days_Forecast]]*Table410[[#This Row],[Cost Boolean]]*(VLOOKUP(Table410[[#This Row],[RATE CONCAT]],Tables!I:N,6,0)),0)</f>
        <v>0</v>
      </c>
      <c r="ED133" s="3"/>
      <c r="EE133" s="3">
        <f>Table410[[#This Row],[Jun_2027_F]]-Table410[[#This Row],[Jun_2027_A]]</f>
        <v>0</v>
      </c>
      <c r="EF133" s="3">
        <f>IFERROR(Table410[[#This Row],[Jul_2027_Days_Forecast]]*Table410[[#This Row],[Cost Boolean]]*(VLOOKUP(Table410[[#This Row],[RATE CONCAT]],Tables!I:N,6,0)),0)</f>
        <v>0</v>
      </c>
      <c r="EG133" s="3"/>
      <c r="EH133" s="3">
        <f>Table410[[#This Row],[Jul_2027_F]]-Table410[[#This Row],[Jul_2027_A]]</f>
        <v>0</v>
      </c>
      <c r="EI133" s="3">
        <f>IFERROR(Table410[[#This Row],[Aug_2027_Days_Forecast]]*Table410[[#This Row],[Cost Boolean]]*(VLOOKUP(Table410[[#This Row],[RATE CONCAT]],Tables!I:N,6,0)),0)</f>
        <v>0</v>
      </c>
      <c r="EJ133" s="3"/>
      <c r="EK133" s="3">
        <f>Table410[[#This Row],[Aug_2027_F]]-Table410[[#This Row],[Aug_2027_A]]</f>
        <v>0</v>
      </c>
      <c r="EL133" s="3">
        <f>IFERROR(Table410[[#This Row],[Sep_2027_Days_Forecast]]*Table410[[#This Row],[Cost Boolean]]*(VLOOKUP(Table410[[#This Row],[RATE CONCAT]],Tables!I:N,6,0)),0)</f>
        <v>0</v>
      </c>
      <c r="EM133" s="3"/>
      <c r="EN133" s="3">
        <f>Table410[[#This Row],[Sep_2027_F]]-Table410[[#This Row],[Sep_2027_A]]</f>
        <v>0</v>
      </c>
      <c r="EO133" s="3">
        <f>IFERROR(Table410[[#This Row],[Oct_2027_Days_Forecast]]*Table410[[#This Row],[Cost Boolean]]*(VLOOKUP(Table410[[#This Row],[RATE CONCAT]],Tables!I:N,6,0)),0)</f>
        <v>0</v>
      </c>
      <c r="EP133" s="3"/>
      <c r="EQ133" s="3">
        <f>Table410[[#This Row],[Oct_2027_F]]-Table410[[#This Row],[Oct_2027_A]]</f>
        <v>0</v>
      </c>
      <c r="ER133" s="3">
        <f>IFERROR(Table410[[#This Row],[Nov_2027_Days_Forecast]]*Table410[[#This Row],[Cost Boolean]]*(VLOOKUP(Table410[[#This Row],[RATE CONCAT]],Tables!I:N,6,0)),0)</f>
        <v>0</v>
      </c>
      <c r="ES133" s="3"/>
      <c r="ET133" s="3">
        <f>Table410[[#This Row],[Nov_2027_F]]-Table410[[#This Row],[Nov_2027_A]]</f>
        <v>0</v>
      </c>
      <c r="EU133" s="3">
        <f>IFERROR(Table410[[#This Row],[Dec_2027_Days_Forecast]]*Table410[[#This Row],[Cost Boolean]]*(VLOOKUP(Table410[[#This Row],[RATE CONCAT]],Tables!I:N,6,0)),0)</f>
        <v>0</v>
      </c>
      <c r="EV133" s="3"/>
      <c r="EW133" s="3">
        <f>Table410[[#This Row],[Dec_2027_F]]-Table410[[#This Row],[Dec_2027_A]]</f>
        <v>0</v>
      </c>
    </row>
  </sheetData>
  <mergeCells count="27">
    <mergeCell ref="EO8:EQ8"/>
    <mergeCell ref="ER8:ET8"/>
    <mergeCell ref="EU8:EW8"/>
    <mergeCell ref="DW8:DY8"/>
    <mergeCell ref="DZ8:EB8"/>
    <mergeCell ref="EC8:EE8"/>
    <mergeCell ref="EF8:EH8"/>
    <mergeCell ref="EI8:EK8"/>
    <mergeCell ref="EL8:EN8"/>
    <mergeCell ref="DT8:DV8"/>
    <mergeCell ref="CC8:CE8"/>
    <mergeCell ref="CG8:CI8"/>
    <mergeCell ref="CK8:CM8"/>
    <mergeCell ref="CO8:CQ8"/>
    <mergeCell ref="CS8:CU8"/>
    <mergeCell ref="CW8:CY8"/>
    <mergeCell ref="DA8:DC8"/>
    <mergeCell ref="DE8:DG8"/>
    <mergeCell ref="DI8:DK8"/>
    <mergeCell ref="DN8:DP8"/>
    <mergeCell ref="DQ8:DS8"/>
    <mergeCell ref="BY8:CA8"/>
    <mergeCell ref="AB8:AM8"/>
    <mergeCell ref="AP8:BA8"/>
    <mergeCell ref="BC8:BN8"/>
    <mergeCell ref="BQ8:BS8"/>
    <mergeCell ref="BU8:BW8"/>
  </mergeCells>
  <phoneticPr fontId="3" type="noConversion"/>
  <conditionalFormatting sqref="K86">
    <cfRule type="cellIs" dxfId="451" priority="5" operator="equal">
      <formula>"NB-Offboarded"</formula>
    </cfRule>
    <cfRule type="cellIs" dxfId="450" priority="6" operator="equal">
      <formula>"NB-In-seat"</formula>
    </cfRule>
    <cfRule type="cellIs" dxfId="449" priority="7" operator="equal">
      <formula>"NB-Ready"</formula>
    </cfRule>
    <cfRule type="cellIs" dxfId="448" priority="8" operator="equal">
      <formula>"Cancelled"</formula>
    </cfRule>
    <cfRule type="cellIs" dxfId="447" priority="9" operator="equal">
      <formula>"Hold"</formula>
    </cfRule>
    <cfRule type="cellIs" dxfId="446" priority="10" operator="equal">
      <formula>"Sourcing"</formula>
    </cfRule>
    <cfRule type="cellIs" dxfId="445" priority="11" operator="equal">
      <formula>"Ready"</formula>
    </cfRule>
    <cfRule type="cellIs" dxfId="444" priority="12" operator="equal">
      <formula>"In-seat"</formula>
    </cfRule>
    <cfRule type="cellIs" dxfId="443" priority="13" operator="equal">
      <formula>"Offboarded"</formula>
    </cfRule>
  </conditionalFormatting>
  <conditionalFormatting sqref="AB86:AE86">
    <cfRule type="expression" dxfId="442" priority="3">
      <formula>$G86="Offshore"</formula>
    </cfRule>
    <cfRule type="expression" dxfId="441" priority="4">
      <formula>$G86="Onshore"</formula>
    </cfRule>
  </conditionalFormatting>
  <conditionalFormatting sqref="AP6:BA6 BC6:BN6">
    <cfRule type="colorScale" priority="15">
      <colorScale>
        <cfvo type="min"/>
        <cfvo type="percentile" val="50"/>
        <cfvo type="max"/>
        <color rgb="FF92D050"/>
        <color rgb="FFFFC000"/>
        <color theme="5" tint="-0.249977111117893"/>
      </colorScale>
    </cfRule>
  </conditionalFormatting>
  <conditionalFormatting sqref="AP7:BA7 BC7:BN7">
    <cfRule type="colorScale" priority="14">
      <colorScale>
        <cfvo type="min"/>
        <cfvo type="percentile" val="50"/>
        <cfvo type="max"/>
        <color rgb="FF92D050"/>
        <color rgb="FFFFC000"/>
        <color theme="5" tint="-0.249977111117893"/>
      </colorScale>
    </cfRule>
  </conditionalFormatting>
  <conditionalFormatting sqref="BQ6:DL6 DN6:EW6">
    <cfRule type="colorScale" priority="17">
      <colorScale>
        <cfvo type="min"/>
        <cfvo type="percentile" val="50"/>
        <cfvo type="max"/>
        <color rgb="FF92D050"/>
        <color rgb="FFFFC000"/>
        <color theme="5" tint="-0.249977111117893"/>
      </colorScale>
    </cfRule>
  </conditionalFormatting>
  <conditionalFormatting sqref="BQ7:DL7">
    <cfRule type="colorScale" priority="16">
      <colorScale>
        <cfvo type="min"/>
        <cfvo type="percentile" val="50"/>
        <cfvo type="max"/>
        <color rgb="FF92D050"/>
        <color rgb="FFFFC000"/>
        <color theme="5" tint="-0.249977111117893"/>
      </colorScale>
    </cfRule>
  </conditionalFormatting>
  <conditionalFormatting sqref="DN7:EW7">
    <cfRule type="colorScale" priority="18">
      <colorScale>
        <cfvo type="min"/>
        <cfvo type="percentile" val="50"/>
        <cfvo type="max"/>
        <color rgb="FF92D050"/>
        <color rgb="FFFFC000"/>
        <color theme="5" tint="-0.249977111117893"/>
      </colorScale>
    </cfRule>
  </conditionalFormatting>
  <dataValidations count="3">
    <dataValidation type="list" allowBlank="1" showInputMessage="1" showErrorMessage="1" sqref="L10:L133" xr:uid="{BC29A47D-573B-4E84-9E36-1A3155138885}">
      <formula1>"1,0"</formula1>
    </dataValidation>
    <dataValidation type="list" allowBlank="1" showInputMessage="1" showErrorMessage="1" sqref="K10:K133" xr:uid="{1016A70D-77A8-450F-870E-E1D6B9A542EF}">
      <formula1>"Planned,Approved,Sourcing,NB-Ready,Ready,NB-In-seat,In-seat,Offboarded,Cancelled,Hold"</formula1>
    </dataValidation>
    <dataValidation type="list" allowBlank="1" showInputMessage="1" showErrorMessage="1" sqref="C10:C133" xr:uid="{F6DF97A1-A0E3-4CFC-881D-10C8D341374B}">
      <formula1>"Staff,Contractor"</formula1>
    </dataValidation>
  </dataValidations>
  <pageMargins left="0.7" right="0.7" top="0.75" bottom="0.75" header="0.3" footer="0.3"/>
  <pageSetup paperSize="9" orientation="portrait"/>
  <drawing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CC5DE4F-F24B-4F58-ACB9-A860A1675A75}">
          <x14:formula1>
            <xm:f>Tables!$B$3:$B$28</xm:f>
          </x14:formula1>
          <xm:sqref>BT10:BT133 BX10:BX133 CB10:CB133 CF10:CF133 CJ10:CJ133 CN10:CN133 CR10:CR133 CV10:CV133 CZ10:CZ133 DD10:DD133 DH10:DH133 DL10:DL133</xm:sqref>
        </x14:dataValidation>
        <x14:dataValidation type="list" allowBlank="1" showInputMessage="1" showErrorMessage="1" xr:uid="{8AFC751C-7662-4586-9D69-590093561953}">
          <x14:formula1>
            <xm:f>Tables!$R$3:$R$27</xm:f>
          </x14:formula1>
          <xm:sqref>E10:E133 F10:F86</xm:sqref>
        </x14:dataValidation>
        <x14:dataValidation type="list" allowBlank="1" showInputMessage="1" showErrorMessage="1" xr:uid="{E75A4503-A70C-49F3-9437-C3062A646945}">
          <x14:formula1>
            <xm:f>Tables!$C$3:$C$19</xm:f>
          </x14:formula1>
          <xm:sqref>B10:B133</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DCF1-875C-4987-992F-0500AB9C1EDF}">
  <sheetPr>
    <tabColor theme="9" tint="0.59999389629810485"/>
  </sheetPr>
  <dimension ref="A1:EW98"/>
  <sheetViews>
    <sheetView showGridLines="0" topLeftCell="A3" zoomScale="68" zoomScaleNormal="55" workbookViewId="0">
      <selection activeCell="B13" sqref="B13"/>
    </sheetView>
  </sheetViews>
  <sheetFormatPr defaultColWidth="9.140625" defaultRowHeight="15" customHeight="1" outlineLevelCol="1"/>
  <cols>
    <col min="1" max="1" width="15.140625" style="14" bestFit="1" customWidth="1"/>
    <col min="2" max="2" width="17.85546875" style="14" bestFit="1" customWidth="1"/>
    <col min="3" max="3" width="15.7109375" style="14" bestFit="1" customWidth="1"/>
    <col min="4" max="4" width="30" style="14" bestFit="1" customWidth="1"/>
    <col min="5" max="5" width="9.140625" style="14" customWidth="1"/>
    <col min="6" max="6" width="19.5703125" style="14" customWidth="1"/>
    <col min="7" max="7" width="14.140625" style="14" customWidth="1"/>
    <col min="8" max="8" width="9.85546875" style="116" customWidth="1" outlineLevel="1"/>
    <col min="9" max="9" width="44.85546875" style="14" customWidth="1"/>
    <col min="10" max="10" width="29.7109375" style="14" customWidth="1"/>
    <col min="11" max="11" width="13" style="14" customWidth="1"/>
    <col min="12" max="12" width="18.5703125" customWidth="1"/>
    <col min="13" max="13" width="14.85546875" style="14" customWidth="1" outlineLevel="1"/>
    <col min="14" max="14" width="19.140625" style="14" customWidth="1" outlineLevel="1"/>
    <col min="15" max="15" width="18.7109375" style="14" customWidth="1" outlineLevel="1"/>
    <col min="16" max="16" width="10.5703125" style="14" customWidth="1"/>
    <col min="17" max="17" width="14.42578125" style="14" customWidth="1"/>
    <col min="18" max="18" width="18.85546875" style="14" customWidth="1"/>
    <col min="19" max="19" width="17.85546875" style="14" customWidth="1"/>
    <col min="20" max="20" width="18.5703125" style="14" customWidth="1"/>
    <col min="21" max="21" width="17.5703125" style="14" customWidth="1"/>
    <col min="22" max="22" width="17.42578125" style="14" customWidth="1"/>
    <col min="23" max="23" width="16.42578125" style="78" customWidth="1"/>
    <col min="24" max="24" width="16.5703125" style="14" customWidth="1"/>
    <col min="25" max="25" width="50.5703125" style="14" customWidth="1"/>
    <col min="26" max="26" width="10.7109375" style="14" customWidth="1"/>
    <col min="27" max="27" width="9.140625" style="14" customWidth="1" outlineLevel="1"/>
    <col min="28" max="37" width="11.85546875" style="14" customWidth="1" outlineLevel="1"/>
    <col min="38" max="38" width="11.85546875" style="79" customWidth="1" outlineLevel="1"/>
    <col min="39" max="39" width="10.42578125" style="79" bestFit="1" customWidth="1"/>
    <col min="40" max="40" width="10.42578125" style="14" bestFit="1" customWidth="1"/>
    <col min="41" max="51" width="13.140625" style="14" customWidth="1" outlineLevel="1"/>
    <col min="52" max="52" width="13.140625" style="79" customWidth="1" outlineLevel="1"/>
    <col min="53" max="53" width="10.42578125" style="14" bestFit="1" customWidth="1"/>
    <col min="54" max="64" width="13.140625" style="14" customWidth="1" outlineLevel="1"/>
    <col min="65" max="65" width="13.140625" style="77" customWidth="1" outlineLevel="1"/>
    <col min="66" max="66" width="10.42578125" style="77" bestFit="1" customWidth="1"/>
    <col min="67" max="67" width="10.42578125" bestFit="1" customWidth="1"/>
    <col min="68" max="70" width="12.85546875" customWidth="1" outlineLevel="1"/>
    <col min="71" max="71" width="12.85546875" bestFit="1" customWidth="1" outlineLevel="1"/>
    <col min="72" max="72" width="42.42578125" customWidth="1" outlineLevel="1"/>
    <col min="73" max="73" width="12.85546875" customWidth="1" outlineLevel="1"/>
    <col min="74" max="74" width="12.85546875" bestFit="1" customWidth="1" outlineLevel="1"/>
    <col min="75" max="75" width="12.7109375" bestFit="1" customWidth="1" outlineLevel="1"/>
    <col min="76" max="78" width="12.85546875" customWidth="1" outlineLevel="1"/>
    <col min="79" max="79" width="12.85546875" bestFit="1" customWidth="1" outlineLevel="1"/>
    <col min="80" max="82" width="12.85546875" customWidth="1" outlineLevel="1"/>
    <col min="83" max="83" width="15.5703125" customWidth="1" outlineLevel="1"/>
    <col min="84" max="86" width="12.85546875" customWidth="1" outlineLevel="1"/>
    <col min="87" max="87" width="16.85546875" customWidth="1" outlineLevel="1"/>
    <col min="88" max="88" width="12.85546875" customWidth="1" outlineLevel="1"/>
    <col min="89" max="89" width="10.42578125" customWidth="1" outlineLevel="1"/>
    <col min="90" max="90" width="12.85546875" customWidth="1" outlineLevel="1"/>
    <col min="91" max="91" width="10.42578125" customWidth="1" outlineLevel="1"/>
    <col min="92" max="92" width="12.85546875" customWidth="1" outlineLevel="1"/>
    <col min="93" max="93" width="18.5703125" customWidth="1" outlineLevel="1"/>
    <col min="94" max="94" width="12.85546875" customWidth="1" outlineLevel="1"/>
    <col min="95" max="95" width="21.7109375" customWidth="1" outlineLevel="1"/>
    <col min="96" max="96" width="12.85546875" customWidth="1" outlineLevel="1"/>
    <col min="97" max="97" width="17.85546875" customWidth="1" outlineLevel="1"/>
    <col min="98" max="98" width="12.85546875" customWidth="1" outlineLevel="1"/>
    <col min="99" max="99" width="16.85546875" customWidth="1" outlineLevel="1"/>
    <col min="100" max="100" width="14.42578125" customWidth="1" outlineLevel="1"/>
    <col min="101" max="101" width="10.42578125" customWidth="1" outlineLevel="1"/>
    <col min="102" max="102" width="14.42578125" customWidth="1" outlineLevel="1"/>
    <col min="103" max="103" width="10.42578125" customWidth="1" outlineLevel="1"/>
    <col min="104" max="104" width="14.42578125" customWidth="1" outlineLevel="1"/>
    <col min="105" max="105" width="10.42578125" customWidth="1" outlineLevel="1"/>
    <col min="106" max="106" width="14.42578125" customWidth="1" outlineLevel="1"/>
    <col min="107" max="107" width="10.42578125" customWidth="1" outlineLevel="1"/>
    <col min="108" max="108" width="14.42578125" customWidth="1" outlineLevel="1"/>
    <col min="109" max="109" width="10.42578125" customWidth="1" outlineLevel="1"/>
    <col min="110" max="110" width="14.42578125" customWidth="1" outlineLevel="1"/>
    <col min="111" max="111" width="10.42578125" customWidth="1" outlineLevel="1"/>
    <col min="112" max="112" width="14.42578125" customWidth="1" outlineLevel="1"/>
    <col min="113" max="113" width="14.42578125" bestFit="1" customWidth="1" outlineLevel="1"/>
    <col min="114" max="114" width="14.42578125" style="77" customWidth="1" outlineLevel="1"/>
    <col min="115" max="115" width="14.42578125" bestFit="1" customWidth="1" outlineLevel="1"/>
    <col min="116" max="116" width="12.85546875" bestFit="1" customWidth="1"/>
    <col min="117" max="152" width="10.42578125" customWidth="1" outlineLevel="1"/>
  </cols>
  <sheetData>
    <row r="1" spans="1:153" ht="14.45">
      <c r="L1" s="14"/>
      <c r="W1" s="14"/>
      <c r="AA1" s="51"/>
      <c r="AL1" s="14"/>
      <c r="AM1" s="14"/>
      <c r="AN1" s="51"/>
      <c r="AO1" s="51"/>
      <c r="AZ1" s="14"/>
      <c r="BB1" s="51"/>
      <c r="BM1" s="14"/>
      <c r="BN1" s="14"/>
      <c r="BO1" s="54"/>
      <c r="BP1" s="51"/>
      <c r="DJ1"/>
      <c r="DM1" s="51"/>
    </row>
    <row r="2" spans="1:153" ht="52.5" customHeight="1">
      <c r="K2" s="91"/>
      <c r="L2" s="91"/>
      <c r="W2" s="14"/>
      <c r="AA2" s="50"/>
      <c r="AL2" s="14"/>
      <c r="AM2" s="14"/>
      <c r="AN2" s="50"/>
      <c r="AO2" s="50"/>
      <c r="AZ2" s="14"/>
      <c r="BB2" s="50"/>
      <c r="BM2" s="14"/>
      <c r="BN2" s="14"/>
      <c r="BO2" s="55"/>
      <c r="BP2" s="50"/>
      <c r="DJ2"/>
      <c r="DM2" s="50"/>
    </row>
    <row r="3" spans="1:153" ht="14.45" customHeight="1">
      <c r="K3" s="91"/>
      <c r="L3" s="91"/>
      <c r="W3" s="14"/>
      <c r="AA3" s="50"/>
      <c r="AB3" s="14" t="s">
        <v>63</v>
      </c>
      <c r="AL3" s="14"/>
      <c r="AM3" s="14"/>
      <c r="AN3" s="50"/>
      <c r="AO3" s="50"/>
      <c r="AZ3" s="14"/>
      <c r="BB3" s="50"/>
      <c r="BM3" s="14"/>
      <c r="BN3" s="14"/>
      <c r="BO3" s="55"/>
      <c r="BP3" s="50"/>
      <c r="DJ3"/>
      <c r="DM3" s="50"/>
    </row>
    <row r="4" spans="1:153" ht="14.45" customHeight="1">
      <c r="K4" s="91"/>
      <c r="L4" s="91"/>
      <c r="W4" s="14"/>
      <c r="AA4" s="50"/>
      <c r="AB4" s="83"/>
      <c r="AC4" s="14" t="s">
        <v>64</v>
      </c>
      <c r="AL4" s="14"/>
      <c r="AM4" s="14"/>
      <c r="AN4" s="50"/>
      <c r="AO4" s="50"/>
      <c r="AZ4" s="14"/>
      <c r="BB4" s="50"/>
      <c r="BM4" s="14"/>
      <c r="BN4" s="14"/>
      <c r="BO4" s="55"/>
      <c r="BP4" s="50"/>
      <c r="DJ4"/>
      <c r="DM4" s="50"/>
    </row>
    <row r="5" spans="1:153" ht="14.45" customHeight="1">
      <c r="D5" s="14" t="s">
        <v>357</v>
      </c>
      <c r="K5" s="91"/>
      <c r="L5" s="91"/>
      <c r="V5" s="74"/>
      <c r="W5" s="14"/>
      <c r="AA5" s="50"/>
      <c r="AB5" s="41"/>
      <c r="AC5" s="41"/>
      <c r="AD5" s="41"/>
      <c r="AE5" s="41"/>
      <c r="AF5" s="41"/>
      <c r="AG5" s="41"/>
      <c r="AH5" s="41"/>
      <c r="AI5" s="41"/>
      <c r="AJ5" s="41"/>
      <c r="AK5" s="41"/>
      <c r="AL5" s="41"/>
      <c r="AM5" s="41"/>
      <c r="AN5" s="50"/>
      <c r="AO5" s="50"/>
      <c r="AP5" s="42"/>
      <c r="AQ5" s="42"/>
      <c r="AR5" s="42"/>
      <c r="AS5" s="42"/>
      <c r="AT5" s="42"/>
      <c r="AU5" s="42"/>
      <c r="AV5" s="42"/>
      <c r="AW5" s="42"/>
      <c r="AX5" s="42"/>
      <c r="AY5" s="42"/>
      <c r="AZ5" s="42"/>
      <c r="BA5" s="42"/>
      <c r="BB5" s="50"/>
      <c r="BC5" s="42">
        <v>21</v>
      </c>
      <c r="BD5" s="42">
        <v>20</v>
      </c>
      <c r="BE5" s="42">
        <v>23</v>
      </c>
      <c r="BF5" s="42">
        <v>22</v>
      </c>
      <c r="BG5" s="42">
        <v>21</v>
      </c>
      <c r="BH5" s="42">
        <v>22</v>
      </c>
      <c r="BI5" s="42">
        <v>22</v>
      </c>
      <c r="BJ5" s="42">
        <v>22</v>
      </c>
      <c r="BK5" s="42">
        <v>22</v>
      </c>
      <c r="BL5" s="42">
        <v>21</v>
      </c>
      <c r="BM5" s="42">
        <v>22</v>
      </c>
      <c r="BN5" s="42">
        <v>23</v>
      </c>
      <c r="BO5" s="55"/>
      <c r="BP5" s="50"/>
      <c r="DJ5"/>
      <c r="DM5" s="50"/>
    </row>
    <row r="6" spans="1:153" ht="19.899999999999999" customHeight="1">
      <c r="K6" s="91"/>
      <c r="L6" s="91"/>
      <c r="W6" s="14"/>
      <c r="AA6" s="50"/>
      <c r="AB6" s="82"/>
      <c r="AC6" s="82"/>
      <c r="AD6" s="82"/>
      <c r="AE6" s="82"/>
      <c r="AF6" s="82"/>
      <c r="AG6" s="82"/>
      <c r="AH6" s="82"/>
      <c r="AI6" s="82"/>
      <c r="AJ6" s="82"/>
      <c r="AK6" s="82"/>
      <c r="AL6" s="82"/>
      <c r="AM6" s="82"/>
      <c r="AN6" s="50"/>
      <c r="AO6" s="50"/>
      <c r="AP6" s="49">
        <f>SUM(Table4[Jan_2026_Days_Actual])</f>
        <v>40</v>
      </c>
      <c r="AQ6" s="49">
        <f>SUM(Table4[Feb_2026_Days_Actual])</f>
        <v>44</v>
      </c>
      <c r="AR6" s="49">
        <f>SUM(Table4[Mar_2026_Days_Actual])</f>
        <v>44</v>
      </c>
      <c r="AS6" s="49">
        <f>SUM(Table4[Apr_2026_Days_Actual])</f>
        <v>44</v>
      </c>
      <c r="AT6" s="49">
        <f>SUM(Table4[May_2026_Days_Actual])</f>
        <v>41</v>
      </c>
      <c r="AU6" s="49">
        <f>SUM(Table4[Jun_2026_Days_Actual])</f>
        <v>39</v>
      </c>
      <c r="AV6" s="49">
        <f>SUM(Table4[Jul_2026_Days_Actual])</f>
        <v>39</v>
      </c>
      <c r="AW6" s="49">
        <f>SUM(Table4[Aug_2026_Days_Actual])</f>
        <v>44</v>
      </c>
      <c r="AX6" s="49">
        <f>SUM(Table4[Sep_2026_Days_Actual])</f>
        <v>44</v>
      </c>
      <c r="AY6" s="49">
        <f>SUM(Table4[Oct_2026_Days_Actual])</f>
        <v>44</v>
      </c>
      <c r="AZ6" s="49">
        <f>SUM(Table4[Nov_2026_Days_Actual])</f>
        <v>37</v>
      </c>
      <c r="BA6" s="49">
        <f>SUM(Table4[Dec_2026_Days_Actual])</f>
        <v>35</v>
      </c>
      <c r="BB6" s="50"/>
      <c r="BC6" s="49">
        <f>SUM(Table4[Jan_2027_Days_Forecast])</f>
        <v>0</v>
      </c>
      <c r="BD6" s="49">
        <f>SUM(Table4[Feb_2027_Days_Forecast])</f>
        <v>0</v>
      </c>
      <c r="BE6" s="49">
        <f>SUM(Table4[Mar_2027_Days_Forecast])</f>
        <v>0</v>
      </c>
      <c r="BF6" s="49">
        <f>SUM(Table4[Apr_2027_Days_Forecast])</f>
        <v>0</v>
      </c>
      <c r="BG6" s="49">
        <f>SUM(Table4[May_2027_Days_Forecast])</f>
        <v>0</v>
      </c>
      <c r="BH6" s="49">
        <f>SUM(Table4[Jun_2027_Days_Forecast])</f>
        <v>0</v>
      </c>
      <c r="BI6" s="49">
        <f>SUM(Table4[Jul_2027_Days_Forecast])</f>
        <v>0</v>
      </c>
      <c r="BJ6" s="49">
        <f>SUM(Table4[Aug_2027_Days_Forecast])</f>
        <v>0</v>
      </c>
      <c r="BK6" s="49">
        <f>SUM(Table4[Sep_2027_Days_Forecast])</f>
        <v>0</v>
      </c>
      <c r="BL6" s="49">
        <f>SUM(Table4[Oct_2027_Days_Forecast])</f>
        <v>0</v>
      </c>
      <c r="BM6" s="49">
        <f>SUM(Table4[Nov_2027_Days_Forecast])</f>
        <v>0</v>
      </c>
      <c r="BN6" s="49">
        <f>SUM(Table4[Dec_2027_Days_Forecast])</f>
        <v>0</v>
      </c>
      <c r="BO6" s="56"/>
      <c r="BP6" s="58"/>
      <c r="BQ6" s="4">
        <f>SUM(Table4[Jan_2026_F])</f>
        <v>89860</v>
      </c>
      <c r="BR6" s="4">
        <f>SUM(Table4[Jan_2026_A])</f>
        <v>33860</v>
      </c>
      <c r="BS6" s="4">
        <f>SUM(Table4[Jan_2026_V])</f>
        <v>56000</v>
      </c>
      <c r="BT6" s="4"/>
      <c r="BU6" s="4">
        <f>SUM(Table4[Feb_2026_F])</f>
        <v>33860</v>
      </c>
      <c r="BV6" s="4">
        <f>SUM(Table4[Feb_2026_A])</f>
        <v>33860</v>
      </c>
      <c r="BW6" s="4">
        <f>SUM(Table4[Feb_2026_D])</f>
        <v>0</v>
      </c>
      <c r="BX6" s="4"/>
      <c r="BY6" s="4">
        <f>SUM(Table4[Mar_2026_F])</f>
        <v>33860</v>
      </c>
      <c r="BZ6" s="4">
        <f>SUM(Table4[Mar_2026_A])</f>
        <v>33860</v>
      </c>
      <c r="CA6" s="4">
        <f>SUM(Table4[Mar_2026_D])</f>
        <v>0</v>
      </c>
      <c r="CB6" s="4"/>
      <c r="CC6" s="4">
        <f>SUM(Table4[Apr_2026_F])</f>
        <v>33860</v>
      </c>
      <c r="CD6" s="4">
        <f>SUM(Table4[Apr_2026_A])</f>
        <v>33860</v>
      </c>
      <c r="CE6" s="4">
        <f>SUM(Table4[Apr_2026_D])</f>
        <v>0</v>
      </c>
      <c r="CF6" s="4"/>
      <c r="CG6" s="4">
        <f>SUM(Table4[May_2026_F])</f>
        <v>31302</v>
      </c>
      <c r="CH6" s="4">
        <f>SUM(Table4[May_2026_A])</f>
        <v>31302</v>
      </c>
      <c r="CI6" s="4">
        <f>SUM(Table4[May_2026_D])</f>
        <v>0</v>
      </c>
      <c r="CJ6" s="4"/>
      <c r="CK6" s="4">
        <f>SUM(Table4[Jun_2026_F])</f>
        <v>29646</v>
      </c>
      <c r="CL6" s="4">
        <f>SUM(Table4[Jun_2026_A])</f>
        <v>29646</v>
      </c>
      <c r="CM6" s="4">
        <f>SUM(Table4[Jun_2026_D])</f>
        <v>0</v>
      </c>
      <c r="CN6" s="4"/>
      <c r="CO6" s="4">
        <f>SUM(Table4[Jul_2026_F])</f>
        <v>31302</v>
      </c>
      <c r="CP6" s="4">
        <f>SUM(Table4[Jul_2026_A])</f>
        <v>0</v>
      </c>
      <c r="CQ6" s="4">
        <f>SUM(Table4[Jul_2026_D])</f>
        <v>31302</v>
      </c>
      <c r="CR6" s="4"/>
      <c r="CS6" s="4">
        <f>SUM(Table4[Aug_2026_F])</f>
        <v>33860</v>
      </c>
      <c r="CT6" s="4">
        <f>SUM(Table4[Aug_2026_A])</f>
        <v>33860</v>
      </c>
      <c r="CU6" s="4">
        <f>SUM(Table4[Aug_2026_D])</f>
        <v>0</v>
      </c>
      <c r="CV6" s="4"/>
      <c r="CW6" s="4">
        <f>SUM(Table4[Sep_2026_F])</f>
        <v>33860</v>
      </c>
      <c r="CX6" s="4">
        <f>SUM(Table4[Sep_2026_A])</f>
        <v>33860</v>
      </c>
      <c r="CY6" s="4">
        <f>SUM(Table4[Sep_2026_D])</f>
        <v>0</v>
      </c>
      <c r="CZ6" s="4"/>
      <c r="DA6" s="4">
        <f>SUM(Table4[Oct_2026_F])</f>
        <v>33860</v>
      </c>
      <c r="DB6" s="4">
        <f>SUM(Table4[Oct_2026_A])</f>
        <v>33860</v>
      </c>
      <c r="DC6" s="4">
        <f>SUM(Table4[Oct_2026_D])</f>
        <v>0</v>
      </c>
      <c r="DD6" s="4"/>
      <c r="DE6" s="4">
        <f>SUM(Table4[Nov_2026_F])</f>
        <v>31302</v>
      </c>
      <c r="DF6" s="4">
        <f>SUM(Table4[Nov_2026_A])</f>
        <v>31302</v>
      </c>
      <c r="DG6" s="4">
        <f>SUM(Table4[Nov_2026_D])</f>
        <v>0</v>
      </c>
      <c r="DH6" s="4"/>
      <c r="DI6" s="4">
        <f>SUM(Table4[Dec_2026_F])</f>
        <v>29646</v>
      </c>
      <c r="DJ6" s="4">
        <f>SUM(Table4[Dec_2026_A])</f>
        <v>29646</v>
      </c>
      <c r="DK6" s="4">
        <f>SUM(Table4[Dec_2026_D])</f>
        <v>0</v>
      </c>
      <c r="DL6" s="101"/>
      <c r="DM6" s="58"/>
      <c r="DN6" s="4">
        <f>SUM(Table4[Jan_2027_F])</f>
        <v>0</v>
      </c>
      <c r="DO6" s="4">
        <f>SUM(Table4[Jan_2027_A])</f>
        <v>0</v>
      </c>
      <c r="DP6" s="4">
        <f>SUM(Table4[Jan_2027_D])</f>
        <v>0</v>
      </c>
      <c r="DQ6" s="4">
        <f>SUM(Table4[Feb_2027_F])</f>
        <v>0</v>
      </c>
      <c r="DR6" s="4">
        <f>SUM(Table4[Feb_2027_A])</f>
        <v>0</v>
      </c>
      <c r="DS6" s="4">
        <f>SUM(Table4[Feb_2027_D])</f>
        <v>0</v>
      </c>
      <c r="DT6" s="4">
        <f>SUM(Table4[Mar_2027_F])</f>
        <v>0</v>
      </c>
      <c r="DU6" s="4">
        <f>SUM(Table4[Mar_2027_A])</f>
        <v>0</v>
      </c>
      <c r="DV6" s="4">
        <f>SUM(Table4[Mar_2027_D])</f>
        <v>0</v>
      </c>
      <c r="DW6" s="4">
        <f>SUM(Table4[Apr_2027_F])</f>
        <v>0</v>
      </c>
      <c r="DX6" s="4">
        <f>SUM(Table4[Apr_2027_A])</f>
        <v>0</v>
      </c>
      <c r="DY6" s="4">
        <f>SUM(Table4[Apr_2027_D])</f>
        <v>0</v>
      </c>
      <c r="DZ6" s="4">
        <f>SUM(Table4[May_2027_F])</f>
        <v>0</v>
      </c>
      <c r="EA6" s="4">
        <f>SUM(Table4[May_2027_A])</f>
        <v>0</v>
      </c>
      <c r="EB6" s="4">
        <f>SUM(Table4[May_2027_D])</f>
        <v>0</v>
      </c>
      <c r="EC6" s="4">
        <f>SUM(Table4[Jun_2027_F])</f>
        <v>0</v>
      </c>
      <c r="ED6" s="4">
        <f>SUM(Table4[Jun_2027_A])</f>
        <v>0</v>
      </c>
      <c r="EE6" s="4">
        <f>SUM(Table4[Jun_2027_D])</f>
        <v>0</v>
      </c>
      <c r="EF6" s="4">
        <f>SUM(Table4[Jul_2027_F])</f>
        <v>0</v>
      </c>
      <c r="EG6" s="4">
        <f>SUM(Table4[Jul_2027_A])</f>
        <v>0</v>
      </c>
      <c r="EH6" s="4">
        <f>SUM(Table4[Jul_2027_D])</f>
        <v>0</v>
      </c>
      <c r="EI6" s="4">
        <f>SUM(Table4[Aug_2027_F])</f>
        <v>0</v>
      </c>
      <c r="EJ6" s="4">
        <f>SUM(Table4[Aug_2027_A])</f>
        <v>0</v>
      </c>
      <c r="EK6" s="4">
        <f>SUM(Table4[Aug_2027_D])</f>
        <v>0</v>
      </c>
      <c r="EL6" s="4">
        <f>SUM(Table4[Sep_2027_F])</f>
        <v>0</v>
      </c>
      <c r="EM6" s="4">
        <f>SUM(Table4[Sep_2027_A])</f>
        <v>0</v>
      </c>
      <c r="EN6" s="4">
        <f>SUM(Table4[Sep_2027_D])</f>
        <v>0</v>
      </c>
      <c r="EO6" s="4">
        <f>SUM(Table4[Oct_2027_F])</f>
        <v>0</v>
      </c>
      <c r="EP6" s="4">
        <f>SUM(Table4[Oct_2027_A])</f>
        <v>0</v>
      </c>
      <c r="EQ6" s="4">
        <f>SUM(Table4[Oct_2027_D])</f>
        <v>0</v>
      </c>
      <c r="ER6" s="4">
        <f>SUM(Table4[Nov_2027_F])</f>
        <v>0</v>
      </c>
      <c r="ES6" s="4">
        <f>SUM(Table4[Nov_2027_A])</f>
        <v>0</v>
      </c>
      <c r="ET6" s="4">
        <f>SUM(Table4[Nov_2027_D])</f>
        <v>0</v>
      </c>
      <c r="EU6" s="4">
        <f>SUM(Table4[Dec_2027_F])</f>
        <v>0</v>
      </c>
      <c r="EV6" s="4">
        <f>SUM(Table4[Dec_2027_A])</f>
        <v>0</v>
      </c>
      <c r="EW6" s="4">
        <f>SUM(Table4[Dec_2027_D])</f>
        <v>0</v>
      </c>
    </row>
    <row r="7" spans="1:153" ht="19.899999999999999" customHeight="1">
      <c r="K7" s="91"/>
      <c r="L7" s="91"/>
      <c r="W7" s="14"/>
      <c r="AA7" s="50"/>
      <c r="AB7" s="83"/>
      <c r="AC7" s="83"/>
      <c r="AD7" s="83"/>
      <c r="AE7" s="83"/>
      <c r="AF7" s="83"/>
      <c r="AG7" s="83"/>
      <c r="AH7" s="83"/>
      <c r="AI7" s="83"/>
      <c r="AJ7" s="83"/>
      <c r="AK7" s="83"/>
      <c r="AL7" s="83"/>
      <c r="AM7" s="83"/>
      <c r="AN7" s="50"/>
      <c r="AO7" s="50"/>
      <c r="AP7" s="49">
        <f>SUBTOTAL(9,Table4[Jan_2026_Days_Actual])</f>
        <v>40</v>
      </c>
      <c r="AQ7" s="49">
        <f>SUBTOTAL(9,Table4[Feb_2026_Days_Actual])</f>
        <v>44</v>
      </c>
      <c r="AR7" s="49">
        <f>SUBTOTAL(9,Table4[Mar_2026_Days_Actual])</f>
        <v>44</v>
      </c>
      <c r="AS7" s="49">
        <f>SUBTOTAL(9,Table4[Apr_2026_Days_Actual])</f>
        <v>44</v>
      </c>
      <c r="AT7" s="49">
        <f>SUBTOTAL(9,Table4[May_2026_Days_Actual])</f>
        <v>41</v>
      </c>
      <c r="AU7" s="49">
        <f>SUBTOTAL(9,Table4[Jun_2026_Days_Actual])</f>
        <v>39</v>
      </c>
      <c r="AV7" s="49">
        <f>SUBTOTAL(9,Table4[Jul_2026_Days_Actual])</f>
        <v>39</v>
      </c>
      <c r="AW7" s="49">
        <f>SUBTOTAL(9,Table4[Aug_2026_Days_Actual])</f>
        <v>44</v>
      </c>
      <c r="AX7" s="49">
        <f>SUBTOTAL(9,Table4[Sep_2026_Days_Actual])</f>
        <v>44</v>
      </c>
      <c r="AY7" s="49">
        <f>SUBTOTAL(9,Table4[Oct_2026_Days_Actual])</f>
        <v>44</v>
      </c>
      <c r="AZ7" s="49">
        <f>SUBTOTAL(9,Table4[Nov_2026_Days_Actual])</f>
        <v>37</v>
      </c>
      <c r="BA7" s="49">
        <f>SUBTOTAL(9,Table4[Dec_2026_Days_Actual])</f>
        <v>35</v>
      </c>
      <c r="BB7" s="50"/>
      <c r="BC7" s="49">
        <f>SUBTOTAL(9,Table4[Jan_2027_Days_Forecast])</f>
        <v>0</v>
      </c>
      <c r="BD7" s="49">
        <f>SUBTOTAL(9,Table4[Feb_2027_Days_Forecast])</f>
        <v>0</v>
      </c>
      <c r="BE7" s="49">
        <f>SUBTOTAL(9,Table4[Mar_2027_Days_Forecast])</f>
        <v>0</v>
      </c>
      <c r="BF7" s="49">
        <f>SUBTOTAL(9,Table4[Apr_2027_Days_Forecast])</f>
        <v>0</v>
      </c>
      <c r="BG7" s="49">
        <f>SUBTOTAL(9,Table4[May_2027_Days_Forecast])</f>
        <v>0</v>
      </c>
      <c r="BH7" s="49">
        <f>SUBTOTAL(9,Table4[Jun_2027_Days_Forecast])</f>
        <v>0</v>
      </c>
      <c r="BI7" s="49">
        <f>SUBTOTAL(9,Table4[Jul_2027_Days_Forecast])</f>
        <v>0</v>
      </c>
      <c r="BJ7" s="49">
        <f>SUBTOTAL(9,Table4[Aug_2027_Days_Forecast])</f>
        <v>0</v>
      </c>
      <c r="BK7" s="49">
        <f>SUBTOTAL(9,Table4[Sep_2027_Days_Forecast])</f>
        <v>0</v>
      </c>
      <c r="BL7" s="49">
        <f>SUBTOTAL(9,Table4[Oct_2027_Days_Forecast])</f>
        <v>0</v>
      </c>
      <c r="BM7" s="49">
        <f>SUBTOTAL(9,Table4[Nov_2027_Days_Forecast])</f>
        <v>0</v>
      </c>
      <c r="BN7" s="49">
        <f>SUBTOTAL(9,Table4[Dec_2027_Days_Forecast])</f>
        <v>0</v>
      </c>
      <c r="BO7" s="56"/>
      <c r="BP7" s="59"/>
      <c r="BQ7" s="4">
        <f>SUBTOTAL(9,Table4[Jan_2026_F])</f>
        <v>89860</v>
      </c>
      <c r="BR7" s="4">
        <f>SUBTOTAL(9,Table4[Jan_2026_A])</f>
        <v>33860</v>
      </c>
      <c r="BS7" s="4">
        <f>SUBTOTAL(9,Table4[Jan_2026_V])</f>
        <v>56000</v>
      </c>
      <c r="BT7" s="4"/>
      <c r="BU7" s="4">
        <f>SUBTOTAL(9,Table4[Feb_2026_F])</f>
        <v>33860</v>
      </c>
      <c r="BV7" s="4">
        <f>SUBTOTAL(9,Table4[Feb_2026_A])</f>
        <v>33860</v>
      </c>
      <c r="BW7" s="4">
        <f>SUBTOTAL(9,Table4[Feb_2026_D])</f>
        <v>0</v>
      </c>
      <c r="BX7" s="4"/>
      <c r="BY7" s="4">
        <f>SUBTOTAL(9,Table4[Mar_2026_F])</f>
        <v>33860</v>
      </c>
      <c r="BZ7" s="4">
        <f>SUBTOTAL(9,Table4[Mar_2026_A])</f>
        <v>33860</v>
      </c>
      <c r="CA7" s="4">
        <f>SUBTOTAL(9,Table4[Mar_2026_D])</f>
        <v>0</v>
      </c>
      <c r="CB7" s="4"/>
      <c r="CC7" s="4">
        <f>SUBTOTAL(9,Table4[Apr_2026_F])</f>
        <v>33860</v>
      </c>
      <c r="CD7" s="4">
        <f>SUBTOTAL(9,Table4[Apr_2026_A])</f>
        <v>33860</v>
      </c>
      <c r="CE7" s="4">
        <f>SUBTOTAL(9,Table4[Apr_2026_D])</f>
        <v>0</v>
      </c>
      <c r="CF7" s="4"/>
      <c r="CG7" s="4">
        <f>SUBTOTAL(9,Table4[May_2026_F])</f>
        <v>31302</v>
      </c>
      <c r="CH7" s="4">
        <f>SUBTOTAL(9,Table4[May_2026_A])</f>
        <v>31302</v>
      </c>
      <c r="CI7" s="4">
        <f>SUBTOTAL(9,Table4[May_2026_D])</f>
        <v>0</v>
      </c>
      <c r="CJ7" s="4"/>
      <c r="CK7" s="4">
        <f>SUBTOTAL(9,Table4[Jun_2026_F])</f>
        <v>29646</v>
      </c>
      <c r="CL7" s="4">
        <f>SUBTOTAL(9,Table4[Jun_2026_A])</f>
        <v>29646</v>
      </c>
      <c r="CM7" s="4">
        <f>SUBTOTAL(9,Table4[Jun_2026_D])</f>
        <v>0</v>
      </c>
      <c r="CN7" s="4"/>
      <c r="CO7" s="4">
        <f>SUBTOTAL(9,Table4[Jul_2026_F])</f>
        <v>31302</v>
      </c>
      <c r="CP7" s="4">
        <f>SUBTOTAL(9,Table4[Jul_2026_A])</f>
        <v>0</v>
      </c>
      <c r="CQ7" s="4">
        <f>SUBTOTAL(9,Table4[Jul_2026_D])</f>
        <v>31302</v>
      </c>
      <c r="CR7" s="4"/>
      <c r="CS7" s="4">
        <f>SUBTOTAL(9,Table4[Aug_2026_F])</f>
        <v>33860</v>
      </c>
      <c r="CT7" s="4">
        <f>SUBTOTAL(9,Table4[Aug_2026_A])</f>
        <v>33860</v>
      </c>
      <c r="CU7" s="4">
        <f>SUBTOTAL(9,Table4[Aug_2026_D])</f>
        <v>0</v>
      </c>
      <c r="CV7" s="4"/>
      <c r="CW7" s="4">
        <f>SUBTOTAL(9,Table4[Sep_2026_F])</f>
        <v>33860</v>
      </c>
      <c r="CX7" s="4">
        <f>SUBTOTAL(9,Table4[Sep_2026_A])</f>
        <v>33860</v>
      </c>
      <c r="CY7" s="4">
        <f>SUBTOTAL(9,Table4[Sep_2026_D])</f>
        <v>0</v>
      </c>
      <c r="CZ7" s="4"/>
      <c r="DA7" s="4">
        <f>SUBTOTAL(9,Table4[Oct_2026_F])</f>
        <v>33860</v>
      </c>
      <c r="DB7" s="4">
        <f>SUBTOTAL(9,Table4[Oct_2026_A])</f>
        <v>33860</v>
      </c>
      <c r="DC7" s="4">
        <f>SUBTOTAL(9,Table4[Oct_2026_D])</f>
        <v>0</v>
      </c>
      <c r="DD7" s="4"/>
      <c r="DE7" s="4">
        <f>SUBTOTAL(9,Table4[Nov_2026_F])</f>
        <v>31302</v>
      </c>
      <c r="DF7" s="4">
        <f>SUBTOTAL(9,Table4[Nov_2026_A])</f>
        <v>31302</v>
      </c>
      <c r="DG7" s="4">
        <f>SUBTOTAL(9,Table4[Nov_2026_D])</f>
        <v>0</v>
      </c>
      <c r="DH7" s="4"/>
      <c r="DI7" s="4">
        <f>SUBTOTAL(9,Table4[Dec_2026_F])</f>
        <v>29646</v>
      </c>
      <c r="DJ7" s="4">
        <f>SUBTOTAL(9,Table4[Dec_2026_A])</f>
        <v>29646</v>
      </c>
      <c r="DK7" s="4">
        <f>SUBTOTAL(9,Table4[Dec_2026_D])</f>
        <v>0</v>
      </c>
      <c r="DL7" s="101"/>
      <c r="DM7" s="59"/>
      <c r="DN7" s="4">
        <f>SUBTOTAL(9,Table4[Jan_2027_F])</f>
        <v>0</v>
      </c>
      <c r="DO7" s="4">
        <f>SUBTOTAL(9,Table4[Jan_2027_A])</f>
        <v>0</v>
      </c>
      <c r="DP7" s="4">
        <f>SUBTOTAL(9,Table4[Jan_2027_D])</f>
        <v>0</v>
      </c>
      <c r="DQ7" s="4">
        <f>SUBTOTAL(9,Table4[Feb_2027_F])</f>
        <v>0</v>
      </c>
      <c r="DR7" s="4">
        <f>SUBTOTAL(9,Table4[Feb_2027_A])</f>
        <v>0</v>
      </c>
      <c r="DS7" s="4">
        <f>SUBTOTAL(9,Table4[Feb_2027_D])</f>
        <v>0</v>
      </c>
      <c r="DT7" s="4">
        <f>SUBTOTAL(9,Table4[Mar_2027_F])</f>
        <v>0</v>
      </c>
      <c r="DU7" s="4">
        <f>SUBTOTAL(9,Table4[Mar_2027_A])</f>
        <v>0</v>
      </c>
      <c r="DV7" s="4">
        <f>SUBTOTAL(9,Table4[Mar_2027_D])</f>
        <v>0</v>
      </c>
      <c r="DW7" s="4">
        <f>SUBTOTAL(9,Table4[Apr_2027_F])</f>
        <v>0</v>
      </c>
      <c r="DX7" s="4">
        <f>SUBTOTAL(9,Table4[Apr_2027_A])</f>
        <v>0</v>
      </c>
      <c r="DY7" s="4">
        <f>SUBTOTAL(9,Table4[Apr_2027_D])</f>
        <v>0</v>
      </c>
      <c r="DZ7" s="4">
        <f>SUBTOTAL(9,Table4[May_2027_F])</f>
        <v>0</v>
      </c>
      <c r="EA7" s="4">
        <f>SUBTOTAL(9,Table4[May_2027_A])</f>
        <v>0</v>
      </c>
      <c r="EB7" s="4">
        <f>SUBTOTAL(9,Table4[May_2027_D])</f>
        <v>0</v>
      </c>
      <c r="EC7" s="4">
        <f>SUBTOTAL(9,Table4[Jun_2027_F])</f>
        <v>0</v>
      </c>
      <c r="ED7" s="4">
        <f>SUBTOTAL(9,Table4[Jun_2027_A])</f>
        <v>0</v>
      </c>
      <c r="EE7" s="4">
        <f>SUBTOTAL(9,Table4[Jun_2027_D])</f>
        <v>0</v>
      </c>
      <c r="EF7" s="4">
        <f>SUBTOTAL(9,Table4[Jul_2027_F])</f>
        <v>0</v>
      </c>
      <c r="EG7" s="4">
        <f>SUBTOTAL(9,Table4[Jul_2027_A])</f>
        <v>0</v>
      </c>
      <c r="EH7" s="4">
        <f>SUBTOTAL(9,Table4[Jul_2027_D])</f>
        <v>0</v>
      </c>
      <c r="EI7" s="4">
        <f>SUBTOTAL(9,Table4[Aug_2027_F])</f>
        <v>0</v>
      </c>
      <c r="EJ7" s="4">
        <f>SUBTOTAL(9,Table4[Aug_2027_A])</f>
        <v>0</v>
      </c>
      <c r="EK7" s="4">
        <f>SUBTOTAL(9,Table4[Aug_2027_D])</f>
        <v>0</v>
      </c>
      <c r="EL7" s="4">
        <f>SUBTOTAL(9,Table4[Sep_2027_F])</f>
        <v>0</v>
      </c>
      <c r="EM7" s="4">
        <f>SUBTOTAL(9,Table4[Sep_2027_A])</f>
        <v>0</v>
      </c>
      <c r="EN7" s="4">
        <f>SUBTOTAL(9,Table4[Sep_2027_D])</f>
        <v>0</v>
      </c>
      <c r="EO7" s="4">
        <f>SUBTOTAL(9,Table4[Oct_2027_F])</f>
        <v>0</v>
      </c>
      <c r="EP7" s="4">
        <f>SUBTOTAL(9,Table4[Oct_2027_A])</f>
        <v>0</v>
      </c>
      <c r="EQ7" s="4">
        <f>SUBTOTAL(9,Table4[Oct_2027_D])</f>
        <v>0</v>
      </c>
      <c r="ER7" s="4">
        <f>SUBTOTAL(9,Table4[Nov_2027_F])</f>
        <v>0</v>
      </c>
      <c r="ES7" s="4">
        <f>SUBTOTAL(9,Table4[Nov_2027_A])</f>
        <v>0</v>
      </c>
      <c r="ET7" s="4">
        <f>SUBTOTAL(9,Table4[Nov_2027_D])</f>
        <v>0</v>
      </c>
      <c r="EU7" s="4">
        <f>SUBTOTAL(9,Table4[Dec_2027_F])</f>
        <v>0</v>
      </c>
      <c r="EV7" s="4">
        <f>SUBTOTAL(9,Table4[Dec_2027_A])</f>
        <v>0</v>
      </c>
      <c r="EW7" s="4">
        <f>SUBTOTAL(9,Table4[Dec_2027_D])</f>
        <v>0</v>
      </c>
    </row>
    <row r="8" spans="1:153" ht="14.45" hidden="1" customHeight="1">
      <c r="L8" s="14"/>
      <c r="W8" s="14"/>
      <c r="AA8" s="50"/>
      <c r="AB8" s="222">
        <v>2026</v>
      </c>
      <c r="AC8" s="223"/>
      <c r="AD8" s="223"/>
      <c r="AE8" s="223"/>
      <c r="AF8" s="223"/>
      <c r="AG8" s="223"/>
      <c r="AH8" s="223"/>
      <c r="AI8" s="223"/>
      <c r="AJ8" s="223"/>
      <c r="AK8" s="223"/>
      <c r="AL8" s="223"/>
      <c r="AM8" s="224"/>
      <c r="AN8" s="50"/>
      <c r="AO8" s="50"/>
      <c r="AP8" s="225">
        <v>2026</v>
      </c>
      <c r="AQ8" s="226"/>
      <c r="AR8" s="226"/>
      <c r="AS8" s="226"/>
      <c r="AT8" s="226"/>
      <c r="AU8" s="226"/>
      <c r="AV8" s="226"/>
      <c r="AW8" s="226"/>
      <c r="AX8" s="226"/>
      <c r="AY8" s="226"/>
      <c r="AZ8" s="226"/>
      <c r="BA8" s="227"/>
      <c r="BB8" s="50"/>
      <c r="BC8" s="228">
        <v>2027</v>
      </c>
      <c r="BD8" s="229"/>
      <c r="BE8" s="229"/>
      <c r="BF8" s="229"/>
      <c r="BG8" s="229"/>
      <c r="BH8" s="229"/>
      <c r="BI8" s="229"/>
      <c r="BJ8" s="229"/>
      <c r="BK8" s="229"/>
      <c r="BL8" s="229"/>
      <c r="BM8" s="229"/>
      <c r="BN8" s="230"/>
      <c r="BO8" s="55"/>
      <c r="BP8" s="55"/>
      <c r="BQ8" s="219">
        <v>46047</v>
      </c>
      <c r="BR8" s="220"/>
      <c r="BS8" s="221"/>
      <c r="BT8" s="100"/>
      <c r="BU8" s="219">
        <v>46078</v>
      </c>
      <c r="BV8" s="220"/>
      <c r="BW8" s="221"/>
      <c r="BX8" s="100"/>
      <c r="BY8" s="219">
        <v>46106</v>
      </c>
      <c r="BZ8" s="220"/>
      <c r="CA8" s="221"/>
      <c r="CB8" s="100"/>
      <c r="CC8" s="219">
        <v>46137</v>
      </c>
      <c r="CD8" s="220"/>
      <c r="CE8" s="221"/>
      <c r="CF8" s="100"/>
      <c r="CG8" s="219">
        <v>46167</v>
      </c>
      <c r="CH8" s="220"/>
      <c r="CI8" s="221"/>
      <c r="CJ8" s="100"/>
      <c r="CK8" s="219">
        <v>46198</v>
      </c>
      <c r="CL8" s="220"/>
      <c r="CM8" s="221"/>
      <c r="CN8" s="100"/>
      <c r="CO8" s="219">
        <v>46228</v>
      </c>
      <c r="CP8" s="220"/>
      <c r="CQ8" s="221"/>
      <c r="CR8" s="100"/>
      <c r="CS8" s="219">
        <v>46259</v>
      </c>
      <c r="CT8" s="220"/>
      <c r="CU8" s="221"/>
      <c r="CV8" s="100"/>
      <c r="CW8" s="219">
        <v>46290</v>
      </c>
      <c r="CX8" s="220"/>
      <c r="CY8" s="221"/>
      <c r="CZ8" s="100"/>
      <c r="DA8" s="219">
        <v>46320</v>
      </c>
      <c r="DB8" s="220"/>
      <c r="DC8" s="221"/>
      <c r="DD8" s="100"/>
      <c r="DE8" s="219">
        <v>46351</v>
      </c>
      <c r="DF8" s="220"/>
      <c r="DG8" s="221"/>
      <c r="DH8" s="100"/>
      <c r="DI8" s="219">
        <v>46381</v>
      </c>
      <c r="DJ8" s="220"/>
      <c r="DK8" s="221"/>
      <c r="DL8" s="102"/>
      <c r="DM8" s="55"/>
      <c r="DN8" s="219">
        <v>46412</v>
      </c>
      <c r="DO8" s="220"/>
      <c r="DP8" s="221"/>
      <c r="DQ8" s="231">
        <v>46443</v>
      </c>
      <c r="DR8" s="220"/>
      <c r="DS8" s="221"/>
      <c r="DT8" s="231">
        <v>46471</v>
      </c>
      <c r="DU8" s="220"/>
      <c r="DV8" s="221"/>
      <c r="DW8" s="231">
        <v>46502</v>
      </c>
      <c r="DX8" s="220"/>
      <c r="DY8" s="221"/>
      <c r="DZ8" s="231">
        <v>46532</v>
      </c>
      <c r="EA8" s="220"/>
      <c r="EB8" s="221"/>
      <c r="EC8" s="231">
        <v>46563</v>
      </c>
      <c r="ED8" s="220"/>
      <c r="EE8" s="221"/>
      <c r="EF8" s="231">
        <v>46593</v>
      </c>
      <c r="EG8" s="220"/>
      <c r="EH8" s="221"/>
      <c r="EI8" s="231">
        <v>46624</v>
      </c>
      <c r="EJ8" s="220"/>
      <c r="EK8" s="221"/>
      <c r="EL8" s="231">
        <v>46655</v>
      </c>
      <c r="EM8" s="220"/>
      <c r="EN8" s="221"/>
      <c r="EO8" s="231">
        <v>46685</v>
      </c>
      <c r="EP8" s="220"/>
      <c r="EQ8" s="221"/>
      <c r="ER8" s="231">
        <v>46716</v>
      </c>
      <c r="ES8" s="220"/>
      <c r="ET8" s="221"/>
      <c r="EU8" s="231">
        <v>46746</v>
      </c>
      <c r="EV8" s="220"/>
      <c r="EW8" s="221"/>
    </row>
    <row r="9" spans="1:153" s="48" customFormat="1" ht="131.25" customHeight="1">
      <c r="A9" s="44" t="s">
        <v>65</v>
      </c>
      <c r="B9" s="44" t="s">
        <v>66</v>
      </c>
      <c r="C9" s="44" t="s">
        <v>67</v>
      </c>
      <c r="D9" s="44" t="s">
        <v>68</v>
      </c>
      <c r="E9" s="44" t="s">
        <v>69</v>
      </c>
      <c r="F9" s="44" t="s">
        <v>70</v>
      </c>
      <c r="G9" s="44" t="s">
        <v>71</v>
      </c>
      <c r="H9" s="44" t="s">
        <v>72</v>
      </c>
      <c r="I9" s="44" t="s">
        <v>73</v>
      </c>
      <c r="J9" s="44" t="s">
        <v>74</v>
      </c>
      <c r="K9" s="44" t="s">
        <v>75</v>
      </c>
      <c r="L9" s="44" t="s">
        <v>76</v>
      </c>
      <c r="M9" s="44" t="s">
        <v>77</v>
      </c>
      <c r="N9" s="44" t="s">
        <v>78</v>
      </c>
      <c r="O9" s="44" t="s">
        <v>79</v>
      </c>
      <c r="P9" s="44" t="s">
        <v>80</v>
      </c>
      <c r="Q9" s="44" t="s">
        <v>81</v>
      </c>
      <c r="R9" s="44" t="s">
        <v>82</v>
      </c>
      <c r="S9" s="44" t="s">
        <v>83</v>
      </c>
      <c r="T9" s="44" t="s">
        <v>84</v>
      </c>
      <c r="U9" s="44" t="s">
        <v>85</v>
      </c>
      <c r="V9" s="44" t="s">
        <v>86</v>
      </c>
      <c r="W9" s="44" t="s">
        <v>87</v>
      </c>
      <c r="X9" s="44" t="s">
        <v>88</v>
      </c>
      <c r="Y9" s="44" t="s">
        <v>89</v>
      </c>
      <c r="Z9" s="44" t="s">
        <v>90</v>
      </c>
      <c r="AA9" s="52" t="s">
        <v>91</v>
      </c>
      <c r="AB9" s="81" t="s">
        <v>92</v>
      </c>
      <c r="AC9" s="81" t="s">
        <v>93</v>
      </c>
      <c r="AD9" s="81" t="s">
        <v>94</v>
      </c>
      <c r="AE9" s="81" t="s">
        <v>95</v>
      </c>
      <c r="AF9" s="81" t="s">
        <v>96</v>
      </c>
      <c r="AG9" s="81" t="s">
        <v>97</v>
      </c>
      <c r="AH9" s="81" t="s">
        <v>98</v>
      </c>
      <c r="AI9" s="81" t="s">
        <v>99</v>
      </c>
      <c r="AJ9" s="81" t="s">
        <v>100</v>
      </c>
      <c r="AK9" s="81" t="s">
        <v>101</v>
      </c>
      <c r="AL9" s="81" t="s">
        <v>102</v>
      </c>
      <c r="AM9" s="81" t="s">
        <v>103</v>
      </c>
      <c r="AN9" s="52" t="s">
        <v>104</v>
      </c>
      <c r="AO9" s="52" t="s">
        <v>105</v>
      </c>
      <c r="AP9" s="45" t="s">
        <v>106</v>
      </c>
      <c r="AQ9" s="45" t="s">
        <v>107</v>
      </c>
      <c r="AR9" s="45" t="s">
        <v>108</v>
      </c>
      <c r="AS9" s="45" t="s">
        <v>109</v>
      </c>
      <c r="AT9" s="45" t="s">
        <v>110</v>
      </c>
      <c r="AU9" s="45" t="s">
        <v>111</v>
      </c>
      <c r="AV9" s="45" t="s">
        <v>112</v>
      </c>
      <c r="AW9" s="45" t="s">
        <v>113</v>
      </c>
      <c r="AX9" s="45" t="s">
        <v>114</v>
      </c>
      <c r="AY9" s="45" t="s">
        <v>115</v>
      </c>
      <c r="AZ9" s="45" t="s">
        <v>116</v>
      </c>
      <c r="BA9" s="45" t="s">
        <v>117</v>
      </c>
      <c r="BB9" s="52" t="s">
        <v>118</v>
      </c>
      <c r="BC9" s="45" t="s">
        <v>119</v>
      </c>
      <c r="BD9" s="45" t="s">
        <v>120</v>
      </c>
      <c r="BE9" s="45" t="s">
        <v>121</v>
      </c>
      <c r="BF9" s="45" t="s">
        <v>122</v>
      </c>
      <c r="BG9" s="45" t="s">
        <v>123</v>
      </c>
      <c r="BH9" s="45" t="s">
        <v>124</v>
      </c>
      <c r="BI9" s="45" t="s">
        <v>125</v>
      </c>
      <c r="BJ9" s="45" t="s">
        <v>126</v>
      </c>
      <c r="BK9" s="45" t="s">
        <v>127</v>
      </c>
      <c r="BL9" s="45" t="s">
        <v>128</v>
      </c>
      <c r="BM9" s="45" t="s">
        <v>129</v>
      </c>
      <c r="BN9" s="45" t="s">
        <v>130</v>
      </c>
      <c r="BO9" s="57" t="s">
        <v>131</v>
      </c>
      <c r="BP9" s="57" t="s">
        <v>132</v>
      </c>
      <c r="BQ9" s="46" t="s">
        <v>133</v>
      </c>
      <c r="BR9" s="64" t="s">
        <v>134</v>
      </c>
      <c r="BS9" s="75" t="s">
        <v>135</v>
      </c>
      <c r="BT9" s="104" t="s">
        <v>136</v>
      </c>
      <c r="BU9" s="47" t="s">
        <v>137</v>
      </c>
      <c r="BV9" s="64" t="s">
        <v>138</v>
      </c>
      <c r="BW9" s="76" t="s">
        <v>139</v>
      </c>
      <c r="BX9" s="105" t="s">
        <v>140</v>
      </c>
      <c r="BY9" s="47" t="s">
        <v>141</v>
      </c>
      <c r="BZ9" s="64" t="s">
        <v>142</v>
      </c>
      <c r="CA9" s="76" t="s">
        <v>143</v>
      </c>
      <c r="CB9" s="105" t="s">
        <v>144</v>
      </c>
      <c r="CC9" s="47" t="s">
        <v>145</v>
      </c>
      <c r="CD9" s="64" t="s">
        <v>146</v>
      </c>
      <c r="CE9" s="76" t="s">
        <v>147</v>
      </c>
      <c r="CF9" s="105" t="s">
        <v>148</v>
      </c>
      <c r="CG9" s="47" t="s">
        <v>149</v>
      </c>
      <c r="CH9" s="64" t="s">
        <v>150</v>
      </c>
      <c r="CI9" s="76" t="s">
        <v>151</v>
      </c>
      <c r="CJ9" s="105" t="s">
        <v>152</v>
      </c>
      <c r="CK9" s="47" t="s">
        <v>153</v>
      </c>
      <c r="CL9" s="64" t="s">
        <v>154</v>
      </c>
      <c r="CM9" s="76" t="s">
        <v>155</v>
      </c>
      <c r="CN9" s="105" t="s">
        <v>156</v>
      </c>
      <c r="CO9" s="47" t="s">
        <v>157</v>
      </c>
      <c r="CP9" s="64" t="s">
        <v>158</v>
      </c>
      <c r="CQ9" s="76" t="s">
        <v>159</v>
      </c>
      <c r="CR9" s="105" t="s">
        <v>160</v>
      </c>
      <c r="CS9" s="47" t="s">
        <v>161</v>
      </c>
      <c r="CT9" s="64" t="s">
        <v>162</v>
      </c>
      <c r="CU9" s="76" t="s">
        <v>163</v>
      </c>
      <c r="CV9" s="105" t="s">
        <v>164</v>
      </c>
      <c r="CW9" s="47" t="s">
        <v>165</v>
      </c>
      <c r="CX9" s="64" t="s">
        <v>166</v>
      </c>
      <c r="CY9" s="76" t="s">
        <v>167</v>
      </c>
      <c r="CZ9" s="105" t="s">
        <v>168</v>
      </c>
      <c r="DA9" s="47" t="s">
        <v>169</v>
      </c>
      <c r="DB9" s="64" t="s">
        <v>170</v>
      </c>
      <c r="DC9" s="76" t="s">
        <v>171</v>
      </c>
      <c r="DD9" s="105" t="s">
        <v>172</v>
      </c>
      <c r="DE9" s="47" t="s">
        <v>173</v>
      </c>
      <c r="DF9" s="64" t="s">
        <v>174</v>
      </c>
      <c r="DG9" s="76" t="s">
        <v>175</v>
      </c>
      <c r="DH9" s="105" t="s">
        <v>176</v>
      </c>
      <c r="DI9" s="47" t="s">
        <v>177</v>
      </c>
      <c r="DJ9" s="64" t="s">
        <v>178</v>
      </c>
      <c r="DK9" s="76" t="s">
        <v>179</v>
      </c>
      <c r="DL9" s="105" t="s">
        <v>180</v>
      </c>
      <c r="DM9" s="57" t="s">
        <v>181</v>
      </c>
      <c r="DN9" s="46" t="s">
        <v>182</v>
      </c>
      <c r="DO9" s="64" t="s">
        <v>183</v>
      </c>
      <c r="DP9" s="75" t="s">
        <v>184</v>
      </c>
      <c r="DQ9" s="47" t="s">
        <v>185</v>
      </c>
      <c r="DR9" s="64" t="s">
        <v>186</v>
      </c>
      <c r="DS9" s="76" t="s">
        <v>187</v>
      </c>
      <c r="DT9" s="47" t="s">
        <v>188</v>
      </c>
      <c r="DU9" s="64" t="s">
        <v>189</v>
      </c>
      <c r="DV9" s="76" t="s">
        <v>190</v>
      </c>
      <c r="DW9" s="47" t="s">
        <v>191</v>
      </c>
      <c r="DX9" s="64" t="s">
        <v>192</v>
      </c>
      <c r="DY9" s="76" t="s">
        <v>193</v>
      </c>
      <c r="DZ9" s="47" t="s">
        <v>194</v>
      </c>
      <c r="EA9" s="64" t="s">
        <v>195</v>
      </c>
      <c r="EB9" s="76" t="s">
        <v>196</v>
      </c>
      <c r="EC9" s="47" t="s">
        <v>197</v>
      </c>
      <c r="ED9" s="64" t="s">
        <v>198</v>
      </c>
      <c r="EE9" s="76" t="s">
        <v>199</v>
      </c>
      <c r="EF9" s="47" t="s">
        <v>200</v>
      </c>
      <c r="EG9" s="64" t="s">
        <v>201</v>
      </c>
      <c r="EH9" s="76" t="s">
        <v>202</v>
      </c>
      <c r="EI9" s="47" t="s">
        <v>203</v>
      </c>
      <c r="EJ9" s="64" t="s">
        <v>204</v>
      </c>
      <c r="EK9" s="76" t="s">
        <v>205</v>
      </c>
      <c r="EL9" s="47" t="s">
        <v>206</v>
      </c>
      <c r="EM9" s="64" t="s">
        <v>207</v>
      </c>
      <c r="EN9" s="76" t="s">
        <v>208</v>
      </c>
      <c r="EO9" s="47" t="s">
        <v>209</v>
      </c>
      <c r="EP9" s="64" t="s">
        <v>210</v>
      </c>
      <c r="EQ9" s="76" t="s">
        <v>211</v>
      </c>
      <c r="ER9" s="47" t="s">
        <v>212</v>
      </c>
      <c r="ES9" s="64" t="s">
        <v>213</v>
      </c>
      <c r="ET9" s="76" t="s">
        <v>214</v>
      </c>
      <c r="EU9" s="47" t="s">
        <v>215</v>
      </c>
      <c r="EV9" s="64" t="s">
        <v>216</v>
      </c>
      <c r="EW9" s="76" t="s">
        <v>217</v>
      </c>
    </row>
    <row r="10" spans="1:153" ht="15" customHeight="1">
      <c r="A10" s="132" t="s">
        <v>358</v>
      </c>
      <c r="B10" s="132" t="s">
        <v>46</v>
      </c>
      <c r="C10" s="132" t="s">
        <v>359</v>
      </c>
      <c r="D10" s="132" t="s">
        <v>360</v>
      </c>
      <c r="E10" s="132" t="s">
        <v>361</v>
      </c>
      <c r="F10" s="132"/>
      <c r="G10" s="132" t="s">
        <v>267</v>
      </c>
      <c r="H10" s="132">
        <v>4</v>
      </c>
      <c r="I10" s="132"/>
      <c r="J10" s="132" t="s">
        <v>236</v>
      </c>
      <c r="K10" s="132" t="s">
        <v>224</v>
      </c>
      <c r="L10" s="132">
        <v>0</v>
      </c>
      <c r="M10" s="132" t="s">
        <v>362</v>
      </c>
      <c r="N10" s="132" t="s">
        <v>291</v>
      </c>
      <c r="O10" s="132" t="s">
        <v>260</v>
      </c>
      <c r="P10" s="132" t="s">
        <v>43</v>
      </c>
      <c r="Q10" s="132" t="s">
        <v>228</v>
      </c>
      <c r="R10" s="191">
        <v>46023</v>
      </c>
      <c r="S10" s="191">
        <v>46387</v>
      </c>
      <c r="T10" s="191">
        <v>46023</v>
      </c>
      <c r="U10" s="191">
        <v>46387</v>
      </c>
      <c r="V10" s="191">
        <v>46023</v>
      </c>
      <c r="W10" s="191">
        <v>46387</v>
      </c>
      <c r="X10" s="132"/>
      <c r="Y10" s="132" t="str">
        <f>CONCATENATE(Table4[[#This Row],[JG]],Table4[[#This Row],[Country]],Table4[[#This Row],[Resource Provider]])</f>
        <v>4IndiaShell IDT</v>
      </c>
      <c r="Z10" s="132">
        <f>VLOOKUP(Table4[[#This Row],[RATE CONCAT]],Tables!I:N,5,0)</f>
        <v>456</v>
      </c>
      <c r="AA10" s="53"/>
      <c r="AB10" s="192">
        <v>5</v>
      </c>
      <c r="AC10" s="192">
        <v>5</v>
      </c>
      <c r="AD10" s="192">
        <v>5</v>
      </c>
      <c r="AE10" s="192">
        <v>5</v>
      </c>
      <c r="AF10" s="192">
        <v>5</v>
      </c>
      <c r="AG10" s="192">
        <v>4</v>
      </c>
      <c r="AH10" s="192">
        <v>5</v>
      </c>
      <c r="AI10" s="192">
        <v>5</v>
      </c>
      <c r="AJ10" s="192">
        <v>5</v>
      </c>
      <c r="AK10" s="192">
        <v>5</v>
      </c>
      <c r="AL10" s="192">
        <v>5</v>
      </c>
      <c r="AM10" s="192">
        <v>4</v>
      </c>
      <c r="AN10" s="53">
        <f>IFERROR(AVERAGE(Table4[[#This Row],[Jan_2026_Days_Forecast]:[Dec_2026_Days_Forecast]]),0)/19</f>
        <v>0.25438596491228066</v>
      </c>
      <c r="AO10" s="53">
        <f>IFERROR(AVERAGE(Table4[[#This Row],[Jan_2026_Days_Actual]:[Dec_2026_Days_Actual]]),0)/19</f>
        <v>0.25438596491228066</v>
      </c>
      <c r="AP10" s="192">
        <v>5</v>
      </c>
      <c r="AQ10" s="192">
        <v>5</v>
      </c>
      <c r="AR10" s="192">
        <v>5</v>
      </c>
      <c r="AS10" s="192">
        <v>5</v>
      </c>
      <c r="AT10" s="192">
        <v>5</v>
      </c>
      <c r="AU10" s="192">
        <v>4</v>
      </c>
      <c r="AV10" s="192">
        <v>5</v>
      </c>
      <c r="AW10" s="192">
        <v>5</v>
      </c>
      <c r="AX10" s="192">
        <v>5</v>
      </c>
      <c r="AY10" s="192">
        <v>5</v>
      </c>
      <c r="AZ10" s="192">
        <v>5</v>
      </c>
      <c r="BA10" s="192">
        <v>4</v>
      </c>
      <c r="BB10" s="53">
        <f>IFERROR(AVERAGE(Table4[[#This Row],[Jan_2027_Days_Forecast]:[Dec_2027_Days_Forecast]]),0)</f>
        <v>0</v>
      </c>
      <c r="BC10" s="16"/>
      <c r="BD10" s="16"/>
      <c r="BE10" s="16"/>
      <c r="BF10" s="16"/>
      <c r="BG10" s="16"/>
      <c r="BH10" s="16"/>
      <c r="BI10" s="16"/>
      <c r="BJ10" s="16"/>
      <c r="BK10" s="16"/>
      <c r="BL10" s="16"/>
      <c r="BM10" s="16"/>
      <c r="BN10" s="16"/>
      <c r="BO10" s="55"/>
      <c r="BP10" s="60"/>
      <c r="BQ10" s="3">
        <f>Table4[[#This Row],[Jan_2026_Days_Forecast]]*Table4[[#This Row],[Cost Boolean]]*VLOOKUP(Table4[[#This Row],[RATE CONCAT]],Tables!I:N,5,0)</f>
        <v>0</v>
      </c>
      <c r="BR10" s="3">
        <f>IFERROR(Table4[[#This Row],[Jan_2026_Days_Actual]]*Table4[[#This Row],[Cost Boolean]]*(VLOOKUP(Table4[[#This Row],[RATE CONCAT]],Tables!I:N,5,0)),0)</f>
        <v>0</v>
      </c>
      <c r="BS10" s="3">
        <f>Table4[[#This Row],[Jan_2026_F]]-Table4[[#This Row],[Jan_2026_A]]</f>
        <v>0</v>
      </c>
      <c r="BT10" s="107"/>
      <c r="BU10" s="3">
        <f>IFERROR(Table4[[#This Row],[Feb_2026_Days_Forecast]]*Table4[[#This Row],[Cost Boolean]]*(VLOOKUP(Table4[[#This Row],[RATE CONCAT]],Tables!I:N,5,0)),0)</f>
        <v>0</v>
      </c>
      <c r="BV10" s="3">
        <f>IFERROR(Table4[[#This Row],[Feb_2026_Days_Actual]]*Table4[[#This Row],[Cost Boolean]]*(VLOOKUP(Table4[[#This Row],[RATE CONCAT]],Tables!I:N,5,0)),0)</f>
        <v>0</v>
      </c>
      <c r="BW10" s="3">
        <f>Table4[[#This Row],[Feb_2026_F]]-Table4[[#This Row],[Feb_2026_A]]</f>
        <v>0</v>
      </c>
      <c r="BX10" s="103"/>
      <c r="BY10" s="3">
        <f>IFERROR(Table4[[#This Row],[Mar_2026_Days_Forecast]]*Table4[[#This Row],[Cost Boolean]]*(VLOOKUP(Table4[[#This Row],[RATE CONCAT]],Tables!I:N,5,0)),0)</f>
        <v>0</v>
      </c>
      <c r="BZ10" s="3">
        <f>IFERROR(Table4[[#This Row],[Mar_2026_Days_Actual]]*Table4[[#This Row],[Cost Boolean]]*(VLOOKUP(Table4[[#This Row],[RATE CONCAT]],Tables!I:N,5,0)),0)</f>
        <v>0</v>
      </c>
      <c r="CA10" s="3">
        <f>Table4[[#This Row],[Mar_2026_F]]-Table4[[#This Row],[Mar_2026_A]]</f>
        <v>0</v>
      </c>
      <c r="CB10" s="103"/>
      <c r="CC10" s="3">
        <f>IFERROR(Table4[[#This Row],[Apr_2026_Days_Forecast]]*Table4[[#This Row],[Cost Boolean]]*(VLOOKUP(Table4[[#This Row],[RATE CONCAT]],Tables!I:N,5,0)),0)</f>
        <v>0</v>
      </c>
      <c r="CD10" s="3">
        <f>IFERROR(Table4[[#This Row],[Apr_2026_Days_Actual]]*Table4[[#This Row],[Cost Boolean]]*(VLOOKUP(Table4[[#This Row],[RATE CONCAT]],Tables!I:N,5,0)),0)</f>
        <v>0</v>
      </c>
      <c r="CE10" s="3">
        <f>Table4[[#This Row],[Apr_2026_F]]-Table4[[#This Row],[Apr_2026_A]]</f>
        <v>0</v>
      </c>
      <c r="CF10" s="103"/>
      <c r="CG10" s="3">
        <f>IFERROR(Table4[[#This Row],[May_2026_Days_Forecast]] *Table4[[#This Row],[Cost Boolean]]*(VLOOKUP(Table4[[#This Row],[RATE CONCAT]],Tables!I:N,5,0)),0)</f>
        <v>0</v>
      </c>
      <c r="CH10" s="3">
        <f>IFERROR(Table4[[#This Row],[May_2026_Days_Actual]]*Table4[[#This Row],[Cost Boolean]]*(VLOOKUP(Table4[[#This Row],[RATE CONCAT]],Tables!I:N,5,0)),0)</f>
        <v>0</v>
      </c>
      <c r="CI10" s="3">
        <f>Table4[[#This Row],[May_2026_F]]-Table4[[#This Row],[May_2026_A]]</f>
        <v>0</v>
      </c>
      <c r="CJ10" s="103"/>
      <c r="CK10" s="3">
        <f>IFERROR(Table4[[#This Row],[Jun_2026_Days_Forecast]]*Table4[[#This Row],[Cost Boolean]]*(VLOOKUP(Table4[[#This Row],[RATE CONCAT]],Tables!I:N,5,0)),0)</f>
        <v>0</v>
      </c>
      <c r="CL10" s="3">
        <f>IFERROR(Table4[[#This Row],[Jun_2026_Days_Actual]]*Table4[[#This Row],[Cost Boolean]]*(VLOOKUP(Table4[[#This Row],[RATE CONCAT]],Tables!I:N,5,0)),0)</f>
        <v>0</v>
      </c>
      <c r="CM10" s="3">
        <f>Table4[[#This Row],[Jun_2026_F]]-Table4[[#This Row],[Jun_2026_A]]</f>
        <v>0</v>
      </c>
      <c r="CN10" s="103"/>
      <c r="CO10" s="3">
        <f>IFERROR(Table4[[#This Row],[Jul_2026_Days_Forecast]]*Table4[[#This Row],[Cost Boolean]]*(VLOOKUP(Table4[[#This Row],[RATE CONCAT]],Tables!I:N,5,0)),0)</f>
        <v>0</v>
      </c>
      <c r="CP10" s="3">
        <f>IFERROR(Table4[[#This Row],[Aug_2026_Days_Forecast]]*Table4[[#This Row],[Location]]*(VLOOKUP(Table4[[#This Row],[Rate]],Tables!J:O,5,0)),0)</f>
        <v>0</v>
      </c>
      <c r="CQ10" s="3">
        <f>Table4[[#This Row],[Jul_2026_F]]-Table4[[#This Row],[Jul_2026_A]]</f>
        <v>0</v>
      </c>
      <c r="CR10" s="103"/>
      <c r="CS10" s="3">
        <f>IFERROR(Table4[[#This Row],[Aug_2026_Days_Forecast]]*Table4[[#This Row],[Cost Boolean]]*(VLOOKUP(Table4[[#This Row],[RATE CONCAT]],Tables!I:N,5,0)),0)</f>
        <v>0</v>
      </c>
      <c r="CT10" s="3">
        <f>IFERROR(Table4[[#This Row],[Aug_2026_Days_Actual]]*Table4[[#This Row],[Cost Boolean]]*(VLOOKUP(Table4[[#This Row],[RATE CONCAT]],Tables!I:N,5,0)),0)</f>
        <v>0</v>
      </c>
      <c r="CU10" s="3">
        <f>Table4[[#This Row],[Aug_2026_F]]-Table4[[#This Row],[Aug_2026_A]]</f>
        <v>0</v>
      </c>
      <c r="CV10" s="103"/>
      <c r="CW10" s="3">
        <f>IFERROR(Table4[[#This Row],[Sep_2026_Days_Forecast]]*Table4[[#This Row],[Cost Boolean]]*(VLOOKUP(Table4[[#This Row],[RATE CONCAT]],Tables!I:N,5,0)),0)</f>
        <v>0</v>
      </c>
      <c r="CX10" s="3">
        <f>IFERROR(Table4[[#This Row],[Sep_2026_Days_Actual]]*Table4[[#This Row],[Cost Boolean]]*(VLOOKUP(Table4[[#This Row],[RATE CONCAT]],Tables!I:N,5,0)),0)</f>
        <v>0</v>
      </c>
      <c r="CY10" s="3">
        <f>Table4[[#This Row],[Sep_2026_F]]-Table4[[#This Row],[Sep_2026_A]]</f>
        <v>0</v>
      </c>
      <c r="CZ10" s="103"/>
      <c r="DA10" s="3">
        <f>IFERROR(Table4[[#This Row],[Oct_2026_Days_Forecast]]*Table4[[#This Row],[Cost Boolean]]*(VLOOKUP(Table4[[#This Row],[RATE CONCAT]],Tables!I:N,5,0)),0)</f>
        <v>0</v>
      </c>
      <c r="DB10" s="3">
        <f>IFERROR(Table4[[#This Row],[Oct_2026_Days_Actual]]*Table4[[#This Row],[Cost Boolean]]*(VLOOKUP(Table4[[#This Row],[RATE CONCAT]],Tables!I:N,5,0)),0)</f>
        <v>0</v>
      </c>
      <c r="DC10" s="3">
        <f>Table4[[#This Row],[Oct_2026_F]]-Table4[[#This Row],[Oct_2026_A]]</f>
        <v>0</v>
      </c>
      <c r="DD10" s="103"/>
      <c r="DE10" s="3">
        <f>IFERROR(Table4[[#This Row],[Nov_2026_Days_Forecast]]*Table4[[#This Row],[Cost Boolean]]*(VLOOKUP(Table4[[#This Row],[RATE CONCAT]],Tables!I:N,5,0)),0)</f>
        <v>0</v>
      </c>
      <c r="DF10" s="3">
        <f>IFERROR(Table4[[#This Row],[Nov_2026_Days_Actual]]*Table4[[#This Row],[Cost Boolean]]*(VLOOKUP(Table4[[#This Row],[RATE CONCAT]],Tables!I:N,5,0)),0)</f>
        <v>0</v>
      </c>
      <c r="DG10" s="3">
        <f>Table4[[#This Row],[Nov_2026_F]]-Table4[[#This Row],[Nov_2026_A]]</f>
        <v>0</v>
      </c>
      <c r="DH10" s="103"/>
      <c r="DI10" s="3">
        <f>IFERROR(Table4[[#This Row],[Dec_2026_Days_Forecast]]*Table4[[#This Row],[Cost Boolean]]*(VLOOKUP(Table4[[#This Row],[RATE CONCAT]],Tables!I:N,5,0)),0)</f>
        <v>0</v>
      </c>
      <c r="DJ10" s="3">
        <f>IFERROR(Table4[[#This Row],[Dec_2026_Days_Actual]]*Table4[[#This Row],[Cost Boolean]]*(VLOOKUP(Table4[[#This Row],[RATE CONCAT]],Tables!I:N,5,0)),0)</f>
        <v>0</v>
      </c>
      <c r="DK10" s="3">
        <f>Table4[[#This Row],[Dec_2026_F]]-Table4[[#This Row],[Dec_2026_A]]</f>
        <v>0</v>
      </c>
      <c r="DL10" s="103"/>
      <c r="DM10" s="60"/>
      <c r="DN10" s="3">
        <f>IFERROR(Table4[[#This Row],[Jan_2027_Days_Forecast]]*Table4[[#This Row],[Cost Boolean]]*(VLOOKUP(Table4[[#This Row],[RATE CONCAT]],Tables!I:N,6,0)),0)</f>
        <v>0</v>
      </c>
      <c r="DO10" s="3">
        <v>0</v>
      </c>
      <c r="DP10" s="3">
        <f>Table4[[#This Row],[Jan_2027_F]]-Table4[[#This Row],[Jan_2027_A]]</f>
        <v>0</v>
      </c>
      <c r="DQ10" s="3">
        <f>IFERROR(Table4[[#This Row],[Feb_2027_Days_Forecast]]*Table4[[#This Row],[Cost Boolean]]*(VLOOKUP(Table4[[#This Row],[RATE CONCAT]],Tables!I:N,6,0)),0)</f>
        <v>0</v>
      </c>
      <c r="DR10" s="3">
        <v>0</v>
      </c>
      <c r="DS10" s="3">
        <f>Table4[[#This Row],[Feb_2027_F]]-Table4[[#This Row],[Feb_2027_A]]</f>
        <v>0</v>
      </c>
      <c r="DT10" s="3">
        <f>IFERROR(Table4[[#This Row],[Mar_2027_Days_Forecast]]*Table4[[#This Row],[Cost Boolean]]*(VLOOKUP(Table4[[#This Row],[RATE CONCAT]],Tables!I:N,6,0)),0)</f>
        <v>0</v>
      </c>
      <c r="DU10" s="3">
        <v>0</v>
      </c>
      <c r="DV10" s="3">
        <f>Table4[[#This Row],[Mar_2027_F]]-Table4[[#This Row],[Mar_2027_A]]</f>
        <v>0</v>
      </c>
      <c r="DW10" s="3">
        <f>IFERROR(Table4[[#This Row],[Apr_2027_Days_Forecast]]*Table4[[#This Row],[Cost Boolean]]*(VLOOKUP(Table4[[#This Row],[RATE CONCAT]],Tables!I:N,6,0)),0)</f>
        <v>0</v>
      </c>
      <c r="DX10" s="3">
        <v>0</v>
      </c>
      <c r="DY10" s="3">
        <f>Table4[[#This Row],[Apr_2027_F]]-Table4[[#This Row],[Apr_2027_A]]</f>
        <v>0</v>
      </c>
      <c r="DZ10" s="3">
        <f>IFERROR(Table4[[#This Row],[May_2027_Days_Forecast]]*Table4[[#This Row],[Cost Boolean]]*(VLOOKUP(Table4[[#This Row],[RATE CONCAT]],Tables!I:N,6,0)),0)</f>
        <v>0</v>
      </c>
      <c r="EA10" s="3">
        <v>0</v>
      </c>
      <c r="EB10" s="3">
        <f>Table4[[#This Row],[May_2027_F]]-Table4[[#This Row],[May_2027_A]]</f>
        <v>0</v>
      </c>
      <c r="EC10" s="3">
        <f>IFERROR(Table4[[#This Row],[Jun_2027_Days_Forecast]]*Table4[[#This Row],[Cost Boolean]]*(VLOOKUP(Table4[[#This Row],[RATE CONCAT]],Tables!I:N,6,0)),0)</f>
        <v>0</v>
      </c>
      <c r="ED10" s="3">
        <v>0</v>
      </c>
      <c r="EE10" s="3">
        <f>Table4[[#This Row],[Jun_2027_F]]-Table4[[#This Row],[Jun_2027_A]]</f>
        <v>0</v>
      </c>
      <c r="EF10" s="3">
        <f>IFERROR(Table4[[#This Row],[Jul_2027_Days_Forecast]]*Table4[[#This Row],[Cost Boolean]]*(VLOOKUP(Table4[[#This Row],[RATE CONCAT]],Tables!I:N,6,0)),0)</f>
        <v>0</v>
      </c>
      <c r="EG10" s="3">
        <v>0</v>
      </c>
      <c r="EH10" s="3">
        <f>Table4[[#This Row],[Jul_2027_F]]-Table4[[#This Row],[Jul_2027_A]]</f>
        <v>0</v>
      </c>
      <c r="EI10" s="3">
        <f>IFERROR(Table4[[#This Row],[Aug_2027_Days_Forecast]]*Table4[[#This Row],[Cost Boolean]]*(VLOOKUP(Table4[[#This Row],[RATE CONCAT]],Tables!I:N,6,0)),0)</f>
        <v>0</v>
      </c>
      <c r="EJ10" s="3">
        <v>0</v>
      </c>
      <c r="EK10" s="3">
        <f>Table4[[#This Row],[Aug_2027_F]]-Table4[[#This Row],[Aug_2027_A]]</f>
        <v>0</v>
      </c>
      <c r="EL10" s="3">
        <f>IFERROR(Table4[[#This Row],[Sep_2027_Days_Forecast]]*Table4[[#This Row],[Cost Boolean]]*(VLOOKUP(Table4[[#This Row],[RATE CONCAT]],Tables!I:N,6,0)),0)</f>
        <v>0</v>
      </c>
      <c r="EM10" s="3">
        <v>0</v>
      </c>
      <c r="EN10" s="3">
        <f>Table4[[#This Row],[Sep_2027_F]]-Table4[[#This Row],[Sep_2027_A]]</f>
        <v>0</v>
      </c>
      <c r="EO10" s="3">
        <f>IFERROR(Table4[[#This Row],[Oct_2027_Days_Forecast]]*Table4[[#This Row],[Cost Boolean]]*(VLOOKUP(Table4[[#This Row],[RATE CONCAT]],Tables!I:N,6,0)),0)</f>
        <v>0</v>
      </c>
      <c r="EP10" s="3">
        <v>0</v>
      </c>
      <c r="EQ10" s="3">
        <f>Table4[[#This Row],[Oct_2027_F]]-Table4[[#This Row],[Oct_2027_A]]</f>
        <v>0</v>
      </c>
      <c r="ER10" s="3">
        <f>IFERROR(Table4[[#This Row],[Nov_2027_Days_Forecast]]*Table4[[#This Row],[Cost Boolean]]*(VLOOKUP(Table4[[#This Row],[RATE CONCAT]],Tables!I:N,6,0)),0)</f>
        <v>0</v>
      </c>
      <c r="ES10" s="3">
        <f>IFERROR(Table4[[#This Row],[Dec_2027_Days_Forecast]]*Table4[[#This Row],[Location]]*(VLOOKUP(Table4[[#This Row],[DAYS]],Tables!J:P,6,0)),0)</f>
        <v>0</v>
      </c>
      <c r="ET10" s="3">
        <f>Table4[[#This Row],[Nov_2027_F]]-Table4[[#This Row],[Nov_2027_A]]</f>
        <v>0</v>
      </c>
      <c r="EU10" s="3">
        <f>IFERROR(Table4[[#This Row],[Dec_2027_Days_Forecast]]*Table4[[#This Row],[Cost Boolean]]*(VLOOKUP(Table4[[#This Row],[RATE CONCAT]],Tables!I:N,6,0)),0)</f>
        <v>0</v>
      </c>
      <c r="EV10" s="3">
        <v>0</v>
      </c>
      <c r="EW10" s="3">
        <f>Table4[[#This Row],[Dec_2027_F]]-Table4[[#This Row],[Dec_2027_A]]</f>
        <v>0</v>
      </c>
    </row>
    <row r="11" spans="1:153" ht="15" customHeight="1">
      <c r="A11" s="132" t="s">
        <v>363</v>
      </c>
      <c r="B11" s="132" t="s">
        <v>44</v>
      </c>
      <c r="C11" s="132" t="s">
        <v>219</v>
      </c>
      <c r="D11" s="132" t="s">
        <v>364</v>
      </c>
      <c r="E11" s="132" t="s">
        <v>361</v>
      </c>
      <c r="F11" s="132"/>
      <c r="G11" s="132" t="s">
        <v>231</v>
      </c>
      <c r="H11" s="132">
        <v>3</v>
      </c>
      <c r="I11" s="132"/>
      <c r="J11" s="132" t="s">
        <v>365</v>
      </c>
      <c r="K11" s="132" t="s">
        <v>224</v>
      </c>
      <c r="L11" s="132">
        <v>1</v>
      </c>
      <c r="M11" s="132" t="s">
        <v>233</v>
      </c>
      <c r="N11" s="132" t="s">
        <v>366</v>
      </c>
      <c r="O11" s="132" t="s">
        <v>227</v>
      </c>
      <c r="P11" s="132" t="s">
        <v>43</v>
      </c>
      <c r="Q11" s="132" t="s">
        <v>228</v>
      </c>
      <c r="R11" s="191">
        <v>46023</v>
      </c>
      <c r="S11" s="191">
        <v>46387</v>
      </c>
      <c r="T11" s="191">
        <v>46023</v>
      </c>
      <c r="U11" s="191">
        <v>46387</v>
      </c>
      <c r="V11" s="191">
        <v>46023</v>
      </c>
      <c r="W11" s="191">
        <v>46387</v>
      </c>
      <c r="X11" s="132"/>
      <c r="Y11" s="132" t="str">
        <f>CONCATENATE(Table4[[#This Row],[JG]],Table4[[#This Row],[Country]],Table4[[#This Row],[Resource Provider]])</f>
        <v>3United StatesShell IDT</v>
      </c>
      <c r="Z11" s="132">
        <f>VLOOKUP(Table4[[#This Row],[RATE CONCAT]],Tables!I:N,5,0)</f>
        <v>1656</v>
      </c>
      <c r="AA11" s="53"/>
      <c r="AB11" s="192">
        <v>5</v>
      </c>
      <c r="AC11" s="192">
        <v>5</v>
      </c>
      <c r="AD11" s="192">
        <v>5</v>
      </c>
      <c r="AE11" s="192">
        <v>5</v>
      </c>
      <c r="AF11" s="192">
        <v>5</v>
      </c>
      <c r="AG11" s="192">
        <v>4</v>
      </c>
      <c r="AH11" s="192">
        <v>5</v>
      </c>
      <c r="AI11" s="192">
        <v>5</v>
      </c>
      <c r="AJ11" s="192">
        <v>5</v>
      </c>
      <c r="AK11" s="192">
        <v>5</v>
      </c>
      <c r="AL11" s="192">
        <v>5</v>
      </c>
      <c r="AM11" s="192">
        <v>4</v>
      </c>
      <c r="AN11" s="53">
        <f>IFERROR(AVERAGE(Table4[[#This Row],[Jan_2026_Days_Forecast]:[Dec_2026_Days_Forecast]]),0)/19</f>
        <v>0.25438596491228066</v>
      </c>
      <c r="AO11" s="53">
        <f>IFERROR(AVERAGE(Table4[[#This Row],[Jan_2026_Days_Actual]:[Dec_2026_Days_Actual]]),0)/19</f>
        <v>0.25438596491228066</v>
      </c>
      <c r="AP11" s="192">
        <v>5</v>
      </c>
      <c r="AQ11" s="192">
        <v>5</v>
      </c>
      <c r="AR11" s="192">
        <v>5</v>
      </c>
      <c r="AS11" s="192">
        <v>5</v>
      </c>
      <c r="AT11" s="192">
        <v>5</v>
      </c>
      <c r="AU11" s="192">
        <v>4</v>
      </c>
      <c r="AV11" s="192">
        <v>5</v>
      </c>
      <c r="AW11" s="192">
        <v>5</v>
      </c>
      <c r="AX11" s="192">
        <v>5</v>
      </c>
      <c r="AY11" s="192">
        <v>5</v>
      </c>
      <c r="AZ11" s="192">
        <v>5</v>
      </c>
      <c r="BA11" s="192">
        <v>4</v>
      </c>
      <c r="BB11" s="53">
        <f>IFERROR(AVERAGE(Table4[[#This Row],[Jan_2027_Days_Forecast]:[Dec_2027_Days_Forecast]]),0)</f>
        <v>0</v>
      </c>
      <c r="BC11" s="16"/>
      <c r="BD11" s="16"/>
      <c r="BE11" s="16"/>
      <c r="BF11" s="16"/>
      <c r="BG11" s="16"/>
      <c r="BH11" s="16"/>
      <c r="BI11" s="16"/>
      <c r="BJ11" s="16"/>
      <c r="BK11" s="16"/>
      <c r="BL11" s="16"/>
      <c r="BM11" s="16"/>
      <c r="BN11" s="16"/>
      <c r="BO11" s="55"/>
      <c r="BP11" s="60"/>
      <c r="BQ11" s="3">
        <f>Table4[[#This Row],[Jan_2026_Days_Forecast]]*Table4[[#This Row],[Cost Boolean]]*VLOOKUP(Table4[[#This Row],[RATE CONCAT]],Tables!I:N,5,0)</f>
        <v>8280</v>
      </c>
      <c r="BR11" s="3">
        <f>IFERROR(Table4[[#This Row],[Jan_2026_Days_Actual]]*Table4[[#This Row],[Cost Boolean]]*(VLOOKUP(Table4[[#This Row],[RATE CONCAT]],Tables!I:N,5,0)),0)</f>
        <v>8280</v>
      </c>
      <c r="BS11" s="3">
        <f>Table4[[#This Row],[Jan_2026_F]]-Table4[[#This Row],[Jan_2026_A]]</f>
        <v>0</v>
      </c>
      <c r="BT11" s="107"/>
      <c r="BU11" s="3">
        <f>IFERROR(Table4[[#This Row],[Feb_2026_Days_Forecast]]*Table4[[#This Row],[Cost Boolean]]*(VLOOKUP(Table4[[#This Row],[RATE CONCAT]],Tables!I:N,5,0)),0)</f>
        <v>8280</v>
      </c>
      <c r="BV11" s="3">
        <f>IFERROR(Table4[[#This Row],[Feb_2026_Days_Actual]]*Table4[[#This Row],[Cost Boolean]]*(VLOOKUP(Table4[[#This Row],[RATE CONCAT]],Tables!I:N,5,0)),0)</f>
        <v>8280</v>
      </c>
      <c r="BW11" s="3">
        <f>Table4[[#This Row],[Feb_2026_F]]-Table4[[#This Row],[Feb_2026_A]]</f>
        <v>0</v>
      </c>
      <c r="BX11" s="103"/>
      <c r="BY11" s="3">
        <f>IFERROR(Table4[[#This Row],[Mar_2026_Days_Forecast]]*Table4[[#This Row],[Cost Boolean]]*(VLOOKUP(Table4[[#This Row],[RATE CONCAT]],Tables!I:N,5,0)),0)</f>
        <v>8280</v>
      </c>
      <c r="BZ11" s="3">
        <f>IFERROR(Table4[[#This Row],[Mar_2026_Days_Actual]]*Table4[[#This Row],[Cost Boolean]]*(VLOOKUP(Table4[[#This Row],[RATE CONCAT]],Tables!I:N,5,0)),0)</f>
        <v>8280</v>
      </c>
      <c r="CA11" s="3">
        <f>Table4[[#This Row],[Mar_2026_F]]-Table4[[#This Row],[Mar_2026_A]]</f>
        <v>0</v>
      </c>
      <c r="CB11" s="103"/>
      <c r="CC11" s="3">
        <f>IFERROR(Table4[[#This Row],[Apr_2026_Days_Forecast]]*Table4[[#This Row],[Cost Boolean]]*(VLOOKUP(Table4[[#This Row],[RATE CONCAT]],Tables!I:N,5,0)),0)</f>
        <v>8280</v>
      </c>
      <c r="CD11" s="3">
        <f>IFERROR(Table4[[#This Row],[Apr_2026_Days_Actual]]*Table4[[#This Row],[Cost Boolean]]*(VLOOKUP(Table4[[#This Row],[RATE CONCAT]],Tables!I:N,5,0)),0)</f>
        <v>8280</v>
      </c>
      <c r="CE11" s="3">
        <f>Table4[[#This Row],[Apr_2026_F]]-Table4[[#This Row],[Apr_2026_A]]</f>
        <v>0</v>
      </c>
      <c r="CF11" s="103"/>
      <c r="CG11" s="3">
        <f>IFERROR(Table4[[#This Row],[May_2026_Days_Forecast]] *Table4[[#This Row],[Cost Boolean]]*(VLOOKUP(Table4[[#This Row],[RATE CONCAT]],Tables!I:N,5,0)),0)</f>
        <v>8280</v>
      </c>
      <c r="CH11" s="3">
        <f>IFERROR(Table4[[#This Row],[May_2026_Days_Actual]]*Table4[[#This Row],[Cost Boolean]]*(VLOOKUP(Table4[[#This Row],[RATE CONCAT]],Tables!I:N,5,0)),0)</f>
        <v>8280</v>
      </c>
      <c r="CI11" s="3">
        <f>Table4[[#This Row],[May_2026_F]]-Table4[[#This Row],[May_2026_A]]</f>
        <v>0</v>
      </c>
      <c r="CJ11" s="103"/>
      <c r="CK11" s="3">
        <f>IFERROR(Table4[[#This Row],[Jun_2026_Days_Forecast]]*Table4[[#This Row],[Cost Boolean]]*(VLOOKUP(Table4[[#This Row],[RATE CONCAT]],Tables!I:N,5,0)),0)</f>
        <v>6624</v>
      </c>
      <c r="CL11" s="3">
        <f>IFERROR(Table4[[#This Row],[Jun_2026_Days_Actual]]*Table4[[#This Row],[Cost Boolean]]*(VLOOKUP(Table4[[#This Row],[RATE CONCAT]],Tables!I:N,5,0)),0)</f>
        <v>6624</v>
      </c>
      <c r="CM11" s="3">
        <f>Table4[[#This Row],[Jun_2026_F]]-Table4[[#This Row],[Jun_2026_A]]</f>
        <v>0</v>
      </c>
      <c r="CN11" s="103"/>
      <c r="CO11" s="3">
        <f>IFERROR(Table4[[#This Row],[Jul_2026_Days_Forecast]]*Table4[[#This Row],[Cost Boolean]]*(VLOOKUP(Table4[[#This Row],[RATE CONCAT]],Tables!I:N,5,0)),0)</f>
        <v>8280</v>
      </c>
      <c r="CP11" s="3">
        <f>IFERROR(Table4[[#This Row],[Aug_2026_Days_Forecast]]*Table4[[#This Row],[Location]]*(VLOOKUP(Table4[[#This Row],[Rate]],Tables!J:O,5,0)),0)</f>
        <v>0</v>
      </c>
      <c r="CQ11" s="3">
        <f>Table4[[#This Row],[Jul_2026_F]]-Table4[[#This Row],[Jul_2026_A]]</f>
        <v>8280</v>
      </c>
      <c r="CR11" s="103"/>
      <c r="CS11" s="3">
        <f>IFERROR(Table4[[#This Row],[Aug_2026_Days_Forecast]]*Table4[[#This Row],[Cost Boolean]]*(VLOOKUP(Table4[[#This Row],[RATE CONCAT]],Tables!I:N,5,0)),0)</f>
        <v>8280</v>
      </c>
      <c r="CT11" s="3">
        <f>IFERROR(Table4[[#This Row],[Aug_2026_Days_Actual]]*Table4[[#This Row],[Cost Boolean]]*(VLOOKUP(Table4[[#This Row],[RATE CONCAT]],Tables!I:N,5,0)),0)</f>
        <v>8280</v>
      </c>
      <c r="CU11" s="3">
        <f>Table4[[#This Row],[Aug_2026_F]]-Table4[[#This Row],[Aug_2026_A]]</f>
        <v>0</v>
      </c>
      <c r="CV11" s="103"/>
      <c r="CW11" s="3">
        <f>IFERROR(Table4[[#This Row],[Sep_2026_Days_Forecast]]*Table4[[#This Row],[Cost Boolean]]*(VLOOKUP(Table4[[#This Row],[RATE CONCAT]],Tables!I:N,5,0)),0)</f>
        <v>8280</v>
      </c>
      <c r="CX11" s="3">
        <f>IFERROR(Table4[[#This Row],[Sep_2026_Days_Actual]]*Table4[[#This Row],[Cost Boolean]]*(VLOOKUP(Table4[[#This Row],[RATE CONCAT]],Tables!I:N,5,0)),0)</f>
        <v>8280</v>
      </c>
      <c r="CY11" s="3">
        <f>Table4[[#This Row],[Sep_2026_F]]-Table4[[#This Row],[Sep_2026_A]]</f>
        <v>0</v>
      </c>
      <c r="CZ11" s="103"/>
      <c r="DA11" s="3">
        <f>IFERROR(Table4[[#This Row],[Oct_2026_Days_Forecast]]*Table4[[#This Row],[Cost Boolean]]*(VLOOKUP(Table4[[#This Row],[RATE CONCAT]],Tables!I:N,5,0)),0)</f>
        <v>8280</v>
      </c>
      <c r="DB11" s="3">
        <f>IFERROR(Table4[[#This Row],[Oct_2026_Days_Actual]]*Table4[[#This Row],[Cost Boolean]]*(VLOOKUP(Table4[[#This Row],[RATE CONCAT]],Tables!I:N,5,0)),0)</f>
        <v>8280</v>
      </c>
      <c r="DC11" s="3">
        <f>Table4[[#This Row],[Oct_2026_F]]-Table4[[#This Row],[Oct_2026_A]]</f>
        <v>0</v>
      </c>
      <c r="DD11" s="103"/>
      <c r="DE11" s="3">
        <f>IFERROR(Table4[[#This Row],[Nov_2026_Days_Forecast]]*Table4[[#This Row],[Cost Boolean]]*(VLOOKUP(Table4[[#This Row],[RATE CONCAT]],Tables!I:N,5,0)),0)</f>
        <v>8280</v>
      </c>
      <c r="DF11" s="3">
        <f>IFERROR(Table4[[#This Row],[Nov_2026_Days_Actual]]*Table4[[#This Row],[Cost Boolean]]*(VLOOKUP(Table4[[#This Row],[RATE CONCAT]],Tables!I:N,5,0)),0)</f>
        <v>8280</v>
      </c>
      <c r="DG11" s="3">
        <f>Table4[[#This Row],[Nov_2026_F]]-Table4[[#This Row],[Nov_2026_A]]</f>
        <v>0</v>
      </c>
      <c r="DH11" s="103"/>
      <c r="DI11" s="3">
        <f>IFERROR(Table4[[#This Row],[Dec_2026_Days_Forecast]]*Table4[[#This Row],[Cost Boolean]]*(VLOOKUP(Table4[[#This Row],[RATE CONCAT]],Tables!I:N,5,0)),0)</f>
        <v>6624</v>
      </c>
      <c r="DJ11" s="3">
        <f>IFERROR(Table4[[#This Row],[Dec_2026_Days_Actual]]*Table4[[#This Row],[Cost Boolean]]*(VLOOKUP(Table4[[#This Row],[RATE CONCAT]],Tables!I:N,5,0)),0)</f>
        <v>6624</v>
      </c>
      <c r="DK11" s="3">
        <f>Table4[[#This Row],[Dec_2026_F]]-Table4[[#This Row],[Dec_2026_A]]</f>
        <v>0</v>
      </c>
      <c r="DL11" s="103"/>
      <c r="DM11" s="60"/>
      <c r="DN11" s="3">
        <f>IFERROR(Table4[[#This Row],[Jan_2027_Days_Forecast]]*Table4[[#This Row],[Cost Boolean]]*(VLOOKUP(Table4[[#This Row],[RATE CONCAT]],Tables!I:N,6,0)),0)</f>
        <v>0</v>
      </c>
      <c r="DO11" s="3">
        <v>0</v>
      </c>
      <c r="DP11" s="3">
        <f>Table4[[#This Row],[Jan_2027_F]]-Table4[[#This Row],[Jan_2027_A]]</f>
        <v>0</v>
      </c>
      <c r="DQ11" s="3">
        <f>IFERROR(Table4[[#This Row],[Feb_2027_Days_Forecast]]*Table4[[#This Row],[Cost Boolean]]*(VLOOKUP(Table4[[#This Row],[RATE CONCAT]],Tables!I:N,6,0)),0)</f>
        <v>0</v>
      </c>
      <c r="DR11" s="3">
        <v>0</v>
      </c>
      <c r="DS11" s="3">
        <f>Table4[[#This Row],[Feb_2027_F]]-Table4[[#This Row],[Feb_2027_A]]</f>
        <v>0</v>
      </c>
      <c r="DT11" s="3">
        <f>IFERROR(Table4[[#This Row],[Mar_2027_Days_Forecast]]*Table4[[#This Row],[Cost Boolean]]*(VLOOKUP(Table4[[#This Row],[RATE CONCAT]],Tables!I:N,6,0)),0)</f>
        <v>0</v>
      </c>
      <c r="DU11" s="3">
        <v>0</v>
      </c>
      <c r="DV11" s="3">
        <f>Table4[[#This Row],[Mar_2027_F]]-Table4[[#This Row],[Mar_2027_A]]</f>
        <v>0</v>
      </c>
      <c r="DW11" s="3">
        <f>IFERROR(Table4[[#This Row],[Apr_2027_Days_Forecast]]*Table4[[#This Row],[Cost Boolean]]*(VLOOKUP(Table4[[#This Row],[RATE CONCAT]],Tables!I:N,6,0)),0)</f>
        <v>0</v>
      </c>
      <c r="DX11" s="3">
        <v>0</v>
      </c>
      <c r="DY11" s="3">
        <f>Table4[[#This Row],[Apr_2027_F]]-Table4[[#This Row],[Apr_2027_A]]</f>
        <v>0</v>
      </c>
      <c r="DZ11" s="3">
        <f>IFERROR(Table4[[#This Row],[May_2027_Days_Forecast]]*Table4[[#This Row],[Cost Boolean]]*(VLOOKUP(Table4[[#This Row],[RATE CONCAT]],Tables!I:N,6,0)),0)</f>
        <v>0</v>
      </c>
      <c r="EA11" s="3">
        <v>0</v>
      </c>
      <c r="EB11" s="3">
        <f>Table4[[#This Row],[May_2027_F]]-Table4[[#This Row],[May_2027_A]]</f>
        <v>0</v>
      </c>
      <c r="EC11" s="3">
        <f>IFERROR(Table4[[#This Row],[Jun_2027_Days_Forecast]]*Table4[[#This Row],[Cost Boolean]]*(VLOOKUP(Table4[[#This Row],[RATE CONCAT]],Tables!I:N,6,0)),0)</f>
        <v>0</v>
      </c>
      <c r="ED11" s="3">
        <v>0</v>
      </c>
      <c r="EE11" s="3">
        <f>Table4[[#This Row],[Jun_2027_F]]-Table4[[#This Row],[Jun_2027_A]]</f>
        <v>0</v>
      </c>
      <c r="EF11" s="3">
        <f>IFERROR(Table4[[#This Row],[Jul_2027_Days_Forecast]]*Table4[[#This Row],[Cost Boolean]]*(VLOOKUP(Table4[[#This Row],[RATE CONCAT]],Tables!I:N,6,0)),0)</f>
        <v>0</v>
      </c>
      <c r="EG11" s="3">
        <v>0</v>
      </c>
      <c r="EH11" s="3">
        <f>Table4[[#This Row],[Jul_2027_F]]-Table4[[#This Row],[Jul_2027_A]]</f>
        <v>0</v>
      </c>
      <c r="EI11" s="3">
        <f>IFERROR(Table4[[#This Row],[Aug_2027_Days_Forecast]]*Table4[[#This Row],[Cost Boolean]]*(VLOOKUP(Table4[[#This Row],[RATE CONCAT]],Tables!I:N,6,0)),0)</f>
        <v>0</v>
      </c>
      <c r="EJ11" s="3">
        <v>0</v>
      </c>
      <c r="EK11" s="3">
        <f>Table4[[#This Row],[Aug_2027_F]]-Table4[[#This Row],[Aug_2027_A]]</f>
        <v>0</v>
      </c>
      <c r="EL11" s="3">
        <f>IFERROR(Table4[[#This Row],[Sep_2027_Days_Forecast]]*Table4[[#This Row],[Cost Boolean]]*(VLOOKUP(Table4[[#This Row],[RATE CONCAT]],Tables!I:N,6,0)),0)</f>
        <v>0</v>
      </c>
      <c r="EM11" s="3">
        <v>0</v>
      </c>
      <c r="EN11" s="3">
        <f>Table4[[#This Row],[Sep_2027_F]]-Table4[[#This Row],[Sep_2027_A]]</f>
        <v>0</v>
      </c>
      <c r="EO11" s="3">
        <f>IFERROR(Table4[[#This Row],[Oct_2027_Days_Forecast]]*Table4[[#This Row],[Cost Boolean]]*(VLOOKUP(Table4[[#This Row],[RATE CONCAT]],Tables!I:N,6,0)),0)</f>
        <v>0</v>
      </c>
      <c r="EP11" s="3">
        <v>0</v>
      </c>
      <c r="EQ11" s="3">
        <f>Table4[[#This Row],[Oct_2027_F]]-Table4[[#This Row],[Oct_2027_A]]</f>
        <v>0</v>
      </c>
      <c r="ER11" s="3">
        <f>IFERROR(Table4[[#This Row],[Nov_2027_Days_Forecast]]*Table4[[#This Row],[Cost Boolean]]*(VLOOKUP(Table4[[#This Row],[RATE CONCAT]],Tables!I:N,6,0)),0)</f>
        <v>0</v>
      </c>
      <c r="ES11" s="3">
        <v>0</v>
      </c>
      <c r="ET11" s="3">
        <f>Table4[[#This Row],[Nov_2027_F]]-Table4[[#This Row],[Nov_2027_A]]</f>
        <v>0</v>
      </c>
      <c r="EU11" s="3">
        <f>IFERROR(Table4[[#This Row],[Dec_2027_Days_Forecast]]*Table4[[#This Row],[Cost Boolean]]*(VLOOKUP(Table4[[#This Row],[RATE CONCAT]],Tables!I:N,6,0)),0)</f>
        <v>0</v>
      </c>
      <c r="EV11" s="3">
        <v>0</v>
      </c>
      <c r="EW11" s="3">
        <f>Table4[[#This Row],[Dec_2027_F]]-Table4[[#This Row],[Dec_2027_A]]</f>
        <v>0</v>
      </c>
    </row>
    <row r="12" spans="1:153" ht="15" customHeight="1">
      <c r="A12" s="132" t="s">
        <v>367</v>
      </c>
      <c r="B12" s="132" t="s">
        <v>51</v>
      </c>
      <c r="C12" s="132" t="s">
        <v>219</v>
      </c>
      <c r="D12" s="132" t="s">
        <v>368</v>
      </c>
      <c r="E12" s="132" t="s">
        <v>361</v>
      </c>
      <c r="F12" s="132"/>
      <c r="G12" s="132" t="s">
        <v>222</v>
      </c>
      <c r="H12" s="132">
        <v>2</v>
      </c>
      <c r="I12" s="132"/>
      <c r="J12" s="132" t="s">
        <v>365</v>
      </c>
      <c r="K12" s="132" t="s">
        <v>224</v>
      </c>
      <c r="L12" s="132">
        <v>1</v>
      </c>
      <c r="M12" s="132" t="s">
        <v>225</v>
      </c>
      <c r="N12" s="132" t="s">
        <v>366</v>
      </c>
      <c r="O12" s="132" t="s">
        <v>227</v>
      </c>
      <c r="P12" s="132" t="s">
        <v>43</v>
      </c>
      <c r="Q12" s="132" t="s">
        <v>228</v>
      </c>
      <c r="R12" s="191">
        <v>46023</v>
      </c>
      <c r="S12" s="191">
        <v>46387</v>
      </c>
      <c r="T12" s="191">
        <v>46023</v>
      </c>
      <c r="U12" s="191">
        <v>46387</v>
      </c>
      <c r="V12" s="191">
        <v>46023</v>
      </c>
      <c r="W12" s="191">
        <v>46387</v>
      </c>
      <c r="X12" s="132"/>
      <c r="Y12" s="132" t="str">
        <f>CONCATENATE(Table4[[#This Row],[JG]],Table4[[#This Row],[Country]],Table4[[#This Row],[Resource Provider]])</f>
        <v>2United KingdomShell IDT</v>
      </c>
      <c r="Z12" s="132">
        <f>VLOOKUP(Table4[[#This Row],[RATE CONCAT]],Tables!I:N,5,0)</f>
        <v>1646</v>
      </c>
      <c r="AA12" s="53"/>
      <c r="AB12" s="192">
        <v>10</v>
      </c>
      <c r="AC12" s="192">
        <v>10</v>
      </c>
      <c r="AD12" s="192">
        <v>10</v>
      </c>
      <c r="AE12" s="192">
        <v>10</v>
      </c>
      <c r="AF12" s="192">
        <v>9</v>
      </c>
      <c r="AG12" s="192">
        <v>9</v>
      </c>
      <c r="AH12" s="192">
        <v>9</v>
      </c>
      <c r="AI12" s="192">
        <v>10</v>
      </c>
      <c r="AJ12" s="192">
        <v>10</v>
      </c>
      <c r="AK12" s="192">
        <v>10</v>
      </c>
      <c r="AL12" s="192">
        <v>9</v>
      </c>
      <c r="AM12" s="192">
        <v>9</v>
      </c>
      <c r="AN12" s="53">
        <f>IFERROR(AVERAGE(Table4[[#This Row],[Jan_2026_Days_Forecast]:[Dec_2026_Days_Forecast]]),0)/19</f>
        <v>0.50438596491228072</v>
      </c>
      <c r="AO12" s="53">
        <f>IFERROR(AVERAGE(Table4[[#This Row],[Jan_2026_Days_Actual]:[Dec_2026_Days_Actual]]),0)/19</f>
        <v>0.50438596491228072</v>
      </c>
      <c r="AP12" s="192">
        <v>10</v>
      </c>
      <c r="AQ12" s="192">
        <v>10</v>
      </c>
      <c r="AR12" s="192">
        <v>10</v>
      </c>
      <c r="AS12" s="192">
        <v>10</v>
      </c>
      <c r="AT12" s="192">
        <v>9</v>
      </c>
      <c r="AU12" s="192">
        <v>9</v>
      </c>
      <c r="AV12" s="192">
        <v>9</v>
      </c>
      <c r="AW12" s="192">
        <v>10</v>
      </c>
      <c r="AX12" s="192">
        <v>10</v>
      </c>
      <c r="AY12" s="192">
        <v>10</v>
      </c>
      <c r="AZ12" s="192">
        <v>9</v>
      </c>
      <c r="BA12" s="192">
        <v>9</v>
      </c>
      <c r="BB12" s="53">
        <f>IFERROR(AVERAGE(Table4[[#This Row],[Jan_2027_Days_Forecast]:[Dec_2027_Days_Forecast]]),0)</f>
        <v>0</v>
      </c>
      <c r="BC12" s="16"/>
      <c r="BD12" s="16"/>
      <c r="BE12" s="16"/>
      <c r="BF12" s="16"/>
      <c r="BG12" s="16"/>
      <c r="BH12" s="16"/>
      <c r="BI12" s="16"/>
      <c r="BJ12" s="16"/>
      <c r="BK12" s="16"/>
      <c r="BL12" s="16"/>
      <c r="BM12" s="16"/>
      <c r="BN12" s="16"/>
      <c r="BO12" s="55"/>
      <c r="BP12" s="60"/>
      <c r="BQ12" s="3">
        <f>Table4[[#This Row],[Jan_2026_Days_Forecast]]*Table4[[#This Row],[Cost Boolean]]*VLOOKUP(Table4[[#This Row],[RATE CONCAT]],Tables!I:N,5,0)</f>
        <v>16460</v>
      </c>
      <c r="BR12" s="3">
        <f>IFERROR(Table4[[#This Row],[Jan_2026_Days_Actual]]*Table4[[#This Row],[Cost Boolean]]*(VLOOKUP(Table4[[#This Row],[RATE CONCAT]],Tables!I:N,5,0)),0)</f>
        <v>16460</v>
      </c>
      <c r="BS12" s="3">
        <f>Table4[[#This Row],[Jan_2026_F]]-Table4[[#This Row],[Jan_2026_A]]</f>
        <v>0</v>
      </c>
      <c r="BT12" s="107"/>
      <c r="BU12" s="3">
        <f>IFERROR(Table4[[#This Row],[Feb_2026_Days_Forecast]]*Table4[[#This Row],[Cost Boolean]]*(VLOOKUP(Table4[[#This Row],[RATE CONCAT]],Tables!I:N,5,0)),0)</f>
        <v>16460</v>
      </c>
      <c r="BV12" s="3">
        <f>IFERROR(Table4[[#This Row],[Feb_2026_Days_Actual]]*Table4[[#This Row],[Cost Boolean]]*(VLOOKUP(Table4[[#This Row],[RATE CONCAT]],Tables!I:N,5,0)),0)</f>
        <v>16460</v>
      </c>
      <c r="BW12" s="3">
        <f>Table4[[#This Row],[Feb_2026_F]]-Table4[[#This Row],[Feb_2026_A]]</f>
        <v>0</v>
      </c>
      <c r="BX12" s="103"/>
      <c r="BY12" s="3">
        <f>IFERROR(Table4[[#This Row],[Mar_2026_Days_Forecast]]*Table4[[#This Row],[Cost Boolean]]*(VLOOKUP(Table4[[#This Row],[RATE CONCAT]],Tables!I:N,5,0)),0)</f>
        <v>16460</v>
      </c>
      <c r="BZ12" s="3">
        <f>IFERROR(Table4[[#This Row],[Mar_2026_Days_Actual]]*Table4[[#This Row],[Cost Boolean]]*(VLOOKUP(Table4[[#This Row],[RATE CONCAT]],Tables!I:N,5,0)),0)</f>
        <v>16460</v>
      </c>
      <c r="CA12" s="3">
        <f>Table4[[#This Row],[Mar_2026_F]]-Table4[[#This Row],[Mar_2026_A]]</f>
        <v>0</v>
      </c>
      <c r="CB12" s="103"/>
      <c r="CC12" s="3">
        <f>IFERROR(Table4[[#This Row],[Apr_2026_Days_Forecast]]*Table4[[#This Row],[Cost Boolean]]*(VLOOKUP(Table4[[#This Row],[RATE CONCAT]],Tables!I:N,5,0)),0)</f>
        <v>16460</v>
      </c>
      <c r="CD12" s="3">
        <f>IFERROR(Table4[[#This Row],[Apr_2026_Days_Actual]]*Table4[[#This Row],[Cost Boolean]]*(VLOOKUP(Table4[[#This Row],[RATE CONCAT]],Tables!I:N,5,0)),0)</f>
        <v>16460</v>
      </c>
      <c r="CE12" s="3">
        <f>Table4[[#This Row],[Apr_2026_F]]-Table4[[#This Row],[Apr_2026_A]]</f>
        <v>0</v>
      </c>
      <c r="CF12" s="103"/>
      <c r="CG12" s="3">
        <f>IFERROR(Table4[[#This Row],[May_2026_Days_Forecast]] *Table4[[#This Row],[Cost Boolean]]*(VLOOKUP(Table4[[#This Row],[RATE CONCAT]],Tables!I:N,5,0)),0)</f>
        <v>14814</v>
      </c>
      <c r="CH12" s="3">
        <f>IFERROR(Table4[[#This Row],[May_2026_Days_Actual]]*Table4[[#This Row],[Cost Boolean]]*(VLOOKUP(Table4[[#This Row],[RATE CONCAT]],Tables!I:N,5,0)),0)</f>
        <v>14814</v>
      </c>
      <c r="CI12" s="3">
        <f>Table4[[#This Row],[May_2026_F]]-Table4[[#This Row],[May_2026_A]]</f>
        <v>0</v>
      </c>
      <c r="CJ12" s="103"/>
      <c r="CK12" s="3">
        <f>IFERROR(Table4[[#This Row],[Jun_2026_Days_Forecast]]*Table4[[#This Row],[Cost Boolean]]*(VLOOKUP(Table4[[#This Row],[RATE CONCAT]],Tables!I:N,5,0)),0)</f>
        <v>14814</v>
      </c>
      <c r="CL12" s="3">
        <f>IFERROR(Table4[[#This Row],[Jun_2026_Days_Actual]]*Table4[[#This Row],[Cost Boolean]]*(VLOOKUP(Table4[[#This Row],[RATE CONCAT]],Tables!I:N,5,0)),0)</f>
        <v>14814</v>
      </c>
      <c r="CM12" s="3">
        <f>Table4[[#This Row],[Jun_2026_F]]-Table4[[#This Row],[Jun_2026_A]]</f>
        <v>0</v>
      </c>
      <c r="CN12" s="103"/>
      <c r="CO12" s="3">
        <f>IFERROR(Table4[[#This Row],[Jul_2026_Days_Forecast]]*Table4[[#This Row],[Cost Boolean]]*(VLOOKUP(Table4[[#This Row],[RATE CONCAT]],Tables!I:N,5,0)),0)</f>
        <v>14814</v>
      </c>
      <c r="CP12" s="3">
        <f>IFERROR(Table4[[#This Row],[Aug_2026_Days_Forecast]]*Table4[[#This Row],[Location]]*(VLOOKUP(Table4[[#This Row],[Rate]],Tables!J:O,5,0)),0)</f>
        <v>0</v>
      </c>
      <c r="CQ12" s="3">
        <f>Table4[[#This Row],[Jul_2026_F]]-Table4[[#This Row],[Jul_2026_A]]</f>
        <v>14814</v>
      </c>
      <c r="CR12" s="103"/>
      <c r="CS12" s="3">
        <f>IFERROR(Table4[[#This Row],[Aug_2026_Days_Forecast]]*Table4[[#This Row],[Cost Boolean]]*(VLOOKUP(Table4[[#This Row],[RATE CONCAT]],Tables!I:N,5,0)),0)</f>
        <v>16460</v>
      </c>
      <c r="CT12" s="3">
        <f>IFERROR(Table4[[#This Row],[Aug_2026_Days_Actual]]*Table4[[#This Row],[Cost Boolean]]*(VLOOKUP(Table4[[#This Row],[RATE CONCAT]],Tables!I:N,5,0)),0)</f>
        <v>16460</v>
      </c>
      <c r="CU12" s="3">
        <f>Table4[[#This Row],[Aug_2026_F]]-Table4[[#This Row],[Aug_2026_A]]</f>
        <v>0</v>
      </c>
      <c r="CV12" s="103"/>
      <c r="CW12" s="3">
        <f>IFERROR(Table4[[#This Row],[Sep_2026_Days_Forecast]]*Table4[[#This Row],[Cost Boolean]]*(VLOOKUP(Table4[[#This Row],[RATE CONCAT]],Tables!I:N,5,0)),0)</f>
        <v>16460</v>
      </c>
      <c r="CX12" s="3">
        <f>IFERROR(Table4[[#This Row],[Sep_2026_Days_Actual]]*Table4[[#This Row],[Cost Boolean]]*(VLOOKUP(Table4[[#This Row],[RATE CONCAT]],Tables!I:N,5,0)),0)</f>
        <v>16460</v>
      </c>
      <c r="CY12" s="3">
        <f>Table4[[#This Row],[Sep_2026_F]]-Table4[[#This Row],[Sep_2026_A]]</f>
        <v>0</v>
      </c>
      <c r="CZ12" s="103"/>
      <c r="DA12" s="3">
        <f>IFERROR(Table4[[#This Row],[Oct_2026_Days_Forecast]]*Table4[[#This Row],[Cost Boolean]]*(VLOOKUP(Table4[[#This Row],[RATE CONCAT]],Tables!I:N,5,0)),0)</f>
        <v>16460</v>
      </c>
      <c r="DB12" s="3">
        <f>IFERROR(Table4[[#This Row],[Oct_2026_Days_Actual]]*Table4[[#This Row],[Cost Boolean]]*(VLOOKUP(Table4[[#This Row],[RATE CONCAT]],Tables!I:N,5,0)),0)</f>
        <v>16460</v>
      </c>
      <c r="DC12" s="3">
        <f>Table4[[#This Row],[Oct_2026_F]]-Table4[[#This Row],[Oct_2026_A]]</f>
        <v>0</v>
      </c>
      <c r="DD12" s="103"/>
      <c r="DE12" s="3">
        <f>IFERROR(Table4[[#This Row],[Nov_2026_Days_Forecast]]*Table4[[#This Row],[Cost Boolean]]*(VLOOKUP(Table4[[#This Row],[RATE CONCAT]],Tables!I:N,5,0)),0)</f>
        <v>14814</v>
      </c>
      <c r="DF12" s="3">
        <f>IFERROR(Table4[[#This Row],[Nov_2026_Days_Actual]]*Table4[[#This Row],[Cost Boolean]]*(VLOOKUP(Table4[[#This Row],[RATE CONCAT]],Tables!I:N,5,0)),0)</f>
        <v>14814</v>
      </c>
      <c r="DG12" s="3">
        <f>Table4[[#This Row],[Nov_2026_F]]-Table4[[#This Row],[Nov_2026_A]]</f>
        <v>0</v>
      </c>
      <c r="DH12" s="103"/>
      <c r="DI12" s="3">
        <f>IFERROR(Table4[[#This Row],[Dec_2026_Days_Forecast]]*Table4[[#This Row],[Cost Boolean]]*(VLOOKUP(Table4[[#This Row],[RATE CONCAT]],Tables!I:N,5,0)),0)</f>
        <v>14814</v>
      </c>
      <c r="DJ12" s="3">
        <f>IFERROR(Table4[[#This Row],[Dec_2026_Days_Actual]]*Table4[[#This Row],[Cost Boolean]]*(VLOOKUP(Table4[[#This Row],[RATE CONCAT]],Tables!I:N,5,0)),0)</f>
        <v>14814</v>
      </c>
      <c r="DK12" s="3">
        <f>Table4[[#This Row],[Dec_2026_F]]-Table4[[#This Row],[Dec_2026_A]]</f>
        <v>0</v>
      </c>
      <c r="DL12" s="103"/>
      <c r="DM12" s="60"/>
      <c r="DN12" s="3">
        <f>IFERROR(Table4[[#This Row],[Jan_2027_Days_Forecast]]*Table4[[#This Row],[Cost Boolean]]*(VLOOKUP(Table4[[#This Row],[RATE CONCAT]],Tables!I:N,6,0)),0)</f>
        <v>0</v>
      </c>
      <c r="DO12" s="3">
        <v>0</v>
      </c>
      <c r="DP12" s="3">
        <f>Table4[[#This Row],[Jan_2027_F]]-Table4[[#This Row],[Jan_2027_A]]</f>
        <v>0</v>
      </c>
      <c r="DQ12" s="3">
        <f>IFERROR(Table4[[#This Row],[Feb_2027_Days_Forecast]]*Table4[[#This Row],[Cost Boolean]]*(VLOOKUP(Table4[[#This Row],[RATE CONCAT]],Tables!I:N,6,0)),0)</f>
        <v>0</v>
      </c>
      <c r="DR12" s="3">
        <v>0</v>
      </c>
      <c r="DS12" s="3">
        <f>Table4[[#This Row],[Feb_2027_F]]-Table4[[#This Row],[Feb_2027_A]]</f>
        <v>0</v>
      </c>
      <c r="DT12" s="3">
        <f>IFERROR(Table4[[#This Row],[Mar_2027_Days_Forecast]]*Table4[[#This Row],[Cost Boolean]]*(VLOOKUP(Table4[[#This Row],[RATE CONCAT]],Tables!I:N,6,0)),0)</f>
        <v>0</v>
      </c>
      <c r="DU12" s="3">
        <v>0</v>
      </c>
      <c r="DV12" s="3">
        <f>Table4[[#This Row],[Mar_2027_F]]-Table4[[#This Row],[Mar_2027_A]]</f>
        <v>0</v>
      </c>
      <c r="DW12" s="3">
        <f>IFERROR(Table4[[#This Row],[Apr_2027_Days_Forecast]]*Table4[[#This Row],[Cost Boolean]]*(VLOOKUP(Table4[[#This Row],[RATE CONCAT]],Tables!I:N,6,0)),0)</f>
        <v>0</v>
      </c>
      <c r="DX12" s="3">
        <v>0</v>
      </c>
      <c r="DY12" s="3">
        <f>Table4[[#This Row],[Apr_2027_F]]-Table4[[#This Row],[Apr_2027_A]]</f>
        <v>0</v>
      </c>
      <c r="DZ12" s="3">
        <f>IFERROR(Table4[[#This Row],[May_2027_Days_Forecast]]*Table4[[#This Row],[Cost Boolean]]*(VLOOKUP(Table4[[#This Row],[RATE CONCAT]],Tables!I:N,6,0)),0)</f>
        <v>0</v>
      </c>
      <c r="EA12" s="3">
        <v>0</v>
      </c>
      <c r="EB12" s="3">
        <f>Table4[[#This Row],[May_2027_F]]-Table4[[#This Row],[May_2027_A]]</f>
        <v>0</v>
      </c>
      <c r="EC12" s="3">
        <f>IFERROR(Table4[[#This Row],[Jun_2027_Days_Forecast]]*Table4[[#This Row],[Cost Boolean]]*(VLOOKUP(Table4[[#This Row],[RATE CONCAT]],Tables!I:N,6,0)),0)</f>
        <v>0</v>
      </c>
      <c r="ED12" s="3">
        <v>0</v>
      </c>
      <c r="EE12" s="3">
        <f>Table4[[#This Row],[Jun_2027_F]]-Table4[[#This Row],[Jun_2027_A]]</f>
        <v>0</v>
      </c>
      <c r="EF12" s="3">
        <f>IFERROR(Table4[[#This Row],[Jul_2027_Days_Forecast]]*Table4[[#This Row],[Cost Boolean]]*(VLOOKUP(Table4[[#This Row],[RATE CONCAT]],Tables!I:N,6,0)),0)</f>
        <v>0</v>
      </c>
      <c r="EG12" s="3">
        <v>0</v>
      </c>
      <c r="EH12" s="3">
        <f>Table4[[#This Row],[Jul_2027_F]]-Table4[[#This Row],[Jul_2027_A]]</f>
        <v>0</v>
      </c>
      <c r="EI12" s="3">
        <f>IFERROR(Table4[[#This Row],[Aug_2027_Days_Forecast]]*Table4[[#This Row],[Cost Boolean]]*(VLOOKUP(Table4[[#This Row],[RATE CONCAT]],Tables!I:N,6,0)),0)</f>
        <v>0</v>
      </c>
      <c r="EJ12" s="3">
        <v>0</v>
      </c>
      <c r="EK12" s="3">
        <f>Table4[[#This Row],[Aug_2027_F]]-Table4[[#This Row],[Aug_2027_A]]</f>
        <v>0</v>
      </c>
      <c r="EL12" s="3">
        <f>IFERROR(Table4[[#This Row],[Sep_2027_Days_Forecast]]*Table4[[#This Row],[Cost Boolean]]*(VLOOKUP(Table4[[#This Row],[RATE CONCAT]],Tables!I:N,6,0)),0)</f>
        <v>0</v>
      </c>
      <c r="EM12" s="3">
        <v>0</v>
      </c>
      <c r="EN12" s="3">
        <f>Table4[[#This Row],[Sep_2027_F]]-Table4[[#This Row],[Sep_2027_A]]</f>
        <v>0</v>
      </c>
      <c r="EO12" s="3">
        <f>IFERROR(Table4[[#This Row],[Oct_2027_Days_Forecast]]*Table4[[#This Row],[Cost Boolean]]*(VLOOKUP(Table4[[#This Row],[RATE CONCAT]],Tables!I:N,6,0)),0)</f>
        <v>0</v>
      </c>
      <c r="EP12" s="3">
        <v>0</v>
      </c>
      <c r="EQ12" s="3">
        <f>Table4[[#This Row],[Oct_2027_F]]-Table4[[#This Row],[Oct_2027_A]]</f>
        <v>0</v>
      </c>
      <c r="ER12" s="3">
        <f>IFERROR(Table4[[#This Row],[Nov_2027_Days_Forecast]]*Table4[[#This Row],[Cost Boolean]]*(VLOOKUP(Table4[[#This Row],[RATE CONCAT]],Tables!I:N,6,0)),0)</f>
        <v>0</v>
      </c>
      <c r="ES12" s="3">
        <v>0</v>
      </c>
      <c r="ET12" s="3">
        <f>Table4[[#This Row],[Nov_2027_F]]-Table4[[#This Row],[Nov_2027_A]]</f>
        <v>0</v>
      </c>
      <c r="EU12" s="3">
        <f>IFERROR(Table4[[#This Row],[Dec_2027_Days_Forecast]]*Table4[[#This Row],[Cost Boolean]]*(VLOOKUP(Table4[[#This Row],[RATE CONCAT]],Tables!I:N,6,0)),0)</f>
        <v>0</v>
      </c>
      <c r="EV12" s="3">
        <v>0</v>
      </c>
      <c r="EW12" s="3">
        <f>Table4[[#This Row],[Dec_2027_F]]-Table4[[#This Row],[Dec_2027_A]]</f>
        <v>0</v>
      </c>
    </row>
    <row r="13" spans="1:153" ht="15" customHeight="1">
      <c r="A13" s="132" t="s">
        <v>369</v>
      </c>
      <c r="B13" s="132" t="s">
        <v>51</v>
      </c>
      <c r="C13" s="132" t="s">
        <v>219</v>
      </c>
      <c r="D13" s="132" t="s">
        <v>370</v>
      </c>
      <c r="E13" s="132" t="s">
        <v>361</v>
      </c>
      <c r="F13" s="132"/>
      <c r="G13" s="132" t="s">
        <v>267</v>
      </c>
      <c r="H13" s="132">
        <v>4</v>
      </c>
      <c r="I13" s="132"/>
      <c r="J13" s="132" t="s">
        <v>371</v>
      </c>
      <c r="K13" s="132" t="s">
        <v>224</v>
      </c>
      <c r="L13" s="132">
        <v>1</v>
      </c>
      <c r="M13" s="132" t="s">
        <v>362</v>
      </c>
      <c r="N13" s="132" t="s">
        <v>372</v>
      </c>
      <c r="O13" s="132" t="s">
        <v>227</v>
      </c>
      <c r="P13" s="132" t="s">
        <v>43</v>
      </c>
      <c r="Q13" s="132" t="s">
        <v>228</v>
      </c>
      <c r="R13" s="191">
        <v>46023</v>
      </c>
      <c r="S13" s="191">
        <v>46387</v>
      </c>
      <c r="T13" s="191">
        <v>46023</v>
      </c>
      <c r="U13" s="191">
        <v>46387</v>
      </c>
      <c r="V13" s="191">
        <v>46023</v>
      </c>
      <c r="W13" s="191">
        <v>46387</v>
      </c>
      <c r="X13" s="132"/>
      <c r="Y13" s="132" t="str">
        <f>CONCATENATE(Table4[[#This Row],[JG]],Table4[[#This Row],[Country]],Table4[[#This Row],[Resource Provider]])</f>
        <v>4IndiaShell IDT</v>
      </c>
      <c r="Z13" s="132">
        <f>VLOOKUP(Table4[[#This Row],[RATE CONCAT]],Tables!I:N,5,0)</f>
        <v>456</v>
      </c>
      <c r="AA13" s="53"/>
      <c r="AB13" s="192">
        <v>10</v>
      </c>
      <c r="AC13" s="192">
        <v>10</v>
      </c>
      <c r="AD13" s="192">
        <v>10</v>
      </c>
      <c r="AE13" s="192">
        <v>10</v>
      </c>
      <c r="AF13" s="192">
        <v>9</v>
      </c>
      <c r="AG13" s="192">
        <v>9</v>
      </c>
      <c r="AH13" s="192">
        <v>9</v>
      </c>
      <c r="AI13" s="192">
        <v>10</v>
      </c>
      <c r="AJ13" s="192">
        <v>10</v>
      </c>
      <c r="AK13" s="192">
        <v>10</v>
      </c>
      <c r="AL13" s="192">
        <v>9</v>
      </c>
      <c r="AM13" s="192">
        <v>9</v>
      </c>
      <c r="AN13" s="53">
        <f>IFERROR(AVERAGE(Table4[[#This Row],[Jan_2026_Days_Forecast]:[Dec_2026_Days_Forecast]]),0)/19</f>
        <v>0.50438596491228072</v>
      </c>
      <c r="AO13" s="53">
        <f>IFERROR(AVERAGE(Table4[[#This Row],[Jan_2026_Days_Actual]:[Dec_2026_Days_Actual]]),0)/19</f>
        <v>0.50438596491228072</v>
      </c>
      <c r="AP13" s="192">
        <v>10</v>
      </c>
      <c r="AQ13" s="192">
        <v>10</v>
      </c>
      <c r="AR13" s="192">
        <v>10</v>
      </c>
      <c r="AS13" s="192">
        <v>10</v>
      </c>
      <c r="AT13" s="192">
        <v>9</v>
      </c>
      <c r="AU13" s="192">
        <v>9</v>
      </c>
      <c r="AV13" s="192">
        <v>9</v>
      </c>
      <c r="AW13" s="192">
        <v>10</v>
      </c>
      <c r="AX13" s="192">
        <v>10</v>
      </c>
      <c r="AY13" s="192">
        <v>10</v>
      </c>
      <c r="AZ13" s="192">
        <v>9</v>
      </c>
      <c r="BA13" s="192">
        <v>9</v>
      </c>
      <c r="BB13" s="53">
        <f>IFERROR(AVERAGE(Table4[[#This Row],[Jan_2027_Days_Forecast]:[Dec_2027_Days_Forecast]]),0)</f>
        <v>0</v>
      </c>
      <c r="BC13" s="16"/>
      <c r="BD13" s="16"/>
      <c r="BE13" s="16"/>
      <c r="BF13" s="16"/>
      <c r="BG13" s="16"/>
      <c r="BH13" s="16"/>
      <c r="BI13" s="16"/>
      <c r="BJ13" s="16"/>
      <c r="BK13" s="16"/>
      <c r="BL13" s="16"/>
      <c r="BM13" s="16"/>
      <c r="BN13" s="16"/>
      <c r="BO13" s="55"/>
      <c r="BP13" s="60"/>
      <c r="BQ13" s="3">
        <f>Table4[[#This Row],[Jan_2026_Days_Forecast]]*Table4[[#This Row],[Cost Boolean]]*VLOOKUP(Table4[[#This Row],[RATE CONCAT]],Tables!I:N,5,0)</f>
        <v>4560</v>
      </c>
      <c r="BR13" s="3">
        <f>IFERROR(Table4[[#This Row],[Jan_2026_Days_Actual]]*Table4[[#This Row],[Cost Boolean]]*(VLOOKUP(Table4[[#This Row],[RATE CONCAT]],Tables!I:N,5,0)),0)</f>
        <v>4560</v>
      </c>
      <c r="BS13" s="3">
        <f>Table4[[#This Row],[Jan_2026_F]]-Table4[[#This Row],[Jan_2026_A]]</f>
        <v>0</v>
      </c>
      <c r="BT13" s="107"/>
      <c r="BU13" s="3">
        <f>IFERROR(Table4[[#This Row],[Feb_2026_Days_Forecast]]*Table4[[#This Row],[Cost Boolean]]*(VLOOKUP(Table4[[#This Row],[RATE CONCAT]],Tables!I:N,5,0)),0)</f>
        <v>4560</v>
      </c>
      <c r="BV13" s="3">
        <f>IFERROR(Table4[[#This Row],[Feb_2026_Days_Actual]]*Table4[[#This Row],[Cost Boolean]]*(VLOOKUP(Table4[[#This Row],[RATE CONCAT]],Tables!I:N,5,0)),0)</f>
        <v>4560</v>
      </c>
      <c r="BW13" s="3">
        <f>Table4[[#This Row],[Feb_2026_F]]-Table4[[#This Row],[Feb_2026_A]]</f>
        <v>0</v>
      </c>
      <c r="BX13" s="103"/>
      <c r="BY13" s="3">
        <f>IFERROR(Table4[[#This Row],[Mar_2026_Days_Forecast]]*Table4[[#This Row],[Cost Boolean]]*(VLOOKUP(Table4[[#This Row],[RATE CONCAT]],Tables!I:N,5,0)),0)</f>
        <v>4560</v>
      </c>
      <c r="BZ13" s="3">
        <f>IFERROR(Table4[[#This Row],[Mar_2026_Days_Actual]]*Table4[[#This Row],[Cost Boolean]]*(VLOOKUP(Table4[[#This Row],[RATE CONCAT]],Tables!I:N,5,0)),0)</f>
        <v>4560</v>
      </c>
      <c r="CA13" s="3">
        <f>Table4[[#This Row],[Mar_2026_F]]-Table4[[#This Row],[Mar_2026_A]]</f>
        <v>0</v>
      </c>
      <c r="CB13" s="103"/>
      <c r="CC13" s="3">
        <f>IFERROR(Table4[[#This Row],[Apr_2026_Days_Forecast]]*Table4[[#This Row],[Cost Boolean]]*(VLOOKUP(Table4[[#This Row],[RATE CONCAT]],Tables!I:N,5,0)),0)</f>
        <v>4560</v>
      </c>
      <c r="CD13" s="3">
        <f>IFERROR(Table4[[#This Row],[Apr_2026_Days_Actual]]*Table4[[#This Row],[Cost Boolean]]*(VLOOKUP(Table4[[#This Row],[RATE CONCAT]],Tables!I:N,5,0)),0)</f>
        <v>4560</v>
      </c>
      <c r="CE13" s="3">
        <f>Table4[[#This Row],[Apr_2026_F]]-Table4[[#This Row],[Apr_2026_A]]</f>
        <v>0</v>
      </c>
      <c r="CF13" s="103"/>
      <c r="CG13" s="3">
        <f>IFERROR(Table4[[#This Row],[May_2026_Days_Forecast]] *Table4[[#This Row],[Cost Boolean]]*(VLOOKUP(Table4[[#This Row],[RATE CONCAT]],Tables!I:N,5,0)),0)</f>
        <v>4104</v>
      </c>
      <c r="CH13" s="3">
        <f>IFERROR(Table4[[#This Row],[May_2026_Days_Actual]]*Table4[[#This Row],[Cost Boolean]]*(VLOOKUP(Table4[[#This Row],[RATE CONCAT]],Tables!I:N,5,0)),0)</f>
        <v>4104</v>
      </c>
      <c r="CI13" s="3">
        <f>Table4[[#This Row],[May_2026_F]]-Table4[[#This Row],[May_2026_A]]</f>
        <v>0</v>
      </c>
      <c r="CJ13" s="103"/>
      <c r="CK13" s="3">
        <f>IFERROR(Table4[[#This Row],[Jun_2026_Days_Forecast]]*Table4[[#This Row],[Cost Boolean]]*(VLOOKUP(Table4[[#This Row],[RATE CONCAT]],Tables!I:N,5,0)),0)</f>
        <v>4104</v>
      </c>
      <c r="CL13" s="3">
        <f>IFERROR(Table4[[#This Row],[Jun_2026_Days_Actual]]*Table4[[#This Row],[Cost Boolean]]*(VLOOKUP(Table4[[#This Row],[RATE CONCAT]],Tables!I:N,5,0)),0)</f>
        <v>4104</v>
      </c>
      <c r="CM13" s="3">
        <f>Table4[[#This Row],[Jun_2026_F]]-Table4[[#This Row],[Jun_2026_A]]</f>
        <v>0</v>
      </c>
      <c r="CN13" s="103"/>
      <c r="CO13" s="3">
        <f>IFERROR(Table4[[#This Row],[Jul_2026_Days_Forecast]]*Table4[[#This Row],[Cost Boolean]]*(VLOOKUP(Table4[[#This Row],[RATE CONCAT]],Tables!I:N,5,0)),0)</f>
        <v>4104</v>
      </c>
      <c r="CP13" s="3">
        <f>IFERROR(Table4[[#This Row],[Aug_2026_Days_Forecast]]*Table4[[#This Row],[Location]]*(VLOOKUP(Table4[[#This Row],[Rate]],Tables!J:O,5,0)),0)</f>
        <v>0</v>
      </c>
      <c r="CQ13" s="3">
        <f>Table4[[#This Row],[Jul_2026_F]]-Table4[[#This Row],[Jul_2026_A]]</f>
        <v>4104</v>
      </c>
      <c r="CR13" s="103"/>
      <c r="CS13" s="3">
        <f>IFERROR(Table4[[#This Row],[Aug_2026_Days_Forecast]]*Table4[[#This Row],[Cost Boolean]]*(VLOOKUP(Table4[[#This Row],[RATE CONCAT]],Tables!I:N,5,0)),0)</f>
        <v>4560</v>
      </c>
      <c r="CT13" s="3">
        <f>IFERROR(Table4[[#This Row],[Aug_2026_Days_Actual]]*Table4[[#This Row],[Cost Boolean]]*(VLOOKUP(Table4[[#This Row],[RATE CONCAT]],Tables!I:N,5,0)),0)</f>
        <v>4560</v>
      </c>
      <c r="CU13" s="3">
        <f>Table4[[#This Row],[Aug_2026_F]]-Table4[[#This Row],[Aug_2026_A]]</f>
        <v>0</v>
      </c>
      <c r="CV13" s="103"/>
      <c r="CW13" s="3">
        <f>IFERROR(Table4[[#This Row],[Sep_2026_Days_Forecast]]*Table4[[#This Row],[Cost Boolean]]*(VLOOKUP(Table4[[#This Row],[RATE CONCAT]],Tables!I:N,5,0)),0)</f>
        <v>4560</v>
      </c>
      <c r="CX13" s="3">
        <f>IFERROR(Table4[[#This Row],[Sep_2026_Days_Actual]]*Table4[[#This Row],[Cost Boolean]]*(VLOOKUP(Table4[[#This Row],[RATE CONCAT]],Tables!I:N,5,0)),0)</f>
        <v>4560</v>
      </c>
      <c r="CY13" s="3">
        <f>Table4[[#This Row],[Sep_2026_F]]-Table4[[#This Row],[Sep_2026_A]]</f>
        <v>0</v>
      </c>
      <c r="CZ13" s="103"/>
      <c r="DA13" s="3">
        <f>IFERROR(Table4[[#This Row],[Oct_2026_Days_Forecast]]*Table4[[#This Row],[Cost Boolean]]*(VLOOKUP(Table4[[#This Row],[RATE CONCAT]],Tables!I:N,5,0)),0)</f>
        <v>4560</v>
      </c>
      <c r="DB13" s="3">
        <f>IFERROR(Table4[[#This Row],[Oct_2026_Days_Actual]]*Table4[[#This Row],[Cost Boolean]]*(VLOOKUP(Table4[[#This Row],[RATE CONCAT]],Tables!I:N,5,0)),0)</f>
        <v>4560</v>
      </c>
      <c r="DC13" s="3">
        <f>Table4[[#This Row],[Oct_2026_F]]-Table4[[#This Row],[Oct_2026_A]]</f>
        <v>0</v>
      </c>
      <c r="DD13" s="103"/>
      <c r="DE13" s="3">
        <f>IFERROR(Table4[[#This Row],[Nov_2026_Days_Forecast]]*Table4[[#This Row],[Cost Boolean]]*(VLOOKUP(Table4[[#This Row],[RATE CONCAT]],Tables!I:N,5,0)),0)</f>
        <v>4104</v>
      </c>
      <c r="DF13" s="3">
        <f>IFERROR(Table4[[#This Row],[Nov_2026_Days_Actual]]*Table4[[#This Row],[Cost Boolean]]*(VLOOKUP(Table4[[#This Row],[RATE CONCAT]],Tables!I:N,5,0)),0)</f>
        <v>4104</v>
      </c>
      <c r="DG13" s="3">
        <f>Table4[[#This Row],[Nov_2026_F]]-Table4[[#This Row],[Nov_2026_A]]</f>
        <v>0</v>
      </c>
      <c r="DH13" s="103"/>
      <c r="DI13" s="3">
        <f>IFERROR(Table4[[#This Row],[Dec_2026_Days_Forecast]]*Table4[[#This Row],[Cost Boolean]]*(VLOOKUP(Table4[[#This Row],[RATE CONCAT]],Tables!I:N,5,0)),0)</f>
        <v>4104</v>
      </c>
      <c r="DJ13" s="3">
        <f>IFERROR(Table4[[#This Row],[Dec_2026_Days_Actual]]*Table4[[#This Row],[Cost Boolean]]*(VLOOKUP(Table4[[#This Row],[RATE CONCAT]],Tables!I:N,5,0)),0)</f>
        <v>4104</v>
      </c>
      <c r="DK13" s="3">
        <f>Table4[[#This Row],[Dec_2026_F]]-Table4[[#This Row],[Dec_2026_A]]</f>
        <v>0</v>
      </c>
      <c r="DL13" s="103"/>
      <c r="DM13" s="60"/>
      <c r="DN13" s="3">
        <f>IFERROR(Table4[[#This Row],[Jan_2027_Days_Forecast]]*Table4[[#This Row],[Cost Boolean]]*(VLOOKUP(Table4[[#This Row],[RATE CONCAT]],Tables!I:N,6,0)),0)</f>
        <v>0</v>
      </c>
      <c r="DO13" s="3">
        <v>0</v>
      </c>
      <c r="DP13" s="3">
        <f>Table4[[#This Row],[Jan_2027_F]]-Table4[[#This Row],[Jan_2027_A]]</f>
        <v>0</v>
      </c>
      <c r="DQ13" s="3">
        <f>IFERROR(Table4[[#This Row],[Feb_2027_Days_Forecast]]*Table4[[#This Row],[Cost Boolean]]*(VLOOKUP(Table4[[#This Row],[RATE CONCAT]],Tables!I:N,6,0)),0)</f>
        <v>0</v>
      </c>
      <c r="DR13" s="3">
        <v>0</v>
      </c>
      <c r="DS13" s="3">
        <f>Table4[[#This Row],[Feb_2027_F]]-Table4[[#This Row],[Feb_2027_A]]</f>
        <v>0</v>
      </c>
      <c r="DT13" s="3">
        <f>IFERROR(Table4[[#This Row],[Mar_2027_Days_Forecast]]*Table4[[#This Row],[Cost Boolean]]*(VLOOKUP(Table4[[#This Row],[RATE CONCAT]],Tables!I:N,6,0)),0)</f>
        <v>0</v>
      </c>
      <c r="DU13" s="3">
        <v>0</v>
      </c>
      <c r="DV13" s="3">
        <f>Table4[[#This Row],[Mar_2027_F]]-Table4[[#This Row],[Mar_2027_A]]</f>
        <v>0</v>
      </c>
      <c r="DW13" s="3">
        <f>IFERROR(Table4[[#This Row],[Apr_2027_Days_Forecast]]*Table4[[#This Row],[Cost Boolean]]*(VLOOKUP(Table4[[#This Row],[RATE CONCAT]],Tables!I:N,6,0)),0)</f>
        <v>0</v>
      </c>
      <c r="DX13" s="3">
        <v>0</v>
      </c>
      <c r="DY13" s="3">
        <f>Table4[[#This Row],[Apr_2027_F]]-Table4[[#This Row],[Apr_2027_A]]</f>
        <v>0</v>
      </c>
      <c r="DZ13" s="3">
        <f>IFERROR(Table4[[#This Row],[May_2027_Days_Forecast]]*Table4[[#This Row],[Cost Boolean]]*(VLOOKUP(Table4[[#This Row],[RATE CONCAT]],Tables!I:N,6,0)),0)</f>
        <v>0</v>
      </c>
      <c r="EA13" s="3">
        <v>0</v>
      </c>
      <c r="EB13" s="3">
        <f>Table4[[#This Row],[May_2027_F]]-Table4[[#This Row],[May_2027_A]]</f>
        <v>0</v>
      </c>
      <c r="EC13" s="3">
        <f>IFERROR(Table4[[#This Row],[Jun_2027_Days_Forecast]]*Table4[[#This Row],[Cost Boolean]]*(VLOOKUP(Table4[[#This Row],[RATE CONCAT]],Tables!I:N,6,0)),0)</f>
        <v>0</v>
      </c>
      <c r="ED13" s="3">
        <v>0</v>
      </c>
      <c r="EE13" s="3">
        <f>Table4[[#This Row],[Jun_2027_F]]-Table4[[#This Row],[Jun_2027_A]]</f>
        <v>0</v>
      </c>
      <c r="EF13" s="3">
        <f>IFERROR(Table4[[#This Row],[Jul_2027_Days_Forecast]]*Table4[[#This Row],[Cost Boolean]]*(VLOOKUP(Table4[[#This Row],[RATE CONCAT]],Tables!I:N,6,0)),0)</f>
        <v>0</v>
      </c>
      <c r="EG13" s="3">
        <v>0</v>
      </c>
      <c r="EH13" s="3">
        <f>Table4[[#This Row],[Jul_2027_F]]-Table4[[#This Row],[Jul_2027_A]]</f>
        <v>0</v>
      </c>
      <c r="EI13" s="3">
        <f>IFERROR(Table4[[#This Row],[Aug_2027_Days_Forecast]]*Table4[[#This Row],[Cost Boolean]]*(VLOOKUP(Table4[[#This Row],[RATE CONCAT]],Tables!I:N,6,0)),0)</f>
        <v>0</v>
      </c>
      <c r="EJ13" s="3">
        <v>0</v>
      </c>
      <c r="EK13" s="3">
        <f>Table4[[#This Row],[Aug_2027_F]]-Table4[[#This Row],[Aug_2027_A]]</f>
        <v>0</v>
      </c>
      <c r="EL13" s="3">
        <f>IFERROR(Table4[[#This Row],[Sep_2027_Days_Forecast]]*Table4[[#This Row],[Cost Boolean]]*(VLOOKUP(Table4[[#This Row],[RATE CONCAT]],Tables!I:N,6,0)),0)</f>
        <v>0</v>
      </c>
      <c r="EM13" s="3">
        <v>0</v>
      </c>
      <c r="EN13" s="3">
        <f>Table4[[#This Row],[Sep_2027_F]]-Table4[[#This Row],[Sep_2027_A]]</f>
        <v>0</v>
      </c>
      <c r="EO13" s="3">
        <f>IFERROR(Table4[[#This Row],[Oct_2027_Days_Forecast]]*Table4[[#This Row],[Cost Boolean]]*(VLOOKUP(Table4[[#This Row],[RATE CONCAT]],Tables!I:N,6,0)),0)</f>
        <v>0</v>
      </c>
      <c r="EP13" s="3">
        <v>0</v>
      </c>
      <c r="EQ13" s="3">
        <f>Table4[[#This Row],[Oct_2027_F]]-Table4[[#This Row],[Oct_2027_A]]</f>
        <v>0</v>
      </c>
      <c r="ER13" s="3">
        <f>IFERROR(Table4[[#This Row],[Nov_2027_Days_Forecast]]*Table4[[#This Row],[Cost Boolean]]*(VLOOKUP(Table4[[#This Row],[RATE CONCAT]],Tables!I:N,6,0)),0)</f>
        <v>0</v>
      </c>
      <c r="ES13" s="3">
        <v>0</v>
      </c>
      <c r="ET13" s="3">
        <f>Table4[[#This Row],[Nov_2027_F]]-Table4[[#This Row],[Nov_2027_A]]</f>
        <v>0</v>
      </c>
      <c r="EU13" s="3">
        <f>IFERROR(Table4[[#This Row],[Dec_2027_Days_Forecast]]*Table4[[#This Row],[Cost Boolean]]*(VLOOKUP(Table4[[#This Row],[RATE CONCAT]],Tables!I:N,6,0)),0)</f>
        <v>0</v>
      </c>
      <c r="EV13" s="3">
        <v>0</v>
      </c>
      <c r="EW13" s="3">
        <f>Table4[[#This Row],[Dec_2027_F]]-Table4[[#This Row],[Dec_2027_A]]</f>
        <v>0</v>
      </c>
    </row>
    <row r="14" spans="1:153" ht="15" customHeight="1">
      <c r="A14" s="132" t="s">
        <v>373</v>
      </c>
      <c r="B14" s="132" t="s">
        <v>51</v>
      </c>
      <c r="C14" s="132" t="s">
        <v>219</v>
      </c>
      <c r="D14" s="132" t="s">
        <v>374</v>
      </c>
      <c r="E14" s="132" t="s">
        <v>361</v>
      </c>
      <c r="F14" s="132"/>
      <c r="G14" s="132" t="s">
        <v>267</v>
      </c>
      <c r="H14" s="132">
        <v>4</v>
      </c>
      <c r="I14" s="132"/>
      <c r="J14" s="132" t="s">
        <v>375</v>
      </c>
      <c r="K14" s="132" t="s">
        <v>224</v>
      </c>
      <c r="L14" s="132">
        <v>1</v>
      </c>
      <c r="M14" s="132" t="s">
        <v>362</v>
      </c>
      <c r="N14" s="132" t="s">
        <v>376</v>
      </c>
      <c r="O14" s="132" t="s">
        <v>227</v>
      </c>
      <c r="P14" s="132" t="s">
        <v>43</v>
      </c>
      <c r="Q14" s="132" t="s">
        <v>228</v>
      </c>
      <c r="R14" s="191">
        <v>46023</v>
      </c>
      <c r="S14" s="191">
        <v>46387</v>
      </c>
      <c r="T14" s="191">
        <v>46023</v>
      </c>
      <c r="U14" s="191">
        <v>46387</v>
      </c>
      <c r="V14" s="191">
        <v>46023</v>
      </c>
      <c r="W14" s="191">
        <v>46387</v>
      </c>
      <c r="X14" s="132"/>
      <c r="Y14" s="132" t="str">
        <f>CONCATENATE(Table4[[#This Row],[JG]],Table4[[#This Row],[Country]],Table4[[#This Row],[Resource Provider]])</f>
        <v>4IndiaShell IDT</v>
      </c>
      <c r="Z14" s="132">
        <f>VLOOKUP(Table4[[#This Row],[RATE CONCAT]],Tables!I:N,5,0)</f>
        <v>456</v>
      </c>
      <c r="AA14" s="53"/>
      <c r="AB14" s="192">
        <v>10</v>
      </c>
      <c r="AC14" s="192">
        <v>10</v>
      </c>
      <c r="AD14" s="192">
        <v>10</v>
      </c>
      <c r="AE14" s="192">
        <v>10</v>
      </c>
      <c r="AF14" s="192">
        <v>9</v>
      </c>
      <c r="AG14" s="192">
        <v>9</v>
      </c>
      <c r="AH14" s="192">
        <v>9</v>
      </c>
      <c r="AI14" s="192">
        <v>10</v>
      </c>
      <c r="AJ14" s="192">
        <v>10</v>
      </c>
      <c r="AK14" s="192">
        <v>10</v>
      </c>
      <c r="AL14" s="192">
        <v>9</v>
      </c>
      <c r="AM14" s="192">
        <v>9</v>
      </c>
      <c r="AN14" s="53">
        <f>IFERROR(AVERAGE(Table4[[#This Row],[Jan_2026_Days_Forecast]:[Dec_2026_Days_Forecast]]),0)/19</f>
        <v>0.50438596491228072</v>
      </c>
      <c r="AO14" s="53">
        <f>IFERROR(AVERAGE(Table4[[#This Row],[Jan_2026_Days_Actual]:[Dec_2026_Days_Actual]]),0)/19</f>
        <v>0.50438596491228072</v>
      </c>
      <c r="AP14" s="192">
        <v>10</v>
      </c>
      <c r="AQ14" s="192">
        <v>10</v>
      </c>
      <c r="AR14" s="192">
        <v>10</v>
      </c>
      <c r="AS14" s="192">
        <v>10</v>
      </c>
      <c r="AT14" s="192">
        <v>9</v>
      </c>
      <c r="AU14" s="192">
        <v>9</v>
      </c>
      <c r="AV14" s="192">
        <v>9</v>
      </c>
      <c r="AW14" s="192">
        <v>10</v>
      </c>
      <c r="AX14" s="192">
        <v>10</v>
      </c>
      <c r="AY14" s="192">
        <v>10</v>
      </c>
      <c r="AZ14" s="192">
        <v>9</v>
      </c>
      <c r="BA14" s="192">
        <v>9</v>
      </c>
      <c r="BB14" s="53">
        <f>IFERROR(AVERAGE(Table4[[#This Row],[Jan_2027_Days_Forecast]:[Dec_2027_Days_Forecast]]),0)</f>
        <v>0</v>
      </c>
      <c r="BC14" s="16"/>
      <c r="BD14" s="16"/>
      <c r="BE14" s="16"/>
      <c r="BF14" s="16"/>
      <c r="BG14" s="16"/>
      <c r="BH14" s="16"/>
      <c r="BI14" s="16"/>
      <c r="BJ14" s="16"/>
      <c r="BK14" s="16"/>
      <c r="BL14" s="16"/>
      <c r="BM14" s="16"/>
      <c r="BN14" s="16"/>
      <c r="BO14" s="55"/>
      <c r="BP14" s="60"/>
      <c r="BQ14" s="3">
        <f>Table4[[#This Row],[Jan_2026_Days_Forecast]]*Table4[[#This Row],[Cost Boolean]]*VLOOKUP(Table4[[#This Row],[RATE CONCAT]],Tables!I:N,5,0)</f>
        <v>4560</v>
      </c>
      <c r="BR14" s="3">
        <f>IFERROR(Table4[[#This Row],[Jan_2026_Days_Actual]]*Table4[[#This Row],[Cost Boolean]]*(VLOOKUP(Table4[[#This Row],[RATE CONCAT]],Tables!I:N,5,0)),0)</f>
        <v>4560</v>
      </c>
      <c r="BS14" s="3">
        <f>Table4[[#This Row],[Jan_2026_F]]-Table4[[#This Row],[Jan_2026_A]]</f>
        <v>0</v>
      </c>
      <c r="BT14" s="107"/>
      <c r="BU14" s="3">
        <f>IFERROR(Table4[[#This Row],[Feb_2026_Days_Forecast]]*Table4[[#This Row],[Cost Boolean]]*(VLOOKUP(Table4[[#This Row],[RATE CONCAT]],Tables!I:N,5,0)),0)</f>
        <v>4560</v>
      </c>
      <c r="BV14" s="3">
        <f>IFERROR(Table4[[#This Row],[Feb_2026_Days_Actual]]*Table4[[#This Row],[Cost Boolean]]*(VLOOKUP(Table4[[#This Row],[RATE CONCAT]],Tables!I:N,5,0)),0)</f>
        <v>4560</v>
      </c>
      <c r="BW14" s="3">
        <f>Table4[[#This Row],[Feb_2026_F]]-Table4[[#This Row],[Feb_2026_A]]</f>
        <v>0</v>
      </c>
      <c r="BX14" s="103"/>
      <c r="BY14" s="3">
        <f>IFERROR(Table4[[#This Row],[Mar_2026_Days_Forecast]]*Table4[[#This Row],[Cost Boolean]]*(VLOOKUP(Table4[[#This Row],[RATE CONCAT]],Tables!I:N,5,0)),0)</f>
        <v>4560</v>
      </c>
      <c r="BZ14" s="3">
        <f>IFERROR(Table4[[#This Row],[Mar_2026_Days_Actual]]*Table4[[#This Row],[Cost Boolean]]*(VLOOKUP(Table4[[#This Row],[RATE CONCAT]],Tables!I:N,5,0)),0)</f>
        <v>4560</v>
      </c>
      <c r="CA14" s="3">
        <f>Table4[[#This Row],[Mar_2026_F]]-Table4[[#This Row],[Mar_2026_A]]</f>
        <v>0</v>
      </c>
      <c r="CB14" s="103"/>
      <c r="CC14" s="3">
        <f>IFERROR(Table4[[#This Row],[Apr_2026_Days_Forecast]]*Table4[[#This Row],[Cost Boolean]]*(VLOOKUP(Table4[[#This Row],[RATE CONCAT]],Tables!I:N,5,0)),0)</f>
        <v>4560</v>
      </c>
      <c r="CD14" s="3">
        <f>IFERROR(Table4[[#This Row],[Apr_2026_Days_Actual]]*Table4[[#This Row],[Cost Boolean]]*(VLOOKUP(Table4[[#This Row],[RATE CONCAT]],Tables!I:N,5,0)),0)</f>
        <v>4560</v>
      </c>
      <c r="CE14" s="3">
        <f>Table4[[#This Row],[Apr_2026_F]]-Table4[[#This Row],[Apr_2026_A]]</f>
        <v>0</v>
      </c>
      <c r="CF14" s="103"/>
      <c r="CG14" s="3">
        <f>IFERROR(Table4[[#This Row],[May_2026_Days_Forecast]] *Table4[[#This Row],[Cost Boolean]]*(VLOOKUP(Table4[[#This Row],[RATE CONCAT]],Tables!I:N,5,0)),0)</f>
        <v>4104</v>
      </c>
      <c r="CH14" s="3">
        <f>IFERROR(Table4[[#This Row],[May_2026_Days_Actual]]*Table4[[#This Row],[Cost Boolean]]*(VLOOKUP(Table4[[#This Row],[RATE CONCAT]],Tables!I:N,5,0)),0)</f>
        <v>4104</v>
      </c>
      <c r="CI14" s="3">
        <f>Table4[[#This Row],[May_2026_F]]-Table4[[#This Row],[May_2026_A]]</f>
        <v>0</v>
      </c>
      <c r="CJ14" s="103"/>
      <c r="CK14" s="3">
        <f>IFERROR(Table4[[#This Row],[Jun_2026_Days_Forecast]]*Table4[[#This Row],[Cost Boolean]]*(VLOOKUP(Table4[[#This Row],[RATE CONCAT]],Tables!I:N,5,0)),0)</f>
        <v>4104</v>
      </c>
      <c r="CL14" s="3">
        <f>IFERROR(Table4[[#This Row],[Jun_2026_Days_Actual]]*Table4[[#This Row],[Cost Boolean]]*(VLOOKUP(Table4[[#This Row],[RATE CONCAT]],Tables!I:N,5,0)),0)</f>
        <v>4104</v>
      </c>
      <c r="CM14" s="3">
        <f>Table4[[#This Row],[Jun_2026_F]]-Table4[[#This Row],[Jun_2026_A]]</f>
        <v>0</v>
      </c>
      <c r="CN14" s="103"/>
      <c r="CO14" s="3">
        <f>IFERROR(Table4[[#This Row],[Jul_2026_Days_Forecast]]*Table4[[#This Row],[Cost Boolean]]*(VLOOKUP(Table4[[#This Row],[RATE CONCAT]],Tables!I:N,5,0)),0)</f>
        <v>4104</v>
      </c>
      <c r="CP14" s="3">
        <f>IFERROR(Table4[[#This Row],[Aug_2026_Days_Forecast]]*Table4[[#This Row],[Location]]*(VLOOKUP(Table4[[#This Row],[Rate]],Tables!J:O,5,0)),0)</f>
        <v>0</v>
      </c>
      <c r="CQ14" s="3">
        <f>Table4[[#This Row],[Jul_2026_F]]-Table4[[#This Row],[Jul_2026_A]]</f>
        <v>4104</v>
      </c>
      <c r="CR14" s="103"/>
      <c r="CS14" s="3">
        <f>IFERROR(Table4[[#This Row],[Aug_2026_Days_Forecast]]*Table4[[#This Row],[Cost Boolean]]*(VLOOKUP(Table4[[#This Row],[RATE CONCAT]],Tables!I:N,5,0)),0)</f>
        <v>4560</v>
      </c>
      <c r="CT14" s="3">
        <f>IFERROR(Table4[[#This Row],[Aug_2026_Days_Actual]]*Table4[[#This Row],[Cost Boolean]]*(VLOOKUP(Table4[[#This Row],[RATE CONCAT]],Tables!I:N,5,0)),0)</f>
        <v>4560</v>
      </c>
      <c r="CU14" s="3">
        <f>Table4[[#This Row],[Aug_2026_F]]-Table4[[#This Row],[Aug_2026_A]]</f>
        <v>0</v>
      </c>
      <c r="CV14" s="103"/>
      <c r="CW14" s="3">
        <f>IFERROR(Table4[[#This Row],[Sep_2026_Days_Forecast]]*Table4[[#This Row],[Cost Boolean]]*(VLOOKUP(Table4[[#This Row],[RATE CONCAT]],Tables!I:N,5,0)),0)</f>
        <v>4560</v>
      </c>
      <c r="CX14" s="3">
        <f>IFERROR(Table4[[#This Row],[Sep_2026_Days_Actual]]*Table4[[#This Row],[Cost Boolean]]*(VLOOKUP(Table4[[#This Row],[RATE CONCAT]],Tables!I:N,5,0)),0)</f>
        <v>4560</v>
      </c>
      <c r="CY14" s="3">
        <f>Table4[[#This Row],[Sep_2026_F]]-Table4[[#This Row],[Sep_2026_A]]</f>
        <v>0</v>
      </c>
      <c r="CZ14" s="103"/>
      <c r="DA14" s="3">
        <f>IFERROR(Table4[[#This Row],[Oct_2026_Days_Forecast]]*Table4[[#This Row],[Cost Boolean]]*(VLOOKUP(Table4[[#This Row],[RATE CONCAT]],Tables!I:N,5,0)),0)</f>
        <v>4560</v>
      </c>
      <c r="DB14" s="3">
        <f>IFERROR(Table4[[#This Row],[Oct_2026_Days_Actual]]*Table4[[#This Row],[Cost Boolean]]*(VLOOKUP(Table4[[#This Row],[RATE CONCAT]],Tables!I:N,5,0)),0)</f>
        <v>4560</v>
      </c>
      <c r="DC14" s="3">
        <f>Table4[[#This Row],[Oct_2026_F]]-Table4[[#This Row],[Oct_2026_A]]</f>
        <v>0</v>
      </c>
      <c r="DD14" s="103"/>
      <c r="DE14" s="3">
        <f>IFERROR(Table4[[#This Row],[Nov_2026_Days_Forecast]]*Table4[[#This Row],[Cost Boolean]]*(VLOOKUP(Table4[[#This Row],[RATE CONCAT]],Tables!I:N,5,0)),0)</f>
        <v>4104</v>
      </c>
      <c r="DF14" s="3">
        <f>IFERROR(Table4[[#This Row],[Nov_2026_Days_Actual]]*Table4[[#This Row],[Cost Boolean]]*(VLOOKUP(Table4[[#This Row],[RATE CONCAT]],Tables!I:N,5,0)),0)</f>
        <v>4104</v>
      </c>
      <c r="DG14" s="3">
        <f>Table4[[#This Row],[Nov_2026_F]]-Table4[[#This Row],[Nov_2026_A]]</f>
        <v>0</v>
      </c>
      <c r="DH14" s="103"/>
      <c r="DI14" s="3">
        <f>IFERROR(Table4[[#This Row],[Dec_2026_Days_Forecast]]*Table4[[#This Row],[Cost Boolean]]*(VLOOKUP(Table4[[#This Row],[RATE CONCAT]],Tables!I:N,5,0)),0)</f>
        <v>4104</v>
      </c>
      <c r="DJ14" s="3">
        <f>IFERROR(Table4[[#This Row],[Dec_2026_Days_Actual]]*Table4[[#This Row],[Cost Boolean]]*(VLOOKUP(Table4[[#This Row],[RATE CONCAT]],Tables!I:N,5,0)),0)</f>
        <v>4104</v>
      </c>
      <c r="DK14" s="3">
        <f>Table4[[#This Row],[Dec_2026_F]]-Table4[[#This Row],[Dec_2026_A]]</f>
        <v>0</v>
      </c>
      <c r="DL14" s="103"/>
      <c r="DM14" s="60"/>
      <c r="DN14" s="3">
        <f>IFERROR(Table4[[#This Row],[Jan_2027_Days_Forecast]]*Table4[[#This Row],[Cost Boolean]]*(VLOOKUP(Table4[[#This Row],[RATE CONCAT]],Tables!I:N,6,0)),0)</f>
        <v>0</v>
      </c>
      <c r="DO14" s="3">
        <v>0</v>
      </c>
      <c r="DP14" s="3">
        <f>Table4[[#This Row],[Jan_2027_F]]-Table4[[#This Row],[Jan_2027_A]]</f>
        <v>0</v>
      </c>
      <c r="DQ14" s="3">
        <f>IFERROR(Table4[[#This Row],[Feb_2027_Days_Forecast]]*Table4[[#This Row],[Cost Boolean]]*(VLOOKUP(Table4[[#This Row],[RATE CONCAT]],Tables!I:N,6,0)),0)</f>
        <v>0</v>
      </c>
      <c r="DR14" s="3">
        <v>0</v>
      </c>
      <c r="DS14" s="3">
        <f>Table4[[#This Row],[Feb_2027_F]]-Table4[[#This Row],[Feb_2027_A]]</f>
        <v>0</v>
      </c>
      <c r="DT14" s="3">
        <f>IFERROR(Table4[[#This Row],[Mar_2027_Days_Forecast]]*Table4[[#This Row],[Cost Boolean]]*(VLOOKUP(Table4[[#This Row],[RATE CONCAT]],Tables!I:N,6,0)),0)</f>
        <v>0</v>
      </c>
      <c r="DU14" s="3">
        <v>0</v>
      </c>
      <c r="DV14" s="3">
        <f>Table4[[#This Row],[Mar_2027_F]]-Table4[[#This Row],[Mar_2027_A]]</f>
        <v>0</v>
      </c>
      <c r="DW14" s="3">
        <f>IFERROR(Table4[[#This Row],[Apr_2027_Days_Forecast]]*Table4[[#This Row],[Cost Boolean]]*(VLOOKUP(Table4[[#This Row],[RATE CONCAT]],Tables!I:N,6,0)),0)</f>
        <v>0</v>
      </c>
      <c r="DX14" s="3">
        <v>0</v>
      </c>
      <c r="DY14" s="3">
        <f>Table4[[#This Row],[Apr_2027_F]]-Table4[[#This Row],[Apr_2027_A]]</f>
        <v>0</v>
      </c>
      <c r="DZ14" s="3">
        <f>IFERROR(Table4[[#This Row],[May_2027_Days_Forecast]]*Table4[[#This Row],[Cost Boolean]]*(VLOOKUP(Table4[[#This Row],[RATE CONCAT]],Tables!I:N,6,0)),0)</f>
        <v>0</v>
      </c>
      <c r="EA14" s="3">
        <v>0</v>
      </c>
      <c r="EB14" s="3">
        <f>Table4[[#This Row],[May_2027_F]]-Table4[[#This Row],[May_2027_A]]</f>
        <v>0</v>
      </c>
      <c r="EC14" s="3">
        <f>IFERROR(Table4[[#This Row],[Jun_2027_Days_Forecast]]*Table4[[#This Row],[Cost Boolean]]*(VLOOKUP(Table4[[#This Row],[RATE CONCAT]],Tables!I:N,6,0)),0)</f>
        <v>0</v>
      </c>
      <c r="ED14" s="3">
        <v>0</v>
      </c>
      <c r="EE14" s="3">
        <f>Table4[[#This Row],[Jun_2027_F]]-Table4[[#This Row],[Jun_2027_A]]</f>
        <v>0</v>
      </c>
      <c r="EF14" s="3">
        <f>IFERROR(Table4[[#This Row],[Jul_2027_Days_Forecast]]*Table4[[#This Row],[Cost Boolean]]*(VLOOKUP(Table4[[#This Row],[RATE CONCAT]],Tables!I:N,6,0)),0)</f>
        <v>0</v>
      </c>
      <c r="EG14" s="3">
        <v>0</v>
      </c>
      <c r="EH14" s="3">
        <f>Table4[[#This Row],[Jul_2027_F]]-Table4[[#This Row],[Jul_2027_A]]</f>
        <v>0</v>
      </c>
      <c r="EI14" s="3">
        <f>IFERROR(Table4[[#This Row],[Aug_2027_Days_Forecast]]*Table4[[#This Row],[Cost Boolean]]*(VLOOKUP(Table4[[#This Row],[RATE CONCAT]],Tables!I:N,6,0)),0)</f>
        <v>0</v>
      </c>
      <c r="EJ14" s="3">
        <v>0</v>
      </c>
      <c r="EK14" s="3">
        <f>Table4[[#This Row],[Aug_2027_F]]-Table4[[#This Row],[Aug_2027_A]]</f>
        <v>0</v>
      </c>
      <c r="EL14" s="3">
        <f>IFERROR(Table4[[#This Row],[Sep_2027_Days_Forecast]]*Table4[[#This Row],[Cost Boolean]]*(VLOOKUP(Table4[[#This Row],[RATE CONCAT]],Tables!I:N,6,0)),0)</f>
        <v>0</v>
      </c>
      <c r="EM14" s="3">
        <v>0</v>
      </c>
      <c r="EN14" s="3">
        <f>Table4[[#This Row],[Sep_2027_F]]-Table4[[#This Row],[Sep_2027_A]]</f>
        <v>0</v>
      </c>
      <c r="EO14" s="3">
        <f>IFERROR(Table4[[#This Row],[Oct_2027_Days_Forecast]]*Table4[[#This Row],[Cost Boolean]]*(VLOOKUP(Table4[[#This Row],[RATE CONCAT]],Tables!I:N,6,0)),0)</f>
        <v>0</v>
      </c>
      <c r="EP14" s="3">
        <v>0</v>
      </c>
      <c r="EQ14" s="3">
        <f>Table4[[#This Row],[Oct_2027_F]]-Table4[[#This Row],[Oct_2027_A]]</f>
        <v>0</v>
      </c>
      <c r="ER14" s="3">
        <f>IFERROR(Table4[[#This Row],[Nov_2027_Days_Forecast]]*Table4[[#This Row],[Cost Boolean]]*(VLOOKUP(Table4[[#This Row],[RATE CONCAT]],Tables!I:N,6,0)),0)</f>
        <v>0</v>
      </c>
      <c r="ES14" s="3">
        <v>0</v>
      </c>
      <c r="ET14" s="3">
        <f>Table4[[#This Row],[Nov_2027_F]]-Table4[[#This Row],[Nov_2027_A]]</f>
        <v>0</v>
      </c>
      <c r="EU14" s="3">
        <f>IFERROR(Table4[[#This Row],[Dec_2027_Days_Forecast]]*Table4[[#This Row],[Cost Boolean]]*(VLOOKUP(Table4[[#This Row],[RATE CONCAT]],Tables!I:N,6,0)),0)</f>
        <v>0</v>
      </c>
      <c r="EV14" s="3">
        <v>0</v>
      </c>
      <c r="EW14" s="3">
        <f>Table4[[#This Row],[Dec_2027_F]]-Table4[[#This Row],[Dec_2027_A]]</f>
        <v>0</v>
      </c>
    </row>
    <row r="15" spans="1:153" ht="15" customHeight="1">
      <c r="A15" s="132" t="s">
        <v>377</v>
      </c>
      <c r="B15" s="132" t="s">
        <v>48</v>
      </c>
      <c r="C15" s="132" t="s">
        <v>219</v>
      </c>
      <c r="D15" s="132" t="s">
        <v>378</v>
      </c>
      <c r="E15" s="132" t="s">
        <v>379</v>
      </c>
      <c r="F15" s="132"/>
      <c r="G15" s="132" t="s">
        <v>231</v>
      </c>
      <c r="H15" s="132">
        <v>3</v>
      </c>
      <c r="I15" s="132"/>
      <c r="J15" s="132" t="s">
        <v>380</v>
      </c>
      <c r="K15" s="132" t="s">
        <v>224</v>
      </c>
      <c r="L15" s="132">
        <v>0</v>
      </c>
      <c r="M15" s="132" t="s">
        <v>233</v>
      </c>
      <c r="N15" s="132" t="s">
        <v>381</v>
      </c>
      <c r="O15" s="132" t="s">
        <v>260</v>
      </c>
      <c r="P15" s="132" t="s">
        <v>43</v>
      </c>
      <c r="Q15" s="132" t="s">
        <v>228</v>
      </c>
      <c r="R15" s="191">
        <v>46023</v>
      </c>
      <c r="S15" s="191">
        <v>46387</v>
      </c>
      <c r="T15" s="191">
        <v>46023</v>
      </c>
      <c r="U15" s="191">
        <v>46387</v>
      </c>
      <c r="V15" s="191">
        <v>46023</v>
      </c>
      <c r="W15" s="191">
        <v>46387</v>
      </c>
      <c r="X15" s="132"/>
      <c r="Y15" s="132" t="str">
        <f>CONCATENATE(Table4[[#This Row],[JG]],Table4[[#This Row],[Country]],Table4[[#This Row],[Resource Provider]])</f>
        <v>3United StatesVeson</v>
      </c>
      <c r="Z15" s="132">
        <f>VLOOKUP(Table4[[#This Row],[RATE CONCAT]],Tables!I:N,5,0)</f>
        <v>1200</v>
      </c>
      <c r="AA15" s="53"/>
      <c r="AB15" s="192"/>
      <c r="AC15" s="192">
        <v>2</v>
      </c>
      <c r="AD15" s="192">
        <v>2</v>
      </c>
      <c r="AE15" s="192">
        <v>2</v>
      </c>
      <c r="AF15" s="192">
        <v>2</v>
      </c>
      <c r="AG15" s="192">
        <v>2</v>
      </c>
      <c r="AH15" s="192">
        <v>1</v>
      </c>
      <c r="AI15" s="192">
        <v>2</v>
      </c>
      <c r="AJ15" s="192">
        <v>2</v>
      </c>
      <c r="AK15" s="192">
        <v>2</v>
      </c>
      <c r="AL15" s="192"/>
      <c r="AM15" s="192"/>
      <c r="AN15" s="53">
        <f>IFERROR(AVERAGE(Table4[[#This Row],[Jan_2026_Days_Forecast]:[Dec_2026_Days_Forecast]]),0)/19</f>
        <v>9.9415204678362568E-2</v>
      </c>
      <c r="AO15" s="53">
        <f>IFERROR(AVERAGE(Table4[[#This Row],[Jan_2026_Days_Actual]:[Dec_2026_Days_Actual]]),0)/19</f>
        <v>9.9415204678362568E-2</v>
      </c>
      <c r="AP15" s="192"/>
      <c r="AQ15" s="192">
        <v>2</v>
      </c>
      <c r="AR15" s="192">
        <v>2</v>
      </c>
      <c r="AS15" s="192">
        <v>2</v>
      </c>
      <c r="AT15" s="192">
        <v>2</v>
      </c>
      <c r="AU15" s="192">
        <v>2</v>
      </c>
      <c r="AV15" s="192">
        <v>1</v>
      </c>
      <c r="AW15" s="192">
        <v>2</v>
      </c>
      <c r="AX15" s="192">
        <v>2</v>
      </c>
      <c r="AY15" s="192">
        <v>2</v>
      </c>
      <c r="AZ15" s="192"/>
      <c r="BA15" s="192"/>
      <c r="BB15" s="53">
        <f>IFERROR(AVERAGE(Table4[[#This Row],[Jan_2027_Days_Forecast]:[Dec_2027_Days_Forecast]]),0)</f>
        <v>0</v>
      </c>
      <c r="BC15" s="16"/>
      <c r="BD15" s="16"/>
      <c r="BE15" s="16"/>
      <c r="BF15" s="16"/>
      <c r="BG15" s="16"/>
      <c r="BH15" s="16"/>
      <c r="BI15" s="16"/>
      <c r="BJ15" s="16"/>
      <c r="BK15" s="16"/>
      <c r="BL15" s="16"/>
      <c r="BM15" s="16"/>
      <c r="BN15" s="16"/>
      <c r="BO15" s="55"/>
      <c r="BP15" s="60"/>
      <c r="BQ15" s="3">
        <f>Table4[[#This Row],[Jan_2026_Days_Forecast]]*Table4[[#This Row],[Cost Boolean]]*VLOOKUP(Table4[[#This Row],[RATE CONCAT]],Tables!I:N,5,0)</f>
        <v>0</v>
      </c>
      <c r="BR15" s="3">
        <f>IFERROR(Table4[[#This Row],[Jan_2026_Days_Actual]]*Table4[[#This Row],[Cost Boolean]]*(VLOOKUP(Table4[[#This Row],[RATE CONCAT]],Tables!I:N,5,0)),0)</f>
        <v>0</v>
      </c>
      <c r="BS15" s="3">
        <f>Table4[[#This Row],[Jan_2026_F]]-Table4[[#This Row],[Jan_2026_A]]</f>
        <v>0</v>
      </c>
      <c r="BT15" s="107"/>
      <c r="BU15" s="3">
        <f>IFERROR(Table4[[#This Row],[Feb_2026_Days_Forecast]]*Table4[[#This Row],[Cost Boolean]]*(VLOOKUP(Table4[[#This Row],[RATE CONCAT]],Tables!I:N,5,0)),0)</f>
        <v>0</v>
      </c>
      <c r="BV15" s="3">
        <f>IFERROR(Table4[[#This Row],[Feb_2026_Days_Actual]]*Table4[[#This Row],[Cost Boolean]]*(VLOOKUP(Table4[[#This Row],[RATE CONCAT]],Tables!I:N,5,0)),0)</f>
        <v>0</v>
      </c>
      <c r="BW15" s="3">
        <f>Table4[[#This Row],[Feb_2026_F]]-Table4[[#This Row],[Feb_2026_A]]</f>
        <v>0</v>
      </c>
      <c r="BX15" s="103"/>
      <c r="BY15" s="3">
        <f>IFERROR(Table4[[#This Row],[Mar_2026_Days_Forecast]]*Table4[[#This Row],[Cost Boolean]]*(VLOOKUP(Table4[[#This Row],[RATE CONCAT]],Tables!I:N,5,0)),0)</f>
        <v>0</v>
      </c>
      <c r="BZ15" s="3">
        <f>IFERROR(Table4[[#This Row],[Mar_2026_Days_Actual]]*Table4[[#This Row],[Cost Boolean]]*(VLOOKUP(Table4[[#This Row],[RATE CONCAT]],Tables!I:N,5,0)),0)</f>
        <v>0</v>
      </c>
      <c r="CA15" s="3">
        <f>Table4[[#This Row],[Mar_2026_F]]-Table4[[#This Row],[Mar_2026_A]]</f>
        <v>0</v>
      </c>
      <c r="CB15" s="103"/>
      <c r="CC15" s="3">
        <f>IFERROR(Table4[[#This Row],[Apr_2026_Days_Forecast]]*Table4[[#This Row],[Cost Boolean]]*(VLOOKUP(Table4[[#This Row],[RATE CONCAT]],Tables!I:N,5,0)),0)</f>
        <v>0</v>
      </c>
      <c r="CD15" s="3">
        <f>IFERROR(Table4[[#This Row],[Apr_2026_Days_Actual]]*Table4[[#This Row],[Cost Boolean]]*(VLOOKUP(Table4[[#This Row],[RATE CONCAT]],Tables!I:N,5,0)),0)</f>
        <v>0</v>
      </c>
      <c r="CE15" s="3">
        <f>Table4[[#This Row],[Apr_2026_F]]-Table4[[#This Row],[Apr_2026_A]]</f>
        <v>0</v>
      </c>
      <c r="CF15" s="103"/>
      <c r="CG15" s="3">
        <f>IFERROR(Table4[[#This Row],[May_2026_Days_Forecast]] *Table4[[#This Row],[Cost Boolean]]*(VLOOKUP(Table4[[#This Row],[RATE CONCAT]],Tables!I:N,5,0)),0)</f>
        <v>0</v>
      </c>
      <c r="CH15" s="3">
        <f>IFERROR(Table4[[#This Row],[May_2026_Days_Actual]]*Table4[[#This Row],[Cost Boolean]]*(VLOOKUP(Table4[[#This Row],[RATE CONCAT]],Tables!I:N,5,0)),0)</f>
        <v>0</v>
      </c>
      <c r="CI15" s="3">
        <f>Table4[[#This Row],[May_2026_F]]-Table4[[#This Row],[May_2026_A]]</f>
        <v>0</v>
      </c>
      <c r="CJ15" s="103"/>
      <c r="CK15" s="3">
        <f>IFERROR(Table4[[#This Row],[Jun_2026_Days_Forecast]]*Table4[[#This Row],[Cost Boolean]]*(VLOOKUP(Table4[[#This Row],[RATE CONCAT]],Tables!I:N,5,0)),0)</f>
        <v>0</v>
      </c>
      <c r="CL15" s="3">
        <f>IFERROR(Table4[[#This Row],[Jun_2026_Days_Actual]]*Table4[[#This Row],[Cost Boolean]]*(VLOOKUP(Table4[[#This Row],[RATE CONCAT]],Tables!I:N,5,0)),0)</f>
        <v>0</v>
      </c>
      <c r="CM15" s="3">
        <f>Table4[[#This Row],[Jun_2026_F]]-Table4[[#This Row],[Jun_2026_A]]</f>
        <v>0</v>
      </c>
      <c r="CN15" s="103"/>
      <c r="CO15" s="3">
        <f>IFERROR(Table4[[#This Row],[Jul_2026_Days_Forecast]]*Table4[[#This Row],[Cost Boolean]]*(VLOOKUP(Table4[[#This Row],[RATE CONCAT]],Tables!I:N,5,0)),0)</f>
        <v>0</v>
      </c>
      <c r="CP15" s="3">
        <f>IFERROR(Table4[[#This Row],[Aug_2026_Days_Forecast]]*Table4[[#This Row],[Location]]*(VLOOKUP(Table4[[#This Row],[Rate]],Tables!J:O,5,0)),0)</f>
        <v>0</v>
      </c>
      <c r="CQ15" s="3">
        <f>Table4[[#This Row],[Jul_2026_F]]-Table4[[#This Row],[Jul_2026_A]]</f>
        <v>0</v>
      </c>
      <c r="CR15" s="103"/>
      <c r="CS15" s="3">
        <f>IFERROR(Table4[[#This Row],[Aug_2026_Days_Forecast]]*Table4[[#This Row],[Cost Boolean]]*(VLOOKUP(Table4[[#This Row],[RATE CONCAT]],Tables!I:N,5,0)),0)</f>
        <v>0</v>
      </c>
      <c r="CT15" s="3">
        <f>IFERROR(Table4[[#This Row],[Aug_2026_Days_Actual]]*Table4[[#This Row],[Cost Boolean]]*(VLOOKUP(Table4[[#This Row],[RATE CONCAT]],Tables!I:N,5,0)),0)</f>
        <v>0</v>
      </c>
      <c r="CU15" s="3">
        <f>Table4[[#This Row],[Aug_2026_F]]-Table4[[#This Row],[Aug_2026_A]]</f>
        <v>0</v>
      </c>
      <c r="CV15" s="103"/>
      <c r="CW15" s="3">
        <f>IFERROR(Table4[[#This Row],[Sep_2026_Days_Forecast]]*Table4[[#This Row],[Cost Boolean]]*(VLOOKUP(Table4[[#This Row],[RATE CONCAT]],Tables!I:N,5,0)),0)</f>
        <v>0</v>
      </c>
      <c r="CX15" s="3">
        <f>IFERROR(Table4[[#This Row],[Sep_2026_Days_Actual]]*Table4[[#This Row],[Cost Boolean]]*(VLOOKUP(Table4[[#This Row],[RATE CONCAT]],Tables!I:N,5,0)),0)</f>
        <v>0</v>
      </c>
      <c r="CY15" s="3">
        <f>Table4[[#This Row],[Sep_2026_F]]-Table4[[#This Row],[Sep_2026_A]]</f>
        <v>0</v>
      </c>
      <c r="CZ15" s="103"/>
      <c r="DA15" s="3">
        <f>IFERROR(Table4[[#This Row],[Oct_2026_Days_Forecast]]*Table4[[#This Row],[Cost Boolean]]*(VLOOKUP(Table4[[#This Row],[RATE CONCAT]],Tables!I:N,5,0)),0)</f>
        <v>0</v>
      </c>
      <c r="DB15" s="3">
        <f>IFERROR(Table4[[#This Row],[Oct_2026_Days_Actual]]*Table4[[#This Row],[Cost Boolean]]*(VLOOKUP(Table4[[#This Row],[RATE CONCAT]],Tables!I:N,5,0)),0)</f>
        <v>0</v>
      </c>
      <c r="DC15" s="3">
        <f>Table4[[#This Row],[Oct_2026_F]]-Table4[[#This Row],[Oct_2026_A]]</f>
        <v>0</v>
      </c>
      <c r="DD15" s="103"/>
      <c r="DE15" s="3">
        <f>IFERROR(Table4[[#This Row],[Nov_2026_Days_Forecast]]*Table4[[#This Row],[Cost Boolean]]*(VLOOKUP(Table4[[#This Row],[RATE CONCAT]],Tables!I:N,5,0)),0)</f>
        <v>0</v>
      </c>
      <c r="DF15" s="3">
        <f>IFERROR(Table4[[#This Row],[Nov_2026_Days_Actual]]*Table4[[#This Row],[Cost Boolean]]*(VLOOKUP(Table4[[#This Row],[RATE CONCAT]],Tables!I:N,5,0)),0)</f>
        <v>0</v>
      </c>
      <c r="DG15" s="3">
        <f>Table4[[#This Row],[Nov_2026_F]]-Table4[[#This Row],[Nov_2026_A]]</f>
        <v>0</v>
      </c>
      <c r="DH15" s="103"/>
      <c r="DI15" s="3">
        <f>IFERROR(Table4[[#This Row],[Dec_2026_Days_Forecast]]*Table4[[#This Row],[Cost Boolean]]*(VLOOKUP(Table4[[#This Row],[RATE CONCAT]],Tables!I:N,5,0)),0)</f>
        <v>0</v>
      </c>
      <c r="DJ15" s="3">
        <f>IFERROR(Table4[[#This Row],[Dec_2026_Days_Actual]]*Table4[[#This Row],[Cost Boolean]]*(VLOOKUP(Table4[[#This Row],[RATE CONCAT]],Tables!I:N,5,0)),0)</f>
        <v>0</v>
      </c>
      <c r="DK15" s="3">
        <f>Table4[[#This Row],[Dec_2026_F]]-Table4[[#This Row],[Dec_2026_A]]</f>
        <v>0</v>
      </c>
      <c r="DL15" s="103"/>
      <c r="DM15" s="60"/>
      <c r="DN15" s="3">
        <f>IFERROR(Table4[[#This Row],[Jan_2027_Days_Forecast]]*Table4[[#This Row],[Cost Boolean]]*(VLOOKUP(Table4[[#This Row],[RATE CONCAT]],Tables!I:N,6,0)),0)</f>
        <v>0</v>
      </c>
      <c r="DO15" s="3">
        <v>0</v>
      </c>
      <c r="DP15" s="3">
        <f>Table4[[#This Row],[Jan_2027_F]]-Table4[[#This Row],[Jan_2027_A]]</f>
        <v>0</v>
      </c>
      <c r="DQ15" s="3">
        <f>IFERROR(Table4[[#This Row],[Feb_2027_Days_Forecast]]*Table4[[#This Row],[Cost Boolean]]*(VLOOKUP(Table4[[#This Row],[RATE CONCAT]],Tables!I:N,6,0)),0)</f>
        <v>0</v>
      </c>
      <c r="DR15" s="3">
        <v>0</v>
      </c>
      <c r="DS15" s="3">
        <f>Table4[[#This Row],[Feb_2027_F]]-Table4[[#This Row],[Feb_2027_A]]</f>
        <v>0</v>
      </c>
      <c r="DT15" s="3">
        <f>IFERROR(Table4[[#This Row],[Mar_2027_Days_Forecast]]*Table4[[#This Row],[Cost Boolean]]*(VLOOKUP(Table4[[#This Row],[RATE CONCAT]],Tables!I:N,6,0)),0)</f>
        <v>0</v>
      </c>
      <c r="DU15" s="3">
        <v>0</v>
      </c>
      <c r="DV15" s="3">
        <f>Table4[[#This Row],[Mar_2027_F]]-Table4[[#This Row],[Mar_2027_A]]</f>
        <v>0</v>
      </c>
      <c r="DW15" s="3">
        <f>IFERROR(Table4[[#This Row],[Apr_2027_Days_Forecast]]*Table4[[#This Row],[Cost Boolean]]*(VLOOKUP(Table4[[#This Row],[RATE CONCAT]],Tables!I:N,6,0)),0)</f>
        <v>0</v>
      </c>
      <c r="DX15" s="3">
        <v>0</v>
      </c>
      <c r="DY15" s="3">
        <f>Table4[[#This Row],[Apr_2027_F]]-Table4[[#This Row],[Apr_2027_A]]</f>
        <v>0</v>
      </c>
      <c r="DZ15" s="3">
        <f>IFERROR(Table4[[#This Row],[May_2027_Days_Forecast]]*Table4[[#This Row],[Cost Boolean]]*(VLOOKUP(Table4[[#This Row],[RATE CONCAT]],Tables!I:N,6,0)),0)</f>
        <v>0</v>
      </c>
      <c r="EA15" s="3">
        <v>0</v>
      </c>
      <c r="EB15" s="3">
        <f>Table4[[#This Row],[May_2027_F]]-Table4[[#This Row],[May_2027_A]]</f>
        <v>0</v>
      </c>
      <c r="EC15" s="3">
        <f>IFERROR(Table4[[#This Row],[Jun_2027_Days_Forecast]]*Table4[[#This Row],[Cost Boolean]]*(VLOOKUP(Table4[[#This Row],[RATE CONCAT]],Tables!I:N,6,0)),0)</f>
        <v>0</v>
      </c>
      <c r="ED15" s="3">
        <v>0</v>
      </c>
      <c r="EE15" s="3">
        <f>Table4[[#This Row],[Jun_2027_F]]-Table4[[#This Row],[Jun_2027_A]]</f>
        <v>0</v>
      </c>
      <c r="EF15" s="3">
        <f>IFERROR(Table4[[#This Row],[Jul_2027_Days_Forecast]]*Table4[[#This Row],[Cost Boolean]]*(VLOOKUP(Table4[[#This Row],[RATE CONCAT]],Tables!I:N,6,0)),0)</f>
        <v>0</v>
      </c>
      <c r="EG15" s="3">
        <v>0</v>
      </c>
      <c r="EH15" s="3">
        <f>Table4[[#This Row],[Jul_2027_F]]-Table4[[#This Row],[Jul_2027_A]]</f>
        <v>0</v>
      </c>
      <c r="EI15" s="3">
        <f>IFERROR(Table4[[#This Row],[Aug_2027_Days_Forecast]]*Table4[[#This Row],[Cost Boolean]]*(VLOOKUP(Table4[[#This Row],[RATE CONCAT]],Tables!I:N,6,0)),0)</f>
        <v>0</v>
      </c>
      <c r="EJ15" s="3">
        <v>0</v>
      </c>
      <c r="EK15" s="3">
        <f>Table4[[#This Row],[Aug_2027_F]]-Table4[[#This Row],[Aug_2027_A]]</f>
        <v>0</v>
      </c>
      <c r="EL15" s="3">
        <f>IFERROR(Table4[[#This Row],[Sep_2027_Days_Forecast]]*Table4[[#This Row],[Cost Boolean]]*(VLOOKUP(Table4[[#This Row],[RATE CONCAT]],Tables!I:N,6,0)),0)</f>
        <v>0</v>
      </c>
      <c r="EM15" s="3">
        <v>0</v>
      </c>
      <c r="EN15" s="3">
        <f>Table4[[#This Row],[Sep_2027_F]]-Table4[[#This Row],[Sep_2027_A]]</f>
        <v>0</v>
      </c>
      <c r="EO15" s="3">
        <f>IFERROR(Table4[[#This Row],[Oct_2027_Days_Forecast]]*Table4[[#This Row],[Cost Boolean]]*(VLOOKUP(Table4[[#This Row],[RATE CONCAT]],Tables!I:N,6,0)),0)</f>
        <v>0</v>
      </c>
      <c r="EP15" s="3">
        <v>0</v>
      </c>
      <c r="EQ15" s="3">
        <f>Table4[[#This Row],[Oct_2027_F]]-Table4[[#This Row],[Oct_2027_A]]</f>
        <v>0</v>
      </c>
      <c r="ER15" s="3">
        <f>IFERROR(Table4[[#This Row],[Nov_2027_Days_Forecast]]*Table4[[#This Row],[Cost Boolean]]*(VLOOKUP(Table4[[#This Row],[RATE CONCAT]],Tables!I:N,6,0)),0)</f>
        <v>0</v>
      </c>
      <c r="ES15" s="3">
        <v>0</v>
      </c>
      <c r="ET15" s="3">
        <f>Table4[[#This Row],[Nov_2027_F]]-Table4[[#This Row],[Nov_2027_A]]</f>
        <v>0</v>
      </c>
      <c r="EU15" s="3">
        <f>IFERROR(Table4[[#This Row],[Dec_2027_Days_Forecast]]*Table4[[#This Row],[Cost Boolean]]*(VLOOKUP(Table4[[#This Row],[RATE CONCAT]],Tables!I:N,6,0)),0)</f>
        <v>0</v>
      </c>
      <c r="EV15" s="3">
        <v>0</v>
      </c>
      <c r="EW15" s="3">
        <f>Table4[[#This Row],[Dec_2027_F]]-Table4[[#This Row],[Dec_2027_A]]</f>
        <v>0</v>
      </c>
    </row>
    <row r="16" spans="1:153" ht="15" customHeight="1">
      <c r="A16" s="132" t="s">
        <v>382</v>
      </c>
      <c r="B16" s="132" t="s">
        <v>48</v>
      </c>
      <c r="C16" s="132" t="s">
        <v>219</v>
      </c>
      <c r="D16" s="132" t="s">
        <v>383</v>
      </c>
      <c r="E16" s="132" t="s">
        <v>221</v>
      </c>
      <c r="F16" s="132"/>
      <c r="G16" s="132" t="s">
        <v>231</v>
      </c>
      <c r="H16" s="132">
        <v>2</v>
      </c>
      <c r="I16" s="132"/>
      <c r="J16" s="132" t="s">
        <v>384</v>
      </c>
      <c r="K16" s="132" t="s">
        <v>224</v>
      </c>
      <c r="L16" s="132">
        <v>0</v>
      </c>
      <c r="M16" s="132" t="s">
        <v>233</v>
      </c>
      <c r="N16" s="132" t="s">
        <v>384</v>
      </c>
      <c r="O16" s="132" t="s">
        <v>260</v>
      </c>
      <c r="P16" s="132" t="s">
        <v>43</v>
      </c>
      <c r="Q16" s="132" t="s">
        <v>228</v>
      </c>
      <c r="R16" s="191">
        <v>46023</v>
      </c>
      <c r="S16" s="191">
        <v>46387</v>
      </c>
      <c r="T16" s="191">
        <v>46023</v>
      </c>
      <c r="U16" s="191">
        <v>46387</v>
      </c>
      <c r="V16" s="191">
        <v>46023</v>
      </c>
      <c r="W16" s="191">
        <v>46387</v>
      </c>
      <c r="X16" s="132"/>
      <c r="Y16" s="132" t="str">
        <f>CONCATENATE(Table4[[#This Row],[JG]],Table4[[#This Row],[Country]],Table4[[#This Row],[Resource Provider]])</f>
        <v>2United StatesShell Business</v>
      </c>
      <c r="Z16" s="132">
        <f>VLOOKUP(Table4[[#This Row],[RATE CONCAT]],Tables!I:N,5,0)</f>
        <v>2032</v>
      </c>
      <c r="AA16" s="53"/>
      <c r="AB16" s="192"/>
      <c r="AC16" s="192">
        <v>2</v>
      </c>
      <c r="AD16" s="192">
        <v>2</v>
      </c>
      <c r="AE16" s="192">
        <v>2</v>
      </c>
      <c r="AF16" s="192">
        <v>2</v>
      </c>
      <c r="AG16" s="192">
        <v>2</v>
      </c>
      <c r="AH16" s="192">
        <v>1</v>
      </c>
      <c r="AI16" s="192">
        <v>2</v>
      </c>
      <c r="AJ16" s="192">
        <v>2</v>
      </c>
      <c r="AK16" s="192">
        <v>2</v>
      </c>
      <c r="AL16" s="192"/>
      <c r="AM16" s="192"/>
      <c r="AN16" s="53">
        <f>IFERROR(AVERAGE(Table4[[#This Row],[Jan_2026_Days_Forecast]:[Dec_2026_Days_Forecast]]),0)/19</f>
        <v>9.9415204678362568E-2</v>
      </c>
      <c r="AO16" s="53">
        <f>IFERROR(AVERAGE(Table4[[#This Row],[Jan_2026_Days_Actual]:[Dec_2026_Days_Actual]]),0)/19</f>
        <v>9.9415204678362568E-2</v>
      </c>
      <c r="AP16" s="192"/>
      <c r="AQ16" s="192">
        <v>2</v>
      </c>
      <c r="AR16" s="192">
        <v>2</v>
      </c>
      <c r="AS16" s="192">
        <v>2</v>
      </c>
      <c r="AT16" s="192">
        <v>2</v>
      </c>
      <c r="AU16" s="192">
        <v>2</v>
      </c>
      <c r="AV16" s="192">
        <v>1</v>
      </c>
      <c r="AW16" s="192">
        <v>2</v>
      </c>
      <c r="AX16" s="192">
        <v>2</v>
      </c>
      <c r="AY16" s="192">
        <v>2</v>
      </c>
      <c r="AZ16" s="192"/>
      <c r="BA16" s="192"/>
      <c r="BB16" s="53">
        <f>IFERROR(AVERAGE(Table4[[#This Row],[Jan_2027_Days_Forecast]:[Dec_2027_Days_Forecast]]),0)</f>
        <v>0</v>
      </c>
      <c r="BC16" s="16"/>
      <c r="BD16" s="16"/>
      <c r="BE16" s="16"/>
      <c r="BF16" s="16"/>
      <c r="BG16" s="16"/>
      <c r="BH16" s="16"/>
      <c r="BI16" s="16"/>
      <c r="BJ16" s="16"/>
      <c r="BK16" s="16"/>
      <c r="BL16" s="16"/>
      <c r="BM16" s="16"/>
      <c r="BN16" s="16"/>
      <c r="BO16" s="55"/>
      <c r="BP16" s="60"/>
      <c r="BQ16" s="3">
        <f>Table4[[#This Row],[Jan_2026_Days_Forecast]]*Table4[[#This Row],[Cost Boolean]]*VLOOKUP(Table4[[#This Row],[RATE CONCAT]],Tables!I:N,5,0)</f>
        <v>0</v>
      </c>
      <c r="BR16" s="3">
        <f>IFERROR(Table4[[#This Row],[Jan_2026_Days_Actual]]*Table4[[#This Row],[Cost Boolean]]*(VLOOKUP(Table4[[#This Row],[RATE CONCAT]],Tables!I:N,5,0)),0)</f>
        <v>0</v>
      </c>
      <c r="BS16" s="3">
        <f>Table4[[#This Row],[Jan_2026_F]]-Table4[[#This Row],[Jan_2026_A]]</f>
        <v>0</v>
      </c>
      <c r="BT16" s="107"/>
      <c r="BU16" s="3">
        <f>IFERROR(Table4[[#This Row],[Feb_2026_Days_Forecast]]*Table4[[#This Row],[Cost Boolean]]*(VLOOKUP(Table4[[#This Row],[RATE CONCAT]],Tables!I:N,5,0)),0)</f>
        <v>0</v>
      </c>
      <c r="BV16" s="3">
        <f>IFERROR(Table4[[#This Row],[Feb_2026_Days_Actual]]*Table4[[#This Row],[Cost Boolean]]*(VLOOKUP(Table4[[#This Row],[RATE CONCAT]],Tables!I:N,5,0)),0)</f>
        <v>0</v>
      </c>
      <c r="BW16" s="3">
        <f>Table4[[#This Row],[Feb_2026_F]]-Table4[[#This Row],[Feb_2026_A]]</f>
        <v>0</v>
      </c>
      <c r="BX16" s="103"/>
      <c r="BY16" s="3">
        <f>IFERROR(Table4[[#This Row],[Mar_2026_Days_Forecast]]*Table4[[#This Row],[Cost Boolean]]*(VLOOKUP(Table4[[#This Row],[RATE CONCAT]],Tables!I:N,5,0)),0)</f>
        <v>0</v>
      </c>
      <c r="BZ16" s="3">
        <f>IFERROR(Table4[[#This Row],[Mar_2026_Days_Actual]]*Table4[[#This Row],[Cost Boolean]]*(VLOOKUP(Table4[[#This Row],[RATE CONCAT]],Tables!I:N,5,0)),0)</f>
        <v>0</v>
      </c>
      <c r="CA16" s="3">
        <f>Table4[[#This Row],[Mar_2026_F]]-Table4[[#This Row],[Mar_2026_A]]</f>
        <v>0</v>
      </c>
      <c r="CB16" s="103"/>
      <c r="CC16" s="3">
        <f>IFERROR(Table4[[#This Row],[Apr_2026_Days_Forecast]]*Table4[[#This Row],[Cost Boolean]]*(VLOOKUP(Table4[[#This Row],[RATE CONCAT]],Tables!I:N,5,0)),0)</f>
        <v>0</v>
      </c>
      <c r="CD16" s="3">
        <f>IFERROR(Table4[[#This Row],[Apr_2026_Days_Actual]]*Table4[[#This Row],[Cost Boolean]]*(VLOOKUP(Table4[[#This Row],[RATE CONCAT]],Tables!I:N,5,0)),0)</f>
        <v>0</v>
      </c>
      <c r="CE16" s="3">
        <f>Table4[[#This Row],[Apr_2026_F]]-Table4[[#This Row],[Apr_2026_A]]</f>
        <v>0</v>
      </c>
      <c r="CF16" s="103"/>
      <c r="CG16" s="3">
        <f>IFERROR(Table4[[#This Row],[May_2026_Days_Forecast]] *Table4[[#This Row],[Cost Boolean]]*(VLOOKUP(Table4[[#This Row],[RATE CONCAT]],Tables!I:N,5,0)),0)</f>
        <v>0</v>
      </c>
      <c r="CH16" s="3">
        <f>IFERROR(Table4[[#This Row],[May_2026_Days_Actual]]*Table4[[#This Row],[Cost Boolean]]*(VLOOKUP(Table4[[#This Row],[RATE CONCAT]],Tables!I:N,5,0)),0)</f>
        <v>0</v>
      </c>
      <c r="CI16" s="3">
        <f>Table4[[#This Row],[May_2026_F]]-Table4[[#This Row],[May_2026_A]]</f>
        <v>0</v>
      </c>
      <c r="CJ16" s="103"/>
      <c r="CK16" s="3">
        <f>IFERROR(Table4[[#This Row],[Jun_2026_Days_Forecast]]*Table4[[#This Row],[Cost Boolean]]*(VLOOKUP(Table4[[#This Row],[RATE CONCAT]],Tables!I:N,5,0)),0)</f>
        <v>0</v>
      </c>
      <c r="CL16" s="3">
        <f>IFERROR(Table4[[#This Row],[Jun_2026_Days_Actual]]*Table4[[#This Row],[Cost Boolean]]*(VLOOKUP(Table4[[#This Row],[RATE CONCAT]],Tables!I:N,5,0)),0)</f>
        <v>0</v>
      </c>
      <c r="CM16" s="3">
        <f>Table4[[#This Row],[Jun_2026_F]]-Table4[[#This Row],[Jun_2026_A]]</f>
        <v>0</v>
      </c>
      <c r="CN16" s="103"/>
      <c r="CO16" s="3">
        <f>IFERROR(Table4[[#This Row],[Jul_2026_Days_Forecast]]*Table4[[#This Row],[Cost Boolean]]*(VLOOKUP(Table4[[#This Row],[RATE CONCAT]],Tables!I:N,5,0)),0)</f>
        <v>0</v>
      </c>
      <c r="CP16" s="3">
        <f>IFERROR(Table4[[#This Row],[Aug_2026_Days_Forecast]]*Table4[[#This Row],[Location]]*(VLOOKUP(Table4[[#This Row],[Rate]],Tables!J:O,5,0)),0)</f>
        <v>0</v>
      </c>
      <c r="CQ16" s="3">
        <f>Table4[[#This Row],[Jul_2026_F]]-Table4[[#This Row],[Jul_2026_A]]</f>
        <v>0</v>
      </c>
      <c r="CR16" s="103"/>
      <c r="CS16" s="3">
        <f>IFERROR(Table4[[#This Row],[Aug_2026_Days_Forecast]]*Table4[[#This Row],[Cost Boolean]]*(VLOOKUP(Table4[[#This Row],[RATE CONCAT]],Tables!I:N,5,0)),0)</f>
        <v>0</v>
      </c>
      <c r="CT16" s="3">
        <f>IFERROR(Table4[[#This Row],[Aug_2026_Days_Actual]]*Table4[[#This Row],[Cost Boolean]]*(VLOOKUP(Table4[[#This Row],[RATE CONCAT]],Tables!I:N,5,0)),0)</f>
        <v>0</v>
      </c>
      <c r="CU16" s="3">
        <f>Table4[[#This Row],[Aug_2026_F]]-Table4[[#This Row],[Aug_2026_A]]</f>
        <v>0</v>
      </c>
      <c r="CV16" s="103"/>
      <c r="CW16" s="3">
        <f>IFERROR(Table4[[#This Row],[Sep_2026_Days_Forecast]]*Table4[[#This Row],[Cost Boolean]]*(VLOOKUP(Table4[[#This Row],[RATE CONCAT]],Tables!I:N,5,0)),0)</f>
        <v>0</v>
      </c>
      <c r="CX16" s="3">
        <f>IFERROR(Table4[[#This Row],[Sep_2026_Days_Actual]]*Table4[[#This Row],[Cost Boolean]]*(VLOOKUP(Table4[[#This Row],[RATE CONCAT]],Tables!I:N,5,0)),0)</f>
        <v>0</v>
      </c>
      <c r="CY16" s="3">
        <f>Table4[[#This Row],[Sep_2026_F]]-Table4[[#This Row],[Sep_2026_A]]</f>
        <v>0</v>
      </c>
      <c r="CZ16" s="103"/>
      <c r="DA16" s="3">
        <f>IFERROR(Table4[[#This Row],[Oct_2026_Days_Forecast]]*Table4[[#This Row],[Cost Boolean]]*(VLOOKUP(Table4[[#This Row],[RATE CONCAT]],Tables!I:N,5,0)),0)</f>
        <v>0</v>
      </c>
      <c r="DB16" s="3">
        <f>IFERROR(Table4[[#This Row],[Oct_2026_Days_Actual]]*Table4[[#This Row],[Cost Boolean]]*(VLOOKUP(Table4[[#This Row],[RATE CONCAT]],Tables!I:N,5,0)),0)</f>
        <v>0</v>
      </c>
      <c r="DC16" s="3">
        <f>Table4[[#This Row],[Oct_2026_F]]-Table4[[#This Row],[Oct_2026_A]]</f>
        <v>0</v>
      </c>
      <c r="DD16" s="103"/>
      <c r="DE16" s="3">
        <f>IFERROR(Table4[[#This Row],[Nov_2026_Days_Forecast]]*Table4[[#This Row],[Cost Boolean]]*(VLOOKUP(Table4[[#This Row],[RATE CONCAT]],Tables!I:N,5,0)),0)</f>
        <v>0</v>
      </c>
      <c r="DF16" s="3">
        <f>IFERROR(Table4[[#This Row],[Nov_2026_Days_Actual]]*Table4[[#This Row],[Cost Boolean]]*(VLOOKUP(Table4[[#This Row],[RATE CONCAT]],Tables!I:N,5,0)),0)</f>
        <v>0</v>
      </c>
      <c r="DG16" s="3">
        <f>Table4[[#This Row],[Nov_2026_F]]-Table4[[#This Row],[Nov_2026_A]]</f>
        <v>0</v>
      </c>
      <c r="DH16" s="103"/>
      <c r="DI16" s="3">
        <f>IFERROR(Table4[[#This Row],[Dec_2026_Days_Forecast]]*Table4[[#This Row],[Cost Boolean]]*(VLOOKUP(Table4[[#This Row],[RATE CONCAT]],Tables!I:N,5,0)),0)</f>
        <v>0</v>
      </c>
      <c r="DJ16" s="3">
        <f>IFERROR(Table4[[#This Row],[Dec_2026_Days_Actual]]*Table4[[#This Row],[Cost Boolean]]*(VLOOKUP(Table4[[#This Row],[RATE CONCAT]],Tables!I:N,5,0)),0)</f>
        <v>0</v>
      </c>
      <c r="DK16" s="3">
        <f>Table4[[#This Row],[Dec_2026_F]]-Table4[[#This Row],[Dec_2026_A]]</f>
        <v>0</v>
      </c>
      <c r="DL16" s="103"/>
      <c r="DM16" s="60"/>
      <c r="DN16" s="3">
        <f>IFERROR(Table4[[#This Row],[Jan_2027_Days_Forecast]]*Table4[[#This Row],[Cost Boolean]]*(VLOOKUP(Table4[[#This Row],[RATE CONCAT]],Tables!I:N,6,0)),0)</f>
        <v>0</v>
      </c>
      <c r="DO16" s="3">
        <v>0</v>
      </c>
      <c r="DP16" s="3">
        <f>Table4[[#This Row],[Jan_2027_F]]-Table4[[#This Row],[Jan_2027_A]]</f>
        <v>0</v>
      </c>
      <c r="DQ16" s="3">
        <f>IFERROR(Table4[[#This Row],[Feb_2027_Days_Forecast]]*Table4[[#This Row],[Cost Boolean]]*(VLOOKUP(Table4[[#This Row],[RATE CONCAT]],Tables!I:N,6,0)),0)</f>
        <v>0</v>
      </c>
      <c r="DR16" s="3">
        <v>0</v>
      </c>
      <c r="DS16" s="3">
        <f>Table4[[#This Row],[Feb_2027_F]]-Table4[[#This Row],[Feb_2027_A]]</f>
        <v>0</v>
      </c>
      <c r="DT16" s="3">
        <f>IFERROR(Table4[[#This Row],[Mar_2027_Days_Forecast]]*Table4[[#This Row],[Cost Boolean]]*(VLOOKUP(Table4[[#This Row],[RATE CONCAT]],Tables!I:N,6,0)),0)</f>
        <v>0</v>
      </c>
      <c r="DU16" s="3">
        <v>0</v>
      </c>
      <c r="DV16" s="3">
        <f>Table4[[#This Row],[Mar_2027_F]]-Table4[[#This Row],[Mar_2027_A]]</f>
        <v>0</v>
      </c>
      <c r="DW16" s="3">
        <f>IFERROR(Table4[[#This Row],[Apr_2027_Days_Forecast]]*Table4[[#This Row],[Cost Boolean]]*(VLOOKUP(Table4[[#This Row],[RATE CONCAT]],Tables!I:N,6,0)),0)</f>
        <v>0</v>
      </c>
      <c r="DX16" s="3">
        <v>0</v>
      </c>
      <c r="DY16" s="3">
        <f>Table4[[#This Row],[Apr_2027_F]]-Table4[[#This Row],[Apr_2027_A]]</f>
        <v>0</v>
      </c>
      <c r="DZ16" s="3">
        <f>IFERROR(Table4[[#This Row],[May_2027_Days_Forecast]]*Table4[[#This Row],[Cost Boolean]]*(VLOOKUP(Table4[[#This Row],[RATE CONCAT]],Tables!I:N,6,0)),0)</f>
        <v>0</v>
      </c>
      <c r="EA16" s="3">
        <v>0</v>
      </c>
      <c r="EB16" s="3">
        <f>Table4[[#This Row],[May_2027_F]]-Table4[[#This Row],[May_2027_A]]</f>
        <v>0</v>
      </c>
      <c r="EC16" s="3">
        <f>IFERROR(Table4[[#This Row],[Jun_2027_Days_Forecast]]*Table4[[#This Row],[Cost Boolean]]*(VLOOKUP(Table4[[#This Row],[RATE CONCAT]],Tables!I:N,6,0)),0)</f>
        <v>0</v>
      </c>
      <c r="ED16" s="3">
        <v>0</v>
      </c>
      <c r="EE16" s="3">
        <f>Table4[[#This Row],[Jun_2027_F]]-Table4[[#This Row],[Jun_2027_A]]</f>
        <v>0</v>
      </c>
      <c r="EF16" s="3">
        <f>IFERROR(Table4[[#This Row],[Jul_2027_Days_Forecast]]*Table4[[#This Row],[Cost Boolean]]*(VLOOKUP(Table4[[#This Row],[RATE CONCAT]],Tables!I:N,6,0)),0)</f>
        <v>0</v>
      </c>
      <c r="EG16" s="3">
        <v>0</v>
      </c>
      <c r="EH16" s="3">
        <f>Table4[[#This Row],[Jul_2027_F]]-Table4[[#This Row],[Jul_2027_A]]</f>
        <v>0</v>
      </c>
      <c r="EI16" s="3">
        <f>IFERROR(Table4[[#This Row],[Aug_2027_Days_Forecast]]*Table4[[#This Row],[Cost Boolean]]*(VLOOKUP(Table4[[#This Row],[RATE CONCAT]],Tables!I:N,6,0)),0)</f>
        <v>0</v>
      </c>
      <c r="EJ16" s="3">
        <v>0</v>
      </c>
      <c r="EK16" s="3">
        <f>Table4[[#This Row],[Aug_2027_F]]-Table4[[#This Row],[Aug_2027_A]]</f>
        <v>0</v>
      </c>
      <c r="EL16" s="3">
        <f>IFERROR(Table4[[#This Row],[Sep_2027_Days_Forecast]]*Table4[[#This Row],[Cost Boolean]]*(VLOOKUP(Table4[[#This Row],[RATE CONCAT]],Tables!I:N,6,0)),0)</f>
        <v>0</v>
      </c>
      <c r="EM16" s="3">
        <v>0</v>
      </c>
      <c r="EN16" s="3">
        <f>Table4[[#This Row],[Sep_2027_F]]-Table4[[#This Row],[Sep_2027_A]]</f>
        <v>0</v>
      </c>
      <c r="EO16" s="3">
        <f>IFERROR(Table4[[#This Row],[Oct_2027_Days_Forecast]]*Table4[[#This Row],[Cost Boolean]]*(VLOOKUP(Table4[[#This Row],[RATE CONCAT]],Tables!I:N,6,0)),0)</f>
        <v>0</v>
      </c>
      <c r="EP16" s="3">
        <v>0</v>
      </c>
      <c r="EQ16" s="3">
        <f>Table4[[#This Row],[Oct_2027_F]]-Table4[[#This Row],[Oct_2027_A]]</f>
        <v>0</v>
      </c>
      <c r="ER16" s="3">
        <f>IFERROR(Table4[[#This Row],[Nov_2027_Days_Forecast]]*Table4[[#This Row],[Cost Boolean]]*(VLOOKUP(Table4[[#This Row],[RATE CONCAT]],Tables!I:N,6,0)),0)</f>
        <v>0</v>
      </c>
      <c r="ES16" s="3">
        <v>0</v>
      </c>
      <c r="ET16" s="3">
        <f>Table4[[#This Row],[Nov_2027_F]]-Table4[[#This Row],[Nov_2027_A]]</f>
        <v>0</v>
      </c>
      <c r="EU16" s="3">
        <f>IFERROR(Table4[[#This Row],[Dec_2027_Days_Forecast]]*Table4[[#This Row],[Cost Boolean]]*(VLOOKUP(Table4[[#This Row],[RATE CONCAT]],Tables!I:N,6,0)),0)</f>
        <v>0</v>
      </c>
      <c r="EV16" s="3">
        <v>0</v>
      </c>
      <c r="EW16" s="3">
        <f>Table4[[#This Row],[Dec_2027_F]]-Table4[[#This Row],[Dec_2027_A]]</f>
        <v>0</v>
      </c>
    </row>
    <row r="17" spans="1:153" ht="15" customHeight="1">
      <c r="A17" s="132"/>
      <c r="B17" s="132"/>
      <c r="C17" s="132"/>
      <c r="D17" s="132"/>
      <c r="E17" s="132"/>
      <c r="F17" s="132"/>
      <c r="G17" s="132"/>
      <c r="H17" s="132"/>
      <c r="I17" s="132"/>
      <c r="J17" s="132"/>
      <c r="K17" s="132"/>
      <c r="L17" s="132"/>
      <c r="M17" s="132"/>
      <c r="N17" s="132"/>
      <c r="O17" s="132"/>
      <c r="P17" s="132"/>
      <c r="Q17" s="132"/>
      <c r="R17" s="191"/>
      <c r="S17" s="191"/>
      <c r="T17" s="191"/>
      <c r="U17" s="191"/>
      <c r="V17" s="191"/>
      <c r="W17" s="191"/>
      <c r="X17" s="13"/>
      <c r="Y17" s="132" t="str">
        <f>CONCATENATE(Table4[[#This Row],[JG]],Table4[[#This Row],[Country]],Table4[[#This Row],[Resource Provider]])</f>
        <v/>
      </c>
      <c r="Z17" s="132">
        <f>VLOOKUP(Table4[[#This Row],[RATE CONCAT]],Tables!I:N,5,0)</f>
        <v>0</v>
      </c>
      <c r="AA17" s="53"/>
      <c r="AB17" s="192"/>
      <c r="AC17" s="192"/>
      <c r="AD17" s="192"/>
      <c r="AE17" s="192"/>
      <c r="AF17" s="192"/>
      <c r="AG17" s="192"/>
      <c r="AH17" s="192"/>
      <c r="AI17" s="192"/>
      <c r="AJ17" s="192"/>
      <c r="AK17" s="16"/>
      <c r="AL17" s="16"/>
      <c r="AM17" s="16"/>
      <c r="AN17" s="53">
        <f>IFERROR(AVERAGE(Table4[[#This Row],[Jan_2026_Days_Forecast]:[Dec_2026_Days_Forecast]]),0)/19</f>
        <v>0</v>
      </c>
      <c r="AO17" s="53">
        <f>IFERROR(AVERAGE(Table4[[#This Row],[Jan_2026_Days_Actual]:[Dec_2026_Days_Actual]]),0)/19</f>
        <v>0</v>
      </c>
      <c r="AP17" s="84"/>
      <c r="AQ17" s="84"/>
      <c r="AR17" s="84"/>
      <c r="AS17" s="84"/>
      <c r="AT17" s="84"/>
      <c r="AU17" s="84"/>
      <c r="AV17" s="84"/>
      <c r="AW17" s="84"/>
      <c r="AX17" s="84"/>
      <c r="AY17" s="84"/>
      <c r="AZ17" s="84"/>
      <c r="BA17" s="84"/>
      <c r="BB17" s="53">
        <f>IFERROR(AVERAGE(Table4[[#This Row],[Jan_2027_Days_Forecast]:[Dec_2027_Days_Forecast]]),0)</f>
        <v>0</v>
      </c>
      <c r="BC17" s="16"/>
      <c r="BD17" s="16"/>
      <c r="BE17" s="16"/>
      <c r="BF17" s="16"/>
      <c r="BG17" s="16"/>
      <c r="BH17" s="16"/>
      <c r="BI17" s="16"/>
      <c r="BJ17" s="16"/>
      <c r="BK17" s="16"/>
      <c r="BL17" s="16"/>
      <c r="BM17" s="16"/>
      <c r="BN17" s="16"/>
      <c r="BO17" s="55"/>
      <c r="BP17" s="60"/>
      <c r="BQ17" s="3">
        <f>Table4[[#This Row],[Jan_2026_Days_Forecast]]*Table4[[#This Row],[Cost Boolean]]*VLOOKUP(Table4[[#This Row],[RATE CONCAT]],Tables!I:N,5,0)</f>
        <v>0</v>
      </c>
      <c r="BR17" s="3">
        <f>IFERROR(Table4[[#This Row],[Jan_2026_Days_Actual]]*Table4[[#This Row],[Cost Boolean]]*(VLOOKUP(Table4[[#This Row],[RATE CONCAT]],Tables!I:N,5,0)),0)</f>
        <v>0</v>
      </c>
      <c r="BS17" s="3">
        <f>Table4[[#This Row],[Jan_2026_F]]-Table4[[#This Row],[Jan_2026_A]]</f>
        <v>0</v>
      </c>
      <c r="BT17" s="107"/>
      <c r="BU17" s="3">
        <f>IFERROR(Table4[[#This Row],[Feb_2026_Days_Forecast]]*Table4[[#This Row],[Cost Boolean]]*(VLOOKUP(Table4[[#This Row],[RATE CONCAT]],Tables!I:N,5,0)),0)</f>
        <v>0</v>
      </c>
      <c r="BV17" s="3">
        <f>IFERROR(Table4[[#This Row],[Feb_2026_Days_Actual]]*Table4[[#This Row],[Cost Boolean]]*(VLOOKUP(Table4[[#This Row],[RATE CONCAT]],Tables!I:N,5,0)),0)</f>
        <v>0</v>
      </c>
      <c r="BW17" s="3">
        <f>Table4[[#This Row],[Feb_2026_F]]-Table4[[#This Row],[Feb_2026_A]]</f>
        <v>0</v>
      </c>
      <c r="BX17" s="103"/>
      <c r="BY17" s="3">
        <f>IFERROR(Table4[[#This Row],[Mar_2026_Days_Forecast]]*Table4[[#This Row],[Cost Boolean]]*(VLOOKUP(Table4[[#This Row],[RATE CONCAT]],Tables!I:N,5,0)),0)</f>
        <v>0</v>
      </c>
      <c r="BZ17" s="3">
        <f>IFERROR(Table4[[#This Row],[Mar_2026_Days_Actual]]*Table4[[#This Row],[Cost Boolean]]*(VLOOKUP(Table4[[#This Row],[RATE CONCAT]],Tables!I:N,5,0)),0)</f>
        <v>0</v>
      </c>
      <c r="CA17" s="3">
        <f>Table4[[#This Row],[Mar_2026_F]]-Table4[[#This Row],[Mar_2026_A]]</f>
        <v>0</v>
      </c>
      <c r="CB17" s="103"/>
      <c r="CC17" s="3">
        <f>IFERROR(Table4[[#This Row],[Apr_2026_Days_Forecast]]*Table4[[#This Row],[Cost Boolean]]*(VLOOKUP(Table4[[#This Row],[RATE CONCAT]],Tables!I:N,5,0)),0)</f>
        <v>0</v>
      </c>
      <c r="CD17" s="3">
        <f>IFERROR(Table4[[#This Row],[Apr_2026_Days_Actual]]*Table4[[#This Row],[Cost Boolean]]*(VLOOKUP(Table4[[#This Row],[RATE CONCAT]],Tables!I:N,5,0)),0)</f>
        <v>0</v>
      </c>
      <c r="CE17" s="3">
        <f>Table4[[#This Row],[Apr_2026_F]]-Table4[[#This Row],[Apr_2026_A]]</f>
        <v>0</v>
      </c>
      <c r="CF17" s="103"/>
      <c r="CG17" s="3">
        <f>IFERROR(Table4[[#This Row],[May_2026_Days_Forecast]] *Table4[[#This Row],[Cost Boolean]]*(VLOOKUP(Table4[[#This Row],[RATE CONCAT]],Tables!I:N,5,0)),0)</f>
        <v>0</v>
      </c>
      <c r="CH17" s="3">
        <f>IFERROR(Table4[[#This Row],[May_2026_Days_Actual]]*Table4[[#This Row],[Cost Boolean]]*(VLOOKUP(Table4[[#This Row],[RATE CONCAT]],Tables!I:N,5,0)),0)</f>
        <v>0</v>
      </c>
      <c r="CI17" s="3">
        <f>Table4[[#This Row],[May_2026_F]]-Table4[[#This Row],[May_2026_A]]</f>
        <v>0</v>
      </c>
      <c r="CJ17" s="103"/>
      <c r="CK17" s="3">
        <f>IFERROR(Table4[[#This Row],[Jun_2026_Days_Forecast]]*Table4[[#This Row],[Cost Boolean]]*(VLOOKUP(Table4[[#This Row],[RATE CONCAT]],Tables!I:N,5,0)),0)</f>
        <v>0</v>
      </c>
      <c r="CL17" s="3">
        <f>IFERROR(Table4[[#This Row],[Jun_2026_Days_Actual]]*Table4[[#This Row],[Cost Boolean]]*(VLOOKUP(Table4[[#This Row],[RATE CONCAT]],Tables!I:N,5,0)),0)</f>
        <v>0</v>
      </c>
      <c r="CM17" s="3">
        <f>Table4[[#This Row],[Jun_2026_F]]-Table4[[#This Row],[Jun_2026_A]]</f>
        <v>0</v>
      </c>
      <c r="CN17" s="103"/>
      <c r="CO17" s="3">
        <f>IFERROR(Table4[[#This Row],[Jul_2026_Days_Forecast]]*Table4[[#This Row],[Cost Boolean]]*(VLOOKUP(Table4[[#This Row],[RATE CONCAT]],Tables!I:N,5,0)),0)</f>
        <v>0</v>
      </c>
      <c r="CP17" s="3">
        <f>IFERROR(Table4[[#This Row],[Aug_2026_Days_Forecast]]*Table4[[#This Row],[Location]]*(VLOOKUP(Table4[[#This Row],[Rate]],Tables!J:O,5,0)),0)</f>
        <v>0</v>
      </c>
      <c r="CQ17" s="3">
        <f>Table4[[#This Row],[Jul_2026_F]]-Table4[[#This Row],[Jul_2026_A]]</f>
        <v>0</v>
      </c>
      <c r="CR17" s="103"/>
      <c r="CS17" s="3">
        <f>IFERROR(Table4[[#This Row],[Aug_2026_Days_Forecast]]*Table4[[#This Row],[Cost Boolean]]*(VLOOKUP(Table4[[#This Row],[RATE CONCAT]],Tables!I:N,5,0)),0)</f>
        <v>0</v>
      </c>
      <c r="CT17" s="3">
        <f>IFERROR(Table4[[#This Row],[Aug_2026_Days_Actual]]*Table4[[#This Row],[Cost Boolean]]*(VLOOKUP(Table4[[#This Row],[RATE CONCAT]],Tables!I:N,5,0)),0)</f>
        <v>0</v>
      </c>
      <c r="CU17" s="3">
        <f>Table4[[#This Row],[Aug_2026_F]]-Table4[[#This Row],[Aug_2026_A]]</f>
        <v>0</v>
      </c>
      <c r="CV17" s="103"/>
      <c r="CW17" s="3">
        <f>IFERROR(Table4[[#This Row],[Sep_2026_Days_Forecast]]*Table4[[#This Row],[Cost Boolean]]*(VLOOKUP(Table4[[#This Row],[RATE CONCAT]],Tables!I:N,5,0)),0)</f>
        <v>0</v>
      </c>
      <c r="CX17" s="3">
        <f>IFERROR(Table4[[#This Row],[Sep_2026_Days_Actual]]*Table4[[#This Row],[Cost Boolean]]*(VLOOKUP(Table4[[#This Row],[RATE CONCAT]],Tables!I:N,5,0)),0)</f>
        <v>0</v>
      </c>
      <c r="CY17" s="3">
        <f>Table4[[#This Row],[Sep_2026_F]]-Table4[[#This Row],[Sep_2026_A]]</f>
        <v>0</v>
      </c>
      <c r="CZ17" s="103"/>
      <c r="DA17" s="3">
        <f>IFERROR(Table4[[#This Row],[Oct_2026_Days_Forecast]]*Table4[[#This Row],[Cost Boolean]]*(VLOOKUP(Table4[[#This Row],[RATE CONCAT]],Tables!I:N,5,0)),0)</f>
        <v>0</v>
      </c>
      <c r="DB17" s="3">
        <f>IFERROR(Table4[[#This Row],[Oct_2026_Days_Actual]]*Table4[[#This Row],[Cost Boolean]]*(VLOOKUP(Table4[[#This Row],[RATE CONCAT]],Tables!I:N,5,0)),0)</f>
        <v>0</v>
      </c>
      <c r="DC17" s="3">
        <f>Table4[[#This Row],[Oct_2026_F]]-Table4[[#This Row],[Oct_2026_A]]</f>
        <v>0</v>
      </c>
      <c r="DD17" s="103"/>
      <c r="DE17" s="3">
        <f>IFERROR(Table4[[#This Row],[Nov_2026_Days_Forecast]]*Table4[[#This Row],[Cost Boolean]]*(VLOOKUP(Table4[[#This Row],[RATE CONCAT]],Tables!I:N,5,0)),0)</f>
        <v>0</v>
      </c>
      <c r="DF17" s="3">
        <f>IFERROR(Table4[[#This Row],[Nov_2026_Days_Actual]]*Table4[[#This Row],[Cost Boolean]]*(VLOOKUP(Table4[[#This Row],[RATE CONCAT]],Tables!I:N,5,0)),0)</f>
        <v>0</v>
      </c>
      <c r="DG17" s="3">
        <f>Table4[[#This Row],[Nov_2026_F]]-Table4[[#This Row],[Nov_2026_A]]</f>
        <v>0</v>
      </c>
      <c r="DH17" s="103"/>
      <c r="DI17" s="3">
        <f>IFERROR(Table4[[#This Row],[Dec_2026_Days_Forecast]]*Table4[[#This Row],[Cost Boolean]]*(VLOOKUP(Table4[[#This Row],[RATE CONCAT]],Tables!I:N,5,0)),0)</f>
        <v>0</v>
      </c>
      <c r="DJ17" s="3">
        <f>IFERROR(Table4[[#This Row],[Dec_2026_Days_Actual]]*Table4[[#This Row],[Cost Boolean]]*(VLOOKUP(Table4[[#This Row],[RATE CONCAT]],Tables!I:N,5,0)),0)</f>
        <v>0</v>
      </c>
      <c r="DK17" s="3">
        <f>Table4[[#This Row],[Dec_2026_F]]-Table4[[#This Row],[Dec_2026_A]]</f>
        <v>0</v>
      </c>
      <c r="DL17" s="103"/>
      <c r="DM17" s="60"/>
      <c r="DN17" s="3">
        <f>IFERROR(Table4[[#This Row],[Jan_2027_Days_Forecast]]*Table4[[#This Row],[Cost Boolean]]*(VLOOKUP(Table4[[#This Row],[RATE CONCAT]],Tables!I:N,6,0)),0)</f>
        <v>0</v>
      </c>
      <c r="DO17" s="3">
        <v>0</v>
      </c>
      <c r="DP17" s="3">
        <f>Table4[[#This Row],[Jan_2027_F]]-Table4[[#This Row],[Jan_2027_A]]</f>
        <v>0</v>
      </c>
      <c r="DQ17" s="3">
        <f>IFERROR(Table4[[#This Row],[Feb_2027_Days_Forecast]]*Table4[[#This Row],[Cost Boolean]]*(VLOOKUP(Table4[[#This Row],[RATE CONCAT]],Tables!I:N,6,0)),0)</f>
        <v>0</v>
      </c>
      <c r="DR17" s="3">
        <v>0</v>
      </c>
      <c r="DS17" s="3">
        <f>Table4[[#This Row],[Feb_2027_F]]-Table4[[#This Row],[Feb_2027_A]]</f>
        <v>0</v>
      </c>
      <c r="DT17" s="3">
        <f>IFERROR(Table4[[#This Row],[Mar_2027_Days_Forecast]]*Table4[[#This Row],[Cost Boolean]]*(VLOOKUP(Table4[[#This Row],[RATE CONCAT]],Tables!I:N,6,0)),0)</f>
        <v>0</v>
      </c>
      <c r="DU17" s="3">
        <v>0</v>
      </c>
      <c r="DV17" s="3">
        <f>Table4[[#This Row],[Mar_2027_F]]-Table4[[#This Row],[Mar_2027_A]]</f>
        <v>0</v>
      </c>
      <c r="DW17" s="3">
        <f>IFERROR(Table4[[#This Row],[Apr_2027_Days_Forecast]]*Table4[[#This Row],[Cost Boolean]]*(VLOOKUP(Table4[[#This Row],[RATE CONCAT]],Tables!I:N,6,0)),0)</f>
        <v>0</v>
      </c>
      <c r="DX17" s="3">
        <v>0</v>
      </c>
      <c r="DY17" s="3">
        <f>Table4[[#This Row],[Apr_2027_F]]-Table4[[#This Row],[Apr_2027_A]]</f>
        <v>0</v>
      </c>
      <c r="DZ17" s="3">
        <f>IFERROR(Table4[[#This Row],[May_2027_Days_Forecast]]*Table4[[#This Row],[Cost Boolean]]*(VLOOKUP(Table4[[#This Row],[RATE CONCAT]],Tables!I:N,6,0)),0)</f>
        <v>0</v>
      </c>
      <c r="EA17" s="3">
        <v>0</v>
      </c>
      <c r="EB17" s="3">
        <f>Table4[[#This Row],[May_2027_F]]-Table4[[#This Row],[May_2027_A]]</f>
        <v>0</v>
      </c>
      <c r="EC17" s="3">
        <f>IFERROR(Table4[[#This Row],[Jun_2027_Days_Forecast]]*Table4[[#This Row],[Cost Boolean]]*(VLOOKUP(Table4[[#This Row],[RATE CONCAT]],Tables!I:N,6,0)),0)</f>
        <v>0</v>
      </c>
      <c r="ED17" s="3">
        <v>0</v>
      </c>
      <c r="EE17" s="3">
        <f>Table4[[#This Row],[Jun_2027_F]]-Table4[[#This Row],[Jun_2027_A]]</f>
        <v>0</v>
      </c>
      <c r="EF17" s="3">
        <f>IFERROR(Table4[[#This Row],[Jul_2027_Days_Forecast]]*Table4[[#This Row],[Cost Boolean]]*(VLOOKUP(Table4[[#This Row],[RATE CONCAT]],Tables!I:N,6,0)),0)</f>
        <v>0</v>
      </c>
      <c r="EG17" s="3">
        <v>0</v>
      </c>
      <c r="EH17" s="3">
        <f>Table4[[#This Row],[Jul_2027_F]]-Table4[[#This Row],[Jul_2027_A]]</f>
        <v>0</v>
      </c>
      <c r="EI17" s="3">
        <f>IFERROR(Table4[[#This Row],[Aug_2027_Days_Forecast]]*Table4[[#This Row],[Cost Boolean]]*(VLOOKUP(Table4[[#This Row],[RATE CONCAT]],Tables!I:N,6,0)),0)</f>
        <v>0</v>
      </c>
      <c r="EJ17" s="3">
        <v>0</v>
      </c>
      <c r="EK17" s="3">
        <f>Table4[[#This Row],[Aug_2027_F]]-Table4[[#This Row],[Aug_2027_A]]</f>
        <v>0</v>
      </c>
      <c r="EL17" s="3">
        <f>IFERROR(Table4[[#This Row],[Sep_2027_Days_Forecast]]*Table4[[#This Row],[Cost Boolean]]*(VLOOKUP(Table4[[#This Row],[RATE CONCAT]],Tables!I:N,6,0)),0)</f>
        <v>0</v>
      </c>
      <c r="EM17" s="3">
        <v>0</v>
      </c>
      <c r="EN17" s="3">
        <f>Table4[[#This Row],[Sep_2027_F]]-Table4[[#This Row],[Sep_2027_A]]</f>
        <v>0</v>
      </c>
      <c r="EO17" s="3">
        <f>IFERROR(Table4[[#This Row],[Oct_2027_Days_Forecast]]*Table4[[#This Row],[Cost Boolean]]*(VLOOKUP(Table4[[#This Row],[RATE CONCAT]],Tables!I:N,6,0)),0)</f>
        <v>0</v>
      </c>
      <c r="EP17" s="3">
        <v>0</v>
      </c>
      <c r="EQ17" s="3">
        <f>Table4[[#This Row],[Oct_2027_F]]-Table4[[#This Row],[Oct_2027_A]]</f>
        <v>0</v>
      </c>
      <c r="ER17" s="3">
        <f>IFERROR(Table4[[#This Row],[Nov_2027_Days_Forecast]]*Table4[[#This Row],[Cost Boolean]]*(VLOOKUP(Table4[[#This Row],[RATE CONCAT]],Tables!I:N,6,0)),0)</f>
        <v>0</v>
      </c>
      <c r="ES17" s="3">
        <v>0</v>
      </c>
      <c r="ET17" s="3">
        <f>Table4[[#This Row],[Nov_2027_F]]-Table4[[#This Row],[Nov_2027_A]]</f>
        <v>0</v>
      </c>
      <c r="EU17" s="3">
        <f>IFERROR(Table4[[#This Row],[Dec_2027_Days_Forecast]]*Table4[[#This Row],[Cost Boolean]]*(VLOOKUP(Table4[[#This Row],[RATE CONCAT]],Tables!I:N,6,0)),0)</f>
        <v>0</v>
      </c>
      <c r="EV17" s="3">
        <v>0</v>
      </c>
      <c r="EW17" s="3">
        <f>Table4[[#This Row],[Dec_2027_F]]-Table4[[#This Row],[Dec_2027_A]]</f>
        <v>0</v>
      </c>
    </row>
    <row r="18" spans="1:153" ht="15" customHeight="1">
      <c r="A18" s="132"/>
      <c r="B18" s="132"/>
      <c r="C18" s="132"/>
      <c r="D18" s="132"/>
      <c r="E18" s="132"/>
      <c r="F18" s="132"/>
      <c r="G18" s="132"/>
      <c r="H18" s="132"/>
      <c r="I18" s="132"/>
      <c r="J18" s="132"/>
      <c r="K18" s="132"/>
      <c r="L18" s="132"/>
      <c r="M18" s="132"/>
      <c r="N18" s="132"/>
      <c r="O18" s="132"/>
      <c r="P18" s="132"/>
      <c r="Q18" s="132"/>
      <c r="R18" s="191"/>
      <c r="S18" s="191"/>
      <c r="T18" s="191"/>
      <c r="U18" s="191"/>
      <c r="V18" s="191"/>
      <c r="W18" s="191"/>
      <c r="X18" s="13"/>
      <c r="Y18" s="132" t="str">
        <f>CONCATENATE(Table4[[#This Row],[JG]],Table4[[#This Row],[Country]],Table4[[#This Row],[Resource Provider]])</f>
        <v/>
      </c>
      <c r="Z18" s="132">
        <f>VLOOKUP(Table4[[#This Row],[RATE CONCAT]],Tables!I:N,5,0)</f>
        <v>0</v>
      </c>
      <c r="AA18" s="53"/>
      <c r="AB18" s="192"/>
      <c r="AC18" s="192"/>
      <c r="AD18" s="192"/>
      <c r="AE18" s="192"/>
      <c r="AF18" s="192"/>
      <c r="AG18" s="192"/>
      <c r="AH18" s="192"/>
      <c r="AI18" s="192"/>
      <c r="AJ18" s="192"/>
      <c r="AK18" s="16"/>
      <c r="AL18" s="16"/>
      <c r="AM18" s="16"/>
      <c r="AN18" s="53">
        <f>IFERROR(AVERAGE(Table4[[#This Row],[Jan_2026_Days_Forecast]:[Dec_2026_Days_Forecast]]),0)/19</f>
        <v>0</v>
      </c>
      <c r="AO18" s="53">
        <f>IFERROR(AVERAGE(Table4[[#This Row],[Jan_2026_Days_Actual]:[Dec_2026_Days_Actual]]),0)/19</f>
        <v>0</v>
      </c>
      <c r="AP18" s="84"/>
      <c r="AQ18" s="84"/>
      <c r="AR18" s="84"/>
      <c r="AS18" s="84"/>
      <c r="AT18" s="84"/>
      <c r="AU18" s="84"/>
      <c r="AV18" s="84"/>
      <c r="AW18" s="84"/>
      <c r="AX18" s="84"/>
      <c r="AY18" s="84"/>
      <c r="AZ18" s="84"/>
      <c r="BA18" s="84"/>
      <c r="BB18" s="53">
        <f>IFERROR(AVERAGE(Table4[[#This Row],[Jan_2027_Days_Forecast]:[Dec_2027_Days_Forecast]]),0)</f>
        <v>0</v>
      </c>
      <c r="BC18" s="16"/>
      <c r="BD18" s="16"/>
      <c r="BE18" s="16"/>
      <c r="BF18" s="16"/>
      <c r="BG18" s="16"/>
      <c r="BH18" s="16"/>
      <c r="BI18" s="16"/>
      <c r="BJ18" s="16"/>
      <c r="BK18" s="16"/>
      <c r="BL18" s="16"/>
      <c r="BM18" s="16"/>
      <c r="BN18" s="16"/>
      <c r="BO18" s="55"/>
      <c r="BP18" s="60"/>
      <c r="BQ18" s="3">
        <f>Table4[[#This Row],[Jan_2026_Days_Forecast]]*Table4[[#This Row],[Cost Boolean]]*VLOOKUP(Table4[[#This Row],[RATE CONCAT]],Tables!I:N,5,0)</f>
        <v>0</v>
      </c>
      <c r="BR18" s="3">
        <f>IFERROR(Table4[[#This Row],[Jan_2026_Days_Actual]]*Table4[[#This Row],[Cost Boolean]]*(VLOOKUP(Table4[[#This Row],[RATE CONCAT]],Tables!I:N,5,0)),0)</f>
        <v>0</v>
      </c>
      <c r="BS18" s="3">
        <f>Table4[[#This Row],[Jan_2026_F]]-Table4[[#This Row],[Jan_2026_A]]</f>
        <v>0</v>
      </c>
      <c r="BT18" s="107"/>
      <c r="BU18" s="3">
        <f>IFERROR(Table4[[#This Row],[Feb_2026_Days_Forecast]]*Table4[[#This Row],[Cost Boolean]]*(VLOOKUP(Table4[[#This Row],[RATE CONCAT]],Tables!I:N,5,0)),0)</f>
        <v>0</v>
      </c>
      <c r="BV18" s="3">
        <f>IFERROR(Table4[[#This Row],[Feb_2026_Days_Actual]]*Table4[[#This Row],[Cost Boolean]]*(VLOOKUP(Table4[[#This Row],[RATE CONCAT]],Tables!I:N,5,0)),0)</f>
        <v>0</v>
      </c>
      <c r="BW18" s="3">
        <f>Table4[[#This Row],[Feb_2026_F]]-Table4[[#This Row],[Feb_2026_A]]</f>
        <v>0</v>
      </c>
      <c r="BX18" s="103"/>
      <c r="BY18" s="3">
        <f>IFERROR(Table4[[#This Row],[Mar_2026_Days_Forecast]]*Table4[[#This Row],[Cost Boolean]]*(VLOOKUP(Table4[[#This Row],[RATE CONCAT]],Tables!I:N,5,0)),0)</f>
        <v>0</v>
      </c>
      <c r="BZ18" s="3">
        <f>IFERROR(Table4[[#This Row],[Mar_2026_Days_Actual]]*Table4[[#This Row],[Cost Boolean]]*(VLOOKUP(Table4[[#This Row],[RATE CONCAT]],Tables!I:N,5,0)),0)</f>
        <v>0</v>
      </c>
      <c r="CA18" s="3">
        <f>Table4[[#This Row],[Mar_2026_F]]-Table4[[#This Row],[Mar_2026_A]]</f>
        <v>0</v>
      </c>
      <c r="CB18" s="103"/>
      <c r="CC18" s="3">
        <f>IFERROR(Table4[[#This Row],[Apr_2026_Days_Forecast]]*Table4[[#This Row],[Cost Boolean]]*(VLOOKUP(Table4[[#This Row],[RATE CONCAT]],Tables!I:N,5,0)),0)</f>
        <v>0</v>
      </c>
      <c r="CD18" s="3">
        <f>IFERROR(Table4[[#This Row],[Apr_2026_Days_Actual]]*Table4[[#This Row],[Cost Boolean]]*(VLOOKUP(Table4[[#This Row],[RATE CONCAT]],Tables!I:N,5,0)),0)</f>
        <v>0</v>
      </c>
      <c r="CE18" s="3">
        <f>Table4[[#This Row],[Apr_2026_F]]-Table4[[#This Row],[Apr_2026_A]]</f>
        <v>0</v>
      </c>
      <c r="CF18" s="103"/>
      <c r="CG18" s="3">
        <f>IFERROR(Table4[[#This Row],[May_2026_Days_Forecast]] *Table4[[#This Row],[Cost Boolean]]*(VLOOKUP(Table4[[#This Row],[RATE CONCAT]],Tables!I:N,5,0)),0)</f>
        <v>0</v>
      </c>
      <c r="CH18" s="3">
        <f>IFERROR(Table4[[#This Row],[May_2026_Days_Actual]]*Table4[[#This Row],[Cost Boolean]]*(VLOOKUP(Table4[[#This Row],[RATE CONCAT]],Tables!I:N,5,0)),0)</f>
        <v>0</v>
      </c>
      <c r="CI18" s="3">
        <f>Table4[[#This Row],[May_2026_F]]-Table4[[#This Row],[May_2026_A]]</f>
        <v>0</v>
      </c>
      <c r="CJ18" s="103"/>
      <c r="CK18" s="3">
        <f>IFERROR(Table4[[#This Row],[Jun_2026_Days_Forecast]]*Table4[[#This Row],[Cost Boolean]]*(VLOOKUP(Table4[[#This Row],[RATE CONCAT]],Tables!I:N,5,0)),0)</f>
        <v>0</v>
      </c>
      <c r="CL18" s="3">
        <f>IFERROR(Table4[[#This Row],[Jun_2026_Days_Actual]]*Table4[[#This Row],[Cost Boolean]]*(VLOOKUP(Table4[[#This Row],[RATE CONCAT]],Tables!I:N,5,0)),0)</f>
        <v>0</v>
      </c>
      <c r="CM18" s="3">
        <f>Table4[[#This Row],[Jun_2026_F]]-Table4[[#This Row],[Jun_2026_A]]</f>
        <v>0</v>
      </c>
      <c r="CN18" s="103"/>
      <c r="CO18" s="3">
        <f>IFERROR(Table4[[#This Row],[Jul_2026_Days_Forecast]]*Table4[[#This Row],[Cost Boolean]]*(VLOOKUP(Table4[[#This Row],[RATE CONCAT]],Tables!I:N,5,0)),0)</f>
        <v>0</v>
      </c>
      <c r="CP18" s="3">
        <f>IFERROR(Table4[[#This Row],[Aug_2026_Days_Forecast]]*Table4[[#This Row],[Location]]*(VLOOKUP(Table4[[#This Row],[Rate]],Tables!J:O,5,0)),0)</f>
        <v>0</v>
      </c>
      <c r="CQ18" s="3">
        <f>Table4[[#This Row],[Jul_2026_F]]-Table4[[#This Row],[Jul_2026_A]]</f>
        <v>0</v>
      </c>
      <c r="CR18" s="103"/>
      <c r="CS18" s="3">
        <f>IFERROR(Table4[[#This Row],[Aug_2026_Days_Forecast]]*Table4[[#This Row],[Cost Boolean]]*(VLOOKUP(Table4[[#This Row],[RATE CONCAT]],Tables!I:N,5,0)),0)</f>
        <v>0</v>
      </c>
      <c r="CT18" s="3">
        <f>IFERROR(Table4[[#This Row],[Aug_2026_Days_Actual]]*Table4[[#This Row],[Cost Boolean]]*(VLOOKUP(Table4[[#This Row],[RATE CONCAT]],Tables!I:N,5,0)),0)</f>
        <v>0</v>
      </c>
      <c r="CU18" s="3">
        <f>Table4[[#This Row],[Aug_2026_F]]-Table4[[#This Row],[Aug_2026_A]]</f>
        <v>0</v>
      </c>
      <c r="CV18" s="103"/>
      <c r="CW18" s="3">
        <f>IFERROR(Table4[[#This Row],[Sep_2026_Days_Forecast]]*Table4[[#This Row],[Cost Boolean]]*(VLOOKUP(Table4[[#This Row],[RATE CONCAT]],Tables!I:N,5,0)),0)</f>
        <v>0</v>
      </c>
      <c r="CX18" s="3">
        <f>IFERROR(Table4[[#This Row],[Sep_2026_Days_Actual]]*Table4[[#This Row],[Cost Boolean]]*(VLOOKUP(Table4[[#This Row],[RATE CONCAT]],Tables!I:N,5,0)),0)</f>
        <v>0</v>
      </c>
      <c r="CY18" s="3">
        <f>Table4[[#This Row],[Sep_2026_F]]-Table4[[#This Row],[Sep_2026_A]]</f>
        <v>0</v>
      </c>
      <c r="CZ18" s="103"/>
      <c r="DA18" s="3">
        <f>IFERROR(Table4[[#This Row],[Oct_2026_Days_Forecast]]*Table4[[#This Row],[Cost Boolean]]*(VLOOKUP(Table4[[#This Row],[RATE CONCAT]],Tables!I:N,5,0)),0)</f>
        <v>0</v>
      </c>
      <c r="DB18" s="3">
        <f>IFERROR(Table4[[#This Row],[Oct_2026_Days_Actual]]*Table4[[#This Row],[Cost Boolean]]*(VLOOKUP(Table4[[#This Row],[RATE CONCAT]],Tables!I:N,5,0)),0)</f>
        <v>0</v>
      </c>
      <c r="DC18" s="3">
        <f>Table4[[#This Row],[Oct_2026_F]]-Table4[[#This Row],[Oct_2026_A]]</f>
        <v>0</v>
      </c>
      <c r="DD18" s="103"/>
      <c r="DE18" s="3">
        <f>IFERROR(Table4[[#This Row],[Nov_2026_Days_Forecast]]*Table4[[#This Row],[Cost Boolean]]*(VLOOKUP(Table4[[#This Row],[RATE CONCAT]],Tables!I:N,5,0)),0)</f>
        <v>0</v>
      </c>
      <c r="DF18" s="3">
        <f>IFERROR(Table4[[#This Row],[Nov_2026_Days_Actual]]*Table4[[#This Row],[Cost Boolean]]*(VLOOKUP(Table4[[#This Row],[RATE CONCAT]],Tables!I:N,5,0)),0)</f>
        <v>0</v>
      </c>
      <c r="DG18" s="3">
        <f>Table4[[#This Row],[Nov_2026_F]]-Table4[[#This Row],[Nov_2026_A]]</f>
        <v>0</v>
      </c>
      <c r="DH18" s="103"/>
      <c r="DI18" s="3">
        <f>IFERROR(Table4[[#This Row],[Dec_2026_Days_Forecast]]*Table4[[#This Row],[Cost Boolean]]*(VLOOKUP(Table4[[#This Row],[RATE CONCAT]],Tables!I:N,5,0)),0)</f>
        <v>0</v>
      </c>
      <c r="DJ18" s="3">
        <f>IFERROR(Table4[[#This Row],[Dec_2026_Days_Actual]]*Table4[[#This Row],[Cost Boolean]]*(VLOOKUP(Table4[[#This Row],[RATE CONCAT]],Tables!I:N,5,0)),0)</f>
        <v>0</v>
      </c>
      <c r="DK18" s="3">
        <f>Table4[[#This Row],[Dec_2026_F]]-Table4[[#This Row],[Dec_2026_A]]</f>
        <v>0</v>
      </c>
      <c r="DL18" s="103"/>
      <c r="DM18" s="60"/>
      <c r="DN18" s="3">
        <f>IFERROR(Table4[[#This Row],[Jan_2027_Days_Forecast]]*Table4[[#This Row],[Cost Boolean]]*(VLOOKUP(Table4[[#This Row],[RATE CONCAT]],Tables!I:N,6,0)),0)</f>
        <v>0</v>
      </c>
      <c r="DO18" s="3">
        <v>0</v>
      </c>
      <c r="DP18" s="3">
        <f>Table4[[#This Row],[Jan_2027_F]]-Table4[[#This Row],[Jan_2027_A]]</f>
        <v>0</v>
      </c>
      <c r="DQ18" s="3">
        <f>IFERROR(Table4[[#This Row],[Feb_2027_Days_Forecast]]*Table4[[#This Row],[Cost Boolean]]*(VLOOKUP(Table4[[#This Row],[RATE CONCAT]],Tables!I:N,6,0)),0)</f>
        <v>0</v>
      </c>
      <c r="DR18" s="3">
        <v>0</v>
      </c>
      <c r="DS18" s="3">
        <f>Table4[[#This Row],[Feb_2027_F]]-Table4[[#This Row],[Feb_2027_A]]</f>
        <v>0</v>
      </c>
      <c r="DT18" s="3">
        <f>IFERROR(Table4[[#This Row],[Mar_2027_Days_Forecast]]*Table4[[#This Row],[Cost Boolean]]*(VLOOKUP(Table4[[#This Row],[RATE CONCAT]],Tables!I:N,6,0)),0)</f>
        <v>0</v>
      </c>
      <c r="DU18" s="3">
        <v>0</v>
      </c>
      <c r="DV18" s="3">
        <f>Table4[[#This Row],[Mar_2027_F]]-Table4[[#This Row],[Mar_2027_A]]</f>
        <v>0</v>
      </c>
      <c r="DW18" s="3">
        <f>IFERROR(Table4[[#This Row],[Apr_2027_Days_Forecast]]*Table4[[#This Row],[Cost Boolean]]*(VLOOKUP(Table4[[#This Row],[RATE CONCAT]],Tables!I:N,6,0)),0)</f>
        <v>0</v>
      </c>
      <c r="DX18" s="3">
        <v>0</v>
      </c>
      <c r="DY18" s="3">
        <f>Table4[[#This Row],[Apr_2027_F]]-Table4[[#This Row],[Apr_2027_A]]</f>
        <v>0</v>
      </c>
      <c r="DZ18" s="3">
        <f>IFERROR(Table4[[#This Row],[May_2027_Days_Forecast]]*Table4[[#This Row],[Cost Boolean]]*(VLOOKUP(Table4[[#This Row],[RATE CONCAT]],Tables!I:N,6,0)),0)</f>
        <v>0</v>
      </c>
      <c r="EA18" s="3">
        <v>0</v>
      </c>
      <c r="EB18" s="3">
        <f>Table4[[#This Row],[May_2027_F]]-Table4[[#This Row],[May_2027_A]]</f>
        <v>0</v>
      </c>
      <c r="EC18" s="3">
        <f>IFERROR(Table4[[#This Row],[Jun_2027_Days_Forecast]]*Table4[[#This Row],[Cost Boolean]]*(VLOOKUP(Table4[[#This Row],[RATE CONCAT]],Tables!I:N,6,0)),0)</f>
        <v>0</v>
      </c>
      <c r="ED18" s="3">
        <v>0</v>
      </c>
      <c r="EE18" s="3">
        <f>Table4[[#This Row],[Jun_2027_F]]-Table4[[#This Row],[Jun_2027_A]]</f>
        <v>0</v>
      </c>
      <c r="EF18" s="3">
        <f>IFERROR(Table4[[#This Row],[Jul_2027_Days_Forecast]]*Table4[[#This Row],[Cost Boolean]]*(VLOOKUP(Table4[[#This Row],[RATE CONCAT]],Tables!I:N,6,0)),0)</f>
        <v>0</v>
      </c>
      <c r="EG18" s="3">
        <v>0</v>
      </c>
      <c r="EH18" s="3">
        <f>Table4[[#This Row],[Jul_2027_F]]-Table4[[#This Row],[Jul_2027_A]]</f>
        <v>0</v>
      </c>
      <c r="EI18" s="3">
        <f>IFERROR(Table4[[#This Row],[Aug_2027_Days_Forecast]]*Table4[[#This Row],[Cost Boolean]]*(VLOOKUP(Table4[[#This Row],[RATE CONCAT]],Tables!I:N,6,0)),0)</f>
        <v>0</v>
      </c>
      <c r="EJ18" s="3">
        <v>0</v>
      </c>
      <c r="EK18" s="3">
        <f>Table4[[#This Row],[Aug_2027_F]]-Table4[[#This Row],[Aug_2027_A]]</f>
        <v>0</v>
      </c>
      <c r="EL18" s="3">
        <f>IFERROR(Table4[[#This Row],[Sep_2027_Days_Forecast]]*Table4[[#This Row],[Cost Boolean]]*(VLOOKUP(Table4[[#This Row],[RATE CONCAT]],Tables!I:N,6,0)),0)</f>
        <v>0</v>
      </c>
      <c r="EM18" s="3">
        <v>0</v>
      </c>
      <c r="EN18" s="3">
        <f>Table4[[#This Row],[Sep_2027_F]]-Table4[[#This Row],[Sep_2027_A]]</f>
        <v>0</v>
      </c>
      <c r="EO18" s="3">
        <f>IFERROR(Table4[[#This Row],[Oct_2027_Days_Forecast]]*Table4[[#This Row],[Cost Boolean]]*(VLOOKUP(Table4[[#This Row],[RATE CONCAT]],Tables!I:N,6,0)),0)</f>
        <v>0</v>
      </c>
      <c r="EP18" s="3">
        <v>0</v>
      </c>
      <c r="EQ18" s="3">
        <f>Table4[[#This Row],[Oct_2027_F]]-Table4[[#This Row],[Oct_2027_A]]</f>
        <v>0</v>
      </c>
      <c r="ER18" s="3">
        <f>IFERROR(Table4[[#This Row],[Nov_2027_Days_Forecast]]*Table4[[#This Row],[Cost Boolean]]*(VLOOKUP(Table4[[#This Row],[RATE CONCAT]],Tables!I:N,6,0)),0)</f>
        <v>0</v>
      </c>
      <c r="ES18" s="3">
        <v>0</v>
      </c>
      <c r="ET18" s="3">
        <f>Table4[[#This Row],[Nov_2027_F]]-Table4[[#This Row],[Nov_2027_A]]</f>
        <v>0</v>
      </c>
      <c r="EU18" s="3">
        <f>IFERROR(Table4[[#This Row],[Dec_2027_Days_Forecast]]*Table4[[#This Row],[Cost Boolean]]*(VLOOKUP(Table4[[#This Row],[RATE CONCAT]],Tables!I:N,6,0)),0)</f>
        <v>0</v>
      </c>
      <c r="EV18" s="3">
        <v>0</v>
      </c>
      <c r="EW18" s="3">
        <f>Table4[[#This Row],[Dec_2027_F]]-Table4[[#This Row],[Dec_2027_A]]</f>
        <v>0</v>
      </c>
    </row>
    <row r="19" spans="1:153" ht="15" customHeight="1">
      <c r="A19" s="132"/>
      <c r="B19" s="132"/>
      <c r="C19" s="132"/>
      <c r="D19" s="132"/>
      <c r="E19" s="132"/>
      <c r="F19" s="132"/>
      <c r="G19" s="132"/>
      <c r="H19" s="132"/>
      <c r="I19" s="132"/>
      <c r="J19" s="132"/>
      <c r="K19" s="132"/>
      <c r="L19" s="132"/>
      <c r="M19" s="132"/>
      <c r="N19" s="132"/>
      <c r="O19" s="132"/>
      <c r="P19" s="132"/>
      <c r="Q19" s="132"/>
      <c r="R19" s="191"/>
      <c r="S19" s="191"/>
      <c r="T19" s="191"/>
      <c r="U19" s="191"/>
      <c r="V19" s="191"/>
      <c r="W19" s="191"/>
      <c r="X19" s="13"/>
      <c r="Y19" s="132" t="str">
        <f>CONCATENATE(Table4[[#This Row],[JG]],Table4[[#This Row],[Country]],Table4[[#This Row],[Resource Provider]])</f>
        <v/>
      </c>
      <c r="Z19" s="132">
        <f>VLOOKUP(Table4[[#This Row],[RATE CONCAT]],Tables!I:N,5,0)</f>
        <v>0</v>
      </c>
      <c r="AA19" s="53"/>
      <c r="AB19" s="192"/>
      <c r="AC19" s="192"/>
      <c r="AD19" s="192"/>
      <c r="AE19" s="192"/>
      <c r="AF19" s="192"/>
      <c r="AG19" s="192"/>
      <c r="AH19" s="192"/>
      <c r="AI19" s="192"/>
      <c r="AJ19" s="192"/>
      <c r="AK19" s="16"/>
      <c r="AL19" s="16"/>
      <c r="AM19" s="16"/>
      <c r="AN19" s="53">
        <f>IFERROR(AVERAGE(Table4[[#This Row],[Jan_2026_Days_Forecast]:[Dec_2026_Days_Forecast]]),0)/19</f>
        <v>0</v>
      </c>
      <c r="AO19" s="53">
        <f>IFERROR(AVERAGE(Table4[[#This Row],[Jan_2026_Days_Actual]:[Dec_2026_Days_Actual]]),0)/19</f>
        <v>0</v>
      </c>
      <c r="AP19" s="84"/>
      <c r="AQ19" s="84"/>
      <c r="AR19" s="84"/>
      <c r="AS19" s="84"/>
      <c r="AT19" s="84"/>
      <c r="AU19" s="84"/>
      <c r="AV19" s="84"/>
      <c r="AW19" s="84"/>
      <c r="AX19" s="84"/>
      <c r="AY19" s="84"/>
      <c r="AZ19" s="84"/>
      <c r="BA19" s="84"/>
      <c r="BB19" s="53">
        <f>IFERROR(AVERAGE(Table4[[#This Row],[Jan_2027_Days_Forecast]:[Dec_2027_Days_Forecast]]),0)</f>
        <v>0</v>
      </c>
      <c r="BC19" s="16"/>
      <c r="BD19" s="16"/>
      <c r="BE19" s="16"/>
      <c r="BF19" s="16"/>
      <c r="BG19" s="16"/>
      <c r="BH19" s="16"/>
      <c r="BI19" s="16"/>
      <c r="BJ19" s="16"/>
      <c r="BK19" s="16"/>
      <c r="BL19" s="16"/>
      <c r="BM19" s="16"/>
      <c r="BN19" s="16"/>
      <c r="BO19" s="55"/>
      <c r="BP19" s="60"/>
      <c r="BQ19" s="3">
        <f>Table4[[#This Row],[Jan_2026_Days_Forecast]]*Table4[[#This Row],[Cost Boolean]]*VLOOKUP(Table4[[#This Row],[RATE CONCAT]],Tables!I:N,5,0)</f>
        <v>0</v>
      </c>
      <c r="BR19" s="3">
        <f>IFERROR(Table4[[#This Row],[Jan_2026_Days_Actual]]*Table4[[#This Row],[Cost Boolean]]*(VLOOKUP(Table4[[#This Row],[RATE CONCAT]],Tables!I:N,5,0)),0)</f>
        <v>0</v>
      </c>
      <c r="BS19" s="3">
        <f>Table4[[#This Row],[Jan_2026_F]]-Table4[[#This Row],[Jan_2026_A]]</f>
        <v>0</v>
      </c>
      <c r="BT19" s="107"/>
      <c r="BU19" s="3">
        <f>IFERROR(Table4[[#This Row],[Feb_2026_Days_Forecast]]*Table4[[#This Row],[Cost Boolean]]*(VLOOKUP(Table4[[#This Row],[RATE CONCAT]],Tables!I:N,5,0)),0)</f>
        <v>0</v>
      </c>
      <c r="BV19" s="3">
        <f>IFERROR(Table4[[#This Row],[Feb_2026_Days_Actual]]*Table4[[#This Row],[Cost Boolean]]*(VLOOKUP(Table4[[#This Row],[RATE CONCAT]],Tables!I:N,5,0)),0)</f>
        <v>0</v>
      </c>
      <c r="BW19" s="3">
        <f>Table4[[#This Row],[Feb_2026_F]]-Table4[[#This Row],[Feb_2026_A]]</f>
        <v>0</v>
      </c>
      <c r="BX19" s="103"/>
      <c r="BY19" s="3">
        <f>IFERROR(Table4[[#This Row],[Mar_2026_Days_Forecast]]*Table4[[#This Row],[Cost Boolean]]*(VLOOKUP(Table4[[#This Row],[RATE CONCAT]],Tables!I:N,5,0)),0)</f>
        <v>0</v>
      </c>
      <c r="BZ19" s="3">
        <f>IFERROR(Table4[[#This Row],[Mar_2026_Days_Actual]]*Table4[[#This Row],[Cost Boolean]]*(VLOOKUP(Table4[[#This Row],[RATE CONCAT]],Tables!I:N,5,0)),0)</f>
        <v>0</v>
      </c>
      <c r="CA19" s="3">
        <f>Table4[[#This Row],[Mar_2026_F]]-Table4[[#This Row],[Mar_2026_A]]</f>
        <v>0</v>
      </c>
      <c r="CB19" s="103"/>
      <c r="CC19" s="3">
        <f>IFERROR(Table4[[#This Row],[Apr_2026_Days_Forecast]]*Table4[[#This Row],[Cost Boolean]]*(VLOOKUP(Table4[[#This Row],[RATE CONCAT]],Tables!I:N,5,0)),0)</f>
        <v>0</v>
      </c>
      <c r="CD19" s="3">
        <f>IFERROR(Table4[[#This Row],[Apr_2026_Days_Actual]]*Table4[[#This Row],[Cost Boolean]]*(VLOOKUP(Table4[[#This Row],[RATE CONCAT]],Tables!I:N,5,0)),0)</f>
        <v>0</v>
      </c>
      <c r="CE19" s="3">
        <f>Table4[[#This Row],[Apr_2026_F]]-Table4[[#This Row],[Apr_2026_A]]</f>
        <v>0</v>
      </c>
      <c r="CF19" s="103"/>
      <c r="CG19" s="3">
        <f>IFERROR(Table4[[#This Row],[May_2026_Days_Forecast]] *Table4[[#This Row],[Cost Boolean]]*(VLOOKUP(Table4[[#This Row],[RATE CONCAT]],Tables!I:N,5,0)),0)</f>
        <v>0</v>
      </c>
      <c r="CH19" s="3">
        <f>IFERROR(Table4[[#This Row],[May_2026_Days_Actual]]*Table4[[#This Row],[Cost Boolean]]*(VLOOKUP(Table4[[#This Row],[RATE CONCAT]],Tables!I:N,5,0)),0)</f>
        <v>0</v>
      </c>
      <c r="CI19" s="3">
        <f>Table4[[#This Row],[May_2026_F]]-Table4[[#This Row],[May_2026_A]]</f>
        <v>0</v>
      </c>
      <c r="CJ19" s="103"/>
      <c r="CK19" s="3">
        <f>IFERROR(Table4[[#This Row],[Jun_2026_Days_Forecast]]*Table4[[#This Row],[Cost Boolean]]*(VLOOKUP(Table4[[#This Row],[RATE CONCAT]],Tables!I:N,5,0)),0)</f>
        <v>0</v>
      </c>
      <c r="CL19" s="3">
        <f>IFERROR(Table4[[#This Row],[Jun_2026_Days_Actual]]*Table4[[#This Row],[Cost Boolean]]*(VLOOKUP(Table4[[#This Row],[RATE CONCAT]],Tables!I:N,5,0)),0)</f>
        <v>0</v>
      </c>
      <c r="CM19" s="3">
        <f>Table4[[#This Row],[Jun_2026_F]]-Table4[[#This Row],[Jun_2026_A]]</f>
        <v>0</v>
      </c>
      <c r="CN19" s="103"/>
      <c r="CO19" s="3">
        <f>IFERROR(Table4[[#This Row],[Jul_2026_Days_Forecast]]*Table4[[#This Row],[Cost Boolean]]*(VLOOKUP(Table4[[#This Row],[RATE CONCAT]],Tables!I:N,5,0)),0)</f>
        <v>0</v>
      </c>
      <c r="CP19" s="3">
        <f>IFERROR(Table4[[#This Row],[Aug_2026_Days_Forecast]]*Table4[[#This Row],[Location]]*(VLOOKUP(Table4[[#This Row],[Rate]],Tables!J:O,5,0)),0)</f>
        <v>0</v>
      </c>
      <c r="CQ19" s="3">
        <f>Table4[[#This Row],[Jul_2026_F]]-Table4[[#This Row],[Jul_2026_A]]</f>
        <v>0</v>
      </c>
      <c r="CR19" s="103"/>
      <c r="CS19" s="3">
        <f>IFERROR(Table4[[#This Row],[Aug_2026_Days_Forecast]]*Table4[[#This Row],[Cost Boolean]]*(VLOOKUP(Table4[[#This Row],[RATE CONCAT]],Tables!I:N,5,0)),0)</f>
        <v>0</v>
      </c>
      <c r="CT19" s="3">
        <f>IFERROR(Table4[[#This Row],[Aug_2026_Days_Actual]]*Table4[[#This Row],[Cost Boolean]]*(VLOOKUP(Table4[[#This Row],[RATE CONCAT]],Tables!I:N,5,0)),0)</f>
        <v>0</v>
      </c>
      <c r="CU19" s="3">
        <f>Table4[[#This Row],[Aug_2026_F]]-Table4[[#This Row],[Aug_2026_A]]</f>
        <v>0</v>
      </c>
      <c r="CV19" s="103"/>
      <c r="CW19" s="3">
        <f>IFERROR(Table4[[#This Row],[Sep_2026_Days_Forecast]]*Table4[[#This Row],[Cost Boolean]]*(VLOOKUP(Table4[[#This Row],[RATE CONCAT]],Tables!I:N,5,0)),0)</f>
        <v>0</v>
      </c>
      <c r="CX19" s="3">
        <f>IFERROR(Table4[[#This Row],[Sep_2026_Days_Actual]]*Table4[[#This Row],[Cost Boolean]]*(VLOOKUP(Table4[[#This Row],[RATE CONCAT]],Tables!I:N,5,0)),0)</f>
        <v>0</v>
      </c>
      <c r="CY19" s="3">
        <f>Table4[[#This Row],[Sep_2026_F]]-Table4[[#This Row],[Sep_2026_A]]</f>
        <v>0</v>
      </c>
      <c r="CZ19" s="103"/>
      <c r="DA19" s="3">
        <f>IFERROR(Table4[[#This Row],[Oct_2026_Days_Forecast]]*Table4[[#This Row],[Cost Boolean]]*(VLOOKUP(Table4[[#This Row],[RATE CONCAT]],Tables!I:N,5,0)),0)</f>
        <v>0</v>
      </c>
      <c r="DB19" s="3">
        <f>IFERROR(Table4[[#This Row],[Oct_2026_Days_Actual]]*Table4[[#This Row],[Cost Boolean]]*(VLOOKUP(Table4[[#This Row],[RATE CONCAT]],Tables!I:N,5,0)),0)</f>
        <v>0</v>
      </c>
      <c r="DC19" s="3">
        <f>Table4[[#This Row],[Oct_2026_F]]-Table4[[#This Row],[Oct_2026_A]]</f>
        <v>0</v>
      </c>
      <c r="DD19" s="103"/>
      <c r="DE19" s="3">
        <f>IFERROR(Table4[[#This Row],[Nov_2026_Days_Forecast]]*Table4[[#This Row],[Cost Boolean]]*(VLOOKUP(Table4[[#This Row],[RATE CONCAT]],Tables!I:N,5,0)),0)</f>
        <v>0</v>
      </c>
      <c r="DF19" s="3">
        <f>IFERROR(Table4[[#This Row],[Nov_2026_Days_Actual]]*Table4[[#This Row],[Cost Boolean]]*(VLOOKUP(Table4[[#This Row],[RATE CONCAT]],Tables!I:N,5,0)),0)</f>
        <v>0</v>
      </c>
      <c r="DG19" s="3">
        <f>Table4[[#This Row],[Nov_2026_F]]-Table4[[#This Row],[Nov_2026_A]]</f>
        <v>0</v>
      </c>
      <c r="DH19" s="103"/>
      <c r="DI19" s="3">
        <f>IFERROR(Table4[[#This Row],[Dec_2026_Days_Forecast]]*Table4[[#This Row],[Cost Boolean]]*(VLOOKUP(Table4[[#This Row],[RATE CONCAT]],Tables!I:N,5,0)),0)</f>
        <v>0</v>
      </c>
      <c r="DJ19" s="3">
        <f>IFERROR(Table4[[#This Row],[Dec_2026_Days_Actual]]*Table4[[#This Row],[Cost Boolean]]*(VLOOKUP(Table4[[#This Row],[RATE CONCAT]],Tables!I:N,5,0)),0)</f>
        <v>0</v>
      </c>
      <c r="DK19" s="3">
        <f>Table4[[#This Row],[Dec_2026_F]]-Table4[[#This Row],[Dec_2026_A]]</f>
        <v>0</v>
      </c>
      <c r="DL19" s="103"/>
      <c r="DM19" s="60"/>
      <c r="DN19" s="3">
        <f>IFERROR(Table4[[#This Row],[Jan_2027_Days_Forecast]]*Table4[[#This Row],[Cost Boolean]]*(VLOOKUP(Table4[[#This Row],[RATE CONCAT]],Tables!I:N,6,0)),0)</f>
        <v>0</v>
      </c>
      <c r="DO19" s="3">
        <v>0</v>
      </c>
      <c r="DP19" s="3">
        <f>Table4[[#This Row],[Jan_2027_F]]-Table4[[#This Row],[Jan_2027_A]]</f>
        <v>0</v>
      </c>
      <c r="DQ19" s="3">
        <f>IFERROR(Table4[[#This Row],[Feb_2027_Days_Forecast]]*Table4[[#This Row],[Cost Boolean]]*(VLOOKUP(Table4[[#This Row],[RATE CONCAT]],Tables!I:N,6,0)),0)</f>
        <v>0</v>
      </c>
      <c r="DR19" s="3">
        <v>0</v>
      </c>
      <c r="DS19" s="3">
        <f>Table4[[#This Row],[Feb_2027_F]]-Table4[[#This Row],[Feb_2027_A]]</f>
        <v>0</v>
      </c>
      <c r="DT19" s="3">
        <f>IFERROR(Table4[[#This Row],[Mar_2027_Days_Forecast]]*Table4[[#This Row],[Cost Boolean]]*(VLOOKUP(Table4[[#This Row],[RATE CONCAT]],Tables!I:N,6,0)),0)</f>
        <v>0</v>
      </c>
      <c r="DU19" s="3">
        <v>0</v>
      </c>
      <c r="DV19" s="3">
        <f>Table4[[#This Row],[Mar_2027_F]]-Table4[[#This Row],[Mar_2027_A]]</f>
        <v>0</v>
      </c>
      <c r="DW19" s="3">
        <f>IFERROR(Table4[[#This Row],[Apr_2027_Days_Forecast]]*Table4[[#This Row],[Cost Boolean]]*(VLOOKUP(Table4[[#This Row],[RATE CONCAT]],Tables!I:N,6,0)),0)</f>
        <v>0</v>
      </c>
      <c r="DX19" s="3">
        <v>0</v>
      </c>
      <c r="DY19" s="3">
        <f>Table4[[#This Row],[Apr_2027_F]]-Table4[[#This Row],[Apr_2027_A]]</f>
        <v>0</v>
      </c>
      <c r="DZ19" s="3">
        <f>IFERROR(Table4[[#This Row],[May_2027_Days_Forecast]]*Table4[[#This Row],[Cost Boolean]]*(VLOOKUP(Table4[[#This Row],[RATE CONCAT]],Tables!I:N,6,0)),0)</f>
        <v>0</v>
      </c>
      <c r="EA19" s="3">
        <v>0</v>
      </c>
      <c r="EB19" s="3">
        <f>Table4[[#This Row],[May_2027_F]]-Table4[[#This Row],[May_2027_A]]</f>
        <v>0</v>
      </c>
      <c r="EC19" s="3">
        <f>IFERROR(Table4[[#This Row],[Jun_2027_Days_Forecast]]*Table4[[#This Row],[Cost Boolean]]*(VLOOKUP(Table4[[#This Row],[RATE CONCAT]],Tables!I:N,6,0)),0)</f>
        <v>0</v>
      </c>
      <c r="ED19" s="3">
        <v>0</v>
      </c>
      <c r="EE19" s="3">
        <f>Table4[[#This Row],[Jun_2027_F]]-Table4[[#This Row],[Jun_2027_A]]</f>
        <v>0</v>
      </c>
      <c r="EF19" s="3">
        <f>IFERROR(Table4[[#This Row],[Jul_2027_Days_Forecast]]*Table4[[#This Row],[Cost Boolean]]*(VLOOKUP(Table4[[#This Row],[RATE CONCAT]],Tables!I:N,6,0)),0)</f>
        <v>0</v>
      </c>
      <c r="EG19" s="3">
        <v>0</v>
      </c>
      <c r="EH19" s="3">
        <f>Table4[[#This Row],[Jul_2027_F]]-Table4[[#This Row],[Jul_2027_A]]</f>
        <v>0</v>
      </c>
      <c r="EI19" s="3">
        <f>IFERROR(Table4[[#This Row],[Aug_2027_Days_Forecast]]*Table4[[#This Row],[Cost Boolean]]*(VLOOKUP(Table4[[#This Row],[RATE CONCAT]],Tables!I:N,6,0)),0)</f>
        <v>0</v>
      </c>
      <c r="EJ19" s="3">
        <v>0</v>
      </c>
      <c r="EK19" s="3">
        <f>Table4[[#This Row],[Aug_2027_F]]-Table4[[#This Row],[Aug_2027_A]]</f>
        <v>0</v>
      </c>
      <c r="EL19" s="3">
        <f>IFERROR(Table4[[#This Row],[Sep_2027_Days_Forecast]]*Table4[[#This Row],[Cost Boolean]]*(VLOOKUP(Table4[[#This Row],[RATE CONCAT]],Tables!I:N,6,0)),0)</f>
        <v>0</v>
      </c>
      <c r="EM19" s="3">
        <v>0</v>
      </c>
      <c r="EN19" s="3">
        <f>Table4[[#This Row],[Sep_2027_F]]-Table4[[#This Row],[Sep_2027_A]]</f>
        <v>0</v>
      </c>
      <c r="EO19" s="3">
        <f>IFERROR(Table4[[#This Row],[Oct_2027_Days_Forecast]]*Table4[[#This Row],[Cost Boolean]]*(VLOOKUP(Table4[[#This Row],[RATE CONCAT]],Tables!I:N,6,0)),0)</f>
        <v>0</v>
      </c>
      <c r="EP19" s="3">
        <v>0</v>
      </c>
      <c r="EQ19" s="3">
        <f>Table4[[#This Row],[Oct_2027_F]]-Table4[[#This Row],[Oct_2027_A]]</f>
        <v>0</v>
      </c>
      <c r="ER19" s="3">
        <f>IFERROR(Table4[[#This Row],[Nov_2027_Days_Forecast]]*Table4[[#This Row],[Cost Boolean]]*(VLOOKUP(Table4[[#This Row],[RATE CONCAT]],Tables!I:N,6,0)),0)</f>
        <v>0</v>
      </c>
      <c r="ES19" s="3">
        <v>0</v>
      </c>
      <c r="ET19" s="3">
        <f>Table4[[#This Row],[Nov_2027_F]]-Table4[[#This Row],[Nov_2027_A]]</f>
        <v>0</v>
      </c>
      <c r="EU19" s="3">
        <f>IFERROR(Table4[[#This Row],[Dec_2027_Days_Forecast]]*Table4[[#This Row],[Cost Boolean]]*(VLOOKUP(Table4[[#This Row],[RATE CONCAT]],Tables!I:N,6,0)),0)</f>
        <v>0</v>
      </c>
      <c r="EV19" s="3">
        <v>0</v>
      </c>
      <c r="EW19" s="3">
        <f>Table4[[#This Row],[Dec_2027_F]]-Table4[[#This Row],[Dec_2027_A]]</f>
        <v>0</v>
      </c>
    </row>
    <row r="20" spans="1:153" ht="15" customHeight="1">
      <c r="A20" s="132"/>
      <c r="B20" s="132"/>
      <c r="C20" s="132"/>
      <c r="D20" s="132"/>
      <c r="E20" s="132"/>
      <c r="F20" s="132"/>
      <c r="G20" s="132"/>
      <c r="H20" s="132"/>
      <c r="I20" s="132"/>
      <c r="J20" s="132"/>
      <c r="K20" s="132"/>
      <c r="L20" s="132"/>
      <c r="M20" s="132"/>
      <c r="N20" s="132"/>
      <c r="O20" s="132"/>
      <c r="P20" s="132"/>
      <c r="Q20" s="132"/>
      <c r="R20" s="191"/>
      <c r="S20" s="191"/>
      <c r="T20" s="191"/>
      <c r="U20" s="191"/>
      <c r="V20" s="191"/>
      <c r="W20" s="191"/>
      <c r="X20" s="13"/>
      <c r="Y20" s="132" t="str">
        <f>CONCATENATE(Table4[[#This Row],[JG]],Table4[[#This Row],[Country]],Table4[[#This Row],[Resource Provider]])</f>
        <v/>
      </c>
      <c r="Z20" s="132">
        <f>VLOOKUP(Table4[[#This Row],[RATE CONCAT]],Tables!I:N,5,0)</f>
        <v>0</v>
      </c>
      <c r="AA20" s="53"/>
      <c r="AB20" s="192"/>
      <c r="AC20" s="192"/>
      <c r="AD20" s="192"/>
      <c r="AE20" s="192"/>
      <c r="AF20" s="192"/>
      <c r="AG20" s="192"/>
      <c r="AH20" s="192"/>
      <c r="AI20" s="192"/>
      <c r="AJ20" s="192"/>
      <c r="AK20" s="16"/>
      <c r="AL20" s="16"/>
      <c r="AM20" s="16"/>
      <c r="AN20" s="53">
        <f>IFERROR(AVERAGE(Table4[[#This Row],[Jan_2026_Days_Forecast]:[Dec_2026_Days_Forecast]]),0)/19</f>
        <v>0</v>
      </c>
      <c r="AO20" s="53">
        <f>IFERROR(AVERAGE(Table4[[#This Row],[Jan_2026_Days_Actual]:[Dec_2026_Days_Actual]]),0)/19</f>
        <v>0</v>
      </c>
      <c r="AP20" s="84"/>
      <c r="AQ20" s="84"/>
      <c r="AR20" s="84"/>
      <c r="AS20" s="84"/>
      <c r="AT20" s="84"/>
      <c r="AU20" s="84"/>
      <c r="AV20" s="84"/>
      <c r="AW20" s="84"/>
      <c r="AX20" s="84"/>
      <c r="AY20" s="84"/>
      <c r="AZ20" s="84"/>
      <c r="BA20" s="84"/>
      <c r="BB20" s="53">
        <f>IFERROR(AVERAGE(Table4[[#This Row],[Jan_2027_Days_Forecast]:[Dec_2027_Days_Forecast]]),0)</f>
        <v>0</v>
      </c>
      <c r="BC20" s="16"/>
      <c r="BD20" s="16"/>
      <c r="BE20" s="16"/>
      <c r="BF20" s="16"/>
      <c r="BG20" s="16"/>
      <c r="BH20" s="16"/>
      <c r="BI20" s="16"/>
      <c r="BJ20" s="16"/>
      <c r="BK20" s="16"/>
      <c r="BL20" s="16"/>
      <c r="BM20" s="16"/>
      <c r="BN20" s="16"/>
      <c r="BO20" s="55"/>
      <c r="BP20" s="60"/>
      <c r="BQ20" s="3">
        <f>Table4[[#This Row],[Jan_2026_Days_Forecast]]*Table4[[#This Row],[Cost Boolean]]*VLOOKUP(Table4[[#This Row],[RATE CONCAT]],Tables!I:N,5,0)</f>
        <v>0</v>
      </c>
      <c r="BR20" s="3">
        <f>IFERROR(Table4[[#This Row],[Jan_2026_Days_Actual]]*Table4[[#This Row],[Cost Boolean]]*(VLOOKUP(Table4[[#This Row],[RATE CONCAT]],Tables!I:N,5,0)),0)</f>
        <v>0</v>
      </c>
      <c r="BS20" s="3">
        <f>Table4[[#This Row],[Jan_2026_F]]-Table4[[#This Row],[Jan_2026_A]]</f>
        <v>0</v>
      </c>
      <c r="BT20" s="107"/>
      <c r="BU20" s="3">
        <f>IFERROR(Table4[[#This Row],[Feb_2026_Days_Forecast]]*Table4[[#This Row],[Cost Boolean]]*(VLOOKUP(Table4[[#This Row],[RATE CONCAT]],Tables!I:N,5,0)),0)</f>
        <v>0</v>
      </c>
      <c r="BV20" s="3">
        <f>IFERROR(Table4[[#This Row],[Feb_2026_Days_Actual]]*Table4[[#This Row],[Cost Boolean]]*(VLOOKUP(Table4[[#This Row],[RATE CONCAT]],Tables!I:N,5,0)),0)</f>
        <v>0</v>
      </c>
      <c r="BW20" s="3">
        <f>Table4[[#This Row],[Feb_2026_F]]-Table4[[#This Row],[Feb_2026_A]]</f>
        <v>0</v>
      </c>
      <c r="BX20" s="103"/>
      <c r="BY20" s="3">
        <f>IFERROR(Table4[[#This Row],[Mar_2026_Days_Forecast]]*Table4[[#This Row],[Cost Boolean]]*(VLOOKUP(Table4[[#This Row],[RATE CONCAT]],Tables!I:N,5,0)),0)</f>
        <v>0</v>
      </c>
      <c r="BZ20" s="3">
        <f>IFERROR(Table4[[#This Row],[Mar_2026_Days_Actual]]*Table4[[#This Row],[Cost Boolean]]*(VLOOKUP(Table4[[#This Row],[RATE CONCAT]],Tables!I:N,5,0)),0)</f>
        <v>0</v>
      </c>
      <c r="CA20" s="3">
        <f>Table4[[#This Row],[Mar_2026_F]]-Table4[[#This Row],[Mar_2026_A]]</f>
        <v>0</v>
      </c>
      <c r="CB20" s="103"/>
      <c r="CC20" s="3">
        <f>IFERROR(Table4[[#This Row],[Apr_2026_Days_Forecast]]*Table4[[#This Row],[Cost Boolean]]*(VLOOKUP(Table4[[#This Row],[RATE CONCAT]],Tables!I:N,5,0)),0)</f>
        <v>0</v>
      </c>
      <c r="CD20" s="3">
        <f>IFERROR(Table4[[#This Row],[Apr_2026_Days_Actual]]*Table4[[#This Row],[Cost Boolean]]*(VLOOKUP(Table4[[#This Row],[RATE CONCAT]],Tables!I:N,5,0)),0)</f>
        <v>0</v>
      </c>
      <c r="CE20" s="3">
        <f>Table4[[#This Row],[Apr_2026_F]]-Table4[[#This Row],[Apr_2026_A]]</f>
        <v>0</v>
      </c>
      <c r="CF20" s="103"/>
      <c r="CG20" s="3">
        <f>IFERROR(Table4[[#This Row],[May_2026_Days_Forecast]] *Table4[[#This Row],[Cost Boolean]]*(VLOOKUP(Table4[[#This Row],[RATE CONCAT]],Tables!I:N,5,0)),0)</f>
        <v>0</v>
      </c>
      <c r="CH20" s="3">
        <f>IFERROR(Table4[[#This Row],[May_2026_Days_Actual]]*Table4[[#This Row],[Cost Boolean]]*(VLOOKUP(Table4[[#This Row],[RATE CONCAT]],Tables!I:N,5,0)),0)</f>
        <v>0</v>
      </c>
      <c r="CI20" s="3">
        <f>Table4[[#This Row],[May_2026_F]]-Table4[[#This Row],[May_2026_A]]</f>
        <v>0</v>
      </c>
      <c r="CJ20" s="103"/>
      <c r="CK20" s="3">
        <f>IFERROR(Table4[[#This Row],[Jun_2026_Days_Forecast]]*Table4[[#This Row],[Cost Boolean]]*(VLOOKUP(Table4[[#This Row],[RATE CONCAT]],Tables!I:N,5,0)),0)</f>
        <v>0</v>
      </c>
      <c r="CL20" s="3">
        <f>IFERROR(Table4[[#This Row],[Jun_2026_Days_Actual]]*Table4[[#This Row],[Cost Boolean]]*(VLOOKUP(Table4[[#This Row],[RATE CONCAT]],Tables!I:N,5,0)),0)</f>
        <v>0</v>
      </c>
      <c r="CM20" s="3">
        <f>Table4[[#This Row],[Jun_2026_F]]-Table4[[#This Row],[Jun_2026_A]]</f>
        <v>0</v>
      </c>
      <c r="CN20" s="103"/>
      <c r="CO20" s="3">
        <f>IFERROR(Table4[[#This Row],[Jul_2026_Days_Forecast]]*Table4[[#This Row],[Cost Boolean]]*(VLOOKUP(Table4[[#This Row],[RATE CONCAT]],Tables!I:N,5,0)),0)</f>
        <v>0</v>
      </c>
      <c r="CP20" s="3">
        <f>IFERROR(Table4[[#This Row],[Aug_2026_Days_Forecast]]*Table4[[#This Row],[Location]]*(VLOOKUP(Table4[[#This Row],[Rate]],Tables!J:O,5,0)),0)</f>
        <v>0</v>
      </c>
      <c r="CQ20" s="3">
        <f>Table4[[#This Row],[Jul_2026_F]]-Table4[[#This Row],[Jul_2026_A]]</f>
        <v>0</v>
      </c>
      <c r="CR20" s="103"/>
      <c r="CS20" s="3">
        <f>IFERROR(Table4[[#This Row],[Aug_2026_Days_Forecast]]*Table4[[#This Row],[Cost Boolean]]*(VLOOKUP(Table4[[#This Row],[RATE CONCAT]],Tables!I:N,5,0)),0)</f>
        <v>0</v>
      </c>
      <c r="CT20" s="3">
        <f>IFERROR(Table4[[#This Row],[Aug_2026_Days_Actual]]*Table4[[#This Row],[Cost Boolean]]*(VLOOKUP(Table4[[#This Row],[RATE CONCAT]],Tables!I:N,5,0)),0)</f>
        <v>0</v>
      </c>
      <c r="CU20" s="3">
        <f>Table4[[#This Row],[Aug_2026_F]]-Table4[[#This Row],[Aug_2026_A]]</f>
        <v>0</v>
      </c>
      <c r="CV20" s="103"/>
      <c r="CW20" s="3">
        <f>IFERROR(Table4[[#This Row],[Sep_2026_Days_Forecast]]*Table4[[#This Row],[Cost Boolean]]*(VLOOKUP(Table4[[#This Row],[RATE CONCAT]],Tables!I:N,5,0)),0)</f>
        <v>0</v>
      </c>
      <c r="CX20" s="3">
        <f>IFERROR(Table4[[#This Row],[Sep_2026_Days_Actual]]*Table4[[#This Row],[Cost Boolean]]*(VLOOKUP(Table4[[#This Row],[RATE CONCAT]],Tables!I:N,5,0)),0)</f>
        <v>0</v>
      </c>
      <c r="CY20" s="3">
        <f>Table4[[#This Row],[Sep_2026_F]]-Table4[[#This Row],[Sep_2026_A]]</f>
        <v>0</v>
      </c>
      <c r="CZ20" s="103"/>
      <c r="DA20" s="3">
        <f>IFERROR(Table4[[#This Row],[Oct_2026_Days_Forecast]]*Table4[[#This Row],[Cost Boolean]]*(VLOOKUP(Table4[[#This Row],[RATE CONCAT]],Tables!I:N,5,0)),0)</f>
        <v>0</v>
      </c>
      <c r="DB20" s="3">
        <f>IFERROR(Table4[[#This Row],[Oct_2026_Days_Actual]]*Table4[[#This Row],[Cost Boolean]]*(VLOOKUP(Table4[[#This Row],[RATE CONCAT]],Tables!I:N,5,0)),0)</f>
        <v>0</v>
      </c>
      <c r="DC20" s="3">
        <f>Table4[[#This Row],[Oct_2026_F]]-Table4[[#This Row],[Oct_2026_A]]</f>
        <v>0</v>
      </c>
      <c r="DD20" s="103"/>
      <c r="DE20" s="3">
        <f>IFERROR(Table4[[#This Row],[Nov_2026_Days_Forecast]]*Table4[[#This Row],[Cost Boolean]]*(VLOOKUP(Table4[[#This Row],[RATE CONCAT]],Tables!I:N,5,0)),0)</f>
        <v>0</v>
      </c>
      <c r="DF20" s="3">
        <f>IFERROR(Table4[[#This Row],[Nov_2026_Days_Actual]]*Table4[[#This Row],[Cost Boolean]]*(VLOOKUP(Table4[[#This Row],[RATE CONCAT]],Tables!I:N,5,0)),0)</f>
        <v>0</v>
      </c>
      <c r="DG20" s="3">
        <f>Table4[[#This Row],[Nov_2026_F]]-Table4[[#This Row],[Nov_2026_A]]</f>
        <v>0</v>
      </c>
      <c r="DH20" s="103"/>
      <c r="DI20" s="3">
        <f>IFERROR(Table4[[#This Row],[Dec_2026_Days_Forecast]]*Table4[[#This Row],[Cost Boolean]]*(VLOOKUP(Table4[[#This Row],[RATE CONCAT]],Tables!I:N,5,0)),0)</f>
        <v>0</v>
      </c>
      <c r="DJ20" s="3">
        <f>IFERROR(Table4[[#This Row],[Dec_2026_Days_Actual]]*Table4[[#This Row],[Cost Boolean]]*(VLOOKUP(Table4[[#This Row],[RATE CONCAT]],Tables!I:N,5,0)),0)</f>
        <v>0</v>
      </c>
      <c r="DK20" s="3">
        <f>Table4[[#This Row],[Dec_2026_F]]-Table4[[#This Row],[Dec_2026_A]]</f>
        <v>0</v>
      </c>
      <c r="DL20" s="103"/>
      <c r="DM20" s="60"/>
      <c r="DN20" s="3">
        <f>IFERROR(Table4[[#This Row],[Jan_2027_Days_Forecast]]*Table4[[#This Row],[Cost Boolean]]*(VLOOKUP(Table4[[#This Row],[RATE CONCAT]],Tables!I:N,6,0)),0)</f>
        <v>0</v>
      </c>
      <c r="DO20" s="3"/>
      <c r="DP20" s="3">
        <f>Table4[[#This Row],[Jan_2027_F]]-Table4[[#This Row],[Jan_2027_A]]</f>
        <v>0</v>
      </c>
      <c r="DQ20" s="3">
        <f>IFERROR(Table4[[#This Row],[Feb_2027_Days_Forecast]]*Table4[[#This Row],[Cost Boolean]]*(VLOOKUP(Table4[[#This Row],[RATE CONCAT]],Tables!I:N,6,0)),0)</f>
        <v>0</v>
      </c>
      <c r="DR20" s="3"/>
      <c r="DS20" s="3">
        <f>Table4[[#This Row],[Feb_2027_F]]-Table4[[#This Row],[Feb_2027_A]]</f>
        <v>0</v>
      </c>
      <c r="DT20" s="3">
        <f>IFERROR(Table4[[#This Row],[Mar_2027_Days_Forecast]]*Table4[[#This Row],[Cost Boolean]]*(VLOOKUP(Table4[[#This Row],[RATE CONCAT]],Tables!I:N,6,0)),0)</f>
        <v>0</v>
      </c>
      <c r="DU20" s="3"/>
      <c r="DV20" s="3">
        <f>Table4[[#This Row],[Mar_2027_F]]-Table4[[#This Row],[Mar_2027_A]]</f>
        <v>0</v>
      </c>
      <c r="DW20" s="3">
        <f>IFERROR(Table4[[#This Row],[Apr_2027_Days_Forecast]]*Table4[[#This Row],[Cost Boolean]]*(VLOOKUP(Table4[[#This Row],[RATE CONCAT]],Tables!I:N,6,0)),0)</f>
        <v>0</v>
      </c>
      <c r="DX20" s="3"/>
      <c r="DY20" s="3">
        <f>Table4[[#This Row],[Apr_2027_F]]-Table4[[#This Row],[Apr_2027_A]]</f>
        <v>0</v>
      </c>
      <c r="DZ20" s="3">
        <f>IFERROR(Table4[[#This Row],[May_2027_Days_Forecast]]*Table4[[#This Row],[Cost Boolean]]*(VLOOKUP(Table4[[#This Row],[RATE CONCAT]],Tables!I:N,6,0)),0)</f>
        <v>0</v>
      </c>
      <c r="EA20" s="3"/>
      <c r="EB20" s="3">
        <f>Table4[[#This Row],[May_2027_F]]-Table4[[#This Row],[May_2027_A]]</f>
        <v>0</v>
      </c>
      <c r="EC20" s="3">
        <f>IFERROR(Table4[[#This Row],[Jun_2027_Days_Forecast]]*Table4[[#This Row],[Cost Boolean]]*(VLOOKUP(Table4[[#This Row],[RATE CONCAT]],Tables!I:N,6,0)),0)</f>
        <v>0</v>
      </c>
      <c r="ED20" s="3"/>
      <c r="EE20" s="3">
        <f>Table4[[#This Row],[Jun_2027_F]]-Table4[[#This Row],[Jun_2027_A]]</f>
        <v>0</v>
      </c>
      <c r="EF20" s="3">
        <f>IFERROR(Table4[[#This Row],[Jul_2027_Days_Forecast]]*Table4[[#This Row],[Cost Boolean]]*(VLOOKUP(Table4[[#This Row],[RATE CONCAT]],Tables!I:N,6,0)),0)</f>
        <v>0</v>
      </c>
      <c r="EG20" s="3"/>
      <c r="EH20" s="3">
        <f>Table4[[#This Row],[Jul_2027_F]]-Table4[[#This Row],[Jul_2027_A]]</f>
        <v>0</v>
      </c>
      <c r="EI20" s="3">
        <f>IFERROR(Table4[[#This Row],[Aug_2027_Days_Forecast]]*Table4[[#This Row],[Cost Boolean]]*(VLOOKUP(Table4[[#This Row],[RATE CONCAT]],Tables!I:N,6,0)),0)</f>
        <v>0</v>
      </c>
      <c r="EJ20" s="3"/>
      <c r="EK20" s="3">
        <f>Table4[[#This Row],[Aug_2027_F]]-Table4[[#This Row],[Aug_2027_A]]</f>
        <v>0</v>
      </c>
      <c r="EL20" s="3">
        <f>IFERROR(Table4[[#This Row],[Sep_2027_Days_Forecast]]*Table4[[#This Row],[Cost Boolean]]*(VLOOKUP(Table4[[#This Row],[RATE CONCAT]],Tables!I:N,6,0)),0)</f>
        <v>0</v>
      </c>
      <c r="EM20" s="3"/>
      <c r="EN20" s="3">
        <f>Table4[[#This Row],[Sep_2027_F]]-Table4[[#This Row],[Sep_2027_A]]</f>
        <v>0</v>
      </c>
      <c r="EO20" s="3">
        <f>IFERROR(Table4[[#This Row],[Oct_2027_Days_Forecast]]*Table4[[#This Row],[Cost Boolean]]*(VLOOKUP(Table4[[#This Row],[RATE CONCAT]],Tables!I:N,6,0)),0)</f>
        <v>0</v>
      </c>
      <c r="EP20" s="3"/>
      <c r="EQ20" s="3">
        <f>Table4[[#This Row],[Oct_2027_F]]-Table4[[#This Row],[Oct_2027_A]]</f>
        <v>0</v>
      </c>
      <c r="ER20" s="3">
        <f>IFERROR(Table4[[#This Row],[Nov_2027_Days_Forecast]]*Table4[[#This Row],[Cost Boolean]]*(VLOOKUP(Table4[[#This Row],[RATE CONCAT]],Tables!I:N,6,0)),0)</f>
        <v>0</v>
      </c>
      <c r="ES20" s="3"/>
      <c r="ET20" s="3">
        <f>Table4[[#This Row],[Nov_2027_F]]-Table4[[#This Row],[Nov_2027_A]]</f>
        <v>0</v>
      </c>
      <c r="EU20" s="3">
        <f>IFERROR(Table4[[#This Row],[Dec_2027_Days_Forecast]]*Table4[[#This Row],[Cost Boolean]]*(VLOOKUP(Table4[[#This Row],[RATE CONCAT]],Tables!I:N,6,0)),0)</f>
        <v>0</v>
      </c>
      <c r="EV20" s="3"/>
      <c r="EW20" s="3">
        <f>Table4[[#This Row],[Dec_2027_F]]-Table4[[#This Row],[Dec_2027_A]]</f>
        <v>0</v>
      </c>
    </row>
    <row r="21" spans="1:153" ht="15" customHeight="1">
      <c r="A21" s="132"/>
      <c r="B21" s="132"/>
      <c r="C21" s="132"/>
      <c r="D21" s="132"/>
      <c r="E21" s="132"/>
      <c r="F21" s="132"/>
      <c r="G21" s="132"/>
      <c r="H21" s="132"/>
      <c r="I21" s="132"/>
      <c r="J21" s="132"/>
      <c r="K21" s="132"/>
      <c r="L21" s="132"/>
      <c r="M21" s="132"/>
      <c r="N21" s="132"/>
      <c r="O21" s="132"/>
      <c r="P21" s="132"/>
      <c r="Q21" s="132"/>
      <c r="R21" s="191"/>
      <c r="S21" s="191"/>
      <c r="T21" s="191"/>
      <c r="U21" s="191"/>
      <c r="V21" s="191"/>
      <c r="W21" s="191"/>
      <c r="X21" s="13"/>
      <c r="Y21" s="132" t="str">
        <f>CONCATENATE(Table4[[#This Row],[JG]],Table4[[#This Row],[Country]],Table4[[#This Row],[Resource Provider]])</f>
        <v/>
      </c>
      <c r="Z21" s="132">
        <f>VLOOKUP(Table4[[#This Row],[RATE CONCAT]],Tables!I:N,5,0)</f>
        <v>0</v>
      </c>
      <c r="AA21" s="53"/>
      <c r="AB21" s="192"/>
      <c r="AC21" s="192"/>
      <c r="AD21" s="192"/>
      <c r="AE21" s="192"/>
      <c r="AF21" s="192"/>
      <c r="AG21" s="192"/>
      <c r="AH21" s="192"/>
      <c r="AI21" s="192"/>
      <c r="AJ21" s="192"/>
      <c r="AK21" s="16"/>
      <c r="AL21" s="16"/>
      <c r="AM21" s="16"/>
      <c r="AN21" s="53">
        <f>IFERROR(AVERAGE(Table4[[#This Row],[Jan_2026_Days_Forecast]:[Dec_2026_Days_Forecast]]),0)/19</f>
        <v>0</v>
      </c>
      <c r="AO21" s="53">
        <f>IFERROR(AVERAGE(Table4[[#This Row],[Jan_2026_Days_Actual]:[Dec_2026_Days_Actual]]),0)/19</f>
        <v>0</v>
      </c>
      <c r="AP21" s="84"/>
      <c r="AQ21" s="84"/>
      <c r="AR21" s="84"/>
      <c r="AS21" s="84"/>
      <c r="AT21" s="84"/>
      <c r="AU21" s="84"/>
      <c r="AV21" s="84"/>
      <c r="AW21" s="84"/>
      <c r="AX21" s="84"/>
      <c r="AY21" s="84"/>
      <c r="AZ21" s="84"/>
      <c r="BA21" s="84"/>
      <c r="BB21" s="53">
        <f>IFERROR(AVERAGE(Table4[[#This Row],[Jan_2027_Days_Forecast]:[Dec_2027_Days_Forecast]]),0)</f>
        <v>0</v>
      </c>
      <c r="BC21" s="16"/>
      <c r="BD21" s="16"/>
      <c r="BE21" s="16"/>
      <c r="BF21" s="16"/>
      <c r="BG21" s="16"/>
      <c r="BH21" s="16"/>
      <c r="BI21" s="16"/>
      <c r="BJ21" s="16"/>
      <c r="BK21" s="16"/>
      <c r="BL21" s="16"/>
      <c r="BM21" s="16"/>
      <c r="BN21" s="16"/>
      <c r="BO21" s="55"/>
      <c r="BP21" s="60"/>
      <c r="BQ21" s="3">
        <f>Table4[[#This Row],[Jan_2026_Days_Forecast]]*Table4[[#This Row],[Cost Boolean]]*VLOOKUP(Table4[[#This Row],[RATE CONCAT]],Tables!I:N,5,0)</f>
        <v>0</v>
      </c>
      <c r="BR21" s="3">
        <f>IFERROR(Table4[[#This Row],[Jan_2026_Days_Actual]]*Table4[[#This Row],[Cost Boolean]]*(VLOOKUP(Table4[[#This Row],[RATE CONCAT]],Tables!I:N,5,0)),0)</f>
        <v>0</v>
      </c>
      <c r="BS21" s="3">
        <f>Table4[[#This Row],[Jan_2026_F]]-Table4[[#This Row],[Jan_2026_A]]</f>
        <v>0</v>
      </c>
      <c r="BT21" s="107"/>
      <c r="BU21" s="3">
        <f>IFERROR(Table4[[#This Row],[Feb_2026_Days_Forecast]]*Table4[[#This Row],[Cost Boolean]]*(VLOOKUP(Table4[[#This Row],[RATE CONCAT]],Tables!I:N,5,0)),0)</f>
        <v>0</v>
      </c>
      <c r="BV21" s="3">
        <f>IFERROR(Table4[[#This Row],[Feb_2026_Days_Actual]]*Table4[[#This Row],[Cost Boolean]]*(VLOOKUP(Table4[[#This Row],[RATE CONCAT]],Tables!I:N,5,0)),0)</f>
        <v>0</v>
      </c>
      <c r="BW21" s="3">
        <f>Table4[[#This Row],[Feb_2026_F]]-Table4[[#This Row],[Feb_2026_A]]</f>
        <v>0</v>
      </c>
      <c r="BX21" s="103"/>
      <c r="BY21" s="3">
        <f>IFERROR(Table4[[#This Row],[Mar_2026_Days_Forecast]]*Table4[[#This Row],[Cost Boolean]]*(VLOOKUP(Table4[[#This Row],[RATE CONCAT]],Tables!I:N,5,0)),0)</f>
        <v>0</v>
      </c>
      <c r="BZ21" s="3">
        <f>IFERROR(Table4[[#This Row],[Mar_2026_Days_Actual]]*Table4[[#This Row],[Cost Boolean]]*(VLOOKUP(Table4[[#This Row],[RATE CONCAT]],Tables!I:N,5,0)),0)</f>
        <v>0</v>
      </c>
      <c r="CA21" s="3">
        <f>Table4[[#This Row],[Mar_2026_F]]-Table4[[#This Row],[Mar_2026_A]]</f>
        <v>0</v>
      </c>
      <c r="CB21" s="103"/>
      <c r="CC21" s="3">
        <f>IFERROR(Table4[[#This Row],[Apr_2026_Days_Forecast]]*Table4[[#This Row],[Cost Boolean]]*(VLOOKUP(Table4[[#This Row],[RATE CONCAT]],Tables!I:N,5,0)),0)</f>
        <v>0</v>
      </c>
      <c r="CD21" s="3">
        <f>IFERROR(Table4[[#This Row],[Apr_2026_Days_Actual]]*Table4[[#This Row],[Cost Boolean]]*(VLOOKUP(Table4[[#This Row],[RATE CONCAT]],Tables!I:N,5,0)),0)</f>
        <v>0</v>
      </c>
      <c r="CE21" s="3">
        <f>Table4[[#This Row],[Apr_2026_F]]-Table4[[#This Row],[Apr_2026_A]]</f>
        <v>0</v>
      </c>
      <c r="CF21" s="103"/>
      <c r="CG21" s="3">
        <f>IFERROR(Table4[[#This Row],[May_2026_Days_Forecast]] *Table4[[#This Row],[Cost Boolean]]*(VLOOKUP(Table4[[#This Row],[RATE CONCAT]],Tables!I:N,5,0)),0)</f>
        <v>0</v>
      </c>
      <c r="CH21" s="3">
        <f>IFERROR(Table4[[#This Row],[May_2026_Days_Actual]]*Table4[[#This Row],[Cost Boolean]]*(VLOOKUP(Table4[[#This Row],[RATE CONCAT]],Tables!I:N,5,0)),0)</f>
        <v>0</v>
      </c>
      <c r="CI21" s="3">
        <f>Table4[[#This Row],[May_2026_F]]-Table4[[#This Row],[May_2026_A]]</f>
        <v>0</v>
      </c>
      <c r="CJ21" s="103"/>
      <c r="CK21" s="3">
        <f>IFERROR(Table4[[#This Row],[Jun_2026_Days_Forecast]]*Table4[[#This Row],[Cost Boolean]]*(VLOOKUP(Table4[[#This Row],[RATE CONCAT]],Tables!I:N,5,0)),0)</f>
        <v>0</v>
      </c>
      <c r="CL21" s="3">
        <f>IFERROR(Table4[[#This Row],[Jun_2026_Days_Actual]]*Table4[[#This Row],[Cost Boolean]]*(VLOOKUP(Table4[[#This Row],[RATE CONCAT]],Tables!I:N,5,0)),0)</f>
        <v>0</v>
      </c>
      <c r="CM21" s="3">
        <f>Table4[[#This Row],[Jun_2026_F]]-Table4[[#This Row],[Jun_2026_A]]</f>
        <v>0</v>
      </c>
      <c r="CN21" s="103"/>
      <c r="CO21" s="3">
        <f>IFERROR(Table4[[#This Row],[Jul_2026_Days_Forecast]]*Table4[[#This Row],[Cost Boolean]]*(VLOOKUP(Table4[[#This Row],[RATE CONCAT]],Tables!I:N,5,0)),0)</f>
        <v>0</v>
      </c>
      <c r="CP21" s="3">
        <f>IFERROR(Table4[[#This Row],[Aug_2026_Days_Forecast]]*Table4[[#This Row],[Location]]*(VLOOKUP(Table4[[#This Row],[Rate]],Tables!J:O,5,0)),0)</f>
        <v>0</v>
      </c>
      <c r="CQ21" s="3">
        <f>Table4[[#This Row],[Jul_2026_F]]-Table4[[#This Row],[Jul_2026_A]]</f>
        <v>0</v>
      </c>
      <c r="CR21" s="103"/>
      <c r="CS21" s="3">
        <f>IFERROR(Table4[[#This Row],[Aug_2026_Days_Forecast]]*Table4[[#This Row],[Cost Boolean]]*(VLOOKUP(Table4[[#This Row],[RATE CONCAT]],Tables!I:N,5,0)),0)</f>
        <v>0</v>
      </c>
      <c r="CT21" s="3">
        <f>IFERROR(Table4[[#This Row],[Aug_2026_Days_Actual]]*Table4[[#This Row],[Cost Boolean]]*(VLOOKUP(Table4[[#This Row],[RATE CONCAT]],Tables!I:N,5,0)),0)</f>
        <v>0</v>
      </c>
      <c r="CU21" s="3">
        <f>Table4[[#This Row],[Aug_2026_F]]-Table4[[#This Row],[Aug_2026_A]]</f>
        <v>0</v>
      </c>
      <c r="CV21" s="103"/>
      <c r="CW21" s="3">
        <f>IFERROR(Table4[[#This Row],[Sep_2026_Days_Forecast]]*Table4[[#This Row],[Cost Boolean]]*(VLOOKUP(Table4[[#This Row],[RATE CONCAT]],Tables!I:N,5,0)),0)</f>
        <v>0</v>
      </c>
      <c r="CX21" s="3">
        <f>IFERROR(Table4[[#This Row],[Sep_2026_Days_Actual]]*Table4[[#This Row],[Cost Boolean]]*(VLOOKUP(Table4[[#This Row],[RATE CONCAT]],Tables!I:N,5,0)),0)</f>
        <v>0</v>
      </c>
      <c r="CY21" s="3">
        <f>Table4[[#This Row],[Sep_2026_F]]-Table4[[#This Row],[Sep_2026_A]]</f>
        <v>0</v>
      </c>
      <c r="CZ21" s="103"/>
      <c r="DA21" s="3">
        <f>IFERROR(Table4[[#This Row],[Oct_2026_Days_Forecast]]*Table4[[#This Row],[Cost Boolean]]*(VLOOKUP(Table4[[#This Row],[RATE CONCAT]],Tables!I:N,5,0)),0)</f>
        <v>0</v>
      </c>
      <c r="DB21" s="3">
        <f>IFERROR(Table4[[#This Row],[Oct_2026_Days_Actual]]*Table4[[#This Row],[Cost Boolean]]*(VLOOKUP(Table4[[#This Row],[RATE CONCAT]],Tables!I:N,5,0)),0)</f>
        <v>0</v>
      </c>
      <c r="DC21" s="3">
        <f>Table4[[#This Row],[Oct_2026_F]]-Table4[[#This Row],[Oct_2026_A]]</f>
        <v>0</v>
      </c>
      <c r="DD21" s="103"/>
      <c r="DE21" s="3">
        <f>IFERROR(Table4[[#This Row],[Nov_2026_Days_Forecast]]*Table4[[#This Row],[Cost Boolean]]*(VLOOKUP(Table4[[#This Row],[RATE CONCAT]],Tables!I:N,5,0)),0)</f>
        <v>0</v>
      </c>
      <c r="DF21" s="3">
        <f>IFERROR(Table4[[#This Row],[Nov_2026_Days_Actual]]*Table4[[#This Row],[Cost Boolean]]*(VLOOKUP(Table4[[#This Row],[RATE CONCAT]],Tables!I:N,5,0)),0)</f>
        <v>0</v>
      </c>
      <c r="DG21" s="3">
        <f>Table4[[#This Row],[Nov_2026_F]]-Table4[[#This Row],[Nov_2026_A]]</f>
        <v>0</v>
      </c>
      <c r="DH21" s="103"/>
      <c r="DI21" s="3">
        <f>IFERROR(Table4[[#This Row],[Dec_2026_Days_Forecast]]*Table4[[#This Row],[Cost Boolean]]*(VLOOKUP(Table4[[#This Row],[RATE CONCAT]],Tables!I:N,5,0)),0)</f>
        <v>0</v>
      </c>
      <c r="DJ21" s="3">
        <f>IFERROR(Table4[[#This Row],[Dec_2026_Days_Actual]]*Table4[[#This Row],[Cost Boolean]]*(VLOOKUP(Table4[[#This Row],[RATE CONCAT]],Tables!I:N,5,0)),0)</f>
        <v>0</v>
      </c>
      <c r="DK21" s="3">
        <f>Table4[[#This Row],[Dec_2026_F]]-Table4[[#This Row],[Dec_2026_A]]</f>
        <v>0</v>
      </c>
      <c r="DL21" s="103"/>
      <c r="DM21" s="60"/>
      <c r="DN21" s="3">
        <f>IFERROR(Table4[[#This Row],[Jan_2027_Days_Forecast]]*Table4[[#This Row],[Cost Boolean]]*(VLOOKUP(Table4[[#This Row],[RATE CONCAT]],Tables!I:N,6,0)),0)</f>
        <v>0</v>
      </c>
      <c r="DO21" s="3"/>
      <c r="DP21" s="3">
        <f>Table4[[#This Row],[Jan_2027_F]]-Table4[[#This Row],[Jan_2027_A]]</f>
        <v>0</v>
      </c>
      <c r="DQ21" s="3">
        <f>IFERROR(Table4[[#This Row],[Feb_2027_Days_Forecast]]*Table4[[#This Row],[Cost Boolean]]*(VLOOKUP(Table4[[#This Row],[RATE CONCAT]],Tables!I:N,6,0)),0)</f>
        <v>0</v>
      </c>
      <c r="DR21" s="3"/>
      <c r="DS21" s="3">
        <f>Table4[[#This Row],[Feb_2027_F]]-Table4[[#This Row],[Feb_2027_A]]</f>
        <v>0</v>
      </c>
      <c r="DT21" s="3">
        <f>IFERROR(Table4[[#This Row],[Mar_2027_Days_Forecast]]*Table4[[#This Row],[Cost Boolean]]*(VLOOKUP(Table4[[#This Row],[RATE CONCAT]],Tables!I:N,6,0)),0)</f>
        <v>0</v>
      </c>
      <c r="DU21" s="3"/>
      <c r="DV21" s="3">
        <f>Table4[[#This Row],[Mar_2027_F]]-Table4[[#This Row],[Mar_2027_A]]</f>
        <v>0</v>
      </c>
      <c r="DW21" s="3">
        <f>IFERROR(Table4[[#This Row],[Apr_2027_Days_Forecast]]*Table4[[#This Row],[Cost Boolean]]*(VLOOKUP(Table4[[#This Row],[RATE CONCAT]],Tables!I:N,6,0)),0)</f>
        <v>0</v>
      </c>
      <c r="DX21" s="3"/>
      <c r="DY21" s="3">
        <f>Table4[[#This Row],[Apr_2027_F]]-Table4[[#This Row],[Apr_2027_A]]</f>
        <v>0</v>
      </c>
      <c r="DZ21" s="3">
        <f>IFERROR(Table4[[#This Row],[May_2027_Days_Forecast]]*Table4[[#This Row],[Cost Boolean]]*(VLOOKUP(Table4[[#This Row],[RATE CONCAT]],Tables!I:N,6,0)),0)</f>
        <v>0</v>
      </c>
      <c r="EA21" s="3"/>
      <c r="EB21" s="3">
        <f>Table4[[#This Row],[May_2027_F]]-Table4[[#This Row],[May_2027_A]]</f>
        <v>0</v>
      </c>
      <c r="EC21" s="3">
        <f>IFERROR(Table4[[#This Row],[Jun_2027_Days_Forecast]]*Table4[[#This Row],[Cost Boolean]]*(VLOOKUP(Table4[[#This Row],[RATE CONCAT]],Tables!I:N,6,0)),0)</f>
        <v>0</v>
      </c>
      <c r="ED21" s="3"/>
      <c r="EE21" s="3">
        <f>Table4[[#This Row],[Jun_2027_F]]-Table4[[#This Row],[Jun_2027_A]]</f>
        <v>0</v>
      </c>
      <c r="EF21" s="3">
        <f>IFERROR(Table4[[#This Row],[Jul_2027_Days_Forecast]]*Table4[[#This Row],[Cost Boolean]]*(VLOOKUP(Table4[[#This Row],[RATE CONCAT]],Tables!I:N,6,0)),0)</f>
        <v>0</v>
      </c>
      <c r="EG21" s="3"/>
      <c r="EH21" s="3">
        <f>Table4[[#This Row],[Jul_2027_F]]-Table4[[#This Row],[Jul_2027_A]]</f>
        <v>0</v>
      </c>
      <c r="EI21" s="3">
        <f>IFERROR(Table4[[#This Row],[Aug_2027_Days_Forecast]]*Table4[[#This Row],[Cost Boolean]]*(VLOOKUP(Table4[[#This Row],[RATE CONCAT]],Tables!I:N,6,0)),0)</f>
        <v>0</v>
      </c>
      <c r="EJ21" s="3"/>
      <c r="EK21" s="3">
        <f>Table4[[#This Row],[Aug_2027_F]]-Table4[[#This Row],[Aug_2027_A]]</f>
        <v>0</v>
      </c>
      <c r="EL21" s="3">
        <f>IFERROR(Table4[[#This Row],[Sep_2027_Days_Forecast]]*Table4[[#This Row],[Cost Boolean]]*(VLOOKUP(Table4[[#This Row],[RATE CONCAT]],Tables!I:N,6,0)),0)</f>
        <v>0</v>
      </c>
      <c r="EM21" s="3"/>
      <c r="EN21" s="3">
        <f>Table4[[#This Row],[Sep_2027_F]]-Table4[[#This Row],[Sep_2027_A]]</f>
        <v>0</v>
      </c>
      <c r="EO21" s="3">
        <f>IFERROR(Table4[[#This Row],[Oct_2027_Days_Forecast]]*Table4[[#This Row],[Cost Boolean]]*(VLOOKUP(Table4[[#This Row],[RATE CONCAT]],Tables!I:N,6,0)),0)</f>
        <v>0</v>
      </c>
      <c r="EP21" s="3"/>
      <c r="EQ21" s="3">
        <f>Table4[[#This Row],[Oct_2027_F]]-Table4[[#This Row],[Oct_2027_A]]</f>
        <v>0</v>
      </c>
      <c r="ER21" s="3">
        <f>IFERROR(Table4[[#This Row],[Nov_2027_Days_Forecast]]*Table4[[#This Row],[Cost Boolean]]*(VLOOKUP(Table4[[#This Row],[RATE CONCAT]],Tables!I:N,6,0)),0)</f>
        <v>0</v>
      </c>
      <c r="ES21" s="3"/>
      <c r="ET21" s="3">
        <f>Table4[[#This Row],[Nov_2027_F]]-Table4[[#This Row],[Nov_2027_A]]</f>
        <v>0</v>
      </c>
      <c r="EU21" s="3">
        <f>IFERROR(Table4[[#This Row],[Dec_2027_Days_Forecast]]*Table4[[#This Row],[Cost Boolean]]*(VLOOKUP(Table4[[#This Row],[RATE CONCAT]],Tables!I:N,6,0)),0)</f>
        <v>0</v>
      </c>
      <c r="EV21" s="3"/>
      <c r="EW21" s="3">
        <f>Table4[[#This Row],[Dec_2027_F]]-Table4[[#This Row],[Dec_2027_A]]</f>
        <v>0</v>
      </c>
    </row>
    <row r="22" spans="1:153" s="190" customFormat="1" ht="15" customHeight="1">
      <c r="A22" s="132"/>
      <c r="B22" s="132"/>
      <c r="C22" s="132"/>
      <c r="D22" s="132"/>
      <c r="E22" s="132"/>
      <c r="F22" s="132"/>
      <c r="G22" s="132"/>
      <c r="H22" s="132"/>
      <c r="I22" s="132"/>
      <c r="J22" s="132"/>
      <c r="K22" s="132"/>
      <c r="L22" s="132"/>
      <c r="M22" s="132"/>
      <c r="N22" s="132"/>
      <c r="O22" s="132"/>
      <c r="P22" s="132"/>
      <c r="Q22" s="132"/>
      <c r="R22" s="191"/>
      <c r="S22" s="191"/>
      <c r="T22" s="191"/>
      <c r="U22" s="191"/>
      <c r="V22" s="191"/>
      <c r="W22" s="191"/>
      <c r="X22" s="13"/>
      <c r="Y22" s="132" t="str">
        <f>CONCATENATE(Table4[[#This Row],[JG]],Table4[[#This Row],[Country]],Table4[[#This Row],[Resource Provider]])</f>
        <v/>
      </c>
      <c r="Z22" s="132">
        <f>VLOOKUP(Table4[[#This Row],[RATE CONCAT]],Tables!I:N,5,0)</f>
        <v>0</v>
      </c>
      <c r="AA22" s="53"/>
      <c r="AB22" s="192"/>
      <c r="AC22" s="192"/>
      <c r="AD22" s="192"/>
      <c r="AE22" s="192"/>
      <c r="AF22" s="192"/>
      <c r="AG22" s="192"/>
      <c r="AH22" s="192"/>
      <c r="AI22" s="192"/>
      <c r="AJ22" s="192"/>
      <c r="AK22" s="16"/>
      <c r="AL22" s="16"/>
      <c r="AM22" s="16"/>
      <c r="AN22" s="53">
        <f>IFERROR(AVERAGE(Table4[[#This Row],[Jan_2026_Days_Forecast]:[Dec_2026_Days_Forecast]]),0)/19</f>
        <v>0</v>
      </c>
      <c r="AO22" s="53">
        <f>IFERROR(AVERAGE(Table4[[#This Row],[Jan_2026_Days_Actual]:[Dec_2026_Days_Actual]]),0)/19</f>
        <v>0</v>
      </c>
      <c r="AP22" s="84"/>
      <c r="AQ22" s="84"/>
      <c r="AR22" s="84"/>
      <c r="AS22" s="84"/>
      <c r="AT22" s="84"/>
      <c r="AU22" s="84"/>
      <c r="AV22" s="84"/>
      <c r="AW22" s="84"/>
      <c r="AX22" s="84"/>
      <c r="AY22" s="84"/>
      <c r="AZ22" s="84"/>
      <c r="BA22" s="84"/>
      <c r="BB22" s="53">
        <f>IFERROR(AVERAGE(Table4[[#This Row],[Jan_2027_Days_Forecast]:[Dec_2027_Days_Forecast]]),0)</f>
        <v>0</v>
      </c>
      <c r="BC22" s="16"/>
      <c r="BD22" s="16"/>
      <c r="BE22" s="16"/>
      <c r="BF22" s="16"/>
      <c r="BG22" s="16"/>
      <c r="BH22" s="16"/>
      <c r="BI22" s="16"/>
      <c r="BJ22" s="16"/>
      <c r="BK22" s="16"/>
      <c r="BL22" s="16"/>
      <c r="BM22" s="16"/>
      <c r="BN22" s="16"/>
      <c r="BO22" s="55"/>
      <c r="BP22" s="60"/>
      <c r="BQ22" s="3"/>
      <c r="BR22" s="3">
        <f>IFERROR(Table4[[#This Row],[Jan_2026_Days_Actual]]*Table4[[#This Row],[Cost Boolean]]*(VLOOKUP(Table4[[#This Row],[RATE CONCAT]],Tables!I:N,5,0)),0)</f>
        <v>0</v>
      </c>
      <c r="BS22" s="3">
        <f>Table4[[#This Row],[Jan_2026_F]]-Table4[[#This Row],[Jan_2026_A]]</f>
        <v>0</v>
      </c>
      <c r="BT22" s="107"/>
      <c r="BU22" s="3">
        <f>IFERROR(Table4[[#This Row],[Feb_2026_Days_Forecast]]*Table4[[#This Row],[Cost Boolean]]*(VLOOKUP(Table4[[#This Row],[RATE CONCAT]],Tables!I:N,5,0)),0)</f>
        <v>0</v>
      </c>
      <c r="BV22" s="3">
        <f>IFERROR(Table4[[#This Row],[Feb_2026_Days_Actual]]*Table4[[#This Row],[Cost Boolean]]*(VLOOKUP(Table4[[#This Row],[RATE CONCAT]],Tables!I:N,5,0)),0)</f>
        <v>0</v>
      </c>
      <c r="BW22" s="3">
        <f>Table4[[#This Row],[Feb_2026_F]]-Table4[[#This Row],[Feb_2026_A]]</f>
        <v>0</v>
      </c>
      <c r="BX22" s="103"/>
      <c r="BY22" s="3">
        <f>IFERROR(Table4[[#This Row],[Mar_2026_Days_Forecast]]*Table4[[#This Row],[Cost Boolean]]*(VLOOKUP(Table4[[#This Row],[RATE CONCAT]],Tables!I:N,5,0)),0)</f>
        <v>0</v>
      </c>
      <c r="BZ22" s="3">
        <f>IFERROR(Table4[[#This Row],[Mar_2026_Days_Actual]]*Table4[[#This Row],[Cost Boolean]]*(VLOOKUP(Table4[[#This Row],[RATE CONCAT]],Tables!I:N,5,0)),0)</f>
        <v>0</v>
      </c>
      <c r="CA22" s="3">
        <f>Table4[[#This Row],[Mar_2026_F]]-Table4[[#This Row],[Mar_2026_A]]</f>
        <v>0</v>
      </c>
      <c r="CB22" s="103"/>
      <c r="CC22" s="3">
        <f>IFERROR(Table4[[#This Row],[Apr_2026_Days_Forecast]]*Table4[[#This Row],[Cost Boolean]]*(VLOOKUP(Table4[[#This Row],[RATE CONCAT]],Tables!I:N,5,0)),0)</f>
        <v>0</v>
      </c>
      <c r="CD22" s="3">
        <f>IFERROR(Table4[[#This Row],[Apr_2026_Days_Actual]]*Table4[[#This Row],[Cost Boolean]]*(VLOOKUP(Table4[[#This Row],[RATE CONCAT]],Tables!I:N,5,0)),0)</f>
        <v>0</v>
      </c>
      <c r="CE22" s="3">
        <f>Table4[[#This Row],[Apr_2026_F]]-Table4[[#This Row],[Apr_2026_A]]</f>
        <v>0</v>
      </c>
      <c r="CF22" s="103"/>
      <c r="CG22" s="3">
        <f>IFERROR(Table4[[#This Row],[May_2026_Days_Forecast]] *Table4[[#This Row],[Cost Boolean]]*(VLOOKUP(Table4[[#This Row],[RATE CONCAT]],Tables!I:N,5,0)),0)</f>
        <v>0</v>
      </c>
      <c r="CH22" s="3">
        <f>IFERROR(Table4[[#This Row],[May_2026_Days_Actual]]*Table4[[#This Row],[Cost Boolean]]*(VLOOKUP(Table4[[#This Row],[RATE CONCAT]],Tables!I:N,5,0)),0)</f>
        <v>0</v>
      </c>
      <c r="CI22" s="3">
        <f>Table4[[#This Row],[May_2026_F]]-Table4[[#This Row],[May_2026_A]]</f>
        <v>0</v>
      </c>
      <c r="CJ22" s="103"/>
      <c r="CK22" s="3">
        <f>IFERROR(Table4[[#This Row],[Jun_2026_Days_Forecast]]*Table4[[#This Row],[Cost Boolean]]*(VLOOKUP(Table4[[#This Row],[RATE CONCAT]],Tables!I:N,5,0)),0)</f>
        <v>0</v>
      </c>
      <c r="CL22" s="3">
        <f>IFERROR(Table4[[#This Row],[Jun_2026_Days_Actual]]*Table4[[#This Row],[Cost Boolean]]*(VLOOKUP(Table4[[#This Row],[RATE CONCAT]],Tables!I:N,5,0)),0)</f>
        <v>0</v>
      </c>
      <c r="CM22" s="3">
        <f>Table4[[#This Row],[Jun_2026_F]]-Table4[[#This Row],[Jun_2026_A]]</f>
        <v>0</v>
      </c>
      <c r="CN22" s="103"/>
      <c r="CO22" s="3">
        <f>IFERROR(Table4[[#This Row],[Jul_2026_Days_Forecast]]*Table4[[#This Row],[Cost Boolean]]*(VLOOKUP(Table4[[#This Row],[RATE CONCAT]],Tables!I:N,5,0)),0)</f>
        <v>0</v>
      </c>
      <c r="CP22" s="3">
        <f>IFERROR(Table4[[#This Row],[Aug_2026_Days_Forecast]]*Table4[[#This Row],[Location]]*(VLOOKUP(Table4[[#This Row],[Rate]],Tables!J:O,5,0)),0)</f>
        <v>0</v>
      </c>
      <c r="CQ22" s="3">
        <f>Table4[[#This Row],[Jul_2026_F]]-Table4[[#This Row],[Jul_2026_A]]</f>
        <v>0</v>
      </c>
      <c r="CR22" s="103"/>
      <c r="CS22" s="3">
        <f>IFERROR(Table4[[#This Row],[Aug_2026_Days_Forecast]]*Table4[[#This Row],[Cost Boolean]]*(VLOOKUP(Table4[[#This Row],[RATE CONCAT]],Tables!I:N,5,0)),0)</f>
        <v>0</v>
      </c>
      <c r="CT22" s="3">
        <f>IFERROR(Table4[[#This Row],[Aug_2026_Days_Actual]]*Table4[[#This Row],[Cost Boolean]]*(VLOOKUP(Table4[[#This Row],[RATE CONCAT]],Tables!I:N,5,0)),0)</f>
        <v>0</v>
      </c>
      <c r="CU22" s="3">
        <f>Table4[[#This Row],[Aug_2026_F]]-Table4[[#This Row],[Aug_2026_A]]</f>
        <v>0</v>
      </c>
      <c r="CV22" s="103"/>
      <c r="CW22" s="3">
        <f>IFERROR(Table4[[#This Row],[Sep_2026_Days_Forecast]]*Table4[[#This Row],[Cost Boolean]]*(VLOOKUP(Table4[[#This Row],[RATE CONCAT]],Tables!I:N,5,0)),0)</f>
        <v>0</v>
      </c>
      <c r="CX22" s="3">
        <f>IFERROR(Table4[[#This Row],[Sep_2026_Days_Actual]]*Table4[[#This Row],[Cost Boolean]]*(VLOOKUP(Table4[[#This Row],[RATE CONCAT]],Tables!I:N,5,0)),0)</f>
        <v>0</v>
      </c>
      <c r="CY22" s="3">
        <f>Table4[[#This Row],[Sep_2026_F]]-Table4[[#This Row],[Sep_2026_A]]</f>
        <v>0</v>
      </c>
      <c r="CZ22" s="103"/>
      <c r="DA22" s="3">
        <f>IFERROR(Table4[[#This Row],[Oct_2026_Days_Forecast]]*Table4[[#This Row],[Cost Boolean]]*(VLOOKUP(Table4[[#This Row],[RATE CONCAT]],Tables!I:N,5,0)),0)</f>
        <v>0</v>
      </c>
      <c r="DB22" s="3">
        <f>IFERROR(Table4[[#This Row],[Oct_2026_Days_Actual]]*Table4[[#This Row],[Cost Boolean]]*(VLOOKUP(Table4[[#This Row],[RATE CONCAT]],Tables!I:N,5,0)),0)</f>
        <v>0</v>
      </c>
      <c r="DC22" s="3">
        <f>Table4[[#This Row],[Oct_2026_F]]-Table4[[#This Row],[Oct_2026_A]]</f>
        <v>0</v>
      </c>
      <c r="DD22" s="103"/>
      <c r="DE22" s="3">
        <f>IFERROR(Table4[[#This Row],[Nov_2026_Days_Forecast]]*Table4[[#This Row],[Cost Boolean]]*(VLOOKUP(Table4[[#This Row],[RATE CONCAT]],Tables!I:N,5,0)),0)</f>
        <v>0</v>
      </c>
      <c r="DF22" s="3">
        <f>IFERROR(Table4[[#This Row],[Nov_2026_Days_Actual]]*Table4[[#This Row],[Cost Boolean]]*(VLOOKUP(Table4[[#This Row],[RATE CONCAT]],Tables!I:N,5,0)),0)</f>
        <v>0</v>
      </c>
      <c r="DG22" s="3">
        <f>Table4[[#This Row],[Nov_2026_F]]-Table4[[#This Row],[Nov_2026_A]]</f>
        <v>0</v>
      </c>
      <c r="DH22" s="103"/>
      <c r="DI22" s="3">
        <f>IFERROR(Table4[[#This Row],[Dec_2026_Days_Forecast]]*Table4[[#This Row],[Cost Boolean]]*(VLOOKUP(Table4[[#This Row],[RATE CONCAT]],Tables!I:N,5,0)),0)</f>
        <v>0</v>
      </c>
      <c r="DJ22" s="3">
        <f>IFERROR(Table4[[#This Row],[Dec_2026_Days_Actual]]*Table4[[#This Row],[Cost Boolean]]*(VLOOKUP(Table4[[#This Row],[RATE CONCAT]],Tables!I:N,5,0)),0)</f>
        <v>0</v>
      </c>
      <c r="DK22" s="3">
        <f>Table4[[#This Row],[Dec_2026_F]]-Table4[[#This Row],[Dec_2026_A]]</f>
        <v>0</v>
      </c>
      <c r="DL22" s="103"/>
      <c r="DM22" s="60"/>
      <c r="DN22" s="3">
        <f>IFERROR(Table4[[#This Row],[Jan_2027_Days_Forecast]]*Table4[[#This Row],[Cost Boolean]]*(VLOOKUP(Table4[[#This Row],[RATE CONCAT]],Tables!I:N,6,0)),0)</f>
        <v>0</v>
      </c>
      <c r="DO22" s="3"/>
      <c r="DP22" s="3">
        <f>Table4[[#This Row],[Jan_2027_F]]-Table4[[#This Row],[Jan_2027_A]]</f>
        <v>0</v>
      </c>
      <c r="DQ22" s="3">
        <f>IFERROR(Table4[[#This Row],[Feb_2027_Days_Forecast]]*Table4[[#This Row],[Cost Boolean]]*(VLOOKUP(Table4[[#This Row],[RATE CONCAT]],Tables!I:N,6,0)),0)</f>
        <v>0</v>
      </c>
      <c r="DR22" s="3"/>
      <c r="DS22" s="3">
        <f>Table4[[#This Row],[Feb_2027_F]]-Table4[[#This Row],[Feb_2027_A]]</f>
        <v>0</v>
      </c>
      <c r="DT22" s="3">
        <f>IFERROR(Table4[[#This Row],[Mar_2027_Days_Forecast]]*Table4[[#This Row],[Cost Boolean]]*(VLOOKUP(Table4[[#This Row],[RATE CONCAT]],Tables!I:N,6,0)),0)</f>
        <v>0</v>
      </c>
      <c r="DU22" s="3"/>
      <c r="DV22" s="3">
        <f>Table4[[#This Row],[Mar_2027_F]]-Table4[[#This Row],[Mar_2027_A]]</f>
        <v>0</v>
      </c>
      <c r="DW22" s="3">
        <f>IFERROR(Table4[[#This Row],[Apr_2027_Days_Forecast]]*Table4[[#This Row],[Cost Boolean]]*(VLOOKUP(Table4[[#This Row],[RATE CONCAT]],Tables!I:N,6,0)),0)</f>
        <v>0</v>
      </c>
      <c r="DX22" s="3"/>
      <c r="DY22" s="3">
        <f>Table4[[#This Row],[Apr_2027_F]]-Table4[[#This Row],[Apr_2027_A]]</f>
        <v>0</v>
      </c>
      <c r="DZ22" s="3">
        <f>IFERROR(Table4[[#This Row],[May_2027_Days_Forecast]]*Table4[[#This Row],[Cost Boolean]]*(VLOOKUP(Table4[[#This Row],[RATE CONCAT]],Tables!I:N,6,0)),0)</f>
        <v>0</v>
      </c>
      <c r="EA22" s="3"/>
      <c r="EB22" s="3">
        <f>Table4[[#This Row],[May_2027_F]]-Table4[[#This Row],[May_2027_A]]</f>
        <v>0</v>
      </c>
      <c r="EC22" s="3">
        <f>IFERROR(Table4[[#This Row],[Jun_2027_Days_Forecast]]*Table4[[#This Row],[Cost Boolean]]*(VLOOKUP(Table4[[#This Row],[RATE CONCAT]],Tables!I:N,6,0)),0)</f>
        <v>0</v>
      </c>
      <c r="ED22" s="3"/>
      <c r="EE22" s="3">
        <f>Table4[[#This Row],[Jun_2027_F]]-Table4[[#This Row],[Jun_2027_A]]</f>
        <v>0</v>
      </c>
      <c r="EF22" s="3">
        <f>IFERROR(Table4[[#This Row],[Jul_2027_Days_Forecast]]*Table4[[#This Row],[Cost Boolean]]*(VLOOKUP(Table4[[#This Row],[RATE CONCAT]],Tables!I:N,6,0)),0)</f>
        <v>0</v>
      </c>
      <c r="EG22" s="3"/>
      <c r="EH22" s="3">
        <f>Table4[[#This Row],[Jul_2027_F]]-Table4[[#This Row],[Jul_2027_A]]</f>
        <v>0</v>
      </c>
      <c r="EI22" s="3">
        <f>IFERROR(Table4[[#This Row],[Aug_2027_Days_Forecast]]*Table4[[#This Row],[Cost Boolean]]*(VLOOKUP(Table4[[#This Row],[RATE CONCAT]],Tables!I:N,6,0)),0)</f>
        <v>0</v>
      </c>
      <c r="EJ22" s="3"/>
      <c r="EK22" s="3">
        <f>Table4[[#This Row],[Aug_2027_F]]-Table4[[#This Row],[Aug_2027_A]]</f>
        <v>0</v>
      </c>
      <c r="EL22" s="3">
        <f>IFERROR(Table4[[#This Row],[Sep_2027_Days_Forecast]]*Table4[[#This Row],[Cost Boolean]]*(VLOOKUP(Table4[[#This Row],[RATE CONCAT]],Tables!I:N,6,0)),0)</f>
        <v>0</v>
      </c>
      <c r="EM22" s="3"/>
      <c r="EN22" s="3">
        <f>Table4[[#This Row],[Sep_2027_F]]-Table4[[#This Row],[Sep_2027_A]]</f>
        <v>0</v>
      </c>
      <c r="EO22" s="3">
        <f>IFERROR(Table4[[#This Row],[Oct_2027_Days_Forecast]]*Table4[[#This Row],[Cost Boolean]]*(VLOOKUP(Table4[[#This Row],[RATE CONCAT]],Tables!I:N,6,0)),0)</f>
        <v>0</v>
      </c>
      <c r="EP22" s="3"/>
      <c r="EQ22" s="3">
        <f>Table4[[#This Row],[Oct_2027_F]]-Table4[[#This Row],[Oct_2027_A]]</f>
        <v>0</v>
      </c>
      <c r="ER22" s="3">
        <f>IFERROR(Table4[[#This Row],[Nov_2027_Days_Forecast]]*Table4[[#This Row],[Cost Boolean]]*(VLOOKUP(Table4[[#This Row],[RATE CONCAT]],Tables!I:N,6,0)),0)</f>
        <v>0</v>
      </c>
      <c r="ES22" s="3"/>
      <c r="ET22" s="3">
        <f>Table4[[#This Row],[Nov_2027_F]]-Table4[[#This Row],[Nov_2027_A]]</f>
        <v>0</v>
      </c>
      <c r="EU22" s="3">
        <f>IFERROR(Table4[[#This Row],[Dec_2027_Days_Forecast]]*Table4[[#This Row],[Cost Boolean]]*(VLOOKUP(Table4[[#This Row],[RATE CONCAT]],Tables!I:N,6,0)),0)</f>
        <v>0</v>
      </c>
      <c r="EV22" s="3"/>
      <c r="EW22" s="3">
        <f>Table4[[#This Row],[Dec_2027_F]]-Table4[[#This Row],[Dec_2027_A]]</f>
        <v>0</v>
      </c>
    </row>
    <row r="23" spans="1:153" ht="15" customHeight="1">
      <c r="A23" s="132"/>
      <c r="B23" s="132"/>
      <c r="C23" s="132"/>
      <c r="D23" s="132"/>
      <c r="E23" s="132"/>
      <c r="F23" s="132"/>
      <c r="G23" s="132"/>
      <c r="H23" s="132"/>
      <c r="I23" s="132"/>
      <c r="J23" s="132"/>
      <c r="K23" s="132"/>
      <c r="L23" s="132"/>
      <c r="M23" s="132"/>
      <c r="N23" s="132"/>
      <c r="O23" s="132"/>
      <c r="P23" s="132"/>
      <c r="Q23" s="132"/>
      <c r="R23" s="191"/>
      <c r="S23" s="191"/>
      <c r="T23" s="191"/>
      <c r="U23" s="191"/>
      <c r="V23" s="191"/>
      <c r="W23" s="191"/>
      <c r="X23" s="13"/>
      <c r="Y23" s="132" t="str">
        <f>CONCATENATE(Table4[[#This Row],[JG]],Table4[[#This Row],[Country]],Table4[[#This Row],[Resource Provider]])</f>
        <v/>
      </c>
      <c r="Z23" s="132">
        <f>VLOOKUP(Table4[[#This Row],[RATE CONCAT]],Tables!I:N,5,0)</f>
        <v>0</v>
      </c>
      <c r="AA23" s="53"/>
      <c r="AB23" s="192"/>
      <c r="AC23" s="192"/>
      <c r="AD23" s="192"/>
      <c r="AE23" s="192"/>
      <c r="AF23" s="192"/>
      <c r="AG23" s="192"/>
      <c r="AH23" s="192"/>
      <c r="AI23" s="192"/>
      <c r="AJ23" s="192"/>
      <c r="AK23" s="16"/>
      <c r="AL23" s="16"/>
      <c r="AM23" s="16"/>
      <c r="AN23" s="53">
        <f>IFERROR(AVERAGE(Table4[[#This Row],[Jan_2026_Days_Forecast]:[Dec_2026_Days_Forecast]]),0)/19</f>
        <v>0</v>
      </c>
      <c r="AO23" s="53">
        <f>IFERROR(AVERAGE(Table4[[#This Row],[Jan_2026_Days_Actual]:[Dec_2026_Days_Actual]]),0)/19</f>
        <v>0</v>
      </c>
      <c r="AP23" s="84"/>
      <c r="AQ23" s="84"/>
      <c r="AR23" s="84"/>
      <c r="AS23" s="84"/>
      <c r="AT23" s="84"/>
      <c r="AU23" s="84"/>
      <c r="AV23" s="84"/>
      <c r="AW23" s="84"/>
      <c r="AX23" s="84"/>
      <c r="AY23" s="84"/>
      <c r="AZ23" s="84"/>
      <c r="BA23" s="84"/>
      <c r="BB23" s="53">
        <f>IFERROR(AVERAGE(Table4[[#This Row],[Jan_2027_Days_Forecast]:[Dec_2027_Days_Forecast]]),0)</f>
        <v>0</v>
      </c>
      <c r="BC23" s="16"/>
      <c r="BD23" s="16"/>
      <c r="BE23" s="16"/>
      <c r="BF23" s="16"/>
      <c r="BG23" s="16"/>
      <c r="BH23" s="16"/>
      <c r="BI23" s="16"/>
      <c r="BJ23" s="16"/>
      <c r="BK23" s="16"/>
      <c r="BL23" s="16"/>
      <c r="BM23" s="16"/>
      <c r="BN23" s="16"/>
      <c r="BO23" s="55"/>
      <c r="BP23" s="60"/>
      <c r="BQ23" s="3">
        <f>Table4[[#This Row],[Jan_2026_Days_Forecast]]*Table4[[#This Row],[Cost Boolean]]*VLOOKUP(Table4[[#This Row],[RATE CONCAT]],Tables!I:N,5,0)</f>
        <v>0</v>
      </c>
      <c r="BR23" s="3">
        <f>IFERROR(Table4[[#This Row],[Jan_2026_Days_Actual]]*Table4[[#This Row],[Cost Boolean]]*(VLOOKUP(Table4[[#This Row],[RATE CONCAT]],Tables!I:N,5,0)),0)</f>
        <v>0</v>
      </c>
      <c r="BS23" s="3">
        <f>Table4[[#This Row],[Jan_2026_F]]-Table4[[#This Row],[Jan_2026_A]]</f>
        <v>0</v>
      </c>
      <c r="BT23" s="107"/>
      <c r="BU23" s="3">
        <f>IFERROR(Table4[[#This Row],[Feb_2026_Days_Forecast]]*Table4[[#This Row],[Cost Boolean]]*(VLOOKUP(Table4[[#This Row],[RATE CONCAT]],Tables!I:N,5,0)),0)</f>
        <v>0</v>
      </c>
      <c r="BV23" s="3">
        <f>IFERROR(Table4[[#This Row],[Feb_2026_Days_Actual]]*Table4[[#This Row],[Cost Boolean]]*(VLOOKUP(Table4[[#This Row],[RATE CONCAT]],Tables!I:N,5,0)),0)</f>
        <v>0</v>
      </c>
      <c r="BW23" s="3">
        <f>Table4[[#This Row],[Feb_2026_F]]-Table4[[#This Row],[Feb_2026_A]]</f>
        <v>0</v>
      </c>
      <c r="BX23" s="103"/>
      <c r="BY23" s="3">
        <f>IFERROR(Table4[[#This Row],[Mar_2026_Days_Forecast]]*Table4[[#This Row],[Cost Boolean]]*(VLOOKUP(Table4[[#This Row],[RATE CONCAT]],Tables!I:N,5,0)),0)</f>
        <v>0</v>
      </c>
      <c r="BZ23" s="3">
        <f>IFERROR(Table4[[#This Row],[Mar_2026_Days_Actual]]*Table4[[#This Row],[Cost Boolean]]*(VLOOKUP(Table4[[#This Row],[RATE CONCAT]],Tables!I:N,5,0)),0)</f>
        <v>0</v>
      </c>
      <c r="CA23" s="3">
        <f>Table4[[#This Row],[Mar_2026_F]]-Table4[[#This Row],[Mar_2026_A]]</f>
        <v>0</v>
      </c>
      <c r="CB23" s="103"/>
      <c r="CC23" s="3">
        <f>IFERROR(Table4[[#This Row],[Apr_2026_Days_Forecast]]*Table4[[#This Row],[Cost Boolean]]*(VLOOKUP(Table4[[#This Row],[RATE CONCAT]],Tables!I:N,5,0)),0)</f>
        <v>0</v>
      </c>
      <c r="CD23" s="3">
        <f>IFERROR(Table4[[#This Row],[Apr_2026_Days_Actual]]*Table4[[#This Row],[Cost Boolean]]*(VLOOKUP(Table4[[#This Row],[RATE CONCAT]],Tables!I:N,5,0)),0)</f>
        <v>0</v>
      </c>
      <c r="CE23" s="3">
        <f>Table4[[#This Row],[Apr_2026_F]]-Table4[[#This Row],[Apr_2026_A]]</f>
        <v>0</v>
      </c>
      <c r="CF23" s="103"/>
      <c r="CG23" s="3">
        <f>IFERROR(Table4[[#This Row],[May_2026_Days_Forecast]] *Table4[[#This Row],[Cost Boolean]]*(VLOOKUP(Table4[[#This Row],[RATE CONCAT]],Tables!I:N,5,0)),0)</f>
        <v>0</v>
      </c>
      <c r="CH23" s="3">
        <f>IFERROR(Table4[[#This Row],[May_2026_Days_Actual]]*Table4[[#This Row],[Cost Boolean]]*(VLOOKUP(Table4[[#This Row],[RATE CONCAT]],Tables!I:N,5,0)),0)</f>
        <v>0</v>
      </c>
      <c r="CI23" s="3">
        <f>Table4[[#This Row],[May_2026_F]]-Table4[[#This Row],[May_2026_A]]</f>
        <v>0</v>
      </c>
      <c r="CJ23" s="103"/>
      <c r="CK23" s="3">
        <f>IFERROR(Table4[[#This Row],[Jun_2026_Days_Forecast]]*Table4[[#This Row],[Cost Boolean]]*(VLOOKUP(Table4[[#This Row],[RATE CONCAT]],Tables!I:N,5,0)),0)</f>
        <v>0</v>
      </c>
      <c r="CL23" s="3">
        <f>IFERROR(Table4[[#This Row],[Jun_2026_Days_Actual]]*Table4[[#This Row],[Cost Boolean]]*(VLOOKUP(Table4[[#This Row],[RATE CONCAT]],Tables!I:N,5,0)),0)</f>
        <v>0</v>
      </c>
      <c r="CM23" s="3">
        <f>Table4[[#This Row],[Jun_2026_F]]-Table4[[#This Row],[Jun_2026_A]]</f>
        <v>0</v>
      </c>
      <c r="CN23" s="103"/>
      <c r="CO23" s="3">
        <f>IFERROR(Table4[[#This Row],[Jul_2026_Days_Forecast]]*Table4[[#This Row],[Cost Boolean]]*(VLOOKUP(Table4[[#This Row],[RATE CONCAT]],Tables!I:N,5,0)),0)</f>
        <v>0</v>
      </c>
      <c r="CP23" s="3">
        <f>IFERROR(Table4[[#This Row],[Aug_2026_Days_Forecast]]*Table4[[#This Row],[Location]]*(VLOOKUP(Table4[[#This Row],[Rate]],Tables!J:O,5,0)),0)</f>
        <v>0</v>
      </c>
      <c r="CQ23" s="3">
        <f>Table4[[#This Row],[Jul_2026_F]]-Table4[[#This Row],[Jul_2026_A]]</f>
        <v>0</v>
      </c>
      <c r="CR23" s="103"/>
      <c r="CS23" s="3">
        <f>IFERROR(Table4[[#This Row],[Aug_2026_Days_Forecast]]*Table4[[#This Row],[Cost Boolean]]*(VLOOKUP(Table4[[#This Row],[RATE CONCAT]],Tables!I:N,5,0)),0)</f>
        <v>0</v>
      </c>
      <c r="CT23" s="3">
        <f>IFERROR(Table4[[#This Row],[Aug_2026_Days_Actual]]*Table4[[#This Row],[Cost Boolean]]*(VLOOKUP(Table4[[#This Row],[RATE CONCAT]],Tables!I:N,5,0)),0)</f>
        <v>0</v>
      </c>
      <c r="CU23" s="3">
        <f>Table4[[#This Row],[Aug_2026_F]]-Table4[[#This Row],[Aug_2026_A]]</f>
        <v>0</v>
      </c>
      <c r="CV23" s="103"/>
      <c r="CW23" s="3">
        <f>IFERROR(Table4[[#This Row],[Sep_2026_Days_Forecast]]*Table4[[#This Row],[Cost Boolean]]*(VLOOKUP(Table4[[#This Row],[RATE CONCAT]],Tables!I:N,5,0)),0)</f>
        <v>0</v>
      </c>
      <c r="CX23" s="3">
        <f>IFERROR(Table4[[#This Row],[Sep_2026_Days_Actual]]*Table4[[#This Row],[Cost Boolean]]*(VLOOKUP(Table4[[#This Row],[RATE CONCAT]],Tables!I:N,5,0)),0)</f>
        <v>0</v>
      </c>
      <c r="CY23" s="3">
        <f>Table4[[#This Row],[Sep_2026_F]]-Table4[[#This Row],[Sep_2026_A]]</f>
        <v>0</v>
      </c>
      <c r="CZ23" s="103"/>
      <c r="DA23" s="3">
        <f>IFERROR(Table4[[#This Row],[Oct_2026_Days_Forecast]]*Table4[[#This Row],[Cost Boolean]]*(VLOOKUP(Table4[[#This Row],[RATE CONCAT]],Tables!I:N,5,0)),0)</f>
        <v>0</v>
      </c>
      <c r="DB23" s="3">
        <f>IFERROR(Table4[[#This Row],[Oct_2026_Days_Actual]]*Table4[[#This Row],[Cost Boolean]]*(VLOOKUP(Table4[[#This Row],[RATE CONCAT]],Tables!I:N,5,0)),0)</f>
        <v>0</v>
      </c>
      <c r="DC23" s="3">
        <f>Table4[[#This Row],[Oct_2026_F]]-Table4[[#This Row],[Oct_2026_A]]</f>
        <v>0</v>
      </c>
      <c r="DD23" s="103"/>
      <c r="DE23" s="3">
        <f>IFERROR(Table4[[#This Row],[Nov_2026_Days_Forecast]]*Table4[[#This Row],[Cost Boolean]]*(VLOOKUP(Table4[[#This Row],[RATE CONCAT]],Tables!I:N,5,0)),0)</f>
        <v>0</v>
      </c>
      <c r="DF23" s="3">
        <f>IFERROR(Table4[[#This Row],[Nov_2026_Days_Actual]]*Table4[[#This Row],[Cost Boolean]]*(VLOOKUP(Table4[[#This Row],[RATE CONCAT]],Tables!I:N,5,0)),0)</f>
        <v>0</v>
      </c>
      <c r="DG23" s="3">
        <f>Table4[[#This Row],[Nov_2026_F]]-Table4[[#This Row],[Nov_2026_A]]</f>
        <v>0</v>
      </c>
      <c r="DH23" s="103"/>
      <c r="DI23" s="3">
        <f>IFERROR(Table4[[#This Row],[Dec_2026_Days_Forecast]]*Table4[[#This Row],[Cost Boolean]]*(VLOOKUP(Table4[[#This Row],[RATE CONCAT]],Tables!I:N,5,0)),0)</f>
        <v>0</v>
      </c>
      <c r="DJ23" s="3">
        <f>IFERROR(Table4[[#This Row],[Dec_2026_Days_Actual]]*Table4[[#This Row],[Cost Boolean]]*(VLOOKUP(Table4[[#This Row],[RATE CONCAT]],Tables!I:N,5,0)),0)</f>
        <v>0</v>
      </c>
      <c r="DK23" s="3">
        <f>Table4[[#This Row],[Dec_2026_F]]-Table4[[#This Row],[Dec_2026_A]]</f>
        <v>0</v>
      </c>
      <c r="DL23" s="103"/>
      <c r="DM23" s="60"/>
      <c r="DN23" s="3">
        <f>IFERROR(Table4[[#This Row],[Jan_2027_Days_Forecast]]*Table4[[#This Row],[Cost Boolean]]*(VLOOKUP(Table4[[#This Row],[RATE CONCAT]],Tables!I:N,6,0)),0)</f>
        <v>0</v>
      </c>
      <c r="DO23" s="3"/>
      <c r="DP23" s="3">
        <f>Table4[[#This Row],[Jan_2027_F]]-Table4[[#This Row],[Jan_2027_A]]</f>
        <v>0</v>
      </c>
      <c r="DQ23" s="3">
        <f>IFERROR(Table4[[#This Row],[Feb_2027_Days_Forecast]]*Table4[[#This Row],[Cost Boolean]]*(VLOOKUP(Table4[[#This Row],[RATE CONCAT]],Tables!I:N,6,0)),0)</f>
        <v>0</v>
      </c>
      <c r="DR23" s="3"/>
      <c r="DS23" s="3">
        <f>Table4[[#This Row],[Feb_2027_F]]-Table4[[#This Row],[Feb_2027_A]]</f>
        <v>0</v>
      </c>
      <c r="DT23" s="3">
        <f>IFERROR(Table4[[#This Row],[Mar_2027_Days_Forecast]]*Table4[[#This Row],[Cost Boolean]]*(VLOOKUP(Table4[[#This Row],[RATE CONCAT]],Tables!I:N,6,0)),0)</f>
        <v>0</v>
      </c>
      <c r="DU23" s="3"/>
      <c r="DV23" s="3">
        <f>Table4[[#This Row],[Mar_2027_F]]-Table4[[#This Row],[Mar_2027_A]]</f>
        <v>0</v>
      </c>
      <c r="DW23" s="3">
        <f>IFERROR(Table4[[#This Row],[Apr_2027_Days_Forecast]]*Table4[[#This Row],[Cost Boolean]]*(VLOOKUP(Table4[[#This Row],[RATE CONCAT]],Tables!I:N,6,0)),0)</f>
        <v>0</v>
      </c>
      <c r="DX23" s="3"/>
      <c r="DY23" s="3">
        <f>Table4[[#This Row],[Apr_2027_F]]-Table4[[#This Row],[Apr_2027_A]]</f>
        <v>0</v>
      </c>
      <c r="DZ23" s="3">
        <f>IFERROR(Table4[[#This Row],[May_2027_Days_Forecast]]*Table4[[#This Row],[Cost Boolean]]*(VLOOKUP(Table4[[#This Row],[RATE CONCAT]],Tables!I:N,6,0)),0)</f>
        <v>0</v>
      </c>
      <c r="EA23" s="3"/>
      <c r="EB23" s="3">
        <f>Table4[[#This Row],[May_2027_F]]-Table4[[#This Row],[May_2027_A]]</f>
        <v>0</v>
      </c>
      <c r="EC23" s="3">
        <f>IFERROR(Table4[[#This Row],[Jun_2027_Days_Forecast]]*Table4[[#This Row],[Cost Boolean]]*(VLOOKUP(Table4[[#This Row],[RATE CONCAT]],Tables!I:N,6,0)),0)</f>
        <v>0</v>
      </c>
      <c r="ED23" s="3"/>
      <c r="EE23" s="3">
        <f>Table4[[#This Row],[Jun_2027_F]]-Table4[[#This Row],[Jun_2027_A]]</f>
        <v>0</v>
      </c>
      <c r="EF23" s="3">
        <f>IFERROR(Table4[[#This Row],[Jul_2027_Days_Forecast]]*Table4[[#This Row],[Cost Boolean]]*(VLOOKUP(Table4[[#This Row],[RATE CONCAT]],Tables!I:N,6,0)),0)</f>
        <v>0</v>
      </c>
      <c r="EG23" s="3"/>
      <c r="EH23" s="3">
        <f>Table4[[#This Row],[Jul_2027_F]]-Table4[[#This Row],[Jul_2027_A]]</f>
        <v>0</v>
      </c>
      <c r="EI23" s="3">
        <f>IFERROR(Table4[[#This Row],[Aug_2027_Days_Forecast]]*Table4[[#This Row],[Cost Boolean]]*(VLOOKUP(Table4[[#This Row],[RATE CONCAT]],Tables!I:N,6,0)),0)</f>
        <v>0</v>
      </c>
      <c r="EJ23" s="3"/>
      <c r="EK23" s="3">
        <f>Table4[[#This Row],[Aug_2027_F]]-Table4[[#This Row],[Aug_2027_A]]</f>
        <v>0</v>
      </c>
      <c r="EL23" s="3">
        <f>IFERROR(Table4[[#This Row],[Sep_2027_Days_Forecast]]*Table4[[#This Row],[Cost Boolean]]*(VLOOKUP(Table4[[#This Row],[RATE CONCAT]],Tables!I:N,6,0)),0)</f>
        <v>0</v>
      </c>
      <c r="EM23" s="3"/>
      <c r="EN23" s="3">
        <f>Table4[[#This Row],[Sep_2027_F]]-Table4[[#This Row],[Sep_2027_A]]</f>
        <v>0</v>
      </c>
      <c r="EO23" s="3">
        <f>IFERROR(Table4[[#This Row],[Oct_2027_Days_Forecast]]*Table4[[#This Row],[Cost Boolean]]*(VLOOKUP(Table4[[#This Row],[RATE CONCAT]],Tables!I:N,6,0)),0)</f>
        <v>0</v>
      </c>
      <c r="EP23" s="3"/>
      <c r="EQ23" s="3">
        <f>Table4[[#This Row],[Oct_2027_F]]-Table4[[#This Row],[Oct_2027_A]]</f>
        <v>0</v>
      </c>
      <c r="ER23" s="3">
        <f>IFERROR(Table4[[#This Row],[Nov_2027_Days_Forecast]]*Table4[[#This Row],[Cost Boolean]]*(VLOOKUP(Table4[[#This Row],[RATE CONCAT]],Tables!I:N,6,0)),0)</f>
        <v>0</v>
      </c>
      <c r="ES23" s="3"/>
      <c r="ET23" s="3">
        <f>Table4[[#This Row],[Nov_2027_F]]-Table4[[#This Row],[Nov_2027_A]]</f>
        <v>0</v>
      </c>
      <c r="EU23" s="3">
        <f>IFERROR(Table4[[#This Row],[Dec_2027_Days_Forecast]]*Table4[[#This Row],[Cost Boolean]]*(VLOOKUP(Table4[[#This Row],[RATE CONCAT]],Tables!I:N,6,0)),0)</f>
        <v>0</v>
      </c>
      <c r="EV23" s="3"/>
      <c r="EW23" s="3">
        <f>Table4[[#This Row],[Dec_2027_F]]-Table4[[#This Row],[Dec_2027_A]]</f>
        <v>0</v>
      </c>
    </row>
    <row r="24" spans="1:153" ht="15" customHeight="1">
      <c r="A24" s="132"/>
      <c r="B24" s="132"/>
      <c r="C24" s="132"/>
      <c r="D24" s="132"/>
      <c r="E24" s="132"/>
      <c r="F24" s="132"/>
      <c r="G24" s="132"/>
      <c r="H24" s="132"/>
      <c r="I24" s="132"/>
      <c r="J24" s="132"/>
      <c r="K24" s="132"/>
      <c r="L24" s="132"/>
      <c r="M24" s="132"/>
      <c r="N24" s="132"/>
      <c r="O24" s="132"/>
      <c r="P24" s="132"/>
      <c r="Q24" s="132"/>
      <c r="R24" s="191"/>
      <c r="S24" s="191"/>
      <c r="T24" s="191"/>
      <c r="U24" s="191"/>
      <c r="V24" s="191"/>
      <c r="W24" s="191"/>
      <c r="X24" s="13"/>
      <c r="Y24" s="132" t="str">
        <f>CONCATENATE(Table4[[#This Row],[JG]],Table4[[#This Row],[Country]],Table4[[#This Row],[Resource Provider]])</f>
        <v/>
      </c>
      <c r="Z24" s="132">
        <f>VLOOKUP(Table4[[#This Row],[RATE CONCAT]],Tables!I:N,5,0)</f>
        <v>0</v>
      </c>
      <c r="AA24" s="53"/>
      <c r="AB24" s="192"/>
      <c r="AC24" s="192"/>
      <c r="AD24" s="192"/>
      <c r="AE24" s="192"/>
      <c r="AF24" s="192"/>
      <c r="AG24" s="192"/>
      <c r="AH24" s="192"/>
      <c r="AI24" s="192"/>
      <c r="AJ24" s="192"/>
      <c r="AK24" s="16"/>
      <c r="AL24" s="16"/>
      <c r="AM24" s="16"/>
      <c r="AN24" s="53">
        <f>IFERROR(AVERAGE(Table4[[#This Row],[Jan_2026_Days_Forecast]:[Dec_2026_Days_Forecast]]),0)/19</f>
        <v>0</v>
      </c>
      <c r="AO24" s="53">
        <f>IFERROR(AVERAGE(Table4[[#This Row],[Jan_2026_Days_Actual]:[Dec_2026_Days_Actual]]),0)/19</f>
        <v>0</v>
      </c>
      <c r="AP24" s="84"/>
      <c r="AQ24" s="84"/>
      <c r="AR24" s="84"/>
      <c r="AS24" s="84"/>
      <c r="AT24" s="84"/>
      <c r="AU24" s="84"/>
      <c r="AV24" s="84"/>
      <c r="AW24" s="84"/>
      <c r="AX24" s="84"/>
      <c r="AY24" s="84"/>
      <c r="AZ24" s="84"/>
      <c r="BA24" s="84"/>
      <c r="BB24" s="53">
        <f>IFERROR(AVERAGE(Table4[[#This Row],[Jan_2027_Days_Forecast]:[Dec_2027_Days_Forecast]]),0)</f>
        <v>0</v>
      </c>
      <c r="BC24" s="16"/>
      <c r="BD24" s="16"/>
      <c r="BE24" s="16"/>
      <c r="BF24" s="16"/>
      <c r="BG24" s="16"/>
      <c r="BH24" s="16"/>
      <c r="BI24" s="16"/>
      <c r="BJ24" s="16"/>
      <c r="BK24" s="16"/>
      <c r="BL24" s="16"/>
      <c r="BM24" s="16"/>
      <c r="BN24" s="16"/>
      <c r="BO24" s="55"/>
      <c r="BP24" s="60"/>
      <c r="BQ24" s="3">
        <f>Table4[[#This Row],[Jan_2026_Days_Forecast]]*Table4[[#This Row],[Cost Boolean]]*VLOOKUP(Table4[[#This Row],[RATE CONCAT]],Tables!I:N,5,0)</f>
        <v>0</v>
      </c>
      <c r="BR24" s="3">
        <f>IFERROR(Table4[[#This Row],[Jan_2026_Days_Actual]]*Table4[[#This Row],[Cost Boolean]]*(VLOOKUP(Table4[[#This Row],[RATE CONCAT]],Tables!I:N,5,0)),0)</f>
        <v>0</v>
      </c>
      <c r="BS24" s="3">
        <f>Table4[[#This Row],[Jan_2026_F]]-Table4[[#This Row],[Jan_2026_A]]</f>
        <v>0</v>
      </c>
      <c r="BT24" s="107"/>
      <c r="BU24" s="3">
        <f>IFERROR(Table4[[#This Row],[Feb_2026_Days_Forecast]]*Table4[[#This Row],[Cost Boolean]]*(VLOOKUP(Table4[[#This Row],[RATE CONCAT]],Tables!I:N,5,0)),0)</f>
        <v>0</v>
      </c>
      <c r="BV24" s="3">
        <f>IFERROR(Table4[[#This Row],[Feb_2026_Days_Actual]]*Table4[[#This Row],[Cost Boolean]]*(VLOOKUP(Table4[[#This Row],[RATE CONCAT]],Tables!I:N,5,0)),0)</f>
        <v>0</v>
      </c>
      <c r="BW24" s="3">
        <f>Table4[[#This Row],[Feb_2026_F]]-Table4[[#This Row],[Feb_2026_A]]</f>
        <v>0</v>
      </c>
      <c r="BX24" s="103"/>
      <c r="BY24" s="3">
        <f>IFERROR(Table4[[#This Row],[Mar_2026_Days_Forecast]]*Table4[[#This Row],[Cost Boolean]]*(VLOOKUP(Table4[[#This Row],[RATE CONCAT]],Tables!I:N,5,0)),0)</f>
        <v>0</v>
      </c>
      <c r="BZ24" s="3">
        <f>IFERROR(Table4[[#This Row],[Mar_2026_Days_Actual]]*Table4[[#This Row],[Cost Boolean]]*(VLOOKUP(Table4[[#This Row],[RATE CONCAT]],Tables!I:N,5,0)),0)</f>
        <v>0</v>
      </c>
      <c r="CA24" s="3">
        <f>Table4[[#This Row],[Mar_2026_F]]-Table4[[#This Row],[Mar_2026_A]]</f>
        <v>0</v>
      </c>
      <c r="CB24" s="103"/>
      <c r="CC24" s="3">
        <f>IFERROR(Table4[[#This Row],[Apr_2026_Days_Forecast]]*Table4[[#This Row],[Cost Boolean]]*(VLOOKUP(Table4[[#This Row],[RATE CONCAT]],Tables!I:N,5,0)),0)</f>
        <v>0</v>
      </c>
      <c r="CD24" s="3">
        <f>IFERROR(Table4[[#This Row],[Apr_2026_Days_Actual]]*Table4[[#This Row],[Cost Boolean]]*(VLOOKUP(Table4[[#This Row],[RATE CONCAT]],Tables!I:N,5,0)),0)</f>
        <v>0</v>
      </c>
      <c r="CE24" s="3">
        <f>Table4[[#This Row],[Apr_2026_F]]-Table4[[#This Row],[Apr_2026_A]]</f>
        <v>0</v>
      </c>
      <c r="CF24" s="103"/>
      <c r="CG24" s="3">
        <f>IFERROR(Table4[[#This Row],[May_2026_Days_Forecast]] *Table4[[#This Row],[Cost Boolean]]*(VLOOKUP(Table4[[#This Row],[RATE CONCAT]],Tables!I:N,5,0)),0)</f>
        <v>0</v>
      </c>
      <c r="CH24" s="3">
        <f>IFERROR(Table4[[#This Row],[May_2026_Days_Actual]]*Table4[[#This Row],[Cost Boolean]]*(VLOOKUP(Table4[[#This Row],[RATE CONCAT]],Tables!I:N,5,0)),0)</f>
        <v>0</v>
      </c>
      <c r="CI24" s="3">
        <f>Table4[[#This Row],[May_2026_F]]-Table4[[#This Row],[May_2026_A]]</f>
        <v>0</v>
      </c>
      <c r="CJ24" s="103"/>
      <c r="CK24" s="3">
        <f>IFERROR(Table4[[#This Row],[Jun_2026_Days_Forecast]]*Table4[[#This Row],[Cost Boolean]]*(VLOOKUP(Table4[[#This Row],[RATE CONCAT]],Tables!I:N,5,0)),0)</f>
        <v>0</v>
      </c>
      <c r="CL24" s="3">
        <f>IFERROR(Table4[[#This Row],[Jun_2026_Days_Actual]]*Table4[[#This Row],[Cost Boolean]]*(VLOOKUP(Table4[[#This Row],[RATE CONCAT]],Tables!I:N,5,0)),0)</f>
        <v>0</v>
      </c>
      <c r="CM24" s="3">
        <f>Table4[[#This Row],[Jun_2026_F]]-Table4[[#This Row],[Jun_2026_A]]</f>
        <v>0</v>
      </c>
      <c r="CN24" s="103"/>
      <c r="CO24" s="3">
        <f>IFERROR(Table4[[#This Row],[Jul_2026_Days_Forecast]]*Table4[[#This Row],[Cost Boolean]]*(VLOOKUP(Table4[[#This Row],[RATE CONCAT]],Tables!I:N,5,0)),0)</f>
        <v>0</v>
      </c>
      <c r="CP24" s="3">
        <f>IFERROR(Table4[[#This Row],[Aug_2026_Days_Forecast]]*Table4[[#This Row],[Location]]*(VLOOKUP(Table4[[#This Row],[Rate]],Tables!J:O,5,0)),0)</f>
        <v>0</v>
      </c>
      <c r="CQ24" s="3">
        <f>Table4[[#This Row],[Jul_2026_F]]-Table4[[#This Row],[Jul_2026_A]]</f>
        <v>0</v>
      </c>
      <c r="CR24" s="103"/>
      <c r="CS24" s="3">
        <f>IFERROR(Table4[[#This Row],[Aug_2026_Days_Forecast]]*Table4[[#This Row],[Cost Boolean]]*(VLOOKUP(Table4[[#This Row],[RATE CONCAT]],Tables!I:N,5,0)),0)</f>
        <v>0</v>
      </c>
      <c r="CT24" s="3">
        <f>IFERROR(Table4[[#This Row],[Aug_2026_Days_Actual]]*Table4[[#This Row],[Cost Boolean]]*(VLOOKUP(Table4[[#This Row],[RATE CONCAT]],Tables!I:N,5,0)),0)</f>
        <v>0</v>
      </c>
      <c r="CU24" s="3">
        <f>Table4[[#This Row],[Aug_2026_F]]-Table4[[#This Row],[Aug_2026_A]]</f>
        <v>0</v>
      </c>
      <c r="CV24" s="103"/>
      <c r="CW24" s="3">
        <f>IFERROR(Table4[[#This Row],[Sep_2026_Days_Forecast]]*Table4[[#This Row],[Cost Boolean]]*(VLOOKUP(Table4[[#This Row],[RATE CONCAT]],Tables!I:N,5,0)),0)</f>
        <v>0</v>
      </c>
      <c r="CX24" s="3">
        <f>IFERROR(Table4[[#This Row],[Sep_2026_Days_Actual]]*Table4[[#This Row],[Cost Boolean]]*(VLOOKUP(Table4[[#This Row],[RATE CONCAT]],Tables!I:N,5,0)),0)</f>
        <v>0</v>
      </c>
      <c r="CY24" s="3">
        <f>Table4[[#This Row],[Sep_2026_F]]-Table4[[#This Row],[Sep_2026_A]]</f>
        <v>0</v>
      </c>
      <c r="CZ24" s="103"/>
      <c r="DA24" s="3">
        <f>IFERROR(Table4[[#This Row],[Oct_2026_Days_Forecast]]*Table4[[#This Row],[Cost Boolean]]*(VLOOKUP(Table4[[#This Row],[RATE CONCAT]],Tables!I:N,5,0)),0)</f>
        <v>0</v>
      </c>
      <c r="DB24" s="3">
        <f>IFERROR(Table4[[#This Row],[Oct_2026_Days_Actual]]*Table4[[#This Row],[Cost Boolean]]*(VLOOKUP(Table4[[#This Row],[RATE CONCAT]],Tables!I:N,5,0)),0)</f>
        <v>0</v>
      </c>
      <c r="DC24" s="3">
        <f>Table4[[#This Row],[Oct_2026_F]]-Table4[[#This Row],[Oct_2026_A]]</f>
        <v>0</v>
      </c>
      <c r="DD24" s="103"/>
      <c r="DE24" s="3">
        <f>IFERROR(Table4[[#This Row],[Nov_2026_Days_Forecast]]*Table4[[#This Row],[Cost Boolean]]*(VLOOKUP(Table4[[#This Row],[RATE CONCAT]],Tables!I:N,5,0)),0)</f>
        <v>0</v>
      </c>
      <c r="DF24" s="3">
        <f>IFERROR(Table4[[#This Row],[Nov_2026_Days_Actual]]*Table4[[#This Row],[Cost Boolean]]*(VLOOKUP(Table4[[#This Row],[RATE CONCAT]],Tables!I:N,5,0)),0)</f>
        <v>0</v>
      </c>
      <c r="DG24" s="3">
        <f>Table4[[#This Row],[Nov_2026_F]]-Table4[[#This Row],[Nov_2026_A]]</f>
        <v>0</v>
      </c>
      <c r="DH24" s="103"/>
      <c r="DI24" s="3">
        <f>IFERROR(Table4[[#This Row],[Dec_2026_Days_Forecast]]*Table4[[#This Row],[Cost Boolean]]*(VLOOKUP(Table4[[#This Row],[RATE CONCAT]],Tables!I:N,5,0)),0)</f>
        <v>0</v>
      </c>
      <c r="DJ24" s="3">
        <f>IFERROR(Table4[[#This Row],[Dec_2026_Days_Actual]]*Table4[[#This Row],[Cost Boolean]]*(VLOOKUP(Table4[[#This Row],[RATE CONCAT]],Tables!I:N,5,0)),0)</f>
        <v>0</v>
      </c>
      <c r="DK24" s="3">
        <f>Table4[[#This Row],[Dec_2026_F]]-Table4[[#This Row],[Dec_2026_A]]</f>
        <v>0</v>
      </c>
      <c r="DL24" s="103"/>
      <c r="DM24" s="60"/>
      <c r="DN24" s="3">
        <f>IFERROR(Table4[[#This Row],[Jan_2027_Days_Forecast]]*Table4[[#This Row],[Cost Boolean]]*(VLOOKUP(Table4[[#This Row],[RATE CONCAT]],Tables!I:N,6,0)),0)</f>
        <v>0</v>
      </c>
      <c r="DO24" s="3"/>
      <c r="DP24" s="3">
        <f>Table4[[#This Row],[Jan_2027_F]]-Table4[[#This Row],[Jan_2027_A]]</f>
        <v>0</v>
      </c>
      <c r="DQ24" s="3">
        <f>IFERROR(Table4[[#This Row],[Feb_2027_Days_Forecast]]*Table4[[#This Row],[Cost Boolean]]*(VLOOKUP(Table4[[#This Row],[RATE CONCAT]],Tables!I:N,6,0)),0)</f>
        <v>0</v>
      </c>
      <c r="DR24" s="3"/>
      <c r="DS24" s="3">
        <f>Table4[[#This Row],[Feb_2027_F]]-Table4[[#This Row],[Feb_2027_A]]</f>
        <v>0</v>
      </c>
      <c r="DT24" s="3">
        <f>IFERROR(Table4[[#This Row],[Mar_2027_Days_Forecast]]*Table4[[#This Row],[Cost Boolean]]*(VLOOKUP(Table4[[#This Row],[RATE CONCAT]],Tables!I:N,6,0)),0)</f>
        <v>0</v>
      </c>
      <c r="DU24" s="3"/>
      <c r="DV24" s="3">
        <f>Table4[[#This Row],[Mar_2027_F]]-Table4[[#This Row],[Mar_2027_A]]</f>
        <v>0</v>
      </c>
      <c r="DW24" s="3">
        <f>IFERROR(Table4[[#This Row],[Apr_2027_Days_Forecast]]*Table4[[#This Row],[Cost Boolean]]*(VLOOKUP(Table4[[#This Row],[RATE CONCAT]],Tables!I:N,6,0)),0)</f>
        <v>0</v>
      </c>
      <c r="DX24" s="3"/>
      <c r="DY24" s="3">
        <f>Table4[[#This Row],[Apr_2027_F]]-Table4[[#This Row],[Apr_2027_A]]</f>
        <v>0</v>
      </c>
      <c r="DZ24" s="3">
        <f>IFERROR(Table4[[#This Row],[May_2027_Days_Forecast]]*Table4[[#This Row],[Cost Boolean]]*(VLOOKUP(Table4[[#This Row],[RATE CONCAT]],Tables!I:N,6,0)),0)</f>
        <v>0</v>
      </c>
      <c r="EA24" s="3"/>
      <c r="EB24" s="3">
        <f>Table4[[#This Row],[May_2027_F]]-Table4[[#This Row],[May_2027_A]]</f>
        <v>0</v>
      </c>
      <c r="EC24" s="3">
        <f>IFERROR(Table4[[#This Row],[Jun_2027_Days_Forecast]]*Table4[[#This Row],[Cost Boolean]]*(VLOOKUP(Table4[[#This Row],[RATE CONCAT]],Tables!I:N,6,0)),0)</f>
        <v>0</v>
      </c>
      <c r="ED24" s="3"/>
      <c r="EE24" s="3">
        <f>Table4[[#This Row],[Jun_2027_F]]-Table4[[#This Row],[Jun_2027_A]]</f>
        <v>0</v>
      </c>
      <c r="EF24" s="3">
        <f>IFERROR(Table4[[#This Row],[Jul_2027_Days_Forecast]]*Table4[[#This Row],[Cost Boolean]]*(VLOOKUP(Table4[[#This Row],[RATE CONCAT]],Tables!I:N,6,0)),0)</f>
        <v>0</v>
      </c>
      <c r="EG24" s="3"/>
      <c r="EH24" s="3">
        <f>Table4[[#This Row],[Jul_2027_F]]-Table4[[#This Row],[Jul_2027_A]]</f>
        <v>0</v>
      </c>
      <c r="EI24" s="3">
        <f>IFERROR(Table4[[#This Row],[Aug_2027_Days_Forecast]]*Table4[[#This Row],[Cost Boolean]]*(VLOOKUP(Table4[[#This Row],[RATE CONCAT]],Tables!I:N,6,0)),0)</f>
        <v>0</v>
      </c>
      <c r="EJ24" s="3"/>
      <c r="EK24" s="3">
        <f>Table4[[#This Row],[Aug_2027_F]]-Table4[[#This Row],[Aug_2027_A]]</f>
        <v>0</v>
      </c>
      <c r="EL24" s="3">
        <f>IFERROR(Table4[[#This Row],[Sep_2027_Days_Forecast]]*Table4[[#This Row],[Cost Boolean]]*(VLOOKUP(Table4[[#This Row],[RATE CONCAT]],Tables!I:N,6,0)),0)</f>
        <v>0</v>
      </c>
      <c r="EM24" s="3"/>
      <c r="EN24" s="3">
        <f>Table4[[#This Row],[Sep_2027_F]]-Table4[[#This Row],[Sep_2027_A]]</f>
        <v>0</v>
      </c>
      <c r="EO24" s="3">
        <f>IFERROR(Table4[[#This Row],[Oct_2027_Days_Forecast]]*Table4[[#This Row],[Cost Boolean]]*(VLOOKUP(Table4[[#This Row],[RATE CONCAT]],Tables!I:N,6,0)),0)</f>
        <v>0</v>
      </c>
      <c r="EP24" s="3"/>
      <c r="EQ24" s="3">
        <f>Table4[[#This Row],[Oct_2027_F]]-Table4[[#This Row],[Oct_2027_A]]</f>
        <v>0</v>
      </c>
      <c r="ER24" s="3">
        <f>IFERROR(Table4[[#This Row],[Nov_2027_Days_Forecast]]*Table4[[#This Row],[Cost Boolean]]*(VLOOKUP(Table4[[#This Row],[RATE CONCAT]],Tables!I:N,6,0)),0)</f>
        <v>0</v>
      </c>
      <c r="ES24" s="3"/>
      <c r="ET24" s="3">
        <f>Table4[[#This Row],[Nov_2027_F]]-Table4[[#This Row],[Nov_2027_A]]</f>
        <v>0</v>
      </c>
      <c r="EU24" s="3">
        <f>IFERROR(Table4[[#This Row],[Dec_2027_Days_Forecast]]*Table4[[#This Row],[Cost Boolean]]*(VLOOKUP(Table4[[#This Row],[RATE CONCAT]],Tables!I:N,6,0)),0)</f>
        <v>0</v>
      </c>
      <c r="EV24" s="3"/>
      <c r="EW24" s="3">
        <f>Table4[[#This Row],[Dec_2027_F]]-Table4[[#This Row],[Dec_2027_A]]</f>
        <v>0</v>
      </c>
    </row>
    <row r="25" spans="1:153" ht="15" customHeight="1">
      <c r="A25" s="132"/>
      <c r="B25" s="132"/>
      <c r="C25" s="132"/>
      <c r="D25" s="132"/>
      <c r="E25" s="132"/>
      <c r="F25" s="132"/>
      <c r="G25" s="132"/>
      <c r="H25" s="132"/>
      <c r="I25" s="132"/>
      <c r="J25" s="132"/>
      <c r="K25" s="132"/>
      <c r="L25" s="132"/>
      <c r="M25" s="132"/>
      <c r="N25" s="132"/>
      <c r="O25" s="132"/>
      <c r="P25" s="132"/>
      <c r="Q25" s="132"/>
      <c r="R25" s="191"/>
      <c r="S25" s="191"/>
      <c r="T25" s="191"/>
      <c r="U25" s="191"/>
      <c r="V25" s="191"/>
      <c r="W25" s="191"/>
      <c r="X25" s="13"/>
      <c r="Y25" s="132" t="str">
        <f>CONCATENATE(Table4[[#This Row],[JG]],Table4[[#This Row],[Country]],Table4[[#This Row],[Resource Provider]])</f>
        <v/>
      </c>
      <c r="Z25" s="132">
        <f>VLOOKUP(Table4[[#This Row],[RATE CONCAT]],Tables!I:N,5,0)</f>
        <v>0</v>
      </c>
      <c r="AA25" s="53"/>
      <c r="AB25" s="192"/>
      <c r="AC25" s="192"/>
      <c r="AD25" s="192"/>
      <c r="AE25" s="192"/>
      <c r="AF25" s="192"/>
      <c r="AG25" s="192"/>
      <c r="AH25" s="192"/>
      <c r="AI25" s="192"/>
      <c r="AJ25" s="192"/>
      <c r="AK25" s="16"/>
      <c r="AL25" s="16"/>
      <c r="AM25" s="16"/>
      <c r="AN25" s="53">
        <f>IFERROR(AVERAGE(Table4[[#This Row],[Jan_2026_Days_Forecast]:[Dec_2026_Days_Forecast]]),0)/19</f>
        <v>0</v>
      </c>
      <c r="AO25" s="53">
        <f>IFERROR(AVERAGE(Table4[[#This Row],[Jan_2026_Days_Actual]:[Dec_2026_Days_Actual]]),0)/19</f>
        <v>0</v>
      </c>
      <c r="AP25" s="84"/>
      <c r="AQ25" s="84"/>
      <c r="AR25" s="84"/>
      <c r="AS25" s="84"/>
      <c r="AT25" s="84"/>
      <c r="AU25" s="84"/>
      <c r="AV25" s="84"/>
      <c r="AW25" s="84"/>
      <c r="AX25" s="84"/>
      <c r="AY25" s="84"/>
      <c r="AZ25" s="84"/>
      <c r="BA25" s="84"/>
      <c r="BB25" s="53">
        <f>IFERROR(AVERAGE(Table4[[#This Row],[Jan_2027_Days_Forecast]:[Dec_2027_Days_Forecast]]),0)</f>
        <v>0</v>
      </c>
      <c r="BC25" s="16"/>
      <c r="BD25" s="16"/>
      <c r="BE25" s="16"/>
      <c r="BF25" s="16"/>
      <c r="BG25" s="16"/>
      <c r="BH25" s="16"/>
      <c r="BI25" s="16"/>
      <c r="BJ25" s="16"/>
      <c r="BK25" s="16"/>
      <c r="BL25" s="16"/>
      <c r="BM25" s="16"/>
      <c r="BN25" s="16"/>
      <c r="BO25" s="55"/>
      <c r="BP25" s="60"/>
      <c r="BQ25" s="3">
        <f>Table4[[#This Row],[Jan_2026_Days_Forecast]]*Table4[[#This Row],[Cost Boolean]]*VLOOKUP(Table4[[#This Row],[RATE CONCAT]],Tables!I:N,5,0)</f>
        <v>0</v>
      </c>
      <c r="BR25" s="3">
        <f>IFERROR(Table4[[#This Row],[Jan_2026_Days_Actual]]*Table4[[#This Row],[Cost Boolean]]*(VLOOKUP(Table4[[#This Row],[RATE CONCAT]],Tables!I:N,5,0)),0)</f>
        <v>0</v>
      </c>
      <c r="BS25" s="3">
        <f>Table4[[#This Row],[Jan_2026_F]]-Table4[[#This Row],[Jan_2026_A]]</f>
        <v>0</v>
      </c>
      <c r="BT25" s="107"/>
      <c r="BU25" s="3">
        <f>IFERROR(Table4[[#This Row],[Feb_2026_Days_Forecast]]*Table4[[#This Row],[Cost Boolean]]*(VLOOKUP(Table4[[#This Row],[RATE CONCAT]],Tables!I:N,5,0)),0)</f>
        <v>0</v>
      </c>
      <c r="BV25" s="3">
        <f>IFERROR(Table4[[#This Row],[Feb_2026_Days_Actual]]*Table4[[#This Row],[Cost Boolean]]*(VLOOKUP(Table4[[#This Row],[RATE CONCAT]],Tables!I:N,5,0)),0)</f>
        <v>0</v>
      </c>
      <c r="BW25" s="3">
        <f>Table4[[#This Row],[Feb_2026_F]]-Table4[[#This Row],[Feb_2026_A]]</f>
        <v>0</v>
      </c>
      <c r="BX25" s="103"/>
      <c r="BY25" s="3">
        <f>IFERROR(Table4[[#This Row],[Mar_2026_Days_Forecast]]*Table4[[#This Row],[Cost Boolean]]*(VLOOKUP(Table4[[#This Row],[RATE CONCAT]],Tables!I:N,5,0)),0)</f>
        <v>0</v>
      </c>
      <c r="BZ25" s="3">
        <f>IFERROR(Table4[[#This Row],[Mar_2026_Days_Actual]]*Table4[[#This Row],[Cost Boolean]]*(VLOOKUP(Table4[[#This Row],[RATE CONCAT]],Tables!I:N,5,0)),0)</f>
        <v>0</v>
      </c>
      <c r="CA25" s="3">
        <f>Table4[[#This Row],[Mar_2026_F]]-Table4[[#This Row],[Mar_2026_A]]</f>
        <v>0</v>
      </c>
      <c r="CB25" s="103"/>
      <c r="CC25" s="3">
        <f>IFERROR(Table4[[#This Row],[Apr_2026_Days_Forecast]]*Table4[[#This Row],[Cost Boolean]]*(VLOOKUP(Table4[[#This Row],[RATE CONCAT]],Tables!I:N,5,0)),0)</f>
        <v>0</v>
      </c>
      <c r="CD25" s="3">
        <f>IFERROR(Table4[[#This Row],[Apr_2026_Days_Actual]]*Table4[[#This Row],[Cost Boolean]]*(VLOOKUP(Table4[[#This Row],[RATE CONCAT]],Tables!I:N,5,0)),0)</f>
        <v>0</v>
      </c>
      <c r="CE25" s="3">
        <f>Table4[[#This Row],[Apr_2026_F]]-Table4[[#This Row],[Apr_2026_A]]</f>
        <v>0</v>
      </c>
      <c r="CF25" s="103"/>
      <c r="CG25" s="3">
        <f>IFERROR(Table4[[#This Row],[May_2026_Days_Forecast]] *Table4[[#This Row],[Cost Boolean]]*(VLOOKUP(Table4[[#This Row],[RATE CONCAT]],Tables!I:N,5,0)),0)</f>
        <v>0</v>
      </c>
      <c r="CH25" s="3">
        <f>IFERROR(Table4[[#This Row],[May_2026_Days_Actual]]*Table4[[#This Row],[Cost Boolean]]*(VLOOKUP(Table4[[#This Row],[RATE CONCAT]],Tables!I:N,5,0)),0)</f>
        <v>0</v>
      </c>
      <c r="CI25" s="3">
        <f>Table4[[#This Row],[May_2026_F]]-Table4[[#This Row],[May_2026_A]]</f>
        <v>0</v>
      </c>
      <c r="CJ25" s="103"/>
      <c r="CK25" s="3">
        <f>IFERROR(Table4[[#This Row],[Jun_2026_Days_Forecast]]*Table4[[#This Row],[Cost Boolean]]*(VLOOKUP(Table4[[#This Row],[RATE CONCAT]],Tables!I:N,5,0)),0)</f>
        <v>0</v>
      </c>
      <c r="CL25" s="3">
        <f>IFERROR(Table4[[#This Row],[Jun_2026_Days_Actual]]*Table4[[#This Row],[Cost Boolean]]*(VLOOKUP(Table4[[#This Row],[RATE CONCAT]],Tables!I:N,5,0)),0)</f>
        <v>0</v>
      </c>
      <c r="CM25" s="3">
        <f>Table4[[#This Row],[Jun_2026_F]]-Table4[[#This Row],[Jun_2026_A]]</f>
        <v>0</v>
      </c>
      <c r="CN25" s="103"/>
      <c r="CO25" s="3">
        <f>IFERROR(Table4[[#This Row],[Jul_2026_Days_Forecast]]*Table4[[#This Row],[Cost Boolean]]*(VLOOKUP(Table4[[#This Row],[RATE CONCAT]],Tables!I:N,5,0)),0)</f>
        <v>0</v>
      </c>
      <c r="CP25" s="3">
        <f>IFERROR(Table4[[#This Row],[Aug_2026_Days_Forecast]]*Table4[[#This Row],[Location]]*(VLOOKUP(Table4[[#This Row],[Rate]],Tables!J:O,5,0)),0)</f>
        <v>0</v>
      </c>
      <c r="CQ25" s="3">
        <f>Table4[[#This Row],[Jul_2026_F]]-Table4[[#This Row],[Jul_2026_A]]</f>
        <v>0</v>
      </c>
      <c r="CR25" s="103"/>
      <c r="CS25" s="3">
        <f>IFERROR(Table4[[#This Row],[Aug_2026_Days_Forecast]]*Table4[[#This Row],[Cost Boolean]]*(VLOOKUP(Table4[[#This Row],[RATE CONCAT]],Tables!I:N,5,0)),0)</f>
        <v>0</v>
      </c>
      <c r="CT25" s="3">
        <f>IFERROR(Table4[[#This Row],[Aug_2026_Days_Actual]]*Table4[[#This Row],[Cost Boolean]]*(VLOOKUP(Table4[[#This Row],[RATE CONCAT]],Tables!I:N,5,0)),0)</f>
        <v>0</v>
      </c>
      <c r="CU25" s="3">
        <f>Table4[[#This Row],[Aug_2026_F]]-Table4[[#This Row],[Aug_2026_A]]</f>
        <v>0</v>
      </c>
      <c r="CV25" s="103"/>
      <c r="CW25" s="3">
        <f>IFERROR(Table4[[#This Row],[Sep_2026_Days_Forecast]]*Table4[[#This Row],[Cost Boolean]]*(VLOOKUP(Table4[[#This Row],[RATE CONCAT]],Tables!I:N,5,0)),0)</f>
        <v>0</v>
      </c>
      <c r="CX25" s="3">
        <f>IFERROR(Table4[[#This Row],[Sep_2026_Days_Actual]]*Table4[[#This Row],[Cost Boolean]]*(VLOOKUP(Table4[[#This Row],[RATE CONCAT]],Tables!I:N,5,0)),0)</f>
        <v>0</v>
      </c>
      <c r="CY25" s="3">
        <f>Table4[[#This Row],[Sep_2026_F]]-Table4[[#This Row],[Sep_2026_A]]</f>
        <v>0</v>
      </c>
      <c r="CZ25" s="103"/>
      <c r="DA25" s="3">
        <f>IFERROR(Table4[[#This Row],[Oct_2026_Days_Forecast]]*Table4[[#This Row],[Cost Boolean]]*(VLOOKUP(Table4[[#This Row],[RATE CONCAT]],Tables!I:N,5,0)),0)</f>
        <v>0</v>
      </c>
      <c r="DB25" s="3">
        <f>IFERROR(Table4[[#This Row],[Oct_2026_Days_Actual]]*Table4[[#This Row],[Cost Boolean]]*(VLOOKUP(Table4[[#This Row],[RATE CONCAT]],Tables!I:N,5,0)),0)</f>
        <v>0</v>
      </c>
      <c r="DC25" s="3">
        <f>Table4[[#This Row],[Oct_2026_F]]-Table4[[#This Row],[Oct_2026_A]]</f>
        <v>0</v>
      </c>
      <c r="DD25" s="103"/>
      <c r="DE25" s="3">
        <f>IFERROR(Table4[[#This Row],[Nov_2026_Days_Forecast]]*Table4[[#This Row],[Cost Boolean]]*(VLOOKUP(Table4[[#This Row],[RATE CONCAT]],Tables!I:N,5,0)),0)</f>
        <v>0</v>
      </c>
      <c r="DF25" s="3">
        <f>IFERROR(Table4[[#This Row],[Nov_2026_Days_Actual]]*Table4[[#This Row],[Cost Boolean]]*(VLOOKUP(Table4[[#This Row],[RATE CONCAT]],Tables!I:N,5,0)),0)</f>
        <v>0</v>
      </c>
      <c r="DG25" s="3">
        <f>Table4[[#This Row],[Nov_2026_F]]-Table4[[#This Row],[Nov_2026_A]]</f>
        <v>0</v>
      </c>
      <c r="DH25" s="103"/>
      <c r="DI25" s="3">
        <f>IFERROR(Table4[[#This Row],[Dec_2026_Days_Forecast]]*Table4[[#This Row],[Cost Boolean]]*(VLOOKUP(Table4[[#This Row],[RATE CONCAT]],Tables!I:N,5,0)),0)</f>
        <v>0</v>
      </c>
      <c r="DJ25" s="3">
        <f>IFERROR(Table4[[#This Row],[Dec_2026_Days_Actual]]*Table4[[#This Row],[Cost Boolean]]*(VLOOKUP(Table4[[#This Row],[RATE CONCAT]],Tables!I:N,5,0)),0)</f>
        <v>0</v>
      </c>
      <c r="DK25" s="3">
        <f>Table4[[#This Row],[Dec_2026_F]]-Table4[[#This Row],[Dec_2026_A]]</f>
        <v>0</v>
      </c>
      <c r="DL25" s="103"/>
      <c r="DM25" s="60"/>
      <c r="DN25" s="3">
        <f>IFERROR(Table4[[#This Row],[Jan_2027_Days_Forecast]]*Table4[[#This Row],[Cost Boolean]]*(VLOOKUP(Table4[[#This Row],[RATE CONCAT]],Tables!I:N,6,0)),0)</f>
        <v>0</v>
      </c>
      <c r="DO25" s="3"/>
      <c r="DP25" s="3">
        <f>Table4[[#This Row],[Jan_2027_F]]-Table4[[#This Row],[Jan_2027_A]]</f>
        <v>0</v>
      </c>
      <c r="DQ25" s="3">
        <f>IFERROR(Table4[[#This Row],[Feb_2027_Days_Forecast]]*Table4[[#This Row],[Cost Boolean]]*(VLOOKUP(Table4[[#This Row],[RATE CONCAT]],Tables!I:N,6,0)),0)</f>
        <v>0</v>
      </c>
      <c r="DR25" s="3"/>
      <c r="DS25" s="3">
        <f>Table4[[#This Row],[Feb_2027_F]]-Table4[[#This Row],[Feb_2027_A]]</f>
        <v>0</v>
      </c>
      <c r="DT25" s="3">
        <f>IFERROR(Table4[[#This Row],[Mar_2027_Days_Forecast]]*Table4[[#This Row],[Cost Boolean]]*(VLOOKUP(Table4[[#This Row],[RATE CONCAT]],Tables!I:N,6,0)),0)</f>
        <v>0</v>
      </c>
      <c r="DU25" s="3"/>
      <c r="DV25" s="3">
        <f>Table4[[#This Row],[Mar_2027_F]]-Table4[[#This Row],[Mar_2027_A]]</f>
        <v>0</v>
      </c>
      <c r="DW25" s="3">
        <f>IFERROR(Table4[[#This Row],[Apr_2027_Days_Forecast]]*Table4[[#This Row],[Cost Boolean]]*(VLOOKUP(Table4[[#This Row],[RATE CONCAT]],Tables!I:N,6,0)),0)</f>
        <v>0</v>
      </c>
      <c r="DX25" s="3"/>
      <c r="DY25" s="3">
        <f>Table4[[#This Row],[Apr_2027_F]]-Table4[[#This Row],[Apr_2027_A]]</f>
        <v>0</v>
      </c>
      <c r="DZ25" s="3">
        <f>IFERROR(Table4[[#This Row],[May_2027_Days_Forecast]]*Table4[[#This Row],[Cost Boolean]]*(VLOOKUP(Table4[[#This Row],[RATE CONCAT]],Tables!I:N,6,0)),0)</f>
        <v>0</v>
      </c>
      <c r="EA25" s="3"/>
      <c r="EB25" s="3">
        <f>Table4[[#This Row],[May_2027_F]]-Table4[[#This Row],[May_2027_A]]</f>
        <v>0</v>
      </c>
      <c r="EC25" s="3">
        <f>IFERROR(Table4[[#This Row],[Jun_2027_Days_Forecast]]*Table4[[#This Row],[Cost Boolean]]*(VLOOKUP(Table4[[#This Row],[RATE CONCAT]],Tables!I:N,6,0)),0)</f>
        <v>0</v>
      </c>
      <c r="ED25" s="3"/>
      <c r="EE25" s="3">
        <f>Table4[[#This Row],[Jun_2027_F]]-Table4[[#This Row],[Jun_2027_A]]</f>
        <v>0</v>
      </c>
      <c r="EF25" s="3">
        <f>IFERROR(Table4[[#This Row],[Jul_2027_Days_Forecast]]*Table4[[#This Row],[Cost Boolean]]*(VLOOKUP(Table4[[#This Row],[RATE CONCAT]],Tables!I:N,6,0)),0)</f>
        <v>0</v>
      </c>
      <c r="EG25" s="3"/>
      <c r="EH25" s="3">
        <f>Table4[[#This Row],[Jul_2027_F]]-Table4[[#This Row],[Jul_2027_A]]</f>
        <v>0</v>
      </c>
      <c r="EI25" s="3">
        <f>IFERROR(Table4[[#This Row],[Aug_2027_Days_Forecast]]*Table4[[#This Row],[Cost Boolean]]*(VLOOKUP(Table4[[#This Row],[RATE CONCAT]],Tables!I:N,6,0)),0)</f>
        <v>0</v>
      </c>
      <c r="EJ25" s="3"/>
      <c r="EK25" s="3">
        <f>Table4[[#This Row],[Aug_2027_F]]-Table4[[#This Row],[Aug_2027_A]]</f>
        <v>0</v>
      </c>
      <c r="EL25" s="3">
        <f>IFERROR(Table4[[#This Row],[Sep_2027_Days_Forecast]]*Table4[[#This Row],[Cost Boolean]]*(VLOOKUP(Table4[[#This Row],[RATE CONCAT]],Tables!I:N,6,0)),0)</f>
        <v>0</v>
      </c>
      <c r="EM25" s="3"/>
      <c r="EN25" s="3">
        <f>Table4[[#This Row],[Sep_2027_F]]-Table4[[#This Row],[Sep_2027_A]]</f>
        <v>0</v>
      </c>
      <c r="EO25" s="3">
        <f>IFERROR(Table4[[#This Row],[Oct_2027_Days_Forecast]]*Table4[[#This Row],[Cost Boolean]]*(VLOOKUP(Table4[[#This Row],[RATE CONCAT]],Tables!I:N,6,0)),0)</f>
        <v>0</v>
      </c>
      <c r="EP25" s="3"/>
      <c r="EQ25" s="3">
        <f>Table4[[#This Row],[Oct_2027_F]]-Table4[[#This Row],[Oct_2027_A]]</f>
        <v>0</v>
      </c>
      <c r="ER25" s="3">
        <f>IFERROR(Table4[[#This Row],[Nov_2027_Days_Forecast]]*Table4[[#This Row],[Cost Boolean]]*(VLOOKUP(Table4[[#This Row],[RATE CONCAT]],Tables!I:N,6,0)),0)</f>
        <v>0</v>
      </c>
      <c r="ES25" s="3"/>
      <c r="ET25" s="3">
        <f>Table4[[#This Row],[Nov_2027_F]]-Table4[[#This Row],[Nov_2027_A]]</f>
        <v>0</v>
      </c>
      <c r="EU25" s="3">
        <f>IFERROR(Table4[[#This Row],[Dec_2027_Days_Forecast]]*Table4[[#This Row],[Cost Boolean]]*(VLOOKUP(Table4[[#This Row],[RATE CONCAT]],Tables!I:N,6,0)),0)</f>
        <v>0</v>
      </c>
      <c r="EV25" s="3"/>
      <c r="EW25" s="3">
        <f>Table4[[#This Row],[Dec_2027_F]]-Table4[[#This Row],[Dec_2027_A]]</f>
        <v>0</v>
      </c>
    </row>
    <row r="26" spans="1:153" ht="15" customHeight="1">
      <c r="A26" s="132"/>
      <c r="B26" s="132"/>
      <c r="C26" s="132"/>
      <c r="D26" s="132"/>
      <c r="E26" s="132"/>
      <c r="F26" s="132"/>
      <c r="G26" s="132"/>
      <c r="H26" s="132"/>
      <c r="I26" s="132"/>
      <c r="J26" s="132"/>
      <c r="K26" s="132"/>
      <c r="L26" s="132"/>
      <c r="M26" s="132"/>
      <c r="N26" s="132"/>
      <c r="O26" s="132"/>
      <c r="P26" s="132"/>
      <c r="Q26" s="132"/>
      <c r="R26" s="191"/>
      <c r="S26" s="191"/>
      <c r="T26" s="191"/>
      <c r="U26" s="191"/>
      <c r="V26" s="191"/>
      <c r="W26" s="191"/>
      <c r="X26" s="13"/>
      <c r="Y26" s="132" t="str">
        <f>CONCATENATE(Table4[[#This Row],[JG]],Table4[[#This Row],[Country]],Table4[[#This Row],[Resource Provider]])</f>
        <v/>
      </c>
      <c r="Z26" s="132">
        <f>VLOOKUP(Table4[[#This Row],[RATE CONCAT]],Tables!I:N,5,0)</f>
        <v>0</v>
      </c>
      <c r="AA26" s="53"/>
      <c r="AB26" s="192"/>
      <c r="AC26" s="192"/>
      <c r="AD26" s="192"/>
      <c r="AE26" s="192"/>
      <c r="AF26" s="192"/>
      <c r="AG26" s="192"/>
      <c r="AH26" s="192"/>
      <c r="AI26" s="192"/>
      <c r="AJ26" s="192"/>
      <c r="AK26" s="16"/>
      <c r="AL26" s="16"/>
      <c r="AM26" s="16"/>
      <c r="AN26" s="53">
        <f>IFERROR(AVERAGE(Table4[[#This Row],[Jan_2026_Days_Forecast]:[Dec_2026_Days_Forecast]]),0)/19</f>
        <v>0</v>
      </c>
      <c r="AO26" s="53">
        <f>IFERROR(AVERAGE(Table4[[#This Row],[Jan_2026_Days_Actual]:[Dec_2026_Days_Actual]]),0)/19</f>
        <v>0</v>
      </c>
      <c r="AP26" s="84"/>
      <c r="AQ26" s="84"/>
      <c r="AR26" s="84"/>
      <c r="AS26" s="84"/>
      <c r="AT26" s="84"/>
      <c r="AU26" s="84"/>
      <c r="AV26" s="84"/>
      <c r="AW26" s="84"/>
      <c r="AX26" s="84"/>
      <c r="AY26" s="84"/>
      <c r="AZ26" s="84"/>
      <c r="BA26" s="84"/>
      <c r="BB26" s="53">
        <f>IFERROR(AVERAGE(Table4[[#This Row],[Jan_2027_Days_Forecast]:[Dec_2027_Days_Forecast]]),0)</f>
        <v>0</v>
      </c>
      <c r="BC26" s="16"/>
      <c r="BD26" s="16"/>
      <c r="BE26" s="16"/>
      <c r="BF26" s="16"/>
      <c r="BG26" s="16"/>
      <c r="BH26" s="16"/>
      <c r="BI26" s="16"/>
      <c r="BJ26" s="16"/>
      <c r="BK26" s="16"/>
      <c r="BL26" s="16"/>
      <c r="BM26" s="16"/>
      <c r="BN26" s="16"/>
      <c r="BO26" s="55"/>
      <c r="BP26" s="60"/>
      <c r="BQ26" s="3">
        <f>Table4[[#This Row],[Jan_2026_Days_Forecast]]*Table4[[#This Row],[Cost Boolean]]*VLOOKUP(Table4[[#This Row],[RATE CONCAT]],Tables!I:N,5,0)</f>
        <v>0</v>
      </c>
      <c r="BR26" s="3">
        <f>IFERROR(Table4[[#This Row],[Jan_2026_Days_Actual]]*Table4[[#This Row],[Cost Boolean]]*(VLOOKUP(Table4[[#This Row],[RATE CONCAT]],Tables!I:N,5,0)),0)</f>
        <v>0</v>
      </c>
      <c r="BS26" s="3">
        <f>Table4[[#This Row],[Jan_2026_F]]-Table4[[#This Row],[Jan_2026_A]]</f>
        <v>0</v>
      </c>
      <c r="BT26" s="107"/>
      <c r="BU26" s="3">
        <f>IFERROR(Table4[[#This Row],[Feb_2026_Days_Forecast]]*Table4[[#This Row],[Cost Boolean]]*(VLOOKUP(Table4[[#This Row],[RATE CONCAT]],Tables!I:N,5,0)),0)</f>
        <v>0</v>
      </c>
      <c r="BV26" s="3">
        <f>IFERROR(Table4[[#This Row],[Feb_2026_Days_Actual]]*Table4[[#This Row],[Cost Boolean]]*(VLOOKUP(Table4[[#This Row],[RATE CONCAT]],Tables!I:N,5,0)),0)</f>
        <v>0</v>
      </c>
      <c r="BW26" s="3">
        <f>Table4[[#This Row],[Feb_2026_F]]-Table4[[#This Row],[Feb_2026_A]]</f>
        <v>0</v>
      </c>
      <c r="BX26" s="103"/>
      <c r="BY26" s="3">
        <f>IFERROR(Table4[[#This Row],[Mar_2026_Days_Forecast]]*Table4[[#This Row],[Cost Boolean]]*(VLOOKUP(Table4[[#This Row],[RATE CONCAT]],Tables!I:N,5,0)),0)</f>
        <v>0</v>
      </c>
      <c r="BZ26" s="3">
        <f>IFERROR(Table4[[#This Row],[Mar_2026_Days_Actual]]*Table4[[#This Row],[Cost Boolean]]*(VLOOKUP(Table4[[#This Row],[RATE CONCAT]],Tables!I:N,5,0)),0)</f>
        <v>0</v>
      </c>
      <c r="CA26" s="3">
        <f>Table4[[#This Row],[Mar_2026_F]]-Table4[[#This Row],[Mar_2026_A]]</f>
        <v>0</v>
      </c>
      <c r="CB26" s="103"/>
      <c r="CC26" s="3">
        <f>IFERROR(Table4[[#This Row],[Apr_2026_Days_Forecast]]*Table4[[#This Row],[Cost Boolean]]*(VLOOKUP(Table4[[#This Row],[RATE CONCAT]],Tables!I:N,5,0)),0)</f>
        <v>0</v>
      </c>
      <c r="CD26" s="3">
        <f>IFERROR(Table4[[#This Row],[Apr_2026_Days_Actual]]*Table4[[#This Row],[Cost Boolean]]*(VLOOKUP(Table4[[#This Row],[RATE CONCAT]],Tables!I:N,5,0)),0)</f>
        <v>0</v>
      </c>
      <c r="CE26" s="3">
        <f>Table4[[#This Row],[Apr_2026_F]]-Table4[[#This Row],[Apr_2026_A]]</f>
        <v>0</v>
      </c>
      <c r="CF26" s="103"/>
      <c r="CG26" s="3">
        <f>IFERROR(Table4[[#This Row],[May_2026_Days_Forecast]] *Table4[[#This Row],[Cost Boolean]]*(VLOOKUP(Table4[[#This Row],[RATE CONCAT]],Tables!I:N,5,0)),0)</f>
        <v>0</v>
      </c>
      <c r="CH26" s="3">
        <f>IFERROR(Table4[[#This Row],[May_2026_Days_Actual]]*Table4[[#This Row],[Cost Boolean]]*(VLOOKUP(Table4[[#This Row],[RATE CONCAT]],Tables!I:N,5,0)),0)</f>
        <v>0</v>
      </c>
      <c r="CI26" s="3">
        <f>Table4[[#This Row],[May_2026_F]]-Table4[[#This Row],[May_2026_A]]</f>
        <v>0</v>
      </c>
      <c r="CJ26" s="103"/>
      <c r="CK26" s="3">
        <f>IFERROR(Table4[[#This Row],[Jun_2026_Days_Forecast]]*Table4[[#This Row],[Cost Boolean]]*(VLOOKUP(Table4[[#This Row],[RATE CONCAT]],Tables!I:N,5,0)),0)</f>
        <v>0</v>
      </c>
      <c r="CL26" s="3">
        <f>IFERROR(Table4[[#This Row],[Jun_2026_Days_Actual]]*Table4[[#This Row],[Cost Boolean]]*(VLOOKUP(Table4[[#This Row],[RATE CONCAT]],Tables!I:N,5,0)),0)</f>
        <v>0</v>
      </c>
      <c r="CM26" s="3">
        <f>Table4[[#This Row],[Jun_2026_F]]-Table4[[#This Row],[Jun_2026_A]]</f>
        <v>0</v>
      </c>
      <c r="CN26" s="103"/>
      <c r="CO26" s="3">
        <f>IFERROR(Table4[[#This Row],[Jul_2026_Days_Forecast]]*Table4[[#This Row],[Cost Boolean]]*(VLOOKUP(Table4[[#This Row],[RATE CONCAT]],Tables!I:N,5,0)),0)</f>
        <v>0</v>
      </c>
      <c r="CP26" s="3">
        <f>IFERROR(Table4[[#This Row],[Aug_2026_Days_Forecast]]*Table4[[#This Row],[Location]]*(VLOOKUP(Table4[[#This Row],[Rate]],Tables!J:O,5,0)),0)</f>
        <v>0</v>
      </c>
      <c r="CQ26" s="3">
        <f>Table4[[#This Row],[Jul_2026_F]]-Table4[[#This Row],[Jul_2026_A]]</f>
        <v>0</v>
      </c>
      <c r="CR26" s="103"/>
      <c r="CS26" s="3">
        <f>IFERROR(Table4[[#This Row],[Aug_2026_Days_Forecast]]*Table4[[#This Row],[Cost Boolean]]*(VLOOKUP(Table4[[#This Row],[RATE CONCAT]],Tables!I:N,5,0)),0)</f>
        <v>0</v>
      </c>
      <c r="CT26" s="3">
        <f>IFERROR(Table4[[#This Row],[Aug_2026_Days_Actual]]*Table4[[#This Row],[Cost Boolean]]*(VLOOKUP(Table4[[#This Row],[RATE CONCAT]],Tables!I:N,5,0)),0)</f>
        <v>0</v>
      </c>
      <c r="CU26" s="3">
        <f>Table4[[#This Row],[Aug_2026_F]]-Table4[[#This Row],[Aug_2026_A]]</f>
        <v>0</v>
      </c>
      <c r="CV26" s="103"/>
      <c r="CW26" s="3">
        <f>IFERROR(Table4[[#This Row],[Sep_2026_Days_Forecast]]*Table4[[#This Row],[Cost Boolean]]*(VLOOKUP(Table4[[#This Row],[RATE CONCAT]],Tables!I:N,5,0)),0)</f>
        <v>0</v>
      </c>
      <c r="CX26" s="3">
        <f>IFERROR(Table4[[#This Row],[Sep_2026_Days_Actual]]*Table4[[#This Row],[Cost Boolean]]*(VLOOKUP(Table4[[#This Row],[RATE CONCAT]],Tables!I:N,5,0)),0)</f>
        <v>0</v>
      </c>
      <c r="CY26" s="3">
        <f>Table4[[#This Row],[Sep_2026_F]]-Table4[[#This Row],[Sep_2026_A]]</f>
        <v>0</v>
      </c>
      <c r="CZ26" s="103"/>
      <c r="DA26" s="3">
        <f>IFERROR(Table4[[#This Row],[Oct_2026_Days_Forecast]]*Table4[[#This Row],[Cost Boolean]]*(VLOOKUP(Table4[[#This Row],[RATE CONCAT]],Tables!I:N,5,0)),0)</f>
        <v>0</v>
      </c>
      <c r="DB26" s="3">
        <f>IFERROR(Table4[[#This Row],[Oct_2026_Days_Actual]]*Table4[[#This Row],[Cost Boolean]]*(VLOOKUP(Table4[[#This Row],[RATE CONCAT]],Tables!I:N,5,0)),0)</f>
        <v>0</v>
      </c>
      <c r="DC26" s="3">
        <f>Table4[[#This Row],[Oct_2026_F]]-Table4[[#This Row],[Oct_2026_A]]</f>
        <v>0</v>
      </c>
      <c r="DD26" s="103"/>
      <c r="DE26" s="3">
        <f>IFERROR(Table4[[#This Row],[Nov_2026_Days_Forecast]]*Table4[[#This Row],[Cost Boolean]]*(VLOOKUP(Table4[[#This Row],[RATE CONCAT]],Tables!I:N,5,0)),0)</f>
        <v>0</v>
      </c>
      <c r="DF26" s="3">
        <f>IFERROR(Table4[[#This Row],[Nov_2026_Days_Actual]]*Table4[[#This Row],[Cost Boolean]]*(VLOOKUP(Table4[[#This Row],[RATE CONCAT]],Tables!I:N,5,0)),0)</f>
        <v>0</v>
      </c>
      <c r="DG26" s="3">
        <f>Table4[[#This Row],[Nov_2026_F]]-Table4[[#This Row],[Nov_2026_A]]</f>
        <v>0</v>
      </c>
      <c r="DH26" s="103"/>
      <c r="DI26" s="3">
        <f>IFERROR(Table4[[#This Row],[Dec_2026_Days_Forecast]]*Table4[[#This Row],[Cost Boolean]]*(VLOOKUP(Table4[[#This Row],[RATE CONCAT]],Tables!I:N,5,0)),0)</f>
        <v>0</v>
      </c>
      <c r="DJ26" s="3">
        <f>IFERROR(Table4[[#This Row],[Dec_2026_Days_Actual]]*Table4[[#This Row],[Cost Boolean]]*(VLOOKUP(Table4[[#This Row],[RATE CONCAT]],Tables!I:N,5,0)),0)</f>
        <v>0</v>
      </c>
      <c r="DK26" s="3">
        <f>Table4[[#This Row],[Dec_2026_F]]-Table4[[#This Row],[Dec_2026_A]]</f>
        <v>0</v>
      </c>
      <c r="DL26" s="103"/>
      <c r="DM26" s="60"/>
      <c r="DN26" s="3">
        <f>IFERROR(Table4[[#This Row],[Jan_2027_Days_Forecast]]*Table4[[#This Row],[Cost Boolean]]*(VLOOKUP(Table4[[#This Row],[RATE CONCAT]],Tables!I:N,6,0)),0)</f>
        <v>0</v>
      </c>
      <c r="DO26" s="3"/>
      <c r="DP26" s="3">
        <f>Table4[[#This Row],[Jan_2027_F]]-Table4[[#This Row],[Jan_2027_A]]</f>
        <v>0</v>
      </c>
      <c r="DQ26" s="3">
        <f>IFERROR(Table4[[#This Row],[Feb_2027_Days_Forecast]]*Table4[[#This Row],[Cost Boolean]]*(VLOOKUP(Table4[[#This Row],[RATE CONCAT]],Tables!I:N,6,0)),0)</f>
        <v>0</v>
      </c>
      <c r="DR26" s="3"/>
      <c r="DS26" s="3">
        <f>Table4[[#This Row],[Feb_2027_F]]-Table4[[#This Row],[Feb_2027_A]]</f>
        <v>0</v>
      </c>
      <c r="DT26" s="3">
        <f>IFERROR(Table4[[#This Row],[Mar_2027_Days_Forecast]]*Table4[[#This Row],[Cost Boolean]]*(VLOOKUP(Table4[[#This Row],[RATE CONCAT]],Tables!I:N,6,0)),0)</f>
        <v>0</v>
      </c>
      <c r="DU26" s="3"/>
      <c r="DV26" s="3">
        <f>Table4[[#This Row],[Mar_2027_F]]-Table4[[#This Row],[Mar_2027_A]]</f>
        <v>0</v>
      </c>
      <c r="DW26" s="3">
        <f>IFERROR(Table4[[#This Row],[Apr_2027_Days_Forecast]]*Table4[[#This Row],[Cost Boolean]]*(VLOOKUP(Table4[[#This Row],[RATE CONCAT]],Tables!I:N,6,0)),0)</f>
        <v>0</v>
      </c>
      <c r="DX26" s="3"/>
      <c r="DY26" s="3">
        <f>Table4[[#This Row],[Apr_2027_F]]-Table4[[#This Row],[Apr_2027_A]]</f>
        <v>0</v>
      </c>
      <c r="DZ26" s="3">
        <f>IFERROR(Table4[[#This Row],[May_2027_Days_Forecast]]*Table4[[#This Row],[Cost Boolean]]*(VLOOKUP(Table4[[#This Row],[RATE CONCAT]],Tables!I:N,6,0)),0)</f>
        <v>0</v>
      </c>
      <c r="EA26" s="3"/>
      <c r="EB26" s="3">
        <f>Table4[[#This Row],[May_2027_F]]-Table4[[#This Row],[May_2027_A]]</f>
        <v>0</v>
      </c>
      <c r="EC26" s="3">
        <f>IFERROR(Table4[[#This Row],[Jun_2027_Days_Forecast]]*Table4[[#This Row],[Cost Boolean]]*(VLOOKUP(Table4[[#This Row],[RATE CONCAT]],Tables!I:N,6,0)),0)</f>
        <v>0</v>
      </c>
      <c r="ED26" s="3"/>
      <c r="EE26" s="3">
        <f>Table4[[#This Row],[Jun_2027_F]]-Table4[[#This Row],[Jun_2027_A]]</f>
        <v>0</v>
      </c>
      <c r="EF26" s="3">
        <f>IFERROR(Table4[[#This Row],[Jul_2027_Days_Forecast]]*Table4[[#This Row],[Cost Boolean]]*(VLOOKUP(Table4[[#This Row],[RATE CONCAT]],Tables!I:N,6,0)),0)</f>
        <v>0</v>
      </c>
      <c r="EG26" s="3"/>
      <c r="EH26" s="3">
        <f>Table4[[#This Row],[Jul_2027_F]]-Table4[[#This Row],[Jul_2027_A]]</f>
        <v>0</v>
      </c>
      <c r="EI26" s="3">
        <f>IFERROR(Table4[[#This Row],[Aug_2027_Days_Forecast]]*Table4[[#This Row],[Cost Boolean]]*(VLOOKUP(Table4[[#This Row],[RATE CONCAT]],Tables!I:N,6,0)),0)</f>
        <v>0</v>
      </c>
      <c r="EJ26" s="3"/>
      <c r="EK26" s="3">
        <f>Table4[[#This Row],[Aug_2027_F]]-Table4[[#This Row],[Aug_2027_A]]</f>
        <v>0</v>
      </c>
      <c r="EL26" s="3">
        <f>IFERROR(Table4[[#This Row],[Sep_2027_Days_Forecast]]*Table4[[#This Row],[Cost Boolean]]*(VLOOKUP(Table4[[#This Row],[RATE CONCAT]],Tables!I:N,6,0)),0)</f>
        <v>0</v>
      </c>
      <c r="EM26" s="3"/>
      <c r="EN26" s="3">
        <f>Table4[[#This Row],[Sep_2027_F]]-Table4[[#This Row],[Sep_2027_A]]</f>
        <v>0</v>
      </c>
      <c r="EO26" s="3">
        <f>IFERROR(Table4[[#This Row],[Oct_2027_Days_Forecast]]*Table4[[#This Row],[Cost Boolean]]*(VLOOKUP(Table4[[#This Row],[RATE CONCAT]],Tables!I:N,6,0)),0)</f>
        <v>0</v>
      </c>
      <c r="EP26" s="3"/>
      <c r="EQ26" s="3">
        <f>Table4[[#This Row],[Oct_2027_F]]-Table4[[#This Row],[Oct_2027_A]]</f>
        <v>0</v>
      </c>
      <c r="ER26" s="3">
        <f>IFERROR(Table4[[#This Row],[Nov_2027_Days_Forecast]]*Table4[[#This Row],[Cost Boolean]]*(VLOOKUP(Table4[[#This Row],[RATE CONCAT]],Tables!I:N,6,0)),0)</f>
        <v>0</v>
      </c>
      <c r="ES26" s="3"/>
      <c r="ET26" s="3">
        <f>Table4[[#This Row],[Nov_2027_F]]-Table4[[#This Row],[Nov_2027_A]]</f>
        <v>0</v>
      </c>
      <c r="EU26" s="3">
        <f>IFERROR(Table4[[#This Row],[Dec_2027_Days_Forecast]]*Table4[[#This Row],[Cost Boolean]]*(VLOOKUP(Table4[[#This Row],[RATE CONCAT]],Tables!I:N,6,0)),0)</f>
        <v>0</v>
      </c>
      <c r="EV26" s="3"/>
      <c r="EW26" s="3">
        <f>Table4[[#This Row],[Dec_2027_F]]-Table4[[#This Row],[Dec_2027_A]]</f>
        <v>0</v>
      </c>
    </row>
    <row r="27" spans="1:153" ht="15" customHeight="1">
      <c r="A27" s="132"/>
      <c r="B27" s="132"/>
      <c r="C27" s="132"/>
      <c r="D27" s="132"/>
      <c r="E27" s="132"/>
      <c r="F27" s="132"/>
      <c r="G27" s="132"/>
      <c r="H27" s="132"/>
      <c r="I27" s="132"/>
      <c r="J27" s="132"/>
      <c r="K27" s="132"/>
      <c r="L27" s="132"/>
      <c r="M27" s="132"/>
      <c r="N27" s="132"/>
      <c r="O27" s="132"/>
      <c r="P27" s="132"/>
      <c r="Q27" s="132"/>
      <c r="R27" s="191"/>
      <c r="S27" s="191"/>
      <c r="T27" s="191"/>
      <c r="U27" s="191"/>
      <c r="V27" s="191"/>
      <c r="W27" s="191"/>
      <c r="X27" s="13"/>
      <c r="Y27" s="132" t="str">
        <f>CONCATENATE(Table4[[#This Row],[JG]],Table4[[#This Row],[Country]],Table4[[#This Row],[Resource Provider]])</f>
        <v/>
      </c>
      <c r="Z27" s="132">
        <f>VLOOKUP(Table4[[#This Row],[RATE CONCAT]],Tables!I:N,5,0)</f>
        <v>0</v>
      </c>
      <c r="AA27" s="53"/>
      <c r="AB27" s="192"/>
      <c r="AC27" s="192"/>
      <c r="AD27" s="192"/>
      <c r="AE27" s="192"/>
      <c r="AF27" s="192"/>
      <c r="AG27" s="192"/>
      <c r="AH27" s="192"/>
      <c r="AI27" s="192"/>
      <c r="AJ27" s="192"/>
      <c r="AK27" s="16"/>
      <c r="AL27" s="16"/>
      <c r="AM27" s="16"/>
      <c r="AN27" s="53">
        <f>IFERROR(AVERAGE(Table4[[#This Row],[Jan_2026_Days_Forecast]:[Dec_2026_Days_Forecast]]),0)/19</f>
        <v>0</v>
      </c>
      <c r="AO27" s="53">
        <f>IFERROR(AVERAGE(Table4[[#This Row],[Jan_2026_Days_Actual]:[Dec_2026_Days_Actual]]),0)/19</f>
        <v>0</v>
      </c>
      <c r="AP27" s="84"/>
      <c r="AQ27" s="84"/>
      <c r="AR27" s="84"/>
      <c r="AS27" s="84"/>
      <c r="AT27" s="84"/>
      <c r="AU27" s="84"/>
      <c r="AV27" s="84"/>
      <c r="AW27" s="84"/>
      <c r="AX27" s="84"/>
      <c r="AY27" s="84"/>
      <c r="AZ27" s="84"/>
      <c r="BA27" s="84"/>
      <c r="BB27" s="53">
        <f>IFERROR(AVERAGE(Table4[[#This Row],[Jan_2027_Days_Forecast]:[Dec_2027_Days_Forecast]]),0)</f>
        <v>0</v>
      </c>
      <c r="BC27" s="16"/>
      <c r="BD27" s="16"/>
      <c r="BE27" s="16"/>
      <c r="BF27" s="16"/>
      <c r="BG27" s="16"/>
      <c r="BH27" s="16"/>
      <c r="BI27" s="16"/>
      <c r="BJ27" s="16"/>
      <c r="BK27" s="16"/>
      <c r="BL27" s="16"/>
      <c r="BM27" s="16"/>
      <c r="BN27" s="16"/>
      <c r="BO27" s="55"/>
      <c r="BP27" s="60"/>
      <c r="BQ27" s="3">
        <f>Table4[[#This Row],[Jan_2026_Days_Forecast]]*Table4[[#This Row],[Cost Boolean]]*VLOOKUP(Table4[[#This Row],[RATE CONCAT]],Tables!I:N,5,0)</f>
        <v>0</v>
      </c>
      <c r="BR27" s="3">
        <f>IFERROR(Table4[[#This Row],[Jan_2026_Days_Actual]]*Table4[[#This Row],[Cost Boolean]]*(VLOOKUP(Table4[[#This Row],[RATE CONCAT]],Tables!I:N,5,0)),0)</f>
        <v>0</v>
      </c>
      <c r="BS27" s="3">
        <f>Table4[[#This Row],[Jan_2026_F]]-Table4[[#This Row],[Jan_2026_A]]</f>
        <v>0</v>
      </c>
      <c r="BT27" s="107"/>
      <c r="BU27" s="3">
        <f>IFERROR(Table4[[#This Row],[Feb_2026_Days_Forecast]]*Table4[[#This Row],[Cost Boolean]]*(VLOOKUP(Table4[[#This Row],[RATE CONCAT]],Tables!I:N,5,0)),0)</f>
        <v>0</v>
      </c>
      <c r="BV27" s="3">
        <f>IFERROR(Table4[[#This Row],[Feb_2026_Days_Actual]]*Table4[[#This Row],[Cost Boolean]]*(VLOOKUP(Table4[[#This Row],[RATE CONCAT]],Tables!I:N,5,0)),0)</f>
        <v>0</v>
      </c>
      <c r="BW27" s="3">
        <f>Table4[[#This Row],[Feb_2026_F]]-Table4[[#This Row],[Feb_2026_A]]</f>
        <v>0</v>
      </c>
      <c r="BX27" s="103"/>
      <c r="BY27" s="3">
        <f>IFERROR(Table4[[#This Row],[Mar_2026_Days_Forecast]]*Table4[[#This Row],[Cost Boolean]]*(VLOOKUP(Table4[[#This Row],[RATE CONCAT]],Tables!I:N,5,0)),0)</f>
        <v>0</v>
      </c>
      <c r="BZ27" s="3">
        <f>IFERROR(Table4[[#This Row],[Mar_2026_Days_Actual]]*Table4[[#This Row],[Cost Boolean]]*(VLOOKUP(Table4[[#This Row],[RATE CONCAT]],Tables!I:N,5,0)),0)</f>
        <v>0</v>
      </c>
      <c r="CA27" s="3">
        <f>Table4[[#This Row],[Mar_2026_F]]-Table4[[#This Row],[Mar_2026_A]]</f>
        <v>0</v>
      </c>
      <c r="CB27" s="103"/>
      <c r="CC27" s="3">
        <f>IFERROR(Table4[[#This Row],[Apr_2026_Days_Forecast]]*Table4[[#This Row],[Cost Boolean]]*(VLOOKUP(Table4[[#This Row],[RATE CONCAT]],Tables!I:N,5,0)),0)</f>
        <v>0</v>
      </c>
      <c r="CD27" s="3">
        <f>IFERROR(Table4[[#This Row],[Apr_2026_Days_Actual]]*Table4[[#This Row],[Cost Boolean]]*(VLOOKUP(Table4[[#This Row],[RATE CONCAT]],Tables!I:N,5,0)),0)</f>
        <v>0</v>
      </c>
      <c r="CE27" s="3">
        <f>Table4[[#This Row],[Apr_2026_F]]-Table4[[#This Row],[Apr_2026_A]]</f>
        <v>0</v>
      </c>
      <c r="CF27" s="103"/>
      <c r="CG27" s="3">
        <f>IFERROR(Table4[[#This Row],[May_2026_Days_Forecast]] *Table4[[#This Row],[Cost Boolean]]*(VLOOKUP(Table4[[#This Row],[RATE CONCAT]],Tables!I:N,5,0)),0)</f>
        <v>0</v>
      </c>
      <c r="CH27" s="3">
        <f>IFERROR(Table4[[#This Row],[May_2026_Days_Actual]]*Table4[[#This Row],[Cost Boolean]]*(VLOOKUP(Table4[[#This Row],[RATE CONCAT]],Tables!I:N,5,0)),0)</f>
        <v>0</v>
      </c>
      <c r="CI27" s="3">
        <f>Table4[[#This Row],[May_2026_F]]-Table4[[#This Row],[May_2026_A]]</f>
        <v>0</v>
      </c>
      <c r="CJ27" s="103"/>
      <c r="CK27" s="3">
        <f>IFERROR(Table4[[#This Row],[Jun_2026_Days_Forecast]]*Table4[[#This Row],[Cost Boolean]]*(VLOOKUP(Table4[[#This Row],[RATE CONCAT]],Tables!I:N,5,0)),0)</f>
        <v>0</v>
      </c>
      <c r="CL27" s="3">
        <f>IFERROR(Table4[[#This Row],[Jun_2026_Days_Actual]]*Table4[[#This Row],[Cost Boolean]]*(VLOOKUP(Table4[[#This Row],[RATE CONCAT]],Tables!I:N,5,0)),0)</f>
        <v>0</v>
      </c>
      <c r="CM27" s="3">
        <f>Table4[[#This Row],[Jun_2026_F]]-Table4[[#This Row],[Jun_2026_A]]</f>
        <v>0</v>
      </c>
      <c r="CN27" s="103"/>
      <c r="CO27" s="3">
        <f>IFERROR(Table4[[#This Row],[Jul_2026_Days_Forecast]]*Table4[[#This Row],[Cost Boolean]]*(VLOOKUP(Table4[[#This Row],[RATE CONCAT]],Tables!I:N,5,0)),0)</f>
        <v>0</v>
      </c>
      <c r="CP27" s="3">
        <f>IFERROR(Table4[[#This Row],[Aug_2026_Days_Forecast]]*Table4[[#This Row],[Location]]*(VLOOKUP(Table4[[#This Row],[Rate]],Tables!J:O,5,0)),0)</f>
        <v>0</v>
      </c>
      <c r="CQ27" s="3">
        <f>Table4[[#This Row],[Jul_2026_F]]-Table4[[#This Row],[Jul_2026_A]]</f>
        <v>0</v>
      </c>
      <c r="CR27" s="103"/>
      <c r="CS27" s="3">
        <f>IFERROR(Table4[[#This Row],[Aug_2026_Days_Forecast]]*Table4[[#This Row],[Cost Boolean]]*(VLOOKUP(Table4[[#This Row],[RATE CONCAT]],Tables!I:N,5,0)),0)</f>
        <v>0</v>
      </c>
      <c r="CT27" s="3">
        <f>IFERROR(Table4[[#This Row],[Aug_2026_Days_Actual]]*Table4[[#This Row],[Cost Boolean]]*(VLOOKUP(Table4[[#This Row],[RATE CONCAT]],Tables!I:N,5,0)),0)</f>
        <v>0</v>
      </c>
      <c r="CU27" s="3">
        <f>Table4[[#This Row],[Aug_2026_F]]-Table4[[#This Row],[Aug_2026_A]]</f>
        <v>0</v>
      </c>
      <c r="CV27" s="103"/>
      <c r="CW27" s="3">
        <f>IFERROR(Table4[[#This Row],[Sep_2026_Days_Forecast]]*Table4[[#This Row],[Cost Boolean]]*(VLOOKUP(Table4[[#This Row],[RATE CONCAT]],Tables!I:N,5,0)),0)</f>
        <v>0</v>
      </c>
      <c r="CX27" s="3">
        <f>IFERROR(Table4[[#This Row],[Sep_2026_Days_Actual]]*Table4[[#This Row],[Cost Boolean]]*(VLOOKUP(Table4[[#This Row],[RATE CONCAT]],Tables!I:N,5,0)),0)</f>
        <v>0</v>
      </c>
      <c r="CY27" s="3">
        <f>Table4[[#This Row],[Sep_2026_F]]-Table4[[#This Row],[Sep_2026_A]]</f>
        <v>0</v>
      </c>
      <c r="CZ27" s="103"/>
      <c r="DA27" s="3">
        <f>IFERROR(Table4[[#This Row],[Oct_2026_Days_Forecast]]*Table4[[#This Row],[Cost Boolean]]*(VLOOKUP(Table4[[#This Row],[RATE CONCAT]],Tables!I:N,5,0)),0)</f>
        <v>0</v>
      </c>
      <c r="DB27" s="3">
        <f>IFERROR(Table4[[#This Row],[Oct_2026_Days_Actual]]*Table4[[#This Row],[Cost Boolean]]*(VLOOKUP(Table4[[#This Row],[RATE CONCAT]],Tables!I:N,5,0)),0)</f>
        <v>0</v>
      </c>
      <c r="DC27" s="3">
        <f>Table4[[#This Row],[Oct_2026_F]]-Table4[[#This Row],[Oct_2026_A]]</f>
        <v>0</v>
      </c>
      <c r="DD27" s="103"/>
      <c r="DE27" s="3">
        <f>IFERROR(Table4[[#This Row],[Nov_2026_Days_Forecast]]*Table4[[#This Row],[Cost Boolean]]*(VLOOKUP(Table4[[#This Row],[RATE CONCAT]],Tables!I:N,5,0)),0)</f>
        <v>0</v>
      </c>
      <c r="DF27" s="3">
        <f>IFERROR(Table4[[#This Row],[Nov_2026_Days_Actual]]*Table4[[#This Row],[Cost Boolean]]*(VLOOKUP(Table4[[#This Row],[RATE CONCAT]],Tables!I:N,5,0)),0)</f>
        <v>0</v>
      </c>
      <c r="DG27" s="3">
        <f>Table4[[#This Row],[Nov_2026_F]]-Table4[[#This Row],[Nov_2026_A]]</f>
        <v>0</v>
      </c>
      <c r="DH27" s="103"/>
      <c r="DI27" s="3">
        <f>IFERROR(Table4[[#This Row],[Dec_2026_Days_Forecast]]*Table4[[#This Row],[Cost Boolean]]*(VLOOKUP(Table4[[#This Row],[RATE CONCAT]],Tables!I:N,5,0)),0)</f>
        <v>0</v>
      </c>
      <c r="DJ27" s="3">
        <f>IFERROR(Table4[[#This Row],[Dec_2026_Days_Actual]]*Table4[[#This Row],[Cost Boolean]]*(VLOOKUP(Table4[[#This Row],[RATE CONCAT]],Tables!I:N,5,0)),0)</f>
        <v>0</v>
      </c>
      <c r="DK27" s="3">
        <f>Table4[[#This Row],[Dec_2026_F]]-Table4[[#This Row],[Dec_2026_A]]</f>
        <v>0</v>
      </c>
      <c r="DL27" s="103"/>
      <c r="DM27" s="60"/>
      <c r="DN27" s="3">
        <f>IFERROR(Table4[[#This Row],[Jan_2027_Days_Forecast]]*Table4[[#This Row],[Cost Boolean]]*(VLOOKUP(Table4[[#This Row],[RATE CONCAT]],Tables!I:N,6,0)),0)</f>
        <v>0</v>
      </c>
      <c r="DO27" s="3"/>
      <c r="DP27" s="3">
        <f>Table4[[#This Row],[Jan_2027_F]]-Table4[[#This Row],[Jan_2027_A]]</f>
        <v>0</v>
      </c>
      <c r="DQ27" s="3">
        <f>IFERROR(Table4[[#This Row],[Feb_2027_Days_Forecast]]*Table4[[#This Row],[Cost Boolean]]*(VLOOKUP(Table4[[#This Row],[RATE CONCAT]],Tables!I:N,6,0)),0)</f>
        <v>0</v>
      </c>
      <c r="DR27" s="3"/>
      <c r="DS27" s="3">
        <f>Table4[[#This Row],[Feb_2027_F]]-Table4[[#This Row],[Feb_2027_A]]</f>
        <v>0</v>
      </c>
      <c r="DT27" s="3">
        <f>IFERROR(Table4[[#This Row],[Mar_2027_Days_Forecast]]*Table4[[#This Row],[Cost Boolean]]*(VLOOKUP(Table4[[#This Row],[RATE CONCAT]],Tables!I:N,6,0)),0)</f>
        <v>0</v>
      </c>
      <c r="DU27" s="3"/>
      <c r="DV27" s="3">
        <f>Table4[[#This Row],[Mar_2027_F]]-Table4[[#This Row],[Mar_2027_A]]</f>
        <v>0</v>
      </c>
      <c r="DW27" s="3">
        <f>IFERROR(Table4[[#This Row],[Apr_2027_Days_Forecast]]*Table4[[#This Row],[Cost Boolean]]*(VLOOKUP(Table4[[#This Row],[RATE CONCAT]],Tables!I:N,6,0)),0)</f>
        <v>0</v>
      </c>
      <c r="DX27" s="3"/>
      <c r="DY27" s="3">
        <f>Table4[[#This Row],[Apr_2027_F]]-Table4[[#This Row],[Apr_2027_A]]</f>
        <v>0</v>
      </c>
      <c r="DZ27" s="3">
        <f>IFERROR(Table4[[#This Row],[May_2027_Days_Forecast]]*Table4[[#This Row],[Cost Boolean]]*(VLOOKUP(Table4[[#This Row],[RATE CONCAT]],Tables!I:N,6,0)),0)</f>
        <v>0</v>
      </c>
      <c r="EA27" s="3"/>
      <c r="EB27" s="3">
        <f>Table4[[#This Row],[May_2027_F]]-Table4[[#This Row],[May_2027_A]]</f>
        <v>0</v>
      </c>
      <c r="EC27" s="3">
        <f>IFERROR(Table4[[#This Row],[Jun_2027_Days_Forecast]]*Table4[[#This Row],[Cost Boolean]]*(VLOOKUP(Table4[[#This Row],[RATE CONCAT]],Tables!I:N,6,0)),0)</f>
        <v>0</v>
      </c>
      <c r="ED27" s="3"/>
      <c r="EE27" s="3">
        <f>Table4[[#This Row],[Jun_2027_F]]-Table4[[#This Row],[Jun_2027_A]]</f>
        <v>0</v>
      </c>
      <c r="EF27" s="3">
        <f>IFERROR(Table4[[#This Row],[Jul_2027_Days_Forecast]]*Table4[[#This Row],[Cost Boolean]]*(VLOOKUP(Table4[[#This Row],[RATE CONCAT]],Tables!I:N,6,0)),0)</f>
        <v>0</v>
      </c>
      <c r="EG27" s="3"/>
      <c r="EH27" s="3">
        <f>Table4[[#This Row],[Jul_2027_F]]-Table4[[#This Row],[Jul_2027_A]]</f>
        <v>0</v>
      </c>
      <c r="EI27" s="3">
        <f>IFERROR(Table4[[#This Row],[Aug_2027_Days_Forecast]]*Table4[[#This Row],[Cost Boolean]]*(VLOOKUP(Table4[[#This Row],[RATE CONCAT]],Tables!I:N,6,0)),0)</f>
        <v>0</v>
      </c>
      <c r="EJ27" s="3"/>
      <c r="EK27" s="3">
        <f>Table4[[#This Row],[Aug_2027_F]]-Table4[[#This Row],[Aug_2027_A]]</f>
        <v>0</v>
      </c>
      <c r="EL27" s="3">
        <f>IFERROR(Table4[[#This Row],[Sep_2027_Days_Forecast]]*Table4[[#This Row],[Cost Boolean]]*(VLOOKUP(Table4[[#This Row],[RATE CONCAT]],Tables!I:N,6,0)),0)</f>
        <v>0</v>
      </c>
      <c r="EM27" s="3"/>
      <c r="EN27" s="3">
        <f>Table4[[#This Row],[Sep_2027_F]]-Table4[[#This Row],[Sep_2027_A]]</f>
        <v>0</v>
      </c>
      <c r="EO27" s="3">
        <f>IFERROR(Table4[[#This Row],[Oct_2027_Days_Forecast]]*Table4[[#This Row],[Cost Boolean]]*(VLOOKUP(Table4[[#This Row],[RATE CONCAT]],Tables!I:N,6,0)),0)</f>
        <v>0</v>
      </c>
      <c r="EP27" s="3"/>
      <c r="EQ27" s="3">
        <f>Table4[[#This Row],[Oct_2027_F]]-Table4[[#This Row],[Oct_2027_A]]</f>
        <v>0</v>
      </c>
      <c r="ER27" s="3">
        <f>IFERROR(Table4[[#This Row],[Nov_2027_Days_Forecast]]*Table4[[#This Row],[Cost Boolean]]*(VLOOKUP(Table4[[#This Row],[RATE CONCAT]],Tables!I:N,6,0)),0)</f>
        <v>0</v>
      </c>
      <c r="ES27" s="3"/>
      <c r="ET27" s="3">
        <f>Table4[[#This Row],[Nov_2027_F]]-Table4[[#This Row],[Nov_2027_A]]</f>
        <v>0</v>
      </c>
      <c r="EU27" s="3">
        <f>IFERROR(Table4[[#This Row],[Dec_2027_Days_Forecast]]*Table4[[#This Row],[Cost Boolean]]*(VLOOKUP(Table4[[#This Row],[RATE CONCAT]],Tables!I:N,6,0)),0)</f>
        <v>0</v>
      </c>
      <c r="EV27" s="3"/>
      <c r="EW27" s="3">
        <f>Table4[[#This Row],[Dec_2027_F]]-Table4[[#This Row],[Dec_2027_A]]</f>
        <v>0</v>
      </c>
    </row>
    <row r="28" spans="1:153" ht="15" customHeight="1">
      <c r="A28" s="132"/>
      <c r="B28" s="132"/>
      <c r="C28" s="132"/>
      <c r="D28" s="132"/>
      <c r="E28" s="132"/>
      <c r="F28" s="132"/>
      <c r="G28" s="132"/>
      <c r="H28" s="132"/>
      <c r="I28" s="132"/>
      <c r="J28" s="132"/>
      <c r="K28" s="132"/>
      <c r="L28" s="132"/>
      <c r="M28" s="132"/>
      <c r="N28" s="132"/>
      <c r="O28" s="132"/>
      <c r="P28" s="132"/>
      <c r="Q28" s="132"/>
      <c r="R28" s="191"/>
      <c r="S28" s="191"/>
      <c r="T28" s="191"/>
      <c r="U28" s="191"/>
      <c r="V28" s="191"/>
      <c r="W28" s="191"/>
      <c r="X28" s="13"/>
      <c r="Y28" s="132" t="str">
        <f>CONCATENATE(Table4[[#This Row],[JG]],Table4[[#This Row],[Country]],Table4[[#This Row],[Resource Provider]])</f>
        <v/>
      </c>
      <c r="Z28" s="132">
        <f>VLOOKUP(Table4[[#This Row],[RATE CONCAT]],Tables!I:N,5,0)</f>
        <v>0</v>
      </c>
      <c r="AA28" s="53"/>
      <c r="AB28" s="192"/>
      <c r="AC28" s="192"/>
      <c r="AD28" s="192"/>
      <c r="AE28" s="192"/>
      <c r="AF28" s="192"/>
      <c r="AG28" s="192"/>
      <c r="AH28" s="192"/>
      <c r="AI28" s="192"/>
      <c r="AJ28" s="192"/>
      <c r="AK28" s="16"/>
      <c r="AL28" s="16"/>
      <c r="AM28" s="16"/>
      <c r="AN28" s="53">
        <f>IFERROR(AVERAGE(Table4[[#This Row],[Jan_2026_Days_Forecast]:[Dec_2026_Days_Forecast]]),0)/19</f>
        <v>0</v>
      </c>
      <c r="AO28" s="53">
        <f>IFERROR(AVERAGE(Table4[[#This Row],[Jan_2026_Days_Actual]:[Dec_2026_Days_Actual]]),0)/19</f>
        <v>0</v>
      </c>
      <c r="AP28" s="84"/>
      <c r="AQ28" s="84"/>
      <c r="AR28" s="84"/>
      <c r="AS28" s="84"/>
      <c r="AT28" s="84"/>
      <c r="AU28" s="84"/>
      <c r="AV28" s="84"/>
      <c r="AW28" s="84"/>
      <c r="AX28" s="84"/>
      <c r="AY28" s="84"/>
      <c r="AZ28" s="84"/>
      <c r="BA28" s="84"/>
      <c r="BB28" s="53">
        <f>IFERROR(AVERAGE(Table4[[#This Row],[Jan_2027_Days_Forecast]:[Dec_2027_Days_Forecast]]),0)</f>
        <v>0</v>
      </c>
      <c r="BC28" s="16"/>
      <c r="BD28" s="16"/>
      <c r="BE28" s="16"/>
      <c r="BF28" s="16"/>
      <c r="BG28" s="16"/>
      <c r="BH28" s="16"/>
      <c r="BI28" s="16"/>
      <c r="BJ28" s="16"/>
      <c r="BK28" s="16"/>
      <c r="BL28" s="16"/>
      <c r="BM28" s="16"/>
      <c r="BN28" s="16"/>
      <c r="BO28" s="55"/>
      <c r="BP28" s="60"/>
      <c r="BQ28" s="3">
        <f>Table4[[#This Row],[Jan_2026_Days_Forecast]]*Table4[[#This Row],[Cost Boolean]]*VLOOKUP(Table4[[#This Row],[RATE CONCAT]],Tables!I:N,5,0)</f>
        <v>0</v>
      </c>
      <c r="BR28" s="3">
        <f>IFERROR(Table4[[#This Row],[Jan_2026_Days_Actual]]*Table4[[#This Row],[Cost Boolean]]*(VLOOKUP(Table4[[#This Row],[RATE CONCAT]],Tables!I:N,5,0)),0)</f>
        <v>0</v>
      </c>
      <c r="BS28" s="3">
        <f>Table4[[#This Row],[Jan_2026_F]]-Table4[[#This Row],[Jan_2026_A]]</f>
        <v>0</v>
      </c>
      <c r="BT28" s="107"/>
      <c r="BU28" s="3">
        <f>IFERROR(Table4[[#This Row],[Feb_2026_Days_Forecast]]*Table4[[#This Row],[Cost Boolean]]*(VLOOKUP(Table4[[#This Row],[RATE CONCAT]],Tables!I:N,5,0)),0)</f>
        <v>0</v>
      </c>
      <c r="BV28" s="3">
        <f>IFERROR(Table4[[#This Row],[Feb_2026_Days_Actual]]*Table4[[#This Row],[Cost Boolean]]*(VLOOKUP(Table4[[#This Row],[RATE CONCAT]],Tables!I:N,5,0)),0)</f>
        <v>0</v>
      </c>
      <c r="BW28" s="3">
        <f>Table4[[#This Row],[Feb_2026_F]]-Table4[[#This Row],[Feb_2026_A]]</f>
        <v>0</v>
      </c>
      <c r="BX28" s="103"/>
      <c r="BY28" s="3">
        <f>IFERROR(Table4[[#This Row],[Mar_2026_Days_Forecast]]*Table4[[#This Row],[Cost Boolean]]*(VLOOKUP(Table4[[#This Row],[RATE CONCAT]],Tables!I:N,5,0)),0)</f>
        <v>0</v>
      </c>
      <c r="BZ28" s="3">
        <f>IFERROR(Table4[[#This Row],[Mar_2026_Days_Actual]]*Table4[[#This Row],[Cost Boolean]]*(VLOOKUP(Table4[[#This Row],[RATE CONCAT]],Tables!I:N,5,0)),0)</f>
        <v>0</v>
      </c>
      <c r="CA28" s="3">
        <f>Table4[[#This Row],[Mar_2026_F]]-Table4[[#This Row],[Mar_2026_A]]</f>
        <v>0</v>
      </c>
      <c r="CB28" s="103"/>
      <c r="CC28" s="3">
        <f>IFERROR(Table4[[#This Row],[Apr_2026_Days_Forecast]]*Table4[[#This Row],[Cost Boolean]]*(VLOOKUP(Table4[[#This Row],[RATE CONCAT]],Tables!I:N,5,0)),0)</f>
        <v>0</v>
      </c>
      <c r="CD28" s="3">
        <f>IFERROR(Table4[[#This Row],[Apr_2026_Days_Actual]]*Table4[[#This Row],[Cost Boolean]]*(VLOOKUP(Table4[[#This Row],[RATE CONCAT]],Tables!I:N,5,0)),0)</f>
        <v>0</v>
      </c>
      <c r="CE28" s="3">
        <f>Table4[[#This Row],[Apr_2026_F]]-Table4[[#This Row],[Apr_2026_A]]</f>
        <v>0</v>
      </c>
      <c r="CF28" s="103"/>
      <c r="CG28" s="3">
        <f>IFERROR(Table4[[#This Row],[May_2026_Days_Forecast]] *Table4[[#This Row],[Cost Boolean]]*(VLOOKUP(Table4[[#This Row],[RATE CONCAT]],Tables!I:N,5,0)),0)</f>
        <v>0</v>
      </c>
      <c r="CH28" s="3">
        <f>IFERROR(Table4[[#This Row],[May_2026_Days_Actual]]*Table4[[#This Row],[Cost Boolean]]*(VLOOKUP(Table4[[#This Row],[RATE CONCAT]],Tables!I:N,5,0)),0)</f>
        <v>0</v>
      </c>
      <c r="CI28" s="3">
        <f>Table4[[#This Row],[May_2026_F]]-Table4[[#This Row],[May_2026_A]]</f>
        <v>0</v>
      </c>
      <c r="CJ28" s="103"/>
      <c r="CK28" s="3">
        <f>IFERROR(Table4[[#This Row],[Jun_2026_Days_Forecast]]*Table4[[#This Row],[Cost Boolean]]*(VLOOKUP(Table4[[#This Row],[RATE CONCAT]],Tables!I:N,5,0)),0)</f>
        <v>0</v>
      </c>
      <c r="CL28" s="3">
        <f>IFERROR(Table4[[#This Row],[Jun_2026_Days_Actual]]*Table4[[#This Row],[Cost Boolean]]*(VLOOKUP(Table4[[#This Row],[RATE CONCAT]],Tables!I:N,5,0)),0)</f>
        <v>0</v>
      </c>
      <c r="CM28" s="3">
        <f>Table4[[#This Row],[Jun_2026_F]]-Table4[[#This Row],[Jun_2026_A]]</f>
        <v>0</v>
      </c>
      <c r="CN28" s="103"/>
      <c r="CO28" s="3">
        <f>IFERROR(Table4[[#This Row],[Jul_2026_Days_Forecast]]*Table4[[#This Row],[Cost Boolean]]*(VLOOKUP(Table4[[#This Row],[RATE CONCAT]],Tables!I:N,5,0)),0)</f>
        <v>0</v>
      </c>
      <c r="CP28" s="3">
        <f>IFERROR(Table4[[#This Row],[Aug_2026_Days_Forecast]]*Table4[[#This Row],[Location]]*(VLOOKUP(Table4[[#This Row],[Rate]],Tables!J:O,5,0)),0)</f>
        <v>0</v>
      </c>
      <c r="CQ28" s="3">
        <f>Table4[[#This Row],[Jul_2026_F]]-Table4[[#This Row],[Jul_2026_A]]</f>
        <v>0</v>
      </c>
      <c r="CR28" s="103"/>
      <c r="CS28" s="3">
        <f>IFERROR(Table4[[#This Row],[Aug_2026_Days_Forecast]]*Table4[[#This Row],[Cost Boolean]]*(VLOOKUP(Table4[[#This Row],[RATE CONCAT]],Tables!I:N,5,0)),0)</f>
        <v>0</v>
      </c>
      <c r="CT28" s="3">
        <f>IFERROR(Table4[[#This Row],[Aug_2026_Days_Actual]]*Table4[[#This Row],[Cost Boolean]]*(VLOOKUP(Table4[[#This Row],[RATE CONCAT]],Tables!I:N,5,0)),0)</f>
        <v>0</v>
      </c>
      <c r="CU28" s="3">
        <f>Table4[[#This Row],[Aug_2026_F]]-Table4[[#This Row],[Aug_2026_A]]</f>
        <v>0</v>
      </c>
      <c r="CV28" s="103"/>
      <c r="CW28" s="3">
        <f>IFERROR(Table4[[#This Row],[Sep_2026_Days_Forecast]]*Table4[[#This Row],[Cost Boolean]]*(VLOOKUP(Table4[[#This Row],[RATE CONCAT]],Tables!I:N,5,0)),0)</f>
        <v>0</v>
      </c>
      <c r="CX28" s="3">
        <f>IFERROR(Table4[[#This Row],[Sep_2026_Days_Actual]]*Table4[[#This Row],[Cost Boolean]]*(VLOOKUP(Table4[[#This Row],[RATE CONCAT]],Tables!I:N,5,0)),0)</f>
        <v>0</v>
      </c>
      <c r="CY28" s="3">
        <f>Table4[[#This Row],[Sep_2026_F]]-Table4[[#This Row],[Sep_2026_A]]</f>
        <v>0</v>
      </c>
      <c r="CZ28" s="103"/>
      <c r="DA28" s="3">
        <f>IFERROR(Table4[[#This Row],[Oct_2026_Days_Forecast]]*Table4[[#This Row],[Cost Boolean]]*(VLOOKUP(Table4[[#This Row],[RATE CONCAT]],Tables!I:N,5,0)),0)</f>
        <v>0</v>
      </c>
      <c r="DB28" s="3">
        <f>IFERROR(Table4[[#This Row],[Oct_2026_Days_Actual]]*Table4[[#This Row],[Cost Boolean]]*(VLOOKUP(Table4[[#This Row],[RATE CONCAT]],Tables!I:N,5,0)),0)</f>
        <v>0</v>
      </c>
      <c r="DC28" s="3">
        <f>Table4[[#This Row],[Oct_2026_F]]-Table4[[#This Row],[Oct_2026_A]]</f>
        <v>0</v>
      </c>
      <c r="DD28" s="103"/>
      <c r="DE28" s="3">
        <f>IFERROR(Table4[[#This Row],[Nov_2026_Days_Forecast]]*Table4[[#This Row],[Cost Boolean]]*(VLOOKUP(Table4[[#This Row],[RATE CONCAT]],Tables!I:N,5,0)),0)</f>
        <v>0</v>
      </c>
      <c r="DF28" s="3">
        <f>IFERROR(Table4[[#This Row],[Nov_2026_Days_Actual]]*Table4[[#This Row],[Cost Boolean]]*(VLOOKUP(Table4[[#This Row],[RATE CONCAT]],Tables!I:N,5,0)),0)</f>
        <v>0</v>
      </c>
      <c r="DG28" s="3">
        <f>Table4[[#This Row],[Nov_2026_F]]-Table4[[#This Row],[Nov_2026_A]]</f>
        <v>0</v>
      </c>
      <c r="DH28" s="103"/>
      <c r="DI28" s="3">
        <f>IFERROR(Table4[[#This Row],[Dec_2026_Days_Forecast]]*Table4[[#This Row],[Cost Boolean]]*(VLOOKUP(Table4[[#This Row],[RATE CONCAT]],Tables!I:N,5,0)),0)</f>
        <v>0</v>
      </c>
      <c r="DJ28" s="3">
        <f>IFERROR(Table4[[#This Row],[Dec_2026_Days_Actual]]*Table4[[#This Row],[Cost Boolean]]*(VLOOKUP(Table4[[#This Row],[RATE CONCAT]],Tables!I:N,5,0)),0)</f>
        <v>0</v>
      </c>
      <c r="DK28" s="3">
        <f>Table4[[#This Row],[Dec_2026_F]]-Table4[[#This Row],[Dec_2026_A]]</f>
        <v>0</v>
      </c>
      <c r="DL28" s="103"/>
      <c r="DM28" s="60"/>
      <c r="DN28" s="3">
        <f>IFERROR(Table4[[#This Row],[Jan_2027_Days_Forecast]]*Table4[[#This Row],[Cost Boolean]]*(VLOOKUP(Table4[[#This Row],[RATE CONCAT]],Tables!I:N,6,0)),0)</f>
        <v>0</v>
      </c>
      <c r="DO28" s="3"/>
      <c r="DP28" s="3">
        <f>Table4[[#This Row],[Jan_2027_F]]-Table4[[#This Row],[Jan_2027_A]]</f>
        <v>0</v>
      </c>
      <c r="DQ28" s="3">
        <f>IFERROR(Table4[[#This Row],[Feb_2027_Days_Forecast]]*Table4[[#This Row],[Cost Boolean]]*(VLOOKUP(Table4[[#This Row],[RATE CONCAT]],Tables!I:N,6,0)),0)</f>
        <v>0</v>
      </c>
      <c r="DR28" s="3"/>
      <c r="DS28" s="3">
        <f>Table4[[#This Row],[Feb_2027_F]]-Table4[[#This Row],[Feb_2027_A]]</f>
        <v>0</v>
      </c>
      <c r="DT28" s="3">
        <f>IFERROR(Table4[[#This Row],[Mar_2027_Days_Forecast]]*Table4[[#This Row],[Cost Boolean]]*(VLOOKUP(Table4[[#This Row],[RATE CONCAT]],Tables!I:N,6,0)),0)</f>
        <v>0</v>
      </c>
      <c r="DU28" s="3"/>
      <c r="DV28" s="3">
        <f>Table4[[#This Row],[Mar_2027_F]]-Table4[[#This Row],[Mar_2027_A]]</f>
        <v>0</v>
      </c>
      <c r="DW28" s="3">
        <f>IFERROR(Table4[[#This Row],[Apr_2027_Days_Forecast]]*Table4[[#This Row],[Cost Boolean]]*(VLOOKUP(Table4[[#This Row],[RATE CONCAT]],Tables!I:N,6,0)),0)</f>
        <v>0</v>
      </c>
      <c r="DX28" s="3"/>
      <c r="DY28" s="3">
        <f>Table4[[#This Row],[Apr_2027_F]]-Table4[[#This Row],[Apr_2027_A]]</f>
        <v>0</v>
      </c>
      <c r="DZ28" s="3">
        <f>IFERROR(Table4[[#This Row],[May_2027_Days_Forecast]]*Table4[[#This Row],[Cost Boolean]]*(VLOOKUP(Table4[[#This Row],[RATE CONCAT]],Tables!I:N,6,0)),0)</f>
        <v>0</v>
      </c>
      <c r="EA28" s="3"/>
      <c r="EB28" s="3">
        <f>Table4[[#This Row],[May_2027_F]]-Table4[[#This Row],[May_2027_A]]</f>
        <v>0</v>
      </c>
      <c r="EC28" s="3">
        <f>IFERROR(Table4[[#This Row],[Jun_2027_Days_Forecast]]*Table4[[#This Row],[Cost Boolean]]*(VLOOKUP(Table4[[#This Row],[RATE CONCAT]],Tables!I:N,6,0)),0)</f>
        <v>0</v>
      </c>
      <c r="ED28" s="3"/>
      <c r="EE28" s="3">
        <f>Table4[[#This Row],[Jun_2027_F]]-Table4[[#This Row],[Jun_2027_A]]</f>
        <v>0</v>
      </c>
      <c r="EF28" s="3">
        <f>IFERROR(Table4[[#This Row],[Jul_2027_Days_Forecast]]*Table4[[#This Row],[Cost Boolean]]*(VLOOKUP(Table4[[#This Row],[RATE CONCAT]],Tables!I:N,6,0)),0)</f>
        <v>0</v>
      </c>
      <c r="EG28" s="3"/>
      <c r="EH28" s="3">
        <f>Table4[[#This Row],[Jul_2027_F]]-Table4[[#This Row],[Jul_2027_A]]</f>
        <v>0</v>
      </c>
      <c r="EI28" s="3">
        <f>IFERROR(Table4[[#This Row],[Aug_2027_Days_Forecast]]*Table4[[#This Row],[Cost Boolean]]*(VLOOKUP(Table4[[#This Row],[RATE CONCAT]],Tables!I:N,6,0)),0)</f>
        <v>0</v>
      </c>
      <c r="EJ28" s="3"/>
      <c r="EK28" s="3">
        <f>Table4[[#This Row],[Aug_2027_F]]-Table4[[#This Row],[Aug_2027_A]]</f>
        <v>0</v>
      </c>
      <c r="EL28" s="3">
        <f>IFERROR(Table4[[#This Row],[Sep_2027_Days_Forecast]]*Table4[[#This Row],[Cost Boolean]]*(VLOOKUP(Table4[[#This Row],[RATE CONCAT]],Tables!I:N,6,0)),0)</f>
        <v>0</v>
      </c>
      <c r="EM28" s="3"/>
      <c r="EN28" s="3">
        <f>Table4[[#This Row],[Sep_2027_F]]-Table4[[#This Row],[Sep_2027_A]]</f>
        <v>0</v>
      </c>
      <c r="EO28" s="3">
        <f>IFERROR(Table4[[#This Row],[Oct_2027_Days_Forecast]]*Table4[[#This Row],[Cost Boolean]]*(VLOOKUP(Table4[[#This Row],[RATE CONCAT]],Tables!I:N,6,0)),0)</f>
        <v>0</v>
      </c>
      <c r="EP28" s="3"/>
      <c r="EQ28" s="3">
        <f>Table4[[#This Row],[Oct_2027_F]]-Table4[[#This Row],[Oct_2027_A]]</f>
        <v>0</v>
      </c>
      <c r="ER28" s="3">
        <f>IFERROR(Table4[[#This Row],[Nov_2027_Days_Forecast]]*Table4[[#This Row],[Cost Boolean]]*(VLOOKUP(Table4[[#This Row],[RATE CONCAT]],Tables!I:N,6,0)),0)</f>
        <v>0</v>
      </c>
      <c r="ES28" s="3"/>
      <c r="ET28" s="3">
        <f>Table4[[#This Row],[Nov_2027_F]]-Table4[[#This Row],[Nov_2027_A]]</f>
        <v>0</v>
      </c>
      <c r="EU28" s="3">
        <f>IFERROR(Table4[[#This Row],[Dec_2027_Days_Forecast]]*Table4[[#This Row],[Cost Boolean]]*(VLOOKUP(Table4[[#This Row],[RATE CONCAT]],Tables!I:N,6,0)),0)</f>
        <v>0</v>
      </c>
      <c r="EV28" s="3"/>
      <c r="EW28" s="3">
        <f>Table4[[#This Row],[Dec_2027_F]]-Table4[[#This Row],[Dec_2027_A]]</f>
        <v>0</v>
      </c>
    </row>
    <row r="29" spans="1:153" ht="15" customHeight="1">
      <c r="A29" s="132"/>
      <c r="B29" s="132"/>
      <c r="C29" s="132"/>
      <c r="D29" s="132"/>
      <c r="E29" s="132"/>
      <c r="F29" s="132"/>
      <c r="G29" s="132"/>
      <c r="H29" s="132"/>
      <c r="I29" s="132"/>
      <c r="J29" s="132"/>
      <c r="K29" s="132"/>
      <c r="L29" s="132"/>
      <c r="M29" s="132"/>
      <c r="N29" s="132"/>
      <c r="O29" s="132"/>
      <c r="P29" s="132"/>
      <c r="Q29" s="132"/>
      <c r="R29" s="191"/>
      <c r="S29" s="191"/>
      <c r="T29" s="191"/>
      <c r="U29" s="191"/>
      <c r="V29" s="191"/>
      <c r="W29" s="191"/>
      <c r="X29" s="13"/>
      <c r="Y29" s="132" t="str">
        <f>CONCATENATE(Table4[[#This Row],[JG]],Table4[[#This Row],[Country]],Table4[[#This Row],[Resource Provider]])</f>
        <v/>
      </c>
      <c r="Z29" s="132">
        <f>VLOOKUP(Table4[[#This Row],[RATE CONCAT]],Tables!I:N,5,0)</f>
        <v>0</v>
      </c>
      <c r="AA29" s="53"/>
      <c r="AB29" s="192"/>
      <c r="AC29" s="192"/>
      <c r="AD29" s="192"/>
      <c r="AE29" s="192"/>
      <c r="AF29" s="192"/>
      <c r="AG29" s="192"/>
      <c r="AH29" s="192"/>
      <c r="AI29" s="192"/>
      <c r="AJ29" s="192"/>
      <c r="AK29" s="16"/>
      <c r="AL29" s="16"/>
      <c r="AM29" s="16"/>
      <c r="AN29" s="53">
        <f>IFERROR(AVERAGE(Table4[[#This Row],[Jan_2026_Days_Forecast]:[Dec_2026_Days_Forecast]]),0)/19</f>
        <v>0</v>
      </c>
      <c r="AO29" s="53">
        <f>IFERROR(AVERAGE(Table4[[#This Row],[Jan_2026_Days_Actual]:[Dec_2026_Days_Actual]]),0)/19</f>
        <v>0</v>
      </c>
      <c r="AP29" s="84"/>
      <c r="AQ29" s="84"/>
      <c r="AR29" s="84"/>
      <c r="AS29" s="84"/>
      <c r="AT29" s="84"/>
      <c r="AU29" s="84"/>
      <c r="AV29" s="84"/>
      <c r="AW29" s="84"/>
      <c r="AX29" s="84"/>
      <c r="AY29" s="84"/>
      <c r="AZ29" s="84"/>
      <c r="BA29" s="84"/>
      <c r="BB29" s="53">
        <f>IFERROR(AVERAGE(Table4[[#This Row],[Jan_2027_Days_Forecast]:[Dec_2027_Days_Forecast]]),0)</f>
        <v>0</v>
      </c>
      <c r="BC29" s="16"/>
      <c r="BD29" s="16"/>
      <c r="BE29" s="16"/>
      <c r="BF29" s="16"/>
      <c r="BG29" s="16"/>
      <c r="BH29" s="16"/>
      <c r="BI29" s="16"/>
      <c r="BJ29" s="16"/>
      <c r="BK29" s="16"/>
      <c r="BL29" s="16"/>
      <c r="BM29" s="16"/>
      <c r="BN29" s="16"/>
      <c r="BO29" s="55"/>
      <c r="BP29" s="60"/>
      <c r="BQ29" s="3">
        <f>Table4[[#This Row],[Jan_2026_Days_Forecast]]*Table4[[#This Row],[Cost Boolean]]*VLOOKUP(Table4[[#This Row],[RATE CONCAT]],Tables!I:N,5,0)</f>
        <v>0</v>
      </c>
      <c r="BR29" s="3">
        <f>IFERROR(Table4[[#This Row],[Jan_2026_Days_Actual]]*Table4[[#This Row],[Cost Boolean]]*(VLOOKUP(Table4[[#This Row],[RATE CONCAT]],Tables!I:N,5,0)),0)</f>
        <v>0</v>
      </c>
      <c r="BS29" s="3">
        <f>Table4[[#This Row],[Jan_2026_F]]-Table4[[#This Row],[Jan_2026_A]]</f>
        <v>0</v>
      </c>
      <c r="BT29" s="107"/>
      <c r="BU29" s="3">
        <f>IFERROR(Table4[[#This Row],[Feb_2026_Days_Forecast]]*Table4[[#This Row],[Cost Boolean]]*(VLOOKUP(Table4[[#This Row],[RATE CONCAT]],Tables!I:N,5,0)),0)</f>
        <v>0</v>
      </c>
      <c r="BV29" s="3">
        <f>IFERROR(Table4[[#This Row],[Feb_2026_Days_Actual]]*Table4[[#This Row],[Cost Boolean]]*(VLOOKUP(Table4[[#This Row],[RATE CONCAT]],Tables!I:N,5,0)),0)</f>
        <v>0</v>
      </c>
      <c r="BW29" s="3">
        <f>Table4[[#This Row],[Feb_2026_F]]-Table4[[#This Row],[Feb_2026_A]]</f>
        <v>0</v>
      </c>
      <c r="BX29" s="103"/>
      <c r="BY29" s="3">
        <f>IFERROR(Table4[[#This Row],[Mar_2026_Days_Forecast]]*Table4[[#This Row],[Cost Boolean]]*(VLOOKUP(Table4[[#This Row],[RATE CONCAT]],Tables!I:N,5,0)),0)</f>
        <v>0</v>
      </c>
      <c r="BZ29" s="3">
        <f>IFERROR(Table4[[#This Row],[Mar_2026_Days_Actual]]*Table4[[#This Row],[Cost Boolean]]*(VLOOKUP(Table4[[#This Row],[RATE CONCAT]],Tables!I:N,5,0)),0)</f>
        <v>0</v>
      </c>
      <c r="CA29" s="3">
        <f>Table4[[#This Row],[Mar_2026_F]]-Table4[[#This Row],[Mar_2026_A]]</f>
        <v>0</v>
      </c>
      <c r="CB29" s="103"/>
      <c r="CC29" s="3">
        <f>IFERROR(Table4[[#This Row],[Apr_2026_Days_Forecast]]*Table4[[#This Row],[Cost Boolean]]*(VLOOKUP(Table4[[#This Row],[RATE CONCAT]],Tables!I:N,5,0)),0)</f>
        <v>0</v>
      </c>
      <c r="CD29" s="3">
        <f>IFERROR(Table4[[#This Row],[Apr_2026_Days_Actual]]*Table4[[#This Row],[Cost Boolean]]*(VLOOKUP(Table4[[#This Row],[RATE CONCAT]],Tables!I:N,5,0)),0)</f>
        <v>0</v>
      </c>
      <c r="CE29" s="3">
        <f>Table4[[#This Row],[Apr_2026_F]]-Table4[[#This Row],[Apr_2026_A]]</f>
        <v>0</v>
      </c>
      <c r="CF29" s="103"/>
      <c r="CG29" s="3">
        <f>IFERROR(Table4[[#This Row],[May_2026_Days_Forecast]] *Table4[[#This Row],[Cost Boolean]]*(VLOOKUP(Table4[[#This Row],[RATE CONCAT]],Tables!I:N,5,0)),0)</f>
        <v>0</v>
      </c>
      <c r="CH29" s="3">
        <f>IFERROR(Table4[[#This Row],[May_2026_Days_Actual]]*Table4[[#This Row],[Cost Boolean]]*(VLOOKUP(Table4[[#This Row],[RATE CONCAT]],Tables!I:N,5,0)),0)</f>
        <v>0</v>
      </c>
      <c r="CI29" s="3">
        <f>Table4[[#This Row],[May_2026_F]]-Table4[[#This Row],[May_2026_A]]</f>
        <v>0</v>
      </c>
      <c r="CJ29" s="103"/>
      <c r="CK29" s="3">
        <f>IFERROR(Table4[[#This Row],[Jun_2026_Days_Forecast]]*Table4[[#This Row],[Cost Boolean]]*(VLOOKUP(Table4[[#This Row],[RATE CONCAT]],Tables!I:N,5,0)),0)</f>
        <v>0</v>
      </c>
      <c r="CL29" s="3">
        <f>IFERROR(Table4[[#This Row],[Jun_2026_Days_Actual]]*Table4[[#This Row],[Cost Boolean]]*(VLOOKUP(Table4[[#This Row],[RATE CONCAT]],Tables!I:N,5,0)),0)</f>
        <v>0</v>
      </c>
      <c r="CM29" s="3">
        <f>Table4[[#This Row],[Jun_2026_F]]-Table4[[#This Row],[Jun_2026_A]]</f>
        <v>0</v>
      </c>
      <c r="CN29" s="103"/>
      <c r="CO29" s="3">
        <f>IFERROR(Table4[[#This Row],[Jul_2026_Days_Forecast]]*Table4[[#This Row],[Cost Boolean]]*(VLOOKUP(Table4[[#This Row],[RATE CONCAT]],Tables!I:N,5,0)),0)</f>
        <v>0</v>
      </c>
      <c r="CP29" s="3">
        <f>IFERROR(Table4[[#This Row],[Aug_2026_Days_Forecast]]*Table4[[#This Row],[Location]]*(VLOOKUP(Table4[[#This Row],[Rate]],Tables!J:O,5,0)),0)</f>
        <v>0</v>
      </c>
      <c r="CQ29" s="3">
        <f>Table4[[#This Row],[Jul_2026_F]]-Table4[[#This Row],[Jul_2026_A]]</f>
        <v>0</v>
      </c>
      <c r="CR29" s="103"/>
      <c r="CS29" s="3">
        <f>IFERROR(Table4[[#This Row],[Aug_2026_Days_Forecast]]*Table4[[#This Row],[Cost Boolean]]*(VLOOKUP(Table4[[#This Row],[RATE CONCAT]],Tables!I:N,5,0)),0)</f>
        <v>0</v>
      </c>
      <c r="CT29" s="3">
        <f>IFERROR(Table4[[#This Row],[Aug_2026_Days_Actual]]*Table4[[#This Row],[Cost Boolean]]*(VLOOKUP(Table4[[#This Row],[RATE CONCAT]],Tables!I:N,5,0)),0)</f>
        <v>0</v>
      </c>
      <c r="CU29" s="3">
        <f>Table4[[#This Row],[Aug_2026_F]]-Table4[[#This Row],[Aug_2026_A]]</f>
        <v>0</v>
      </c>
      <c r="CV29" s="103"/>
      <c r="CW29" s="3">
        <f>IFERROR(Table4[[#This Row],[Sep_2026_Days_Forecast]]*Table4[[#This Row],[Cost Boolean]]*(VLOOKUP(Table4[[#This Row],[RATE CONCAT]],Tables!I:N,5,0)),0)</f>
        <v>0</v>
      </c>
      <c r="CX29" s="3">
        <f>IFERROR(Table4[[#This Row],[Sep_2026_Days_Actual]]*Table4[[#This Row],[Cost Boolean]]*(VLOOKUP(Table4[[#This Row],[RATE CONCAT]],Tables!I:N,5,0)),0)</f>
        <v>0</v>
      </c>
      <c r="CY29" s="3">
        <f>Table4[[#This Row],[Sep_2026_F]]-Table4[[#This Row],[Sep_2026_A]]</f>
        <v>0</v>
      </c>
      <c r="CZ29" s="103"/>
      <c r="DA29" s="3">
        <f>IFERROR(Table4[[#This Row],[Oct_2026_Days_Forecast]]*Table4[[#This Row],[Cost Boolean]]*(VLOOKUP(Table4[[#This Row],[RATE CONCAT]],Tables!I:N,5,0)),0)</f>
        <v>0</v>
      </c>
      <c r="DB29" s="3">
        <f>IFERROR(Table4[[#This Row],[Oct_2026_Days_Actual]]*Table4[[#This Row],[Cost Boolean]]*(VLOOKUP(Table4[[#This Row],[RATE CONCAT]],Tables!I:N,5,0)),0)</f>
        <v>0</v>
      </c>
      <c r="DC29" s="3">
        <f>Table4[[#This Row],[Oct_2026_F]]-Table4[[#This Row],[Oct_2026_A]]</f>
        <v>0</v>
      </c>
      <c r="DD29" s="103"/>
      <c r="DE29" s="3">
        <f>IFERROR(Table4[[#This Row],[Nov_2026_Days_Forecast]]*Table4[[#This Row],[Cost Boolean]]*(VLOOKUP(Table4[[#This Row],[RATE CONCAT]],Tables!I:N,5,0)),0)</f>
        <v>0</v>
      </c>
      <c r="DF29" s="3">
        <f>IFERROR(Table4[[#This Row],[Nov_2026_Days_Actual]]*Table4[[#This Row],[Cost Boolean]]*(VLOOKUP(Table4[[#This Row],[RATE CONCAT]],Tables!I:N,5,0)),0)</f>
        <v>0</v>
      </c>
      <c r="DG29" s="3">
        <f>Table4[[#This Row],[Nov_2026_F]]-Table4[[#This Row],[Nov_2026_A]]</f>
        <v>0</v>
      </c>
      <c r="DH29" s="103"/>
      <c r="DI29" s="3">
        <f>IFERROR(Table4[[#This Row],[Dec_2026_Days_Forecast]]*Table4[[#This Row],[Cost Boolean]]*(VLOOKUP(Table4[[#This Row],[RATE CONCAT]],Tables!I:N,5,0)),0)</f>
        <v>0</v>
      </c>
      <c r="DJ29" s="3">
        <f>IFERROR(Table4[[#This Row],[Dec_2026_Days_Actual]]*Table4[[#This Row],[Cost Boolean]]*(VLOOKUP(Table4[[#This Row],[RATE CONCAT]],Tables!I:N,5,0)),0)</f>
        <v>0</v>
      </c>
      <c r="DK29" s="3">
        <f>Table4[[#This Row],[Dec_2026_F]]-Table4[[#This Row],[Dec_2026_A]]</f>
        <v>0</v>
      </c>
      <c r="DL29" s="103"/>
      <c r="DM29" s="60"/>
      <c r="DN29" s="3">
        <f>IFERROR(Table4[[#This Row],[Jan_2027_Days_Forecast]]*Table4[[#This Row],[Cost Boolean]]*(VLOOKUP(Table4[[#This Row],[RATE CONCAT]],Tables!I:N,6,0)),0)</f>
        <v>0</v>
      </c>
      <c r="DO29" s="3"/>
      <c r="DP29" s="3">
        <f>Table4[[#This Row],[Jan_2027_F]]-Table4[[#This Row],[Jan_2027_A]]</f>
        <v>0</v>
      </c>
      <c r="DQ29" s="3">
        <f>IFERROR(Table4[[#This Row],[Feb_2027_Days_Forecast]]*Table4[[#This Row],[Cost Boolean]]*(VLOOKUP(Table4[[#This Row],[RATE CONCAT]],Tables!I:N,6,0)),0)</f>
        <v>0</v>
      </c>
      <c r="DR29" s="3"/>
      <c r="DS29" s="3">
        <f>Table4[[#This Row],[Feb_2027_F]]-Table4[[#This Row],[Feb_2027_A]]</f>
        <v>0</v>
      </c>
      <c r="DT29" s="3">
        <f>IFERROR(Table4[[#This Row],[Mar_2027_Days_Forecast]]*Table4[[#This Row],[Cost Boolean]]*(VLOOKUP(Table4[[#This Row],[RATE CONCAT]],Tables!I:N,6,0)),0)</f>
        <v>0</v>
      </c>
      <c r="DU29" s="3"/>
      <c r="DV29" s="3">
        <f>Table4[[#This Row],[Mar_2027_F]]-Table4[[#This Row],[Mar_2027_A]]</f>
        <v>0</v>
      </c>
      <c r="DW29" s="3">
        <f>IFERROR(Table4[[#This Row],[Apr_2027_Days_Forecast]]*Table4[[#This Row],[Cost Boolean]]*(VLOOKUP(Table4[[#This Row],[RATE CONCAT]],Tables!I:N,6,0)),0)</f>
        <v>0</v>
      </c>
      <c r="DX29" s="3"/>
      <c r="DY29" s="3">
        <f>Table4[[#This Row],[Apr_2027_F]]-Table4[[#This Row],[Apr_2027_A]]</f>
        <v>0</v>
      </c>
      <c r="DZ29" s="3">
        <f>IFERROR(Table4[[#This Row],[May_2027_Days_Forecast]]*Table4[[#This Row],[Cost Boolean]]*(VLOOKUP(Table4[[#This Row],[RATE CONCAT]],Tables!I:N,6,0)),0)</f>
        <v>0</v>
      </c>
      <c r="EA29" s="3"/>
      <c r="EB29" s="3">
        <f>Table4[[#This Row],[May_2027_F]]-Table4[[#This Row],[May_2027_A]]</f>
        <v>0</v>
      </c>
      <c r="EC29" s="3">
        <f>IFERROR(Table4[[#This Row],[Jun_2027_Days_Forecast]]*Table4[[#This Row],[Cost Boolean]]*(VLOOKUP(Table4[[#This Row],[RATE CONCAT]],Tables!I:N,6,0)),0)</f>
        <v>0</v>
      </c>
      <c r="ED29" s="3"/>
      <c r="EE29" s="3">
        <f>Table4[[#This Row],[Jun_2027_F]]-Table4[[#This Row],[Jun_2027_A]]</f>
        <v>0</v>
      </c>
      <c r="EF29" s="3">
        <f>IFERROR(Table4[[#This Row],[Jul_2027_Days_Forecast]]*Table4[[#This Row],[Cost Boolean]]*(VLOOKUP(Table4[[#This Row],[RATE CONCAT]],Tables!I:N,6,0)),0)</f>
        <v>0</v>
      </c>
      <c r="EG29" s="3"/>
      <c r="EH29" s="3">
        <f>Table4[[#This Row],[Jul_2027_F]]-Table4[[#This Row],[Jul_2027_A]]</f>
        <v>0</v>
      </c>
      <c r="EI29" s="3">
        <f>IFERROR(Table4[[#This Row],[Aug_2027_Days_Forecast]]*Table4[[#This Row],[Cost Boolean]]*(VLOOKUP(Table4[[#This Row],[RATE CONCAT]],Tables!I:N,6,0)),0)</f>
        <v>0</v>
      </c>
      <c r="EJ29" s="3"/>
      <c r="EK29" s="3">
        <f>Table4[[#This Row],[Aug_2027_F]]-Table4[[#This Row],[Aug_2027_A]]</f>
        <v>0</v>
      </c>
      <c r="EL29" s="3">
        <f>IFERROR(Table4[[#This Row],[Sep_2027_Days_Forecast]]*Table4[[#This Row],[Cost Boolean]]*(VLOOKUP(Table4[[#This Row],[RATE CONCAT]],Tables!I:N,6,0)),0)</f>
        <v>0</v>
      </c>
      <c r="EM29" s="3"/>
      <c r="EN29" s="3">
        <f>Table4[[#This Row],[Sep_2027_F]]-Table4[[#This Row],[Sep_2027_A]]</f>
        <v>0</v>
      </c>
      <c r="EO29" s="3">
        <f>IFERROR(Table4[[#This Row],[Oct_2027_Days_Forecast]]*Table4[[#This Row],[Cost Boolean]]*(VLOOKUP(Table4[[#This Row],[RATE CONCAT]],Tables!I:N,6,0)),0)</f>
        <v>0</v>
      </c>
      <c r="EP29" s="3"/>
      <c r="EQ29" s="3">
        <f>Table4[[#This Row],[Oct_2027_F]]-Table4[[#This Row],[Oct_2027_A]]</f>
        <v>0</v>
      </c>
      <c r="ER29" s="3">
        <f>IFERROR(Table4[[#This Row],[Nov_2027_Days_Forecast]]*Table4[[#This Row],[Cost Boolean]]*(VLOOKUP(Table4[[#This Row],[RATE CONCAT]],Tables!I:N,6,0)),0)</f>
        <v>0</v>
      </c>
      <c r="ES29" s="3"/>
      <c r="ET29" s="3">
        <f>Table4[[#This Row],[Nov_2027_F]]-Table4[[#This Row],[Nov_2027_A]]</f>
        <v>0</v>
      </c>
      <c r="EU29" s="3">
        <f>IFERROR(Table4[[#This Row],[Dec_2027_Days_Forecast]]*Table4[[#This Row],[Cost Boolean]]*(VLOOKUP(Table4[[#This Row],[RATE CONCAT]],Tables!I:N,6,0)),0)</f>
        <v>0</v>
      </c>
      <c r="EV29" s="3"/>
      <c r="EW29" s="3">
        <f>Table4[[#This Row],[Dec_2027_F]]-Table4[[#This Row],[Dec_2027_A]]</f>
        <v>0</v>
      </c>
    </row>
    <row r="30" spans="1:153" ht="15" customHeight="1">
      <c r="A30" s="132"/>
      <c r="B30" s="132"/>
      <c r="C30" s="132"/>
      <c r="D30" s="132"/>
      <c r="E30" s="132"/>
      <c r="F30" s="132"/>
      <c r="G30" s="132"/>
      <c r="H30" s="132"/>
      <c r="I30" s="132"/>
      <c r="J30" s="132"/>
      <c r="K30" s="132"/>
      <c r="L30" s="132"/>
      <c r="M30" s="132"/>
      <c r="N30" s="132"/>
      <c r="O30" s="132"/>
      <c r="P30" s="132"/>
      <c r="Q30" s="132"/>
      <c r="R30" s="191"/>
      <c r="S30" s="191"/>
      <c r="T30" s="191"/>
      <c r="U30" s="191"/>
      <c r="V30" s="191"/>
      <c r="W30" s="191"/>
      <c r="X30" s="13"/>
      <c r="Y30" s="132" t="str">
        <f>CONCATENATE(Table4[[#This Row],[JG]],Table4[[#This Row],[Country]],Table4[[#This Row],[Resource Provider]])</f>
        <v/>
      </c>
      <c r="Z30" s="132">
        <f>VLOOKUP(Table4[[#This Row],[RATE CONCAT]],Tables!I:N,5,0)</f>
        <v>0</v>
      </c>
      <c r="AA30" s="53"/>
      <c r="AB30" s="192"/>
      <c r="AC30" s="192"/>
      <c r="AD30" s="192"/>
      <c r="AE30" s="192"/>
      <c r="AF30" s="192"/>
      <c r="AG30" s="192"/>
      <c r="AH30" s="192"/>
      <c r="AI30" s="192"/>
      <c r="AJ30" s="192"/>
      <c r="AK30" s="16"/>
      <c r="AL30" s="16"/>
      <c r="AM30" s="16"/>
      <c r="AN30" s="53">
        <f>IFERROR(AVERAGE(Table4[[#This Row],[Jan_2026_Days_Forecast]:[Dec_2026_Days_Forecast]]),0)/19</f>
        <v>0</v>
      </c>
      <c r="AO30" s="53">
        <f>IFERROR(AVERAGE(Table4[[#This Row],[Jan_2026_Days_Actual]:[Dec_2026_Days_Actual]]),0)/19</f>
        <v>0</v>
      </c>
      <c r="AP30" s="84"/>
      <c r="AQ30" s="84"/>
      <c r="AR30" s="84"/>
      <c r="AS30" s="84"/>
      <c r="AT30" s="84"/>
      <c r="AU30" s="84"/>
      <c r="AV30" s="84"/>
      <c r="AW30" s="84"/>
      <c r="AX30" s="84"/>
      <c r="AY30" s="84"/>
      <c r="AZ30" s="84"/>
      <c r="BA30" s="84"/>
      <c r="BB30" s="53">
        <f>IFERROR(AVERAGE(Table4[[#This Row],[Jan_2027_Days_Forecast]:[Dec_2027_Days_Forecast]]),0)</f>
        <v>0</v>
      </c>
      <c r="BC30" s="16"/>
      <c r="BD30" s="16"/>
      <c r="BE30" s="16"/>
      <c r="BF30" s="16"/>
      <c r="BG30" s="16"/>
      <c r="BH30" s="16"/>
      <c r="BI30" s="16"/>
      <c r="BJ30" s="16"/>
      <c r="BK30" s="16"/>
      <c r="BL30" s="16"/>
      <c r="BM30" s="16"/>
      <c r="BN30" s="16"/>
      <c r="BO30" s="55"/>
      <c r="BP30" s="60"/>
      <c r="BQ30" s="3">
        <f>Table4[[#This Row],[Jan_2026_Days_Forecast]]*Table4[[#This Row],[Cost Boolean]]*VLOOKUP(Table4[[#This Row],[RATE CONCAT]],Tables!I:N,5,0)</f>
        <v>0</v>
      </c>
      <c r="BR30" s="3">
        <f>IFERROR(Table4[[#This Row],[Jan_2026_Days_Actual]]*Table4[[#This Row],[Cost Boolean]]*(VLOOKUP(Table4[[#This Row],[RATE CONCAT]],Tables!I:N,5,0)),0)</f>
        <v>0</v>
      </c>
      <c r="BS30" s="3">
        <f>Table4[[#This Row],[Jan_2026_F]]-Table4[[#This Row],[Jan_2026_A]]</f>
        <v>0</v>
      </c>
      <c r="BT30" s="107"/>
      <c r="BU30" s="3">
        <f>IFERROR(Table4[[#This Row],[Feb_2026_Days_Forecast]]*Table4[[#This Row],[Cost Boolean]]*(VLOOKUP(Table4[[#This Row],[RATE CONCAT]],Tables!I:N,5,0)),0)</f>
        <v>0</v>
      </c>
      <c r="BV30" s="3">
        <f>IFERROR(Table4[[#This Row],[Feb_2026_Days_Actual]]*Table4[[#This Row],[Cost Boolean]]*(VLOOKUP(Table4[[#This Row],[RATE CONCAT]],Tables!I:N,5,0)),0)</f>
        <v>0</v>
      </c>
      <c r="BW30" s="3">
        <f>Table4[[#This Row],[Feb_2026_F]]-Table4[[#This Row],[Feb_2026_A]]</f>
        <v>0</v>
      </c>
      <c r="BX30" s="103"/>
      <c r="BY30" s="3">
        <f>IFERROR(Table4[[#This Row],[Mar_2026_Days_Forecast]]*Table4[[#This Row],[Cost Boolean]]*(VLOOKUP(Table4[[#This Row],[RATE CONCAT]],Tables!I:N,5,0)),0)</f>
        <v>0</v>
      </c>
      <c r="BZ30" s="3">
        <f>IFERROR(Table4[[#This Row],[Mar_2026_Days_Actual]]*Table4[[#This Row],[Cost Boolean]]*(VLOOKUP(Table4[[#This Row],[RATE CONCAT]],Tables!I:N,5,0)),0)</f>
        <v>0</v>
      </c>
      <c r="CA30" s="3">
        <f>Table4[[#This Row],[Mar_2026_F]]-Table4[[#This Row],[Mar_2026_A]]</f>
        <v>0</v>
      </c>
      <c r="CB30" s="103"/>
      <c r="CC30" s="3">
        <f>IFERROR(Table4[[#This Row],[Apr_2026_Days_Forecast]]*Table4[[#This Row],[Cost Boolean]]*(VLOOKUP(Table4[[#This Row],[RATE CONCAT]],Tables!I:N,5,0)),0)</f>
        <v>0</v>
      </c>
      <c r="CD30" s="3">
        <f>IFERROR(Table4[[#This Row],[Apr_2026_Days_Actual]]*Table4[[#This Row],[Cost Boolean]]*(VLOOKUP(Table4[[#This Row],[RATE CONCAT]],Tables!I:N,5,0)),0)</f>
        <v>0</v>
      </c>
      <c r="CE30" s="3">
        <f>Table4[[#This Row],[Apr_2026_F]]-Table4[[#This Row],[Apr_2026_A]]</f>
        <v>0</v>
      </c>
      <c r="CF30" s="103"/>
      <c r="CG30" s="3">
        <f>IFERROR(Table4[[#This Row],[May_2026_Days_Forecast]] *Table4[[#This Row],[Cost Boolean]]*(VLOOKUP(Table4[[#This Row],[RATE CONCAT]],Tables!I:N,5,0)),0)</f>
        <v>0</v>
      </c>
      <c r="CH30" s="3">
        <f>IFERROR(Table4[[#This Row],[May_2026_Days_Actual]]*Table4[[#This Row],[Cost Boolean]]*(VLOOKUP(Table4[[#This Row],[RATE CONCAT]],Tables!I:N,5,0)),0)</f>
        <v>0</v>
      </c>
      <c r="CI30" s="3">
        <f>Table4[[#This Row],[May_2026_F]]-Table4[[#This Row],[May_2026_A]]</f>
        <v>0</v>
      </c>
      <c r="CJ30" s="103"/>
      <c r="CK30" s="3">
        <f>IFERROR(Table4[[#This Row],[Jun_2026_Days_Forecast]]*Table4[[#This Row],[Cost Boolean]]*(VLOOKUP(Table4[[#This Row],[RATE CONCAT]],Tables!I:N,5,0)),0)</f>
        <v>0</v>
      </c>
      <c r="CL30" s="3">
        <f>IFERROR(Table4[[#This Row],[Jun_2026_Days_Actual]]*Table4[[#This Row],[Cost Boolean]]*(VLOOKUP(Table4[[#This Row],[RATE CONCAT]],Tables!I:N,5,0)),0)</f>
        <v>0</v>
      </c>
      <c r="CM30" s="3">
        <f>Table4[[#This Row],[Jun_2026_F]]-Table4[[#This Row],[Jun_2026_A]]</f>
        <v>0</v>
      </c>
      <c r="CN30" s="103"/>
      <c r="CO30" s="3">
        <f>IFERROR(Table4[[#This Row],[Jul_2026_Days_Forecast]]*Table4[[#This Row],[Cost Boolean]]*(VLOOKUP(Table4[[#This Row],[RATE CONCAT]],Tables!I:N,5,0)),0)</f>
        <v>0</v>
      </c>
      <c r="CP30" s="3">
        <f>IFERROR(Table4[[#This Row],[Aug_2026_Days_Forecast]]*Table4[[#This Row],[Location]]*(VLOOKUP(Table4[[#This Row],[Rate]],Tables!J:O,5,0)),0)</f>
        <v>0</v>
      </c>
      <c r="CQ30" s="3">
        <f>Table4[[#This Row],[Jul_2026_F]]-Table4[[#This Row],[Jul_2026_A]]</f>
        <v>0</v>
      </c>
      <c r="CR30" s="103"/>
      <c r="CS30" s="3">
        <f>IFERROR(Table4[[#This Row],[Aug_2026_Days_Forecast]]*Table4[[#This Row],[Cost Boolean]]*(VLOOKUP(Table4[[#This Row],[RATE CONCAT]],Tables!I:N,5,0)),0)</f>
        <v>0</v>
      </c>
      <c r="CT30" s="3">
        <f>IFERROR(Table4[[#This Row],[Aug_2026_Days_Actual]]*Table4[[#This Row],[Cost Boolean]]*(VLOOKUP(Table4[[#This Row],[RATE CONCAT]],Tables!I:N,5,0)),0)</f>
        <v>0</v>
      </c>
      <c r="CU30" s="3">
        <f>Table4[[#This Row],[Aug_2026_F]]-Table4[[#This Row],[Aug_2026_A]]</f>
        <v>0</v>
      </c>
      <c r="CV30" s="103"/>
      <c r="CW30" s="3">
        <f>IFERROR(Table4[[#This Row],[Sep_2026_Days_Forecast]]*Table4[[#This Row],[Cost Boolean]]*(VLOOKUP(Table4[[#This Row],[RATE CONCAT]],Tables!I:N,5,0)),0)</f>
        <v>0</v>
      </c>
      <c r="CX30" s="3">
        <f>IFERROR(Table4[[#This Row],[Sep_2026_Days_Actual]]*Table4[[#This Row],[Cost Boolean]]*(VLOOKUP(Table4[[#This Row],[RATE CONCAT]],Tables!I:N,5,0)),0)</f>
        <v>0</v>
      </c>
      <c r="CY30" s="3">
        <f>Table4[[#This Row],[Sep_2026_F]]-Table4[[#This Row],[Sep_2026_A]]</f>
        <v>0</v>
      </c>
      <c r="CZ30" s="103"/>
      <c r="DA30" s="3">
        <f>IFERROR(Table4[[#This Row],[Oct_2026_Days_Forecast]]*Table4[[#This Row],[Cost Boolean]]*(VLOOKUP(Table4[[#This Row],[RATE CONCAT]],Tables!I:N,5,0)),0)</f>
        <v>0</v>
      </c>
      <c r="DB30" s="3">
        <f>IFERROR(Table4[[#This Row],[Oct_2026_Days_Actual]]*Table4[[#This Row],[Cost Boolean]]*(VLOOKUP(Table4[[#This Row],[RATE CONCAT]],Tables!I:N,5,0)),0)</f>
        <v>0</v>
      </c>
      <c r="DC30" s="3">
        <f>Table4[[#This Row],[Oct_2026_F]]-Table4[[#This Row],[Oct_2026_A]]</f>
        <v>0</v>
      </c>
      <c r="DD30" s="103"/>
      <c r="DE30" s="3">
        <f>IFERROR(Table4[[#This Row],[Nov_2026_Days_Forecast]]*Table4[[#This Row],[Cost Boolean]]*(VLOOKUP(Table4[[#This Row],[RATE CONCAT]],Tables!I:N,5,0)),0)</f>
        <v>0</v>
      </c>
      <c r="DF30" s="3">
        <f>IFERROR(Table4[[#This Row],[Nov_2026_Days_Actual]]*Table4[[#This Row],[Cost Boolean]]*(VLOOKUP(Table4[[#This Row],[RATE CONCAT]],Tables!I:N,5,0)),0)</f>
        <v>0</v>
      </c>
      <c r="DG30" s="3">
        <f>Table4[[#This Row],[Nov_2026_F]]-Table4[[#This Row],[Nov_2026_A]]</f>
        <v>0</v>
      </c>
      <c r="DH30" s="103"/>
      <c r="DI30" s="3">
        <f>IFERROR(Table4[[#This Row],[Dec_2026_Days_Forecast]]*Table4[[#This Row],[Cost Boolean]]*(VLOOKUP(Table4[[#This Row],[RATE CONCAT]],Tables!I:N,5,0)),0)</f>
        <v>0</v>
      </c>
      <c r="DJ30" s="3">
        <f>IFERROR(Table4[[#This Row],[Dec_2026_Days_Actual]]*Table4[[#This Row],[Cost Boolean]]*(VLOOKUP(Table4[[#This Row],[RATE CONCAT]],Tables!I:N,5,0)),0)</f>
        <v>0</v>
      </c>
      <c r="DK30" s="3">
        <f>Table4[[#This Row],[Dec_2026_F]]-Table4[[#This Row],[Dec_2026_A]]</f>
        <v>0</v>
      </c>
      <c r="DL30" s="103"/>
      <c r="DM30" s="60"/>
      <c r="DN30" s="3">
        <f>IFERROR(Table4[[#This Row],[Jan_2027_Days_Forecast]]*Table4[[#This Row],[Cost Boolean]]*(VLOOKUP(Table4[[#This Row],[RATE CONCAT]],Tables!I:N,6,0)),0)</f>
        <v>0</v>
      </c>
      <c r="DO30" s="3"/>
      <c r="DP30" s="3">
        <f>Table4[[#This Row],[Jan_2027_F]]-Table4[[#This Row],[Jan_2027_A]]</f>
        <v>0</v>
      </c>
      <c r="DQ30" s="3">
        <f>IFERROR(Table4[[#This Row],[Feb_2027_Days_Forecast]]*Table4[[#This Row],[Cost Boolean]]*(VLOOKUP(Table4[[#This Row],[RATE CONCAT]],Tables!I:N,6,0)),0)</f>
        <v>0</v>
      </c>
      <c r="DR30" s="3"/>
      <c r="DS30" s="3">
        <f>Table4[[#This Row],[Feb_2027_F]]-Table4[[#This Row],[Feb_2027_A]]</f>
        <v>0</v>
      </c>
      <c r="DT30" s="3">
        <f>IFERROR(Table4[[#This Row],[Mar_2027_Days_Forecast]]*Table4[[#This Row],[Cost Boolean]]*(VLOOKUP(Table4[[#This Row],[RATE CONCAT]],Tables!I:N,6,0)),0)</f>
        <v>0</v>
      </c>
      <c r="DU30" s="3"/>
      <c r="DV30" s="3">
        <f>Table4[[#This Row],[Mar_2027_F]]-Table4[[#This Row],[Mar_2027_A]]</f>
        <v>0</v>
      </c>
      <c r="DW30" s="3">
        <f>IFERROR(Table4[[#This Row],[Apr_2027_Days_Forecast]]*Table4[[#This Row],[Cost Boolean]]*(VLOOKUP(Table4[[#This Row],[RATE CONCAT]],Tables!I:N,6,0)),0)</f>
        <v>0</v>
      </c>
      <c r="DX30" s="3"/>
      <c r="DY30" s="3">
        <f>Table4[[#This Row],[Apr_2027_F]]-Table4[[#This Row],[Apr_2027_A]]</f>
        <v>0</v>
      </c>
      <c r="DZ30" s="3">
        <f>IFERROR(Table4[[#This Row],[May_2027_Days_Forecast]]*Table4[[#This Row],[Cost Boolean]]*(VLOOKUP(Table4[[#This Row],[RATE CONCAT]],Tables!I:N,6,0)),0)</f>
        <v>0</v>
      </c>
      <c r="EA30" s="3"/>
      <c r="EB30" s="3">
        <f>Table4[[#This Row],[May_2027_F]]-Table4[[#This Row],[May_2027_A]]</f>
        <v>0</v>
      </c>
      <c r="EC30" s="3">
        <f>IFERROR(Table4[[#This Row],[Jun_2027_Days_Forecast]]*Table4[[#This Row],[Cost Boolean]]*(VLOOKUP(Table4[[#This Row],[RATE CONCAT]],Tables!I:N,6,0)),0)</f>
        <v>0</v>
      </c>
      <c r="ED30" s="3"/>
      <c r="EE30" s="3">
        <f>Table4[[#This Row],[Jun_2027_F]]-Table4[[#This Row],[Jun_2027_A]]</f>
        <v>0</v>
      </c>
      <c r="EF30" s="3">
        <f>IFERROR(Table4[[#This Row],[Jul_2027_Days_Forecast]]*Table4[[#This Row],[Cost Boolean]]*(VLOOKUP(Table4[[#This Row],[RATE CONCAT]],Tables!I:N,6,0)),0)</f>
        <v>0</v>
      </c>
      <c r="EG30" s="3"/>
      <c r="EH30" s="3">
        <f>Table4[[#This Row],[Jul_2027_F]]-Table4[[#This Row],[Jul_2027_A]]</f>
        <v>0</v>
      </c>
      <c r="EI30" s="3">
        <f>IFERROR(Table4[[#This Row],[Aug_2027_Days_Forecast]]*Table4[[#This Row],[Cost Boolean]]*(VLOOKUP(Table4[[#This Row],[RATE CONCAT]],Tables!I:N,6,0)),0)</f>
        <v>0</v>
      </c>
      <c r="EJ30" s="3"/>
      <c r="EK30" s="3">
        <f>Table4[[#This Row],[Aug_2027_F]]-Table4[[#This Row],[Aug_2027_A]]</f>
        <v>0</v>
      </c>
      <c r="EL30" s="3">
        <f>IFERROR(Table4[[#This Row],[Sep_2027_Days_Forecast]]*Table4[[#This Row],[Cost Boolean]]*(VLOOKUP(Table4[[#This Row],[RATE CONCAT]],Tables!I:N,6,0)),0)</f>
        <v>0</v>
      </c>
      <c r="EM30" s="3"/>
      <c r="EN30" s="3">
        <f>Table4[[#This Row],[Sep_2027_F]]-Table4[[#This Row],[Sep_2027_A]]</f>
        <v>0</v>
      </c>
      <c r="EO30" s="3">
        <f>IFERROR(Table4[[#This Row],[Oct_2027_Days_Forecast]]*Table4[[#This Row],[Cost Boolean]]*(VLOOKUP(Table4[[#This Row],[RATE CONCAT]],Tables!I:N,6,0)),0)</f>
        <v>0</v>
      </c>
      <c r="EP30" s="3"/>
      <c r="EQ30" s="3">
        <f>Table4[[#This Row],[Oct_2027_F]]-Table4[[#This Row],[Oct_2027_A]]</f>
        <v>0</v>
      </c>
      <c r="ER30" s="3">
        <f>IFERROR(Table4[[#This Row],[Nov_2027_Days_Forecast]]*Table4[[#This Row],[Cost Boolean]]*(VLOOKUP(Table4[[#This Row],[RATE CONCAT]],Tables!I:N,6,0)),0)</f>
        <v>0</v>
      </c>
      <c r="ES30" s="3"/>
      <c r="ET30" s="3">
        <f>Table4[[#This Row],[Nov_2027_F]]-Table4[[#This Row],[Nov_2027_A]]</f>
        <v>0</v>
      </c>
      <c r="EU30" s="3">
        <f>IFERROR(Table4[[#This Row],[Dec_2027_Days_Forecast]]*Table4[[#This Row],[Cost Boolean]]*(VLOOKUP(Table4[[#This Row],[RATE CONCAT]],Tables!I:N,6,0)),0)</f>
        <v>0</v>
      </c>
      <c r="EV30" s="3"/>
      <c r="EW30" s="3">
        <f>Table4[[#This Row],[Dec_2027_F]]-Table4[[#This Row],[Dec_2027_A]]</f>
        <v>0</v>
      </c>
    </row>
    <row r="31" spans="1:153" ht="15" customHeight="1">
      <c r="A31" s="132"/>
      <c r="B31" s="132"/>
      <c r="C31" s="132"/>
      <c r="D31" s="132"/>
      <c r="E31" s="132"/>
      <c r="F31" s="132"/>
      <c r="G31" s="132"/>
      <c r="H31" s="132"/>
      <c r="I31" s="132"/>
      <c r="J31" s="132"/>
      <c r="K31" s="132"/>
      <c r="L31" s="132"/>
      <c r="M31" s="132"/>
      <c r="N31" s="132"/>
      <c r="O31" s="132"/>
      <c r="P31" s="132"/>
      <c r="Q31" s="132"/>
      <c r="R31" s="191"/>
      <c r="S31" s="191"/>
      <c r="T31" s="191"/>
      <c r="U31" s="191"/>
      <c r="V31" s="191"/>
      <c r="W31" s="191"/>
      <c r="X31" s="13"/>
      <c r="Y31" s="132" t="str">
        <f>CONCATENATE(Table4[[#This Row],[JG]],Table4[[#This Row],[Country]],Table4[[#This Row],[Resource Provider]])</f>
        <v/>
      </c>
      <c r="Z31" s="132">
        <f>VLOOKUP(Table4[[#This Row],[RATE CONCAT]],Tables!I:N,5,0)</f>
        <v>0</v>
      </c>
      <c r="AA31" s="53"/>
      <c r="AB31" s="192"/>
      <c r="AC31" s="192"/>
      <c r="AD31" s="192"/>
      <c r="AE31" s="192"/>
      <c r="AF31" s="192"/>
      <c r="AG31" s="192"/>
      <c r="AH31" s="192"/>
      <c r="AI31" s="192"/>
      <c r="AJ31" s="192"/>
      <c r="AK31" s="16"/>
      <c r="AL31" s="16"/>
      <c r="AM31" s="16"/>
      <c r="AN31" s="53">
        <f>IFERROR(AVERAGE(Table4[[#This Row],[Jan_2026_Days_Forecast]:[Dec_2026_Days_Forecast]]),0)/19</f>
        <v>0</v>
      </c>
      <c r="AO31" s="53">
        <f>IFERROR(AVERAGE(Table4[[#This Row],[Jan_2026_Days_Actual]:[Dec_2026_Days_Actual]]),0)/19</f>
        <v>0</v>
      </c>
      <c r="AP31" s="84"/>
      <c r="AQ31" s="84"/>
      <c r="AR31" s="84"/>
      <c r="AS31" s="84"/>
      <c r="AT31" s="84"/>
      <c r="AU31" s="84"/>
      <c r="AV31" s="84"/>
      <c r="AW31" s="84"/>
      <c r="AX31" s="84"/>
      <c r="AY31" s="84"/>
      <c r="AZ31" s="84"/>
      <c r="BA31" s="84"/>
      <c r="BB31" s="53">
        <f>IFERROR(AVERAGE(Table4[[#This Row],[Jan_2027_Days_Forecast]:[Dec_2027_Days_Forecast]]),0)</f>
        <v>0</v>
      </c>
      <c r="BC31" s="16"/>
      <c r="BD31" s="16"/>
      <c r="BE31" s="16"/>
      <c r="BF31" s="16"/>
      <c r="BG31" s="16"/>
      <c r="BH31" s="16"/>
      <c r="BI31" s="16"/>
      <c r="BJ31" s="16"/>
      <c r="BK31" s="16"/>
      <c r="BL31" s="16"/>
      <c r="BM31" s="16"/>
      <c r="BN31" s="16"/>
      <c r="BO31" s="55"/>
      <c r="BP31" s="60"/>
      <c r="BQ31" s="3">
        <f>Table4[[#This Row],[Jan_2026_Days_Forecast]]*Table4[[#This Row],[Cost Boolean]]*VLOOKUP(Table4[[#This Row],[RATE CONCAT]],Tables!I:N,5,0)</f>
        <v>0</v>
      </c>
      <c r="BR31" s="3">
        <f>IFERROR(Table4[[#This Row],[Jan_2026_Days_Actual]]*Table4[[#This Row],[Cost Boolean]]*(VLOOKUP(Table4[[#This Row],[RATE CONCAT]],Tables!I:N,5,0)),0)</f>
        <v>0</v>
      </c>
      <c r="BS31" s="3">
        <f>Table4[[#This Row],[Jan_2026_F]]-Table4[[#This Row],[Jan_2026_A]]</f>
        <v>0</v>
      </c>
      <c r="BT31" s="107"/>
      <c r="BU31" s="3">
        <f>IFERROR(Table4[[#This Row],[Feb_2026_Days_Forecast]]*Table4[[#This Row],[Cost Boolean]]*(VLOOKUP(Table4[[#This Row],[RATE CONCAT]],Tables!I:N,5,0)),0)</f>
        <v>0</v>
      </c>
      <c r="BV31" s="3">
        <f>IFERROR(Table4[[#This Row],[Feb_2026_Days_Actual]]*Table4[[#This Row],[Cost Boolean]]*(VLOOKUP(Table4[[#This Row],[RATE CONCAT]],Tables!I:N,5,0)),0)</f>
        <v>0</v>
      </c>
      <c r="BW31" s="3">
        <f>Table4[[#This Row],[Feb_2026_F]]-Table4[[#This Row],[Feb_2026_A]]</f>
        <v>0</v>
      </c>
      <c r="BX31" s="103"/>
      <c r="BY31" s="3">
        <f>IFERROR(Table4[[#This Row],[Mar_2026_Days_Forecast]]*Table4[[#This Row],[Cost Boolean]]*(VLOOKUP(Table4[[#This Row],[RATE CONCAT]],Tables!I:N,5,0)),0)</f>
        <v>0</v>
      </c>
      <c r="BZ31" s="3">
        <f>IFERROR(Table4[[#This Row],[Mar_2026_Days_Actual]]*Table4[[#This Row],[Cost Boolean]]*(VLOOKUP(Table4[[#This Row],[RATE CONCAT]],Tables!I:N,5,0)),0)</f>
        <v>0</v>
      </c>
      <c r="CA31" s="3">
        <f>Table4[[#This Row],[Mar_2026_F]]-Table4[[#This Row],[Mar_2026_A]]</f>
        <v>0</v>
      </c>
      <c r="CB31" s="103"/>
      <c r="CC31" s="3">
        <f>IFERROR(Table4[[#This Row],[Apr_2026_Days_Forecast]]*Table4[[#This Row],[Cost Boolean]]*(VLOOKUP(Table4[[#This Row],[RATE CONCAT]],Tables!I:N,5,0)),0)</f>
        <v>0</v>
      </c>
      <c r="CD31" s="3">
        <f>IFERROR(Table4[[#This Row],[Apr_2026_Days_Actual]]*Table4[[#This Row],[Cost Boolean]]*(VLOOKUP(Table4[[#This Row],[RATE CONCAT]],Tables!I:N,5,0)),0)</f>
        <v>0</v>
      </c>
      <c r="CE31" s="3">
        <f>Table4[[#This Row],[Apr_2026_F]]-Table4[[#This Row],[Apr_2026_A]]</f>
        <v>0</v>
      </c>
      <c r="CF31" s="103"/>
      <c r="CG31" s="3">
        <f>IFERROR(Table4[[#This Row],[May_2026_Days_Forecast]] *Table4[[#This Row],[Cost Boolean]]*(VLOOKUP(Table4[[#This Row],[RATE CONCAT]],Tables!I:N,5,0)),0)</f>
        <v>0</v>
      </c>
      <c r="CH31" s="3">
        <f>IFERROR(Table4[[#This Row],[May_2026_Days_Actual]]*Table4[[#This Row],[Cost Boolean]]*(VLOOKUP(Table4[[#This Row],[RATE CONCAT]],Tables!I:N,5,0)),0)</f>
        <v>0</v>
      </c>
      <c r="CI31" s="3">
        <f>Table4[[#This Row],[May_2026_F]]-Table4[[#This Row],[May_2026_A]]</f>
        <v>0</v>
      </c>
      <c r="CJ31" s="103"/>
      <c r="CK31" s="3">
        <f>IFERROR(Table4[[#This Row],[Jun_2026_Days_Forecast]]*Table4[[#This Row],[Cost Boolean]]*(VLOOKUP(Table4[[#This Row],[RATE CONCAT]],Tables!I:N,5,0)),0)</f>
        <v>0</v>
      </c>
      <c r="CL31" s="3">
        <f>IFERROR(Table4[[#This Row],[Jun_2026_Days_Actual]]*Table4[[#This Row],[Cost Boolean]]*(VLOOKUP(Table4[[#This Row],[RATE CONCAT]],Tables!I:N,5,0)),0)</f>
        <v>0</v>
      </c>
      <c r="CM31" s="3">
        <f>Table4[[#This Row],[Jun_2026_F]]-Table4[[#This Row],[Jun_2026_A]]</f>
        <v>0</v>
      </c>
      <c r="CN31" s="103"/>
      <c r="CO31" s="3">
        <f>IFERROR(Table4[[#This Row],[Jul_2026_Days_Forecast]]*Table4[[#This Row],[Cost Boolean]]*(VLOOKUP(Table4[[#This Row],[RATE CONCAT]],Tables!I:N,5,0)),0)</f>
        <v>0</v>
      </c>
      <c r="CP31" s="3">
        <f>IFERROR(Table4[[#This Row],[Aug_2026_Days_Forecast]]*Table4[[#This Row],[Location]]*(VLOOKUP(Table4[[#This Row],[Rate]],Tables!J:O,5,0)),0)</f>
        <v>0</v>
      </c>
      <c r="CQ31" s="3">
        <f>Table4[[#This Row],[Jul_2026_F]]-Table4[[#This Row],[Jul_2026_A]]</f>
        <v>0</v>
      </c>
      <c r="CR31" s="103"/>
      <c r="CS31" s="3">
        <f>IFERROR(Table4[[#This Row],[Aug_2026_Days_Forecast]]*Table4[[#This Row],[Cost Boolean]]*(VLOOKUP(Table4[[#This Row],[RATE CONCAT]],Tables!I:N,5,0)),0)</f>
        <v>0</v>
      </c>
      <c r="CT31" s="3">
        <f>IFERROR(Table4[[#This Row],[Aug_2026_Days_Actual]]*Table4[[#This Row],[Cost Boolean]]*(VLOOKUP(Table4[[#This Row],[RATE CONCAT]],Tables!I:N,5,0)),0)</f>
        <v>0</v>
      </c>
      <c r="CU31" s="3">
        <f>Table4[[#This Row],[Aug_2026_F]]-Table4[[#This Row],[Aug_2026_A]]</f>
        <v>0</v>
      </c>
      <c r="CV31" s="103"/>
      <c r="CW31" s="3">
        <f>IFERROR(Table4[[#This Row],[Sep_2026_Days_Forecast]]*Table4[[#This Row],[Cost Boolean]]*(VLOOKUP(Table4[[#This Row],[RATE CONCAT]],Tables!I:N,5,0)),0)</f>
        <v>0</v>
      </c>
      <c r="CX31" s="3">
        <f>IFERROR(Table4[[#This Row],[Sep_2026_Days_Actual]]*Table4[[#This Row],[Cost Boolean]]*(VLOOKUP(Table4[[#This Row],[RATE CONCAT]],Tables!I:N,5,0)),0)</f>
        <v>0</v>
      </c>
      <c r="CY31" s="3">
        <f>Table4[[#This Row],[Sep_2026_F]]-Table4[[#This Row],[Sep_2026_A]]</f>
        <v>0</v>
      </c>
      <c r="CZ31" s="103"/>
      <c r="DA31" s="3">
        <f>IFERROR(Table4[[#This Row],[Oct_2026_Days_Forecast]]*Table4[[#This Row],[Cost Boolean]]*(VLOOKUP(Table4[[#This Row],[RATE CONCAT]],Tables!I:N,5,0)),0)</f>
        <v>0</v>
      </c>
      <c r="DB31" s="3">
        <f>IFERROR(Table4[[#This Row],[Oct_2026_Days_Actual]]*Table4[[#This Row],[Cost Boolean]]*(VLOOKUP(Table4[[#This Row],[RATE CONCAT]],Tables!I:N,5,0)),0)</f>
        <v>0</v>
      </c>
      <c r="DC31" s="3">
        <f>Table4[[#This Row],[Oct_2026_F]]-Table4[[#This Row],[Oct_2026_A]]</f>
        <v>0</v>
      </c>
      <c r="DD31" s="103"/>
      <c r="DE31" s="3">
        <f>IFERROR(Table4[[#This Row],[Nov_2026_Days_Forecast]]*Table4[[#This Row],[Cost Boolean]]*(VLOOKUP(Table4[[#This Row],[RATE CONCAT]],Tables!I:N,5,0)),0)</f>
        <v>0</v>
      </c>
      <c r="DF31" s="3">
        <f>IFERROR(Table4[[#This Row],[Nov_2026_Days_Actual]]*Table4[[#This Row],[Cost Boolean]]*(VLOOKUP(Table4[[#This Row],[RATE CONCAT]],Tables!I:N,5,0)),0)</f>
        <v>0</v>
      </c>
      <c r="DG31" s="3">
        <f>Table4[[#This Row],[Nov_2026_F]]-Table4[[#This Row],[Nov_2026_A]]</f>
        <v>0</v>
      </c>
      <c r="DH31" s="103"/>
      <c r="DI31" s="3">
        <f>IFERROR(Table4[[#This Row],[Dec_2026_Days_Forecast]]*Table4[[#This Row],[Cost Boolean]]*(VLOOKUP(Table4[[#This Row],[RATE CONCAT]],Tables!I:N,5,0)),0)</f>
        <v>0</v>
      </c>
      <c r="DJ31" s="3">
        <f>IFERROR(Table4[[#This Row],[Dec_2026_Days_Actual]]*Table4[[#This Row],[Cost Boolean]]*(VLOOKUP(Table4[[#This Row],[RATE CONCAT]],Tables!I:N,5,0)),0)</f>
        <v>0</v>
      </c>
      <c r="DK31" s="3">
        <f>Table4[[#This Row],[Dec_2026_F]]-Table4[[#This Row],[Dec_2026_A]]</f>
        <v>0</v>
      </c>
      <c r="DL31" s="103"/>
      <c r="DM31" s="60"/>
      <c r="DN31" s="3">
        <f>IFERROR(Table4[[#This Row],[Jan_2027_Days_Forecast]]*Table4[[#This Row],[Cost Boolean]]*(VLOOKUP(Table4[[#This Row],[RATE CONCAT]],Tables!I:N,6,0)),0)</f>
        <v>0</v>
      </c>
      <c r="DO31" s="3"/>
      <c r="DP31" s="3">
        <f>Table4[[#This Row],[Jan_2027_F]]-Table4[[#This Row],[Jan_2027_A]]</f>
        <v>0</v>
      </c>
      <c r="DQ31" s="3">
        <f>IFERROR(Table4[[#This Row],[Feb_2027_Days_Forecast]]*Table4[[#This Row],[Cost Boolean]]*(VLOOKUP(Table4[[#This Row],[RATE CONCAT]],Tables!I:N,6,0)),0)</f>
        <v>0</v>
      </c>
      <c r="DR31" s="3"/>
      <c r="DS31" s="3">
        <f>Table4[[#This Row],[Feb_2027_F]]-Table4[[#This Row],[Feb_2027_A]]</f>
        <v>0</v>
      </c>
      <c r="DT31" s="3">
        <f>IFERROR(Table4[[#This Row],[Mar_2027_Days_Forecast]]*Table4[[#This Row],[Cost Boolean]]*(VLOOKUP(Table4[[#This Row],[RATE CONCAT]],Tables!I:N,6,0)),0)</f>
        <v>0</v>
      </c>
      <c r="DU31" s="3"/>
      <c r="DV31" s="3">
        <f>Table4[[#This Row],[Mar_2027_F]]-Table4[[#This Row],[Mar_2027_A]]</f>
        <v>0</v>
      </c>
      <c r="DW31" s="3">
        <f>IFERROR(Table4[[#This Row],[Apr_2027_Days_Forecast]]*Table4[[#This Row],[Cost Boolean]]*(VLOOKUP(Table4[[#This Row],[RATE CONCAT]],Tables!I:N,6,0)),0)</f>
        <v>0</v>
      </c>
      <c r="DX31" s="3"/>
      <c r="DY31" s="3">
        <f>Table4[[#This Row],[Apr_2027_F]]-Table4[[#This Row],[Apr_2027_A]]</f>
        <v>0</v>
      </c>
      <c r="DZ31" s="3">
        <f>IFERROR(Table4[[#This Row],[May_2027_Days_Forecast]]*Table4[[#This Row],[Cost Boolean]]*(VLOOKUP(Table4[[#This Row],[RATE CONCAT]],Tables!I:N,6,0)),0)</f>
        <v>0</v>
      </c>
      <c r="EA31" s="3"/>
      <c r="EB31" s="3">
        <f>Table4[[#This Row],[May_2027_F]]-Table4[[#This Row],[May_2027_A]]</f>
        <v>0</v>
      </c>
      <c r="EC31" s="3">
        <f>IFERROR(Table4[[#This Row],[Jun_2027_Days_Forecast]]*Table4[[#This Row],[Cost Boolean]]*(VLOOKUP(Table4[[#This Row],[RATE CONCAT]],Tables!I:N,6,0)),0)</f>
        <v>0</v>
      </c>
      <c r="ED31" s="3"/>
      <c r="EE31" s="3">
        <f>Table4[[#This Row],[Jun_2027_F]]-Table4[[#This Row],[Jun_2027_A]]</f>
        <v>0</v>
      </c>
      <c r="EF31" s="3">
        <f>IFERROR(Table4[[#This Row],[Jul_2027_Days_Forecast]]*Table4[[#This Row],[Cost Boolean]]*(VLOOKUP(Table4[[#This Row],[RATE CONCAT]],Tables!I:N,6,0)),0)</f>
        <v>0</v>
      </c>
      <c r="EG31" s="3"/>
      <c r="EH31" s="3">
        <f>Table4[[#This Row],[Jul_2027_F]]-Table4[[#This Row],[Jul_2027_A]]</f>
        <v>0</v>
      </c>
      <c r="EI31" s="3">
        <f>IFERROR(Table4[[#This Row],[Aug_2027_Days_Forecast]]*Table4[[#This Row],[Cost Boolean]]*(VLOOKUP(Table4[[#This Row],[RATE CONCAT]],Tables!I:N,6,0)),0)</f>
        <v>0</v>
      </c>
      <c r="EJ31" s="3"/>
      <c r="EK31" s="3">
        <f>Table4[[#This Row],[Aug_2027_F]]-Table4[[#This Row],[Aug_2027_A]]</f>
        <v>0</v>
      </c>
      <c r="EL31" s="3">
        <f>IFERROR(Table4[[#This Row],[Sep_2027_Days_Forecast]]*Table4[[#This Row],[Cost Boolean]]*(VLOOKUP(Table4[[#This Row],[RATE CONCAT]],Tables!I:N,6,0)),0)</f>
        <v>0</v>
      </c>
      <c r="EM31" s="3"/>
      <c r="EN31" s="3">
        <f>Table4[[#This Row],[Sep_2027_F]]-Table4[[#This Row],[Sep_2027_A]]</f>
        <v>0</v>
      </c>
      <c r="EO31" s="3">
        <f>IFERROR(Table4[[#This Row],[Oct_2027_Days_Forecast]]*Table4[[#This Row],[Cost Boolean]]*(VLOOKUP(Table4[[#This Row],[RATE CONCAT]],Tables!I:N,6,0)),0)</f>
        <v>0</v>
      </c>
      <c r="EP31" s="3"/>
      <c r="EQ31" s="3">
        <f>Table4[[#This Row],[Oct_2027_F]]-Table4[[#This Row],[Oct_2027_A]]</f>
        <v>0</v>
      </c>
      <c r="ER31" s="3">
        <f>IFERROR(Table4[[#This Row],[Nov_2027_Days_Forecast]]*Table4[[#This Row],[Cost Boolean]]*(VLOOKUP(Table4[[#This Row],[RATE CONCAT]],Tables!I:N,6,0)),0)</f>
        <v>0</v>
      </c>
      <c r="ES31" s="3"/>
      <c r="ET31" s="3">
        <f>Table4[[#This Row],[Nov_2027_F]]-Table4[[#This Row],[Nov_2027_A]]</f>
        <v>0</v>
      </c>
      <c r="EU31" s="3">
        <f>IFERROR(Table4[[#This Row],[Dec_2027_Days_Forecast]]*Table4[[#This Row],[Cost Boolean]]*(VLOOKUP(Table4[[#This Row],[RATE CONCAT]],Tables!I:N,6,0)),0)</f>
        <v>0</v>
      </c>
      <c r="EV31" s="3"/>
      <c r="EW31" s="3">
        <f>Table4[[#This Row],[Dec_2027_F]]-Table4[[#This Row],[Dec_2027_A]]</f>
        <v>0</v>
      </c>
    </row>
    <row r="32" spans="1:153" ht="15" customHeight="1">
      <c r="A32" s="132"/>
      <c r="B32" s="132"/>
      <c r="C32" s="132"/>
      <c r="D32" s="132"/>
      <c r="E32" s="132"/>
      <c r="F32" s="132"/>
      <c r="G32" s="132"/>
      <c r="H32" s="132"/>
      <c r="I32" s="132"/>
      <c r="J32" s="132"/>
      <c r="K32" s="132"/>
      <c r="L32" s="132"/>
      <c r="M32" s="132"/>
      <c r="N32" s="132"/>
      <c r="O32" s="132"/>
      <c r="P32" s="132"/>
      <c r="Q32" s="132"/>
      <c r="R32" s="191"/>
      <c r="S32" s="191"/>
      <c r="T32" s="191"/>
      <c r="U32" s="191"/>
      <c r="V32" s="191"/>
      <c r="W32" s="191"/>
      <c r="X32" s="13"/>
      <c r="Y32" s="132" t="str">
        <f>CONCATENATE(Table4[[#This Row],[JG]],Table4[[#This Row],[Country]],Table4[[#This Row],[Resource Provider]])</f>
        <v/>
      </c>
      <c r="Z32" s="132">
        <f>VLOOKUP(Table4[[#This Row],[RATE CONCAT]],Tables!I:N,5,0)</f>
        <v>0</v>
      </c>
      <c r="AA32" s="53"/>
      <c r="AB32" s="192"/>
      <c r="AC32" s="192"/>
      <c r="AD32" s="192"/>
      <c r="AE32" s="192"/>
      <c r="AF32" s="192"/>
      <c r="AG32" s="192"/>
      <c r="AH32" s="192"/>
      <c r="AI32" s="192"/>
      <c r="AJ32" s="192"/>
      <c r="AK32" s="16"/>
      <c r="AL32" s="16"/>
      <c r="AM32" s="16"/>
      <c r="AN32" s="53">
        <f>IFERROR(AVERAGE(Table4[[#This Row],[Jan_2026_Days_Forecast]:[Dec_2026_Days_Forecast]]),0)/19</f>
        <v>0</v>
      </c>
      <c r="AO32" s="53">
        <f>IFERROR(AVERAGE(Table4[[#This Row],[Jan_2026_Days_Actual]:[Dec_2026_Days_Actual]]),0)/19</f>
        <v>0</v>
      </c>
      <c r="AP32" s="84"/>
      <c r="AQ32" s="84"/>
      <c r="AR32" s="84"/>
      <c r="AS32" s="84"/>
      <c r="AT32" s="84"/>
      <c r="AU32" s="84"/>
      <c r="AV32" s="84"/>
      <c r="AW32" s="84"/>
      <c r="AX32" s="84"/>
      <c r="AY32" s="84"/>
      <c r="AZ32" s="84"/>
      <c r="BA32" s="84"/>
      <c r="BB32" s="53">
        <f>IFERROR(AVERAGE(Table4[[#This Row],[Jan_2027_Days_Forecast]:[Dec_2027_Days_Forecast]]),0)</f>
        <v>0</v>
      </c>
      <c r="BC32" s="16"/>
      <c r="BD32" s="16"/>
      <c r="BE32" s="16"/>
      <c r="BF32" s="16"/>
      <c r="BG32" s="16"/>
      <c r="BH32" s="16"/>
      <c r="BI32" s="16"/>
      <c r="BJ32" s="16"/>
      <c r="BK32" s="16"/>
      <c r="BL32" s="16"/>
      <c r="BM32" s="16"/>
      <c r="BN32" s="16"/>
      <c r="BO32" s="55"/>
      <c r="BP32" s="60"/>
      <c r="BQ32" s="3">
        <f>Table4[[#This Row],[Jan_2026_Days_Forecast]]*Table4[[#This Row],[Cost Boolean]]*VLOOKUP(Table4[[#This Row],[RATE CONCAT]],Tables!I:N,5,0)</f>
        <v>0</v>
      </c>
      <c r="BR32" s="3">
        <f>IFERROR(Table4[[#This Row],[Jan_2026_Days_Actual]]*Table4[[#This Row],[Cost Boolean]]*(VLOOKUP(Table4[[#This Row],[RATE CONCAT]],Tables!I:N,5,0)),0)</f>
        <v>0</v>
      </c>
      <c r="BS32" s="3">
        <f>Table4[[#This Row],[Jan_2026_F]]-Table4[[#This Row],[Jan_2026_A]]</f>
        <v>0</v>
      </c>
      <c r="BT32" s="107"/>
      <c r="BU32" s="3">
        <f>IFERROR(Table4[[#This Row],[Feb_2026_Days_Forecast]]*Table4[[#This Row],[Cost Boolean]]*(VLOOKUP(Table4[[#This Row],[RATE CONCAT]],Tables!I:N,5,0)),0)</f>
        <v>0</v>
      </c>
      <c r="BV32" s="3">
        <f>IFERROR(Table4[[#This Row],[Feb_2026_Days_Actual]]*Table4[[#This Row],[Cost Boolean]]*(VLOOKUP(Table4[[#This Row],[RATE CONCAT]],Tables!I:N,5,0)),0)</f>
        <v>0</v>
      </c>
      <c r="BW32" s="3">
        <f>Table4[[#This Row],[Feb_2026_F]]-Table4[[#This Row],[Feb_2026_A]]</f>
        <v>0</v>
      </c>
      <c r="BX32" s="103"/>
      <c r="BY32" s="3">
        <f>IFERROR(Table4[[#This Row],[Mar_2026_Days_Forecast]]*Table4[[#This Row],[Cost Boolean]]*(VLOOKUP(Table4[[#This Row],[RATE CONCAT]],Tables!I:N,5,0)),0)</f>
        <v>0</v>
      </c>
      <c r="BZ32" s="3">
        <f>IFERROR(Table4[[#This Row],[Mar_2026_Days_Actual]]*Table4[[#This Row],[Cost Boolean]]*(VLOOKUP(Table4[[#This Row],[RATE CONCAT]],Tables!I:N,5,0)),0)</f>
        <v>0</v>
      </c>
      <c r="CA32" s="3">
        <f>Table4[[#This Row],[Mar_2026_F]]-Table4[[#This Row],[Mar_2026_A]]</f>
        <v>0</v>
      </c>
      <c r="CB32" s="103"/>
      <c r="CC32" s="3">
        <f>IFERROR(Table4[[#This Row],[Apr_2026_Days_Forecast]]*Table4[[#This Row],[Cost Boolean]]*(VLOOKUP(Table4[[#This Row],[RATE CONCAT]],Tables!I:N,5,0)),0)</f>
        <v>0</v>
      </c>
      <c r="CD32" s="3">
        <f>IFERROR(Table4[[#This Row],[Apr_2026_Days_Actual]]*Table4[[#This Row],[Cost Boolean]]*(VLOOKUP(Table4[[#This Row],[RATE CONCAT]],Tables!I:N,5,0)),0)</f>
        <v>0</v>
      </c>
      <c r="CE32" s="3">
        <f>Table4[[#This Row],[Apr_2026_F]]-Table4[[#This Row],[Apr_2026_A]]</f>
        <v>0</v>
      </c>
      <c r="CF32" s="103"/>
      <c r="CG32" s="3">
        <f>IFERROR(Table4[[#This Row],[May_2026_Days_Forecast]] *Table4[[#This Row],[Cost Boolean]]*(VLOOKUP(Table4[[#This Row],[RATE CONCAT]],Tables!I:N,5,0)),0)</f>
        <v>0</v>
      </c>
      <c r="CH32" s="3">
        <f>IFERROR(Table4[[#This Row],[May_2026_Days_Actual]]*Table4[[#This Row],[Cost Boolean]]*(VLOOKUP(Table4[[#This Row],[RATE CONCAT]],Tables!I:N,5,0)),0)</f>
        <v>0</v>
      </c>
      <c r="CI32" s="3">
        <f>Table4[[#This Row],[May_2026_F]]-Table4[[#This Row],[May_2026_A]]</f>
        <v>0</v>
      </c>
      <c r="CJ32" s="103"/>
      <c r="CK32" s="3">
        <f>IFERROR(Table4[[#This Row],[Jun_2026_Days_Forecast]]*Table4[[#This Row],[Cost Boolean]]*(VLOOKUP(Table4[[#This Row],[RATE CONCAT]],Tables!I:N,5,0)),0)</f>
        <v>0</v>
      </c>
      <c r="CL32" s="3">
        <f>IFERROR(Table4[[#This Row],[Jun_2026_Days_Actual]]*Table4[[#This Row],[Cost Boolean]]*(VLOOKUP(Table4[[#This Row],[RATE CONCAT]],Tables!I:N,5,0)),0)</f>
        <v>0</v>
      </c>
      <c r="CM32" s="3">
        <f>Table4[[#This Row],[Jun_2026_F]]-Table4[[#This Row],[Jun_2026_A]]</f>
        <v>0</v>
      </c>
      <c r="CN32" s="103"/>
      <c r="CO32" s="3">
        <f>IFERROR(Table4[[#This Row],[Jul_2026_Days_Forecast]]*Table4[[#This Row],[Cost Boolean]]*(VLOOKUP(Table4[[#This Row],[RATE CONCAT]],Tables!I:N,5,0)),0)</f>
        <v>0</v>
      </c>
      <c r="CP32" s="3">
        <f>IFERROR(Table4[[#This Row],[Aug_2026_Days_Forecast]]*Table4[[#This Row],[Location]]*(VLOOKUP(Table4[[#This Row],[Rate]],Tables!J:O,5,0)),0)</f>
        <v>0</v>
      </c>
      <c r="CQ32" s="3">
        <f>Table4[[#This Row],[Jul_2026_F]]-Table4[[#This Row],[Jul_2026_A]]</f>
        <v>0</v>
      </c>
      <c r="CR32" s="103"/>
      <c r="CS32" s="3">
        <f>IFERROR(Table4[[#This Row],[Aug_2026_Days_Forecast]]*Table4[[#This Row],[Cost Boolean]]*(VLOOKUP(Table4[[#This Row],[RATE CONCAT]],Tables!I:N,5,0)),0)</f>
        <v>0</v>
      </c>
      <c r="CT32" s="3">
        <f>IFERROR(Table4[[#This Row],[Aug_2026_Days_Actual]]*Table4[[#This Row],[Cost Boolean]]*(VLOOKUP(Table4[[#This Row],[RATE CONCAT]],Tables!I:N,5,0)),0)</f>
        <v>0</v>
      </c>
      <c r="CU32" s="3">
        <f>Table4[[#This Row],[Aug_2026_F]]-Table4[[#This Row],[Aug_2026_A]]</f>
        <v>0</v>
      </c>
      <c r="CV32" s="103"/>
      <c r="CW32" s="3">
        <f>IFERROR(Table4[[#This Row],[Sep_2026_Days_Forecast]]*Table4[[#This Row],[Cost Boolean]]*(VLOOKUP(Table4[[#This Row],[RATE CONCAT]],Tables!I:N,5,0)),0)</f>
        <v>0</v>
      </c>
      <c r="CX32" s="3">
        <f>IFERROR(Table4[[#This Row],[Sep_2026_Days_Actual]]*Table4[[#This Row],[Cost Boolean]]*(VLOOKUP(Table4[[#This Row],[RATE CONCAT]],Tables!I:N,5,0)),0)</f>
        <v>0</v>
      </c>
      <c r="CY32" s="3">
        <f>Table4[[#This Row],[Sep_2026_F]]-Table4[[#This Row],[Sep_2026_A]]</f>
        <v>0</v>
      </c>
      <c r="CZ32" s="103"/>
      <c r="DA32" s="3">
        <f>IFERROR(Table4[[#This Row],[Oct_2026_Days_Forecast]]*Table4[[#This Row],[Cost Boolean]]*(VLOOKUP(Table4[[#This Row],[RATE CONCAT]],Tables!I:N,5,0)),0)</f>
        <v>0</v>
      </c>
      <c r="DB32" s="3">
        <f>IFERROR(Table4[[#This Row],[Oct_2026_Days_Actual]]*Table4[[#This Row],[Cost Boolean]]*(VLOOKUP(Table4[[#This Row],[RATE CONCAT]],Tables!I:N,5,0)),0)</f>
        <v>0</v>
      </c>
      <c r="DC32" s="3">
        <f>Table4[[#This Row],[Oct_2026_F]]-Table4[[#This Row],[Oct_2026_A]]</f>
        <v>0</v>
      </c>
      <c r="DD32" s="103"/>
      <c r="DE32" s="3">
        <f>IFERROR(Table4[[#This Row],[Nov_2026_Days_Forecast]]*Table4[[#This Row],[Cost Boolean]]*(VLOOKUP(Table4[[#This Row],[RATE CONCAT]],Tables!I:N,5,0)),0)</f>
        <v>0</v>
      </c>
      <c r="DF32" s="3">
        <f>IFERROR(Table4[[#This Row],[Nov_2026_Days_Actual]]*Table4[[#This Row],[Cost Boolean]]*(VLOOKUP(Table4[[#This Row],[RATE CONCAT]],Tables!I:N,5,0)),0)</f>
        <v>0</v>
      </c>
      <c r="DG32" s="3">
        <f>Table4[[#This Row],[Nov_2026_F]]-Table4[[#This Row],[Nov_2026_A]]</f>
        <v>0</v>
      </c>
      <c r="DH32" s="103"/>
      <c r="DI32" s="3">
        <f>IFERROR(Table4[[#This Row],[Dec_2026_Days_Forecast]]*Table4[[#This Row],[Cost Boolean]]*(VLOOKUP(Table4[[#This Row],[RATE CONCAT]],Tables!I:N,5,0)),0)</f>
        <v>0</v>
      </c>
      <c r="DJ32" s="3">
        <f>IFERROR(Table4[[#This Row],[Dec_2026_Days_Actual]]*Table4[[#This Row],[Cost Boolean]]*(VLOOKUP(Table4[[#This Row],[RATE CONCAT]],Tables!I:N,5,0)),0)</f>
        <v>0</v>
      </c>
      <c r="DK32" s="3">
        <f>Table4[[#This Row],[Dec_2026_F]]-Table4[[#This Row],[Dec_2026_A]]</f>
        <v>0</v>
      </c>
      <c r="DL32" s="103"/>
      <c r="DM32" s="60"/>
      <c r="DN32" s="3">
        <f>IFERROR(Table4[[#This Row],[Jan_2027_Days_Forecast]]*Table4[[#This Row],[Cost Boolean]]*(VLOOKUP(Table4[[#This Row],[RATE CONCAT]],Tables!I:N,6,0)),0)</f>
        <v>0</v>
      </c>
      <c r="DO32" s="3"/>
      <c r="DP32" s="3">
        <f>Table4[[#This Row],[Jan_2027_F]]-Table4[[#This Row],[Jan_2027_A]]</f>
        <v>0</v>
      </c>
      <c r="DQ32" s="3">
        <f>IFERROR(Table4[[#This Row],[Feb_2027_Days_Forecast]]*Table4[[#This Row],[Cost Boolean]]*(VLOOKUP(Table4[[#This Row],[RATE CONCAT]],Tables!I:N,6,0)),0)</f>
        <v>0</v>
      </c>
      <c r="DR32" s="3"/>
      <c r="DS32" s="3">
        <f>Table4[[#This Row],[Feb_2027_F]]-Table4[[#This Row],[Feb_2027_A]]</f>
        <v>0</v>
      </c>
      <c r="DT32" s="3">
        <f>IFERROR(Table4[[#This Row],[Mar_2027_Days_Forecast]]*Table4[[#This Row],[Cost Boolean]]*(VLOOKUP(Table4[[#This Row],[RATE CONCAT]],Tables!I:N,6,0)),0)</f>
        <v>0</v>
      </c>
      <c r="DU32" s="3"/>
      <c r="DV32" s="3">
        <f>Table4[[#This Row],[Mar_2027_F]]-Table4[[#This Row],[Mar_2027_A]]</f>
        <v>0</v>
      </c>
      <c r="DW32" s="3">
        <f>IFERROR(Table4[[#This Row],[Apr_2027_Days_Forecast]]*Table4[[#This Row],[Cost Boolean]]*(VLOOKUP(Table4[[#This Row],[RATE CONCAT]],Tables!I:N,6,0)),0)</f>
        <v>0</v>
      </c>
      <c r="DX32" s="3"/>
      <c r="DY32" s="3">
        <f>Table4[[#This Row],[Apr_2027_F]]-Table4[[#This Row],[Apr_2027_A]]</f>
        <v>0</v>
      </c>
      <c r="DZ32" s="3">
        <f>IFERROR(Table4[[#This Row],[May_2027_Days_Forecast]]*Table4[[#This Row],[Cost Boolean]]*(VLOOKUP(Table4[[#This Row],[RATE CONCAT]],Tables!I:N,6,0)),0)</f>
        <v>0</v>
      </c>
      <c r="EA32" s="3"/>
      <c r="EB32" s="3">
        <f>Table4[[#This Row],[May_2027_F]]-Table4[[#This Row],[May_2027_A]]</f>
        <v>0</v>
      </c>
      <c r="EC32" s="3">
        <f>IFERROR(Table4[[#This Row],[Jun_2027_Days_Forecast]]*Table4[[#This Row],[Cost Boolean]]*(VLOOKUP(Table4[[#This Row],[RATE CONCAT]],Tables!I:N,6,0)),0)</f>
        <v>0</v>
      </c>
      <c r="ED32" s="3"/>
      <c r="EE32" s="3">
        <f>Table4[[#This Row],[Jun_2027_F]]-Table4[[#This Row],[Jun_2027_A]]</f>
        <v>0</v>
      </c>
      <c r="EF32" s="3">
        <f>IFERROR(Table4[[#This Row],[Jul_2027_Days_Forecast]]*Table4[[#This Row],[Cost Boolean]]*(VLOOKUP(Table4[[#This Row],[RATE CONCAT]],Tables!I:N,6,0)),0)</f>
        <v>0</v>
      </c>
      <c r="EG32" s="3"/>
      <c r="EH32" s="3">
        <f>Table4[[#This Row],[Jul_2027_F]]-Table4[[#This Row],[Jul_2027_A]]</f>
        <v>0</v>
      </c>
      <c r="EI32" s="3">
        <f>IFERROR(Table4[[#This Row],[Aug_2027_Days_Forecast]]*Table4[[#This Row],[Cost Boolean]]*(VLOOKUP(Table4[[#This Row],[RATE CONCAT]],Tables!I:N,6,0)),0)</f>
        <v>0</v>
      </c>
      <c r="EJ32" s="3"/>
      <c r="EK32" s="3">
        <f>Table4[[#This Row],[Aug_2027_F]]-Table4[[#This Row],[Aug_2027_A]]</f>
        <v>0</v>
      </c>
      <c r="EL32" s="3">
        <f>IFERROR(Table4[[#This Row],[Sep_2027_Days_Forecast]]*Table4[[#This Row],[Cost Boolean]]*(VLOOKUP(Table4[[#This Row],[RATE CONCAT]],Tables!I:N,6,0)),0)</f>
        <v>0</v>
      </c>
      <c r="EM32" s="3"/>
      <c r="EN32" s="3">
        <f>Table4[[#This Row],[Sep_2027_F]]-Table4[[#This Row],[Sep_2027_A]]</f>
        <v>0</v>
      </c>
      <c r="EO32" s="3">
        <f>IFERROR(Table4[[#This Row],[Oct_2027_Days_Forecast]]*Table4[[#This Row],[Cost Boolean]]*(VLOOKUP(Table4[[#This Row],[RATE CONCAT]],Tables!I:N,6,0)),0)</f>
        <v>0</v>
      </c>
      <c r="EP32" s="3"/>
      <c r="EQ32" s="3">
        <f>Table4[[#This Row],[Oct_2027_F]]-Table4[[#This Row],[Oct_2027_A]]</f>
        <v>0</v>
      </c>
      <c r="ER32" s="3">
        <f>IFERROR(Table4[[#This Row],[Nov_2027_Days_Forecast]]*Table4[[#This Row],[Cost Boolean]]*(VLOOKUP(Table4[[#This Row],[RATE CONCAT]],Tables!I:N,6,0)),0)</f>
        <v>0</v>
      </c>
      <c r="ES32" s="3"/>
      <c r="ET32" s="3">
        <f>Table4[[#This Row],[Nov_2027_F]]-Table4[[#This Row],[Nov_2027_A]]</f>
        <v>0</v>
      </c>
      <c r="EU32" s="3">
        <f>IFERROR(Table4[[#This Row],[Dec_2027_Days_Forecast]]*Table4[[#This Row],[Cost Boolean]]*(VLOOKUP(Table4[[#This Row],[RATE CONCAT]],Tables!I:N,6,0)),0)</f>
        <v>0</v>
      </c>
      <c r="EV32" s="3"/>
      <c r="EW32" s="3">
        <f>Table4[[#This Row],[Dec_2027_F]]-Table4[[#This Row],[Dec_2027_A]]</f>
        <v>0</v>
      </c>
    </row>
    <row r="33" spans="1:153" ht="15" customHeight="1">
      <c r="A33" s="132"/>
      <c r="B33" s="132"/>
      <c r="C33" s="132"/>
      <c r="D33" s="132"/>
      <c r="E33" s="132"/>
      <c r="F33" s="132"/>
      <c r="G33" s="132"/>
      <c r="H33" s="132"/>
      <c r="I33" s="132"/>
      <c r="J33" s="132"/>
      <c r="K33" s="132"/>
      <c r="L33" s="132"/>
      <c r="M33" s="132"/>
      <c r="N33" s="132"/>
      <c r="O33" s="132"/>
      <c r="P33" s="132"/>
      <c r="Q33" s="132"/>
      <c r="R33" s="191"/>
      <c r="S33" s="191"/>
      <c r="T33" s="191"/>
      <c r="U33" s="191"/>
      <c r="V33" s="191"/>
      <c r="W33" s="191"/>
      <c r="X33" s="13"/>
      <c r="Y33" s="132" t="str">
        <f>CONCATENATE(Table4[[#This Row],[JG]],Table4[[#This Row],[Country]],Table4[[#This Row],[Resource Provider]])</f>
        <v/>
      </c>
      <c r="Z33" s="132">
        <f>VLOOKUP(Table4[[#This Row],[RATE CONCAT]],Tables!I:N,5,0)</f>
        <v>0</v>
      </c>
      <c r="AA33" s="53"/>
      <c r="AB33" s="192"/>
      <c r="AC33" s="192"/>
      <c r="AD33" s="192"/>
      <c r="AE33" s="192"/>
      <c r="AF33" s="192"/>
      <c r="AG33" s="192"/>
      <c r="AH33" s="192"/>
      <c r="AI33" s="192"/>
      <c r="AJ33" s="192"/>
      <c r="AK33" s="16"/>
      <c r="AL33" s="16"/>
      <c r="AM33" s="16"/>
      <c r="AN33" s="53">
        <f>IFERROR(AVERAGE(Table4[[#This Row],[Jan_2026_Days_Forecast]:[Dec_2026_Days_Forecast]]),0)/19</f>
        <v>0</v>
      </c>
      <c r="AO33" s="53">
        <f>IFERROR(AVERAGE(Table4[[#This Row],[Jan_2026_Days_Actual]:[Dec_2026_Days_Actual]]),0)/19</f>
        <v>0</v>
      </c>
      <c r="AP33" s="84"/>
      <c r="AQ33" s="84"/>
      <c r="AR33" s="84"/>
      <c r="AS33" s="84"/>
      <c r="AT33" s="84"/>
      <c r="AU33" s="84"/>
      <c r="AV33" s="84"/>
      <c r="AW33" s="84"/>
      <c r="AX33" s="84"/>
      <c r="AY33" s="84"/>
      <c r="AZ33" s="84"/>
      <c r="BA33" s="84"/>
      <c r="BB33" s="53">
        <f>IFERROR(AVERAGE(Table4[[#This Row],[Jan_2027_Days_Forecast]:[Dec_2027_Days_Forecast]]),0)</f>
        <v>0</v>
      </c>
      <c r="BC33" s="16"/>
      <c r="BD33" s="16"/>
      <c r="BE33" s="16"/>
      <c r="BF33" s="16"/>
      <c r="BG33" s="16"/>
      <c r="BH33" s="16"/>
      <c r="BI33" s="16"/>
      <c r="BJ33" s="16"/>
      <c r="BK33" s="16"/>
      <c r="BL33" s="16"/>
      <c r="BM33" s="16"/>
      <c r="BN33" s="16"/>
      <c r="BO33" s="55"/>
      <c r="BP33" s="60"/>
      <c r="BQ33" s="3">
        <f>Table4[[#This Row],[Jan_2026_Days_Forecast]]*Table4[[#This Row],[Cost Boolean]]*VLOOKUP(Table4[[#This Row],[RATE CONCAT]],Tables!I:N,5,0)</f>
        <v>0</v>
      </c>
      <c r="BR33" s="3">
        <f>IFERROR(Table4[[#This Row],[Jan_2026_Days_Actual]]*Table4[[#This Row],[Cost Boolean]]*(VLOOKUP(Table4[[#This Row],[RATE CONCAT]],Tables!I:N,5,0)),0)</f>
        <v>0</v>
      </c>
      <c r="BS33" s="3">
        <f>Table4[[#This Row],[Jan_2026_F]]-Table4[[#This Row],[Jan_2026_A]]</f>
        <v>0</v>
      </c>
      <c r="BT33" s="107"/>
      <c r="BU33" s="3">
        <f>IFERROR(Table4[[#This Row],[Feb_2026_Days_Forecast]]*Table4[[#This Row],[Cost Boolean]]*(VLOOKUP(Table4[[#This Row],[RATE CONCAT]],Tables!I:N,5,0)),0)</f>
        <v>0</v>
      </c>
      <c r="BV33" s="3">
        <f>IFERROR(Table4[[#This Row],[Feb_2026_Days_Actual]]*Table4[[#This Row],[Cost Boolean]]*(VLOOKUP(Table4[[#This Row],[RATE CONCAT]],Tables!I:N,5,0)),0)</f>
        <v>0</v>
      </c>
      <c r="BW33" s="3">
        <f>Table4[[#This Row],[Feb_2026_F]]-Table4[[#This Row],[Feb_2026_A]]</f>
        <v>0</v>
      </c>
      <c r="BX33" s="103"/>
      <c r="BY33" s="3">
        <f>IFERROR(Table4[[#This Row],[Mar_2026_Days_Forecast]]*Table4[[#This Row],[Cost Boolean]]*(VLOOKUP(Table4[[#This Row],[RATE CONCAT]],Tables!I:N,5,0)),0)</f>
        <v>0</v>
      </c>
      <c r="BZ33" s="3">
        <f>IFERROR(Table4[[#This Row],[Mar_2026_Days_Actual]]*Table4[[#This Row],[Cost Boolean]]*(VLOOKUP(Table4[[#This Row],[RATE CONCAT]],Tables!I:N,5,0)),0)</f>
        <v>0</v>
      </c>
      <c r="CA33" s="3">
        <f>Table4[[#This Row],[Mar_2026_F]]-Table4[[#This Row],[Mar_2026_A]]</f>
        <v>0</v>
      </c>
      <c r="CB33" s="103"/>
      <c r="CC33" s="3">
        <f>IFERROR(Table4[[#This Row],[Apr_2026_Days_Forecast]]*Table4[[#This Row],[Cost Boolean]]*(VLOOKUP(Table4[[#This Row],[RATE CONCAT]],Tables!I:N,5,0)),0)</f>
        <v>0</v>
      </c>
      <c r="CD33" s="3">
        <f>IFERROR(Table4[[#This Row],[Apr_2026_Days_Actual]]*Table4[[#This Row],[Cost Boolean]]*(VLOOKUP(Table4[[#This Row],[RATE CONCAT]],Tables!I:N,5,0)),0)</f>
        <v>0</v>
      </c>
      <c r="CE33" s="3">
        <f>Table4[[#This Row],[Apr_2026_F]]-Table4[[#This Row],[Apr_2026_A]]</f>
        <v>0</v>
      </c>
      <c r="CF33" s="103"/>
      <c r="CG33" s="3">
        <f>IFERROR(Table4[[#This Row],[May_2026_Days_Forecast]] *Table4[[#This Row],[Cost Boolean]]*(VLOOKUP(Table4[[#This Row],[RATE CONCAT]],Tables!I:N,5,0)),0)</f>
        <v>0</v>
      </c>
      <c r="CH33" s="3">
        <f>IFERROR(Table4[[#This Row],[May_2026_Days_Actual]]*Table4[[#This Row],[Cost Boolean]]*(VLOOKUP(Table4[[#This Row],[RATE CONCAT]],Tables!I:N,5,0)),0)</f>
        <v>0</v>
      </c>
      <c r="CI33" s="3">
        <f>Table4[[#This Row],[May_2026_F]]-Table4[[#This Row],[May_2026_A]]</f>
        <v>0</v>
      </c>
      <c r="CJ33" s="103"/>
      <c r="CK33" s="3">
        <f>IFERROR(Table4[[#This Row],[Jun_2026_Days_Forecast]]*Table4[[#This Row],[Cost Boolean]]*(VLOOKUP(Table4[[#This Row],[RATE CONCAT]],Tables!I:N,5,0)),0)</f>
        <v>0</v>
      </c>
      <c r="CL33" s="3">
        <f>IFERROR(Table4[[#This Row],[Jun_2026_Days_Actual]]*Table4[[#This Row],[Cost Boolean]]*(VLOOKUP(Table4[[#This Row],[RATE CONCAT]],Tables!I:N,5,0)),0)</f>
        <v>0</v>
      </c>
      <c r="CM33" s="3">
        <f>Table4[[#This Row],[Jun_2026_F]]-Table4[[#This Row],[Jun_2026_A]]</f>
        <v>0</v>
      </c>
      <c r="CN33" s="103"/>
      <c r="CO33" s="3">
        <f>IFERROR(Table4[[#This Row],[Jul_2026_Days_Forecast]]*Table4[[#This Row],[Cost Boolean]]*(VLOOKUP(Table4[[#This Row],[RATE CONCAT]],Tables!I:N,5,0)),0)</f>
        <v>0</v>
      </c>
      <c r="CP33" s="3">
        <f>IFERROR(Table4[[#This Row],[Aug_2026_Days_Forecast]]*Table4[[#This Row],[Location]]*(VLOOKUP(Table4[[#This Row],[Rate]],Tables!J:O,5,0)),0)</f>
        <v>0</v>
      </c>
      <c r="CQ33" s="3">
        <f>Table4[[#This Row],[Jul_2026_F]]-Table4[[#This Row],[Jul_2026_A]]</f>
        <v>0</v>
      </c>
      <c r="CR33" s="103"/>
      <c r="CS33" s="3">
        <f>IFERROR(Table4[[#This Row],[Aug_2026_Days_Forecast]]*Table4[[#This Row],[Cost Boolean]]*(VLOOKUP(Table4[[#This Row],[RATE CONCAT]],Tables!I:N,5,0)),0)</f>
        <v>0</v>
      </c>
      <c r="CT33" s="3">
        <f>IFERROR(Table4[[#This Row],[Aug_2026_Days_Actual]]*Table4[[#This Row],[Cost Boolean]]*(VLOOKUP(Table4[[#This Row],[RATE CONCAT]],Tables!I:N,5,0)),0)</f>
        <v>0</v>
      </c>
      <c r="CU33" s="3">
        <f>Table4[[#This Row],[Aug_2026_F]]-Table4[[#This Row],[Aug_2026_A]]</f>
        <v>0</v>
      </c>
      <c r="CV33" s="103"/>
      <c r="CW33" s="3">
        <f>IFERROR(Table4[[#This Row],[Sep_2026_Days_Forecast]]*Table4[[#This Row],[Cost Boolean]]*(VLOOKUP(Table4[[#This Row],[RATE CONCAT]],Tables!I:N,5,0)),0)</f>
        <v>0</v>
      </c>
      <c r="CX33" s="3">
        <f>IFERROR(Table4[[#This Row],[Sep_2026_Days_Actual]]*Table4[[#This Row],[Cost Boolean]]*(VLOOKUP(Table4[[#This Row],[RATE CONCAT]],Tables!I:N,5,0)),0)</f>
        <v>0</v>
      </c>
      <c r="CY33" s="3">
        <f>Table4[[#This Row],[Sep_2026_F]]-Table4[[#This Row],[Sep_2026_A]]</f>
        <v>0</v>
      </c>
      <c r="CZ33" s="103"/>
      <c r="DA33" s="3">
        <f>IFERROR(Table4[[#This Row],[Oct_2026_Days_Forecast]]*Table4[[#This Row],[Cost Boolean]]*(VLOOKUP(Table4[[#This Row],[RATE CONCAT]],Tables!I:N,5,0)),0)</f>
        <v>0</v>
      </c>
      <c r="DB33" s="3">
        <f>IFERROR(Table4[[#This Row],[Oct_2026_Days_Actual]]*Table4[[#This Row],[Cost Boolean]]*(VLOOKUP(Table4[[#This Row],[RATE CONCAT]],Tables!I:N,5,0)),0)</f>
        <v>0</v>
      </c>
      <c r="DC33" s="3">
        <f>Table4[[#This Row],[Oct_2026_F]]-Table4[[#This Row],[Oct_2026_A]]</f>
        <v>0</v>
      </c>
      <c r="DD33" s="103"/>
      <c r="DE33" s="3">
        <f>IFERROR(Table4[[#This Row],[Nov_2026_Days_Forecast]]*Table4[[#This Row],[Cost Boolean]]*(VLOOKUP(Table4[[#This Row],[RATE CONCAT]],Tables!I:N,5,0)),0)</f>
        <v>0</v>
      </c>
      <c r="DF33" s="3">
        <f>IFERROR(Table4[[#This Row],[Nov_2026_Days_Actual]]*Table4[[#This Row],[Cost Boolean]]*(VLOOKUP(Table4[[#This Row],[RATE CONCAT]],Tables!I:N,5,0)),0)</f>
        <v>0</v>
      </c>
      <c r="DG33" s="3">
        <f>Table4[[#This Row],[Nov_2026_F]]-Table4[[#This Row],[Nov_2026_A]]</f>
        <v>0</v>
      </c>
      <c r="DH33" s="103"/>
      <c r="DI33" s="3">
        <f>IFERROR(Table4[[#This Row],[Dec_2026_Days_Forecast]]*Table4[[#This Row],[Cost Boolean]]*(VLOOKUP(Table4[[#This Row],[RATE CONCAT]],Tables!I:N,5,0)),0)</f>
        <v>0</v>
      </c>
      <c r="DJ33" s="3">
        <f>IFERROR(Table4[[#This Row],[Dec_2026_Days_Actual]]*Table4[[#This Row],[Cost Boolean]]*(VLOOKUP(Table4[[#This Row],[RATE CONCAT]],Tables!I:N,5,0)),0)</f>
        <v>0</v>
      </c>
      <c r="DK33" s="3">
        <f>Table4[[#This Row],[Dec_2026_F]]-Table4[[#This Row],[Dec_2026_A]]</f>
        <v>0</v>
      </c>
      <c r="DL33" s="103"/>
      <c r="DM33" s="60"/>
      <c r="DN33" s="3">
        <f>IFERROR(Table4[[#This Row],[Jan_2027_Days_Forecast]]*Table4[[#This Row],[Cost Boolean]]*(VLOOKUP(Table4[[#This Row],[RATE CONCAT]],Tables!I:N,6,0)),0)</f>
        <v>0</v>
      </c>
      <c r="DO33" s="3"/>
      <c r="DP33" s="3">
        <f>Table4[[#This Row],[Jan_2027_F]]-Table4[[#This Row],[Jan_2027_A]]</f>
        <v>0</v>
      </c>
      <c r="DQ33" s="3">
        <f>IFERROR(Table4[[#This Row],[Feb_2027_Days_Forecast]]*Table4[[#This Row],[Cost Boolean]]*(VLOOKUP(Table4[[#This Row],[RATE CONCAT]],Tables!I:N,6,0)),0)</f>
        <v>0</v>
      </c>
      <c r="DR33" s="3"/>
      <c r="DS33" s="3">
        <f>Table4[[#This Row],[Feb_2027_F]]-Table4[[#This Row],[Feb_2027_A]]</f>
        <v>0</v>
      </c>
      <c r="DT33" s="3">
        <f>IFERROR(Table4[[#This Row],[Mar_2027_Days_Forecast]]*Table4[[#This Row],[Cost Boolean]]*(VLOOKUP(Table4[[#This Row],[RATE CONCAT]],Tables!I:N,6,0)),0)</f>
        <v>0</v>
      </c>
      <c r="DU33" s="3"/>
      <c r="DV33" s="3">
        <f>Table4[[#This Row],[Mar_2027_F]]-Table4[[#This Row],[Mar_2027_A]]</f>
        <v>0</v>
      </c>
      <c r="DW33" s="3">
        <f>IFERROR(Table4[[#This Row],[Apr_2027_Days_Forecast]]*Table4[[#This Row],[Cost Boolean]]*(VLOOKUP(Table4[[#This Row],[RATE CONCAT]],Tables!I:N,6,0)),0)</f>
        <v>0</v>
      </c>
      <c r="DX33" s="3"/>
      <c r="DY33" s="3">
        <f>Table4[[#This Row],[Apr_2027_F]]-Table4[[#This Row],[Apr_2027_A]]</f>
        <v>0</v>
      </c>
      <c r="DZ33" s="3">
        <f>IFERROR(Table4[[#This Row],[May_2027_Days_Forecast]]*Table4[[#This Row],[Cost Boolean]]*(VLOOKUP(Table4[[#This Row],[RATE CONCAT]],Tables!I:N,6,0)),0)</f>
        <v>0</v>
      </c>
      <c r="EA33" s="3"/>
      <c r="EB33" s="3">
        <f>Table4[[#This Row],[May_2027_F]]-Table4[[#This Row],[May_2027_A]]</f>
        <v>0</v>
      </c>
      <c r="EC33" s="3">
        <f>IFERROR(Table4[[#This Row],[Jun_2027_Days_Forecast]]*Table4[[#This Row],[Cost Boolean]]*(VLOOKUP(Table4[[#This Row],[RATE CONCAT]],Tables!I:N,6,0)),0)</f>
        <v>0</v>
      </c>
      <c r="ED33" s="3"/>
      <c r="EE33" s="3">
        <f>Table4[[#This Row],[Jun_2027_F]]-Table4[[#This Row],[Jun_2027_A]]</f>
        <v>0</v>
      </c>
      <c r="EF33" s="3">
        <f>IFERROR(Table4[[#This Row],[Jul_2027_Days_Forecast]]*Table4[[#This Row],[Cost Boolean]]*(VLOOKUP(Table4[[#This Row],[RATE CONCAT]],Tables!I:N,6,0)),0)</f>
        <v>0</v>
      </c>
      <c r="EG33" s="3"/>
      <c r="EH33" s="3">
        <f>Table4[[#This Row],[Jul_2027_F]]-Table4[[#This Row],[Jul_2027_A]]</f>
        <v>0</v>
      </c>
      <c r="EI33" s="3">
        <f>IFERROR(Table4[[#This Row],[Aug_2027_Days_Forecast]]*Table4[[#This Row],[Cost Boolean]]*(VLOOKUP(Table4[[#This Row],[RATE CONCAT]],Tables!I:N,6,0)),0)</f>
        <v>0</v>
      </c>
      <c r="EJ33" s="3"/>
      <c r="EK33" s="3">
        <f>Table4[[#This Row],[Aug_2027_F]]-Table4[[#This Row],[Aug_2027_A]]</f>
        <v>0</v>
      </c>
      <c r="EL33" s="3">
        <f>IFERROR(Table4[[#This Row],[Sep_2027_Days_Forecast]]*Table4[[#This Row],[Cost Boolean]]*(VLOOKUP(Table4[[#This Row],[RATE CONCAT]],Tables!I:N,6,0)),0)</f>
        <v>0</v>
      </c>
      <c r="EM33" s="3"/>
      <c r="EN33" s="3">
        <f>Table4[[#This Row],[Sep_2027_F]]-Table4[[#This Row],[Sep_2027_A]]</f>
        <v>0</v>
      </c>
      <c r="EO33" s="3">
        <f>IFERROR(Table4[[#This Row],[Oct_2027_Days_Forecast]]*Table4[[#This Row],[Cost Boolean]]*(VLOOKUP(Table4[[#This Row],[RATE CONCAT]],Tables!I:N,6,0)),0)</f>
        <v>0</v>
      </c>
      <c r="EP33" s="3"/>
      <c r="EQ33" s="3">
        <f>Table4[[#This Row],[Oct_2027_F]]-Table4[[#This Row],[Oct_2027_A]]</f>
        <v>0</v>
      </c>
      <c r="ER33" s="3">
        <f>IFERROR(Table4[[#This Row],[Nov_2027_Days_Forecast]]*Table4[[#This Row],[Cost Boolean]]*(VLOOKUP(Table4[[#This Row],[RATE CONCAT]],Tables!I:N,6,0)),0)</f>
        <v>0</v>
      </c>
      <c r="ES33" s="3"/>
      <c r="ET33" s="3">
        <f>Table4[[#This Row],[Nov_2027_F]]-Table4[[#This Row],[Nov_2027_A]]</f>
        <v>0</v>
      </c>
      <c r="EU33" s="3">
        <f>IFERROR(Table4[[#This Row],[Dec_2027_Days_Forecast]]*Table4[[#This Row],[Cost Boolean]]*(VLOOKUP(Table4[[#This Row],[RATE CONCAT]],Tables!I:N,6,0)),0)</f>
        <v>0</v>
      </c>
      <c r="EV33" s="3"/>
      <c r="EW33" s="3">
        <f>Table4[[#This Row],[Dec_2027_F]]-Table4[[#This Row],[Dec_2027_A]]</f>
        <v>0</v>
      </c>
    </row>
    <row r="34" spans="1:153" ht="15" customHeight="1">
      <c r="A34" s="132"/>
      <c r="B34" s="132"/>
      <c r="C34" s="132"/>
      <c r="D34" s="132"/>
      <c r="E34" s="132"/>
      <c r="F34" s="132"/>
      <c r="G34" s="132"/>
      <c r="H34" s="132"/>
      <c r="I34" s="132"/>
      <c r="J34" s="132"/>
      <c r="K34" s="132"/>
      <c r="L34" s="132"/>
      <c r="M34" s="132"/>
      <c r="N34" s="132"/>
      <c r="O34" s="132"/>
      <c r="P34" s="132"/>
      <c r="Q34" s="132"/>
      <c r="R34" s="191"/>
      <c r="S34" s="191"/>
      <c r="T34" s="191"/>
      <c r="U34" s="191"/>
      <c r="V34" s="191"/>
      <c r="W34" s="191"/>
      <c r="X34" s="13"/>
      <c r="Y34" s="132" t="str">
        <f>CONCATENATE(Table4[[#This Row],[JG]],Table4[[#This Row],[Country]],Table4[[#This Row],[Resource Provider]])</f>
        <v/>
      </c>
      <c r="Z34" s="132">
        <f>VLOOKUP(Table4[[#This Row],[RATE CONCAT]],Tables!I:N,5,0)</f>
        <v>0</v>
      </c>
      <c r="AA34" s="53"/>
      <c r="AB34" s="192"/>
      <c r="AC34" s="192"/>
      <c r="AD34" s="192"/>
      <c r="AE34" s="192"/>
      <c r="AF34" s="192"/>
      <c r="AG34" s="192"/>
      <c r="AH34" s="192"/>
      <c r="AI34" s="192"/>
      <c r="AJ34" s="192"/>
      <c r="AK34" s="16"/>
      <c r="AL34" s="16"/>
      <c r="AM34" s="16"/>
      <c r="AN34" s="53">
        <f>IFERROR(AVERAGE(Table4[[#This Row],[Jan_2026_Days_Forecast]:[Dec_2026_Days_Forecast]]),0)/19</f>
        <v>0</v>
      </c>
      <c r="AO34" s="53">
        <f>IFERROR(AVERAGE(Table4[[#This Row],[Jan_2026_Days_Actual]:[Dec_2026_Days_Actual]]),0)/19</f>
        <v>0</v>
      </c>
      <c r="AP34" s="84"/>
      <c r="AQ34" s="84"/>
      <c r="AR34" s="84"/>
      <c r="AS34" s="84"/>
      <c r="AT34" s="84"/>
      <c r="AU34" s="84"/>
      <c r="AV34" s="84"/>
      <c r="AW34" s="84"/>
      <c r="AX34" s="84"/>
      <c r="AY34" s="84"/>
      <c r="AZ34" s="84"/>
      <c r="BA34" s="84"/>
      <c r="BB34" s="53">
        <f>IFERROR(AVERAGE(Table4[[#This Row],[Jan_2027_Days_Forecast]:[Dec_2027_Days_Forecast]]),0)</f>
        <v>0</v>
      </c>
      <c r="BC34" s="16"/>
      <c r="BD34" s="16"/>
      <c r="BE34" s="16"/>
      <c r="BF34" s="16"/>
      <c r="BG34" s="16"/>
      <c r="BH34" s="16"/>
      <c r="BI34" s="16"/>
      <c r="BJ34" s="16"/>
      <c r="BK34" s="16"/>
      <c r="BL34" s="16"/>
      <c r="BM34" s="16"/>
      <c r="BN34" s="16"/>
      <c r="BO34" s="55"/>
      <c r="BP34" s="60"/>
      <c r="BQ34" s="3">
        <f>Table4[[#This Row],[Jan_2026_Days_Forecast]]*Table4[[#This Row],[Cost Boolean]]*VLOOKUP(Table4[[#This Row],[RATE CONCAT]],Tables!I:N,5,0)</f>
        <v>0</v>
      </c>
      <c r="BR34" s="3">
        <f>IFERROR(Table4[[#This Row],[Jan_2026_Days_Actual]]*Table4[[#This Row],[Cost Boolean]]*(VLOOKUP(Table4[[#This Row],[RATE CONCAT]],Tables!I:N,5,0)),0)</f>
        <v>0</v>
      </c>
      <c r="BS34" s="3">
        <f>Table4[[#This Row],[Jan_2026_F]]-Table4[[#This Row],[Jan_2026_A]]</f>
        <v>0</v>
      </c>
      <c r="BT34" s="107"/>
      <c r="BU34" s="3">
        <f>IFERROR(Table4[[#This Row],[Feb_2026_Days_Forecast]]*Table4[[#This Row],[Cost Boolean]]*(VLOOKUP(Table4[[#This Row],[RATE CONCAT]],Tables!I:N,5,0)),0)</f>
        <v>0</v>
      </c>
      <c r="BV34" s="3">
        <f>IFERROR(Table4[[#This Row],[Feb_2026_Days_Actual]]*Table4[[#This Row],[Cost Boolean]]*(VLOOKUP(Table4[[#This Row],[RATE CONCAT]],Tables!I:N,5,0)),0)</f>
        <v>0</v>
      </c>
      <c r="BW34" s="3">
        <f>Table4[[#This Row],[Feb_2026_F]]-Table4[[#This Row],[Feb_2026_A]]</f>
        <v>0</v>
      </c>
      <c r="BX34" s="103"/>
      <c r="BY34" s="3">
        <f>IFERROR(Table4[[#This Row],[Mar_2026_Days_Forecast]]*Table4[[#This Row],[Cost Boolean]]*(VLOOKUP(Table4[[#This Row],[RATE CONCAT]],Tables!I:N,5,0)),0)</f>
        <v>0</v>
      </c>
      <c r="BZ34" s="3">
        <f>IFERROR(Table4[[#This Row],[Mar_2026_Days_Actual]]*Table4[[#This Row],[Cost Boolean]]*(VLOOKUP(Table4[[#This Row],[RATE CONCAT]],Tables!I:N,5,0)),0)</f>
        <v>0</v>
      </c>
      <c r="CA34" s="3">
        <f>Table4[[#This Row],[Mar_2026_F]]-Table4[[#This Row],[Mar_2026_A]]</f>
        <v>0</v>
      </c>
      <c r="CB34" s="103"/>
      <c r="CC34" s="3">
        <f>IFERROR(Table4[[#This Row],[Apr_2026_Days_Forecast]]*Table4[[#This Row],[Cost Boolean]]*(VLOOKUP(Table4[[#This Row],[RATE CONCAT]],Tables!I:N,5,0)),0)</f>
        <v>0</v>
      </c>
      <c r="CD34" s="3">
        <f>IFERROR(Table4[[#This Row],[Apr_2026_Days_Actual]]*Table4[[#This Row],[Cost Boolean]]*(VLOOKUP(Table4[[#This Row],[RATE CONCAT]],Tables!I:N,5,0)),0)</f>
        <v>0</v>
      </c>
      <c r="CE34" s="3">
        <f>Table4[[#This Row],[Apr_2026_F]]-Table4[[#This Row],[Apr_2026_A]]</f>
        <v>0</v>
      </c>
      <c r="CF34" s="103"/>
      <c r="CG34" s="3">
        <f>IFERROR(Table4[[#This Row],[May_2026_Days_Forecast]] *Table4[[#This Row],[Cost Boolean]]*(VLOOKUP(Table4[[#This Row],[RATE CONCAT]],Tables!I:N,5,0)),0)</f>
        <v>0</v>
      </c>
      <c r="CH34" s="3">
        <f>IFERROR(Table4[[#This Row],[May_2026_Days_Actual]]*Table4[[#This Row],[Cost Boolean]]*(VLOOKUP(Table4[[#This Row],[RATE CONCAT]],Tables!I:N,5,0)),0)</f>
        <v>0</v>
      </c>
      <c r="CI34" s="3">
        <f>Table4[[#This Row],[May_2026_F]]-Table4[[#This Row],[May_2026_A]]</f>
        <v>0</v>
      </c>
      <c r="CJ34" s="103"/>
      <c r="CK34" s="3">
        <f>IFERROR(Table4[[#This Row],[Jun_2026_Days_Forecast]]*Table4[[#This Row],[Cost Boolean]]*(VLOOKUP(Table4[[#This Row],[RATE CONCAT]],Tables!I:N,5,0)),0)</f>
        <v>0</v>
      </c>
      <c r="CL34" s="3">
        <f>IFERROR(Table4[[#This Row],[Jun_2026_Days_Actual]]*Table4[[#This Row],[Cost Boolean]]*(VLOOKUP(Table4[[#This Row],[RATE CONCAT]],Tables!I:N,5,0)),0)</f>
        <v>0</v>
      </c>
      <c r="CM34" s="3">
        <f>Table4[[#This Row],[Jun_2026_F]]-Table4[[#This Row],[Jun_2026_A]]</f>
        <v>0</v>
      </c>
      <c r="CN34" s="103"/>
      <c r="CO34" s="3">
        <f>IFERROR(Table4[[#This Row],[Jul_2026_Days_Forecast]]*Table4[[#This Row],[Cost Boolean]]*(VLOOKUP(Table4[[#This Row],[RATE CONCAT]],Tables!I:N,5,0)),0)</f>
        <v>0</v>
      </c>
      <c r="CP34" s="3">
        <f>IFERROR(Table4[[#This Row],[Aug_2026_Days_Forecast]]*Table4[[#This Row],[Location]]*(VLOOKUP(Table4[[#This Row],[Rate]],Tables!J:O,5,0)),0)</f>
        <v>0</v>
      </c>
      <c r="CQ34" s="3">
        <f>Table4[[#This Row],[Jul_2026_F]]-Table4[[#This Row],[Jul_2026_A]]</f>
        <v>0</v>
      </c>
      <c r="CR34" s="103"/>
      <c r="CS34" s="3">
        <f>IFERROR(Table4[[#This Row],[Aug_2026_Days_Forecast]]*Table4[[#This Row],[Cost Boolean]]*(VLOOKUP(Table4[[#This Row],[RATE CONCAT]],Tables!I:N,5,0)),0)</f>
        <v>0</v>
      </c>
      <c r="CT34" s="3">
        <f>IFERROR(Table4[[#This Row],[Aug_2026_Days_Actual]]*Table4[[#This Row],[Cost Boolean]]*(VLOOKUP(Table4[[#This Row],[RATE CONCAT]],Tables!I:N,5,0)),0)</f>
        <v>0</v>
      </c>
      <c r="CU34" s="3">
        <f>Table4[[#This Row],[Aug_2026_F]]-Table4[[#This Row],[Aug_2026_A]]</f>
        <v>0</v>
      </c>
      <c r="CV34" s="103"/>
      <c r="CW34" s="3">
        <f>IFERROR(Table4[[#This Row],[Sep_2026_Days_Forecast]]*Table4[[#This Row],[Cost Boolean]]*(VLOOKUP(Table4[[#This Row],[RATE CONCAT]],Tables!I:N,5,0)),0)</f>
        <v>0</v>
      </c>
      <c r="CX34" s="3">
        <f>IFERROR(Table4[[#This Row],[Sep_2026_Days_Actual]]*Table4[[#This Row],[Cost Boolean]]*(VLOOKUP(Table4[[#This Row],[RATE CONCAT]],Tables!I:N,5,0)),0)</f>
        <v>0</v>
      </c>
      <c r="CY34" s="3">
        <f>Table4[[#This Row],[Sep_2026_F]]-Table4[[#This Row],[Sep_2026_A]]</f>
        <v>0</v>
      </c>
      <c r="CZ34" s="103"/>
      <c r="DA34" s="3">
        <f>IFERROR(Table4[[#This Row],[Oct_2026_Days_Forecast]]*Table4[[#This Row],[Cost Boolean]]*(VLOOKUP(Table4[[#This Row],[RATE CONCAT]],Tables!I:N,5,0)),0)</f>
        <v>0</v>
      </c>
      <c r="DB34" s="3">
        <f>IFERROR(Table4[[#This Row],[Oct_2026_Days_Actual]]*Table4[[#This Row],[Cost Boolean]]*(VLOOKUP(Table4[[#This Row],[RATE CONCAT]],Tables!I:N,5,0)),0)</f>
        <v>0</v>
      </c>
      <c r="DC34" s="3">
        <f>Table4[[#This Row],[Oct_2026_F]]-Table4[[#This Row],[Oct_2026_A]]</f>
        <v>0</v>
      </c>
      <c r="DD34" s="103"/>
      <c r="DE34" s="3">
        <f>IFERROR(Table4[[#This Row],[Nov_2026_Days_Forecast]]*Table4[[#This Row],[Cost Boolean]]*(VLOOKUP(Table4[[#This Row],[RATE CONCAT]],Tables!I:N,5,0)),0)</f>
        <v>0</v>
      </c>
      <c r="DF34" s="3">
        <f>IFERROR(Table4[[#This Row],[Nov_2026_Days_Actual]]*Table4[[#This Row],[Cost Boolean]]*(VLOOKUP(Table4[[#This Row],[RATE CONCAT]],Tables!I:N,5,0)),0)</f>
        <v>0</v>
      </c>
      <c r="DG34" s="3">
        <f>Table4[[#This Row],[Nov_2026_F]]-Table4[[#This Row],[Nov_2026_A]]</f>
        <v>0</v>
      </c>
      <c r="DH34" s="103"/>
      <c r="DI34" s="3">
        <f>IFERROR(Table4[[#This Row],[Dec_2026_Days_Forecast]]*Table4[[#This Row],[Cost Boolean]]*(VLOOKUP(Table4[[#This Row],[RATE CONCAT]],Tables!I:N,5,0)),0)</f>
        <v>0</v>
      </c>
      <c r="DJ34" s="3">
        <f>IFERROR(Table4[[#This Row],[Dec_2026_Days_Actual]]*Table4[[#This Row],[Cost Boolean]]*(VLOOKUP(Table4[[#This Row],[RATE CONCAT]],Tables!I:N,5,0)),0)</f>
        <v>0</v>
      </c>
      <c r="DK34" s="3">
        <f>Table4[[#This Row],[Dec_2026_F]]-Table4[[#This Row],[Dec_2026_A]]</f>
        <v>0</v>
      </c>
      <c r="DL34" s="103"/>
      <c r="DM34" s="60"/>
      <c r="DN34" s="3">
        <f>IFERROR(Table4[[#This Row],[Jan_2027_Days_Forecast]]*Table4[[#This Row],[Cost Boolean]]*(VLOOKUP(Table4[[#This Row],[RATE CONCAT]],Tables!I:N,6,0)),0)</f>
        <v>0</v>
      </c>
      <c r="DO34" s="3"/>
      <c r="DP34" s="3">
        <f>Table4[[#This Row],[Jan_2027_F]]-Table4[[#This Row],[Jan_2027_A]]</f>
        <v>0</v>
      </c>
      <c r="DQ34" s="3">
        <f>IFERROR(Table4[[#This Row],[Feb_2027_Days_Forecast]]*Table4[[#This Row],[Cost Boolean]]*(VLOOKUP(Table4[[#This Row],[RATE CONCAT]],Tables!I:N,6,0)),0)</f>
        <v>0</v>
      </c>
      <c r="DR34" s="3"/>
      <c r="DS34" s="3">
        <f>Table4[[#This Row],[Feb_2027_F]]-Table4[[#This Row],[Feb_2027_A]]</f>
        <v>0</v>
      </c>
      <c r="DT34" s="3">
        <f>IFERROR(Table4[[#This Row],[Mar_2027_Days_Forecast]]*Table4[[#This Row],[Cost Boolean]]*(VLOOKUP(Table4[[#This Row],[RATE CONCAT]],Tables!I:N,6,0)),0)</f>
        <v>0</v>
      </c>
      <c r="DU34" s="3"/>
      <c r="DV34" s="3">
        <f>Table4[[#This Row],[Mar_2027_F]]-Table4[[#This Row],[Mar_2027_A]]</f>
        <v>0</v>
      </c>
      <c r="DW34" s="3">
        <f>IFERROR(Table4[[#This Row],[Apr_2027_Days_Forecast]]*Table4[[#This Row],[Cost Boolean]]*(VLOOKUP(Table4[[#This Row],[RATE CONCAT]],Tables!I:N,6,0)),0)</f>
        <v>0</v>
      </c>
      <c r="DX34" s="3"/>
      <c r="DY34" s="3">
        <f>Table4[[#This Row],[Apr_2027_F]]-Table4[[#This Row],[Apr_2027_A]]</f>
        <v>0</v>
      </c>
      <c r="DZ34" s="3">
        <f>IFERROR(Table4[[#This Row],[May_2027_Days_Forecast]]*Table4[[#This Row],[Cost Boolean]]*(VLOOKUP(Table4[[#This Row],[RATE CONCAT]],Tables!I:N,6,0)),0)</f>
        <v>0</v>
      </c>
      <c r="EA34" s="3"/>
      <c r="EB34" s="3">
        <f>Table4[[#This Row],[May_2027_F]]-Table4[[#This Row],[May_2027_A]]</f>
        <v>0</v>
      </c>
      <c r="EC34" s="3">
        <f>IFERROR(Table4[[#This Row],[Jun_2027_Days_Forecast]]*Table4[[#This Row],[Cost Boolean]]*(VLOOKUP(Table4[[#This Row],[RATE CONCAT]],Tables!I:N,6,0)),0)</f>
        <v>0</v>
      </c>
      <c r="ED34" s="3"/>
      <c r="EE34" s="3">
        <f>Table4[[#This Row],[Jun_2027_F]]-Table4[[#This Row],[Jun_2027_A]]</f>
        <v>0</v>
      </c>
      <c r="EF34" s="3">
        <f>IFERROR(Table4[[#This Row],[Jul_2027_Days_Forecast]]*Table4[[#This Row],[Cost Boolean]]*(VLOOKUP(Table4[[#This Row],[RATE CONCAT]],Tables!I:N,6,0)),0)</f>
        <v>0</v>
      </c>
      <c r="EG34" s="3"/>
      <c r="EH34" s="3">
        <f>Table4[[#This Row],[Jul_2027_F]]-Table4[[#This Row],[Jul_2027_A]]</f>
        <v>0</v>
      </c>
      <c r="EI34" s="3">
        <f>IFERROR(Table4[[#This Row],[Aug_2027_Days_Forecast]]*Table4[[#This Row],[Cost Boolean]]*(VLOOKUP(Table4[[#This Row],[RATE CONCAT]],Tables!I:N,6,0)),0)</f>
        <v>0</v>
      </c>
      <c r="EJ34" s="3"/>
      <c r="EK34" s="3">
        <f>Table4[[#This Row],[Aug_2027_F]]-Table4[[#This Row],[Aug_2027_A]]</f>
        <v>0</v>
      </c>
      <c r="EL34" s="3">
        <f>IFERROR(Table4[[#This Row],[Sep_2027_Days_Forecast]]*Table4[[#This Row],[Cost Boolean]]*(VLOOKUP(Table4[[#This Row],[RATE CONCAT]],Tables!I:N,6,0)),0)</f>
        <v>0</v>
      </c>
      <c r="EM34" s="3"/>
      <c r="EN34" s="3">
        <f>Table4[[#This Row],[Sep_2027_F]]-Table4[[#This Row],[Sep_2027_A]]</f>
        <v>0</v>
      </c>
      <c r="EO34" s="3">
        <f>IFERROR(Table4[[#This Row],[Oct_2027_Days_Forecast]]*Table4[[#This Row],[Cost Boolean]]*(VLOOKUP(Table4[[#This Row],[RATE CONCAT]],Tables!I:N,6,0)),0)</f>
        <v>0</v>
      </c>
      <c r="EP34" s="3"/>
      <c r="EQ34" s="3">
        <f>Table4[[#This Row],[Oct_2027_F]]-Table4[[#This Row],[Oct_2027_A]]</f>
        <v>0</v>
      </c>
      <c r="ER34" s="3">
        <f>IFERROR(Table4[[#This Row],[Nov_2027_Days_Forecast]]*Table4[[#This Row],[Cost Boolean]]*(VLOOKUP(Table4[[#This Row],[RATE CONCAT]],Tables!I:N,6,0)),0)</f>
        <v>0</v>
      </c>
      <c r="ES34" s="3"/>
      <c r="ET34" s="3">
        <f>Table4[[#This Row],[Nov_2027_F]]-Table4[[#This Row],[Nov_2027_A]]</f>
        <v>0</v>
      </c>
      <c r="EU34" s="3">
        <f>IFERROR(Table4[[#This Row],[Dec_2027_Days_Forecast]]*Table4[[#This Row],[Cost Boolean]]*(VLOOKUP(Table4[[#This Row],[RATE CONCAT]],Tables!I:N,6,0)),0)</f>
        <v>0</v>
      </c>
      <c r="EV34" s="3"/>
      <c r="EW34" s="3">
        <f>Table4[[#This Row],[Dec_2027_F]]-Table4[[#This Row],[Dec_2027_A]]</f>
        <v>0</v>
      </c>
    </row>
    <row r="35" spans="1:153" ht="15" customHeight="1">
      <c r="A35" s="132"/>
      <c r="B35" s="132"/>
      <c r="C35" s="132"/>
      <c r="D35" s="132"/>
      <c r="E35" s="132"/>
      <c r="F35" s="132"/>
      <c r="G35" s="132"/>
      <c r="H35" s="132"/>
      <c r="I35" s="132"/>
      <c r="J35" s="132"/>
      <c r="K35" s="132"/>
      <c r="L35" s="132"/>
      <c r="M35" s="132"/>
      <c r="N35" s="132"/>
      <c r="O35" s="132"/>
      <c r="P35" s="132"/>
      <c r="Q35" s="132"/>
      <c r="R35" s="191"/>
      <c r="S35" s="191"/>
      <c r="T35" s="191"/>
      <c r="U35" s="191"/>
      <c r="V35" s="191"/>
      <c r="W35" s="191"/>
      <c r="X35" s="13"/>
      <c r="Y35" s="132" t="str">
        <f>CONCATENATE(Table4[[#This Row],[JG]],Table4[[#This Row],[Country]],Table4[[#This Row],[Resource Provider]])</f>
        <v/>
      </c>
      <c r="Z35" s="132">
        <f>VLOOKUP(Table4[[#This Row],[RATE CONCAT]],Tables!I:N,5,0)</f>
        <v>0</v>
      </c>
      <c r="AA35" s="53"/>
      <c r="AB35" s="192"/>
      <c r="AC35" s="192"/>
      <c r="AD35" s="192"/>
      <c r="AE35" s="192"/>
      <c r="AF35" s="192"/>
      <c r="AG35" s="192"/>
      <c r="AH35" s="192"/>
      <c r="AI35" s="192"/>
      <c r="AJ35" s="192"/>
      <c r="AK35" s="16"/>
      <c r="AL35" s="16"/>
      <c r="AM35" s="16"/>
      <c r="AN35" s="53">
        <f>IFERROR(AVERAGE(Table4[[#This Row],[Jan_2026_Days_Forecast]:[Dec_2026_Days_Forecast]]),0)/19</f>
        <v>0</v>
      </c>
      <c r="AO35" s="53">
        <f>IFERROR(AVERAGE(Table4[[#This Row],[Jan_2026_Days_Actual]:[Dec_2026_Days_Actual]]),0)/19</f>
        <v>0</v>
      </c>
      <c r="AP35" s="84"/>
      <c r="AQ35" s="84"/>
      <c r="AR35" s="84"/>
      <c r="AS35" s="84"/>
      <c r="AT35" s="84"/>
      <c r="AU35" s="84"/>
      <c r="AV35" s="84"/>
      <c r="AW35" s="84"/>
      <c r="AX35" s="84"/>
      <c r="AY35" s="84"/>
      <c r="AZ35" s="84"/>
      <c r="BA35" s="84"/>
      <c r="BB35" s="53">
        <f>IFERROR(AVERAGE(Table4[[#This Row],[Jan_2027_Days_Forecast]:[Dec_2027_Days_Forecast]]),0)</f>
        <v>0</v>
      </c>
      <c r="BC35" s="16"/>
      <c r="BD35" s="16"/>
      <c r="BE35" s="16"/>
      <c r="BF35" s="16"/>
      <c r="BG35" s="16"/>
      <c r="BH35" s="16"/>
      <c r="BI35" s="16"/>
      <c r="BJ35" s="16"/>
      <c r="BK35" s="16"/>
      <c r="BL35" s="16"/>
      <c r="BM35" s="16"/>
      <c r="BN35" s="16"/>
      <c r="BO35" s="55"/>
      <c r="BP35" s="60"/>
      <c r="BQ35" s="3">
        <f>Table4[[#This Row],[Jan_2026_Days_Forecast]]*Table4[[#This Row],[Cost Boolean]]*VLOOKUP(Table4[[#This Row],[RATE CONCAT]],Tables!I:N,5,0)</f>
        <v>0</v>
      </c>
      <c r="BR35" s="3">
        <f>IFERROR(Table4[[#This Row],[Jan_2026_Days_Actual]]*Table4[[#This Row],[Cost Boolean]]*(VLOOKUP(Table4[[#This Row],[RATE CONCAT]],Tables!I:N,5,0)),0)</f>
        <v>0</v>
      </c>
      <c r="BS35" s="3">
        <f>Table4[[#This Row],[Jan_2026_F]]-Table4[[#This Row],[Jan_2026_A]]</f>
        <v>0</v>
      </c>
      <c r="BT35" s="107"/>
      <c r="BU35" s="3">
        <f>IFERROR(Table4[[#This Row],[Feb_2026_Days_Forecast]]*Table4[[#This Row],[Cost Boolean]]*(VLOOKUP(Table4[[#This Row],[RATE CONCAT]],Tables!I:N,5,0)),0)</f>
        <v>0</v>
      </c>
      <c r="BV35" s="3">
        <f>IFERROR(Table4[[#This Row],[Feb_2026_Days_Actual]]*Table4[[#This Row],[Cost Boolean]]*(VLOOKUP(Table4[[#This Row],[RATE CONCAT]],Tables!I:N,5,0)),0)</f>
        <v>0</v>
      </c>
      <c r="BW35" s="3">
        <f>Table4[[#This Row],[Feb_2026_F]]-Table4[[#This Row],[Feb_2026_A]]</f>
        <v>0</v>
      </c>
      <c r="BX35" s="103"/>
      <c r="BY35" s="3">
        <f>IFERROR(Table4[[#This Row],[Mar_2026_Days_Forecast]]*Table4[[#This Row],[Cost Boolean]]*(VLOOKUP(Table4[[#This Row],[RATE CONCAT]],Tables!I:N,5,0)),0)</f>
        <v>0</v>
      </c>
      <c r="BZ35" s="3">
        <f>IFERROR(Table4[[#This Row],[Mar_2026_Days_Actual]]*Table4[[#This Row],[Cost Boolean]]*(VLOOKUP(Table4[[#This Row],[RATE CONCAT]],Tables!I:N,5,0)),0)</f>
        <v>0</v>
      </c>
      <c r="CA35" s="3">
        <f>Table4[[#This Row],[Mar_2026_F]]-Table4[[#This Row],[Mar_2026_A]]</f>
        <v>0</v>
      </c>
      <c r="CB35" s="103"/>
      <c r="CC35" s="3">
        <f>IFERROR(Table4[[#This Row],[Apr_2026_Days_Forecast]]*Table4[[#This Row],[Cost Boolean]]*(VLOOKUP(Table4[[#This Row],[RATE CONCAT]],Tables!I:N,5,0)),0)</f>
        <v>0</v>
      </c>
      <c r="CD35" s="3">
        <f>IFERROR(Table4[[#This Row],[Apr_2026_Days_Actual]]*Table4[[#This Row],[Cost Boolean]]*(VLOOKUP(Table4[[#This Row],[RATE CONCAT]],Tables!I:N,5,0)),0)</f>
        <v>0</v>
      </c>
      <c r="CE35" s="3">
        <f>Table4[[#This Row],[Apr_2026_F]]-Table4[[#This Row],[Apr_2026_A]]</f>
        <v>0</v>
      </c>
      <c r="CF35" s="103"/>
      <c r="CG35" s="3">
        <f>IFERROR(Table4[[#This Row],[May_2026_Days_Forecast]] *Table4[[#This Row],[Cost Boolean]]*(VLOOKUP(Table4[[#This Row],[RATE CONCAT]],Tables!I:N,5,0)),0)</f>
        <v>0</v>
      </c>
      <c r="CH35" s="3">
        <f>IFERROR(Table4[[#This Row],[May_2026_Days_Actual]]*Table4[[#This Row],[Cost Boolean]]*(VLOOKUP(Table4[[#This Row],[RATE CONCAT]],Tables!I:N,5,0)),0)</f>
        <v>0</v>
      </c>
      <c r="CI35" s="3">
        <f>Table4[[#This Row],[May_2026_F]]-Table4[[#This Row],[May_2026_A]]</f>
        <v>0</v>
      </c>
      <c r="CJ35" s="103"/>
      <c r="CK35" s="3">
        <f>IFERROR(Table4[[#This Row],[Jun_2026_Days_Forecast]]*Table4[[#This Row],[Cost Boolean]]*(VLOOKUP(Table4[[#This Row],[RATE CONCAT]],Tables!I:N,5,0)),0)</f>
        <v>0</v>
      </c>
      <c r="CL35" s="3">
        <f>IFERROR(Table4[[#This Row],[Jun_2026_Days_Actual]]*Table4[[#This Row],[Cost Boolean]]*(VLOOKUP(Table4[[#This Row],[RATE CONCAT]],Tables!I:N,5,0)),0)</f>
        <v>0</v>
      </c>
      <c r="CM35" s="3">
        <f>Table4[[#This Row],[Jun_2026_F]]-Table4[[#This Row],[Jun_2026_A]]</f>
        <v>0</v>
      </c>
      <c r="CN35" s="103"/>
      <c r="CO35" s="3">
        <f>IFERROR(Table4[[#This Row],[Jul_2026_Days_Forecast]]*Table4[[#This Row],[Cost Boolean]]*(VLOOKUP(Table4[[#This Row],[RATE CONCAT]],Tables!I:N,5,0)),0)</f>
        <v>0</v>
      </c>
      <c r="CP35" s="3">
        <f>IFERROR(Table4[[#This Row],[Aug_2026_Days_Forecast]]*Table4[[#This Row],[Location]]*(VLOOKUP(Table4[[#This Row],[Rate]],Tables!J:O,5,0)),0)</f>
        <v>0</v>
      </c>
      <c r="CQ35" s="3">
        <f>Table4[[#This Row],[Jul_2026_F]]-Table4[[#This Row],[Jul_2026_A]]</f>
        <v>0</v>
      </c>
      <c r="CR35" s="103"/>
      <c r="CS35" s="3">
        <f>IFERROR(Table4[[#This Row],[Aug_2026_Days_Forecast]]*Table4[[#This Row],[Cost Boolean]]*(VLOOKUP(Table4[[#This Row],[RATE CONCAT]],Tables!I:N,5,0)),0)</f>
        <v>0</v>
      </c>
      <c r="CT35" s="3">
        <f>IFERROR(Table4[[#This Row],[Aug_2026_Days_Actual]]*Table4[[#This Row],[Cost Boolean]]*(VLOOKUP(Table4[[#This Row],[RATE CONCAT]],Tables!I:N,5,0)),0)</f>
        <v>0</v>
      </c>
      <c r="CU35" s="3">
        <f>Table4[[#This Row],[Aug_2026_F]]-Table4[[#This Row],[Aug_2026_A]]</f>
        <v>0</v>
      </c>
      <c r="CV35" s="103"/>
      <c r="CW35" s="3">
        <f>IFERROR(Table4[[#This Row],[Sep_2026_Days_Forecast]]*Table4[[#This Row],[Cost Boolean]]*(VLOOKUP(Table4[[#This Row],[RATE CONCAT]],Tables!I:N,5,0)),0)</f>
        <v>0</v>
      </c>
      <c r="CX35" s="3">
        <f>IFERROR(Table4[[#This Row],[Sep_2026_Days_Actual]]*Table4[[#This Row],[Cost Boolean]]*(VLOOKUP(Table4[[#This Row],[RATE CONCAT]],Tables!I:N,5,0)),0)</f>
        <v>0</v>
      </c>
      <c r="CY35" s="3">
        <f>Table4[[#This Row],[Sep_2026_F]]-Table4[[#This Row],[Sep_2026_A]]</f>
        <v>0</v>
      </c>
      <c r="CZ35" s="103"/>
      <c r="DA35" s="3">
        <f>IFERROR(Table4[[#This Row],[Oct_2026_Days_Forecast]]*Table4[[#This Row],[Cost Boolean]]*(VLOOKUP(Table4[[#This Row],[RATE CONCAT]],Tables!I:N,5,0)),0)</f>
        <v>0</v>
      </c>
      <c r="DB35" s="3">
        <f>IFERROR(Table4[[#This Row],[Oct_2026_Days_Actual]]*Table4[[#This Row],[Cost Boolean]]*(VLOOKUP(Table4[[#This Row],[RATE CONCAT]],Tables!I:N,5,0)),0)</f>
        <v>0</v>
      </c>
      <c r="DC35" s="3">
        <f>Table4[[#This Row],[Oct_2026_F]]-Table4[[#This Row],[Oct_2026_A]]</f>
        <v>0</v>
      </c>
      <c r="DD35" s="103"/>
      <c r="DE35" s="3">
        <f>IFERROR(Table4[[#This Row],[Nov_2026_Days_Forecast]]*Table4[[#This Row],[Cost Boolean]]*(VLOOKUP(Table4[[#This Row],[RATE CONCAT]],Tables!I:N,5,0)),0)</f>
        <v>0</v>
      </c>
      <c r="DF35" s="3">
        <f>IFERROR(Table4[[#This Row],[Nov_2026_Days_Actual]]*Table4[[#This Row],[Cost Boolean]]*(VLOOKUP(Table4[[#This Row],[RATE CONCAT]],Tables!I:N,5,0)),0)</f>
        <v>0</v>
      </c>
      <c r="DG35" s="3">
        <f>Table4[[#This Row],[Nov_2026_F]]-Table4[[#This Row],[Nov_2026_A]]</f>
        <v>0</v>
      </c>
      <c r="DH35" s="103"/>
      <c r="DI35" s="3">
        <f>IFERROR(Table4[[#This Row],[Dec_2026_Days_Forecast]]*Table4[[#This Row],[Cost Boolean]]*(VLOOKUP(Table4[[#This Row],[RATE CONCAT]],Tables!I:N,5,0)),0)</f>
        <v>0</v>
      </c>
      <c r="DJ35" s="3">
        <f>IFERROR(Table4[[#This Row],[Dec_2026_Days_Actual]]*Table4[[#This Row],[Cost Boolean]]*(VLOOKUP(Table4[[#This Row],[RATE CONCAT]],Tables!I:N,5,0)),0)</f>
        <v>0</v>
      </c>
      <c r="DK35" s="3">
        <f>Table4[[#This Row],[Dec_2026_F]]-Table4[[#This Row],[Dec_2026_A]]</f>
        <v>0</v>
      </c>
      <c r="DL35" s="103"/>
      <c r="DM35" s="60"/>
      <c r="DN35" s="3">
        <f>IFERROR(Table4[[#This Row],[Jan_2027_Days_Forecast]]*Table4[[#This Row],[Cost Boolean]]*(VLOOKUP(Table4[[#This Row],[RATE CONCAT]],Tables!I:N,6,0)),0)</f>
        <v>0</v>
      </c>
      <c r="DO35" s="3"/>
      <c r="DP35" s="3">
        <f>Table4[[#This Row],[Jan_2027_F]]-Table4[[#This Row],[Jan_2027_A]]</f>
        <v>0</v>
      </c>
      <c r="DQ35" s="3">
        <f>IFERROR(Table4[[#This Row],[Feb_2027_Days_Forecast]]*Table4[[#This Row],[Cost Boolean]]*(VLOOKUP(Table4[[#This Row],[RATE CONCAT]],Tables!I:N,6,0)),0)</f>
        <v>0</v>
      </c>
      <c r="DR35" s="3"/>
      <c r="DS35" s="3">
        <f>Table4[[#This Row],[Feb_2027_F]]-Table4[[#This Row],[Feb_2027_A]]</f>
        <v>0</v>
      </c>
      <c r="DT35" s="3">
        <f>IFERROR(Table4[[#This Row],[Mar_2027_Days_Forecast]]*Table4[[#This Row],[Cost Boolean]]*(VLOOKUP(Table4[[#This Row],[RATE CONCAT]],Tables!I:N,6,0)),0)</f>
        <v>0</v>
      </c>
      <c r="DU35" s="3"/>
      <c r="DV35" s="3">
        <f>Table4[[#This Row],[Mar_2027_F]]-Table4[[#This Row],[Mar_2027_A]]</f>
        <v>0</v>
      </c>
      <c r="DW35" s="3">
        <f>IFERROR(Table4[[#This Row],[Apr_2027_Days_Forecast]]*Table4[[#This Row],[Cost Boolean]]*(VLOOKUP(Table4[[#This Row],[RATE CONCAT]],Tables!I:N,6,0)),0)</f>
        <v>0</v>
      </c>
      <c r="DX35" s="3"/>
      <c r="DY35" s="3">
        <f>Table4[[#This Row],[Apr_2027_F]]-Table4[[#This Row],[Apr_2027_A]]</f>
        <v>0</v>
      </c>
      <c r="DZ35" s="3">
        <f>IFERROR(Table4[[#This Row],[May_2027_Days_Forecast]]*Table4[[#This Row],[Cost Boolean]]*(VLOOKUP(Table4[[#This Row],[RATE CONCAT]],Tables!I:N,6,0)),0)</f>
        <v>0</v>
      </c>
      <c r="EA35" s="3"/>
      <c r="EB35" s="3">
        <f>Table4[[#This Row],[May_2027_F]]-Table4[[#This Row],[May_2027_A]]</f>
        <v>0</v>
      </c>
      <c r="EC35" s="3">
        <f>IFERROR(Table4[[#This Row],[Jun_2027_Days_Forecast]]*Table4[[#This Row],[Cost Boolean]]*(VLOOKUP(Table4[[#This Row],[RATE CONCAT]],Tables!I:N,6,0)),0)</f>
        <v>0</v>
      </c>
      <c r="ED35" s="3"/>
      <c r="EE35" s="3">
        <f>Table4[[#This Row],[Jun_2027_F]]-Table4[[#This Row],[Jun_2027_A]]</f>
        <v>0</v>
      </c>
      <c r="EF35" s="3">
        <f>IFERROR(Table4[[#This Row],[Jul_2027_Days_Forecast]]*Table4[[#This Row],[Cost Boolean]]*(VLOOKUP(Table4[[#This Row],[RATE CONCAT]],Tables!I:N,6,0)),0)</f>
        <v>0</v>
      </c>
      <c r="EG35" s="3"/>
      <c r="EH35" s="3">
        <f>Table4[[#This Row],[Jul_2027_F]]-Table4[[#This Row],[Jul_2027_A]]</f>
        <v>0</v>
      </c>
      <c r="EI35" s="3">
        <f>IFERROR(Table4[[#This Row],[Aug_2027_Days_Forecast]]*Table4[[#This Row],[Cost Boolean]]*(VLOOKUP(Table4[[#This Row],[RATE CONCAT]],Tables!I:N,6,0)),0)</f>
        <v>0</v>
      </c>
      <c r="EJ35" s="3"/>
      <c r="EK35" s="3">
        <f>Table4[[#This Row],[Aug_2027_F]]-Table4[[#This Row],[Aug_2027_A]]</f>
        <v>0</v>
      </c>
      <c r="EL35" s="3">
        <f>IFERROR(Table4[[#This Row],[Sep_2027_Days_Forecast]]*Table4[[#This Row],[Cost Boolean]]*(VLOOKUP(Table4[[#This Row],[RATE CONCAT]],Tables!I:N,6,0)),0)</f>
        <v>0</v>
      </c>
      <c r="EM35" s="3"/>
      <c r="EN35" s="3">
        <f>Table4[[#This Row],[Sep_2027_F]]-Table4[[#This Row],[Sep_2027_A]]</f>
        <v>0</v>
      </c>
      <c r="EO35" s="3">
        <f>IFERROR(Table4[[#This Row],[Oct_2027_Days_Forecast]]*Table4[[#This Row],[Cost Boolean]]*(VLOOKUP(Table4[[#This Row],[RATE CONCAT]],Tables!I:N,6,0)),0)</f>
        <v>0</v>
      </c>
      <c r="EP35" s="3"/>
      <c r="EQ35" s="3">
        <f>Table4[[#This Row],[Oct_2027_F]]-Table4[[#This Row],[Oct_2027_A]]</f>
        <v>0</v>
      </c>
      <c r="ER35" s="3">
        <f>IFERROR(Table4[[#This Row],[Nov_2027_Days_Forecast]]*Table4[[#This Row],[Cost Boolean]]*(VLOOKUP(Table4[[#This Row],[RATE CONCAT]],Tables!I:N,6,0)),0)</f>
        <v>0</v>
      </c>
      <c r="ES35" s="3"/>
      <c r="ET35" s="3">
        <f>Table4[[#This Row],[Nov_2027_F]]-Table4[[#This Row],[Nov_2027_A]]</f>
        <v>0</v>
      </c>
      <c r="EU35" s="3">
        <f>IFERROR(Table4[[#This Row],[Dec_2027_Days_Forecast]]*Table4[[#This Row],[Cost Boolean]]*(VLOOKUP(Table4[[#This Row],[RATE CONCAT]],Tables!I:N,6,0)),0)</f>
        <v>0</v>
      </c>
      <c r="EV35" s="3"/>
      <c r="EW35" s="3">
        <f>Table4[[#This Row],[Dec_2027_F]]-Table4[[#This Row],[Dec_2027_A]]</f>
        <v>0</v>
      </c>
    </row>
    <row r="36" spans="1:153" ht="15" customHeight="1">
      <c r="A36" s="132"/>
      <c r="B36" s="132"/>
      <c r="C36" s="132"/>
      <c r="D36" s="132"/>
      <c r="E36" s="132"/>
      <c r="F36" s="132"/>
      <c r="G36" s="132"/>
      <c r="H36" s="132"/>
      <c r="I36" s="132"/>
      <c r="J36" s="132"/>
      <c r="K36" s="132"/>
      <c r="L36" s="132"/>
      <c r="M36" s="132"/>
      <c r="N36" s="132"/>
      <c r="O36" s="132"/>
      <c r="P36" s="132"/>
      <c r="Q36" s="132"/>
      <c r="R36" s="191"/>
      <c r="S36" s="191"/>
      <c r="T36" s="191"/>
      <c r="U36" s="191"/>
      <c r="V36" s="191"/>
      <c r="W36" s="191"/>
      <c r="X36" s="13"/>
      <c r="Y36" s="132" t="str">
        <f>CONCATENATE(Table4[[#This Row],[JG]],Table4[[#This Row],[Country]],Table4[[#This Row],[Resource Provider]])</f>
        <v/>
      </c>
      <c r="Z36" s="132">
        <f>VLOOKUP(Table4[[#This Row],[RATE CONCAT]],Tables!I:N,5,0)</f>
        <v>0</v>
      </c>
      <c r="AA36" s="53"/>
      <c r="AB36" s="192"/>
      <c r="AC36" s="192"/>
      <c r="AD36" s="192"/>
      <c r="AE36" s="192"/>
      <c r="AF36" s="192"/>
      <c r="AG36" s="192"/>
      <c r="AH36" s="192"/>
      <c r="AI36" s="192"/>
      <c r="AJ36" s="192"/>
      <c r="AK36" s="16"/>
      <c r="AL36" s="16"/>
      <c r="AM36" s="16"/>
      <c r="AN36" s="53">
        <f>IFERROR(AVERAGE(Table4[[#This Row],[Jan_2026_Days_Forecast]:[Dec_2026_Days_Forecast]]),0)/19</f>
        <v>0</v>
      </c>
      <c r="AO36" s="53">
        <f>IFERROR(AVERAGE(Table4[[#This Row],[Jan_2026_Days_Actual]:[Dec_2026_Days_Actual]]),0)/19</f>
        <v>0</v>
      </c>
      <c r="AP36" s="84"/>
      <c r="AQ36" s="84"/>
      <c r="AR36" s="84"/>
      <c r="AS36" s="84"/>
      <c r="AT36" s="84"/>
      <c r="AU36" s="84"/>
      <c r="AV36" s="84"/>
      <c r="AW36" s="84"/>
      <c r="AX36" s="84"/>
      <c r="AY36" s="84"/>
      <c r="AZ36" s="84"/>
      <c r="BA36" s="84"/>
      <c r="BB36" s="53">
        <f>IFERROR(AVERAGE(Table4[[#This Row],[Jan_2027_Days_Forecast]:[Dec_2027_Days_Forecast]]),0)</f>
        <v>0</v>
      </c>
      <c r="BC36" s="16"/>
      <c r="BD36" s="16"/>
      <c r="BE36" s="16"/>
      <c r="BF36" s="16"/>
      <c r="BG36" s="16"/>
      <c r="BH36" s="16"/>
      <c r="BI36" s="16"/>
      <c r="BJ36" s="16"/>
      <c r="BK36" s="16"/>
      <c r="BL36" s="16"/>
      <c r="BM36" s="16"/>
      <c r="BN36" s="16"/>
      <c r="BO36" s="55"/>
      <c r="BP36" s="60"/>
      <c r="BQ36" s="3">
        <f>Table4[[#This Row],[Jan_2026_Days_Forecast]]*Table4[[#This Row],[Cost Boolean]]*VLOOKUP(Table4[[#This Row],[RATE CONCAT]],Tables!I:N,5,0)</f>
        <v>0</v>
      </c>
      <c r="BR36" s="3">
        <f>IFERROR(Table4[[#This Row],[Jan_2026_Days_Actual]]*Table4[[#This Row],[Cost Boolean]]*(VLOOKUP(Table4[[#This Row],[RATE CONCAT]],Tables!I:N,5,0)),0)</f>
        <v>0</v>
      </c>
      <c r="BS36" s="3">
        <f>Table4[[#This Row],[Jan_2026_F]]-Table4[[#This Row],[Jan_2026_A]]</f>
        <v>0</v>
      </c>
      <c r="BT36" s="107"/>
      <c r="BU36" s="3">
        <f>IFERROR(Table4[[#This Row],[Feb_2026_Days_Forecast]]*Table4[[#This Row],[Cost Boolean]]*(VLOOKUP(Table4[[#This Row],[RATE CONCAT]],Tables!I:N,5,0)),0)</f>
        <v>0</v>
      </c>
      <c r="BV36" s="3">
        <f>IFERROR(Table4[[#This Row],[Feb_2026_Days_Actual]]*Table4[[#This Row],[Cost Boolean]]*(VLOOKUP(Table4[[#This Row],[RATE CONCAT]],Tables!I:N,5,0)),0)</f>
        <v>0</v>
      </c>
      <c r="BW36" s="3">
        <f>Table4[[#This Row],[Feb_2026_F]]-Table4[[#This Row],[Feb_2026_A]]</f>
        <v>0</v>
      </c>
      <c r="BX36" s="103"/>
      <c r="BY36" s="3">
        <f>IFERROR(Table4[[#This Row],[Mar_2026_Days_Forecast]]*Table4[[#This Row],[Cost Boolean]]*(VLOOKUP(Table4[[#This Row],[RATE CONCAT]],Tables!I:N,5,0)),0)</f>
        <v>0</v>
      </c>
      <c r="BZ36" s="3">
        <f>IFERROR(Table4[[#This Row],[Mar_2026_Days_Actual]]*Table4[[#This Row],[Cost Boolean]]*(VLOOKUP(Table4[[#This Row],[RATE CONCAT]],Tables!I:N,5,0)),0)</f>
        <v>0</v>
      </c>
      <c r="CA36" s="3">
        <f>Table4[[#This Row],[Mar_2026_F]]-Table4[[#This Row],[Mar_2026_A]]</f>
        <v>0</v>
      </c>
      <c r="CB36" s="103"/>
      <c r="CC36" s="3">
        <f>IFERROR(Table4[[#This Row],[Apr_2026_Days_Forecast]]*Table4[[#This Row],[Cost Boolean]]*(VLOOKUP(Table4[[#This Row],[RATE CONCAT]],Tables!I:N,5,0)),0)</f>
        <v>0</v>
      </c>
      <c r="CD36" s="3">
        <f>IFERROR(Table4[[#This Row],[Apr_2026_Days_Actual]]*Table4[[#This Row],[Cost Boolean]]*(VLOOKUP(Table4[[#This Row],[RATE CONCAT]],Tables!I:N,5,0)),0)</f>
        <v>0</v>
      </c>
      <c r="CE36" s="3">
        <f>Table4[[#This Row],[Apr_2026_F]]-Table4[[#This Row],[Apr_2026_A]]</f>
        <v>0</v>
      </c>
      <c r="CF36" s="103"/>
      <c r="CG36" s="3">
        <f>IFERROR(Table4[[#This Row],[May_2026_Days_Forecast]] *Table4[[#This Row],[Cost Boolean]]*(VLOOKUP(Table4[[#This Row],[RATE CONCAT]],Tables!I:N,5,0)),0)</f>
        <v>0</v>
      </c>
      <c r="CH36" s="3">
        <f>IFERROR(Table4[[#This Row],[May_2026_Days_Actual]]*Table4[[#This Row],[Cost Boolean]]*(VLOOKUP(Table4[[#This Row],[RATE CONCAT]],Tables!I:N,5,0)),0)</f>
        <v>0</v>
      </c>
      <c r="CI36" s="3">
        <f>Table4[[#This Row],[May_2026_F]]-Table4[[#This Row],[May_2026_A]]</f>
        <v>0</v>
      </c>
      <c r="CJ36" s="103"/>
      <c r="CK36" s="3">
        <f>IFERROR(Table4[[#This Row],[Jun_2026_Days_Forecast]]*Table4[[#This Row],[Cost Boolean]]*(VLOOKUP(Table4[[#This Row],[RATE CONCAT]],Tables!I:N,5,0)),0)</f>
        <v>0</v>
      </c>
      <c r="CL36" s="3">
        <f>IFERROR(Table4[[#This Row],[Jun_2026_Days_Actual]]*Table4[[#This Row],[Cost Boolean]]*(VLOOKUP(Table4[[#This Row],[RATE CONCAT]],Tables!I:N,5,0)),0)</f>
        <v>0</v>
      </c>
      <c r="CM36" s="3">
        <f>Table4[[#This Row],[Jun_2026_F]]-Table4[[#This Row],[Jun_2026_A]]</f>
        <v>0</v>
      </c>
      <c r="CN36" s="103"/>
      <c r="CO36" s="3">
        <f>IFERROR(Table4[[#This Row],[Jul_2026_Days_Forecast]]*Table4[[#This Row],[Cost Boolean]]*(VLOOKUP(Table4[[#This Row],[RATE CONCAT]],Tables!I:N,5,0)),0)</f>
        <v>0</v>
      </c>
      <c r="CP36" s="3">
        <f>IFERROR(Table4[[#This Row],[Aug_2026_Days_Forecast]]*Table4[[#This Row],[Location]]*(VLOOKUP(Table4[[#This Row],[Rate]],Tables!J:O,5,0)),0)</f>
        <v>0</v>
      </c>
      <c r="CQ36" s="3">
        <f>Table4[[#This Row],[Jul_2026_F]]-Table4[[#This Row],[Jul_2026_A]]</f>
        <v>0</v>
      </c>
      <c r="CR36" s="103"/>
      <c r="CS36" s="3">
        <f>IFERROR(Table4[[#This Row],[Aug_2026_Days_Forecast]]*Table4[[#This Row],[Cost Boolean]]*(VLOOKUP(Table4[[#This Row],[RATE CONCAT]],Tables!I:N,5,0)),0)</f>
        <v>0</v>
      </c>
      <c r="CT36" s="3">
        <f>IFERROR(Table4[[#This Row],[Aug_2026_Days_Actual]]*Table4[[#This Row],[Cost Boolean]]*(VLOOKUP(Table4[[#This Row],[RATE CONCAT]],Tables!I:N,5,0)),0)</f>
        <v>0</v>
      </c>
      <c r="CU36" s="3">
        <f>Table4[[#This Row],[Aug_2026_F]]-Table4[[#This Row],[Aug_2026_A]]</f>
        <v>0</v>
      </c>
      <c r="CV36" s="103"/>
      <c r="CW36" s="3">
        <f>IFERROR(Table4[[#This Row],[Sep_2026_Days_Forecast]]*Table4[[#This Row],[Cost Boolean]]*(VLOOKUP(Table4[[#This Row],[RATE CONCAT]],Tables!I:N,5,0)),0)</f>
        <v>0</v>
      </c>
      <c r="CX36" s="3">
        <f>IFERROR(Table4[[#This Row],[Sep_2026_Days_Actual]]*Table4[[#This Row],[Cost Boolean]]*(VLOOKUP(Table4[[#This Row],[RATE CONCAT]],Tables!I:N,5,0)),0)</f>
        <v>0</v>
      </c>
      <c r="CY36" s="3">
        <f>Table4[[#This Row],[Sep_2026_F]]-Table4[[#This Row],[Sep_2026_A]]</f>
        <v>0</v>
      </c>
      <c r="CZ36" s="103"/>
      <c r="DA36" s="3">
        <f>IFERROR(Table4[[#This Row],[Oct_2026_Days_Forecast]]*Table4[[#This Row],[Cost Boolean]]*(VLOOKUP(Table4[[#This Row],[RATE CONCAT]],Tables!I:N,5,0)),0)</f>
        <v>0</v>
      </c>
      <c r="DB36" s="3">
        <f>IFERROR(Table4[[#This Row],[Oct_2026_Days_Actual]]*Table4[[#This Row],[Cost Boolean]]*(VLOOKUP(Table4[[#This Row],[RATE CONCAT]],Tables!I:N,5,0)),0)</f>
        <v>0</v>
      </c>
      <c r="DC36" s="3">
        <f>Table4[[#This Row],[Oct_2026_F]]-Table4[[#This Row],[Oct_2026_A]]</f>
        <v>0</v>
      </c>
      <c r="DD36" s="103"/>
      <c r="DE36" s="3">
        <f>IFERROR(Table4[[#This Row],[Nov_2026_Days_Forecast]]*Table4[[#This Row],[Cost Boolean]]*(VLOOKUP(Table4[[#This Row],[RATE CONCAT]],Tables!I:N,5,0)),0)</f>
        <v>0</v>
      </c>
      <c r="DF36" s="3">
        <f>IFERROR(Table4[[#This Row],[Nov_2026_Days_Actual]]*Table4[[#This Row],[Cost Boolean]]*(VLOOKUP(Table4[[#This Row],[RATE CONCAT]],Tables!I:N,5,0)),0)</f>
        <v>0</v>
      </c>
      <c r="DG36" s="3">
        <f>Table4[[#This Row],[Nov_2026_F]]-Table4[[#This Row],[Nov_2026_A]]</f>
        <v>0</v>
      </c>
      <c r="DH36" s="103"/>
      <c r="DI36" s="3">
        <f>IFERROR(Table4[[#This Row],[Dec_2026_Days_Forecast]]*Table4[[#This Row],[Cost Boolean]]*(VLOOKUP(Table4[[#This Row],[RATE CONCAT]],Tables!I:N,5,0)),0)</f>
        <v>0</v>
      </c>
      <c r="DJ36" s="3">
        <f>IFERROR(Table4[[#This Row],[Dec_2026_Days_Actual]]*Table4[[#This Row],[Cost Boolean]]*(VLOOKUP(Table4[[#This Row],[RATE CONCAT]],Tables!I:N,5,0)),0)</f>
        <v>0</v>
      </c>
      <c r="DK36" s="3">
        <f>Table4[[#This Row],[Dec_2026_F]]-Table4[[#This Row],[Dec_2026_A]]</f>
        <v>0</v>
      </c>
      <c r="DL36" s="103"/>
      <c r="DM36" s="60"/>
      <c r="DN36" s="3">
        <f>IFERROR(Table4[[#This Row],[Jan_2027_Days_Forecast]]*Table4[[#This Row],[Cost Boolean]]*(VLOOKUP(Table4[[#This Row],[RATE CONCAT]],Tables!I:N,6,0)),0)</f>
        <v>0</v>
      </c>
      <c r="DO36" s="3"/>
      <c r="DP36" s="3">
        <f>Table4[[#This Row],[Jan_2027_F]]-Table4[[#This Row],[Jan_2027_A]]</f>
        <v>0</v>
      </c>
      <c r="DQ36" s="3">
        <f>IFERROR(Table4[[#This Row],[Feb_2027_Days_Forecast]]*Table4[[#This Row],[Cost Boolean]]*(VLOOKUP(Table4[[#This Row],[RATE CONCAT]],Tables!I:N,6,0)),0)</f>
        <v>0</v>
      </c>
      <c r="DR36" s="3"/>
      <c r="DS36" s="3">
        <f>Table4[[#This Row],[Feb_2027_F]]-Table4[[#This Row],[Feb_2027_A]]</f>
        <v>0</v>
      </c>
      <c r="DT36" s="3">
        <f>IFERROR(Table4[[#This Row],[Mar_2027_Days_Forecast]]*Table4[[#This Row],[Cost Boolean]]*(VLOOKUP(Table4[[#This Row],[RATE CONCAT]],Tables!I:N,6,0)),0)</f>
        <v>0</v>
      </c>
      <c r="DU36" s="3"/>
      <c r="DV36" s="3">
        <f>Table4[[#This Row],[Mar_2027_F]]-Table4[[#This Row],[Mar_2027_A]]</f>
        <v>0</v>
      </c>
      <c r="DW36" s="3">
        <f>IFERROR(Table4[[#This Row],[Apr_2027_Days_Forecast]]*Table4[[#This Row],[Cost Boolean]]*(VLOOKUP(Table4[[#This Row],[RATE CONCAT]],Tables!I:N,6,0)),0)</f>
        <v>0</v>
      </c>
      <c r="DX36" s="3"/>
      <c r="DY36" s="3">
        <f>Table4[[#This Row],[Apr_2027_F]]-Table4[[#This Row],[Apr_2027_A]]</f>
        <v>0</v>
      </c>
      <c r="DZ36" s="3">
        <f>IFERROR(Table4[[#This Row],[May_2027_Days_Forecast]]*Table4[[#This Row],[Cost Boolean]]*(VLOOKUP(Table4[[#This Row],[RATE CONCAT]],Tables!I:N,6,0)),0)</f>
        <v>0</v>
      </c>
      <c r="EA36" s="3"/>
      <c r="EB36" s="3">
        <f>Table4[[#This Row],[May_2027_F]]-Table4[[#This Row],[May_2027_A]]</f>
        <v>0</v>
      </c>
      <c r="EC36" s="3">
        <f>IFERROR(Table4[[#This Row],[Jun_2027_Days_Forecast]]*Table4[[#This Row],[Cost Boolean]]*(VLOOKUP(Table4[[#This Row],[RATE CONCAT]],Tables!I:N,6,0)),0)</f>
        <v>0</v>
      </c>
      <c r="ED36" s="3"/>
      <c r="EE36" s="3">
        <f>Table4[[#This Row],[Jun_2027_F]]-Table4[[#This Row],[Jun_2027_A]]</f>
        <v>0</v>
      </c>
      <c r="EF36" s="3">
        <f>IFERROR(Table4[[#This Row],[Jul_2027_Days_Forecast]]*Table4[[#This Row],[Cost Boolean]]*(VLOOKUP(Table4[[#This Row],[RATE CONCAT]],Tables!I:N,6,0)),0)</f>
        <v>0</v>
      </c>
      <c r="EG36" s="3"/>
      <c r="EH36" s="3">
        <f>Table4[[#This Row],[Jul_2027_F]]-Table4[[#This Row],[Jul_2027_A]]</f>
        <v>0</v>
      </c>
      <c r="EI36" s="3">
        <f>IFERROR(Table4[[#This Row],[Aug_2027_Days_Forecast]]*Table4[[#This Row],[Cost Boolean]]*(VLOOKUP(Table4[[#This Row],[RATE CONCAT]],Tables!I:N,6,0)),0)</f>
        <v>0</v>
      </c>
      <c r="EJ36" s="3"/>
      <c r="EK36" s="3">
        <f>Table4[[#This Row],[Aug_2027_F]]-Table4[[#This Row],[Aug_2027_A]]</f>
        <v>0</v>
      </c>
      <c r="EL36" s="3">
        <f>IFERROR(Table4[[#This Row],[Sep_2027_Days_Forecast]]*Table4[[#This Row],[Cost Boolean]]*(VLOOKUP(Table4[[#This Row],[RATE CONCAT]],Tables!I:N,6,0)),0)</f>
        <v>0</v>
      </c>
      <c r="EM36" s="3"/>
      <c r="EN36" s="3">
        <f>Table4[[#This Row],[Sep_2027_F]]-Table4[[#This Row],[Sep_2027_A]]</f>
        <v>0</v>
      </c>
      <c r="EO36" s="3">
        <f>IFERROR(Table4[[#This Row],[Oct_2027_Days_Forecast]]*Table4[[#This Row],[Cost Boolean]]*(VLOOKUP(Table4[[#This Row],[RATE CONCAT]],Tables!I:N,6,0)),0)</f>
        <v>0</v>
      </c>
      <c r="EP36" s="3"/>
      <c r="EQ36" s="3">
        <f>Table4[[#This Row],[Oct_2027_F]]-Table4[[#This Row],[Oct_2027_A]]</f>
        <v>0</v>
      </c>
      <c r="ER36" s="3">
        <f>IFERROR(Table4[[#This Row],[Nov_2027_Days_Forecast]]*Table4[[#This Row],[Cost Boolean]]*(VLOOKUP(Table4[[#This Row],[RATE CONCAT]],Tables!I:N,6,0)),0)</f>
        <v>0</v>
      </c>
      <c r="ES36" s="3"/>
      <c r="ET36" s="3">
        <f>Table4[[#This Row],[Nov_2027_F]]-Table4[[#This Row],[Nov_2027_A]]</f>
        <v>0</v>
      </c>
      <c r="EU36" s="3">
        <f>IFERROR(Table4[[#This Row],[Dec_2027_Days_Forecast]]*Table4[[#This Row],[Cost Boolean]]*(VLOOKUP(Table4[[#This Row],[RATE CONCAT]],Tables!I:N,6,0)),0)</f>
        <v>0</v>
      </c>
      <c r="EV36" s="3"/>
      <c r="EW36" s="3">
        <f>Table4[[#This Row],[Dec_2027_F]]-Table4[[#This Row],[Dec_2027_A]]</f>
        <v>0</v>
      </c>
    </row>
    <row r="37" spans="1:153" ht="15" customHeight="1">
      <c r="A37" s="132"/>
      <c r="B37" s="132"/>
      <c r="C37" s="132"/>
      <c r="D37" s="132"/>
      <c r="E37" s="132"/>
      <c r="F37" s="132"/>
      <c r="G37" s="132"/>
      <c r="H37" s="132"/>
      <c r="I37" s="132"/>
      <c r="J37" s="132"/>
      <c r="K37" s="132"/>
      <c r="L37" s="132"/>
      <c r="M37" s="132"/>
      <c r="N37" s="132"/>
      <c r="O37" s="132"/>
      <c r="P37" s="132"/>
      <c r="Q37" s="132"/>
      <c r="R37" s="191"/>
      <c r="S37" s="191"/>
      <c r="T37" s="191"/>
      <c r="U37" s="191"/>
      <c r="V37" s="191"/>
      <c r="W37" s="191"/>
      <c r="X37" s="13"/>
      <c r="Y37" s="132" t="str">
        <f>CONCATENATE(Table4[[#This Row],[JG]],Table4[[#This Row],[Country]],Table4[[#This Row],[Resource Provider]])</f>
        <v/>
      </c>
      <c r="Z37" s="132">
        <f>VLOOKUP(Table4[[#This Row],[RATE CONCAT]],Tables!I:N,5,0)</f>
        <v>0</v>
      </c>
      <c r="AA37" s="53"/>
      <c r="AB37" s="192"/>
      <c r="AC37" s="192"/>
      <c r="AD37" s="192"/>
      <c r="AE37" s="192"/>
      <c r="AF37" s="192"/>
      <c r="AG37" s="192"/>
      <c r="AH37" s="192"/>
      <c r="AI37" s="192"/>
      <c r="AJ37" s="192"/>
      <c r="AK37" s="16"/>
      <c r="AL37" s="16"/>
      <c r="AM37" s="16"/>
      <c r="AN37" s="53">
        <f>IFERROR(AVERAGE(Table4[[#This Row],[Jan_2026_Days_Forecast]:[Dec_2026_Days_Forecast]]),0)/19</f>
        <v>0</v>
      </c>
      <c r="AO37" s="53">
        <f>IFERROR(AVERAGE(Table4[[#This Row],[Jan_2026_Days_Actual]:[Dec_2026_Days_Actual]]),0)/19</f>
        <v>0</v>
      </c>
      <c r="AP37" s="84"/>
      <c r="AQ37" s="84"/>
      <c r="AR37" s="84"/>
      <c r="AS37" s="84"/>
      <c r="AT37" s="84"/>
      <c r="AU37" s="84"/>
      <c r="AV37" s="84"/>
      <c r="AW37" s="84"/>
      <c r="AX37" s="84"/>
      <c r="AY37" s="84"/>
      <c r="AZ37" s="84"/>
      <c r="BA37" s="84"/>
      <c r="BB37" s="53">
        <f>IFERROR(AVERAGE(Table4[[#This Row],[Jan_2027_Days_Forecast]:[Dec_2027_Days_Forecast]]),0)</f>
        <v>0</v>
      </c>
      <c r="BC37" s="16"/>
      <c r="BD37" s="16"/>
      <c r="BE37" s="16"/>
      <c r="BF37" s="16"/>
      <c r="BG37" s="16"/>
      <c r="BH37" s="16"/>
      <c r="BI37" s="16"/>
      <c r="BJ37" s="16"/>
      <c r="BK37" s="16"/>
      <c r="BL37" s="16"/>
      <c r="BM37" s="16"/>
      <c r="BN37" s="16"/>
      <c r="BO37" s="55"/>
      <c r="BP37" s="60"/>
      <c r="BQ37" s="3">
        <f>Table4[[#This Row],[Jan_2026_Days_Forecast]]*Table4[[#This Row],[Cost Boolean]]*VLOOKUP(Table4[[#This Row],[RATE CONCAT]],Tables!I:N,5,0)</f>
        <v>0</v>
      </c>
      <c r="BR37" s="3">
        <f>IFERROR(Table4[[#This Row],[Jan_2026_Days_Actual]]*Table4[[#This Row],[Cost Boolean]]*(VLOOKUP(Table4[[#This Row],[RATE CONCAT]],Tables!I:N,5,0)),0)</f>
        <v>0</v>
      </c>
      <c r="BS37" s="3">
        <f>Table4[[#This Row],[Jan_2026_F]]-Table4[[#This Row],[Jan_2026_A]]</f>
        <v>0</v>
      </c>
      <c r="BT37" s="107"/>
      <c r="BU37" s="3">
        <f>IFERROR(Table4[[#This Row],[Feb_2026_Days_Forecast]]*Table4[[#This Row],[Cost Boolean]]*(VLOOKUP(Table4[[#This Row],[RATE CONCAT]],Tables!I:N,5,0)),0)</f>
        <v>0</v>
      </c>
      <c r="BV37" s="3">
        <f>IFERROR(Table4[[#This Row],[Feb_2026_Days_Actual]]*Table4[[#This Row],[Cost Boolean]]*(VLOOKUP(Table4[[#This Row],[RATE CONCAT]],Tables!I:N,5,0)),0)</f>
        <v>0</v>
      </c>
      <c r="BW37" s="3">
        <f>Table4[[#This Row],[Feb_2026_F]]-Table4[[#This Row],[Feb_2026_A]]</f>
        <v>0</v>
      </c>
      <c r="BX37" s="103"/>
      <c r="BY37" s="3">
        <f>IFERROR(Table4[[#This Row],[Mar_2026_Days_Forecast]]*Table4[[#This Row],[Cost Boolean]]*(VLOOKUP(Table4[[#This Row],[RATE CONCAT]],Tables!I:N,5,0)),0)</f>
        <v>0</v>
      </c>
      <c r="BZ37" s="3">
        <f>IFERROR(Table4[[#This Row],[Mar_2026_Days_Actual]]*Table4[[#This Row],[Cost Boolean]]*(VLOOKUP(Table4[[#This Row],[RATE CONCAT]],Tables!I:N,5,0)),0)</f>
        <v>0</v>
      </c>
      <c r="CA37" s="3">
        <f>Table4[[#This Row],[Mar_2026_F]]-Table4[[#This Row],[Mar_2026_A]]</f>
        <v>0</v>
      </c>
      <c r="CB37" s="103"/>
      <c r="CC37" s="3">
        <f>IFERROR(Table4[[#This Row],[Apr_2026_Days_Forecast]]*Table4[[#This Row],[Cost Boolean]]*(VLOOKUP(Table4[[#This Row],[RATE CONCAT]],Tables!I:N,5,0)),0)</f>
        <v>0</v>
      </c>
      <c r="CD37" s="3">
        <f>IFERROR(Table4[[#This Row],[Apr_2026_Days_Actual]]*Table4[[#This Row],[Cost Boolean]]*(VLOOKUP(Table4[[#This Row],[RATE CONCAT]],Tables!I:N,5,0)),0)</f>
        <v>0</v>
      </c>
      <c r="CE37" s="3">
        <f>Table4[[#This Row],[Apr_2026_F]]-Table4[[#This Row],[Apr_2026_A]]</f>
        <v>0</v>
      </c>
      <c r="CF37" s="103"/>
      <c r="CG37" s="3">
        <f>IFERROR(Table4[[#This Row],[May_2026_Days_Forecast]] *Table4[[#This Row],[Cost Boolean]]*(VLOOKUP(Table4[[#This Row],[RATE CONCAT]],Tables!I:N,5,0)),0)</f>
        <v>0</v>
      </c>
      <c r="CH37" s="3">
        <f>IFERROR(Table4[[#This Row],[May_2026_Days_Actual]]*Table4[[#This Row],[Cost Boolean]]*(VLOOKUP(Table4[[#This Row],[RATE CONCAT]],Tables!I:N,5,0)),0)</f>
        <v>0</v>
      </c>
      <c r="CI37" s="3">
        <f>Table4[[#This Row],[May_2026_F]]-Table4[[#This Row],[May_2026_A]]</f>
        <v>0</v>
      </c>
      <c r="CJ37" s="103"/>
      <c r="CK37" s="3">
        <f>IFERROR(Table4[[#This Row],[Jun_2026_Days_Forecast]]*Table4[[#This Row],[Cost Boolean]]*(VLOOKUP(Table4[[#This Row],[RATE CONCAT]],Tables!I:N,5,0)),0)</f>
        <v>0</v>
      </c>
      <c r="CL37" s="3">
        <f>IFERROR(Table4[[#This Row],[Jun_2026_Days_Actual]]*Table4[[#This Row],[Cost Boolean]]*(VLOOKUP(Table4[[#This Row],[RATE CONCAT]],Tables!I:N,5,0)),0)</f>
        <v>0</v>
      </c>
      <c r="CM37" s="3">
        <f>Table4[[#This Row],[Jun_2026_F]]-Table4[[#This Row],[Jun_2026_A]]</f>
        <v>0</v>
      </c>
      <c r="CN37" s="103"/>
      <c r="CO37" s="3">
        <f>IFERROR(Table4[[#This Row],[Jul_2026_Days_Forecast]]*Table4[[#This Row],[Cost Boolean]]*(VLOOKUP(Table4[[#This Row],[RATE CONCAT]],Tables!I:N,5,0)),0)</f>
        <v>0</v>
      </c>
      <c r="CP37" s="3">
        <f>IFERROR(Table4[[#This Row],[Aug_2026_Days_Forecast]]*Table4[[#This Row],[Location]]*(VLOOKUP(Table4[[#This Row],[Rate]],Tables!J:O,5,0)),0)</f>
        <v>0</v>
      </c>
      <c r="CQ37" s="3">
        <f>Table4[[#This Row],[Jul_2026_F]]-Table4[[#This Row],[Jul_2026_A]]</f>
        <v>0</v>
      </c>
      <c r="CR37" s="103"/>
      <c r="CS37" s="3">
        <f>IFERROR(Table4[[#This Row],[Aug_2026_Days_Forecast]]*Table4[[#This Row],[Cost Boolean]]*(VLOOKUP(Table4[[#This Row],[RATE CONCAT]],Tables!I:N,5,0)),0)</f>
        <v>0</v>
      </c>
      <c r="CT37" s="3">
        <f>IFERROR(Table4[[#This Row],[Aug_2026_Days_Actual]]*Table4[[#This Row],[Cost Boolean]]*(VLOOKUP(Table4[[#This Row],[RATE CONCAT]],Tables!I:N,5,0)),0)</f>
        <v>0</v>
      </c>
      <c r="CU37" s="3">
        <f>Table4[[#This Row],[Aug_2026_F]]-Table4[[#This Row],[Aug_2026_A]]</f>
        <v>0</v>
      </c>
      <c r="CV37" s="103"/>
      <c r="CW37" s="3">
        <f>IFERROR(Table4[[#This Row],[Sep_2026_Days_Forecast]]*Table4[[#This Row],[Cost Boolean]]*(VLOOKUP(Table4[[#This Row],[RATE CONCAT]],Tables!I:N,5,0)),0)</f>
        <v>0</v>
      </c>
      <c r="CX37" s="3">
        <f>IFERROR(Table4[[#This Row],[Sep_2026_Days_Actual]]*Table4[[#This Row],[Cost Boolean]]*(VLOOKUP(Table4[[#This Row],[RATE CONCAT]],Tables!I:N,5,0)),0)</f>
        <v>0</v>
      </c>
      <c r="CY37" s="3">
        <f>Table4[[#This Row],[Sep_2026_F]]-Table4[[#This Row],[Sep_2026_A]]</f>
        <v>0</v>
      </c>
      <c r="CZ37" s="103"/>
      <c r="DA37" s="3">
        <f>IFERROR(Table4[[#This Row],[Oct_2026_Days_Forecast]]*Table4[[#This Row],[Cost Boolean]]*(VLOOKUP(Table4[[#This Row],[RATE CONCAT]],Tables!I:N,5,0)),0)</f>
        <v>0</v>
      </c>
      <c r="DB37" s="3">
        <f>IFERROR(Table4[[#This Row],[Oct_2026_Days_Actual]]*Table4[[#This Row],[Cost Boolean]]*(VLOOKUP(Table4[[#This Row],[RATE CONCAT]],Tables!I:N,5,0)),0)</f>
        <v>0</v>
      </c>
      <c r="DC37" s="3">
        <f>Table4[[#This Row],[Oct_2026_F]]-Table4[[#This Row],[Oct_2026_A]]</f>
        <v>0</v>
      </c>
      <c r="DD37" s="103"/>
      <c r="DE37" s="3">
        <f>IFERROR(Table4[[#This Row],[Nov_2026_Days_Forecast]]*Table4[[#This Row],[Cost Boolean]]*(VLOOKUP(Table4[[#This Row],[RATE CONCAT]],Tables!I:N,5,0)),0)</f>
        <v>0</v>
      </c>
      <c r="DF37" s="3">
        <f>IFERROR(Table4[[#This Row],[Nov_2026_Days_Actual]]*Table4[[#This Row],[Cost Boolean]]*(VLOOKUP(Table4[[#This Row],[RATE CONCAT]],Tables!I:N,5,0)),0)</f>
        <v>0</v>
      </c>
      <c r="DG37" s="3">
        <f>Table4[[#This Row],[Nov_2026_F]]-Table4[[#This Row],[Nov_2026_A]]</f>
        <v>0</v>
      </c>
      <c r="DH37" s="103"/>
      <c r="DI37" s="3">
        <f>IFERROR(Table4[[#This Row],[Dec_2026_Days_Forecast]]*Table4[[#This Row],[Cost Boolean]]*(VLOOKUP(Table4[[#This Row],[RATE CONCAT]],Tables!I:N,5,0)),0)</f>
        <v>0</v>
      </c>
      <c r="DJ37" s="3">
        <f>IFERROR(Table4[[#This Row],[Dec_2026_Days_Actual]]*Table4[[#This Row],[Cost Boolean]]*(VLOOKUP(Table4[[#This Row],[RATE CONCAT]],Tables!I:N,5,0)),0)</f>
        <v>0</v>
      </c>
      <c r="DK37" s="3">
        <f>Table4[[#This Row],[Dec_2026_F]]-Table4[[#This Row],[Dec_2026_A]]</f>
        <v>0</v>
      </c>
      <c r="DL37" s="103"/>
      <c r="DM37" s="60"/>
      <c r="DN37" s="3">
        <f>IFERROR(Table4[[#This Row],[Jan_2027_Days_Forecast]]*Table4[[#This Row],[Cost Boolean]]*(VLOOKUP(Table4[[#This Row],[RATE CONCAT]],Tables!I:N,6,0)),0)</f>
        <v>0</v>
      </c>
      <c r="DO37" s="3"/>
      <c r="DP37" s="3">
        <f>Table4[[#This Row],[Jan_2027_F]]-Table4[[#This Row],[Jan_2027_A]]</f>
        <v>0</v>
      </c>
      <c r="DQ37" s="3">
        <f>IFERROR(Table4[[#This Row],[Feb_2027_Days_Forecast]]*Table4[[#This Row],[Cost Boolean]]*(VLOOKUP(Table4[[#This Row],[RATE CONCAT]],Tables!I:N,6,0)),0)</f>
        <v>0</v>
      </c>
      <c r="DR37" s="3"/>
      <c r="DS37" s="3">
        <f>Table4[[#This Row],[Feb_2027_F]]-Table4[[#This Row],[Feb_2027_A]]</f>
        <v>0</v>
      </c>
      <c r="DT37" s="3">
        <f>IFERROR(Table4[[#This Row],[Mar_2027_Days_Forecast]]*Table4[[#This Row],[Cost Boolean]]*(VLOOKUP(Table4[[#This Row],[RATE CONCAT]],Tables!I:N,6,0)),0)</f>
        <v>0</v>
      </c>
      <c r="DU37" s="3"/>
      <c r="DV37" s="3">
        <f>Table4[[#This Row],[Mar_2027_F]]-Table4[[#This Row],[Mar_2027_A]]</f>
        <v>0</v>
      </c>
      <c r="DW37" s="3">
        <f>IFERROR(Table4[[#This Row],[Apr_2027_Days_Forecast]]*Table4[[#This Row],[Cost Boolean]]*(VLOOKUP(Table4[[#This Row],[RATE CONCAT]],Tables!I:N,6,0)),0)</f>
        <v>0</v>
      </c>
      <c r="DX37" s="3"/>
      <c r="DY37" s="3">
        <f>Table4[[#This Row],[Apr_2027_F]]-Table4[[#This Row],[Apr_2027_A]]</f>
        <v>0</v>
      </c>
      <c r="DZ37" s="3">
        <f>IFERROR(Table4[[#This Row],[May_2027_Days_Forecast]]*Table4[[#This Row],[Cost Boolean]]*(VLOOKUP(Table4[[#This Row],[RATE CONCAT]],Tables!I:N,6,0)),0)</f>
        <v>0</v>
      </c>
      <c r="EA37" s="3"/>
      <c r="EB37" s="3">
        <f>Table4[[#This Row],[May_2027_F]]-Table4[[#This Row],[May_2027_A]]</f>
        <v>0</v>
      </c>
      <c r="EC37" s="3">
        <f>IFERROR(Table4[[#This Row],[Jun_2027_Days_Forecast]]*Table4[[#This Row],[Cost Boolean]]*(VLOOKUP(Table4[[#This Row],[RATE CONCAT]],Tables!I:N,6,0)),0)</f>
        <v>0</v>
      </c>
      <c r="ED37" s="3"/>
      <c r="EE37" s="3">
        <f>Table4[[#This Row],[Jun_2027_F]]-Table4[[#This Row],[Jun_2027_A]]</f>
        <v>0</v>
      </c>
      <c r="EF37" s="3">
        <f>IFERROR(Table4[[#This Row],[Jul_2027_Days_Forecast]]*Table4[[#This Row],[Cost Boolean]]*(VLOOKUP(Table4[[#This Row],[RATE CONCAT]],Tables!I:N,6,0)),0)</f>
        <v>0</v>
      </c>
      <c r="EG37" s="3"/>
      <c r="EH37" s="3">
        <f>Table4[[#This Row],[Jul_2027_F]]-Table4[[#This Row],[Jul_2027_A]]</f>
        <v>0</v>
      </c>
      <c r="EI37" s="3">
        <f>IFERROR(Table4[[#This Row],[Aug_2027_Days_Forecast]]*Table4[[#This Row],[Cost Boolean]]*(VLOOKUP(Table4[[#This Row],[RATE CONCAT]],Tables!I:N,6,0)),0)</f>
        <v>0</v>
      </c>
      <c r="EJ37" s="3"/>
      <c r="EK37" s="3">
        <f>Table4[[#This Row],[Aug_2027_F]]-Table4[[#This Row],[Aug_2027_A]]</f>
        <v>0</v>
      </c>
      <c r="EL37" s="3">
        <f>IFERROR(Table4[[#This Row],[Sep_2027_Days_Forecast]]*Table4[[#This Row],[Cost Boolean]]*(VLOOKUP(Table4[[#This Row],[RATE CONCAT]],Tables!I:N,6,0)),0)</f>
        <v>0</v>
      </c>
      <c r="EM37" s="3"/>
      <c r="EN37" s="3">
        <f>Table4[[#This Row],[Sep_2027_F]]-Table4[[#This Row],[Sep_2027_A]]</f>
        <v>0</v>
      </c>
      <c r="EO37" s="3">
        <f>IFERROR(Table4[[#This Row],[Oct_2027_Days_Forecast]]*Table4[[#This Row],[Cost Boolean]]*(VLOOKUP(Table4[[#This Row],[RATE CONCAT]],Tables!I:N,6,0)),0)</f>
        <v>0</v>
      </c>
      <c r="EP37" s="3"/>
      <c r="EQ37" s="3">
        <f>Table4[[#This Row],[Oct_2027_F]]-Table4[[#This Row],[Oct_2027_A]]</f>
        <v>0</v>
      </c>
      <c r="ER37" s="3">
        <f>IFERROR(Table4[[#This Row],[Nov_2027_Days_Forecast]]*Table4[[#This Row],[Cost Boolean]]*(VLOOKUP(Table4[[#This Row],[RATE CONCAT]],Tables!I:N,6,0)),0)</f>
        <v>0</v>
      </c>
      <c r="ES37" s="3"/>
      <c r="ET37" s="3">
        <f>Table4[[#This Row],[Nov_2027_F]]-Table4[[#This Row],[Nov_2027_A]]</f>
        <v>0</v>
      </c>
      <c r="EU37" s="3">
        <f>IFERROR(Table4[[#This Row],[Dec_2027_Days_Forecast]]*Table4[[#This Row],[Cost Boolean]]*(VLOOKUP(Table4[[#This Row],[RATE CONCAT]],Tables!I:N,6,0)),0)</f>
        <v>0</v>
      </c>
      <c r="EV37" s="3"/>
      <c r="EW37" s="3">
        <f>Table4[[#This Row],[Dec_2027_F]]-Table4[[#This Row],[Dec_2027_A]]</f>
        <v>0</v>
      </c>
    </row>
    <row r="38" spans="1:153" ht="15" customHeight="1">
      <c r="A38" s="132"/>
      <c r="B38" s="132"/>
      <c r="C38" s="132"/>
      <c r="D38" s="132"/>
      <c r="E38" s="132"/>
      <c r="F38" s="132"/>
      <c r="G38" s="132"/>
      <c r="H38" s="132"/>
      <c r="I38" s="132"/>
      <c r="J38" s="132"/>
      <c r="K38" s="132"/>
      <c r="L38" s="132"/>
      <c r="M38" s="132"/>
      <c r="N38" s="132"/>
      <c r="O38" s="132"/>
      <c r="P38" s="132"/>
      <c r="Q38" s="132"/>
      <c r="R38" s="191"/>
      <c r="S38" s="191"/>
      <c r="T38" s="191"/>
      <c r="U38" s="191"/>
      <c r="V38" s="191"/>
      <c r="W38" s="191"/>
      <c r="X38" s="13"/>
      <c r="Y38" s="132" t="str">
        <f>CONCATENATE(Table4[[#This Row],[JG]],Table4[[#This Row],[Country]],Table4[[#This Row],[Resource Provider]])</f>
        <v/>
      </c>
      <c r="Z38" s="132">
        <f>VLOOKUP(Table4[[#This Row],[RATE CONCAT]],Tables!I:N,5,0)</f>
        <v>0</v>
      </c>
      <c r="AA38" s="53"/>
      <c r="AB38" s="192"/>
      <c r="AC38" s="192"/>
      <c r="AD38" s="192"/>
      <c r="AE38" s="192"/>
      <c r="AF38" s="192"/>
      <c r="AG38" s="192"/>
      <c r="AH38" s="192"/>
      <c r="AI38" s="192"/>
      <c r="AJ38" s="192"/>
      <c r="AK38" s="16"/>
      <c r="AL38" s="16"/>
      <c r="AM38" s="16"/>
      <c r="AN38" s="53">
        <f>IFERROR(AVERAGE(Table4[[#This Row],[Jan_2026_Days_Forecast]:[Dec_2026_Days_Forecast]]),0)/19</f>
        <v>0</v>
      </c>
      <c r="AO38" s="53">
        <f>IFERROR(AVERAGE(Table4[[#This Row],[Jan_2026_Days_Actual]:[Dec_2026_Days_Actual]]),0)/19</f>
        <v>0</v>
      </c>
      <c r="AP38" s="84"/>
      <c r="AQ38" s="84"/>
      <c r="AR38" s="84"/>
      <c r="AS38" s="84"/>
      <c r="AT38" s="84"/>
      <c r="AU38" s="84"/>
      <c r="AV38" s="84"/>
      <c r="AW38" s="84"/>
      <c r="AX38" s="84"/>
      <c r="AY38" s="84"/>
      <c r="AZ38" s="84"/>
      <c r="BA38" s="84"/>
      <c r="BB38" s="53">
        <f>IFERROR(AVERAGE(Table4[[#This Row],[Jan_2027_Days_Forecast]:[Dec_2027_Days_Forecast]]),0)</f>
        <v>0</v>
      </c>
      <c r="BC38" s="16"/>
      <c r="BD38" s="16"/>
      <c r="BE38" s="16"/>
      <c r="BF38" s="16"/>
      <c r="BG38" s="16"/>
      <c r="BH38" s="16"/>
      <c r="BI38" s="16"/>
      <c r="BJ38" s="16"/>
      <c r="BK38" s="16"/>
      <c r="BL38" s="16"/>
      <c r="BM38" s="16"/>
      <c r="BN38" s="16"/>
      <c r="BO38" s="55"/>
      <c r="BP38" s="60"/>
      <c r="BQ38" s="3">
        <f>Table4[[#This Row],[Jan_2026_Days_Forecast]]*Table4[[#This Row],[Cost Boolean]]*VLOOKUP(Table4[[#This Row],[RATE CONCAT]],Tables!I:N,5,0)</f>
        <v>0</v>
      </c>
      <c r="BR38" s="3">
        <f>IFERROR(Table4[[#This Row],[Jan_2026_Days_Actual]]*Table4[[#This Row],[Cost Boolean]]*(VLOOKUP(Table4[[#This Row],[RATE CONCAT]],Tables!I:N,5,0)),0)</f>
        <v>0</v>
      </c>
      <c r="BS38" s="3">
        <f>Table4[[#This Row],[Jan_2026_F]]-Table4[[#This Row],[Jan_2026_A]]</f>
        <v>0</v>
      </c>
      <c r="BT38" s="107"/>
      <c r="BU38" s="3">
        <f>IFERROR(Table4[[#This Row],[Feb_2026_Days_Forecast]]*Table4[[#This Row],[Cost Boolean]]*(VLOOKUP(Table4[[#This Row],[RATE CONCAT]],Tables!I:N,5,0)),0)</f>
        <v>0</v>
      </c>
      <c r="BV38" s="3">
        <f>IFERROR(Table4[[#This Row],[Feb_2026_Days_Actual]]*Table4[[#This Row],[Cost Boolean]]*(VLOOKUP(Table4[[#This Row],[RATE CONCAT]],Tables!I:N,5,0)),0)</f>
        <v>0</v>
      </c>
      <c r="BW38" s="3">
        <f>Table4[[#This Row],[Feb_2026_F]]-Table4[[#This Row],[Feb_2026_A]]</f>
        <v>0</v>
      </c>
      <c r="BX38" s="103"/>
      <c r="BY38" s="3">
        <f>IFERROR(Table4[[#This Row],[Mar_2026_Days_Forecast]]*Table4[[#This Row],[Cost Boolean]]*(VLOOKUP(Table4[[#This Row],[RATE CONCAT]],Tables!I:N,5,0)),0)</f>
        <v>0</v>
      </c>
      <c r="BZ38" s="3">
        <f>IFERROR(Table4[[#This Row],[Mar_2026_Days_Actual]]*Table4[[#This Row],[Cost Boolean]]*(VLOOKUP(Table4[[#This Row],[RATE CONCAT]],Tables!I:N,5,0)),0)</f>
        <v>0</v>
      </c>
      <c r="CA38" s="3">
        <f>Table4[[#This Row],[Mar_2026_F]]-Table4[[#This Row],[Mar_2026_A]]</f>
        <v>0</v>
      </c>
      <c r="CB38" s="103"/>
      <c r="CC38" s="3">
        <f>IFERROR(Table4[[#This Row],[Apr_2026_Days_Forecast]]*Table4[[#This Row],[Cost Boolean]]*(VLOOKUP(Table4[[#This Row],[RATE CONCAT]],Tables!I:N,5,0)),0)</f>
        <v>0</v>
      </c>
      <c r="CD38" s="3">
        <f>IFERROR(Table4[[#This Row],[Apr_2026_Days_Actual]]*Table4[[#This Row],[Cost Boolean]]*(VLOOKUP(Table4[[#This Row],[RATE CONCAT]],Tables!I:N,5,0)),0)</f>
        <v>0</v>
      </c>
      <c r="CE38" s="3">
        <f>Table4[[#This Row],[Apr_2026_F]]-Table4[[#This Row],[Apr_2026_A]]</f>
        <v>0</v>
      </c>
      <c r="CF38" s="103"/>
      <c r="CG38" s="3">
        <f>IFERROR(Table4[[#This Row],[May_2026_Days_Forecast]] *Table4[[#This Row],[Cost Boolean]]*(VLOOKUP(Table4[[#This Row],[RATE CONCAT]],Tables!I:N,5,0)),0)</f>
        <v>0</v>
      </c>
      <c r="CH38" s="3">
        <f>IFERROR(Table4[[#This Row],[May_2026_Days_Actual]]*Table4[[#This Row],[Cost Boolean]]*(VLOOKUP(Table4[[#This Row],[RATE CONCAT]],Tables!I:N,5,0)),0)</f>
        <v>0</v>
      </c>
      <c r="CI38" s="3">
        <f>Table4[[#This Row],[May_2026_F]]-Table4[[#This Row],[May_2026_A]]</f>
        <v>0</v>
      </c>
      <c r="CJ38" s="103"/>
      <c r="CK38" s="3">
        <f>IFERROR(Table4[[#This Row],[Jun_2026_Days_Forecast]]*Table4[[#This Row],[Cost Boolean]]*(VLOOKUP(Table4[[#This Row],[RATE CONCAT]],Tables!I:N,5,0)),0)</f>
        <v>0</v>
      </c>
      <c r="CL38" s="3">
        <f>IFERROR(Table4[[#This Row],[Jun_2026_Days_Actual]]*Table4[[#This Row],[Cost Boolean]]*(VLOOKUP(Table4[[#This Row],[RATE CONCAT]],Tables!I:N,5,0)),0)</f>
        <v>0</v>
      </c>
      <c r="CM38" s="3">
        <f>Table4[[#This Row],[Jun_2026_F]]-Table4[[#This Row],[Jun_2026_A]]</f>
        <v>0</v>
      </c>
      <c r="CN38" s="103"/>
      <c r="CO38" s="3">
        <f>IFERROR(Table4[[#This Row],[Jul_2026_Days_Forecast]]*Table4[[#This Row],[Cost Boolean]]*(VLOOKUP(Table4[[#This Row],[RATE CONCAT]],Tables!I:N,5,0)),0)</f>
        <v>0</v>
      </c>
      <c r="CP38" s="3">
        <f>IFERROR(Table4[[#This Row],[Aug_2026_Days_Forecast]]*Table4[[#This Row],[Location]]*(VLOOKUP(Table4[[#This Row],[Rate]],Tables!J:O,5,0)),0)</f>
        <v>0</v>
      </c>
      <c r="CQ38" s="3">
        <f>Table4[[#This Row],[Jul_2026_F]]-Table4[[#This Row],[Jul_2026_A]]</f>
        <v>0</v>
      </c>
      <c r="CR38" s="103"/>
      <c r="CS38" s="3">
        <f>IFERROR(Table4[[#This Row],[Aug_2026_Days_Forecast]]*Table4[[#This Row],[Cost Boolean]]*(VLOOKUP(Table4[[#This Row],[RATE CONCAT]],Tables!I:N,5,0)),0)</f>
        <v>0</v>
      </c>
      <c r="CT38" s="3">
        <f>IFERROR(Table4[[#This Row],[Aug_2026_Days_Actual]]*Table4[[#This Row],[Cost Boolean]]*(VLOOKUP(Table4[[#This Row],[RATE CONCAT]],Tables!I:N,5,0)),0)</f>
        <v>0</v>
      </c>
      <c r="CU38" s="3">
        <f>Table4[[#This Row],[Aug_2026_F]]-Table4[[#This Row],[Aug_2026_A]]</f>
        <v>0</v>
      </c>
      <c r="CV38" s="103"/>
      <c r="CW38" s="3">
        <f>IFERROR(Table4[[#This Row],[Sep_2026_Days_Forecast]]*Table4[[#This Row],[Cost Boolean]]*(VLOOKUP(Table4[[#This Row],[RATE CONCAT]],Tables!I:N,5,0)),0)</f>
        <v>0</v>
      </c>
      <c r="CX38" s="3">
        <f>IFERROR(Table4[[#This Row],[Sep_2026_Days_Actual]]*Table4[[#This Row],[Cost Boolean]]*(VLOOKUP(Table4[[#This Row],[RATE CONCAT]],Tables!I:N,5,0)),0)</f>
        <v>0</v>
      </c>
      <c r="CY38" s="3">
        <f>Table4[[#This Row],[Sep_2026_F]]-Table4[[#This Row],[Sep_2026_A]]</f>
        <v>0</v>
      </c>
      <c r="CZ38" s="103"/>
      <c r="DA38" s="3">
        <f>IFERROR(Table4[[#This Row],[Oct_2026_Days_Forecast]]*Table4[[#This Row],[Cost Boolean]]*(VLOOKUP(Table4[[#This Row],[RATE CONCAT]],Tables!I:N,5,0)),0)</f>
        <v>0</v>
      </c>
      <c r="DB38" s="3">
        <f>IFERROR(Table4[[#This Row],[Oct_2026_Days_Actual]]*Table4[[#This Row],[Cost Boolean]]*(VLOOKUP(Table4[[#This Row],[RATE CONCAT]],Tables!I:N,5,0)),0)</f>
        <v>0</v>
      </c>
      <c r="DC38" s="3">
        <f>Table4[[#This Row],[Oct_2026_F]]-Table4[[#This Row],[Oct_2026_A]]</f>
        <v>0</v>
      </c>
      <c r="DD38" s="103"/>
      <c r="DE38" s="3">
        <f>IFERROR(Table4[[#This Row],[Nov_2026_Days_Forecast]]*Table4[[#This Row],[Cost Boolean]]*(VLOOKUP(Table4[[#This Row],[RATE CONCAT]],Tables!I:N,5,0)),0)</f>
        <v>0</v>
      </c>
      <c r="DF38" s="3">
        <f>IFERROR(Table4[[#This Row],[Nov_2026_Days_Actual]]*Table4[[#This Row],[Cost Boolean]]*(VLOOKUP(Table4[[#This Row],[RATE CONCAT]],Tables!I:N,5,0)),0)</f>
        <v>0</v>
      </c>
      <c r="DG38" s="3">
        <f>Table4[[#This Row],[Nov_2026_F]]-Table4[[#This Row],[Nov_2026_A]]</f>
        <v>0</v>
      </c>
      <c r="DH38" s="103"/>
      <c r="DI38" s="3">
        <f>IFERROR(Table4[[#This Row],[Dec_2026_Days_Forecast]]*Table4[[#This Row],[Cost Boolean]]*(VLOOKUP(Table4[[#This Row],[RATE CONCAT]],Tables!I:N,5,0)),0)</f>
        <v>0</v>
      </c>
      <c r="DJ38" s="3">
        <f>IFERROR(Table4[[#This Row],[Dec_2026_Days_Actual]]*Table4[[#This Row],[Cost Boolean]]*(VLOOKUP(Table4[[#This Row],[RATE CONCAT]],Tables!I:N,5,0)),0)</f>
        <v>0</v>
      </c>
      <c r="DK38" s="3">
        <f>Table4[[#This Row],[Dec_2026_F]]-Table4[[#This Row],[Dec_2026_A]]</f>
        <v>0</v>
      </c>
      <c r="DL38" s="103"/>
      <c r="DM38" s="60"/>
      <c r="DN38" s="3">
        <f>IFERROR(Table4[[#This Row],[Jan_2027_Days_Forecast]]*Table4[[#This Row],[Cost Boolean]]*(VLOOKUP(Table4[[#This Row],[RATE CONCAT]],Tables!I:N,6,0)),0)</f>
        <v>0</v>
      </c>
      <c r="DO38" s="3"/>
      <c r="DP38" s="3">
        <f>Table4[[#This Row],[Jan_2027_F]]-Table4[[#This Row],[Jan_2027_A]]</f>
        <v>0</v>
      </c>
      <c r="DQ38" s="3">
        <f>IFERROR(Table4[[#This Row],[Feb_2027_Days_Forecast]]*Table4[[#This Row],[Cost Boolean]]*(VLOOKUP(Table4[[#This Row],[RATE CONCAT]],Tables!I:N,6,0)),0)</f>
        <v>0</v>
      </c>
      <c r="DR38" s="3"/>
      <c r="DS38" s="3">
        <f>Table4[[#This Row],[Feb_2027_F]]-Table4[[#This Row],[Feb_2027_A]]</f>
        <v>0</v>
      </c>
      <c r="DT38" s="3">
        <f>IFERROR(Table4[[#This Row],[Mar_2027_Days_Forecast]]*Table4[[#This Row],[Cost Boolean]]*(VLOOKUP(Table4[[#This Row],[RATE CONCAT]],Tables!I:N,6,0)),0)</f>
        <v>0</v>
      </c>
      <c r="DU38" s="3"/>
      <c r="DV38" s="3">
        <f>Table4[[#This Row],[Mar_2027_F]]-Table4[[#This Row],[Mar_2027_A]]</f>
        <v>0</v>
      </c>
      <c r="DW38" s="3">
        <f>IFERROR(Table4[[#This Row],[Apr_2027_Days_Forecast]]*Table4[[#This Row],[Cost Boolean]]*(VLOOKUP(Table4[[#This Row],[RATE CONCAT]],Tables!I:N,6,0)),0)</f>
        <v>0</v>
      </c>
      <c r="DX38" s="3"/>
      <c r="DY38" s="3">
        <f>Table4[[#This Row],[Apr_2027_F]]-Table4[[#This Row],[Apr_2027_A]]</f>
        <v>0</v>
      </c>
      <c r="DZ38" s="3">
        <f>IFERROR(Table4[[#This Row],[May_2027_Days_Forecast]]*Table4[[#This Row],[Cost Boolean]]*(VLOOKUP(Table4[[#This Row],[RATE CONCAT]],Tables!I:N,6,0)),0)</f>
        <v>0</v>
      </c>
      <c r="EA38" s="3"/>
      <c r="EB38" s="3">
        <f>Table4[[#This Row],[May_2027_F]]-Table4[[#This Row],[May_2027_A]]</f>
        <v>0</v>
      </c>
      <c r="EC38" s="3">
        <f>IFERROR(Table4[[#This Row],[Jun_2027_Days_Forecast]]*Table4[[#This Row],[Cost Boolean]]*(VLOOKUP(Table4[[#This Row],[RATE CONCAT]],Tables!I:N,6,0)),0)</f>
        <v>0</v>
      </c>
      <c r="ED38" s="3"/>
      <c r="EE38" s="3">
        <f>Table4[[#This Row],[Jun_2027_F]]-Table4[[#This Row],[Jun_2027_A]]</f>
        <v>0</v>
      </c>
      <c r="EF38" s="3">
        <f>IFERROR(Table4[[#This Row],[Jul_2027_Days_Forecast]]*Table4[[#This Row],[Cost Boolean]]*(VLOOKUP(Table4[[#This Row],[RATE CONCAT]],Tables!I:N,6,0)),0)</f>
        <v>0</v>
      </c>
      <c r="EG38" s="3"/>
      <c r="EH38" s="3">
        <f>Table4[[#This Row],[Jul_2027_F]]-Table4[[#This Row],[Jul_2027_A]]</f>
        <v>0</v>
      </c>
      <c r="EI38" s="3">
        <f>IFERROR(Table4[[#This Row],[Aug_2027_Days_Forecast]]*Table4[[#This Row],[Cost Boolean]]*(VLOOKUP(Table4[[#This Row],[RATE CONCAT]],Tables!I:N,6,0)),0)</f>
        <v>0</v>
      </c>
      <c r="EJ38" s="3"/>
      <c r="EK38" s="3">
        <f>Table4[[#This Row],[Aug_2027_F]]-Table4[[#This Row],[Aug_2027_A]]</f>
        <v>0</v>
      </c>
      <c r="EL38" s="3">
        <f>IFERROR(Table4[[#This Row],[Sep_2027_Days_Forecast]]*Table4[[#This Row],[Cost Boolean]]*(VLOOKUP(Table4[[#This Row],[RATE CONCAT]],Tables!I:N,6,0)),0)</f>
        <v>0</v>
      </c>
      <c r="EM38" s="3"/>
      <c r="EN38" s="3">
        <f>Table4[[#This Row],[Sep_2027_F]]-Table4[[#This Row],[Sep_2027_A]]</f>
        <v>0</v>
      </c>
      <c r="EO38" s="3">
        <f>IFERROR(Table4[[#This Row],[Oct_2027_Days_Forecast]]*Table4[[#This Row],[Cost Boolean]]*(VLOOKUP(Table4[[#This Row],[RATE CONCAT]],Tables!I:N,6,0)),0)</f>
        <v>0</v>
      </c>
      <c r="EP38" s="3"/>
      <c r="EQ38" s="3">
        <f>Table4[[#This Row],[Oct_2027_F]]-Table4[[#This Row],[Oct_2027_A]]</f>
        <v>0</v>
      </c>
      <c r="ER38" s="3">
        <f>IFERROR(Table4[[#This Row],[Nov_2027_Days_Forecast]]*Table4[[#This Row],[Cost Boolean]]*(VLOOKUP(Table4[[#This Row],[RATE CONCAT]],Tables!I:N,6,0)),0)</f>
        <v>0</v>
      </c>
      <c r="ES38" s="3"/>
      <c r="ET38" s="3">
        <f>Table4[[#This Row],[Nov_2027_F]]-Table4[[#This Row],[Nov_2027_A]]</f>
        <v>0</v>
      </c>
      <c r="EU38" s="3">
        <f>IFERROR(Table4[[#This Row],[Dec_2027_Days_Forecast]]*Table4[[#This Row],[Cost Boolean]]*(VLOOKUP(Table4[[#This Row],[RATE CONCAT]],Tables!I:N,6,0)),0)</f>
        <v>0</v>
      </c>
      <c r="EV38" s="3"/>
      <c r="EW38" s="3">
        <f>Table4[[#This Row],[Dec_2027_F]]-Table4[[#This Row],[Dec_2027_A]]</f>
        <v>0</v>
      </c>
    </row>
    <row r="39" spans="1:153" ht="15" customHeight="1">
      <c r="A39" s="132"/>
      <c r="B39" s="132"/>
      <c r="C39" s="132"/>
      <c r="D39" s="132"/>
      <c r="E39" s="132"/>
      <c r="F39" s="132"/>
      <c r="G39" s="132"/>
      <c r="H39" s="132"/>
      <c r="I39" s="132"/>
      <c r="J39" s="132"/>
      <c r="K39" s="132"/>
      <c r="L39" s="132"/>
      <c r="M39" s="132"/>
      <c r="N39" s="132"/>
      <c r="O39" s="132"/>
      <c r="P39" s="132"/>
      <c r="Q39" s="132"/>
      <c r="R39" s="191"/>
      <c r="S39" s="191"/>
      <c r="T39" s="191"/>
      <c r="U39" s="191"/>
      <c r="V39" s="191"/>
      <c r="W39" s="191"/>
      <c r="X39" s="13"/>
      <c r="Y39" s="132" t="str">
        <f>CONCATENATE(Table4[[#This Row],[JG]],Table4[[#This Row],[Country]],Table4[[#This Row],[Resource Provider]])</f>
        <v/>
      </c>
      <c r="Z39" s="132">
        <f>VLOOKUP(Table4[[#This Row],[RATE CONCAT]],Tables!I:N,5,0)</f>
        <v>0</v>
      </c>
      <c r="AA39" s="53"/>
      <c r="AB39" s="192"/>
      <c r="AC39" s="192"/>
      <c r="AD39" s="192"/>
      <c r="AE39" s="192"/>
      <c r="AF39" s="192"/>
      <c r="AG39" s="192"/>
      <c r="AH39" s="192"/>
      <c r="AI39" s="192"/>
      <c r="AJ39" s="192"/>
      <c r="AK39" s="16"/>
      <c r="AL39" s="16"/>
      <c r="AM39" s="16"/>
      <c r="AN39" s="53">
        <f>IFERROR(AVERAGE(Table4[[#This Row],[Jan_2026_Days_Forecast]:[Dec_2026_Days_Forecast]]),0)/19</f>
        <v>0</v>
      </c>
      <c r="AO39" s="53">
        <f>IFERROR(AVERAGE(Table4[[#This Row],[Jan_2026_Days_Actual]:[Dec_2026_Days_Actual]]),0)/19</f>
        <v>0</v>
      </c>
      <c r="AP39" s="84"/>
      <c r="AQ39" s="84"/>
      <c r="AR39" s="84"/>
      <c r="AS39" s="84"/>
      <c r="AT39" s="84"/>
      <c r="AU39" s="84"/>
      <c r="AV39" s="84"/>
      <c r="AW39" s="84"/>
      <c r="AX39" s="84"/>
      <c r="AY39" s="84"/>
      <c r="AZ39" s="84"/>
      <c r="BA39" s="84"/>
      <c r="BB39" s="53">
        <f>IFERROR(AVERAGE(Table4[[#This Row],[Jan_2027_Days_Forecast]:[Dec_2027_Days_Forecast]]),0)</f>
        <v>0</v>
      </c>
      <c r="BC39" s="16"/>
      <c r="BD39" s="16"/>
      <c r="BE39" s="16"/>
      <c r="BF39" s="16"/>
      <c r="BG39" s="16"/>
      <c r="BH39" s="16"/>
      <c r="BI39" s="16"/>
      <c r="BJ39" s="16"/>
      <c r="BK39" s="16"/>
      <c r="BL39" s="16"/>
      <c r="BM39" s="16"/>
      <c r="BN39" s="16"/>
      <c r="BO39" s="55"/>
      <c r="BP39" s="60"/>
      <c r="BQ39" s="3">
        <f>Table4[[#This Row],[Jan_2026_Days_Forecast]]*Table4[[#This Row],[Cost Boolean]]*VLOOKUP(Table4[[#This Row],[RATE CONCAT]],Tables!I:N,5,0)</f>
        <v>0</v>
      </c>
      <c r="BR39" s="3">
        <f>IFERROR(Table4[[#This Row],[Jan_2026_Days_Actual]]*Table4[[#This Row],[Cost Boolean]]*(VLOOKUP(Table4[[#This Row],[RATE CONCAT]],Tables!I:N,5,0)),0)</f>
        <v>0</v>
      </c>
      <c r="BS39" s="3">
        <f>Table4[[#This Row],[Jan_2026_F]]-Table4[[#This Row],[Jan_2026_A]]</f>
        <v>0</v>
      </c>
      <c r="BT39" s="107"/>
      <c r="BU39" s="3">
        <f>IFERROR(Table4[[#This Row],[Feb_2026_Days_Forecast]]*Table4[[#This Row],[Cost Boolean]]*(VLOOKUP(Table4[[#This Row],[RATE CONCAT]],Tables!I:N,5,0)),0)</f>
        <v>0</v>
      </c>
      <c r="BV39" s="3">
        <f>IFERROR(Table4[[#This Row],[Feb_2026_Days_Actual]]*Table4[[#This Row],[Cost Boolean]]*(VLOOKUP(Table4[[#This Row],[RATE CONCAT]],Tables!I:N,5,0)),0)</f>
        <v>0</v>
      </c>
      <c r="BW39" s="3">
        <f>Table4[[#This Row],[Feb_2026_F]]-Table4[[#This Row],[Feb_2026_A]]</f>
        <v>0</v>
      </c>
      <c r="BX39" s="103"/>
      <c r="BY39" s="3">
        <f>IFERROR(Table4[[#This Row],[Mar_2026_Days_Forecast]]*Table4[[#This Row],[Cost Boolean]]*(VLOOKUP(Table4[[#This Row],[RATE CONCAT]],Tables!I:N,5,0)),0)</f>
        <v>0</v>
      </c>
      <c r="BZ39" s="3">
        <f>IFERROR(Table4[[#This Row],[Mar_2026_Days_Actual]]*Table4[[#This Row],[Cost Boolean]]*(VLOOKUP(Table4[[#This Row],[RATE CONCAT]],Tables!I:N,5,0)),0)</f>
        <v>0</v>
      </c>
      <c r="CA39" s="3">
        <f>Table4[[#This Row],[Mar_2026_F]]-Table4[[#This Row],[Mar_2026_A]]</f>
        <v>0</v>
      </c>
      <c r="CB39" s="103"/>
      <c r="CC39" s="3">
        <f>IFERROR(Table4[[#This Row],[Apr_2026_Days_Forecast]]*Table4[[#This Row],[Cost Boolean]]*(VLOOKUP(Table4[[#This Row],[RATE CONCAT]],Tables!I:N,5,0)),0)</f>
        <v>0</v>
      </c>
      <c r="CD39" s="3">
        <f>IFERROR(Table4[[#This Row],[Apr_2026_Days_Actual]]*Table4[[#This Row],[Cost Boolean]]*(VLOOKUP(Table4[[#This Row],[RATE CONCAT]],Tables!I:N,5,0)),0)</f>
        <v>0</v>
      </c>
      <c r="CE39" s="3">
        <f>Table4[[#This Row],[Apr_2026_F]]-Table4[[#This Row],[Apr_2026_A]]</f>
        <v>0</v>
      </c>
      <c r="CF39" s="103"/>
      <c r="CG39" s="3">
        <f>IFERROR(Table4[[#This Row],[May_2026_Days_Forecast]] *Table4[[#This Row],[Cost Boolean]]*(VLOOKUP(Table4[[#This Row],[RATE CONCAT]],Tables!I:N,5,0)),0)</f>
        <v>0</v>
      </c>
      <c r="CH39" s="3">
        <f>IFERROR(Table4[[#This Row],[May_2026_Days_Actual]]*Table4[[#This Row],[Cost Boolean]]*(VLOOKUP(Table4[[#This Row],[RATE CONCAT]],Tables!I:N,5,0)),0)</f>
        <v>0</v>
      </c>
      <c r="CI39" s="3">
        <f>Table4[[#This Row],[May_2026_F]]-Table4[[#This Row],[May_2026_A]]</f>
        <v>0</v>
      </c>
      <c r="CJ39" s="103"/>
      <c r="CK39" s="3">
        <f>IFERROR(Table4[[#This Row],[Jun_2026_Days_Forecast]]*Table4[[#This Row],[Cost Boolean]]*(VLOOKUP(Table4[[#This Row],[RATE CONCAT]],Tables!I:N,5,0)),0)</f>
        <v>0</v>
      </c>
      <c r="CL39" s="3">
        <f>IFERROR(Table4[[#This Row],[Jun_2026_Days_Actual]]*Table4[[#This Row],[Cost Boolean]]*(VLOOKUP(Table4[[#This Row],[RATE CONCAT]],Tables!I:N,5,0)),0)</f>
        <v>0</v>
      </c>
      <c r="CM39" s="3">
        <f>Table4[[#This Row],[Jun_2026_F]]-Table4[[#This Row],[Jun_2026_A]]</f>
        <v>0</v>
      </c>
      <c r="CN39" s="103"/>
      <c r="CO39" s="3">
        <f>IFERROR(Table4[[#This Row],[Jul_2026_Days_Forecast]]*Table4[[#This Row],[Cost Boolean]]*(VLOOKUP(Table4[[#This Row],[RATE CONCAT]],Tables!I:N,5,0)),0)</f>
        <v>0</v>
      </c>
      <c r="CP39" s="3">
        <f>IFERROR(Table4[[#This Row],[Aug_2026_Days_Forecast]]*Table4[[#This Row],[Location]]*(VLOOKUP(Table4[[#This Row],[Rate]],Tables!J:O,5,0)),0)</f>
        <v>0</v>
      </c>
      <c r="CQ39" s="3">
        <f>Table4[[#This Row],[Jul_2026_F]]-Table4[[#This Row],[Jul_2026_A]]</f>
        <v>0</v>
      </c>
      <c r="CR39" s="103"/>
      <c r="CS39" s="3">
        <f>IFERROR(Table4[[#This Row],[Aug_2026_Days_Forecast]]*Table4[[#This Row],[Cost Boolean]]*(VLOOKUP(Table4[[#This Row],[RATE CONCAT]],Tables!I:N,5,0)),0)</f>
        <v>0</v>
      </c>
      <c r="CT39" s="3">
        <f>IFERROR(Table4[[#This Row],[Aug_2026_Days_Actual]]*Table4[[#This Row],[Cost Boolean]]*(VLOOKUP(Table4[[#This Row],[RATE CONCAT]],Tables!I:N,5,0)),0)</f>
        <v>0</v>
      </c>
      <c r="CU39" s="3">
        <f>Table4[[#This Row],[Aug_2026_F]]-Table4[[#This Row],[Aug_2026_A]]</f>
        <v>0</v>
      </c>
      <c r="CV39" s="103"/>
      <c r="CW39" s="3">
        <f>IFERROR(Table4[[#This Row],[Sep_2026_Days_Forecast]]*Table4[[#This Row],[Cost Boolean]]*(VLOOKUP(Table4[[#This Row],[RATE CONCAT]],Tables!I:N,5,0)),0)</f>
        <v>0</v>
      </c>
      <c r="CX39" s="3">
        <f>IFERROR(Table4[[#This Row],[Sep_2026_Days_Actual]]*Table4[[#This Row],[Cost Boolean]]*(VLOOKUP(Table4[[#This Row],[RATE CONCAT]],Tables!I:N,5,0)),0)</f>
        <v>0</v>
      </c>
      <c r="CY39" s="3">
        <f>Table4[[#This Row],[Sep_2026_F]]-Table4[[#This Row],[Sep_2026_A]]</f>
        <v>0</v>
      </c>
      <c r="CZ39" s="103"/>
      <c r="DA39" s="3">
        <f>IFERROR(Table4[[#This Row],[Oct_2026_Days_Forecast]]*Table4[[#This Row],[Cost Boolean]]*(VLOOKUP(Table4[[#This Row],[RATE CONCAT]],Tables!I:N,5,0)),0)</f>
        <v>0</v>
      </c>
      <c r="DB39" s="3">
        <f>IFERROR(Table4[[#This Row],[Oct_2026_Days_Actual]]*Table4[[#This Row],[Cost Boolean]]*(VLOOKUP(Table4[[#This Row],[RATE CONCAT]],Tables!I:N,5,0)),0)</f>
        <v>0</v>
      </c>
      <c r="DC39" s="3">
        <f>Table4[[#This Row],[Oct_2026_F]]-Table4[[#This Row],[Oct_2026_A]]</f>
        <v>0</v>
      </c>
      <c r="DD39" s="103"/>
      <c r="DE39" s="3">
        <f>IFERROR(Table4[[#This Row],[Nov_2026_Days_Forecast]]*Table4[[#This Row],[Cost Boolean]]*(VLOOKUP(Table4[[#This Row],[RATE CONCAT]],Tables!I:N,5,0)),0)</f>
        <v>0</v>
      </c>
      <c r="DF39" s="3">
        <f>IFERROR(Table4[[#This Row],[Nov_2026_Days_Actual]]*Table4[[#This Row],[Cost Boolean]]*(VLOOKUP(Table4[[#This Row],[RATE CONCAT]],Tables!I:N,5,0)),0)</f>
        <v>0</v>
      </c>
      <c r="DG39" s="3">
        <f>Table4[[#This Row],[Nov_2026_F]]-Table4[[#This Row],[Nov_2026_A]]</f>
        <v>0</v>
      </c>
      <c r="DH39" s="103"/>
      <c r="DI39" s="3">
        <f>IFERROR(Table4[[#This Row],[Dec_2026_Days_Forecast]]*Table4[[#This Row],[Cost Boolean]]*(VLOOKUP(Table4[[#This Row],[RATE CONCAT]],Tables!I:N,5,0)),0)</f>
        <v>0</v>
      </c>
      <c r="DJ39" s="3">
        <f>IFERROR(Table4[[#This Row],[Dec_2026_Days_Actual]]*Table4[[#This Row],[Cost Boolean]]*(VLOOKUP(Table4[[#This Row],[RATE CONCAT]],Tables!I:N,5,0)),0)</f>
        <v>0</v>
      </c>
      <c r="DK39" s="3">
        <f>Table4[[#This Row],[Dec_2026_F]]-Table4[[#This Row],[Dec_2026_A]]</f>
        <v>0</v>
      </c>
      <c r="DL39" s="103"/>
      <c r="DM39" s="60"/>
      <c r="DN39" s="3">
        <f>IFERROR(Table4[[#This Row],[Jan_2027_Days_Forecast]]*Table4[[#This Row],[Cost Boolean]]*(VLOOKUP(Table4[[#This Row],[RATE CONCAT]],Tables!I:N,6,0)),0)</f>
        <v>0</v>
      </c>
      <c r="DO39" s="3"/>
      <c r="DP39" s="3">
        <f>Table4[[#This Row],[Jan_2027_F]]-Table4[[#This Row],[Jan_2027_A]]</f>
        <v>0</v>
      </c>
      <c r="DQ39" s="3">
        <f>IFERROR(Table4[[#This Row],[Feb_2027_Days_Forecast]]*Table4[[#This Row],[Cost Boolean]]*(VLOOKUP(Table4[[#This Row],[RATE CONCAT]],Tables!I:N,6,0)),0)</f>
        <v>0</v>
      </c>
      <c r="DR39" s="3"/>
      <c r="DS39" s="3">
        <f>Table4[[#This Row],[Feb_2027_F]]-Table4[[#This Row],[Feb_2027_A]]</f>
        <v>0</v>
      </c>
      <c r="DT39" s="3">
        <f>IFERROR(Table4[[#This Row],[Mar_2027_Days_Forecast]]*Table4[[#This Row],[Cost Boolean]]*(VLOOKUP(Table4[[#This Row],[RATE CONCAT]],Tables!I:N,6,0)),0)</f>
        <v>0</v>
      </c>
      <c r="DU39" s="3"/>
      <c r="DV39" s="3">
        <f>Table4[[#This Row],[Mar_2027_F]]-Table4[[#This Row],[Mar_2027_A]]</f>
        <v>0</v>
      </c>
      <c r="DW39" s="3">
        <f>IFERROR(Table4[[#This Row],[Apr_2027_Days_Forecast]]*Table4[[#This Row],[Cost Boolean]]*(VLOOKUP(Table4[[#This Row],[RATE CONCAT]],Tables!I:N,6,0)),0)</f>
        <v>0</v>
      </c>
      <c r="DX39" s="3"/>
      <c r="DY39" s="3">
        <f>Table4[[#This Row],[Apr_2027_F]]-Table4[[#This Row],[Apr_2027_A]]</f>
        <v>0</v>
      </c>
      <c r="DZ39" s="3">
        <f>IFERROR(Table4[[#This Row],[May_2027_Days_Forecast]]*Table4[[#This Row],[Cost Boolean]]*(VLOOKUP(Table4[[#This Row],[RATE CONCAT]],Tables!I:N,6,0)),0)</f>
        <v>0</v>
      </c>
      <c r="EA39" s="3"/>
      <c r="EB39" s="3">
        <f>Table4[[#This Row],[May_2027_F]]-Table4[[#This Row],[May_2027_A]]</f>
        <v>0</v>
      </c>
      <c r="EC39" s="3">
        <f>IFERROR(Table4[[#This Row],[Jun_2027_Days_Forecast]]*Table4[[#This Row],[Cost Boolean]]*(VLOOKUP(Table4[[#This Row],[RATE CONCAT]],Tables!I:N,6,0)),0)</f>
        <v>0</v>
      </c>
      <c r="ED39" s="3"/>
      <c r="EE39" s="3">
        <f>Table4[[#This Row],[Jun_2027_F]]-Table4[[#This Row],[Jun_2027_A]]</f>
        <v>0</v>
      </c>
      <c r="EF39" s="3">
        <f>IFERROR(Table4[[#This Row],[Jul_2027_Days_Forecast]]*Table4[[#This Row],[Cost Boolean]]*(VLOOKUP(Table4[[#This Row],[RATE CONCAT]],Tables!I:N,6,0)),0)</f>
        <v>0</v>
      </c>
      <c r="EG39" s="3"/>
      <c r="EH39" s="3">
        <f>Table4[[#This Row],[Jul_2027_F]]-Table4[[#This Row],[Jul_2027_A]]</f>
        <v>0</v>
      </c>
      <c r="EI39" s="3">
        <f>IFERROR(Table4[[#This Row],[Aug_2027_Days_Forecast]]*Table4[[#This Row],[Cost Boolean]]*(VLOOKUP(Table4[[#This Row],[RATE CONCAT]],Tables!I:N,6,0)),0)</f>
        <v>0</v>
      </c>
      <c r="EJ39" s="3"/>
      <c r="EK39" s="3">
        <f>Table4[[#This Row],[Aug_2027_F]]-Table4[[#This Row],[Aug_2027_A]]</f>
        <v>0</v>
      </c>
      <c r="EL39" s="3">
        <f>IFERROR(Table4[[#This Row],[Sep_2027_Days_Forecast]]*Table4[[#This Row],[Cost Boolean]]*(VLOOKUP(Table4[[#This Row],[RATE CONCAT]],Tables!I:N,6,0)),0)</f>
        <v>0</v>
      </c>
      <c r="EM39" s="3"/>
      <c r="EN39" s="3">
        <f>Table4[[#This Row],[Sep_2027_F]]-Table4[[#This Row],[Sep_2027_A]]</f>
        <v>0</v>
      </c>
      <c r="EO39" s="3">
        <f>IFERROR(Table4[[#This Row],[Oct_2027_Days_Forecast]]*Table4[[#This Row],[Cost Boolean]]*(VLOOKUP(Table4[[#This Row],[RATE CONCAT]],Tables!I:N,6,0)),0)</f>
        <v>0</v>
      </c>
      <c r="EP39" s="3"/>
      <c r="EQ39" s="3">
        <f>Table4[[#This Row],[Oct_2027_F]]-Table4[[#This Row],[Oct_2027_A]]</f>
        <v>0</v>
      </c>
      <c r="ER39" s="3">
        <f>IFERROR(Table4[[#This Row],[Nov_2027_Days_Forecast]]*Table4[[#This Row],[Cost Boolean]]*(VLOOKUP(Table4[[#This Row],[RATE CONCAT]],Tables!I:N,6,0)),0)</f>
        <v>0</v>
      </c>
      <c r="ES39" s="3"/>
      <c r="ET39" s="3">
        <f>Table4[[#This Row],[Nov_2027_F]]-Table4[[#This Row],[Nov_2027_A]]</f>
        <v>0</v>
      </c>
      <c r="EU39" s="3">
        <f>IFERROR(Table4[[#This Row],[Dec_2027_Days_Forecast]]*Table4[[#This Row],[Cost Boolean]]*(VLOOKUP(Table4[[#This Row],[RATE CONCAT]],Tables!I:N,6,0)),0)</f>
        <v>0</v>
      </c>
      <c r="EV39" s="3"/>
      <c r="EW39" s="3">
        <f>Table4[[#This Row],[Dec_2027_F]]-Table4[[#This Row],[Dec_2027_A]]</f>
        <v>0</v>
      </c>
    </row>
    <row r="40" spans="1:153" ht="15" customHeight="1">
      <c r="A40" s="132"/>
      <c r="B40" s="132"/>
      <c r="C40" s="132"/>
      <c r="D40" s="132"/>
      <c r="E40" s="132"/>
      <c r="F40" s="132"/>
      <c r="G40" s="132"/>
      <c r="H40" s="132"/>
      <c r="I40" s="132"/>
      <c r="J40" s="132"/>
      <c r="K40" s="132"/>
      <c r="L40" s="132"/>
      <c r="M40" s="132"/>
      <c r="N40" s="132"/>
      <c r="O40" s="132"/>
      <c r="P40" s="132"/>
      <c r="Q40" s="132"/>
      <c r="R40" s="191"/>
      <c r="S40" s="191"/>
      <c r="T40" s="191"/>
      <c r="U40" s="191"/>
      <c r="V40" s="191"/>
      <c r="W40" s="191"/>
      <c r="X40" s="13"/>
      <c r="Y40" s="132" t="str">
        <f>CONCATENATE(Table4[[#This Row],[JG]],Table4[[#This Row],[Country]],Table4[[#This Row],[Resource Provider]])</f>
        <v/>
      </c>
      <c r="Z40" s="132">
        <f>VLOOKUP(Table4[[#This Row],[RATE CONCAT]],Tables!I:N,5,0)</f>
        <v>0</v>
      </c>
      <c r="AA40" s="53"/>
      <c r="AB40" s="192"/>
      <c r="AC40" s="192"/>
      <c r="AD40" s="192"/>
      <c r="AE40" s="192"/>
      <c r="AF40" s="192"/>
      <c r="AG40" s="192"/>
      <c r="AH40" s="192"/>
      <c r="AI40" s="192"/>
      <c r="AJ40" s="192"/>
      <c r="AK40" s="16"/>
      <c r="AL40" s="16"/>
      <c r="AM40" s="16"/>
      <c r="AN40" s="53">
        <f>IFERROR(AVERAGE(Table4[[#This Row],[Jan_2026_Days_Forecast]:[Dec_2026_Days_Forecast]]),0)/19</f>
        <v>0</v>
      </c>
      <c r="AO40" s="53">
        <f>IFERROR(AVERAGE(Table4[[#This Row],[Jan_2026_Days_Actual]:[Dec_2026_Days_Actual]]),0)/19</f>
        <v>0</v>
      </c>
      <c r="AP40" s="84"/>
      <c r="AQ40" s="84"/>
      <c r="AR40" s="84"/>
      <c r="AS40" s="84"/>
      <c r="AT40" s="84"/>
      <c r="AU40" s="84"/>
      <c r="AV40" s="84"/>
      <c r="AW40" s="84"/>
      <c r="AX40" s="84"/>
      <c r="AY40" s="84"/>
      <c r="AZ40" s="84"/>
      <c r="BA40" s="84"/>
      <c r="BB40" s="53">
        <f>IFERROR(AVERAGE(Table4[[#This Row],[Jan_2027_Days_Forecast]:[Dec_2027_Days_Forecast]]),0)</f>
        <v>0</v>
      </c>
      <c r="BC40" s="16"/>
      <c r="BD40" s="16"/>
      <c r="BE40" s="16"/>
      <c r="BF40" s="16"/>
      <c r="BG40" s="16"/>
      <c r="BH40" s="16"/>
      <c r="BI40" s="16"/>
      <c r="BJ40" s="16"/>
      <c r="BK40" s="16"/>
      <c r="BL40" s="16"/>
      <c r="BM40" s="16"/>
      <c r="BN40" s="16"/>
      <c r="BO40" s="55"/>
      <c r="BP40" s="60"/>
      <c r="BQ40" s="3"/>
      <c r="BR40" s="3">
        <f>IFERROR(Table4[[#This Row],[Jan_2026_Days_Actual]]*Table4[[#This Row],[Cost Boolean]]*(VLOOKUP(Table4[[#This Row],[RATE CONCAT]],Tables!I:N,5,0)),0)</f>
        <v>0</v>
      </c>
      <c r="BS40" s="3">
        <f>Table4[[#This Row],[Jan_2026_F]]-Table4[[#This Row],[Jan_2026_A]]</f>
        <v>0</v>
      </c>
      <c r="BT40" s="107"/>
      <c r="BU40" s="3">
        <f>IFERROR(Table4[[#This Row],[Feb_2026_Days_Forecast]]*Table4[[#This Row],[Cost Boolean]]*(VLOOKUP(Table4[[#This Row],[RATE CONCAT]],Tables!I:N,5,0)),0)</f>
        <v>0</v>
      </c>
      <c r="BV40" s="3">
        <f>IFERROR(Table4[[#This Row],[Feb_2026_Days_Actual]]*Table4[[#This Row],[Cost Boolean]]*(VLOOKUP(Table4[[#This Row],[RATE CONCAT]],Tables!I:N,5,0)),0)</f>
        <v>0</v>
      </c>
      <c r="BW40" s="3">
        <f>Table4[[#This Row],[Feb_2026_F]]-Table4[[#This Row],[Feb_2026_A]]</f>
        <v>0</v>
      </c>
      <c r="BX40" s="103"/>
      <c r="BY40" s="3">
        <f>IFERROR(Table4[[#This Row],[Mar_2026_Days_Forecast]]*Table4[[#This Row],[Cost Boolean]]*(VLOOKUP(Table4[[#This Row],[RATE CONCAT]],Tables!I:N,5,0)),0)</f>
        <v>0</v>
      </c>
      <c r="BZ40" s="3">
        <f>IFERROR(Table4[[#This Row],[Mar_2026_Days_Actual]]*Table4[[#This Row],[Cost Boolean]]*(VLOOKUP(Table4[[#This Row],[RATE CONCAT]],Tables!I:N,5,0)),0)</f>
        <v>0</v>
      </c>
      <c r="CA40" s="3">
        <f>Table4[[#This Row],[Mar_2026_F]]-Table4[[#This Row],[Mar_2026_A]]</f>
        <v>0</v>
      </c>
      <c r="CB40" s="103"/>
      <c r="CC40" s="3">
        <f>IFERROR(Table4[[#This Row],[Apr_2026_Days_Forecast]]*Table4[[#This Row],[Cost Boolean]]*(VLOOKUP(Table4[[#This Row],[RATE CONCAT]],Tables!I:N,5,0)),0)</f>
        <v>0</v>
      </c>
      <c r="CD40" s="3">
        <f>IFERROR(Table4[[#This Row],[Apr_2026_Days_Actual]]*Table4[[#This Row],[Cost Boolean]]*(VLOOKUP(Table4[[#This Row],[RATE CONCAT]],Tables!I:N,5,0)),0)</f>
        <v>0</v>
      </c>
      <c r="CE40" s="3">
        <f>Table4[[#This Row],[Apr_2026_F]]-Table4[[#This Row],[Apr_2026_A]]</f>
        <v>0</v>
      </c>
      <c r="CF40" s="103"/>
      <c r="CG40" s="3">
        <f>IFERROR(Table4[[#This Row],[May_2026_Days_Forecast]] *Table4[[#This Row],[Cost Boolean]]*(VLOOKUP(Table4[[#This Row],[RATE CONCAT]],Tables!I:N,5,0)),0)</f>
        <v>0</v>
      </c>
      <c r="CH40" s="3">
        <f>IFERROR(Table4[[#This Row],[May_2026_Days_Actual]]*Table4[[#This Row],[Cost Boolean]]*(VLOOKUP(Table4[[#This Row],[RATE CONCAT]],Tables!I:N,5,0)),0)</f>
        <v>0</v>
      </c>
      <c r="CI40" s="3">
        <f>Table4[[#This Row],[May_2026_F]]-Table4[[#This Row],[May_2026_A]]</f>
        <v>0</v>
      </c>
      <c r="CJ40" s="103"/>
      <c r="CK40" s="3">
        <f>IFERROR(Table4[[#This Row],[Jun_2026_Days_Forecast]]*Table4[[#This Row],[Cost Boolean]]*(VLOOKUP(Table4[[#This Row],[RATE CONCAT]],Tables!I:N,5,0)),0)</f>
        <v>0</v>
      </c>
      <c r="CL40" s="3">
        <f>IFERROR(Table4[[#This Row],[Jun_2026_Days_Actual]]*Table4[[#This Row],[Cost Boolean]]*(VLOOKUP(Table4[[#This Row],[RATE CONCAT]],Tables!I:N,5,0)),0)</f>
        <v>0</v>
      </c>
      <c r="CM40" s="3">
        <f>Table4[[#This Row],[Jun_2026_F]]-Table4[[#This Row],[Jun_2026_A]]</f>
        <v>0</v>
      </c>
      <c r="CN40" s="103"/>
      <c r="CO40" s="3">
        <f>IFERROR(Table4[[#This Row],[Jul_2026_Days_Forecast]]*Table4[[#This Row],[Cost Boolean]]*(VLOOKUP(Table4[[#This Row],[RATE CONCAT]],Tables!I:N,5,0)),0)</f>
        <v>0</v>
      </c>
      <c r="CP40" s="3">
        <f>IFERROR(Table4[[#This Row],[Aug_2026_Days_Forecast]]*Table4[[#This Row],[Location]]*(VLOOKUP(Table4[[#This Row],[Rate]],Tables!J:O,5,0)),0)</f>
        <v>0</v>
      </c>
      <c r="CQ40" s="3">
        <f>Table4[[#This Row],[Jul_2026_F]]-Table4[[#This Row],[Jul_2026_A]]</f>
        <v>0</v>
      </c>
      <c r="CR40" s="103"/>
      <c r="CS40" s="3">
        <f>IFERROR(Table4[[#This Row],[Aug_2026_Days_Forecast]]*Table4[[#This Row],[Cost Boolean]]*(VLOOKUP(Table4[[#This Row],[RATE CONCAT]],Tables!I:N,5,0)),0)</f>
        <v>0</v>
      </c>
      <c r="CT40" s="3">
        <f>IFERROR(Table4[[#This Row],[Aug_2026_Days_Actual]]*Table4[[#This Row],[Cost Boolean]]*(VLOOKUP(Table4[[#This Row],[RATE CONCAT]],Tables!I:N,5,0)),0)</f>
        <v>0</v>
      </c>
      <c r="CU40" s="3">
        <f>Table4[[#This Row],[Aug_2026_F]]-Table4[[#This Row],[Aug_2026_A]]</f>
        <v>0</v>
      </c>
      <c r="CV40" s="103"/>
      <c r="CW40" s="3">
        <f>IFERROR(Table4[[#This Row],[Sep_2026_Days_Forecast]]*Table4[[#This Row],[Cost Boolean]]*(VLOOKUP(Table4[[#This Row],[RATE CONCAT]],Tables!I:N,5,0)),0)</f>
        <v>0</v>
      </c>
      <c r="CX40" s="3">
        <f>IFERROR(Table4[[#This Row],[Sep_2026_Days_Actual]]*Table4[[#This Row],[Cost Boolean]]*(VLOOKUP(Table4[[#This Row],[RATE CONCAT]],Tables!I:N,5,0)),0)</f>
        <v>0</v>
      </c>
      <c r="CY40" s="3">
        <f>Table4[[#This Row],[Sep_2026_F]]-Table4[[#This Row],[Sep_2026_A]]</f>
        <v>0</v>
      </c>
      <c r="CZ40" s="103"/>
      <c r="DA40" s="3">
        <f>IFERROR(Table4[[#This Row],[Oct_2026_Days_Forecast]]*Table4[[#This Row],[Cost Boolean]]*(VLOOKUP(Table4[[#This Row],[RATE CONCAT]],Tables!I:N,5,0)),0)</f>
        <v>0</v>
      </c>
      <c r="DB40" s="3">
        <f>IFERROR(Table4[[#This Row],[Oct_2026_Days_Actual]]*Table4[[#This Row],[Cost Boolean]]*(VLOOKUP(Table4[[#This Row],[RATE CONCAT]],Tables!I:N,5,0)),0)</f>
        <v>0</v>
      </c>
      <c r="DC40" s="3">
        <f>Table4[[#This Row],[Oct_2026_F]]-Table4[[#This Row],[Oct_2026_A]]</f>
        <v>0</v>
      </c>
      <c r="DD40" s="103"/>
      <c r="DE40" s="3">
        <f>IFERROR(Table4[[#This Row],[Nov_2026_Days_Forecast]]*Table4[[#This Row],[Cost Boolean]]*(VLOOKUP(Table4[[#This Row],[RATE CONCAT]],Tables!I:N,5,0)),0)</f>
        <v>0</v>
      </c>
      <c r="DF40" s="3">
        <f>IFERROR(Table4[[#This Row],[Nov_2026_Days_Actual]]*Table4[[#This Row],[Cost Boolean]]*(VLOOKUP(Table4[[#This Row],[RATE CONCAT]],Tables!I:N,5,0)),0)</f>
        <v>0</v>
      </c>
      <c r="DG40" s="3">
        <f>Table4[[#This Row],[Nov_2026_F]]-Table4[[#This Row],[Nov_2026_A]]</f>
        <v>0</v>
      </c>
      <c r="DH40" s="103"/>
      <c r="DI40" s="3">
        <f>IFERROR(Table4[[#This Row],[Dec_2026_Days_Forecast]]*Table4[[#This Row],[Cost Boolean]]*(VLOOKUP(Table4[[#This Row],[RATE CONCAT]],Tables!I:N,5,0)),0)</f>
        <v>0</v>
      </c>
      <c r="DJ40" s="3">
        <f>IFERROR(Table4[[#This Row],[Dec_2026_Days_Actual]]*Table4[[#This Row],[Cost Boolean]]*(VLOOKUP(Table4[[#This Row],[RATE CONCAT]],Tables!I:N,5,0)),0)</f>
        <v>0</v>
      </c>
      <c r="DK40" s="3">
        <f>Table4[[#This Row],[Dec_2026_F]]-Table4[[#This Row],[Dec_2026_A]]</f>
        <v>0</v>
      </c>
      <c r="DL40" s="103"/>
      <c r="DM40" s="60"/>
      <c r="DN40" s="3">
        <f>IFERROR(Table4[[#This Row],[Jan_2027_Days_Forecast]]*Table4[[#This Row],[Cost Boolean]]*(VLOOKUP(Table4[[#This Row],[RATE CONCAT]],Tables!I:N,6,0)),0)</f>
        <v>0</v>
      </c>
      <c r="DO40" s="3"/>
      <c r="DP40" s="3">
        <f>Table4[[#This Row],[Jan_2027_F]]-Table4[[#This Row],[Jan_2027_A]]</f>
        <v>0</v>
      </c>
      <c r="DQ40" s="3">
        <f>IFERROR(Table4[[#This Row],[Feb_2027_Days_Forecast]]*Table4[[#This Row],[Cost Boolean]]*(VLOOKUP(Table4[[#This Row],[RATE CONCAT]],Tables!I:N,6,0)),0)</f>
        <v>0</v>
      </c>
      <c r="DR40" s="3"/>
      <c r="DS40" s="3">
        <f>Table4[[#This Row],[Feb_2027_F]]-Table4[[#This Row],[Feb_2027_A]]</f>
        <v>0</v>
      </c>
      <c r="DT40" s="3">
        <f>IFERROR(Table4[[#This Row],[Mar_2027_Days_Forecast]]*Table4[[#This Row],[Cost Boolean]]*(VLOOKUP(Table4[[#This Row],[RATE CONCAT]],Tables!I:N,6,0)),0)</f>
        <v>0</v>
      </c>
      <c r="DU40" s="3"/>
      <c r="DV40" s="3">
        <f>Table4[[#This Row],[Mar_2027_F]]-Table4[[#This Row],[Mar_2027_A]]</f>
        <v>0</v>
      </c>
      <c r="DW40" s="3">
        <f>IFERROR(Table4[[#This Row],[Apr_2027_Days_Forecast]]*Table4[[#This Row],[Cost Boolean]]*(VLOOKUP(Table4[[#This Row],[RATE CONCAT]],Tables!I:N,6,0)),0)</f>
        <v>0</v>
      </c>
      <c r="DX40" s="3"/>
      <c r="DY40" s="3">
        <f>Table4[[#This Row],[Apr_2027_F]]-Table4[[#This Row],[Apr_2027_A]]</f>
        <v>0</v>
      </c>
      <c r="DZ40" s="3">
        <f>IFERROR(Table4[[#This Row],[May_2027_Days_Forecast]]*Table4[[#This Row],[Cost Boolean]]*(VLOOKUP(Table4[[#This Row],[RATE CONCAT]],Tables!I:N,6,0)),0)</f>
        <v>0</v>
      </c>
      <c r="EA40" s="3"/>
      <c r="EB40" s="3">
        <f>Table4[[#This Row],[May_2027_F]]-Table4[[#This Row],[May_2027_A]]</f>
        <v>0</v>
      </c>
      <c r="EC40" s="3">
        <f>IFERROR(Table4[[#This Row],[Jun_2027_Days_Forecast]]*Table4[[#This Row],[Cost Boolean]]*(VLOOKUP(Table4[[#This Row],[RATE CONCAT]],Tables!I:N,6,0)),0)</f>
        <v>0</v>
      </c>
      <c r="ED40" s="3"/>
      <c r="EE40" s="3">
        <f>Table4[[#This Row],[Jun_2027_F]]-Table4[[#This Row],[Jun_2027_A]]</f>
        <v>0</v>
      </c>
      <c r="EF40" s="3">
        <f>IFERROR(Table4[[#This Row],[Jul_2027_Days_Forecast]]*Table4[[#This Row],[Cost Boolean]]*(VLOOKUP(Table4[[#This Row],[RATE CONCAT]],Tables!I:N,6,0)),0)</f>
        <v>0</v>
      </c>
      <c r="EG40" s="3"/>
      <c r="EH40" s="3">
        <f>Table4[[#This Row],[Jul_2027_F]]-Table4[[#This Row],[Jul_2027_A]]</f>
        <v>0</v>
      </c>
      <c r="EI40" s="3">
        <f>IFERROR(Table4[[#This Row],[Aug_2027_Days_Forecast]]*Table4[[#This Row],[Cost Boolean]]*(VLOOKUP(Table4[[#This Row],[RATE CONCAT]],Tables!I:N,6,0)),0)</f>
        <v>0</v>
      </c>
      <c r="EJ40" s="3"/>
      <c r="EK40" s="3">
        <f>Table4[[#This Row],[Aug_2027_F]]-Table4[[#This Row],[Aug_2027_A]]</f>
        <v>0</v>
      </c>
      <c r="EL40" s="3">
        <f>IFERROR(Table4[[#This Row],[Sep_2027_Days_Forecast]]*Table4[[#This Row],[Cost Boolean]]*(VLOOKUP(Table4[[#This Row],[RATE CONCAT]],Tables!I:N,6,0)),0)</f>
        <v>0</v>
      </c>
      <c r="EM40" s="3"/>
      <c r="EN40" s="3">
        <f>Table4[[#This Row],[Sep_2027_F]]-Table4[[#This Row],[Sep_2027_A]]</f>
        <v>0</v>
      </c>
      <c r="EO40" s="3">
        <f>IFERROR(Table4[[#This Row],[Oct_2027_Days_Forecast]]*Table4[[#This Row],[Cost Boolean]]*(VLOOKUP(Table4[[#This Row],[RATE CONCAT]],Tables!I:N,6,0)),0)</f>
        <v>0</v>
      </c>
      <c r="EP40" s="3"/>
      <c r="EQ40" s="3">
        <f>Table4[[#This Row],[Oct_2027_F]]-Table4[[#This Row],[Oct_2027_A]]</f>
        <v>0</v>
      </c>
      <c r="ER40" s="3">
        <f>IFERROR(Table4[[#This Row],[Nov_2027_Days_Forecast]]*Table4[[#This Row],[Cost Boolean]]*(VLOOKUP(Table4[[#This Row],[RATE CONCAT]],Tables!I:N,6,0)),0)</f>
        <v>0</v>
      </c>
      <c r="ES40" s="3"/>
      <c r="ET40" s="3">
        <f>Table4[[#This Row],[Nov_2027_F]]-Table4[[#This Row],[Nov_2027_A]]</f>
        <v>0</v>
      </c>
      <c r="EU40" s="3">
        <f>IFERROR(Table4[[#This Row],[Dec_2027_Days_Forecast]]*Table4[[#This Row],[Cost Boolean]]*(VLOOKUP(Table4[[#This Row],[RATE CONCAT]],Tables!I:N,6,0)),0)</f>
        <v>0</v>
      </c>
      <c r="EV40" s="3"/>
      <c r="EW40" s="3">
        <f>Table4[[#This Row],[Dec_2027_F]]-Table4[[#This Row],[Dec_2027_A]]</f>
        <v>0</v>
      </c>
    </row>
    <row r="41" spans="1:153" ht="15" customHeight="1">
      <c r="A41" s="132"/>
      <c r="B41" s="132"/>
      <c r="C41" s="132"/>
      <c r="D41" s="132"/>
      <c r="E41" s="132"/>
      <c r="F41" s="132"/>
      <c r="G41" s="132"/>
      <c r="H41" s="132"/>
      <c r="I41" s="132"/>
      <c r="J41" s="132"/>
      <c r="K41" s="132"/>
      <c r="L41" s="132"/>
      <c r="M41" s="132"/>
      <c r="N41" s="132"/>
      <c r="O41" s="132"/>
      <c r="P41" s="132"/>
      <c r="Q41" s="132"/>
      <c r="R41" s="191"/>
      <c r="S41" s="191"/>
      <c r="T41" s="191"/>
      <c r="U41" s="191"/>
      <c r="V41" s="191"/>
      <c r="W41" s="191"/>
      <c r="X41" s="13"/>
      <c r="Y41" s="132" t="str">
        <f>CONCATENATE(Table4[[#This Row],[JG]],Table4[[#This Row],[Country]],Table4[[#This Row],[Resource Provider]])</f>
        <v/>
      </c>
      <c r="Z41" s="132">
        <f>VLOOKUP(Table4[[#This Row],[RATE CONCAT]],Tables!I:N,5,0)</f>
        <v>0</v>
      </c>
      <c r="AA41" s="53"/>
      <c r="AB41" s="192"/>
      <c r="AC41" s="192"/>
      <c r="AD41" s="192"/>
      <c r="AE41" s="192"/>
      <c r="AF41" s="192"/>
      <c r="AG41" s="192"/>
      <c r="AH41" s="192"/>
      <c r="AI41" s="192"/>
      <c r="AJ41" s="192"/>
      <c r="AK41" s="16"/>
      <c r="AL41" s="16"/>
      <c r="AM41" s="16"/>
      <c r="AN41" s="53">
        <f>IFERROR(AVERAGE(Table4[[#This Row],[Jan_2026_Days_Forecast]:[Dec_2026_Days_Forecast]]),0)/19</f>
        <v>0</v>
      </c>
      <c r="AO41" s="53">
        <f>IFERROR(AVERAGE(Table4[[#This Row],[Jan_2026_Days_Actual]:[Dec_2026_Days_Actual]]),0)/19</f>
        <v>0</v>
      </c>
      <c r="AP41" s="84"/>
      <c r="AQ41" s="84"/>
      <c r="AR41" s="84"/>
      <c r="AS41" s="84"/>
      <c r="AT41" s="84"/>
      <c r="AU41" s="84"/>
      <c r="AV41" s="84"/>
      <c r="AW41" s="84"/>
      <c r="AX41" s="84"/>
      <c r="AY41" s="84"/>
      <c r="AZ41" s="84"/>
      <c r="BA41" s="84"/>
      <c r="BB41" s="53">
        <f>IFERROR(AVERAGE(Table4[[#This Row],[Jan_2027_Days_Forecast]:[Dec_2027_Days_Forecast]]),0)</f>
        <v>0</v>
      </c>
      <c r="BC41" s="16"/>
      <c r="BD41" s="16"/>
      <c r="BE41" s="16"/>
      <c r="BF41" s="16"/>
      <c r="BG41" s="16"/>
      <c r="BH41" s="16"/>
      <c r="BI41" s="16"/>
      <c r="BJ41" s="16"/>
      <c r="BK41" s="16"/>
      <c r="BL41" s="16"/>
      <c r="BM41" s="16"/>
      <c r="BN41" s="16"/>
      <c r="BO41" s="55"/>
      <c r="BP41" s="60"/>
      <c r="BQ41" s="3">
        <f>Table4[[#This Row],[Jan_2026_Days_Forecast]]*Table4[[#This Row],[Cost Boolean]]*VLOOKUP(Table4[[#This Row],[RATE CONCAT]],Tables!I:N,5,0)</f>
        <v>0</v>
      </c>
      <c r="BR41" s="3">
        <f>IFERROR(Table4[[#This Row],[Jan_2026_Days_Actual]]*Table4[[#This Row],[Cost Boolean]]*(VLOOKUP(Table4[[#This Row],[RATE CONCAT]],Tables!I:N,5,0)),0)</f>
        <v>0</v>
      </c>
      <c r="BS41" s="3">
        <f>Table4[[#This Row],[Jan_2026_F]]-Table4[[#This Row],[Jan_2026_A]]</f>
        <v>0</v>
      </c>
      <c r="BT41" s="107"/>
      <c r="BU41" s="3">
        <f>IFERROR(Table4[[#This Row],[Feb_2026_Days_Forecast]]*Table4[[#This Row],[Cost Boolean]]*(VLOOKUP(Table4[[#This Row],[RATE CONCAT]],Tables!I:N,5,0)),0)</f>
        <v>0</v>
      </c>
      <c r="BV41" s="3">
        <f>IFERROR(Table4[[#This Row],[Feb_2026_Days_Actual]]*Table4[[#This Row],[Cost Boolean]]*(VLOOKUP(Table4[[#This Row],[RATE CONCAT]],Tables!I:N,5,0)),0)</f>
        <v>0</v>
      </c>
      <c r="BW41" s="3">
        <f>Table4[[#This Row],[Feb_2026_F]]-Table4[[#This Row],[Feb_2026_A]]</f>
        <v>0</v>
      </c>
      <c r="BX41" s="103"/>
      <c r="BY41" s="3">
        <f>IFERROR(Table4[[#This Row],[Mar_2026_Days_Forecast]]*Table4[[#This Row],[Cost Boolean]]*(VLOOKUP(Table4[[#This Row],[RATE CONCAT]],Tables!I:N,5,0)),0)</f>
        <v>0</v>
      </c>
      <c r="BZ41" s="3">
        <f>IFERROR(Table4[[#This Row],[Mar_2026_Days_Actual]]*Table4[[#This Row],[Cost Boolean]]*(VLOOKUP(Table4[[#This Row],[RATE CONCAT]],Tables!I:N,5,0)),0)</f>
        <v>0</v>
      </c>
      <c r="CA41" s="3">
        <f>Table4[[#This Row],[Mar_2026_F]]-Table4[[#This Row],[Mar_2026_A]]</f>
        <v>0</v>
      </c>
      <c r="CB41" s="103"/>
      <c r="CC41" s="3">
        <f>IFERROR(Table4[[#This Row],[Apr_2026_Days_Forecast]]*Table4[[#This Row],[Cost Boolean]]*(VLOOKUP(Table4[[#This Row],[RATE CONCAT]],Tables!I:N,5,0)),0)</f>
        <v>0</v>
      </c>
      <c r="CD41" s="3">
        <f>IFERROR(Table4[[#This Row],[Apr_2026_Days_Actual]]*Table4[[#This Row],[Cost Boolean]]*(VLOOKUP(Table4[[#This Row],[RATE CONCAT]],Tables!I:N,5,0)),0)</f>
        <v>0</v>
      </c>
      <c r="CE41" s="3">
        <f>Table4[[#This Row],[Apr_2026_F]]-Table4[[#This Row],[Apr_2026_A]]</f>
        <v>0</v>
      </c>
      <c r="CF41" s="103"/>
      <c r="CG41" s="3">
        <f>IFERROR(Table4[[#This Row],[May_2026_Days_Forecast]] *Table4[[#This Row],[Cost Boolean]]*(VLOOKUP(Table4[[#This Row],[RATE CONCAT]],Tables!I:N,5,0)),0)</f>
        <v>0</v>
      </c>
      <c r="CH41" s="3">
        <f>IFERROR(Table4[[#This Row],[May_2026_Days_Actual]]*Table4[[#This Row],[Cost Boolean]]*(VLOOKUP(Table4[[#This Row],[RATE CONCAT]],Tables!I:N,5,0)),0)</f>
        <v>0</v>
      </c>
      <c r="CI41" s="3">
        <f>Table4[[#This Row],[May_2026_F]]-Table4[[#This Row],[May_2026_A]]</f>
        <v>0</v>
      </c>
      <c r="CJ41" s="103"/>
      <c r="CK41" s="3">
        <f>IFERROR(Table4[[#This Row],[Jun_2026_Days_Forecast]]*Table4[[#This Row],[Cost Boolean]]*(VLOOKUP(Table4[[#This Row],[RATE CONCAT]],Tables!I:N,5,0)),0)</f>
        <v>0</v>
      </c>
      <c r="CL41" s="3">
        <f>IFERROR(Table4[[#This Row],[Jun_2026_Days_Actual]]*Table4[[#This Row],[Cost Boolean]]*(VLOOKUP(Table4[[#This Row],[RATE CONCAT]],Tables!I:N,5,0)),0)</f>
        <v>0</v>
      </c>
      <c r="CM41" s="3">
        <f>Table4[[#This Row],[Jun_2026_F]]-Table4[[#This Row],[Jun_2026_A]]</f>
        <v>0</v>
      </c>
      <c r="CN41" s="103"/>
      <c r="CO41" s="3">
        <f>IFERROR(Table4[[#This Row],[Jul_2026_Days_Forecast]]*Table4[[#This Row],[Cost Boolean]]*(VLOOKUP(Table4[[#This Row],[RATE CONCAT]],Tables!I:N,5,0)),0)</f>
        <v>0</v>
      </c>
      <c r="CP41" s="3">
        <f>IFERROR(Table4[[#This Row],[Aug_2026_Days_Forecast]]*Table4[[#This Row],[Location]]*(VLOOKUP(Table4[[#This Row],[Rate]],Tables!J:O,5,0)),0)</f>
        <v>0</v>
      </c>
      <c r="CQ41" s="3">
        <f>Table4[[#This Row],[Jul_2026_F]]-Table4[[#This Row],[Jul_2026_A]]</f>
        <v>0</v>
      </c>
      <c r="CR41" s="103"/>
      <c r="CS41" s="3">
        <f>IFERROR(Table4[[#This Row],[Aug_2026_Days_Forecast]]*Table4[[#This Row],[Cost Boolean]]*(VLOOKUP(Table4[[#This Row],[RATE CONCAT]],Tables!I:N,5,0)),0)</f>
        <v>0</v>
      </c>
      <c r="CT41" s="3">
        <f>IFERROR(Table4[[#This Row],[Aug_2026_Days_Actual]]*Table4[[#This Row],[Cost Boolean]]*(VLOOKUP(Table4[[#This Row],[RATE CONCAT]],Tables!I:N,5,0)),0)</f>
        <v>0</v>
      </c>
      <c r="CU41" s="3">
        <f>Table4[[#This Row],[Aug_2026_F]]-Table4[[#This Row],[Aug_2026_A]]</f>
        <v>0</v>
      </c>
      <c r="CV41" s="103"/>
      <c r="CW41" s="3">
        <f>IFERROR(Table4[[#This Row],[Sep_2026_Days_Forecast]]*Table4[[#This Row],[Cost Boolean]]*(VLOOKUP(Table4[[#This Row],[RATE CONCAT]],Tables!I:N,5,0)),0)</f>
        <v>0</v>
      </c>
      <c r="CX41" s="3">
        <f>IFERROR(Table4[[#This Row],[Sep_2026_Days_Actual]]*Table4[[#This Row],[Cost Boolean]]*(VLOOKUP(Table4[[#This Row],[RATE CONCAT]],Tables!I:N,5,0)),0)</f>
        <v>0</v>
      </c>
      <c r="CY41" s="3">
        <f>Table4[[#This Row],[Sep_2026_F]]-Table4[[#This Row],[Sep_2026_A]]</f>
        <v>0</v>
      </c>
      <c r="CZ41" s="103"/>
      <c r="DA41" s="3">
        <f>IFERROR(Table4[[#This Row],[Oct_2026_Days_Forecast]]*Table4[[#This Row],[Cost Boolean]]*(VLOOKUP(Table4[[#This Row],[RATE CONCAT]],Tables!I:N,5,0)),0)</f>
        <v>0</v>
      </c>
      <c r="DB41" s="3">
        <f>IFERROR(Table4[[#This Row],[Oct_2026_Days_Actual]]*Table4[[#This Row],[Cost Boolean]]*(VLOOKUP(Table4[[#This Row],[RATE CONCAT]],Tables!I:N,5,0)),0)</f>
        <v>0</v>
      </c>
      <c r="DC41" s="3">
        <f>Table4[[#This Row],[Oct_2026_F]]-Table4[[#This Row],[Oct_2026_A]]</f>
        <v>0</v>
      </c>
      <c r="DD41" s="103"/>
      <c r="DE41" s="3">
        <f>IFERROR(Table4[[#This Row],[Nov_2026_Days_Forecast]]*Table4[[#This Row],[Cost Boolean]]*(VLOOKUP(Table4[[#This Row],[RATE CONCAT]],Tables!I:N,5,0)),0)</f>
        <v>0</v>
      </c>
      <c r="DF41" s="3">
        <f>IFERROR(Table4[[#This Row],[Nov_2026_Days_Actual]]*Table4[[#This Row],[Cost Boolean]]*(VLOOKUP(Table4[[#This Row],[RATE CONCAT]],Tables!I:N,5,0)),0)</f>
        <v>0</v>
      </c>
      <c r="DG41" s="3">
        <f>Table4[[#This Row],[Nov_2026_F]]-Table4[[#This Row],[Nov_2026_A]]</f>
        <v>0</v>
      </c>
      <c r="DH41" s="103"/>
      <c r="DI41" s="3">
        <f>IFERROR(Table4[[#This Row],[Dec_2026_Days_Forecast]]*Table4[[#This Row],[Cost Boolean]]*(VLOOKUP(Table4[[#This Row],[RATE CONCAT]],Tables!I:N,5,0)),0)</f>
        <v>0</v>
      </c>
      <c r="DJ41" s="3">
        <f>IFERROR(Table4[[#This Row],[Dec_2026_Days_Actual]]*Table4[[#This Row],[Cost Boolean]]*(VLOOKUP(Table4[[#This Row],[RATE CONCAT]],Tables!I:N,5,0)),0)</f>
        <v>0</v>
      </c>
      <c r="DK41" s="3">
        <f>Table4[[#This Row],[Dec_2026_F]]-Table4[[#This Row],[Dec_2026_A]]</f>
        <v>0</v>
      </c>
      <c r="DL41" s="103"/>
      <c r="DM41" s="60"/>
      <c r="DN41" s="3">
        <f>IFERROR(Table4[[#This Row],[Jan_2027_Days_Forecast]]*Table4[[#This Row],[Cost Boolean]]*(VLOOKUP(Table4[[#This Row],[RATE CONCAT]],Tables!I:N,6,0)),0)</f>
        <v>0</v>
      </c>
      <c r="DO41" s="3"/>
      <c r="DP41" s="3">
        <f>Table4[[#This Row],[Jan_2027_F]]-Table4[[#This Row],[Jan_2027_A]]</f>
        <v>0</v>
      </c>
      <c r="DQ41" s="3">
        <f>IFERROR(Table4[[#This Row],[Feb_2027_Days_Forecast]]*Table4[[#This Row],[Cost Boolean]]*(VLOOKUP(Table4[[#This Row],[RATE CONCAT]],Tables!I:N,6,0)),0)</f>
        <v>0</v>
      </c>
      <c r="DR41" s="3"/>
      <c r="DS41" s="3">
        <f>Table4[[#This Row],[Feb_2027_F]]-Table4[[#This Row],[Feb_2027_A]]</f>
        <v>0</v>
      </c>
      <c r="DT41" s="3">
        <f>IFERROR(Table4[[#This Row],[Mar_2027_Days_Forecast]]*Table4[[#This Row],[Cost Boolean]]*(VLOOKUP(Table4[[#This Row],[RATE CONCAT]],Tables!I:N,6,0)),0)</f>
        <v>0</v>
      </c>
      <c r="DU41" s="3"/>
      <c r="DV41" s="3">
        <f>Table4[[#This Row],[Mar_2027_F]]-Table4[[#This Row],[Mar_2027_A]]</f>
        <v>0</v>
      </c>
      <c r="DW41" s="3">
        <f>IFERROR(Table4[[#This Row],[Apr_2027_Days_Forecast]]*Table4[[#This Row],[Cost Boolean]]*(VLOOKUP(Table4[[#This Row],[RATE CONCAT]],Tables!I:N,6,0)),0)</f>
        <v>0</v>
      </c>
      <c r="DX41" s="3"/>
      <c r="DY41" s="3">
        <f>Table4[[#This Row],[Apr_2027_F]]-Table4[[#This Row],[Apr_2027_A]]</f>
        <v>0</v>
      </c>
      <c r="DZ41" s="3">
        <f>IFERROR(Table4[[#This Row],[May_2027_Days_Forecast]]*Table4[[#This Row],[Cost Boolean]]*(VLOOKUP(Table4[[#This Row],[RATE CONCAT]],Tables!I:N,6,0)),0)</f>
        <v>0</v>
      </c>
      <c r="EA41" s="3"/>
      <c r="EB41" s="3">
        <f>Table4[[#This Row],[May_2027_F]]-Table4[[#This Row],[May_2027_A]]</f>
        <v>0</v>
      </c>
      <c r="EC41" s="3">
        <f>IFERROR(Table4[[#This Row],[Jun_2027_Days_Forecast]]*Table4[[#This Row],[Cost Boolean]]*(VLOOKUP(Table4[[#This Row],[RATE CONCAT]],Tables!I:N,6,0)),0)</f>
        <v>0</v>
      </c>
      <c r="ED41" s="3"/>
      <c r="EE41" s="3">
        <f>Table4[[#This Row],[Jun_2027_F]]-Table4[[#This Row],[Jun_2027_A]]</f>
        <v>0</v>
      </c>
      <c r="EF41" s="3">
        <f>IFERROR(Table4[[#This Row],[Jul_2027_Days_Forecast]]*Table4[[#This Row],[Cost Boolean]]*(VLOOKUP(Table4[[#This Row],[RATE CONCAT]],Tables!I:N,6,0)),0)</f>
        <v>0</v>
      </c>
      <c r="EG41" s="3"/>
      <c r="EH41" s="3">
        <f>Table4[[#This Row],[Jul_2027_F]]-Table4[[#This Row],[Jul_2027_A]]</f>
        <v>0</v>
      </c>
      <c r="EI41" s="3">
        <f>IFERROR(Table4[[#This Row],[Aug_2027_Days_Forecast]]*Table4[[#This Row],[Cost Boolean]]*(VLOOKUP(Table4[[#This Row],[RATE CONCAT]],Tables!I:N,6,0)),0)</f>
        <v>0</v>
      </c>
      <c r="EJ41" s="3"/>
      <c r="EK41" s="3">
        <f>Table4[[#This Row],[Aug_2027_F]]-Table4[[#This Row],[Aug_2027_A]]</f>
        <v>0</v>
      </c>
      <c r="EL41" s="3">
        <f>IFERROR(Table4[[#This Row],[Sep_2027_Days_Forecast]]*Table4[[#This Row],[Cost Boolean]]*(VLOOKUP(Table4[[#This Row],[RATE CONCAT]],Tables!I:N,6,0)),0)</f>
        <v>0</v>
      </c>
      <c r="EM41" s="3"/>
      <c r="EN41" s="3">
        <f>Table4[[#This Row],[Sep_2027_F]]-Table4[[#This Row],[Sep_2027_A]]</f>
        <v>0</v>
      </c>
      <c r="EO41" s="3">
        <f>IFERROR(Table4[[#This Row],[Oct_2027_Days_Forecast]]*Table4[[#This Row],[Cost Boolean]]*(VLOOKUP(Table4[[#This Row],[RATE CONCAT]],Tables!I:N,6,0)),0)</f>
        <v>0</v>
      </c>
      <c r="EP41" s="3"/>
      <c r="EQ41" s="3">
        <f>Table4[[#This Row],[Oct_2027_F]]-Table4[[#This Row],[Oct_2027_A]]</f>
        <v>0</v>
      </c>
      <c r="ER41" s="3">
        <f>IFERROR(Table4[[#This Row],[Nov_2027_Days_Forecast]]*Table4[[#This Row],[Cost Boolean]]*(VLOOKUP(Table4[[#This Row],[RATE CONCAT]],Tables!I:N,6,0)),0)</f>
        <v>0</v>
      </c>
      <c r="ES41" s="3"/>
      <c r="ET41" s="3">
        <f>Table4[[#This Row],[Nov_2027_F]]-Table4[[#This Row],[Nov_2027_A]]</f>
        <v>0</v>
      </c>
      <c r="EU41" s="3">
        <f>IFERROR(Table4[[#This Row],[Dec_2027_Days_Forecast]]*Table4[[#This Row],[Cost Boolean]]*(VLOOKUP(Table4[[#This Row],[RATE CONCAT]],Tables!I:N,6,0)),0)</f>
        <v>0</v>
      </c>
      <c r="EV41" s="3"/>
      <c r="EW41" s="3">
        <f>Table4[[#This Row],[Dec_2027_F]]-Table4[[#This Row],[Dec_2027_A]]</f>
        <v>0</v>
      </c>
    </row>
    <row r="42" spans="1:153" ht="1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2" t="str">
        <f>CONCATENATE(Table4[[#This Row],[JG]],Table4[[#This Row],[Country]],Table4[[#This Row],[Resource Provider]])</f>
        <v/>
      </c>
      <c r="Z42" s="132">
        <f>VLOOKUP(Table4[[#This Row],[RATE CONCAT]],Tables!I:N,5,0)</f>
        <v>0</v>
      </c>
      <c r="AA42" s="53"/>
      <c r="AB42" s="16"/>
      <c r="AC42" s="16"/>
      <c r="AD42" s="16"/>
      <c r="AE42" s="16"/>
      <c r="AF42" s="16"/>
      <c r="AG42" s="16"/>
      <c r="AH42" s="16"/>
      <c r="AI42" s="16"/>
      <c r="AJ42" s="16"/>
      <c r="AK42" s="16"/>
      <c r="AL42" s="16"/>
      <c r="AM42" s="16"/>
      <c r="AN42" s="53">
        <f>IFERROR(AVERAGE(Table4[[#This Row],[Jan_2026_Days_Forecast]:[Dec_2026_Days_Forecast]]),0)/19</f>
        <v>0</v>
      </c>
      <c r="AO42" s="53">
        <f>IFERROR(AVERAGE(Table4[[#This Row],[Jan_2026_Days_Actual]:[Dec_2026_Days_Actual]]),0)/19</f>
        <v>0</v>
      </c>
      <c r="AP42" s="84"/>
      <c r="AQ42" s="84"/>
      <c r="AR42" s="84"/>
      <c r="AS42" s="84"/>
      <c r="AT42" s="84"/>
      <c r="AU42" s="84"/>
      <c r="AV42" s="84"/>
      <c r="AW42" s="84"/>
      <c r="AX42" s="84"/>
      <c r="AY42" s="84"/>
      <c r="AZ42" s="84"/>
      <c r="BA42" s="84"/>
      <c r="BB42" s="53">
        <f>IFERROR(AVERAGE(Table4[[#This Row],[Jan_2027_Days_Forecast]:[Dec_2027_Days_Forecast]]),0)</f>
        <v>0</v>
      </c>
      <c r="BC42" s="16"/>
      <c r="BD42" s="16"/>
      <c r="BE42" s="16"/>
      <c r="BF42" s="16"/>
      <c r="BG42" s="16"/>
      <c r="BH42" s="16"/>
      <c r="BI42" s="16"/>
      <c r="BJ42" s="16"/>
      <c r="BK42" s="16"/>
      <c r="BL42" s="16"/>
      <c r="BM42" s="16"/>
      <c r="BN42" s="16"/>
      <c r="BO42" s="55"/>
      <c r="BP42" s="60"/>
      <c r="BQ42" s="3">
        <f>Table4[[#This Row],[Jan_2026_Days_Forecast]]*Table4[[#This Row],[Cost Boolean]]*VLOOKUP(Table4[[#This Row],[RATE CONCAT]],Tables!I:N,5,0)</f>
        <v>0</v>
      </c>
      <c r="BR42" s="3">
        <f>IFERROR(Table4[[#This Row],[Jan_2026_Days_Actual]]*Table4[[#This Row],[Cost Boolean]]*(VLOOKUP(Table4[[#This Row],[RATE CONCAT]],Tables!I:N,5,0)),0)</f>
        <v>0</v>
      </c>
      <c r="BS42" s="3">
        <f>Table4[[#This Row],[Jan_2026_F]]-Table4[[#This Row],[Jan_2026_A]]</f>
        <v>0</v>
      </c>
      <c r="BT42" s="107"/>
      <c r="BU42" s="3">
        <f>IFERROR(Table4[[#This Row],[Feb_2026_Days_Forecast]]*Table4[[#This Row],[Cost Boolean]]*(VLOOKUP(Table4[[#This Row],[RATE CONCAT]],Tables!I:N,5,0)),0)</f>
        <v>0</v>
      </c>
      <c r="BV42" s="3">
        <f>IFERROR(Table4[[#This Row],[Feb_2026_Days_Actual]]*Table4[[#This Row],[Cost Boolean]]*(VLOOKUP(Table4[[#This Row],[RATE CONCAT]],Tables!I:N,5,0)),0)</f>
        <v>0</v>
      </c>
      <c r="BW42" s="3">
        <f>Table4[[#This Row],[Feb_2026_F]]-Table4[[#This Row],[Feb_2026_A]]</f>
        <v>0</v>
      </c>
      <c r="BX42" s="103"/>
      <c r="BY42" s="3">
        <f>IFERROR(Table4[[#This Row],[Mar_2026_Days_Forecast]]*Table4[[#This Row],[Cost Boolean]]*(VLOOKUP(Table4[[#This Row],[RATE CONCAT]],Tables!I:N,5,0)),0)</f>
        <v>0</v>
      </c>
      <c r="BZ42" s="3">
        <f>IFERROR(Table4[[#This Row],[Mar_2026_Days_Actual]]*Table4[[#This Row],[Cost Boolean]]*(VLOOKUP(Table4[[#This Row],[RATE CONCAT]],Tables!I:N,5,0)),0)</f>
        <v>0</v>
      </c>
      <c r="CA42" s="3">
        <f>Table4[[#This Row],[Mar_2026_F]]-Table4[[#This Row],[Mar_2026_A]]</f>
        <v>0</v>
      </c>
      <c r="CB42" s="103"/>
      <c r="CC42" s="3">
        <f>IFERROR(Table4[[#This Row],[Apr_2026_Days_Forecast]]*Table4[[#This Row],[Cost Boolean]]*(VLOOKUP(Table4[[#This Row],[RATE CONCAT]],Tables!I:N,5,0)),0)</f>
        <v>0</v>
      </c>
      <c r="CD42" s="3">
        <f>IFERROR(Table4[[#This Row],[Apr_2026_Days_Actual]]*Table4[[#This Row],[Cost Boolean]]*(VLOOKUP(Table4[[#This Row],[RATE CONCAT]],Tables!I:N,5,0)),0)</f>
        <v>0</v>
      </c>
      <c r="CE42" s="3">
        <f>Table4[[#This Row],[Apr_2026_F]]-Table4[[#This Row],[Apr_2026_A]]</f>
        <v>0</v>
      </c>
      <c r="CF42" s="103"/>
      <c r="CG42" s="3">
        <f>IFERROR(Table4[[#This Row],[May_2026_Days_Forecast]] *Table4[[#This Row],[Cost Boolean]]*(VLOOKUP(Table4[[#This Row],[RATE CONCAT]],Tables!I:N,5,0)),0)</f>
        <v>0</v>
      </c>
      <c r="CH42" s="3">
        <f>IFERROR(Table4[[#This Row],[May_2026_Days_Actual]]*Table4[[#This Row],[Cost Boolean]]*(VLOOKUP(Table4[[#This Row],[RATE CONCAT]],Tables!I:N,5,0)),0)</f>
        <v>0</v>
      </c>
      <c r="CI42" s="3">
        <f>Table4[[#This Row],[May_2026_F]]-Table4[[#This Row],[May_2026_A]]</f>
        <v>0</v>
      </c>
      <c r="CJ42" s="103"/>
      <c r="CK42" s="3">
        <f>IFERROR(Table4[[#This Row],[Jun_2026_Days_Forecast]]*Table4[[#This Row],[Cost Boolean]]*(VLOOKUP(Table4[[#This Row],[RATE CONCAT]],Tables!I:N,5,0)),0)</f>
        <v>0</v>
      </c>
      <c r="CL42" s="3">
        <f>IFERROR(Table4[[#This Row],[Jun_2026_Days_Actual]]*Table4[[#This Row],[Cost Boolean]]*(VLOOKUP(Table4[[#This Row],[RATE CONCAT]],Tables!I:N,5,0)),0)</f>
        <v>0</v>
      </c>
      <c r="CM42" s="3">
        <f>Table4[[#This Row],[Jun_2026_F]]-Table4[[#This Row],[Jun_2026_A]]</f>
        <v>0</v>
      </c>
      <c r="CN42" s="103"/>
      <c r="CO42" s="3">
        <f>IFERROR(Table4[[#This Row],[Jul_2026_Days_Forecast]]*Table4[[#This Row],[Cost Boolean]]*(VLOOKUP(Table4[[#This Row],[RATE CONCAT]],Tables!I:N,5,0)),0)</f>
        <v>0</v>
      </c>
      <c r="CP42" s="3">
        <f>IFERROR(Table4[[#This Row],[Aug_2026_Days_Forecast]]*Table4[[#This Row],[Location]]*(VLOOKUP(Table4[[#This Row],[Rate]],Tables!J:O,5,0)),0)</f>
        <v>0</v>
      </c>
      <c r="CQ42" s="3">
        <f>Table4[[#This Row],[Jul_2026_F]]-Table4[[#This Row],[Jul_2026_A]]</f>
        <v>0</v>
      </c>
      <c r="CR42" s="103"/>
      <c r="CS42" s="3">
        <f>IFERROR(Table4[[#This Row],[Aug_2026_Days_Forecast]]*Table4[[#This Row],[Cost Boolean]]*(VLOOKUP(Table4[[#This Row],[RATE CONCAT]],Tables!I:N,5,0)),0)</f>
        <v>0</v>
      </c>
      <c r="CT42" s="3">
        <f>IFERROR(Table4[[#This Row],[Aug_2026_Days_Actual]]*Table4[[#This Row],[Cost Boolean]]*(VLOOKUP(Table4[[#This Row],[RATE CONCAT]],Tables!I:N,5,0)),0)</f>
        <v>0</v>
      </c>
      <c r="CU42" s="3">
        <f>Table4[[#This Row],[Aug_2026_F]]-Table4[[#This Row],[Aug_2026_A]]</f>
        <v>0</v>
      </c>
      <c r="CV42" s="103"/>
      <c r="CW42" s="3">
        <f>IFERROR(Table4[[#This Row],[Sep_2026_Days_Forecast]]*Table4[[#This Row],[Cost Boolean]]*(VLOOKUP(Table4[[#This Row],[RATE CONCAT]],Tables!I:N,5,0)),0)</f>
        <v>0</v>
      </c>
      <c r="CX42" s="3">
        <f>IFERROR(Table4[[#This Row],[Sep_2026_Days_Actual]]*Table4[[#This Row],[Cost Boolean]]*(VLOOKUP(Table4[[#This Row],[RATE CONCAT]],Tables!I:N,5,0)),0)</f>
        <v>0</v>
      </c>
      <c r="CY42" s="3">
        <f>Table4[[#This Row],[Sep_2026_F]]-Table4[[#This Row],[Sep_2026_A]]</f>
        <v>0</v>
      </c>
      <c r="CZ42" s="103"/>
      <c r="DA42" s="3">
        <f>IFERROR(Table4[[#This Row],[Oct_2026_Days_Forecast]]*Table4[[#This Row],[Cost Boolean]]*(VLOOKUP(Table4[[#This Row],[RATE CONCAT]],Tables!I:N,5,0)),0)</f>
        <v>0</v>
      </c>
      <c r="DB42" s="3">
        <f>IFERROR(Table4[[#This Row],[Oct_2026_Days_Actual]]*Table4[[#This Row],[Cost Boolean]]*(VLOOKUP(Table4[[#This Row],[RATE CONCAT]],Tables!I:N,5,0)),0)</f>
        <v>0</v>
      </c>
      <c r="DC42" s="3">
        <f>Table4[[#This Row],[Oct_2026_F]]-Table4[[#This Row],[Oct_2026_A]]</f>
        <v>0</v>
      </c>
      <c r="DD42" s="103"/>
      <c r="DE42" s="3">
        <f>IFERROR(Table4[[#This Row],[Nov_2026_Days_Forecast]]*Table4[[#This Row],[Cost Boolean]]*(VLOOKUP(Table4[[#This Row],[RATE CONCAT]],Tables!I:N,5,0)),0)</f>
        <v>0</v>
      </c>
      <c r="DF42" s="3">
        <f>IFERROR(Table4[[#This Row],[Nov_2026_Days_Actual]]*Table4[[#This Row],[Cost Boolean]]*(VLOOKUP(Table4[[#This Row],[RATE CONCAT]],Tables!I:N,5,0)),0)</f>
        <v>0</v>
      </c>
      <c r="DG42" s="3">
        <f>Table4[[#This Row],[Nov_2026_F]]-Table4[[#This Row],[Nov_2026_A]]</f>
        <v>0</v>
      </c>
      <c r="DH42" s="103"/>
      <c r="DI42" s="3">
        <f>IFERROR(Table4[[#This Row],[Dec_2026_Days_Forecast]]*Table4[[#This Row],[Cost Boolean]]*(VLOOKUP(Table4[[#This Row],[RATE CONCAT]],Tables!I:N,5,0)),0)</f>
        <v>0</v>
      </c>
      <c r="DJ42" s="3">
        <f>IFERROR(Table4[[#This Row],[Dec_2026_Days_Actual]]*Table4[[#This Row],[Cost Boolean]]*(VLOOKUP(Table4[[#This Row],[RATE CONCAT]],Tables!I:N,5,0)),0)</f>
        <v>0</v>
      </c>
      <c r="DK42" s="3">
        <f>Table4[[#This Row],[Dec_2026_F]]-Table4[[#This Row],[Dec_2026_A]]</f>
        <v>0</v>
      </c>
      <c r="DL42" s="103"/>
      <c r="DM42" s="60"/>
      <c r="DN42" s="3">
        <f>IFERROR(Table4[[#This Row],[Jan_2027_Days_Forecast]]*Table4[[#This Row],[Cost Boolean]]*(VLOOKUP(Table4[[#This Row],[RATE CONCAT]],Tables!I:N,6,0)),0)</f>
        <v>0</v>
      </c>
      <c r="DO42" s="3"/>
      <c r="DP42" s="3">
        <f>Table4[[#This Row],[Jan_2027_F]]-Table4[[#This Row],[Jan_2027_A]]</f>
        <v>0</v>
      </c>
      <c r="DQ42" s="3">
        <f>IFERROR(Table4[[#This Row],[Feb_2027_Days_Forecast]]*Table4[[#This Row],[Cost Boolean]]*(VLOOKUP(Table4[[#This Row],[RATE CONCAT]],Tables!I:N,6,0)),0)</f>
        <v>0</v>
      </c>
      <c r="DR42" s="3"/>
      <c r="DS42" s="3">
        <f>Table4[[#This Row],[Feb_2027_F]]-Table4[[#This Row],[Feb_2027_A]]</f>
        <v>0</v>
      </c>
      <c r="DT42" s="3">
        <f>IFERROR(Table4[[#This Row],[Mar_2027_Days_Forecast]]*Table4[[#This Row],[Cost Boolean]]*(VLOOKUP(Table4[[#This Row],[RATE CONCAT]],Tables!I:N,6,0)),0)</f>
        <v>0</v>
      </c>
      <c r="DU42" s="3"/>
      <c r="DV42" s="3">
        <f>Table4[[#This Row],[Mar_2027_F]]-Table4[[#This Row],[Mar_2027_A]]</f>
        <v>0</v>
      </c>
      <c r="DW42" s="3">
        <f>IFERROR(Table4[[#This Row],[Apr_2027_Days_Forecast]]*Table4[[#This Row],[Cost Boolean]]*(VLOOKUP(Table4[[#This Row],[RATE CONCAT]],Tables!I:N,6,0)),0)</f>
        <v>0</v>
      </c>
      <c r="DX42" s="3"/>
      <c r="DY42" s="3">
        <f>Table4[[#This Row],[Apr_2027_F]]-Table4[[#This Row],[Apr_2027_A]]</f>
        <v>0</v>
      </c>
      <c r="DZ42" s="3">
        <f>IFERROR(Table4[[#This Row],[May_2027_Days_Forecast]]*Table4[[#This Row],[Cost Boolean]]*(VLOOKUP(Table4[[#This Row],[RATE CONCAT]],Tables!I:N,6,0)),0)</f>
        <v>0</v>
      </c>
      <c r="EA42" s="3"/>
      <c r="EB42" s="3">
        <f>Table4[[#This Row],[May_2027_F]]-Table4[[#This Row],[May_2027_A]]</f>
        <v>0</v>
      </c>
      <c r="EC42" s="3">
        <f>IFERROR(Table4[[#This Row],[Jun_2027_Days_Forecast]]*Table4[[#This Row],[Cost Boolean]]*(VLOOKUP(Table4[[#This Row],[RATE CONCAT]],Tables!I:N,6,0)),0)</f>
        <v>0</v>
      </c>
      <c r="ED42" s="3"/>
      <c r="EE42" s="3">
        <f>Table4[[#This Row],[Jun_2027_F]]-Table4[[#This Row],[Jun_2027_A]]</f>
        <v>0</v>
      </c>
      <c r="EF42" s="3">
        <f>IFERROR(Table4[[#This Row],[Jul_2027_Days_Forecast]]*Table4[[#This Row],[Cost Boolean]]*(VLOOKUP(Table4[[#This Row],[RATE CONCAT]],Tables!I:N,6,0)),0)</f>
        <v>0</v>
      </c>
      <c r="EG42" s="3"/>
      <c r="EH42" s="3">
        <f>Table4[[#This Row],[Jul_2027_F]]-Table4[[#This Row],[Jul_2027_A]]</f>
        <v>0</v>
      </c>
      <c r="EI42" s="3">
        <f>IFERROR(Table4[[#This Row],[Aug_2027_Days_Forecast]]*Table4[[#This Row],[Cost Boolean]]*(VLOOKUP(Table4[[#This Row],[RATE CONCAT]],Tables!I:N,6,0)),0)</f>
        <v>0</v>
      </c>
      <c r="EJ42" s="3"/>
      <c r="EK42" s="3">
        <f>Table4[[#This Row],[Aug_2027_F]]-Table4[[#This Row],[Aug_2027_A]]</f>
        <v>0</v>
      </c>
      <c r="EL42" s="3">
        <f>IFERROR(Table4[[#This Row],[Sep_2027_Days_Forecast]]*Table4[[#This Row],[Cost Boolean]]*(VLOOKUP(Table4[[#This Row],[RATE CONCAT]],Tables!I:N,6,0)),0)</f>
        <v>0</v>
      </c>
      <c r="EM42" s="3"/>
      <c r="EN42" s="3">
        <f>Table4[[#This Row],[Sep_2027_F]]-Table4[[#This Row],[Sep_2027_A]]</f>
        <v>0</v>
      </c>
      <c r="EO42" s="3">
        <f>IFERROR(Table4[[#This Row],[Oct_2027_Days_Forecast]]*Table4[[#This Row],[Cost Boolean]]*(VLOOKUP(Table4[[#This Row],[RATE CONCAT]],Tables!I:N,6,0)),0)</f>
        <v>0</v>
      </c>
      <c r="EP42" s="3"/>
      <c r="EQ42" s="3">
        <f>Table4[[#This Row],[Oct_2027_F]]-Table4[[#This Row],[Oct_2027_A]]</f>
        <v>0</v>
      </c>
      <c r="ER42" s="3">
        <f>IFERROR(Table4[[#This Row],[Nov_2027_Days_Forecast]]*Table4[[#This Row],[Cost Boolean]]*(VLOOKUP(Table4[[#This Row],[RATE CONCAT]],Tables!I:N,6,0)),0)</f>
        <v>0</v>
      </c>
      <c r="ES42" s="3"/>
      <c r="ET42" s="3">
        <f>Table4[[#This Row],[Nov_2027_F]]-Table4[[#This Row],[Nov_2027_A]]</f>
        <v>0</v>
      </c>
      <c r="EU42" s="3">
        <f>IFERROR(Table4[[#This Row],[Dec_2027_Days_Forecast]]*Table4[[#This Row],[Cost Boolean]]*(VLOOKUP(Table4[[#This Row],[RATE CONCAT]],Tables!I:N,6,0)),0)</f>
        <v>0</v>
      </c>
      <c r="EV42" s="3"/>
      <c r="EW42" s="3">
        <f>Table4[[#This Row],[Dec_2027_F]]-Table4[[#This Row],[Dec_2027_A]]</f>
        <v>0</v>
      </c>
    </row>
    <row r="43" spans="1:153" ht="1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2" t="str">
        <f>CONCATENATE(Table4[[#This Row],[JG]],Table4[[#This Row],[Country]],Table4[[#This Row],[Resource Provider]])</f>
        <v/>
      </c>
      <c r="Z43" s="132">
        <f>VLOOKUP(Table4[[#This Row],[RATE CONCAT]],Tables!I:N,5,0)</f>
        <v>0</v>
      </c>
      <c r="AA43" s="53"/>
      <c r="AB43" s="16"/>
      <c r="AC43" s="16"/>
      <c r="AD43" s="16"/>
      <c r="AE43" s="16"/>
      <c r="AF43" s="16"/>
      <c r="AG43" s="16"/>
      <c r="AH43" s="16"/>
      <c r="AI43" s="16"/>
      <c r="AJ43" s="16"/>
      <c r="AK43" s="16"/>
      <c r="AL43" s="16"/>
      <c r="AM43" s="16"/>
      <c r="AN43" s="53">
        <f>IFERROR(AVERAGE(Table4[[#This Row],[Jan_2026_Days_Forecast]:[Dec_2026_Days_Forecast]]),0)/19</f>
        <v>0</v>
      </c>
      <c r="AO43" s="53">
        <f>IFERROR(AVERAGE(Table4[[#This Row],[Jan_2026_Days_Actual]:[Dec_2026_Days_Actual]]),0)/19</f>
        <v>0</v>
      </c>
      <c r="AP43" s="84"/>
      <c r="AQ43" s="84"/>
      <c r="AR43" s="84"/>
      <c r="AS43" s="84"/>
      <c r="AT43" s="84"/>
      <c r="AU43" s="84"/>
      <c r="AV43" s="84"/>
      <c r="AW43" s="84"/>
      <c r="AX43" s="84"/>
      <c r="AY43" s="84"/>
      <c r="AZ43" s="84"/>
      <c r="BA43" s="84"/>
      <c r="BB43" s="53">
        <f>IFERROR(AVERAGE(Table4[[#This Row],[Jan_2027_Days_Forecast]:[Dec_2027_Days_Forecast]]),0)</f>
        <v>0</v>
      </c>
      <c r="BC43" s="16"/>
      <c r="BD43" s="16"/>
      <c r="BE43" s="16"/>
      <c r="BF43" s="16"/>
      <c r="BG43" s="16"/>
      <c r="BH43" s="16"/>
      <c r="BI43" s="16"/>
      <c r="BJ43" s="16"/>
      <c r="BK43" s="16"/>
      <c r="BL43" s="16"/>
      <c r="BM43" s="16"/>
      <c r="BN43" s="16"/>
      <c r="BO43" s="55"/>
      <c r="BP43" s="60"/>
      <c r="BQ43" s="3">
        <f>Table4[[#This Row],[Jan_2026_Days_Forecast]]*Table4[[#This Row],[Cost Boolean]]*VLOOKUP(Table4[[#This Row],[RATE CONCAT]],Tables!I:N,5,0)</f>
        <v>0</v>
      </c>
      <c r="BR43" s="3">
        <f>IFERROR(Table4[[#This Row],[Jan_2026_Days_Actual]]*Table4[[#This Row],[Cost Boolean]]*(VLOOKUP(Table4[[#This Row],[RATE CONCAT]],Tables!I:N,5,0)),0)</f>
        <v>0</v>
      </c>
      <c r="BS43" s="3">
        <f>Table4[[#This Row],[Jan_2026_F]]-Table4[[#This Row],[Jan_2026_A]]</f>
        <v>0</v>
      </c>
      <c r="BT43" s="107"/>
      <c r="BU43" s="3">
        <f>IFERROR(Table4[[#This Row],[Feb_2026_Days_Forecast]]*Table4[[#This Row],[Cost Boolean]]*(VLOOKUP(Table4[[#This Row],[RATE CONCAT]],Tables!I:N,5,0)),0)</f>
        <v>0</v>
      </c>
      <c r="BV43" s="3">
        <f>IFERROR(Table4[[#This Row],[Feb_2026_Days_Actual]]*Table4[[#This Row],[Cost Boolean]]*(VLOOKUP(Table4[[#This Row],[RATE CONCAT]],Tables!I:N,5,0)),0)</f>
        <v>0</v>
      </c>
      <c r="BW43" s="3">
        <f>Table4[[#This Row],[Feb_2026_F]]-Table4[[#This Row],[Feb_2026_A]]</f>
        <v>0</v>
      </c>
      <c r="BX43" s="103"/>
      <c r="BY43" s="3">
        <f>IFERROR(Table4[[#This Row],[Mar_2026_Days_Forecast]]*Table4[[#This Row],[Cost Boolean]]*(VLOOKUP(Table4[[#This Row],[RATE CONCAT]],Tables!I:N,5,0)),0)</f>
        <v>0</v>
      </c>
      <c r="BZ43" s="3">
        <f>IFERROR(Table4[[#This Row],[Mar_2026_Days_Actual]]*Table4[[#This Row],[Cost Boolean]]*(VLOOKUP(Table4[[#This Row],[RATE CONCAT]],Tables!I:N,5,0)),0)</f>
        <v>0</v>
      </c>
      <c r="CA43" s="3">
        <f>Table4[[#This Row],[Mar_2026_F]]-Table4[[#This Row],[Mar_2026_A]]</f>
        <v>0</v>
      </c>
      <c r="CB43" s="103"/>
      <c r="CC43" s="3">
        <f>IFERROR(Table4[[#This Row],[Apr_2026_Days_Forecast]]*Table4[[#This Row],[Cost Boolean]]*(VLOOKUP(Table4[[#This Row],[RATE CONCAT]],Tables!I:N,5,0)),0)</f>
        <v>0</v>
      </c>
      <c r="CD43" s="3">
        <f>IFERROR(Table4[[#This Row],[Apr_2026_Days_Actual]]*Table4[[#This Row],[Cost Boolean]]*(VLOOKUP(Table4[[#This Row],[RATE CONCAT]],Tables!I:N,5,0)),0)</f>
        <v>0</v>
      </c>
      <c r="CE43" s="3">
        <f>Table4[[#This Row],[Apr_2026_F]]-Table4[[#This Row],[Apr_2026_A]]</f>
        <v>0</v>
      </c>
      <c r="CF43" s="103"/>
      <c r="CG43" s="3">
        <f>IFERROR(Table4[[#This Row],[May_2026_Days_Forecast]] *Table4[[#This Row],[Cost Boolean]]*(VLOOKUP(Table4[[#This Row],[RATE CONCAT]],Tables!I:N,5,0)),0)</f>
        <v>0</v>
      </c>
      <c r="CH43" s="3">
        <f>IFERROR(Table4[[#This Row],[May_2026_Days_Actual]]*Table4[[#This Row],[Cost Boolean]]*(VLOOKUP(Table4[[#This Row],[RATE CONCAT]],Tables!I:N,5,0)),0)</f>
        <v>0</v>
      </c>
      <c r="CI43" s="3">
        <f>Table4[[#This Row],[May_2026_F]]-Table4[[#This Row],[May_2026_A]]</f>
        <v>0</v>
      </c>
      <c r="CJ43" s="103"/>
      <c r="CK43" s="3">
        <f>IFERROR(Table4[[#This Row],[Jun_2026_Days_Forecast]]*Table4[[#This Row],[Cost Boolean]]*(VLOOKUP(Table4[[#This Row],[RATE CONCAT]],Tables!I:N,5,0)),0)</f>
        <v>0</v>
      </c>
      <c r="CL43" s="3">
        <f>IFERROR(Table4[[#This Row],[Jun_2026_Days_Actual]]*Table4[[#This Row],[Cost Boolean]]*(VLOOKUP(Table4[[#This Row],[RATE CONCAT]],Tables!I:N,5,0)),0)</f>
        <v>0</v>
      </c>
      <c r="CM43" s="3">
        <f>Table4[[#This Row],[Jun_2026_F]]-Table4[[#This Row],[Jun_2026_A]]</f>
        <v>0</v>
      </c>
      <c r="CN43" s="103"/>
      <c r="CO43" s="3">
        <f>IFERROR(Table4[[#This Row],[Jul_2026_Days_Forecast]]*Table4[[#This Row],[Cost Boolean]]*(VLOOKUP(Table4[[#This Row],[RATE CONCAT]],Tables!I:N,5,0)),0)</f>
        <v>0</v>
      </c>
      <c r="CP43" s="3">
        <f>IFERROR(Table4[[#This Row],[Aug_2026_Days_Forecast]]*Table4[[#This Row],[Location]]*(VLOOKUP(Table4[[#This Row],[Rate]],Tables!J:O,5,0)),0)</f>
        <v>0</v>
      </c>
      <c r="CQ43" s="3">
        <f>Table4[[#This Row],[Jul_2026_F]]-Table4[[#This Row],[Jul_2026_A]]</f>
        <v>0</v>
      </c>
      <c r="CR43" s="103"/>
      <c r="CS43" s="3">
        <f>IFERROR(Table4[[#This Row],[Aug_2026_Days_Forecast]]*Table4[[#This Row],[Cost Boolean]]*(VLOOKUP(Table4[[#This Row],[RATE CONCAT]],Tables!I:N,5,0)),0)</f>
        <v>0</v>
      </c>
      <c r="CT43" s="3">
        <f>IFERROR(Table4[[#This Row],[Aug_2026_Days_Actual]]*Table4[[#This Row],[Cost Boolean]]*(VLOOKUP(Table4[[#This Row],[RATE CONCAT]],Tables!I:N,5,0)),0)</f>
        <v>0</v>
      </c>
      <c r="CU43" s="3">
        <f>Table4[[#This Row],[Aug_2026_F]]-Table4[[#This Row],[Aug_2026_A]]</f>
        <v>0</v>
      </c>
      <c r="CV43" s="103"/>
      <c r="CW43" s="3">
        <f>IFERROR(Table4[[#This Row],[Sep_2026_Days_Forecast]]*Table4[[#This Row],[Cost Boolean]]*(VLOOKUP(Table4[[#This Row],[RATE CONCAT]],Tables!I:N,5,0)),0)</f>
        <v>0</v>
      </c>
      <c r="CX43" s="3">
        <f>IFERROR(Table4[[#This Row],[Sep_2026_Days_Actual]]*Table4[[#This Row],[Cost Boolean]]*(VLOOKUP(Table4[[#This Row],[RATE CONCAT]],Tables!I:N,5,0)),0)</f>
        <v>0</v>
      </c>
      <c r="CY43" s="3">
        <f>Table4[[#This Row],[Sep_2026_F]]-Table4[[#This Row],[Sep_2026_A]]</f>
        <v>0</v>
      </c>
      <c r="CZ43" s="103"/>
      <c r="DA43" s="3">
        <f>IFERROR(Table4[[#This Row],[Oct_2026_Days_Forecast]]*Table4[[#This Row],[Cost Boolean]]*(VLOOKUP(Table4[[#This Row],[RATE CONCAT]],Tables!I:N,5,0)),0)</f>
        <v>0</v>
      </c>
      <c r="DB43" s="3">
        <f>IFERROR(Table4[[#This Row],[Oct_2026_Days_Actual]]*Table4[[#This Row],[Cost Boolean]]*(VLOOKUP(Table4[[#This Row],[RATE CONCAT]],Tables!I:N,5,0)),0)</f>
        <v>0</v>
      </c>
      <c r="DC43" s="3">
        <f>Table4[[#This Row],[Oct_2026_F]]-Table4[[#This Row],[Oct_2026_A]]</f>
        <v>0</v>
      </c>
      <c r="DD43" s="103"/>
      <c r="DE43" s="3">
        <f>IFERROR(Table4[[#This Row],[Nov_2026_Days_Forecast]]*Table4[[#This Row],[Cost Boolean]]*(VLOOKUP(Table4[[#This Row],[RATE CONCAT]],Tables!I:N,5,0)),0)</f>
        <v>0</v>
      </c>
      <c r="DF43" s="3">
        <f>IFERROR(Table4[[#This Row],[Nov_2026_Days_Actual]]*Table4[[#This Row],[Cost Boolean]]*(VLOOKUP(Table4[[#This Row],[RATE CONCAT]],Tables!I:N,5,0)),0)</f>
        <v>0</v>
      </c>
      <c r="DG43" s="3">
        <f>Table4[[#This Row],[Nov_2026_F]]-Table4[[#This Row],[Nov_2026_A]]</f>
        <v>0</v>
      </c>
      <c r="DH43" s="103"/>
      <c r="DI43" s="3">
        <f>IFERROR(Table4[[#This Row],[Dec_2026_Days_Forecast]]*Table4[[#This Row],[Cost Boolean]]*(VLOOKUP(Table4[[#This Row],[RATE CONCAT]],Tables!I:N,5,0)),0)</f>
        <v>0</v>
      </c>
      <c r="DJ43" s="3">
        <f>IFERROR(Table4[[#This Row],[Dec_2026_Days_Actual]]*Table4[[#This Row],[Cost Boolean]]*(VLOOKUP(Table4[[#This Row],[RATE CONCAT]],Tables!I:N,5,0)),0)</f>
        <v>0</v>
      </c>
      <c r="DK43" s="3">
        <f>Table4[[#This Row],[Dec_2026_F]]-Table4[[#This Row],[Dec_2026_A]]</f>
        <v>0</v>
      </c>
      <c r="DL43" s="103"/>
      <c r="DM43" s="60"/>
      <c r="DN43" s="3">
        <f>IFERROR(Table4[[#This Row],[Jan_2027_Days_Forecast]]*Table4[[#This Row],[Cost Boolean]]*(VLOOKUP(Table4[[#This Row],[RATE CONCAT]],Tables!I:N,6,0)),0)</f>
        <v>0</v>
      </c>
      <c r="DO43" s="3"/>
      <c r="DP43" s="3">
        <f>Table4[[#This Row],[Jan_2027_F]]-Table4[[#This Row],[Jan_2027_A]]</f>
        <v>0</v>
      </c>
      <c r="DQ43" s="3">
        <f>IFERROR(Table4[[#This Row],[Feb_2027_Days_Forecast]]*Table4[[#This Row],[Cost Boolean]]*(VLOOKUP(Table4[[#This Row],[RATE CONCAT]],Tables!I:N,6,0)),0)</f>
        <v>0</v>
      </c>
      <c r="DR43" s="3"/>
      <c r="DS43" s="3">
        <f>Table4[[#This Row],[Feb_2027_F]]-Table4[[#This Row],[Feb_2027_A]]</f>
        <v>0</v>
      </c>
      <c r="DT43" s="3">
        <f>IFERROR(Table4[[#This Row],[Mar_2027_Days_Forecast]]*Table4[[#This Row],[Cost Boolean]]*(VLOOKUP(Table4[[#This Row],[RATE CONCAT]],Tables!I:N,6,0)),0)</f>
        <v>0</v>
      </c>
      <c r="DU43" s="3"/>
      <c r="DV43" s="3">
        <f>Table4[[#This Row],[Mar_2027_F]]-Table4[[#This Row],[Mar_2027_A]]</f>
        <v>0</v>
      </c>
      <c r="DW43" s="3">
        <f>IFERROR(Table4[[#This Row],[Apr_2027_Days_Forecast]]*Table4[[#This Row],[Cost Boolean]]*(VLOOKUP(Table4[[#This Row],[RATE CONCAT]],Tables!I:N,6,0)),0)</f>
        <v>0</v>
      </c>
      <c r="DX43" s="3"/>
      <c r="DY43" s="3">
        <f>Table4[[#This Row],[Apr_2027_F]]-Table4[[#This Row],[Apr_2027_A]]</f>
        <v>0</v>
      </c>
      <c r="DZ43" s="3">
        <f>IFERROR(Table4[[#This Row],[May_2027_Days_Forecast]]*Table4[[#This Row],[Cost Boolean]]*(VLOOKUP(Table4[[#This Row],[RATE CONCAT]],Tables!I:N,6,0)),0)</f>
        <v>0</v>
      </c>
      <c r="EA43" s="3"/>
      <c r="EB43" s="3">
        <f>Table4[[#This Row],[May_2027_F]]-Table4[[#This Row],[May_2027_A]]</f>
        <v>0</v>
      </c>
      <c r="EC43" s="3">
        <f>IFERROR(Table4[[#This Row],[Jun_2027_Days_Forecast]]*Table4[[#This Row],[Cost Boolean]]*(VLOOKUP(Table4[[#This Row],[RATE CONCAT]],Tables!I:N,6,0)),0)</f>
        <v>0</v>
      </c>
      <c r="ED43" s="3"/>
      <c r="EE43" s="3">
        <f>Table4[[#This Row],[Jun_2027_F]]-Table4[[#This Row],[Jun_2027_A]]</f>
        <v>0</v>
      </c>
      <c r="EF43" s="3">
        <f>IFERROR(Table4[[#This Row],[Jul_2027_Days_Forecast]]*Table4[[#This Row],[Cost Boolean]]*(VLOOKUP(Table4[[#This Row],[RATE CONCAT]],Tables!I:N,6,0)),0)</f>
        <v>0</v>
      </c>
      <c r="EG43" s="3"/>
      <c r="EH43" s="3">
        <f>Table4[[#This Row],[Jul_2027_F]]-Table4[[#This Row],[Jul_2027_A]]</f>
        <v>0</v>
      </c>
      <c r="EI43" s="3">
        <f>IFERROR(Table4[[#This Row],[Aug_2027_Days_Forecast]]*Table4[[#This Row],[Cost Boolean]]*(VLOOKUP(Table4[[#This Row],[RATE CONCAT]],Tables!I:N,6,0)),0)</f>
        <v>0</v>
      </c>
      <c r="EJ43" s="3"/>
      <c r="EK43" s="3">
        <f>Table4[[#This Row],[Aug_2027_F]]-Table4[[#This Row],[Aug_2027_A]]</f>
        <v>0</v>
      </c>
      <c r="EL43" s="3">
        <f>IFERROR(Table4[[#This Row],[Sep_2027_Days_Forecast]]*Table4[[#This Row],[Cost Boolean]]*(VLOOKUP(Table4[[#This Row],[RATE CONCAT]],Tables!I:N,6,0)),0)</f>
        <v>0</v>
      </c>
      <c r="EM43" s="3"/>
      <c r="EN43" s="3">
        <f>Table4[[#This Row],[Sep_2027_F]]-Table4[[#This Row],[Sep_2027_A]]</f>
        <v>0</v>
      </c>
      <c r="EO43" s="3">
        <f>IFERROR(Table4[[#This Row],[Oct_2027_Days_Forecast]]*Table4[[#This Row],[Cost Boolean]]*(VLOOKUP(Table4[[#This Row],[RATE CONCAT]],Tables!I:N,6,0)),0)</f>
        <v>0</v>
      </c>
      <c r="EP43" s="3"/>
      <c r="EQ43" s="3">
        <f>Table4[[#This Row],[Oct_2027_F]]-Table4[[#This Row],[Oct_2027_A]]</f>
        <v>0</v>
      </c>
      <c r="ER43" s="3">
        <f>IFERROR(Table4[[#This Row],[Nov_2027_Days_Forecast]]*Table4[[#This Row],[Cost Boolean]]*(VLOOKUP(Table4[[#This Row],[RATE CONCAT]],Tables!I:N,6,0)),0)</f>
        <v>0</v>
      </c>
      <c r="ES43" s="3"/>
      <c r="ET43" s="3">
        <f>Table4[[#This Row],[Nov_2027_F]]-Table4[[#This Row],[Nov_2027_A]]</f>
        <v>0</v>
      </c>
      <c r="EU43" s="3">
        <f>IFERROR(Table4[[#This Row],[Dec_2027_Days_Forecast]]*Table4[[#This Row],[Cost Boolean]]*(VLOOKUP(Table4[[#This Row],[RATE CONCAT]],Tables!I:N,6,0)),0)</f>
        <v>0</v>
      </c>
      <c r="EV43" s="3"/>
      <c r="EW43" s="3">
        <f>Table4[[#This Row],[Dec_2027_F]]-Table4[[#This Row],[Dec_2027_A]]</f>
        <v>0</v>
      </c>
    </row>
    <row r="44" spans="1:153" ht="1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2" t="str">
        <f>CONCATENATE(Table4[[#This Row],[JG]],Table4[[#This Row],[Country]],Table4[[#This Row],[Resource Provider]])</f>
        <v/>
      </c>
      <c r="Z44" s="132">
        <f>VLOOKUP(Table4[[#This Row],[RATE CONCAT]],Tables!I:N,5,0)</f>
        <v>0</v>
      </c>
      <c r="AA44" s="53"/>
      <c r="AB44" s="16"/>
      <c r="AC44" s="16"/>
      <c r="AD44" s="16"/>
      <c r="AE44" s="16"/>
      <c r="AF44" s="16"/>
      <c r="AG44" s="16"/>
      <c r="AH44" s="16"/>
      <c r="AI44" s="16"/>
      <c r="AJ44" s="16"/>
      <c r="AK44" s="16"/>
      <c r="AL44" s="16"/>
      <c r="AM44" s="16"/>
      <c r="AN44" s="53">
        <f>IFERROR(AVERAGE(Table4[[#This Row],[Jan_2026_Days_Forecast]:[Dec_2026_Days_Forecast]]),0)/19</f>
        <v>0</v>
      </c>
      <c r="AO44" s="53">
        <f>IFERROR(AVERAGE(Table4[[#This Row],[Jan_2026_Days_Actual]:[Dec_2026_Days_Actual]]),0)/19</f>
        <v>0</v>
      </c>
      <c r="AP44" s="84"/>
      <c r="AQ44" s="84"/>
      <c r="AR44" s="84"/>
      <c r="AS44" s="84"/>
      <c r="AT44" s="84"/>
      <c r="AU44" s="84"/>
      <c r="AV44" s="84"/>
      <c r="AW44" s="84"/>
      <c r="AX44" s="84"/>
      <c r="AY44" s="84"/>
      <c r="AZ44" s="84"/>
      <c r="BA44" s="84"/>
      <c r="BB44" s="53">
        <f>IFERROR(AVERAGE(Table4[[#This Row],[Jan_2027_Days_Forecast]:[Dec_2027_Days_Forecast]]),0)</f>
        <v>0</v>
      </c>
      <c r="BC44" s="16"/>
      <c r="BD44" s="16"/>
      <c r="BE44" s="16"/>
      <c r="BF44" s="16"/>
      <c r="BG44" s="16"/>
      <c r="BH44" s="16"/>
      <c r="BI44" s="16"/>
      <c r="BJ44" s="16"/>
      <c r="BK44" s="16"/>
      <c r="BL44" s="16"/>
      <c r="BM44" s="16"/>
      <c r="BN44" s="16"/>
      <c r="BO44" s="55"/>
      <c r="BP44" s="60"/>
      <c r="BQ44" s="3">
        <f>Table4[[#This Row],[Jan_2026_Days_Forecast]]*Table4[[#This Row],[Cost Boolean]]*VLOOKUP(Table4[[#This Row],[RATE CONCAT]],Tables!I:N,5,0)</f>
        <v>0</v>
      </c>
      <c r="BR44" s="3">
        <f>IFERROR(Table4[[#This Row],[Jan_2026_Days_Actual]]*Table4[[#This Row],[Cost Boolean]]*(VLOOKUP(Table4[[#This Row],[RATE CONCAT]],Tables!I:N,5,0)),0)</f>
        <v>0</v>
      </c>
      <c r="BS44" s="3">
        <f>Table4[[#This Row],[Jan_2026_F]]-Table4[[#This Row],[Jan_2026_A]]</f>
        <v>0</v>
      </c>
      <c r="BT44" s="107"/>
      <c r="BU44" s="3">
        <f>IFERROR(Table4[[#This Row],[Feb_2026_Days_Forecast]]*Table4[[#This Row],[Cost Boolean]]*(VLOOKUP(Table4[[#This Row],[RATE CONCAT]],Tables!I:N,5,0)),0)</f>
        <v>0</v>
      </c>
      <c r="BV44" s="3">
        <f>IFERROR(Table4[[#This Row],[Feb_2026_Days_Actual]]*Table4[[#This Row],[Cost Boolean]]*(VLOOKUP(Table4[[#This Row],[RATE CONCAT]],Tables!I:N,5,0)),0)</f>
        <v>0</v>
      </c>
      <c r="BW44" s="3">
        <f>Table4[[#This Row],[Feb_2026_F]]-Table4[[#This Row],[Feb_2026_A]]</f>
        <v>0</v>
      </c>
      <c r="BX44" s="103"/>
      <c r="BY44" s="3">
        <f>IFERROR(Table4[[#This Row],[Mar_2026_Days_Forecast]]*Table4[[#This Row],[Cost Boolean]]*(VLOOKUP(Table4[[#This Row],[RATE CONCAT]],Tables!I:N,5,0)),0)</f>
        <v>0</v>
      </c>
      <c r="BZ44" s="3">
        <f>IFERROR(Table4[[#This Row],[Mar_2026_Days_Actual]]*Table4[[#This Row],[Cost Boolean]]*(VLOOKUP(Table4[[#This Row],[RATE CONCAT]],Tables!I:N,5,0)),0)</f>
        <v>0</v>
      </c>
      <c r="CA44" s="3">
        <f>Table4[[#This Row],[Mar_2026_F]]-Table4[[#This Row],[Mar_2026_A]]</f>
        <v>0</v>
      </c>
      <c r="CB44" s="103"/>
      <c r="CC44" s="3">
        <f>IFERROR(Table4[[#This Row],[Apr_2026_Days_Forecast]]*Table4[[#This Row],[Cost Boolean]]*(VLOOKUP(Table4[[#This Row],[RATE CONCAT]],Tables!I:N,5,0)),0)</f>
        <v>0</v>
      </c>
      <c r="CD44" s="3">
        <f>IFERROR(Table4[[#This Row],[Apr_2026_Days_Actual]]*Table4[[#This Row],[Cost Boolean]]*(VLOOKUP(Table4[[#This Row],[RATE CONCAT]],Tables!I:N,5,0)),0)</f>
        <v>0</v>
      </c>
      <c r="CE44" s="3">
        <f>Table4[[#This Row],[Apr_2026_F]]-Table4[[#This Row],[Apr_2026_A]]</f>
        <v>0</v>
      </c>
      <c r="CF44" s="103"/>
      <c r="CG44" s="3">
        <f>IFERROR(Table4[[#This Row],[May_2026_Days_Forecast]] *Table4[[#This Row],[Cost Boolean]]*(VLOOKUP(Table4[[#This Row],[RATE CONCAT]],Tables!I:N,5,0)),0)</f>
        <v>0</v>
      </c>
      <c r="CH44" s="3">
        <f>IFERROR(Table4[[#This Row],[May_2026_Days_Actual]]*Table4[[#This Row],[Cost Boolean]]*(VLOOKUP(Table4[[#This Row],[RATE CONCAT]],Tables!I:N,5,0)),0)</f>
        <v>0</v>
      </c>
      <c r="CI44" s="3">
        <f>Table4[[#This Row],[May_2026_F]]-Table4[[#This Row],[May_2026_A]]</f>
        <v>0</v>
      </c>
      <c r="CJ44" s="103"/>
      <c r="CK44" s="3">
        <f>IFERROR(Table4[[#This Row],[Jun_2026_Days_Forecast]]*Table4[[#This Row],[Cost Boolean]]*(VLOOKUP(Table4[[#This Row],[RATE CONCAT]],Tables!I:N,5,0)),0)</f>
        <v>0</v>
      </c>
      <c r="CL44" s="3">
        <f>IFERROR(Table4[[#This Row],[Jun_2026_Days_Actual]]*Table4[[#This Row],[Cost Boolean]]*(VLOOKUP(Table4[[#This Row],[RATE CONCAT]],Tables!I:N,5,0)),0)</f>
        <v>0</v>
      </c>
      <c r="CM44" s="3">
        <f>Table4[[#This Row],[Jun_2026_F]]-Table4[[#This Row],[Jun_2026_A]]</f>
        <v>0</v>
      </c>
      <c r="CN44" s="103"/>
      <c r="CO44" s="3">
        <f>IFERROR(Table4[[#This Row],[Jul_2026_Days_Forecast]]*Table4[[#This Row],[Cost Boolean]]*(VLOOKUP(Table4[[#This Row],[RATE CONCAT]],Tables!I:N,5,0)),0)</f>
        <v>0</v>
      </c>
      <c r="CP44" s="3">
        <f>IFERROR(Table4[[#This Row],[Aug_2026_Days_Forecast]]*Table4[[#This Row],[Location]]*(VLOOKUP(Table4[[#This Row],[Rate]],Tables!J:O,5,0)),0)</f>
        <v>0</v>
      </c>
      <c r="CQ44" s="3">
        <f>Table4[[#This Row],[Jul_2026_F]]-Table4[[#This Row],[Jul_2026_A]]</f>
        <v>0</v>
      </c>
      <c r="CR44" s="103"/>
      <c r="CS44" s="3">
        <f>IFERROR(Table4[[#This Row],[Aug_2026_Days_Forecast]]*Table4[[#This Row],[Cost Boolean]]*(VLOOKUP(Table4[[#This Row],[RATE CONCAT]],Tables!I:N,5,0)),0)</f>
        <v>0</v>
      </c>
      <c r="CT44" s="3">
        <f>IFERROR(Table4[[#This Row],[Aug_2026_Days_Actual]]*Table4[[#This Row],[Cost Boolean]]*(VLOOKUP(Table4[[#This Row],[RATE CONCAT]],Tables!I:N,5,0)),0)</f>
        <v>0</v>
      </c>
      <c r="CU44" s="3">
        <f>Table4[[#This Row],[Aug_2026_F]]-Table4[[#This Row],[Aug_2026_A]]</f>
        <v>0</v>
      </c>
      <c r="CV44" s="103"/>
      <c r="CW44" s="3">
        <f>IFERROR(Table4[[#This Row],[Sep_2026_Days_Forecast]]*Table4[[#This Row],[Cost Boolean]]*(VLOOKUP(Table4[[#This Row],[RATE CONCAT]],Tables!I:N,5,0)),0)</f>
        <v>0</v>
      </c>
      <c r="CX44" s="3">
        <f>IFERROR(Table4[[#This Row],[Sep_2026_Days_Actual]]*Table4[[#This Row],[Cost Boolean]]*(VLOOKUP(Table4[[#This Row],[RATE CONCAT]],Tables!I:N,5,0)),0)</f>
        <v>0</v>
      </c>
      <c r="CY44" s="3">
        <f>Table4[[#This Row],[Sep_2026_F]]-Table4[[#This Row],[Sep_2026_A]]</f>
        <v>0</v>
      </c>
      <c r="CZ44" s="103"/>
      <c r="DA44" s="3">
        <f>IFERROR(Table4[[#This Row],[Oct_2026_Days_Forecast]]*Table4[[#This Row],[Cost Boolean]]*(VLOOKUP(Table4[[#This Row],[RATE CONCAT]],Tables!I:N,5,0)),0)</f>
        <v>0</v>
      </c>
      <c r="DB44" s="3">
        <f>IFERROR(Table4[[#This Row],[Oct_2026_Days_Actual]]*Table4[[#This Row],[Cost Boolean]]*(VLOOKUP(Table4[[#This Row],[RATE CONCAT]],Tables!I:N,5,0)),0)</f>
        <v>0</v>
      </c>
      <c r="DC44" s="3">
        <f>Table4[[#This Row],[Oct_2026_F]]-Table4[[#This Row],[Oct_2026_A]]</f>
        <v>0</v>
      </c>
      <c r="DD44" s="103"/>
      <c r="DE44" s="3">
        <f>IFERROR(Table4[[#This Row],[Nov_2026_Days_Forecast]]*Table4[[#This Row],[Cost Boolean]]*(VLOOKUP(Table4[[#This Row],[RATE CONCAT]],Tables!I:N,5,0)),0)</f>
        <v>0</v>
      </c>
      <c r="DF44" s="3">
        <f>IFERROR(Table4[[#This Row],[Nov_2026_Days_Actual]]*Table4[[#This Row],[Cost Boolean]]*(VLOOKUP(Table4[[#This Row],[RATE CONCAT]],Tables!I:N,5,0)),0)</f>
        <v>0</v>
      </c>
      <c r="DG44" s="3">
        <f>Table4[[#This Row],[Nov_2026_F]]-Table4[[#This Row],[Nov_2026_A]]</f>
        <v>0</v>
      </c>
      <c r="DH44" s="103"/>
      <c r="DI44" s="3">
        <f>IFERROR(Table4[[#This Row],[Dec_2026_Days_Forecast]]*Table4[[#This Row],[Cost Boolean]]*(VLOOKUP(Table4[[#This Row],[RATE CONCAT]],Tables!I:N,5,0)),0)</f>
        <v>0</v>
      </c>
      <c r="DJ44" s="3">
        <f>IFERROR(Table4[[#This Row],[Dec_2026_Days_Actual]]*Table4[[#This Row],[Cost Boolean]]*(VLOOKUP(Table4[[#This Row],[RATE CONCAT]],Tables!I:N,5,0)),0)</f>
        <v>0</v>
      </c>
      <c r="DK44" s="3">
        <f>Table4[[#This Row],[Dec_2026_F]]-Table4[[#This Row],[Dec_2026_A]]</f>
        <v>0</v>
      </c>
      <c r="DL44" s="103"/>
      <c r="DM44" s="60"/>
      <c r="DN44" s="3">
        <f>IFERROR(Table4[[#This Row],[Jan_2027_Days_Forecast]]*Table4[[#This Row],[Cost Boolean]]*(VLOOKUP(Table4[[#This Row],[RATE CONCAT]],Tables!I:N,6,0)),0)</f>
        <v>0</v>
      </c>
      <c r="DO44" s="3"/>
      <c r="DP44" s="3">
        <f>Table4[[#This Row],[Jan_2027_F]]-Table4[[#This Row],[Jan_2027_A]]</f>
        <v>0</v>
      </c>
      <c r="DQ44" s="3">
        <f>IFERROR(Table4[[#This Row],[Feb_2027_Days_Forecast]]*Table4[[#This Row],[Cost Boolean]]*(VLOOKUP(Table4[[#This Row],[RATE CONCAT]],Tables!I:N,6,0)),0)</f>
        <v>0</v>
      </c>
      <c r="DR44" s="3"/>
      <c r="DS44" s="3">
        <f>Table4[[#This Row],[Feb_2027_F]]-Table4[[#This Row],[Feb_2027_A]]</f>
        <v>0</v>
      </c>
      <c r="DT44" s="3">
        <f>IFERROR(Table4[[#This Row],[Mar_2027_Days_Forecast]]*Table4[[#This Row],[Cost Boolean]]*(VLOOKUP(Table4[[#This Row],[RATE CONCAT]],Tables!I:N,6,0)),0)</f>
        <v>0</v>
      </c>
      <c r="DU44" s="3"/>
      <c r="DV44" s="3">
        <f>Table4[[#This Row],[Mar_2027_F]]-Table4[[#This Row],[Mar_2027_A]]</f>
        <v>0</v>
      </c>
      <c r="DW44" s="3">
        <f>IFERROR(Table4[[#This Row],[Apr_2027_Days_Forecast]]*Table4[[#This Row],[Cost Boolean]]*(VLOOKUP(Table4[[#This Row],[RATE CONCAT]],Tables!I:N,6,0)),0)</f>
        <v>0</v>
      </c>
      <c r="DX44" s="3"/>
      <c r="DY44" s="3">
        <f>Table4[[#This Row],[Apr_2027_F]]-Table4[[#This Row],[Apr_2027_A]]</f>
        <v>0</v>
      </c>
      <c r="DZ44" s="3">
        <f>IFERROR(Table4[[#This Row],[May_2027_Days_Forecast]]*Table4[[#This Row],[Cost Boolean]]*(VLOOKUP(Table4[[#This Row],[RATE CONCAT]],Tables!I:N,6,0)),0)</f>
        <v>0</v>
      </c>
      <c r="EA44" s="3"/>
      <c r="EB44" s="3">
        <f>Table4[[#This Row],[May_2027_F]]-Table4[[#This Row],[May_2027_A]]</f>
        <v>0</v>
      </c>
      <c r="EC44" s="3">
        <f>IFERROR(Table4[[#This Row],[Jun_2027_Days_Forecast]]*Table4[[#This Row],[Cost Boolean]]*(VLOOKUP(Table4[[#This Row],[RATE CONCAT]],Tables!I:N,6,0)),0)</f>
        <v>0</v>
      </c>
      <c r="ED44" s="3"/>
      <c r="EE44" s="3">
        <f>Table4[[#This Row],[Jun_2027_F]]-Table4[[#This Row],[Jun_2027_A]]</f>
        <v>0</v>
      </c>
      <c r="EF44" s="3">
        <f>IFERROR(Table4[[#This Row],[Jul_2027_Days_Forecast]]*Table4[[#This Row],[Cost Boolean]]*(VLOOKUP(Table4[[#This Row],[RATE CONCAT]],Tables!I:N,6,0)),0)</f>
        <v>0</v>
      </c>
      <c r="EG44" s="3"/>
      <c r="EH44" s="3">
        <f>Table4[[#This Row],[Jul_2027_F]]-Table4[[#This Row],[Jul_2027_A]]</f>
        <v>0</v>
      </c>
      <c r="EI44" s="3">
        <f>IFERROR(Table4[[#This Row],[Aug_2027_Days_Forecast]]*Table4[[#This Row],[Cost Boolean]]*(VLOOKUP(Table4[[#This Row],[RATE CONCAT]],Tables!I:N,6,0)),0)</f>
        <v>0</v>
      </c>
      <c r="EJ44" s="3"/>
      <c r="EK44" s="3">
        <f>Table4[[#This Row],[Aug_2027_F]]-Table4[[#This Row],[Aug_2027_A]]</f>
        <v>0</v>
      </c>
      <c r="EL44" s="3">
        <f>IFERROR(Table4[[#This Row],[Sep_2027_Days_Forecast]]*Table4[[#This Row],[Cost Boolean]]*(VLOOKUP(Table4[[#This Row],[RATE CONCAT]],Tables!I:N,6,0)),0)</f>
        <v>0</v>
      </c>
      <c r="EM44" s="3"/>
      <c r="EN44" s="3">
        <f>Table4[[#This Row],[Sep_2027_F]]-Table4[[#This Row],[Sep_2027_A]]</f>
        <v>0</v>
      </c>
      <c r="EO44" s="3">
        <f>IFERROR(Table4[[#This Row],[Oct_2027_Days_Forecast]]*Table4[[#This Row],[Cost Boolean]]*(VLOOKUP(Table4[[#This Row],[RATE CONCAT]],Tables!I:N,6,0)),0)</f>
        <v>0</v>
      </c>
      <c r="EP44" s="3"/>
      <c r="EQ44" s="3">
        <f>Table4[[#This Row],[Oct_2027_F]]-Table4[[#This Row],[Oct_2027_A]]</f>
        <v>0</v>
      </c>
      <c r="ER44" s="3">
        <f>IFERROR(Table4[[#This Row],[Nov_2027_Days_Forecast]]*Table4[[#This Row],[Cost Boolean]]*(VLOOKUP(Table4[[#This Row],[RATE CONCAT]],Tables!I:N,6,0)),0)</f>
        <v>0</v>
      </c>
      <c r="ES44" s="3"/>
      <c r="ET44" s="3">
        <f>Table4[[#This Row],[Nov_2027_F]]-Table4[[#This Row],[Nov_2027_A]]</f>
        <v>0</v>
      </c>
      <c r="EU44" s="3">
        <f>IFERROR(Table4[[#This Row],[Dec_2027_Days_Forecast]]*Table4[[#This Row],[Cost Boolean]]*(VLOOKUP(Table4[[#This Row],[RATE CONCAT]],Tables!I:N,6,0)),0)</f>
        <v>0</v>
      </c>
      <c r="EV44" s="3"/>
      <c r="EW44" s="3">
        <f>Table4[[#This Row],[Dec_2027_F]]-Table4[[#This Row],[Dec_2027_A]]</f>
        <v>0</v>
      </c>
    </row>
    <row r="45" spans="1:153" ht="1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2" t="str">
        <f>CONCATENATE(Table4[[#This Row],[JG]],Table4[[#This Row],[Country]],Table4[[#This Row],[Resource Provider]])</f>
        <v/>
      </c>
      <c r="Z45" s="132">
        <f>VLOOKUP(Table4[[#This Row],[RATE CONCAT]],Tables!I:N,5,0)</f>
        <v>0</v>
      </c>
      <c r="AA45" s="53"/>
      <c r="AB45" s="16"/>
      <c r="AC45" s="16"/>
      <c r="AD45" s="16"/>
      <c r="AE45" s="16"/>
      <c r="AF45" s="16"/>
      <c r="AG45" s="16"/>
      <c r="AH45" s="16"/>
      <c r="AI45" s="16"/>
      <c r="AJ45" s="16"/>
      <c r="AK45" s="16"/>
      <c r="AL45" s="16"/>
      <c r="AM45" s="16"/>
      <c r="AN45" s="53">
        <f>IFERROR(AVERAGE(Table4[[#This Row],[Jan_2026_Days_Forecast]:[Dec_2026_Days_Forecast]]),0)/19</f>
        <v>0</v>
      </c>
      <c r="AO45" s="53">
        <f>IFERROR(AVERAGE(Table4[[#This Row],[Jan_2026_Days_Actual]:[Dec_2026_Days_Actual]]),0)/19</f>
        <v>0</v>
      </c>
      <c r="AP45" s="84"/>
      <c r="AQ45" s="84"/>
      <c r="AR45" s="84"/>
      <c r="AS45" s="84"/>
      <c r="AT45" s="84"/>
      <c r="AU45" s="84"/>
      <c r="AV45" s="84"/>
      <c r="AW45" s="84"/>
      <c r="AX45" s="84"/>
      <c r="AY45" s="84"/>
      <c r="AZ45" s="84"/>
      <c r="BA45" s="84"/>
      <c r="BB45" s="53">
        <f>IFERROR(AVERAGE(Table4[[#This Row],[Jan_2027_Days_Forecast]:[Dec_2027_Days_Forecast]]),0)</f>
        <v>0</v>
      </c>
      <c r="BC45" s="16"/>
      <c r="BD45" s="16"/>
      <c r="BE45" s="16"/>
      <c r="BF45" s="16"/>
      <c r="BG45" s="16"/>
      <c r="BH45" s="16"/>
      <c r="BI45" s="16"/>
      <c r="BJ45" s="16"/>
      <c r="BK45" s="16"/>
      <c r="BL45" s="16"/>
      <c r="BM45" s="16"/>
      <c r="BN45" s="16"/>
      <c r="BO45" s="55"/>
      <c r="BP45" s="60"/>
      <c r="BQ45" s="3">
        <f>Table4[[#This Row],[Jan_2026_Days_Forecast]]*Table4[[#This Row],[Cost Boolean]]*VLOOKUP(Table4[[#This Row],[RATE CONCAT]],Tables!I:N,5,0)</f>
        <v>0</v>
      </c>
      <c r="BR45" s="3">
        <f>IFERROR(Table4[[#This Row],[Jan_2026_Days_Actual]]*Table4[[#This Row],[Cost Boolean]]*(VLOOKUP(Table4[[#This Row],[RATE CONCAT]],Tables!I:N,5,0)),0)</f>
        <v>0</v>
      </c>
      <c r="BS45" s="3">
        <f>Table4[[#This Row],[Jan_2026_F]]-Table4[[#This Row],[Jan_2026_A]]</f>
        <v>0</v>
      </c>
      <c r="BT45" s="107"/>
      <c r="BU45" s="3">
        <f>IFERROR(Table4[[#This Row],[Feb_2026_Days_Forecast]]*Table4[[#This Row],[Cost Boolean]]*(VLOOKUP(Table4[[#This Row],[RATE CONCAT]],Tables!I:N,5,0)),0)</f>
        <v>0</v>
      </c>
      <c r="BV45" s="3">
        <f>IFERROR(Table4[[#This Row],[Feb_2026_Days_Actual]]*Table4[[#This Row],[Cost Boolean]]*(VLOOKUP(Table4[[#This Row],[RATE CONCAT]],Tables!I:N,5,0)),0)</f>
        <v>0</v>
      </c>
      <c r="BW45" s="3">
        <f>Table4[[#This Row],[Feb_2026_F]]-Table4[[#This Row],[Feb_2026_A]]</f>
        <v>0</v>
      </c>
      <c r="BX45" s="103"/>
      <c r="BY45" s="3">
        <f>IFERROR(Table4[[#This Row],[Mar_2026_Days_Forecast]]*Table4[[#This Row],[Cost Boolean]]*(VLOOKUP(Table4[[#This Row],[RATE CONCAT]],Tables!I:N,5,0)),0)</f>
        <v>0</v>
      </c>
      <c r="BZ45" s="3">
        <f>IFERROR(Table4[[#This Row],[Mar_2026_Days_Actual]]*Table4[[#This Row],[Cost Boolean]]*(VLOOKUP(Table4[[#This Row],[RATE CONCAT]],Tables!I:N,5,0)),0)</f>
        <v>0</v>
      </c>
      <c r="CA45" s="3">
        <f>Table4[[#This Row],[Mar_2026_F]]-Table4[[#This Row],[Mar_2026_A]]</f>
        <v>0</v>
      </c>
      <c r="CB45" s="103"/>
      <c r="CC45" s="3">
        <f>IFERROR(Table4[[#This Row],[Apr_2026_Days_Forecast]]*Table4[[#This Row],[Cost Boolean]]*(VLOOKUP(Table4[[#This Row],[RATE CONCAT]],Tables!I:N,5,0)),0)</f>
        <v>0</v>
      </c>
      <c r="CD45" s="3">
        <f>IFERROR(Table4[[#This Row],[Apr_2026_Days_Actual]]*Table4[[#This Row],[Cost Boolean]]*(VLOOKUP(Table4[[#This Row],[RATE CONCAT]],Tables!I:N,5,0)),0)</f>
        <v>0</v>
      </c>
      <c r="CE45" s="3">
        <f>Table4[[#This Row],[Apr_2026_F]]-Table4[[#This Row],[Apr_2026_A]]</f>
        <v>0</v>
      </c>
      <c r="CF45" s="103"/>
      <c r="CG45" s="3">
        <f>IFERROR(Table4[[#This Row],[May_2026_Days_Forecast]] *Table4[[#This Row],[Cost Boolean]]*(VLOOKUP(Table4[[#This Row],[RATE CONCAT]],Tables!I:N,5,0)),0)</f>
        <v>0</v>
      </c>
      <c r="CH45" s="3">
        <f>IFERROR(Table4[[#This Row],[May_2026_Days_Actual]]*Table4[[#This Row],[Cost Boolean]]*(VLOOKUP(Table4[[#This Row],[RATE CONCAT]],Tables!I:N,5,0)),0)</f>
        <v>0</v>
      </c>
      <c r="CI45" s="3">
        <f>Table4[[#This Row],[May_2026_F]]-Table4[[#This Row],[May_2026_A]]</f>
        <v>0</v>
      </c>
      <c r="CJ45" s="103"/>
      <c r="CK45" s="3">
        <f>IFERROR(Table4[[#This Row],[Jun_2026_Days_Forecast]]*Table4[[#This Row],[Cost Boolean]]*(VLOOKUP(Table4[[#This Row],[RATE CONCAT]],Tables!I:N,5,0)),0)</f>
        <v>0</v>
      </c>
      <c r="CL45" s="3">
        <f>IFERROR(Table4[[#This Row],[Jun_2026_Days_Actual]]*Table4[[#This Row],[Cost Boolean]]*(VLOOKUP(Table4[[#This Row],[RATE CONCAT]],Tables!I:N,5,0)),0)</f>
        <v>0</v>
      </c>
      <c r="CM45" s="3">
        <f>Table4[[#This Row],[Jun_2026_F]]-Table4[[#This Row],[Jun_2026_A]]</f>
        <v>0</v>
      </c>
      <c r="CN45" s="103"/>
      <c r="CO45" s="3">
        <f>IFERROR(Table4[[#This Row],[Jul_2026_Days_Forecast]]*Table4[[#This Row],[Cost Boolean]]*(VLOOKUP(Table4[[#This Row],[RATE CONCAT]],Tables!I:N,5,0)),0)</f>
        <v>0</v>
      </c>
      <c r="CP45" s="3">
        <f>IFERROR(Table4[[#This Row],[Aug_2026_Days_Forecast]]*Table4[[#This Row],[Location]]*(VLOOKUP(Table4[[#This Row],[Rate]],Tables!J:O,5,0)),0)</f>
        <v>0</v>
      </c>
      <c r="CQ45" s="3">
        <f>Table4[[#This Row],[Jul_2026_F]]-Table4[[#This Row],[Jul_2026_A]]</f>
        <v>0</v>
      </c>
      <c r="CR45" s="103"/>
      <c r="CS45" s="3">
        <f>IFERROR(Table4[[#This Row],[Aug_2026_Days_Forecast]]*Table4[[#This Row],[Cost Boolean]]*(VLOOKUP(Table4[[#This Row],[RATE CONCAT]],Tables!I:N,5,0)),0)</f>
        <v>0</v>
      </c>
      <c r="CT45" s="3">
        <f>IFERROR(Table4[[#This Row],[Aug_2026_Days_Actual]]*Table4[[#This Row],[Cost Boolean]]*(VLOOKUP(Table4[[#This Row],[RATE CONCAT]],Tables!I:N,5,0)),0)</f>
        <v>0</v>
      </c>
      <c r="CU45" s="3">
        <f>Table4[[#This Row],[Aug_2026_F]]-Table4[[#This Row],[Aug_2026_A]]</f>
        <v>0</v>
      </c>
      <c r="CV45" s="103"/>
      <c r="CW45" s="3">
        <f>IFERROR(Table4[[#This Row],[Sep_2026_Days_Forecast]]*Table4[[#This Row],[Cost Boolean]]*(VLOOKUP(Table4[[#This Row],[RATE CONCAT]],Tables!I:N,5,0)),0)</f>
        <v>0</v>
      </c>
      <c r="CX45" s="3">
        <f>IFERROR(Table4[[#This Row],[Sep_2026_Days_Actual]]*Table4[[#This Row],[Cost Boolean]]*(VLOOKUP(Table4[[#This Row],[RATE CONCAT]],Tables!I:N,5,0)),0)</f>
        <v>0</v>
      </c>
      <c r="CY45" s="3">
        <f>Table4[[#This Row],[Sep_2026_F]]-Table4[[#This Row],[Sep_2026_A]]</f>
        <v>0</v>
      </c>
      <c r="CZ45" s="103"/>
      <c r="DA45" s="3">
        <f>IFERROR(Table4[[#This Row],[Oct_2026_Days_Forecast]]*Table4[[#This Row],[Cost Boolean]]*(VLOOKUP(Table4[[#This Row],[RATE CONCAT]],Tables!I:N,5,0)),0)</f>
        <v>0</v>
      </c>
      <c r="DB45" s="3">
        <f>IFERROR(Table4[[#This Row],[Oct_2026_Days_Actual]]*Table4[[#This Row],[Cost Boolean]]*(VLOOKUP(Table4[[#This Row],[RATE CONCAT]],Tables!I:N,5,0)),0)</f>
        <v>0</v>
      </c>
      <c r="DC45" s="3">
        <f>Table4[[#This Row],[Oct_2026_F]]-Table4[[#This Row],[Oct_2026_A]]</f>
        <v>0</v>
      </c>
      <c r="DD45" s="103"/>
      <c r="DE45" s="3">
        <f>IFERROR(Table4[[#This Row],[Nov_2026_Days_Forecast]]*Table4[[#This Row],[Cost Boolean]]*(VLOOKUP(Table4[[#This Row],[RATE CONCAT]],Tables!I:N,5,0)),0)</f>
        <v>0</v>
      </c>
      <c r="DF45" s="3">
        <f>IFERROR(Table4[[#This Row],[Nov_2026_Days_Actual]]*Table4[[#This Row],[Cost Boolean]]*(VLOOKUP(Table4[[#This Row],[RATE CONCAT]],Tables!I:N,5,0)),0)</f>
        <v>0</v>
      </c>
      <c r="DG45" s="3">
        <f>Table4[[#This Row],[Nov_2026_F]]-Table4[[#This Row],[Nov_2026_A]]</f>
        <v>0</v>
      </c>
      <c r="DH45" s="103"/>
      <c r="DI45" s="3">
        <f>IFERROR(Table4[[#This Row],[Dec_2026_Days_Forecast]]*Table4[[#This Row],[Cost Boolean]]*(VLOOKUP(Table4[[#This Row],[RATE CONCAT]],Tables!I:N,5,0)),0)</f>
        <v>0</v>
      </c>
      <c r="DJ45" s="3">
        <f>IFERROR(Table4[[#This Row],[Dec_2026_Days_Actual]]*Table4[[#This Row],[Cost Boolean]]*(VLOOKUP(Table4[[#This Row],[RATE CONCAT]],Tables!I:N,5,0)),0)</f>
        <v>0</v>
      </c>
      <c r="DK45" s="3">
        <f>Table4[[#This Row],[Dec_2026_F]]-Table4[[#This Row],[Dec_2026_A]]</f>
        <v>0</v>
      </c>
      <c r="DL45" s="103"/>
      <c r="DM45" s="60"/>
      <c r="DN45" s="3">
        <f>IFERROR(Table4[[#This Row],[Jan_2027_Days_Forecast]]*Table4[[#This Row],[Cost Boolean]]*(VLOOKUP(Table4[[#This Row],[RATE CONCAT]],Tables!I:N,6,0)),0)</f>
        <v>0</v>
      </c>
      <c r="DO45" s="3"/>
      <c r="DP45" s="3">
        <f>Table4[[#This Row],[Jan_2027_F]]-Table4[[#This Row],[Jan_2027_A]]</f>
        <v>0</v>
      </c>
      <c r="DQ45" s="3">
        <f>IFERROR(Table4[[#This Row],[Feb_2027_Days_Forecast]]*Table4[[#This Row],[Cost Boolean]]*(VLOOKUP(Table4[[#This Row],[RATE CONCAT]],Tables!I:N,6,0)),0)</f>
        <v>0</v>
      </c>
      <c r="DR45" s="3"/>
      <c r="DS45" s="3">
        <f>Table4[[#This Row],[Feb_2027_F]]-Table4[[#This Row],[Feb_2027_A]]</f>
        <v>0</v>
      </c>
      <c r="DT45" s="3">
        <f>IFERROR(Table4[[#This Row],[Mar_2027_Days_Forecast]]*Table4[[#This Row],[Cost Boolean]]*(VLOOKUP(Table4[[#This Row],[RATE CONCAT]],Tables!I:N,6,0)),0)</f>
        <v>0</v>
      </c>
      <c r="DU45" s="3"/>
      <c r="DV45" s="3">
        <f>Table4[[#This Row],[Mar_2027_F]]-Table4[[#This Row],[Mar_2027_A]]</f>
        <v>0</v>
      </c>
      <c r="DW45" s="3">
        <f>IFERROR(Table4[[#This Row],[Apr_2027_Days_Forecast]]*Table4[[#This Row],[Cost Boolean]]*(VLOOKUP(Table4[[#This Row],[RATE CONCAT]],Tables!I:N,6,0)),0)</f>
        <v>0</v>
      </c>
      <c r="DX45" s="3"/>
      <c r="DY45" s="3">
        <f>Table4[[#This Row],[Apr_2027_F]]-Table4[[#This Row],[Apr_2027_A]]</f>
        <v>0</v>
      </c>
      <c r="DZ45" s="3">
        <f>IFERROR(Table4[[#This Row],[May_2027_Days_Forecast]]*Table4[[#This Row],[Cost Boolean]]*(VLOOKUP(Table4[[#This Row],[RATE CONCAT]],Tables!I:N,6,0)),0)</f>
        <v>0</v>
      </c>
      <c r="EA45" s="3"/>
      <c r="EB45" s="3">
        <f>Table4[[#This Row],[May_2027_F]]-Table4[[#This Row],[May_2027_A]]</f>
        <v>0</v>
      </c>
      <c r="EC45" s="3">
        <f>IFERROR(Table4[[#This Row],[Jun_2027_Days_Forecast]]*Table4[[#This Row],[Cost Boolean]]*(VLOOKUP(Table4[[#This Row],[RATE CONCAT]],Tables!I:N,6,0)),0)</f>
        <v>0</v>
      </c>
      <c r="ED45" s="3"/>
      <c r="EE45" s="3">
        <f>Table4[[#This Row],[Jun_2027_F]]-Table4[[#This Row],[Jun_2027_A]]</f>
        <v>0</v>
      </c>
      <c r="EF45" s="3">
        <f>IFERROR(Table4[[#This Row],[Jul_2027_Days_Forecast]]*Table4[[#This Row],[Cost Boolean]]*(VLOOKUP(Table4[[#This Row],[RATE CONCAT]],Tables!I:N,6,0)),0)</f>
        <v>0</v>
      </c>
      <c r="EG45" s="3"/>
      <c r="EH45" s="3">
        <f>Table4[[#This Row],[Jul_2027_F]]-Table4[[#This Row],[Jul_2027_A]]</f>
        <v>0</v>
      </c>
      <c r="EI45" s="3">
        <f>IFERROR(Table4[[#This Row],[Aug_2027_Days_Forecast]]*Table4[[#This Row],[Cost Boolean]]*(VLOOKUP(Table4[[#This Row],[RATE CONCAT]],Tables!I:N,6,0)),0)</f>
        <v>0</v>
      </c>
      <c r="EJ45" s="3"/>
      <c r="EK45" s="3">
        <f>Table4[[#This Row],[Aug_2027_F]]-Table4[[#This Row],[Aug_2027_A]]</f>
        <v>0</v>
      </c>
      <c r="EL45" s="3">
        <f>IFERROR(Table4[[#This Row],[Sep_2027_Days_Forecast]]*Table4[[#This Row],[Cost Boolean]]*(VLOOKUP(Table4[[#This Row],[RATE CONCAT]],Tables!I:N,6,0)),0)</f>
        <v>0</v>
      </c>
      <c r="EM45" s="3"/>
      <c r="EN45" s="3">
        <f>Table4[[#This Row],[Sep_2027_F]]-Table4[[#This Row],[Sep_2027_A]]</f>
        <v>0</v>
      </c>
      <c r="EO45" s="3">
        <f>IFERROR(Table4[[#This Row],[Oct_2027_Days_Forecast]]*Table4[[#This Row],[Cost Boolean]]*(VLOOKUP(Table4[[#This Row],[RATE CONCAT]],Tables!I:N,6,0)),0)</f>
        <v>0</v>
      </c>
      <c r="EP45" s="3"/>
      <c r="EQ45" s="3">
        <f>Table4[[#This Row],[Oct_2027_F]]-Table4[[#This Row],[Oct_2027_A]]</f>
        <v>0</v>
      </c>
      <c r="ER45" s="3">
        <f>IFERROR(Table4[[#This Row],[Nov_2027_Days_Forecast]]*Table4[[#This Row],[Cost Boolean]]*(VLOOKUP(Table4[[#This Row],[RATE CONCAT]],Tables!I:N,6,0)),0)</f>
        <v>0</v>
      </c>
      <c r="ES45" s="3"/>
      <c r="ET45" s="3">
        <f>Table4[[#This Row],[Nov_2027_F]]-Table4[[#This Row],[Nov_2027_A]]</f>
        <v>0</v>
      </c>
      <c r="EU45" s="3">
        <f>IFERROR(Table4[[#This Row],[Dec_2027_Days_Forecast]]*Table4[[#This Row],[Cost Boolean]]*(VLOOKUP(Table4[[#This Row],[RATE CONCAT]],Tables!I:N,6,0)),0)</f>
        <v>0</v>
      </c>
      <c r="EV45" s="3"/>
      <c r="EW45" s="3">
        <f>Table4[[#This Row],[Dec_2027_F]]-Table4[[#This Row],[Dec_2027_A]]</f>
        <v>0</v>
      </c>
    </row>
    <row r="46" spans="1:153" ht="1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2" t="str">
        <f>CONCATENATE(Table4[[#This Row],[JG]],Table4[[#This Row],[Country]],Table4[[#This Row],[Resource Provider]])</f>
        <v/>
      </c>
      <c r="Z46" s="132">
        <f>VLOOKUP(Table4[[#This Row],[RATE CONCAT]],Tables!I:N,5,0)</f>
        <v>0</v>
      </c>
      <c r="AA46" s="53"/>
      <c r="AB46" s="16"/>
      <c r="AC46" s="16"/>
      <c r="AD46" s="16"/>
      <c r="AE46" s="16"/>
      <c r="AF46" s="16"/>
      <c r="AG46" s="16"/>
      <c r="AH46" s="16"/>
      <c r="AI46" s="16"/>
      <c r="AJ46" s="16"/>
      <c r="AK46" s="16"/>
      <c r="AL46" s="16"/>
      <c r="AM46" s="16"/>
      <c r="AN46" s="53">
        <f>IFERROR(AVERAGE(Table4[[#This Row],[Jan_2026_Days_Forecast]:[Dec_2026_Days_Forecast]]),0)/19</f>
        <v>0</v>
      </c>
      <c r="AO46" s="53">
        <f>IFERROR(AVERAGE(Table4[[#This Row],[Jan_2026_Days_Actual]:[Dec_2026_Days_Actual]]),0)/19</f>
        <v>0</v>
      </c>
      <c r="AP46" s="84"/>
      <c r="AQ46" s="84"/>
      <c r="AR46" s="84"/>
      <c r="AS46" s="84"/>
      <c r="AT46" s="84"/>
      <c r="AU46" s="84"/>
      <c r="AV46" s="84"/>
      <c r="AW46" s="84"/>
      <c r="AX46" s="84"/>
      <c r="AY46" s="84"/>
      <c r="AZ46" s="84"/>
      <c r="BA46" s="84"/>
      <c r="BB46" s="53">
        <f>IFERROR(AVERAGE(Table4[[#This Row],[Jan_2027_Days_Forecast]:[Dec_2027_Days_Forecast]]),0)</f>
        <v>0</v>
      </c>
      <c r="BC46" s="16"/>
      <c r="BD46" s="16"/>
      <c r="BE46" s="16"/>
      <c r="BF46" s="16"/>
      <c r="BG46" s="16"/>
      <c r="BH46" s="16"/>
      <c r="BI46" s="16"/>
      <c r="BJ46" s="16"/>
      <c r="BK46" s="16"/>
      <c r="BL46" s="16"/>
      <c r="BM46" s="16"/>
      <c r="BN46" s="16"/>
      <c r="BO46" s="55"/>
      <c r="BP46" s="60"/>
      <c r="BQ46" s="3">
        <f>Table4[[#This Row],[Jan_2026_Days_Forecast]]*Table4[[#This Row],[Cost Boolean]]*VLOOKUP(Table4[[#This Row],[RATE CONCAT]],Tables!I:N,5,0)</f>
        <v>0</v>
      </c>
      <c r="BR46" s="3">
        <f>IFERROR(Table4[[#This Row],[Jan_2026_Days_Actual]]*Table4[[#This Row],[Cost Boolean]]*(VLOOKUP(Table4[[#This Row],[RATE CONCAT]],Tables!I:N,5,0)),0)</f>
        <v>0</v>
      </c>
      <c r="BS46" s="3">
        <f>Table4[[#This Row],[Jan_2026_F]]-Table4[[#This Row],[Jan_2026_A]]</f>
        <v>0</v>
      </c>
      <c r="BT46" s="107"/>
      <c r="BU46" s="3">
        <f>IFERROR(Table4[[#This Row],[Feb_2026_Days_Forecast]]*Table4[[#This Row],[Cost Boolean]]*(VLOOKUP(Table4[[#This Row],[RATE CONCAT]],Tables!I:N,5,0)),0)</f>
        <v>0</v>
      </c>
      <c r="BV46" s="3">
        <f>IFERROR(Table4[[#This Row],[Feb_2026_Days_Actual]]*Table4[[#This Row],[Cost Boolean]]*(VLOOKUP(Table4[[#This Row],[RATE CONCAT]],Tables!I:N,5,0)),0)</f>
        <v>0</v>
      </c>
      <c r="BW46" s="3">
        <f>Table4[[#This Row],[Feb_2026_F]]-Table4[[#This Row],[Feb_2026_A]]</f>
        <v>0</v>
      </c>
      <c r="BX46" s="103"/>
      <c r="BY46" s="3">
        <f>IFERROR(Table4[[#This Row],[Mar_2026_Days_Forecast]]*Table4[[#This Row],[Cost Boolean]]*(VLOOKUP(Table4[[#This Row],[RATE CONCAT]],Tables!I:N,5,0)),0)</f>
        <v>0</v>
      </c>
      <c r="BZ46" s="3">
        <f>IFERROR(Table4[[#This Row],[Mar_2026_Days_Actual]]*Table4[[#This Row],[Cost Boolean]]*(VLOOKUP(Table4[[#This Row],[RATE CONCAT]],Tables!I:N,5,0)),0)</f>
        <v>0</v>
      </c>
      <c r="CA46" s="3">
        <f>Table4[[#This Row],[Mar_2026_F]]-Table4[[#This Row],[Mar_2026_A]]</f>
        <v>0</v>
      </c>
      <c r="CB46" s="103"/>
      <c r="CC46" s="3">
        <f>IFERROR(Table4[[#This Row],[Apr_2026_Days_Forecast]]*Table4[[#This Row],[Cost Boolean]]*(VLOOKUP(Table4[[#This Row],[RATE CONCAT]],Tables!I:N,5,0)),0)</f>
        <v>0</v>
      </c>
      <c r="CD46" s="3">
        <f>IFERROR(Table4[[#This Row],[Apr_2026_Days_Actual]]*Table4[[#This Row],[Cost Boolean]]*(VLOOKUP(Table4[[#This Row],[RATE CONCAT]],Tables!I:N,5,0)),0)</f>
        <v>0</v>
      </c>
      <c r="CE46" s="3">
        <f>Table4[[#This Row],[Apr_2026_F]]-Table4[[#This Row],[Apr_2026_A]]</f>
        <v>0</v>
      </c>
      <c r="CF46" s="103"/>
      <c r="CG46" s="3">
        <f>IFERROR(Table4[[#This Row],[May_2026_Days_Forecast]] *Table4[[#This Row],[Cost Boolean]]*(VLOOKUP(Table4[[#This Row],[RATE CONCAT]],Tables!I:N,5,0)),0)</f>
        <v>0</v>
      </c>
      <c r="CH46" s="3">
        <f>IFERROR(Table4[[#This Row],[May_2026_Days_Actual]]*Table4[[#This Row],[Cost Boolean]]*(VLOOKUP(Table4[[#This Row],[RATE CONCAT]],Tables!I:N,5,0)),0)</f>
        <v>0</v>
      </c>
      <c r="CI46" s="3">
        <f>Table4[[#This Row],[May_2026_F]]-Table4[[#This Row],[May_2026_A]]</f>
        <v>0</v>
      </c>
      <c r="CJ46" s="103"/>
      <c r="CK46" s="3">
        <f>IFERROR(Table4[[#This Row],[Jun_2026_Days_Forecast]]*Table4[[#This Row],[Cost Boolean]]*(VLOOKUP(Table4[[#This Row],[RATE CONCAT]],Tables!I:N,5,0)),0)</f>
        <v>0</v>
      </c>
      <c r="CL46" s="3">
        <f>IFERROR(Table4[[#This Row],[Jun_2026_Days_Actual]]*Table4[[#This Row],[Cost Boolean]]*(VLOOKUP(Table4[[#This Row],[RATE CONCAT]],Tables!I:N,5,0)),0)</f>
        <v>0</v>
      </c>
      <c r="CM46" s="3">
        <f>Table4[[#This Row],[Jun_2026_F]]-Table4[[#This Row],[Jun_2026_A]]</f>
        <v>0</v>
      </c>
      <c r="CN46" s="103"/>
      <c r="CO46" s="3">
        <f>IFERROR(Table4[[#This Row],[Jul_2026_Days_Forecast]]*Table4[[#This Row],[Cost Boolean]]*(VLOOKUP(Table4[[#This Row],[RATE CONCAT]],Tables!I:N,5,0)),0)</f>
        <v>0</v>
      </c>
      <c r="CP46" s="3">
        <f>IFERROR(Table4[[#This Row],[Aug_2026_Days_Forecast]]*Table4[[#This Row],[Location]]*(VLOOKUP(Table4[[#This Row],[Rate]],Tables!J:O,5,0)),0)</f>
        <v>0</v>
      </c>
      <c r="CQ46" s="3">
        <f>Table4[[#This Row],[Jul_2026_F]]-Table4[[#This Row],[Jul_2026_A]]</f>
        <v>0</v>
      </c>
      <c r="CR46" s="103"/>
      <c r="CS46" s="3">
        <f>IFERROR(Table4[[#This Row],[Aug_2026_Days_Forecast]]*Table4[[#This Row],[Cost Boolean]]*(VLOOKUP(Table4[[#This Row],[RATE CONCAT]],Tables!I:N,5,0)),0)</f>
        <v>0</v>
      </c>
      <c r="CT46" s="3">
        <f>IFERROR(Table4[[#This Row],[Aug_2026_Days_Actual]]*Table4[[#This Row],[Cost Boolean]]*(VLOOKUP(Table4[[#This Row],[RATE CONCAT]],Tables!I:N,5,0)),0)</f>
        <v>0</v>
      </c>
      <c r="CU46" s="3">
        <f>Table4[[#This Row],[Aug_2026_F]]-Table4[[#This Row],[Aug_2026_A]]</f>
        <v>0</v>
      </c>
      <c r="CV46" s="103"/>
      <c r="CW46" s="3">
        <f>IFERROR(Table4[[#This Row],[Sep_2026_Days_Forecast]]*Table4[[#This Row],[Cost Boolean]]*(VLOOKUP(Table4[[#This Row],[RATE CONCAT]],Tables!I:N,5,0)),0)</f>
        <v>0</v>
      </c>
      <c r="CX46" s="3">
        <f>IFERROR(Table4[[#This Row],[Sep_2026_Days_Actual]]*Table4[[#This Row],[Cost Boolean]]*(VLOOKUP(Table4[[#This Row],[RATE CONCAT]],Tables!I:N,5,0)),0)</f>
        <v>0</v>
      </c>
      <c r="CY46" s="3">
        <f>Table4[[#This Row],[Sep_2026_F]]-Table4[[#This Row],[Sep_2026_A]]</f>
        <v>0</v>
      </c>
      <c r="CZ46" s="103"/>
      <c r="DA46" s="3">
        <f>IFERROR(Table4[[#This Row],[Oct_2026_Days_Forecast]]*Table4[[#This Row],[Cost Boolean]]*(VLOOKUP(Table4[[#This Row],[RATE CONCAT]],Tables!I:N,5,0)),0)</f>
        <v>0</v>
      </c>
      <c r="DB46" s="3">
        <f>IFERROR(Table4[[#This Row],[Oct_2026_Days_Actual]]*Table4[[#This Row],[Cost Boolean]]*(VLOOKUP(Table4[[#This Row],[RATE CONCAT]],Tables!I:N,5,0)),0)</f>
        <v>0</v>
      </c>
      <c r="DC46" s="3">
        <f>Table4[[#This Row],[Oct_2026_F]]-Table4[[#This Row],[Oct_2026_A]]</f>
        <v>0</v>
      </c>
      <c r="DD46" s="103"/>
      <c r="DE46" s="3">
        <f>IFERROR(Table4[[#This Row],[Nov_2026_Days_Forecast]]*Table4[[#This Row],[Cost Boolean]]*(VLOOKUP(Table4[[#This Row],[RATE CONCAT]],Tables!I:N,5,0)),0)</f>
        <v>0</v>
      </c>
      <c r="DF46" s="3">
        <f>IFERROR(Table4[[#This Row],[Nov_2026_Days_Actual]]*Table4[[#This Row],[Cost Boolean]]*(VLOOKUP(Table4[[#This Row],[RATE CONCAT]],Tables!I:N,5,0)),0)</f>
        <v>0</v>
      </c>
      <c r="DG46" s="3">
        <f>Table4[[#This Row],[Nov_2026_F]]-Table4[[#This Row],[Nov_2026_A]]</f>
        <v>0</v>
      </c>
      <c r="DH46" s="103"/>
      <c r="DI46" s="3">
        <f>IFERROR(Table4[[#This Row],[Dec_2026_Days_Forecast]]*Table4[[#This Row],[Cost Boolean]]*(VLOOKUP(Table4[[#This Row],[RATE CONCAT]],Tables!I:N,5,0)),0)</f>
        <v>0</v>
      </c>
      <c r="DJ46" s="3">
        <f>IFERROR(Table4[[#This Row],[Dec_2026_Days_Actual]]*Table4[[#This Row],[Cost Boolean]]*(VLOOKUP(Table4[[#This Row],[RATE CONCAT]],Tables!I:N,5,0)),0)</f>
        <v>0</v>
      </c>
      <c r="DK46" s="3">
        <f>Table4[[#This Row],[Dec_2026_F]]-Table4[[#This Row],[Dec_2026_A]]</f>
        <v>0</v>
      </c>
      <c r="DL46" s="103"/>
      <c r="DM46" s="60"/>
      <c r="DN46" s="3">
        <f>IFERROR(Table4[[#This Row],[Jan_2027_Days_Forecast]]*Table4[[#This Row],[Cost Boolean]]*(VLOOKUP(Table4[[#This Row],[RATE CONCAT]],Tables!I:N,6,0)),0)</f>
        <v>0</v>
      </c>
      <c r="DO46" s="3"/>
      <c r="DP46" s="3">
        <f>Table4[[#This Row],[Jan_2027_F]]-Table4[[#This Row],[Jan_2027_A]]</f>
        <v>0</v>
      </c>
      <c r="DQ46" s="3">
        <f>IFERROR(Table4[[#This Row],[Feb_2027_Days_Forecast]]*Table4[[#This Row],[Cost Boolean]]*(VLOOKUP(Table4[[#This Row],[RATE CONCAT]],Tables!I:N,6,0)),0)</f>
        <v>0</v>
      </c>
      <c r="DR46" s="3"/>
      <c r="DS46" s="3">
        <f>Table4[[#This Row],[Feb_2027_F]]-Table4[[#This Row],[Feb_2027_A]]</f>
        <v>0</v>
      </c>
      <c r="DT46" s="3">
        <f>IFERROR(Table4[[#This Row],[Mar_2027_Days_Forecast]]*Table4[[#This Row],[Cost Boolean]]*(VLOOKUP(Table4[[#This Row],[RATE CONCAT]],Tables!I:N,6,0)),0)</f>
        <v>0</v>
      </c>
      <c r="DU46" s="3"/>
      <c r="DV46" s="3">
        <f>Table4[[#This Row],[Mar_2027_F]]-Table4[[#This Row],[Mar_2027_A]]</f>
        <v>0</v>
      </c>
      <c r="DW46" s="3">
        <f>IFERROR(Table4[[#This Row],[Apr_2027_Days_Forecast]]*Table4[[#This Row],[Cost Boolean]]*(VLOOKUP(Table4[[#This Row],[RATE CONCAT]],Tables!I:N,6,0)),0)</f>
        <v>0</v>
      </c>
      <c r="DX46" s="3"/>
      <c r="DY46" s="3">
        <f>Table4[[#This Row],[Apr_2027_F]]-Table4[[#This Row],[Apr_2027_A]]</f>
        <v>0</v>
      </c>
      <c r="DZ46" s="3">
        <f>IFERROR(Table4[[#This Row],[May_2027_Days_Forecast]]*Table4[[#This Row],[Cost Boolean]]*(VLOOKUP(Table4[[#This Row],[RATE CONCAT]],Tables!I:N,6,0)),0)</f>
        <v>0</v>
      </c>
      <c r="EA46" s="3"/>
      <c r="EB46" s="3">
        <f>Table4[[#This Row],[May_2027_F]]-Table4[[#This Row],[May_2027_A]]</f>
        <v>0</v>
      </c>
      <c r="EC46" s="3">
        <f>IFERROR(Table4[[#This Row],[Jun_2027_Days_Forecast]]*Table4[[#This Row],[Cost Boolean]]*(VLOOKUP(Table4[[#This Row],[RATE CONCAT]],Tables!I:N,6,0)),0)</f>
        <v>0</v>
      </c>
      <c r="ED46" s="3"/>
      <c r="EE46" s="3">
        <f>Table4[[#This Row],[Jun_2027_F]]-Table4[[#This Row],[Jun_2027_A]]</f>
        <v>0</v>
      </c>
      <c r="EF46" s="3">
        <f>IFERROR(Table4[[#This Row],[Jul_2027_Days_Forecast]]*Table4[[#This Row],[Cost Boolean]]*(VLOOKUP(Table4[[#This Row],[RATE CONCAT]],Tables!I:N,6,0)),0)</f>
        <v>0</v>
      </c>
      <c r="EG46" s="3"/>
      <c r="EH46" s="3">
        <f>Table4[[#This Row],[Jul_2027_F]]-Table4[[#This Row],[Jul_2027_A]]</f>
        <v>0</v>
      </c>
      <c r="EI46" s="3">
        <f>IFERROR(Table4[[#This Row],[Aug_2027_Days_Forecast]]*Table4[[#This Row],[Cost Boolean]]*(VLOOKUP(Table4[[#This Row],[RATE CONCAT]],Tables!I:N,6,0)),0)</f>
        <v>0</v>
      </c>
      <c r="EJ46" s="3"/>
      <c r="EK46" s="3">
        <f>Table4[[#This Row],[Aug_2027_F]]-Table4[[#This Row],[Aug_2027_A]]</f>
        <v>0</v>
      </c>
      <c r="EL46" s="3">
        <f>IFERROR(Table4[[#This Row],[Sep_2027_Days_Forecast]]*Table4[[#This Row],[Cost Boolean]]*(VLOOKUP(Table4[[#This Row],[RATE CONCAT]],Tables!I:N,6,0)),0)</f>
        <v>0</v>
      </c>
      <c r="EM46" s="3"/>
      <c r="EN46" s="3">
        <f>Table4[[#This Row],[Sep_2027_F]]-Table4[[#This Row],[Sep_2027_A]]</f>
        <v>0</v>
      </c>
      <c r="EO46" s="3">
        <f>IFERROR(Table4[[#This Row],[Oct_2027_Days_Forecast]]*Table4[[#This Row],[Cost Boolean]]*(VLOOKUP(Table4[[#This Row],[RATE CONCAT]],Tables!I:N,6,0)),0)</f>
        <v>0</v>
      </c>
      <c r="EP46" s="3"/>
      <c r="EQ46" s="3">
        <f>Table4[[#This Row],[Oct_2027_F]]-Table4[[#This Row],[Oct_2027_A]]</f>
        <v>0</v>
      </c>
      <c r="ER46" s="3">
        <f>IFERROR(Table4[[#This Row],[Nov_2027_Days_Forecast]]*Table4[[#This Row],[Cost Boolean]]*(VLOOKUP(Table4[[#This Row],[RATE CONCAT]],Tables!I:N,6,0)),0)</f>
        <v>0</v>
      </c>
      <c r="ES46" s="3"/>
      <c r="ET46" s="3">
        <f>Table4[[#This Row],[Nov_2027_F]]-Table4[[#This Row],[Nov_2027_A]]</f>
        <v>0</v>
      </c>
      <c r="EU46" s="3">
        <f>IFERROR(Table4[[#This Row],[Dec_2027_Days_Forecast]]*Table4[[#This Row],[Cost Boolean]]*(VLOOKUP(Table4[[#This Row],[RATE CONCAT]],Tables!I:N,6,0)),0)</f>
        <v>0</v>
      </c>
      <c r="EV46" s="3"/>
      <c r="EW46" s="3">
        <f>Table4[[#This Row],[Dec_2027_F]]-Table4[[#This Row],[Dec_2027_A]]</f>
        <v>0</v>
      </c>
    </row>
    <row r="47" spans="1:153" ht="1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2" t="str">
        <f>CONCATENATE(Table4[[#This Row],[JG]],Table4[[#This Row],[Country]],Table4[[#This Row],[Resource Provider]])</f>
        <v/>
      </c>
      <c r="Z47" s="132">
        <f>VLOOKUP(Table4[[#This Row],[RATE CONCAT]],Tables!I:N,5,0)</f>
        <v>0</v>
      </c>
      <c r="AA47" s="53"/>
      <c r="AB47" s="16"/>
      <c r="AC47" s="16"/>
      <c r="AD47" s="16"/>
      <c r="AE47" s="16"/>
      <c r="AF47" s="16"/>
      <c r="AG47" s="16"/>
      <c r="AH47" s="16"/>
      <c r="AI47" s="16"/>
      <c r="AJ47" s="16"/>
      <c r="AK47" s="16"/>
      <c r="AL47" s="16"/>
      <c r="AM47" s="16"/>
      <c r="AN47" s="53">
        <f>IFERROR(AVERAGE(Table4[[#This Row],[Jan_2026_Days_Forecast]:[Dec_2026_Days_Forecast]]),0)/19</f>
        <v>0</v>
      </c>
      <c r="AO47" s="53">
        <f>IFERROR(AVERAGE(Table4[[#This Row],[Jan_2026_Days_Actual]:[Dec_2026_Days_Actual]]),0)/19</f>
        <v>0</v>
      </c>
      <c r="AP47" s="84"/>
      <c r="AQ47" s="84"/>
      <c r="AR47" s="84"/>
      <c r="AS47" s="84"/>
      <c r="AT47" s="84"/>
      <c r="AU47" s="84"/>
      <c r="AV47" s="84"/>
      <c r="AW47" s="84"/>
      <c r="AX47" s="84"/>
      <c r="AY47" s="84"/>
      <c r="AZ47" s="84"/>
      <c r="BA47" s="84"/>
      <c r="BB47" s="53">
        <f>IFERROR(AVERAGE(Table4[[#This Row],[Jan_2027_Days_Forecast]:[Dec_2027_Days_Forecast]]),0)</f>
        <v>0</v>
      </c>
      <c r="BC47" s="16"/>
      <c r="BD47" s="16"/>
      <c r="BE47" s="16"/>
      <c r="BF47" s="16"/>
      <c r="BG47" s="16"/>
      <c r="BH47" s="16"/>
      <c r="BI47" s="16"/>
      <c r="BJ47" s="16"/>
      <c r="BK47" s="16"/>
      <c r="BL47" s="16"/>
      <c r="BM47" s="16"/>
      <c r="BN47" s="16"/>
      <c r="BO47" s="55"/>
      <c r="BP47" s="60"/>
      <c r="BQ47" s="3">
        <f>Table4[[#This Row],[Jan_2026_Days_Forecast]]*Table4[[#This Row],[Cost Boolean]]*VLOOKUP(Table4[[#This Row],[RATE CONCAT]],Tables!I:N,5,0)</f>
        <v>0</v>
      </c>
      <c r="BR47" s="3">
        <f>IFERROR(Table4[[#This Row],[Jan_2026_Days_Actual]]*Table4[[#This Row],[Cost Boolean]]*(VLOOKUP(Table4[[#This Row],[RATE CONCAT]],Tables!I:N,5,0)),0)</f>
        <v>0</v>
      </c>
      <c r="BS47" s="3">
        <f>Table4[[#This Row],[Jan_2026_F]]-Table4[[#This Row],[Jan_2026_A]]</f>
        <v>0</v>
      </c>
      <c r="BT47" s="107"/>
      <c r="BU47" s="3">
        <f>IFERROR(Table4[[#This Row],[Feb_2026_Days_Forecast]]*Table4[[#This Row],[Cost Boolean]]*(VLOOKUP(Table4[[#This Row],[RATE CONCAT]],Tables!I:N,5,0)),0)</f>
        <v>0</v>
      </c>
      <c r="BV47" s="3">
        <f>IFERROR(Table4[[#This Row],[Feb_2026_Days_Actual]]*Table4[[#This Row],[Cost Boolean]]*(VLOOKUP(Table4[[#This Row],[RATE CONCAT]],Tables!I:N,5,0)),0)</f>
        <v>0</v>
      </c>
      <c r="BW47" s="3">
        <f>Table4[[#This Row],[Feb_2026_F]]-Table4[[#This Row],[Feb_2026_A]]</f>
        <v>0</v>
      </c>
      <c r="BX47" s="103"/>
      <c r="BY47" s="3">
        <f>IFERROR(Table4[[#This Row],[Mar_2026_Days_Forecast]]*Table4[[#This Row],[Cost Boolean]]*(VLOOKUP(Table4[[#This Row],[RATE CONCAT]],Tables!I:N,5,0)),0)</f>
        <v>0</v>
      </c>
      <c r="BZ47" s="3">
        <f>IFERROR(Table4[[#This Row],[Mar_2026_Days_Actual]]*Table4[[#This Row],[Cost Boolean]]*(VLOOKUP(Table4[[#This Row],[RATE CONCAT]],Tables!I:N,5,0)),0)</f>
        <v>0</v>
      </c>
      <c r="CA47" s="3">
        <f>Table4[[#This Row],[Mar_2026_F]]-Table4[[#This Row],[Mar_2026_A]]</f>
        <v>0</v>
      </c>
      <c r="CB47" s="103"/>
      <c r="CC47" s="3">
        <f>IFERROR(Table4[[#This Row],[Apr_2026_Days_Forecast]]*Table4[[#This Row],[Cost Boolean]]*(VLOOKUP(Table4[[#This Row],[RATE CONCAT]],Tables!I:N,5,0)),0)</f>
        <v>0</v>
      </c>
      <c r="CD47" s="3">
        <f>IFERROR(Table4[[#This Row],[Apr_2026_Days_Actual]]*Table4[[#This Row],[Cost Boolean]]*(VLOOKUP(Table4[[#This Row],[RATE CONCAT]],Tables!I:N,5,0)),0)</f>
        <v>0</v>
      </c>
      <c r="CE47" s="3">
        <f>Table4[[#This Row],[Apr_2026_F]]-Table4[[#This Row],[Apr_2026_A]]</f>
        <v>0</v>
      </c>
      <c r="CF47" s="103"/>
      <c r="CG47" s="3">
        <f>IFERROR(Table4[[#This Row],[May_2026_Days_Forecast]] *Table4[[#This Row],[Cost Boolean]]*(VLOOKUP(Table4[[#This Row],[RATE CONCAT]],Tables!I:N,5,0)),0)</f>
        <v>0</v>
      </c>
      <c r="CH47" s="3">
        <f>IFERROR(Table4[[#This Row],[May_2026_Days_Actual]]*Table4[[#This Row],[Cost Boolean]]*(VLOOKUP(Table4[[#This Row],[RATE CONCAT]],Tables!I:N,5,0)),0)</f>
        <v>0</v>
      </c>
      <c r="CI47" s="3">
        <f>Table4[[#This Row],[May_2026_F]]-Table4[[#This Row],[May_2026_A]]</f>
        <v>0</v>
      </c>
      <c r="CJ47" s="103"/>
      <c r="CK47" s="3">
        <f>IFERROR(Table4[[#This Row],[Jun_2026_Days_Forecast]]*Table4[[#This Row],[Cost Boolean]]*(VLOOKUP(Table4[[#This Row],[RATE CONCAT]],Tables!I:N,5,0)),0)</f>
        <v>0</v>
      </c>
      <c r="CL47" s="3">
        <f>IFERROR(Table4[[#This Row],[Jun_2026_Days_Actual]]*Table4[[#This Row],[Cost Boolean]]*(VLOOKUP(Table4[[#This Row],[RATE CONCAT]],Tables!I:N,5,0)),0)</f>
        <v>0</v>
      </c>
      <c r="CM47" s="3">
        <f>Table4[[#This Row],[Jun_2026_F]]-Table4[[#This Row],[Jun_2026_A]]</f>
        <v>0</v>
      </c>
      <c r="CN47" s="103"/>
      <c r="CO47" s="3">
        <f>IFERROR(Table4[[#This Row],[Jul_2026_Days_Forecast]]*Table4[[#This Row],[Cost Boolean]]*(VLOOKUP(Table4[[#This Row],[RATE CONCAT]],Tables!I:N,5,0)),0)</f>
        <v>0</v>
      </c>
      <c r="CP47" s="3">
        <f>IFERROR(Table4[[#This Row],[Aug_2026_Days_Forecast]]*Table4[[#This Row],[Location]]*(VLOOKUP(Table4[[#This Row],[Rate]],Tables!J:O,5,0)),0)</f>
        <v>0</v>
      </c>
      <c r="CQ47" s="3">
        <f>Table4[[#This Row],[Jul_2026_F]]-Table4[[#This Row],[Jul_2026_A]]</f>
        <v>0</v>
      </c>
      <c r="CR47" s="103"/>
      <c r="CS47" s="3">
        <f>IFERROR(Table4[[#This Row],[Aug_2026_Days_Forecast]]*Table4[[#This Row],[Cost Boolean]]*(VLOOKUP(Table4[[#This Row],[RATE CONCAT]],Tables!I:N,5,0)),0)</f>
        <v>0</v>
      </c>
      <c r="CT47" s="3">
        <f>IFERROR(Table4[[#This Row],[Aug_2026_Days_Actual]]*Table4[[#This Row],[Cost Boolean]]*(VLOOKUP(Table4[[#This Row],[RATE CONCAT]],Tables!I:N,5,0)),0)</f>
        <v>0</v>
      </c>
      <c r="CU47" s="3">
        <f>Table4[[#This Row],[Aug_2026_F]]-Table4[[#This Row],[Aug_2026_A]]</f>
        <v>0</v>
      </c>
      <c r="CV47" s="103"/>
      <c r="CW47" s="3">
        <f>IFERROR(Table4[[#This Row],[Sep_2026_Days_Forecast]]*Table4[[#This Row],[Cost Boolean]]*(VLOOKUP(Table4[[#This Row],[RATE CONCAT]],Tables!I:N,5,0)),0)</f>
        <v>0</v>
      </c>
      <c r="CX47" s="3">
        <f>IFERROR(Table4[[#This Row],[Sep_2026_Days_Actual]]*Table4[[#This Row],[Cost Boolean]]*(VLOOKUP(Table4[[#This Row],[RATE CONCAT]],Tables!I:N,5,0)),0)</f>
        <v>0</v>
      </c>
      <c r="CY47" s="3">
        <f>Table4[[#This Row],[Sep_2026_F]]-Table4[[#This Row],[Sep_2026_A]]</f>
        <v>0</v>
      </c>
      <c r="CZ47" s="103"/>
      <c r="DA47" s="3">
        <f>IFERROR(Table4[[#This Row],[Oct_2026_Days_Forecast]]*Table4[[#This Row],[Cost Boolean]]*(VLOOKUP(Table4[[#This Row],[RATE CONCAT]],Tables!I:N,5,0)),0)</f>
        <v>0</v>
      </c>
      <c r="DB47" s="3">
        <f>IFERROR(Table4[[#This Row],[Oct_2026_Days_Actual]]*Table4[[#This Row],[Cost Boolean]]*(VLOOKUP(Table4[[#This Row],[RATE CONCAT]],Tables!I:N,5,0)),0)</f>
        <v>0</v>
      </c>
      <c r="DC47" s="3">
        <f>Table4[[#This Row],[Oct_2026_F]]-Table4[[#This Row],[Oct_2026_A]]</f>
        <v>0</v>
      </c>
      <c r="DD47" s="103"/>
      <c r="DE47" s="3">
        <f>IFERROR(Table4[[#This Row],[Nov_2026_Days_Forecast]]*Table4[[#This Row],[Cost Boolean]]*(VLOOKUP(Table4[[#This Row],[RATE CONCAT]],Tables!I:N,5,0)),0)</f>
        <v>0</v>
      </c>
      <c r="DF47" s="3">
        <f>IFERROR(Table4[[#This Row],[Nov_2026_Days_Actual]]*Table4[[#This Row],[Cost Boolean]]*(VLOOKUP(Table4[[#This Row],[RATE CONCAT]],Tables!I:N,5,0)),0)</f>
        <v>0</v>
      </c>
      <c r="DG47" s="3">
        <f>Table4[[#This Row],[Nov_2026_F]]-Table4[[#This Row],[Nov_2026_A]]</f>
        <v>0</v>
      </c>
      <c r="DH47" s="103"/>
      <c r="DI47" s="3">
        <f>IFERROR(Table4[[#This Row],[Dec_2026_Days_Forecast]]*Table4[[#This Row],[Cost Boolean]]*(VLOOKUP(Table4[[#This Row],[RATE CONCAT]],Tables!I:N,5,0)),0)</f>
        <v>0</v>
      </c>
      <c r="DJ47" s="3">
        <f>IFERROR(Table4[[#This Row],[Dec_2026_Days_Actual]]*Table4[[#This Row],[Cost Boolean]]*(VLOOKUP(Table4[[#This Row],[RATE CONCAT]],Tables!I:N,5,0)),0)</f>
        <v>0</v>
      </c>
      <c r="DK47" s="3">
        <f>Table4[[#This Row],[Dec_2026_F]]-Table4[[#This Row],[Dec_2026_A]]</f>
        <v>0</v>
      </c>
      <c r="DL47" s="103"/>
      <c r="DM47" s="60"/>
      <c r="DN47" s="3">
        <f>IFERROR(Table4[[#This Row],[Jan_2027_Days_Forecast]]*Table4[[#This Row],[Cost Boolean]]*(VLOOKUP(Table4[[#This Row],[RATE CONCAT]],Tables!I:N,6,0)),0)</f>
        <v>0</v>
      </c>
      <c r="DO47" s="3"/>
      <c r="DP47" s="3">
        <f>Table4[[#This Row],[Jan_2027_F]]-Table4[[#This Row],[Jan_2027_A]]</f>
        <v>0</v>
      </c>
      <c r="DQ47" s="3">
        <f>IFERROR(Table4[[#This Row],[Feb_2027_Days_Forecast]]*Table4[[#This Row],[Cost Boolean]]*(VLOOKUP(Table4[[#This Row],[RATE CONCAT]],Tables!I:N,6,0)),0)</f>
        <v>0</v>
      </c>
      <c r="DR47" s="3"/>
      <c r="DS47" s="3">
        <f>Table4[[#This Row],[Feb_2027_F]]-Table4[[#This Row],[Feb_2027_A]]</f>
        <v>0</v>
      </c>
      <c r="DT47" s="3">
        <f>IFERROR(Table4[[#This Row],[Mar_2027_Days_Forecast]]*Table4[[#This Row],[Cost Boolean]]*(VLOOKUP(Table4[[#This Row],[RATE CONCAT]],Tables!I:N,6,0)),0)</f>
        <v>0</v>
      </c>
      <c r="DU47" s="3"/>
      <c r="DV47" s="3">
        <f>Table4[[#This Row],[Mar_2027_F]]-Table4[[#This Row],[Mar_2027_A]]</f>
        <v>0</v>
      </c>
      <c r="DW47" s="3">
        <f>IFERROR(Table4[[#This Row],[Apr_2027_Days_Forecast]]*Table4[[#This Row],[Cost Boolean]]*(VLOOKUP(Table4[[#This Row],[RATE CONCAT]],Tables!I:N,6,0)),0)</f>
        <v>0</v>
      </c>
      <c r="DX47" s="3"/>
      <c r="DY47" s="3">
        <f>Table4[[#This Row],[Apr_2027_F]]-Table4[[#This Row],[Apr_2027_A]]</f>
        <v>0</v>
      </c>
      <c r="DZ47" s="3">
        <f>IFERROR(Table4[[#This Row],[May_2027_Days_Forecast]]*Table4[[#This Row],[Cost Boolean]]*(VLOOKUP(Table4[[#This Row],[RATE CONCAT]],Tables!I:N,6,0)),0)</f>
        <v>0</v>
      </c>
      <c r="EA47" s="3"/>
      <c r="EB47" s="3">
        <f>Table4[[#This Row],[May_2027_F]]-Table4[[#This Row],[May_2027_A]]</f>
        <v>0</v>
      </c>
      <c r="EC47" s="3">
        <f>IFERROR(Table4[[#This Row],[Jun_2027_Days_Forecast]]*Table4[[#This Row],[Cost Boolean]]*(VLOOKUP(Table4[[#This Row],[RATE CONCAT]],Tables!I:N,6,0)),0)</f>
        <v>0</v>
      </c>
      <c r="ED47" s="3"/>
      <c r="EE47" s="3">
        <f>Table4[[#This Row],[Jun_2027_F]]-Table4[[#This Row],[Jun_2027_A]]</f>
        <v>0</v>
      </c>
      <c r="EF47" s="3">
        <f>IFERROR(Table4[[#This Row],[Jul_2027_Days_Forecast]]*Table4[[#This Row],[Cost Boolean]]*(VLOOKUP(Table4[[#This Row],[RATE CONCAT]],Tables!I:N,6,0)),0)</f>
        <v>0</v>
      </c>
      <c r="EG47" s="3"/>
      <c r="EH47" s="3">
        <f>Table4[[#This Row],[Jul_2027_F]]-Table4[[#This Row],[Jul_2027_A]]</f>
        <v>0</v>
      </c>
      <c r="EI47" s="3">
        <f>IFERROR(Table4[[#This Row],[Aug_2027_Days_Forecast]]*Table4[[#This Row],[Cost Boolean]]*(VLOOKUP(Table4[[#This Row],[RATE CONCAT]],Tables!I:N,6,0)),0)</f>
        <v>0</v>
      </c>
      <c r="EJ47" s="3"/>
      <c r="EK47" s="3">
        <f>Table4[[#This Row],[Aug_2027_F]]-Table4[[#This Row],[Aug_2027_A]]</f>
        <v>0</v>
      </c>
      <c r="EL47" s="3">
        <f>IFERROR(Table4[[#This Row],[Sep_2027_Days_Forecast]]*Table4[[#This Row],[Cost Boolean]]*(VLOOKUP(Table4[[#This Row],[RATE CONCAT]],Tables!I:N,6,0)),0)</f>
        <v>0</v>
      </c>
      <c r="EM47" s="3"/>
      <c r="EN47" s="3">
        <f>Table4[[#This Row],[Sep_2027_F]]-Table4[[#This Row],[Sep_2027_A]]</f>
        <v>0</v>
      </c>
      <c r="EO47" s="3">
        <f>IFERROR(Table4[[#This Row],[Oct_2027_Days_Forecast]]*Table4[[#This Row],[Cost Boolean]]*(VLOOKUP(Table4[[#This Row],[RATE CONCAT]],Tables!I:N,6,0)),0)</f>
        <v>0</v>
      </c>
      <c r="EP47" s="3"/>
      <c r="EQ47" s="3">
        <f>Table4[[#This Row],[Oct_2027_F]]-Table4[[#This Row],[Oct_2027_A]]</f>
        <v>0</v>
      </c>
      <c r="ER47" s="3">
        <f>IFERROR(Table4[[#This Row],[Nov_2027_Days_Forecast]]*Table4[[#This Row],[Cost Boolean]]*(VLOOKUP(Table4[[#This Row],[RATE CONCAT]],Tables!I:N,6,0)),0)</f>
        <v>0</v>
      </c>
      <c r="ES47" s="3"/>
      <c r="ET47" s="3">
        <f>Table4[[#This Row],[Nov_2027_F]]-Table4[[#This Row],[Nov_2027_A]]</f>
        <v>0</v>
      </c>
      <c r="EU47" s="3">
        <f>IFERROR(Table4[[#This Row],[Dec_2027_Days_Forecast]]*Table4[[#This Row],[Cost Boolean]]*(VLOOKUP(Table4[[#This Row],[RATE CONCAT]],Tables!I:N,6,0)),0)</f>
        <v>0</v>
      </c>
      <c r="EV47" s="3"/>
      <c r="EW47" s="3">
        <f>Table4[[#This Row],[Dec_2027_F]]-Table4[[#This Row],[Dec_2027_A]]</f>
        <v>0</v>
      </c>
    </row>
    <row r="48" spans="1:153" ht="1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2" t="str">
        <f>CONCATENATE(Table4[[#This Row],[JG]],Table4[[#This Row],[Country]],Table4[[#This Row],[Resource Provider]])</f>
        <v/>
      </c>
      <c r="Z48" s="132">
        <f>VLOOKUP(Table4[[#This Row],[RATE CONCAT]],Tables!I:N,5,0)</f>
        <v>0</v>
      </c>
      <c r="AA48" s="53"/>
      <c r="AB48" s="16"/>
      <c r="AC48" s="16"/>
      <c r="AD48" s="16"/>
      <c r="AE48" s="16"/>
      <c r="AF48" s="16"/>
      <c r="AG48" s="16"/>
      <c r="AH48" s="16"/>
      <c r="AI48" s="16"/>
      <c r="AJ48" s="16"/>
      <c r="AK48" s="16"/>
      <c r="AL48" s="16"/>
      <c r="AM48" s="16"/>
      <c r="AN48" s="53">
        <f>IFERROR(AVERAGE(Table4[[#This Row],[Jan_2026_Days_Forecast]:[Dec_2026_Days_Forecast]]),0)/19</f>
        <v>0</v>
      </c>
      <c r="AO48" s="53">
        <f>IFERROR(AVERAGE(Table4[[#This Row],[Jan_2026_Days_Actual]:[Dec_2026_Days_Actual]]),0)/19</f>
        <v>0</v>
      </c>
      <c r="AP48" s="84"/>
      <c r="AQ48" s="84"/>
      <c r="AR48" s="84"/>
      <c r="AS48" s="84"/>
      <c r="AT48" s="84"/>
      <c r="AU48" s="84"/>
      <c r="AV48" s="84"/>
      <c r="AW48" s="84"/>
      <c r="AX48" s="84"/>
      <c r="AY48" s="84"/>
      <c r="AZ48" s="84"/>
      <c r="BA48" s="84"/>
      <c r="BB48" s="53">
        <f>IFERROR(AVERAGE(Table4[[#This Row],[Jan_2027_Days_Forecast]:[Dec_2027_Days_Forecast]]),0)</f>
        <v>0</v>
      </c>
      <c r="BC48" s="16"/>
      <c r="BD48" s="16"/>
      <c r="BE48" s="16"/>
      <c r="BF48" s="16"/>
      <c r="BG48" s="16"/>
      <c r="BH48" s="16"/>
      <c r="BI48" s="16"/>
      <c r="BJ48" s="16"/>
      <c r="BK48" s="16"/>
      <c r="BL48" s="16"/>
      <c r="BM48" s="16"/>
      <c r="BN48" s="16"/>
      <c r="BO48" s="55"/>
      <c r="BP48" s="60"/>
      <c r="BQ48" s="3">
        <f>Table4[[#This Row],[Jan_2026_Days_Forecast]]*Table4[[#This Row],[Cost Boolean]]*VLOOKUP(Table4[[#This Row],[RATE CONCAT]],Tables!I:N,5,0)</f>
        <v>0</v>
      </c>
      <c r="BR48" s="3">
        <f>IFERROR(Table4[[#This Row],[Jan_2026_Days_Actual]]*Table4[[#This Row],[Cost Boolean]]*(VLOOKUP(Table4[[#This Row],[RATE CONCAT]],Tables!I:N,5,0)),0)</f>
        <v>0</v>
      </c>
      <c r="BS48" s="3">
        <f>Table4[[#This Row],[Jan_2026_F]]-Table4[[#This Row],[Jan_2026_A]]</f>
        <v>0</v>
      </c>
      <c r="BT48" s="107"/>
      <c r="BU48" s="3">
        <f>IFERROR(Table4[[#This Row],[Feb_2026_Days_Forecast]]*Table4[[#This Row],[Cost Boolean]]*(VLOOKUP(Table4[[#This Row],[RATE CONCAT]],Tables!I:N,5,0)),0)</f>
        <v>0</v>
      </c>
      <c r="BV48" s="3">
        <f>IFERROR(Table4[[#This Row],[Feb_2026_Days_Actual]]*Table4[[#This Row],[Cost Boolean]]*(VLOOKUP(Table4[[#This Row],[RATE CONCAT]],Tables!I:N,5,0)),0)</f>
        <v>0</v>
      </c>
      <c r="BW48" s="3">
        <f>Table4[[#This Row],[Feb_2026_F]]-Table4[[#This Row],[Feb_2026_A]]</f>
        <v>0</v>
      </c>
      <c r="BX48" s="103"/>
      <c r="BY48" s="3">
        <f>IFERROR(Table4[[#This Row],[Mar_2026_Days_Forecast]]*Table4[[#This Row],[Cost Boolean]]*(VLOOKUP(Table4[[#This Row],[RATE CONCAT]],Tables!I:N,5,0)),0)</f>
        <v>0</v>
      </c>
      <c r="BZ48" s="3">
        <f>IFERROR(Table4[[#This Row],[Mar_2026_Days_Actual]]*Table4[[#This Row],[Cost Boolean]]*(VLOOKUP(Table4[[#This Row],[RATE CONCAT]],Tables!I:N,5,0)),0)</f>
        <v>0</v>
      </c>
      <c r="CA48" s="3">
        <f>Table4[[#This Row],[Mar_2026_F]]-Table4[[#This Row],[Mar_2026_A]]</f>
        <v>0</v>
      </c>
      <c r="CB48" s="103"/>
      <c r="CC48" s="3">
        <f>IFERROR(Table4[[#This Row],[Apr_2026_Days_Forecast]]*Table4[[#This Row],[Cost Boolean]]*(VLOOKUP(Table4[[#This Row],[RATE CONCAT]],Tables!I:N,5,0)),0)</f>
        <v>0</v>
      </c>
      <c r="CD48" s="3">
        <f>IFERROR(Table4[[#This Row],[Apr_2026_Days_Actual]]*Table4[[#This Row],[Cost Boolean]]*(VLOOKUP(Table4[[#This Row],[RATE CONCAT]],Tables!I:N,5,0)),0)</f>
        <v>0</v>
      </c>
      <c r="CE48" s="3">
        <f>Table4[[#This Row],[Apr_2026_F]]-Table4[[#This Row],[Apr_2026_A]]</f>
        <v>0</v>
      </c>
      <c r="CF48" s="103"/>
      <c r="CG48" s="3">
        <f>IFERROR(Table4[[#This Row],[May_2026_Days_Forecast]] *Table4[[#This Row],[Cost Boolean]]*(VLOOKUP(Table4[[#This Row],[RATE CONCAT]],Tables!I:N,5,0)),0)</f>
        <v>0</v>
      </c>
      <c r="CH48" s="3">
        <f>IFERROR(Table4[[#This Row],[May_2026_Days_Actual]]*Table4[[#This Row],[Cost Boolean]]*(VLOOKUP(Table4[[#This Row],[RATE CONCAT]],Tables!I:N,5,0)),0)</f>
        <v>0</v>
      </c>
      <c r="CI48" s="3">
        <f>Table4[[#This Row],[May_2026_F]]-Table4[[#This Row],[May_2026_A]]</f>
        <v>0</v>
      </c>
      <c r="CJ48" s="103"/>
      <c r="CK48" s="3">
        <f>IFERROR(Table4[[#This Row],[Jun_2026_Days_Forecast]]*Table4[[#This Row],[Cost Boolean]]*(VLOOKUP(Table4[[#This Row],[RATE CONCAT]],Tables!I:N,5,0)),0)</f>
        <v>0</v>
      </c>
      <c r="CL48" s="3">
        <f>IFERROR(Table4[[#This Row],[Jun_2026_Days_Actual]]*Table4[[#This Row],[Cost Boolean]]*(VLOOKUP(Table4[[#This Row],[RATE CONCAT]],Tables!I:N,5,0)),0)</f>
        <v>0</v>
      </c>
      <c r="CM48" s="3">
        <f>Table4[[#This Row],[Jun_2026_F]]-Table4[[#This Row],[Jun_2026_A]]</f>
        <v>0</v>
      </c>
      <c r="CN48" s="103"/>
      <c r="CO48" s="3">
        <f>IFERROR(Table4[[#This Row],[Jul_2026_Days_Forecast]]*Table4[[#This Row],[Cost Boolean]]*(VLOOKUP(Table4[[#This Row],[RATE CONCAT]],Tables!I:N,5,0)),0)</f>
        <v>0</v>
      </c>
      <c r="CP48" s="3">
        <f>IFERROR(Table4[[#This Row],[Aug_2026_Days_Forecast]]*Table4[[#This Row],[Location]]*(VLOOKUP(Table4[[#This Row],[Rate]],Tables!J:O,5,0)),0)</f>
        <v>0</v>
      </c>
      <c r="CQ48" s="3">
        <f>Table4[[#This Row],[Jul_2026_F]]-Table4[[#This Row],[Jul_2026_A]]</f>
        <v>0</v>
      </c>
      <c r="CR48" s="103"/>
      <c r="CS48" s="3">
        <f>IFERROR(Table4[[#This Row],[Aug_2026_Days_Forecast]]*Table4[[#This Row],[Cost Boolean]]*(VLOOKUP(Table4[[#This Row],[RATE CONCAT]],Tables!I:N,5,0)),0)</f>
        <v>0</v>
      </c>
      <c r="CT48" s="3">
        <f>IFERROR(Table4[[#This Row],[Aug_2026_Days_Actual]]*Table4[[#This Row],[Cost Boolean]]*(VLOOKUP(Table4[[#This Row],[RATE CONCAT]],Tables!I:N,5,0)),0)</f>
        <v>0</v>
      </c>
      <c r="CU48" s="3">
        <f>Table4[[#This Row],[Aug_2026_F]]-Table4[[#This Row],[Aug_2026_A]]</f>
        <v>0</v>
      </c>
      <c r="CV48" s="103"/>
      <c r="CW48" s="3">
        <f>IFERROR(Table4[[#This Row],[Sep_2026_Days_Forecast]]*Table4[[#This Row],[Cost Boolean]]*(VLOOKUP(Table4[[#This Row],[RATE CONCAT]],Tables!I:N,5,0)),0)</f>
        <v>0</v>
      </c>
      <c r="CX48" s="3">
        <f>IFERROR(Table4[[#This Row],[Sep_2026_Days_Actual]]*Table4[[#This Row],[Cost Boolean]]*(VLOOKUP(Table4[[#This Row],[RATE CONCAT]],Tables!I:N,5,0)),0)</f>
        <v>0</v>
      </c>
      <c r="CY48" s="3">
        <f>Table4[[#This Row],[Sep_2026_F]]-Table4[[#This Row],[Sep_2026_A]]</f>
        <v>0</v>
      </c>
      <c r="CZ48" s="103"/>
      <c r="DA48" s="3">
        <f>IFERROR(Table4[[#This Row],[Oct_2026_Days_Forecast]]*Table4[[#This Row],[Cost Boolean]]*(VLOOKUP(Table4[[#This Row],[RATE CONCAT]],Tables!I:N,5,0)),0)</f>
        <v>0</v>
      </c>
      <c r="DB48" s="3">
        <f>IFERROR(Table4[[#This Row],[Oct_2026_Days_Actual]]*Table4[[#This Row],[Cost Boolean]]*(VLOOKUP(Table4[[#This Row],[RATE CONCAT]],Tables!I:N,5,0)),0)</f>
        <v>0</v>
      </c>
      <c r="DC48" s="3">
        <f>Table4[[#This Row],[Oct_2026_F]]-Table4[[#This Row],[Oct_2026_A]]</f>
        <v>0</v>
      </c>
      <c r="DD48" s="103"/>
      <c r="DE48" s="3">
        <f>IFERROR(Table4[[#This Row],[Nov_2026_Days_Forecast]]*Table4[[#This Row],[Cost Boolean]]*(VLOOKUP(Table4[[#This Row],[RATE CONCAT]],Tables!I:N,5,0)),0)</f>
        <v>0</v>
      </c>
      <c r="DF48" s="3">
        <f>IFERROR(Table4[[#This Row],[Nov_2026_Days_Actual]]*Table4[[#This Row],[Cost Boolean]]*(VLOOKUP(Table4[[#This Row],[RATE CONCAT]],Tables!I:N,5,0)),0)</f>
        <v>0</v>
      </c>
      <c r="DG48" s="3">
        <f>Table4[[#This Row],[Nov_2026_F]]-Table4[[#This Row],[Nov_2026_A]]</f>
        <v>0</v>
      </c>
      <c r="DH48" s="103"/>
      <c r="DI48" s="3">
        <f>IFERROR(Table4[[#This Row],[Dec_2026_Days_Forecast]]*Table4[[#This Row],[Cost Boolean]]*(VLOOKUP(Table4[[#This Row],[RATE CONCAT]],Tables!I:N,5,0)),0)</f>
        <v>0</v>
      </c>
      <c r="DJ48" s="3">
        <f>IFERROR(Table4[[#This Row],[Dec_2026_Days_Actual]]*Table4[[#This Row],[Cost Boolean]]*(VLOOKUP(Table4[[#This Row],[RATE CONCAT]],Tables!I:N,5,0)),0)</f>
        <v>0</v>
      </c>
      <c r="DK48" s="3">
        <f>Table4[[#This Row],[Dec_2026_F]]-Table4[[#This Row],[Dec_2026_A]]</f>
        <v>0</v>
      </c>
      <c r="DL48" s="103"/>
      <c r="DM48" s="60"/>
      <c r="DN48" s="3">
        <f>IFERROR(Table4[[#This Row],[Jan_2027_Days_Forecast]]*Table4[[#This Row],[Cost Boolean]]*(VLOOKUP(Table4[[#This Row],[RATE CONCAT]],Tables!I:N,6,0)),0)</f>
        <v>0</v>
      </c>
      <c r="DO48" s="3"/>
      <c r="DP48" s="3">
        <f>Table4[[#This Row],[Jan_2027_F]]-Table4[[#This Row],[Jan_2027_A]]</f>
        <v>0</v>
      </c>
      <c r="DQ48" s="3">
        <f>IFERROR(Table4[[#This Row],[Feb_2027_Days_Forecast]]*Table4[[#This Row],[Cost Boolean]]*(VLOOKUP(Table4[[#This Row],[RATE CONCAT]],Tables!I:N,6,0)),0)</f>
        <v>0</v>
      </c>
      <c r="DR48" s="3"/>
      <c r="DS48" s="3">
        <f>Table4[[#This Row],[Feb_2027_F]]-Table4[[#This Row],[Feb_2027_A]]</f>
        <v>0</v>
      </c>
      <c r="DT48" s="3">
        <f>IFERROR(Table4[[#This Row],[Mar_2027_Days_Forecast]]*Table4[[#This Row],[Cost Boolean]]*(VLOOKUP(Table4[[#This Row],[RATE CONCAT]],Tables!I:N,6,0)),0)</f>
        <v>0</v>
      </c>
      <c r="DU48" s="3"/>
      <c r="DV48" s="3">
        <f>Table4[[#This Row],[Mar_2027_F]]-Table4[[#This Row],[Mar_2027_A]]</f>
        <v>0</v>
      </c>
      <c r="DW48" s="3">
        <f>IFERROR(Table4[[#This Row],[Apr_2027_Days_Forecast]]*Table4[[#This Row],[Cost Boolean]]*(VLOOKUP(Table4[[#This Row],[RATE CONCAT]],Tables!I:N,6,0)),0)</f>
        <v>0</v>
      </c>
      <c r="DX48" s="3"/>
      <c r="DY48" s="3">
        <f>Table4[[#This Row],[Apr_2027_F]]-Table4[[#This Row],[Apr_2027_A]]</f>
        <v>0</v>
      </c>
      <c r="DZ48" s="3">
        <f>IFERROR(Table4[[#This Row],[May_2027_Days_Forecast]]*Table4[[#This Row],[Cost Boolean]]*(VLOOKUP(Table4[[#This Row],[RATE CONCAT]],Tables!I:N,6,0)),0)</f>
        <v>0</v>
      </c>
      <c r="EA48" s="3"/>
      <c r="EB48" s="3">
        <f>Table4[[#This Row],[May_2027_F]]-Table4[[#This Row],[May_2027_A]]</f>
        <v>0</v>
      </c>
      <c r="EC48" s="3">
        <f>IFERROR(Table4[[#This Row],[Jun_2027_Days_Forecast]]*Table4[[#This Row],[Cost Boolean]]*(VLOOKUP(Table4[[#This Row],[RATE CONCAT]],Tables!I:N,6,0)),0)</f>
        <v>0</v>
      </c>
      <c r="ED48" s="3"/>
      <c r="EE48" s="3">
        <f>Table4[[#This Row],[Jun_2027_F]]-Table4[[#This Row],[Jun_2027_A]]</f>
        <v>0</v>
      </c>
      <c r="EF48" s="3">
        <f>IFERROR(Table4[[#This Row],[Jul_2027_Days_Forecast]]*Table4[[#This Row],[Cost Boolean]]*(VLOOKUP(Table4[[#This Row],[RATE CONCAT]],Tables!I:N,6,0)),0)</f>
        <v>0</v>
      </c>
      <c r="EG48" s="3"/>
      <c r="EH48" s="3">
        <f>Table4[[#This Row],[Jul_2027_F]]-Table4[[#This Row],[Jul_2027_A]]</f>
        <v>0</v>
      </c>
      <c r="EI48" s="3">
        <f>IFERROR(Table4[[#This Row],[Aug_2027_Days_Forecast]]*Table4[[#This Row],[Cost Boolean]]*(VLOOKUP(Table4[[#This Row],[RATE CONCAT]],Tables!I:N,6,0)),0)</f>
        <v>0</v>
      </c>
      <c r="EJ48" s="3"/>
      <c r="EK48" s="3">
        <f>Table4[[#This Row],[Aug_2027_F]]-Table4[[#This Row],[Aug_2027_A]]</f>
        <v>0</v>
      </c>
      <c r="EL48" s="3">
        <f>IFERROR(Table4[[#This Row],[Sep_2027_Days_Forecast]]*Table4[[#This Row],[Cost Boolean]]*(VLOOKUP(Table4[[#This Row],[RATE CONCAT]],Tables!I:N,6,0)),0)</f>
        <v>0</v>
      </c>
      <c r="EM48" s="3"/>
      <c r="EN48" s="3">
        <f>Table4[[#This Row],[Sep_2027_F]]-Table4[[#This Row],[Sep_2027_A]]</f>
        <v>0</v>
      </c>
      <c r="EO48" s="3">
        <f>IFERROR(Table4[[#This Row],[Oct_2027_Days_Forecast]]*Table4[[#This Row],[Cost Boolean]]*(VLOOKUP(Table4[[#This Row],[RATE CONCAT]],Tables!I:N,6,0)),0)</f>
        <v>0</v>
      </c>
      <c r="EP48" s="3"/>
      <c r="EQ48" s="3">
        <f>Table4[[#This Row],[Oct_2027_F]]-Table4[[#This Row],[Oct_2027_A]]</f>
        <v>0</v>
      </c>
      <c r="ER48" s="3">
        <f>IFERROR(Table4[[#This Row],[Nov_2027_Days_Forecast]]*Table4[[#This Row],[Cost Boolean]]*(VLOOKUP(Table4[[#This Row],[RATE CONCAT]],Tables!I:N,6,0)),0)</f>
        <v>0</v>
      </c>
      <c r="ES48" s="3"/>
      <c r="ET48" s="3">
        <f>Table4[[#This Row],[Nov_2027_F]]-Table4[[#This Row],[Nov_2027_A]]</f>
        <v>0</v>
      </c>
      <c r="EU48" s="3">
        <f>IFERROR(Table4[[#This Row],[Dec_2027_Days_Forecast]]*Table4[[#This Row],[Cost Boolean]]*(VLOOKUP(Table4[[#This Row],[RATE CONCAT]],Tables!I:N,6,0)),0)</f>
        <v>0</v>
      </c>
      <c r="EV48" s="3"/>
      <c r="EW48" s="3">
        <f>Table4[[#This Row],[Dec_2027_F]]-Table4[[#This Row],[Dec_2027_A]]</f>
        <v>0</v>
      </c>
    </row>
    <row r="49" spans="1:153" ht="1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2" t="str">
        <f>CONCATENATE(Table4[[#This Row],[JG]],Table4[[#This Row],[Country]],Table4[[#This Row],[Resource Provider]])</f>
        <v/>
      </c>
      <c r="Z49" s="132">
        <f>VLOOKUP(Table4[[#This Row],[RATE CONCAT]],Tables!I:N,5,0)</f>
        <v>0</v>
      </c>
      <c r="AA49" s="53"/>
      <c r="AB49" s="16"/>
      <c r="AC49" s="16"/>
      <c r="AD49" s="16"/>
      <c r="AE49" s="16"/>
      <c r="AF49" s="16"/>
      <c r="AG49" s="16"/>
      <c r="AH49" s="16"/>
      <c r="AI49" s="16"/>
      <c r="AJ49" s="16"/>
      <c r="AK49" s="16"/>
      <c r="AL49" s="16"/>
      <c r="AM49" s="16"/>
      <c r="AN49" s="53">
        <f>IFERROR(AVERAGE(Table4[[#This Row],[Jan_2026_Days_Forecast]:[Dec_2026_Days_Forecast]]),0)/19</f>
        <v>0</v>
      </c>
      <c r="AO49" s="53">
        <f>IFERROR(AVERAGE(Table4[[#This Row],[Jan_2026_Days_Actual]:[Dec_2026_Days_Actual]]),0)/19</f>
        <v>0</v>
      </c>
      <c r="AP49" s="84"/>
      <c r="AQ49" s="84"/>
      <c r="AR49" s="84"/>
      <c r="AS49" s="84"/>
      <c r="AT49" s="84"/>
      <c r="AU49" s="84"/>
      <c r="AV49" s="84"/>
      <c r="AW49" s="84"/>
      <c r="AX49" s="84"/>
      <c r="AY49" s="84"/>
      <c r="AZ49" s="84"/>
      <c r="BA49" s="84"/>
      <c r="BB49" s="53">
        <f>IFERROR(AVERAGE(Table4[[#This Row],[Jan_2027_Days_Forecast]:[Dec_2027_Days_Forecast]]),0)</f>
        <v>0</v>
      </c>
      <c r="BC49" s="16"/>
      <c r="BD49" s="16"/>
      <c r="BE49" s="16"/>
      <c r="BF49" s="16"/>
      <c r="BG49" s="16"/>
      <c r="BH49" s="16"/>
      <c r="BI49" s="16"/>
      <c r="BJ49" s="16"/>
      <c r="BK49" s="16"/>
      <c r="BL49" s="16"/>
      <c r="BM49" s="16"/>
      <c r="BN49" s="16"/>
      <c r="BO49" s="55"/>
      <c r="BP49" s="60"/>
      <c r="BQ49" s="3">
        <f>Table4[[#This Row],[Jan_2026_Days_Forecast]]*Table4[[#This Row],[Cost Boolean]]*VLOOKUP(Table4[[#This Row],[RATE CONCAT]],Tables!I:N,5,0)</f>
        <v>0</v>
      </c>
      <c r="BR49" s="3">
        <f>IFERROR(Table4[[#This Row],[Jan_2026_Days_Actual]]*Table4[[#This Row],[Cost Boolean]]*(VLOOKUP(Table4[[#This Row],[RATE CONCAT]],Tables!I:N,5,0)),0)</f>
        <v>0</v>
      </c>
      <c r="BS49" s="3">
        <f>Table4[[#This Row],[Jan_2026_F]]-Table4[[#This Row],[Jan_2026_A]]</f>
        <v>0</v>
      </c>
      <c r="BT49" s="107"/>
      <c r="BU49" s="3">
        <f>IFERROR(Table4[[#This Row],[Feb_2026_Days_Forecast]]*Table4[[#This Row],[Cost Boolean]]*(VLOOKUP(Table4[[#This Row],[RATE CONCAT]],Tables!I:N,5,0)),0)</f>
        <v>0</v>
      </c>
      <c r="BV49" s="3">
        <f>IFERROR(Table4[[#This Row],[Feb_2026_Days_Actual]]*Table4[[#This Row],[Cost Boolean]]*(VLOOKUP(Table4[[#This Row],[RATE CONCAT]],Tables!I:N,5,0)),0)</f>
        <v>0</v>
      </c>
      <c r="BW49" s="3">
        <f>Table4[[#This Row],[Feb_2026_F]]-Table4[[#This Row],[Feb_2026_A]]</f>
        <v>0</v>
      </c>
      <c r="BX49" s="103"/>
      <c r="BY49" s="3">
        <f>IFERROR(Table4[[#This Row],[Mar_2026_Days_Forecast]]*Table4[[#This Row],[Cost Boolean]]*(VLOOKUP(Table4[[#This Row],[RATE CONCAT]],Tables!I:N,5,0)),0)</f>
        <v>0</v>
      </c>
      <c r="BZ49" s="3">
        <f>IFERROR(Table4[[#This Row],[Mar_2026_Days_Actual]]*Table4[[#This Row],[Cost Boolean]]*(VLOOKUP(Table4[[#This Row],[RATE CONCAT]],Tables!I:N,5,0)),0)</f>
        <v>0</v>
      </c>
      <c r="CA49" s="3">
        <f>Table4[[#This Row],[Mar_2026_F]]-Table4[[#This Row],[Mar_2026_A]]</f>
        <v>0</v>
      </c>
      <c r="CB49" s="103"/>
      <c r="CC49" s="3">
        <f>IFERROR(Table4[[#This Row],[Apr_2026_Days_Forecast]]*Table4[[#This Row],[Cost Boolean]]*(VLOOKUP(Table4[[#This Row],[RATE CONCAT]],Tables!I:N,5,0)),0)</f>
        <v>0</v>
      </c>
      <c r="CD49" s="3">
        <f>IFERROR(Table4[[#This Row],[Apr_2026_Days_Actual]]*Table4[[#This Row],[Cost Boolean]]*(VLOOKUP(Table4[[#This Row],[RATE CONCAT]],Tables!I:N,5,0)),0)</f>
        <v>0</v>
      </c>
      <c r="CE49" s="3">
        <f>Table4[[#This Row],[Apr_2026_F]]-Table4[[#This Row],[Apr_2026_A]]</f>
        <v>0</v>
      </c>
      <c r="CF49" s="103"/>
      <c r="CG49" s="3">
        <f>IFERROR(Table4[[#This Row],[May_2026_Days_Forecast]] *Table4[[#This Row],[Cost Boolean]]*(VLOOKUP(Table4[[#This Row],[RATE CONCAT]],Tables!I:N,5,0)),0)</f>
        <v>0</v>
      </c>
      <c r="CH49" s="3">
        <f>IFERROR(Table4[[#This Row],[May_2026_Days_Actual]]*Table4[[#This Row],[Cost Boolean]]*(VLOOKUP(Table4[[#This Row],[RATE CONCAT]],Tables!I:N,5,0)),0)</f>
        <v>0</v>
      </c>
      <c r="CI49" s="3">
        <f>Table4[[#This Row],[May_2026_F]]-Table4[[#This Row],[May_2026_A]]</f>
        <v>0</v>
      </c>
      <c r="CJ49" s="103"/>
      <c r="CK49" s="3">
        <f>IFERROR(Table4[[#This Row],[Jun_2026_Days_Forecast]]*Table4[[#This Row],[Cost Boolean]]*(VLOOKUP(Table4[[#This Row],[RATE CONCAT]],Tables!I:N,5,0)),0)</f>
        <v>0</v>
      </c>
      <c r="CL49" s="3">
        <f>IFERROR(Table4[[#This Row],[Jun_2026_Days_Actual]]*Table4[[#This Row],[Cost Boolean]]*(VLOOKUP(Table4[[#This Row],[RATE CONCAT]],Tables!I:N,5,0)),0)</f>
        <v>0</v>
      </c>
      <c r="CM49" s="3">
        <f>Table4[[#This Row],[Jun_2026_F]]-Table4[[#This Row],[Jun_2026_A]]</f>
        <v>0</v>
      </c>
      <c r="CN49" s="103"/>
      <c r="CO49" s="3">
        <f>IFERROR(Table4[[#This Row],[Jul_2026_Days_Forecast]]*Table4[[#This Row],[Cost Boolean]]*(VLOOKUP(Table4[[#This Row],[RATE CONCAT]],Tables!I:N,5,0)),0)</f>
        <v>0</v>
      </c>
      <c r="CP49" s="3">
        <f>IFERROR(Table4[[#This Row],[Aug_2026_Days_Forecast]]*Table4[[#This Row],[Location]]*(VLOOKUP(Table4[[#This Row],[Rate]],Tables!J:O,5,0)),0)</f>
        <v>0</v>
      </c>
      <c r="CQ49" s="3">
        <f>Table4[[#This Row],[Jul_2026_F]]-Table4[[#This Row],[Jul_2026_A]]</f>
        <v>0</v>
      </c>
      <c r="CR49" s="103"/>
      <c r="CS49" s="3">
        <f>IFERROR(Table4[[#This Row],[Aug_2026_Days_Forecast]]*Table4[[#This Row],[Cost Boolean]]*(VLOOKUP(Table4[[#This Row],[RATE CONCAT]],Tables!I:N,5,0)),0)</f>
        <v>0</v>
      </c>
      <c r="CT49" s="3">
        <f>IFERROR(Table4[[#This Row],[Aug_2026_Days_Actual]]*Table4[[#This Row],[Cost Boolean]]*(VLOOKUP(Table4[[#This Row],[RATE CONCAT]],Tables!I:N,5,0)),0)</f>
        <v>0</v>
      </c>
      <c r="CU49" s="3">
        <f>Table4[[#This Row],[Aug_2026_F]]-Table4[[#This Row],[Aug_2026_A]]</f>
        <v>0</v>
      </c>
      <c r="CV49" s="103"/>
      <c r="CW49" s="3">
        <f>IFERROR(Table4[[#This Row],[Sep_2026_Days_Forecast]]*Table4[[#This Row],[Cost Boolean]]*(VLOOKUP(Table4[[#This Row],[RATE CONCAT]],Tables!I:N,5,0)),0)</f>
        <v>0</v>
      </c>
      <c r="CX49" s="3">
        <f>IFERROR(Table4[[#This Row],[Sep_2026_Days_Actual]]*Table4[[#This Row],[Cost Boolean]]*(VLOOKUP(Table4[[#This Row],[RATE CONCAT]],Tables!I:N,5,0)),0)</f>
        <v>0</v>
      </c>
      <c r="CY49" s="3">
        <f>Table4[[#This Row],[Sep_2026_F]]-Table4[[#This Row],[Sep_2026_A]]</f>
        <v>0</v>
      </c>
      <c r="CZ49" s="103"/>
      <c r="DA49" s="3">
        <f>IFERROR(Table4[[#This Row],[Oct_2026_Days_Forecast]]*Table4[[#This Row],[Cost Boolean]]*(VLOOKUP(Table4[[#This Row],[RATE CONCAT]],Tables!I:N,5,0)),0)</f>
        <v>0</v>
      </c>
      <c r="DB49" s="3">
        <f>IFERROR(Table4[[#This Row],[Oct_2026_Days_Actual]]*Table4[[#This Row],[Cost Boolean]]*(VLOOKUP(Table4[[#This Row],[RATE CONCAT]],Tables!I:N,5,0)),0)</f>
        <v>0</v>
      </c>
      <c r="DC49" s="3">
        <f>Table4[[#This Row],[Oct_2026_F]]-Table4[[#This Row],[Oct_2026_A]]</f>
        <v>0</v>
      </c>
      <c r="DD49" s="103"/>
      <c r="DE49" s="3">
        <f>IFERROR(Table4[[#This Row],[Nov_2026_Days_Forecast]]*Table4[[#This Row],[Cost Boolean]]*(VLOOKUP(Table4[[#This Row],[RATE CONCAT]],Tables!I:N,5,0)),0)</f>
        <v>0</v>
      </c>
      <c r="DF49" s="3">
        <f>IFERROR(Table4[[#This Row],[Nov_2026_Days_Actual]]*Table4[[#This Row],[Cost Boolean]]*(VLOOKUP(Table4[[#This Row],[RATE CONCAT]],Tables!I:N,5,0)),0)</f>
        <v>0</v>
      </c>
      <c r="DG49" s="3">
        <f>Table4[[#This Row],[Nov_2026_F]]-Table4[[#This Row],[Nov_2026_A]]</f>
        <v>0</v>
      </c>
      <c r="DH49" s="103"/>
      <c r="DI49" s="3">
        <f>IFERROR(Table4[[#This Row],[Dec_2026_Days_Forecast]]*Table4[[#This Row],[Cost Boolean]]*(VLOOKUP(Table4[[#This Row],[RATE CONCAT]],Tables!I:N,5,0)),0)</f>
        <v>0</v>
      </c>
      <c r="DJ49" s="3">
        <f>IFERROR(Table4[[#This Row],[Dec_2026_Days_Actual]]*Table4[[#This Row],[Cost Boolean]]*(VLOOKUP(Table4[[#This Row],[RATE CONCAT]],Tables!I:N,5,0)),0)</f>
        <v>0</v>
      </c>
      <c r="DK49" s="3">
        <f>Table4[[#This Row],[Dec_2026_F]]-Table4[[#This Row],[Dec_2026_A]]</f>
        <v>0</v>
      </c>
      <c r="DL49" s="103"/>
      <c r="DM49" s="60"/>
      <c r="DN49" s="3">
        <f>IFERROR(Table4[[#This Row],[Jan_2027_Days_Forecast]]*Table4[[#This Row],[Cost Boolean]]*(VLOOKUP(Table4[[#This Row],[RATE CONCAT]],Tables!I:N,6,0)),0)</f>
        <v>0</v>
      </c>
      <c r="DO49" s="3"/>
      <c r="DP49" s="3">
        <f>Table4[[#This Row],[Jan_2027_F]]-Table4[[#This Row],[Jan_2027_A]]</f>
        <v>0</v>
      </c>
      <c r="DQ49" s="3">
        <f>IFERROR(Table4[[#This Row],[Feb_2027_Days_Forecast]]*Table4[[#This Row],[Cost Boolean]]*(VLOOKUP(Table4[[#This Row],[RATE CONCAT]],Tables!I:N,6,0)),0)</f>
        <v>0</v>
      </c>
      <c r="DR49" s="3"/>
      <c r="DS49" s="3">
        <f>Table4[[#This Row],[Feb_2027_F]]-Table4[[#This Row],[Feb_2027_A]]</f>
        <v>0</v>
      </c>
      <c r="DT49" s="3">
        <f>IFERROR(Table4[[#This Row],[Mar_2027_Days_Forecast]]*Table4[[#This Row],[Cost Boolean]]*(VLOOKUP(Table4[[#This Row],[RATE CONCAT]],Tables!I:N,6,0)),0)</f>
        <v>0</v>
      </c>
      <c r="DU49" s="3"/>
      <c r="DV49" s="3">
        <f>Table4[[#This Row],[Mar_2027_F]]-Table4[[#This Row],[Mar_2027_A]]</f>
        <v>0</v>
      </c>
      <c r="DW49" s="3">
        <f>IFERROR(Table4[[#This Row],[Apr_2027_Days_Forecast]]*Table4[[#This Row],[Cost Boolean]]*(VLOOKUP(Table4[[#This Row],[RATE CONCAT]],Tables!I:N,6,0)),0)</f>
        <v>0</v>
      </c>
      <c r="DX49" s="3"/>
      <c r="DY49" s="3">
        <f>Table4[[#This Row],[Apr_2027_F]]-Table4[[#This Row],[Apr_2027_A]]</f>
        <v>0</v>
      </c>
      <c r="DZ49" s="3">
        <f>IFERROR(Table4[[#This Row],[May_2027_Days_Forecast]]*Table4[[#This Row],[Cost Boolean]]*(VLOOKUP(Table4[[#This Row],[RATE CONCAT]],Tables!I:N,6,0)),0)</f>
        <v>0</v>
      </c>
      <c r="EA49" s="3"/>
      <c r="EB49" s="3">
        <f>Table4[[#This Row],[May_2027_F]]-Table4[[#This Row],[May_2027_A]]</f>
        <v>0</v>
      </c>
      <c r="EC49" s="3">
        <f>IFERROR(Table4[[#This Row],[Jun_2027_Days_Forecast]]*Table4[[#This Row],[Cost Boolean]]*(VLOOKUP(Table4[[#This Row],[RATE CONCAT]],Tables!I:N,6,0)),0)</f>
        <v>0</v>
      </c>
      <c r="ED49" s="3"/>
      <c r="EE49" s="3">
        <f>Table4[[#This Row],[Jun_2027_F]]-Table4[[#This Row],[Jun_2027_A]]</f>
        <v>0</v>
      </c>
      <c r="EF49" s="3">
        <f>IFERROR(Table4[[#This Row],[Jul_2027_Days_Forecast]]*Table4[[#This Row],[Cost Boolean]]*(VLOOKUP(Table4[[#This Row],[RATE CONCAT]],Tables!I:N,6,0)),0)</f>
        <v>0</v>
      </c>
      <c r="EG49" s="3"/>
      <c r="EH49" s="3">
        <f>Table4[[#This Row],[Jul_2027_F]]-Table4[[#This Row],[Jul_2027_A]]</f>
        <v>0</v>
      </c>
      <c r="EI49" s="3">
        <f>IFERROR(Table4[[#This Row],[Aug_2027_Days_Forecast]]*Table4[[#This Row],[Cost Boolean]]*(VLOOKUP(Table4[[#This Row],[RATE CONCAT]],Tables!I:N,6,0)),0)</f>
        <v>0</v>
      </c>
      <c r="EJ49" s="3"/>
      <c r="EK49" s="3">
        <f>Table4[[#This Row],[Aug_2027_F]]-Table4[[#This Row],[Aug_2027_A]]</f>
        <v>0</v>
      </c>
      <c r="EL49" s="3">
        <f>IFERROR(Table4[[#This Row],[Sep_2027_Days_Forecast]]*Table4[[#This Row],[Cost Boolean]]*(VLOOKUP(Table4[[#This Row],[RATE CONCAT]],Tables!I:N,6,0)),0)</f>
        <v>0</v>
      </c>
      <c r="EM49" s="3"/>
      <c r="EN49" s="3">
        <f>Table4[[#This Row],[Sep_2027_F]]-Table4[[#This Row],[Sep_2027_A]]</f>
        <v>0</v>
      </c>
      <c r="EO49" s="3">
        <f>IFERROR(Table4[[#This Row],[Oct_2027_Days_Forecast]]*Table4[[#This Row],[Cost Boolean]]*(VLOOKUP(Table4[[#This Row],[RATE CONCAT]],Tables!I:N,6,0)),0)</f>
        <v>0</v>
      </c>
      <c r="EP49" s="3"/>
      <c r="EQ49" s="3">
        <f>Table4[[#This Row],[Oct_2027_F]]-Table4[[#This Row],[Oct_2027_A]]</f>
        <v>0</v>
      </c>
      <c r="ER49" s="3">
        <f>IFERROR(Table4[[#This Row],[Nov_2027_Days_Forecast]]*Table4[[#This Row],[Cost Boolean]]*(VLOOKUP(Table4[[#This Row],[RATE CONCAT]],Tables!I:N,6,0)),0)</f>
        <v>0</v>
      </c>
      <c r="ES49" s="3"/>
      <c r="ET49" s="3">
        <f>Table4[[#This Row],[Nov_2027_F]]-Table4[[#This Row],[Nov_2027_A]]</f>
        <v>0</v>
      </c>
      <c r="EU49" s="3">
        <f>IFERROR(Table4[[#This Row],[Dec_2027_Days_Forecast]]*Table4[[#This Row],[Cost Boolean]]*(VLOOKUP(Table4[[#This Row],[RATE CONCAT]],Tables!I:N,6,0)),0)</f>
        <v>0</v>
      </c>
      <c r="EV49" s="3"/>
      <c r="EW49" s="3">
        <f>Table4[[#This Row],[Dec_2027_F]]-Table4[[#This Row],[Dec_2027_A]]</f>
        <v>0</v>
      </c>
    </row>
    <row r="50" spans="1:153" ht="1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2" t="str">
        <f>CONCATENATE(Table4[[#This Row],[JG]],Table4[[#This Row],[Country]],Table4[[#This Row],[Resource Provider]])</f>
        <v/>
      </c>
      <c r="Z50" s="132">
        <f>VLOOKUP(Table4[[#This Row],[RATE CONCAT]],Tables!I:N,5,0)</f>
        <v>0</v>
      </c>
      <c r="AA50" s="53"/>
      <c r="AB50" s="16"/>
      <c r="AC50" s="16"/>
      <c r="AD50" s="16"/>
      <c r="AE50" s="16"/>
      <c r="AF50" s="16"/>
      <c r="AG50" s="16"/>
      <c r="AH50" s="16"/>
      <c r="AI50" s="16"/>
      <c r="AJ50" s="16"/>
      <c r="AK50" s="16"/>
      <c r="AL50" s="16"/>
      <c r="AM50" s="16"/>
      <c r="AN50" s="53">
        <f>IFERROR(AVERAGE(Table4[[#This Row],[Jan_2026_Days_Forecast]:[Dec_2026_Days_Forecast]]),0)/19</f>
        <v>0</v>
      </c>
      <c r="AO50" s="53">
        <f>IFERROR(AVERAGE(Table4[[#This Row],[Jan_2026_Days_Actual]:[Dec_2026_Days_Actual]]),0)/19</f>
        <v>0</v>
      </c>
      <c r="AP50" s="84"/>
      <c r="AQ50" s="84"/>
      <c r="AR50" s="84"/>
      <c r="AS50" s="84"/>
      <c r="AT50" s="84"/>
      <c r="AU50" s="84"/>
      <c r="AV50" s="84"/>
      <c r="AW50" s="84"/>
      <c r="AX50" s="84"/>
      <c r="AY50" s="84"/>
      <c r="AZ50" s="84"/>
      <c r="BA50" s="84"/>
      <c r="BB50" s="53">
        <f>IFERROR(AVERAGE(Table4[[#This Row],[Jan_2027_Days_Forecast]:[Dec_2027_Days_Forecast]]),0)</f>
        <v>0</v>
      </c>
      <c r="BC50" s="16"/>
      <c r="BD50" s="16"/>
      <c r="BE50" s="16"/>
      <c r="BF50" s="16"/>
      <c r="BG50" s="16"/>
      <c r="BH50" s="16"/>
      <c r="BI50" s="16"/>
      <c r="BJ50" s="16"/>
      <c r="BK50" s="16"/>
      <c r="BL50" s="16"/>
      <c r="BM50" s="16"/>
      <c r="BN50" s="16"/>
      <c r="BO50" s="55"/>
      <c r="BP50" s="60"/>
      <c r="BQ50" s="3">
        <f>Table4[[#This Row],[Jan_2026_Days_Forecast]]*Table4[[#This Row],[Cost Boolean]]*VLOOKUP(Table4[[#This Row],[RATE CONCAT]],Tables!I:N,5,0)</f>
        <v>0</v>
      </c>
      <c r="BR50" s="3">
        <f>IFERROR(Table4[[#This Row],[Jan_2026_Days_Actual]]*Table4[[#This Row],[Cost Boolean]]*(VLOOKUP(Table4[[#This Row],[RATE CONCAT]],Tables!I:N,5,0)),0)</f>
        <v>0</v>
      </c>
      <c r="BS50" s="3">
        <f>Table4[[#This Row],[Jan_2026_F]]-Table4[[#This Row],[Jan_2026_A]]</f>
        <v>0</v>
      </c>
      <c r="BT50" s="107"/>
      <c r="BU50" s="3">
        <f>IFERROR(Table4[[#This Row],[Feb_2026_Days_Forecast]]*Table4[[#This Row],[Cost Boolean]]*(VLOOKUP(Table4[[#This Row],[RATE CONCAT]],Tables!I:N,5,0)),0)</f>
        <v>0</v>
      </c>
      <c r="BV50" s="3">
        <f>IFERROR(Table4[[#This Row],[Feb_2026_Days_Actual]]*Table4[[#This Row],[Cost Boolean]]*(VLOOKUP(Table4[[#This Row],[RATE CONCAT]],Tables!I:N,5,0)),0)</f>
        <v>0</v>
      </c>
      <c r="BW50" s="3">
        <f>Table4[[#This Row],[Feb_2026_F]]-Table4[[#This Row],[Feb_2026_A]]</f>
        <v>0</v>
      </c>
      <c r="BX50" s="103"/>
      <c r="BY50" s="3">
        <f>IFERROR(Table4[[#This Row],[Mar_2026_Days_Forecast]]*Table4[[#This Row],[Cost Boolean]]*(VLOOKUP(Table4[[#This Row],[RATE CONCAT]],Tables!I:N,5,0)),0)</f>
        <v>0</v>
      </c>
      <c r="BZ50" s="3">
        <f>IFERROR(Table4[[#This Row],[Mar_2026_Days_Actual]]*Table4[[#This Row],[Cost Boolean]]*(VLOOKUP(Table4[[#This Row],[RATE CONCAT]],Tables!I:N,5,0)),0)</f>
        <v>0</v>
      </c>
      <c r="CA50" s="3">
        <f>Table4[[#This Row],[Mar_2026_F]]-Table4[[#This Row],[Mar_2026_A]]</f>
        <v>0</v>
      </c>
      <c r="CB50" s="103"/>
      <c r="CC50" s="3">
        <f>IFERROR(Table4[[#This Row],[Apr_2026_Days_Forecast]]*Table4[[#This Row],[Cost Boolean]]*(VLOOKUP(Table4[[#This Row],[RATE CONCAT]],Tables!I:N,5,0)),0)</f>
        <v>0</v>
      </c>
      <c r="CD50" s="3">
        <f>IFERROR(Table4[[#This Row],[Apr_2026_Days_Actual]]*Table4[[#This Row],[Cost Boolean]]*(VLOOKUP(Table4[[#This Row],[RATE CONCAT]],Tables!I:N,5,0)),0)</f>
        <v>0</v>
      </c>
      <c r="CE50" s="3">
        <f>Table4[[#This Row],[Apr_2026_F]]-Table4[[#This Row],[Apr_2026_A]]</f>
        <v>0</v>
      </c>
      <c r="CF50" s="103"/>
      <c r="CG50" s="3">
        <f>IFERROR(Table4[[#This Row],[May_2026_Days_Forecast]] *Table4[[#This Row],[Cost Boolean]]*(VLOOKUP(Table4[[#This Row],[RATE CONCAT]],Tables!I:N,5,0)),0)</f>
        <v>0</v>
      </c>
      <c r="CH50" s="3">
        <f>IFERROR(Table4[[#This Row],[May_2026_Days_Actual]]*Table4[[#This Row],[Cost Boolean]]*(VLOOKUP(Table4[[#This Row],[RATE CONCAT]],Tables!I:N,5,0)),0)</f>
        <v>0</v>
      </c>
      <c r="CI50" s="3">
        <f>Table4[[#This Row],[May_2026_F]]-Table4[[#This Row],[May_2026_A]]</f>
        <v>0</v>
      </c>
      <c r="CJ50" s="103"/>
      <c r="CK50" s="3">
        <f>IFERROR(Table4[[#This Row],[Jun_2026_Days_Forecast]]*Table4[[#This Row],[Cost Boolean]]*(VLOOKUP(Table4[[#This Row],[RATE CONCAT]],Tables!I:N,5,0)),0)</f>
        <v>0</v>
      </c>
      <c r="CL50" s="3">
        <f>IFERROR(Table4[[#This Row],[Jun_2026_Days_Actual]]*Table4[[#This Row],[Cost Boolean]]*(VLOOKUP(Table4[[#This Row],[RATE CONCAT]],Tables!I:N,5,0)),0)</f>
        <v>0</v>
      </c>
      <c r="CM50" s="3">
        <f>Table4[[#This Row],[Jun_2026_F]]-Table4[[#This Row],[Jun_2026_A]]</f>
        <v>0</v>
      </c>
      <c r="CN50" s="103"/>
      <c r="CO50" s="3">
        <f>IFERROR(Table4[[#This Row],[Jul_2026_Days_Forecast]]*Table4[[#This Row],[Cost Boolean]]*(VLOOKUP(Table4[[#This Row],[RATE CONCAT]],Tables!I:N,5,0)),0)</f>
        <v>0</v>
      </c>
      <c r="CP50" s="3">
        <f>IFERROR(Table4[[#This Row],[Aug_2026_Days_Forecast]]*Table4[[#This Row],[Location]]*(VLOOKUP(Table4[[#This Row],[Rate]],Tables!J:O,5,0)),0)</f>
        <v>0</v>
      </c>
      <c r="CQ50" s="3">
        <f>Table4[[#This Row],[Jul_2026_F]]-Table4[[#This Row],[Jul_2026_A]]</f>
        <v>0</v>
      </c>
      <c r="CR50" s="103"/>
      <c r="CS50" s="3">
        <f>IFERROR(Table4[[#This Row],[Aug_2026_Days_Forecast]]*Table4[[#This Row],[Cost Boolean]]*(VLOOKUP(Table4[[#This Row],[RATE CONCAT]],Tables!I:N,5,0)),0)</f>
        <v>0</v>
      </c>
      <c r="CT50" s="3">
        <f>IFERROR(Table4[[#This Row],[Aug_2026_Days_Actual]]*Table4[[#This Row],[Cost Boolean]]*(VLOOKUP(Table4[[#This Row],[RATE CONCAT]],Tables!I:N,5,0)),0)</f>
        <v>0</v>
      </c>
      <c r="CU50" s="3">
        <f>Table4[[#This Row],[Aug_2026_F]]-Table4[[#This Row],[Aug_2026_A]]</f>
        <v>0</v>
      </c>
      <c r="CV50" s="103"/>
      <c r="CW50" s="3">
        <f>IFERROR(Table4[[#This Row],[Sep_2026_Days_Forecast]]*Table4[[#This Row],[Cost Boolean]]*(VLOOKUP(Table4[[#This Row],[RATE CONCAT]],Tables!I:N,5,0)),0)</f>
        <v>0</v>
      </c>
      <c r="CX50" s="3">
        <f>IFERROR(Table4[[#This Row],[Sep_2026_Days_Actual]]*Table4[[#This Row],[Cost Boolean]]*(VLOOKUP(Table4[[#This Row],[RATE CONCAT]],Tables!I:N,5,0)),0)</f>
        <v>0</v>
      </c>
      <c r="CY50" s="3">
        <f>Table4[[#This Row],[Sep_2026_F]]-Table4[[#This Row],[Sep_2026_A]]</f>
        <v>0</v>
      </c>
      <c r="CZ50" s="103"/>
      <c r="DA50" s="3">
        <f>IFERROR(Table4[[#This Row],[Oct_2026_Days_Forecast]]*Table4[[#This Row],[Cost Boolean]]*(VLOOKUP(Table4[[#This Row],[RATE CONCAT]],Tables!I:N,5,0)),0)</f>
        <v>0</v>
      </c>
      <c r="DB50" s="3">
        <f>IFERROR(Table4[[#This Row],[Oct_2026_Days_Actual]]*Table4[[#This Row],[Cost Boolean]]*(VLOOKUP(Table4[[#This Row],[RATE CONCAT]],Tables!I:N,5,0)),0)</f>
        <v>0</v>
      </c>
      <c r="DC50" s="3">
        <f>Table4[[#This Row],[Oct_2026_F]]-Table4[[#This Row],[Oct_2026_A]]</f>
        <v>0</v>
      </c>
      <c r="DD50" s="103"/>
      <c r="DE50" s="3">
        <f>IFERROR(Table4[[#This Row],[Nov_2026_Days_Forecast]]*Table4[[#This Row],[Cost Boolean]]*(VLOOKUP(Table4[[#This Row],[RATE CONCAT]],Tables!I:N,5,0)),0)</f>
        <v>0</v>
      </c>
      <c r="DF50" s="3">
        <f>IFERROR(Table4[[#This Row],[Nov_2026_Days_Actual]]*Table4[[#This Row],[Cost Boolean]]*(VLOOKUP(Table4[[#This Row],[RATE CONCAT]],Tables!I:N,5,0)),0)</f>
        <v>0</v>
      </c>
      <c r="DG50" s="3">
        <f>Table4[[#This Row],[Nov_2026_F]]-Table4[[#This Row],[Nov_2026_A]]</f>
        <v>0</v>
      </c>
      <c r="DH50" s="103"/>
      <c r="DI50" s="3">
        <f>IFERROR(Table4[[#This Row],[Dec_2026_Days_Forecast]]*Table4[[#This Row],[Cost Boolean]]*(VLOOKUP(Table4[[#This Row],[RATE CONCAT]],Tables!I:N,5,0)),0)</f>
        <v>0</v>
      </c>
      <c r="DJ50" s="3">
        <f>IFERROR(Table4[[#This Row],[Dec_2026_Days_Actual]]*Table4[[#This Row],[Cost Boolean]]*(VLOOKUP(Table4[[#This Row],[RATE CONCAT]],Tables!I:N,5,0)),0)</f>
        <v>0</v>
      </c>
      <c r="DK50" s="3">
        <f>Table4[[#This Row],[Dec_2026_F]]-Table4[[#This Row],[Dec_2026_A]]</f>
        <v>0</v>
      </c>
      <c r="DL50" s="103"/>
      <c r="DM50" s="60"/>
      <c r="DN50" s="3">
        <f>IFERROR(Table4[[#This Row],[Jan_2027_Days_Forecast]]*Table4[[#This Row],[Cost Boolean]]*(VLOOKUP(Table4[[#This Row],[RATE CONCAT]],Tables!I:N,6,0)),0)</f>
        <v>0</v>
      </c>
      <c r="DO50" s="3"/>
      <c r="DP50" s="3">
        <f>Table4[[#This Row],[Jan_2027_F]]-Table4[[#This Row],[Jan_2027_A]]</f>
        <v>0</v>
      </c>
      <c r="DQ50" s="3">
        <f>IFERROR(Table4[[#This Row],[Feb_2027_Days_Forecast]]*Table4[[#This Row],[Cost Boolean]]*(VLOOKUP(Table4[[#This Row],[RATE CONCAT]],Tables!I:N,6,0)),0)</f>
        <v>0</v>
      </c>
      <c r="DR50" s="3"/>
      <c r="DS50" s="3">
        <f>Table4[[#This Row],[Feb_2027_F]]-Table4[[#This Row],[Feb_2027_A]]</f>
        <v>0</v>
      </c>
      <c r="DT50" s="3">
        <f>IFERROR(Table4[[#This Row],[Mar_2027_Days_Forecast]]*Table4[[#This Row],[Cost Boolean]]*(VLOOKUP(Table4[[#This Row],[RATE CONCAT]],Tables!I:N,6,0)),0)</f>
        <v>0</v>
      </c>
      <c r="DU50" s="3"/>
      <c r="DV50" s="3">
        <f>Table4[[#This Row],[Mar_2027_F]]-Table4[[#This Row],[Mar_2027_A]]</f>
        <v>0</v>
      </c>
      <c r="DW50" s="3">
        <f>IFERROR(Table4[[#This Row],[Apr_2027_Days_Forecast]]*Table4[[#This Row],[Cost Boolean]]*(VLOOKUP(Table4[[#This Row],[RATE CONCAT]],Tables!I:N,6,0)),0)</f>
        <v>0</v>
      </c>
      <c r="DX50" s="3"/>
      <c r="DY50" s="3">
        <f>Table4[[#This Row],[Apr_2027_F]]-Table4[[#This Row],[Apr_2027_A]]</f>
        <v>0</v>
      </c>
      <c r="DZ50" s="3">
        <f>IFERROR(Table4[[#This Row],[May_2027_Days_Forecast]]*Table4[[#This Row],[Cost Boolean]]*(VLOOKUP(Table4[[#This Row],[RATE CONCAT]],Tables!I:N,6,0)),0)</f>
        <v>0</v>
      </c>
      <c r="EA50" s="3"/>
      <c r="EB50" s="3">
        <f>Table4[[#This Row],[May_2027_F]]-Table4[[#This Row],[May_2027_A]]</f>
        <v>0</v>
      </c>
      <c r="EC50" s="3">
        <f>IFERROR(Table4[[#This Row],[Jun_2027_Days_Forecast]]*Table4[[#This Row],[Cost Boolean]]*(VLOOKUP(Table4[[#This Row],[RATE CONCAT]],Tables!I:N,6,0)),0)</f>
        <v>0</v>
      </c>
      <c r="ED50" s="3"/>
      <c r="EE50" s="3">
        <f>Table4[[#This Row],[Jun_2027_F]]-Table4[[#This Row],[Jun_2027_A]]</f>
        <v>0</v>
      </c>
      <c r="EF50" s="3">
        <f>IFERROR(Table4[[#This Row],[Jul_2027_Days_Forecast]]*Table4[[#This Row],[Cost Boolean]]*(VLOOKUP(Table4[[#This Row],[RATE CONCAT]],Tables!I:N,6,0)),0)</f>
        <v>0</v>
      </c>
      <c r="EG50" s="3"/>
      <c r="EH50" s="3">
        <f>Table4[[#This Row],[Jul_2027_F]]-Table4[[#This Row],[Jul_2027_A]]</f>
        <v>0</v>
      </c>
      <c r="EI50" s="3">
        <f>IFERROR(Table4[[#This Row],[Aug_2027_Days_Forecast]]*Table4[[#This Row],[Cost Boolean]]*(VLOOKUP(Table4[[#This Row],[RATE CONCAT]],Tables!I:N,6,0)),0)</f>
        <v>0</v>
      </c>
      <c r="EJ50" s="3"/>
      <c r="EK50" s="3">
        <f>Table4[[#This Row],[Aug_2027_F]]-Table4[[#This Row],[Aug_2027_A]]</f>
        <v>0</v>
      </c>
      <c r="EL50" s="3">
        <f>IFERROR(Table4[[#This Row],[Sep_2027_Days_Forecast]]*Table4[[#This Row],[Cost Boolean]]*(VLOOKUP(Table4[[#This Row],[RATE CONCAT]],Tables!I:N,6,0)),0)</f>
        <v>0</v>
      </c>
      <c r="EM50" s="3"/>
      <c r="EN50" s="3">
        <f>Table4[[#This Row],[Sep_2027_F]]-Table4[[#This Row],[Sep_2027_A]]</f>
        <v>0</v>
      </c>
      <c r="EO50" s="3">
        <f>IFERROR(Table4[[#This Row],[Oct_2027_Days_Forecast]]*Table4[[#This Row],[Cost Boolean]]*(VLOOKUP(Table4[[#This Row],[RATE CONCAT]],Tables!I:N,6,0)),0)</f>
        <v>0</v>
      </c>
      <c r="EP50" s="3"/>
      <c r="EQ50" s="3">
        <f>Table4[[#This Row],[Oct_2027_F]]-Table4[[#This Row],[Oct_2027_A]]</f>
        <v>0</v>
      </c>
      <c r="ER50" s="3">
        <f>IFERROR(Table4[[#This Row],[Nov_2027_Days_Forecast]]*Table4[[#This Row],[Cost Boolean]]*(VLOOKUP(Table4[[#This Row],[RATE CONCAT]],Tables!I:N,6,0)),0)</f>
        <v>0</v>
      </c>
      <c r="ES50" s="3"/>
      <c r="ET50" s="3">
        <f>Table4[[#This Row],[Nov_2027_F]]-Table4[[#This Row],[Nov_2027_A]]</f>
        <v>0</v>
      </c>
      <c r="EU50" s="3">
        <f>IFERROR(Table4[[#This Row],[Dec_2027_Days_Forecast]]*Table4[[#This Row],[Cost Boolean]]*(VLOOKUP(Table4[[#This Row],[RATE CONCAT]],Tables!I:N,6,0)),0)</f>
        <v>0</v>
      </c>
      <c r="EV50" s="3"/>
      <c r="EW50" s="3">
        <f>Table4[[#This Row],[Dec_2027_F]]-Table4[[#This Row],[Dec_2027_A]]</f>
        <v>0</v>
      </c>
    </row>
    <row r="51" spans="1:153" ht="1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2" t="str">
        <f>CONCATENATE(Table4[[#This Row],[JG]],Table4[[#This Row],[Country]],Table4[[#This Row],[Resource Provider]])</f>
        <v/>
      </c>
      <c r="Z51" s="132">
        <f>VLOOKUP(Table4[[#This Row],[RATE CONCAT]],Tables!I:N,5,0)</f>
        <v>0</v>
      </c>
      <c r="AA51" s="53"/>
      <c r="AB51" s="16"/>
      <c r="AC51" s="16"/>
      <c r="AD51" s="16"/>
      <c r="AE51" s="16"/>
      <c r="AF51" s="16"/>
      <c r="AG51" s="16"/>
      <c r="AH51" s="16"/>
      <c r="AI51" s="16"/>
      <c r="AJ51" s="16"/>
      <c r="AK51" s="16"/>
      <c r="AL51" s="16"/>
      <c r="AM51" s="16"/>
      <c r="AN51" s="53">
        <f>IFERROR(AVERAGE(Table4[[#This Row],[Jan_2026_Days_Forecast]:[Dec_2026_Days_Forecast]]),0)/19</f>
        <v>0</v>
      </c>
      <c r="AO51" s="53">
        <f>IFERROR(AVERAGE(Table4[[#This Row],[Jan_2026_Days_Actual]:[Dec_2026_Days_Actual]]),0)/19</f>
        <v>0</v>
      </c>
      <c r="AP51" s="84"/>
      <c r="AQ51" s="84"/>
      <c r="AR51" s="84"/>
      <c r="AS51" s="84"/>
      <c r="AT51" s="84"/>
      <c r="AU51" s="84"/>
      <c r="AV51" s="84"/>
      <c r="AW51" s="84"/>
      <c r="AX51" s="84"/>
      <c r="AY51" s="84"/>
      <c r="AZ51" s="84"/>
      <c r="BA51" s="84"/>
      <c r="BB51" s="53">
        <f>IFERROR(AVERAGE(Table4[[#This Row],[Jan_2027_Days_Forecast]:[Dec_2027_Days_Forecast]]),0)</f>
        <v>0</v>
      </c>
      <c r="BC51" s="16"/>
      <c r="BD51" s="16"/>
      <c r="BE51" s="16"/>
      <c r="BF51" s="16"/>
      <c r="BG51" s="16"/>
      <c r="BH51" s="16"/>
      <c r="BI51" s="16"/>
      <c r="BJ51" s="16"/>
      <c r="BK51" s="16"/>
      <c r="BL51" s="16"/>
      <c r="BM51" s="16"/>
      <c r="BN51" s="16"/>
      <c r="BO51" s="55"/>
      <c r="BP51" s="60"/>
      <c r="BQ51" s="3">
        <v>0</v>
      </c>
      <c r="BR51" s="3">
        <f>IFERROR(Table4[[#This Row],[Jan_2026_Days_Actual]]*Table4[[#This Row],[Cost Boolean]]*(VLOOKUP(Table4[[#This Row],[RATE CONCAT]],Tables!I:N,5,0)),0)</f>
        <v>0</v>
      </c>
      <c r="BS51" s="3">
        <f>Table4[[#This Row],[Jan_2026_F]]-Table4[[#This Row],[Jan_2026_A]]</f>
        <v>0</v>
      </c>
      <c r="BT51" s="107"/>
      <c r="BU51" s="3">
        <f>IFERROR(Table4[[#This Row],[Feb_2026_Days_Forecast]]*Table4[[#This Row],[Cost Boolean]]*(VLOOKUP(Table4[[#This Row],[RATE CONCAT]],Tables!I:N,5,0)),0)</f>
        <v>0</v>
      </c>
      <c r="BV51" s="3">
        <f>IFERROR(Table4[[#This Row],[Feb_2026_Days_Actual]]*Table4[[#This Row],[Cost Boolean]]*(VLOOKUP(Table4[[#This Row],[RATE CONCAT]],Tables!I:N,5,0)),0)</f>
        <v>0</v>
      </c>
      <c r="BW51" s="3">
        <f>Table4[[#This Row],[Feb_2026_F]]-Table4[[#This Row],[Feb_2026_A]]</f>
        <v>0</v>
      </c>
      <c r="BX51" s="103"/>
      <c r="BY51" s="3">
        <f>IFERROR(Table4[[#This Row],[Mar_2026_Days_Forecast]]*Table4[[#This Row],[Cost Boolean]]*(VLOOKUP(Table4[[#This Row],[RATE CONCAT]],Tables!I:N,5,0)),0)</f>
        <v>0</v>
      </c>
      <c r="BZ51" s="3">
        <f>IFERROR(Table4[[#This Row],[Mar_2026_Days_Actual]]*Table4[[#This Row],[Cost Boolean]]*(VLOOKUP(Table4[[#This Row],[RATE CONCAT]],Tables!I:N,5,0)),0)</f>
        <v>0</v>
      </c>
      <c r="CA51" s="3">
        <f>Table4[[#This Row],[Mar_2026_F]]-Table4[[#This Row],[Mar_2026_A]]</f>
        <v>0</v>
      </c>
      <c r="CB51" s="103"/>
      <c r="CC51" s="3">
        <f>IFERROR(Table4[[#This Row],[Apr_2026_Days_Forecast]]*Table4[[#This Row],[Cost Boolean]]*(VLOOKUP(Table4[[#This Row],[RATE CONCAT]],Tables!I:N,5,0)),0)</f>
        <v>0</v>
      </c>
      <c r="CD51" s="3">
        <f>IFERROR(Table4[[#This Row],[Apr_2026_Days_Actual]]*Table4[[#This Row],[Cost Boolean]]*(VLOOKUP(Table4[[#This Row],[RATE CONCAT]],Tables!I:N,5,0)),0)</f>
        <v>0</v>
      </c>
      <c r="CE51" s="3">
        <f>Table4[[#This Row],[Apr_2026_F]]-Table4[[#This Row],[Apr_2026_A]]</f>
        <v>0</v>
      </c>
      <c r="CF51" s="103"/>
      <c r="CG51" s="3">
        <f>IFERROR(Table4[[#This Row],[May_2026_Days_Forecast]] *Table4[[#This Row],[Cost Boolean]]*(VLOOKUP(Table4[[#This Row],[RATE CONCAT]],Tables!I:N,5,0)),0)</f>
        <v>0</v>
      </c>
      <c r="CH51" s="3">
        <f>IFERROR(Table4[[#This Row],[May_2026_Days_Actual]]*Table4[[#This Row],[Cost Boolean]]*(VLOOKUP(Table4[[#This Row],[RATE CONCAT]],Tables!I:N,5,0)),0)</f>
        <v>0</v>
      </c>
      <c r="CI51" s="3">
        <f>Table4[[#This Row],[May_2026_F]]-Table4[[#This Row],[May_2026_A]]</f>
        <v>0</v>
      </c>
      <c r="CJ51" s="103"/>
      <c r="CK51" s="3">
        <f>IFERROR(Table4[[#This Row],[Jun_2026_Days_Forecast]]*Table4[[#This Row],[Cost Boolean]]*(VLOOKUP(Table4[[#This Row],[RATE CONCAT]],Tables!I:N,5,0)),0)</f>
        <v>0</v>
      </c>
      <c r="CL51" s="3">
        <f>IFERROR(Table4[[#This Row],[Jun_2026_Days_Actual]]*Table4[[#This Row],[Cost Boolean]]*(VLOOKUP(Table4[[#This Row],[RATE CONCAT]],Tables!I:N,5,0)),0)</f>
        <v>0</v>
      </c>
      <c r="CM51" s="3">
        <f>Table4[[#This Row],[Jun_2026_F]]-Table4[[#This Row],[Jun_2026_A]]</f>
        <v>0</v>
      </c>
      <c r="CN51" s="103"/>
      <c r="CO51" s="3">
        <f>IFERROR(Table4[[#This Row],[Jul_2026_Days_Forecast]]*Table4[[#This Row],[Cost Boolean]]*(VLOOKUP(Table4[[#This Row],[RATE CONCAT]],Tables!I:N,5,0)),0)</f>
        <v>0</v>
      </c>
      <c r="CP51" s="3">
        <f>IFERROR(Table4[[#This Row],[Aug_2026_Days_Forecast]]*Table4[[#This Row],[Location]]*(VLOOKUP(Table4[[#This Row],[Rate]],Tables!J:O,5,0)),0)</f>
        <v>0</v>
      </c>
      <c r="CQ51" s="3">
        <f>Table4[[#This Row],[Jul_2026_F]]-Table4[[#This Row],[Jul_2026_A]]</f>
        <v>0</v>
      </c>
      <c r="CR51" s="103"/>
      <c r="CS51" s="3">
        <f>IFERROR(Table4[[#This Row],[Aug_2026_Days_Forecast]]*Table4[[#This Row],[Cost Boolean]]*(VLOOKUP(Table4[[#This Row],[RATE CONCAT]],Tables!I:N,5,0)),0)</f>
        <v>0</v>
      </c>
      <c r="CT51" s="3">
        <f>IFERROR(Table4[[#This Row],[Aug_2026_Days_Actual]]*Table4[[#This Row],[Cost Boolean]]*(VLOOKUP(Table4[[#This Row],[RATE CONCAT]],Tables!I:N,5,0)),0)</f>
        <v>0</v>
      </c>
      <c r="CU51" s="3">
        <f>Table4[[#This Row],[Aug_2026_F]]-Table4[[#This Row],[Aug_2026_A]]</f>
        <v>0</v>
      </c>
      <c r="CV51" s="103"/>
      <c r="CW51" s="3">
        <f>IFERROR(Table4[[#This Row],[Sep_2026_Days_Forecast]]*Table4[[#This Row],[Cost Boolean]]*(VLOOKUP(Table4[[#This Row],[RATE CONCAT]],Tables!I:N,5,0)),0)</f>
        <v>0</v>
      </c>
      <c r="CX51" s="3">
        <f>IFERROR(Table4[[#This Row],[Sep_2026_Days_Actual]]*Table4[[#This Row],[Cost Boolean]]*(VLOOKUP(Table4[[#This Row],[RATE CONCAT]],Tables!I:N,5,0)),0)</f>
        <v>0</v>
      </c>
      <c r="CY51" s="3">
        <f>Table4[[#This Row],[Sep_2026_F]]-Table4[[#This Row],[Sep_2026_A]]</f>
        <v>0</v>
      </c>
      <c r="CZ51" s="103"/>
      <c r="DA51" s="3">
        <f>IFERROR(Table4[[#This Row],[Oct_2026_Days_Forecast]]*Table4[[#This Row],[Cost Boolean]]*(VLOOKUP(Table4[[#This Row],[RATE CONCAT]],Tables!I:N,5,0)),0)</f>
        <v>0</v>
      </c>
      <c r="DB51" s="3">
        <f>IFERROR(Table4[[#This Row],[Oct_2026_Days_Actual]]*Table4[[#This Row],[Cost Boolean]]*(VLOOKUP(Table4[[#This Row],[RATE CONCAT]],Tables!I:N,5,0)),0)</f>
        <v>0</v>
      </c>
      <c r="DC51" s="3">
        <f>Table4[[#This Row],[Oct_2026_F]]-Table4[[#This Row],[Oct_2026_A]]</f>
        <v>0</v>
      </c>
      <c r="DD51" s="103"/>
      <c r="DE51" s="3">
        <f>IFERROR(Table4[[#This Row],[Nov_2026_Days_Forecast]]*Table4[[#This Row],[Cost Boolean]]*(VLOOKUP(Table4[[#This Row],[RATE CONCAT]],Tables!I:N,5,0)),0)</f>
        <v>0</v>
      </c>
      <c r="DF51" s="3">
        <f>IFERROR(Table4[[#This Row],[Nov_2026_Days_Actual]]*Table4[[#This Row],[Cost Boolean]]*(VLOOKUP(Table4[[#This Row],[RATE CONCAT]],Tables!I:N,5,0)),0)</f>
        <v>0</v>
      </c>
      <c r="DG51" s="3">
        <f>Table4[[#This Row],[Nov_2026_F]]-Table4[[#This Row],[Nov_2026_A]]</f>
        <v>0</v>
      </c>
      <c r="DH51" s="103"/>
      <c r="DI51" s="3">
        <f>IFERROR(Table4[[#This Row],[Dec_2026_Days_Forecast]]*Table4[[#This Row],[Cost Boolean]]*(VLOOKUP(Table4[[#This Row],[RATE CONCAT]],Tables!I:N,5,0)),0)</f>
        <v>0</v>
      </c>
      <c r="DJ51" s="3">
        <f>IFERROR(Table4[[#This Row],[Dec_2026_Days_Actual]]*Table4[[#This Row],[Cost Boolean]]*(VLOOKUP(Table4[[#This Row],[RATE CONCAT]],Tables!I:N,5,0)),0)</f>
        <v>0</v>
      </c>
      <c r="DK51" s="3">
        <f>Table4[[#This Row],[Dec_2026_F]]-Table4[[#This Row],[Dec_2026_A]]</f>
        <v>0</v>
      </c>
      <c r="DL51" s="103"/>
      <c r="DM51" s="60"/>
      <c r="DN51" s="3">
        <f>IFERROR(Table4[[#This Row],[Jan_2027_Days_Forecast]]*Table4[[#This Row],[Cost Boolean]]*(VLOOKUP(Table4[[#This Row],[RATE CONCAT]],Tables!I:N,6,0)),0)</f>
        <v>0</v>
      </c>
      <c r="DO51" s="3"/>
      <c r="DP51" s="3">
        <f>Table4[[#This Row],[Jan_2027_F]]-Table4[[#This Row],[Jan_2027_A]]</f>
        <v>0</v>
      </c>
      <c r="DQ51" s="3">
        <f>IFERROR(Table4[[#This Row],[Feb_2027_Days_Forecast]]*Table4[[#This Row],[Cost Boolean]]*(VLOOKUP(Table4[[#This Row],[RATE CONCAT]],Tables!I:N,6,0)),0)</f>
        <v>0</v>
      </c>
      <c r="DR51" s="3"/>
      <c r="DS51" s="3">
        <f>Table4[[#This Row],[Feb_2027_F]]-Table4[[#This Row],[Feb_2027_A]]</f>
        <v>0</v>
      </c>
      <c r="DT51" s="3">
        <f>IFERROR(Table4[[#This Row],[Mar_2027_Days_Forecast]]*Table4[[#This Row],[Cost Boolean]]*(VLOOKUP(Table4[[#This Row],[RATE CONCAT]],Tables!I:N,6,0)),0)</f>
        <v>0</v>
      </c>
      <c r="DU51" s="3"/>
      <c r="DV51" s="3">
        <f>Table4[[#This Row],[Mar_2027_F]]-Table4[[#This Row],[Mar_2027_A]]</f>
        <v>0</v>
      </c>
      <c r="DW51" s="3">
        <f>IFERROR(Table4[[#This Row],[Apr_2027_Days_Forecast]]*Table4[[#This Row],[Cost Boolean]]*(VLOOKUP(Table4[[#This Row],[RATE CONCAT]],Tables!I:N,6,0)),0)</f>
        <v>0</v>
      </c>
      <c r="DX51" s="3"/>
      <c r="DY51" s="3">
        <f>Table4[[#This Row],[Apr_2027_F]]-Table4[[#This Row],[Apr_2027_A]]</f>
        <v>0</v>
      </c>
      <c r="DZ51" s="3">
        <f>IFERROR(Table4[[#This Row],[May_2027_Days_Forecast]]*Table4[[#This Row],[Cost Boolean]]*(VLOOKUP(Table4[[#This Row],[RATE CONCAT]],Tables!I:N,6,0)),0)</f>
        <v>0</v>
      </c>
      <c r="EA51" s="3"/>
      <c r="EB51" s="3">
        <f>Table4[[#This Row],[May_2027_F]]-Table4[[#This Row],[May_2027_A]]</f>
        <v>0</v>
      </c>
      <c r="EC51" s="3">
        <f>IFERROR(Table4[[#This Row],[Jun_2027_Days_Forecast]]*Table4[[#This Row],[Cost Boolean]]*(VLOOKUP(Table4[[#This Row],[RATE CONCAT]],Tables!I:N,6,0)),0)</f>
        <v>0</v>
      </c>
      <c r="ED51" s="3"/>
      <c r="EE51" s="3">
        <f>Table4[[#This Row],[Jun_2027_F]]-Table4[[#This Row],[Jun_2027_A]]</f>
        <v>0</v>
      </c>
      <c r="EF51" s="3">
        <f>IFERROR(Table4[[#This Row],[Jul_2027_Days_Forecast]]*Table4[[#This Row],[Cost Boolean]]*(VLOOKUP(Table4[[#This Row],[RATE CONCAT]],Tables!I:N,6,0)),0)</f>
        <v>0</v>
      </c>
      <c r="EG51" s="3"/>
      <c r="EH51" s="3">
        <f>Table4[[#This Row],[Jul_2027_F]]-Table4[[#This Row],[Jul_2027_A]]</f>
        <v>0</v>
      </c>
      <c r="EI51" s="3">
        <f>IFERROR(Table4[[#This Row],[Aug_2027_Days_Forecast]]*Table4[[#This Row],[Cost Boolean]]*(VLOOKUP(Table4[[#This Row],[RATE CONCAT]],Tables!I:N,6,0)),0)</f>
        <v>0</v>
      </c>
      <c r="EJ51" s="3"/>
      <c r="EK51" s="3">
        <f>Table4[[#This Row],[Aug_2027_F]]-Table4[[#This Row],[Aug_2027_A]]</f>
        <v>0</v>
      </c>
      <c r="EL51" s="3">
        <f>IFERROR(Table4[[#This Row],[Sep_2027_Days_Forecast]]*Table4[[#This Row],[Cost Boolean]]*(VLOOKUP(Table4[[#This Row],[RATE CONCAT]],Tables!I:N,6,0)),0)</f>
        <v>0</v>
      </c>
      <c r="EM51" s="3"/>
      <c r="EN51" s="3">
        <f>Table4[[#This Row],[Sep_2027_F]]-Table4[[#This Row],[Sep_2027_A]]</f>
        <v>0</v>
      </c>
      <c r="EO51" s="3">
        <f>IFERROR(Table4[[#This Row],[Oct_2027_Days_Forecast]]*Table4[[#This Row],[Cost Boolean]]*(VLOOKUP(Table4[[#This Row],[RATE CONCAT]],Tables!I:N,6,0)),0)</f>
        <v>0</v>
      </c>
      <c r="EP51" s="3"/>
      <c r="EQ51" s="3">
        <f>Table4[[#This Row],[Oct_2027_F]]-Table4[[#This Row],[Oct_2027_A]]</f>
        <v>0</v>
      </c>
      <c r="ER51" s="3">
        <f>IFERROR(Table4[[#This Row],[Nov_2027_Days_Forecast]]*Table4[[#This Row],[Cost Boolean]]*(VLOOKUP(Table4[[#This Row],[RATE CONCAT]],Tables!I:N,6,0)),0)</f>
        <v>0</v>
      </c>
      <c r="ES51" s="3"/>
      <c r="ET51" s="3">
        <f>Table4[[#This Row],[Nov_2027_F]]-Table4[[#This Row],[Nov_2027_A]]</f>
        <v>0</v>
      </c>
      <c r="EU51" s="3">
        <f>IFERROR(Table4[[#This Row],[Dec_2027_Days_Forecast]]*Table4[[#This Row],[Cost Boolean]]*(VLOOKUP(Table4[[#This Row],[RATE CONCAT]],Tables!I:N,6,0)),0)</f>
        <v>0</v>
      </c>
      <c r="EV51" s="3"/>
      <c r="EW51" s="3">
        <f>Table4[[#This Row],[Dec_2027_F]]-Table4[[#This Row],[Dec_2027_A]]</f>
        <v>0</v>
      </c>
    </row>
    <row r="52" spans="1:153" ht="1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2" t="str">
        <f>CONCATENATE(Table4[[#This Row],[JG]],Table4[[#This Row],[Country]],Table4[[#This Row],[Resource Provider]])</f>
        <v/>
      </c>
      <c r="Z52" s="132">
        <f>VLOOKUP(Table4[[#This Row],[RATE CONCAT]],Tables!I:N,5,0)</f>
        <v>0</v>
      </c>
      <c r="AA52" s="53"/>
      <c r="AB52" s="16"/>
      <c r="AC52" s="16"/>
      <c r="AD52" s="16"/>
      <c r="AE52" s="16"/>
      <c r="AF52" s="16"/>
      <c r="AG52" s="16"/>
      <c r="AH52" s="16"/>
      <c r="AI52" s="16"/>
      <c r="AJ52" s="16"/>
      <c r="AK52" s="16"/>
      <c r="AL52" s="16"/>
      <c r="AM52" s="16"/>
      <c r="AN52" s="53">
        <f>IFERROR(AVERAGE(Table4[[#This Row],[Jan_2026_Days_Forecast]:[Dec_2026_Days_Forecast]]),0)/19</f>
        <v>0</v>
      </c>
      <c r="AO52" s="53">
        <f>IFERROR(AVERAGE(Table4[[#This Row],[Jan_2026_Days_Actual]:[Dec_2026_Days_Actual]]),0)/19</f>
        <v>0</v>
      </c>
      <c r="AP52" s="84"/>
      <c r="AQ52" s="84"/>
      <c r="AR52" s="84"/>
      <c r="AS52" s="84"/>
      <c r="AT52" s="84"/>
      <c r="AU52" s="84"/>
      <c r="AV52" s="84"/>
      <c r="AW52" s="84"/>
      <c r="AX52" s="84"/>
      <c r="AY52" s="84"/>
      <c r="AZ52" s="84"/>
      <c r="BA52" s="84"/>
      <c r="BB52" s="53">
        <f>IFERROR(AVERAGE(Table4[[#This Row],[Jan_2027_Days_Forecast]:[Dec_2027_Days_Forecast]]),0)</f>
        <v>0</v>
      </c>
      <c r="BC52" s="16"/>
      <c r="BD52" s="16"/>
      <c r="BE52" s="16"/>
      <c r="BF52" s="16"/>
      <c r="BG52" s="16"/>
      <c r="BH52" s="16"/>
      <c r="BI52" s="16"/>
      <c r="BJ52" s="16"/>
      <c r="BK52" s="16"/>
      <c r="BL52" s="16"/>
      <c r="BM52" s="16"/>
      <c r="BN52" s="16"/>
      <c r="BO52" s="55"/>
      <c r="BP52" s="60"/>
      <c r="BQ52" s="3">
        <f>Table4[[#This Row],[Jan_2026_Days_Forecast]]*Table4[[#This Row],[Cost Boolean]]*VLOOKUP(Table4[[#This Row],[RATE CONCAT]],Tables!I:N,5,0)</f>
        <v>0</v>
      </c>
      <c r="BR52" s="3">
        <f>IFERROR(Table4[[#This Row],[Jan_2026_Days_Actual]]*Table4[[#This Row],[Cost Boolean]]*(VLOOKUP(Table4[[#This Row],[RATE CONCAT]],Tables!I:N,5,0)),0)</f>
        <v>0</v>
      </c>
      <c r="BS52" s="3">
        <f>Table4[[#This Row],[Jan_2026_F]]-Table4[[#This Row],[Jan_2026_A]]</f>
        <v>0</v>
      </c>
      <c r="BT52" s="107"/>
      <c r="BU52" s="3">
        <f>IFERROR(Table4[[#This Row],[Feb_2026_Days_Forecast]]*Table4[[#This Row],[Cost Boolean]]*(VLOOKUP(Table4[[#This Row],[RATE CONCAT]],Tables!I:N,5,0)),0)</f>
        <v>0</v>
      </c>
      <c r="BV52" s="3">
        <f>IFERROR(Table4[[#This Row],[Feb_2026_Days_Actual]]*Table4[[#This Row],[Cost Boolean]]*(VLOOKUP(Table4[[#This Row],[RATE CONCAT]],Tables!I:N,5,0)),0)</f>
        <v>0</v>
      </c>
      <c r="BW52" s="3">
        <f>Table4[[#This Row],[Feb_2026_F]]-Table4[[#This Row],[Feb_2026_A]]</f>
        <v>0</v>
      </c>
      <c r="BX52" s="103"/>
      <c r="BY52" s="3">
        <f>IFERROR(Table4[[#This Row],[Mar_2026_Days_Forecast]]*Table4[[#This Row],[Cost Boolean]]*(VLOOKUP(Table4[[#This Row],[RATE CONCAT]],Tables!I:N,5,0)),0)</f>
        <v>0</v>
      </c>
      <c r="BZ52" s="3">
        <f>IFERROR(Table4[[#This Row],[Mar_2026_Days_Actual]]*Table4[[#This Row],[Cost Boolean]]*(VLOOKUP(Table4[[#This Row],[RATE CONCAT]],Tables!I:N,5,0)),0)</f>
        <v>0</v>
      </c>
      <c r="CA52" s="3">
        <f>Table4[[#This Row],[Mar_2026_F]]-Table4[[#This Row],[Mar_2026_A]]</f>
        <v>0</v>
      </c>
      <c r="CB52" s="103"/>
      <c r="CC52" s="3">
        <f>IFERROR(Table4[[#This Row],[Apr_2026_Days_Forecast]]*Table4[[#This Row],[Cost Boolean]]*(VLOOKUP(Table4[[#This Row],[RATE CONCAT]],Tables!I:N,5,0)),0)</f>
        <v>0</v>
      </c>
      <c r="CD52" s="3">
        <f>IFERROR(Table4[[#This Row],[Apr_2026_Days_Actual]]*Table4[[#This Row],[Cost Boolean]]*(VLOOKUP(Table4[[#This Row],[RATE CONCAT]],Tables!I:N,5,0)),0)</f>
        <v>0</v>
      </c>
      <c r="CE52" s="3">
        <f>Table4[[#This Row],[Apr_2026_F]]-Table4[[#This Row],[Apr_2026_A]]</f>
        <v>0</v>
      </c>
      <c r="CF52" s="103"/>
      <c r="CG52" s="3">
        <f>IFERROR(Table4[[#This Row],[May_2026_Days_Forecast]] *Table4[[#This Row],[Cost Boolean]]*(VLOOKUP(Table4[[#This Row],[RATE CONCAT]],Tables!I:N,5,0)),0)</f>
        <v>0</v>
      </c>
      <c r="CH52" s="3">
        <f>IFERROR(Table4[[#This Row],[May_2026_Days_Actual]]*Table4[[#This Row],[Cost Boolean]]*(VLOOKUP(Table4[[#This Row],[RATE CONCAT]],Tables!I:N,5,0)),0)</f>
        <v>0</v>
      </c>
      <c r="CI52" s="3">
        <f>Table4[[#This Row],[May_2026_F]]-Table4[[#This Row],[May_2026_A]]</f>
        <v>0</v>
      </c>
      <c r="CJ52" s="103"/>
      <c r="CK52" s="3">
        <f>IFERROR(Table4[[#This Row],[Jun_2026_Days_Forecast]]*Table4[[#This Row],[Cost Boolean]]*(VLOOKUP(Table4[[#This Row],[RATE CONCAT]],Tables!I:N,5,0)),0)</f>
        <v>0</v>
      </c>
      <c r="CL52" s="3">
        <f>IFERROR(Table4[[#This Row],[Jun_2026_Days_Actual]]*Table4[[#This Row],[Cost Boolean]]*(VLOOKUP(Table4[[#This Row],[RATE CONCAT]],Tables!I:N,5,0)),0)</f>
        <v>0</v>
      </c>
      <c r="CM52" s="3">
        <f>Table4[[#This Row],[Jun_2026_F]]-Table4[[#This Row],[Jun_2026_A]]</f>
        <v>0</v>
      </c>
      <c r="CN52" s="103"/>
      <c r="CO52" s="3">
        <f>IFERROR(Table4[[#This Row],[Jul_2026_Days_Forecast]]*Table4[[#This Row],[Cost Boolean]]*(VLOOKUP(Table4[[#This Row],[RATE CONCAT]],Tables!I:N,5,0)),0)</f>
        <v>0</v>
      </c>
      <c r="CP52" s="3">
        <f>IFERROR(Table4[[#This Row],[Aug_2026_Days_Forecast]]*Table4[[#This Row],[Location]]*(VLOOKUP(Table4[[#This Row],[Rate]],Tables!J:O,5,0)),0)</f>
        <v>0</v>
      </c>
      <c r="CQ52" s="3">
        <f>Table4[[#This Row],[Jul_2026_F]]-Table4[[#This Row],[Jul_2026_A]]</f>
        <v>0</v>
      </c>
      <c r="CR52" s="103"/>
      <c r="CS52" s="3">
        <f>IFERROR(Table4[[#This Row],[Aug_2026_Days_Forecast]]*Table4[[#This Row],[Cost Boolean]]*(VLOOKUP(Table4[[#This Row],[RATE CONCAT]],Tables!I:N,5,0)),0)</f>
        <v>0</v>
      </c>
      <c r="CT52" s="3">
        <f>IFERROR(Table4[[#This Row],[Aug_2026_Days_Actual]]*Table4[[#This Row],[Cost Boolean]]*(VLOOKUP(Table4[[#This Row],[RATE CONCAT]],Tables!I:N,5,0)),0)</f>
        <v>0</v>
      </c>
      <c r="CU52" s="3">
        <f>Table4[[#This Row],[Aug_2026_F]]-Table4[[#This Row],[Aug_2026_A]]</f>
        <v>0</v>
      </c>
      <c r="CV52" s="103"/>
      <c r="CW52" s="3">
        <f>IFERROR(Table4[[#This Row],[Sep_2026_Days_Forecast]]*Table4[[#This Row],[Cost Boolean]]*(VLOOKUP(Table4[[#This Row],[RATE CONCAT]],Tables!I:N,5,0)),0)</f>
        <v>0</v>
      </c>
      <c r="CX52" s="3">
        <f>IFERROR(Table4[[#This Row],[Sep_2026_Days_Actual]]*Table4[[#This Row],[Cost Boolean]]*(VLOOKUP(Table4[[#This Row],[RATE CONCAT]],Tables!I:N,5,0)),0)</f>
        <v>0</v>
      </c>
      <c r="CY52" s="3">
        <f>Table4[[#This Row],[Sep_2026_F]]-Table4[[#This Row],[Sep_2026_A]]</f>
        <v>0</v>
      </c>
      <c r="CZ52" s="103"/>
      <c r="DA52" s="3">
        <f>IFERROR(Table4[[#This Row],[Oct_2026_Days_Forecast]]*Table4[[#This Row],[Cost Boolean]]*(VLOOKUP(Table4[[#This Row],[RATE CONCAT]],Tables!I:N,5,0)),0)</f>
        <v>0</v>
      </c>
      <c r="DB52" s="3">
        <f>IFERROR(Table4[[#This Row],[Oct_2026_Days_Actual]]*Table4[[#This Row],[Cost Boolean]]*(VLOOKUP(Table4[[#This Row],[RATE CONCAT]],Tables!I:N,5,0)),0)</f>
        <v>0</v>
      </c>
      <c r="DC52" s="3">
        <f>Table4[[#This Row],[Oct_2026_F]]-Table4[[#This Row],[Oct_2026_A]]</f>
        <v>0</v>
      </c>
      <c r="DD52" s="103"/>
      <c r="DE52" s="3">
        <f>IFERROR(Table4[[#This Row],[Nov_2026_Days_Forecast]]*Table4[[#This Row],[Cost Boolean]]*(VLOOKUP(Table4[[#This Row],[RATE CONCAT]],Tables!I:N,5,0)),0)</f>
        <v>0</v>
      </c>
      <c r="DF52" s="3">
        <f>IFERROR(Table4[[#This Row],[Nov_2026_Days_Actual]]*Table4[[#This Row],[Cost Boolean]]*(VLOOKUP(Table4[[#This Row],[RATE CONCAT]],Tables!I:N,5,0)),0)</f>
        <v>0</v>
      </c>
      <c r="DG52" s="3">
        <f>Table4[[#This Row],[Nov_2026_F]]-Table4[[#This Row],[Nov_2026_A]]</f>
        <v>0</v>
      </c>
      <c r="DH52" s="103"/>
      <c r="DI52" s="3">
        <f>IFERROR(Table4[[#This Row],[Dec_2026_Days_Forecast]]*Table4[[#This Row],[Cost Boolean]]*(VLOOKUP(Table4[[#This Row],[RATE CONCAT]],Tables!I:N,5,0)),0)</f>
        <v>0</v>
      </c>
      <c r="DJ52" s="3">
        <f>IFERROR(Table4[[#This Row],[Dec_2026_Days_Actual]]*Table4[[#This Row],[Cost Boolean]]*(VLOOKUP(Table4[[#This Row],[RATE CONCAT]],Tables!I:N,5,0)),0)</f>
        <v>0</v>
      </c>
      <c r="DK52" s="3">
        <f>Table4[[#This Row],[Dec_2026_F]]-Table4[[#This Row],[Dec_2026_A]]</f>
        <v>0</v>
      </c>
      <c r="DL52" s="103"/>
      <c r="DM52" s="60"/>
      <c r="DN52" s="3">
        <f>IFERROR(Table4[[#This Row],[Jan_2027_Days_Forecast]]*Table4[[#This Row],[Cost Boolean]]*(VLOOKUP(Table4[[#This Row],[RATE CONCAT]],Tables!I:N,6,0)),0)</f>
        <v>0</v>
      </c>
      <c r="DO52" s="3"/>
      <c r="DP52" s="3">
        <f>Table4[[#This Row],[Jan_2027_F]]-Table4[[#This Row],[Jan_2027_A]]</f>
        <v>0</v>
      </c>
      <c r="DQ52" s="3">
        <f>IFERROR(Table4[[#This Row],[Feb_2027_Days_Forecast]]*Table4[[#This Row],[Cost Boolean]]*(VLOOKUP(Table4[[#This Row],[RATE CONCAT]],Tables!I:N,6,0)),0)</f>
        <v>0</v>
      </c>
      <c r="DR52" s="3"/>
      <c r="DS52" s="3">
        <f>Table4[[#This Row],[Feb_2027_F]]-Table4[[#This Row],[Feb_2027_A]]</f>
        <v>0</v>
      </c>
      <c r="DT52" s="3">
        <f>IFERROR(Table4[[#This Row],[Mar_2027_Days_Forecast]]*Table4[[#This Row],[Cost Boolean]]*(VLOOKUP(Table4[[#This Row],[RATE CONCAT]],Tables!I:N,6,0)),0)</f>
        <v>0</v>
      </c>
      <c r="DU52" s="3"/>
      <c r="DV52" s="3">
        <f>Table4[[#This Row],[Mar_2027_F]]-Table4[[#This Row],[Mar_2027_A]]</f>
        <v>0</v>
      </c>
      <c r="DW52" s="3">
        <f>IFERROR(Table4[[#This Row],[Apr_2027_Days_Forecast]]*Table4[[#This Row],[Cost Boolean]]*(VLOOKUP(Table4[[#This Row],[RATE CONCAT]],Tables!I:N,6,0)),0)</f>
        <v>0</v>
      </c>
      <c r="DX52" s="3"/>
      <c r="DY52" s="3">
        <f>Table4[[#This Row],[Apr_2027_F]]-Table4[[#This Row],[Apr_2027_A]]</f>
        <v>0</v>
      </c>
      <c r="DZ52" s="3">
        <f>IFERROR(Table4[[#This Row],[May_2027_Days_Forecast]]*Table4[[#This Row],[Cost Boolean]]*(VLOOKUP(Table4[[#This Row],[RATE CONCAT]],Tables!I:N,6,0)),0)</f>
        <v>0</v>
      </c>
      <c r="EA52" s="3"/>
      <c r="EB52" s="3">
        <f>Table4[[#This Row],[May_2027_F]]-Table4[[#This Row],[May_2027_A]]</f>
        <v>0</v>
      </c>
      <c r="EC52" s="3">
        <f>IFERROR(Table4[[#This Row],[Jun_2027_Days_Forecast]]*Table4[[#This Row],[Cost Boolean]]*(VLOOKUP(Table4[[#This Row],[RATE CONCAT]],Tables!I:N,6,0)),0)</f>
        <v>0</v>
      </c>
      <c r="ED52" s="3"/>
      <c r="EE52" s="3">
        <f>Table4[[#This Row],[Jun_2027_F]]-Table4[[#This Row],[Jun_2027_A]]</f>
        <v>0</v>
      </c>
      <c r="EF52" s="3">
        <f>IFERROR(Table4[[#This Row],[Jul_2027_Days_Forecast]]*Table4[[#This Row],[Cost Boolean]]*(VLOOKUP(Table4[[#This Row],[RATE CONCAT]],Tables!I:N,6,0)),0)</f>
        <v>0</v>
      </c>
      <c r="EG52" s="3"/>
      <c r="EH52" s="3">
        <f>Table4[[#This Row],[Jul_2027_F]]-Table4[[#This Row],[Jul_2027_A]]</f>
        <v>0</v>
      </c>
      <c r="EI52" s="3">
        <f>IFERROR(Table4[[#This Row],[Aug_2027_Days_Forecast]]*Table4[[#This Row],[Cost Boolean]]*(VLOOKUP(Table4[[#This Row],[RATE CONCAT]],Tables!I:N,6,0)),0)</f>
        <v>0</v>
      </c>
      <c r="EJ52" s="3"/>
      <c r="EK52" s="3">
        <f>Table4[[#This Row],[Aug_2027_F]]-Table4[[#This Row],[Aug_2027_A]]</f>
        <v>0</v>
      </c>
      <c r="EL52" s="3">
        <f>IFERROR(Table4[[#This Row],[Sep_2027_Days_Forecast]]*Table4[[#This Row],[Cost Boolean]]*(VLOOKUP(Table4[[#This Row],[RATE CONCAT]],Tables!I:N,6,0)),0)</f>
        <v>0</v>
      </c>
      <c r="EM52" s="3"/>
      <c r="EN52" s="3">
        <f>Table4[[#This Row],[Sep_2027_F]]-Table4[[#This Row],[Sep_2027_A]]</f>
        <v>0</v>
      </c>
      <c r="EO52" s="3">
        <f>IFERROR(Table4[[#This Row],[Oct_2027_Days_Forecast]]*Table4[[#This Row],[Cost Boolean]]*(VLOOKUP(Table4[[#This Row],[RATE CONCAT]],Tables!I:N,6,0)),0)</f>
        <v>0</v>
      </c>
      <c r="EP52" s="3"/>
      <c r="EQ52" s="3">
        <f>Table4[[#This Row],[Oct_2027_F]]-Table4[[#This Row],[Oct_2027_A]]</f>
        <v>0</v>
      </c>
      <c r="ER52" s="3">
        <f>IFERROR(Table4[[#This Row],[Nov_2027_Days_Forecast]]*Table4[[#This Row],[Cost Boolean]]*(VLOOKUP(Table4[[#This Row],[RATE CONCAT]],Tables!I:N,6,0)),0)</f>
        <v>0</v>
      </c>
      <c r="ES52" s="3"/>
      <c r="ET52" s="3">
        <f>Table4[[#This Row],[Nov_2027_F]]-Table4[[#This Row],[Nov_2027_A]]</f>
        <v>0</v>
      </c>
      <c r="EU52" s="3">
        <f>IFERROR(Table4[[#This Row],[Dec_2027_Days_Forecast]]*Table4[[#This Row],[Cost Boolean]]*(VLOOKUP(Table4[[#This Row],[RATE CONCAT]],Tables!I:N,6,0)),0)</f>
        <v>0</v>
      </c>
      <c r="EV52" s="3"/>
      <c r="EW52" s="3">
        <f>Table4[[#This Row],[Dec_2027_F]]-Table4[[#This Row],[Dec_2027_A]]</f>
        <v>0</v>
      </c>
    </row>
    <row r="53" spans="1:153" ht="1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2" t="str">
        <f>CONCATENATE(Table4[[#This Row],[JG]],Table4[[#This Row],[Country]],Table4[[#This Row],[Resource Provider]])</f>
        <v/>
      </c>
      <c r="Z53" s="132">
        <f>VLOOKUP(Table4[[#This Row],[RATE CONCAT]],Tables!I:N,5,0)</f>
        <v>0</v>
      </c>
      <c r="AA53" s="53"/>
      <c r="AB53" s="16"/>
      <c r="AC53" s="16"/>
      <c r="AD53" s="16"/>
      <c r="AE53" s="16"/>
      <c r="AF53" s="16"/>
      <c r="AG53" s="16"/>
      <c r="AH53" s="16"/>
      <c r="AI53" s="16"/>
      <c r="AJ53" s="16"/>
      <c r="AK53" s="16"/>
      <c r="AL53" s="16"/>
      <c r="AM53" s="16"/>
      <c r="AN53" s="53">
        <f>IFERROR(AVERAGE(Table4[[#This Row],[Jan_2026_Days_Forecast]:[Dec_2026_Days_Forecast]]),0)/19</f>
        <v>0</v>
      </c>
      <c r="AO53" s="53">
        <f>IFERROR(AVERAGE(Table4[[#This Row],[Jan_2026_Days_Actual]:[Dec_2026_Days_Actual]]),0)/19</f>
        <v>0</v>
      </c>
      <c r="AP53" s="84"/>
      <c r="AQ53" s="84"/>
      <c r="AR53" s="84"/>
      <c r="AS53" s="84"/>
      <c r="AT53" s="84"/>
      <c r="AU53" s="84"/>
      <c r="AV53" s="84"/>
      <c r="AW53" s="84"/>
      <c r="AX53" s="84"/>
      <c r="AY53" s="84"/>
      <c r="AZ53" s="84"/>
      <c r="BA53" s="84"/>
      <c r="BB53" s="53">
        <f>IFERROR(AVERAGE(Table4[[#This Row],[Jan_2027_Days_Forecast]:[Dec_2027_Days_Forecast]]),0)</f>
        <v>0</v>
      </c>
      <c r="BC53" s="16"/>
      <c r="BD53" s="16"/>
      <c r="BE53" s="16"/>
      <c r="BF53" s="16"/>
      <c r="BG53" s="16"/>
      <c r="BH53" s="16"/>
      <c r="BI53" s="16"/>
      <c r="BJ53" s="16"/>
      <c r="BK53" s="16"/>
      <c r="BL53" s="16"/>
      <c r="BM53" s="16"/>
      <c r="BN53" s="16"/>
      <c r="BO53" s="55"/>
      <c r="BP53" s="60"/>
      <c r="BQ53" s="3">
        <f>Table4[[#This Row],[Jan_2026_Days_Forecast]]*Table4[[#This Row],[Cost Boolean]]*VLOOKUP(Table4[[#This Row],[RATE CONCAT]],Tables!I:N,5,0)</f>
        <v>0</v>
      </c>
      <c r="BR53" s="3">
        <f>IFERROR(Table4[[#This Row],[Jan_2026_Days_Actual]]*Table4[[#This Row],[Cost Boolean]]*(VLOOKUP(Table4[[#This Row],[RATE CONCAT]],Tables!I:N,5,0)),0)</f>
        <v>0</v>
      </c>
      <c r="BS53" s="3">
        <f>Table4[[#This Row],[Jan_2026_F]]-Table4[[#This Row],[Jan_2026_A]]</f>
        <v>0</v>
      </c>
      <c r="BT53" s="107"/>
      <c r="BU53" s="3">
        <f>IFERROR(Table4[[#This Row],[Feb_2026_Days_Forecast]]*Table4[[#This Row],[Cost Boolean]]*(VLOOKUP(Table4[[#This Row],[RATE CONCAT]],Tables!I:N,5,0)),0)</f>
        <v>0</v>
      </c>
      <c r="BV53" s="3">
        <f>IFERROR(Table4[[#This Row],[Feb_2026_Days_Actual]]*Table4[[#This Row],[Cost Boolean]]*(VLOOKUP(Table4[[#This Row],[RATE CONCAT]],Tables!I:N,5,0)),0)</f>
        <v>0</v>
      </c>
      <c r="BW53" s="3">
        <f>Table4[[#This Row],[Feb_2026_F]]-Table4[[#This Row],[Feb_2026_A]]</f>
        <v>0</v>
      </c>
      <c r="BX53" s="103"/>
      <c r="BY53" s="3">
        <f>IFERROR(Table4[[#This Row],[Mar_2026_Days_Forecast]]*Table4[[#This Row],[Cost Boolean]]*(VLOOKUP(Table4[[#This Row],[RATE CONCAT]],Tables!I:N,5,0)),0)</f>
        <v>0</v>
      </c>
      <c r="BZ53" s="3">
        <f>IFERROR(Table4[[#This Row],[Mar_2026_Days_Actual]]*Table4[[#This Row],[Cost Boolean]]*(VLOOKUP(Table4[[#This Row],[RATE CONCAT]],Tables!I:N,5,0)),0)</f>
        <v>0</v>
      </c>
      <c r="CA53" s="3">
        <f>Table4[[#This Row],[Mar_2026_F]]-Table4[[#This Row],[Mar_2026_A]]</f>
        <v>0</v>
      </c>
      <c r="CB53" s="103"/>
      <c r="CC53" s="3">
        <f>IFERROR(Table4[[#This Row],[Apr_2026_Days_Forecast]]*Table4[[#This Row],[Cost Boolean]]*(VLOOKUP(Table4[[#This Row],[RATE CONCAT]],Tables!I:N,5,0)),0)</f>
        <v>0</v>
      </c>
      <c r="CD53" s="3">
        <f>IFERROR(Table4[[#This Row],[Apr_2026_Days_Actual]]*Table4[[#This Row],[Cost Boolean]]*(VLOOKUP(Table4[[#This Row],[RATE CONCAT]],Tables!I:N,5,0)),0)</f>
        <v>0</v>
      </c>
      <c r="CE53" s="3">
        <f>Table4[[#This Row],[Apr_2026_F]]-Table4[[#This Row],[Apr_2026_A]]</f>
        <v>0</v>
      </c>
      <c r="CF53" s="103"/>
      <c r="CG53" s="3">
        <f>IFERROR(Table4[[#This Row],[May_2026_Days_Forecast]] *Table4[[#This Row],[Cost Boolean]]*(VLOOKUP(Table4[[#This Row],[RATE CONCAT]],Tables!I:N,5,0)),0)</f>
        <v>0</v>
      </c>
      <c r="CH53" s="3">
        <f>IFERROR(Table4[[#This Row],[May_2026_Days_Actual]]*Table4[[#This Row],[Cost Boolean]]*(VLOOKUP(Table4[[#This Row],[RATE CONCAT]],Tables!I:N,5,0)),0)</f>
        <v>0</v>
      </c>
      <c r="CI53" s="3">
        <f>Table4[[#This Row],[May_2026_F]]-Table4[[#This Row],[May_2026_A]]</f>
        <v>0</v>
      </c>
      <c r="CJ53" s="103"/>
      <c r="CK53" s="3">
        <f>IFERROR(Table4[[#This Row],[Jun_2026_Days_Forecast]]*Table4[[#This Row],[Cost Boolean]]*(VLOOKUP(Table4[[#This Row],[RATE CONCAT]],Tables!I:N,5,0)),0)</f>
        <v>0</v>
      </c>
      <c r="CL53" s="3">
        <f>IFERROR(Table4[[#This Row],[Jun_2026_Days_Actual]]*Table4[[#This Row],[Cost Boolean]]*(VLOOKUP(Table4[[#This Row],[RATE CONCAT]],Tables!I:N,5,0)),0)</f>
        <v>0</v>
      </c>
      <c r="CM53" s="3">
        <f>Table4[[#This Row],[Jun_2026_F]]-Table4[[#This Row],[Jun_2026_A]]</f>
        <v>0</v>
      </c>
      <c r="CN53" s="103"/>
      <c r="CO53" s="3">
        <f>IFERROR(Table4[[#This Row],[Jul_2026_Days_Forecast]]*Table4[[#This Row],[Cost Boolean]]*(VLOOKUP(Table4[[#This Row],[RATE CONCAT]],Tables!I:N,5,0)),0)</f>
        <v>0</v>
      </c>
      <c r="CP53" s="3">
        <f>IFERROR(Table4[[#This Row],[Aug_2026_Days_Forecast]]*Table4[[#This Row],[Location]]*(VLOOKUP(Table4[[#This Row],[Rate]],Tables!J:O,5,0)),0)</f>
        <v>0</v>
      </c>
      <c r="CQ53" s="3">
        <f>Table4[[#This Row],[Jul_2026_F]]-Table4[[#This Row],[Jul_2026_A]]</f>
        <v>0</v>
      </c>
      <c r="CR53" s="103"/>
      <c r="CS53" s="3">
        <f>IFERROR(Table4[[#This Row],[Aug_2026_Days_Forecast]]*Table4[[#This Row],[Cost Boolean]]*(VLOOKUP(Table4[[#This Row],[RATE CONCAT]],Tables!I:N,5,0)),0)</f>
        <v>0</v>
      </c>
      <c r="CT53" s="3">
        <f>IFERROR(Table4[[#This Row],[Aug_2026_Days_Actual]]*Table4[[#This Row],[Cost Boolean]]*(VLOOKUP(Table4[[#This Row],[RATE CONCAT]],Tables!I:N,5,0)),0)</f>
        <v>0</v>
      </c>
      <c r="CU53" s="3">
        <f>Table4[[#This Row],[Aug_2026_F]]-Table4[[#This Row],[Aug_2026_A]]</f>
        <v>0</v>
      </c>
      <c r="CV53" s="103"/>
      <c r="CW53" s="3">
        <f>IFERROR(Table4[[#This Row],[Sep_2026_Days_Forecast]]*Table4[[#This Row],[Cost Boolean]]*(VLOOKUP(Table4[[#This Row],[RATE CONCAT]],Tables!I:N,5,0)),0)</f>
        <v>0</v>
      </c>
      <c r="CX53" s="3">
        <f>IFERROR(Table4[[#This Row],[Sep_2026_Days_Actual]]*Table4[[#This Row],[Cost Boolean]]*(VLOOKUP(Table4[[#This Row],[RATE CONCAT]],Tables!I:N,5,0)),0)</f>
        <v>0</v>
      </c>
      <c r="CY53" s="3">
        <f>Table4[[#This Row],[Sep_2026_F]]-Table4[[#This Row],[Sep_2026_A]]</f>
        <v>0</v>
      </c>
      <c r="CZ53" s="103"/>
      <c r="DA53" s="3">
        <f>IFERROR(Table4[[#This Row],[Oct_2026_Days_Forecast]]*Table4[[#This Row],[Cost Boolean]]*(VLOOKUP(Table4[[#This Row],[RATE CONCAT]],Tables!I:N,5,0)),0)</f>
        <v>0</v>
      </c>
      <c r="DB53" s="3">
        <f>IFERROR(Table4[[#This Row],[Oct_2026_Days_Actual]]*Table4[[#This Row],[Cost Boolean]]*(VLOOKUP(Table4[[#This Row],[RATE CONCAT]],Tables!I:N,5,0)),0)</f>
        <v>0</v>
      </c>
      <c r="DC53" s="3">
        <f>Table4[[#This Row],[Oct_2026_F]]-Table4[[#This Row],[Oct_2026_A]]</f>
        <v>0</v>
      </c>
      <c r="DD53" s="103"/>
      <c r="DE53" s="3">
        <f>IFERROR(Table4[[#This Row],[Nov_2026_Days_Forecast]]*Table4[[#This Row],[Cost Boolean]]*(VLOOKUP(Table4[[#This Row],[RATE CONCAT]],Tables!I:N,5,0)),0)</f>
        <v>0</v>
      </c>
      <c r="DF53" s="3">
        <f>IFERROR(Table4[[#This Row],[Nov_2026_Days_Actual]]*Table4[[#This Row],[Cost Boolean]]*(VLOOKUP(Table4[[#This Row],[RATE CONCAT]],Tables!I:N,5,0)),0)</f>
        <v>0</v>
      </c>
      <c r="DG53" s="3">
        <f>Table4[[#This Row],[Nov_2026_F]]-Table4[[#This Row],[Nov_2026_A]]</f>
        <v>0</v>
      </c>
      <c r="DH53" s="103"/>
      <c r="DI53" s="3">
        <f>IFERROR(Table4[[#This Row],[Dec_2026_Days_Forecast]]*Table4[[#This Row],[Cost Boolean]]*(VLOOKUP(Table4[[#This Row],[RATE CONCAT]],Tables!I:N,5,0)),0)</f>
        <v>0</v>
      </c>
      <c r="DJ53" s="3">
        <f>IFERROR(Table4[[#This Row],[Dec_2026_Days_Actual]]*Table4[[#This Row],[Cost Boolean]]*(VLOOKUP(Table4[[#This Row],[RATE CONCAT]],Tables!I:N,5,0)),0)</f>
        <v>0</v>
      </c>
      <c r="DK53" s="3">
        <f>Table4[[#This Row],[Dec_2026_F]]-Table4[[#This Row],[Dec_2026_A]]</f>
        <v>0</v>
      </c>
      <c r="DL53" s="103"/>
      <c r="DM53" s="60"/>
      <c r="DN53" s="3">
        <f>IFERROR(Table4[[#This Row],[Jan_2027_Days_Forecast]]*Table4[[#This Row],[Cost Boolean]]*(VLOOKUP(Table4[[#This Row],[RATE CONCAT]],Tables!I:N,6,0)),0)</f>
        <v>0</v>
      </c>
      <c r="DO53" s="3"/>
      <c r="DP53" s="3">
        <f>Table4[[#This Row],[Jan_2027_F]]-Table4[[#This Row],[Jan_2027_A]]</f>
        <v>0</v>
      </c>
      <c r="DQ53" s="3">
        <f>IFERROR(Table4[[#This Row],[Feb_2027_Days_Forecast]]*Table4[[#This Row],[Cost Boolean]]*(VLOOKUP(Table4[[#This Row],[RATE CONCAT]],Tables!I:N,6,0)),0)</f>
        <v>0</v>
      </c>
      <c r="DR53" s="3"/>
      <c r="DS53" s="3">
        <f>Table4[[#This Row],[Feb_2027_F]]-Table4[[#This Row],[Feb_2027_A]]</f>
        <v>0</v>
      </c>
      <c r="DT53" s="3">
        <f>IFERROR(Table4[[#This Row],[Mar_2027_Days_Forecast]]*Table4[[#This Row],[Cost Boolean]]*(VLOOKUP(Table4[[#This Row],[RATE CONCAT]],Tables!I:N,6,0)),0)</f>
        <v>0</v>
      </c>
      <c r="DU53" s="3"/>
      <c r="DV53" s="3">
        <f>Table4[[#This Row],[Mar_2027_F]]-Table4[[#This Row],[Mar_2027_A]]</f>
        <v>0</v>
      </c>
      <c r="DW53" s="3">
        <f>IFERROR(Table4[[#This Row],[Apr_2027_Days_Forecast]]*Table4[[#This Row],[Cost Boolean]]*(VLOOKUP(Table4[[#This Row],[RATE CONCAT]],Tables!I:N,6,0)),0)</f>
        <v>0</v>
      </c>
      <c r="DX53" s="3"/>
      <c r="DY53" s="3">
        <f>Table4[[#This Row],[Apr_2027_F]]-Table4[[#This Row],[Apr_2027_A]]</f>
        <v>0</v>
      </c>
      <c r="DZ53" s="3">
        <f>IFERROR(Table4[[#This Row],[May_2027_Days_Forecast]]*Table4[[#This Row],[Cost Boolean]]*(VLOOKUP(Table4[[#This Row],[RATE CONCAT]],Tables!I:N,6,0)),0)</f>
        <v>0</v>
      </c>
      <c r="EA53" s="3"/>
      <c r="EB53" s="3">
        <f>Table4[[#This Row],[May_2027_F]]-Table4[[#This Row],[May_2027_A]]</f>
        <v>0</v>
      </c>
      <c r="EC53" s="3">
        <f>IFERROR(Table4[[#This Row],[Jun_2027_Days_Forecast]]*Table4[[#This Row],[Cost Boolean]]*(VLOOKUP(Table4[[#This Row],[RATE CONCAT]],Tables!I:N,6,0)),0)</f>
        <v>0</v>
      </c>
      <c r="ED53" s="3"/>
      <c r="EE53" s="3">
        <f>Table4[[#This Row],[Jun_2027_F]]-Table4[[#This Row],[Jun_2027_A]]</f>
        <v>0</v>
      </c>
      <c r="EF53" s="3">
        <f>IFERROR(Table4[[#This Row],[Jul_2027_Days_Forecast]]*Table4[[#This Row],[Cost Boolean]]*(VLOOKUP(Table4[[#This Row],[RATE CONCAT]],Tables!I:N,6,0)),0)</f>
        <v>0</v>
      </c>
      <c r="EG53" s="3"/>
      <c r="EH53" s="3">
        <f>Table4[[#This Row],[Jul_2027_F]]-Table4[[#This Row],[Jul_2027_A]]</f>
        <v>0</v>
      </c>
      <c r="EI53" s="3">
        <f>IFERROR(Table4[[#This Row],[Aug_2027_Days_Forecast]]*Table4[[#This Row],[Cost Boolean]]*(VLOOKUP(Table4[[#This Row],[RATE CONCAT]],Tables!I:N,6,0)),0)</f>
        <v>0</v>
      </c>
      <c r="EJ53" s="3"/>
      <c r="EK53" s="3">
        <f>Table4[[#This Row],[Aug_2027_F]]-Table4[[#This Row],[Aug_2027_A]]</f>
        <v>0</v>
      </c>
      <c r="EL53" s="3">
        <f>IFERROR(Table4[[#This Row],[Sep_2027_Days_Forecast]]*Table4[[#This Row],[Cost Boolean]]*(VLOOKUP(Table4[[#This Row],[RATE CONCAT]],Tables!I:N,6,0)),0)</f>
        <v>0</v>
      </c>
      <c r="EM53" s="3"/>
      <c r="EN53" s="3">
        <f>Table4[[#This Row],[Sep_2027_F]]-Table4[[#This Row],[Sep_2027_A]]</f>
        <v>0</v>
      </c>
      <c r="EO53" s="3">
        <f>IFERROR(Table4[[#This Row],[Oct_2027_Days_Forecast]]*Table4[[#This Row],[Cost Boolean]]*(VLOOKUP(Table4[[#This Row],[RATE CONCAT]],Tables!I:N,6,0)),0)</f>
        <v>0</v>
      </c>
      <c r="EP53" s="3"/>
      <c r="EQ53" s="3">
        <f>Table4[[#This Row],[Oct_2027_F]]-Table4[[#This Row],[Oct_2027_A]]</f>
        <v>0</v>
      </c>
      <c r="ER53" s="3">
        <f>IFERROR(Table4[[#This Row],[Nov_2027_Days_Forecast]]*Table4[[#This Row],[Cost Boolean]]*(VLOOKUP(Table4[[#This Row],[RATE CONCAT]],Tables!I:N,6,0)),0)</f>
        <v>0</v>
      </c>
      <c r="ES53" s="3"/>
      <c r="ET53" s="3">
        <f>Table4[[#This Row],[Nov_2027_F]]-Table4[[#This Row],[Nov_2027_A]]</f>
        <v>0</v>
      </c>
      <c r="EU53" s="3">
        <f>IFERROR(Table4[[#This Row],[Dec_2027_Days_Forecast]]*Table4[[#This Row],[Cost Boolean]]*(VLOOKUP(Table4[[#This Row],[RATE CONCAT]],Tables!I:N,6,0)),0)</f>
        <v>0</v>
      </c>
      <c r="EV53" s="3"/>
      <c r="EW53" s="3">
        <f>Table4[[#This Row],[Dec_2027_F]]-Table4[[#This Row],[Dec_2027_A]]</f>
        <v>0</v>
      </c>
    </row>
    <row r="54" spans="1:153" ht="1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2" t="str">
        <f>CONCATENATE(Table4[[#This Row],[JG]],Table4[[#This Row],[Country]],Table4[[#This Row],[Resource Provider]])</f>
        <v/>
      </c>
      <c r="Z54" s="132">
        <f>VLOOKUP(Table4[[#This Row],[RATE CONCAT]],Tables!I:N,5,0)</f>
        <v>0</v>
      </c>
      <c r="AA54" s="53"/>
      <c r="AB54" s="16"/>
      <c r="AC54" s="16"/>
      <c r="AD54" s="16"/>
      <c r="AE54" s="16"/>
      <c r="AF54" s="16"/>
      <c r="AG54" s="16"/>
      <c r="AH54" s="16"/>
      <c r="AI54" s="16"/>
      <c r="AJ54" s="16"/>
      <c r="AK54" s="16"/>
      <c r="AL54" s="16"/>
      <c r="AM54" s="16"/>
      <c r="AN54" s="53">
        <f>IFERROR(AVERAGE(Table4[[#This Row],[Jan_2026_Days_Forecast]:[Dec_2026_Days_Forecast]]),0)/19</f>
        <v>0</v>
      </c>
      <c r="AO54" s="53">
        <f>IFERROR(AVERAGE(Table4[[#This Row],[Jan_2026_Days_Actual]:[Dec_2026_Days_Actual]]),0)/19</f>
        <v>0</v>
      </c>
      <c r="AP54" s="84"/>
      <c r="AQ54" s="84"/>
      <c r="AR54" s="84"/>
      <c r="AS54" s="84"/>
      <c r="AT54" s="84"/>
      <c r="AU54" s="84"/>
      <c r="AV54" s="84"/>
      <c r="AW54" s="84"/>
      <c r="AX54" s="84"/>
      <c r="AY54" s="84"/>
      <c r="AZ54" s="84"/>
      <c r="BA54" s="84"/>
      <c r="BB54" s="53">
        <f>IFERROR(AVERAGE(Table4[[#This Row],[Jan_2027_Days_Forecast]:[Dec_2027_Days_Forecast]]),0)</f>
        <v>0</v>
      </c>
      <c r="BC54" s="16"/>
      <c r="BD54" s="16"/>
      <c r="BE54" s="16"/>
      <c r="BF54" s="16"/>
      <c r="BG54" s="16"/>
      <c r="BH54" s="16"/>
      <c r="BI54" s="16"/>
      <c r="BJ54" s="16"/>
      <c r="BK54" s="16"/>
      <c r="BL54" s="16"/>
      <c r="BM54" s="16"/>
      <c r="BN54" s="16"/>
      <c r="BO54" s="55"/>
      <c r="BP54" s="60"/>
      <c r="BQ54" s="3"/>
      <c r="BR54" s="3">
        <f>IFERROR(Table4[[#This Row],[Jan_2026_Days_Actual]]*Table4[[#This Row],[Cost Boolean]]*(VLOOKUP(Table4[[#This Row],[RATE CONCAT]],Tables!I:N,5,0)),0)</f>
        <v>0</v>
      </c>
      <c r="BS54" s="3">
        <f>Table4[[#This Row],[Jan_2026_F]]-Table4[[#This Row],[Jan_2026_A]]</f>
        <v>0</v>
      </c>
      <c r="BT54" s="107"/>
      <c r="BU54" s="3">
        <f>IFERROR(Table4[[#This Row],[Feb_2026_Days_Forecast]]*Table4[[#This Row],[Cost Boolean]]*(VLOOKUP(Table4[[#This Row],[RATE CONCAT]],Tables!I:N,5,0)),0)</f>
        <v>0</v>
      </c>
      <c r="BV54" s="3">
        <f>IFERROR(Table4[[#This Row],[Feb_2026_Days_Actual]]*Table4[[#This Row],[Cost Boolean]]*(VLOOKUP(Table4[[#This Row],[RATE CONCAT]],Tables!I:N,5,0)),0)</f>
        <v>0</v>
      </c>
      <c r="BW54" s="3">
        <f>Table4[[#This Row],[Feb_2026_F]]-Table4[[#This Row],[Feb_2026_A]]</f>
        <v>0</v>
      </c>
      <c r="BX54" s="103"/>
      <c r="BY54" s="3">
        <f>IFERROR(Table4[[#This Row],[Mar_2026_Days_Forecast]]*Table4[[#This Row],[Cost Boolean]]*(VLOOKUP(Table4[[#This Row],[RATE CONCAT]],Tables!I:N,5,0)),0)</f>
        <v>0</v>
      </c>
      <c r="BZ54" s="3">
        <f>IFERROR(Table4[[#This Row],[Mar_2026_Days_Actual]]*Table4[[#This Row],[Cost Boolean]]*(VLOOKUP(Table4[[#This Row],[RATE CONCAT]],Tables!I:N,5,0)),0)</f>
        <v>0</v>
      </c>
      <c r="CA54" s="3">
        <f>Table4[[#This Row],[Mar_2026_F]]-Table4[[#This Row],[Mar_2026_A]]</f>
        <v>0</v>
      </c>
      <c r="CB54" s="103"/>
      <c r="CC54" s="3">
        <f>IFERROR(Table4[[#This Row],[Apr_2026_Days_Forecast]]*Table4[[#This Row],[Cost Boolean]]*(VLOOKUP(Table4[[#This Row],[RATE CONCAT]],Tables!I:N,5,0)),0)</f>
        <v>0</v>
      </c>
      <c r="CD54" s="3">
        <f>IFERROR(Table4[[#This Row],[Apr_2026_Days_Actual]]*Table4[[#This Row],[Cost Boolean]]*(VLOOKUP(Table4[[#This Row],[RATE CONCAT]],Tables!I:N,5,0)),0)</f>
        <v>0</v>
      </c>
      <c r="CE54" s="3">
        <f>Table4[[#This Row],[Apr_2026_F]]-Table4[[#This Row],[Apr_2026_A]]</f>
        <v>0</v>
      </c>
      <c r="CF54" s="103"/>
      <c r="CG54" s="3">
        <f>IFERROR(Table4[[#This Row],[May_2026_Days_Forecast]] *Table4[[#This Row],[Cost Boolean]]*(VLOOKUP(Table4[[#This Row],[RATE CONCAT]],Tables!I:N,5,0)),0)</f>
        <v>0</v>
      </c>
      <c r="CH54" s="3">
        <f>IFERROR(Table4[[#This Row],[May_2026_Days_Actual]]*Table4[[#This Row],[Cost Boolean]]*(VLOOKUP(Table4[[#This Row],[RATE CONCAT]],Tables!I:N,5,0)),0)</f>
        <v>0</v>
      </c>
      <c r="CI54" s="3">
        <f>Table4[[#This Row],[May_2026_F]]-Table4[[#This Row],[May_2026_A]]</f>
        <v>0</v>
      </c>
      <c r="CJ54" s="103"/>
      <c r="CK54" s="3">
        <f>IFERROR(Table4[[#This Row],[Jun_2026_Days_Forecast]]*Table4[[#This Row],[Cost Boolean]]*(VLOOKUP(Table4[[#This Row],[RATE CONCAT]],Tables!I:N,5,0)),0)</f>
        <v>0</v>
      </c>
      <c r="CL54" s="3">
        <f>IFERROR(Table4[[#This Row],[Jun_2026_Days_Actual]]*Table4[[#This Row],[Cost Boolean]]*(VLOOKUP(Table4[[#This Row],[RATE CONCAT]],Tables!I:N,5,0)),0)</f>
        <v>0</v>
      </c>
      <c r="CM54" s="3">
        <f>Table4[[#This Row],[Jun_2026_F]]-Table4[[#This Row],[Jun_2026_A]]</f>
        <v>0</v>
      </c>
      <c r="CN54" s="103"/>
      <c r="CO54" s="3">
        <f>IFERROR(Table4[[#This Row],[Jul_2026_Days_Forecast]]*Table4[[#This Row],[Cost Boolean]]*(VLOOKUP(Table4[[#This Row],[RATE CONCAT]],Tables!I:N,5,0)),0)</f>
        <v>0</v>
      </c>
      <c r="CP54" s="3">
        <f>IFERROR(Table4[[#This Row],[Aug_2026_Days_Forecast]]*Table4[[#This Row],[Location]]*(VLOOKUP(Table4[[#This Row],[Rate]],Tables!J:O,5,0)),0)</f>
        <v>0</v>
      </c>
      <c r="CQ54" s="3">
        <f>Table4[[#This Row],[Jul_2026_F]]-Table4[[#This Row],[Jul_2026_A]]</f>
        <v>0</v>
      </c>
      <c r="CR54" s="103"/>
      <c r="CS54" s="3">
        <f>IFERROR(Table4[[#This Row],[Aug_2026_Days_Forecast]]*Table4[[#This Row],[Cost Boolean]]*(VLOOKUP(Table4[[#This Row],[RATE CONCAT]],Tables!I:N,5,0)),0)</f>
        <v>0</v>
      </c>
      <c r="CT54" s="3">
        <f>IFERROR(Table4[[#This Row],[Aug_2026_Days_Actual]]*Table4[[#This Row],[Cost Boolean]]*(VLOOKUP(Table4[[#This Row],[RATE CONCAT]],Tables!I:N,5,0)),0)</f>
        <v>0</v>
      </c>
      <c r="CU54" s="3">
        <f>Table4[[#This Row],[Aug_2026_F]]-Table4[[#This Row],[Aug_2026_A]]</f>
        <v>0</v>
      </c>
      <c r="CV54" s="103"/>
      <c r="CW54" s="3">
        <f>IFERROR(Table4[[#This Row],[Sep_2026_Days_Forecast]]*Table4[[#This Row],[Cost Boolean]]*(VLOOKUP(Table4[[#This Row],[RATE CONCAT]],Tables!I:N,5,0)),0)</f>
        <v>0</v>
      </c>
      <c r="CX54" s="3">
        <f>IFERROR(Table4[[#This Row],[Sep_2026_Days_Actual]]*Table4[[#This Row],[Cost Boolean]]*(VLOOKUP(Table4[[#This Row],[RATE CONCAT]],Tables!I:N,5,0)),0)</f>
        <v>0</v>
      </c>
      <c r="CY54" s="3">
        <f>Table4[[#This Row],[Sep_2026_F]]-Table4[[#This Row],[Sep_2026_A]]</f>
        <v>0</v>
      </c>
      <c r="CZ54" s="103"/>
      <c r="DA54" s="3">
        <f>IFERROR(Table4[[#This Row],[Oct_2026_Days_Forecast]]*Table4[[#This Row],[Cost Boolean]]*(VLOOKUP(Table4[[#This Row],[RATE CONCAT]],Tables!I:N,5,0)),0)</f>
        <v>0</v>
      </c>
      <c r="DB54" s="3">
        <f>IFERROR(Table4[[#This Row],[Oct_2026_Days_Actual]]*Table4[[#This Row],[Cost Boolean]]*(VLOOKUP(Table4[[#This Row],[RATE CONCAT]],Tables!I:N,5,0)),0)</f>
        <v>0</v>
      </c>
      <c r="DC54" s="3">
        <f>Table4[[#This Row],[Oct_2026_F]]-Table4[[#This Row],[Oct_2026_A]]</f>
        <v>0</v>
      </c>
      <c r="DD54" s="103"/>
      <c r="DE54" s="3">
        <f>IFERROR(Table4[[#This Row],[Nov_2026_Days_Forecast]]*Table4[[#This Row],[Cost Boolean]]*(VLOOKUP(Table4[[#This Row],[RATE CONCAT]],Tables!I:N,5,0)),0)</f>
        <v>0</v>
      </c>
      <c r="DF54" s="3">
        <f>IFERROR(Table4[[#This Row],[Nov_2026_Days_Actual]]*Table4[[#This Row],[Cost Boolean]]*(VLOOKUP(Table4[[#This Row],[RATE CONCAT]],Tables!I:N,5,0)),0)</f>
        <v>0</v>
      </c>
      <c r="DG54" s="3">
        <f>Table4[[#This Row],[Nov_2026_F]]-Table4[[#This Row],[Nov_2026_A]]</f>
        <v>0</v>
      </c>
      <c r="DH54" s="103"/>
      <c r="DI54" s="3">
        <f>IFERROR(Table4[[#This Row],[Dec_2026_Days_Forecast]]*Table4[[#This Row],[Cost Boolean]]*(VLOOKUP(Table4[[#This Row],[RATE CONCAT]],Tables!I:N,5,0)),0)</f>
        <v>0</v>
      </c>
      <c r="DJ54" s="3">
        <f>IFERROR(Table4[[#This Row],[Dec_2026_Days_Actual]]*Table4[[#This Row],[Cost Boolean]]*(VLOOKUP(Table4[[#This Row],[RATE CONCAT]],Tables!I:N,5,0)),0)</f>
        <v>0</v>
      </c>
      <c r="DK54" s="3">
        <f>Table4[[#This Row],[Dec_2026_F]]-Table4[[#This Row],[Dec_2026_A]]</f>
        <v>0</v>
      </c>
      <c r="DL54" s="103"/>
      <c r="DM54" s="60"/>
      <c r="DN54" s="3">
        <f>IFERROR(Table4[[#This Row],[Jan_2027_Days_Forecast]]*Table4[[#This Row],[Cost Boolean]]*(VLOOKUP(Table4[[#This Row],[RATE CONCAT]],Tables!I:N,6,0)),0)</f>
        <v>0</v>
      </c>
      <c r="DO54" s="3"/>
      <c r="DP54" s="3">
        <f>Table4[[#This Row],[Jan_2027_F]]-Table4[[#This Row],[Jan_2027_A]]</f>
        <v>0</v>
      </c>
      <c r="DQ54" s="3">
        <f>IFERROR(Table4[[#This Row],[Feb_2027_Days_Forecast]]*Table4[[#This Row],[Cost Boolean]]*(VLOOKUP(Table4[[#This Row],[RATE CONCAT]],Tables!I:N,6,0)),0)</f>
        <v>0</v>
      </c>
      <c r="DR54" s="3"/>
      <c r="DS54" s="3">
        <f>Table4[[#This Row],[Feb_2027_F]]-Table4[[#This Row],[Feb_2027_A]]</f>
        <v>0</v>
      </c>
      <c r="DT54" s="3">
        <f>IFERROR(Table4[[#This Row],[Mar_2027_Days_Forecast]]*Table4[[#This Row],[Cost Boolean]]*(VLOOKUP(Table4[[#This Row],[RATE CONCAT]],Tables!I:N,6,0)),0)</f>
        <v>0</v>
      </c>
      <c r="DU54" s="3"/>
      <c r="DV54" s="3">
        <f>Table4[[#This Row],[Mar_2027_F]]-Table4[[#This Row],[Mar_2027_A]]</f>
        <v>0</v>
      </c>
      <c r="DW54" s="3">
        <f>IFERROR(Table4[[#This Row],[Apr_2027_Days_Forecast]]*Table4[[#This Row],[Cost Boolean]]*(VLOOKUP(Table4[[#This Row],[RATE CONCAT]],Tables!I:N,6,0)),0)</f>
        <v>0</v>
      </c>
      <c r="DX54" s="3"/>
      <c r="DY54" s="3">
        <f>Table4[[#This Row],[Apr_2027_F]]-Table4[[#This Row],[Apr_2027_A]]</f>
        <v>0</v>
      </c>
      <c r="DZ54" s="3">
        <f>IFERROR(Table4[[#This Row],[May_2027_Days_Forecast]]*Table4[[#This Row],[Cost Boolean]]*(VLOOKUP(Table4[[#This Row],[RATE CONCAT]],Tables!I:N,6,0)),0)</f>
        <v>0</v>
      </c>
      <c r="EA54" s="3"/>
      <c r="EB54" s="3">
        <f>Table4[[#This Row],[May_2027_F]]-Table4[[#This Row],[May_2027_A]]</f>
        <v>0</v>
      </c>
      <c r="EC54" s="3">
        <f>IFERROR(Table4[[#This Row],[Jun_2027_Days_Forecast]]*Table4[[#This Row],[Cost Boolean]]*(VLOOKUP(Table4[[#This Row],[RATE CONCAT]],Tables!I:N,6,0)),0)</f>
        <v>0</v>
      </c>
      <c r="ED54" s="3"/>
      <c r="EE54" s="3">
        <f>Table4[[#This Row],[Jun_2027_F]]-Table4[[#This Row],[Jun_2027_A]]</f>
        <v>0</v>
      </c>
      <c r="EF54" s="3">
        <f>IFERROR(Table4[[#This Row],[Jul_2027_Days_Forecast]]*Table4[[#This Row],[Cost Boolean]]*(VLOOKUP(Table4[[#This Row],[RATE CONCAT]],Tables!I:N,6,0)),0)</f>
        <v>0</v>
      </c>
      <c r="EG54" s="3"/>
      <c r="EH54" s="3">
        <f>Table4[[#This Row],[Jul_2027_F]]-Table4[[#This Row],[Jul_2027_A]]</f>
        <v>0</v>
      </c>
      <c r="EI54" s="3">
        <f>IFERROR(Table4[[#This Row],[Aug_2027_Days_Forecast]]*Table4[[#This Row],[Cost Boolean]]*(VLOOKUP(Table4[[#This Row],[RATE CONCAT]],Tables!I:N,6,0)),0)</f>
        <v>0</v>
      </c>
      <c r="EJ54" s="3"/>
      <c r="EK54" s="3">
        <f>Table4[[#This Row],[Aug_2027_F]]-Table4[[#This Row],[Aug_2027_A]]</f>
        <v>0</v>
      </c>
      <c r="EL54" s="3">
        <f>IFERROR(Table4[[#This Row],[Sep_2027_Days_Forecast]]*Table4[[#This Row],[Cost Boolean]]*(VLOOKUP(Table4[[#This Row],[RATE CONCAT]],Tables!I:N,6,0)),0)</f>
        <v>0</v>
      </c>
      <c r="EM54" s="3"/>
      <c r="EN54" s="3">
        <f>Table4[[#This Row],[Sep_2027_F]]-Table4[[#This Row],[Sep_2027_A]]</f>
        <v>0</v>
      </c>
      <c r="EO54" s="3">
        <f>IFERROR(Table4[[#This Row],[Oct_2027_Days_Forecast]]*Table4[[#This Row],[Cost Boolean]]*(VLOOKUP(Table4[[#This Row],[RATE CONCAT]],Tables!I:N,6,0)),0)</f>
        <v>0</v>
      </c>
      <c r="EP54" s="3"/>
      <c r="EQ54" s="3">
        <f>Table4[[#This Row],[Oct_2027_F]]-Table4[[#This Row],[Oct_2027_A]]</f>
        <v>0</v>
      </c>
      <c r="ER54" s="3">
        <f>IFERROR(Table4[[#This Row],[Nov_2027_Days_Forecast]]*Table4[[#This Row],[Cost Boolean]]*(VLOOKUP(Table4[[#This Row],[RATE CONCAT]],Tables!I:N,6,0)),0)</f>
        <v>0</v>
      </c>
      <c r="ES54" s="3"/>
      <c r="ET54" s="3">
        <f>Table4[[#This Row],[Nov_2027_F]]-Table4[[#This Row],[Nov_2027_A]]</f>
        <v>0</v>
      </c>
      <c r="EU54" s="3">
        <f>IFERROR(Table4[[#This Row],[Dec_2027_Days_Forecast]]*Table4[[#This Row],[Cost Boolean]]*(VLOOKUP(Table4[[#This Row],[RATE CONCAT]],Tables!I:N,6,0)),0)</f>
        <v>0</v>
      </c>
      <c r="EV54" s="3"/>
      <c r="EW54" s="3">
        <f>Table4[[#This Row],[Dec_2027_F]]-Table4[[#This Row],[Dec_2027_A]]</f>
        <v>0</v>
      </c>
    </row>
    <row r="55" spans="1:153" ht="1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2" t="str">
        <f>CONCATENATE(Table4[[#This Row],[JG]],Table4[[#This Row],[Country]],Table4[[#This Row],[Resource Provider]])</f>
        <v/>
      </c>
      <c r="Z55" s="132">
        <f>VLOOKUP(Table4[[#This Row],[RATE CONCAT]],Tables!I:N,5,0)</f>
        <v>0</v>
      </c>
      <c r="AA55" s="53"/>
      <c r="AB55" s="16"/>
      <c r="AC55" s="16"/>
      <c r="AD55" s="16"/>
      <c r="AE55" s="16"/>
      <c r="AF55" s="16"/>
      <c r="AG55" s="16"/>
      <c r="AH55" s="16"/>
      <c r="AI55" s="16"/>
      <c r="AJ55" s="16"/>
      <c r="AK55" s="16"/>
      <c r="AL55" s="16"/>
      <c r="AM55" s="16"/>
      <c r="AN55" s="53">
        <f>IFERROR(AVERAGE(Table4[[#This Row],[Jan_2026_Days_Forecast]:[Dec_2026_Days_Forecast]]),0)/19</f>
        <v>0</v>
      </c>
      <c r="AO55" s="53">
        <f>IFERROR(AVERAGE(Table4[[#This Row],[Jan_2026_Days_Actual]:[Dec_2026_Days_Actual]]),0)/19</f>
        <v>0</v>
      </c>
      <c r="AP55" s="84"/>
      <c r="AQ55" s="84"/>
      <c r="AR55" s="84"/>
      <c r="AS55" s="84"/>
      <c r="AT55" s="84"/>
      <c r="AU55" s="84"/>
      <c r="AV55" s="84"/>
      <c r="AW55" s="84"/>
      <c r="AX55" s="84"/>
      <c r="AY55" s="84"/>
      <c r="AZ55" s="84"/>
      <c r="BA55" s="84"/>
      <c r="BB55" s="53">
        <f>IFERROR(AVERAGE(Table4[[#This Row],[Jan_2027_Days_Forecast]:[Dec_2027_Days_Forecast]]),0)</f>
        <v>0</v>
      </c>
      <c r="BC55" s="16"/>
      <c r="BD55" s="16"/>
      <c r="BE55" s="16"/>
      <c r="BF55" s="16"/>
      <c r="BG55" s="16"/>
      <c r="BH55" s="16"/>
      <c r="BI55" s="16"/>
      <c r="BJ55" s="16"/>
      <c r="BK55" s="16"/>
      <c r="BL55" s="16"/>
      <c r="BM55" s="16"/>
      <c r="BN55" s="16"/>
      <c r="BO55" s="55"/>
      <c r="BP55" s="60"/>
      <c r="BQ55" s="3">
        <f>Table4[[#This Row],[Jan_2026_Days_Forecast]]*Table4[[#This Row],[Cost Boolean]]*VLOOKUP(Table4[[#This Row],[RATE CONCAT]],Tables!I:N,5,0)</f>
        <v>0</v>
      </c>
      <c r="BR55" s="3">
        <f>IFERROR(Table4[[#This Row],[Jan_2026_Days_Actual]]*Table4[[#This Row],[Cost Boolean]]*(VLOOKUP(Table4[[#This Row],[RATE CONCAT]],Tables!I:N,5,0)),0)</f>
        <v>0</v>
      </c>
      <c r="BS55" s="3">
        <f>Table4[[#This Row],[Jan_2026_F]]-Table4[[#This Row],[Jan_2026_A]]</f>
        <v>0</v>
      </c>
      <c r="BT55" s="107"/>
      <c r="BU55" s="3">
        <f>IFERROR(Table4[[#This Row],[Feb_2026_Days_Forecast]]*Table4[[#This Row],[Cost Boolean]]*(VLOOKUP(Table4[[#This Row],[RATE CONCAT]],Tables!I:N,5,0)),0)</f>
        <v>0</v>
      </c>
      <c r="BV55" s="3">
        <f>IFERROR(Table4[[#This Row],[Feb_2026_Days_Actual]]*Table4[[#This Row],[Cost Boolean]]*(VLOOKUP(Table4[[#This Row],[RATE CONCAT]],Tables!I:N,5,0)),0)</f>
        <v>0</v>
      </c>
      <c r="BW55" s="3">
        <f>Table4[[#This Row],[Feb_2026_F]]-Table4[[#This Row],[Feb_2026_A]]</f>
        <v>0</v>
      </c>
      <c r="BX55" s="103"/>
      <c r="BY55" s="3">
        <f>IFERROR(Table4[[#This Row],[Mar_2026_Days_Forecast]]*Table4[[#This Row],[Cost Boolean]]*(VLOOKUP(Table4[[#This Row],[RATE CONCAT]],Tables!I:N,5,0)),0)</f>
        <v>0</v>
      </c>
      <c r="BZ55" s="3">
        <f>IFERROR(Table4[[#This Row],[Mar_2026_Days_Actual]]*Table4[[#This Row],[Cost Boolean]]*(VLOOKUP(Table4[[#This Row],[RATE CONCAT]],Tables!I:N,5,0)),0)</f>
        <v>0</v>
      </c>
      <c r="CA55" s="3">
        <f>Table4[[#This Row],[Mar_2026_F]]-Table4[[#This Row],[Mar_2026_A]]</f>
        <v>0</v>
      </c>
      <c r="CB55" s="103"/>
      <c r="CC55" s="3">
        <f>IFERROR(Table4[[#This Row],[Apr_2026_Days_Forecast]]*Table4[[#This Row],[Cost Boolean]]*(VLOOKUP(Table4[[#This Row],[RATE CONCAT]],Tables!I:N,5,0)),0)</f>
        <v>0</v>
      </c>
      <c r="CD55" s="3">
        <f>IFERROR(Table4[[#This Row],[Apr_2026_Days_Actual]]*Table4[[#This Row],[Cost Boolean]]*(VLOOKUP(Table4[[#This Row],[RATE CONCAT]],Tables!I:N,5,0)),0)</f>
        <v>0</v>
      </c>
      <c r="CE55" s="3">
        <f>Table4[[#This Row],[Apr_2026_F]]-Table4[[#This Row],[Apr_2026_A]]</f>
        <v>0</v>
      </c>
      <c r="CF55" s="103"/>
      <c r="CG55" s="3">
        <f>IFERROR(Table4[[#This Row],[May_2026_Days_Forecast]] *Table4[[#This Row],[Cost Boolean]]*(VLOOKUP(Table4[[#This Row],[RATE CONCAT]],Tables!I:N,5,0)),0)</f>
        <v>0</v>
      </c>
      <c r="CH55" s="3">
        <f>IFERROR(Table4[[#This Row],[May_2026_Days_Actual]]*Table4[[#This Row],[Cost Boolean]]*(VLOOKUP(Table4[[#This Row],[RATE CONCAT]],Tables!I:N,5,0)),0)</f>
        <v>0</v>
      </c>
      <c r="CI55" s="3">
        <f>Table4[[#This Row],[May_2026_F]]-Table4[[#This Row],[May_2026_A]]</f>
        <v>0</v>
      </c>
      <c r="CJ55" s="103"/>
      <c r="CK55" s="3">
        <f>IFERROR(Table4[[#This Row],[Jun_2026_Days_Forecast]]*Table4[[#This Row],[Cost Boolean]]*(VLOOKUP(Table4[[#This Row],[RATE CONCAT]],Tables!I:N,5,0)),0)</f>
        <v>0</v>
      </c>
      <c r="CL55" s="3">
        <f>IFERROR(Table4[[#This Row],[Jun_2026_Days_Actual]]*Table4[[#This Row],[Cost Boolean]]*(VLOOKUP(Table4[[#This Row],[RATE CONCAT]],Tables!I:N,5,0)),0)</f>
        <v>0</v>
      </c>
      <c r="CM55" s="3">
        <f>Table4[[#This Row],[Jun_2026_F]]-Table4[[#This Row],[Jun_2026_A]]</f>
        <v>0</v>
      </c>
      <c r="CN55" s="103"/>
      <c r="CO55" s="3">
        <f>IFERROR(Table4[[#This Row],[Jul_2026_Days_Forecast]]*Table4[[#This Row],[Cost Boolean]]*(VLOOKUP(Table4[[#This Row],[RATE CONCAT]],Tables!I:N,5,0)),0)</f>
        <v>0</v>
      </c>
      <c r="CP55" s="3">
        <f>IFERROR(Table4[[#This Row],[Aug_2026_Days_Forecast]]*Table4[[#This Row],[Location]]*(VLOOKUP(Table4[[#This Row],[Rate]],Tables!J:O,5,0)),0)</f>
        <v>0</v>
      </c>
      <c r="CQ55" s="3">
        <f>Table4[[#This Row],[Jul_2026_F]]-Table4[[#This Row],[Jul_2026_A]]</f>
        <v>0</v>
      </c>
      <c r="CR55" s="103"/>
      <c r="CS55" s="3">
        <f>IFERROR(Table4[[#This Row],[Aug_2026_Days_Forecast]]*Table4[[#This Row],[Cost Boolean]]*(VLOOKUP(Table4[[#This Row],[RATE CONCAT]],Tables!I:N,5,0)),0)</f>
        <v>0</v>
      </c>
      <c r="CT55" s="3">
        <f>IFERROR(Table4[[#This Row],[Aug_2026_Days_Actual]]*Table4[[#This Row],[Cost Boolean]]*(VLOOKUP(Table4[[#This Row],[RATE CONCAT]],Tables!I:N,5,0)),0)</f>
        <v>0</v>
      </c>
      <c r="CU55" s="3">
        <f>Table4[[#This Row],[Aug_2026_F]]-Table4[[#This Row],[Aug_2026_A]]</f>
        <v>0</v>
      </c>
      <c r="CV55" s="103"/>
      <c r="CW55" s="3">
        <f>IFERROR(Table4[[#This Row],[Sep_2026_Days_Forecast]]*Table4[[#This Row],[Cost Boolean]]*(VLOOKUP(Table4[[#This Row],[RATE CONCAT]],Tables!I:N,5,0)),0)</f>
        <v>0</v>
      </c>
      <c r="CX55" s="3">
        <f>IFERROR(Table4[[#This Row],[Sep_2026_Days_Actual]]*Table4[[#This Row],[Cost Boolean]]*(VLOOKUP(Table4[[#This Row],[RATE CONCAT]],Tables!I:N,5,0)),0)</f>
        <v>0</v>
      </c>
      <c r="CY55" s="3">
        <f>Table4[[#This Row],[Sep_2026_F]]-Table4[[#This Row],[Sep_2026_A]]</f>
        <v>0</v>
      </c>
      <c r="CZ55" s="103"/>
      <c r="DA55" s="3">
        <f>IFERROR(Table4[[#This Row],[Oct_2026_Days_Forecast]]*Table4[[#This Row],[Cost Boolean]]*(VLOOKUP(Table4[[#This Row],[RATE CONCAT]],Tables!I:N,5,0)),0)</f>
        <v>0</v>
      </c>
      <c r="DB55" s="3">
        <f>IFERROR(Table4[[#This Row],[Oct_2026_Days_Actual]]*Table4[[#This Row],[Cost Boolean]]*(VLOOKUP(Table4[[#This Row],[RATE CONCAT]],Tables!I:N,5,0)),0)</f>
        <v>0</v>
      </c>
      <c r="DC55" s="3">
        <f>Table4[[#This Row],[Oct_2026_F]]-Table4[[#This Row],[Oct_2026_A]]</f>
        <v>0</v>
      </c>
      <c r="DD55" s="103"/>
      <c r="DE55" s="3">
        <f>IFERROR(Table4[[#This Row],[Nov_2026_Days_Forecast]]*Table4[[#This Row],[Cost Boolean]]*(VLOOKUP(Table4[[#This Row],[RATE CONCAT]],Tables!I:N,5,0)),0)</f>
        <v>0</v>
      </c>
      <c r="DF55" s="3">
        <f>IFERROR(Table4[[#This Row],[Nov_2026_Days_Actual]]*Table4[[#This Row],[Cost Boolean]]*(VLOOKUP(Table4[[#This Row],[RATE CONCAT]],Tables!I:N,5,0)),0)</f>
        <v>0</v>
      </c>
      <c r="DG55" s="3">
        <f>Table4[[#This Row],[Nov_2026_F]]-Table4[[#This Row],[Nov_2026_A]]</f>
        <v>0</v>
      </c>
      <c r="DH55" s="103"/>
      <c r="DI55" s="3">
        <f>IFERROR(Table4[[#This Row],[Dec_2026_Days_Forecast]]*Table4[[#This Row],[Cost Boolean]]*(VLOOKUP(Table4[[#This Row],[RATE CONCAT]],Tables!I:N,5,0)),0)</f>
        <v>0</v>
      </c>
      <c r="DJ55" s="3">
        <f>IFERROR(Table4[[#This Row],[Dec_2026_Days_Actual]]*Table4[[#This Row],[Cost Boolean]]*(VLOOKUP(Table4[[#This Row],[RATE CONCAT]],Tables!I:N,5,0)),0)</f>
        <v>0</v>
      </c>
      <c r="DK55" s="3">
        <f>Table4[[#This Row],[Dec_2026_F]]-Table4[[#This Row],[Dec_2026_A]]</f>
        <v>0</v>
      </c>
      <c r="DL55" s="103"/>
      <c r="DM55" s="60"/>
      <c r="DN55" s="3">
        <f>IFERROR(Table4[[#This Row],[Jan_2027_Days_Forecast]]*Table4[[#This Row],[Cost Boolean]]*(VLOOKUP(Table4[[#This Row],[RATE CONCAT]],Tables!I:N,6,0)),0)</f>
        <v>0</v>
      </c>
      <c r="DO55" s="3"/>
      <c r="DP55" s="3">
        <f>Table4[[#This Row],[Jan_2027_F]]-Table4[[#This Row],[Jan_2027_A]]</f>
        <v>0</v>
      </c>
      <c r="DQ55" s="3">
        <f>IFERROR(Table4[[#This Row],[Feb_2027_Days_Forecast]]*Table4[[#This Row],[Cost Boolean]]*(VLOOKUP(Table4[[#This Row],[RATE CONCAT]],Tables!I:N,6,0)),0)</f>
        <v>0</v>
      </c>
      <c r="DR55" s="3"/>
      <c r="DS55" s="3">
        <f>Table4[[#This Row],[Feb_2027_F]]-Table4[[#This Row],[Feb_2027_A]]</f>
        <v>0</v>
      </c>
      <c r="DT55" s="3">
        <f>IFERROR(Table4[[#This Row],[Mar_2027_Days_Forecast]]*Table4[[#This Row],[Cost Boolean]]*(VLOOKUP(Table4[[#This Row],[RATE CONCAT]],Tables!I:N,6,0)),0)</f>
        <v>0</v>
      </c>
      <c r="DU55" s="3"/>
      <c r="DV55" s="3">
        <f>Table4[[#This Row],[Mar_2027_F]]-Table4[[#This Row],[Mar_2027_A]]</f>
        <v>0</v>
      </c>
      <c r="DW55" s="3">
        <f>IFERROR(Table4[[#This Row],[Apr_2027_Days_Forecast]]*Table4[[#This Row],[Cost Boolean]]*(VLOOKUP(Table4[[#This Row],[RATE CONCAT]],Tables!I:N,6,0)),0)</f>
        <v>0</v>
      </c>
      <c r="DX55" s="3"/>
      <c r="DY55" s="3">
        <f>Table4[[#This Row],[Apr_2027_F]]-Table4[[#This Row],[Apr_2027_A]]</f>
        <v>0</v>
      </c>
      <c r="DZ55" s="3">
        <f>IFERROR(Table4[[#This Row],[May_2027_Days_Forecast]]*Table4[[#This Row],[Cost Boolean]]*(VLOOKUP(Table4[[#This Row],[RATE CONCAT]],Tables!I:N,6,0)),0)</f>
        <v>0</v>
      </c>
      <c r="EA55" s="3"/>
      <c r="EB55" s="3">
        <f>Table4[[#This Row],[May_2027_F]]-Table4[[#This Row],[May_2027_A]]</f>
        <v>0</v>
      </c>
      <c r="EC55" s="3">
        <f>IFERROR(Table4[[#This Row],[Jun_2027_Days_Forecast]]*Table4[[#This Row],[Cost Boolean]]*(VLOOKUP(Table4[[#This Row],[RATE CONCAT]],Tables!I:N,6,0)),0)</f>
        <v>0</v>
      </c>
      <c r="ED55" s="3"/>
      <c r="EE55" s="3">
        <f>Table4[[#This Row],[Jun_2027_F]]-Table4[[#This Row],[Jun_2027_A]]</f>
        <v>0</v>
      </c>
      <c r="EF55" s="3">
        <f>IFERROR(Table4[[#This Row],[Jul_2027_Days_Forecast]]*Table4[[#This Row],[Cost Boolean]]*(VLOOKUP(Table4[[#This Row],[RATE CONCAT]],Tables!I:N,6,0)),0)</f>
        <v>0</v>
      </c>
      <c r="EG55" s="3"/>
      <c r="EH55" s="3">
        <f>Table4[[#This Row],[Jul_2027_F]]-Table4[[#This Row],[Jul_2027_A]]</f>
        <v>0</v>
      </c>
      <c r="EI55" s="3">
        <f>IFERROR(Table4[[#This Row],[Aug_2027_Days_Forecast]]*Table4[[#This Row],[Cost Boolean]]*(VLOOKUP(Table4[[#This Row],[RATE CONCAT]],Tables!I:N,6,0)),0)</f>
        <v>0</v>
      </c>
      <c r="EJ55" s="3"/>
      <c r="EK55" s="3">
        <f>Table4[[#This Row],[Aug_2027_F]]-Table4[[#This Row],[Aug_2027_A]]</f>
        <v>0</v>
      </c>
      <c r="EL55" s="3">
        <f>IFERROR(Table4[[#This Row],[Sep_2027_Days_Forecast]]*Table4[[#This Row],[Cost Boolean]]*(VLOOKUP(Table4[[#This Row],[RATE CONCAT]],Tables!I:N,6,0)),0)</f>
        <v>0</v>
      </c>
      <c r="EM55" s="3"/>
      <c r="EN55" s="3">
        <f>Table4[[#This Row],[Sep_2027_F]]-Table4[[#This Row],[Sep_2027_A]]</f>
        <v>0</v>
      </c>
      <c r="EO55" s="3">
        <f>IFERROR(Table4[[#This Row],[Oct_2027_Days_Forecast]]*Table4[[#This Row],[Cost Boolean]]*(VLOOKUP(Table4[[#This Row],[RATE CONCAT]],Tables!I:N,6,0)),0)</f>
        <v>0</v>
      </c>
      <c r="EP55" s="3"/>
      <c r="EQ55" s="3">
        <f>Table4[[#This Row],[Oct_2027_F]]-Table4[[#This Row],[Oct_2027_A]]</f>
        <v>0</v>
      </c>
      <c r="ER55" s="3">
        <f>IFERROR(Table4[[#This Row],[Nov_2027_Days_Forecast]]*Table4[[#This Row],[Cost Boolean]]*(VLOOKUP(Table4[[#This Row],[RATE CONCAT]],Tables!I:N,6,0)),0)</f>
        <v>0</v>
      </c>
      <c r="ES55" s="3"/>
      <c r="ET55" s="3">
        <f>Table4[[#This Row],[Nov_2027_F]]-Table4[[#This Row],[Nov_2027_A]]</f>
        <v>0</v>
      </c>
      <c r="EU55" s="3">
        <f>IFERROR(Table4[[#This Row],[Dec_2027_Days_Forecast]]*Table4[[#This Row],[Cost Boolean]]*(VLOOKUP(Table4[[#This Row],[RATE CONCAT]],Tables!I:N,6,0)),0)</f>
        <v>0</v>
      </c>
      <c r="EV55" s="3"/>
      <c r="EW55" s="3">
        <f>Table4[[#This Row],[Dec_2027_F]]-Table4[[#This Row],[Dec_2027_A]]</f>
        <v>0</v>
      </c>
    </row>
    <row r="56" spans="1:153" ht="1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2" t="str">
        <f>CONCATENATE(Table4[[#This Row],[JG]],Table4[[#This Row],[Country]],Table4[[#This Row],[Resource Provider]])</f>
        <v/>
      </c>
      <c r="Z56" s="132">
        <f>VLOOKUP(Table4[[#This Row],[RATE CONCAT]],Tables!I:N,5,0)</f>
        <v>0</v>
      </c>
      <c r="AA56" s="53"/>
      <c r="AB56" s="16"/>
      <c r="AC56" s="16"/>
      <c r="AD56" s="16"/>
      <c r="AE56" s="16"/>
      <c r="AF56" s="16"/>
      <c r="AG56" s="16"/>
      <c r="AH56" s="16"/>
      <c r="AI56" s="16"/>
      <c r="AJ56" s="16"/>
      <c r="AK56" s="16"/>
      <c r="AL56" s="16"/>
      <c r="AM56" s="16"/>
      <c r="AN56" s="53">
        <f>IFERROR(AVERAGE(Table4[[#This Row],[Jan_2026_Days_Forecast]:[Dec_2026_Days_Forecast]]),0)/19</f>
        <v>0</v>
      </c>
      <c r="AO56" s="53">
        <f>IFERROR(AVERAGE(Table4[[#This Row],[Jan_2026_Days_Actual]:[Dec_2026_Days_Actual]]),0)/19</f>
        <v>0</v>
      </c>
      <c r="AP56" s="84"/>
      <c r="AQ56" s="84"/>
      <c r="AR56" s="84"/>
      <c r="AS56" s="84"/>
      <c r="AT56" s="84"/>
      <c r="AU56" s="84"/>
      <c r="AV56" s="84"/>
      <c r="AW56" s="84"/>
      <c r="AX56" s="84"/>
      <c r="AY56" s="84"/>
      <c r="AZ56" s="84"/>
      <c r="BA56" s="84"/>
      <c r="BB56" s="53">
        <f>IFERROR(AVERAGE(Table4[[#This Row],[Jan_2027_Days_Forecast]:[Dec_2027_Days_Forecast]]),0)</f>
        <v>0</v>
      </c>
      <c r="BC56" s="16"/>
      <c r="BD56" s="16"/>
      <c r="BE56" s="16"/>
      <c r="BF56" s="16"/>
      <c r="BG56" s="16"/>
      <c r="BH56" s="16"/>
      <c r="BI56" s="16"/>
      <c r="BJ56" s="16"/>
      <c r="BK56" s="16"/>
      <c r="BL56" s="16"/>
      <c r="BM56" s="16"/>
      <c r="BN56" s="16"/>
      <c r="BO56" s="55"/>
      <c r="BP56" s="60"/>
      <c r="BQ56" s="3">
        <f>Table4[[#This Row],[Jan_2026_Days_Forecast]]*Table4[[#This Row],[Cost Boolean]]*VLOOKUP(Table4[[#This Row],[RATE CONCAT]],Tables!I:N,5,0)</f>
        <v>0</v>
      </c>
      <c r="BR56" s="3">
        <f>IFERROR(Table4[[#This Row],[Jan_2026_Days_Actual]]*Table4[[#This Row],[Cost Boolean]]*(VLOOKUP(Table4[[#This Row],[RATE CONCAT]],Tables!I:N,5,0)),0)</f>
        <v>0</v>
      </c>
      <c r="BS56" s="3">
        <f>Table4[[#This Row],[Jan_2026_F]]-Table4[[#This Row],[Jan_2026_A]]</f>
        <v>0</v>
      </c>
      <c r="BT56" s="107"/>
      <c r="BU56" s="3">
        <f>IFERROR(Table4[[#This Row],[Feb_2026_Days_Forecast]]*Table4[[#This Row],[Cost Boolean]]*(VLOOKUP(Table4[[#This Row],[RATE CONCAT]],Tables!I:N,5,0)),0)</f>
        <v>0</v>
      </c>
      <c r="BV56" s="3">
        <f>IFERROR(Table4[[#This Row],[Feb_2026_Days_Actual]]*Table4[[#This Row],[Cost Boolean]]*(VLOOKUP(Table4[[#This Row],[RATE CONCAT]],Tables!I:N,5,0)),0)</f>
        <v>0</v>
      </c>
      <c r="BW56" s="3">
        <f>Table4[[#This Row],[Feb_2026_F]]-Table4[[#This Row],[Feb_2026_A]]</f>
        <v>0</v>
      </c>
      <c r="BX56" s="103"/>
      <c r="BY56" s="3">
        <f>IFERROR(Table4[[#This Row],[Mar_2026_Days_Forecast]]*Table4[[#This Row],[Cost Boolean]]*(VLOOKUP(Table4[[#This Row],[RATE CONCAT]],Tables!I:N,5,0)),0)</f>
        <v>0</v>
      </c>
      <c r="BZ56" s="3">
        <f>IFERROR(Table4[[#This Row],[Mar_2026_Days_Actual]]*Table4[[#This Row],[Cost Boolean]]*(VLOOKUP(Table4[[#This Row],[RATE CONCAT]],Tables!I:N,5,0)),0)</f>
        <v>0</v>
      </c>
      <c r="CA56" s="3">
        <f>Table4[[#This Row],[Mar_2026_F]]-Table4[[#This Row],[Mar_2026_A]]</f>
        <v>0</v>
      </c>
      <c r="CB56" s="103"/>
      <c r="CC56" s="3">
        <f>IFERROR(Table4[[#This Row],[Apr_2026_Days_Forecast]]*Table4[[#This Row],[Cost Boolean]]*(VLOOKUP(Table4[[#This Row],[RATE CONCAT]],Tables!I:N,5,0)),0)</f>
        <v>0</v>
      </c>
      <c r="CD56" s="3">
        <f>IFERROR(Table4[[#This Row],[Apr_2026_Days_Actual]]*Table4[[#This Row],[Cost Boolean]]*(VLOOKUP(Table4[[#This Row],[RATE CONCAT]],Tables!I:N,5,0)),0)</f>
        <v>0</v>
      </c>
      <c r="CE56" s="3">
        <f>Table4[[#This Row],[Apr_2026_F]]-Table4[[#This Row],[Apr_2026_A]]</f>
        <v>0</v>
      </c>
      <c r="CF56" s="103"/>
      <c r="CG56" s="3">
        <f>IFERROR(Table4[[#This Row],[May_2026_Days_Forecast]] *Table4[[#This Row],[Cost Boolean]]*(VLOOKUP(Table4[[#This Row],[RATE CONCAT]],Tables!I:N,5,0)),0)</f>
        <v>0</v>
      </c>
      <c r="CH56" s="3">
        <f>IFERROR(Table4[[#This Row],[May_2026_Days_Actual]]*Table4[[#This Row],[Cost Boolean]]*(VLOOKUP(Table4[[#This Row],[RATE CONCAT]],Tables!I:N,5,0)),0)</f>
        <v>0</v>
      </c>
      <c r="CI56" s="3">
        <f>Table4[[#This Row],[May_2026_F]]-Table4[[#This Row],[May_2026_A]]</f>
        <v>0</v>
      </c>
      <c r="CJ56" s="103"/>
      <c r="CK56" s="3">
        <f>IFERROR(Table4[[#This Row],[Jun_2026_Days_Forecast]]*Table4[[#This Row],[Cost Boolean]]*(VLOOKUP(Table4[[#This Row],[RATE CONCAT]],Tables!I:N,5,0)),0)</f>
        <v>0</v>
      </c>
      <c r="CL56" s="3">
        <f>IFERROR(Table4[[#This Row],[Jun_2026_Days_Actual]]*Table4[[#This Row],[Cost Boolean]]*(VLOOKUP(Table4[[#This Row],[RATE CONCAT]],Tables!I:N,5,0)),0)</f>
        <v>0</v>
      </c>
      <c r="CM56" s="3">
        <f>Table4[[#This Row],[Jun_2026_F]]-Table4[[#This Row],[Jun_2026_A]]</f>
        <v>0</v>
      </c>
      <c r="CN56" s="103"/>
      <c r="CO56" s="3">
        <f>IFERROR(Table4[[#This Row],[Jul_2026_Days_Forecast]]*Table4[[#This Row],[Cost Boolean]]*(VLOOKUP(Table4[[#This Row],[RATE CONCAT]],Tables!I:N,5,0)),0)</f>
        <v>0</v>
      </c>
      <c r="CP56" s="3">
        <f>IFERROR(Table4[[#This Row],[Aug_2026_Days_Forecast]]*Table4[[#This Row],[Location]]*(VLOOKUP(Table4[[#This Row],[Rate]],Tables!J:O,5,0)),0)</f>
        <v>0</v>
      </c>
      <c r="CQ56" s="3">
        <f>Table4[[#This Row],[Jul_2026_F]]-Table4[[#This Row],[Jul_2026_A]]</f>
        <v>0</v>
      </c>
      <c r="CR56" s="103"/>
      <c r="CS56" s="3">
        <f>IFERROR(Table4[[#This Row],[Aug_2026_Days_Forecast]]*Table4[[#This Row],[Cost Boolean]]*(VLOOKUP(Table4[[#This Row],[RATE CONCAT]],Tables!I:N,5,0)),0)</f>
        <v>0</v>
      </c>
      <c r="CT56" s="3">
        <f>IFERROR(Table4[[#This Row],[Aug_2026_Days_Actual]]*Table4[[#This Row],[Cost Boolean]]*(VLOOKUP(Table4[[#This Row],[RATE CONCAT]],Tables!I:N,5,0)),0)</f>
        <v>0</v>
      </c>
      <c r="CU56" s="3">
        <f>Table4[[#This Row],[Aug_2026_F]]-Table4[[#This Row],[Aug_2026_A]]</f>
        <v>0</v>
      </c>
      <c r="CV56" s="103"/>
      <c r="CW56" s="3">
        <f>IFERROR(Table4[[#This Row],[Sep_2026_Days_Forecast]]*Table4[[#This Row],[Cost Boolean]]*(VLOOKUP(Table4[[#This Row],[RATE CONCAT]],Tables!I:N,5,0)),0)</f>
        <v>0</v>
      </c>
      <c r="CX56" s="3">
        <f>IFERROR(Table4[[#This Row],[Sep_2026_Days_Actual]]*Table4[[#This Row],[Cost Boolean]]*(VLOOKUP(Table4[[#This Row],[RATE CONCAT]],Tables!I:N,5,0)),0)</f>
        <v>0</v>
      </c>
      <c r="CY56" s="3">
        <f>Table4[[#This Row],[Sep_2026_F]]-Table4[[#This Row],[Sep_2026_A]]</f>
        <v>0</v>
      </c>
      <c r="CZ56" s="103"/>
      <c r="DA56" s="3">
        <f>IFERROR(Table4[[#This Row],[Oct_2026_Days_Forecast]]*Table4[[#This Row],[Cost Boolean]]*(VLOOKUP(Table4[[#This Row],[RATE CONCAT]],Tables!I:N,5,0)),0)</f>
        <v>0</v>
      </c>
      <c r="DB56" s="3">
        <f>IFERROR(Table4[[#This Row],[Oct_2026_Days_Actual]]*Table4[[#This Row],[Cost Boolean]]*(VLOOKUP(Table4[[#This Row],[RATE CONCAT]],Tables!I:N,5,0)),0)</f>
        <v>0</v>
      </c>
      <c r="DC56" s="3">
        <f>Table4[[#This Row],[Oct_2026_F]]-Table4[[#This Row],[Oct_2026_A]]</f>
        <v>0</v>
      </c>
      <c r="DD56" s="103"/>
      <c r="DE56" s="3">
        <f>IFERROR(Table4[[#This Row],[Nov_2026_Days_Forecast]]*Table4[[#This Row],[Cost Boolean]]*(VLOOKUP(Table4[[#This Row],[RATE CONCAT]],Tables!I:N,5,0)),0)</f>
        <v>0</v>
      </c>
      <c r="DF56" s="3">
        <f>IFERROR(Table4[[#This Row],[Nov_2026_Days_Actual]]*Table4[[#This Row],[Cost Boolean]]*(VLOOKUP(Table4[[#This Row],[RATE CONCAT]],Tables!I:N,5,0)),0)</f>
        <v>0</v>
      </c>
      <c r="DG56" s="3">
        <f>Table4[[#This Row],[Nov_2026_F]]-Table4[[#This Row],[Nov_2026_A]]</f>
        <v>0</v>
      </c>
      <c r="DH56" s="103"/>
      <c r="DI56" s="3">
        <f>IFERROR(Table4[[#This Row],[Dec_2026_Days_Forecast]]*Table4[[#This Row],[Cost Boolean]]*(VLOOKUP(Table4[[#This Row],[RATE CONCAT]],Tables!I:N,5,0)),0)</f>
        <v>0</v>
      </c>
      <c r="DJ56" s="3">
        <f>IFERROR(Table4[[#This Row],[Dec_2026_Days_Actual]]*Table4[[#This Row],[Cost Boolean]]*(VLOOKUP(Table4[[#This Row],[RATE CONCAT]],Tables!I:N,5,0)),0)</f>
        <v>0</v>
      </c>
      <c r="DK56" s="3">
        <f>Table4[[#This Row],[Dec_2026_F]]-Table4[[#This Row],[Dec_2026_A]]</f>
        <v>0</v>
      </c>
      <c r="DL56" s="103"/>
      <c r="DM56" s="60"/>
      <c r="DN56" s="3">
        <f>IFERROR(Table4[[#This Row],[Jan_2027_Days_Forecast]]*Table4[[#This Row],[Cost Boolean]]*(VLOOKUP(Table4[[#This Row],[RATE CONCAT]],Tables!I:N,6,0)),0)</f>
        <v>0</v>
      </c>
      <c r="DO56" s="3"/>
      <c r="DP56" s="3">
        <f>Table4[[#This Row],[Jan_2027_F]]-Table4[[#This Row],[Jan_2027_A]]</f>
        <v>0</v>
      </c>
      <c r="DQ56" s="3">
        <f>IFERROR(Table4[[#This Row],[Feb_2027_Days_Forecast]]*Table4[[#This Row],[Cost Boolean]]*(VLOOKUP(Table4[[#This Row],[RATE CONCAT]],Tables!I:N,6,0)),0)</f>
        <v>0</v>
      </c>
      <c r="DR56" s="3"/>
      <c r="DS56" s="3">
        <f>Table4[[#This Row],[Feb_2027_F]]-Table4[[#This Row],[Feb_2027_A]]</f>
        <v>0</v>
      </c>
      <c r="DT56" s="3">
        <f>IFERROR(Table4[[#This Row],[Mar_2027_Days_Forecast]]*Table4[[#This Row],[Cost Boolean]]*(VLOOKUP(Table4[[#This Row],[RATE CONCAT]],Tables!I:N,6,0)),0)</f>
        <v>0</v>
      </c>
      <c r="DU56" s="3"/>
      <c r="DV56" s="3">
        <f>Table4[[#This Row],[Mar_2027_F]]-Table4[[#This Row],[Mar_2027_A]]</f>
        <v>0</v>
      </c>
      <c r="DW56" s="3">
        <f>IFERROR(Table4[[#This Row],[Apr_2027_Days_Forecast]]*Table4[[#This Row],[Cost Boolean]]*(VLOOKUP(Table4[[#This Row],[RATE CONCAT]],Tables!I:N,6,0)),0)</f>
        <v>0</v>
      </c>
      <c r="DX56" s="3"/>
      <c r="DY56" s="3">
        <f>Table4[[#This Row],[Apr_2027_F]]-Table4[[#This Row],[Apr_2027_A]]</f>
        <v>0</v>
      </c>
      <c r="DZ56" s="3">
        <f>IFERROR(Table4[[#This Row],[May_2027_Days_Forecast]]*Table4[[#This Row],[Cost Boolean]]*(VLOOKUP(Table4[[#This Row],[RATE CONCAT]],Tables!I:N,6,0)),0)</f>
        <v>0</v>
      </c>
      <c r="EA56" s="3"/>
      <c r="EB56" s="3">
        <f>Table4[[#This Row],[May_2027_F]]-Table4[[#This Row],[May_2027_A]]</f>
        <v>0</v>
      </c>
      <c r="EC56" s="3">
        <f>IFERROR(Table4[[#This Row],[Jun_2027_Days_Forecast]]*Table4[[#This Row],[Cost Boolean]]*(VLOOKUP(Table4[[#This Row],[RATE CONCAT]],Tables!I:N,6,0)),0)</f>
        <v>0</v>
      </c>
      <c r="ED56" s="3"/>
      <c r="EE56" s="3">
        <f>Table4[[#This Row],[Jun_2027_F]]-Table4[[#This Row],[Jun_2027_A]]</f>
        <v>0</v>
      </c>
      <c r="EF56" s="3">
        <f>IFERROR(Table4[[#This Row],[Jul_2027_Days_Forecast]]*Table4[[#This Row],[Cost Boolean]]*(VLOOKUP(Table4[[#This Row],[RATE CONCAT]],Tables!I:N,6,0)),0)</f>
        <v>0</v>
      </c>
      <c r="EG56" s="3"/>
      <c r="EH56" s="3">
        <f>Table4[[#This Row],[Jul_2027_F]]-Table4[[#This Row],[Jul_2027_A]]</f>
        <v>0</v>
      </c>
      <c r="EI56" s="3">
        <f>IFERROR(Table4[[#This Row],[Aug_2027_Days_Forecast]]*Table4[[#This Row],[Cost Boolean]]*(VLOOKUP(Table4[[#This Row],[RATE CONCAT]],Tables!I:N,6,0)),0)</f>
        <v>0</v>
      </c>
      <c r="EJ56" s="3"/>
      <c r="EK56" s="3">
        <f>Table4[[#This Row],[Aug_2027_F]]-Table4[[#This Row],[Aug_2027_A]]</f>
        <v>0</v>
      </c>
      <c r="EL56" s="3">
        <f>IFERROR(Table4[[#This Row],[Sep_2027_Days_Forecast]]*Table4[[#This Row],[Cost Boolean]]*(VLOOKUP(Table4[[#This Row],[RATE CONCAT]],Tables!I:N,6,0)),0)</f>
        <v>0</v>
      </c>
      <c r="EM56" s="3"/>
      <c r="EN56" s="3">
        <f>Table4[[#This Row],[Sep_2027_F]]-Table4[[#This Row],[Sep_2027_A]]</f>
        <v>0</v>
      </c>
      <c r="EO56" s="3">
        <f>IFERROR(Table4[[#This Row],[Oct_2027_Days_Forecast]]*Table4[[#This Row],[Cost Boolean]]*(VLOOKUP(Table4[[#This Row],[RATE CONCAT]],Tables!I:N,6,0)),0)</f>
        <v>0</v>
      </c>
      <c r="EP56" s="3"/>
      <c r="EQ56" s="3">
        <f>Table4[[#This Row],[Oct_2027_F]]-Table4[[#This Row],[Oct_2027_A]]</f>
        <v>0</v>
      </c>
      <c r="ER56" s="3">
        <f>IFERROR(Table4[[#This Row],[Nov_2027_Days_Forecast]]*Table4[[#This Row],[Cost Boolean]]*(VLOOKUP(Table4[[#This Row],[RATE CONCAT]],Tables!I:N,6,0)),0)</f>
        <v>0</v>
      </c>
      <c r="ES56" s="3"/>
      <c r="ET56" s="3">
        <f>Table4[[#This Row],[Nov_2027_F]]-Table4[[#This Row],[Nov_2027_A]]</f>
        <v>0</v>
      </c>
      <c r="EU56" s="3">
        <f>IFERROR(Table4[[#This Row],[Dec_2027_Days_Forecast]]*Table4[[#This Row],[Cost Boolean]]*(VLOOKUP(Table4[[#This Row],[RATE CONCAT]],Tables!I:N,6,0)),0)</f>
        <v>0</v>
      </c>
      <c r="EV56" s="3"/>
      <c r="EW56" s="3">
        <f>Table4[[#This Row],[Dec_2027_F]]-Table4[[#This Row],[Dec_2027_A]]</f>
        <v>0</v>
      </c>
    </row>
    <row r="57" spans="1:153" ht="1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2" t="str">
        <f>CONCATENATE(Table4[[#This Row],[JG]],Table4[[#This Row],[Country]],Table4[[#This Row],[Resource Provider]])</f>
        <v/>
      </c>
      <c r="Z57" s="132">
        <f>VLOOKUP(Table4[[#This Row],[RATE CONCAT]],Tables!I:N,5,0)</f>
        <v>0</v>
      </c>
      <c r="AA57" s="53"/>
      <c r="AB57" s="16"/>
      <c r="AC57" s="16"/>
      <c r="AD57" s="16"/>
      <c r="AE57" s="16"/>
      <c r="AF57" s="16"/>
      <c r="AG57" s="16"/>
      <c r="AH57" s="16"/>
      <c r="AI57" s="16"/>
      <c r="AJ57" s="16"/>
      <c r="AK57" s="16"/>
      <c r="AL57" s="16"/>
      <c r="AM57" s="16"/>
      <c r="AN57" s="53">
        <f>IFERROR(AVERAGE(Table4[[#This Row],[Jan_2026_Days_Forecast]:[Dec_2026_Days_Forecast]]),0)/19</f>
        <v>0</v>
      </c>
      <c r="AO57" s="53">
        <f>IFERROR(AVERAGE(Table4[[#This Row],[Jan_2026_Days_Actual]:[Dec_2026_Days_Actual]]),0)/19</f>
        <v>0</v>
      </c>
      <c r="AP57" s="84"/>
      <c r="AQ57" s="84"/>
      <c r="AR57" s="84"/>
      <c r="AS57" s="84"/>
      <c r="AT57" s="84"/>
      <c r="AU57" s="84"/>
      <c r="AV57" s="84"/>
      <c r="AW57" s="84"/>
      <c r="AX57" s="84"/>
      <c r="AY57" s="84"/>
      <c r="AZ57" s="84"/>
      <c r="BA57" s="84"/>
      <c r="BB57" s="53">
        <f>IFERROR(AVERAGE(Table4[[#This Row],[Jan_2027_Days_Forecast]:[Dec_2027_Days_Forecast]]),0)</f>
        <v>0</v>
      </c>
      <c r="BC57" s="16"/>
      <c r="BD57" s="16"/>
      <c r="BE57" s="16"/>
      <c r="BF57" s="16"/>
      <c r="BG57" s="16"/>
      <c r="BH57" s="16"/>
      <c r="BI57" s="16"/>
      <c r="BJ57" s="16"/>
      <c r="BK57" s="16"/>
      <c r="BL57" s="16"/>
      <c r="BM57" s="16"/>
      <c r="BN57" s="16"/>
      <c r="BO57" s="55"/>
      <c r="BP57" s="60"/>
      <c r="BQ57" s="3">
        <v>0</v>
      </c>
      <c r="BR57" s="3">
        <f>IFERROR(Table4[[#This Row],[Jan_2026_Days_Actual]]*Table4[[#This Row],[Cost Boolean]]*(VLOOKUP(Table4[[#This Row],[RATE CONCAT]],Tables!I:N,5,0)),0)</f>
        <v>0</v>
      </c>
      <c r="BS57" s="3">
        <f>Table4[[#This Row],[Jan_2026_F]]-Table4[[#This Row],[Jan_2026_A]]</f>
        <v>0</v>
      </c>
      <c r="BT57" s="107"/>
      <c r="BU57" s="3">
        <f>IFERROR(Table4[[#This Row],[Feb_2026_Days_Forecast]]*Table4[[#This Row],[Cost Boolean]]*(VLOOKUP(Table4[[#This Row],[RATE CONCAT]],Tables!I:N,5,0)),0)</f>
        <v>0</v>
      </c>
      <c r="BV57" s="3">
        <f>IFERROR(Table4[[#This Row],[Feb_2026_Days_Actual]]*Table4[[#This Row],[Cost Boolean]]*(VLOOKUP(Table4[[#This Row],[RATE CONCAT]],Tables!I:N,5,0)),0)</f>
        <v>0</v>
      </c>
      <c r="BW57" s="3">
        <f>Table4[[#This Row],[Feb_2026_F]]-Table4[[#This Row],[Feb_2026_A]]</f>
        <v>0</v>
      </c>
      <c r="BX57" s="103"/>
      <c r="BY57" s="3">
        <f>IFERROR(Table4[[#This Row],[Mar_2026_Days_Forecast]]*Table4[[#This Row],[Cost Boolean]]*(VLOOKUP(Table4[[#This Row],[RATE CONCAT]],Tables!I:N,5,0)),0)</f>
        <v>0</v>
      </c>
      <c r="BZ57" s="3">
        <f>IFERROR(Table4[[#This Row],[Mar_2026_Days_Actual]]*Table4[[#This Row],[Cost Boolean]]*(VLOOKUP(Table4[[#This Row],[RATE CONCAT]],Tables!I:N,5,0)),0)</f>
        <v>0</v>
      </c>
      <c r="CA57" s="3">
        <f>Table4[[#This Row],[Mar_2026_F]]-Table4[[#This Row],[Mar_2026_A]]</f>
        <v>0</v>
      </c>
      <c r="CB57" s="103"/>
      <c r="CC57" s="3">
        <f>IFERROR(Table4[[#This Row],[Apr_2026_Days_Forecast]]*Table4[[#This Row],[Cost Boolean]]*(VLOOKUP(Table4[[#This Row],[RATE CONCAT]],Tables!I:N,5,0)),0)</f>
        <v>0</v>
      </c>
      <c r="CD57" s="3">
        <f>IFERROR(Table4[[#This Row],[Apr_2026_Days_Actual]]*Table4[[#This Row],[Cost Boolean]]*(VLOOKUP(Table4[[#This Row],[RATE CONCAT]],Tables!I:N,5,0)),0)</f>
        <v>0</v>
      </c>
      <c r="CE57" s="3">
        <f>Table4[[#This Row],[Apr_2026_F]]-Table4[[#This Row],[Apr_2026_A]]</f>
        <v>0</v>
      </c>
      <c r="CF57" s="103"/>
      <c r="CG57" s="3">
        <f>IFERROR(Table4[[#This Row],[May_2026_Days_Forecast]] *Table4[[#This Row],[Cost Boolean]]*(VLOOKUP(Table4[[#This Row],[RATE CONCAT]],Tables!I:N,5,0)),0)</f>
        <v>0</v>
      </c>
      <c r="CH57" s="3">
        <f>IFERROR(Table4[[#This Row],[May_2026_Days_Actual]]*Table4[[#This Row],[Cost Boolean]]*(VLOOKUP(Table4[[#This Row],[RATE CONCAT]],Tables!I:N,5,0)),0)</f>
        <v>0</v>
      </c>
      <c r="CI57" s="3">
        <f>Table4[[#This Row],[May_2026_F]]-Table4[[#This Row],[May_2026_A]]</f>
        <v>0</v>
      </c>
      <c r="CJ57" s="103"/>
      <c r="CK57" s="3">
        <f>IFERROR(Table4[[#This Row],[Jun_2026_Days_Forecast]]*Table4[[#This Row],[Cost Boolean]]*(VLOOKUP(Table4[[#This Row],[RATE CONCAT]],Tables!I:N,5,0)),0)</f>
        <v>0</v>
      </c>
      <c r="CL57" s="3">
        <f>IFERROR(Table4[[#This Row],[Jun_2026_Days_Actual]]*Table4[[#This Row],[Cost Boolean]]*(VLOOKUP(Table4[[#This Row],[RATE CONCAT]],Tables!I:N,5,0)),0)</f>
        <v>0</v>
      </c>
      <c r="CM57" s="3">
        <f>Table4[[#This Row],[Jun_2026_F]]-Table4[[#This Row],[Jun_2026_A]]</f>
        <v>0</v>
      </c>
      <c r="CN57" s="103"/>
      <c r="CO57" s="3">
        <f>IFERROR(Table4[[#This Row],[Jul_2026_Days_Forecast]]*Table4[[#This Row],[Cost Boolean]]*(VLOOKUP(Table4[[#This Row],[RATE CONCAT]],Tables!I:N,5,0)),0)</f>
        <v>0</v>
      </c>
      <c r="CP57" s="3">
        <f>IFERROR(Table4[[#This Row],[Aug_2026_Days_Forecast]]*Table4[[#This Row],[Location]]*(VLOOKUP(Table4[[#This Row],[Rate]],Tables!J:O,5,0)),0)</f>
        <v>0</v>
      </c>
      <c r="CQ57" s="3">
        <f>Table4[[#This Row],[Jul_2026_F]]-Table4[[#This Row],[Jul_2026_A]]</f>
        <v>0</v>
      </c>
      <c r="CR57" s="103"/>
      <c r="CS57" s="3">
        <f>IFERROR(Table4[[#This Row],[Aug_2026_Days_Forecast]]*Table4[[#This Row],[Cost Boolean]]*(VLOOKUP(Table4[[#This Row],[RATE CONCAT]],Tables!I:N,5,0)),0)</f>
        <v>0</v>
      </c>
      <c r="CT57" s="3">
        <f>IFERROR(Table4[[#This Row],[Aug_2026_Days_Actual]]*Table4[[#This Row],[Cost Boolean]]*(VLOOKUP(Table4[[#This Row],[RATE CONCAT]],Tables!I:N,5,0)),0)</f>
        <v>0</v>
      </c>
      <c r="CU57" s="3">
        <f>Table4[[#This Row],[Aug_2026_F]]-Table4[[#This Row],[Aug_2026_A]]</f>
        <v>0</v>
      </c>
      <c r="CV57" s="103"/>
      <c r="CW57" s="3">
        <f>IFERROR(Table4[[#This Row],[Sep_2026_Days_Forecast]]*Table4[[#This Row],[Cost Boolean]]*(VLOOKUP(Table4[[#This Row],[RATE CONCAT]],Tables!I:N,5,0)),0)</f>
        <v>0</v>
      </c>
      <c r="CX57" s="3">
        <f>IFERROR(Table4[[#This Row],[Sep_2026_Days_Actual]]*Table4[[#This Row],[Cost Boolean]]*(VLOOKUP(Table4[[#This Row],[RATE CONCAT]],Tables!I:N,5,0)),0)</f>
        <v>0</v>
      </c>
      <c r="CY57" s="3">
        <f>Table4[[#This Row],[Sep_2026_F]]-Table4[[#This Row],[Sep_2026_A]]</f>
        <v>0</v>
      </c>
      <c r="CZ57" s="103"/>
      <c r="DA57" s="3">
        <f>IFERROR(Table4[[#This Row],[Oct_2026_Days_Forecast]]*Table4[[#This Row],[Cost Boolean]]*(VLOOKUP(Table4[[#This Row],[RATE CONCAT]],Tables!I:N,5,0)),0)</f>
        <v>0</v>
      </c>
      <c r="DB57" s="3">
        <f>IFERROR(Table4[[#This Row],[Oct_2026_Days_Actual]]*Table4[[#This Row],[Cost Boolean]]*(VLOOKUP(Table4[[#This Row],[RATE CONCAT]],Tables!I:N,5,0)),0)</f>
        <v>0</v>
      </c>
      <c r="DC57" s="3">
        <f>Table4[[#This Row],[Oct_2026_F]]-Table4[[#This Row],[Oct_2026_A]]</f>
        <v>0</v>
      </c>
      <c r="DD57" s="103"/>
      <c r="DE57" s="3">
        <f>IFERROR(Table4[[#This Row],[Nov_2026_Days_Forecast]]*Table4[[#This Row],[Cost Boolean]]*(VLOOKUP(Table4[[#This Row],[RATE CONCAT]],Tables!I:N,5,0)),0)</f>
        <v>0</v>
      </c>
      <c r="DF57" s="3">
        <f>IFERROR(Table4[[#This Row],[Nov_2026_Days_Actual]]*Table4[[#This Row],[Cost Boolean]]*(VLOOKUP(Table4[[#This Row],[RATE CONCAT]],Tables!I:N,5,0)),0)</f>
        <v>0</v>
      </c>
      <c r="DG57" s="3">
        <f>Table4[[#This Row],[Nov_2026_F]]-Table4[[#This Row],[Nov_2026_A]]</f>
        <v>0</v>
      </c>
      <c r="DH57" s="103"/>
      <c r="DI57" s="3">
        <f>IFERROR(Table4[[#This Row],[Dec_2026_Days_Forecast]]*Table4[[#This Row],[Cost Boolean]]*(VLOOKUP(Table4[[#This Row],[RATE CONCAT]],Tables!I:N,5,0)),0)</f>
        <v>0</v>
      </c>
      <c r="DJ57" s="3">
        <f>IFERROR(Table4[[#This Row],[Dec_2026_Days_Actual]]*Table4[[#This Row],[Cost Boolean]]*(VLOOKUP(Table4[[#This Row],[RATE CONCAT]],Tables!I:N,5,0)),0)</f>
        <v>0</v>
      </c>
      <c r="DK57" s="3">
        <f>Table4[[#This Row],[Dec_2026_F]]-Table4[[#This Row],[Dec_2026_A]]</f>
        <v>0</v>
      </c>
      <c r="DL57" s="103"/>
      <c r="DM57" s="60"/>
      <c r="DN57" s="3">
        <f>IFERROR(Table4[[#This Row],[Jan_2027_Days_Forecast]]*Table4[[#This Row],[Cost Boolean]]*(VLOOKUP(Table4[[#This Row],[RATE CONCAT]],Tables!I:N,6,0)),0)</f>
        <v>0</v>
      </c>
      <c r="DO57" s="3"/>
      <c r="DP57" s="3">
        <f>Table4[[#This Row],[Jan_2027_F]]-Table4[[#This Row],[Jan_2027_A]]</f>
        <v>0</v>
      </c>
      <c r="DQ57" s="3">
        <f>IFERROR(Table4[[#This Row],[Feb_2027_Days_Forecast]]*Table4[[#This Row],[Cost Boolean]]*(VLOOKUP(Table4[[#This Row],[RATE CONCAT]],Tables!I:N,6,0)),0)</f>
        <v>0</v>
      </c>
      <c r="DR57" s="3"/>
      <c r="DS57" s="3">
        <f>Table4[[#This Row],[Feb_2027_F]]-Table4[[#This Row],[Feb_2027_A]]</f>
        <v>0</v>
      </c>
      <c r="DT57" s="3">
        <f>IFERROR(Table4[[#This Row],[Mar_2027_Days_Forecast]]*Table4[[#This Row],[Cost Boolean]]*(VLOOKUP(Table4[[#This Row],[RATE CONCAT]],Tables!I:N,6,0)),0)</f>
        <v>0</v>
      </c>
      <c r="DU57" s="3"/>
      <c r="DV57" s="3">
        <f>Table4[[#This Row],[Mar_2027_F]]-Table4[[#This Row],[Mar_2027_A]]</f>
        <v>0</v>
      </c>
      <c r="DW57" s="3">
        <f>IFERROR(Table4[[#This Row],[Apr_2027_Days_Forecast]]*Table4[[#This Row],[Cost Boolean]]*(VLOOKUP(Table4[[#This Row],[RATE CONCAT]],Tables!I:N,6,0)),0)</f>
        <v>0</v>
      </c>
      <c r="DX57" s="3"/>
      <c r="DY57" s="3">
        <f>Table4[[#This Row],[Apr_2027_F]]-Table4[[#This Row],[Apr_2027_A]]</f>
        <v>0</v>
      </c>
      <c r="DZ57" s="3">
        <f>IFERROR(Table4[[#This Row],[May_2027_Days_Forecast]]*Table4[[#This Row],[Cost Boolean]]*(VLOOKUP(Table4[[#This Row],[RATE CONCAT]],Tables!I:N,6,0)),0)</f>
        <v>0</v>
      </c>
      <c r="EA57" s="3"/>
      <c r="EB57" s="3">
        <f>Table4[[#This Row],[May_2027_F]]-Table4[[#This Row],[May_2027_A]]</f>
        <v>0</v>
      </c>
      <c r="EC57" s="3">
        <f>IFERROR(Table4[[#This Row],[Jun_2027_Days_Forecast]]*Table4[[#This Row],[Cost Boolean]]*(VLOOKUP(Table4[[#This Row],[RATE CONCAT]],Tables!I:N,6,0)),0)</f>
        <v>0</v>
      </c>
      <c r="ED57" s="3"/>
      <c r="EE57" s="3">
        <f>Table4[[#This Row],[Jun_2027_F]]-Table4[[#This Row],[Jun_2027_A]]</f>
        <v>0</v>
      </c>
      <c r="EF57" s="3">
        <f>IFERROR(Table4[[#This Row],[Jul_2027_Days_Forecast]]*Table4[[#This Row],[Cost Boolean]]*(VLOOKUP(Table4[[#This Row],[RATE CONCAT]],Tables!I:N,6,0)),0)</f>
        <v>0</v>
      </c>
      <c r="EG57" s="3"/>
      <c r="EH57" s="3">
        <f>Table4[[#This Row],[Jul_2027_F]]-Table4[[#This Row],[Jul_2027_A]]</f>
        <v>0</v>
      </c>
      <c r="EI57" s="3">
        <f>IFERROR(Table4[[#This Row],[Aug_2027_Days_Forecast]]*Table4[[#This Row],[Cost Boolean]]*(VLOOKUP(Table4[[#This Row],[RATE CONCAT]],Tables!I:N,6,0)),0)</f>
        <v>0</v>
      </c>
      <c r="EJ57" s="3"/>
      <c r="EK57" s="3">
        <f>Table4[[#This Row],[Aug_2027_F]]-Table4[[#This Row],[Aug_2027_A]]</f>
        <v>0</v>
      </c>
      <c r="EL57" s="3">
        <f>IFERROR(Table4[[#This Row],[Sep_2027_Days_Forecast]]*Table4[[#This Row],[Cost Boolean]]*(VLOOKUP(Table4[[#This Row],[RATE CONCAT]],Tables!I:N,6,0)),0)</f>
        <v>0</v>
      </c>
      <c r="EM57" s="3"/>
      <c r="EN57" s="3">
        <f>Table4[[#This Row],[Sep_2027_F]]-Table4[[#This Row],[Sep_2027_A]]</f>
        <v>0</v>
      </c>
      <c r="EO57" s="3">
        <f>IFERROR(Table4[[#This Row],[Oct_2027_Days_Forecast]]*Table4[[#This Row],[Cost Boolean]]*(VLOOKUP(Table4[[#This Row],[RATE CONCAT]],Tables!I:N,6,0)),0)</f>
        <v>0</v>
      </c>
      <c r="EP57" s="3"/>
      <c r="EQ57" s="3">
        <f>Table4[[#This Row],[Oct_2027_F]]-Table4[[#This Row],[Oct_2027_A]]</f>
        <v>0</v>
      </c>
      <c r="ER57" s="3">
        <f>IFERROR(Table4[[#This Row],[Nov_2027_Days_Forecast]]*Table4[[#This Row],[Cost Boolean]]*(VLOOKUP(Table4[[#This Row],[RATE CONCAT]],Tables!I:N,6,0)),0)</f>
        <v>0</v>
      </c>
      <c r="ES57" s="3"/>
      <c r="ET57" s="3">
        <f>Table4[[#This Row],[Nov_2027_F]]-Table4[[#This Row],[Nov_2027_A]]</f>
        <v>0</v>
      </c>
      <c r="EU57" s="3">
        <f>IFERROR(Table4[[#This Row],[Dec_2027_Days_Forecast]]*Table4[[#This Row],[Cost Boolean]]*(VLOOKUP(Table4[[#This Row],[RATE CONCAT]],Tables!I:N,6,0)),0)</f>
        <v>0</v>
      </c>
      <c r="EV57" s="3"/>
      <c r="EW57" s="3">
        <f>Table4[[#This Row],[Dec_2027_F]]-Table4[[#This Row],[Dec_2027_A]]</f>
        <v>0</v>
      </c>
    </row>
    <row r="58" spans="1:153" ht="1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2" t="str">
        <f>CONCATENATE(Table4[[#This Row],[JG]],Table4[[#This Row],[Country]],Table4[[#This Row],[Resource Provider]])</f>
        <v/>
      </c>
      <c r="Z58" s="132">
        <f>VLOOKUP(Table4[[#This Row],[RATE CONCAT]],Tables!I:N,5,0)</f>
        <v>0</v>
      </c>
      <c r="AA58" s="53"/>
      <c r="AB58" s="16"/>
      <c r="AC58" s="16"/>
      <c r="AD58" s="16"/>
      <c r="AE58" s="16"/>
      <c r="AF58" s="16"/>
      <c r="AG58" s="16"/>
      <c r="AH58" s="16"/>
      <c r="AI58" s="16"/>
      <c r="AJ58" s="16"/>
      <c r="AK58" s="16"/>
      <c r="AL58" s="16"/>
      <c r="AM58" s="16"/>
      <c r="AN58" s="53">
        <f>IFERROR(AVERAGE(Table4[[#This Row],[Jan_2026_Days_Forecast]:[Dec_2026_Days_Forecast]]),0)/19</f>
        <v>0</v>
      </c>
      <c r="AO58" s="53">
        <f>IFERROR(AVERAGE(Table4[[#This Row],[Jan_2026_Days_Actual]:[Dec_2026_Days_Actual]]),0)/19</f>
        <v>0</v>
      </c>
      <c r="AP58" s="84"/>
      <c r="AQ58" s="84"/>
      <c r="AR58" s="84"/>
      <c r="AS58" s="84"/>
      <c r="AT58" s="84"/>
      <c r="AU58" s="84"/>
      <c r="AV58" s="84"/>
      <c r="AW58" s="84"/>
      <c r="AX58" s="84"/>
      <c r="AY58" s="84"/>
      <c r="AZ58" s="84"/>
      <c r="BA58" s="84"/>
      <c r="BB58" s="53">
        <f>IFERROR(AVERAGE(Table4[[#This Row],[Jan_2027_Days_Forecast]:[Dec_2027_Days_Forecast]]),0)</f>
        <v>0</v>
      </c>
      <c r="BC58" s="16"/>
      <c r="BD58" s="16"/>
      <c r="BE58" s="16"/>
      <c r="BF58" s="16"/>
      <c r="BG58" s="16"/>
      <c r="BH58" s="16"/>
      <c r="BI58" s="16"/>
      <c r="BJ58" s="16"/>
      <c r="BK58" s="16"/>
      <c r="BL58" s="16"/>
      <c r="BM58" s="16"/>
      <c r="BN58" s="16"/>
      <c r="BO58" s="55"/>
      <c r="BP58" s="60"/>
      <c r="BQ58" s="3">
        <f>Table4[[#This Row],[Jan_2026_Days_Forecast]]*Table4[[#This Row],[Cost Boolean]]*VLOOKUP(Table4[[#This Row],[RATE CONCAT]],Tables!I:N,5,0)</f>
        <v>0</v>
      </c>
      <c r="BR58" s="3">
        <f>IFERROR(Table4[[#This Row],[Jan_2026_Days_Actual]]*Table4[[#This Row],[Cost Boolean]]*(VLOOKUP(Table4[[#This Row],[RATE CONCAT]],Tables!I:N,5,0)),0)</f>
        <v>0</v>
      </c>
      <c r="BS58" s="3">
        <f>Table4[[#This Row],[Jan_2026_F]]-Table4[[#This Row],[Jan_2026_A]]</f>
        <v>0</v>
      </c>
      <c r="BT58" s="107"/>
      <c r="BU58" s="3">
        <f>IFERROR(Table4[[#This Row],[Feb_2026_Days_Forecast]]*Table4[[#This Row],[Cost Boolean]]*(VLOOKUP(Table4[[#This Row],[RATE CONCAT]],Tables!I:N,5,0)),0)</f>
        <v>0</v>
      </c>
      <c r="BV58" s="3">
        <f>IFERROR(Table4[[#This Row],[Feb_2026_Days_Actual]]*Table4[[#This Row],[Cost Boolean]]*(VLOOKUP(Table4[[#This Row],[RATE CONCAT]],Tables!I:N,5,0)),0)</f>
        <v>0</v>
      </c>
      <c r="BW58" s="3">
        <f>Table4[[#This Row],[Feb_2026_F]]-Table4[[#This Row],[Feb_2026_A]]</f>
        <v>0</v>
      </c>
      <c r="BX58" s="103"/>
      <c r="BY58" s="3">
        <f>IFERROR(Table4[[#This Row],[Mar_2026_Days_Forecast]]*Table4[[#This Row],[Cost Boolean]]*(VLOOKUP(Table4[[#This Row],[RATE CONCAT]],Tables!I:N,5,0)),0)</f>
        <v>0</v>
      </c>
      <c r="BZ58" s="3">
        <f>IFERROR(Table4[[#This Row],[Mar_2026_Days_Actual]]*Table4[[#This Row],[Cost Boolean]]*(VLOOKUP(Table4[[#This Row],[RATE CONCAT]],Tables!I:N,5,0)),0)</f>
        <v>0</v>
      </c>
      <c r="CA58" s="3">
        <f>Table4[[#This Row],[Mar_2026_F]]-Table4[[#This Row],[Mar_2026_A]]</f>
        <v>0</v>
      </c>
      <c r="CB58" s="103"/>
      <c r="CC58" s="3">
        <f>IFERROR(Table4[[#This Row],[Apr_2026_Days_Forecast]]*Table4[[#This Row],[Cost Boolean]]*(VLOOKUP(Table4[[#This Row],[RATE CONCAT]],Tables!I:N,5,0)),0)</f>
        <v>0</v>
      </c>
      <c r="CD58" s="3">
        <f>IFERROR(Table4[[#This Row],[Apr_2026_Days_Actual]]*Table4[[#This Row],[Cost Boolean]]*(VLOOKUP(Table4[[#This Row],[RATE CONCAT]],Tables!I:N,5,0)),0)</f>
        <v>0</v>
      </c>
      <c r="CE58" s="3">
        <f>Table4[[#This Row],[Apr_2026_F]]-Table4[[#This Row],[Apr_2026_A]]</f>
        <v>0</v>
      </c>
      <c r="CF58" s="103"/>
      <c r="CG58" s="3">
        <f>IFERROR(Table4[[#This Row],[May_2026_Days_Forecast]] *Table4[[#This Row],[Cost Boolean]]*(VLOOKUP(Table4[[#This Row],[RATE CONCAT]],Tables!I:N,5,0)),0)</f>
        <v>0</v>
      </c>
      <c r="CH58" s="3">
        <f>IFERROR(Table4[[#This Row],[May_2026_Days_Actual]]*Table4[[#This Row],[Cost Boolean]]*(VLOOKUP(Table4[[#This Row],[RATE CONCAT]],Tables!I:N,5,0)),0)</f>
        <v>0</v>
      </c>
      <c r="CI58" s="3">
        <f>Table4[[#This Row],[May_2026_F]]-Table4[[#This Row],[May_2026_A]]</f>
        <v>0</v>
      </c>
      <c r="CJ58" s="103"/>
      <c r="CK58" s="3">
        <f>IFERROR(Table4[[#This Row],[Jun_2026_Days_Forecast]]*Table4[[#This Row],[Cost Boolean]]*(VLOOKUP(Table4[[#This Row],[RATE CONCAT]],Tables!I:N,5,0)),0)</f>
        <v>0</v>
      </c>
      <c r="CL58" s="3">
        <f>IFERROR(Table4[[#This Row],[Jun_2026_Days_Actual]]*Table4[[#This Row],[Cost Boolean]]*(VLOOKUP(Table4[[#This Row],[RATE CONCAT]],Tables!I:N,5,0)),0)</f>
        <v>0</v>
      </c>
      <c r="CM58" s="3">
        <f>Table4[[#This Row],[Jun_2026_F]]-Table4[[#This Row],[Jun_2026_A]]</f>
        <v>0</v>
      </c>
      <c r="CN58" s="103"/>
      <c r="CO58" s="3">
        <f>IFERROR(Table4[[#This Row],[Jul_2026_Days_Forecast]]*Table4[[#This Row],[Cost Boolean]]*(VLOOKUP(Table4[[#This Row],[RATE CONCAT]],Tables!I:N,5,0)),0)</f>
        <v>0</v>
      </c>
      <c r="CP58" s="3">
        <f>IFERROR(Table4[[#This Row],[Aug_2026_Days_Forecast]]*Table4[[#This Row],[Location]]*(VLOOKUP(Table4[[#This Row],[Rate]],Tables!J:O,5,0)),0)</f>
        <v>0</v>
      </c>
      <c r="CQ58" s="3">
        <f>Table4[[#This Row],[Jul_2026_F]]-Table4[[#This Row],[Jul_2026_A]]</f>
        <v>0</v>
      </c>
      <c r="CR58" s="103"/>
      <c r="CS58" s="3">
        <f>IFERROR(Table4[[#This Row],[Aug_2026_Days_Forecast]]*Table4[[#This Row],[Cost Boolean]]*(VLOOKUP(Table4[[#This Row],[RATE CONCAT]],Tables!I:N,5,0)),0)</f>
        <v>0</v>
      </c>
      <c r="CT58" s="3">
        <f>IFERROR(Table4[[#This Row],[Aug_2026_Days_Actual]]*Table4[[#This Row],[Cost Boolean]]*(VLOOKUP(Table4[[#This Row],[RATE CONCAT]],Tables!I:N,5,0)),0)</f>
        <v>0</v>
      </c>
      <c r="CU58" s="3">
        <f>Table4[[#This Row],[Aug_2026_F]]-Table4[[#This Row],[Aug_2026_A]]</f>
        <v>0</v>
      </c>
      <c r="CV58" s="103"/>
      <c r="CW58" s="3">
        <f>IFERROR(Table4[[#This Row],[Sep_2026_Days_Forecast]]*Table4[[#This Row],[Cost Boolean]]*(VLOOKUP(Table4[[#This Row],[RATE CONCAT]],Tables!I:N,5,0)),0)</f>
        <v>0</v>
      </c>
      <c r="CX58" s="3">
        <f>IFERROR(Table4[[#This Row],[Sep_2026_Days_Actual]]*Table4[[#This Row],[Cost Boolean]]*(VLOOKUP(Table4[[#This Row],[RATE CONCAT]],Tables!I:N,5,0)),0)</f>
        <v>0</v>
      </c>
      <c r="CY58" s="3">
        <f>Table4[[#This Row],[Sep_2026_F]]-Table4[[#This Row],[Sep_2026_A]]</f>
        <v>0</v>
      </c>
      <c r="CZ58" s="103"/>
      <c r="DA58" s="3">
        <f>IFERROR(Table4[[#This Row],[Oct_2026_Days_Forecast]]*Table4[[#This Row],[Cost Boolean]]*(VLOOKUP(Table4[[#This Row],[RATE CONCAT]],Tables!I:N,5,0)),0)</f>
        <v>0</v>
      </c>
      <c r="DB58" s="3">
        <f>IFERROR(Table4[[#This Row],[Oct_2026_Days_Actual]]*Table4[[#This Row],[Cost Boolean]]*(VLOOKUP(Table4[[#This Row],[RATE CONCAT]],Tables!I:N,5,0)),0)</f>
        <v>0</v>
      </c>
      <c r="DC58" s="3">
        <f>Table4[[#This Row],[Oct_2026_F]]-Table4[[#This Row],[Oct_2026_A]]</f>
        <v>0</v>
      </c>
      <c r="DD58" s="103"/>
      <c r="DE58" s="3">
        <f>IFERROR(Table4[[#This Row],[Nov_2026_Days_Forecast]]*Table4[[#This Row],[Cost Boolean]]*(VLOOKUP(Table4[[#This Row],[RATE CONCAT]],Tables!I:N,5,0)),0)</f>
        <v>0</v>
      </c>
      <c r="DF58" s="3">
        <f>IFERROR(Table4[[#This Row],[Nov_2026_Days_Actual]]*Table4[[#This Row],[Cost Boolean]]*(VLOOKUP(Table4[[#This Row],[RATE CONCAT]],Tables!I:N,5,0)),0)</f>
        <v>0</v>
      </c>
      <c r="DG58" s="3">
        <f>Table4[[#This Row],[Nov_2026_F]]-Table4[[#This Row],[Nov_2026_A]]</f>
        <v>0</v>
      </c>
      <c r="DH58" s="103"/>
      <c r="DI58" s="3">
        <f>IFERROR(Table4[[#This Row],[Dec_2026_Days_Forecast]]*Table4[[#This Row],[Cost Boolean]]*(VLOOKUP(Table4[[#This Row],[RATE CONCAT]],Tables!I:N,5,0)),0)</f>
        <v>0</v>
      </c>
      <c r="DJ58" s="3">
        <f>IFERROR(Table4[[#This Row],[Dec_2026_Days_Actual]]*Table4[[#This Row],[Cost Boolean]]*(VLOOKUP(Table4[[#This Row],[RATE CONCAT]],Tables!I:N,5,0)),0)</f>
        <v>0</v>
      </c>
      <c r="DK58" s="3">
        <f>Table4[[#This Row],[Dec_2026_F]]-Table4[[#This Row],[Dec_2026_A]]</f>
        <v>0</v>
      </c>
      <c r="DL58" s="103"/>
      <c r="DM58" s="60"/>
      <c r="DN58" s="3">
        <f>IFERROR(Table4[[#This Row],[Jan_2027_Days_Forecast]]*Table4[[#This Row],[Cost Boolean]]*(VLOOKUP(Table4[[#This Row],[RATE CONCAT]],Tables!I:N,6,0)),0)</f>
        <v>0</v>
      </c>
      <c r="DO58" s="3"/>
      <c r="DP58" s="3">
        <f>Table4[[#This Row],[Jan_2027_F]]-Table4[[#This Row],[Jan_2027_A]]</f>
        <v>0</v>
      </c>
      <c r="DQ58" s="3">
        <f>IFERROR(Table4[[#This Row],[Feb_2027_Days_Forecast]]*Table4[[#This Row],[Cost Boolean]]*(VLOOKUP(Table4[[#This Row],[RATE CONCAT]],Tables!I:N,6,0)),0)</f>
        <v>0</v>
      </c>
      <c r="DR58" s="3"/>
      <c r="DS58" s="3">
        <f>Table4[[#This Row],[Feb_2027_F]]-Table4[[#This Row],[Feb_2027_A]]</f>
        <v>0</v>
      </c>
      <c r="DT58" s="3">
        <f>IFERROR(Table4[[#This Row],[Mar_2027_Days_Forecast]]*Table4[[#This Row],[Cost Boolean]]*(VLOOKUP(Table4[[#This Row],[RATE CONCAT]],Tables!I:N,6,0)),0)</f>
        <v>0</v>
      </c>
      <c r="DU58" s="3"/>
      <c r="DV58" s="3">
        <f>Table4[[#This Row],[Mar_2027_F]]-Table4[[#This Row],[Mar_2027_A]]</f>
        <v>0</v>
      </c>
      <c r="DW58" s="3">
        <f>IFERROR(Table4[[#This Row],[Apr_2027_Days_Forecast]]*Table4[[#This Row],[Cost Boolean]]*(VLOOKUP(Table4[[#This Row],[RATE CONCAT]],Tables!I:N,6,0)),0)</f>
        <v>0</v>
      </c>
      <c r="DX58" s="3"/>
      <c r="DY58" s="3">
        <f>Table4[[#This Row],[Apr_2027_F]]-Table4[[#This Row],[Apr_2027_A]]</f>
        <v>0</v>
      </c>
      <c r="DZ58" s="3">
        <f>IFERROR(Table4[[#This Row],[May_2027_Days_Forecast]]*Table4[[#This Row],[Cost Boolean]]*(VLOOKUP(Table4[[#This Row],[RATE CONCAT]],Tables!I:N,6,0)),0)</f>
        <v>0</v>
      </c>
      <c r="EA58" s="3"/>
      <c r="EB58" s="3">
        <f>Table4[[#This Row],[May_2027_F]]-Table4[[#This Row],[May_2027_A]]</f>
        <v>0</v>
      </c>
      <c r="EC58" s="3">
        <f>IFERROR(Table4[[#This Row],[Jun_2027_Days_Forecast]]*Table4[[#This Row],[Cost Boolean]]*(VLOOKUP(Table4[[#This Row],[RATE CONCAT]],Tables!I:N,6,0)),0)</f>
        <v>0</v>
      </c>
      <c r="ED58" s="3"/>
      <c r="EE58" s="3">
        <f>Table4[[#This Row],[Jun_2027_F]]-Table4[[#This Row],[Jun_2027_A]]</f>
        <v>0</v>
      </c>
      <c r="EF58" s="3">
        <f>IFERROR(Table4[[#This Row],[Jul_2027_Days_Forecast]]*Table4[[#This Row],[Cost Boolean]]*(VLOOKUP(Table4[[#This Row],[RATE CONCAT]],Tables!I:N,6,0)),0)</f>
        <v>0</v>
      </c>
      <c r="EG58" s="3"/>
      <c r="EH58" s="3">
        <f>Table4[[#This Row],[Jul_2027_F]]-Table4[[#This Row],[Jul_2027_A]]</f>
        <v>0</v>
      </c>
      <c r="EI58" s="3">
        <f>IFERROR(Table4[[#This Row],[Aug_2027_Days_Forecast]]*Table4[[#This Row],[Cost Boolean]]*(VLOOKUP(Table4[[#This Row],[RATE CONCAT]],Tables!I:N,6,0)),0)</f>
        <v>0</v>
      </c>
      <c r="EJ58" s="3"/>
      <c r="EK58" s="3">
        <f>Table4[[#This Row],[Aug_2027_F]]-Table4[[#This Row],[Aug_2027_A]]</f>
        <v>0</v>
      </c>
      <c r="EL58" s="3">
        <f>IFERROR(Table4[[#This Row],[Sep_2027_Days_Forecast]]*Table4[[#This Row],[Cost Boolean]]*(VLOOKUP(Table4[[#This Row],[RATE CONCAT]],Tables!I:N,6,0)),0)</f>
        <v>0</v>
      </c>
      <c r="EM58" s="3"/>
      <c r="EN58" s="3">
        <f>Table4[[#This Row],[Sep_2027_F]]-Table4[[#This Row],[Sep_2027_A]]</f>
        <v>0</v>
      </c>
      <c r="EO58" s="3">
        <f>IFERROR(Table4[[#This Row],[Oct_2027_Days_Forecast]]*Table4[[#This Row],[Cost Boolean]]*(VLOOKUP(Table4[[#This Row],[RATE CONCAT]],Tables!I:N,6,0)),0)</f>
        <v>0</v>
      </c>
      <c r="EP58" s="3"/>
      <c r="EQ58" s="3">
        <f>Table4[[#This Row],[Oct_2027_F]]-Table4[[#This Row],[Oct_2027_A]]</f>
        <v>0</v>
      </c>
      <c r="ER58" s="3">
        <f>IFERROR(Table4[[#This Row],[Nov_2027_Days_Forecast]]*Table4[[#This Row],[Cost Boolean]]*(VLOOKUP(Table4[[#This Row],[RATE CONCAT]],Tables!I:N,6,0)),0)</f>
        <v>0</v>
      </c>
      <c r="ES58" s="3"/>
      <c r="ET58" s="3">
        <f>Table4[[#This Row],[Nov_2027_F]]-Table4[[#This Row],[Nov_2027_A]]</f>
        <v>0</v>
      </c>
      <c r="EU58" s="3">
        <f>IFERROR(Table4[[#This Row],[Dec_2027_Days_Forecast]]*Table4[[#This Row],[Cost Boolean]]*(VLOOKUP(Table4[[#This Row],[RATE CONCAT]],Tables!I:N,6,0)),0)</f>
        <v>0</v>
      </c>
      <c r="EV58" s="3"/>
      <c r="EW58" s="3">
        <f>Table4[[#This Row],[Dec_2027_F]]-Table4[[#This Row],[Dec_2027_A]]</f>
        <v>0</v>
      </c>
    </row>
    <row r="59" spans="1:153" ht="1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2" t="str">
        <f>CONCATENATE(Table4[[#This Row],[JG]],Table4[[#This Row],[Country]],Table4[[#This Row],[Resource Provider]])</f>
        <v/>
      </c>
      <c r="Z59" s="132">
        <f>VLOOKUP(Table4[[#This Row],[RATE CONCAT]],Tables!I:N,5,0)</f>
        <v>0</v>
      </c>
      <c r="AA59" s="53"/>
      <c r="AB59" s="16"/>
      <c r="AC59" s="16"/>
      <c r="AD59" s="16"/>
      <c r="AE59" s="16"/>
      <c r="AF59" s="16"/>
      <c r="AG59" s="16"/>
      <c r="AH59" s="16"/>
      <c r="AI59" s="16"/>
      <c r="AJ59" s="16"/>
      <c r="AK59" s="16"/>
      <c r="AL59" s="16"/>
      <c r="AM59" s="16"/>
      <c r="AN59" s="53">
        <f>IFERROR(AVERAGE(Table4[[#This Row],[Jan_2026_Days_Forecast]:[Dec_2026_Days_Forecast]]),0)/19</f>
        <v>0</v>
      </c>
      <c r="AO59" s="53">
        <f>IFERROR(AVERAGE(Table4[[#This Row],[Jan_2026_Days_Actual]:[Dec_2026_Days_Actual]]),0)/19</f>
        <v>0</v>
      </c>
      <c r="AP59" s="84"/>
      <c r="AQ59" s="84"/>
      <c r="AR59" s="84"/>
      <c r="AS59" s="84"/>
      <c r="AT59" s="84"/>
      <c r="AU59" s="84"/>
      <c r="AV59" s="84"/>
      <c r="AW59" s="84"/>
      <c r="AX59" s="84"/>
      <c r="AY59" s="84"/>
      <c r="AZ59" s="84"/>
      <c r="BA59" s="84"/>
      <c r="BB59" s="53">
        <f>IFERROR(AVERAGE(Table4[[#This Row],[Jan_2027_Days_Forecast]:[Dec_2027_Days_Forecast]]),0)</f>
        <v>0</v>
      </c>
      <c r="BC59" s="16"/>
      <c r="BD59" s="16"/>
      <c r="BE59" s="16"/>
      <c r="BF59" s="16"/>
      <c r="BG59" s="16"/>
      <c r="BH59" s="16"/>
      <c r="BI59" s="16"/>
      <c r="BJ59" s="16"/>
      <c r="BK59" s="16"/>
      <c r="BL59" s="16"/>
      <c r="BM59" s="16"/>
      <c r="BN59" s="16"/>
      <c r="BO59" s="55"/>
      <c r="BP59" s="60"/>
      <c r="BQ59" s="3">
        <v>0</v>
      </c>
      <c r="BR59" s="3">
        <f>IFERROR(Table4[[#This Row],[Jan_2026_Days_Actual]]*Table4[[#This Row],[Cost Boolean]]*(VLOOKUP(Table4[[#This Row],[RATE CONCAT]],Tables!I:N,5,0)),0)</f>
        <v>0</v>
      </c>
      <c r="BS59" s="3">
        <f>Table4[[#This Row],[Jan_2026_F]]-Table4[[#This Row],[Jan_2026_A]]</f>
        <v>0</v>
      </c>
      <c r="BT59" s="107"/>
      <c r="BU59" s="3">
        <f>IFERROR(Table4[[#This Row],[Feb_2026_Days_Forecast]]*Table4[[#This Row],[Cost Boolean]]*(VLOOKUP(Table4[[#This Row],[RATE CONCAT]],Tables!I:N,5,0)),0)</f>
        <v>0</v>
      </c>
      <c r="BV59" s="3">
        <f>IFERROR(Table4[[#This Row],[Feb_2026_Days_Actual]]*Table4[[#This Row],[Cost Boolean]]*(VLOOKUP(Table4[[#This Row],[RATE CONCAT]],Tables!I:N,5,0)),0)</f>
        <v>0</v>
      </c>
      <c r="BW59" s="3">
        <f>Table4[[#This Row],[Feb_2026_F]]-Table4[[#This Row],[Feb_2026_A]]</f>
        <v>0</v>
      </c>
      <c r="BX59" s="103"/>
      <c r="BY59" s="3">
        <f>IFERROR(Table4[[#This Row],[Mar_2026_Days_Forecast]]*Table4[[#This Row],[Cost Boolean]]*(VLOOKUP(Table4[[#This Row],[RATE CONCAT]],Tables!I:N,5,0)),0)</f>
        <v>0</v>
      </c>
      <c r="BZ59" s="3">
        <f>IFERROR(Table4[[#This Row],[Mar_2026_Days_Actual]]*Table4[[#This Row],[Cost Boolean]]*(VLOOKUP(Table4[[#This Row],[RATE CONCAT]],Tables!I:N,5,0)),0)</f>
        <v>0</v>
      </c>
      <c r="CA59" s="3">
        <f>Table4[[#This Row],[Mar_2026_F]]-Table4[[#This Row],[Mar_2026_A]]</f>
        <v>0</v>
      </c>
      <c r="CB59" s="103"/>
      <c r="CC59" s="3">
        <f>IFERROR(Table4[[#This Row],[Apr_2026_Days_Forecast]]*Table4[[#This Row],[Cost Boolean]]*(VLOOKUP(Table4[[#This Row],[RATE CONCAT]],Tables!I:N,5,0)),0)</f>
        <v>0</v>
      </c>
      <c r="CD59" s="3">
        <f>IFERROR(Table4[[#This Row],[Apr_2026_Days_Actual]]*Table4[[#This Row],[Cost Boolean]]*(VLOOKUP(Table4[[#This Row],[RATE CONCAT]],Tables!I:N,5,0)),0)</f>
        <v>0</v>
      </c>
      <c r="CE59" s="3">
        <f>Table4[[#This Row],[Apr_2026_F]]-Table4[[#This Row],[Apr_2026_A]]</f>
        <v>0</v>
      </c>
      <c r="CF59" s="103"/>
      <c r="CG59" s="3">
        <f>IFERROR(Table4[[#This Row],[May_2026_Days_Forecast]] *Table4[[#This Row],[Cost Boolean]]*(VLOOKUP(Table4[[#This Row],[RATE CONCAT]],Tables!I:N,5,0)),0)</f>
        <v>0</v>
      </c>
      <c r="CH59" s="3">
        <f>IFERROR(Table4[[#This Row],[May_2026_Days_Actual]]*Table4[[#This Row],[Cost Boolean]]*(VLOOKUP(Table4[[#This Row],[RATE CONCAT]],Tables!I:N,5,0)),0)</f>
        <v>0</v>
      </c>
      <c r="CI59" s="3">
        <f>Table4[[#This Row],[May_2026_F]]-Table4[[#This Row],[May_2026_A]]</f>
        <v>0</v>
      </c>
      <c r="CJ59" s="103"/>
      <c r="CK59" s="3">
        <f>IFERROR(Table4[[#This Row],[Jun_2026_Days_Forecast]]*Table4[[#This Row],[Cost Boolean]]*(VLOOKUP(Table4[[#This Row],[RATE CONCAT]],Tables!I:N,5,0)),0)</f>
        <v>0</v>
      </c>
      <c r="CL59" s="3">
        <f>IFERROR(Table4[[#This Row],[Jun_2026_Days_Actual]]*Table4[[#This Row],[Cost Boolean]]*(VLOOKUP(Table4[[#This Row],[RATE CONCAT]],Tables!I:N,5,0)),0)</f>
        <v>0</v>
      </c>
      <c r="CM59" s="3">
        <f>Table4[[#This Row],[Jun_2026_F]]-Table4[[#This Row],[Jun_2026_A]]</f>
        <v>0</v>
      </c>
      <c r="CN59" s="103"/>
      <c r="CO59" s="3">
        <f>IFERROR(Table4[[#This Row],[Jul_2026_Days_Forecast]]*Table4[[#This Row],[Cost Boolean]]*(VLOOKUP(Table4[[#This Row],[RATE CONCAT]],Tables!I:N,5,0)),0)</f>
        <v>0</v>
      </c>
      <c r="CP59" s="3">
        <f>IFERROR(Table4[[#This Row],[Aug_2026_Days_Forecast]]*Table4[[#This Row],[Location]]*(VLOOKUP(Table4[[#This Row],[Rate]],Tables!J:O,5,0)),0)</f>
        <v>0</v>
      </c>
      <c r="CQ59" s="3">
        <f>Table4[[#This Row],[Jul_2026_F]]-Table4[[#This Row],[Jul_2026_A]]</f>
        <v>0</v>
      </c>
      <c r="CR59" s="103"/>
      <c r="CS59" s="3">
        <f>IFERROR(Table4[[#This Row],[Aug_2026_Days_Forecast]]*Table4[[#This Row],[Cost Boolean]]*(VLOOKUP(Table4[[#This Row],[RATE CONCAT]],Tables!I:N,5,0)),0)</f>
        <v>0</v>
      </c>
      <c r="CT59" s="3">
        <f>IFERROR(Table4[[#This Row],[Aug_2026_Days_Actual]]*Table4[[#This Row],[Cost Boolean]]*(VLOOKUP(Table4[[#This Row],[RATE CONCAT]],Tables!I:N,5,0)),0)</f>
        <v>0</v>
      </c>
      <c r="CU59" s="3">
        <f>Table4[[#This Row],[Aug_2026_F]]-Table4[[#This Row],[Aug_2026_A]]</f>
        <v>0</v>
      </c>
      <c r="CV59" s="103"/>
      <c r="CW59" s="3">
        <f>IFERROR(Table4[[#This Row],[Sep_2026_Days_Forecast]]*Table4[[#This Row],[Cost Boolean]]*(VLOOKUP(Table4[[#This Row],[RATE CONCAT]],Tables!I:N,5,0)),0)</f>
        <v>0</v>
      </c>
      <c r="CX59" s="3">
        <f>IFERROR(Table4[[#This Row],[Sep_2026_Days_Actual]]*Table4[[#This Row],[Cost Boolean]]*(VLOOKUP(Table4[[#This Row],[RATE CONCAT]],Tables!I:N,5,0)),0)</f>
        <v>0</v>
      </c>
      <c r="CY59" s="3">
        <f>Table4[[#This Row],[Sep_2026_F]]-Table4[[#This Row],[Sep_2026_A]]</f>
        <v>0</v>
      </c>
      <c r="CZ59" s="103"/>
      <c r="DA59" s="3">
        <f>IFERROR(Table4[[#This Row],[Oct_2026_Days_Forecast]]*Table4[[#This Row],[Cost Boolean]]*(VLOOKUP(Table4[[#This Row],[RATE CONCAT]],Tables!I:N,5,0)),0)</f>
        <v>0</v>
      </c>
      <c r="DB59" s="3">
        <f>IFERROR(Table4[[#This Row],[Oct_2026_Days_Actual]]*Table4[[#This Row],[Cost Boolean]]*(VLOOKUP(Table4[[#This Row],[RATE CONCAT]],Tables!I:N,5,0)),0)</f>
        <v>0</v>
      </c>
      <c r="DC59" s="3">
        <f>Table4[[#This Row],[Oct_2026_F]]-Table4[[#This Row],[Oct_2026_A]]</f>
        <v>0</v>
      </c>
      <c r="DD59" s="103"/>
      <c r="DE59" s="3">
        <f>IFERROR(Table4[[#This Row],[Nov_2026_Days_Forecast]]*Table4[[#This Row],[Cost Boolean]]*(VLOOKUP(Table4[[#This Row],[RATE CONCAT]],Tables!I:N,5,0)),0)</f>
        <v>0</v>
      </c>
      <c r="DF59" s="3">
        <f>IFERROR(Table4[[#This Row],[Nov_2026_Days_Actual]]*Table4[[#This Row],[Cost Boolean]]*(VLOOKUP(Table4[[#This Row],[RATE CONCAT]],Tables!I:N,5,0)),0)</f>
        <v>0</v>
      </c>
      <c r="DG59" s="3">
        <f>Table4[[#This Row],[Nov_2026_F]]-Table4[[#This Row],[Nov_2026_A]]</f>
        <v>0</v>
      </c>
      <c r="DH59" s="103"/>
      <c r="DI59" s="3">
        <f>IFERROR(Table4[[#This Row],[Dec_2026_Days_Forecast]]*Table4[[#This Row],[Cost Boolean]]*(VLOOKUP(Table4[[#This Row],[RATE CONCAT]],Tables!I:N,5,0)),0)</f>
        <v>0</v>
      </c>
      <c r="DJ59" s="3">
        <f>IFERROR(Table4[[#This Row],[Dec_2026_Days_Actual]]*Table4[[#This Row],[Cost Boolean]]*(VLOOKUP(Table4[[#This Row],[RATE CONCAT]],Tables!I:N,5,0)),0)</f>
        <v>0</v>
      </c>
      <c r="DK59" s="3">
        <f>Table4[[#This Row],[Dec_2026_F]]-Table4[[#This Row],[Dec_2026_A]]</f>
        <v>0</v>
      </c>
      <c r="DL59" s="103"/>
      <c r="DM59" s="60"/>
      <c r="DN59" s="3">
        <f>IFERROR(Table4[[#This Row],[Jan_2027_Days_Forecast]]*Table4[[#This Row],[Cost Boolean]]*(VLOOKUP(Table4[[#This Row],[RATE CONCAT]],Tables!I:N,6,0)),0)</f>
        <v>0</v>
      </c>
      <c r="DO59" s="3"/>
      <c r="DP59" s="3">
        <f>Table4[[#This Row],[Jan_2027_F]]-Table4[[#This Row],[Jan_2027_A]]</f>
        <v>0</v>
      </c>
      <c r="DQ59" s="3">
        <f>IFERROR(Table4[[#This Row],[Feb_2027_Days_Forecast]]*Table4[[#This Row],[Cost Boolean]]*(VLOOKUP(Table4[[#This Row],[RATE CONCAT]],Tables!I:N,6,0)),0)</f>
        <v>0</v>
      </c>
      <c r="DR59" s="3"/>
      <c r="DS59" s="3">
        <f>Table4[[#This Row],[Feb_2027_F]]-Table4[[#This Row],[Feb_2027_A]]</f>
        <v>0</v>
      </c>
      <c r="DT59" s="3">
        <f>IFERROR(Table4[[#This Row],[Mar_2027_Days_Forecast]]*Table4[[#This Row],[Cost Boolean]]*(VLOOKUP(Table4[[#This Row],[RATE CONCAT]],Tables!I:N,6,0)),0)</f>
        <v>0</v>
      </c>
      <c r="DU59" s="3"/>
      <c r="DV59" s="3">
        <f>Table4[[#This Row],[Mar_2027_F]]-Table4[[#This Row],[Mar_2027_A]]</f>
        <v>0</v>
      </c>
      <c r="DW59" s="3">
        <f>IFERROR(Table4[[#This Row],[Apr_2027_Days_Forecast]]*Table4[[#This Row],[Cost Boolean]]*(VLOOKUP(Table4[[#This Row],[RATE CONCAT]],Tables!I:N,6,0)),0)</f>
        <v>0</v>
      </c>
      <c r="DX59" s="3"/>
      <c r="DY59" s="3">
        <f>Table4[[#This Row],[Apr_2027_F]]-Table4[[#This Row],[Apr_2027_A]]</f>
        <v>0</v>
      </c>
      <c r="DZ59" s="3">
        <f>IFERROR(Table4[[#This Row],[May_2027_Days_Forecast]]*Table4[[#This Row],[Cost Boolean]]*(VLOOKUP(Table4[[#This Row],[RATE CONCAT]],Tables!I:N,6,0)),0)</f>
        <v>0</v>
      </c>
      <c r="EA59" s="3"/>
      <c r="EB59" s="3">
        <f>Table4[[#This Row],[May_2027_F]]-Table4[[#This Row],[May_2027_A]]</f>
        <v>0</v>
      </c>
      <c r="EC59" s="3">
        <f>IFERROR(Table4[[#This Row],[Jun_2027_Days_Forecast]]*Table4[[#This Row],[Cost Boolean]]*(VLOOKUP(Table4[[#This Row],[RATE CONCAT]],Tables!I:N,6,0)),0)</f>
        <v>0</v>
      </c>
      <c r="ED59" s="3"/>
      <c r="EE59" s="3">
        <f>Table4[[#This Row],[Jun_2027_F]]-Table4[[#This Row],[Jun_2027_A]]</f>
        <v>0</v>
      </c>
      <c r="EF59" s="3">
        <f>IFERROR(Table4[[#This Row],[Jul_2027_Days_Forecast]]*Table4[[#This Row],[Cost Boolean]]*(VLOOKUP(Table4[[#This Row],[RATE CONCAT]],Tables!I:N,6,0)),0)</f>
        <v>0</v>
      </c>
      <c r="EG59" s="3"/>
      <c r="EH59" s="3">
        <f>Table4[[#This Row],[Jul_2027_F]]-Table4[[#This Row],[Jul_2027_A]]</f>
        <v>0</v>
      </c>
      <c r="EI59" s="3">
        <f>IFERROR(Table4[[#This Row],[Aug_2027_Days_Forecast]]*Table4[[#This Row],[Cost Boolean]]*(VLOOKUP(Table4[[#This Row],[RATE CONCAT]],Tables!I:N,6,0)),0)</f>
        <v>0</v>
      </c>
      <c r="EJ59" s="3"/>
      <c r="EK59" s="3">
        <f>Table4[[#This Row],[Aug_2027_F]]-Table4[[#This Row],[Aug_2027_A]]</f>
        <v>0</v>
      </c>
      <c r="EL59" s="3">
        <f>IFERROR(Table4[[#This Row],[Sep_2027_Days_Forecast]]*Table4[[#This Row],[Cost Boolean]]*(VLOOKUP(Table4[[#This Row],[RATE CONCAT]],Tables!I:N,6,0)),0)</f>
        <v>0</v>
      </c>
      <c r="EM59" s="3"/>
      <c r="EN59" s="3">
        <f>Table4[[#This Row],[Sep_2027_F]]-Table4[[#This Row],[Sep_2027_A]]</f>
        <v>0</v>
      </c>
      <c r="EO59" s="3">
        <f>IFERROR(Table4[[#This Row],[Oct_2027_Days_Forecast]]*Table4[[#This Row],[Cost Boolean]]*(VLOOKUP(Table4[[#This Row],[RATE CONCAT]],Tables!I:N,6,0)),0)</f>
        <v>0</v>
      </c>
      <c r="EP59" s="3"/>
      <c r="EQ59" s="3">
        <f>Table4[[#This Row],[Oct_2027_F]]-Table4[[#This Row],[Oct_2027_A]]</f>
        <v>0</v>
      </c>
      <c r="ER59" s="3">
        <f>IFERROR(Table4[[#This Row],[Nov_2027_Days_Forecast]]*Table4[[#This Row],[Cost Boolean]]*(VLOOKUP(Table4[[#This Row],[RATE CONCAT]],Tables!I:N,6,0)),0)</f>
        <v>0</v>
      </c>
      <c r="ES59" s="3"/>
      <c r="ET59" s="3">
        <f>Table4[[#This Row],[Nov_2027_F]]-Table4[[#This Row],[Nov_2027_A]]</f>
        <v>0</v>
      </c>
      <c r="EU59" s="3">
        <f>IFERROR(Table4[[#This Row],[Dec_2027_Days_Forecast]]*Table4[[#This Row],[Cost Boolean]]*(VLOOKUP(Table4[[#This Row],[RATE CONCAT]],Tables!I:N,6,0)),0)</f>
        <v>0</v>
      </c>
      <c r="EV59" s="3"/>
      <c r="EW59" s="3">
        <f>Table4[[#This Row],[Dec_2027_F]]-Table4[[#This Row],[Dec_2027_A]]</f>
        <v>0</v>
      </c>
    </row>
    <row r="60" spans="1:153" ht="1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2" t="str">
        <f>CONCATENATE(Table4[[#This Row],[JG]],Table4[[#This Row],[Country]],Table4[[#This Row],[Resource Provider]])</f>
        <v/>
      </c>
      <c r="Z60" s="132">
        <f>VLOOKUP(Table4[[#This Row],[RATE CONCAT]],Tables!I:N,5,0)</f>
        <v>0</v>
      </c>
      <c r="AA60" s="53"/>
      <c r="AB60" s="16"/>
      <c r="AC60" s="16"/>
      <c r="AD60" s="16"/>
      <c r="AE60" s="16"/>
      <c r="AF60" s="16"/>
      <c r="AG60" s="16"/>
      <c r="AH60" s="16"/>
      <c r="AI60" s="16"/>
      <c r="AJ60" s="16"/>
      <c r="AK60" s="16"/>
      <c r="AL60" s="16"/>
      <c r="AM60" s="16"/>
      <c r="AN60" s="53">
        <f>IFERROR(AVERAGE(Table4[[#This Row],[Jan_2026_Days_Forecast]:[Dec_2026_Days_Forecast]]),0)/19</f>
        <v>0</v>
      </c>
      <c r="AO60" s="53">
        <f>IFERROR(AVERAGE(Table4[[#This Row],[Jan_2026_Days_Actual]:[Dec_2026_Days_Actual]]),0)/19</f>
        <v>0</v>
      </c>
      <c r="AP60" s="84"/>
      <c r="AQ60" s="84"/>
      <c r="AR60" s="84"/>
      <c r="AS60" s="84"/>
      <c r="AT60" s="84"/>
      <c r="AU60" s="84"/>
      <c r="AV60" s="84"/>
      <c r="AW60" s="84"/>
      <c r="AX60" s="84"/>
      <c r="AY60" s="84"/>
      <c r="AZ60" s="84"/>
      <c r="BA60" s="84"/>
      <c r="BB60" s="53">
        <f>IFERROR(AVERAGE(Table4[[#This Row],[Jan_2027_Days_Forecast]:[Dec_2027_Days_Forecast]]),0)</f>
        <v>0</v>
      </c>
      <c r="BC60" s="16"/>
      <c r="BD60" s="16"/>
      <c r="BE60" s="16"/>
      <c r="BF60" s="16"/>
      <c r="BG60" s="16"/>
      <c r="BH60" s="16"/>
      <c r="BI60" s="16"/>
      <c r="BJ60" s="16"/>
      <c r="BK60" s="16"/>
      <c r="BL60" s="16"/>
      <c r="BM60" s="16"/>
      <c r="BN60" s="16"/>
      <c r="BO60" s="55"/>
      <c r="BP60" s="60"/>
      <c r="BQ60" s="3">
        <v>0</v>
      </c>
      <c r="BR60" s="3">
        <f>IFERROR(Table4[[#This Row],[Jan_2026_Days_Actual]]*Table4[[#This Row],[Cost Boolean]]*(VLOOKUP(Table4[[#This Row],[RATE CONCAT]],Tables!I:N,5,0)),0)</f>
        <v>0</v>
      </c>
      <c r="BS60" s="3">
        <f>Table4[[#This Row],[Jan_2026_F]]-Table4[[#This Row],[Jan_2026_A]]</f>
        <v>0</v>
      </c>
      <c r="BT60" s="107"/>
      <c r="BU60" s="3">
        <f>IFERROR(Table4[[#This Row],[Feb_2026_Days_Forecast]]*Table4[[#This Row],[Cost Boolean]]*(VLOOKUP(Table4[[#This Row],[RATE CONCAT]],Tables!I:N,5,0)),0)</f>
        <v>0</v>
      </c>
      <c r="BV60" s="3">
        <f>IFERROR(Table4[[#This Row],[Feb_2026_Days_Actual]]*Table4[[#This Row],[Cost Boolean]]*(VLOOKUP(Table4[[#This Row],[RATE CONCAT]],Tables!I:N,5,0)),0)</f>
        <v>0</v>
      </c>
      <c r="BW60" s="3">
        <f>Table4[[#This Row],[Feb_2026_F]]-Table4[[#This Row],[Feb_2026_A]]</f>
        <v>0</v>
      </c>
      <c r="BX60" s="103"/>
      <c r="BY60" s="3">
        <f>IFERROR(Table4[[#This Row],[Mar_2026_Days_Forecast]]*Table4[[#This Row],[Cost Boolean]]*(VLOOKUP(Table4[[#This Row],[RATE CONCAT]],Tables!I:N,5,0)),0)</f>
        <v>0</v>
      </c>
      <c r="BZ60" s="3">
        <f>IFERROR(Table4[[#This Row],[Mar_2026_Days_Actual]]*Table4[[#This Row],[Cost Boolean]]*(VLOOKUP(Table4[[#This Row],[RATE CONCAT]],Tables!I:N,5,0)),0)</f>
        <v>0</v>
      </c>
      <c r="CA60" s="3">
        <f>Table4[[#This Row],[Mar_2026_F]]-Table4[[#This Row],[Mar_2026_A]]</f>
        <v>0</v>
      </c>
      <c r="CB60" s="103"/>
      <c r="CC60" s="3">
        <f>IFERROR(Table4[[#This Row],[Apr_2026_Days_Forecast]]*Table4[[#This Row],[Cost Boolean]]*(VLOOKUP(Table4[[#This Row],[RATE CONCAT]],Tables!I:N,5,0)),0)</f>
        <v>0</v>
      </c>
      <c r="CD60" s="3">
        <f>IFERROR(Table4[[#This Row],[Apr_2026_Days_Actual]]*Table4[[#This Row],[Cost Boolean]]*(VLOOKUP(Table4[[#This Row],[RATE CONCAT]],Tables!I:N,5,0)),0)</f>
        <v>0</v>
      </c>
      <c r="CE60" s="3">
        <f>Table4[[#This Row],[Apr_2026_F]]-Table4[[#This Row],[Apr_2026_A]]</f>
        <v>0</v>
      </c>
      <c r="CF60" s="103"/>
      <c r="CG60" s="3">
        <f>IFERROR(Table4[[#This Row],[May_2026_Days_Forecast]] *Table4[[#This Row],[Cost Boolean]]*(VLOOKUP(Table4[[#This Row],[RATE CONCAT]],Tables!I:N,5,0)),0)</f>
        <v>0</v>
      </c>
      <c r="CH60" s="3">
        <f>IFERROR(Table4[[#This Row],[May_2026_Days_Actual]]*Table4[[#This Row],[Cost Boolean]]*(VLOOKUP(Table4[[#This Row],[RATE CONCAT]],Tables!I:N,5,0)),0)</f>
        <v>0</v>
      </c>
      <c r="CI60" s="3">
        <f>Table4[[#This Row],[May_2026_F]]-Table4[[#This Row],[May_2026_A]]</f>
        <v>0</v>
      </c>
      <c r="CJ60" s="103"/>
      <c r="CK60" s="3">
        <f>IFERROR(Table4[[#This Row],[Jun_2026_Days_Forecast]]*Table4[[#This Row],[Cost Boolean]]*(VLOOKUP(Table4[[#This Row],[RATE CONCAT]],Tables!I:N,5,0)),0)</f>
        <v>0</v>
      </c>
      <c r="CL60" s="3">
        <f>IFERROR(Table4[[#This Row],[Jun_2026_Days_Actual]]*Table4[[#This Row],[Cost Boolean]]*(VLOOKUP(Table4[[#This Row],[RATE CONCAT]],Tables!I:N,5,0)),0)</f>
        <v>0</v>
      </c>
      <c r="CM60" s="3">
        <f>Table4[[#This Row],[Jun_2026_F]]-Table4[[#This Row],[Jun_2026_A]]</f>
        <v>0</v>
      </c>
      <c r="CN60" s="103"/>
      <c r="CO60" s="3">
        <f>IFERROR(Table4[[#This Row],[Jul_2026_Days_Forecast]]*Table4[[#This Row],[Cost Boolean]]*(VLOOKUP(Table4[[#This Row],[RATE CONCAT]],Tables!I:N,5,0)),0)</f>
        <v>0</v>
      </c>
      <c r="CP60" s="3">
        <f>IFERROR(Table4[[#This Row],[Aug_2026_Days_Forecast]]*Table4[[#This Row],[Location]]*(VLOOKUP(Table4[[#This Row],[Rate]],Tables!J:O,5,0)),0)</f>
        <v>0</v>
      </c>
      <c r="CQ60" s="3">
        <f>Table4[[#This Row],[Jul_2026_F]]-Table4[[#This Row],[Jul_2026_A]]</f>
        <v>0</v>
      </c>
      <c r="CR60" s="103"/>
      <c r="CS60" s="3">
        <f>IFERROR(Table4[[#This Row],[Aug_2026_Days_Forecast]]*Table4[[#This Row],[Cost Boolean]]*(VLOOKUP(Table4[[#This Row],[RATE CONCAT]],Tables!I:N,5,0)),0)</f>
        <v>0</v>
      </c>
      <c r="CT60" s="3">
        <f>IFERROR(Table4[[#This Row],[Aug_2026_Days_Actual]]*Table4[[#This Row],[Cost Boolean]]*(VLOOKUP(Table4[[#This Row],[RATE CONCAT]],Tables!I:N,5,0)),0)</f>
        <v>0</v>
      </c>
      <c r="CU60" s="3">
        <f>Table4[[#This Row],[Aug_2026_F]]-Table4[[#This Row],[Aug_2026_A]]</f>
        <v>0</v>
      </c>
      <c r="CV60" s="103"/>
      <c r="CW60" s="3">
        <f>IFERROR(Table4[[#This Row],[Sep_2026_Days_Forecast]]*Table4[[#This Row],[Cost Boolean]]*(VLOOKUP(Table4[[#This Row],[RATE CONCAT]],Tables!I:N,5,0)),0)</f>
        <v>0</v>
      </c>
      <c r="CX60" s="3">
        <f>IFERROR(Table4[[#This Row],[Sep_2026_Days_Actual]]*Table4[[#This Row],[Cost Boolean]]*(VLOOKUP(Table4[[#This Row],[RATE CONCAT]],Tables!I:N,5,0)),0)</f>
        <v>0</v>
      </c>
      <c r="CY60" s="3">
        <f>Table4[[#This Row],[Sep_2026_F]]-Table4[[#This Row],[Sep_2026_A]]</f>
        <v>0</v>
      </c>
      <c r="CZ60" s="103"/>
      <c r="DA60" s="3">
        <f>IFERROR(Table4[[#This Row],[Oct_2026_Days_Forecast]]*Table4[[#This Row],[Cost Boolean]]*(VLOOKUP(Table4[[#This Row],[RATE CONCAT]],Tables!I:N,5,0)),0)</f>
        <v>0</v>
      </c>
      <c r="DB60" s="3">
        <f>IFERROR(Table4[[#This Row],[Oct_2026_Days_Actual]]*Table4[[#This Row],[Cost Boolean]]*(VLOOKUP(Table4[[#This Row],[RATE CONCAT]],Tables!I:N,5,0)),0)</f>
        <v>0</v>
      </c>
      <c r="DC60" s="3">
        <f>Table4[[#This Row],[Oct_2026_F]]-Table4[[#This Row],[Oct_2026_A]]</f>
        <v>0</v>
      </c>
      <c r="DD60" s="103"/>
      <c r="DE60" s="3">
        <f>IFERROR(Table4[[#This Row],[Nov_2026_Days_Forecast]]*Table4[[#This Row],[Cost Boolean]]*(VLOOKUP(Table4[[#This Row],[RATE CONCAT]],Tables!I:N,5,0)),0)</f>
        <v>0</v>
      </c>
      <c r="DF60" s="3">
        <f>IFERROR(Table4[[#This Row],[Nov_2026_Days_Actual]]*Table4[[#This Row],[Cost Boolean]]*(VLOOKUP(Table4[[#This Row],[RATE CONCAT]],Tables!I:N,5,0)),0)</f>
        <v>0</v>
      </c>
      <c r="DG60" s="3">
        <f>Table4[[#This Row],[Nov_2026_F]]-Table4[[#This Row],[Nov_2026_A]]</f>
        <v>0</v>
      </c>
      <c r="DH60" s="103"/>
      <c r="DI60" s="3">
        <f>IFERROR(Table4[[#This Row],[Dec_2026_Days_Forecast]]*Table4[[#This Row],[Cost Boolean]]*(VLOOKUP(Table4[[#This Row],[RATE CONCAT]],Tables!I:N,5,0)),0)</f>
        <v>0</v>
      </c>
      <c r="DJ60" s="3">
        <f>IFERROR(Table4[[#This Row],[Dec_2026_Days_Actual]]*Table4[[#This Row],[Cost Boolean]]*(VLOOKUP(Table4[[#This Row],[RATE CONCAT]],Tables!I:N,5,0)),0)</f>
        <v>0</v>
      </c>
      <c r="DK60" s="3">
        <f>Table4[[#This Row],[Dec_2026_F]]-Table4[[#This Row],[Dec_2026_A]]</f>
        <v>0</v>
      </c>
      <c r="DL60" s="103"/>
      <c r="DM60" s="60"/>
      <c r="DN60" s="3">
        <f>IFERROR(Table4[[#This Row],[Jan_2027_Days_Forecast]]*Table4[[#This Row],[Cost Boolean]]*(VLOOKUP(Table4[[#This Row],[RATE CONCAT]],Tables!I:N,6,0)),0)</f>
        <v>0</v>
      </c>
      <c r="DO60" s="3"/>
      <c r="DP60" s="3">
        <f>Table4[[#This Row],[Jan_2027_F]]-Table4[[#This Row],[Jan_2027_A]]</f>
        <v>0</v>
      </c>
      <c r="DQ60" s="3">
        <f>IFERROR(Table4[[#This Row],[Feb_2027_Days_Forecast]]*Table4[[#This Row],[Cost Boolean]]*(VLOOKUP(Table4[[#This Row],[RATE CONCAT]],Tables!I:N,6,0)),0)</f>
        <v>0</v>
      </c>
      <c r="DR60" s="3"/>
      <c r="DS60" s="3">
        <f>Table4[[#This Row],[Feb_2027_F]]-Table4[[#This Row],[Feb_2027_A]]</f>
        <v>0</v>
      </c>
      <c r="DT60" s="3">
        <f>IFERROR(Table4[[#This Row],[Mar_2027_Days_Forecast]]*Table4[[#This Row],[Cost Boolean]]*(VLOOKUP(Table4[[#This Row],[RATE CONCAT]],Tables!I:N,6,0)),0)</f>
        <v>0</v>
      </c>
      <c r="DU60" s="3"/>
      <c r="DV60" s="3">
        <f>Table4[[#This Row],[Mar_2027_F]]-Table4[[#This Row],[Mar_2027_A]]</f>
        <v>0</v>
      </c>
      <c r="DW60" s="3">
        <f>IFERROR(Table4[[#This Row],[Apr_2027_Days_Forecast]]*Table4[[#This Row],[Cost Boolean]]*(VLOOKUP(Table4[[#This Row],[RATE CONCAT]],Tables!I:N,6,0)),0)</f>
        <v>0</v>
      </c>
      <c r="DX60" s="3"/>
      <c r="DY60" s="3">
        <f>Table4[[#This Row],[Apr_2027_F]]-Table4[[#This Row],[Apr_2027_A]]</f>
        <v>0</v>
      </c>
      <c r="DZ60" s="3">
        <f>IFERROR(Table4[[#This Row],[May_2027_Days_Forecast]]*Table4[[#This Row],[Cost Boolean]]*(VLOOKUP(Table4[[#This Row],[RATE CONCAT]],Tables!I:N,6,0)),0)</f>
        <v>0</v>
      </c>
      <c r="EA60" s="3"/>
      <c r="EB60" s="3">
        <f>Table4[[#This Row],[May_2027_F]]-Table4[[#This Row],[May_2027_A]]</f>
        <v>0</v>
      </c>
      <c r="EC60" s="3">
        <f>IFERROR(Table4[[#This Row],[Jun_2027_Days_Forecast]]*Table4[[#This Row],[Cost Boolean]]*(VLOOKUP(Table4[[#This Row],[RATE CONCAT]],Tables!I:N,6,0)),0)</f>
        <v>0</v>
      </c>
      <c r="ED60" s="3"/>
      <c r="EE60" s="3">
        <f>Table4[[#This Row],[Jun_2027_F]]-Table4[[#This Row],[Jun_2027_A]]</f>
        <v>0</v>
      </c>
      <c r="EF60" s="3">
        <f>IFERROR(Table4[[#This Row],[Jul_2027_Days_Forecast]]*Table4[[#This Row],[Cost Boolean]]*(VLOOKUP(Table4[[#This Row],[RATE CONCAT]],Tables!I:N,6,0)),0)</f>
        <v>0</v>
      </c>
      <c r="EG60" s="3"/>
      <c r="EH60" s="3">
        <f>Table4[[#This Row],[Jul_2027_F]]-Table4[[#This Row],[Jul_2027_A]]</f>
        <v>0</v>
      </c>
      <c r="EI60" s="3">
        <f>IFERROR(Table4[[#This Row],[Aug_2027_Days_Forecast]]*Table4[[#This Row],[Cost Boolean]]*(VLOOKUP(Table4[[#This Row],[RATE CONCAT]],Tables!I:N,6,0)),0)</f>
        <v>0</v>
      </c>
      <c r="EJ60" s="3"/>
      <c r="EK60" s="3">
        <f>Table4[[#This Row],[Aug_2027_F]]-Table4[[#This Row],[Aug_2027_A]]</f>
        <v>0</v>
      </c>
      <c r="EL60" s="3">
        <f>IFERROR(Table4[[#This Row],[Sep_2027_Days_Forecast]]*Table4[[#This Row],[Cost Boolean]]*(VLOOKUP(Table4[[#This Row],[RATE CONCAT]],Tables!I:N,6,0)),0)</f>
        <v>0</v>
      </c>
      <c r="EM60" s="3"/>
      <c r="EN60" s="3">
        <f>Table4[[#This Row],[Sep_2027_F]]-Table4[[#This Row],[Sep_2027_A]]</f>
        <v>0</v>
      </c>
      <c r="EO60" s="3">
        <f>IFERROR(Table4[[#This Row],[Oct_2027_Days_Forecast]]*Table4[[#This Row],[Cost Boolean]]*(VLOOKUP(Table4[[#This Row],[RATE CONCAT]],Tables!I:N,6,0)),0)</f>
        <v>0</v>
      </c>
      <c r="EP60" s="3"/>
      <c r="EQ60" s="3">
        <f>Table4[[#This Row],[Oct_2027_F]]-Table4[[#This Row],[Oct_2027_A]]</f>
        <v>0</v>
      </c>
      <c r="ER60" s="3">
        <f>IFERROR(Table4[[#This Row],[Nov_2027_Days_Forecast]]*Table4[[#This Row],[Cost Boolean]]*(VLOOKUP(Table4[[#This Row],[RATE CONCAT]],Tables!I:N,6,0)),0)</f>
        <v>0</v>
      </c>
      <c r="ES60" s="3"/>
      <c r="ET60" s="3">
        <f>Table4[[#This Row],[Nov_2027_F]]-Table4[[#This Row],[Nov_2027_A]]</f>
        <v>0</v>
      </c>
      <c r="EU60" s="3">
        <f>IFERROR(Table4[[#This Row],[Dec_2027_Days_Forecast]]*Table4[[#This Row],[Cost Boolean]]*(VLOOKUP(Table4[[#This Row],[RATE CONCAT]],Tables!I:N,6,0)),0)</f>
        <v>0</v>
      </c>
      <c r="EV60" s="3"/>
      <c r="EW60" s="3">
        <f>Table4[[#This Row],[Dec_2027_F]]-Table4[[#This Row],[Dec_2027_A]]</f>
        <v>0</v>
      </c>
    </row>
    <row r="61" spans="1:153" ht="1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2" t="str">
        <f>CONCATENATE(Table4[[#This Row],[JG]],Table4[[#This Row],[Country]],Table4[[#This Row],[Resource Provider]])</f>
        <v/>
      </c>
      <c r="Z61" s="132">
        <f>VLOOKUP(Table4[[#This Row],[RATE CONCAT]],Tables!I:N,5,0)</f>
        <v>0</v>
      </c>
      <c r="AA61" s="53"/>
      <c r="AB61" s="16"/>
      <c r="AC61" s="16"/>
      <c r="AD61" s="16"/>
      <c r="AE61" s="16"/>
      <c r="AF61" s="16"/>
      <c r="AG61" s="16"/>
      <c r="AH61" s="16"/>
      <c r="AI61" s="16"/>
      <c r="AJ61" s="16"/>
      <c r="AK61" s="16"/>
      <c r="AL61" s="16"/>
      <c r="AM61" s="16"/>
      <c r="AN61" s="53">
        <f>IFERROR(AVERAGE(Table4[[#This Row],[Jan_2026_Days_Forecast]:[Dec_2026_Days_Forecast]]),0)/19</f>
        <v>0</v>
      </c>
      <c r="AO61" s="53">
        <f>IFERROR(AVERAGE(Table4[[#This Row],[Jan_2026_Days_Actual]:[Dec_2026_Days_Actual]]),0)/19</f>
        <v>0</v>
      </c>
      <c r="AP61" s="84"/>
      <c r="AQ61" s="84"/>
      <c r="AR61" s="84"/>
      <c r="AS61" s="84"/>
      <c r="AT61" s="84"/>
      <c r="AU61" s="84"/>
      <c r="AV61" s="84"/>
      <c r="AW61" s="84"/>
      <c r="AX61" s="84"/>
      <c r="AY61" s="84"/>
      <c r="AZ61" s="84"/>
      <c r="BA61" s="84"/>
      <c r="BB61" s="53">
        <f>IFERROR(AVERAGE(Table4[[#This Row],[Jan_2027_Days_Forecast]:[Dec_2027_Days_Forecast]]),0)</f>
        <v>0</v>
      </c>
      <c r="BC61" s="16"/>
      <c r="BD61" s="16"/>
      <c r="BE61" s="16"/>
      <c r="BF61" s="16"/>
      <c r="BG61" s="16"/>
      <c r="BH61" s="16"/>
      <c r="BI61" s="16"/>
      <c r="BJ61" s="16"/>
      <c r="BK61" s="16"/>
      <c r="BL61" s="16"/>
      <c r="BM61" s="16"/>
      <c r="BN61" s="16"/>
      <c r="BO61" s="55"/>
      <c r="BP61" s="60"/>
      <c r="BQ61" s="3">
        <v>0</v>
      </c>
      <c r="BR61" s="3">
        <f>IFERROR(Table4[[#This Row],[Jan_2026_Days_Actual]]*Table4[[#This Row],[Cost Boolean]]*(VLOOKUP(Table4[[#This Row],[RATE CONCAT]],Tables!I:N,5,0)),0)</f>
        <v>0</v>
      </c>
      <c r="BS61" s="3">
        <f>Table4[[#This Row],[Jan_2026_F]]-Table4[[#This Row],[Jan_2026_A]]</f>
        <v>0</v>
      </c>
      <c r="BT61" s="107"/>
      <c r="BU61" s="3">
        <f>IFERROR(Table4[[#This Row],[Feb_2026_Days_Forecast]]*Table4[[#This Row],[Cost Boolean]]*(VLOOKUP(Table4[[#This Row],[RATE CONCAT]],Tables!I:N,5,0)),0)</f>
        <v>0</v>
      </c>
      <c r="BV61" s="3">
        <f>IFERROR(Table4[[#This Row],[Feb_2026_Days_Actual]]*Table4[[#This Row],[Cost Boolean]]*(VLOOKUP(Table4[[#This Row],[RATE CONCAT]],Tables!I:N,5,0)),0)</f>
        <v>0</v>
      </c>
      <c r="BW61" s="3">
        <f>Table4[[#This Row],[Feb_2026_F]]-Table4[[#This Row],[Feb_2026_A]]</f>
        <v>0</v>
      </c>
      <c r="BX61" s="103"/>
      <c r="BY61" s="3">
        <f>IFERROR(Table4[[#This Row],[Mar_2026_Days_Forecast]]*Table4[[#This Row],[Cost Boolean]]*(VLOOKUP(Table4[[#This Row],[RATE CONCAT]],Tables!I:N,5,0)),0)</f>
        <v>0</v>
      </c>
      <c r="BZ61" s="3">
        <f>IFERROR(Table4[[#This Row],[Mar_2026_Days_Actual]]*Table4[[#This Row],[Cost Boolean]]*(VLOOKUP(Table4[[#This Row],[RATE CONCAT]],Tables!I:N,5,0)),0)</f>
        <v>0</v>
      </c>
      <c r="CA61" s="3">
        <f>Table4[[#This Row],[Mar_2026_F]]-Table4[[#This Row],[Mar_2026_A]]</f>
        <v>0</v>
      </c>
      <c r="CB61" s="103"/>
      <c r="CC61" s="3">
        <f>IFERROR(Table4[[#This Row],[Apr_2026_Days_Forecast]]*Table4[[#This Row],[Cost Boolean]]*(VLOOKUP(Table4[[#This Row],[RATE CONCAT]],Tables!I:N,5,0)),0)</f>
        <v>0</v>
      </c>
      <c r="CD61" s="3">
        <f>IFERROR(Table4[[#This Row],[Apr_2026_Days_Actual]]*Table4[[#This Row],[Cost Boolean]]*(VLOOKUP(Table4[[#This Row],[RATE CONCAT]],Tables!I:N,5,0)),0)</f>
        <v>0</v>
      </c>
      <c r="CE61" s="3">
        <f>Table4[[#This Row],[Apr_2026_F]]-Table4[[#This Row],[Apr_2026_A]]</f>
        <v>0</v>
      </c>
      <c r="CF61" s="103"/>
      <c r="CG61" s="3">
        <f>IFERROR(Table4[[#This Row],[May_2026_Days_Forecast]] *Table4[[#This Row],[Cost Boolean]]*(VLOOKUP(Table4[[#This Row],[RATE CONCAT]],Tables!I:N,5,0)),0)</f>
        <v>0</v>
      </c>
      <c r="CH61" s="3">
        <f>IFERROR(Table4[[#This Row],[May_2026_Days_Actual]]*Table4[[#This Row],[Cost Boolean]]*(VLOOKUP(Table4[[#This Row],[RATE CONCAT]],Tables!I:N,5,0)),0)</f>
        <v>0</v>
      </c>
      <c r="CI61" s="3">
        <f>Table4[[#This Row],[May_2026_F]]-Table4[[#This Row],[May_2026_A]]</f>
        <v>0</v>
      </c>
      <c r="CJ61" s="103"/>
      <c r="CK61" s="3">
        <f>IFERROR(Table4[[#This Row],[Jun_2026_Days_Forecast]]*Table4[[#This Row],[Cost Boolean]]*(VLOOKUP(Table4[[#This Row],[RATE CONCAT]],Tables!I:N,5,0)),0)</f>
        <v>0</v>
      </c>
      <c r="CL61" s="3">
        <f>IFERROR(Table4[[#This Row],[Jun_2026_Days_Actual]]*Table4[[#This Row],[Cost Boolean]]*(VLOOKUP(Table4[[#This Row],[RATE CONCAT]],Tables!I:N,5,0)),0)</f>
        <v>0</v>
      </c>
      <c r="CM61" s="3">
        <f>Table4[[#This Row],[Jun_2026_F]]-Table4[[#This Row],[Jun_2026_A]]</f>
        <v>0</v>
      </c>
      <c r="CN61" s="103"/>
      <c r="CO61" s="3">
        <f>IFERROR(Table4[[#This Row],[Jul_2026_Days_Forecast]]*Table4[[#This Row],[Cost Boolean]]*(VLOOKUP(Table4[[#This Row],[RATE CONCAT]],Tables!I:N,5,0)),0)</f>
        <v>0</v>
      </c>
      <c r="CP61" s="3">
        <f>IFERROR(Table4[[#This Row],[Aug_2026_Days_Forecast]]*Table4[[#This Row],[Location]]*(VLOOKUP(Table4[[#This Row],[Rate]],Tables!J:O,5,0)),0)</f>
        <v>0</v>
      </c>
      <c r="CQ61" s="3">
        <f>Table4[[#This Row],[Jul_2026_F]]-Table4[[#This Row],[Jul_2026_A]]</f>
        <v>0</v>
      </c>
      <c r="CR61" s="103"/>
      <c r="CS61" s="3">
        <f>IFERROR(Table4[[#This Row],[Aug_2026_Days_Forecast]]*Table4[[#This Row],[Cost Boolean]]*(VLOOKUP(Table4[[#This Row],[RATE CONCAT]],Tables!I:N,5,0)),0)</f>
        <v>0</v>
      </c>
      <c r="CT61" s="3">
        <f>IFERROR(Table4[[#This Row],[Aug_2026_Days_Actual]]*Table4[[#This Row],[Cost Boolean]]*(VLOOKUP(Table4[[#This Row],[RATE CONCAT]],Tables!I:N,5,0)),0)</f>
        <v>0</v>
      </c>
      <c r="CU61" s="3">
        <f>Table4[[#This Row],[Aug_2026_F]]-Table4[[#This Row],[Aug_2026_A]]</f>
        <v>0</v>
      </c>
      <c r="CV61" s="103"/>
      <c r="CW61" s="3">
        <f>IFERROR(Table4[[#This Row],[Sep_2026_Days_Forecast]]*Table4[[#This Row],[Cost Boolean]]*(VLOOKUP(Table4[[#This Row],[RATE CONCAT]],Tables!I:N,5,0)),0)</f>
        <v>0</v>
      </c>
      <c r="CX61" s="3">
        <f>IFERROR(Table4[[#This Row],[Sep_2026_Days_Actual]]*Table4[[#This Row],[Cost Boolean]]*(VLOOKUP(Table4[[#This Row],[RATE CONCAT]],Tables!I:N,5,0)),0)</f>
        <v>0</v>
      </c>
      <c r="CY61" s="3">
        <f>Table4[[#This Row],[Sep_2026_F]]-Table4[[#This Row],[Sep_2026_A]]</f>
        <v>0</v>
      </c>
      <c r="CZ61" s="103"/>
      <c r="DA61" s="3">
        <f>IFERROR(Table4[[#This Row],[Oct_2026_Days_Forecast]]*Table4[[#This Row],[Cost Boolean]]*(VLOOKUP(Table4[[#This Row],[RATE CONCAT]],Tables!I:N,5,0)),0)</f>
        <v>0</v>
      </c>
      <c r="DB61" s="3">
        <f>IFERROR(Table4[[#This Row],[Oct_2026_Days_Actual]]*Table4[[#This Row],[Cost Boolean]]*(VLOOKUP(Table4[[#This Row],[RATE CONCAT]],Tables!I:N,5,0)),0)</f>
        <v>0</v>
      </c>
      <c r="DC61" s="3">
        <f>Table4[[#This Row],[Oct_2026_F]]-Table4[[#This Row],[Oct_2026_A]]</f>
        <v>0</v>
      </c>
      <c r="DD61" s="103"/>
      <c r="DE61" s="3">
        <f>IFERROR(Table4[[#This Row],[Nov_2026_Days_Forecast]]*Table4[[#This Row],[Cost Boolean]]*(VLOOKUP(Table4[[#This Row],[RATE CONCAT]],Tables!I:N,5,0)),0)</f>
        <v>0</v>
      </c>
      <c r="DF61" s="3">
        <f>IFERROR(Table4[[#This Row],[Nov_2026_Days_Actual]]*Table4[[#This Row],[Cost Boolean]]*(VLOOKUP(Table4[[#This Row],[RATE CONCAT]],Tables!I:N,5,0)),0)</f>
        <v>0</v>
      </c>
      <c r="DG61" s="3">
        <f>Table4[[#This Row],[Nov_2026_F]]-Table4[[#This Row],[Nov_2026_A]]</f>
        <v>0</v>
      </c>
      <c r="DH61" s="103"/>
      <c r="DI61" s="3">
        <f>IFERROR(Table4[[#This Row],[Dec_2026_Days_Forecast]]*Table4[[#This Row],[Cost Boolean]]*(VLOOKUP(Table4[[#This Row],[RATE CONCAT]],Tables!I:N,5,0)),0)</f>
        <v>0</v>
      </c>
      <c r="DJ61" s="3">
        <f>IFERROR(Table4[[#This Row],[Dec_2026_Days_Actual]]*Table4[[#This Row],[Cost Boolean]]*(VLOOKUP(Table4[[#This Row],[RATE CONCAT]],Tables!I:N,5,0)),0)</f>
        <v>0</v>
      </c>
      <c r="DK61" s="3">
        <f>Table4[[#This Row],[Dec_2026_F]]-Table4[[#This Row],[Dec_2026_A]]</f>
        <v>0</v>
      </c>
      <c r="DL61" s="103"/>
      <c r="DM61" s="60"/>
      <c r="DN61" s="3">
        <f>IFERROR(Table4[[#This Row],[Jan_2027_Days_Forecast]]*Table4[[#This Row],[Cost Boolean]]*(VLOOKUP(Table4[[#This Row],[RATE CONCAT]],Tables!I:N,6,0)),0)</f>
        <v>0</v>
      </c>
      <c r="DO61" s="3"/>
      <c r="DP61" s="3">
        <f>Table4[[#This Row],[Jan_2027_F]]-Table4[[#This Row],[Jan_2027_A]]</f>
        <v>0</v>
      </c>
      <c r="DQ61" s="3">
        <f>IFERROR(Table4[[#This Row],[Feb_2027_Days_Forecast]]*Table4[[#This Row],[Cost Boolean]]*(VLOOKUP(Table4[[#This Row],[RATE CONCAT]],Tables!I:N,6,0)),0)</f>
        <v>0</v>
      </c>
      <c r="DR61" s="3"/>
      <c r="DS61" s="3">
        <f>Table4[[#This Row],[Feb_2027_F]]-Table4[[#This Row],[Feb_2027_A]]</f>
        <v>0</v>
      </c>
      <c r="DT61" s="3">
        <f>IFERROR(Table4[[#This Row],[Mar_2027_Days_Forecast]]*Table4[[#This Row],[Cost Boolean]]*(VLOOKUP(Table4[[#This Row],[RATE CONCAT]],Tables!I:N,6,0)),0)</f>
        <v>0</v>
      </c>
      <c r="DU61" s="3"/>
      <c r="DV61" s="3">
        <f>Table4[[#This Row],[Mar_2027_F]]-Table4[[#This Row],[Mar_2027_A]]</f>
        <v>0</v>
      </c>
      <c r="DW61" s="3">
        <f>IFERROR(Table4[[#This Row],[Apr_2027_Days_Forecast]]*Table4[[#This Row],[Cost Boolean]]*(VLOOKUP(Table4[[#This Row],[RATE CONCAT]],Tables!I:N,6,0)),0)</f>
        <v>0</v>
      </c>
      <c r="DX61" s="3"/>
      <c r="DY61" s="3">
        <f>Table4[[#This Row],[Apr_2027_F]]-Table4[[#This Row],[Apr_2027_A]]</f>
        <v>0</v>
      </c>
      <c r="DZ61" s="3">
        <f>IFERROR(Table4[[#This Row],[May_2027_Days_Forecast]]*Table4[[#This Row],[Cost Boolean]]*(VLOOKUP(Table4[[#This Row],[RATE CONCAT]],Tables!I:N,6,0)),0)</f>
        <v>0</v>
      </c>
      <c r="EA61" s="3"/>
      <c r="EB61" s="3">
        <f>Table4[[#This Row],[May_2027_F]]-Table4[[#This Row],[May_2027_A]]</f>
        <v>0</v>
      </c>
      <c r="EC61" s="3">
        <f>IFERROR(Table4[[#This Row],[Jun_2027_Days_Forecast]]*Table4[[#This Row],[Cost Boolean]]*(VLOOKUP(Table4[[#This Row],[RATE CONCAT]],Tables!I:N,6,0)),0)</f>
        <v>0</v>
      </c>
      <c r="ED61" s="3"/>
      <c r="EE61" s="3">
        <f>Table4[[#This Row],[Jun_2027_F]]-Table4[[#This Row],[Jun_2027_A]]</f>
        <v>0</v>
      </c>
      <c r="EF61" s="3">
        <f>IFERROR(Table4[[#This Row],[Jul_2027_Days_Forecast]]*Table4[[#This Row],[Cost Boolean]]*(VLOOKUP(Table4[[#This Row],[RATE CONCAT]],Tables!I:N,6,0)),0)</f>
        <v>0</v>
      </c>
      <c r="EG61" s="3"/>
      <c r="EH61" s="3">
        <f>Table4[[#This Row],[Jul_2027_F]]-Table4[[#This Row],[Jul_2027_A]]</f>
        <v>0</v>
      </c>
      <c r="EI61" s="3">
        <f>IFERROR(Table4[[#This Row],[Aug_2027_Days_Forecast]]*Table4[[#This Row],[Cost Boolean]]*(VLOOKUP(Table4[[#This Row],[RATE CONCAT]],Tables!I:N,6,0)),0)</f>
        <v>0</v>
      </c>
      <c r="EJ61" s="3"/>
      <c r="EK61" s="3">
        <f>Table4[[#This Row],[Aug_2027_F]]-Table4[[#This Row],[Aug_2027_A]]</f>
        <v>0</v>
      </c>
      <c r="EL61" s="3">
        <f>IFERROR(Table4[[#This Row],[Sep_2027_Days_Forecast]]*Table4[[#This Row],[Cost Boolean]]*(VLOOKUP(Table4[[#This Row],[RATE CONCAT]],Tables!I:N,6,0)),0)</f>
        <v>0</v>
      </c>
      <c r="EM61" s="3"/>
      <c r="EN61" s="3">
        <f>Table4[[#This Row],[Sep_2027_F]]-Table4[[#This Row],[Sep_2027_A]]</f>
        <v>0</v>
      </c>
      <c r="EO61" s="3">
        <f>IFERROR(Table4[[#This Row],[Oct_2027_Days_Forecast]]*Table4[[#This Row],[Cost Boolean]]*(VLOOKUP(Table4[[#This Row],[RATE CONCAT]],Tables!I:N,6,0)),0)</f>
        <v>0</v>
      </c>
      <c r="EP61" s="3"/>
      <c r="EQ61" s="3">
        <f>Table4[[#This Row],[Oct_2027_F]]-Table4[[#This Row],[Oct_2027_A]]</f>
        <v>0</v>
      </c>
      <c r="ER61" s="3">
        <f>IFERROR(Table4[[#This Row],[Nov_2027_Days_Forecast]]*Table4[[#This Row],[Cost Boolean]]*(VLOOKUP(Table4[[#This Row],[RATE CONCAT]],Tables!I:N,6,0)),0)</f>
        <v>0</v>
      </c>
      <c r="ES61" s="3"/>
      <c r="ET61" s="3">
        <f>Table4[[#This Row],[Nov_2027_F]]-Table4[[#This Row],[Nov_2027_A]]</f>
        <v>0</v>
      </c>
      <c r="EU61" s="3">
        <f>IFERROR(Table4[[#This Row],[Dec_2027_Days_Forecast]]*Table4[[#This Row],[Cost Boolean]]*(VLOOKUP(Table4[[#This Row],[RATE CONCAT]],Tables!I:N,6,0)),0)</f>
        <v>0</v>
      </c>
      <c r="EV61" s="3"/>
      <c r="EW61" s="3">
        <f>Table4[[#This Row],[Dec_2027_F]]-Table4[[#This Row],[Dec_2027_A]]</f>
        <v>0</v>
      </c>
    </row>
    <row r="62" spans="1:153" ht="1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2" t="str">
        <f>CONCATENATE(Table4[[#This Row],[JG]],Table4[[#This Row],[Country]],Table4[[#This Row],[Resource Provider]])</f>
        <v/>
      </c>
      <c r="Z62" s="132">
        <f>VLOOKUP(Table4[[#This Row],[RATE CONCAT]],Tables!I:N,5,0)</f>
        <v>0</v>
      </c>
      <c r="AA62" s="53"/>
      <c r="AB62" s="16"/>
      <c r="AC62" s="16"/>
      <c r="AD62" s="16"/>
      <c r="AE62" s="16"/>
      <c r="AF62" s="16"/>
      <c r="AG62" s="16"/>
      <c r="AH62" s="16"/>
      <c r="AI62" s="16"/>
      <c r="AJ62" s="16"/>
      <c r="AK62" s="16"/>
      <c r="AL62" s="16"/>
      <c r="AM62" s="16"/>
      <c r="AN62" s="53">
        <f>IFERROR(AVERAGE(Table4[[#This Row],[Jan_2026_Days_Forecast]:[Dec_2026_Days_Forecast]]),0)/19</f>
        <v>0</v>
      </c>
      <c r="AO62" s="53">
        <f>IFERROR(AVERAGE(Table4[[#This Row],[Jan_2026_Days_Actual]:[Dec_2026_Days_Actual]]),0)/19</f>
        <v>0</v>
      </c>
      <c r="AP62" s="84"/>
      <c r="AQ62" s="84"/>
      <c r="AR62" s="84"/>
      <c r="AS62" s="84"/>
      <c r="AT62" s="84"/>
      <c r="AU62" s="84"/>
      <c r="AV62" s="84"/>
      <c r="AW62" s="84"/>
      <c r="AX62" s="84"/>
      <c r="AY62" s="84"/>
      <c r="AZ62" s="84"/>
      <c r="BA62" s="84"/>
      <c r="BB62" s="53">
        <f>IFERROR(AVERAGE(Table4[[#This Row],[Jan_2027_Days_Forecast]:[Dec_2027_Days_Forecast]]),0)</f>
        <v>0</v>
      </c>
      <c r="BC62" s="16"/>
      <c r="BD62" s="16"/>
      <c r="BE62" s="16"/>
      <c r="BF62" s="16"/>
      <c r="BG62" s="16"/>
      <c r="BH62" s="16"/>
      <c r="BI62" s="16"/>
      <c r="BJ62" s="16"/>
      <c r="BK62" s="16"/>
      <c r="BL62" s="16"/>
      <c r="BM62" s="16"/>
      <c r="BN62" s="16"/>
      <c r="BO62" s="55"/>
      <c r="BP62" s="60"/>
      <c r="BQ62" s="3">
        <v>0</v>
      </c>
      <c r="BR62" s="3">
        <f>IFERROR(Table4[[#This Row],[Jan_2026_Days_Actual]]*Table4[[#This Row],[Cost Boolean]]*(VLOOKUP(Table4[[#This Row],[RATE CONCAT]],Tables!I:N,5,0)),0)</f>
        <v>0</v>
      </c>
      <c r="BS62" s="3">
        <f>Table4[[#This Row],[Jan_2026_F]]-Table4[[#This Row],[Jan_2026_A]]</f>
        <v>0</v>
      </c>
      <c r="BT62" s="107"/>
      <c r="BU62" s="3">
        <f>IFERROR(Table4[[#This Row],[Feb_2026_Days_Forecast]]*Table4[[#This Row],[Cost Boolean]]*(VLOOKUP(Table4[[#This Row],[RATE CONCAT]],Tables!I:N,5,0)),0)</f>
        <v>0</v>
      </c>
      <c r="BV62" s="3">
        <f>IFERROR(Table4[[#This Row],[Feb_2026_Days_Actual]]*Table4[[#This Row],[Cost Boolean]]*(VLOOKUP(Table4[[#This Row],[RATE CONCAT]],Tables!I:N,5,0)),0)</f>
        <v>0</v>
      </c>
      <c r="BW62" s="3">
        <f>Table4[[#This Row],[Feb_2026_F]]-Table4[[#This Row],[Feb_2026_A]]</f>
        <v>0</v>
      </c>
      <c r="BX62" s="103"/>
      <c r="BY62" s="3">
        <f>IFERROR(Table4[[#This Row],[Mar_2026_Days_Forecast]]*Table4[[#This Row],[Cost Boolean]]*(VLOOKUP(Table4[[#This Row],[RATE CONCAT]],Tables!I:N,5,0)),0)</f>
        <v>0</v>
      </c>
      <c r="BZ62" s="3">
        <f>IFERROR(Table4[[#This Row],[Mar_2026_Days_Actual]]*Table4[[#This Row],[Cost Boolean]]*(VLOOKUP(Table4[[#This Row],[RATE CONCAT]],Tables!I:N,5,0)),0)</f>
        <v>0</v>
      </c>
      <c r="CA62" s="3">
        <f>Table4[[#This Row],[Mar_2026_F]]-Table4[[#This Row],[Mar_2026_A]]</f>
        <v>0</v>
      </c>
      <c r="CB62" s="103"/>
      <c r="CC62" s="3">
        <f>IFERROR(Table4[[#This Row],[Apr_2026_Days_Forecast]]*Table4[[#This Row],[Cost Boolean]]*(VLOOKUP(Table4[[#This Row],[RATE CONCAT]],Tables!I:N,5,0)),0)</f>
        <v>0</v>
      </c>
      <c r="CD62" s="3">
        <f>IFERROR(Table4[[#This Row],[Apr_2026_Days_Actual]]*Table4[[#This Row],[Cost Boolean]]*(VLOOKUP(Table4[[#This Row],[RATE CONCAT]],Tables!I:N,5,0)),0)</f>
        <v>0</v>
      </c>
      <c r="CE62" s="3">
        <f>Table4[[#This Row],[Apr_2026_F]]-Table4[[#This Row],[Apr_2026_A]]</f>
        <v>0</v>
      </c>
      <c r="CF62" s="103"/>
      <c r="CG62" s="3">
        <f>IFERROR(Table4[[#This Row],[May_2026_Days_Forecast]] *Table4[[#This Row],[Cost Boolean]]*(VLOOKUP(Table4[[#This Row],[RATE CONCAT]],Tables!I:N,5,0)),0)</f>
        <v>0</v>
      </c>
      <c r="CH62" s="3">
        <f>IFERROR(Table4[[#This Row],[May_2026_Days_Actual]]*Table4[[#This Row],[Cost Boolean]]*(VLOOKUP(Table4[[#This Row],[RATE CONCAT]],Tables!I:N,5,0)),0)</f>
        <v>0</v>
      </c>
      <c r="CI62" s="3">
        <f>Table4[[#This Row],[May_2026_F]]-Table4[[#This Row],[May_2026_A]]</f>
        <v>0</v>
      </c>
      <c r="CJ62" s="103"/>
      <c r="CK62" s="3">
        <f>IFERROR(Table4[[#This Row],[Jun_2026_Days_Forecast]]*Table4[[#This Row],[Cost Boolean]]*(VLOOKUP(Table4[[#This Row],[RATE CONCAT]],Tables!I:N,5,0)),0)</f>
        <v>0</v>
      </c>
      <c r="CL62" s="3">
        <f>IFERROR(Table4[[#This Row],[Jun_2026_Days_Actual]]*Table4[[#This Row],[Cost Boolean]]*(VLOOKUP(Table4[[#This Row],[RATE CONCAT]],Tables!I:N,5,0)),0)</f>
        <v>0</v>
      </c>
      <c r="CM62" s="3">
        <f>Table4[[#This Row],[Jun_2026_F]]-Table4[[#This Row],[Jun_2026_A]]</f>
        <v>0</v>
      </c>
      <c r="CN62" s="103"/>
      <c r="CO62" s="3">
        <f>IFERROR(Table4[[#This Row],[Jul_2026_Days_Forecast]]*Table4[[#This Row],[Cost Boolean]]*(VLOOKUP(Table4[[#This Row],[RATE CONCAT]],Tables!I:N,5,0)),0)</f>
        <v>0</v>
      </c>
      <c r="CP62" s="3">
        <f>IFERROR(Table4[[#This Row],[Aug_2026_Days_Forecast]]*Table4[[#This Row],[Location]]*(VLOOKUP(Table4[[#This Row],[Rate]],Tables!J:O,5,0)),0)</f>
        <v>0</v>
      </c>
      <c r="CQ62" s="3">
        <f>Table4[[#This Row],[Jul_2026_F]]-Table4[[#This Row],[Jul_2026_A]]</f>
        <v>0</v>
      </c>
      <c r="CR62" s="103"/>
      <c r="CS62" s="3">
        <f>IFERROR(Table4[[#This Row],[Aug_2026_Days_Forecast]]*Table4[[#This Row],[Cost Boolean]]*(VLOOKUP(Table4[[#This Row],[RATE CONCAT]],Tables!I:N,5,0)),0)</f>
        <v>0</v>
      </c>
      <c r="CT62" s="3">
        <f>IFERROR(Table4[[#This Row],[Aug_2026_Days_Actual]]*Table4[[#This Row],[Cost Boolean]]*(VLOOKUP(Table4[[#This Row],[RATE CONCAT]],Tables!I:N,5,0)),0)</f>
        <v>0</v>
      </c>
      <c r="CU62" s="3">
        <f>Table4[[#This Row],[Aug_2026_F]]-Table4[[#This Row],[Aug_2026_A]]</f>
        <v>0</v>
      </c>
      <c r="CV62" s="103"/>
      <c r="CW62" s="3">
        <f>IFERROR(Table4[[#This Row],[Sep_2026_Days_Forecast]]*Table4[[#This Row],[Cost Boolean]]*(VLOOKUP(Table4[[#This Row],[RATE CONCAT]],Tables!I:N,5,0)),0)</f>
        <v>0</v>
      </c>
      <c r="CX62" s="3">
        <f>IFERROR(Table4[[#This Row],[Sep_2026_Days_Actual]]*Table4[[#This Row],[Cost Boolean]]*(VLOOKUP(Table4[[#This Row],[RATE CONCAT]],Tables!I:N,5,0)),0)</f>
        <v>0</v>
      </c>
      <c r="CY62" s="3">
        <f>Table4[[#This Row],[Sep_2026_F]]-Table4[[#This Row],[Sep_2026_A]]</f>
        <v>0</v>
      </c>
      <c r="CZ62" s="103"/>
      <c r="DA62" s="3">
        <f>IFERROR(Table4[[#This Row],[Oct_2026_Days_Forecast]]*Table4[[#This Row],[Cost Boolean]]*(VLOOKUP(Table4[[#This Row],[RATE CONCAT]],Tables!I:N,5,0)),0)</f>
        <v>0</v>
      </c>
      <c r="DB62" s="3">
        <f>IFERROR(Table4[[#This Row],[Oct_2026_Days_Actual]]*Table4[[#This Row],[Cost Boolean]]*(VLOOKUP(Table4[[#This Row],[RATE CONCAT]],Tables!I:N,5,0)),0)</f>
        <v>0</v>
      </c>
      <c r="DC62" s="3">
        <f>Table4[[#This Row],[Oct_2026_F]]-Table4[[#This Row],[Oct_2026_A]]</f>
        <v>0</v>
      </c>
      <c r="DD62" s="103"/>
      <c r="DE62" s="3">
        <f>IFERROR(Table4[[#This Row],[Nov_2026_Days_Forecast]]*Table4[[#This Row],[Cost Boolean]]*(VLOOKUP(Table4[[#This Row],[RATE CONCAT]],Tables!I:N,5,0)),0)</f>
        <v>0</v>
      </c>
      <c r="DF62" s="3">
        <f>IFERROR(Table4[[#This Row],[Nov_2026_Days_Actual]]*Table4[[#This Row],[Cost Boolean]]*(VLOOKUP(Table4[[#This Row],[RATE CONCAT]],Tables!I:N,5,0)),0)</f>
        <v>0</v>
      </c>
      <c r="DG62" s="3">
        <f>Table4[[#This Row],[Nov_2026_F]]-Table4[[#This Row],[Nov_2026_A]]</f>
        <v>0</v>
      </c>
      <c r="DH62" s="103"/>
      <c r="DI62" s="3">
        <f>IFERROR(Table4[[#This Row],[Dec_2026_Days_Forecast]]*Table4[[#This Row],[Cost Boolean]]*(VLOOKUP(Table4[[#This Row],[RATE CONCAT]],Tables!I:N,5,0)),0)</f>
        <v>0</v>
      </c>
      <c r="DJ62" s="3">
        <f>IFERROR(Table4[[#This Row],[Dec_2026_Days_Actual]]*Table4[[#This Row],[Cost Boolean]]*(VLOOKUP(Table4[[#This Row],[RATE CONCAT]],Tables!I:N,5,0)),0)</f>
        <v>0</v>
      </c>
      <c r="DK62" s="3">
        <f>Table4[[#This Row],[Dec_2026_F]]-Table4[[#This Row],[Dec_2026_A]]</f>
        <v>0</v>
      </c>
      <c r="DL62" s="103"/>
      <c r="DM62" s="60"/>
      <c r="DN62" s="3">
        <f>IFERROR(Table4[[#This Row],[Jan_2027_Days_Forecast]]*Table4[[#This Row],[Cost Boolean]]*(VLOOKUP(Table4[[#This Row],[RATE CONCAT]],Tables!I:N,6,0)),0)</f>
        <v>0</v>
      </c>
      <c r="DO62" s="3"/>
      <c r="DP62" s="3">
        <f>Table4[[#This Row],[Jan_2027_F]]-Table4[[#This Row],[Jan_2027_A]]</f>
        <v>0</v>
      </c>
      <c r="DQ62" s="3">
        <f>IFERROR(Table4[[#This Row],[Feb_2027_Days_Forecast]]*Table4[[#This Row],[Cost Boolean]]*(VLOOKUP(Table4[[#This Row],[RATE CONCAT]],Tables!I:N,6,0)),0)</f>
        <v>0</v>
      </c>
      <c r="DR62" s="3"/>
      <c r="DS62" s="3">
        <f>Table4[[#This Row],[Feb_2027_F]]-Table4[[#This Row],[Feb_2027_A]]</f>
        <v>0</v>
      </c>
      <c r="DT62" s="3">
        <f>IFERROR(Table4[[#This Row],[Mar_2027_Days_Forecast]]*Table4[[#This Row],[Cost Boolean]]*(VLOOKUP(Table4[[#This Row],[RATE CONCAT]],Tables!I:N,6,0)),0)</f>
        <v>0</v>
      </c>
      <c r="DU62" s="3"/>
      <c r="DV62" s="3">
        <f>Table4[[#This Row],[Mar_2027_F]]-Table4[[#This Row],[Mar_2027_A]]</f>
        <v>0</v>
      </c>
      <c r="DW62" s="3">
        <f>IFERROR(Table4[[#This Row],[Apr_2027_Days_Forecast]]*Table4[[#This Row],[Cost Boolean]]*(VLOOKUP(Table4[[#This Row],[RATE CONCAT]],Tables!I:N,6,0)),0)</f>
        <v>0</v>
      </c>
      <c r="DX62" s="3"/>
      <c r="DY62" s="3">
        <f>Table4[[#This Row],[Apr_2027_F]]-Table4[[#This Row],[Apr_2027_A]]</f>
        <v>0</v>
      </c>
      <c r="DZ62" s="3">
        <f>IFERROR(Table4[[#This Row],[May_2027_Days_Forecast]]*Table4[[#This Row],[Cost Boolean]]*(VLOOKUP(Table4[[#This Row],[RATE CONCAT]],Tables!I:N,6,0)),0)</f>
        <v>0</v>
      </c>
      <c r="EA62" s="3"/>
      <c r="EB62" s="3">
        <f>Table4[[#This Row],[May_2027_F]]-Table4[[#This Row],[May_2027_A]]</f>
        <v>0</v>
      </c>
      <c r="EC62" s="3">
        <f>IFERROR(Table4[[#This Row],[Jun_2027_Days_Forecast]]*Table4[[#This Row],[Cost Boolean]]*(VLOOKUP(Table4[[#This Row],[RATE CONCAT]],Tables!I:N,6,0)),0)</f>
        <v>0</v>
      </c>
      <c r="ED62" s="3"/>
      <c r="EE62" s="3">
        <f>Table4[[#This Row],[Jun_2027_F]]-Table4[[#This Row],[Jun_2027_A]]</f>
        <v>0</v>
      </c>
      <c r="EF62" s="3">
        <f>IFERROR(Table4[[#This Row],[Jul_2027_Days_Forecast]]*Table4[[#This Row],[Cost Boolean]]*(VLOOKUP(Table4[[#This Row],[RATE CONCAT]],Tables!I:N,6,0)),0)</f>
        <v>0</v>
      </c>
      <c r="EG62" s="3"/>
      <c r="EH62" s="3">
        <f>Table4[[#This Row],[Jul_2027_F]]-Table4[[#This Row],[Jul_2027_A]]</f>
        <v>0</v>
      </c>
      <c r="EI62" s="3">
        <f>IFERROR(Table4[[#This Row],[Aug_2027_Days_Forecast]]*Table4[[#This Row],[Cost Boolean]]*(VLOOKUP(Table4[[#This Row],[RATE CONCAT]],Tables!I:N,6,0)),0)</f>
        <v>0</v>
      </c>
      <c r="EJ62" s="3"/>
      <c r="EK62" s="3">
        <f>Table4[[#This Row],[Aug_2027_F]]-Table4[[#This Row],[Aug_2027_A]]</f>
        <v>0</v>
      </c>
      <c r="EL62" s="3">
        <f>IFERROR(Table4[[#This Row],[Sep_2027_Days_Forecast]]*Table4[[#This Row],[Cost Boolean]]*(VLOOKUP(Table4[[#This Row],[RATE CONCAT]],Tables!I:N,6,0)),0)</f>
        <v>0</v>
      </c>
      <c r="EM62" s="3"/>
      <c r="EN62" s="3">
        <f>Table4[[#This Row],[Sep_2027_F]]-Table4[[#This Row],[Sep_2027_A]]</f>
        <v>0</v>
      </c>
      <c r="EO62" s="3">
        <f>IFERROR(Table4[[#This Row],[Oct_2027_Days_Forecast]]*Table4[[#This Row],[Cost Boolean]]*(VLOOKUP(Table4[[#This Row],[RATE CONCAT]],Tables!I:N,6,0)),0)</f>
        <v>0</v>
      </c>
      <c r="EP62" s="3"/>
      <c r="EQ62" s="3">
        <f>Table4[[#This Row],[Oct_2027_F]]-Table4[[#This Row],[Oct_2027_A]]</f>
        <v>0</v>
      </c>
      <c r="ER62" s="3">
        <f>IFERROR(Table4[[#This Row],[Nov_2027_Days_Forecast]]*Table4[[#This Row],[Cost Boolean]]*(VLOOKUP(Table4[[#This Row],[RATE CONCAT]],Tables!I:N,6,0)),0)</f>
        <v>0</v>
      </c>
      <c r="ES62" s="3"/>
      <c r="ET62" s="3">
        <f>Table4[[#This Row],[Nov_2027_F]]-Table4[[#This Row],[Nov_2027_A]]</f>
        <v>0</v>
      </c>
      <c r="EU62" s="3">
        <f>IFERROR(Table4[[#This Row],[Dec_2027_Days_Forecast]]*Table4[[#This Row],[Cost Boolean]]*(VLOOKUP(Table4[[#This Row],[RATE CONCAT]],Tables!I:N,6,0)),0)</f>
        <v>0</v>
      </c>
      <c r="EV62" s="3"/>
      <c r="EW62" s="3">
        <f>Table4[[#This Row],[Dec_2027_F]]-Table4[[#This Row],[Dec_2027_A]]</f>
        <v>0</v>
      </c>
    </row>
    <row r="63" spans="1:153" ht="1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2" t="str">
        <f>CONCATENATE(Table4[[#This Row],[JG]],Table4[[#This Row],[Country]],Table4[[#This Row],[Resource Provider]])</f>
        <v/>
      </c>
      <c r="Z63" s="132">
        <f>VLOOKUP(Table4[[#This Row],[RATE CONCAT]],Tables!I:N,5,0)</f>
        <v>0</v>
      </c>
      <c r="AA63" s="53"/>
      <c r="AB63" s="16"/>
      <c r="AC63" s="16"/>
      <c r="AD63" s="16"/>
      <c r="AE63" s="16"/>
      <c r="AF63" s="16"/>
      <c r="AG63" s="16"/>
      <c r="AH63" s="16"/>
      <c r="AI63" s="16"/>
      <c r="AJ63" s="16"/>
      <c r="AK63" s="16"/>
      <c r="AL63" s="16"/>
      <c r="AM63" s="16"/>
      <c r="AN63" s="53">
        <f>IFERROR(AVERAGE(Table4[[#This Row],[Jan_2026_Days_Forecast]:[Dec_2026_Days_Forecast]]),0)/19</f>
        <v>0</v>
      </c>
      <c r="AO63" s="53">
        <f>IFERROR(AVERAGE(Table4[[#This Row],[Jan_2026_Days_Actual]:[Dec_2026_Days_Actual]]),0)/19</f>
        <v>0</v>
      </c>
      <c r="AP63" s="84"/>
      <c r="AQ63" s="84"/>
      <c r="AR63" s="84"/>
      <c r="AS63" s="84"/>
      <c r="AT63" s="84"/>
      <c r="AU63" s="84"/>
      <c r="AV63" s="84"/>
      <c r="AW63" s="84"/>
      <c r="AX63" s="84"/>
      <c r="AY63" s="84"/>
      <c r="AZ63" s="84"/>
      <c r="BA63" s="84"/>
      <c r="BB63" s="53">
        <f>IFERROR(AVERAGE(Table4[[#This Row],[Jan_2027_Days_Forecast]:[Dec_2027_Days_Forecast]]),0)</f>
        <v>0</v>
      </c>
      <c r="BC63" s="16"/>
      <c r="BD63" s="16"/>
      <c r="BE63" s="16"/>
      <c r="BF63" s="16"/>
      <c r="BG63" s="16"/>
      <c r="BH63" s="16"/>
      <c r="BI63" s="16"/>
      <c r="BJ63" s="16"/>
      <c r="BK63" s="16"/>
      <c r="BL63" s="16"/>
      <c r="BM63" s="16"/>
      <c r="BN63" s="16"/>
      <c r="BO63" s="55"/>
      <c r="BP63" s="60"/>
      <c r="BQ63" s="3">
        <v>0</v>
      </c>
      <c r="BR63" s="3">
        <f>IFERROR(Table4[[#This Row],[Jan_2026_Days_Actual]]*Table4[[#This Row],[Cost Boolean]]*(VLOOKUP(Table4[[#This Row],[RATE CONCAT]],Tables!I:N,5,0)),0)</f>
        <v>0</v>
      </c>
      <c r="BS63" s="3">
        <f>Table4[[#This Row],[Jan_2026_F]]-Table4[[#This Row],[Jan_2026_A]]</f>
        <v>0</v>
      </c>
      <c r="BT63" s="107"/>
      <c r="BU63" s="3">
        <f>IFERROR(Table4[[#This Row],[Feb_2026_Days_Forecast]]*Table4[[#This Row],[Cost Boolean]]*(VLOOKUP(Table4[[#This Row],[RATE CONCAT]],Tables!I:N,5,0)),0)</f>
        <v>0</v>
      </c>
      <c r="BV63" s="3">
        <f>IFERROR(Table4[[#This Row],[Feb_2026_Days_Actual]]*Table4[[#This Row],[Cost Boolean]]*(VLOOKUP(Table4[[#This Row],[RATE CONCAT]],Tables!I:N,5,0)),0)</f>
        <v>0</v>
      </c>
      <c r="BW63" s="3">
        <f>Table4[[#This Row],[Feb_2026_F]]-Table4[[#This Row],[Feb_2026_A]]</f>
        <v>0</v>
      </c>
      <c r="BX63" s="103"/>
      <c r="BY63" s="3">
        <f>IFERROR(Table4[[#This Row],[Mar_2026_Days_Forecast]]*Table4[[#This Row],[Cost Boolean]]*(VLOOKUP(Table4[[#This Row],[RATE CONCAT]],Tables!I:N,5,0)),0)</f>
        <v>0</v>
      </c>
      <c r="BZ63" s="3">
        <f>IFERROR(Table4[[#This Row],[Mar_2026_Days_Actual]]*Table4[[#This Row],[Cost Boolean]]*(VLOOKUP(Table4[[#This Row],[RATE CONCAT]],Tables!I:N,5,0)),0)</f>
        <v>0</v>
      </c>
      <c r="CA63" s="3">
        <f>Table4[[#This Row],[Mar_2026_F]]-Table4[[#This Row],[Mar_2026_A]]</f>
        <v>0</v>
      </c>
      <c r="CB63" s="103"/>
      <c r="CC63" s="3">
        <f>IFERROR(Table4[[#This Row],[Apr_2026_Days_Forecast]]*Table4[[#This Row],[Cost Boolean]]*(VLOOKUP(Table4[[#This Row],[RATE CONCAT]],Tables!I:N,5,0)),0)</f>
        <v>0</v>
      </c>
      <c r="CD63" s="3">
        <f>IFERROR(Table4[[#This Row],[Apr_2026_Days_Actual]]*Table4[[#This Row],[Cost Boolean]]*(VLOOKUP(Table4[[#This Row],[RATE CONCAT]],Tables!I:N,5,0)),0)</f>
        <v>0</v>
      </c>
      <c r="CE63" s="3">
        <f>Table4[[#This Row],[Apr_2026_F]]-Table4[[#This Row],[Apr_2026_A]]</f>
        <v>0</v>
      </c>
      <c r="CF63" s="103"/>
      <c r="CG63" s="3">
        <f>IFERROR(Table4[[#This Row],[May_2026_Days_Forecast]] *Table4[[#This Row],[Cost Boolean]]*(VLOOKUP(Table4[[#This Row],[RATE CONCAT]],Tables!I:N,5,0)),0)</f>
        <v>0</v>
      </c>
      <c r="CH63" s="3">
        <f>IFERROR(Table4[[#This Row],[May_2026_Days_Actual]]*Table4[[#This Row],[Cost Boolean]]*(VLOOKUP(Table4[[#This Row],[RATE CONCAT]],Tables!I:N,5,0)),0)</f>
        <v>0</v>
      </c>
      <c r="CI63" s="3">
        <f>Table4[[#This Row],[May_2026_F]]-Table4[[#This Row],[May_2026_A]]</f>
        <v>0</v>
      </c>
      <c r="CJ63" s="103"/>
      <c r="CK63" s="3">
        <f>IFERROR(Table4[[#This Row],[Jun_2026_Days_Forecast]]*Table4[[#This Row],[Cost Boolean]]*(VLOOKUP(Table4[[#This Row],[RATE CONCAT]],Tables!I:N,5,0)),0)</f>
        <v>0</v>
      </c>
      <c r="CL63" s="3">
        <f>IFERROR(Table4[[#This Row],[Jun_2026_Days_Actual]]*Table4[[#This Row],[Cost Boolean]]*(VLOOKUP(Table4[[#This Row],[RATE CONCAT]],Tables!I:N,5,0)),0)</f>
        <v>0</v>
      </c>
      <c r="CM63" s="3">
        <f>Table4[[#This Row],[Jun_2026_F]]-Table4[[#This Row],[Jun_2026_A]]</f>
        <v>0</v>
      </c>
      <c r="CN63" s="103"/>
      <c r="CO63" s="3">
        <f>IFERROR(Table4[[#This Row],[Jul_2026_Days_Forecast]]*Table4[[#This Row],[Cost Boolean]]*(VLOOKUP(Table4[[#This Row],[RATE CONCAT]],Tables!I:N,5,0)),0)</f>
        <v>0</v>
      </c>
      <c r="CP63" s="3">
        <f>IFERROR(Table4[[#This Row],[Aug_2026_Days_Forecast]]*Table4[[#This Row],[Location]]*(VLOOKUP(Table4[[#This Row],[Rate]],Tables!J:O,5,0)),0)</f>
        <v>0</v>
      </c>
      <c r="CQ63" s="3">
        <f>Table4[[#This Row],[Jul_2026_F]]-Table4[[#This Row],[Jul_2026_A]]</f>
        <v>0</v>
      </c>
      <c r="CR63" s="103"/>
      <c r="CS63" s="3">
        <f>IFERROR(Table4[[#This Row],[Aug_2026_Days_Forecast]]*Table4[[#This Row],[Cost Boolean]]*(VLOOKUP(Table4[[#This Row],[RATE CONCAT]],Tables!I:N,5,0)),0)</f>
        <v>0</v>
      </c>
      <c r="CT63" s="3">
        <f>IFERROR(Table4[[#This Row],[Aug_2026_Days_Actual]]*Table4[[#This Row],[Cost Boolean]]*(VLOOKUP(Table4[[#This Row],[RATE CONCAT]],Tables!I:N,5,0)),0)</f>
        <v>0</v>
      </c>
      <c r="CU63" s="3">
        <f>Table4[[#This Row],[Aug_2026_F]]-Table4[[#This Row],[Aug_2026_A]]</f>
        <v>0</v>
      </c>
      <c r="CV63" s="103"/>
      <c r="CW63" s="3">
        <f>IFERROR(Table4[[#This Row],[Sep_2026_Days_Forecast]]*Table4[[#This Row],[Cost Boolean]]*(VLOOKUP(Table4[[#This Row],[RATE CONCAT]],Tables!I:N,5,0)),0)</f>
        <v>0</v>
      </c>
      <c r="CX63" s="3">
        <f>IFERROR(Table4[[#This Row],[Sep_2026_Days_Actual]]*Table4[[#This Row],[Cost Boolean]]*(VLOOKUP(Table4[[#This Row],[RATE CONCAT]],Tables!I:N,5,0)),0)</f>
        <v>0</v>
      </c>
      <c r="CY63" s="3">
        <f>Table4[[#This Row],[Sep_2026_F]]-Table4[[#This Row],[Sep_2026_A]]</f>
        <v>0</v>
      </c>
      <c r="CZ63" s="103"/>
      <c r="DA63" s="3">
        <f>IFERROR(Table4[[#This Row],[Oct_2026_Days_Forecast]]*Table4[[#This Row],[Cost Boolean]]*(VLOOKUP(Table4[[#This Row],[RATE CONCAT]],Tables!I:N,5,0)),0)</f>
        <v>0</v>
      </c>
      <c r="DB63" s="3">
        <f>IFERROR(Table4[[#This Row],[Oct_2026_Days_Actual]]*Table4[[#This Row],[Cost Boolean]]*(VLOOKUP(Table4[[#This Row],[RATE CONCAT]],Tables!I:N,5,0)),0)</f>
        <v>0</v>
      </c>
      <c r="DC63" s="3">
        <f>Table4[[#This Row],[Oct_2026_F]]-Table4[[#This Row],[Oct_2026_A]]</f>
        <v>0</v>
      </c>
      <c r="DD63" s="103"/>
      <c r="DE63" s="3">
        <f>IFERROR(Table4[[#This Row],[Nov_2026_Days_Forecast]]*Table4[[#This Row],[Cost Boolean]]*(VLOOKUP(Table4[[#This Row],[RATE CONCAT]],Tables!I:N,5,0)),0)</f>
        <v>0</v>
      </c>
      <c r="DF63" s="3">
        <f>IFERROR(Table4[[#This Row],[Nov_2026_Days_Actual]]*Table4[[#This Row],[Cost Boolean]]*(VLOOKUP(Table4[[#This Row],[RATE CONCAT]],Tables!I:N,5,0)),0)</f>
        <v>0</v>
      </c>
      <c r="DG63" s="3">
        <f>Table4[[#This Row],[Nov_2026_F]]-Table4[[#This Row],[Nov_2026_A]]</f>
        <v>0</v>
      </c>
      <c r="DH63" s="103"/>
      <c r="DI63" s="3">
        <f>IFERROR(Table4[[#This Row],[Dec_2026_Days_Forecast]]*Table4[[#This Row],[Cost Boolean]]*(VLOOKUP(Table4[[#This Row],[RATE CONCAT]],Tables!I:N,5,0)),0)</f>
        <v>0</v>
      </c>
      <c r="DJ63" s="3">
        <f>IFERROR(Table4[[#This Row],[Dec_2026_Days_Actual]]*Table4[[#This Row],[Cost Boolean]]*(VLOOKUP(Table4[[#This Row],[RATE CONCAT]],Tables!I:N,5,0)),0)</f>
        <v>0</v>
      </c>
      <c r="DK63" s="3">
        <f>Table4[[#This Row],[Dec_2026_F]]-Table4[[#This Row],[Dec_2026_A]]</f>
        <v>0</v>
      </c>
      <c r="DL63" s="103"/>
      <c r="DM63" s="60"/>
      <c r="DN63" s="3">
        <f>IFERROR(Table4[[#This Row],[Jan_2027_Days_Forecast]]*Table4[[#This Row],[Cost Boolean]]*(VLOOKUP(Table4[[#This Row],[RATE CONCAT]],Tables!I:N,6,0)),0)</f>
        <v>0</v>
      </c>
      <c r="DO63" s="3"/>
      <c r="DP63" s="3">
        <f>Table4[[#This Row],[Jan_2027_F]]-Table4[[#This Row],[Jan_2027_A]]</f>
        <v>0</v>
      </c>
      <c r="DQ63" s="3">
        <f>IFERROR(Table4[[#This Row],[Feb_2027_Days_Forecast]]*Table4[[#This Row],[Cost Boolean]]*(VLOOKUP(Table4[[#This Row],[RATE CONCAT]],Tables!I:N,6,0)),0)</f>
        <v>0</v>
      </c>
      <c r="DR63" s="3"/>
      <c r="DS63" s="3">
        <f>Table4[[#This Row],[Feb_2027_F]]-Table4[[#This Row],[Feb_2027_A]]</f>
        <v>0</v>
      </c>
      <c r="DT63" s="3">
        <f>IFERROR(Table4[[#This Row],[Mar_2027_Days_Forecast]]*Table4[[#This Row],[Cost Boolean]]*(VLOOKUP(Table4[[#This Row],[RATE CONCAT]],Tables!I:N,6,0)),0)</f>
        <v>0</v>
      </c>
      <c r="DU63" s="3"/>
      <c r="DV63" s="3">
        <f>Table4[[#This Row],[Mar_2027_F]]-Table4[[#This Row],[Mar_2027_A]]</f>
        <v>0</v>
      </c>
      <c r="DW63" s="3">
        <f>IFERROR(Table4[[#This Row],[Apr_2027_Days_Forecast]]*Table4[[#This Row],[Cost Boolean]]*(VLOOKUP(Table4[[#This Row],[RATE CONCAT]],Tables!I:N,6,0)),0)</f>
        <v>0</v>
      </c>
      <c r="DX63" s="3"/>
      <c r="DY63" s="3">
        <f>Table4[[#This Row],[Apr_2027_F]]-Table4[[#This Row],[Apr_2027_A]]</f>
        <v>0</v>
      </c>
      <c r="DZ63" s="3">
        <f>IFERROR(Table4[[#This Row],[May_2027_Days_Forecast]]*Table4[[#This Row],[Cost Boolean]]*(VLOOKUP(Table4[[#This Row],[RATE CONCAT]],Tables!I:N,6,0)),0)</f>
        <v>0</v>
      </c>
      <c r="EA63" s="3"/>
      <c r="EB63" s="3">
        <f>Table4[[#This Row],[May_2027_F]]-Table4[[#This Row],[May_2027_A]]</f>
        <v>0</v>
      </c>
      <c r="EC63" s="3">
        <f>IFERROR(Table4[[#This Row],[Jun_2027_Days_Forecast]]*Table4[[#This Row],[Cost Boolean]]*(VLOOKUP(Table4[[#This Row],[RATE CONCAT]],Tables!I:N,6,0)),0)</f>
        <v>0</v>
      </c>
      <c r="ED63" s="3"/>
      <c r="EE63" s="3">
        <f>Table4[[#This Row],[Jun_2027_F]]-Table4[[#This Row],[Jun_2027_A]]</f>
        <v>0</v>
      </c>
      <c r="EF63" s="3">
        <f>IFERROR(Table4[[#This Row],[Jul_2027_Days_Forecast]]*Table4[[#This Row],[Cost Boolean]]*(VLOOKUP(Table4[[#This Row],[RATE CONCAT]],Tables!I:N,6,0)),0)</f>
        <v>0</v>
      </c>
      <c r="EG63" s="3"/>
      <c r="EH63" s="3">
        <f>Table4[[#This Row],[Jul_2027_F]]-Table4[[#This Row],[Jul_2027_A]]</f>
        <v>0</v>
      </c>
      <c r="EI63" s="3">
        <f>IFERROR(Table4[[#This Row],[Aug_2027_Days_Forecast]]*Table4[[#This Row],[Cost Boolean]]*(VLOOKUP(Table4[[#This Row],[RATE CONCAT]],Tables!I:N,6,0)),0)</f>
        <v>0</v>
      </c>
      <c r="EJ63" s="3"/>
      <c r="EK63" s="3">
        <f>Table4[[#This Row],[Aug_2027_F]]-Table4[[#This Row],[Aug_2027_A]]</f>
        <v>0</v>
      </c>
      <c r="EL63" s="3">
        <f>IFERROR(Table4[[#This Row],[Sep_2027_Days_Forecast]]*Table4[[#This Row],[Cost Boolean]]*(VLOOKUP(Table4[[#This Row],[RATE CONCAT]],Tables!I:N,6,0)),0)</f>
        <v>0</v>
      </c>
      <c r="EM63" s="3"/>
      <c r="EN63" s="3">
        <f>Table4[[#This Row],[Sep_2027_F]]-Table4[[#This Row],[Sep_2027_A]]</f>
        <v>0</v>
      </c>
      <c r="EO63" s="3">
        <f>IFERROR(Table4[[#This Row],[Oct_2027_Days_Forecast]]*Table4[[#This Row],[Cost Boolean]]*(VLOOKUP(Table4[[#This Row],[RATE CONCAT]],Tables!I:N,6,0)),0)</f>
        <v>0</v>
      </c>
      <c r="EP63" s="3"/>
      <c r="EQ63" s="3">
        <f>Table4[[#This Row],[Oct_2027_F]]-Table4[[#This Row],[Oct_2027_A]]</f>
        <v>0</v>
      </c>
      <c r="ER63" s="3">
        <f>IFERROR(Table4[[#This Row],[Nov_2027_Days_Forecast]]*Table4[[#This Row],[Cost Boolean]]*(VLOOKUP(Table4[[#This Row],[RATE CONCAT]],Tables!I:N,6,0)),0)</f>
        <v>0</v>
      </c>
      <c r="ES63" s="3"/>
      <c r="ET63" s="3">
        <f>Table4[[#This Row],[Nov_2027_F]]-Table4[[#This Row],[Nov_2027_A]]</f>
        <v>0</v>
      </c>
      <c r="EU63" s="3">
        <f>IFERROR(Table4[[#This Row],[Dec_2027_Days_Forecast]]*Table4[[#This Row],[Cost Boolean]]*(VLOOKUP(Table4[[#This Row],[RATE CONCAT]],Tables!I:N,6,0)),0)</f>
        <v>0</v>
      </c>
      <c r="EV63" s="3"/>
      <c r="EW63" s="3">
        <f>Table4[[#This Row],[Dec_2027_F]]-Table4[[#This Row],[Dec_2027_A]]</f>
        <v>0</v>
      </c>
    </row>
    <row r="64" spans="1:153" ht="1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2" t="str">
        <f>CONCATENATE(Table4[[#This Row],[JG]],Table4[[#This Row],[Country]],Table4[[#This Row],[Resource Provider]])</f>
        <v/>
      </c>
      <c r="Z64" s="132">
        <f>VLOOKUP(Table4[[#This Row],[RATE CONCAT]],Tables!I:N,5,0)</f>
        <v>0</v>
      </c>
      <c r="AA64" s="53"/>
      <c r="AB64" s="16"/>
      <c r="AC64" s="16"/>
      <c r="AD64" s="16"/>
      <c r="AE64" s="16"/>
      <c r="AF64" s="16"/>
      <c r="AG64" s="16"/>
      <c r="AH64" s="16"/>
      <c r="AI64" s="16"/>
      <c r="AJ64" s="16"/>
      <c r="AK64" s="16"/>
      <c r="AL64" s="16"/>
      <c r="AM64" s="16"/>
      <c r="AN64" s="53">
        <f>IFERROR(AVERAGE(Table4[[#This Row],[Jan_2026_Days_Forecast]:[Dec_2026_Days_Forecast]]),0)/19</f>
        <v>0</v>
      </c>
      <c r="AO64" s="53">
        <f>IFERROR(AVERAGE(Table4[[#This Row],[Jan_2026_Days_Actual]:[Dec_2026_Days_Actual]]),0)/19</f>
        <v>0</v>
      </c>
      <c r="AP64" s="84"/>
      <c r="AQ64" s="84"/>
      <c r="AR64" s="84"/>
      <c r="AS64" s="84"/>
      <c r="AT64" s="84"/>
      <c r="AU64" s="84"/>
      <c r="AV64" s="84"/>
      <c r="AW64" s="84"/>
      <c r="AX64" s="84"/>
      <c r="AY64" s="84"/>
      <c r="AZ64" s="84"/>
      <c r="BA64" s="84"/>
      <c r="BB64" s="53">
        <f>IFERROR(AVERAGE(Table4[[#This Row],[Jan_2027_Days_Forecast]:[Dec_2027_Days_Forecast]]),0)</f>
        <v>0</v>
      </c>
      <c r="BC64" s="16"/>
      <c r="BD64" s="16"/>
      <c r="BE64" s="16"/>
      <c r="BF64" s="16"/>
      <c r="BG64" s="16"/>
      <c r="BH64" s="16"/>
      <c r="BI64" s="16"/>
      <c r="BJ64" s="16"/>
      <c r="BK64" s="16"/>
      <c r="BL64" s="16"/>
      <c r="BM64" s="16"/>
      <c r="BN64" s="16"/>
      <c r="BO64" s="55"/>
      <c r="BP64" s="60"/>
      <c r="BQ64" s="3">
        <v>0</v>
      </c>
      <c r="BR64" s="3">
        <f>IFERROR(Table4[[#This Row],[Jan_2026_Days_Actual]]*Table4[[#This Row],[Cost Boolean]]*(VLOOKUP(Table4[[#This Row],[RATE CONCAT]],Tables!I:N,5,0)),0)</f>
        <v>0</v>
      </c>
      <c r="BS64" s="3">
        <f>Table4[[#This Row],[Jan_2026_F]]-Table4[[#This Row],[Jan_2026_A]]</f>
        <v>0</v>
      </c>
      <c r="BT64" s="107"/>
      <c r="BU64" s="3">
        <f>IFERROR(Table4[[#This Row],[Feb_2026_Days_Forecast]]*Table4[[#This Row],[Cost Boolean]]*(VLOOKUP(Table4[[#This Row],[RATE CONCAT]],Tables!I:N,5,0)),0)</f>
        <v>0</v>
      </c>
      <c r="BV64" s="3">
        <f>IFERROR(Table4[[#This Row],[Feb_2026_Days_Actual]]*Table4[[#This Row],[Cost Boolean]]*(VLOOKUP(Table4[[#This Row],[RATE CONCAT]],Tables!I:N,5,0)),0)</f>
        <v>0</v>
      </c>
      <c r="BW64" s="3">
        <f>Table4[[#This Row],[Feb_2026_F]]-Table4[[#This Row],[Feb_2026_A]]</f>
        <v>0</v>
      </c>
      <c r="BX64" s="103"/>
      <c r="BY64" s="3">
        <f>IFERROR(Table4[[#This Row],[Mar_2026_Days_Forecast]]*Table4[[#This Row],[Cost Boolean]]*(VLOOKUP(Table4[[#This Row],[RATE CONCAT]],Tables!I:N,5,0)),0)</f>
        <v>0</v>
      </c>
      <c r="BZ64" s="3">
        <f>IFERROR(Table4[[#This Row],[Mar_2026_Days_Actual]]*Table4[[#This Row],[Cost Boolean]]*(VLOOKUP(Table4[[#This Row],[RATE CONCAT]],Tables!I:N,5,0)),0)</f>
        <v>0</v>
      </c>
      <c r="CA64" s="3">
        <f>Table4[[#This Row],[Mar_2026_F]]-Table4[[#This Row],[Mar_2026_A]]</f>
        <v>0</v>
      </c>
      <c r="CB64" s="103"/>
      <c r="CC64" s="3">
        <f>IFERROR(Table4[[#This Row],[Apr_2026_Days_Forecast]]*Table4[[#This Row],[Cost Boolean]]*(VLOOKUP(Table4[[#This Row],[RATE CONCAT]],Tables!I:N,5,0)),0)</f>
        <v>0</v>
      </c>
      <c r="CD64" s="3">
        <f>IFERROR(Table4[[#This Row],[Apr_2026_Days_Actual]]*Table4[[#This Row],[Cost Boolean]]*(VLOOKUP(Table4[[#This Row],[RATE CONCAT]],Tables!I:N,5,0)),0)</f>
        <v>0</v>
      </c>
      <c r="CE64" s="3">
        <f>Table4[[#This Row],[Apr_2026_F]]-Table4[[#This Row],[Apr_2026_A]]</f>
        <v>0</v>
      </c>
      <c r="CF64" s="103"/>
      <c r="CG64" s="3">
        <f>IFERROR(Table4[[#This Row],[May_2026_Days_Forecast]] *Table4[[#This Row],[Cost Boolean]]*(VLOOKUP(Table4[[#This Row],[RATE CONCAT]],Tables!I:N,5,0)),0)</f>
        <v>0</v>
      </c>
      <c r="CH64" s="3">
        <f>IFERROR(Table4[[#This Row],[May_2026_Days_Actual]]*Table4[[#This Row],[Cost Boolean]]*(VLOOKUP(Table4[[#This Row],[RATE CONCAT]],Tables!I:N,5,0)),0)</f>
        <v>0</v>
      </c>
      <c r="CI64" s="3">
        <f>Table4[[#This Row],[May_2026_F]]-Table4[[#This Row],[May_2026_A]]</f>
        <v>0</v>
      </c>
      <c r="CJ64" s="103"/>
      <c r="CK64" s="3">
        <f>IFERROR(Table4[[#This Row],[Jun_2026_Days_Forecast]]*Table4[[#This Row],[Cost Boolean]]*(VLOOKUP(Table4[[#This Row],[RATE CONCAT]],Tables!I:N,5,0)),0)</f>
        <v>0</v>
      </c>
      <c r="CL64" s="3">
        <f>IFERROR(Table4[[#This Row],[Jun_2026_Days_Actual]]*Table4[[#This Row],[Cost Boolean]]*(VLOOKUP(Table4[[#This Row],[RATE CONCAT]],Tables!I:N,5,0)),0)</f>
        <v>0</v>
      </c>
      <c r="CM64" s="3">
        <f>Table4[[#This Row],[Jun_2026_F]]-Table4[[#This Row],[Jun_2026_A]]</f>
        <v>0</v>
      </c>
      <c r="CN64" s="103"/>
      <c r="CO64" s="3">
        <f>IFERROR(Table4[[#This Row],[Jul_2026_Days_Forecast]]*Table4[[#This Row],[Cost Boolean]]*(VLOOKUP(Table4[[#This Row],[RATE CONCAT]],Tables!I:N,5,0)),0)</f>
        <v>0</v>
      </c>
      <c r="CP64" s="3">
        <f>IFERROR(Table4[[#This Row],[Aug_2026_Days_Forecast]]*Table4[[#This Row],[Location]]*(VLOOKUP(Table4[[#This Row],[Rate]],Tables!J:O,5,0)),0)</f>
        <v>0</v>
      </c>
      <c r="CQ64" s="3">
        <f>Table4[[#This Row],[Jul_2026_F]]-Table4[[#This Row],[Jul_2026_A]]</f>
        <v>0</v>
      </c>
      <c r="CR64" s="103"/>
      <c r="CS64" s="3">
        <f>IFERROR(Table4[[#This Row],[Aug_2026_Days_Forecast]]*Table4[[#This Row],[Cost Boolean]]*(VLOOKUP(Table4[[#This Row],[RATE CONCAT]],Tables!I:N,5,0)),0)</f>
        <v>0</v>
      </c>
      <c r="CT64" s="3">
        <f>IFERROR(Table4[[#This Row],[Aug_2026_Days_Actual]]*Table4[[#This Row],[Cost Boolean]]*(VLOOKUP(Table4[[#This Row],[RATE CONCAT]],Tables!I:N,5,0)),0)</f>
        <v>0</v>
      </c>
      <c r="CU64" s="3">
        <f>Table4[[#This Row],[Aug_2026_F]]-Table4[[#This Row],[Aug_2026_A]]</f>
        <v>0</v>
      </c>
      <c r="CV64" s="103"/>
      <c r="CW64" s="3">
        <f>IFERROR(Table4[[#This Row],[Sep_2026_Days_Forecast]]*Table4[[#This Row],[Cost Boolean]]*(VLOOKUP(Table4[[#This Row],[RATE CONCAT]],Tables!I:N,5,0)),0)</f>
        <v>0</v>
      </c>
      <c r="CX64" s="3">
        <f>IFERROR(Table4[[#This Row],[Sep_2026_Days_Actual]]*Table4[[#This Row],[Cost Boolean]]*(VLOOKUP(Table4[[#This Row],[RATE CONCAT]],Tables!I:N,5,0)),0)</f>
        <v>0</v>
      </c>
      <c r="CY64" s="3">
        <f>Table4[[#This Row],[Sep_2026_F]]-Table4[[#This Row],[Sep_2026_A]]</f>
        <v>0</v>
      </c>
      <c r="CZ64" s="103"/>
      <c r="DA64" s="3">
        <f>IFERROR(Table4[[#This Row],[Oct_2026_Days_Forecast]]*Table4[[#This Row],[Cost Boolean]]*(VLOOKUP(Table4[[#This Row],[RATE CONCAT]],Tables!I:N,5,0)),0)</f>
        <v>0</v>
      </c>
      <c r="DB64" s="3">
        <f>IFERROR(Table4[[#This Row],[Oct_2026_Days_Actual]]*Table4[[#This Row],[Cost Boolean]]*(VLOOKUP(Table4[[#This Row],[RATE CONCAT]],Tables!I:N,5,0)),0)</f>
        <v>0</v>
      </c>
      <c r="DC64" s="3">
        <f>Table4[[#This Row],[Oct_2026_F]]-Table4[[#This Row],[Oct_2026_A]]</f>
        <v>0</v>
      </c>
      <c r="DD64" s="103"/>
      <c r="DE64" s="3">
        <f>IFERROR(Table4[[#This Row],[Nov_2026_Days_Forecast]]*Table4[[#This Row],[Cost Boolean]]*(VLOOKUP(Table4[[#This Row],[RATE CONCAT]],Tables!I:N,5,0)),0)</f>
        <v>0</v>
      </c>
      <c r="DF64" s="3">
        <f>IFERROR(Table4[[#This Row],[Nov_2026_Days_Actual]]*Table4[[#This Row],[Cost Boolean]]*(VLOOKUP(Table4[[#This Row],[RATE CONCAT]],Tables!I:N,5,0)),0)</f>
        <v>0</v>
      </c>
      <c r="DG64" s="3">
        <f>Table4[[#This Row],[Nov_2026_F]]-Table4[[#This Row],[Nov_2026_A]]</f>
        <v>0</v>
      </c>
      <c r="DH64" s="103"/>
      <c r="DI64" s="3">
        <f>IFERROR(Table4[[#This Row],[Dec_2026_Days_Forecast]]*Table4[[#This Row],[Cost Boolean]]*(VLOOKUP(Table4[[#This Row],[RATE CONCAT]],Tables!I:N,5,0)),0)</f>
        <v>0</v>
      </c>
      <c r="DJ64" s="3">
        <f>IFERROR(Table4[[#This Row],[Dec_2026_Days_Actual]]*Table4[[#This Row],[Cost Boolean]]*(VLOOKUP(Table4[[#This Row],[RATE CONCAT]],Tables!I:N,5,0)),0)</f>
        <v>0</v>
      </c>
      <c r="DK64" s="3">
        <f>Table4[[#This Row],[Dec_2026_F]]-Table4[[#This Row],[Dec_2026_A]]</f>
        <v>0</v>
      </c>
      <c r="DL64" s="103"/>
      <c r="DM64" s="60"/>
      <c r="DN64" s="3">
        <f>IFERROR(Table4[[#This Row],[Jan_2027_Days_Forecast]]*Table4[[#This Row],[Cost Boolean]]*(VLOOKUP(Table4[[#This Row],[RATE CONCAT]],Tables!I:N,6,0)),0)</f>
        <v>0</v>
      </c>
      <c r="DO64" s="3"/>
      <c r="DP64" s="3">
        <f>Table4[[#This Row],[Jan_2027_F]]-Table4[[#This Row],[Jan_2027_A]]</f>
        <v>0</v>
      </c>
      <c r="DQ64" s="3">
        <f>IFERROR(Table4[[#This Row],[Feb_2027_Days_Forecast]]*Table4[[#This Row],[Cost Boolean]]*(VLOOKUP(Table4[[#This Row],[RATE CONCAT]],Tables!I:N,6,0)),0)</f>
        <v>0</v>
      </c>
      <c r="DR64" s="3"/>
      <c r="DS64" s="3">
        <f>Table4[[#This Row],[Feb_2027_F]]-Table4[[#This Row],[Feb_2027_A]]</f>
        <v>0</v>
      </c>
      <c r="DT64" s="3">
        <f>IFERROR(Table4[[#This Row],[Mar_2027_Days_Forecast]]*Table4[[#This Row],[Cost Boolean]]*(VLOOKUP(Table4[[#This Row],[RATE CONCAT]],Tables!I:N,6,0)),0)</f>
        <v>0</v>
      </c>
      <c r="DU64" s="3"/>
      <c r="DV64" s="3">
        <f>Table4[[#This Row],[Mar_2027_F]]-Table4[[#This Row],[Mar_2027_A]]</f>
        <v>0</v>
      </c>
      <c r="DW64" s="3">
        <f>IFERROR(Table4[[#This Row],[Apr_2027_Days_Forecast]]*Table4[[#This Row],[Cost Boolean]]*(VLOOKUP(Table4[[#This Row],[RATE CONCAT]],Tables!I:N,6,0)),0)</f>
        <v>0</v>
      </c>
      <c r="DX64" s="3"/>
      <c r="DY64" s="3">
        <f>Table4[[#This Row],[Apr_2027_F]]-Table4[[#This Row],[Apr_2027_A]]</f>
        <v>0</v>
      </c>
      <c r="DZ64" s="3">
        <f>IFERROR(Table4[[#This Row],[May_2027_Days_Forecast]]*Table4[[#This Row],[Cost Boolean]]*(VLOOKUP(Table4[[#This Row],[RATE CONCAT]],Tables!I:N,6,0)),0)</f>
        <v>0</v>
      </c>
      <c r="EA64" s="3"/>
      <c r="EB64" s="3">
        <f>Table4[[#This Row],[May_2027_F]]-Table4[[#This Row],[May_2027_A]]</f>
        <v>0</v>
      </c>
      <c r="EC64" s="3">
        <f>IFERROR(Table4[[#This Row],[Jun_2027_Days_Forecast]]*Table4[[#This Row],[Cost Boolean]]*(VLOOKUP(Table4[[#This Row],[RATE CONCAT]],Tables!I:N,6,0)),0)</f>
        <v>0</v>
      </c>
      <c r="ED64" s="3"/>
      <c r="EE64" s="3">
        <f>Table4[[#This Row],[Jun_2027_F]]-Table4[[#This Row],[Jun_2027_A]]</f>
        <v>0</v>
      </c>
      <c r="EF64" s="3">
        <f>IFERROR(Table4[[#This Row],[Jul_2027_Days_Forecast]]*Table4[[#This Row],[Cost Boolean]]*(VLOOKUP(Table4[[#This Row],[RATE CONCAT]],Tables!I:N,6,0)),0)</f>
        <v>0</v>
      </c>
      <c r="EG64" s="3"/>
      <c r="EH64" s="3">
        <f>Table4[[#This Row],[Jul_2027_F]]-Table4[[#This Row],[Jul_2027_A]]</f>
        <v>0</v>
      </c>
      <c r="EI64" s="3">
        <f>IFERROR(Table4[[#This Row],[Aug_2027_Days_Forecast]]*Table4[[#This Row],[Cost Boolean]]*(VLOOKUP(Table4[[#This Row],[RATE CONCAT]],Tables!I:N,6,0)),0)</f>
        <v>0</v>
      </c>
      <c r="EJ64" s="3"/>
      <c r="EK64" s="3">
        <f>Table4[[#This Row],[Aug_2027_F]]-Table4[[#This Row],[Aug_2027_A]]</f>
        <v>0</v>
      </c>
      <c r="EL64" s="3">
        <f>IFERROR(Table4[[#This Row],[Sep_2027_Days_Forecast]]*Table4[[#This Row],[Cost Boolean]]*(VLOOKUP(Table4[[#This Row],[RATE CONCAT]],Tables!I:N,6,0)),0)</f>
        <v>0</v>
      </c>
      <c r="EM64" s="3"/>
      <c r="EN64" s="3">
        <f>Table4[[#This Row],[Sep_2027_F]]-Table4[[#This Row],[Sep_2027_A]]</f>
        <v>0</v>
      </c>
      <c r="EO64" s="3">
        <f>IFERROR(Table4[[#This Row],[Oct_2027_Days_Forecast]]*Table4[[#This Row],[Cost Boolean]]*(VLOOKUP(Table4[[#This Row],[RATE CONCAT]],Tables!I:N,6,0)),0)</f>
        <v>0</v>
      </c>
      <c r="EP64" s="3"/>
      <c r="EQ64" s="3">
        <f>Table4[[#This Row],[Oct_2027_F]]-Table4[[#This Row],[Oct_2027_A]]</f>
        <v>0</v>
      </c>
      <c r="ER64" s="3">
        <f>IFERROR(Table4[[#This Row],[Nov_2027_Days_Forecast]]*Table4[[#This Row],[Cost Boolean]]*(VLOOKUP(Table4[[#This Row],[RATE CONCAT]],Tables!I:N,6,0)),0)</f>
        <v>0</v>
      </c>
      <c r="ES64" s="3"/>
      <c r="ET64" s="3">
        <f>Table4[[#This Row],[Nov_2027_F]]-Table4[[#This Row],[Nov_2027_A]]</f>
        <v>0</v>
      </c>
      <c r="EU64" s="3">
        <f>IFERROR(Table4[[#This Row],[Dec_2027_Days_Forecast]]*Table4[[#This Row],[Cost Boolean]]*(VLOOKUP(Table4[[#This Row],[RATE CONCAT]],Tables!I:N,6,0)),0)</f>
        <v>0</v>
      </c>
      <c r="EV64" s="3"/>
      <c r="EW64" s="3">
        <f>Table4[[#This Row],[Dec_2027_F]]-Table4[[#This Row],[Dec_2027_A]]</f>
        <v>0</v>
      </c>
    </row>
    <row r="65" spans="1:153" ht="1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2" t="str">
        <f>CONCATENATE(Table4[[#This Row],[JG]],Table4[[#This Row],[Country]],Table4[[#This Row],[Resource Provider]])</f>
        <v/>
      </c>
      <c r="Z65" s="132">
        <f>VLOOKUP(Table4[[#This Row],[RATE CONCAT]],Tables!I:N,5,0)</f>
        <v>0</v>
      </c>
      <c r="AA65" s="53"/>
      <c r="AB65" s="16"/>
      <c r="AC65" s="16"/>
      <c r="AD65" s="16"/>
      <c r="AE65" s="16"/>
      <c r="AF65" s="16"/>
      <c r="AG65" s="16"/>
      <c r="AH65" s="16"/>
      <c r="AI65" s="16"/>
      <c r="AJ65" s="16"/>
      <c r="AK65" s="16"/>
      <c r="AL65" s="16"/>
      <c r="AM65" s="16"/>
      <c r="AN65" s="53">
        <f>IFERROR(AVERAGE(Table4[[#This Row],[Jan_2026_Days_Forecast]:[Dec_2026_Days_Forecast]]),0)/19</f>
        <v>0</v>
      </c>
      <c r="AO65" s="53">
        <f>IFERROR(AVERAGE(Table4[[#This Row],[Jan_2026_Days_Actual]:[Dec_2026_Days_Actual]]),0)/19</f>
        <v>0</v>
      </c>
      <c r="AP65" s="84"/>
      <c r="AQ65" s="84"/>
      <c r="AR65" s="84"/>
      <c r="AS65" s="84"/>
      <c r="AT65" s="84"/>
      <c r="AU65" s="84"/>
      <c r="AV65" s="84"/>
      <c r="AW65" s="84"/>
      <c r="AX65" s="84"/>
      <c r="AY65" s="84"/>
      <c r="AZ65" s="84"/>
      <c r="BA65" s="84"/>
      <c r="BB65" s="53">
        <f>IFERROR(AVERAGE(Table4[[#This Row],[Jan_2027_Days_Forecast]:[Dec_2027_Days_Forecast]]),0)</f>
        <v>0</v>
      </c>
      <c r="BC65" s="16"/>
      <c r="BD65" s="16"/>
      <c r="BE65" s="16"/>
      <c r="BF65" s="16"/>
      <c r="BG65" s="16"/>
      <c r="BH65" s="16"/>
      <c r="BI65" s="16"/>
      <c r="BJ65" s="16"/>
      <c r="BK65" s="16"/>
      <c r="BL65" s="16"/>
      <c r="BM65" s="16"/>
      <c r="BN65" s="16"/>
      <c r="BO65" s="55"/>
      <c r="BP65" s="60"/>
      <c r="BQ65" s="3">
        <v>0</v>
      </c>
      <c r="BR65" s="3">
        <f>IFERROR(Table4[[#This Row],[Jan_2026_Days_Actual]]*Table4[[#This Row],[Cost Boolean]]*(VLOOKUP(Table4[[#This Row],[RATE CONCAT]],Tables!I:N,5,0)),0)</f>
        <v>0</v>
      </c>
      <c r="BS65" s="3">
        <f>Table4[[#This Row],[Jan_2026_F]]-Table4[[#This Row],[Jan_2026_A]]</f>
        <v>0</v>
      </c>
      <c r="BT65" s="107"/>
      <c r="BU65" s="3">
        <f>IFERROR(Table4[[#This Row],[Feb_2026_Days_Forecast]]*Table4[[#This Row],[Cost Boolean]]*(VLOOKUP(Table4[[#This Row],[RATE CONCAT]],Tables!I:N,5,0)),0)</f>
        <v>0</v>
      </c>
      <c r="BV65" s="3">
        <f>IFERROR(Table4[[#This Row],[Feb_2026_Days_Actual]]*Table4[[#This Row],[Cost Boolean]]*(VLOOKUP(Table4[[#This Row],[RATE CONCAT]],Tables!I:N,5,0)),0)</f>
        <v>0</v>
      </c>
      <c r="BW65" s="3">
        <f>Table4[[#This Row],[Feb_2026_F]]-Table4[[#This Row],[Feb_2026_A]]</f>
        <v>0</v>
      </c>
      <c r="BX65" s="103"/>
      <c r="BY65" s="3">
        <f>IFERROR(Table4[[#This Row],[Mar_2026_Days_Forecast]]*Table4[[#This Row],[Cost Boolean]]*(VLOOKUP(Table4[[#This Row],[RATE CONCAT]],Tables!I:N,5,0)),0)</f>
        <v>0</v>
      </c>
      <c r="BZ65" s="3">
        <f>IFERROR(Table4[[#This Row],[Mar_2026_Days_Actual]]*Table4[[#This Row],[Cost Boolean]]*(VLOOKUP(Table4[[#This Row],[RATE CONCAT]],Tables!I:N,5,0)),0)</f>
        <v>0</v>
      </c>
      <c r="CA65" s="3">
        <f>Table4[[#This Row],[Mar_2026_F]]-Table4[[#This Row],[Mar_2026_A]]</f>
        <v>0</v>
      </c>
      <c r="CB65" s="103"/>
      <c r="CC65" s="3">
        <f>IFERROR(Table4[[#This Row],[Apr_2026_Days_Forecast]]*Table4[[#This Row],[Cost Boolean]]*(VLOOKUP(Table4[[#This Row],[RATE CONCAT]],Tables!I:N,5,0)),0)</f>
        <v>0</v>
      </c>
      <c r="CD65" s="3">
        <f>IFERROR(Table4[[#This Row],[Apr_2026_Days_Actual]]*Table4[[#This Row],[Cost Boolean]]*(VLOOKUP(Table4[[#This Row],[RATE CONCAT]],Tables!I:N,5,0)),0)</f>
        <v>0</v>
      </c>
      <c r="CE65" s="3">
        <f>Table4[[#This Row],[Apr_2026_F]]-Table4[[#This Row],[Apr_2026_A]]</f>
        <v>0</v>
      </c>
      <c r="CF65" s="103"/>
      <c r="CG65" s="3">
        <f>IFERROR(Table4[[#This Row],[May_2026_Days_Forecast]] *Table4[[#This Row],[Cost Boolean]]*(VLOOKUP(Table4[[#This Row],[RATE CONCAT]],Tables!I:N,5,0)),0)</f>
        <v>0</v>
      </c>
      <c r="CH65" s="3">
        <f>IFERROR(Table4[[#This Row],[May_2026_Days_Actual]]*Table4[[#This Row],[Cost Boolean]]*(VLOOKUP(Table4[[#This Row],[RATE CONCAT]],Tables!I:N,5,0)),0)</f>
        <v>0</v>
      </c>
      <c r="CI65" s="3">
        <f>Table4[[#This Row],[May_2026_F]]-Table4[[#This Row],[May_2026_A]]</f>
        <v>0</v>
      </c>
      <c r="CJ65" s="103"/>
      <c r="CK65" s="3">
        <f>IFERROR(Table4[[#This Row],[Jun_2026_Days_Forecast]]*Table4[[#This Row],[Cost Boolean]]*(VLOOKUP(Table4[[#This Row],[RATE CONCAT]],Tables!I:N,5,0)),0)</f>
        <v>0</v>
      </c>
      <c r="CL65" s="3">
        <f>IFERROR(Table4[[#This Row],[Jun_2026_Days_Actual]]*Table4[[#This Row],[Cost Boolean]]*(VLOOKUP(Table4[[#This Row],[RATE CONCAT]],Tables!I:N,5,0)),0)</f>
        <v>0</v>
      </c>
      <c r="CM65" s="3">
        <f>Table4[[#This Row],[Jun_2026_F]]-Table4[[#This Row],[Jun_2026_A]]</f>
        <v>0</v>
      </c>
      <c r="CN65" s="103"/>
      <c r="CO65" s="3">
        <f>IFERROR(Table4[[#This Row],[Jul_2026_Days_Forecast]]*Table4[[#This Row],[Cost Boolean]]*(VLOOKUP(Table4[[#This Row],[RATE CONCAT]],Tables!I:N,5,0)),0)</f>
        <v>0</v>
      </c>
      <c r="CP65" s="3">
        <f>IFERROR(Table4[[#This Row],[Aug_2026_Days_Forecast]]*Table4[[#This Row],[Location]]*(VLOOKUP(Table4[[#This Row],[Rate]],Tables!J:O,5,0)),0)</f>
        <v>0</v>
      </c>
      <c r="CQ65" s="3">
        <f>Table4[[#This Row],[Jul_2026_F]]-Table4[[#This Row],[Jul_2026_A]]</f>
        <v>0</v>
      </c>
      <c r="CR65" s="103"/>
      <c r="CS65" s="3">
        <f>IFERROR(Table4[[#This Row],[Aug_2026_Days_Forecast]]*Table4[[#This Row],[Cost Boolean]]*(VLOOKUP(Table4[[#This Row],[RATE CONCAT]],Tables!I:N,5,0)),0)</f>
        <v>0</v>
      </c>
      <c r="CT65" s="3">
        <f>IFERROR(Table4[[#This Row],[Aug_2026_Days_Actual]]*Table4[[#This Row],[Cost Boolean]]*(VLOOKUP(Table4[[#This Row],[RATE CONCAT]],Tables!I:N,5,0)),0)</f>
        <v>0</v>
      </c>
      <c r="CU65" s="3">
        <f>Table4[[#This Row],[Aug_2026_F]]-Table4[[#This Row],[Aug_2026_A]]</f>
        <v>0</v>
      </c>
      <c r="CV65" s="103"/>
      <c r="CW65" s="3">
        <f>IFERROR(Table4[[#This Row],[Sep_2026_Days_Forecast]]*Table4[[#This Row],[Cost Boolean]]*(VLOOKUP(Table4[[#This Row],[RATE CONCAT]],Tables!I:N,5,0)),0)</f>
        <v>0</v>
      </c>
      <c r="CX65" s="3">
        <f>IFERROR(Table4[[#This Row],[Sep_2026_Days_Actual]]*Table4[[#This Row],[Cost Boolean]]*(VLOOKUP(Table4[[#This Row],[RATE CONCAT]],Tables!I:N,5,0)),0)</f>
        <v>0</v>
      </c>
      <c r="CY65" s="3">
        <f>Table4[[#This Row],[Sep_2026_F]]-Table4[[#This Row],[Sep_2026_A]]</f>
        <v>0</v>
      </c>
      <c r="CZ65" s="103"/>
      <c r="DA65" s="3">
        <f>IFERROR(Table4[[#This Row],[Oct_2026_Days_Forecast]]*Table4[[#This Row],[Cost Boolean]]*(VLOOKUP(Table4[[#This Row],[RATE CONCAT]],Tables!I:N,5,0)),0)</f>
        <v>0</v>
      </c>
      <c r="DB65" s="3">
        <f>IFERROR(Table4[[#This Row],[Oct_2026_Days_Actual]]*Table4[[#This Row],[Cost Boolean]]*(VLOOKUP(Table4[[#This Row],[RATE CONCAT]],Tables!I:N,5,0)),0)</f>
        <v>0</v>
      </c>
      <c r="DC65" s="3">
        <f>Table4[[#This Row],[Oct_2026_F]]-Table4[[#This Row],[Oct_2026_A]]</f>
        <v>0</v>
      </c>
      <c r="DD65" s="103"/>
      <c r="DE65" s="3">
        <f>IFERROR(Table4[[#This Row],[Nov_2026_Days_Forecast]]*Table4[[#This Row],[Cost Boolean]]*(VLOOKUP(Table4[[#This Row],[RATE CONCAT]],Tables!I:N,5,0)),0)</f>
        <v>0</v>
      </c>
      <c r="DF65" s="3">
        <f>IFERROR(Table4[[#This Row],[Nov_2026_Days_Actual]]*Table4[[#This Row],[Cost Boolean]]*(VLOOKUP(Table4[[#This Row],[RATE CONCAT]],Tables!I:N,5,0)),0)</f>
        <v>0</v>
      </c>
      <c r="DG65" s="3">
        <f>Table4[[#This Row],[Nov_2026_F]]-Table4[[#This Row],[Nov_2026_A]]</f>
        <v>0</v>
      </c>
      <c r="DH65" s="103"/>
      <c r="DI65" s="3">
        <f>IFERROR(Table4[[#This Row],[Dec_2026_Days_Forecast]]*Table4[[#This Row],[Cost Boolean]]*(VLOOKUP(Table4[[#This Row],[RATE CONCAT]],Tables!I:N,5,0)),0)</f>
        <v>0</v>
      </c>
      <c r="DJ65" s="3">
        <f>IFERROR(Table4[[#This Row],[Dec_2026_Days_Actual]]*Table4[[#This Row],[Cost Boolean]]*(VLOOKUP(Table4[[#This Row],[RATE CONCAT]],Tables!I:N,5,0)),0)</f>
        <v>0</v>
      </c>
      <c r="DK65" s="3">
        <f>Table4[[#This Row],[Dec_2026_F]]-Table4[[#This Row],[Dec_2026_A]]</f>
        <v>0</v>
      </c>
      <c r="DL65" s="103"/>
      <c r="DM65" s="60"/>
      <c r="DN65" s="3">
        <f>IFERROR(Table4[[#This Row],[Jan_2027_Days_Forecast]]*Table4[[#This Row],[Cost Boolean]]*(VLOOKUP(Table4[[#This Row],[RATE CONCAT]],Tables!I:N,6,0)),0)</f>
        <v>0</v>
      </c>
      <c r="DO65" s="3"/>
      <c r="DP65" s="3">
        <f>Table4[[#This Row],[Jan_2027_F]]-Table4[[#This Row],[Jan_2027_A]]</f>
        <v>0</v>
      </c>
      <c r="DQ65" s="3">
        <f>IFERROR(Table4[[#This Row],[Feb_2027_Days_Forecast]]*Table4[[#This Row],[Cost Boolean]]*(VLOOKUP(Table4[[#This Row],[RATE CONCAT]],Tables!I:N,6,0)),0)</f>
        <v>0</v>
      </c>
      <c r="DR65" s="3"/>
      <c r="DS65" s="3">
        <f>Table4[[#This Row],[Feb_2027_F]]-Table4[[#This Row],[Feb_2027_A]]</f>
        <v>0</v>
      </c>
      <c r="DT65" s="3">
        <f>IFERROR(Table4[[#This Row],[Mar_2027_Days_Forecast]]*Table4[[#This Row],[Cost Boolean]]*(VLOOKUP(Table4[[#This Row],[RATE CONCAT]],Tables!I:N,6,0)),0)</f>
        <v>0</v>
      </c>
      <c r="DU65" s="3"/>
      <c r="DV65" s="3">
        <f>Table4[[#This Row],[Mar_2027_F]]-Table4[[#This Row],[Mar_2027_A]]</f>
        <v>0</v>
      </c>
      <c r="DW65" s="3">
        <f>IFERROR(Table4[[#This Row],[Apr_2027_Days_Forecast]]*Table4[[#This Row],[Cost Boolean]]*(VLOOKUP(Table4[[#This Row],[RATE CONCAT]],Tables!I:N,6,0)),0)</f>
        <v>0</v>
      </c>
      <c r="DX65" s="3"/>
      <c r="DY65" s="3">
        <f>Table4[[#This Row],[Apr_2027_F]]-Table4[[#This Row],[Apr_2027_A]]</f>
        <v>0</v>
      </c>
      <c r="DZ65" s="3">
        <f>IFERROR(Table4[[#This Row],[May_2027_Days_Forecast]]*Table4[[#This Row],[Cost Boolean]]*(VLOOKUP(Table4[[#This Row],[RATE CONCAT]],Tables!I:N,6,0)),0)</f>
        <v>0</v>
      </c>
      <c r="EA65" s="3"/>
      <c r="EB65" s="3">
        <f>Table4[[#This Row],[May_2027_F]]-Table4[[#This Row],[May_2027_A]]</f>
        <v>0</v>
      </c>
      <c r="EC65" s="3">
        <f>IFERROR(Table4[[#This Row],[Jun_2027_Days_Forecast]]*Table4[[#This Row],[Cost Boolean]]*(VLOOKUP(Table4[[#This Row],[RATE CONCAT]],Tables!I:N,6,0)),0)</f>
        <v>0</v>
      </c>
      <c r="ED65" s="3"/>
      <c r="EE65" s="3">
        <f>Table4[[#This Row],[Jun_2027_F]]-Table4[[#This Row],[Jun_2027_A]]</f>
        <v>0</v>
      </c>
      <c r="EF65" s="3">
        <f>IFERROR(Table4[[#This Row],[Jul_2027_Days_Forecast]]*Table4[[#This Row],[Cost Boolean]]*(VLOOKUP(Table4[[#This Row],[RATE CONCAT]],Tables!I:N,6,0)),0)</f>
        <v>0</v>
      </c>
      <c r="EG65" s="3"/>
      <c r="EH65" s="3">
        <f>Table4[[#This Row],[Jul_2027_F]]-Table4[[#This Row],[Jul_2027_A]]</f>
        <v>0</v>
      </c>
      <c r="EI65" s="3">
        <f>IFERROR(Table4[[#This Row],[Aug_2027_Days_Forecast]]*Table4[[#This Row],[Cost Boolean]]*(VLOOKUP(Table4[[#This Row],[RATE CONCAT]],Tables!I:N,6,0)),0)</f>
        <v>0</v>
      </c>
      <c r="EJ65" s="3"/>
      <c r="EK65" s="3">
        <f>Table4[[#This Row],[Aug_2027_F]]-Table4[[#This Row],[Aug_2027_A]]</f>
        <v>0</v>
      </c>
      <c r="EL65" s="3">
        <f>IFERROR(Table4[[#This Row],[Sep_2027_Days_Forecast]]*Table4[[#This Row],[Cost Boolean]]*(VLOOKUP(Table4[[#This Row],[RATE CONCAT]],Tables!I:N,6,0)),0)</f>
        <v>0</v>
      </c>
      <c r="EM65" s="3"/>
      <c r="EN65" s="3">
        <f>Table4[[#This Row],[Sep_2027_F]]-Table4[[#This Row],[Sep_2027_A]]</f>
        <v>0</v>
      </c>
      <c r="EO65" s="3">
        <f>IFERROR(Table4[[#This Row],[Oct_2027_Days_Forecast]]*Table4[[#This Row],[Cost Boolean]]*(VLOOKUP(Table4[[#This Row],[RATE CONCAT]],Tables!I:N,6,0)),0)</f>
        <v>0</v>
      </c>
      <c r="EP65" s="3"/>
      <c r="EQ65" s="3">
        <f>Table4[[#This Row],[Oct_2027_F]]-Table4[[#This Row],[Oct_2027_A]]</f>
        <v>0</v>
      </c>
      <c r="ER65" s="3">
        <f>IFERROR(Table4[[#This Row],[Nov_2027_Days_Forecast]]*Table4[[#This Row],[Cost Boolean]]*(VLOOKUP(Table4[[#This Row],[RATE CONCAT]],Tables!I:N,6,0)),0)</f>
        <v>0</v>
      </c>
      <c r="ES65" s="3"/>
      <c r="ET65" s="3">
        <f>Table4[[#This Row],[Nov_2027_F]]-Table4[[#This Row],[Nov_2027_A]]</f>
        <v>0</v>
      </c>
      <c r="EU65" s="3">
        <f>IFERROR(Table4[[#This Row],[Dec_2027_Days_Forecast]]*Table4[[#This Row],[Cost Boolean]]*(VLOOKUP(Table4[[#This Row],[RATE CONCAT]],Tables!I:N,6,0)),0)</f>
        <v>0</v>
      </c>
      <c r="EV65" s="3"/>
      <c r="EW65" s="3">
        <f>Table4[[#This Row],[Dec_2027_F]]-Table4[[#This Row],[Dec_2027_A]]</f>
        <v>0</v>
      </c>
    </row>
    <row r="66" spans="1:153" ht="1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2" t="str">
        <f>CONCATENATE(Table4[[#This Row],[JG]],Table4[[#This Row],[Country]],Table4[[#This Row],[Resource Provider]])</f>
        <v/>
      </c>
      <c r="Z66" s="132">
        <f>VLOOKUP(Table4[[#This Row],[RATE CONCAT]],Tables!I:N,5,0)</f>
        <v>0</v>
      </c>
      <c r="AA66" s="53"/>
      <c r="AB66" s="16"/>
      <c r="AC66" s="16"/>
      <c r="AD66" s="16"/>
      <c r="AE66" s="16"/>
      <c r="AF66" s="16"/>
      <c r="AG66" s="16"/>
      <c r="AH66" s="16"/>
      <c r="AI66" s="16"/>
      <c r="AJ66" s="16"/>
      <c r="AK66" s="16"/>
      <c r="AL66" s="16"/>
      <c r="AM66" s="16"/>
      <c r="AN66" s="53">
        <f>IFERROR(AVERAGE(Table4[[#This Row],[Jan_2026_Days_Forecast]:[Dec_2026_Days_Forecast]]),0)/19</f>
        <v>0</v>
      </c>
      <c r="AO66" s="53">
        <f>IFERROR(AVERAGE(Table4[[#This Row],[Jan_2026_Days_Actual]:[Dec_2026_Days_Actual]]),0)/19</f>
        <v>0</v>
      </c>
      <c r="AP66" s="84"/>
      <c r="AQ66" s="84"/>
      <c r="AR66" s="84"/>
      <c r="AS66" s="84"/>
      <c r="AT66" s="84"/>
      <c r="AU66" s="84"/>
      <c r="AV66" s="84"/>
      <c r="AW66" s="84"/>
      <c r="AX66" s="84"/>
      <c r="AY66" s="84"/>
      <c r="AZ66" s="84"/>
      <c r="BA66" s="84"/>
      <c r="BB66" s="53">
        <f>IFERROR(AVERAGE(Table4[[#This Row],[Jan_2027_Days_Forecast]:[Dec_2027_Days_Forecast]]),0)</f>
        <v>0</v>
      </c>
      <c r="BC66" s="16"/>
      <c r="BD66" s="16"/>
      <c r="BE66" s="16"/>
      <c r="BF66" s="16"/>
      <c r="BG66" s="16"/>
      <c r="BH66" s="16"/>
      <c r="BI66" s="16"/>
      <c r="BJ66" s="16"/>
      <c r="BK66" s="16"/>
      <c r="BL66" s="16"/>
      <c r="BM66" s="16"/>
      <c r="BN66" s="16"/>
      <c r="BO66" s="55"/>
      <c r="BP66" s="60"/>
      <c r="BQ66" s="3">
        <v>0</v>
      </c>
      <c r="BR66" s="3">
        <f>IFERROR(Table4[[#This Row],[Jan_2026_Days_Actual]]*Table4[[#This Row],[Cost Boolean]]*(VLOOKUP(Table4[[#This Row],[RATE CONCAT]],Tables!I:N,5,0)),0)</f>
        <v>0</v>
      </c>
      <c r="BS66" s="3">
        <f>Table4[[#This Row],[Jan_2026_F]]-Table4[[#This Row],[Jan_2026_A]]</f>
        <v>0</v>
      </c>
      <c r="BT66" s="107"/>
      <c r="BU66" s="3">
        <f>IFERROR(Table4[[#This Row],[Feb_2026_Days_Forecast]]*Table4[[#This Row],[Cost Boolean]]*(VLOOKUP(Table4[[#This Row],[RATE CONCAT]],Tables!I:N,5,0)),0)</f>
        <v>0</v>
      </c>
      <c r="BV66" s="3">
        <f>IFERROR(Table4[[#This Row],[Feb_2026_Days_Actual]]*Table4[[#This Row],[Cost Boolean]]*(VLOOKUP(Table4[[#This Row],[RATE CONCAT]],Tables!I:N,5,0)),0)</f>
        <v>0</v>
      </c>
      <c r="BW66" s="3">
        <f>Table4[[#This Row],[Feb_2026_F]]-Table4[[#This Row],[Feb_2026_A]]</f>
        <v>0</v>
      </c>
      <c r="BX66" s="103"/>
      <c r="BY66" s="3">
        <f>IFERROR(Table4[[#This Row],[Mar_2026_Days_Forecast]]*Table4[[#This Row],[Cost Boolean]]*(VLOOKUP(Table4[[#This Row],[RATE CONCAT]],Tables!I:N,5,0)),0)</f>
        <v>0</v>
      </c>
      <c r="BZ66" s="3">
        <f>IFERROR(Table4[[#This Row],[Mar_2026_Days_Actual]]*Table4[[#This Row],[Cost Boolean]]*(VLOOKUP(Table4[[#This Row],[RATE CONCAT]],Tables!I:N,5,0)),0)</f>
        <v>0</v>
      </c>
      <c r="CA66" s="3">
        <f>Table4[[#This Row],[Mar_2026_F]]-Table4[[#This Row],[Mar_2026_A]]</f>
        <v>0</v>
      </c>
      <c r="CB66" s="103"/>
      <c r="CC66" s="3">
        <f>IFERROR(Table4[[#This Row],[Apr_2026_Days_Forecast]]*Table4[[#This Row],[Cost Boolean]]*(VLOOKUP(Table4[[#This Row],[RATE CONCAT]],Tables!I:N,5,0)),0)</f>
        <v>0</v>
      </c>
      <c r="CD66" s="3">
        <f>IFERROR(Table4[[#This Row],[Apr_2026_Days_Actual]]*Table4[[#This Row],[Cost Boolean]]*(VLOOKUP(Table4[[#This Row],[RATE CONCAT]],Tables!I:N,5,0)),0)</f>
        <v>0</v>
      </c>
      <c r="CE66" s="3">
        <f>Table4[[#This Row],[Apr_2026_F]]-Table4[[#This Row],[Apr_2026_A]]</f>
        <v>0</v>
      </c>
      <c r="CF66" s="103"/>
      <c r="CG66" s="3">
        <f>IFERROR(Table4[[#This Row],[May_2026_Days_Forecast]] *Table4[[#This Row],[Cost Boolean]]*(VLOOKUP(Table4[[#This Row],[RATE CONCAT]],Tables!I:N,5,0)),0)</f>
        <v>0</v>
      </c>
      <c r="CH66" s="3">
        <f>IFERROR(Table4[[#This Row],[May_2026_Days_Actual]]*Table4[[#This Row],[Cost Boolean]]*(VLOOKUP(Table4[[#This Row],[RATE CONCAT]],Tables!I:N,5,0)),0)</f>
        <v>0</v>
      </c>
      <c r="CI66" s="3">
        <f>Table4[[#This Row],[May_2026_F]]-Table4[[#This Row],[May_2026_A]]</f>
        <v>0</v>
      </c>
      <c r="CJ66" s="103"/>
      <c r="CK66" s="3">
        <f>IFERROR(Table4[[#This Row],[Jun_2026_Days_Forecast]]*Table4[[#This Row],[Cost Boolean]]*(VLOOKUP(Table4[[#This Row],[RATE CONCAT]],Tables!I:N,5,0)),0)</f>
        <v>0</v>
      </c>
      <c r="CL66" s="3">
        <f>IFERROR(Table4[[#This Row],[Jun_2026_Days_Actual]]*Table4[[#This Row],[Cost Boolean]]*(VLOOKUP(Table4[[#This Row],[RATE CONCAT]],Tables!I:N,5,0)),0)</f>
        <v>0</v>
      </c>
      <c r="CM66" s="3">
        <f>Table4[[#This Row],[Jun_2026_F]]-Table4[[#This Row],[Jun_2026_A]]</f>
        <v>0</v>
      </c>
      <c r="CN66" s="103"/>
      <c r="CO66" s="3">
        <f>IFERROR(Table4[[#This Row],[Jul_2026_Days_Forecast]]*Table4[[#This Row],[Cost Boolean]]*(VLOOKUP(Table4[[#This Row],[RATE CONCAT]],Tables!I:N,5,0)),0)</f>
        <v>0</v>
      </c>
      <c r="CP66" s="3">
        <f>IFERROR(Table4[[#This Row],[Aug_2026_Days_Forecast]]*Table4[[#This Row],[Location]]*(VLOOKUP(Table4[[#This Row],[Rate]],Tables!J:O,5,0)),0)</f>
        <v>0</v>
      </c>
      <c r="CQ66" s="3">
        <f>Table4[[#This Row],[Jul_2026_F]]-Table4[[#This Row],[Jul_2026_A]]</f>
        <v>0</v>
      </c>
      <c r="CR66" s="103"/>
      <c r="CS66" s="3">
        <f>IFERROR(Table4[[#This Row],[Aug_2026_Days_Forecast]]*Table4[[#This Row],[Cost Boolean]]*(VLOOKUP(Table4[[#This Row],[RATE CONCAT]],Tables!I:N,5,0)),0)</f>
        <v>0</v>
      </c>
      <c r="CT66" s="3">
        <f>IFERROR(Table4[[#This Row],[Aug_2026_Days_Actual]]*Table4[[#This Row],[Cost Boolean]]*(VLOOKUP(Table4[[#This Row],[RATE CONCAT]],Tables!I:N,5,0)),0)</f>
        <v>0</v>
      </c>
      <c r="CU66" s="3">
        <f>Table4[[#This Row],[Aug_2026_F]]-Table4[[#This Row],[Aug_2026_A]]</f>
        <v>0</v>
      </c>
      <c r="CV66" s="103"/>
      <c r="CW66" s="3">
        <f>IFERROR(Table4[[#This Row],[Sep_2026_Days_Forecast]]*Table4[[#This Row],[Cost Boolean]]*(VLOOKUP(Table4[[#This Row],[RATE CONCAT]],Tables!I:N,5,0)),0)</f>
        <v>0</v>
      </c>
      <c r="CX66" s="3">
        <f>IFERROR(Table4[[#This Row],[Sep_2026_Days_Actual]]*Table4[[#This Row],[Cost Boolean]]*(VLOOKUP(Table4[[#This Row],[RATE CONCAT]],Tables!I:N,5,0)),0)</f>
        <v>0</v>
      </c>
      <c r="CY66" s="3">
        <f>Table4[[#This Row],[Sep_2026_F]]-Table4[[#This Row],[Sep_2026_A]]</f>
        <v>0</v>
      </c>
      <c r="CZ66" s="103"/>
      <c r="DA66" s="3">
        <f>IFERROR(Table4[[#This Row],[Oct_2026_Days_Forecast]]*Table4[[#This Row],[Cost Boolean]]*(VLOOKUP(Table4[[#This Row],[RATE CONCAT]],Tables!I:N,5,0)),0)</f>
        <v>0</v>
      </c>
      <c r="DB66" s="3">
        <f>IFERROR(Table4[[#This Row],[Oct_2026_Days_Actual]]*Table4[[#This Row],[Cost Boolean]]*(VLOOKUP(Table4[[#This Row],[RATE CONCAT]],Tables!I:N,5,0)),0)</f>
        <v>0</v>
      </c>
      <c r="DC66" s="3">
        <f>Table4[[#This Row],[Oct_2026_F]]-Table4[[#This Row],[Oct_2026_A]]</f>
        <v>0</v>
      </c>
      <c r="DD66" s="103"/>
      <c r="DE66" s="3">
        <f>IFERROR(Table4[[#This Row],[Nov_2026_Days_Forecast]]*Table4[[#This Row],[Cost Boolean]]*(VLOOKUP(Table4[[#This Row],[RATE CONCAT]],Tables!I:N,5,0)),0)</f>
        <v>0</v>
      </c>
      <c r="DF66" s="3">
        <f>IFERROR(Table4[[#This Row],[Nov_2026_Days_Actual]]*Table4[[#This Row],[Cost Boolean]]*(VLOOKUP(Table4[[#This Row],[RATE CONCAT]],Tables!I:N,5,0)),0)</f>
        <v>0</v>
      </c>
      <c r="DG66" s="3">
        <f>Table4[[#This Row],[Nov_2026_F]]-Table4[[#This Row],[Nov_2026_A]]</f>
        <v>0</v>
      </c>
      <c r="DH66" s="103"/>
      <c r="DI66" s="3">
        <f>IFERROR(Table4[[#This Row],[Dec_2026_Days_Forecast]]*Table4[[#This Row],[Cost Boolean]]*(VLOOKUP(Table4[[#This Row],[RATE CONCAT]],Tables!I:N,5,0)),0)</f>
        <v>0</v>
      </c>
      <c r="DJ66" s="3">
        <f>IFERROR(Table4[[#This Row],[Dec_2026_Days_Actual]]*Table4[[#This Row],[Cost Boolean]]*(VLOOKUP(Table4[[#This Row],[RATE CONCAT]],Tables!I:N,5,0)),0)</f>
        <v>0</v>
      </c>
      <c r="DK66" s="3">
        <f>Table4[[#This Row],[Dec_2026_F]]-Table4[[#This Row],[Dec_2026_A]]</f>
        <v>0</v>
      </c>
      <c r="DL66" s="103"/>
      <c r="DM66" s="60"/>
      <c r="DN66" s="3">
        <f>IFERROR(Table4[[#This Row],[Jan_2027_Days_Forecast]]*Table4[[#This Row],[Cost Boolean]]*(VLOOKUP(Table4[[#This Row],[RATE CONCAT]],Tables!I:N,6,0)),0)</f>
        <v>0</v>
      </c>
      <c r="DO66" s="3"/>
      <c r="DP66" s="3">
        <f>Table4[[#This Row],[Jan_2027_F]]-Table4[[#This Row],[Jan_2027_A]]</f>
        <v>0</v>
      </c>
      <c r="DQ66" s="3">
        <f>IFERROR(Table4[[#This Row],[Feb_2027_Days_Forecast]]*Table4[[#This Row],[Cost Boolean]]*(VLOOKUP(Table4[[#This Row],[RATE CONCAT]],Tables!I:N,6,0)),0)</f>
        <v>0</v>
      </c>
      <c r="DR66" s="3"/>
      <c r="DS66" s="3">
        <f>Table4[[#This Row],[Feb_2027_F]]-Table4[[#This Row],[Feb_2027_A]]</f>
        <v>0</v>
      </c>
      <c r="DT66" s="3">
        <f>IFERROR(Table4[[#This Row],[Mar_2027_Days_Forecast]]*Table4[[#This Row],[Cost Boolean]]*(VLOOKUP(Table4[[#This Row],[RATE CONCAT]],Tables!I:N,6,0)),0)</f>
        <v>0</v>
      </c>
      <c r="DU66" s="3"/>
      <c r="DV66" s="3">
        <f>Table4[[#This Row],[Mar_2027_F]]-Table4[[#This Row],[Mar_2027_A]]</f>
        <v>0</v>
      </c>
      <c r="DW66" s="3">
        <f>IFERROR(Table4[[#This Row],[Apr_2027_Days_Forecast]]*Table4[[#This Row],[Cost Boolean]]*(VLOOKUP(Table4[[#This Row],[RATE CONCAT]],Tables!I:N,6,0)),0)</f>
        <v>0</v>
      </c>
      <c r="DX66" s="3"/>
      <c r="DY66" s="3">
        <f>Table4[[#This Row],[Apr_2027_F]]-Table4[[#This Row],[Apr_2027_A]]</f>
        <v>0</v>
      </c>
      <c r="DZ66" s="3">
        <f>IFERROR(Table4[[#This Row],[May_2027_Days_Forecast]]*Table4[[#This Row],[Cost Boolean]]*(VLOOKUP(Table4[[#This Row],[RATE CONCAT]],Tables!I:N,6,0)),0)</f>
        <v>0</v>
      </c>
      <c r="EA66" s="3"/>
      <c r="EB66" s="3">
        <f>Table4[[#This Row],[May_2027_F]]-Table4[[#This Row],[May_2027_A]]</f>
        <v>0</v>
      </c>
      <c r="EC66" s="3">
        <f>IFERROR(Table4[[#This Row],[Jun_2027_Days_Forecast]]*Table4[[#This Row],[Cost Boolean]]*(VLOOKUP(Table4[[#This Row],[RATE CONCAT]],Tables!I:N,6,0)),0)</f>
        <v>0</v>
      </c>
      <c r="ED66" s="3"/>
      <c r="EE66" s="3">
        <f>Table4[[#This Row],[Jun_2027_F]]-Table4[[#This Row],[Jun_2027_A]]</f>
        <v>0</v>
      </c>
      <c r="EF66" s="3">
        <f>IFERROR(Table4[[#This Row],[Jul_2027_Days_Forecast]]*Table4[[#This Row],[Cost Boolean]]*(VLOOKUP(Table4[[#This Row],[RATE CONCAT]],Tables!I:N,6,0)),0)</f>
        <v>0</v>
      </c>
      <c r="EG66" s="3"/>
      <c r="EH66" s="3">
        <f>Table4[[#This Row],[Jul_2027_F]]-Table4[[#This Row],[Jul_2027_A]]</f>
        <v>0</v>
      </c>
      <c r="EI66" s="3">
        <f>IFERROR(Table4[[#This Row],[Aug_2027_Days_Forecast]]*Table4[[#This Row],[Cost Boolean]]*(VLOOKUP(Table4[[#This Row],[RATE CONCAT]],Tables!I:N,6,0)),0)</f>
        <v>0</v>
      </c>
      <c r="EJ66" s="3"/>
      <c r="EK66" s="3">
        <f>Table4[[#This Row],[Aug_2027_F]]-Table4[[#This Row],[Aug_2027_A]]</f>
        <v>0</v>
      </c>
      <c r="EL66" s="3">
        <f>IFERROR(Table4[[#This Row],[Sep_2027_Days_Forecast]]*Table4[[#This Row],[Cost Boolean]]*(VLOOKUP(Table4[[#This Row],[RATE CONCAT]],Tables!I:N,6,0)),0)</f>
        <v>0</v>
      </c>
      <c r="EM66" s="3"/>
      <c r="EN66" s="3">
        <f>Table4[[#This Row],[Sep_2027_F]]-Table4[[#This Row],[Sep_2027_A]]</f>
        <v>0</v>
      </c>
      <c r="EO66" s="3">
        <f>IFERROR(Table4[[#This Row],[Oct_2027_Days_Forecast]]*Table4[[#This Row],[Cost Boolean]]*(VLOOKUP(Table4[[#This Row],[RATE CONCAT]],Tables!I:N,6,0)),0)</f>
        <v>0</v>
      </c>
      <c r="EP66" s="3"/>
      <c r="EQ66" s="3">
        <f>Table4[[#This Row],[Oct_2027_F]]-Table4[[#This Row],[Oct_2027_A]]</f>
        <v>0</v>
      </c>
      <c r="ER66" s="3">
        <f>IFERROR(Table4[[#This Row],[Nov_2027_Days_Forecast]]*Table4[[#This Row],[Cost Boolean]]*(VLOOKUP(Table4[[#This Row],[RATE CONCAT]],Tables!I:N,6,0)),0)</f>
        <v>0</v>
      </c>
      <c r="ES66" s="3"/>
      <c r="ET66" s="3">
        <f>Table4[[#This Row],[Nov_2027_F]]-Table4[[#This Row],[Nov_2027_A]]</f>
        <v>0</v>
      </c>
      <c r="EU66" s="3">
        <f>IFERROR(Table4[[#This Row],[Dec_2027_Days_Forecast]]*Table4[[#This Row],[Cost Boolean]]*(VLOOKUP(Table4[[#This Row],[RATE CONCAT]],Tables!I:N,6,0)),0)</f>
        <v>0</v>
      </c>
      <c r="EV66" s="3"/>
      <c r="EW66" s="3">
        <f>Table4[[#This Row],[Dec_2027_F]]-Table4[[#This Row],[Dec_2027_A]]</f>
        <v>0</v>
      </c>
    </row>
    <row r="67" spans="1:153" ht="1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2" t="str">
        <f>CONCATENATE(Table4[[#This Row],[JG]],Table4[[#This Row],[Country]],Table4[[#This Row],[Resource Provider]])</f>
        <v/>
      </c>
      <c r="Z67" s="132">
        <f>VLOOKUP(Table4[[#This Row],[RATE CONCAT]],Tables!I:N,5,0)</f>
        <v>0</v>
      </c>
      <c r="AA67" s="53"/>
      <c r="AB67" s="16"/>
      <c r="AC67" s="16"/>
      <c r="AD67" s="16"/>
      <c r="AE67" s="16"/>
      <c r="AF67" s="16"/>
      <c r="AG67" s="16"/>
      <c r="AH67" s="16"/>
      <c r="AI67" s="16"/>
      <c r="AJ67" s="16"/>
      <c r="AK67" s="16"/>
      <c r="AL67" s="16"/>
      <c r="AM67" s="16"/>
      <c r="AN67" s="53">
        <f>IFERROR(AVERAGE(Table4[[#This Row],[Jan_2026_Days_Forecast]:[Dec_2026_Days_Forecast]]),0)/19</f>
        <v>0</v>
      </c>
      <c r="AO67" s="53">
        <f>IFERROR(AVERAGE(Table4[[#This Row],[Jan_2026_Days_Actual]:[Dec_2026_Days_Actual]]),0)/19</f>
        <v>0</v>
      </c>
      <c r="AP67" s="84"/>
      <c r="AQ67" s="84"/>
      <c r="AR67" s="84"/>
      <c r="AS67" s="84"/>
      <c r="AT67" s="84"/>
      <c r="AU67" s="84"/>
      <c r="AV67" s="84"/>
      <c r="AW67" s="84"/>
      <c r="AX67" s="84"/>
      <c r="AY67" s="84"/>
      <c r="AZ67" s="84"/>
      <c r="BA67" s="84"/>
      <c r="BB67" s="53">
        <f>IFERROR(AVERAGE(Table4[[#This Row],[Jan_2027_Days_Forecast]:[Dec_2027_Days_Forecast]]),0)</f>
        <v>0</v>
      </c>
      <c r="BC67" s="16"/>
      <c r="BD67" s="16"/>
      <c r="BE67" s="16"/>
      <c r="BF67" s="16"/>
      <c r="BG67" s="16"/>
      <c r="BH67" s="16"/>
      <c r="BI67" s="16"/>
      <c r="BJ67" s="16"/>
      <c r="BK67" s="16"/>
      <c r="BL67" s="16"/>
      <c r="BM67" s="16"/>
      <c r="BN67" s="16"/>
      <c r="BO67" s="55"/>
      <c r="BP67" s="60"/>
      <c r="BQ67" s="3">
        <v>0</v>
      </c>
      <c r="BR67" s="3">
        <f>IFERROR(Table4[[#This Row],[Jan_2026_Days_Actual]]*Table4[[#This Row],[Cost Boolean]]*(VLOOKUP(Table4[[#This Row],[RATE CONCAT]],Tables!I:N,5,0)),0)</f>
        <v>0</v>
      </c>
      <c r="BS67" s="3">
        <f>Table4[[#This Row],[Jan_2026_F]]-Table4[[#This Row],[Jan_2026_A]]</f>
        <v>0</v>
      </c>
      <c r="BT67" s="107"/>
      <c r="BU67" s="3">
        <f>IFERROR(Table4[[#This Row],[Feb_2026_Days_Forecast]]*Table4[[#This Row],[Cost Boolean]]*(VLOOKUP(Table4[[#This Row],[RATE CONCAT]],Tables!I:N,5,0)),0)</f>
        <v>0</v>
      </c>
      <c r="BV67" s="3">
        <f>IFERROR(Table4[[#This Row],[Feb_2026_Days_Actual]]*Table4[[#This Row],[Cost Boolean]]*(VLOOKUP(Table4[[#This Row],[RATE CONCAT]],Tables!I:N,5,0)),0)</f>
        <v>0</v>
      </c>
      <c r="BW67" s="3">
        <f>Table4[[#This Row],[Feb_2026_F]]-Table4[[#This Row],[Feb_2026_A]]</f>
        <v>0</v>
      </c>
      <c r="BX67" s="103"/>
      <c r="BY67" s="3">
        <f>IFERROR(Table4[[#This Row],[Mar_2026_Days_Forecast]]*Table4[[#This Row],[Cost Boolean]]*(VLOOKUP(Table4[[#This Row],[RATE CONCAT]],Tables!I:N,5,0)),0)</f>
        <v>0</v>
      </c>
      <c r="BZ67" s="3">
        <f>IFERROR(Table4[[#This Row],[Mar_2026_Days_Actual]]*Table4[[#This Row],[Cost Boolean]]*(VLOOKUP(Table4[[#This Row],[RATE CONCAT]],Tables!I:N,5,0)),0)</f>
        <v>0</v>
      </c>
      <c r="CA67" s="3">
        <f>Table4[[#This Row],[Mar_2026_F]]-Table4[[#This Row],[Mar_2026_A]]</f>
        <v>0</v>
      </c>
      <c r="CB67" s="103"/>
      <c r="CC67" s="3">
        <f>IFERROR(Table4[[#This Row],[Apr_2026_Days_Forecast]]*Table4[[#This Row],[Cost Boolean]]*(VLOOKUP(Table4[[#This Row],[RATE CONCAT]],Tables!I:N,5,0)),0)</f>
        <v>0</v>
      </c>
      <c r="CD67" s="3">
        <f>IFERROR(Table4[[#This Row],[Apr_2026_Days_Actual]]*Table4[[#This Row],[Cost Boolean]]*(VLOOKUP(Table4[[#This Row],[RATE CONCAT]],Tables!I:N,5,0)),0)</f>
        <v>0</v>
      </c>
      <c r="CE67" s="3">
        <f>Table4[[#This Row],[Apr_2026_F]]-Table4[[#This Row],[Apr_2026_A]]</f>
        <v>0</v>
      </c>
      <c r="CF67" s="103"/>
      <c r="CG67" s="3">
        <f>IFERROR(Table4[[#This Row],[May_2026_Days_Forecast]] *Table4[[#This Row],[Cost Boolean]]*(VLOOKUP(Table4[[#This Row],[RATE CONCAT]],Tables!I:N,5,0)),0)</f>
        <v>0</v>
      </c>
      <c r="CH67" s="3">
        <f>IFERROR(Table4[[#This Row],[May_2026_Days_Actual]]*Table4[[#This Row],[Cost Boolean]]*(VLOOKUP(Table4[[#This Row],[RATE CONCAT]],Tables!I:N,5,0)),0)</f>
        <v>0</v>
      </c>
      <c r="CI67" s="3">
        <f>Table4[[#This Row],[May_2026_F]]-Table4[[#This Row],[May_2026_A]]</f>
        <v>0</v>
      </c>
      <c r="CJ67" s="103"/>
      <c r="CK67" s="3">
        <f>IFERROR(Table4[[#This Row],[Jun_2026_Days_Forecast]]*Table4[[#This Row],[Cost Boolean]]*(VLOOKUP(Table4[[#This Row],[RATE CONCAT]],Tables!I:N,5,0)),0)</f>
        <v>0</v>
      </c>
      <c r="CL67" s="3">
        <f>IFERROR(Table4[[#This Row],[Jun_2026_Days_Actual]]*Table4[[#This Row],[Cost Boolean]]*(VLOOKUP(Table4[[#This Row],[RATE CONCAT]],Tables!I:N,5,0)),0)</f>
        <v>0</v>
      </c>
      <c r="CM67" s="3">
        <f>Table4[[#This Row],[Jun_2026_F]]-Table4[[#This Row],[Jun_2026_A]]</f>
        <v>0</v>
      </c>
      <c r="CN67" s="103"/>
      <c r="CO67" s="3">
        <f>IFERROR(Table4[[#This Row],[Jul_2026_Days_Forecast]]*Table4[[#This Row],[Cost Boolean]]*(VLOOKUP(Table4[[#This Row],[RATE CONCAT]],Tables!I:N,5,0)),0)</f>
        <v>0</v>
      </c>
      <c r="CP67" s="3">
        <f>IFERROR(Table4[[#This Row],[Aug_2026_Days_Forecast]]*Table4[[#This Row],[Location]]*(VLOOKUP(Table4[[#This Row],[Rate]],Tables!J:O,5,0)),0)</f>
        <v>0</v>
      </c>
      <c r="CQ67" s="3">
        <f>Table4[[#This Row],[Jul_2026_F]]-Table4[[#This Row],[Jul_2026_A]]</f>
        <v>0</v>
      </c>
      <c r="CR67" s="103"/>
      <c r="CS67" s="3">
        <f>IFERROR(Table4[[#This Row],[Aug_2026_Days_Forecast]]*Table4[[#This Row],[Cost Boolean]]*(VLOOKUP(Table4[[#This Row],[RATE CONCAT]],Tables!I:N,5,0)),0)</f>
        <v>0</v>
      </c>
      <c r="CT67" s="3">
        <f>IFERROR(Table4[[#This Row],[Aug_2026_Days_Actual]]*Table4[[#This Row],[Cost Boolean]]*(VLOOKUP(Table4[[#This Row],[RATE CONCAT]],Tables!I:N,5,0)),0)</f>
        <v>0</v>
      </c>
      <c r="CU67" s="3">
        <f>Table4[[#This Row],[Aug_2026_F]]-Table4[[#This Row],[Aug_2026_A]]</f>
        <v>0</v>
      </c>
      <c r="CV67" s="103"/>
      <c r="CW67" s="3">
        <f>IFERROR(Table4[[#This Row],[Sep_2026_Days_Forecast]]*Table4[[#This Row],[Cost Boolean]]*(VLOOKUP(Table4[[#This Row],[RATE CONCAT]],Tables!I:N,5,0)),0)</f>
        <v>0</v>
      </c>
      <c r="CX67" s="3">
        <f>IFERROR(Table4[[#This Row],[Sep_2026_Days_Actual]]*Table4[[#This Row],[Cost Boolean]]*(VLOOKUP(Table4[[#This Row],[RATE CONCAT]],Tables!I:N,5,0)),0)</f>
        <v>0</v>
      </c>
      <c r="CY67" s="3">
        <f>Table4[[#This Row],[Sep_2026_F]]-Table4[[#This Row],[Sep_2026_A]]</f>
        <v>0</v>
      </c>
      <c r="CZ67" s="103"/>
      <c r="DA67" s="3">
        <f>IFERROR(Table4[[#This Row],[Oct_2026_Days_Forecast]]*Table4[[#This Row],[Cost Boolean]]*(VLOOKUP(Table4[[#This Row],[RATE CONCAT]],Tables!I:N,5,0)),0)</f>
        <v>0</v>
      </c>
      <c r="DB67" s="3">
        <f>IFERROR(Table4[[#This Row],[Oct_2026_Days_Actual]]*Table4[[#This Row],[Cost Boolean]]*(VLOOKUP(Table4[[#This Row],[RATE CONCAT]],Tables!I:N,5,0)),0)</f>
        <v>0</v>
      </c>
      <c r="DC67" s="3">
        <f>Table4[[#This Row],[Oct_2026_F]]-Table4[[#This Row],[Oct_2026_A]]</f>
        <v>0</v>
      </c>
      <c r="DD67" s="103"/>
      <c r="DE67" s="3">
        <f>IFERROR(Table4[[#This Row],[Nov_2026_Days_Forecast]]*Table4[[#This Row],[Cost Boolean]]*(VLOOKUP(Table4[[#This Row],[RATE CONCAT]],Tables!I:N,5,0)),0)</f>
        <v>0</v>
      </c>
      <c r="DF67" s="3">
        <f>IFERROR(Table4[[#This Row],[Nov_2026_Days_Actual]]*Table4[[#This Row],[Cost Boolean]]*(VLOOKUP(Table4[[#This Row],[RATE CONCAT]],Tables!I:N,5,0)),0)</f>
        <v>0</v>
      </c>
      <c r="DG67" s="3">
        <f>Table4[[#This Row],[Nov_2026_F]]-Table4[[#This Row],[Nov_2026_A]]</f>
        <v>0</v>
      </c>
      <c r="DH67" s="103"/>
      <c r="DI67" s="3">
        <f>IFERROR(Table4[[#This Row],[Dec_2026_Days_Forecast]]*Table4[[#This Row],[Cost Boolean]]*(VLOOKUP(Table4[[#This Row],[RATE CONCAT]],Tables!I:N,5,0)),0)</f>
        <v>0</v>
      </c>
      <c r="DJ67" s="3">
        <f>IFERROR(Table4[[#This Row],[Dec_2026_Days_Actual]]*Table4[[#This Row],[Cost Boolean]]*(VLOOKUP(Table4[[#This Row],[RATE CONCAT]],Tables!I:N,5,0)),0)</f>
        <v>0</v>
      </c>
      <c r="DK67" s="3">
        <f>Table4[[#This Row],[Dec_2026_F]]-Table4[[#This Row],[Dec_2026_A]]</f>
        <v>0</v>
      </c>
      <c r="DL67" s="103"/>
      <c r="DM67" s="60"/>
      <c r="DN67" s="3">
        <f>IFERROR(Table4[[#This Row],[Jan_2027_Days_Forecast]]*Table4[[#This Row],[Cost Boolean]]*(VLOOKUP(Table4[[#This Row],[RATE CONCAT]],Tables!I:N,6,0)),0)</f>
        <v>0</v>
      </c>
      <c r="DO67" s="3"/>
      <c r="DP67" s="3">
        <f>Table4[[#This Row],[Jan_2027_F]]-Table4[[#This Row],[Jan_2027_A]]</f>
        <v>0</v>
      </c>
      <c r="DQ67" s="3">
        <f>IFERROR(Table4[[#This Row],[Feb_2027_Days_Forecast]]*Table4[[#This Row],[Cost Boolean]]*(VLOOKUP(Table4[[#This Row],[RATE CONCAT]],Tables!I:N,6,0)),0)</f>
        <v>0</v>
      </c>
      <c r="DR67" s="3"/>
      <c r="DS67" s="3">
        <f>Table4[[#This Row],[Feb_2027_F]]-Table4[[#This Row],[Feb_2027_A]]</f>
        <v>0</v>
      </c>
      <c r="DT67" s="3">
        <f>IFERROR(Table4[[#This Row],[Mar_2027_Days_Forecast]]*Table4[[#This Row],[Cost Boolean]]*(VLOOKUP(Table4[[#This Row],[RATE CONCAT]],Tables!I:N,6,0)),0)</f>
        <v>0</v>
      </c>
      <c r="DU67" s="3"/>
      <c r="DV67" s="3">
        <f>Table4[[#This Row],[Mar_2027_F]]-Table4[[#This Row],[Mar_2027_A]]</f>
        <v>0</v>
      </c>
      <c r="DW67" s="3">
        <f>IFERROR(Table4[[#This Row],[Apr_2027_Days_Forecast]]*Table4[[#This Row],[Cost Boolean]]*(VLOOKUP(Table4[[#This Row],[RATE CONCAT]],Tables!I:N,6,0)),0)</f>
        <v>0</v>
      </c>
      <c r="DX67" s="3"/>
      <c r="DY67" s="3">
        <f>Table4[[#This Row],[Apr_2027_F]]-Table4[[#This Row],[Apr_2027_A]]</f>
        <v>0</v>
      </c>
      <c r="DZ67" s="3">
        <f>IFERROR(Table4[[#This Row],[May_2027_Days_Forecast]]*Table4[[#This Row],[Cost Boolean]]*(VLOOKUP(Table4[[#This Row],[RATE CONCAT]],Tables!I:N,6,0)),0)</f>
        <v>0</v>
      </c>
      <c r="EA67" s="3"/>
      <c r="EB67" s="3">
        <f>Table4[[#This Row],[May_2027_F]]-Table4[[#This Row],[May_2027_A]]</f>
        <v>0</v>
      </c>
      <c r="EC67" s="3">
        <f>IFERROR(Table4[[#This Row],[Jun_2027_Days_Forecast]]*Table4[[#This Row],[Cost Boolean]]*(VLOOKUP(Table4[[#This Row],[RATE CONCAT]],Tables!I:N,6,0)),0)</f>
        <v>0</v>
      </c>
      <c r="ED67" s="3"/>
      <c r="EE67" s="3">
        <f>Table4[[#This Row],[Jun_2027_F]]-Table4[[#This Row],[Jun_2027_A]]</f>
        <v>0</v>
      </c>
      <c r="EF67" s="3">
        <f>IFERROR(Table4[[#This Row],[Jul_2027_Days_Forecast]]*Table4[[#This Row],[Cost Boolean]]*(VLOOKUP(Table4[[#This Row],[RATE CONCAT]],Tables!I:N,6,0)),0)</f>
        <v>0</v>
      </c>
      <c r="EG67" s="3"/>
      <c r="EH67" s="3">
        <f>Table4[[#This Row],[Jul_2027_F]]-Table4[[#This Row],[Jul_2027_A]]</f>
        <v>0</v>
      </c>
      <c r="EI67" s="3">
        <f>IFERROR(Table4[[#This Row],[Aug_2027_Days_Forecast]]*Table4[[#This Row],[Cost Boolean]]*(VLOOKUP(Table4[[#This Row],[RATE CONCAT]],Tables!I:N,6,0)),0)</f>
        <v>0</v>
      </c>
      <c r="EJ67" s="3"/>
      <c r="EK67" s="3">
        <f>Table4[[#This Row],[Aug_2027_F]]-Table4[[#This Row],[Aug_2027_A]]</f>
        <v>0</v>
      </c>
      <c r="EL67" s="3">
        <f>IFERROR(Table4[[#This Row],[Sep_2027_Days_Forecast]]*Table4[[#This Row],[Cost Boolean]]*(VLOOKUP(Table4[[#This Row],[RATE CONCAT]],Tables!I:N,6,0)),0)</f>
        <v>0</v>
      </c>
      <c r="EM67" s="3"/>
      <c r="EN67" s="3">
        <f>Table4[[#This Row],[Sep_2027_F]]-Table4[[#This Row],[Sep_2027_A]]</f>
        <v>0</v>
      </c>
      <c r="EO67" s="3">
        <f>IFERROR(Table4[[#This Row],[Oct_2027_Days_Forecast]]*Table4[[#This Row],[Cost Boolean]]*(VLOOKUP(Table4[[#This Row],[RATE CONCAT]],Tables!I:N,6,0)),0)</f>
        <v>0</v>
      </c>
      <c r="EP67" s="3"/>
      <c r="EQ67" s="3">
        <f>Table4[[#This Row],[Oct_2027_F]]-Table4[[#This Row],[Oct_2027_A]]</f>
        <v>0</v>
      </c>
      <c r="ER67" s="3">
        <f>IFERROR(Table4[[#This Row],[Nov_2027_Days_Forecast]]*Table4[[#This Row],[Cost Boolean]]*(VLOOKUP(Table4[[#This Row],[RATE CONCAT]],Tables!I:N,6,0)),0)</f>
        <v>0</v>
      </c>
      <c r="ES67" s="3"/>
      <c r="ET67" s="3">
        <f>Table4[[#This Row],[Nov_2027_F]]-Table4[[#This Row],[Nov_2027_A]]</f>
        <v>0</v>
      </c>
      <c r="EU67" s="3">
        <f>IFERROR(Table4[[#This Row],[Dec_2027_Days_Forecast]]*Table4[[#This Row],[Cost Boolean]]*(VLOOKUP(Table4[[#This Row],[RATE CONCAT]],Tables!I:N,6,0)),0)</f>
        <v>0</v>
      </c>
      <c r="EV67" s="3"/>
      <c r="EW67" s="3">
        <f>Table4[[#This Row],[Dec_2027_F]]-Table4[[#This Row],[Dec_2027_A]]</f>
        <v>0</v>
      </c>
    </row>
    <row r="68" spans="1:153" ht="14.45">
      <c r="A68" s="13"/>
      <c r="B68" s="13"/>
      <c r="C68" s="13"/>
      <c r="D68" s="13"/>
      <c r="E68" s="13"/>
      <c r="F68" s="13"/>
      <c r="G68" s="13"/>
      <c r="H68" s="13"/>
      <c r="I68" s="13"/>
      <c r="J68" s="13"/>
      <c r="K68" s="13"/>
      <c r="L68" s="13"/>
      <c r="M68" s="13"/>
      <c r="N68" s="13"/>
      <c r="O68" s="13"/>
      <c r="P68" s="13"/>
      <c r="Q68" s="13"/>
      <c r="R68" s="13"/>
      <c r="S68" s="13"/>
      <c r="T68" s="13"/>
      <c r="U68" s="13"/>
      <c r="V68" s="13"/>
      <c r="W68" s="13"/>
      <c r="X68" s="13"/>
      <c r="Y68" s="132" t="str">
        <f>CONCATENATE(Table4[[#This Row],[JG]],Table4[[#This Row],[Country]],Table4[[#This Row],[Resource Provider]])</f>
        <v/>
      </c>
      <c r="Z68" s="132">
        <f>VLOOKUP(Table4[[#This Row],[RATE CONCAT]],Tables!I:N,5,0)</f>
        <v>0</v>
      </c>
      <c r="AA68" s="53"/>
      <c r="AB68" s="16"/>
      <c r="AC68" s="16"/>
      <c r="AD68" s="16"/>
      <c r="AE68" s="16"/>
      <c r="AF68" s="16"/>
      <c r="AG68" s="16"/>
      <c r="AH68" s="16"/>
      <c r="AI68" s="16"/>
      <c r="AJ68" s="16"/>
      <c r="AK68" s="16"/>
      <c r="AL68" s="16"/>
      <c r="AM68" s="16"/>
      <c r="AN68" s="53">
        <f>IFERROR(AVERAGE(Table4[[#This Row],[Jan_2026_Days_Forecast]:[Dec_2026_Days_Forecast]]),0)/19</f>
        <v>0</v>
      </c>
      <c r="AO68" s="53">
        <f>IFERROR(AVERAGE(Table4[[#This Row],[Jan_2026_Days_Actual]:[Dec_2026_Days_Actual]]),0)/19</f>
        <v>0</v>
      </c>
      <c r="AP68" s="84"/>
      <c r="AQ68" s="84"/>
      <c r="AR68" s="84"/>
      <c r="AS68" s="84"/>
      <c r="AT68" s="84"/>
      <c r="AU68" s="84"/>
      <c r="AV68" s="84"/>
      <c r="AW68" s="84"/>
      <c r="AX68" s="84"/>
      <c r="AY68" s="84"/>
      <c r="AZ68" s="84"/>
      <c r="BA68" s="84"/>
      <c r="BB68" s="53">
        <f>IFERROR(AVERAGE(Table4[[#This Row],[Jan_2027_Days_Forecast]:[Dec_2027_Days_Forecast]]),0)</f>
        <v>0</v>
      </c>
      <c r="BC68" s="16"/>
      <c r="BD68" s="16"/>
      <c r="BE68" s="16"/>
      <c r="BF68" s="16"/>
      <c r="BG68" s="16"/>
      <c r="BH68" s="16"/>
      <c r="BI68" s="16"/>
      <c r="BJ68" s="16"/>
      <c r="BK68" s="16"/>
      <c r="BL68" s="16"/>
      <c r="BM68" s="16"/>
      <c r="BN68" s="16"/>
      <c r="BO68" s="55"/>
      <c r="BP68" s="60"/>
      <c r="BQ68" s="3">
        <v>0</v>
      </c>
      <c r="BR68" s="3">
        <f>IFERROR(Table4[[#This Row],[Jan_2026_Days_Actual]]*Table4[[#This Row],[Cost Boolean]]*(VLOOKUP(Table4[[#This Row],[RATE CONCAT]],Tables!I:N,5,0)),0)</f>
        <v>0</v>
      </c>
      <c r="BS68" s="3">
        <f>Table4[[#This Row],[Jan_2026_F]]-Table4[[#This Row],[Jan_2026_A]]</f>
        <v>0</v>
      </c>
      <c r="BT68" s="107"/>
      <c r="BU68" s="3">
        <f>IFERROR(Table4[[#This Row],[Feb_2026_Days_Forecast]]*Table4[[#This Row],[Cost Boolean]]*(VLOOKUP(Table4[[#This Row],[RATE CONCAT]],Tables!I:N,5,0)),0)</f>
        <v>0</v>
      </c>
      <c r="BV68" s="3">
        <f>IFERROR(Table4[[#This Row],[Feb_2026_Days_Actual]]*Table4[[#This Row],[Cost Boolean]]*(VLOOKUP(Table4[[#This Row],[RATE CONCAT]],Tables!I:N,5,0)),0)</f>
        <v>0</v>
      </c>
      <c r="BW68" s="3">
        <f>Table4[[#This Row],[Feb_2026_F]]-Table4[[#This Row],[Feb_2026_A]]</f>
        <v>0</v>
      </c>
      <c r="BX68" s="103"/>
      <c r="BY68" s="3">
        <f>IFERROR(Table4[[#This Row],[Mar_2026_Days_Forecast]]*Table4[[#This Row],[Cost Boolean]]*(VLOOKUP(Table4[[#This Row],[RATE CONCAT]],Tables!I:N,5,0)),0)</f>
        <v>0</v>
      </c>
      <c r="BZ68" s="3">
        <f>IFERROR(Table4[[#This Row],[Mar_2026_Days_Actual]]*Table4[[#This Row],[Cost Boolean]]*(VLOOKUP(Table4[[#This Row],[RATE CONCAT]],Tables!I:N,5,0)),0)</f>
        <v>0</v>
      </c>
      <c r="CA68" s="3">
        <f>Table4[[#This Row],[Mar_2026_F]]-Table4[[#This Row],[Mar_2026_A]]</f>
        <v>0</v>
      </c>
      <c r="CB68" s="103"/>
      <c r="CC68" s="3">
        <f>IFERROR(Table4[[#This Row],[Apr_2026_Days_Forecast]]*Table4[[#This Row],[Cost Boolean]]*(VLOOKUP(Table4[[#This Row],[RATE CONCAT]],Tables!I:N,5,0)),0)</f>
        <v>0</v>
      </c>
      <c r="CD68" s="3">
        <f>IFERROR(Table4[[#This Row],[Apr_2026_Days_Actual]]*Table4[[#This Row],[Cost Boolean]]*(VLOOKUP(Table4[[#This Row],[RATE CONCAT]],Tables!I:N,5,0)),0)</f>
        <v>0</v>
      </c>
      <c r="CE68" s="3">
        <f>Table4[[#This Row],[Apr_2026_F]]-Table4[[#This Row],[Apr_2026_A]]</f>
        <v>0</v>
      </c>
      <c r="CF68" s="103"/>
      <c r="CG68" s="3">
        <f>IFERROR(Table4[[#This Row],[May_2026_Days_Forecast]] *Table4[[#This Row],[Cost Boolean]]*(VLOOKUP(Table4[[#This Row],[RATE CONCAT]],Tables!I:N,5,0)),0)</f>
        <v>0</v>
      </c>
      <c r="CH68" s="3">
        <f>IFERROR(Table4[[#This Row],[May_2026_Days_Actual]]*Table4[[#This Row],[Cost Boolean]]*(VLOOKUP(Table4[[#This Row],[RATE CONCAT]],Tables!I:N,5,0)),0)</f>
        <v>0</v>
      </c>
      <c r="CI68" s="3">
        <f>Table4[[#This Row],[May_2026_F]]-Table4[[#This Row],[May_2026_A]]</f>
        <v>0</v>
      </c>
      <c r="CJ68" s="103"/>
      <c r="CK68" s="3">
        <f>IFERROR(Table4[[#This Row],[Jun_2026_Days_Forecast]]*Table4[[#This Row],[Cost Boolean]]*(VLOOKUP(Table4[[#This Row],[RATE CONCAT]],Tables!I:N,5,0)),0)</f>
        <v>0</v>
      </c>
      <c r="CL68" s="3">
        <f>IFERROR(Table4[[#This Row],[Jun_2026_Days_Actual]]*Table4[[#This Row],[Cost Boolean]]*(VLOOKUP(Table4[[#This Row],[RATE CONCAT]],Tables!I:N,5,0)),0)</f>
        <v>0</v>
      </c>
      <c r="CM68" s="3">
        <f>Table4[[#This Row],[Jun_2026_F]]-Table4[[#This Row],[Jun_2026_A]]</f>
        <v>0</v>
      </c>
      <c r="CN68" s="103"/>
      <c r="CO68" s="3">
        <f>IFERROR(Table4[[#This Row],[Jul_2026_Days_Forecast]]*Table4[[#This Row],[Cost Boolean]]*(VLOOKUP(Table4[[#This Row],[RATE CONCAT]],Tables!I:N,5,0)),0)</f>
        <v>0</v>
      </c>
      <c r="CP68" s="3">
        <f>IFERROR(Table4[[#This Row],[Aug_2026_Days_Forecast]]*Table4[[#This Row],[Location]]*(VLOOKUP(Table4[[#This Row],[Rate]],Tables!J:O,5,0)),0)</f>
        <v>0</v>
      </c>
      <c r="CQ68" s="3">
        <f>Table4[[#This Row],[Jul_2026_F]]-Table4[[#This Row],[Jul_2026_A]]</f>
        <v>0</v>
      </c>
      <c r="CR68" s="103"/>
      <c r="CS68" s="3">
        <f>IFERROR(Table4[[#This Row],[Aug_2026_Days_Forecast]]*Table4[[#This Row],[Cost Boolean]]*(VLOOKUP(Table4[[#This Row],[RATE CONCAT]],Tables!I:N,5,0)),0)</f>
        <v>0</v>
      </c>
      <c r="CT68" s="3">
        <f>IFERROR(Table4[[#This Row],[Aug_2026_Days_Actual]]*Table4[[#This Row],[Cost Boolean]]*(VLOOKUP(Table4[[#This Row],[RATE CONCAT]],Tables!I:N,5,0)),0)</f>
        <v>0</v>
      </c>
      <c r="CU68" s="3">
        <f>Table4[[#This Row],[Aug_2026_F]]-Table4[[#This Row],[Aug_2026_A]]</f>
        <v>0</v>
      </c>
      <c r="CV68" s="103"/>
      <c r="CW68" s="3">
        <f>IFERROR(Table4[[#This Row],[Sep_2026_Days_Forecast]]*Table4[[#This Row],[Cost Boolean]]*(VLOOKUP(Table4[[#This Row],[RATE CONCAT]],Tables!I:N,5,0)),0)</f>
        <v>0</v>
      </c>
      <c r="CX68" s="3">
        <f>IFERROR(Table4[[#This Row],[Sep_2026_Days_Actual]]*Table4[[#This Row],[Cost Boolean]]*(VLOOKUP(Table4[[#This Row],[RATE CONCAT]],Tables!I:N,5,0)),0)</f>
        <v>0</v>
      </c>
      <c r="CY68" s="3">
        <f>Table4[[#This Row],[Sep_2026_F]]-Table4[[#This Row],[Sep_2026_A]]</f>
        <v>0</v>
      </c>
      <c r="CZ68" s="103"/>
      <c r="DA68" s="3">
        <f>IFERROR(Table4[[#This Row],[Oct_2026_Days_Forecast]]*Table4[[#This Row],[Cost Boolean]]*(VLOOKUP(Table4[[#This Row],[RATE CONCAT]],Tables!I:N,5,0)),0)</f>
        <v>0</v>
      </c>
      <c r="DB68" s="3">
        <f>IFERROR(Table4[[#This Row],[Oct_2026_Days_Actual]]*Table4[[#This Row],[Cost Boolean]]*(VLOOKUP(Table4[[#This Row],[RATE CONCAT]],Tables!I:N,5,0)),0)</f>
        <v>0</v>
      </c>
      <c r="DC68" s="3">
        <f>Table4[[#This Row],[Oct_2026_F]]-Table4[[#This Row],[Oct_2026_A]]</f>
        <v>0</v>
      </c>
      <c r="DD68" s="103"/>
      <c r="DE68" s="3">
        <f>IFERROR(Table4[[#This Row],[Nov_2026_Days_Forecast]]*Table4[[#This Row],[Cost Boolean]]*(VLOOKUP(Table4[[#This Row],[RATE CONCAT]],Tables!I:N,5,0)),0)</f>
        <v>0</v>
      </c>
      <c r="DF68" s="3">
        <f>IFERROR(Table4[[#This Row],[Nov_2026_Days_Actual]]*Table4[[#This Row],[Cost Boolean]]*(VLOOKUP(Table4[[#This Row],[RATE CONCAT]],Tables!I:N,5,0)),0)</f>
        <v>0</v>
      </c>
      <c r="DG68" s="3">
        <f>Table4[[#This Row],[Nov_2026_F]]-Table4[[#This Row],[Nov_2026_A]]</f>
        <v>0</v>
      </c>
      <c r="DH68" s="103"/>
      <c r="DI68" s="3">
        <f>IFERROR(Table4[[#This Row],[Dec_2026_Days_Forecast]]*Table4[[#This Row],[Cost Boolean]]*(VLOOKUP(Table4[[#This Row],[RATE CONCAT]],Tables!I:N,5,0)),0)</f>
        <v>0</v>
      </c>
      <c r="DJ68" s="3">
        <f>IFERROR(Table4[[#This Row],[Dec_2026_Days_Actual]]*Table4[[#This Row],[Cost Boolean]]*(VLOOKUP(Table4[[#This Row],[RATE CONCAT]],Tables!I:N,5,0)),0)</f>
        <v>0</v>
      </c>
      <c r="DK68" s="3">
        <f>Table4[[#This Row],[Dec_2026_F]]-Table4[[#This Row],[Dec_2026_A]]</f>
        <v>0</v>
      </c>
      <c r="DL68" s="103"/>
      <c r="DM68" s="60"/>
      <c r="DN68" s="3">
        <f>IFERROR(Table4[[#This Row],[Jan_2027_Days_Forecast]]*Table4[[#This Row],[Cost Boolean]]*(VLOOKUP(Table4[[#This Row],[RATE CONCAT]],Tables!I:N,6,0)),0)</f>
        <v>0</v>
      </c>
      <c r="DO68" s="3"/>
      <c r="DP68" s="3">
        <f>Table4[[#This Row],[Jan_2027_F]]-Table4[[#This Row],[Jan_2027_A]]</f>
        <v>0</v>
      </c>
      <c r="DQ68" s="3">
        <f>IFERROR(Table4[[#This Row],[Feb_2027_Days_Forecast]]*Table4[[#This Row],[Cost Boolean]]*(VLOOKUP(Table4[[#This Row],[RATE CONCAT]],Tables!I:N,6,0)),0)</f>
        <v>0</v>
      </c>
      <c r="DR68" s="3"/>
      <c r="DS68" s="3">
        <f>Table4[[#This Row],[Feb_2027_F]]-Table4[[#This Row],[Feb_2027_A]]</f>
        <v>0</v>
      </c>
      <c r="DT68" s="3">
        <f>IFERROR(Table4[[#This Row],[Mar_2027_Days_Forecast]]*Table4[[#This Row],[Cost Boolean]]*(VLOOKUP(Table4[[#This Row],[RATE CONCAT]],Tables!I:N,6,0)),0)</f>
        <v>0</v>
      </c>
      <c r="DU68" s="3"/>
      <c r="DV68" s="3">
        <f>Table4[[#This Row],[Mar_2027_F]]-Table4[[#This Row],[Mar_2027_A]]</f>
        <v>0</v>
      </c>
      <c r="DW68" s="3">
        <f>IFERROR(Table4[[#This Row],[Apr_2027_Days_Forecast]]*Table4[[#This Row],[Cost Boolean]]*(VLOOKUP(Table4[[#This Row],[RATE CONCAT]],Tables!I:N,6,0)),0)</f>
        <v>0</v>
      </c>
      <c r="DX68" s="3"/>
      <c r="DY68" s="3">
        <f>Table4[[#This Row],[Apr_2027_F]]-Table4[[#This Row],[Apr_2027_A]]</f>
        <v>0</v>
      </c>
      <c r="DZ68" s="3">
        <f>IFERROR(Table4[[#This Row],[May_2027_Days_Forecast]]*Table4[[#This Row],[Cost Boolean]]*(VLOOKUP(Table4[[#This Row],[RATE CONCAT]],Tables!I:N,6,0)),0)</f>
        <v>0</v>
      </c>
      <c r="EA68" s="3"/>
      <c r="EB68" s="3">
        <f>Table4[[#This Row],[May_2027_F]]-Table4[[#This Row],[May_2027_A]]</f>
        <v>0</v>
      </c>
      <c r="EC68" s="3">
        <f>IFERROR(Table4[[#This Row],[Jun_2027_Days_Forecast]]*Table4[[#This Row],[Cost Boolean]]*(VLOOKUP(Table4[[#This Row],[RATE CONCAT]],Tables!I:N,6,0)),0)</f>
        <v>0</v>
      </c>
      <c r="ED68" s="3"/>
      <c r="EE68" s="3">
        <f>Table4[[#This Row],[Jun_2027_F]]-Table4[[#This Row],[Jun_2027_A]]</f>
        <v>0</v>
      </c>
      <c r="EF68" s="3">
        <f>IFERROR(Table4[[#This Row],[Jul_2027_Days_Forecast]]*Table4[[#This Row],[Cost Boolean]]*(VLOOKUP(Table4[[#This Row],[RATE CONCAT]],Tables!I:N,6,0)),0)</f>
        <v>0</v>
      </c>
      <c r="EG68" s="3"/>
      <c r="EH68" s="3">
        <f>Table4[[#This Row],[Jul_2027_F]]-Table4[[#This Row],[Jul_2027_A]]</f>
        <v>0</v>
      </c>
      <c r="EI68" s="3">
        <f>IFERROR(Table4[[#This Row],[Aug_2027_Days_Forecast]]*Table4[[#This Row],[Cost Boolean]]*(VLOOKUP(Table4[[#This Row],[RATE CONCAT]],Tables!I:N,6,0)),0)</f>
        <v>0</v>
      </c>
      <c r="EJ68" s="3"/>
      <c r="EK68" s="3">
        <f>Table4[[#This Row],[Aug_2027_F]]-Table4[[#This Row],[Aug_2027_A]]</f>
        <v>0</v>
      </c>
      <c r="EL68" s="3">
        <f>IFERROR(Table4[[#This Row],[Sep_2027_Days_Forecast]]*Table4[[#This Row],[Cost Boolean]]*(VLOOKUP(Table4[[#This Row],[RATE CONCAT]],Tables!I:N,6,0)),0)</f>
        <v>0</v>
      </c>
      <c r="EM68" s="3"/>
      <c r="EN68" s="3">
        <f>Table4[[#This Row],[Sep_2027_F]]-Table4[[#This Row],[Sep_2027_A]]</f>
        <v>0</v>
      </c>
      <c r="EO68" s="3">
        <f>IFERROR(Table4[[#This Row],[Oct_2027_Days_Forecast]]*Table4[[#This Row],[Cost Boolean]]*(VLOOKUP(Table4[[#This Row],[RATE CONCAT]],Tables!I:N,6,0)),0)</f>
        <v>0</v>
      </c>
      <c r="EP68" s="3"/>
      <c r="EQ68" s="3">
        <f>Table4[[#This Row],[Oct_2027_F]]-Table4[[#This Row],[Oct_2027_A]]</f>
        <v>0</v>
      </c>
      <c r="ER68" s="3">
        <f>IFERROR(Table4[[#This Row],[Nov_2027_Days_Forecast]]*Table4[[#This Row],[Cost Boolean]]*(VLOOKUP(Table4[[#This Row],[RATE CONCAT]],Tables!I:N,6,0)),0)</f>
        <v>0</v>
      </c>
      <c r="ES68" s="3"/>
      <c r="ET68" s="3">
        <f>Table4[[#This Row],[Nov_2027_F]]-Table4[[#This Row],[Nov_2027_A]]</f>
        <v>0</v>
      </c>
      <c r="EU68" s="3">
        <f>IFERROR(Table4[[#This Row],[Dec_2027_Days_Forecast]]*Table4[[#This Row],[Cost Boolean]]*(VLOOKUP(Table4[[#This Row],[RATE CONCAT]],Tables!I:N,6,0)),0)</f>
        <v>0</v>
      </c>
      <c r="EV68" s="3"/>
      <c r="EW68" s="3">
        <f>Table4[[#This Row],[Dec_2027_F]]-Table4[[#This Row],[Dec_2027_A]]</f>
        <v>0</v>
      </c>
    </row>
    <row r="69" spans="1:153" ht="1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2" t="str">
        <f>CONCATENATE(Table4[[#This Row],[JG]],Table4[[#This Row],[Country]],Table4[[#This Row],[Resource Provider]])</f>
        <v/>
      </c>
      <c r="Z69" s="132">
        <f>VLOOKUP(Table4[[#This Row],[RATE CONCAT]],Tables!I:N,5,0)</f>
        <v>0</v>
      </c>
      <c r="AA69" s="53"/>
      <c r="AB69" s="16"/>
      <c r="AC69" s="16"/>
      <c r="AD69" s="16"/>
      <c r="AE69" s="16"/>
      <c r="AF69" s="16"/>
      <c r="AG69" s="16"/>
      <c r="AH69" s="16"/>
      <c r="AI69" s="16"/>
      <c r="AJ69" s="16"/>
      <c r="AK69" s="16"/>
      <c r="AL69" s="16"/>
      <c r="AM69" s="16"/>
      <c r="AN69" s="53">
        <f>IFERROR(AVERAGE(Table4[[#This Row],[Jan_2026_Days_Forecast]:[Dec_2026_Days_Forecast]]),0)/19</f>
        <v>0</v>
      </c>
      <c r="AO69" s="53">
        <f>IFERROR(AVERAGE(Table4[[#This Row],[Jan_2026_Days_Actual]:[Dec_2026_Days_Actual]]),0)/19</f>
        <v>0</v>
      </c>
      <c r="AP69" s="84"/>
      <c r="AQ69" s="84"/>
      <c r="AR69" s="84"/>
      <c r="AS69" s="84"/>
      <c r="AT69" s="84"/>
      <c r="AU69" s="84"/>
      <c r="AV69" s="84"/>
      <c r="AW69" s="84"/>
      <c r="AX69" s="84"/>
      <c r="AY69" s="84"/>
      <c r="AZ69" s="84"/>
      <c r="BA69" s="84"/>
      <c r="BB69" s="53">
        <f>IFERROR(AVERAGE(Table4[[#This Row],[Jan_2027_Days_Forecast]:[Dec_2027_Days_Forecast]]),0)</f>
        <v>0</v>
      </c>
      <c r="BC69" s="16"/>
      <c r="BD69" s="16"/>
      <c r="BE69" s="16"/>
      <c r="BF69" s="16"/>
      <c r="BG69" s="16"/>
      <c r="BH69" s="16"/>
      <c r="BI69" s="16"/>
      <c r="BJ69" s="16"/>
      <c r="BK69" s="16"/>
      <c r="BL69" s="16"/>
      <c r="BM69" s="16"/>
      <c r="BN69" s="16"/>
      <c r="BO69" s="55"/>
      <c r="BP69" s="60"/>
      <c r="BQ69" s="3">
        <v>0</v>
      </c>
      <c r="BR69" s="3">
        <f>IFERROR(Table4[[#This Row],[Jan_2026_Days_Actual]]*Table4[[#This Row],[Cost Boolean]]*(VLOOKUP(Table4[[#This Row],[RATE CONCAT]],Tables!I:N,5,0)),0)</f>
        <v>0</v>
      </c>
      <c r="BS69" s="3">
        <f>Table4[[#This Row],[Jan_2026_F]]-Table4[[#This Row],[Jan_2026_A]]</f>
        <v>0</v>
      </c>
      <c r="BT69" s="107"/>
      <c r="BU69" s="3">
        <f>IFERROR(Table4[[#This Row],[Feb_2026_Days_Forecast]]*Table4[[#This Row],[Cost Boolean]]*(VLOOKUP(Table4[[#This Row],[RATE CONCAT]],Tables!I:N,5,0)),0)</f>
        <v>0</v>
      </c>
      <c r="BV69" s="3">
        <f>IFERROR(Table4[[#This Row],[Feb_2026_Days_Actual]]*Table4[[#This Row],[Cost Boolean]]*(VLOOKUP(Table4[[#This Row],[RATE CONCAT]],Tables!I:N,5,0)),0)</f>
        <v>0</v>
      </c>
      <c r="BW69" s="3">
        <f>Table4[[#This Row],[Feb_2026_F]]-Table4[[#This Row],[Feb_2026_A]]</f>
        <v>0</v>
      </c>
      <c r="BX69" s="103"/>
      <c r="BY69" s="3">
        <f>IFERROR(Table4[[#This Row],[Mar_2026_Days_Forecast]]*Table4[[#This Row],[Cost Boolean]]*(VLOOKUP(Table4[[#This Row],[RATE CONCAT]],Tables!I:N,5,0)),0)</f>
        <v>0</v>
      </c>
      <c r="BZ69" s="3">
        <f>IFERROR(Table4[[#This Row],[Mar_2026_Days_Actual]]*Table4[[#This Row],[Cost Boolean]]*(VLOOKUP(Table4[[#This Row],[RATE CONCAT]],Tables!I:N,5,0)),0)</f>
        <v>0</v>
      </c>
      <c r="CA69" s="3">
        <f>Table4[[#This Row],[Mar_2026_F]]-Table4[[#This Row],[Mar_2026_A]]</f>
        <v>0</v>
      </c>
      <c r="CB69" s="103"/>
      <c r="CC69" s="3">
        <f>IFERROR(Table4[[#This Row],[Apr_2026_Days_Forecast]]*Table4[[#This Row],[Cost Boolean]]*(VLOOKUP(Table4[[#This Row],[RATE CONCAT]],Tables!I:N,5,0)),0)</f>
        <v>0</v>
      </c>
      <c r="CD69" s="3">
        <f>IFERROR(Table4[[#This Row],[Apr_2026_Days_Actual]]*Table4[[#This Row],[Cost Boolean]]*(VLOOKUP(Table4[[#This Row],[RATE CONCAT]],Tables!I:N,5,0)),0)</f>
        <v>0</v>
      </c>
      <c r="CE69" s="3">
        <f>Table4[[#This Row],[Apr_2026_F]]-Table4[[#This Row],[Apr_2026_A]]</f>
        <v>0</v>
      </c>
      <c r="CF69" s="103"/>
      <c r="CG69" s="3">
        <f>IFERROR(Table4[[#This Row],[May_2026_Days_Forecast]] *Table4[[#This Row],[Cost Boolean]]*(VLOOKUP(Table4[[#This Row],[RATE CONCAT]],Tables!I:N,5,0)),0)</f>
        <v>0</v>
      </c>
      <c r="CH69" s="3">
        <f>IFERROR(Table4[[#This Row],[May_2026_Days_Actual]]*Table4[[#This Row],[Cost Boolean]]*(VLOOKUP(Table4[[#This Row],[RATE CONCAT]],Tables!I:N,5,0)),0)</f>
        <v>0</v>
      </c>
      <c r="CI69" s="3">
        <f>Table4[[#This Row],[May_2026_F]]-Table4[[#This Row],[May_2026_A]]</f>
        <v>0</v>
      </c>
      <c r="CJ69" s="103"/>
      <c r="CK69" s="3">
        <f>IFERROR(Table4[[#This Row],[Jun_2026_Days_Forecast]]*Table4[[#This Row],[Cost Boolean]]*(VLOOKUP(Table4[[#This Row],[RATE CONCAT]],Tables!I:N,5,0)),0)</f>
        <v>0</v>
      </c>
      <c r="CL69" s="3">
        <f>IFERROR(Table4[[#This Row],[Jun_2026_Days_Actual]]*Table4[[#This Row],[Cost Boolean]]*(VLOOKUP(Table4[[#This Row],[RATE CONCAT]],Tables!I:N,5,0)),0)</f>
        <v>0</v>
      </c>
      <c r="CM69" s="3">
        <f>Table4[[#This Row],[Jun_2026_F]]-Table4[[#This Row],[Jun_2026_A]]</f>
        <v>0</v>
      </c>
      <c r="CN69" s="103"/>
      <c r="CO69" s="3">
        <f>IFERROR(Table4[[#This Row],[Jul_2026_Days_Forecast]]*Table4[[#This Row],[Cost Boolean]]*(VLOOKUP(Table4[[#This Row],[RATE CONCAT]],Tables!I:N,5,0)),0)</f>
        <v>0</v>
      </c>
      <c r="CP69" s="3">
        <f>IFERROR(Table4[[#This Row],[Aug_2026_Days_Forecast]]*Table4[[#This Row],[Location]]*(VLOOKUP(Table4[[#This Row],[Rate]],Tables!J:O,5,0)),0)</f>
        <v>0</v>
      </c>
      <c r="CQ69" s="3">
        <f>Table4[[#This Row],[Jul_2026_F]]-Table4[[#This Row],[Jul_2026_A]]</f>
        <v>0</v>
      </c>
      <c r="CR69" s="103"/>
      <c r="CS69" s="3">
        <f>IFERROR(Table4[[#This Row],[Aug_2026_Days_Forecast]]*Table4[[#This Row],[Cost Boolean]]*(VLOOKUP(Table4[[#This Row],[RATE CONCAT]],Tables!I:N,5,0)),0)</f>
        <v>0</v>
      </c>
      <c r="CT69" s="3">
        <f>IFERROR(Table4[[#This Row],[Aug_2026_Days_Actual]]*Table4[[#This Row],[Cost Boolean]]*(VLOOKUP(Table4[[#This Row],[RATE CONCAT]],Tables!I:N,5,0)),0)</f>
        <v>0</v>
      </c>
      <c r="CU69" s="3">
        <f>Table4[[#This Row],[Aug_2026_F]]-Table4[[#This Row],[Aug_2026_A]]</f>
        <v>0</v>
      </c>
      <c r="CV69" s="103"/>
      <c r="CW69" s="3">
        <f>IFERROR(Table4[[#This Row],[Sep_2026_Days_Forecast]]*Table4[[#This Row],[Cost Boolean]]*(VLOOKUP(Table4[[#This Row],[RATE CONCAT]],Tables!I:N,5,0)),0)</f>
        <v>0</v>
      </c>
      <c r="CX69" s="3">
        <f>IFERROR(Table4[[#This Row],[Sep_2026_Days_Actual]]*Table4[[#This Row],[Cost Boolean]]*(VLOOKUP(Table4[[#This Row],[RATE CONCAT]],Tables!I:N,5,0)),0)</f>
        <v>0</v>
      </c>
      <c r="CY69" s="3">
        <f>Table4[[#This Row],[Sep_2026_F]]-Table4[[#This Row],[Sep_2026_A]]</f>
        <v>0</v>
      </c>
      <c r="CZ69" s="103"/>
      <c r="DA69" s="3">
        <f>IFERROR(Table4[[#This Row],[Oct_2026_Days_Forecast]]*Table4[[#This Row],[Cost Boolean]]*(VLOOKUP(Table4[[#This Row],[RATE CONCAT]],Tables!I:N,5,0)),0)</f>
        <v>0</v>
      </c>
      <c r="DB69" s="3">
        <f>IFERROR(Table4[[#This Row],[Oct_2026_Days_Actual]]*Table4[[#This Row],[Cost Boolean]]*(VLOOKUP(Table4[[#This Row],[RATE CONCAT]],Tables!I:N,5,0)),0)</f>
        <v>0</v>
      </c>
      <c r="DC69" s="3">
        <f>Table4[[#This Row],[Oct_2026_F]]-Table4[[#This Row],[Oct_2026_A]]</f>
        <v>0</v>
      </c>
      <c r="DD69" s="103"/>
      <c r="DE69" s="3">
        <f>IFERROR(Table4[[#This Row],[Nov_2026_Days_Forecast]]*Table4[[#This Row],[Cost Boolean]]*(VLOOKUP(Table4[[#This Row],[RATE CONCAT]],Tables!I:N,5,0)),0)</f>
        <v>0</v>
      </c>
      <c r="DF69" s="3">
        <f>IFERROR(Table4[[#This Row],[Nov_2026_Days_Actual]]*Table4[[#This Row],[Cost Boolean]]*(VLOOKUP(Table4[[#This Row],[RATE CONCAT]],Tables!I:N,5,0)),0)</f>
        <v>0</v>
      </c>
      <c r="DG69" s="3">
        <f>Table4[[#This Row],[Nov_2026_F]]-Table4[[#This Row],[Nov_2026_A]]</f>
        <v>0</v>
      </c>
      <c r="DH69" s="103"/>
      <c r="DI69" s="3">
        <f>IFERROR(Table4[[#This Row],[Dec_2026_Days_Forecast]]*Table4[[#This Row],[Cost Boolean]]*(VLOOKUP(Table4[[#This Row],[RATE CONCAT]],Tables!I:N,5,0)),0)</f>
        <v>0</v>
      </c>
      <c r="DJ69" s="3">
        <f>IFERROR(Table4[[#This Row],[Dec_2026_Days_Actual]]*Table4[[#This Row],[Cost Boolean]]*(VLOOKUP(Table4[[#This Row],[RATE CONCAT]],Tables!I:N,5,0)),0)</f>
        <v>0</v>
      </c>
      <c r="DK69" s="3">
        <f>Table4[[#This Row],[Dec_2026_F]]-Table4[[#This Row],[Dec_2026_A]]</f>
        <v>0</v>
      </c>
      <c r="DL69" s="103"/>
      <c r="DM69" s="60"/>
      <c r="DN69" s="3">
        <f>IFERROR(Table4[[#This Row],[Jan_2027_Days_Forecast]]*Table4[[#This Row],[Cost Boolean]]*(VLOOKUP(Table4[[#This Row],[RATE CONCAT]],Tables!I:N,6,0)),0)</f>
        <v>0</v>
      </c>
      <c r="DO69" s="3"/>
      <c r="DP69" s="3">
        <f>Table4[[#This Row],[Jan_2027_F]]-Table4[[#This Row],[Jan_2027_A]]</f>
        <v>0</v>
      </c>
      <c r="DQ69" s="3">
        <f>IFERROR(Table4[[#This Row],[Feb_2027_Days_Forecast]]*Table4[[#This Row],[Cost Boolean]]*(VLOOKUP(Table4[[#This Row],[RATE CONCAT]],Tables!I:N,6,0)),0)</f>
        <v>0</v>
      </c>
      <c r="DR69" s="3"/>
      <c r="DS69" s="3">
        <f>Table4[[#This Row],[Feb_2027_F]]-Table4[[#This Row],[Feb_2027_A]]</f>
        <v>0</v>
      </c>
      <c r="DT69" s="3">
        <f>IFERROR(Table4[[#This Row],[Mar_2027_Days_Forecast]]*Table4[[#This Row],[Cost Boolean]]*(VLOOKUP(Table4[[#This Row],[RATE CONCAT]],Tables!I:N,6,0)),0)</f>
        <v>0</v>
      </c>
      <c r="DU69" s="3"/>
      <c r="DV69" s="3">
        <f>Table4[[#This Row],[Mar_2027_F]]-Table4[[#This Row],[Mar_2027_A]]</f>
        <v>0</v>
      </c>
      <c r="DW69" s="3">
        <f>IFERROR(Table4[[#This Row],[Apr_2027_Days_Forecast]]*Table4[[#This Row],[Cost Boolean]]*(VLOOKUP(Table4[[#This Row],[RATE CONCAT]],Tables!I:N,6,0)),0)</f>
        <v>0</v>
      </c>
      <c r="DX69" s="3"/>
      <c r="DY69" s="3">
        <f>Table4[[#This Row],[Apr_2027_F]]-Table4[[#This Row],[Apr_2027_A]]</f>
        <v>0</v>
      </c>
      <c r="DZ69" s="3">
        <f>IFERROR(Table4[[#This Row],[May_2027_Days_Forecast]]*Table4[[#This Row],[Cost Boolean]]*(VLOOKUP(Table4[[#This Row],[RATE CONCAT]],Tables!I:N,6,0)),0)</f>
        <v>0</v>
      </c>
      <c r="EA69" s="3"/>
      <c r="EB69" s="3">
        <f>Table4[[#This Row],[May_2027_F]]-Table4[[#This Row],[May_2027_A]]</f>
        <v>0</v>
      </c>
      <c r="EC69" s="3">
        <f>IFERROR(Table4[[#This Row],[Jun_2027_Days_Forecast]]*Table4[[#This Row],[Cost Boolean]]*(VLOOKUP(Table4[[#This Row],[RATE CONCAT]],Tables!I:N,6,0)),0)</f>
        <v>0</v>
      </c>
      <c r="ED69" s="3"/>
      <c r="EE69" s="3">
        <f>Table4[[#This Row],[Jun_2027_F]]-Table4[[#This Row],[Jun_2027_A]]</f>
        <v>0</v>
      </c>
      <c r="EF69" s="3">
        <f>IFERROR(Table4[[#This Row],[Jul_2027_Days_Forecast]]*Table4[[#This Row],[Cost Boolean]]*(VLOOKUP(Table4[[#This Row],[RATE CONCAT]],Tables!I:N,6,0)),0)</f>
        <v>0</v>
      </c>
      <c r="EG69" s="3"/>
      <c r="EH69" s="3">
        <f>Table4[[#This Row],[Jul_2027_F]]-Table4[[#This Row],[Jul_2027_A]]</f>
        <v>0</v>
      </c>
      <c r="EI69" s="3">
        <f>IFERROR(Table4[[#This Row],[Aug_2027_Days_Forecast]]*Table4[[#This Row],[Cost Boolean]]*(VLOOKUP(Table4[[#This Row],[RATE CONCAT]],Tables!I:N,6,0)),0)</f>
        <v>0</v>
      </c>
      <c r="EJ69" s="3"/>
      <c r="EK69" s="3">
        <f>Table4[[#This Row],[Aug_2027_F]]-Table4[[#This Row],[Aug_2027_A]]</f>
        <v>0</v>
      </c>
      <c r="EL69" s="3">
        <f>IFERROR(Table4[[#This Row],[Sep_2027_Days_Forecast]]*Table4[[#This Row],[Cost Boolean]]*(VLOOKUP(Table4[[#This Row],[RATE CONCAT]],Tables!I:N,6,0)),0)</f>
        <v>0</v>
      </c>
      <c r="EM69" s="3"/>
      <c r="EN69" s="3">
        <f>Table4[[#This Row],[Sep_2027_F]]-Table4[[#This Row],[Sep_2027_A]]</f>
        <v>0</v>
      </c>
      <c r="EO69" s="3">
        <f>IFERROR(Table4[[#This Row],[Oct_2027_Days_Forecast]]*Table4[[#This Row],[Cost Boolean]]*(VLOOKUP(Table4[[#This Row],[RATE CONCAT]],Tables!I:N,6,0)),0)</f>
        <v>0</v>
      </c>
      <c r="EP69" s="3"/>
      <c r="EQ69" s="3">
        <f>Table4[[#This Row],[Oct_2027_F]]-Table4[[#This Row],[Oct_2027_A]]</f>
        <v>0</v>
      </c>
      <c r="ER69" s="3">
        <f>IFERROR(Table4[[#This Row],[Nov_2027_Days_Forecast]]*Table4[[#This Row],[Cost Boolean]]*(VLOOKUP(Table4[[#This Row],[RATE CONCAT]],Tables!I:N,6,0)),0)</f>
        <v>0</v>
      </c>
      <c r="ES69" s="3"/>
      <c r="ET69" s="3">
        <f>Table4[[#This Row],[Nov_2027_F]]-Table4[[#This Row],[Nov_2027_A]]</f>
        <v>0</v>
      </c>
      <c r="EU69" s="3">
        <f>IFERROR(Table4[[#This Row],[Dec_2027_Days_Forecast]]*Table4[[#This Row],[Cost Boolean]]*(VLOOKUP(Table4[[#This Row],[RATE CONCAT]],Tables!I:N,6,0)),0)</f>
        <v>0</v>
      </c>
      <c r="EV69" s="3"/>
      <c r="EW69" s="3">
        <f>Table4[[#This Row],[Dec_2027_F]]-Table4[[#This Row],[Dec_2027_A]]</f>
        <v>0</v>
      </c>
    </row>
    <row r="70" spans="1:153" ht="1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2" t="str">
        <f>CONCATENATE(Table4[[#This Row],[JG]],Table4[[#This Row],[Country]],Table4[[#This Row],[Resource Provider]])</f>
        <v/>
      </c>
      <c r="Z70" s="132">
        <f>VLOOKUP(Table4[[#This Row],[RATE CONCAT]],Tables!I:N,5,0)</f>
        <v>0</v>
      </c>
      <c r="AA70" s="53"/>
      <c r="AB70" s="16"/>
      <c r="AC70" s="16"/>
      <c r="AD70" s="16"/>
      <c r="AE70" s="16"/>
      <c r="AF70" s="16"/>
      <c r="AG70" s="16"/>
      <c r="AH70" s="16"/>
      <c r="AI70" s="16"/>
      <c r="AJ70" s="16"/>
      <c r="AK70" s="16"/>
      <c r="AL70" s="16"/>
      <c r="AM70" s="16"/>
      <c r="AN70" s="53">
        <f>IFERROR(AVERAGE(Table4[[#This Row],[Jan_2026_Days_Forecast]:[Dec_2026_Days_Forecast]]),0)/19</f>
        <v>0</v>
      </c>
      <c r="AO70" s="53">
        <f>IFERROR(AVERAGE(Table4[[#This Row],[Jan_2026_Days_Actual]:[Dec_2026_Days_Actual]]),0)/19</f>
        <v>0</v>
      </c>
      <c r="AP70" s="84"/>
      <c r="AQ70" s="84"/>
      <c r="AR70" s="84"/>
      <c r="AS70" s="84"/>
      <c r="AT70" s="84"/>
      <c r="AU70" s="84"/>
      <c r="AV70" s="84"/>
      <c r="AW70" s="84"/>
      <c r="AX70" s="84"/>
      <c r="AY70" s="84"/>
      <c r="AZ70" s="84"/>
      <c r="BA70" s="84"/>
      <c r="BB70" s="53">
        <f>IFERROR(AVERAGE(Table4[[#This Row],[Jan_2027_Days_Forecast]:[Dec_2027_Days_Forecast]]),0)</f>
        <v>0</v>
      </c>
      <c r="BC70" s="16"/>
      <c r="BD70" s="16"/>
      <c r="BE70" s="16"/>
      <c r="BF70" s="16"/>
      <c r="BG70" s="16"/>
      <c r="BH70" s="16"/>
      <c r="BI70" s="16"/>
      <c r="BJ70" s="16"/>
      <c r="BK70" s="16"/>
      <c r="BL70" s="16"/>
      <c r="BM70" s="16"/>
      <c r="BN70" s="16"/>
      <c r="BO70" s="55"/>
      <c r="BP70" s="60"/>
      <c r="BQ70" s="3">
        <f>Table4[[#This Row],[Jan_2026_Days_Forecast]]*Table4[[#This Row],[Cost Boolean]]*VLOOKUP(Table4[[#This Row],[RATE CONCAT]],Tables!I:N,5,0)</f>
        <v>0</v>
      </c>
      <c r="BR70" s="3">
        <f>IFERROR(Table4[[#This Row],[Jan_2026_Days_Actual]]*Table4[[#This Row],[Cost Boolean]]*(VLOOKUP(Table4[[#This Row],[RATE CONCAT]],Tables!I:N,5,0)),0)</f>
        <v>0</v>
      </c>
      <c r="BS70" s="3">
        <f>Table4[[#This Row],[Jan_2026_F]]-Table4[[#This Row],[Jan_2026_A]]</f>
        <v>0</v>
      </c>
      <c r="BT70" s="107"/>
      <c r="BU70" s="3">
        <f>IFERROR(Table4[[#This Row],[Feb_2026_Days_Forecast]]*Table4[[#This Row],[Cost Boolean]]*(VLOOKUP(Table4[[#This Row],[RATE CONCAT]],Tables!I:N,5,0)),0)</f>
        <v>0</v>
      </c>
      <c r="BV70" s="3">
        <f>IFERROR(Table4[[#This Row],[Feb_2026_Days_Actual]]*Table4[[#This Row],[Cost Boolean]]*(VLOOKUP(Table4[[#This Row],[RATE CONCAT]],Tables!I:N,5,0)),0)</f>
        <v>0</v>
      </c>
      <c r="BW70" s="3">
        <f>Table4[[#This Row],[Feb_2026_F]]-Table4[[#This Row],[Feb_2026_A]]</f>
        <v>0</v>
      </c>
      <c r="BX70" s="103"/>
      <c r="BY70" s="3">
        <f>IFERROR(Table4[[#This Row],[Mar_2026_Days_Forecast]]*Table4[[#This Row],[Cost Boolean]]*(VLOOKUP(Table4[[#This Row],[RATE CONCAT]],Tables!I:N,5,0)),0)</f>
        <v>0</v>
      </c>
      <c r="BZ70" s="3">
        <f>IFERROR(Table4[[#This Row],[Mar_2026_Days_Actual]]*Table4[[#This Row],[Cost Boolean]]*(VLOOKUP(Table4[[#This Row],[RATE CONCAT]],Tables!I:N,5,0)),0)</f>
        <v>0</v>
      </c>
      <c r="CA70" s="3">
        <f>Table4[[#This Row],[Mar_2026_F]]-Table4[[#This Row],[Mar_2026_A]]</f>
        <v>0</v>
      </c>
      <c r="CB70" s="103"/>
      <c r="CC70" s="3">
        <f>IFERROR(Table4[[#This Row],[Apr_2026_Days_Forecast]]*Table4[[#This Row],[Cost Boolean]]*(VLOOKUP(Table4[[#This Row],[RATE CONCAT]],Tables!I:N,5,0)),0)</f>
        <v>0</v>
      </c>
      <c r="CD70" s="3">
        <f>IFERROR(Table4[[#This Row],[Apr_2026_Days_Actual]]*Table4[[#This Row],[Cost Boolean]]*(VLOOKUP(Table4[[#This Row],[RATE CONCAT]],Tables!I:N,5,0)),0)</f>
        <v>0</v>
      </c>
      <c r="CE70" s="3">
        <f>Table4[[#This Row],[Apr_2026_F]]-Table4[[#This Row],[Apr_2026_A]]</f>
        <v>0</v>
      </c>
      <c r="CF70" s="103"/>
      <c r="CG70" s="3">
        <f>IFERROR(Table4[[#This Row],[May_2026_Days_Forecast]] *Table4[[#This Row],[Cost Boolean]]*(VLOOKUP(Table4[[#This Row],[RATE CONCAT]],Tables!I:N,5,0)),0)</f>
        <v>0</v>
      </c>
      <c r="CH70" s="3">
        <f>IFERROR(Table4[[#This Row],[May_2026_Days_Actual]]*Table4[[#This Row],[Cost Boolean]]*(VLOOKUP(Table4[[#This Row],[RATE CONCAT]],Tables!I:N,5,0)),0)</f>
        <v>0</v>
      </c>
      <c r="CI70" s="3">
        <f>Table4[[#This Row],[May_2026_F]]-Table4[[#This Row],[May_2026_A]]</f>
        <v>0</v>
      </c>
      <c r="CJ70" s="103"/>
      <c r="CK70" s="3">
        <f>IFERROR(Table4[[#This Row],[Jun_2026_Days_Forecast]]*Table4[[#This Row],[Cost Boolean]]*(VLOOKUP(Table4[[#This Row],[RATE CONCAT]],Tables!I:N,5,0)),0)</f>
        <v>0</v>
      </c>
      <c r="CL70" s="3">
        <f>IFERROR(Table4[[#This Row],[Jun_2026_Days_Actual]]*Table4[[#This Row],[Cost Boolean]]*(VLOOKUP(Table4[[#This Row],[RATE CONCAT]],Tables!I:N,5,0)),0)</f>
        <v>0</v>
      </c>
      <c r="CM70" s="3">
        <f>Table4[[#This Row],[Jun_2026_F]]-Table4[[#This Row],[Jun_2026_A]]</f>
        <v>0</v>
      </c>
      <c r="CN70" s="103"/>
      <c r="CO70" s="3">
        <f>IFERROR(Table4[[#This Row],[Jul_2026_Days_Forecast]]*Table4[[#This Row],[Cost Boolean]]*(VLOOKUP(Table4[[#This Row],[RATE CONCAT]],Tables!I:N,5,0)),0)</f>
        <v>0</v>
      </c>
      <c r="CP70" s="3">
        <f>IFERROR(Table4[[#This Row],[Aug_2026_Days_Forecast]]*Table4[[#This Row],[Location]]*(VLOOKUP(Table4[[#This Row],[Rate]],Tables!J:O,5,0)),0)</f>
        <v>0</v>
      </c>
      <c r="CQ70" s="3">
        <f>Table4[[#This Row],[Jul_2026_F]]-Table4[[#This Row],[Jul_2026_A]]</f>
        <v>0</v>
      </c>
      <c r="CR70" s="103"/>
      <c r="CS70" s="3">
        <f>IFERROR(Table4[[#This Row],[Aug_2026_Days_Forecast]]*Table4[[#This Row],[Cost Boolean]]*(VLOOKUP(Table4[[#This Row],[RATE CONCAT]],Tables!I:N,5,0)),0)</f>
        <v>0</v>
      </c>
      <c r="CT70" s="3">
        <f>IFERROR(Table4[[#This Row],[Aug_2026_Days_Actual]]*Table4[[#This Row],[Cost Boolean]]*(VLOOKUP(Table4[[#This Row],[RATE CONCAT]],Tables!I:N,5,0)),0)</f>
        <v>0</v>
      </c>
      <c r="CU70" s="3">
        <f>Table4[[#This Row],[Aug_2026_F]]-Table4[[#This Row],[Aug_2026_A]]</f>
        <v>0</v>
      </c>
      <c r="CV70" s="103"/>
      <c r="CW70" s="3">
        <f>IFERROR(Table4[[#This Row],[Sep_2026_Days_Forecast]]*Table4[[#This Row],[Cost Boolean]]*(VLOOKUP(Table4[[#This Row],[RATE CONCAT]],Tables!I:N,5,0)),0)</f>
        <v>0</v>
      </c>
      <c r="CX70" s="3">
        <f>IFERROR(Table4[[#This Row],[Sep_2026_Days_Actual]]*Table4[[#This Row],[Cost Boolean]]*(VLOOKUP(Table4[[#This Row],[RATE CONCAT]],Tables!I:N,5,0)),0)</f>
        <v>0</v>
      </c>
      <c r="CY70" s="3">
        <f>Table4[[#This Row],[Sep_2026_F]]-Table4[[#This Row],[Sep_2026_A]]</f>
        <v>0</v>
      </c>
      <c r="CZ70" s="103"/>
      <c r="DA70" s="3">
        <f>IFERROR(Table4[[#This Row],[Oct_2026_Days_Forecast]]*Table4[[#This Row],[Cost Boolean]]*(VLOOKUP(Table4[[#This Row],[RATE CONCAT]],Tables!I:N,5,0)),0)</f>
        <v>0</v>
      </c>
      <c r="DB70" s="3">
        <f>IFERROR(Table4[[#This Row],[Oct_2026_Days_Actual]]*Table4[[#This Row],[Cost Boolean]]*(VLOOKUP(Table4[[#This Row],[RATE CONCAT]],Tables!I:N,5,0)),0)</f>
        <v>0</v>
      </c>
      <c r="DC70" s="3">
        <f>Table4[[#This Row],[Oct_2026_F]]-Table4[[#This Row],[Oct_2026_A]]</f>
        <v>0</v>
      </c>
      <c r="DD70" s="103"/>
      <c r="DE70" s="3">
        <f>IFERROR(Table4[[#This Row],[Nov_2026_Days_Forecast]]*Table4[[#This Row],[Cost Boolean]]*(VLOOKUP(Table4[[#This Row],[RATE CONCAT]],Tables!I:N,5,0)),0)</f>
        <v>0</v>
      </c>
      <c r="DF70" s="3">
        <f>IFERROR(Table4[[#This Row],[Nov_2026_Days_Actual]]*Table4[[#This Row],[Cost Boolean]]*(VLOOKUP(Table4[[#This Row],[RATE CONCAT]],Tables!I:N,5,0)),0)</f>
        <v>0</v>
      </c>
      <c r="DG70" s="3">
        <f>Table4[[#This Row],[Nov_2026_F]]-Table4[[#This Row],[Nov_2026_A]]</f>
        <v>0</v>
      </c>
      <c r="DH70" s="103"/>
      <c r="DI70" s="3">
        <f>IFERROR(Table4[[#This Row],[Dec_2026_Days_Forecast]]*Table4[[#This Row],[Cost Boolean]]*(VLOOKUP(Table4[[#This Row],[RATE CONCAT]],Tables!I:N,5,0)),0)</f>
        <v>0</v>
      </c>
      <c r="DJ70" s="3">
        <f>IFERROR(Table4[[#This Row],[Dec_2026_Days_Actual]]*Table4[[#This Row],[Cost Boolean]]*(VLOOKUP(Table4[[#This Row],[RATE CONCAT]],Tables!I:N,5,0)),0)</f>
        <v>0</v>
      </c>
      <c r="DK70" s="3">
        <f>Table4[[#This Row],[Dec_2026_F]]-Table4[[#This Row],[Dec_2026_A]]</f>
        <v>0</v>
      </c>
      <c r="DL70" s="103"/>
      <c r="DM70" s="60"/>
      <c r="DN70" s="3">
        <f>IFERROR(Table4[[#This Row],[Jan_2027_Days_Forecast]]*Table4[[#This Row],[Cost Boolean]]*(VLOOKUP(Table4[[#This Row],[RATE CONCAT]],Tables!I:N,6,0)),0)</f>
        <v>0</v>
      </c>
      <c r="DO70" s="3"/>
      <c r="DP70" s="3">
        <f>Table4[[#This Row],[Jan_2027_F]]-Table4[[#This Row],[Jan_2027_A]]</f>
        <v>0</v>
      </c>
      <c r="DQ70" s="3">
        <f>IFERROR(Table4[[#This Row],[Feb_2027_Days_Forecast]]*Table4[[#This Row],[Cost Boolean]]*(VLOOKUP(Table4[[#This Row],[RATE CONCAT]],Tables!I:N,6,0)),0)</f>
        <v>0</v>
      </c>
      <c r="DR70" s="3"/>
      <c r="DS70" s="3">
        <f>Table4[[#This Row],[Feb_2027_F]]-Table4[[#This Row],[Feb_2027_A]]</f>
        <v>0</v>
      </c>
      <c r="DT70" s="3">
        <f>IFERROR(Table4[[#This Row],[Mar_2027_Days_Forecast]]*Table4[[#This Row],[Cost Boolean]]*(VLOOKUP(Table4[[#This Row],[RATE CONCAT]],Tables!I:N,6,0)),0)</f>
        <v>0</v>
      </c>
      <c r="DU70" s="3"/>
      <c r="DV70" s="3">
        <f>Table4[[#This Row],[Mar_2027_F]]-Table4[[#This Row],[Mar_2027_A]]</f>
        <v>0</v>
      </c>
      <c r="DW70" s="3">
        <f>IFERROR(Table4[[#This Row],[Apr_2027_Days_Forecast]]*Table4[[#This Row],[Cost Boolean]]*(VLOOKUP(Table4[[#This Row],[RATE CONCAT]],Tables!I:N,6,0)),0)</f>
        <v>0</v>
      </c>
      <c r="DX70" s="3"/>
      <c r="DY70" s="3">
        <f>Table4[[#This Row],[Apr_2027_F]]-Table4[[#This Row],[Apr_2027_A]]</f>
        <v>0</v>
      </c>
      <c r="DZ70" s="3">
        <f>IFERROR(Table4[[#This Row],[May_2027_Days_Forecast]]*Table4[[#This Row],[Cost Boolean]]*(VLOOKUP(Table4[[#This Row],[RATE CONCAT]],Tables!I:N,6,0)),0)</f>
        <v>0</v>
      </c>
      <c r="EA70" s="3"/>
      <c r="EB70" s="3">
        <f>Table4[[#This Row],[May_2027_F]]-Table4[[#This Row],[May_2027_A]]</f>
        <v>0</v>
      </c>
      <c r="EC70" s="3">
        <f>IFERROR(Table4[[#This Row],[Jun_2027_Days_Forecast]]*Table4[[#This Row],[Cost Boolean]]*(VLOOKUP(Table4[[#This Row],[RATE CONCAT]],Tables!I:N,6,0)),0)</f>
        <v>0</v>
      </c>
      <c r="ED70" s="3"/>
      <c r="EE70" s="3">
        <f>Table4[[#This Row],[Jun_2027_F]]-Table4[[#This Row],[Jun_2027_A]]</f>
        <v>0</v>
      </c>
      <c r="EF70" s="3">
        <f>IFERROR(Table4[[#This Row],[Jul_2027_Days_Forecast]]*Table4[[#This Row],[Cost Boolean]]*(VLOOKUP(Table4[[#This Row],[RATE CONCAT]],Tables!I:N,6,0)),0)</f>
        <v>0</v>
      </c>
      <c r="EG70" s="3"/>
      <c r="EH70" s="3">
        <f>Table4[[#This Row],[Jul_2027_F]]-Table4[[#This Row],[Jul_2027_A]]</f>
        <v>0</v>
      </c>
      <c r="EI70" s="3">
        <f>IFERROR(Table4[[#This Row],[Aug_2027_Days_Forecast]]*Table4[[#This Row],[Cost Boolean]]*(VLOOKUP(Table4[[#This Row],[RATE CONCAT]],Tables!I:N,6,0)),0)</f>
        <v>0</v>
      </c>
      <c r="EJ70" s="3"/>
      <c r="EK70" s="3">
        <f>Table4[[#This Row],[Aug_2027_F]]-Table4[[#This Row],[Aug_2027_A]]</f>
        <v>0</v>
      </c>
      <c r="EL70" s="3">
        <f>IFERROR(Table4[[#This Row],[Sep_2027_Days_Forecast]]*Table4[[#This Row],[Cost Boolean]]*(VLOOKUP(Table4[[#This Row],[RATE CONCAT]],Tables!I:N,6,0)),0)</f>
        <v>0</v>
      </c>
      <c r="EM70" s="3"/>
      <c r="EN70" s="3">
        <f>Table4[[#This Row],[Sep_2027_F]]-Table4[[#This Row],[Sep_2027_A]]</f>
        <v>0</v>
      </c>
      <c r="EO70" s="3">
        <f>IFERROR(Table4[[#This Row],[Oct_2027_Days_Forecast]]*Table4[[#This Row],[Cost Boolean]]*(VLOOKUP(Table4[[#This Row],[RATE CONCAT]],Tables!I:N,6,0)),0)</f>
        <v>0</v>
      </c>
      <c r="EP70" s="3"/>
      <c r="EQ70" s="3">
        <f>Table4[[#This Row],[Oct_2027_F]]-Table4[[#This Row],[Oct_2027_A]]</f>
        <v>0</v>
      </c>
      <c r="ER70" s="3">
        <f>IFERROR(Table4[[#This Row],[Nov_2027_Days_Forecast]]*Table4[[#This Row],[Cost Boolean]]*(VLOOKUP(Table4[[#This Row],[RATE CONCAT]],Tables!I:N,6,0)),0)</f>
        <v>0</v>
      </c>
      <c r="ES70" s="3"/>
      <c r="ET70" s="3">
        <f>Table4[[#This Row],[Nov_2027_F]]-Table4[[#This Row],[Nov_2027_A]]</f>
        <v>0</v>
      </c>
      <c r="EU70" s="3">
        <f>IFERROR(Table4[[#This Row],[Dec_2027_Days_Forecast]]*Table4[[#This Row],[Cost Boolean]]*(VLOOKUP(Table4[[#This Row],[RATE CONCAT]],Tables!I:N,6,0)),0)</f>
        <v>0</v>
      </c>
      <c r="EV70" s="3"/>
      <c r="EW70" s="3">
        <f>Table4[[#This Row],[Dec_2027_F]]-Table4[[#This Row],[Dec_2027_A]]</f>
        <v>0</v>
      </c>
    </row>
    <row r="71" spans="1:153" ht="1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2" t="str">
        <f>CONCATENATE(Table4[[#This Row],[JG]],Table4[[#This Row],[Country]],Table4[[#This Row],[Resource Provider]])</f>
        <v/>
      </c>
      <c r="Z71" s="132">
        <f>VLOOKUP(Table4[[#This Row],[RATE CONCAT]],Tables!I:N,5,0)</f>
        <v>0</v>
      </c>
      <c r="AA71" s="53"/>
      <c r="AB71" s="16"/>
      <c r="AC71" s="16"/>
      <c r="AD71" s="16"/>
      <c r="AE71" s="16"/>
      <c r="AF71" s="16"/>
      <c r="AG71" s="16"/>
      <c r="AH71" s="16"/>
      <c r="AI71" s="16"/>
      <c r="AJ71" s="16"/>
      <c r="AK71" s="16"/>
      <c r="AL71" s="16"/>
      <c r="AM71" s="16"/>
      <c r="AN71" s="53">
        <f>IFERROR(AVERAGE(Table4[[#This Row],[Jan_2026_Days_Forecast]:[Dec_2026_Days_Forecast]]),0)/19</f>
        <v>0</v>
      </c>
      <c r="AO71" s="53">
        <f>IFERROR(AVERAGE(Table4[[#This Row],[Jan_2026_Days_Actual]:[Dec_2026_Days_Actual]]),0)/19</f>
        <v>0</v>
      </c>
      <c r="AP71" s="84"/>
      <c r="AQ71" s="84"/>
      <c r="AR71" s="84"/>
      <c r="AS71" s="84"/>
      <c r="AT71" s="84"/>
      <c r="AU71" s="84"/>
      <c r="AV71" s="84"/>
      <c r="AW71" s="84"/>
      <c r="AX71" s="84"/>
      <c r="AY71" s="84"/>
      <c r="AZ71" s="84"/>
      <c r="BA71" s="84"/>
      <c r="BB71" s="53">
        <f>IFERROR(AVERAGE(Table4[[#This Row],[Jan_2027_Days_Forecast]:[Dec_2027_Days_Forecast]]),0)</f>
        <v>0</v>
      </c>
      <c r="BC71" s="16"/>
      <c r="BD71" s="16"/>
      <c r="BE71" s="16"/>
      <c r="BF71" s="16"/>
      <c r="BG71" s="16"/>
      <c r="BH71" s="16"/>
      <c r="BI71" s="16"/>
      <c r="BJ71" s="16"/>
      <c r="BK71" s="16"/>
      <c r="BL71" s="16"/>
      <c r="BM71" s="16"/>
      <c r="BN71" s="16"/>
      <c r="BO71" s="55"/>
      <c r="BP71" s="60"/>
      <c r="BQ71" s="3">
        <f>Table4[[#This Row],[Jan_2026_Days_Forecast]]*Table4[[#This Row],[Cost Boolean]]*VLOOKUP(Table4[[#This Row],[RATE CONCAT]],Tables!I:N,5,0)</f>
        <v>0</v>
      </c>
      <c r="BR71" s="3">
        <f>IFERROR(Table4[[#This Row],[Jan_2026_Days_Actual]]*Table4[[#This Row],[Cost Boolean]]*(VLOOKUP(Table4[[#This Row],[RATE CONCAT]],Tables!I:N,5,0)),0)</f>
        <v>0</v>
      </c>
      <c r="BS71" s="3">
        <f>Table4[[#This Row],[Jan_2026_F]]-Table4[[#This Row],[Jan_2026_A]]</f>
        <v>0</v>
      </c>
      <c r="BT71" s="107"/>
      <c r="BU71" s="3">
        <f>IFERROR(Table4[[#This Row],[Feb_2026_Days_Forecast]]*Table4[[#This Row],[Cost Boolean]]*(VLOOKUP(Table4[[#This Row],[RATE CONCAT]],Tables!I:N,5,0)),0)</f>
        <v>0</v>
      </c>
      <c r="BV71" s="3">
        <f>IFERROR(Table4[[#This Row],[Feb_2026_Days_Actual]]*Table4[[#This Row],[Cost Boolean]]*(VLOOKUP(Table4[[#This Row],[RATE CONCAT]],Tables!I:N,5,0)),0)</f>
        <v>0</v>
      </c>
      <c r="BW71" s="3">
        <f>Table4[[#This Row],[Feb_2026_F]]-Table4[[#This Row],[Feb_2026_A]]</f>
        <v>0</v>
      </c>
      <c r="BX71" s="103"/>
      <c r="BY71" s="3">
        <f>IFERROR(Table4[[#This Row],[Mar_2026_Days_Forecast]]*Table4[[#This Row],[Cost Boolean]]*(VLOOKUP(Table4[[#This Row],[RATE CONCAT]],Tables!I:N,5,0)),0)</f>
        <v>0</v>
      </c>
      <c r="BZ71" s="3">
        <f>IFERROR(Table4[[#This Row],[Mar_2026_Days_Actual]]*Table4[[#This Row],[Cost Boolean]]*(VLOOKUP(Table4[[#This Row],[RATE CONCAT]],Tables!I:N,5,0)),0)</f>
        <v>0</v>
      </c>
      <c r="CA71" s="3">
        <f>Table4[[#This Row],[Mar_2026_F]]-Table4[[#This Row],[Mar_2026_A]]</f>
        <v>0</v>
      </c>
      <c r="CB71" s="103"/>
      <c r="CC71" s="3">
        <f>IFERROR(Table4[[#This Row],[Apr_2026_Days_Forecast]]*Table4[[#This Row],[Cost Boolean]]*(VLOOKUP(Table4[[#This Row],[RATE CONCAT]],Tables!I:N,5,0)),0)</f>
        <v>0</v>
      </c>
      <c r="CD71" s="3">
        <f>IFERROR(Table4[[#This Row],[Apr_2026_Days_Actual]]*Table4[[#This Row],[Cost Boolean]]*(VLOOKUP(Table4[[#This Row],[RATE CONCAT]],Tables!I:N,5,0)),0)</f>
        <v>0</v>
      </c>
      <c r="CE71" s="3">
        <f>Table4[[#This Row],[Apr_2026_F]]-Table4[[#This Row],[Apr_2026_A]]</f>
        <v>0</v>
      </c>
      <c r="CF71" s="103"/>
      <c r="CG71" s="3">
        <f>IFERROR(Table4[[#This Row],[May_2026_Days_Forecast]] *Table4[[#This Row],[Cost Boolean]]*(VLOOKUP(Table4[[#This Row],[RATE CONCAT]],Tables!I:N,5,0)),0)</f>
        <v>0</v>
      </c>
      <c r="CH71" s="3">
        <f>IFERROR(Table4[[#This Row],[May_2026_Days_Actual]]*Table4[[#This Row],[Cost Boolean]]*(VLOOKUP(Table4[[#This Row],[RATE CONCAT]],Tables!I:N,5,0)),0)</f>
        <v>0</v>
      </c>
      <c r="CI71" s="3">
        <f>Table4[[#This Row],[May_2026_F]]-Table4[[#This Row],[May_2026_A]]</f>
        <v>0</v>
      </c>
      <c r="CJ71" s="103"/>
      <c r="CK71" s="3">
        <f>IFERROR(Table4[[#This Row],[Jun_2026_Days_Forecast]]*Table4[[#This Row],[Cost Boolean]]*(VLOOKUP(Table4[[#This Row],[RATE CONCAT]],Tables!I:N,5,0)),0)</f>
        <v>0</v>
      </c>
      <c r="CL71" s="3">
        <f>IFERROR(Table4[[#This Row],[Jun_2026_Days_Actual]]*Table4[[#This Row],[Cost Boolean]]*(VLOOKUP(Table4[[#This Row],[RATE CONCAT]],Tables!I:N,5,0)),0)</f>
        <v>0</v>
      </c>
      <c r="CM71" s="3">
        <f>Table4[[#This Row],[Jun_2026_F]]-Table4[[#This Row],[Jun_2026_A]]</f>
        <v>0</v>
      </c>
      <c r="CN71" s="103"/>
      <c r="CO71" s="3">
        <f>IFERROR(Table4[[#This Row],[Jul_2026_Days_Forecast]]*Table4[[#This Row],[Cost Boolean]]*(VLOOKUP(Table4[[#This Row],[RATE CONCAT]],Tables!I:N,5,0)),0)</f>
        <v>0</v>
      </c>
      <c r="CP71" s="3">
        <f>IFERROR(Table4[[#This Row],[Aug_2026_Days_Forecast]]*Table4[[#This Row],[Location]]*(VLOOKUP(Table4[[#This Row],[Rate]],Tables!J:O,5,0)),0)</f>
        <v>0</v>
      </c>
      <c r="CQ71" s="3">
        <f>Table4[[#This Row],[Jul_2026_F]]-Table4[[#This Row],[Jul_2026_A]]</f>
        <v>0</v>
      </c>
      <c r="CR71" s="103"/>
      <c r="CS71" s="3">
        <f>IFERROR(Table4[[#This Row],[Aug_2026_Days_Forecast]]*Table4[[#This Row],[Cost Boolean]]*(VLOOKUP(Table4[[#This Row],[RATE CONCAT]],Tables!I:N,5,0)),0)</f>
        <v>0</v>
      </c>
      <c r="CT71" s="3">
        <f>IFERROR(Table4[[#This Row],[Aug_2026_Days_Actual]]*Table4[[#This Row],[Cost Boolean]]*(VLOOKUP(Table4[[#This Row],[RATE CONCAT]],Tables!I:N,5,0)),0)</f>
        <v>0</v>
      </c>
      <c r="CU71" s="3">
        <f>Table4[[#This Row],[Aug_2026_F]]-Table4[[#This Row],[Aug_2026_A]]</f>
        <v>0</v>
      </c>
      <c r="CV71" s="103"/>
      <c r="CW71" s="3">
        <f>IFERROR(Table4[[#This Row],[Sep_2026_Days_Forecast]]*Table4[[#This Row],[Cost Boolean]]*(VLOOKUP(Table4[[#This Row],[RATE CONCAT]],Tables!I:N,5,0)),0)</f>
        <v>0</v>
      </c>
      <c r="CX71" s="3">
        <f>IFERROR(Table4[[#This Row],[Sep_2026_Days_Actual]]*Table4[[#This Row],[Cost Boolean]]*(VLOOKUP(Table4[[#This Row],[RATE CONCAT]],Tables!I:N,5,0)),0)</f>
        <v>0</v>
      </c>
      <c r="CY71" s="3">
        <f>Table4[[#This Row],[Sep_2026_F]]-Table4[[#This Row],[Sep_2026_A]]</f>
        <v>0</v>
      </c>
      <c r="CZ71" s="103"/>
      <c r="DA71" s="3">
        <f>IFERROR(Table4[[#This Row],[Oct_2026_Days_Forecast]]*Table4[[#This Row],[Cost Boolean]]*(VLOOKUP(Table4[[#This Row],[RATE CONCAT]],Tables!I:N,5,0)),0)</f>
        <v>0</v>
      </c>
      <c r="DB71" s="3">
        <f>IFERROR(Table4[[#This Row],[Oct_2026_Days_Actual]]*Table4[[#This Row],[Cost Boolean]]*(VLOOKUP(Table4[[#This Row],[RATE CONCAT]],Tables!I:N,5,0)),0)</f>
        <v>0</v>
      </c>
      <c r="DC71" s="3">
        <f>Table4[[#This Row],[Oct_2026_F]]-Table4[[#This Row],[Oct_2026_A]]</f>
        <v>0</v>
      </c>
      <c r="DD71" s="103"/>
      <c r="DE71" s="3">
        <f>IFERROR(Table4[[#This Row],[Nov_2026_Days_Forecast]]*Table4[[#This Row],[Cost Boolean]]*(VLOOKUP(Table4[[#This Row],[RATE CONCAT]],Tables!I:N,5,0)),0)</f>
        <v>0</v>
      </c>
      <c r="DF71" s="3">
        <f>IFERROR(Table4[[#This Row],[Nov_2026_Days_Actual]]*Table4[[#This Row],[Cost Boolean]]*(VLOOKUP(Table4[[#This Row],[RATE CONCAT]],Tables!I:N,5,0)),0)</f>
        <v>0</v>
      </c>
      <c r="DG71" s="3">
        <f>Table4[[#This Row],[Nov_2026_F]]-Table4[[#This Row],[Nov_2026_A]]</f>
        <v>0</v>
      </c>
      <c r="DH71" s="103"/>
      <c r="DI71" s="3">
        <f>IFERROR(Table4[[#This Row],[Dec_2026_Days_Forecast]]*Table4[[#This Row],[Cost Boolean]]*(VLOOKUP(Table4[[#This Row],[RATE CONCAT]],Tables!I:N,5,0)),0)</f>
        <v>0</v>
      </c>
      <c r="DJ71" s="3">
        <f>IFERROR(Table4[[#This Row],[Dec_2026_Days_Actual]]*Table4[[#This Row],[Cost Boolean]]*(VLOOKUP(Table4[[#This Row],[RATE CONCAT]],Tables!I:N,5,0)),0)</f>
        <v>0</v>
      </c>
      <c r="DK71" s="3">
        <f>Table4[[#This Row],[Dec_2026_F]]-Table4[[#This Row],[Dec_2026_A]]</f>
        <v>0</v>
      </c>
      <c r="DL71" s="103"/>
      <c r="DM71" s="60"/>
      <c r="DN71" s="3">
        <f>IFERROR(Table4[[#This Row],[Jan_2027_Days_Forecast]]*Table4[[#This Row],[Cost Boolean]]*(VLOOKUP(Table4[[#This Row],[RATE CONCAT]],Tables!I:N,6,0)),0)</f>
        <v>0</v>
      </c>
      <c r="DO71" s="3"/>
      <c r="DP71" s="3">
        <f>Table4[[#This Row],[Jan_2027_F]]-Table4[[#This Row],[Jan_2027_A]]</f>
        <v>0</v>
      </c>
      <c r="DQ71" s="3">
        <f>IFERROR(Table4[[#This Row],[Feb_2027_Days_Forecast]]*Table4[[#This Row],[Cost Boolean]]*(VLOOKUP(Table4[[#This Row],[RATE CONCAT]],Tables!I:N,6,0)),0)</f>
        <v>0</v>
      </c>
      <c r="DR71" s="3"/>
      <c r="DS71" s="3">
        <f>Table4[[#This Row],[Feb_2027_F]]-Table4[[#This Row],[Feb_2027_A]]</f>
        <v>0</v>
      </c>
      <c r="DT71" s="3">
        <f>IFERROR(Table4[[#This Row],[Mar_2027_Days_Forecast]]*Table4[[#This Row],[Cost Boolean]]*(VLOOKUP(Table4[[#This Row],[RATE CONCAT]],Tables!I:N,6,0)),0)</f>
        <v>0</v>
      </c>
      <c r="DU71" s="3"/>
      <c r="DV71" s="3">
        <f>Table4[[#This Row],[Mar_2027_F]]-Table4[[#This Row],[Mar_2027_A]]</f>
        <v>0</v>
      </c>
      <c r="DW71" s="3">
        <f>IFERROR(Table4[[#This Row],[Apr_2027_Days_Forecast]]*Table4[[#This Row],[Cost Boolean]]*(VLOOKUP(Table4[[#This Row],[RATE CONCAT]],Tables!I:N,6,0)),0)</f>
        <v>0</v>
      </c>
      <c r="DX71" s="3"/>
      <c r="DY71" s="3">
        <f>Table4[[#This Row],[Apr_2027_F]]-Table4[[#This Row],[Apr_2027_A]]</f>
        <v>0</v>
      </c>
      <c r="DZ71" s="3">
        <f>IFERROR(Table4[[#This Row],[May_2027_Days_Forecast]]*Table4[[#This Row],[Cost Boolean]]*(VLOOKUP(Table4[[#This Row],[RATE CONCAT]],Tables!I:N,6,0)),0)</f>
        <v>0</v>
      </c>
      <c r="EA71" s="3"/>
      <c r="EB71" s="3">
        <f>Table4[[#This Row],[May_2027_F]]-Table4[[#This Row],[May_2027_A]]</f>
        <v>0</v>
      </c>
      <c r="EC71" s="3">
        <f>IFERROR(Table4[[#This Row],[Jun_2027_Days_Forecast]]*Table4[[#This Row],[Cost Boolean]]*(VLOOKUP(Table4[[#This Row],[RATE CONCAT]],Tables!I:N,6,0)),0)</f>
        <v>0</v>
      </c>
      <c r="ED71" s="3"/>
      <c r="EE71" s="3">
        <f>Table4[[#This Row],[Jun_2027_F]]-Table4[[#This Row],[Jun_2027_A]]</f>
        <v>0</v>
      </c>
      <c r="EF71" s="3">
        <f>IFERROR(Table4[[#This Row],[Jul_2027_Days_Forecast]]*Table4[[#This Row],[Cost Boolean]]*(VLOOKUP(Table4[[#This Row],[RATE CONCAT]],Tables!I:N,6,0)),0)</f>
        <v>0</v>
      </c>
      <c r="EG71" s="3"/>
      <c r="EH71" s="3">
        <f>Table4[[#This Row],[Jul_2027_F]]-Table4[[#This Row],[Jul_2027_A]]</f>
        <v>0</v>
      </c>
      <c r="EI71" s="3">
        <f>IFERROR(Table4[[#This Row],[Aug_2027_Days_Forecast]]*Table4[[#This Row],[Cost Boolean]]*(VLOOKUP(Table4[[#This Row],[RATE CONCAT]],Tables!I:N,6,0)),0)</f>
        <v>0</v>
      </c>
      <c r="EJ71" s="3"/>
      <c r="EK71" s="3">
        <f>Table4[[#This Row],[Aug_2027_F]]-Table4[[#This Row],[Aug_2027_A]]</f>
        <v>0</v>
      </c>
      <c r="EL71" s="3">
        <f>IFERROR(Table4[[#This Row],[Sep_2027_Days_Forecast]]*Table4[[#This Row],[Cost Boolean]]*(VLOOKUP(Table4[[#This Row],[RATE CONCAT]],Tables!I:N,6,0)),0)</f>
        <v>0</v>
      </c>
      <c r="EM71" s="3"/>
      <c r="EN71" s="3">
        <f>Table4[[#This Row],[Sep_2027_F]]-Table4[[#This Row],[Sep_2027_A]]</f>
        <v>0</v>
      </c>
      <c r="EO71" s="3">
        <f>IFERROR(Table4[[#This Row],[Oct_2027_Days_Forecast]]*Table4[[#This Row],[Cost Boolean]]*(VLOOKUP(Table4[[#This Row],[RATE CONCAT]],Tables!I:N,6,0)),0)</f>
        <v>0</v>
      </c>
      <c r="EP71" s="3"/>
      <c r="EQ71" s="3">
        <f>Table4[[#This Row],[Oct_2027_F]]-Table4[[#This Row],[Oct_2027_A]]</f>
        <v>0</v>
      </c>
      <c r="ER71" s="3">
        <f>IFERROR(Table4[[#This Row],[Nov_2027_Days_Forecast]]*Table4[[#This Row],[Cost Boolean]]*(VLOOKUP(Table4[[#This Row],[RATE CONCAT]],Tables!I:N,6,0)),0)</f>
        <v>0</v>
      </c>
      <c r="ES71" s="3"/>
      <c r="ET71" s="3">
        <f>Table4[[#This Row],[Nov_2027_F]]-Table4[[#This Row],[Nov_2027_A]]</f>
        <v>0</v>
      </c>
      <c r="EU71" s="3">
        <f>IFERROR(Table4[[#This Row],[Dec_2027_Days_Forecast]]*Table4[[#This Row],[Cost Boolean]]*(VLOOKUP(Table4[[#This Row],[RATE CONCAT]],Tables!I:N,6,0)),0)</f>
        <v>0</v>
      </c>
      <c r="EV71" s="3"/>
      <c r="EW71" s="3">
        <f>Table4[[#This Row],[Dec_2027_F]]-Table4[[#This Row],[Dec_2027_A]]</f>
        <v>0</v>
      </c>
    </row>
    <row r="72" spans="1:153" ht="1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2" t="str">
        <f>CONCATENATE(Table4[[#This Row],[JG]],Table4[[#This Row],[Country]],Table4[[#This Row],[Resource Provider]])</f>
        <v/>
      </c>
      <c r="Z72" s="132">
        <f>VLOOKUP(Table4[[#This Row],[RATE CONCAT]],Tables!I:N,5,0)</f>
        <v>0</v>
      </c>
      <c r="AA72" s="53"/>
      <c r="AB72" s="16"/>
      <c r="AC72" s="16"/>
      <c r="AD72" s="16"/>
      <c r="AE72" s="16"/>
      <c r="AF72" s="16"/>
      <c r="AG72" s="16"/>
      <c r="AH72" s="16"/>
      <c r="AI72" s="16"/>
      <c r="AJ72" s="16"/>
      <c r="AK72" s="16"/>
      <c r="AL72" s="16"/>
      <c r="AM72" s="16"/>
      <c r="AN72" s="53">
        <f>IFERROR(AVERAGE(Table4[[#This Row],[Jan_2026_Days_Forecast]:[Dec_2026_Days_Forecast]]),0)/19</f>
        <v>0</v>
      </c>
      <c r="AO72" s="53">
        <f>IFERROR(AVERAGE(Table4[[#This Row],[Jan_2026_Days_Actual]:[Dec_2026_Days_Actual]]),0)/19</f>
        <v>0</v>
      </c>
      <c r="AP72" s="84"/>
      <c r="AQ72" s="84"/>
      <c r="AR72" s="84"/>
      <c r="AS72" s="84"/>
      <c r="AT72" s="84"/>
      <c r="AU72" s="84"/>
      <c r="AV72" s="84"/>
      <c r="AW72" s="84"/>
      <c r="AX72" s="84"/>
      <c r="AY72" s="84"/>
      <c r="AZ72" s="84"/>
      <c r="BA72" s="84"/>
      <c r="BB72" s="53">
        <f>IFERROR(AVERAGE(Table4[[#This Row],[Jan_2027_Days_Forecast]:[Dec_2027_Days_Forecast]]),0)</f>
        <v>0</v>
      </c>
      <c r="BC72" s="16"/>
      <c r="BD72" s="16"/>
      <c r="BE72" s="16"/>
      <c r="BF72" s="16"/>
      <c r="BG72" s="16"/>
      <c r="BH72" s="16"/>
      <c r="BI72" s="16"/>
      <c r="BJ72" s="16"/>
      <c r="BK72" s="16"/>
      <c r="BL72" s="16"/>
      <c r="BM72" s="16"/>
      <c r="BN72" s="16"/>
      <c r="BO72" s="55"/>
      <c r="BP72" s="60"/>
      <c r="BQ72" s="3">
        <f>Table4[[#This Row],[Jan_2026_Days_Forecast]]*Table4[[#This Row],[Cost Boolean]]*VLOOKUP(Table4[[#This Row],[RATE CONCAT]],Tables!I:N,5,0)</f>
        <v>0</v>
      </c>
      <c r="BR72" s="3">
        <f>IFERROR(Table4[[#This Row],[Jan_2026_Days_Actual]]*Table4[[#This Row],[Cost Boolean]]*(VLOOKUP(Table4[[#This Row],[RATE CONCAT]],Tables!I:N,5,0)),0)</f>
        <v>0</v>
      </c>
      <c r="BS72" s="3">
        <f>Table4[[#This Row],[Jan_2026_F]]-Table4[[#This Row],[Jan_2026_A]]</f>
        <v>0</v>
      </c>
      <c r="BT72" s="107"/>
      <c r="BU72" s="3">
        <f>IFERROR(Table4[[#This Row],[Feb_2026_Days_Forecast]]*Table4[[#This Row],[Cost Boolean]]*(VLOOKUP(Table4[[#This Row],[RATE CONCAT]],Tables!I:N,5,0)),0)</f>
        <v>0</v>
      </c>
      <c r="BV72" s="3">
        <f>IFERROR(Table4[[#This Row],[Feb_2026_Days_Actual]]*Table4[[#This Row],[Cost Boolean]]*(VLOOKUP(Table4[[#This Row],[RATE CONCAT]],Tables!I:N,5,0)),0)</f>
        <v>0</v>
      </c>
      <c r="BW72" s="3">
        <f>Table4[[#This Row],[Feb_2026_F]]-Table4[[#This Row],[Feb_2026_A]]</f>
        <v>0</v>
      </c>
      <c r="BX72" s="103"/>
      <c r="BY72" s="3">
        <f>IFERROR(Table4[[#This Row],[Mar_2026_Days_Forecast]]*Table4[[#This Row],[Cost Boolean]]*(VLOOKUP(Table4[[#This Row],[RATE CONCAT]],Tables!I:N,5,0)),0)</f>
        <v>0</v>
      </c>
      <c r="BZ72" s="3">
        <f>IFERROR(Table4[[#This Row],[Mar_2026_Days_Actual]]*Table4[[#This Row],[Cost Boolean]]*(VLOOKUP(Table4[[#This Row],[RATE CONCAT]],Tables!I:N,5,0)),0)</f>
        <v>0</v>
      </c>
      <c r="CA72" s="3">
        <f>Table4[[#This Row],[Mar_2026_F]]-Table4[[#This Row],[Mar_2026_A]]</f>
        <v>0</v>
      </c>
      <c r="CB72" s="103"/>
      <c r="CC72" s="3">
        <f>IFERROR(Table4[[#This Row],[Apr_2026_Days_Forecast]]*Table4[[#This Row],[Cost Boolean]]*(VLOOKUP(Table4[[#This Row],[RATE CONCAT]],Tables!I:N,5,0)),0)</f>
        <v>0</v>
      </c>
      <c r="CD72" s="3">
        <f>IFERROR(Table4[[#This Row],[Apr_2026_Days_Actual]]*Table4[[#This Row],[Cost Boolean]]*(VLOOKUP(Table4[[#This Row],[RATE CONCAT]],Tables!I:N,5,0)),0)</f>
        <v>0</v>
      </c>
      <c r="CE72" s="3">
        <f>Table4[[#This Row],[Apr_2026_F]]-Table4[[#This Row],[Apr_2026_A]]</f>
        <v>0</v>
      </c>
      <c r="CF72" s="103"/>
      <c r="CG72" s="3">
        <f>IFERROR(Table4[[#This Row],[May_2026_Days_Forecast]] *Table4[[#This Row],[Cost Boolean]]*(VLOOKUP(Table4[[#This Row],[RATE CONCAT]],Tables!I:N,5,0)),0)</f>
        <v>0</v>
      </c>
      <c r="CH72" s="3">
        <f>IFERROR(Table4[[#This Row],[May_2026_Days_Actual]]*Table4[[#This Row],[Cost Boolean]]*(VLOOKUP(Table4[[#This Row],[RATE CONCAT]],Tables!I:N,5,0)),0)</f>
        <v>0</v>
      </c>
      <c r="CI72" s="3">
        <f>Table4[[#This Row],[May_2026_F]]-Table4[[#This Row],[May_2026_A]]</f>
        <v>0</v>
      </c>
      <c r="CJ72" s="103"/>
      <c r="CK72" s="3">
        <f>IFERROR(Table4[[#This Row],[Jun_2026_Days_Forecast]]*Table4[[#This Row],[Cost Boolean]]*(VLOOKUP(Table4[[#This Row],[RATE CONCAT]],Tables!I:N,5,0)),0)</f>
        <v>0</v>
      </c>
      <c r="CL72" s="3">
        <f>IFERROR(Table4[[#This Row],[Jun_2026_Days_Actual]]*Table4[[#This Row],[Cost Boolean]]*(VLOOKUP(Table4[[#This Row],[RATE CONCAT]],Tables!I:N,5,0)),0)</f>
        <v>0</v>
      </c>
      <c r="CM72" s="3">
        <f>Table4[[#This Row],[Jun_2026_F]]-Table4[[#This Row],[Jun_2026_A]]</f>
        <v>0</v>
      </c>
      <c r="CN72" s="103"/>
      <c r="CO72" s="3">
        <f>IFERROR(Table4[[#This Row],[Jul_2026_Days_Forecast]]*Table4[[#This Row],[Cost Boolean]]*(VLOOKUP(Table4[[#This Row],[RATE CONCAT]],Tables!I:N,5,0)),0)</f>
        <v>0</v>
      </c>
      <c r="CP72" s="3">
        <f>IFERROR(Table4[[#This Row],[Aug_2026_Days_Forecast]]*Table4[[#This Row],[Location]]*(VLOOKUP(Table4[[#This Row],[Rate]],Tables!J:O,5,0)),0)</f>
        <v>0</v>
      </c>
      <c r="CQ72" s="3">
        <f>Table4[[#This Row],[Jul_2026_F]]-Table4[[#This Row],[Jul_2026_A]]</f>
        <v>0</v>
      </c>
      <c r="CR72" s="103"/>
      <c r="CS72" s="3">
        <f>IFERROR(Table4[[#This Row],[Aug_2026_Days_Forecast]]*Table4[[#This Row],[Cost Boolean]]*(VLOOKUP(Table4[[#This Row],[RATE CONCAT]],Tables!I:N,5,0)),0)</f>
        <v>0</v>
      </c>
      <c r="CT72" s="3">
        <f>IFERROR(Table4[[#This Row],[Aug_2026_Days_Actual]]*Table4[[#This Row],[Cost Boolean]]*(VLOOKUP(Table4[[#This Row],[RATE CONCAT]],Tables!I:N,5,0)),0)</f>
        <v>0</v>
      </c>
      <c r="CU72" s="3">
        <f>Table4[[#This Row],[Aug_2026_F]]-Table4[[#This Row],[Aug_2026_A]]</f>
        <v>0</v>
      </c>
      <c r="CV72" s="103"/>
      <c r="CW72" s="3">
        <f>IFERROR(Table4[[#This Row],[Sep_2026_Days_Forecast]]*Table4[[#This Row],[Cost Boolean]]*(VLOOKUP(Table4[[#This Row],[RATE CONCAT]],Tables!I:N,5,0)),0)</f>
        <v>0</v>
      </c>
      <c r="CX72" s="3">
        <f>IFERROR(Table4[[#This Row],[Sep_2026_Days_Actual]]*Table4[[#This Row],[Cost Boolean]]*(VLOOKUP(Table4[[#This Row],[RATE CONCAT]],Tables!I:N,5,0)),0)</f>
        <v>0</v>
      </c>
      <c r="CY72" s="3">
        <f>Table4[[#This Row],[Sep_2026_F]]-Table4[[#This Row],[Sep_2026_A]]</f>
        <v>0</v>
      </c>
      <c r="CZ72" s="103"/>
      <c r="DA72" s="3">
        <f>IFERROR(Table4[[#This Row],[Oct_2026_Days_Forecast]]*Table4[[#This Row],[Cost Boolean]]*(VLOOKUP(Table4[[#This Row],[RATE CONCAT]],Tables!I:N,5,0)),0)</f>
        <v>0</v>
      </c>
      <c r="DB72" s="3">
        <f>IFERROR(Table4[[#This Row],[Oct_2026_Days_Actual]]*Table4[[#This Row],[Cost Boolean]]*(VLOOKUP(Table4[[#This Row],[RATE CONCAT]],Tables!I:N,5,0)),0)</f>
        <v>0</v>
      </c>
      <c r="DC72" s="3">
        <f>Table4[[#This Row],[Oct_2026_F]]-Table4[[#This Row],[Oct_2026_A]]</f>
        <v>0</v>
      </c>
      <c r="DD72" s="103"/>
      <c r="DE72" s="3">
        <f>IFERROR(Table4[[#This Row],[Nov_2026_Days_Forecast]]*Table4[[#This Row],[Cost Boolean]]*(VLOOKUP(Table4[[#This Row],[RATE CONCAT]],Tables!I:N,5,0)),0)</f>
        <v>0</v>
      </c>
      <c r="DF72" s="3">
        <f>IFERROR(Table4[[#This Row],[Nov_2026_Days_Actual]]*Table4[[#This Row],[Cost Boolean]]*(VLOOKUP(Table4[[#This Row],[RATE CONCAT]],Tables!I:N,5,0)),0)</f>
        <v>0</v>
      </c>
      <c r="DG72" s="3">
        <f>Table4[[#This Row],[Nov_2026_F]]-Table4[[#This Row],[Nov_2026_A]]</f>
        <v>0</v>
      </c>
      <c r="DH72" s="103"/>
      <c r="DI72" s="3">
        <f>IFERROR(Table4[[#This Row],[Dec_2026_Days_Forecast]]*Table4[[#This Row],[Cost Boolean]]*(VLOOKUP(Table4[[#This Row],[RATE CONCAT]],Tables!I:N,5,0)),0)</f>
        <v>0</v>
      </c>
      <c r="DJ72" s="3">
        <f>IFERROR(Table4[[#This Row],[Dec_2026_Days_Actual]]*Table4[[#This Row],[Cost Boolean]]*(VLOOKUP(Table4[[#This Row],[RATE CONCAT]],Tables!I:N,5,0)),0)</f>
        <v>0</v>
      </c>
      <c r="DK72" s="3">
        <f>Table4[[#This Row],[Dec_2026_F]]-Table4[[#This Row],[Dec_2026_A]]</f>
        <v>0</v>
      </c>
      <c r="DL72" s="103"/>
      <c r="DM72" s="60"/>
      <c r="DN72" s="3">
        <f>IFERROR(Table4[[#This Row],[Jan_2027_Days_Forecast]]*Table4[[#This Row],[Cost Boolean]]*(VLOOKUP(Table4[[#This Row],[RATE CONCAT]],Tables!I:N,6,0)),0)</f>
        <v>0</v>
      </c>
      <c r="DO72" s="3"/>
      <c r="DP72" s="3">
        <f>Table4[[#This Row],[Jan_2027_F]]-Table4[[#This Row],[Jan_2027_A]]</f>
        <v>0</v>
      </c>
      <c r="DQ72" s="3">
        <f>IFERROR(Table4[[#This Row],[Feb_2027_Days_Forecast]]*Table4[[#This Row],[Cost Boolean]]*(VLOOKUP(Table4[[#This Row],[RATE CONCAT]],Tables!I:N,6,0)),0)</f>
        <v>0</v>
      </c>
      <c r="DR72" s="3"/>
      <c r="DS72" s="3">
        <f>Table4[[#This Row],[Feb_2027_F]]-Table4[[#This Row],[Feb_2027_A]]</f>
        <v>0</v>
      </c>
      <c r="DT72" s="3">
        <f>IFERROR(Table4[[#This Row],[Mar_2027_Days_Forecast]]*Table4[[#This Row],[Cost Boolean]]*(VLOOKUP(Table4[[#This Row],[RATE CONCAT]],Tables!I:N,6,0)),0)</f>
        <v>0</v>
      </c>
      <c r="DU72" s="3"/>
      <c r="DV72" s="3">
        <f>Table4[[#This Row],[Mar_2027_F]]-Table4[[#This Row],[Mar_2027_A]]</f>
        <v>0</v>
      </c>
      <c r="DW72" s="3">
        <f>IFERROR(Table4[[#This Row],[Apr_2027_Days_Forecast]]*Table4[[#This Row],[Cost Boolean]]*(VLOOKUP(Table4[[#This Row],[RATE CONCAT]],Tables!I:N,6,0)),0)</f>
        <v>0</v>
      </c>
      <c r="DX72" s="3"/>
      <c r="DY72" s="3">
        <f>Table4[[#This Row],[Apr_2027_F]]-Table4[[#This Row],[Apr_2027_A]]</f>
        <v>0</v>
      </c>
      <c r="DZ72" s="3">
        <f>IFERROR(Table4[[#This Row],[May_2027_Days_Forecast]]*Table4[[#This Row],[Cost Boolean]]*(VLOOKUP(Table4[[#This Row],[RATE CONCAT]],Tables!I:N,6,0)),0)</f>
        <v>0</v>
      </c>
      <c r="EA72" s="3"/>
      <c r="EB72" s="3">
        <f>Table4[[#This Row],[May_2027_F]]-Table4[[#This Row],[May_2027_A]]</f>
        <v>0</v>
      </c>
      <c r="EC72" s="3">
        <f>IFERROR(Table4[[#This Row],[Jun_2027_Days_Forecast]]*Table4[[#This Row],[Cost Boolean]]*(VLOOKUP(Table4[[#This Row],[RATE CONCAT]],Tables!I:N,6,0)),0)</f>
        <v>0</v>
      </c>
      <c r="ED72" s="3"/>
      <c r="EE72" s="3">
        <f>Table4[[#This Row],[Jun_2027_F]]-Table4[[#This Row],[Jun_2027_A]]</f>
        <v>0</v>
      </c>
      <c r="EF72" s="3">
        <f>IFERROR(Table4[[#This Row],[Jul_2027_Days_Forecast]]*Table4[[#This Row],[Cost Boolean]]*(VLOOKUP(Table4[[#This Row],[RATE CONCAT]],Tables!I:N,6,0)),0)</f>
        <v>0</v>
      </c>
      <c r="EG72" s="3"/>
      <c r="EH72" s="3">
        <f>Table4[[#This Row],[Jul_2027_F]]-Table4[[#This Row],[Jul_2027_A]]</f>
        <v>0</v>
      </c>
      <c r="EI72" s="3">
        <f>IFERROR(Table4[[#This Row],[Aug_2027_Days_Forecast]]*Table4[[#This Row],[Cost Boolean]]*(VLOOKUP(Table4[[#This Row],[RATE CONCAT]],Tables!I:N,6,0)),0)</f>
        <v>0</v>
      </c>
      <c r="EJ72" s="3"/>
      <c r="EK72" s="3">
        <f>Table4[[#This Row],[Aug_2027_F]]-Table4[[#This Row],[Aug_2027_A]]</f>
        <v>0</v>
      </c>
      <c r="EL72" s="3">
        <f>IFERROR(Table4[[#This Row],[Sep_2027_Days_Forecast]]*Table4[[#This Row],[Cost Boolean]]*(VLOOKUP(Table4[[#This Row],[RATE CONCAT]],Tables!I:N,6,0)),0)</f>
        <v>0</v>
      </c>
      <c r="EM72" s="3"/>
      <c r="EN72" s="3">
        <f>Table4[[#This Row],[Sep_2027_F]]-Table4[[#This Row],[Sep_2027_A]]</f>
        <v>0</v>
      </c>
      <c r="EO72" s="3">
        <f>IFERROR(Table4[[#This Row],[Oct_2027_Days_Forecast]]*Table4[[#This Row],[Cost Boolean]]*(VLOOKUP(Table4[[#This Row],[RATE CONCAT]],Tables!I:N,6,0)),0)</f>
        <v>0</v>
      </c>
      <c r="EP72" s="3"/>
      <c r="EQ72" s="3">
        <f>Table4[[#This Row],[Oct_2027_F]]-Table4[[#This Row],[Oct_2027_A]]</f>
        <v>0</v>
      </c>
      <c r="ER72" s="3">
        <f>IFERROR(Table4[[#This Row],[Nov_2027_Days_Forecast]]*Table4[[#This Row],[Cost Boolean]]*(VLOOKUP(Table4[[#This Row],[RATE CONCAT]],Tables!I:N,6,0)),0)</f>
        <v>0</v>
      </c>
      <c r="ES72" s="3"/>
      <c r="ET72" s="3">
        <f>Table4[[#This Row],[Nov_2027_F]]-Table4[[#This Row],[Nov_2027_A]]</f>
        <v>0</v>
      </c>
      <c r="EU72" s="3">
        <f>IFERROR(Table4[[#This Row],[Dec_2027_Days_Forecast]]*Table4[[#This Row],[Cost Boolean]]*(VLOOKUP(Table4[[#This Row],[RATE CONCAT]],Tables!I:N,6,0)),0)</f>
        <v>0</v>
      </c>
      <c r="EV72" s="3"/>
      <c r="EW72" s="3">
        <f>Table4[[#This Row],[Dec_2027_F]]-Table4[[#This Row],[Dec_2027_A]]</f>
        <v>0</v>
      </c>
    </row>
    <row r="73" spans="1:153" ht="1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2" t="str">
        <f>CONCATENATE(Table4[[#This Row],[JG]],Table4[[#This Row],[Country]],Table4[[#This Row],[Resource Provider]])</f>
        <v/>
      </c>
      <c r="Z73" s="132">
        <f>VLOOKUP(Table4[[#This Row],[RATE CONCAT]],Tables!I:N,5,0)</f>
        <v>0</v>
      </c>
      <c r="AA73" s="53"/>
      <c r="AB73" s="16"/>
      <c r="AC73" s="16"/>
      <c r="AD73" s="16"/>
      <c r="AE73" s="16"/>
      <c r="AF73" s="16"/>
      <c r="AG73" s="16"/>
      <c r="AH73" s="16"/>
      <c r="AI73" s="16"/>
      <c r="AJ73" s="16"/>
      <c r="AK73" s="16"/>
      <c r="AL73" s="16"/>
      <c r="AM73" s="16"/>
      <c r="AN73" s="53">
        <f>IFERROR(AVERAGE(Table4[[#This Row],[Jan_2026_Days_Forecast]:[Dec_2026_Days_Forecast]]),0)/19</f>
        <v>0</v>
      </c>
      <c r="AO73" s="53">
        <f>IFERROR(AVERAGE(Table4[[#This Row],[Jan_2026_Days_Actual]:[Dec_2026_Days_Actual]]),0)/19</f>
        <v>0</v>
      </c>
      <c r="AP73" s="84"/>
      <c r="AQ73" s="84"/>
      <c r="AR73" s="84"/>
      <c r="AS73" s="84"/>
      <c r="AT73" s="84"/>
      <c r="AU73" s="84"/>
      <c r="AV73" s="84"/>
      <c r="AW73" s="84"/>
      <c r="AX73" s="84"/>
      <c r="AY73" s="84"/>
      <c r="AZ73" s="84"/>
      <c r="BA73" s="84"/>
      <c r="BB73" s="53">
        <f>IFERROR(AVERAGE(Table4[[#This Row],[Jan_2027_Days_Forecast]:[Dec_2027_Days_Forecast]]),0)</f>
        <v>0</v>
      </c>
      <c r="BC73" s="16"/>
      <c r="BD73" s="16"/>
      <c r="BE73" s="16"/>
      <c r="BF73" s="16"/>
      <c r="BG73" s="16"/>
      <c r="BH73" s="16"/>
      <c r="BI73" s="16"/>
      <c r="BJ73" s="16"/>
      <c r="BK73" s="16"/>
      <c r="BL73" s="16"/>
      <c r="BM73" s="16"/>
      <c r="BN73" s="16"/>
      <c r="BO73" s="55"/>
      <c r="BP73" s="60"/>
      <c r="BQ73" s="3">
        <f>Table4[[#This Row],[Jan_2026_Days_Forecast]]*Table4[[#This Row],[Cost Boolean]]*VLOOKUP(Table4[[#This Row],[RATE CONCAT]],Tables!I:N,5,0)</f>
        <v>0</v>
      </c>
      <c r="BR73" s="3">
        <f>IFERROR(Table4[[#This Row],[Jan_2026_Days_Actual]]*Table4[[#This Row],[Cost Boolean]]*(VLOOKUP(Table4[[#This Row],[RATE CONCAT]],Tables!I:N,5,0)),0)</f>
        <v>0</v>
      </c>
      <c r="BS73" s="3">
        <f>Table4[[#This Row],[Jan_2026_F]]-Table4[[#This Row],[Jan_2026_A]]</f>
        <v>0</v>
      </c>
      <c r="BT73" s="107"/>
      <c r="BU73" s="3">
        <f>IFERROR(Table4[[#This Row],[Feb_2026_Days_Forecast]]*Table4[[#This Row],[Cost Boolean]]*(VLOOKUP(Table4[[#This Row],[RATE CONCAT]],Tables!I:N,5,0)),0)</f>
        <v>0</v>
      </c>
      <c r="BV73" s="3">
        <f>IFERROR(Table4[[#This Row],[Feb_2026_Days_Actual]]*Table4[[#This Row],[Cost Boolean]]*(VLOOKUP(Table4[[#This Row],[RATE CONCAT]],Tables!I:N,5,0)),0)</f>
        <v>0</v>
      </c>
      <c r="BW73" s="3">
        <f>Table4[[#This Row],[Feb_2026_F]]-Table4[[#This Row],[Feb_2026_A]]</f>
        <v>0</v>
      </c>
      <c r="BX73" s="103"/>
      <c r="BY73" s="3">
        <f>IFERROR(Table4[[#This Row],[Mar_2026_Days_Forecast]]*Table4[[#This Row],[Cost Boolean]]*(VLOOKUP(Table4[[#This Row],[RATE CONCAT]],Tables!I:N,5,0)),0)</f>
        <v>0</v>
      </c>
      <c r="BZ73" s="3">
        <f>IFERROR(Table4[[#This Row],[Mar_2026_Days_Actual]]*Table4[[#This Row],[Cost Boolean]]*(VLOOKUP(Table4[[#This Row],[RATE CONCAT]],Tables!I:N,5,0)),0)</f>
        <v>0</v>
      </c>
      <c r="CA73" s="3">
        <f>Table4[[#This Row],[Mar_2026_F]]-Table4[[#This Row],[Mar_2026_A]]</f>
        <v>0</v>
      </c>
      <c r="CB73" s="103"/>
      <c r="CC73" s="3">
        <f>IFERROR(Table4[[#This Row],[Apr_2026_Days_Forecast]]*Table4[[#This Row],[Cost Boolean]]*(VLOOKUP(Table4[[#This Row],[RATE CONCAT]],Tables!I:N,5,0)),0)</f>
        <v>0</v>
      </c>
      <c r="CD73" s="3">
        <f>IFERROR(Table4[[#This Row],[Apr_2026_Days_Actual]]*Table4[[#This Row],[Cost Boolean]]*(VLOOKUP(Table4[[#This Row],[RATE CONCAT]],Tables!I:N,5,0)),0)</f>
        <v>0</v>
      </c>
      <c r="CE73" s="3">
        <f>Table4[[#This Row],[Apr_2026_F]]-Table4[[#This Row],[Apr_2026_A]]</f>
        <v>0</v>
      </c>
      <c r="CF73" s="103"/>
      <c r="CG73" s="3">
        <f>IFERROR(Table4[[#This Row],[May_2026_Days_Forecast]] *Table4[[#This Row],[Cost Boolean]]*(VLOOKUP(Table4[[#This Row],[RATE CONCAT]],Tables!I:N,5,0)),0)</f>
        <v>0</v>
      </c>
      <c r="CH73" s="3">
        <f>IFERROR(Table4[[#This Row],[May_2026_Days_Actual]]*Table4[[#This Row],[Cost Boolean]]*(VLOOKUP(Table4[[#This Row],[RATE CONCAT]],Tables!I:N,5,0)),0)</f>
        <v>0</v>
      </c>
      <c r="CI73" s="3">
        <f>Table4[[#This Row],[May_2026_F]]-Table4[[#This Row],[May_2026_A]]</f>
        <v>0</v>
      </c>
      <c r="CJ73" s="103"/>
      <c r="CK73" s="3">
        <f>IFERROR(Table4[[#This Row],[Jun_2026_Days_Forecast]]*Table4[[#This Row],[Cost Boolean]]*(VLOOKUP(Table4[[#This Row],[RATE CONCAT]],Tables!I:N,5,0)),0)</f>
        <v>0</v>
      </c>
      <c r="CL73" s="3">
        <f>IFERROR(Table4[[#This Row],[Jun_2026_Days_Actual]]*Table4[[#This Row],[Cost Boolean]]*(VLOOKUP(Table4[[#This Row],[RATE CONCAT]],Tables!I:N,5,0)),0)</f>
        <v>0</v>
      </c>
      <c r="CM73" s="3">
        <f>Table4[[#This Row],[Jun_2026_F]]-Table4[[#This Row],[Jun_2026_A]]</f>
        <v>0</v>
      </c>
      <c r="CN73" s="103"/>
      <c r="CO73" s="3">
        <f>IFERROR(Table4[[#This Row],[Jul_2026_Days_Forecast]]*Table4[[#This Row],[Cost Boolean]]*(VLOOKUP(Table4[[#This Row],[RATE CONCAT]],Tables!I:N,5,0)),0)</f>
        <v>0</v>
      </c>
      <c r="CP73" s="3">
        <f>IFERROR(Table4[[#This Row],[Aug_2026_Days_Forecast]]*Table4[[#This Row],[Location]]*(VLOOKUP(Table4[[#This Row],[Rate]],Tables!J:O,5,0)),0)</f>
        <v>0</v>
      </c>
      <c r="CQ73" s="3">
        <f>Table4[[#This Row],[Jul_2026_F]]-Table4[[#This Row],[Jul_2026_A]]</f>
        <v>0</v>
      </c>
      <c r="CR73" s="103"/>
      <c r="CS73" s="3">
        <f>IFERROR(Table4[[#This Row],[Aug_2026_Days_Forecast]]*Table4[[#This Row],[Cost Boolean]]*(VLOOKUP(Table4[[#This Row],[RATE CONCAT]],Tables!I:N,5,0)),0)</f>
        <v>0</v>
      </c>
      <c r="CT73" s="3">
        <f>IFERROR(Table4[[#This Row],[Aug_2026_Days_Actual]]*Table4[[#This Row],[Cost Boolean]]*(VLOOKUP(Table4[[#This Row],[RATE CONCAT]],Tables!I:N,5,0)),0)</f>
        <v>0</v>
      </c>
      <c r="CU73" s="3">
        <f>Table4[[#This Row],[Aug_2026_F]]-Table4[[#This Row],[Aug_2026_A]]</f>
        <v>0</v>
      </c>
      <c r="CV73" s="103"/>
      <c r="CW73" s="3">
        <f>IFERROR(Table4[[#This Row],[Sep_2026_Days_Forecast]]*Table4[[#This Row],[Cost Boolean]]*(VLOOKUP(Table4[[#This Row],[RATE CONCAT]],Tables!I:N,5,0)),0)</f>
        <v>0</v>
      </c>
      <c r="CX73" s="3">
        <f>IFERROR(Table4[[#This Row],[Sep_2026_Days_Actual]]*Table4[[#This Row],[Cost Boolean]]*(VLOOKUP(Table4[[#This Row],[RATE CONCAT]],Tables!I:N,5,0)),0)</f>
        <v>0</v>
      </c>
      <c r="CY73" s="3">
        <f>Table4[[#This Row],[Sep_2026_F]]-Table4[[#This Row],[Sep_2026_A]]</f>
        <v>0</v>
      </c>
      <c r="CZ73" s="103"/>
      <c r="DA73" s="3">
        <f>IFERROR(Table4[[#This Row],[Oct_2026_Days_Forecast]]*Table4[[#This Row],[Cost Boolean]]*(VLOOKUP(Table4[[#This Row],[RATE CONCAT]],Tables!I:N,5,0)),0)</f>
        <v>0</v>
      </c>
      <c r="DB73" s="3">
        <f>IFERROR(Table4[[#This Row],[Oct_2026_Days_Actual]]*Table4[[#This Row],[Cost Boolean]]*(VLOOKUP(Table4[[#This Row],[RATE CONCAT]],Tables!I:N,5,0)),0)</f>
        <v>0</v>
      </c>
      <c r="DC73" s="3">
        <f>Table4[[#This Row],[Oct_2026_F]]-Table4[[#This Row],[Oct_2026_A]]</f>
        <v>0</v>
      </c>
      <c r="DD73" s="103"/>
      <c r="DE73" s="3">
        <f>IFERROR(Table4[[#This Row],[Nov_2026_Days_Forecast]]*Table4[[#This Row],[Cost Boolean]]*(VLOOKUP(Table4[[#This Row],[RATE CONCAT]],Tables!I:N,5,0)),0)</f>
        <v>0</v>
      </c>
      <c r="DF73" s="3">
        <f>IFERROR(Table4[[#This Row],[Nov_2026_Days_Actual]]*Table4[[#This Row],[Cost Boolean]]*(VLOOKUP(Table4[[#This Row],[RATE CONCAT]],Tables!I:N,5,0)),0)</f>
        <v>0</v>
      </c>
      <c r="DG73" s="3">
        <f>Table4[[#This Row],[Nov_2026_F]]-Table4[[#This Row],[Nov_2026_A]]</f>
        <v>0</v>
      </c>
      <c r="DH73" s="103"/>
      <c r="DI73" s="3">
        <f>IFERROR(Table4[[#This Row],[Dec_2026_Days_Forecast]]*Table4[[#This Row],[Cost Boolean]]*(VLOOKUP(Table4[[#This Row],[RATE CONCAT]],Tables!I:N,5,0)),0)</f>
        <v>0</v>
      </c>
      <c r="DJ73" s="3">
        <f>IFERROR(Table4[[#This Row],[Dec_2026_Days_Actual]]*Table4[[#This Row],[Cost Boolean]]*(VLOOKUP(Table4[[#This Row],[RATE CONCAT]],Tables!I:N,5,0)),0)</f>
        <v>0</v>
      </c>
      <c r="DK73" s="3">
        <f>Table4[[#This Row],[Dec_2026_F]]-Table4[[#This Row],[Dec_2026_A]]</f>
        <v>0</v>
      </c>
      <c r="DL73" s="103"/>
      <c r="DM73" s="60"/>
      <c r="DN73" s="3">
        <f>IFERROR(Table4[[#This Row],[Jan_2027_Days_Forecast]]*Table4[[#This Row],[Cost Boolean]]*(VLOOKUP(Table4[[#This Row],[RATE CONCAT]],Tables!I:N,6,0)),0)</f>
        <v>0</v>
      </c>
      <c r="DO73" s="3"/>
      <c r="DP73" s="3">
        <f>Table4[[#This Row],[Jan_2027_F]]-Table4[[#This Row],[Jan_2027_A]]</f>
        <v>0</v>
      </c>
      <c r="DQ73" s="3">
        <f>IFERROR(Table4[[#This Row],[Feb_2027_Days_Forecast]]*Table4[[#This Row],[Cost Boolean]]*(VLOOKUP(Table4[[#This Row],[RATE CONCAT]],Tables!I:N,6,0)),0)</f>
        <v>0</v>
      </c>
      <c r="DR73" s="3"/>
      <c r="DS73" s="3">
        <f>Table4[[#This Row],[Feb_2027_F]]-Table4[[#This Row],[Feb_2027_A]]</f>
        <v>0</v>
      </c>
      <c r="DT73" s="3">
        <f>IFERROR(Table4[[#This Row],[Mar_2027_Days_Forecast]]*Table4[[#This Row],[Cost Boolean]]*(VLOOKUP(Table4[[#This Row],[RATE CONCAT]],Tables!I:N,6,0)),0)</f>
        <v>0</v>
      </c>
      <c r="DU73" s="3"/>
      <c r="DV73" s="3">
        <f>Table4[[#This Row],[Mar_2027_F]]-Table4[[#This Row],[Mar_2027_A]]</f>
        <v>0</v>
      </c>
      <c r="DW73" s="3">
        <f>IFERROR(Table4[[#This Row],[Apr_2027_Days_Forecast]]*Table4[[#This Row],[Cost Boolean]]*(VLOOKUP(Table4[[#This Row],[RATE CONCAT]],Tables!I:N,6,0)),0)</f>
        <v>0</v>
      </c>
      <c r="DX73" s="3"/>
      <c r="DY73" s="3">
        <f>Table4[[#This Row],[Apr_2027_F]]-Table4[[#This Row],[Apr_2027_A]]</f>
        <v>0</v>
      </c>
      <c r="DZ73" s="3">
        <f>IFERROR(Table4[[#This Row],[May_2027_Days_Forecast]]*Table4[[#This Row],[Cost Boolean]]*(VLOOKUP(Table4[[#This Row],[RATE CONCAT]],Tables!I:N,6,0)),0)</f>
        <v>0</v>
      </c>
      <c r="EA73" s="3"/>
      <c r="EB73" s="3">
        <f>Table4[[#This Row],[May_2027_F]]-Table4[[#This Row],[May_2027_A]]</f>
        <v>0</v>
      </c>
      <c r="EC73" s="3">
        <f>IFERROR(Table4[[#This Row],[Jun_2027_Days_Forecast]]*Table4[[#This Row],[Cost Boolean]]*(VLOOKUP(Table4[[#This Row],[RATE CONCAT]],Tables!I:N,6,0)),0)</f>
        <v>0</v>
      </c>
      <c r="ED73" s="3"/>
      <c r="EE73" s="3">
        <f>Table4[[#This Row],[Jun_2027_F]]-Table4[[#This Row],[Jun_2027_A]]</f>
        <v>0</v>
      </c>
      <c r="EF73" s="3">
        <f>IFERROR(Table4[[#This Row],[Jul_2027_Days_Forecast]]*Table4[[#This Row],[Cost Boolean]]*(VLOOKUP(Table4[[#This Row],[RATE CONCAT]],Tables!I:N,6,0)),0)</f>
        <v>0</v>
      </c>
      <c r="EG73" s="3"/>
      <c r="EH73" s="3">
        <f>Table4[[#This Row],[Jul_2027_F]]-Table4[[#This Row],[Jul_2027_A]]</f>
        <v>0</v>
      </c>
      <c r="EI73" s="3">
        <f>IFERROR(Table4[[#This Row],[Aug_2027_Days_Forecast]]*Table4[[#This Row],[Cost Boolean]]*(VLOOKUP(Table4[[#This Row],[RATE CONCAT]],Tables!I:N,6,0)),0)</f>
        <v>0</v>
      </c>
      <c r="EJ73" s="3"/>
      <c r="EK73" s="3">
        <f>Table4[[#This Row],[Aug_2027_F]]-Table4[[#This Row],[Aug_2027_A]]</f>
        <v>0</v>
      </c>
      <c r="EL73" s="3">
        <f>IFERROR(Table4[[#This Row],[Sep_2027_Days_Forecast]]*Table4[[#This Row],[Cost Boolean]]*(VLOOKUP(Table4[[#This Row],[RATE CONCAT]],Tables!I:N,6,0)),0)</f>
        <v>0</v>
      </c>
      <c r="EM73" s="3"/>
      <c r="EN73" s="3">
        <f>Table4[[#This Row],[Sep_2027_F]]-Table4[[#This Row],[Sep_2027_A]]</f>
        <v>0</v>
      </c>
      <c r="EO73" s="3">
        <f>IFERROR(Table4[[#This Row],[Oct_2027_Days_Forecast]]*Table4[[#This Row],[Cost Boolean]]*(VLOOKUP(Table4[[#This Row],[RATE CONCAT]],Tables!I:N,6,0)),0)</f>
        <v>0</v>
      </c>
      <c r="EP73" s="3"/>
      <c r="EQ73" s="3">
        <f>Table4[[#This Row],[Oct_2027_F]]-Table4[[#This Row],[Oct_2027_A]]</f>
        <v>0</v>
      </c>
      <c r="ER73" s="3">
        <f>IFERROR(Table4[[#This Row],[Nov_2027_Days_Forecast]]*Table4[[#This Row],[Cost Boolean]]*(VLOOKUP(Table4[[#This Row],[RATE CONCAT]],Tables!I:N,6,0)),0)</f>
        <v>0</v>
      </c>
      <c r="ES73" s="3"/>
      <c r="ET73" s="3">
        <f>Table4[[#This Row],[Nov_2027_F]]-Table4[[#This Row],[Nov_2027_A]]</f>
        <v>0</v>
      </c>
      <c r="EU73" s="3">
        <f>IFERROR(Table4[[#This Row],[Dec_2027_Days_Forecast]]*Table4[[#This Row],[Cost Boolean]]*(VLOOKUP(Table4[[#This Row],[RATE CONCAT]],Tables!I:N,6,0)),0)</f>
        <v>0</v>
      </c>
      <c r="EV73" s="3"/>
      <c r="EW73" s="3">
        <f>Table4[[#This Row],[Dec_2027_F]]-Table4[[#This Row],[Dec_2027_A]]</f>
        <v>0</v>
      </c>
    </row>
    <row r="74" spans="1:153" ht="1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2" t="str">
        <f>CONCATENATE(Table4[[#This Row],[JG]],Table4[[#This Row],[Country]],Table4[[#This Row],[Resource Provider]])</f>
        <v/>
      </c>
      <c r="Z74" s="132">
        <f>VLOOKUP(Table4[[#This Row],[RATE CONCAT]],Tables!I:N,5,0)</f>
        <v>0</v>
      </c>
      <c r="AA74" s="53"/>
      <c r="AB74" s="16"/>
      <c r="AC74" s="16"/>
      <c r="AD74" s="16"/>
      <c r="AE74" s="16"/>
      <c r="AF74" s="16"/>
      <c r="AG74" s="16"/>
      <c r="AH74" s="16"/>
      <c r="AI74" s="16"/>
      <c r="AJ74" s="16"/>
      <c r="AK74" s="16"/>
      <c r="AL74" s="16"/>
      <c r="AM74" s="16"/>
      <c r="AN74" s="53">
        <f>IFERROR(AVERAGE(Table4[[#This Row],[Jan_2026_Days_Forecast]:[Dec_2026_Days_Forecast]]),0)/19</f>
        <v>0</v>
      </c>
      <c r="AO74" s="53">
        <f>IFERROR(AVERAGE(Table4[[#This Row],[Jan_2026_Days_Actual]:[Dec_2026_Days_Actual]]),0)/19</f>
        <v>0</v>
      </c>
      <c r="AP74" s="84"/>
      <c r="AQ74" s="84"/>
      <c r="AR74" s="84"/>
      <c r="AS74" s="84"/>
      <c r="AT74" s="84"/>
      <c r="AU74" s="84"/>
      <c r="AV74" s="84"/>
      <c r="AW74" s="84"/>
      <c r="AX74" s="84"/>
      <c r="AY74" s="84"/>
      <c r="AZ74" s="84"/>
      <c r="BA74" s="84"/>
      <c r="BB74" s="53">
        <f>IFERROR(AVERAGE(Table4[[#This Row],[Jan_2027_Days_Forecast]:[Dec_2027_Days_Forecast]]),0)</f>
        <v>0</v>
      </c>
      <c r="BC74" s="16"/>
      <c r="BD74" s="16"/>
      <c r="BE74" s="16"/>
      <c r="BF74" s="16"/>
      <c r="BG74" s="16"/>
      <c r="BH74" s="16"/>
      <c r="BI74" s="16"/>
      <c r="BJ74" s="16"/>
      <c r="BK74" s="16"/>
      <c r="BL74" s="16"/>
      <c r="BM74" s="16"/>
      <c r="BN74" s="16"/>
      <c r="BO74" s="55"/>
      <c r="BP74" s="60"/>
      <c r="BQ74" s="3">
        <f>Table4[[#This Row],[Jan_2026_Days_Forecast]]*Table4[[#This Row],[Cost Boolean]]*VLOOKUP(Table4[[#This Row],[RATE CONCAT]],Tables!I:N,5,0)</f>
        <v>0</v>
      </c>
      <c r="BR74" s="3">
        <f>IFERROR(Table4[[#This Row],[Jan_2026_Days_Actual]]*Table4[[#This Row],[Cost Boolean]]*(VLOOKUP(Table4[[#This Row],[RATE CONCAT]],Tables!I:N,5,0)),0)</f>
        <v>0</v>
      </c>
      <c r="BS74" s="3">
        <f>Table4[[#This Row],[Jan_2026_F]]-Table4[[#This Row],[Jan_2026_A]]</f>
        <v>0</v>
      </c>
      <c r="BT74" s="107"/>
      <c r="BU74" s="3">
        <f>IFERROR(Table4[[#This Row],[Feb_2026_Days_Forecast]]*Table4[[#This Row],[Cost Boolean]]*(VLOOKUP(Table4[[#This Row],[RATE CONCAT]],Tables!I:N,5,0)),0)</f>
        <v>0</v>
      </c>
      <c r="BV74" s="3">
        <f>IFERROR(Table4[[#This Row],[Feb_2026_Days_Actual]]*Table4[[#This Row],[Cost Boolean]]*(VLOOKUP(Table4[[#This Row],[RATE CONCAT]],Tables!I:N,5,0)),0)</f>
        <v>0</v>
      </c>
      <c r="BW74" s="3">
        <f>Table4[[#This Row],[Feb_2026_F]]-Table4[[#This Row],[Feb_2026_A]]</f>
        <v>0</v>
      </c>
      <c r="BX74" s="103"/>
      <c r="BY74" s="3">
        <f>IFERROR(Table4[[#This Row],[Mar_2026_Days_Forecast]]*Table4[[#This Row],[Cost Boolean]]*(VLOOKUP(Table4[[#This Row],[RATE CONCAT]],Tables!I:N,5,0)),0)</f>
        <v>0</v>
      </c>
      <c r="BZ74" s="3">
        <f>IFERROR(Table4[[#This Row],[Mar_2026_Days_Actual]]*Table4[[#This Row],[Cost Boolean]]*(VLOOKUP(Table4[[#This Row],[RATE CONCAT]],Tables!I:N,5,0)),0)</f>
        <v>0</v>
      </c>
      <c r="CA74" s="3">
        <f>Table4[[#This Row],[Mar_2026_F]]-Table4[[#This Row],[Mar_2026_A]]</f>
        <v>0</v>
      </c>
      <c r="CB74" s="103"/>
      <c r="CC74" s="3">
        <f>IFERROR(Table4[[#This Row],[Apr_2026_Days_Forecast]]*Table4[[#This Row],[Cost Boolean]]*(VLOOKUP(Table4[[#This Row],[RATE CONCAT]],Tables!I:N,5,0)),0)</f>
        <v>0</v>
      </c>
      <c r="CD74" s="3">
        <f>IFERROR(Table4[[#This Row],[Apr_2026_Days_Actual]]*Table4[[#This Row],[Cost Boolean]]*(VLOOKUP(Table4[[#This Row],[RATE CONCAT]],Tables!I:N,5,0)),0)</f>
        <v>0</v>
      </c>
      <c r="CE74" s="3">
        <f>Table4[[#This Row],[Apr_2026_F]]-Table4[[#This Row],[Apr_2026_A]]</f>
        <v>0</v>
      </c>
      <c r="CF74" s="103"/>
      <c r="CG74" s="3">
        <f>IFERROR(Table4[[#This Row],[May_2026_Days_Forecast]] *Table4[[#This Row],[Cost Boolean]]*(VLOOKUP(Table4[[#This Row],[RATE CONCAT]],Tables!I:N,5,0)),0)</f>
        <v>0</v>
      </c>
      <c r="CH74" s="3">
        <f>IFERROR(Table4[[#This Row],[May_2026_Days_Actual]]*Table4[[#This Row],[Cost Boolean]]*(VLOOKUP(Table4[[#This Row],[RATE CONCAT]],Tables!I:N,5,0)),0)</f>
        <v>0</v>
      </c>
      <c r="CI74" s="3">
        <f>Table4[[#This Row],[May_2026_F]]-Table4[[#This Row],[May_2026_A]]</f>
        <v>0</v>
      </c>
      <c r="CJ74" s="103"/>
      <c r="CK74" s="3">
        <f>IFERROR(Table4[[#This Row],[Jun_2026_Days_Forecast]]*Table4[[#This Row],[Cost Boolean]]*(VLOOKUP(Table4[[#This Row],[RATE CONCAT]],Tables!I:N,5,0)),0)</f>
        <v>0</v>
      </c>
      <c r="CL74" s="3">
        <f>IFERROR(Table4[[#This Row],[Jun_2026_Days_Actual]]*Table4[[#This Row],[Cost Boolean]]*(VLOOKUP(Table4[[#This Row],[RATE CONCAT]],Tables!I:N,5,0)),0)</f>
        <v>0</v>
      </c>
      <c r="CM74" s="3">
        <f>Table4[[#This Row],[Jun_2026_F]]-Table4[[#This Row],[Jun_2026_A]]</f>
        <v>0</v>
      </c>
      <c r="CN74" s="103"/>
      <c r="CO74" s="3">
        <f>IFERROR(Table4[[#This Row],[Jul_2026_Days_Forecast]]*Table4[[#This Row],[Cost Boolean]]*(VLOOKUP(Table4[[#This Row],[RATE CONCAT]],Tables!I:N,5,0)),0)</f>
        <v>0</v>
      </c>
      <c r="CP74" s="3">
        <f>IFERROR(Table4[[#This Row],[Aug_2026_Days_Forecast]]*Table4[[#This Row],[Location]]*(VLOOKUP(Table4[[#This Row],[Rate]],Tables!J:O,5,0)),0)</f>
        <v>0</v>
      </c>
      <c r="CQ74" s="3">
        <f>Table4[[#This Row],[Jul_2026_F]]-Table4[[#This Row],[Jul_2026_A]]</f>
        <v>0</v>
      </c>
      <c r="CR74" s="103"/>
      <c r="CS74" s="3">
        <f>IFERROR(Table4[[#This Row],[Aug_2026_Days_Forecast]]*Table4[[#This Row],[Cost Boolean]]*(VLOOKUP(Table4[[#This Row],[RATE CONCAT]],Tables!I:N,5,0)),0)</f>
        <v>0</v>
      </c>
      <c r="CT74" s="3">
        <f>IFERROR(Table4[[#This Row],[Aug_2026_Days_Actual]]*Table4[[#This Row],[Cost Boolean]]*(VLOOKUP(Table4[[#This Row],[RATE CONCAT]],Tables!I:N,5,0)),0)</f>
        <v>0</v>
      </c>
      <c r="CU74" s="3">
        <f>Table4[[#This Row],[Aug_2026_F]]-Table4[[#This Row],[Aug_2026_A]]</f>
        <v>0</v>
      </c>
      <c r="CV74" s="103"/>
      <c r="CW74" s="3">
        <f>IFERROR(Table4[[#This Row],[Sep_2026_Days_Forecast]]*Table4[[#This Row],[Cost Boolean]]*(VLOOKUP(Table4[[#This Row],[RATE CONCAT]],Tables!I:N,5,0)),0)</f>
        <v>0</v>
      </c>
      <c r="CX74" s="3">
        <f>IFERROR(Table4[[#This Row],[Sep_2026_Days_Actual]]*Table4[[#This Row],[Cost Boolean]]*(VLOOKUP(Table4[[#This Row],[RATE CONCAT]],Tables!I:N,5,0)),0)</f>
        <v>0</v>
      </c>
      <c r="CY74" s="3">
        <f>Table4[[#This Row],[Sep_2026_F]]-Table4[[#This Row],[Sep_2026_A]]</f>
        <v>0</v>
      </c>
      <c r="CZ74" s="103"/>
      <c r="DA74" s="3">
        <f>IFERROR(Table4[[#This Row],[Oct_2026_Days_Forecast]]*Table4[[#This Row],[Cost Boolean]]*(VLOOKUP(Table4[[#This Row],[RATE CONCAT]],Tables!I:N,5,0)),0)</f>
        <v>0</v>
      </c>
      <c r="DB74" s="3">
        <f>IFERROR(Table4[[#This Row],[Oct_2026_Days_Actual]]*Table4[[#This Row],[Cost Boolean]]*(VLOOKUP(Table4[[#This Row],[RATE CONCAT]],Tables!I:N,5,0)),0)</f>
        <v>0</v>
      </c>
      <c r="DC74" s="3">
        <f>Table4[[#This Row],[Oct_2026_F]]-Table4[[#This Row],[Oct_2026_A]]</f>
        <v>0</v>
      </c>
      <c r="DD74" s="103"/>
      <c r="DE74" s="3">
        <f>IFERROR(Table4[[#This Row],[Nov_2026_Days_Forecast]]*Table4[[#This Row],[Cost Boolean]]*(VLOOKUP(Table4[[#This Row],[RATE CONCAT]],Tables!I:N,5,0)),0)</f>
        <v>0</v>
      </c>
      <c r="DF74" s="3">
        <f>IFERROR(Table4[[#This Row],[Nov_2026_Days_Actual]]*Table4[[#This Row],[Cost Boolean]]*(VLOOKUP(Table4[[#This Row],[RATE CONCAT]],Tables!I:N,5,0)),0)</f>
        <v>0</v>
      </c>
      <c r="DG74" s="3">
        <f>Table4[[#This Row],[Nov_2026_F]]-Table4[[#This Row],[Nov_2026_A]]</f>
        <v>0</v>
      </c>
      <c r="DH74" s="103"/>
      <c r="DI74" s="3">
        <f>IFERROR(Table4[[#This Row],[Dec_2026_Days_Forecast]]*Table4[[#This Row],[Cost Boolean]]*(VLOOKUP(Table4[[#This Row],[RATE CONCAT]],Tables!I:N,5,0)),0)</f>
        <v>0</v>
      </c>
      <c r="DJ74" s="3">
        <f>IFERROR(Table4[[#This Row],[Dec_2026_Days_Actual]]*Table4[[#This Row],[Cost Boolean]]*(VLOOKUP(Table4[[#This Row],[RATE CONCAT]],Tables!I:N,5,0)),0)</f>
        <v>0</v>
      </c>
      <c r="DK74" s="3">
        <f>Table4[[#This Row],[Dec_2026_F]]-Table4[[#This Row],[Dec_2026_A]]</f>
        <v>0</v>
      </c>
      <c r="DL74" s="103"/>
      <c r="DM74" s="60"/>
      <c r="DN74" s="3">
        <f>IFERROR(Table4[[#This Row],[Jan_2027_Days_Forecast]]*Table4[[#This Row],[Cost Boolean]]*(VLOOKUP(Table4[[#This Row],[RATE CONCAT]],Tables!I:N,6,0)),0)</f>
        <v>0</v>
      </c>
      <c r="DO74" s="3"/>
      <c r="DP74" s="3">
        <f>Table4[[#This Row],[Jan_2027_F]]-Table4[[#This Row],[Jan_2027_A]]</f>
        <v>0</v>
      </c>
      <c r="DQ74" s="3">
        <f>IFERROR(Table4[[#This Row],[Feb_2027_Days_Forecast]]*Table4[[#This Row],[Cost Boolean]]*(VLOOKUP(Table4[[#This Row],[RATE CONCAT]],Tables!I:N,6,0)),0)</f>
        <v>0</v>
      </c>
      <c r="DR74" s="3"/>
      <c r="DS74" s="3">
        <f>Table4[[#This Row],[Feb_2027_F]]-Table4[[#This Row],[Feb_2027_A]]</f>
        <v>0</v>
      </c>
      <c r="DT74" s="3">
        <f>IFERROR(Table4[[#This Row],[Mar_2027_Days_Forecast]]*Table4[[#This Row],[Cost Boolean]]*(VLOOKUP(Table4[[#This Row],[RATE CONCAT]],Tables!I:N,6,0)),0)</f>
        <v>0</v>
      </c>
      <c r="DU74" s="3"/>
      <c r="DV74" s="3">
        <f>Table4[[#This Row],[Mar_2027_F]]-Table4[[#This Row],[Mar_2027_A]]</f>
        <v>0</v>
      </c>
      <c r="DW74" s="3">
        <f>IFERROR(Table4[[#This Row],[Apr_2027_Days_Forecast]]*Table4[[#This Row],[Cost Boolean]]*(VLOOKUP(Table4[[#This Row],[RATE CONCAT]],Tables!I:N,6,0)),0)</f>
        <v>0</v>
      </c>
      <c r="DX74" s="3"/>
      <c r="DY74" s="3">
        <f>Table4[[#This Row],[Apr_2027_F]]-Table4[[#This Row],[Apr_2027_A]]</f>
        <v>0</v>
      </c>
      <c r="DZ74" s="3">
        <f>IFERROR(Table4[[#This Row],[May_2027_Days_Forecast]]*Table4[[#This Row],[Cost Boolean]]*(VLOOKUP(Table4[[#This Row],[RATE CONCAT]],Tables!I:N,6,0)),0)</f>
        <v>0</v>
      </c>
      <c r="EA74" s="3"/>
      <c r="EB74" s="3">
        <f>Table4[[#This Row],[May_2027_F]]-Table4[[#This Row],[May_2027_A]]</f>
        <v>0</v>
      </c>
      <c r="EC74" s="3">
        <f>IFERROR(Table4[[#This Row],[Jun_2027_Days_Forecast]]*Table4[[#This Row],[Cost Boolean]]*(VLOOKUP(Table4[[#This Row],[RATE CONCAT]],Tables!I:N,6,0)),0)</f>
        <v>0</v>
      </c>
      <c r="ED74" s="3"/>
      <c r="EE74" s="3">
        <f>Table4[[#This Row],[Jun_2027_F]]-Table4[[#This Row],[Jun_2027_A]]</f>
        <v>0</v>
      </c>
      <c r="EF74" s="3">
        <f>IFERROR(Table4[[#This Row],[Jul_2027_Days_Forecast]]*Table4[[#This Row],[Cost Boolean]]*(VLOOKUP(Table4[[#This Row],[RATE CONCAT]],Tables!I:N,6,0)),0)</f>
        <v>0</v>
      </c>
      <c r="EG74" s="3"/>
      <c r="EH74" s="3">
        <f>Table4[[#This Row],[Jul_2027_F]]-Table4[[#This Row],[Jul_2027_A]]</f>
        <v>0</v>
      </c>
      <c r="EI74" s="3">
        <f>IFERROR(Table4[[#This Row],[Aug_2027_Days_Forecast]]*Table4[[#This Row],[Cost Boolean]]*(VLOOKUP(Table4[[#This Row],[RATE CONCAT]],Tables!I:N,6,0)),0)</f>
        <v>0</v>
      </c>
      <c r="EJ74" s="3"/>
      <c r="EK74" s="3">
        <f>Table4[[#This Row],[Aug_2027_F]]-Table4[[#This Row],[Aug_2027_A]]</f>
        <v>0</v>
      </c>
      <c r="EL74" s="3">
        <f>IFERROR(Table4[[#This Row],[Sep_2027_Days_Forecast]]*Table4[[#This Row],[Cost Boolean]]*(VLOOKUP(Table4[[#This Row],[RATE CONCAT]],Tables!I:N,6,0)),0)</f>
        <v>0</v>
      </c>
      <c r="EM74" s="3"/>
      <c r="EN74" s="3">
        <f>Table4[[#This Row],[Sep_2027_F]]-Table4[[#This Row],[Sep_2027_A]]</f>
        <v>0</v>
      </c>
      <c r="EO74" s="3">
        <f>IFERROR(Table4[[#This Row],[Oct_2027_Days_Forecast]]*Table4[[#This Row],[Cost Boolean]]*(VLOOKUP(Table4[[#This Row],[RATE CONCAT]],Tables!I:N,6,0)),0)</f>
        <v>0</v>
      </c>
      <c r="EP74" s="3"/>
      <c r="EQ74" s="3">
        <f>Table4[[#This Row],[Oct_2027_F]]-Table4[[#This Row],[Oct_2027_A]]</f>
        <v>0</v>
      </c>
      <c r="ER74" s="3">
        <f>IFERROR(Table4[[#This Row],[Nov_2027_Days_Forecast]]*Table4[[#This Row],[Cost Boolean]]*(VLOOKUP(Table4[[#This Row],[RATE CONCAT]],Tables!I:N,6,0)),0)</f>
        <v>0</v>
      </c>
      <c r="ES74" s="3"/>
      <c r="ET74" s="3">
        <f>Table4[[#This Row],[Nov_2027_F]]-Table4[[#This Row],[Nov_2027_A]]</f>
        <v>0</v>
      </c>
      <c r="EU74" s="3">
        <f>IFERROR(Table4[[#This Row],[Dec_2027_Days_Forecast]]*Table4[[#This Row],[Cost Boolean]]*(VLOOKUP(Table4[[#This Row],[RATE CONCAT]],Tables!I:N,6,0)),0)</f>
        <v>0</v>
      </c>
      <c r="EV74" s="3"/>
      <c r="EW74" s="3">
        <f>Table4[[#This Row],[Dec_2027_F]]-Table4[[#This Row],[Dec_2027_A]]</f>
        <v>0</v>
      </c>
    </row>
    <row r="75" spans="1:153" ht="1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2" t="str">
        <f>CONCATENATE(Table4[[#This Row],[JG]],Table4[[#This Row],[Country]],Table4[[#This Row],[Resource Provider]])</f>
        <v/>
      </c>
      <c r="Z75" s="132">
        <f>VLOOKUP(Table4[[#This Row],[RATE CONCAT]],Tables!I:N,5,0)</f>
        <v>0</v>
      </c>
      <c r="AA75" s="53"/>
      <c r="AB75" s="16"/>
      <c r="AC75" s="16"/>
      <c r="AD75" s="16"/>
      <c r="AE75" s="16"/>
      <c r="AF75" s="16"/>
      <c r="AG75" s="16"/>
      <c r="AH75" s="16"/>
      <c r="AI75" s="16"/>
      <c r="AJ75" s="16"/>
      <c r="AK75" s="16"/>
      <c r="AL75" s="16"/>
      <c r="AM75" s="16"/>
      <c r="AN75" s="53">
        <f>IFERROR(AVERAGE(Table4[[#This Row],[Jan_2026_Days_Forecast]:[Dec_2026_Days_Forecast]]),0)/19</f>
        <v>0</v>
      </c>
      <c r="AO75" s="53">
        <f>IFERROR(AVERAGE(Table4[[#This Row],[Jan_2026_Days_Actual]:[Dec_2026_Days_Actual]]),0)/19</f>
        <v>0</v>
      </c>
      <c r="AP75" s="84"/>
      <c r="AQ75" s="84"/>
      <c r="AR75" s="84"/>
      <c r="AS75" s="84"/>
      <c r="AT75" s="84"/>
      <c r="AU75" s="84"/>
      <c r="AV75" s="84"/>
      <c r="AW75" s="84"/>
      <c r="AX75" s="84"/>
      <c r="AY75" s="84"/>
      <c r="AZ75" s="84"/>
      <c r="BA75" s="84"/>
      <c r="BB75" s="53">
        <f>IFERROR(AVERAGE(Table4[[#This Row],[Jan_2027_Days_Forecast]:[Dec_2027_Days_Forecast]]),0)</f>
        <v>0</v>
      </c>
      <c r="BC75" s="16"/>
      <c r="BD75" s="16"/>
      <c r="BE75" s="16"/>
      <c r="BF75" s="16"/>
      <c r="BG75" s="16"/>
      <c r="BH75" s="16"/>
      <c r="BI75" s="16"/>
      <c r="BJ75" s="16"/>
      <c r="BK75" s="16"/>
      <c r="BL75" s="16"/>
      <c r="BM75" s="16"/>
      <c r="BN75" s="16"/>
      <c r="BO75" s="55"/>
      <c r="BP75" s="60"/>
      <c r="BQ75" s="3">
        <f>Table4[[#This Row],[Jan_2026_Days_Forecast]]*Table4[[#This Row],[Cost Boolean]]*VLOOKUP(Table4[[#This Row],[RATE CONCAT]],Tables!I:N,5,0)</f>
        <v>0</v>
      </c>
      <c r="BR75" s="3">
        <f>IFERROR(Table4[[#This Row],[Jan_2026_Days_Actual]]*Table4[[#This Row],[Cost Boolean]]*(VLOOKUP(Table4[[#This Row],[RATE CONCAT]],Tables!I:N,5,0)),0)</f>
        <v>0</v>
      </c>
      <c r="BS75" s="3">
        <f>Table4[[#This Row],[Jan_2026_F]]-Table4[[#This Row],[Jan_2026_A]]</f>
        <v>0</v>
      </c>
      <c r="BT75" s="107"/>
      <c r="BU75" s="3">
        <f>IFERROR(Table4[[#This Row],[Feb_2026_Days_Forecast]]*Table4[[#This Row],[Cost Boolean]]*(VLOOKUP(Table4[[#This Row],[RATE CONCAT]],Tables!I:N,5,0)),0)</f>
        <v>0</v>
      </c>
      <c r="BV75" s="3">
        <f>IFERROR(Table4[[#This Row],[Feb_2026_Days_Actual]]*Table4[[#This Row],[Cost Boolean]]*(VLOOKUP(Table4[[#This Row],[RATE CONCAT]],Tables!I:N,5,0)),0)</f>
        <v>0</v>
      </c>
      <c r="BW75" s="3">
        <f>Table4[[#This Row],[Feb_2026_F]]-Table4[[#This Row],[Feb_2026_A]]</f>
        <v>0</v>
      </c>
      <c r="BX75" s="103"/>
      <c r="BY75" s="3">
        <f>IFERROR(Table4[[#This Row],[Mar_2026_Days_Forecast]]*Table4[[#This Row],[Cost Boolean]]*(VLOOKUP(Table4[[#This Row],[RATE CONCAT]],Tables!I:N,5,0)),0)</f>
        <v>0</v>
      </c>
      <c r="BZ75" s="3">
        <f>IFERROR(Table4[[#This Row],[Mar_2026_Days_Actual]]*Table4[[#This Row],[Cost Boolean]]*(VLOOKUP(Table4[[#This Row],[RATE CONCAT]],Tables!I:N,5,0)),0)</f>
        <v>0</v>
      </c>
      <c r="CA75" s="3">
        <f>Table4[[#This Row],[Mar_2026_F]]-Table4[[#This Row],[Mar_2026_A]]</f>
        <v>0</v>
      </c>
      <c r="CB75" s="103"/>
      <c r="CC75" s="3">
        <f>IFERROR(Table4[[#This Row],[Apr_2026_Days_Forecast]]*Table4[[#This Row],[Cost Boolean]]*(VLOOKUP(Table4[[#This Row],[RATE CONCAT]],Tables!I:N,5,0)),0)</f>
        <v>0</v>
      </c>
      <c r="CD75" s="3">
        <f>IFERROR(Table4[[#This Row],[Apr_2026_Days_Actual]]*Table4[[#This Row],[Cost Boolean]]*(VLOOKUP(Table4[[#This Row],[RATE CONCAT]],Tables!I:N,5,0)),0)</f>
        <v>0</v>
      </c>
      <c r="CE75" s="3">
        <f>Table4[[#This Row],[Apr_2026_F]]-Table4[[#This Row],[Apr_2026_A]]</f>
        <v>0</v>
      </c>
      <c r="CF75" s="103"/>
      <c r="CG75" s="3">
        <f>IFERROR(Table4[[#This Row],[May_2026_Days_Forecast]] *Table4[[#This Row],[Cost Boolean]]*(VLOOKUP(Table4[[#This Row],[RATE CONCAT]],Tables!I:N,5,0)),0)</f>
        <v>0</v>
      </c>
      <c r="CH75" s="3">
        <f>IFERROR(Table4[[#This Row],[May_2026_Days_Actual]]*Table4[[#This Row],[Cost Boolean]]*(VLOOKUP(Table4[[#This Row],[RATE CONCAT]],Tables!I:N,5,0)),0)</f>
        <v>0</v>
      </c>
      <c r="CI75" s="3">
        <f>Table4[[#This Row],[May_2026_F]]-Table4[[#This Row],[May_2026_A]]</f>
        <v>0</v>
      </c>
      <c r="CJ75" s="103"/>
      <c r="CK75" s="3">
        <f>IFERROR(Table4[[#This Row],[Jun_2026_Days_Forecast]]*Table4[[#This Row],[Cost Boolean]]*(VLOOKUP(Table4[[#This Row],[RATE CONCAT]],Tables!I:N,5,0)),0)</f>
        <v>0</v>
      </c>
      <c r="CL75" s="3">
        <f>IFERROR(Table4[[#This Row],[Jun_2026_Days_Actual]]*Table4[[#This Row],[Cost Boolean]]*(VLOOKUP(Table4[[#This Row],[RATE CONCAT]],Tables!I:N,5,0)),0)</f>
        <v>0</v>
      </c>
      <c r="CM75" s="3">
        <f>Table4[[#This Row],[Jun_2026_F]]-Table4[[#This Row],[Jun_2026_A]]</f>
        <v>0</v>
      </c>
      <c r="CN75" s="103"/>
      <c r="CO75" s="3">
        <f>IFERROR(Table4[[#This Row],[Jul_2026_Days_Forecast]]*Table4[[#This Row],[Cost Boolean]]*(VLOOKUP(Table4[[#This Row],[RATE CONCAT]],Tables!I:N,5,0)),0)</f>
        <v>0</v>
      </c>
      <c r="CP75" s="3">
        <f>IFERROR(Table4[[#This Row],[Aug_2026_Days_Forecast]]*Table4[[#This Row],[Location]]*(VLOOKUP(Table4[[#This Row],[Rate]],Tables!J:O,5,0)),0)</f>
        <v>0</v>
      </c>
      <c r="CQ75" s="3">
        <f>Table4[[#This Row],[Jul_2026_F]]-Table4[[#This Row],[Jul_2026_A]]</f>
        <v>0</v>
      </c>
      <c r="CR75" s="103"/>
      <c r="CS75" s="3">
        <f>IFERROR(Table4[[#This Row],[Aug_2026_Days_Forecast]]*Table4[[#This Row],[Cost Boolean]]*(VLOOKUP(Table4[[#This Row],[RATE CONCAT]],Tables!I:N,5,0)),0)</f>
        <v>0</v>
      </c>
      <c r="CT75" s="3">
        <f>IFERROR(Table4[[#This Row],[Aug_2026_Days_Actual]]*Table4[[#This Row],[Cost Boolean]]*(VLOOKUP(Table4[[#This Row],[RATE CONCAT]],Tables!I:N,5,0)),0)</f>
        <v>0</v>
      </c>
      <c r="CU75" s="3">
        <f>Table4[[#This Row],[Aug_2026_F]]-Table4[[#This Row],[Aug_2026_A]]</f>
        <v>0</v>
      </c>
      <c r="CV75" s="103"/>
      <c r="CW75" s="3">
        <f>IFERROR(Table4[[#This Row],[Sep_2026_Days_Forecast]]*Table4[[#This Row],[Cost Boolean]]*(VLOOKUP(Table4[[#This Row],[RATE CONCAT]],Tables!I:N,5,0)),0)</f>
        <v>0</v>
      </c>
      <c r="CX75" s="3">
        <f>IFERROR(Table4[[#This Row],[Sep_2026_Days_Actual]]*Table4[[#This Row],[Cost Boolean]]*(VLOOKUP(Table4[[#This Row],[RATE CONCAT]],Tables!I:N,5,0)),0)</f>
        <v>0</v>
      </c>
      <c r="CY75" s="3">
        <f>Table4[[#This Row],[Sep_2026_F]]-Table4[[#This Row],[Sep_2026_A]]</f>
        <v>0</v>
      </c>
      <c r="CZ75" s="103"/>
      <c r="DA75" s="3">
        <f>IFERROR(Table4[[#This Row],[Oct_2026_Days_Forecast]]*Table4[[#This Row],[Cost Boolean]]*(VLOOKUP(Table4[[#This Row],[RATE CONCAT]],Tables!I:N,5,0)),0)</f>
        <v>0</v>
      </c>
      <c r="DB75" s="3">
        <f>IFERROR(Table4[[#This Row],[Oct_2026_Days_Actual]]*Table4[[#This Row],[Cost Boolean]]*(VLOOKUP(Table4[[#This Row],[RATE CONCAT]],Tables!I:N,5,0)),0)</f>
        <v>0</v>
      </c>
      <c r="DC75" s="3">
        <f>Table4[[#This Row],[Oct_2026_F]]-Table4[[#This Row],[Oct_2026_A]]</f>
        <v>0</v>
      </c>
      <c r="DD75" s="103"/>
      <c r="DE75" s="3">
        <f>IFERROR(Table4[[#This Row],[Nov_2026_Days_Forecast]]*Table4[[#This Row],[Cost Boolean]]*(VLOOKUP(Table4[[#This Row],[RATE CONCAT]],Tables!I:N,5,0)),0)</f>
        <v>0</v>
      </c>
      <c r="DF75" s="3">
        <f>IFERROR(Table4[[#This Row],[Nov_2026_Days_Actual]]*Table4[[#This Row],[Cost Boolean]]*(VLOOKUP(Table4[[#This Row],[RATE CONCAT]],Tables!I:N,5,0)),0)</f>
        <v>0</v>
      </c>
      <c r="DG75" s="3">
        <f>Table4[[#This Row],[Nov_2026_F]]-Table4[[#This Row],[Nov_2026_A]]</f>
        <v>0</v>
      </c>
      <c r="DH75" s="103"/>
      <c r="DI75" s="3">
        <f>IFERROR(Table4[[#This Row],[Dec_2026_Days_Forecast]]*Table4[[#This Row],[Cost Boolean]]*(VLOOKUP(Table4[[#This Row],[RATE CONCAT]],Tables!I:N,5,0)),0)</f>
        <v>0</v>
      </c>
      <c r="DJ75" s="3">
        <f>IFERROR(Table4[[#This Row],[Dec_2026_Days_Actual]]*Table4[[#This Row],[Cost Boolean]]*(VLOOKUP(Table4[[#This Row],[RATE CONCAT]],Tables!I:N,5,0)),0)</f>
        <v>0</v>
      </c>
      <c r="DK75" s="3">
        <f>Table4[[#This Row],[Dec_2026_F]]-Table4[[#This Row],[Dec_2026_A]]</f>
        <v>0</v>
      </c>
      <c r="DL75" s="103"/>
      <c r="DM75" s="60"/>
      <c r="DN75" s="3">
        <f>IFERROR(Table4[[#This Row],[Jan_2027_Days_Forecast]]*Table4[[#This Row],[Cost Boolean]]*(VLOOKUP(Table4[[#This Row],[RATE CONCAT]],Tables!I:N,6,0)),0)</f>
        <v>0</v>
      </c>
      <c r="DO75" s="3"/>
      <c r="DP75" s="3">
        <f>Table4[[#This Row],[Jan_2027_F]]-Table4[[#This Row],[Jan_2027_A]]</f>
        <v>0</v>
      </c>
      <c r="DQ75" s="3">
        <f>IFERROR(Table4[[#This Row],[Feb_2027_Days_Forecast]]*Table4[[#This Row],[Cost Boolean]]*(VLOOKUP(Table4[[#This Row],[RATE CONCAT]],Tables!I:N,6,0)),0)</f>
        <v>0</v>
      </c>
      <c r="DR75" s="3"/>
      <c r="DS75" s="3">
        <f>Table4[[#This Row],[Feb_2027_F]]-Table4[[#This Row],[Feb_2027_A]]</f>
        <v>0</v>
      </c>
      <c r="DT75" s="3">
        <f>IFERROR(Table4[[#This Row],[Mar_2027_Days_Forecast]]*Table4[[#This Row],[Cost Boolean]]*(VLOOKUP(Table4[[#This Row],[RATE CONCAT]],Tables!I:N,6,0)),0)</f>
        <v>0</v>
      </c>
      <c r="DU75" s="3"/>
      <c r="DV75" s="3">
        <f>Table4[[#This Row],[Mar_2027_F]]-Table4[[#This Row],[Mar_2027_A]]</f>
        <v>0</v>
      </c>
      <c r="DW75" s="3">
        <f>IFERROR(Table4[[#This Row],[Apr_2027_Days_Forecast]]*Table4[[#This Row],[Cost Boolean]]*(VLOOKUP(Table4[[#This Row],[RATE CONCAT]],Tables!I:N,6,0)),0)</f>
        <v>0</v>
      </c>
      <c r="DX75" s="3"/>
      <c r="DY75" s="3">
        <f>Table4[[#This Row],[Apr_2027_F]]-Table4[[#This Row],[Apr_2027_A]]</f>
        <v>0</v>
      </c>
      <c r="DZ75" s="3">
        <f>IFERROR(Table4[[#This Row],[May_2027_Days_Forecast]]*Table4[[#This Row],[Cost Boolean]]*(VLOOKUP(Table4[[#This Row],[RATE CONCAT]],Tables!I:N,6,0)),0)</f>
        <v>0</v>
      </c>
      <c r="EA75" s="3"/>
      <c r="EB75" s="3">
        <f>Table4[[#This Row],[May_2027_F]]-Table4[[#This Row],[May_2027_A]]</f>
        <v>0</v>
      </c>
      <c r="EC75" s="3">
        <f>IFERROR(Table4[[#This Row],[Jun_2027_Days_Forecast]]*Table4[[#This Row],[Cost Boolean]]*(VLOOKUP(Table4[[#This Row],[RATE CONCAT]],Tables!I:N,6,0)),0)</f>
        <v>0</v>
      </c>
      <c r="ED75" s="3"/>
      <c r="EE75" s="3">
        <f>Table4[[#This Row],[Jun_2027_F]]-Table4[[#This Row],[Jun_2027_A]]</f>
        <v>0</v>
      </c>
      <c r="EF75" s="3">
        <f>IFERROR(Table4[[#This Row],[Jul_2027_Days_Forecast]]*Table4[[#This Row],[Cost Boolean]]*(VLOOKUP(Table4[[#This Row],[RATE CONCAT]],Tables!I:N,6,0)),0)</f>
        <v>0</v>
      </c>
      <c r="EG75" s="3"/>
      <c r="EH75" s="3">
        <f>Table4[[#This Row],[Jul_2027_F]]-Table4[[#This Row],[Jul_2027_A]]</f>
        <v>0</v>
      </c>
      <c r="EI75" s="3">
        <f>IFERROR(Table4[[#This Row],[Aug_2027_Days_Forecast]]*Table4[[#This Row],[Cost Boolean]]*(VLOOKUP(Table4[[#This Row],[RATE CONCAT]],Tables!I:N,6,0)),0)</f>
        <v>0</v>
      </c>
      <c r="EJ75" s="3"/>
      <c r="EK75" s="3">
        <f>Table4[[#This Row],[Aug_2027_F]]-Table4[[#This Row],[Aug_2027_A]]</f>
        <v>0</v>
      </c>
      <c r="EL75" s="3">
        <f>IFERROR(Table4[[#This Row],[Sep_2027_Days_Forecast]]*Table4[[#This Row],[Cost Boolean]]*(VLOOKUP(Table4[[#This Row],[RATE CONCAT]],Tables!I:N,6,0)),0)</f>
        <v>0</v>
      </c>
      <c r="EM75" s="3"/>
      <c r="EN75" s="3">
        <f>Table4[[#This Row],[Sep_2027_F]]-Table4[[#This Row],[Sep_2027_A]]</f>
        <v>0</v>
      </c>
      <c r="EO75" s="3">
        <f>IFERROR(Table4[[#This Row],[Oct_2027_Days_Forecast]]*Table4[[#This Row],[Cost Boolean]]*(VLOOKUP(Table4[[#This Row],[RATE CONCAT]],Tables!I:N,6,0)),0)</f>
        <v>0</v>
      </c>
      <c r="EP75" s="3"/>
      <c r="EQ75" s="3">
        <f>Table4[[#This Row],[Oct_2027_F]]-Table4[[#This Row],[Oct_2027_A]]</f>
        <v>0</v>
      </c>
      <c r="ER75" s="3">
        <f>IFERROR(Table4[[#This Row],[Nov_2027_Days_Forecast]]*Table4[[#This Row],[Cost Boolean]]*(VLOOKUP(Table4[[#This Row],[RATE CONCAT]],Tables!I:N,6,0)),0)</f>
        <v>0</v>
      </c>
      <c r="ES75" s="3"/>
      <c r="ET75" s="3">
        <f>Table4[[#This Row],[Nov_2027_F]]-Table4[[#This Row],[Nov_2027_A]]</f>
        <v>0</v>
      </c>
      <c r="EU75" s="3">
        <f>IFERROR(Table4[[#This Row],[Dec_2027_Days_Forecast]]*Table4[[#This Row],[Cost Boolean]]*(VLOOKUP(Table4[[#This Row],[RATE CONCAT]],Tables!I:N,6,0)),0)</f>
        <v>0</v>
      </c>
      <c r="EV75" s="3"/>
      <c r="EW75" s="3">
        <f>Table4[[#This Row],[Dec_2027_F]]-Table4[[#This Row],[Dec_2027_A]]</f>
        <v>0</v>
      </c>
    </row>
    <row r="76" spans="1:153" ht="1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2" t="str">
        <f>CONCATENATE(Table4[[#This Row],[JG]],Table4[[#This Row],[Country]],Table4[[#This Row],[Resource Provider]])</f>
        <v/>
      </c>
      <c r="Z76" s="132">
        <f>VLOOKUP(Table4[[#This Row],[RATE CONCAT]],Tables!I:N,5,0)</f>
        <v>0</v>
      </c>
      <c r="AA76" s="53"/>
      <c r="AB76" s="16"/>
      <c r="AC76" s="16"/>
      <c r="AD76" s="16"/>
      <c r="AE76" s="16"/>
      <c r="AF76" s="16"/>
      <c r="AG76" s="16"/>
      <c r="AH76" s="16"/>
      <c r="AI76" s="16"/>
      <c r="AJ76" s="16"/>
      <c r="AK76" s="16"/>
      <c r="AL76" s="16"/>
      <c r="AM76" s="16"/>
      <c r="AN76" s="53">
        <f>IFERROR(AVERAGE(Table4[[#This Row],[Jan_2026_Days_Forecast]:[Dec_2026_Days_Forecast]]),0)/19</f>
        <v>0</v>
      </c>
      <c r="AO76" s="53">
        <f>IFERROR(AVERAGE(Table4[[#This Row],[Jan_2026_Days_Actual]:[Dec_2026_Days_Actual]]),0)/19</f>
        <v>0</v>
      </c>
      <c r="AP76" s="84"/>
      <c r="AQ76" s="84"/>
      <c r="AR76" s="84"/>
      <c r="AS76" s="84"/>
      <c r="AT76" s="84"/>
      <c r="AU76" s="84"/>
      <c r="AV76" s="84"/>
      <c r="AW76" s="84"/>
      <c r="AX76" s="84"/>
      <c r="AY76" s="84"/>
      <c r="AZ76" s="84"/>
      <c r="BA76" s="84"/>
      <c r="BB76" s="53">
        <f>IFERROR(AVERAGE(Table4[[#This Row],[Jan_2027_Days_Forecast]:[Dec_2027_Days_Forecast]]),0)</f>
        <v>0</v>
      </c>
      <c r="BC76" s="16"/>
      <c r="BD76" s="16"/>
      <c r="BE76" s="16"/>
      <c r="BF76" s="16"/>
      <c r="BG76" s="16"/>
      <c r="BH76" s="16"/>
      <c r="BI76" s="16"/>
      <c r="BJ76" s="16"/>
      <c r="BK76" s="16"/>
      <c r="BL76" s="16"/>
      <c r="BM76" s="16"/>
      <c r="BN76" s="16"/>
      <c r="BO76" s="55"/>
      <c r="BP76" s="60"/>
      <c r="BQ76" s="3">
        <f>Table4[[#This Row],[Jan_2026_Days_Forecast]]*Table4[[#This Row],[Cost Boolean]]*VLOOKUP(Table4[[#This Row],[RATE CONCAT]],Tables!I:N,5,0)</f>
        <v>0</v>
      </c>
      <c r="BR76" s="3">
        <f>IFERROR(Table4[[#This Row],[Jan_2026_Days_Actual]]*Table4[[#This Row],[Cost Boolean]]*(VLOOKUP(Table4[[#This Row],[RATE CONCAT]],Tables!I:N,5,0)),0)</f>
        <v>0</v>
      </c>
      <c r="BS76" s="3">
        <f>Table4[[#This Row],[Jan_2026_F]]-Table4[[#This Row],[Jan_2026_A]]</f>
        <v>0</v>
      </c>
      <c r="BT76" s="107"/>
      <c r="BU76" s="3">
        <f>IFERROR(Table4[[#This Row],[Feb_2026_Days_Forecast]]*Table4[[#This Row],[Cost Boolean]]*(VLOOKUP(Table4[[#This Row],[RATE CONCAT]],Tables!I:N,5,0)),0)</f>
        <v>0</v>
      </c>
      <c r="BV76" s="3">
        <f>IFERROR(Table4[[#This Row],[Feb_2026_Days_Actual]]*Table4[[#This Row],[Cost Boolean]]*(VLOOKUP(Table4[[#This Row],[RATE CONCAT]],Tables!I:N,5,0)),0)</f>
        <v>0</v>
      </c>
      <c r="BW76" s="3">
        <f>Table4[[#This Row],[Feb_2026_F]]-Table4[[#This Row],[Feb_2026_A]]</f>
        <v>0</v>
      </c>
      <c r="BX76" s="103"/>
      <c r="BY76" s="3">
        <f>IFERROR(Table4[[#This Row],[Mar_2026_Days_Forecast]]*Table4[[#This Row],[Cost Boolean]]*(VLOOKUP(Table4[[#This Row],[RATE CONCAT]],Tables!I:N,5,0)),0)</f>
        <v>0</v>
      </c>
      <c r="BZ76" s="3">
        <f>IFERROR(Table4[[#This Row],[Mar_2026_Days_Actual]]*Table4[[#This Row],[Cost Boolean]]*(VLOOKUP(Table4[[#This Row],[RATE CONCAT]],Tables!I:N,5,0)),0)</f>
        <v>0</v>
      </c>
      <c r="CA76" s="3">
        <f>Table4[[#This Row],[Mar_2026_F]]-Table4[[#This Row],[Mar_2026_A]]</f>
        <v>0</v>
      </c>
      <c r="CB76" s="103"/>
      <c r="CC76" s="3">
        <f>IFERROR(Table4[[#This Row],[Apr_2026_Days_Forecast]]*Table4[[#This Row],[Cost Boolean]]*(VLOOKUP(Table4[[#This Row],[RATE CONCAT]],Tables!I:N,5,0)),0)</f>
        <v>0</v>
      </c>
      <c r="CD76" s="3">
        <f>IFERROR(Table4[[#This Row],[Apr_2026_Days_Actual]]*Table4[[#This Row],[Cost Boolean]]*(VLOOKUP(Table4[[#This Row],[RATE CONCAT]],Tables!I:N,5,0)),0)</f>
        <v>0</v>
      </c>
      <c r="CE76" s="3">
        <f>Table4[[#This Row],[Apr_2026_F]]-Table4[[#This Row],[Apr_2026_A]]</f>
        <v>0</v>
      </c>
      <c r="CF76" s="103"/>
      <c r="CG76" s="3">
        <f>IFERROR(Table4[[#This Row],[May_2026_Days_Forecast]] *Table4[[#This Row],[Cost Boolean]]*(VLOOKUP(Table4[[#This Row],[RATE CONCAT]],Tables!I:N,5,0)),0)</f>
        <v>0</v>
      </c>
      <c r="CH76" s="3">
        <f>IFERROR(Table4[[#This Row],[May_2026_Days_Actual]]*Table4[[#This Row],[Cost Boolean]]*(VLOOKUP(Table4[[#This Row],[RATE CONCAT]],Tables!I:N,5,0)),0)</f>
        <v>0</v>
      </c>
      <c r="CI76" s="3">
        <f>Table4[[#This Row],[May_2026_F]]-Table4[[#This Row],[May_2026_A]]</f>
        <v>0</v>
      </c>
      <c r="CJ76" s="103"/>
      <c r="CK76" s="3">
        <f>IFERROR(Table4[[#This Row],[Jun_2026_Days_Forecast]]*Table4[[#This Row],[Cost Boolean]]*(VLOOKUP(Table4[[#This Row],[RATE CONCAT]],Tables!I:N,5,0)),0)</f>
        <v>0</v>
      </c>
      <c r="CL76" s="3">
        <f>IFERROR(Table4[[#This Row],[Jun_2026_Days_Actual]]*Table4[[#This Row],[Cost Boolean]]*(VLOOKUP(Table4[[#This Row],[RATE CONCAT]],Tables!I:N,5,0)),0)</f>
        <v>0</v>
      </c>
      <c r="CM76" s="3">
        <f>Table4[[#This Row],[Jun_2026_F]]-Table4[[#This Row],[Jun_2026_A]]</f>
        <v>0</v>
      </c>
      <c r="CN76" s="103"/>
      <c r="CO76" s="3">
        <f>IFERROR(Table4[[#This Row],[Jul_2026_Days_Forecast]]*Table4[[#This Row],[Cost Boolean]]*(VLOOKUP(Table4[[#This Row],[RATE CONCAT]],Tables!I:N,5,0)),0)</f>
        <v>0</v>
      </c>
      <c r="CP76" s="3">
        <f>IFERROR(Table4[[#This Row],[Aug_2026_Days_Forecast]]*Table4[[#This Row],[Location]]*(VLOOKUP(Table4[[#This Row],[Rate]],Tables!J:O,5,0)),0)</f>
        <v>0</v>
      </c>
      <c r="CQ76" s="3">
        <f>Table4[[#This Row],[Jul_2026_F]]-Table4[[#This Row],[Jul_2026_A]]</f>
        <v>0</v>
      </c>
      <c r="CR76" s="103"/>
      <c r="CS76" s="3">
        <f>IFERROR(Table4[[#This Row],[Aug_2026_Days_Forecast]]*Table4[[#This Row],[Cost Boolean]]*(VLOOKUP(Table4[[#This Row],[RATE CONCAT]],Tables!I:N,5,0)),0)</f>
        <v>0</v>
      </c>
      <c r="CT76" s="3">
        <f>IFERROR(Table4[[#This Row],[Aug_2026_Days_Actual]]*Table4[[#This Row],[Cost Boolean]]*(VLOOKUP(Table4[[#This Row],[RATE CONCAT]],Tables!I:N,5,0)),0)</f>
        <v>0</v>
      </c>
      <c r="CU76" s="3">
        <f>Table4[[#This Row],[Aug_2026_F]]-Table4[[#This Row],[Aug_2026_A]]</f>
        <v>0</v>
      </c>
      <c r="CV76" s="103"/>
      <c r="CW76" s="3">
        <f>IFERROR(Table4[[#This Row],[Sep_2026_Days_Forecast]]*Table4[[#This Row],[Cost Boolean]]*(VLOOKUP(Table4[[#This Row],[RATE CONCAT]],Tables!I:N,5,0)),0)</f>
        <v>0</v>
      </c>
      <c r="CX76" s="3">
        <f>IFERROR(Table4[[#This Row],[Sep_2026_Days_Actual]]*Table4[[#This Row],[Cost Boolean]]*(VLOOKUP(Table4[[#This Row],[RATE CONCAT]],Tables!I:N,5,0)),0)</f>
        <v>0</v>
      </c>
      <c r="CY76" s="3">
        <f>Table4[[#This Row],[Sep_2026_F]]-Table4[[#This Row],[Sep_2026_A]]</f>
        <v>0</v>
      </c>
      <c r="CZ76" s="103"/>
      <c r="DA76" s="3">
        <f>IFERROR(Table4[[#This Row],[Oct_2026_Days_Forecast]]*Table4[[#This Row],[Cost Boolean]]*(VLOOKUP(Table4[[#This Row],[RATE CONCAT]],Tables!I:N,5,0)),0)</f>
        <v>0</v>
      </c>
      <c r="DB76" s="3">
        <f>IFERROR(Table4[[#This Row],[Oct_2026_Days_Actual]]*Table4[[#This Row],[Cost Boolean]]*(VLOOKUP(Table4[[#This Row],[RATE CONCAT]],Tables!I:N,5,0)),0)</f>
        <v>0</v>
      </c>
      <c r="DC76" s="3">
        <f>Table4[[#This Row],[Oct_2026_F]]-Table4[[#This Row],[Oct_2026_A]]</f>
        <v>0</v>
      </c>
      <c r="DD76" s="103"/>
      <c r="DE76" s="3">
        <f>IFERROR(Table4[[#This Row],[Nov_2026_Days_Forecast]]*Table4[[#This Row],[Cost Boolean]]*(VLOOKUP(Table4[[#This Row],[RATE CONCAT]],Tables!I:N,5,0)),0)</f>
        <v>0</v>
      </c>
      <c r="DF76" s="3">
        <f>IFERROR(Table4[[#This Row],[Nov_2026_Days_Actual]]*Table4[[#This Row],[Cost Boolean]]*(VLOOKUP(Table4[[#This Row],[RATE CONCAT]],Tables!I:N,5,0)),0)</f>
        <v>0</v>
      </c>
      <c r="DG76" s="3">
        <f>Table4[[#This Row],[Nov_2026_F]]-Table4[[#This Row],[Nov_2026_A]]</f>
        <v>0</v>
      </c>
      <c r="DH76" s="103"/>
      <c r="DI76" s="3">
        <f>IFERROR(Table4[[#This Row],[Dec_2026_Days_Forecast]]*Table4[[#This Row],[Cost Boolean]]*(VLOOKUP(Table4[[#This Row],[RATE CONCAT]],Tables!I:N,5,0)),0)</f>
        <v>0</v>
      </c>
      <c r="DJ76" s="3">
        <f>IFERROR(Table4[[#This Row],[Dec_2026_Days_Actual]]*Table4[[#This Row],[Cost Boolean]]*(VLOOKUP(Table4[[#This Row],[RATE CONCAT]],Tables!I:N,5,0)),0)</f>
        <v>0</v>
      </c>
      <c r="DK76" s="3">
        <f>Table4[[#This Row],[Dec_2026_F]]-Table4[[#This Row],[Dec_2026_A]]</f>
        <v>0</v>
      </c>
      <c r="DL76" s="103"/>
      <c r="DM76" s="60"/>
      <c r="DN76" s="3">
        <f>IFERROR(Table4[[#This Row],[Jan_2027_Days_Forecast]]*Table4[[#This Row],[Cost Boolean]]*(VLOOKUP(Table4[[#This Row],[RATE CONCAT]],Tables!I:N,6,0)),0)</f>
        <v>0</v>
      </c>
      <c r="DO76" s="3"/>
      <c r="DP76" s="3">
        <f>Table4[[#This Row],[Jan_2027_F]]-Table4[[#This Row],[Jan_2027_A]]</f>
        <v>0</v>
      </c>
      <c r="DQ76" s="3">
        <f>IFERROR(Table4[[#This Row],[Feb_2027_Days_Forecast]]*Table4[[#This Row],[Cost Boolean]]*(VLOOKUP(Table4[[#This Row],[RATE CONCAT]],Tables!I:N,6,0)),0)</f>
        <v>0</v>
      </c>
      <c r="DR76" s="3"/>
      <c r="DS76" s="3">
        <f>Table4[[#This Row],[Feb_2027_F]]-Table4[[#This Row],[Feb_2027_A]]</f>
        <v>0</v>
      </c>
      <c r="DT76" s="3">
        <f>IFERROR(Table4[[#This Row],[Mar_2027_Days_Forecast]]*Table4[[#This Row],[Cost Boolean]]*(VLOOKUP(Table4[[#This Row],[RATE CONCAT]],Tables!I:N,6,0)),0)</f>
        <v>0</v>
      </c>
      <c r="DU76" s="3"/>
      <c r="DV76" s="3">
        <f>Table4[[#This Row],[Mar_2027_F]]-Table4[[#This Row],[Mar_2027_A]]</f>
        <v>0</v>
      </c>
      <c r="DW76" s="3">
        <f>IFERROR(Table4[[#This Row],[Apr_2027_Days_Forecast]]*Table4[[#This Row],[Cost Boolean]]*(VLOOKUP(Table4[[#This Row],[RATE CONCAT]],Tables!I:N,6,0)),0)</f>
        <v>0</v>
      </c>
      <c r="DX76" s="3"/>
      <c r="DY76" s="3">
        <f>Table4[[#This Row],[Apr_2027_F]]-Table4[[#This Row],[Apr_2027_A]]</f>
        <v>0</v>
      </c>
      <c r="DZ76" s="3">
        <f>IFERROR(Table4[[#This Row],[May_2027_Days_Forecast]]*Table4[[#This Row],[Cost Boolean]]*(VLOOKUP(Table4[[#This Row],[RATE CONCAT]],Tables!I:N,6,0)),0)</f>
        <v>0</v>
      </c>
      <c r="EA76" s="3"/>
      <c r="EB76" s="3">
        <f>Table4[[#This Row],[May_2027_F]]-Table4[[#This Row],[May_2027_A]]</f>
        <v>0</v>
      </c>
      <c r="EC76" s="3">
        <f>IFERROR(Table4[[#This Row],[Jun_2027_Days_Forecast]]*Table4[[#This Row],[Cost Boolean]]*(VLOOKUP(Table4[[#This Row],[RATE CONCAT]],Tables!I:N,6,0)),0)</f>
        <v>0</v>
      </c>
      <c r="ED76" s="3"/>
      <c r="EE76" s="3">
        <f>Table4[[#This Row],[Jun_2027_F]]-Table4[[#This Row],[Jun_2027_A]]</f>
        <v>0</v>
      </c>
      <c r="EF76" s="3">
        <f>IFERROR(Table4[[#This Row],[Jul_2027_Days_Forecast]]*Table4[[#This Row],[Cost Boolean]]*(VLOOKUP(Table4[[#This Row],[RATE CONCAT]],Tables!I:N,6,0)),0)</f>
        <v>0</v>
      </c>
      <c r="EG76" s="3"/>
      <c r="EH76" s="3">
        <f>Table4[[#This Row],[Jul_2027_F]]-Table4[[#This Row],[Jul_2027_A]]</f>
        <v>0</v>
      </c>
      <c r="EI76" s="3">
        <f>IFERROR(Table4[[#This Row],[Aug_2027_Days_Forecast]]*Table4[[#This Row],[Cost Boolean]]*(VLOOKUP(Table4[[#This Row],[RATE CONCAT]],Tables!I:N,6,0)),0)</f>
        <v>0</v>
      </c>
      <c r="EJ76" s="3"/>
      <c r="EK76" s="3">
        <f>Table4[[#This Row],[Aug_2027_F]]-Table4[[#This Row],[Aug_2027_A]]</f>
        <v>0</v>
      </c>
      <c r="EL76" s="3">
        <f>IFERROR(Table4[[#This Row],[Sep_2027_Days_Forecast]]*Table4[[#This Row],[Cost Boolean]]*(VLOOKUP(Table4[[#This Row],[RATE CONCAT]],Tables!I:N,6,0)),0)</f>
        <v>0</v>
      </c>
      <c r="EM76" s="3"/>
      <c r="EN76" s="3">
        <f>Table4[[#This Row],[Sep_2027_F]]-Table4[[#This Row],[Sep_2027_A]]</f>
        <v>0</v>
      </c>
      <c r="EO76" s="3">
        <f>IFERROR(Table4[[#This Row],[Oct_2027_Days_Forecast]]*Table4[[#This Row],[Cost Boolean]]*(VLOOKUP(Table4[[#This Row],[RATE CONCAT]],Tables!I:N,6,0)),0)</f>
        <v>0</v>
      </c>
      <c r="EP76" s="3"/>
      <c r="EQ76" s="3">
        <f>Table4[[#This Row],[Oct_2027_F]]-Table4[[#This Row],[Oct_2027_A]]</f>
        <v>0</v>
      </c>
      <c r="ER76" s="3">
        <f>IFERROR(Table4[[#This Row],[Nov_2027_Days_Forecast]]*Table4[[#This Row],[Cost Boolean]]*(VLOOKUP(Table4[[#This Row],[RATE CONCAT]],Tables!I:N,6,0)),0)</f>
        <v>0</v>
      </c>
      <c r="ES76" s="3"/>
      <c r="ET76" s="3">
        <f>Table4[[#This Row],[Nov_2027_F]]-Table4[[#This Row],[Nov_2027_A]]</f>
        <v>0</v>
      </c>
      <c r="EU76" s="3">
        <f>IFERROR(Table4[[#This Row],[Dec_2027_Days_Forecast]]*Table4[[#This Row],[Cost Boolean]]*(VLOOKUP(Table4[[#This Row],[RATE CONCAT]],Tables!I:N,6,0)),0)</f>
        <v>0</v>
      </c>
      <c r="EV76" s="3"/>
      <c r="EW76" s="3">
        <f>Table4[[#This Row],[Dec_2027_F]]-Table4[[#This Row],[Dec_2027_A]]</f>
        <v>0</v>
      </c>
    </row>
    <row r="77" spans="1:153" ht="1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2" t="str">
        <f>CONCATENATE(Table4[[#This Row],[JG]],Table4[[#This Row],[Country]],Table4[[#This Row],[Resource Provider]])</f>
        <v/>
      </c>
      <c r="Z77" s="132">
        <f>VLOOKUP(Table4[[#This Row],[RATE CONCAT]],Tables!I:N,5,0)</f>
        <v>0</v>
      </c>
      <c r="AA77" s="53"/>
      <c r="AB77" s="16"/>
      <c r="AC77" s="16"/>
      <c r="AD77" s="16"/>
      <c r="AE77" s="16"/>
      <c r="AF77" s="16"/>
      <c r="AG77" s="16"/>
      <c r="AH77" s="16"/>
      <c r="AI77" s="16"/>
      <c r="AJ77" s="16"/>
      <c r="AK77" s="16"/>
      <c r="AL77" s="16"/>
      <c r="AM77" s="16"/>
      <c r="AN77" s="53">
        <f>IFERROR(AVERAGE(Table4[[#This Row],[Jan_2026_Days_Forecast]:[Dec_2026_Days_Forecast]]),0)/19</f>
        <v>0</v>
      </c>
      <c r="AO77" s="53">
        <f>IFERROR(AVERAGE(Table4[[#This Row],[Jan_2026_Days_Actual]:[Dec_2026_Days_Actual]]),0)/19</f>
        <v>0</v>
      </c>
      <c r="AP77" s="84"/>
      <c r="AQ77" s="84"/>
      <c r="AR77" s="84"/>
      <c r="AS77" s="84"/>
      <c r="AT77" s="84"/>
      <c r="AU77" s="84"/>
      <c r="AV77" s="84"/>
      <c r="AW77" s="84"/>
      <c r="AX77" s="84"/>
      <c r="AY77" s="84"/>
      <c r="AZ77" s="84"/>
      <c r="BA77" s="84"/>
      <c r="BB77" s="53">
        <f>IFERROR(AVERAGE(Table4[[#This Row],[Jan_2027_Days_Forecast]:[Dec_2027_Days_Forecast]]),0)</f>
        <v>0</v>
      </c>
      <c r="BC77" s="16"/>
      <c r="BD77" s="16"/>
      <c r="BE77" s="16"/>
      <c r="BF77" s="16"/>
      <c r="BG77" s="16"/>
      <c r="BH77" s="16"/>
      <c r="BI77" s="16"/>
      <c r="BJ77" s="16"/>
      <c r="BK77" s="16"/>
      <c r="BL77" s="16"/>
      <c r="BM77" s="16"/>
      <c r="BN77" s="16"/>
      <c r="BO77" s="55"/>
      <c r="BP77" s="60"/>
      <c r="BQ77" s="3">
        <f>Table4[[#This Row],[Jan_2026_Days_Forecast]]*Table4[[#This Row],[Cost Boolean]]*VLOOKUP(Table4[[#This Row],[RATE CONCAT]],Tables!I:N,5,0)</f>
        <v>0</v>
      </c>
      <c r="BR77" s="3">
        <f>IFERROR(Table4[[#This Row],[Jan_2026_Days_Actual]]*Table4[[#This Row],[Cost Boolean]]*(VLOOKUP(Table4[[#This Row],[RATE CONCAT]],Tables!I:N,5,0)),0)</f>
        <v>0</v>
      </c>
      <c r="BS77" s="3">
        <f>Table4[[#This Row],[Jan_2026_F]]-Table4[[#This Row],[Jan_2026_A]]</f>
        <v>0</v>
      </c>
      <c r="BT77" s="107"/>
      <c r="BU77" s="3">
        <f>IFERROR(Table4[[#This Row],[Feb_2026_Days_Forecast]]*Table4[[#This Row],[Cost Boolean]]*(VLOOKUP(Table4[[#This Row],[RATE CONCAT]],Tables!I:N,5,0)),0)</f>
        <v>0</v>
      </c>
      <c r="BV77" s="3">
        <f>IFERROR(Table4[[#This Row],[Feb_2026_Days_Actual]]*Table4[[#This Row],[Cost Boolean]]*(VLOOKUP(Table4[[#This Row],[RATE CONCAT]],Tables!I:N,5,0)),0)</f>
        <v>0</v>
      </c>
      <c r="BW77" s="3">
        <f>Table4[[#This Row],[Feb_2026_F]]-Table4[[#This Row],[Feb_2026_A]]</f>
        <v>0</v>
      </c>
      <c r="BX77" s="103"/>
      <c r="BY77" s="3">
        <f>IFERROR(Table4[[#This Row],[Mar_2026_Days_Forecast]]*Table4[[#This Row],[Cost Boolean]]*(VLOOKUP(Table4[[#This Row],[RATE CONCAT]],Tables!I:N,5,0)),0)</f>
        <v>0</v>
      </c>
      <c r="BZ77" s="3">
        <f>IFERROR(Table4[[#This Row],[Mar_2026_Days_Actual]]*Table4[[#This Row],[Cost Boolean]]*(VLOOKUP(Table4[[#This Row],[RATE CONCAT]],Tables!I:N,5,0)),0)</f>
        <v>0</v>
      </c>
      <c r="CA77" s="3">
        <f>Table4[[#This Row],[Mar_2026_F]]-Table4[[#This Row],[Mar_2026_A]]</f>
        <v>0</v>
      </c>
      <c r="CB77" s="103"/>
      <c r="CC77" s="3">
        <f>IFERROR(Table4[[#This Row],[Apr_2026_Days_Forecast]]*Table4[[#This Row],[Cost Boolean]]*(VLOOKUP(Table4[[#This Row],[RATE CONCAT]],Tables!I:N,5,0)),0)</f>
        <v>0</v>
      </c>
      <c r="CD77" s="3">
        <f>IFERROR(Table4[[#This Row],[Apr_2026_Days_Actual]]*Table4[[#This Row],[Cost Boolean]]*(VLOOKUP(Table4[[#This Row],[RATE CONCAT]],Tables!I:N,5,0)),0)</f>
        <v>0</v>
      </c>
      <c r="CE77" s="3">
        <f>Table4[[#This Row],[Apr_2026_F]]-Table4[[#This Row],[Apr_2026_A]]</f>
        <v>0</v>
      </c>
      <c r="CF77" s="103"/>
      <c r="CG77" s="3">
        <f>IFERROR(Table4[[#This Row],[May_2026_Days_Forecast]] *Table4[[#This Row],[Cost Boolean]]*(VLOOKUP(Table4[[#This Row],[RATE CONCAT]],Tables!I:N,5,0)),0)</f>
        <v>0</v>
      </c>
      <c r="CH77" s="3">
        <f>IFERROR(Table4[[#This Row],[May_2026_Days_Actual]]*Table4[[#This Row],[Cost Boolean]]*(VLOOKUP(Table4[[#This Row],[RATE CONCAT]],Tables!I:N,5,0)),0)</f>
        <v>0</v>
      </c>
      <c r="CI77" s="3">
        <f>Table4[[#This Row],[May_2026_F]]-Table4[[#This Row],[May_2026_A]]</f>
        <v>0</v>
      </c>
      <c r="CJ77" s="103"/>
      <c r="CK77" s="3">
        <f>IFERROR(Table4[[#This Row],[Jun_2026_Days_Forecast]]*Table4[[#This Row],[Cost Boolean]]*(VLOOKUP(Table4[[#This Row],[RATE CONCAT]],Tables!I:N,5,0)),0)</f>
        <v>0</v>
      </c>
      <c r="CL77" s="3">
        <f>IFERROR(Table4[[#This Row],[Jun_2026_Days_Actual]]*Table4[[#This Row],[Cost Boolean]]*(VLOOKUP(Table4[[#This Row],[RATE CONCAT]],Tables!I:N,5,0)),0)</f>
        <v>0</v>
      </c>
      <c r="CM77" s="3">
        <f>Table4[[#This Row],[Jun_2026_F]]-Table4[[#This Row],[Jun_2026_A]]</f>
        <v>0</v>
      </c>
      <c r="CN77" s="103"/>
      <c r="CO77" s="3">
        <f>IFERROR(Table4[[#This Row],[Jul_2026_Days_Forecast]]*Table4[[#This Row],[Cost Boolean]]*(VLOOKUP(Table4[[#This Row],[RATE CONCAT]],Tables!I:N,5,0)),0)</f>
        <v>0</v>
      </c>
      <c r="CP77" s="3">
        <f>IFERROR(Table4[[#This Row],[Aug_2026_Days_Forecast]]*Table4[[#This Row],[Location]]*(VLOOKUP(Table4[[#This Row],[Rate]],Tables!J:O,5,0)),0)</f>
        <v>0</v>
      </c>
      <c r="CQ77" s="3">
        <f>Table4[[#This Row],[Jul_2026_F]]-Table4[[#This Row],[Jul_2026_A]]</f>
        <v>0</v>
      </c>
      <c r="CR77" s="103"/>
      <c r="CS77" s="3">
        <f>IFERROR(Table4[[#This Row],[Aug_2026_Days_Forecast]]*Table4[[#This Row],[Cost Boolean]]*(VLOOKUP(Table4[[#This Row],[RATE CONCAT]],Tables!I:N,5,0)),0)</f>
        <v>0</v>
      </c>
      <c r="CT77" s="3">
        <f>IFERROR(Table4[[#This Row],[Aug_2026_Days_Actual]]*Table4[[#This Row],[Cost Boolean]]*(VLOOKUP(Table4[[#This Row],[RATE CONCAT]],Tables!I:N,5,0)),0)</f>
        <v>0</v>
      </c>
      <c r="CU77" s="3">
        <f>Table4[[#This Row],[Aug_2026_F]]-Table4[[#This Row],[Aug_2026_A]]</f>
        <v>0</v>
      </c>
      <c r="CV77" s="103"/>
      <c r="CW77" s="3">
        <f>IFERROR(Table4[[#This Row],[Sep_2026_Days_Forecast]]*Table4[[#This Row],[Cost Boolean]]*(VLOOKUP(Table4[[#This Row],[RATE CONCAT]],Tables!I:N,5,0)),0)</f>
        <v>0</v>
      </c>
      <c r="CX77" s="3">
        <f>IFERROR(Table4[[#This Row],[Sep_2026_Days_Actual]]*Table4[[#This Row],[Cost Boolean]]*(VLOOKUP(Table4[[#This Row],[RATE CONCAT]],Tables!I:N,5,0)),0)</f>
        <v>0</v>
      </c>
      <c r="CY77" s="3">
        <f>Table4[[#This Row],[Sep_2026_F]]-Table4[[#This Row],[Sep_2026_A]]</f>
        <v>0</v>
      </c>
      <c r="CZ77" s="103"/>
      <c r="DA77" s="3">
        <f>IFERROR(Table4[[#This Row],[Oct_2026_Days_Forecast]]*Table4[[#This Row],[Cost Boolean]]*(VLOOKUP(Table4[[#This Row],[RATE CONCAT]],Tables!I:N,5,0)),0)</f>
        <v>0</v>
      </c>
      <c r="DB77" s="3">
        <f>IFERROR(Table4[[#This Row],[Oct_2026_Days_Actual]]*Table4[[#This Row],[Cost Boolean]]*(VLOOKUP(Table4[[#This Row],[RATE CONCAT]],Tables!I:N,5,0)),0)</f>
        <v>0</v>
      </c>
      <c r="DC77" s="3">
        <f>Table4[[#This Row],[Oct_2026_F]]-Table4[[#This Row],[Oct_2026_A]]</f>
        <v>0</v>
      </c>
      <c r="DD77" s="103"/>
      <c r="DE77" s="3">
        <f>IFERROR(Table4[[#This Row],[Nov_2026_Days_Forecast]]*Table4[[#This Row],[Cost Boolean]]*(VLOOKUP(Table4[[#This Row],[RATE CONCAT]],Tables!I:N,5,0)),0)</f>
        <v>0</v>
      </c>
      <c r="DF77" s="3">
        <f>IFERROR(Table4[[#This Row],[Nov_2026_Days_Actual]]*Table4[[#This Row],[Cost Boolean]]*(VLOOKUP(Table4[[#This Row],[RATE CONCAT]],Tables!I:N,5,0)),0)</f>
        <v>0</v>
      </c>
      <c r="DG77" s="3">
        <f>Table4[[#This Row],[Nov_2026_F]]-Table4[[#This Row],[Nov_2026_A]]</f>
        <v>0</v>
      </c>
      <c r="DH77" s="103"/>
      <c r="DI77" s="3">
        <f>IFERROR(Table4[[#This Row],[Dec_2026_Days_Forecast]]*Table4[[#This Row],[Cost Boolean]]*(VLOOKUP(Table4[[#This Row],[RATE CONCAT]],Tables!I:N,5,0)),0)</f>
        <v>0</v>
      </c>
      <c r="DJ77" s="3">
        <f>IFERROR(Table4[[#This Row],[Dec_2026_Days_Actual]]*Table4[[#This Row],[Cost Boolean]]*(VLOOKUP(Table4[[#This Row],[RATE CONCAT]],Tables!I:N,5,0)),0)</f>
        <v>0</v>
      </c>
      <c r="DK77" s="3">
        <f>Table4[[#This Row],[Dec_2026_F]]-Table4[[#This Row],[Dec_2026_A]]</f>
        <v>0</v>
      </c>
      <c r="DL77" s="103"/>
      <c r="DM77" s="60"/>
      <c r="DN77" s="3">
        <f>IFERROR(Table4[[#This Row],[Jan_2027_Days_Forecast]]*Table4[[#This Row],[Cost Boolean]]*(VLOOKUP(Table4[[#This Row],[RATE CONCAT]],Tables!I:N,6,0)),0)</f>
        <v>0</v>
      </c>
      <c r="DO77" s="3"/>
      <c r="DP77" s="3">
        <f>Table4[[#This Row],[Jan_2027_F]]-Table4[[#This Row],[Jan_2027_A]]</f>
        <v>0</v>
      </c>
      <c r="DQ77" s="3">
        <f>IFERROR(Table4[[#This Row],[Feb_2027_Days_Forecast]]*Table4[[#This Row],[Cost Boolean]]*(VLOOKUP(Table4[[#This Row],[RATE CONCAT]],Tables!I:N,6,0)),0)</f>
        <v>0</v>
      </c>
      <c r="DR77" s="3"/>
      <c r="DS77" s="3">
        <f>Table4[[#This Row],[Feb_2027_F]]-Table4[[#This Row],[Feb_2027_A]]</f>
        <v>0</v>
      </c>
      <c r="DT77" s="3">
        <f>IFERROR(Table4[[#This Row],[Mar_2027_Days_Forecast]]*Table4[[#This Row],[Cost Boolean]]*(VLOOKUP(Table4[[#This Row],[RATE CONCAT]],Tables!I:N,6,0)),0)</f>
        <v>0</v>
      </c>
      <c r="DU77" s="3"/>
      <c r="DV77" s="3">
        <f>Table4[[#This Row],[Mar_2027_F]]-Table4[[#This Row],[Mar_2027_A]]</f>
        <v>0</v>
      </c>
      <c r="DW77" s="3">
        <f>IFERROR(Table4[[#This Row],[Apr_2027_Days_Forecast]]*Table4[[#This Row],[Cost Boolean]]*(VLOOKUP(Table4[[#This Row],[RATE CONCAT]],Tables!I:N,6,0)),0)</f>
        <v>0</v>
      </c>
      <c r="DX77" s="3"/>
      <c r="DY77" s="3">
        <f>Table4[[#This Row],[Apr_2027_F]]-Table4[[#This Row],[Apr_2027_A]]</f>
        <v>0</v>
      </c>
      <c r="DZ77" s="3">
        <f>IFERROR(Table4[[#This Row],[May_2027_Days_Forecast]]*Table4[[#This Row],[Cost Boolean]]*(VLOOKUP(Table4[[#This Row],[RATE CONCAT]],Tables!I:N,6,0)),0)</f>
        <v>0</v>
      </c>
      <c r="EA77" s="3"/>
      <c r="EB77" s="3">
        <f>Table4[[#This Row],[May_2027_F]]-Table4[[#This Row],[May_2027_A]]</f>
        <v>0</v>
      </c>
      <c r="EC77" s="3">
        <f>IFERROR(Table4[[#This Row],[Jun_2027_Days_Forecast]]*Table4[[#This Row],[Cost Boolean]]*(VLOOKUP(Table4[[#This Row],[RATE CONCAT]],Tables!I:N,6,0)),0)</f>
        <v>0</v>
      </c>
      <c r="ED77" s="3"/>
      <c r="EE77" s="3">
        <f>Table4[[#This Row],[Jun_2027_F]]-Table4[[#This Row],[Jun_2027_A]]</f>
        <v>0</v>
      </c>
      <c r="EF77" s="3">
        <f>IFERROR(Table4[[#This Row],[Jul_2027_Days_Forecast]]*Table4[[#This Row],[Cost Boolean]]*(VLOOKUP(Table4[[#This Row],[RATE CONCAT]],Tables!I:N,6,0)),0)</f>
        <v>0</v>
      </c>
      <c r="EG77" s="3"/>
      <c r="EH77" s="3">
        <f>Table4[[#This Row],[Jul_2027_F]]-Table4[[#This Row],[Jul_2027_A]]</f>
        <v>0</v>
      </c>
      <c r="EI77" s="3">
        <f>IFERROR(Table4[[#This Row],[Aug_2027_Days_Forecast]]*Table4[[#This Row],[Cost Boolean]]*(VLOOKUP(Table4[[#This Row],[RATE CONCAT]],Tables!I:N,6,0)),0)</f>
        <v>0</v>
      </c>
      <c r="EJ77" s="3"/>
      <c r="EK77" s="3">
        <f>Table4[[#This Row],[Aug_2027_F]]-Table4[[#This Row],[Aug_2027_A]]</f>
        <v>0</v>
      </c>
      <c r="EL77" s="3">
        <f>IFERROR(Table4[[#This Row],[Sep_2027_Days_Forecast]]*Table4[[#This Row],[Cost Boolean]]*(VLOOKUP(Table4[[#This Row],[RATE CONCAT]],Tables!I:N,6,0)),0)</f>
        <v>0</v>
      </c>
      <c r="EM77" s="3"/>
      <c r="EN77" s="3">
        <f>Table4[[#This Row],[Sep_2027_F]]-Table4[[#This Row],[Sep_2027_A]]</f>
        <v>0</v>
      </c>
      <c r="EO77" s="3">
        <f>IFERROR(Table4[[#This Row],[Oct_2027_Days_Forecast]]*Table4[[#This Row],[Cost Boolean]]*(VLOOKUP(Table4[[#This Row],[RATE CONCAT]],Tables!I:N,6,0)),0)</f>
        <v>0</v>
      </c>
      <c r="EP77" s="3"/>
      <c r="EQ77" s="3">
        <f>Table4[[#This Row],[Oct_2027_F]]-Table4[[#This Row],[Oct_2027_A]]</f>
        <v>0</v>
      </c>
      <c r="ER77" s="3">
        <f>IFERROR(Table4[[#This Row],[Nov_2027_Days_Forecast]]*Table4[[#This Row],[Cost Boolean]]*(VLOOKUP(Table4[[#This Row],[RATE CONCAT]],Tables!I:N,6,0)),0)</f>
        <v>0</v>
      </c>
      <c r="ES77" s="3"/>
      <c r="ET77" s="3">
        <f>Table4[[#This Row],[Nov_2027_F]]-Table4[[#This Row],[Nov_2027_A]]</f>
        <v>0</v>
      </c>
      <c r="EU77" s="3">
        <f>IFERROR(Table4[[#This Row],[Dec_2027_Days_Forecast]]*Table4[[#This Row],[Cost Boolean]]*(VLOOKUP(Table4[[#This Row],[RATE CONCAT]],Tables!I:N,6,0)),0)</f>
        <v>0</v>
      </c>
      <c r="EV77" s="3"/>
      <c r="EW77" s="3">
        <f>Table4[[#This Row],[Dec_2027_F]]-Table4[[#This Row],[Dec_2027_A]]</f>
        <v>0</v>
      </c>
    </row>
    <row r="78" spans="1:153" ht="1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2" t="str">
        <f>CONCATENATE(Table4[[#This Row],[JG]],Table4[[#This Row],[Country]],Table4[[#This Row],[Resource Provider]])</f>
        <v/>
      </c>
      <c r="Z78" s="132">
        <f>VLOOKUP(Table4[[#This Row],[RATE CONCAT]],Tables!I:N,5,0)</f>
        <v>0</v>
      </c>
      <c r="AA78" s="53"/>
      <c r="AB78" s="16"/>
      <c r="AC78" s="16"/>
      <c r="AD78" s="16"/>
      <c r="AE78" s="16"/>
      <c r="AF78" s="16"/>
      <c r="AG78" s="16"/>
      <c r="AH78" s="16"/>
      <c r="AI78" s="16"/>
      <c r="AJ78" s="16"/>
      <c r="AK78" s="16"/>
      <c r="AL78" s="16"/>
      <c r="AM78" s="16"/>
      <c r="AN78" s="53">
        <f>IFERROR(AVERAGE(Table4[[#This Row],[Jan_2026_Days_Forecast]:[Dec_2026_Days_Forecast]]),0)/19</f>
        <v>0</v>
      </c>
      <c r="AO78" s="53">
        <f>IFERROR(AVERAGE(Table4[[#This Row],[Jan_2026_Days_Actual]:[Dec_2026_Days_Actual]]),0)/19</f>
        <v>0</v>
      </c>
      <c r="AP78" s="84"/>
      <c r="AQ78" s="84"/>
      <c r="AR78" s="84"/>
      <c r="AS78" s="84"/>
      <c r="AT78" s="84"/>
      <c r="AU78" s="84"/>
      <c r="AV78" s="84"/>
      <c r="AW78" s="84"/>
      <c r="AX78" s="84"/>
      <c r="AY78" s="84"/>
      <c r="AZ78" s="84"/>
      <c r="BA78" s="84"/>
      <c r="BB78" s="53">
        <f>IFERROR(AVERAGE(Table4[[#This Row],[Jan_2027_Days_Forecast]:[Dec_2027_Days_Forecast]]),0)</f>
        <v>0</v>
      </c>
      <c r="BC78" s="16"/>
      <c r="BD78" s="16"/>
      <c r="BE78" s="16"/>
      <c r="BF78" s="16"/>
      <c r="BG78" s="16"/>
      <c r="BH78" s="16"/>
      <c r="BI78" s="16"/>
      <c r="BJ78" s="16"/>
      <c r="BK78" s="16"/>
      <c r="BL78" s="16"/>
      <c r="BM78" s="16"/>
      <c r="BN78" s="16"/>
      <c r="BO78" s="55"/>
      <c r="BP78" s="60"/>
      <c r="BQ78" s="3">
        <f>Table4[[#This Row],[Jan_2026_Days_Forecast]]*Table4[[#This Row],[Cost Boolean]]*VLOOKUP(Table4[[#This Row],[RATE CONCAT]],Tables!I:N,5,0)</f>
        <v>0</v>
      </c>
      <c r="BR78" s="3">
        <f>IFERROR(Table4[[#This Row],[Jan_2026_Days_Actual]]*Table4[[#This Row],[Cost Boolean]]*(VLOOKUP(Table4[[#This Row],[RATE CONCAT]],Tables!I:N,5,0)),0)</f>
        <v>0</v>
      </c>
      <c r="BS78" s="3">
        <f>Table4[[#This Row],[Jan_2026_F]]-Table4[[#This Row],[Jan_2026_A]]</f>
        <v>0</v>
      </c>
      <c r="BT78" s="107"/>
      <c r="BU78" s="3">
        <f>IFERROR(Table4[[#This Row],[Feb_2026_Days_Forecast]]*Table4[[#This Row],[Cost Boolean]]*(VLOOKUP(Table4[[#This Row],[RATE CONCAT]],Tables!I:N,5,0)),0)</f>
        <v>0</v>
      </c>
      <c r="BV78" s="3">
        <f>IFERROR(Table4[[#This Row],[Feb_2026_Days_Actual]]*Table4[[#This Row],[Cost Boolean]]*(VLOOKUP(Table4[[#This Row],[RATE CONCAT]],Tables!I:N,5,0)),0)</f>
        <v>0</v>
      </c>
      <c r="BW78" s="3">
        <f>Table4[[#This Row],[Feb_2026_F]]-Table4[[#This Row],[Feb_2026_A]]</f>
        <v>0</v>
      </c>
      <c r="BX78" s="103"/>
      <c r="BY78" s="3">
        <f>IFERROR(Table4[[#This Row],[Mar_2026_Days_Forecast]]*Table4[[#This Row],[Cost Boolean]]*(VLOOKUP(Table4[[#This Row],[RATE CONCAT]],Tables!I:N,5,0)),0)</f>
        <v>0</v>
      </c>
      <c r="BZ78" s="3">
        <f>IFERROR(Table4[[#This Row],[Mar_2026_Days_Actual]]*Table4[[#This Row],[Cost Boolean]]*(VLOOKUP(Table4[[#This Row],[RATE CONCAT]],Tables!I:N,5,0)),0)</f>
        <v>0</v>
      </c>
      <c r="CA78" s="3">
        <f>Table4[[#This Row],[Mar_2026_F]]-Table4[[#This Row],[Mar_2026_A]]</f>
        <v>0</v>
      </c>
      <c r="CB78" s="103"/>
      <c r="CC78" s="3">
        <f>IFERROR(Table4[[#This Row],[Apr_2026_Days_Forecast]]*Table4[[#This Row],[Cost Boolean]]*(VLOOKUP(Table4[[#This Row],[RATE CONCAT]],Tables!I:N,5,0)),0)</f>
        <v>0</v>
      </c>
      <c r="CD78" s="3">
        <f>IFERROR(Table4[[#This Row],[Apr_2026_Days_Actual]]*Table4[[#This Row],[Cost Boolean]]*(VLOOKUP(Table4[[#This Row],[RATE CONCAT]],Tables!I:N,5,0)),0)</f>
        <v>0</v>
      </c>
      <c r="CE78" s="3">
        <f>Table4[[#This Row],[Apr_2026_F]]-Table4[[#This Row],[Apr_2026_A]]</f>
        <v>0</v>
      </c>
      <c r="CF78" s="103"/>
      <c r="CG78" s="3">
        <f>IFERROR(Table4[[#This Row],[May_2026_Days_Forecast]] *Table4[[#This Row],[Cost Boolean]]*(VLOOKUP(Table4[[#This Row],[RATE CONCAT]],Tables!I:N,5,0)),0)</f>
        <v>0</v>
      </c>
      <c r="CH78" s="3">
        <f>IFERROR(Table4[[#This Row],[May_2026_Days_Actual]]*Table4[[#This Row],[Cost Boolean]]*(VLOOKUP(Table4[[#This Row],[RATE CONCAT]],Tables!I:N,5,0)),0)</f>
        <v>0</v>
      </c>
      <c r="CI78" s="3">
        <f>Table4[[#This Row],[May_2026_F]]-Table4[[#This Row],[May_2026_A]]</f>
        <v>0</v>
      </c>
      <c r="CJ78" s="103"/>
      <c r="CK78" s="3">
        <f>IFERROR(Table4[[#This Row],[Jun_2026_Days_Forecast]]*Table4[[#This Row],[Cost Boolean]]*(VLOOKUP(Table4[[#This Row],[RATE CONCAT]],Tables!I:N,5,0)),0)</f>
        <v>0</v>
      </c>
      <c r="CL78" s="3">
        <f>IFERROR(Table4[[#This Row],[Jun_2026_Days_Actual]]*Table4[[#This Row],[Cost Boolean]]*(VLOOKUP(Table4[[#This Row],[RATE CONCAT]],Tables!I:N,5,0)),0)</f>
        <v>0</v>
      </c>
      <c r="CM78" s="3">
        <f>Table4[[#This Row],[Jun_2026_F]]-Table4[[#This Row],[Jun_2026_A]]</f>
        <v>0</v>
      </c>
      <c r="CN78" s="103"/>
      <c r="CO78" s="3">
        <f>IFERROR(Table4[[#This Row],[Jul_2026_Days_Forecast]]*Table4[[#This Row],[Cost Boolean]]*(VLOOKUP(Table4[[#This Row],[RATE CONCAT]],Tables!I:N,5,0)),0)</f>
        <v>0</v>
      </c>
      <c r="CP78" s="3">
        <f>IFERROR(Table4[[#This Row],[Aug_2026_Days_Forecast]]*Table4[[#This Row],[Location]]*(VLOOKUP(Table4[[#This Row],[Rate]],Tables!J:O,5,0)),0)</f>
        <v>0</v>
      </c>
      <c r="CQ78" s="3">
        <f>Table4[[#This Row],[Jul_2026_F]]-Table4[[#This Row],[Jul_2026_A]]</f>
        <v>0</v>
      </c>
      <c r="CR78" s="103"/>
      <c r="CS78" s="3">
        <f>IFERROR(Table4[[#This Row],[Aug_2026_Days_Forecast]]*Table4[[#This Row],[Cost Boolean]]*(VLOOKUP(Table4[[#This Row],[RATE CONCAT]],Tables!I:N,5,0)),0)</f>
        <v>0</v>
      </c>
      <c r="CT78" s="3">
        <f>IFERROR(Table4[[#This Row],[Aug_2026_Days_Actual]]*Table4[[#This Row],[Cost Boolean]]*(VLOOKUP(Table4[[#This Row],[RATE CONCAT]],Tables!I:N,5,0)),0)</f>
        <v>0</v>
      </c>
      <c r="CU78" s="3">
        <f>Table4[[#This Row],[Aug_2026_F]]-Table4[[#This Row],[Aug_2026_A]]</f>
        <v>0</v>
      </c>
      <c r="CV78" s="103"/>
      <c r="CW78" s="3">
        <f>IFERROR(Table4[[#This Row],[Sep_2026_Days_Forecast]]*Table4[[#This Row],[Cost Boolean]]*(VLOOKUP(Table4[[#This Row],[RATE CONCAT]],Tables!I:N,5,0)),0)</f>
        <v>0</v>
      </c>
      <c r="CX78" s="3">
        <f>IFERROR(Table4[[#This Row],[Sep_2026_Days_Actual]]*Table4[[#This Row],[Cost Boolean]]*(VLOOKUP(Table4[[#This Row],[RATE CONCAT]],Tables!I:N,5,0)),0)</f>
        <v>0</v>
      </c>
      <c r="CY78" s="3">
        <f>Table4[[#This Row],[Sep_2026_F]]-Table4[[#This Row],[Sep_2026_A]]</f>
        <v>0</v>
      </c>
      <c r="CZ78" s="103"/>
      <c r="DA78" s="3">
        <f>IFERROR(Table4[[#This Row],[Oct_2026_Days_Forecast]]*Table4[[#This Row],[Cost Boolean]]*(VLOOKUP(Table4[[#This Row],[RATE CONCAT]],Tables!I:N,5,0)),0)</f>
        <v>0</v>
      </c>
      <c r="DB78" s="3">
        <f>IFERROR(Table4[[#This Row],[Oct_2026_Days_Actual]]*Table4[[#This Row],[Cost Boolean]]*(VLOOKUP(Table4[[#This Row],[RATE CONCAT]],Tables!I:N,5,0)),0)</f>
        <v>0</v>
      </c>
      <c r="DC78" s="3">
        <f>Table4[[#This Row],[Oct_2026_F]]-Table4[[#This Row],[Oct_2026_A]]</f>
        <v>0</v>
      </c>
      <c r="DD78" s="103"/>
      <c r="DE78" s="3">
        <f>IFERROR(Table4[[#This Row],[Nov_2026_Days_Forecast]]*Table4[[#This Row],[Cost Boolean]]*(VLOOKUP(Table4[[#This Row],[RATE CONCAT]],Tables!I:N,5,0)),0)</f>
        <v>0</v>
      </c>
      <c r="DF78" s="3">
        <f>IFERROR(Table4[[#This Row],[Nov_2026_Days_Actual]]*Table4[[#This Row],[Cost Boolean]]*(VLOOKUP(Table4[[#This Row],[RATE CONCAT]],Tables!I:N,5,0)),0)</f>
        <v>0</v>
      </c>
      <c r="DG78" s="3">
        <f>Table4[[#This Row],[Nov_2026_F]]-Table4[[#This Row],[Nov_2026_A]]</f>
        <v>0</v>
      </c>
      <c r="DH78" s="103"/>
      <c r="DI78" s="3">
        <f>IFERROR(Table4[[#This Row],[Dec_2026_Days_Forecast]]*Table4[[#This Row],[Cost Boolean]]*(VLOOKUP(Table4[[#This Row],[RATE CONCAT]],Tables!I:N,5,0)),0)</f>
        <v>0</v>
      </c>
      <c r="DJ78" s="3">
        <f>IFERROR(Table4[[#This Row],[Dec_2026_Days_Actual]]*Table4[[#This Row],[Cost Boolean]]*(VLOOKUP(Table4[[#This Row],[RATE CONCAT]],Tables!I:N,5,0)),0)</f>
        <v>0</v>
      </c>
      <c r="DK78" s="3">
        <f>Table4[[#This Row],[Dec_2026_F]]-Table4[[#This Row],[Dec_2026_A]]</f>
        <v>0</v>
      </c>
      <c r="DL78" s="103"/>
      <c r="DM78" s="60"/>
      <c r="DN78" s="3">
        <f>IFERROR(Table4[[#This Row],[Jan_2027_Days_Forecast]]*Table4[[#This Row],[Cost Boolean]]*(VLOOKUP(Table4[[#This Row],[RATE CONCAT]],Tables!I:N,6,0)),0)</f>
        <v>0</v>
      </c>
      <c r="DO78" s="3"/>
      <c r="DP78" s="3">
        <f>Table4[[#This Row],[Jan_2027_F]]-Table4[[#This Row],[Jan_2027_A]]</f>
        <v>0</v>
      </c>
      <c r="DQ78" s="3">
        <f>IFERROR(Table4[[#This Row],[Feb_2027_Days_Forecast]]*Table4[[#This Row],[Cost Boolean]]*(VLOOKUP(Table4[[#This Row],[RATE CONCAT]],Tables!I:N,6,0)),0)</f>
        <v>0</v>
      </c>
      <c r="DR78" s="3"/>
      <c r="DS78" s="3">
        <f>Table4[[#This Row],[Feb_2027_F]]-Table4[[#This Row],[Feb_2027_A]]</f>
        <v>0</v>
      </c>
      <c r="DT78" s="3">
        <f>IFERROR(Table4[[#This Row],[Mar_2027_Days_Forecast]]*Table4[[#This Row],[Cost Boolean]]*(VLOOKUP(Table4[[#This Row],[RATE CONCAT]],Tables!I:N,6,0)),0)</f>
        <v>0</v>
      </c>
      <c r="DU78" s="3"/>
      <c r="DV78" s="3">
        <f>Table4[[#This Row],[Mar_2027_F]]-Table4[[#This Row],[Mar_2027_A]]</f>
        <v>0</v>
      </c>
      <c r="DW78" s="3">
        <f>IFERROR(Table4[[#This Row],[Apr_2027_Days_Forecast]]*Table4[[#This Row],[Cost Boolean]]*(VLOOKUP(Table4[[#This Row],[RATE CONCAT]],Tables!I:N,6,0)),0)</f>
        <v>0</v>
      </c>
      <c r="DX78" s="3"/>
      <c r="DY78" s="3">
        <f>Table4[[#This Row],[Apr_2027_F]]-Table4[[#This Row],[Apr_2027_A]]</f>
        <v>0</v>
      </c>
      <c r="DZ78" s="3">
        <f>IFERROR(Table4[[#This Row],[May_2027_Days_Forecast]]*Table4[[#This Row],[Cost Boolean]]*(VLOOKUP(Table4[[#This Row],[RATE CONCAT]],Tables!I:N,6,0)),0)</f>
        <v>0</v>
      </c>
      <c r="EA78" s="3"/>
      <c r="EB78" s="3">
        <f>Table4[[#This Row],[May_2027_F]]-Table4[[#This Row],[May_2027_A]]</f>
        <v>0</v>
      </c>
      <c r="EC78" s="3">
        <f>IFERROR(Table4[[#This Row],[Jun_2027_Days_Forecast]]*Table4[[#This Row],[Cost Boolean]]*(VLOOKUP(Table4[[#This Row],[RATE CONCAT]],Tables!I:N,6,0)),0)</f>
        <v>0</v>
      </c>
      <c r="ED78" s="3"/>
      <c r="EE78" s="3">
        <f>Table4[[#This Row],[Jun_2027_F]]-Table4[[#This Row],[Jun_2027_A]]</f>
        <v>0</v>
      </c>
      <c r="EF78" s="3">
        <f>IFERROR(Table4[[#This Row],[Jul_2027_Days_Forecast]]*Table4[[#This Row],[Cost Boolean]]*(VLOOKUP(Table4[[#This Row],[RATE CONCAT]],Tables!I:N,6,0)),0)</f>
        <v>0</v>
      </c>
      <c r="EG78" s="3"/>
      <c r="EH78" s="3">
        <f>Table4[[#This Row],[Jul_2027_F]]-Table4[[#This Row],[Jul_2027_A]]</f>
        <v>0</v>
      </c>
      <c r="EI78" s="3">
        <f>IFERROR(Table4[[#This Row],[Aug_2027_Days_Forecast]]*Table4[[#This Row],[Cost Boolean]]*(VLOOKUP(Table4[[#This Row],[RATE CONCAT]],Tables!I:N,6,0)),0)</f>
        <v>0</v>
      </c>
      <c r="EJ78" s="3"/>
      <c r="EK78" s="3">
        <f>Table4[[#This Row],[Aug_2027_F]]-Table4[[#This Row],[Aug_2027_A]]</f>
        <v>0</v>
      </c>
      <c r="EL78" s="3">
        <f>IFERROR(Table4[[#This Row],[Sep_2027_Days_Forecast]]*Table4[[#This Row],[Cost Boolean]]*(VLOOKUP(Table4[[#This Row],[RATE CONCAT]],Tables!I:N,6,0)),0)</f>
        <v>0</v>
      </c>
      <c r="EM78" s="3"/>
      <c r="EN78" s="3">
        <f>Table4[[#This Row],[Sep_2027_F]]-Table4[[#This Row],[Sep_2027_A]]</f>
        <v>0</v>
      </c>
      <c r="EO78" s="3">
        <f>IFERROR(Table4[[#This Row],[Oct_2027_Days_Forecast]]*Table4[[#This Row],[Cost Boolean]]*(VLOOKUP(Table4[[#This Row],[RATE CONCAT]],Tables!I:N,6,0)),0)</f>
        <v>0</v>
      </c>
      <c r="EP78" s="3"/>
      <c r="EQ78" s="3">
        <f>Table4[[#This Row],[Oct_2027_F]]-Table4[[#This Row],[Oct_2027_A]]</f>
        <v>0</v>
      </c>
      <c r="ER78" s="3">
        <f>IFERROR(Table4[[#This Row],[Nov_2027_Days_Forecast]]*Table4[[#This Row],[Cost Boolean]]*(VLOOKUP(Table4[[#This Row],[RATE CONCAT]],Tables!I:N,6,0)),0)</f>
        <v>0</v>
      </c>
      <c r="ES78" s="3"/>
      <c r="ET78" s="3">
        <f>Table4[[#This Row],[Nov_2027_F]]-Table4[[#This Row],[Nov_2027_A]]</f>
        <v>0</v>
      </c>
      <c r="EU78" s="3">
        <f>IFERROR(Table4[[#This Row],[Dec_2027_Days_Forecast]]*Table4[[#This Row],[Cost Boolean]]*(VLOOKUP(Table4[[#This Row],[RATE CONCAT]],Tables!I:N,6,0)),0)</f>
        <v>0</v>
      </c>
      <c r="EV78" s="3"/>
      <c r="EW78" s="3">
        <f>Table4[[#This Row],[Dec_2027_F]]-Table4[[#This Row],[Dec_2027_A]]</f>
        <v>0</v>
      </c>
    </row>
    <row r="79" spans="1:153" ht="1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2" t="str">
        <f>CONCATENATE(Table4[[#This Row],[JG]],Table4[[#This Row],[Country]],Table4[[#This Row],[Resource Provider]])</f>
        <v/>
      </c>
      <c r="Z79" s="132">
        <f>VLOOKUP(Table4[[#This Row],[RATE CONCAT]],Tables!I:N,5,0)</f>
        <v>0</v>
      </c>
      <c r="AA79" s="53"/>
      <c r="AB79" s="16"/>
      <c r="AC79" s="16"/>
      <c r="AD79" s="16"/>
      <c r="AE79" s="16"/>
      <c r="AF79" s="16"/>
      <c r="AG79" s="16"/>
      <c r="AH79" s="16"/>
      <c r="AI79" s="16"/>
      <c r="AJ79" s="16"/>
      <c r="AK79" s="16"/>
      <c r="AL79" s="16"/>
      <c r="AM79" s="16"/>
      <c r="AN79" s="53">
        <f>IFERROR(AVERAGE(Table4[[#This Row],[Jan_2026_Days_Forecast]:[Dec_2026_Days_Forecast]]),0)/19</f>
        <v>0</v>
      </c>
      <c r="AO79" s="53">
        <f>IFERROR(AVERAGE(Table4[[#This Row],[Jan_2026_Days_Actual]:[Dec_2026_Days_Actual]]),0)/19</f>
        <v>0</v>
      </c>
      <c r="AP79" s="84"/>
      <c r="AQ79" s="84"/>
      <c r="AR79" s="84"/>
      <c r="AS79" s="84"/>
      <c r="AT79" s="84"/>
      <c r="AU79" s="84"/>
      <c r="AV79" s="84"/>
      <c r="AW79" s="84"/>
      <c r="AX79" s="84"/>
      <c r="AY79" s="84"/>
      <c r="AZ79" s="84"/>
      <c r="BA79" s="84"/>
      <c r="BB79" s="53">
        <f>IFERROR(AVERAGE(Table4[[#This Row],[Jan_2027_Days_Forecast]:[Dec_2027_Days_Forecast]]),0)</f>
        <v>0</v>
      </c>
      <c r="BC79" s="16"/>
      <c r="BD79" s="16"/>
      <c r="BE79" s="16"/>
      <c r="BF79" s="16"/>
      <c r="BG79" s="16"/>
      <c r="BH79" s="16"/>
      <c r="BI79" s="16"/>
      <c r="BJ79" s="16"/>
      <c r="BK79" s="16"/>
      <c r="BL79" s="16"/>
      <c r="BM79" s="16"/>
      <c r="BN79" s="16"/>
      <c r="BO79" s="55"/>
      <c r="BP79" s="60"/>
      <c r="BQ79" s="3">
        <f>Table4[[#This Row],[Jan_2026_Days_Forecast]]*Table4[[#This Row],[Cost Boolean]]*VLOOKUP(Table4[[#This Row],[RATE CONCAT]],Tables!I:N,5,0)</f>
        <v>0</v>
      </c>
      <c r="BR79" s="3">
        <f>IFERROR(Table4[[#This Row],[Jan_2026_Days_Actual]]*Table4[[#This Row],[Cost Boolean]]*(VLOOKUP(Table4[[#This Row],[RATE CONCAT]],Tables!I:N,5,0)),0)</f>
        <v>0</v>
      </c>
      <c r="BS79" s="3">
        <f>Table4[[#This Row],[Jan_2026_F]]-Table4[[#This Row],[Jan_2026_A]]</f>
        <v>0</v>
      </c>
      <c r="BT79" s="107"/>
      <c r="BU79" s="3">
        <f>IFERROR(Table4[[#This Row],[Feb_2026_Days_Forecast]]*Table4[[#This Row],[Cost Boolean]]*(VLOOKUP(Table4[[#This Row],[RATE CONCAT]],Tables!I:N,5,0)),0)</f>
        <v>0</v>
      </c>
      <c r="BV79" s="3">
        <f>IFERROR(Table4[[#This Row],[Feb_2026_Days_Actual]]*Table4[[#This Row],[Cost Boolean]]*(VLOOKUP(Table4[[#This Row],[RATE CONCAT]],Tables!I:N,5,0)),0)</f>
        <v>0</v>
      </c>
      <c r="BW79" s="3">
        <f>Table4[[#This Row],[Feb_2026_F]]-Table4[[#This Row],[Feb_2026_A]]</f>
        <v>0</v>
      </c>
      <c r="BX79" s="103"/>
      <c r="BY79" s="3">
        <f>IFERROR(Table4[[#This Row],[Mar_2026_Days_Forecast]]*Table4[[#This Row],[Cost Boolean]]*(VLOOKUP(Table4[[#This Row],[RATE CONCAT]],Tables!I:N,5,0)),0)</f>
        <v>0</v>
      </c>
      <c r="BZ79" s="3">
        <f>IFERROR(Table4[[#This Row],[Mar_2026_Days_Actual]]*Table4[[#This Row],[Cost Boolean]]*(VLOOKUP(Table4[[#This Row],[RATE CONCAT]],Tables!I:N,5,0)),0)</f>
        <v>0</v>
      </c>
      <c r="CA79" s="3">
        <f>Table4[[#This Row],[Mar_2026_F]]-Table4[[#This Row],[Mar_2026_A]]</f>
        <v>0</v>
      </c>
      <c r="CB79" s="103"/>
      <c r="CC79" s="3">
        <f>IFERROR(Table4[[#This Row],[Apr_2026_Days_Forecast]]*Table4[[#This Row],[Cost Boolean]]*(VLOOKUP(Table4[[#This Row],[RATE CONCAT]],Tables!I:N,5,0)),0)</f>
        <v>0</v>
      </c>
      <c r="CD79" s="3">
        <f>IFERROR(Table4[[#This Row],[Apr_2026_Days_Actual]]*Table4[[#This Row],[Cost Boolean]]*(VLOOKUP(Table4[[#This Row],[RATE CONCAT]],Tables!I:N,5,0)),0)</f>
        <v>0</v>
      </c>
      <c r="CE79" s="3">
        <f>Table4[[#This Row],[Apr_2026_F]]-Table4[[#This Row],[Apr_2026_A]]</f>
        <v>0</v>
      </c>
      <c r="CF79" s="103"/>
      <c r="CG79" s="3">
        <f>IFERROR(Table4[[#This Row],[May_2026_Days_Forecast]] *Table4[[#This Row],[Cost Boolean]]*(VLOOKUP(Table4[[#This Row],[RATE CONCAT]],Tables!I:N,5,0)),0)</f>
        <v>0</v>
      </c>
      <c r="CH79" s="3">
        <f>IFERROR(Table4[[#This Row],[May_2026_Days_Actual]]*Table4[[#This Row],[Cost Boolean]]*(VLOOKUP(Table4[[#This Row],[RATE CONCAT]],Tables!I:N,5,0)),0)</f>
        <v>0</v>
      </c>
      <c r="CI79" s="3">
        <f>Table4[[#This Row],[May_2026_F]]-Table4[[#This Row],[May_2026_A]]</f>
        <v>0</v>
      </c>
      <c r="CJ79" s="103"/>
      <c r="CK79" s="3">
        <f>IFERROR(Table4[[#This Row],[Jun_2026_Days_Forecast]]*Table4[[#This Row],[Cost Boolean]]*(VLOOKUP(Table4[[#This Row],[RATE CONCAT]],Tables!I:N,5,0)),0)</f>
        <v>0</v>
      </c>
      <c r="CL79" s="3">
        <f>IFERROR(Table4[[#This Row],[Jun_2026_Days_Actual]]*Table4[[#This Row],[Cost Boolean]]*(VLOOKUP(Table4[[#This Row],[RATE CONCAT]],Tables!I:N,5,0)),0)</f>
        <v>0</v>
      </c>
      <c r="CM79" s="3">
        <f>Table4[[#This Row],[Jun_2026_F]]-Table4[[#This Row],[Jun_2026_A]]</f>
        <v>0</v>
      </c>
      <c r="CN79" s="103"/>
      <c r="CO79" s="3">
        <f>IFERROR(Table4[[#This Row],[Jul_2026_Days_Forecast]]*Table4[[#This Row],[Cost Boolean]]*(VLOOKUP(Table4[[#This Row],[RATE CONCAT]],Tables!I:N,5,0)),0)</f>
        <v>0</v>
      </c>
      <c r="CP79" s="3">
        <f>IFERROR(Table4[[#This Row],[Aug_2026_Days_Forecast]]*Table4[[#This Row],[Location]]*(VLOOKUP(Table4[[#This Row],[Rate]],Tables!J:O,5,0)),0)</f>
        <v>0</v>
      </c>
      <c r="CQ79" s="3">
        <f>Table4[[#This Row],[Jul_2026_F]]-Table4[[#This Row],[Jul_2026_A]]</f>
        <v>0</v>
      </c>
      <c r="CR79" s="103"/>
      <c r="CS79" s="3">
        <f>IFERROR(Table4[[#This Row],[Aug_2026_Days_Forecast]]*Table4[[#This Row],[Cost Boolean]]*(VLOOKUP(Table4[[#This Row],[RATE CONCAT]],Tables!I:N,5,0)),0)</f>
        <v>0</v>
      </c>
      <c r="CT79" s="3">
        <f>IFERROR(Table4[[#This Row],[Aug_2026_Days_Actual]]*Table4[[#This Row],[Cost Boolean]]*(VLOOKUP(Table4[[#This Row],[RATE CONCAT]],Tables!I:N,5,0)),0)</f>
        <v>0</v>
      </c>
      <c r="CU79" s="3">
        <f>Table4[[#This Row],[Aug_2026_F]]-Table4[[#This Row],[Aug_2026_A]]</f>
        <v>0</v>
      </c>
      <c r="CV79" s="103"/>
      <c r="CW79" s="3">
        <f>IFERROR(Table4[[#This Row],[Sep_2026_Days_Forecast]]*Table4[[#This Row],[Cost Boolean]]*(VLOOKUP(Table4[[#This Row],[RATE CONCAT]],Tables!I:N,5,0)),0)</f>
        <v>0</v>
      </c>
      <c r="CX79" s="3">
        <f>IFERROR(Table4[[#This Row],[Sep_2026_Days_Actual]]*Table4[[#This Row],[Cost Boolean]]*(VLOOKUP(Table4[[#This Row],[RATE CONCAT]],Tables!I:N,5,0)),0)</f>
        <v>0</v>
      </c>
      <c r="CY79" s="3">
        <f>Table4[[#This Row],[Sep_2026_F]]-Table4[[#This Row],[Sep_2026_A]]</f>
        <v>0</v>
      </c>
      <c r="CZ79" s="103"/>
      <c r="DA79" s="3">
        <f>IFERROR(Table4[[#This Row],[Oct_2026_Days_Forecast]]*Table4[[#This Row],[Cost Boolean]]*(VLOOKUP(Table4[[#This Row],[RATE CONCAT]],Tables!I:N,5,0)),0)</f>
        <v>0</v>
      </c>
      <c r="DB79" s="3">
        <f>IFERROR(Table4[[#This Row],[Oct_2026_Days_Actual]]*Table4[[#This Row],[Cost Boolean]]*(VLOOKUP(Table4[[#This Row],[RATE CONCAT]],Tables!I:N,5,0)),0)</f>
        <v>0</v>
      </c>
      <c r="DC79" s="3">
        <f>Table4[[#This Row],[Oct_2026_F]]-Table4[[#This Row],[Oct_2026_A]]</f>
        <v>0</v>
      </c>
      <c r="DD79" s="103"/>
      <c r="DE79" s="3">
        <f>IFERROR(Table4[[#This Row],[Nov_2026_Days_Forecast]]*Table4[[#This Row],[Cost Boolean]]*(VLOOKUP(Table4[[#This Row],[RATE CONCAT]],Tables!I:N,5,0)),0)</f>
        <v>0</v>
      </c>
      <c r="DF79" s="3">
        <f>IFERROR(Table4[[#This Row],[Nov_2026_Days_Actual]]*Table4[[#This Row],[Cost Boolean]]*(VLOOKUP(Table4[[#This Row],[RATE CONCAT]],Tables!I:N,5,0)),0)</f>
        <v>0</v>
      </c>
      <c r="DG79" s="3">
        <f>Table4[[#This Row],[Nov_2026_F]]-Table4[[#This Row],[Nov_2026_A]]</f>
        <v>0</v>
      </c>
      <c r="DH79" s="103"/>
      <c r="DI79" s="3">
        <f>IFERROR(Table4[[#This Row],[Dec_2026_Days_Forecast]]*Table4[[#This Row],[Cost Boolean]]*(VLOOKUP(Table4[[#This Row],[RATE CONCAT]],Tables!I:N,5,0)),0)</f>
        <v>0</v>
      </c>
      <c r="DJ79" s="3">
        <f>IFERROR(Table4[[#This Row],[Dec_2026_Days_Actual]]*Table4[[#This Row],[Cost Boolean]]*(VLOOKUP(Table4[[#This Row],[RATE CONCAT]],Tables!I:N,5,0)),0)</f>
        <v>0</v>
      </c>
      <c r="DK79" s="3">
        <f>Table4[[#This Row],[Dec_2026_F]]-Table4[[#This Row],[Dec_2026_A]]</f>
        <v>0</v>
      </c>
      <c r="DL79" s="103"/>
      <c r="DM79" s="60"/>
      <c r="DN79" s="3">
        <f>IFERROR(Table4[[#This Row],[Jan_2027_Days_Forecast]]*Table4[[#This Row],[Cost Boolean]]*(VLOOKUP(Table4[[#This Row],[RATE CONCAT]],Tables!I:N,6,0)),0)</f>
        <v>0</v>
      </c>
      <c r="DO79" s="3"/>
      <c r="DP79" s="3">
        <f>Table4[[#This Row],[Jan_2027_F]]-Table4[[#This Row],[Jan_2027_A]]</f>
        <v>0</v>
      </c>
      <c r="DQ79" s="3">
        <f>IFERROR(Table4[[#This Row],[Feb_2027_Days_Forecast]]*Table4[[#This Row],[Cost Boolean]]*(VLOOKUP(Table4[[#This Row],[RATE CONCAT]],Tables!I:N,6,0)),0)</f>
        <v>0</v>
      </c>
      <c r="DR79" s="3"/>
      <c r="DS79" s="3">
        <f>Table4[[#This Row],[Feb_2027_F]]-Table4[[#This Row],[Feb_2027_A]]</f>
        <v>0</v>
      </c>
      <c r="DT79" s="3">
        <f>IFERROR(Table4[[#This Row],[Mar_2027_Days_Forecast]]*Table4[[#This Row],[Cost Boolean]]*(VLOOKUP(Table4[[#This Row],[RATE CONCAT]],Tables!I:N,6,0)),0)</f>
        <v>0</v>
      </c>
      <c r="DU79" s="3"/>
      <c r="DV79" s="3">
        <f>Table4[[#This Row],[Mar_2027_F]]-Table4[[#This Row],[Mar_2027_A]]</f>
        <v>0</v>
      </c>
      <c r="DW79" s="3">
        <f>IFERROR(Table4[[#This Row],[Apr_2027_Days_Forecast]]*Table4[[#This Row],[Cost Boolean]]*(VLOOKUP(Table4[[#This Row],[RATE CONCAT]],Tables!I:N,6,0)),0)</f>
        <v>0</v>
      </c>
      <c r="DX79" s="3"/>
      <c r="DY79" s="3">
        <f>Table4[[#This Row],[Apr_2027_F]]-Table4[[#This Row],[Apr_2027_A]]</f>
        <v>0</v>
      </c>
      <c r="DZ79" s="3">
        <f>IFERROR(Table4[[#This Row],[May_2027_Days_Forecast]]*Table4[[#This Row],[Cost Boolean]]*(VLOOKUP(Table4[[#This Row],[RATE CONCAT]],Tables!I:N,6,0)),0)</f>
        <v>0</v>
      </c>
      <c r="EA79" s="3"/>
      <c r="EB79" s="3">
        <f>Table4[[#This Row],[May_2027_F]]-Table4[[#This Row],[May_2027_A]]</f>
        <v>0</v>
      </c>
      <c r="EC79" s="3">
        <f>IFERROR(Table4[[#This Row],[Jun_2027_Days_Forecast]]*Table4[[#This Row],[Cost Boolean]]*(VLOOKUP(Table4[[#This Row],[RATE CONCAT]],Tables!I:N,6,0)),0)</f>
        <v>0</v>
      </c>
      <c r="ED79" s="3"/>
      <c r="EE79" s="3">
        <f>Table4[[#This Row],[Jun_2027_F]]-Table4[[#This Row],[Jun_2027_A]]</f>
        <v>0</v>
      </c>
      <c r="EF79" s="3">
        <f>IFERROR(Table4[[#This Row],[Jul_2027_Days_Forecast]]*Table4[[#This Row],[Cost Boolean]]*(VLOOKUP(Table4[[#This Row],[RATE CONCAT]],Tables!I:N,6,0)),0)</f>
        <v>0</v>
      </c>
      <c r="EG79" s="3"/>
      <c r="EH79" s="3">
        <f>Table4[[#This Row],[Jul_2027_F]]-Table4[[#This Row],[Jul_2027_A]]</f>
        <v>0</v>
      </c>
      <c r="EI79" s="3">
        <f>IFERROR(Table4[[#This Row],[Aug_2027_Days_Forecast]]*Table4[[#This Row],[Cost Boolean]]*(VLOOKUP(Table4[[#This Row],[RATE CONCAT]],Tables!I:N,6,0)),0)</f>
        <v>0</v>
      </c>
      <c r="EJ79" s="3"/>
      <c r="EK79" s="3">
        <f>Table4[[#This Row],[Aug_2027_F]]-Table4[[#This Row],[Aug_2027_A]]</f>
        <v>0</v>
      </c>
      <c r="EL79" s="3">
        <f>IFERROR(Table4[[#This Row],[Sep_2027_Days_Forecast]]*Table4[[#This Row],[Cost Boolean]]*(VLOOKUP(Table4[[#This Row],[RATE CONCAT]],Tables!I:N,6,0)),0)</f>
        <v>0</v>
      </c>
      <c r="EM79" s="3"/>
      <c r="EN79" s="3">
        <f>Table4[[#This Row],[Sep_2027_F]]-Table4[[#This Row],[Sep_2027_A]]</f>
        <v>0</v>
      </c>
      <c r="EO79" s="3">
        <f>IFERROR(Table4[[#This Row],[Oct_2027_Days_Forecast]]*Table4[[#This Row],[Cost Boolean]]*(VLOOKUP(Table4[[#This Row],[RATE CONCAT]],Tables!I:N,6,0)),0)</f>
        <v>0</v>
      </c>
      <c r="EP79" s="3"/>
      <c r="EQ79" s="3">
        <f>Table4[[#This Row],[Oct_2027_F]]-Table4[[#This Row],[Oct_2027_A]]</f>
        <v>0</v>
      </c>
      <c r="ER79" s="3">
        <f>IFERROR(Table4[[#This Row],[Nov_2027_Days_Forecast]]*Table4[[#This Row],[Cost Boolean]]*(VLOOKUP(Table4[[#This Row],[RATE CONCAT]],Tables!I:N,6,0)),0)</f>
        <v>0</v>
      </c>
      <c r="ES79" s="3"/>
      <c r="ET79" s="3">
        <f>Table4[[#This Row],[Nov_2027_F]]-Table4[[#This Row],[Nov_2027_A]]</f>
        <v>0</v>
      </c>
      <c r="EU79" s="3">
        <f>IFERROR(Table4[[#This Row],[Dec_2027_Days_Forecast]]*Table4[[#This Row],[Cost Boolean]]*(VLOOKUP(Table4[[#This Row],[RATE CONCAT]],Tables!I:N,6,0)),0)</f>
        <v>0</v>
      </c>
      <c r="EV79" s="3"/>
      <c r="EW79" s="3">
        <f>Table4[[#This Row],[Dec_2027_F]]-Table4[[#This Row],[Dec_2027_A]]</f>
        <v>0</v>
      </c>
    </row>
    <row r="80" spans="1:153" ht="1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2" t="str">
        <f>CONCATENATE(Table4[[#This Row],[JG]],Table4[[#This Row],[Country]],Table4[[#This Row],[Resource Provider]])</f>
        <v/>
      </c>
      <c r="Z80" s="132">
        <f>VLOOKUP(Table4[[#This Row],[RATE CONCAT]],Tables!I:N,5,0)</f>
        <v>0</v>
      </c>
      <c r="AA80" s="53"/>
      <c r="AB80" s="16"/>
      <c r="AC80" s="16"/>
      <c r="AD80" s="16"/>
      <c r="AE80" s="16"/>
      <c r="AF80" s="16"/>
      <c r="AG80" s="16"/>
      <c r="AH80" s="16"/>
      <c r="AI80" s="16"/>
      <c r="AJ80" s="16"/>
      <c r="AK80" s="16"/>
      <c r="AL80" s="16"/>
      <c r="AM80" s="16"/>
      <c r="AN80" s="53">
        <f>IFERROR(AVERAGE(Table4[[#This Row],[Jan_2026_Days_Forecast]:[Dec_2026_Days_Forecast]]),0)/19</f>
        <v>0</v>
      </c>
      <c r="AO80" s="53">
        <f>IFERROR(AVERAGE(Table4[[#This Row],[Jan_2026_Days_Actual]:[Dec_2026_Days_Actual]]),0)/19</f>
        <v>0</v>
      </c>
      <c r="AP80" s="84"/>
      <c r="AQ80" s="84"/>
      <c r="AR80" s="84"/>
      <c r="AS80" s="84"/>
      <c r="AT80" s="84"/>
      <c r="AU80" s="84"/>
      <c r="AV80" s="84"/>
      <c r="AW80" s="84"/>
      <c r="AX80" s="84"/>
      <c r="AY80" s="84"/>
      <c r="AZ80" s="84"/>
      <c r="BA80" s="84"/>
      <c r="BB80" s="53">
        <f>IFERROR(AVERAGE(Table4[[#This Row],[Jan_2027_Days_Forecast]:[Dec_2027_Days_Forecast]]),0)</f>
        <v>0</v>
      </c>
      <c r="BC80" s="16"/>
      <c r="BD80" s="16"/>
      <c r="BE80" s="16"/>
      <c r="BF80" s="16"/>
      <c r="BG80" s="16"/>
      <c r="BH80" s="16"/>
      <c r="BI80" s="16"/>
      <c r="BJ80" s="16"/>
      <c r="BK80" s="16"/>
      <c r="BL80" s="16"/>
      <c r="BM80" s="16"/>
      <c r="BN80" s="16"/>
      <c r="BO80" s="55"/>
      <c r="BP80" s="60"/>
      <c r="BQ80" s="3">
        <v>0</v>
      </c>
      <c r="BR80" s="3">
        <f>IFERROR(Table4[[#This Row],[Jan_2026_Days_Actual]]*Table4[[#This Row],[Cost Boolean]]*(VLOOKUP(Table4[[#This Row],[RATE CONCAT]],Tables!I:N,5,0)),0)</f>
        <v>0</v>
      </c>
      <c r="BS80" s="3">
        <f>Table4[[#This Row],[Jan_2026_F]]-Table4[[#This Row],[Jan_2026_A]]</f>
        <v>0</v>
      </c>
      <c r="BT80" s="107"/>
      <c r="BU80" s="3">
        <f>IFERROR(Table4[[#This Row],[Feb_2026_Days_Forecast]]*Table4[[#This Row],[Cost Boolean]]*(VLOOKUP(Table4[[#This Row],[RATE CONCAT]],Tables!I:N,5,0)),0)</f>
        <v>0</v>
      </c>
      <c r="BV80" s="3">
        <f>IFERROR(Table4[[#This Row],[Feb_2026_Days_Actual]]*Table4[[#This Row],[Cost Boolean]]*(VLOOKUP(Table4[[#This Row],[RATE CONCAT]],Tables!I:N,5,0)),0)</f>
        <v>0</v>
      </c>
      <c r="BW80" s="3">
        <f>Table4[[#This Row],[Feb_2026_F]]-Table4[[#This Row],[Feb_2026_A]]</f>
        <v>0</v>
      </c>
      <c r="BX80" s="103"/>
      <c r="BY80" s="3">
        <f>IFERROR(Table4[[#This Row],[Mar_2026_Days_Forecast]]*Table4[[#This Row],[Cost Boolean]]*(VLOOKUP(Table4[[#This Row],[RATE CONCAT]],Tables!I:N,5,0)),0)</f>
        <v>0</v>
      </c>
      <c r="BZ80" s="3">
        <f>IFERROR(Table4[[#This Row],[Mar_2026_Days_Actual]]*Table4[[#This Row],[Cost Boolean]]*(VLOOKUP(Table4[[#This Row],[RATE CONCAT]],Tables!I:N,5,0)),0)</f>
        <v>0</v>
      </c>
      <c r="CA80" s="3">
        <f>Table4[[#This Row],[Mar_2026_F]]-Table4[[#This Row],[Mar_2026_A]]</f>
        <v>0</v>
      </c>
      <c r="CB80" s="103"/>
      <c r="CC80" s="3">
        <f>IFERROR(Table4[[#This Row],[Apr_2026_Days_Forecast]]*Table4[[#This Row],[Cost Boolean]]*(VLOOKUP(Table4[[#This Row],[RATE CONCAT]],Tables!I:N,5,0)),0)</f>
        <v>0</v>
      </c>
      <c r="CD80" s="3">
        <f>IFERROR(Table4[[#This Row],[Apr_2026_Days_Actual]]*Table4[[#This Row],[Cost Boolean]]*(VLOOKUP(Table4[[#This Row],[RATE CONCAT]],Tables!I:N,5,0)),0)</f>
        <v>0</v>
      </c>
      <c r="CE80" s="3">
        <f>Table4[[#This Row],[Apr_2026_F]]-Table4[[#This Row],[Apr_2026_A]]</f>
        <v>0</v>
      </c>
      <c r="CF80" s="103"/>
      <c r="CG80" s="3">
        <f>IFERROR(Table4[[#This Row],[May_2026_Days_Forecast]] *Table4[[#This Row],[Cost Boolean]]*(VLOOKUP(Table4[[#This Row],[RATE CONCAT]],Tables!I:N,5,0)),0)</f>
        <v>0</v>
      </c>
      <c r="CH80" s="3">
        <f>IFERROR(Table4[[#This Row],[May_2026_Days_Actual]]*Table4[[#This Row],[Cost Boolean]]*(VLOOKUP(Table4[[#This Row],[RATE CONCAT]],Tables!I:N,5,0)),0)</f>
        <v>0</v>
      </c>
      <c r="CI80" s="3">
        <f>Table4[[#This Row],[May_2026_F]]-Table4[[#This Row],[May_2026_A]]</f>
        <v>0</v>
      </c>
      <c r="CJ80" s="103"/>
      <c r="CK80" s="3">
        <f>IFERROR(Table4[[#This Row],[Jun_2026_Days_Forecast]]*Table4[[#This Row],[Cost Boolean]]*(VLOOKUP(Table4[[#This Row],[RATE CONCAT]],Tables!I:N,5,0)),0)</f>
        <v>0</v>
      </c>
      <c r="CL80" s="3">
        <f>IFERROR(Table4[[#This Row],[Jun_2026_Days_Actual]]*Table4[[#This Row],[Cost Boolean]]*(VLOOKUP(Table4[[#This Row],[RATE CONCAT]],Tables!I:N,5,0)),0)</f>
        <v>0</v>
      </c>
      <c r="CM80" s="3">
        <f>Table4[[#This Row],[Jun_2026_F]]-Table4[[#This Row],[Jun_2026_A]]</f>
        <v>0</v>
      </c>
      <c r="CN80" s="103"/>
      <c r="CO80" s="3">
        <f>IFERROR(Table4[[#This Row],[Jul_2026_Days_Forecast]]*Table4[[#This Row],[Cost Boolean]]*(VLOOKUP(Table4[[#This Row],[RATE CONCAT]],Tables!I:N,5,0)),0)</f>
        <v>0</v>
      </c>
      <c r="CP80" s="3">
        <f>IFERROR(Table4[[#This Row],[Aug_2026_Days_Forecast]]*Table4[[#This Row],[Location]]*(VLOOKUP(Table4[[#This Row],[Rate]],Tables!J:O,5,0)),0)</f>
        <v>0</v>
      </c>
      <c r="CQ80" s="3">
        <f>Table4[[#This Row],[Jul_2026_F]]-Table4[[#This Row],[Jul_2026_A]]</f>
        <v>0</v>
      </c>
      <c r="CR80" s="103"/>
      <c r="CS80" s="3">
        <f>IFERROR(Table4[[#This Row],[Aug_2026_Days_Forecast]]*Table4[[#This Row],[Cost Boolean]]*(VLOOKUP(Table4[[#This Row],[RATE CONCAT]],Tables!I:N,5,0)),0)</f>
        <v>0</v>
      </c>
      <c r="CT80" s="3">
        <f>IFERROR(Table4[[#This Row],[Aug_2026_Days_Actual]]*Table4[[#This Row],[Cost Boolean]]*(VLOOKUP(Table4[[#This Row],[RATE CONCAT]],Tables!I:N,5,0)),0)</f>
        <v>0</v>
      </c>
      <c r="CU80" s="3">
        <f>Table4[[#This Row],[Aug_2026_F]]-Table4[[#This Row],[Aug_2026_A]]</f>
        <v>0</v>
      </c>
      <c r="CV80" s="103"/>
      <c r="CW80" s="3">
        <f>IFERROR(Table4[[#This Row],[Sep_2026_Days_Forecast]]*Table4[[#This Row],[Cost Boolean]]*(VLOOKUP(Table4[[#This Row],[RATE CONCAT]],Tables!I:N,5,0)),0)</f>
        <v>0</v>
      </c>
      <c r="CX80" s="3">
        <f>IFERROR(Table4[[#This Row],[Sep_2026_Days_Actual]]*Table4[[#This Row],[Cost Boolean]]*(VLOOKUP(Table4[[#This Row],[RATE CONCAT]],Tables!I:N,5,0)),0)</f>
        <v>0</v>
      </c>
      <c r="CY80" s="3">
        <f>Table4[[#This Row],[Sep_2026_F]]-Table4[[#This Row],[Sep_2026_A]]</f>
        <v>0</v>
      </c>
      <c r="CZ80" s="103"/>
      <c r="DA80" s="3">
        <f>IFERROR(Table4[[#This Row],[Oct_2026_Days_Forecast]]*Table4[[#This Row],[Cost Boolean]]*(VLOOKUP(Table4[[#This Row],[RATE CONCAT]],Tables!I:N,5,0)),0)</f>
        <v>0</v>
      </c>
      <c r="DB80" s="3">
        <f>IFERROR(Table4[[#This Row],[Oct_2026_Days_Actual]]*Table4[[#This Row],[Cost Boolean]]*(VLOOKUP(Table4[[#This Row],[RATE CONCAT]],Tables!I:N,5,0)),0)</f>
        <v>0</v>
      </c>
      <c r="DC80" s="3">
        <f>Table4[[#This Row],[Oct_2026_F]]-Table4[[#This Row],[Oct_2026_A]]</f>
        <v>0</v>
      </c>
      <c r="DD80" s="103"/>
      <c r="DE80" s="3">
        <f>IFERROR(Table4[[#This Row],[Nov_2026_Days_Forecast]]*Table4[[#This Row],[Cost Boolean]]*(VLOOKUP(Table4[[#This Row],[RATE CONCAT]],Tables!I:N,5,0)),0)</f>
        <v>0</v>
      </c>
      <c r="DF80" s="3">
        <f>IFERROR(Table4[[#This Row],[Nov_2026_Days_Actual]]*Table4[[#This Row],[Cost Boolean]]*(VLOOKUP(Table4[[#This Row],[RATE CONCAT]],Tables!I:N,5,0)),0)</f>
        <v>0</v>
      </c>
      <c r="DG80" s="3">
        <f>Table4[[#This Row],[Nov_2026_F]]-Table4[[#This Row],[Nov_2026_A]]</f>
        <v>0</v>
      </c>
      <c r="DH80" s="103"/>
      <c r="DI80" s="3">
        <f>IFERROR(Table4[[#This Row],[Dec_2026_Days_Forecast]]*Table4[[#This Row],[Cost Boolean]]*(VLOOKUP(Table4[[#This Row],[RATE CONCAT]],Tables!I:N,5,0)),0)</f>
        <v>0</v>
      </c>
      <c r="DJ80" s="3">
        <f>IFERROR(Table4[[#This Row],[Dec_2026_Days_Actual]]*Table4[[#This Row],[Cost Boolean]]*(VLOOKUP(Table4[[#This Row],[RATE CONCAT]],Tables!I:N,5,0)),0)</f>
        <v>0</v>
      </c>
      <c r="DK80" s="3">
        <f>Table4[[#This Row],[Dec_2026_F]]-Table4[[#This Row],[Dec_2026_A]]</f>
        <v>0</v>
      </c>
      <c r="DL80" s="103"/>
      <c r="DM80" s="60"/>
      <c r="DN80" s="3">
        <f>IFERROR(Table4[[#This Row],[Jan_2027_Days_Forecast]]*Table4[[#This Row],[Cost Boolean]]*(VLOOKUP(Table4[[#This Row],[RATE CONCAT]],Tables!I:N,6,0)),0)</f>
        <v>0</v>
      </c>
      <c r="DO80" s="3"/>
      <c r="DP80" s="3">
        <f>Table4[[#This Row],[Jan_2027_F]]-Table4[[#This Row],[Jan_2027_A]]</f>
        <v>0</v>
      </c>
      <c r="DQ80" s="3">
        <f>IFERROR(Table4[[#This Row],[Feb_2027_Days_Forecast]]*Table4[[#This Row],[Cost Boolean]]*(VLOOKUP(Table4[[#This Row],[RATE CONCAT]],Tables!I:N,6,0)),0)</f>
        <v>0</v>
      </c>
      <c r="DR80" s="3"/>
      <c r="DS80" s="3">
        <f>Table4[[#This Row],[Feb_2027_F]]-Table4[[#This Row],[Feb_2027_A]]</f>
        <v>0</v>
      </c>
      <c r="DT80" s="3">
        <f>IFERROR(Table4[[#This Row],[Mar_2027_Days_Forecast]]*Table4[[#This Row],[Cost Boolean]]*(VLOOKUP(Table4[[#This Row],[RATE CONCAT]],Tables!I:N,6,0)),0)</f>
        <v>0</v>
      </c>
      <c r="DU80" s="3"/>
      <c r="DV80" s="3">
        <f>Table4[[#This Row],[Mar_2027_F]]-Table4[[#This Row],[Mar_2027_A]]</f>
        <v>0</v>
      </c>
      <c r="DW80" s="3">
        <f>IFERROR(Table4[[#This Row],[Apr_2027_Days_Forecast]]*Table4[[#This Row],[Cost Boolean]]*(VLOOKUP(Table4[[#This Row],[RATE CONCAT]],Tables!I:N,6,0)),0)</f>
        <v>0</v>
      </c>
      <c r="DX80" s="3"/>
      <c r="DY80" s="3">
        <f>Table4[[#This Row],[Apr_2027_F]]-Table4[[#This Row],[Apr_2027_A]]</f>
        <v>0</v>
      </c>
      <c r="DZ80" s="3">
        <f>IFERROR(Table4[[#This Row],[May_2027_Days_Forecast]]*Table4[[#This Row],[Cost Boolean]]*(VLOOKUP(Table4[[#This Row],[RATE CONCAT]],Tables!I:N,6,0)),0)</f>
        <v>0</v>
      </c>
      <c r="EA80" s="3"/>
      <c r="EB80" s="3">
        <f>Table4[[#This Row],[May_2027_F]]-Table4[[#This Row],[May_2027_A]]</f>
        <v>0</v>
      </c>
      <c r="EC80" s="3">
        <f>IFERROR(Table4[[#This Row],[Jun_2027_Days_Forecast]]*Table4[[#This Row],[Cost Boolean]]*(VLOOKUP(Table4[[#This Row],[RATE CONCAT]],Tables!I:N,6,0)),0)</f>
        <v>0</v>
      </c>
      <c r="ED80" s="3"/>
      <c r="EE80" s="3">
        <f>Table4[[#This Row],[Jun_2027_F]]-Table4[[#This Row],[Jun_2027_A]]</f>
        <v>0</v>
      </c>
      <c r="EF80" s="3">
        <f>IFERROR(Table4[[#This Row],[Jul_2027_Days_Forecast]]*Table4[[#This Row],[Cost Boolean]]*(VLOOKUP(Table4[[#This Row],[RATE CONCAT]],Tables!I:N,6,0)),0)</f>
        <v>0</v>
      </c>
      <c r="EG80" s="3"/>
      <c r="EH80" s="3">
        <f>Table4[[#This Row],[Jul_2027_F]]-Table4[[#This Row],[Jul_2027_A]]</f>
        <v>0</v>
      </c>
      <c r="EI80" s="3">
        <f>IFERROR(Table4[[#This Row],[Aug_2027_Days_Forecast]]*Table4[[#This Row],[Cost Boolean]]*(VLOOKUP(Table4[[#This Row],[RATE CONCAT]],Tables!I:N,6,0)),0)</f>
        <v>0</v>
      </c>
      <c r="EJ80" s="3"/>
      <c r="EK80" s="3">
        <f>Table4[[#This Row],[Aug_2027_F]]-Table4[[#This Row],[Aug_2027_A]]</f>
        <v>0</v>
      </c>
      <c r="EL80" s="3">
        <f>IFERROR(Table4[[#This Row],[Sep_2027_Days_Forecast]]*Table4[[#This Row],[Cost Boolean]]*(VLOOKUP(Table4[[#This Row],[RATE CONCAT]],Tables!I:N,6,0)),0)</f>
        <v>0</v>
      </c>
      <c r="EM80" s="3"/>
      <c r="EN80" s="3">
        <f>Table4[[#This Row],[Sep_2027_F]]-Table4[[#This Row],[Sep_2027_A]]</f>
        <v>0</v>
      </c>
      <c r="EO80" s="3">
        <f>IFERROR(Table4[[#This Row],[Oct_2027_Days_Forecast]]*Table4[[#This Row],[Cost Boolean]]*(VLOOKUP(Table4[[#This Row],[RATE CONCAT]],Tables!I:N,6,0)),0)</f>
        <v>0</v>
      </c>
      <c r="EP80" s="3"/>
      <c r="EQ80" s="3">
        <f>Table4[[#This Row],[Oct_2027_F]]-Table4[[#This Row],[Oct_2027_A]]</f>
        <v>0</v>
      </c>
      <c r="ER80" s="3">
        <f>IFERROR(Table4[[#This Row],[Nov_2027_Days_Forecast]]*Table4[[#This Row],[Cost Boolean]]*(VLOOKUP(Table4[[#This Row],[RATE CONCAT]],Tables!I:N,6,0)),0)</f>
        <v>0</v>
      </c>
      <c r="ES80" s="3"/>
      <c r="ET80" s="3">
        <f>Table4[[#This Row],[Nov_2027_F]]-Table4[[#This Row],[Nov_2027_A]]</f>
        <v>0</v>
      </c>
      <c r="EU80" s="3">
        <f>IFERROR(Table4[[#This Row],[Dec_2027_Days_Forecast]]*Table4[[#This Row],[Cost Boolean]]*(VLOOKUP(Table4[[#This Row],[RATE CONCAT]],Tables!I:N,6,0)),0)</f>
        <v>0</v>
      </c>
      <c r="EV80" s="3"/>
      <c r="EW80" s="3">
        <f>Table4[[#This Row],[Dec_2027_F]]-Table4[[#This Row],[Dec_2027_A]]</f>
        <v>0</v>
      </c>
    </row>
    <row r="81" spans="1:153" ht="1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2" t="str">
        <f>CONCATENATE(Table4[[#This Row],[JG]],Table4[[#This Row],[Country]],Table4[[#This Row],[Resource Provider]])</f>
        <v/>
      </c>
      <c r="Z81" s="132">
        <f>VLOOKUP(Table4[[#This Row],[RATE CONCAT]],Tables!I:N,5,0)</f>
        <v>0</v>
      </c>
      <c r="AA81" s="53"/>
      <c r="AB81" s="16"/>
      <c r="AC81" s="16"/>
      <c r="AD81" s="16"/>
      <c r="AE81" s="16"/>
      <c r="AF81" s="16"/>
      <c r="AG81" s="16"/>
      <c r="AH81" s="16"/>
      <c r="AI81" s="16"/>
      <c r="AJ81" s="16"/>
      <c r="AK81" s="16"/>
      <c r="AL81" s="16"/>
      <c r="AM81" s="16"/>
      <c r="AN81" s="53">
        <f>IFERROR(AVERAGE(Table4[[#This Row],[Jan_2026_Days_Forecast]:[Dec_2026_Days_Forecast]]),0)/19</f>
        <v>0</v>
      </c>
      <c r="AO81" s="53">
        <f>IFERROR(AVERAGE(Table4[[#This Row],[Jan_2026_Days_Actual]:[Dec_2026_Days_Actual]]),0)/19</f>
        <v>0</v>
      </c>
      <c r="AP81" s="84"/>
      <c r="AQ81" s="84"/>
      <c r="AR81" s="84"/>
      <c r="AS81" s="84"/>
      <c r="AT81" s="84"/>
      <c r="AU81" s="84"/>
      <c r="AV81" s="84"/>
      <c r="AW81" s="84"/>
      <c r="AX81" s="84"/>
      <c r="AY81" s="84"/>
      <c r="AZ81" s="84"/>
      <c r="BA81" s="84"/>
      <c r="BB81" s="53">
        <f>IFERROR(AVERAGE(Table4[[#This Row],[Jan_2027_Days_Forecast]:[Dec_2027_Days_Forecast]]),0)</f>
        <v>0</v>
      </c>
      <c r="BC81" s="16"/>
      <c r="BD81" s="16"/>
      <c r="BE81" s="16"/>
      <c r="BF81" s="16"/>
      <c r="BG81" s="16"/>
      <c r="BH81" s="16"/>
      <c r="BI81" s="16"/>
      <c r="BJ81" s="16"/>
      <c r="BK81" s="16"/>
      <c r="BL81" s="16"/>
      <c r="BM81" s="16"/>
      <c r="BN81" s="16"/>
      <c r="BO81" s="55"/>
      <c r="BP81" s="60"/>
      <c r="BQ81" s="3">
        <v>0</v>
      </c>
      <c r="BR81" s="3">
        <f>IFERROR(Table4[[#This Row],[Jan_2026_Days_Actual]]*Table4[[#This Row],[Cost Boolean]]*(VLOOKUP(Table4[[#This Row],[RATE CONCAT]],Tables!I:N,5,0)),0)</f>
        <v>0</v>
      </c>
      <c r="BS81" s="3">
        <f>Table4[[#This Row],[Jan_2026_F]]-Table4[[#This Row],[Jan_2026_A]]</f>
        <v>0</v>
      </c>
      <c r="BT81" s="107"/>
      <c r="BU81" s="3">
        <f>IFERROR(Table4[[#This Row],[Feb_2026_Days_Forecast]]*Table4[[#This Row],[Cost Boolean]]*(VLOOKUP(Table4[[#This Row],[RATE CONCAT]],Tables!I:N,5,0)),0)</f>
        <v>0</v>
      </c>
      <c r="BV81" s="3">
        <f>IFERROR(Table4[[#This Row],[Feb_2026_Days_Actual]]*Table4[[#This Row],[Cost Boolean]]*(VLOOKUP(Table4[[#This Row],[RATE CONCAT]],Tables!I:N,5,0)),0)</f>
        <v>0</v>
      </c>
      <c r="BW81" s="3">
        <f>Table4[[#This Row],[Feb_2026_F]]-Table4[[#This Row],[Feb_2026_A]]</f>
        <v>0</v>
      </c>
      <c r="BX81" s="103"/>
      <c r="BY81" s="3">
        <f>IFERROR(Table4[[#This Row],[Mar_2026_Days_Forecast]]*Table4[[#This Row],[Cost Boolean]]*(VLOOKUP(Table4[[#This Row],[RATE CONCAT]],Tables!I:N,5,0)),0)</f>
        <v>0</v>
      </c>
      <c r="BZ81" s="3">
        <f>IFERROR(Table4[[#This Row],[Mar_2026_Days_Actual]]*Table4[[#This Row],[Cost Boolean]]*(VLOOKUP(Table4[[#This Row],[RATE CONCAT]],Tables!I:N,5,0)),0)</f>
        <v>0</v>
      </c>
      <c r="CA81" s="3">
        <f>Table4[[#This Row],[Mar_2026_F]]-Table4[[#This Row],[Mar_2026_A]]</f>
        <v>0</v>
      </c>
      <c r="CB81" s="103"/>
      <c r="CC81" s="3">
        <f>IFERROR(Table4[[#This Row],[Apr_2026_Days_Forecast]]*Table4[[#This Row],[Cost Boolean]]*(VLOOKUP(Table4[[#This Row],[RATE CONCAT]],Tables!I:N,5,0)),0)</f>
        <v>0</v>
      </c>
      <c r="CD81" s="3">
        <f>IFERROR(Table4[[#This Row],[Apr_2026_Days_Actual]]*Table4[[#This Row],[Cost Boolean]]*(VLOOKUP(Table4[[#This Row],[RATE CONCAT]],Tables!I:N,5,0)),0)</f>
        <v>0</v>
      </c>
      <c r="CE81" s="3">
        <f>Table4[[#This Row],[Apr_2026_F]]-Table4[[#This Row],[Apr_2026_A]]</f>
        <v>0</v>
      </c>
      <c r="CF81" s="103"/>
      <c r="CG81" s="3">
        <f>IFERROR(Table4[[#This Row],[May_2026_Days_Forecast]] *Table4[[#This Row],[Cost Boolean]]*(VLOOKUP(Table4[[#This Row],[RATE CONCAT]],Tables!I:N,5,0)),0)</f>
        <v>0</v>
      </c>
      <c r="CH81" s="3">
        <f>IFERROR(Table4[[#This Row],[May_2026_Days_Actual]]*Table4[[#This Row],[Cost Boolean]]*(VLOOKUP(Table4[[#This Row],[RATE CONCAT]],Tables!I:N,5,0)),0)</f>
        <v>0</v>
      </c>
      <c r="CI81" s="3">
        <f>Table4[[#This Row],[May_2026_F]]-Table4[[#This Row],[May_2026_A]]</f>
        <v>0</v>
      </c>
      <c r="CJ81" s="103"/>
      <c r="CK81" s="3">
        <f>IFERROR(Table4[[#This Row],[Jun_2026_Days_Forecast]]*Table4[[#This Row],[Cost Boolean]]*(VLOOKUP(Table4[[#This Row],[RATE CONCAT]],Tables!I:N,5,0)),0)</f>
        <v>0</v>
      </c>
      <c r="CL81" s="3">
        <f>IFERROR(Table4[[#This Row],[Jun_2026_Days_Actual]]*Table4[[#This Row],[Cost Boolean]]*(VLOOKUP(Table4[[#This Row],[RATE CONCAT]],Tables!I:N,5,0)),0)</f>
        <v>0</v>
      </c>
      <c r="CM81" s="3">
        <f>Table4[[#This Row],[Jun_2026_F]]-Table4[[#This Row],[Jun_2026_A]]</f>
        <v>0</v>
      </c>
      <c r="CN81" s="103"/>
      <c r="CO81" s="3">
        <f>IFERROR(Table4[[#This Row],[Jul_2026_Days_Forecast]]*Table4[[#This Row],[Cost Boolean]]*(VLOOKUP(Table4[[#This Row],[RATE CONCAT]],Tables!I:N,5,0)),0)</f>
        <v>0</v>
      </c>
      <c r="CP81" s="3">
        <f>IFERROR(Table4[[#This Row],[Aug_2026_Days_Forecast]]*Table4[[#This Row],[Location]]*(VLOOKUP(Table4[[#This Row],[Rate]],Tables!J:O,5,0)),0)</f>
        <v>0</v>
      </c>
      <c r="CQ81" s="3">
        <f>Table4[[#This Row],[Jul_2026_F]]-Table4[[#This Row],[Jul_2026_A]]</f>
        <v>0</v>
      </c>
      <c r="CR81" s="103"/>
      <c r="CS81" s="3">
        <f>IFERROR(Table4[[#This Row],[Aug_2026_Days_Forecast]]*Table4[[#This Row],[Cost Boolean]]*(VLOOKUP(Table4[[#This Row],[RATE CONCAT]],Tables!I:N,5,0)),0)</f>
        <v>0</v>
      </c>
      <c r="CT81" s="3">
        <f>IFERROR(Table4[[#This Row],[Aug_2026_Days_Actual]]*Table4[[#This Row],[Cost Boolean]]*(VLOOKUP(Table4[[#This Row],[RATE CONCAT]],Tables!I:N,5,0)),0)</f>
        <v>0</v>
      </c>
      <c r="CU81" s="3">
        <f>Table4[[#This Row],[Aug_2026_F]]-Table4[[#This Row],[Aug_2026_A]]</f>
        <v>0</v>
      </c>
      <c r="CV81" s="103"/>
      <c r="CW81" s="3">
        <f>IFERROR(Table4[[#This Row],[Sep_2026_Days_Forecast]]*Table4[[#This Row],[Cost Boolean]]*(VLOOKUP(Table4[[#This Row],[RATE CONCAT]],Tables!I:N,5,0)),0)</f>
        <v>0</v>
      </c>
      <c r="CX81" s="3">
        <f>IFERROR(Table4[[#This Row],[Sep_2026_Days_Actual]]*Table4[[#This Row],[Cost Boolean]]*(VLOOKUP(Table4[[#This Row],[RATE CONCAT]],Tables!I:N,5,0)),0)</f>
        <v>0</v>
      </c>
      <c r="CY81" s="3">
        <f>Table4[[#This Row],[Sep_2026_F]]-Table4[[#This Row],[Sep_2026_A]]</f>
        <v>0</v>
      </c>
      <c r="CZ81" s="103"/>
      <c r="DA81" s="3">
        <f>IFERROR(Table4[[#This Row],[Oct_2026_Days_Forecast]]*Table4[[#This Row],[Cost Boolean]]*(VLOOKUP(Table4[[#This Row],[RATE CONCAT]],Tables!I:N,5,0)),0)</f>
        <v>0</v>
      </c>
      <c r="DB81" s="3">
        <f>IFERROR(Table4[[#This Row],[Oct_2026_Days_Actual]]*Table4[[#This Row],[Cost Boolean]]*(VLOOKUP(Table4[[#This Row],[RATE CONCAT]],Tables!I:N,5,0)),0)</f>
        <v>0</v>
      </c>
      <c r="DC81" s="3">
        <f>Table4[[#This Row],[Oct_2026_F]]-Table4[[#This Row],[Oct_2026_A]]</f>
        <v>0</v>
      </c>
      <c r="DD81" s="103"/>
      <c r="DE81" s="3">
        <f>IFERROR(Table4[[#This Row],[Nov_2026_Days_Forecast]]*Table4[[#This Row],[Cost Boolean]]*(VLOOKUP(Table4[[#This Row],[RATE CONCAT]],Tables!I:N,5,0)),0)</f>
        <v>0</v>
      </c>
      <c r="DF81" s="3">
        <f>IFERROR(Table4[[#This Row],[Nov_2026_Days_Actual]]*Table4[[#This Row],[Cost Boolean]]*(VLOOKUP(Table4[[#This Row],[RATE CONCAT]],Tables!I:N,5,0)),0)</f>
        <v>0</v>
      </c>
      <c r="DG81" s="3">
        <f>Table4[[#This Row],[Nov_2026_F]]-Table4[[#This Row],[Nov_2026_A]]</f>
        <v>0</v>
      </c>
      <c r="DH81" s="103"/>
      <c r="DI81" s="3">
        <f>IFERROR(Table4[[#This Row],[Dec_2026_Days_Forecast]]*Table4[[#This Row],[Cost Boolean]]*(VLOOKUP(Table4[[#This Row],[RATE CONCAT]],Tables!I:N,5,0)),0)</f>
        <v>0</v>
      </c>
      <c r="DJ81" s="3">
        <f>IFERROR(Table4[[#This Row],[Dec_2026_Days_Actual]]*Table4[[#This Row],[Cost Boolean]]*(VLOOKUP(Table4[[#This Row],[RATE CONCAT]],Tables!I:N,5,0)),0)</f>
        <v>0</v>
      </c>
      <c r="DK81" s="3">
        <f>Table4[[#This Row],[Dec_2026_F]]-Table4[[#This Row],[Dec_2026_A]]</f>
        <v>0</v>
      </c>
      <c r="DL81" s="103"/>
      <c r="DM81" s="60"/>
      <c r="DN81" s="3">
        <f>IFERROR(Table4[[#This Row],[Jan_2027_Days_Forecast]]*Table4[[#This Row],[Cost Boolean]]*(VLOOKUP(Table4[[#This Row],[RATE CONCAT]],Tables!I:N,6,0)),0)</f>
        <v>0</v>
      </c>
      <c r="DO81" s="3"/>
      <c r="DP81" s="3">
        <f>Table4[[#This Row],[Jan_2027_F]]-Table4[[#This Row],[Jan_2027_A]]</f>
        <v>0</v>
      </c>
      <c r="DQ81" s="3">
        <f>IFERROR(Table4[[#This Row],[Feb_2027_Days_Forecast]]*Table4[[#This Row],[Cost Boolean]]*(VLOOKUP(Table4[[#This Row],[RATE CONCAT]],Tables!I:N,6,0)),0)</f>
        <v>0</v>
      </c>
      <c r="DR81" s="3"/>
      <c r="DS81" s="3">
        <f>Table4[[#This Row],[Feb_2027_F]]-Table4[[#This Row],[Feb_2027_A]]</f>
        <v>0</v>
      </c>
      <c r="DT81" s="3">
        <f>IFERROR(Table4[[#This Row],[Mar_2027_Days_Forecast]]*Table4[[#This Row],[Cost Boolean]]*(VLOOKUP(Table4[[#This Row],[RATE CONCAT]],Tables!I:N,6,0)),0)</f>
        <v>0</v>
      </c>
      <c r="DU81" s="3"/>
      <c r="DV81" s="3">
        <f>Table4[[#This Row],[Mar_2027_F]]-Table4[[#This Row],[Mar_2027_A]]</f>
        <v>0</v>
      </c>
      <c r="DW81" s="3">
        <f>IFERROR(Table4[[#This Row],[Apr_2027_Days_Forecast]]*Table4[[#This Row],[Cost Boolean]]*(VLOOKUP(Table4[[#This Row],[RATE CONCAT]],Tables!I:N,6,0)),0)</f>
        <v>0</v>
      </c>
      <c r="DX81" s="3"/>
      <c r="DY81" s="3">
        <f>Table4[[#This Row],[Apr_2027_F]]-Table4[[#This Row],[Apr_2027_A]]</f>
        <v>0</v>
      </c>
      <c r="DZ81" s="3">
        <f>IFERROR(Table4[[#This Row],[May_2027_Days_Forecast]]*Table4[[#This Row],[Cost Boolean]]*(VLOOKUP(Table4[[#This Row],[RATE CONCAT]],Tables!I:N,6,0)),0)</f>
        <v>0</v>
      </c>
      <c r="EA81" s="3"/>
      <c r="EB81" s="3">
        <f>Table4[[#This Row],[May_2027_F]]-Table4[[#This Row],[May_2027_A]]</f>
        <v>0</v>
      </c>
      <c r="EC81" s="3">
        <f>IFERROR(Table4[[#This Row],[Jun_2027_Days_Forecast]]*Table4[[#This Row],[Cost Boolean]]*(VLOOKUP(Table4[[#This Row],[RATE CONCAT]],Tables!I:N,6,0)),0)</f>
        <v>0</v>
      </c>
      <c r="ED81" s="3"/>
      <c r="EE81" s="3">
        <f>Table4[[#This Row],[Jun_2027_F]]-Table4[[#This Row],[Jun_2027_A]]</f>
        <v>0</v>
      </c>
      <c r="EF81" s="3">
        <f>IFERROR(Table4[[#This Row],[Jul_2027_Days_Forecast]]*Table4[[#This Row],[Cost Boolean]]*(VLOOKUP(Table4[[#This Row],[RATE CONCAT]],Tables!I:N,6,0)),0)</f>
        <v>0</v>
      </c>
      <c r="EG81" s="3"/>
      <c r="EH81" s="3">
        <f>Table4[[#This Row],[Jul_2027_F]]-Table4[[#This Row],[Jul_2027_A]]</f>
        <v>0</v>
      </c>
      <c r="EI81" s="3">
        <f>IFERROR(Table4[[#This Row],[Aug_2027_Days_Forecast]]*Table4[[#This Row],[Cost Boolean]]*(VLOOKUP(Table4[[#This Row],[RATE CONCAT]],Tables!I:N,6,0)),0)</f>
        <v>0</v>
      </c>
      <c r="EJ81" s="3"/>
      <c r="EK81" s="3">
        <f>Table4[[#This Row],[Aug_2027_F]]-Table4[[#This Row],[Aug_2027_A]]</f>
        <v>0</v>
      </c>
      <c r="EL81" s="3">
        <f>IFERROR(Table4[[#This Row],[Sep_2027_Days_Forecast]]*Table4[[#This Row],[Cost Boolean]]*(VLOOKUP(Table4[[#This Row],[RATE CONCAT]],Tables!I:N,6,0)),0)</f>
        <v>0</v>
      </c>
      <c r="EM81" s="3"/>
      <c r="EN81" s="3">
        <f>Table4[[#This Row],[Sep_2027_F]]-Table4[[#This Row],[Sep_2027_A]]</f>
        <v>0</v>
      </c>
      <c r="EO81" s="3">
        <f>IFERROR(Table4[[#This Row],[Oct_2027_Days_Forecast]]*Table4[[#This Row],[Cost Boolean]]*(VLOOKUP(Table4[[#This Row],[RATE CONCAT]],Tables!I:N,6,0)),0)</f>
        <v>0</v>
      </c>
      <c r="EP81" s="3"/>
      <c r="EQ81" s="3">
        <f>Table4[[#This Row],[Oct_2027_F]]-Table4[[#This Row],[Oct_2027_A]]</f>
        <v>0</v>
      </c>
      <c r="ER81" s="3">
        <f>IFERROR(Table4[[#This Row],[Nov_2027_Days_Forecast]]*Table4[[#This Row],[Cost Boolean]]*(VLOOKUP(Table4[[#This Row],[RATE CONCAT]],Tables!I:N,6,0)),0)</f>
        <v>0</v>
      </c>
      <c r="ES81" s="3"/>
      <c r="ET81" s="3">
        <f>Table4[[#This Row],[Nov_2027_F]]-Table4[[#This Row],[Nov_2027_A]]</f>
        <v>0</v>
      </c>
      <c r="EU81" s="3">
        <f>IFERROR(Table4[[#This Row],[Dec_2027_Days_Forecast]]*Table4[[#This Row],[Cost Boolean]]*(VLOOKUP(Table4[[#This Row],[RATE CONCAT]],Tables!I:N,6,0)),0)</f>
        <v>0</v>
      </c>
      <c r="EV81" s="3"/>
      <c r="EW81" s="3">
        <f>Table4[[#This Row],[Dec_2027_F]]-Table4[[#This Row],[Dec_2027_A]]</f>
        <v>0</v>
      </c>
    </row>
    <row r="82" spans="1:153" ht="1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2" t="str">
        <f>CONCATENATE(Table4[[#This Row],[JG]],Table4[[#This Row],[Country]],Table4[[#This Row],[Resource Provider]])</f>
        <v/>
      </c>
      <c r="Z82" s="132">
        <f>VLOOKUP(Table4[[#This Row],[RATE CONCAT]],Tables!I:N,5,0)</f>
        <v>0</v>
      </c>
      <c r="AA82" s="53"/>
      <c r="AB82" s="16"/>
      <c r="AC82" s="16"/>
      <c r="AD82" s="16"/>
      <c r="AE82" s="16"/>
      <c r="AF82" s="16"/>
      <c r="AG82" s="16"/>
      <c r="AH82" s="16"/>
      <c r="AI82" s="16"/>
      <c r="AJ82" s="16"/>
      <c r="AK82" s="16"/>
      <c r="AL82" s="16"/>
      <c r="AM82" s="16"/>
      <c r="AN82" s="53">
        <f>IFERROR(AVERAGE(Table4[[#This Row],[Jan_2026_Days_Forecast]:[Dec_2026_Days_Forecast]]),0)/19</f>
        <v>0</v>
      </c>
      <c r="AO82" s="53">
        <f>IFERROR(AVERAGE(Table4[[#This Row],[Jan_2026_Days_Actual]:[Dec_2026_Days_Actual]]),0)/19</f>
        <v>0</v>
      </c>
      <c r="AP82" s="84"/>
      <c r="AQ82" s="84"/>
      <c r="AR82" s="84"/>
      <c r="AS82" s="84"/>
      <c r="AT82" s="84"/>
      <c r="AU82" s="84"/>
      <c r="AV82" s="84"/>
      <c r="AW82" s="84"/>
      <c r="AX82" s="84"/>
      <c r="AY82" s="84"/>
      <c r="AZ82" s="84"/>
      <c r="BA82" s="84"/>
      <c r="BB82" s="53">
        <f>IFERROR(AVERAGE(Table4[[#This Row],[Jan_2027_Days_Forecast]:[Dec_2027_Days_Forecast]]),0)</f>
        <v>0</v>
      </c>
      <c r="BC82" s="16"/>
      <c r="BD82" s="16"/>
      <c r="BE82" s="16"/>
      <c r="BF82" s="16"/>
      <c r="BG82" s="16"/>
      <c r="BH82" s="16"/>
      <c r="BI82" s="16"/>
      <c r="BJ82" s="16"/>
      <c r="BK82" s="16"/>
      <c r="BL82" s="16"/>
      <c r="BM82" s="16"/>
      <c r="BN82" s="16"/>
      <c r="BO82" s="55"/>
      <c r="BP82" s="60"/>
      <c r="BQ82" s="3">
        <v>0</v>
      </c>
      <c r="BR82" s="3">
        <f>IFERROR(Table4[[#This Row],[Jan_2026_Days_Actual]]*Table4[[#This Row],[Cost Boolean]]*(VLOOKUP(Table4[[#This Row],[RATE CONCAT]],Tables!I:N,5,0)),0)</f>
        <v>0</v>
      </c>
      <c r="BS82" s="3">
        <f>Table4[[#This Row],[Jan_2026_F]]-Table4[[#This Row],[Jan_2026_A]]</f>
        <v>0</v>
      </c>
      <c r="BT82" s="107"/>
      <c r="BU82" s="3">
        <f>IFERROR(Table4[[#This Row],[Feb_2026_Days_Forecast]]*Table4[[#This Row],[Cost Boolean]]*(VLOOKUP(Table4[[#This Row],[RATE CONCAT]],Tables!I:N,5,0)),0)</f>
        <v>0</v>
      </c>
      <c r="BV82" s="3">
        <f>IFERROR(Table4[[#This Row],[Feb_2026_Days_Actual]]*Table4[[#This Row],[Cost Boolean]]*(VLOOKUP(Table4[[#This Row],[RATE CONCAT]],Tables!I:N,5,0)),0)</f>
        <v>0</v>
      </c>
      <c r="BW82" s="3">
        <f>Table4[[#This Row],[Feb_2026_F]]-Table4[[#This Row],[Feb_2026_A]]</f>
        <v>0</v>
      </c>
      <c r="BX82" s="103"/>
      <c r="BY82" s="3">
        <f>IFERROR(Table4[[#This Row],[Mar_2026_Days_Forecast]]*Table4[[#This Row],[Cost Boolean]]*(VLOOKUP(Table4[[#This Row],[RATE CONCAT]],Tables!I:N,5,0)),0)</f>
        <v>0</v>
      </c>
      <c r="BZ82" s="3">
        <f>IFERROR(Table4[[#This Row],[Mar_2026_Days_Actual]]*Table4[[#This Row],[Cost Boolean]]*(VLOOKUP(Table4[[#This Row],[RATE CONCAT]],Tables!I:N,5,0)),0)</f>
        <v>0</v>
      </c>
      <c r="CA82" s="3">
        <f>Table4[[#This Row],[Mar_2026_F]]-Table4[[#This Row],[Mar_2026_A]]</f>
        <v>0</v>
      </c>
      <c r="CB82" s="103"/>
      <c r="CC82" s="3">
        <f>IFERROR(Table4[[#This Row],[Apr_2026_Days_Forecast]]*Table4[[#This Row],[Cost Boolean]]*(VLOOKUP(Table4[[#This Row],[RATE CONCAT]],Tables!I:N,5,0)),0)</f>
        <v>0</v>
      </c>
      <c r="CD82" s="3">
        <f>IFERROR(Table4[[#This Row],[Apr_2026_Days_Actual]]*Table4[[#This Row],[Cost Boolean]]*(VLOOKUP(Table4[[#This Row],[RATE CONCAT]],Tables!I:N,5,0)),0)</f>
        <v>0</v>
      </c>
      <c r="CE82" s="3">
        <f>Table4[[#This Row],[Apr_2026_F]]-Table4[[#This Row],[Apr_2026_A]]</f>
        <v>0</v>
      </c>
      <c r="CF82" s="103"/>
      <c r="CG82" s="3">
        <f>IFERROR(Table4[[#This Row],[May_2026_Days_Forecast]] *Table4[[#This Row],[Cost Boolean]]*(VLOOKUP(Table4[[#This Row],[RATE CONCAT]],Tables!I:N,5,0)),0)</f>
        <v>0</v>
      </c>
      <c r="CH82" s="3">
        <f>IFERROR(Table4[[#This Row],[May_2026_Days_Actual]]*Table4[[#This Row],[Cost Boolean]]*(VLOOKUP(Table4[[#This Row],[RATE CONCAT]],Tables!I:N,5,0)),0)</f>
        <v>0</v>
      </c>
      <c r="CI82" s="3">
        <f>Table4[[#This Row],[May_2026_F]]-Table4[[#This Row],[May_2026_A]]</f>
        <v>0</v>
      </c>
      <c r="CJ82" s="103"/>
      <c r="CK82" s="3">
        <f>IFERROR(Table4[[#This Row],[Jun_2026_Days_Forecast]]*Table4[[#This Row],[Cost Boolean]]*(VLOOKUP(Table4[[#This Row],[RATE CONCAT]],Tables!I:N,5,0)),0)</f>
        <v>0</v>
      </c>
      <c r="CL82" s="3">
        <f>IFERROR(Table4[[#This Row],[Jun_2026_Days_Actual]]*Table4[[#This Row],[Cost Boolean]]*(VLOOKUP(Table4[[#This Row],[RATE CONCAT]],Tables!I:N,5,0)),0)</f>
        <v>0</v>
      </c>
      <c r="CM82" s="3">
        <f>Table4[[#This Row],[Jun_2026_F]]-Table4[[#This Row],[Jun_2026_A]]</f>
        <v>0</v>
      </c>
      <c r="CN82" s="103"/>
      <c r="CO82" s="3">
        <f>IFERROR(Table4[[#This Row],[Jul_2026_Days_Forecast]]*Table4[[#This Row],[Cost Boolean]]*(VLOOKUP(Table4[[#This Row],[RATE CONCAT]],Tables!I:N,5,0)),0)</f>
        <v>0</v>
      </c>
      <c r="CP82" s="3">
        <f>IFERROR(Table4[[#This Row],[Aug_2026_Days_Forecast]]*Table4[[#This Row],[Location]]*(VLOOKUP(Table4[[#This Row],[Rate]],Tables!J:O,5,0)),0)</f>
        <v>0</v>
      </c>
      <c r="CQ82" s="3">
        <f>Table4[[#This Row],[Jul_2026_F]]-Table4[[#This Row],[Jul_2026_A]]</f>
        <v>0</v>
      </c>
      <c r="CR82" s="103"/>
      <c r="CS82" s="3">
        <f>IFERROR(Table4[[#This Row],[Aug_2026_Days_Forecast]]*Table4[[#This Row],[Cost Boolean]]*(VLOOKUP(Table4[[#This Row],[RATE CONCAT]],Tables!I:N,5,0)),0)</f>
        <v>0</v>
      </c>
      <c r="CT82" s="3">
        <f>IFERROR(Table4[[#This Row],[Aug_2026_Days_Actual]]*Table4[[#This Row],[Cost Boolean]]*(VLOOKUP(Table4[[#This Row],[RATE CONCAT]],Tables!I:N,5,0)),0)</f>
        <v>0</v>
      </c>
      <c r="CU82" s="3">
        <f>Table4[[#This Row],[Aug_2026_F]]-Table4[[#This Row],[Aug_2026_A]]</f>
        <v>0</v>
      </c>
      <c r="CV82" s="103"/>
      <c r="CW82" s="3">
        <f>IFERROR(Table4[[#This Row],[Sep_2026_Days_Forecast]]*Table4[[#This Row],[Cost Boolean]]*(VLOOKUP(Table4[[#This Row],[RATE CONCAT]],Tables!I:N,5,0)),0)</f>
        <v>0</v>
      </c>
      <c r="CX82" s="3">
        <f>IFERROR(Table4[[#This Row],[Sep_2026_Days_Actual]]*Table4[[#This Row],[Cost Boolean]]*(VLOOKUP(Table4[[#This Row],[RATE CONCAT]],Tables!I:N,5,0)),0)</f>
        <v>0</v>
      </c>
      <c r="CY82" s="3">
        <f>Table4[[#This Row],[Sep_2026_F]]-Table4[[#This Row],[Sep_2026_A]]</f>
        <v>0</v>
      </c>
      <c r="CZ82" s="103"/>
      <c r="DA82" s="3">
        <f>IFERROR(Table4[[#This Row],[Oct_2026_Days_Forecast]]*Table4[[#This Row],[Cost Boolean]]*(VLOOKUP(Table4[[#This Row],[RATE CONCAT]],Tables!I:N,5,0)),0)</f>
        <v>0</v>
      </c>
      <c r="DB82" s="3">
        <f>IFERROR(Table4[[#This Row],[Oct_2026_Days_Actual]]*Table4[[#This Row],[Cost Boolean]]*(VLOOKUP(Table4[[#This Row],[RATE CONCAT]],Tables!I:N,5,0)),0)</f>
        <v>0</v>
      </c>
      <c r="DC82" s="3">
        <f>Table4[[#This Row],[Oct_2026_F]]-Table4[[#This Row],[Oct_2026_A]]</f>
        <v>0</v>
      </c>
      <c r="DD82" s="103"/>
      <c r="DE82" s="3">
        <f>IFERROR(Table4[[#This Row],[Nov_2026_Days_Forecast]]*Table4[[#This Row],[Cost Boolean]]*(VLOOKUP(Table4[[#This Row],[RATE CONCAT]],Tables!I:N,5,0)),0)</f>
        <v>0</v>
      </c>
      <c r="DF82" s="3">
        <f>IFERROR(Table4[[#This Row],[Nov_2026_Days_Actual]]*Table4[[#This Row],[Cost Boolean]]*(VLOOKUP(Table4[[#This Row],[RATE CONCAT]],Tables!I:N,5,0)),0)</f>
        <v>0</v>
      </c>
      <c r="DG82" s="3">
        <f>Table4[[#This Row],[Nov_2026_F]]-Table4[[#This Row],[Nov_2026_A]]</f>
        <v>0</v>
      </c>
      <c r="DH82" s="103"/>
      <c r="DI82" s="3">
        <f>IFERROR(Table4[[#This Row],[Dec_2026_Days_Forecast]]*Table4[[#This Row],[Cost Boolean]]*(VLOOKUP(Table4[[#This Row],[RATE CONCAT]],Tables!I:N,5,0)),0)</f>
        <v>0</v>
      </c>
      <c r="DJ82" s="3">
        <f>IFERROR(Table4[[#This Row],[Dec_2026_Days_Actual]]*Table4[[#This Row],[Cost Boolean]]*(VLOOKUP(Table4[[#This Row],[RATE CONCAT]],Tables!I:N,5,0)),0)</f>
        <v>0</v>
      </c>
      <c r="DK82" s="3">
        <f>Table4[[#This Row],[Dec_2026_F]]-Table4[[#This Row],[Dec_2026_A]]</f>
        <v>0</v>
      </c>
      <c r="DL82" s="103"/>
      <c r="DM82" s="60"/>
      <c r="DN82" s="3">
        <f>IFERROR(Table4[[#This Row],[Jan_2027_Days_Forecast]]*Table4[[#This Row],[Cost Boolean]]*(VLOOKUP(Table4[[#This Row],[RATE CONCAT]],Tables!I:N,6,0)),0)</f>
        <v>0</v>
      </c>
      <c r="DO82" s="3"/>
      <c r="DP82" s="3">
        <f>Table4[[#This Row],[Jan_2027_F]]-Table4[[#This Row],[Jan_2027_A]]</f>
        <v>0</v>
      </c>
      <c r="DQ82" s="3">
        <f>IFERROR(Table4[[#This Row],[Feb_2027_Days_Forecast]]*Table4[[#This Row],[Cost Boolean]]*(VLOOKUP(Table4[[#This Row],[RATE CONCAT]],Tables!I:N,6,0)),0)</f>
        <v>0</v>
      </c>
      <c r="DR82" s="3"/>
      <c r="DS82" s="3">
        <f>Table4[[#This Row],[Feb_2027_F]]-Table4[[#This Row],[Feb_2027_A]]</f>
        <v>0</v>
      </c>
      <c r="DT82" s="3">
        <f>IFERROR(Table4[[#This Row],[Mar_2027_Days_Forecast]]*Table4[[#This Row],[Cost Boolean]]*(VLOOKUP(Table4[[#This Row],[RATE CONCAT]],Tables!I:N,6,0)),0)</f>
        <v>0</v>
      </c>
      <c r="DU82" s="3"/>
      <c r="DV82" s="3">
        <f>Table4[[#This Row],[Mar_2027_F]]-Table4[[#This Row],[Mar_2027_A]]</f>
        <v>0</v>
      </c>
      <c r="DW82" s="3">
        <f>IFERROR(Table4[[#This Row],[Apr_2027_Days_Forecast]]*Table4[[#This Row],[Cost Boolean]]*(VLOOKUP(Table4[[#This Row],[RATE CONCAT]],Tables!I:N,6,0)),0)</f>
        <v>0</v>
      </c>
      <c r="DX82" s="3"/>
      <c r="DY82" s="3">
        <f>Table4[[#This Row],[Apr_2027_F]]-Table4[[#This Row],[Apr_2027_A]]</f>
        <v>0</v>
      </c>
      <c r="DZ82" s="3">
        <f>IFERROR(Table4[[#This Row],[May_2027_Days_Forecast]]*Table4[[#This Row],[Cost Boolean]]*(VLOOKUP(Table4[[#This Row],[RATE CONCAT]],Tables!I:N,6,0)),0)</f>
        <v>0</v>
      </c>
      <c r="EA82" s="3"/>
      <c r="EB82" s="3">
        <f>Table4[[#This Row],[May_2027_F]]-Table4[[#This Row],[May_2027_A]]</f>
        <v>0</v>
      </c>
      <c r="EC82" s="3">
        <f>IFERROR(Table4[[#This Row],[Jun_2027_Days_Forecast]]*Table4[[#This Row],[Cost Boolean]]*(VLOOKUP(Table4[[#This Row],[RATE CONCAT]],Tables!I:N,6,0)),0)</f>
        <v>0</v>
      </c>
      <c r="ED82" s="3"/>
      <c r="EE82" s="3">
        <f>Table4[[#This Row],[Jun_2027_F]]-Table4[[#This Row],[Jun_2027_A]]</f>
        <v>0</v>
      </c>
      <c r="EF82" s="3">
        <f>IFERROR(Table4[[#This Row],[Jul_2027_Days_Forecast]]*Table4[[#This Row],[Cost Boolean]]*(VLOOKUP(Table4[[#This Row],[RATE CONCAT]],Tables!I:N,6,0)),0)</f>
        <v>0</v>
      </c>
      <c r="EG82" s="3"/>
      <c r="EH82" s="3">
        <f>Table4[[#This Row],[Jul_2027_F]]-Table4[[#This Row],[Jul_2027_A]]</f>
        <v>0</v>
      </c>
      <c r="EI82" s="3">
        <f>IFERROR(Table4[[#This Row],[Aug_2027_Days_Forecast]]*Table4[[#This Row],[Cost Boolean]]*(VLOOKUP(Table4[[#This Row],[RATE CONCAT]],Tables!I:N,6,0)),0)</f>
        <v>0</v>
      </c>
      <c r="EJ82" s="3"/>
      <c r="EK82" s="3">
        <f>Table4[[#This Row],[Aug_2027_F]]-Table4[[#This Row],[Aug_2027_A]]</f>
        <v>0</v>
      </c>
      <c r="EL82" s="3">
        <f>IFERROR(Table4[[#This Row],[Sep_2027_Days_Forecast]]*Table4[[#This Row],[Cost Boolean]]*(VLOOKUP(Table4[[#This Row],[RATE CONCAT]],Tables!I:N,6,0)),0)</f>
        <v>0</v>
      </c>
      <c r="EM82" s="3"/>
      <c r="EN82" s="3">
        <f>Table4[[#This Row],[Sep_2027_F]]-Table4[[#This Row],[Sep_2027_A]]</f>
        <v>0</v>
      </c>
      <c r="EO82" s="3">
        <f>IFERROR(Table4[[#This Row],[Oct_2027_Days_Forecast]]*Table4[[#This Row],[Cost Boolean]]*(VLOOKUP(Table4[[#This Row],[RATE CONCAT]],Tables!I:N,6,0)),0)</f>
        <v>0</v>
      </c>
      <c r="EP82" s="3"/>
      <c r="EQ82" s="3">
        <f>Table4[[#This Row],[Oct_2027_F]]-Table4[[#This Row],[Oct_2027_A]]</f>
        <v>0</v>
      </c>
      <c r="ER82" s="3">
        <f>IFERROR(Table4[[#This Row],[Nov_2027_Days_Forecast]]*Table4[[#This Row],[Cost Boolean]]*(VLOOKUP(Table4[[#This Row],[RATE CONCAT]],Tables!I:N,6,0)),0)</f>
        <v>0</v>
      </c>
      <c r="ES82" s="3"/>
      <c r="ET82" s="3">
        <f>Table4[[#This Row],[Nov_2027_F]]-Table4[[#This Row],[Nov_2027_A]]</f>
        <v>0</v>
      </c>
      <c r="EU82" s="3">
        <f>IFERROR(Table4[[#This Row],[Dec_2027_Days_Forecast]]*Table4[[#This Row],[Cost Boolean]]*(VLOOKUP(Table4[[#This Row],[RATE CONCAT]],Tables!I:N,6,0)),0)</f>
        <v>0</v>
      </c>
      <c r="EV82" s="3"/>
      <c r="EW82" s="3">
        <f>Table4[[#This Row],[Dec_2027_F]]-Table4[[#This Row],[Dec_2027_A]]</f>
        <v>0</v>
      </c>
    </row>
    <row r="83" spans="1:153" ht="1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2" t="str">
        <f>CONCATENATE(Table4[[#This Row],[JG]],Table4[[#This Row],[Country]],Table4[[#This Row],[Resource Provider]])</f>
        <v/>
      </c>
      <c r="Z83" s="132">
        <f>VLOOKUP(Table4[[#This Row],[RATE CONCAT]],Tables!I:N,5,0)</f>
        <v>0</v>
      </c>
      <c r="AA83" s="53"/>
      <c r="AB83" s="16"/>
      <c r="AC83" s="16"/>
      <c r="AD83" s="16"/>
      <c r="AE83" s="16"/>
      <c r="AF83" s="16"/>
      <c r="AG83" s="16"/>
      <c r="AH83" s="16"/>
      <c r="AI83" s="16"/>
      <c r="AJ83" s="16"/>
      <c r="AK83" s="16"/>
      <c r="AL83" s="16"/>
      <c r="AM83" s="16"/>
      <c r="AN83" s="53">
        <f>IFERROR(AVERAGE(Table4[[#This Row],[Jan_2026_Days_Forecast]:[Dec_2026_Days_Forecast]]),0)/19</f>
        <v>0</v>
      </c>
      <c r="AO83" s="53">
        <f>IFERROR(AVERAGE(Table4[[#This Row],[Jan_2026_Days_Actual]:[Dec_2026_Days_Actual]]),0)/19</f>
        <v>0</v>
      </c>
      <c r="AP83" s="84"/>
      <c r="AQ83" s="84"/>
      <c r="AR83" s="84"/>
      <c r="AS83" s="84"/>
      <c r="AT83" s="84"/>
      <c r="AU83" s="84"/>
      <c r="AV83" s="84"/>
      <c r="AW83" s="84"/>
      <c r="AX83" s="84"/>
      <c r="AY83" s="84"/>
      <c r="AZ83" s="84"/>
      <c r="BA83" s="84"/>
      <c r="BB83" s="53">
        <f>IFERROR(AVERAGE(Table4[[#This Row],[Jan_2027_Days_Forecast]:[Dec_2027_Days_Forecast]]),0)</f>
        <v>0</v>
      </c>
      <c r="BC83" s="16"/>
      <c r="BD83" s="16"/>
      <c r="BE83" s="16"/>
      <c r="BF83" s="16"/>
      <c r="BG83" s="16"/>
      <c r="BH83" s="16"/>
      <c r="BI83" s="16"/>
      <c r="BJ83" s="16"/>
      <c r="BK83" s="16"/>
      <c r="BL83" s="16"/>
      <c r="BM83" s="16"/>
      <c r="BN83" s="16"/>
      <c r="BO83" s="55"/>
      <c r="BP83" s="60"/>
      <c r="BQ83" s="3">
        <v>0</v>
      </c>
      <c r="BR83" s="3">
        <f>IFERROR(Table4[[#This Row],[Jan_2026_Days_Actual]]*Table4[[#This Row],[Cost Boolean]]*(VLOOKUP(Table4[[#This Row],[RATE CONCAT]],Tables!I:N,5,0)),0)</f>
        <v>0</v>
      </c>
      <c r="BS83" s="3">
        <f>Table4[[#This Row],[Jan_2026_F]]-Table4[[#This Row],[Jan_2026_A]]</f>
        <v>0</v>
      </c>
      <c r="BT83" s="107"/>
      <c r="BU83" s="3">
        <f>IFERROR(Table4[[#This Row],[Feb_2026_Days_Forecast]]*Table4[[#This Row],[Cost Boolean]]*(VLOOKUP(Table4[[#This Row],[RATE CONCAT]],Tables!I:N,5,0)),0)</f>
        <v>0</v>
      </c>
      <c r="BV83" s="3">
        <f>IFERROR(Table4[[#This Row],[Feb_2026_Days_Actual]]*Table4[[#This Row],[Cost Boolean]]*(VLOOKUP(Table4[[#This Row],[RATE CONCAT]],Tables!I:N,5,0)),0)</f>
        <v>0</v>
      </c>
      <c r="BW83" s="3">
        <f>Table4[[#This Row],[Feb_2026_F]]-Table4[[#This Row],[Feb_2026_A]]</f>
        <v>0</v>
      </c>
      <c r="BX83" s="103"/>
      <c r="BY83" s="3">
        <f>IFERROR(Table4[[#This Row],[Mar_2026_Days_Forecast]]*Table4[[#This Row],[Cost Boolean]]*(VLOOKUP(Table4[[#This Row],[RATE CONCAT]],Tables!I:N,5,0)),0)</f>
        <v>0</v>
      </c>
      <c r="BZ83" s="3">
        <f>IFERROR(Table4[[#This Row],[Mar_2026_Days_Actual]]*Table4[[#This Row],[Cost Boolean]]*(VLOOKUP(Table4[[#This Row],[RATE CONCAT]],Tables!I:N,5,0)),0)</f>
        <v>0</v>
      </c>
      <c r="CA83" s="3">
        <f>Table4[[#This Row],[Mar_2026_F]]-Table4[[#This Row],[Mar_2026_A]]</f>
        <v>0</v>
      </c>
      <c r="CB83" s="103"/>
      <c r="CC83" s="3">
        <f>IFERROR(Table4[[#This Row],[Apr_2026_Days_Forecast]]*Table4[[#This Row],[Cost Boolean]]*(VLOOKUP(Table4[[#This Row],[RATE CONCAT]],Tables!I:N,5,0)),0)</f>
        <v>0</v>
      </c>
      <c r="CD83" s="3">
        <f>IFERROR(Table4[[#This Row],[Apr_2026_Days_Actual]]*Table4[[#This Row],[Cost Boolean]]*(VLOOKUP(Table4[[#This Row],[RATE CONCAT]],Tables!I:N,5,0)),0)</f>
        <v>0</v>
      </c>
      <c r="CE83" s="3">
        <f>Table4[[#This Row],[Apr_2026_F]]-Table4[[#This Row],[Apr_2026_A]]</f>
        <v>0</v>
      </c>
      <c r="CF83" s="103"/>
      <c r="CG83" s="3">
        <f>IFERROR(Table4[[#This Row],[May_2026_Days_Forecast]] *Table4[[#This Row],[Cost Boolean]]*(VLOOKUP(Table4[[#This Row],[RATE CONCAT]],Tables!I:N,5,0)),0)</f>
        <v>0</v>
      </c>
      <c r="CH83" s="3">
        <f>IFERROR(Table4[[#This Row],[May_2026_Days_Actual]]*Table4[[#This Row],[Cost Boolean]]*(VLOOKUP(Table4[[#This Row],[RATE CONCAT]],Tables!I:N,5,0)),0)</f>
        <v>0</v>
      </c>
      <c r="CI83" s="3">
        <f>Table4[[#This Row],[May_2026_F]]-Table4[[#This Row],[May_2026_A]]</f>
        <v>0</v>
      </c>
      <c r="CJ83" s="103"/>
      <c r="CK83" s="3">
        <f>IFERROR(Table4[[#This Row],[Jun_2026_Days_Forecast]]*Table4[[#This Row],[Cost Boolean]]*(VLOOKUP(Table4[[#This Row],[RATE CONCAT]],Tables!I:N,5,0)),0)</f>
        <v>0</v>
      </c>
      <c r="CL83" s="3">
        <f>IFERROR(Table4[[#This Row],[Jun_2026_Days_Actual]]*Table4[[#This Row],[Cost Boolean]]*(VLOOKUP(Table4[[#This Row],[RATE CONCAT]],Tables!I:N,5,0)),0)</f>
        <v>0</v>
      </c>
      <c r="CM83" s="3">
        <f>Table4[[#This Row],[Jun_2026_F]]-Table4[[#This Row],[Jun_2026_A]]</f>
        <v>0</v>
      </c>
      <c r="CN83" s="103"/>
      <c r="CO83" s="3">
        <f>IFERROR(Table4[[#This Row],[Jul_2026_Days_Forecast]]*Table4[[#This Row],[Cost Boolean]]*(VLOOKUP(Table4[[#This Row],[RATE CONCAT]],Tables!I:N,5,0)),0)</f>
        <v>0</v>
      </c>
      <c r="CP83" s="3">
        <f>IFERROR(Table4[[#This Row],[Aug_2026_Days_Forecast]]*Table4[[#This Row],[Location]]*(VLOOKUP(Table4[[#This Row],[Rate]],Tables!J:O,5,0)),0)</f>
        <v>0</v>
      </c>
      <c r="CQ83" s="3">
        <f>Table4[[#This Row],[Jul_2026_F]]-Table4[[#This Row],[Jul_2026_A]]</f>
        <v>0</v>
      </c>
      <c r="CR83" s="103"/>
      <c r="CS83" s="3">
        <f>IFERROR(Table4[[#This Row],[Aug_2026_Days_Forecast]]*Table4[[#This Row],[Cost Boolean]]*(VLOOKUP(Table4[[#This Row],[RATE CONCAT]],Tables!I:N,5,0)),0)</f>
        <v>0</v>
      </c>
      <c r="CT83" s="3">
        <f>IFERROR(Table4[[#This Row],[Aug_2026_Days_Actual]]*Table4[[#This Row],[Cost Boolean]]*(VLOOKUP(Table4[[#This Row],[RATE CONCAT]],Tables!I:N,5,0)),0)</f>
        <v>0</v>
      </c>
      <c r="CU83" s="3">
        <f>Table4[[#This Row],[Aug_2026_F]]-Table4[[#This Row],[Aug_2026_A]]</f>
        <v>0</v>
      </c>
      <c r="CV83" s="103"/>
      <c r="CW83" s="3">
        <f>IFERROR(Table4[[#This Row],[Sep_2026_Days_Forecast]]*Table4[[#This Row],[Cost Boolean]]*(VLOOKUP(Table4[[#This Row],[RATE CONCAT]],Tables!I:N,5,0)),0)</f>
        <v>0</v>
      </c>
      <c r="CX83" s="3">
        <f>IFERROR(Table4[[#This Row],[Sep_2026_Days_Actual]]*Table4[[#This Row],[Cost Boolean]]*(VLOOKUP(Table4[[#This Row],[RATE CONCAT]],Tables!I:N,5,0)),0)</f>
        <v>0</v>
      </c>
      <c r="CY83" s="3">
        <f>Table4[[#This Row],[Sep_2026_F]]-Table4[[#This Row],[Sep_2026_A]]</f>
        <v>0</v>
      </c>
      <c r="CZ83" s="103"/>
      <c r="DA83" s="3">
        <f>IFERROR(Table4[[#This Row],[Oct_2026_Days_Forecast]]*Table4[[#This Row],[Cost Boolean]]*(VLOOKUP(Table4[[#This Row],[RATE CONCAT]],Tables!I:N,5,0)),0)</f>
        <v>0</v>
      </c>
      <c r="DB83" s="3">
        <f>IFERROR(Table4[[#This Row],[Oct_2026_Days_Actual]]*Table4[[#This Row],[Cost Boolean]]*(VLOOKUP(Table4[[#This Row],[RATE CONCAT]],Tables!I:N,5,0)),0)</f>
        <v>0</v>
      </c>
      <c r="DC83" s="3">
        <f>Table4[[#This Row],[Oct_2026_F]]-Table4[[#This Row],[Oct_2026_A]]</f>
        <v>0</v>
      </c>
      <c r="DD83" s="103"/>
      <c r="DE83" s="3">
        <f>IFERROR(Table4[[#This Row],[Nov_2026_Days_Forecast]]*Table4[[#This Row],[Cost Boolean]]*(VLOOKUP(Table4[[#This Row],[RATE CONCAT]],Tables!I:N,5,0)),0)</f>
        <v>0</v>
      </c>
      <c r="DF83" s="3">
        <f>IFERROR(Table4[[#This Row],[Nov_2026_Days_Actual]]*Table4[[#This Row],[Cost Boolean]]*(VLOOKUP(Table4[[#This Row],[RATE CONCAT]],Tables!I:N,5,0)),0)</f>
        <v>0</v>
      </c>
      <c r="DG83" s="3">
        <f>Table4[[#This Row],[Nov_2026_F]]-Table4[[#This Row],[Nov_2026_A]]</f>
        <v>0</v>
      </c>
      <c r="DH83" s="103"/>
      <c r="DI83" s="3">
        <f>IFERROR(Table4[[#This Row],[Dec_2026_Days_Forecast]]*Table4[[#This Row],[Cost Boolean]]*(VLOOKUP(Table4[[#This Row],[RATE CONCAT]],Tables!I:N,5,0)),0)</f>
        <v>0</v>
      </c>
      <c r="DJ83" s="3">
        <f>IFERROR(Table4[[#This Row],[Dec_2026_Days_Actual]]*Table4[[#This Row],[Cost Boolean]]*(VLOOKUP(Table4[[#This Row],[RATE CONCAT]],Tables!I:N,5,0)),0)</f>
        <v>0</v>
      </c>
      <c r="DK83" s="3">
        <f>Table4[[#This Row],[Dec_2026_F]]-Table4[[#This Row],[Dec_2026_A]]</f>
        <v>0</v>
      </c>
      <c r="DL83" s="103"/>
      <c r="DM83" s="60"/>
      <c r="DN83" s="3">
        <f>IFERROR(Table4[[#This Row],[Jan_2027_Days_Forecast]]*Table4[[#This Row],[Cost Boolean]]*(VLOOKUP(Table4[[#This Row],[RATE CONCAT]],Tables!I:N,6,0)),0)</f>
        <v>0</v>
      </c>
      <c r="DO83" s="3"/>
      <c r="DP83" s="3">
        <f>Table4[[#This Row],[Jan_2027_F]]-Table4[[#This Row],[Jan_2027_A]]</f>
        <v>0</v>
      </c>
      <c r="DQ83" s="3">
        <f>IFERROR(Table4[[#This Row],[Feb_2027_Days_Forecast]]*Table4[[#This Row],[Cost Boolean]]*(VLOOKUP(Table4[[#This Row],[RATE CONCAT]],Tables!I:N,6,0)),0)</f>
        <v>0</v>
      </c>
      <c r="DR83" s="3"/>
      <c r="DS83" s="3">
        <f>Table4[[#This Row],[Feb_2027_F]]-Table4[[#This Row],[Feb_2027_A]]</f>
        <v>0</v>
      </c>
      <c r="DT83" s="3">
        <f>IFERROR(Table4[[#This Row],[Mar_2027_Days_Forecast]]*Table4[[#This Row],[Cost Boolean]]*(VLOOKUP(Table4[[#This Row],[RATE CONCAT]],Tables!I:N,6,0)),0)</f>
        <v>0</v>
      </c>
      <c r="DU83" s="3"/>
      <c r="DV83" s="3">
        <f>Table4[[#This Row],[Mar_2027_F]]-Table4[[#This Row],[Mar_2027_A]]</f>
        <v>0</v>
      </c>
      <c r="DW83" s="3">
        <f>IFERROR(Table4[[#This Row],[Apr_2027_Days_Forecast]]*Table4[[#This Row],[Cost Boolean]]*(VLOOKUP(Table4[[#This Row],[RATE CONCAT]],Tables!I:N,6,0)),0)</f>
        <v>0</v>
      </c>
      <c r="DX83" s="3"/>
      <c r="DY83" s="3">
        <f>Table4[[#This Row],[Apr_2027_F]]-Table4[[#This Row],[Apr_2027_A]]</f>
        <v>0</v>
      </c>
      <c r="DZ83" s="3">
        <f>IFERROR(Table4[[#This Row],[May_2027_Days_Forecast]]*Table4[[#This Row],[Cost Boolean]]*(VLOOKUP(Table4[[#This Row],[RATE CONCAT]],Tables!I:N,6,0)),0)</f>
        <v>0</v>
      </c>
      <c r="EA83" s="3"/>
      <c r="EB83" s="3">
        <f>Table4[[#This Row],[May_2027_F]]-Table4[[#This Row],[May_2027_A]]</f>
        <v>0</v>
      </c>
      <c r="EC83" s="3">
        <f>IFERROR(Table4[[#This Row],[Jun_2027_Days_Forecast]]*Table4[[#This Row],[Cost Boolean]]*(VLOOKUP(Table4[[#This Row],[RATE CONCAT]],Tables!I:N,6,0)),0)</f>
        <v>0</v>
      </c>
      <c r="ED83" s="3"/>
      <c r="EE83" s="3">
        <f>Table4[[#This Row],[Jun_2027_F]]-Table4[[#This Row],[Jun_2027_A]]</f>
        <v>0</v>
      </c>
      <c r="EF83" s="3">
        <f>IFERROR(Table4[[#This Row],[Jul_2027_Days_Forecast]]*Table4[[#This Row],[Cost Boolean]]*(VLOOKUP(Table4[[#This Row],[RATE CONCAT]],Tables!I:N,6,0)),0)</f>
        <v>0</v>
      </c>
      <c r="EG83" s="3"/>
      <c r="EH83" s="3">
        <f>Table4[[#This Row],[Jul_2027_F]]-Table4[[#This Row],[Jul_2027_A]]</f>
        <v>0</v>
      </c>
      <c r="EI83" s="3">
        <f>IFERROR(Table4[[#This Row],[Aug_2027_Days_Forecast]]*Table4[[#This Row],[Cost Boolean]]*(VLOOKUP(Table4[[#This Row],[RATE CONCAT]],Tables!I:N,6,0)),0)</f>
        <v>0</v>
      </c>
      <c r="EJ83" s="3"/>
      <c r="EK83" s="3">
        <f>Table4[[#This Row],[Aug_2027_F]]-Table4[[#This Row],[Aug_2027_A]]</f>
        <v>0</v>
      </c>
      <c r="EL83" s="3">
        <f>IFERROR(Table4[[#This Row],[Sep_2027_Days_Forecast]]*Table4[[#This Row],[Cost Boolean]]*(VLOOKUP(Table4[[#This Row],[RATE CONCAT]],Tables!I:N,6,0)),0)</f>
        <v>0</v>
      </c>
      <c r="EM83" s="3"/>
      <c r="EN83" s="3">
        <f>Table4[[#This Row],[Sep_2027_F]]-Table4[[#This Row],[Sep_2027_A]]</f>
        <v>0</v>
      </c>
      <c r="EO83" s="3">
        <f>IFERROR(Table4[[#This Row],[Oct_2027_Days_Forecast]]*Table4[[#This Row],[Cost Boolean]]*(VLOOKUP(Table4[[#This Row],[RATE CONCAT]],Tables!I:N,6,0)),0)</f>
        <v>0</v>
      </c>
      <c r="EP83" s="3"/>
      <c r="EQ83" s="3">
        <f>Table4[[#This Row],[Oct_2027_F]]-Table4[[#This Row],[Oct_2027_A]]</f>
        <v>0</v>
      </c>
      <c r="ER83" s="3">
        <f>IFERROR(Table4[[#This Row],[Nov_2027_Days_Forecast]]*Table4[[#This Row],[Cost Boolean]]*(VLOOKUP(Table4[[#This Row],[RATE CONCAT]],Tables!I:N,6,0)),0)</f>
        <v>0</v>
      </c>
      <c r="ES83" s="3"/>
      <c r="ET83" s="3">
        <f>Table4[[#This Row],[Nov_2027_F]]-Table4[[#This Row],[Nov_2027_A]]</f>
        <v>0</v>
      </c>
      <c r="EU83" s="3">
        <f>IFERROR(Table4[[#This Row],[Dec_2027_Days_Forecast]]*Table4[[#This Row],[Cost Boolean]]*(VLOOKUP(Table4[[#This Row],[RATE CONCAT]],Tables!I:N,6,0)),0)</f>
        <v>0</v>
      </c>
      <c r="EV83" s="3"/>
      <c r="EW83" s="3">
        <f>Table4[[#This Row],[Dec_2027_F]]-Table4[[#This Row],[Dec_2027_A]]</f>
        <v>0</v>
      </c>
    </row>
    <row r="84" spans="1:153" ht="1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2" t="str">
        <f>CONCATENATE(Table4[[#This Row],[JG]],Table4[[#This Row],[Country]],Table4[[#This Row],[Resource Provider]])</f>
        <v/>
      </c>
      <c r="Z84" s="132">
        <f>VLOOKUP(Table4[[#This Row],[RATE CONCAT]],Tables!I:N,5,0)</f>
        <v>0</v>
      </c>
      <c r="AA84" s="53"/>
      <c r="AB84" s="16"/>
      <c r="AC84" s="16"/>
      <c r="AD84" s="16"/>
      <c r="AE84" s="16"/>
      <c r="AF84" s="16"/>
      <c r="AG84" s="16"/>
      <c r="AH84" s="16"/>
      <c r="AI84" s="16"/>
      <c r="AJ84" s="16"/>
      <c r="AK84" s="16"/>
      <c r="AL84" s="16"/>
      <c r="AM84" s="16"/>
      <c r="AN84" s="53">
        <f>IFERROR(AVERAGE(Table4[[#This Row],[Jan_2026_Days_Forecast]:[Dec_2026_Days_Forecast]]),0)/19</f>
        <v>0</v>
      </c>
      <c r="AO84" s="53">
        <f>IFERROR(AVERAGE(Table4[[#This Row],[Jan_2026_Days_Actual]:[Dec_2026_Days_Actual]]),0)/19</f>
        <v>0</v>
      </c>
      <c r="AP84" s="84"/>
      <c r="AQ84" s="84"/>
      <c r="AR84" s="84"/>
      <c r="AS84" s="84"/>
      <c r="AT84" s="84"/>
      <c r="AU84" s="84"/>
      <c r="AV84" s="84"/>
      <c r="AW84" s="84"/>
      <c r="AX84" s="84"/>
      <c r="AY84" s="84"/>
      <c r="AZ84" s="84"/>
      <c r="BA84" s="84"/>
      <c r="BB84" s="53">
        <f>IFERROR(AVERAGE(Table4[[#This Row],[Jan_2027_Days_Forecast]:[Dec_2027_Days_Forecast]]),0)</f>
        <v>0</v>
      </c>
      <c r="BC84" s="16"/>
      <c r="BD84" s="16"/>
      <c r="BE84" s="16"/>
      <c r="BF84" s="16"/>
      <c r="BG84" s="16"/>
      <c r="BH84" s="16"/>
      <c r="BI84" s="16"/>
      <c r="BJ84" s="16"/>
      <c r="BK84" s="16"/>
      <c r="BL84" s="16"/>
      <c r="BM84" s="16"/>
      <c r="BN84" s="16"/>
      <c r="BO84" s="55"/>
      <c r="BP84" s="60"/>
      <c r="BQ84" s="3"/>
      <c r="BR84" s="3">
        <f>IFERROR(Table4[[#This Row],[Jan_2026_Days_Actual]]*Table4[[#This Row],[Cost Boolean]]*(VLOOKUP(Table4[[#This Row],[RATE CONCAT]],Tables!I:N,5,0)),0)</f>
        <v>0</v>
      </c>
      <c r="BS84" s="3"/>
      <c r="BT84" s="107"/>
      <c r="BU84" s="3">
        <f>IFERROR(Table4[[#This Row],[Feb_2026_Days_Forecast]]*Table4[[#This Row],[Cost Boolean]]*(VLOOKUP(Table4[[#This Row],[RATE CONCAT]],Tables!I:N,5,0)),0)</f>
        <v>0</v>
      </c>
      <c r="BV84" s="3">
        <f>IFERROR(Table4[[#This Row],[Feb_2026_Days_Actual]]*Table4[[#This Row],[Cost Boolean]]*(VLOOKUP(Table4[[#This Row],[RATE CONCAT]],Tables!I:N,5,0)),0)</f>
        <v>0</v>
      </c>
      <c r="BW84" s="3">
        <f>Table4[[#This Row],[Feb_2026_F]]-Table4[[#This Row],[Feb_2026_A]]</f>
        <v>0</v>
      </c>
      <c r="BX84" s="103"/>
      <c r="BY84" s="3">
        <f>IFERROR(Table4[[#This Row],[Mar_2026_Days_Forecast]]*Table4[[#This Row],[Cost Boolean]]*(VLOOKUP(Table4[[#This Row],[RATE CONCAT]],Tables!I:N,5,0)),0)</f>
        <v>0</v>
      </c>
      <c r="BZ84" s="3">
        <f>IFERROR(Table4[[#This Row],[Mar_2026_Days_Actual]]*Table4[[#This Row],[Cost Boolean]]*(VLOOKUP(Table4[[#This Row],[RATE CONCAT]],Tables!I:N,5,0)),0)</f>
        <v>0</v>
      </c>
      <c r="CA84" s="3">
        <f>Table4[[#This Row],[Mar_2026_F]]-Table4[[#This Row],[Mar_2026_A]]</f>
        <v>0</v>
      </c>
      <c r="CB84" s="103"/>
      <c r="CC84" s="3">
        <f>IFERROR(Table4[[#This Row],[Apr_2026_Days_Forecast]]*Table4[[#This Row],[Cost Boolean]]*(VLOOKUP(Table4[[#This Row],[RATE CONCAT]],Tables!I:N,5,0)),0)</f>
        <v>0</v>
      </c>
      <c r="CD84" s="3">
        <f>IFERROR(Table4[[#This Row],[Apr_2026_Days_Actual]]*Table4[[#This Row],[Cost Boolean]]*(VLOOKUP(Table4[[#This Row],[RATE CONCAT]],Tables!I:N,5,0)),0)</f>
        <v>0</v>
      </c>
      <c r="CE84" s="3">
        <f>Table4[[#This Row],[Apr_2026_F]]-Table4[[#This Row],[Apr_2026_A]]</f>
        <v>0</v>
      </c>
      <c r="CF84" s="103"/>
      <c r="CG84" s="3">
        <f>IFERROR(Table4[[#This Row],[May_2026_Days_Forecast]] *Table4[[#This Row],[Cost Boolean]]*(VLOOKUP(Table4[[#This Row],[RATE CONCAT]],Tables!I:N,5,0)),0)</f>
        <v>0</v>
      </c>
      <c r="CH84" s="3">
        <f>IFERROR(Table4[[#This Row],[May_2026_Days_Actual]]*Table4[[#This Row],[Cost Boolean]]*(VLOOKUP(Table4[[#This Row],[RATE CONCAT]],Tables!I:N,5,0)),0)</f>
        <v>0</v>
      </c>
      <c r="CI84" s="3">
        <f>Table4[[#This Row],[May_2026_F]]-Table4[[#This Row],[May_2026_A]]</f>
        <v>0</v>
      </c>
      <c r="CJ84" s="103"/>
      <c r="CK84" s="3">
        <f>IFERROR(Table4[[#This Row],[Jun_2026_Days_Forecast]]*Table4[[#This Row],[Cost Boolean]]*(VLOOKUP(Table4[[#This Row],[RATE CONCAT]],Tables!I:N,5,0)),0)</f>
        <v>0</v>
      </c>
      <c r="CL84" s="3">
        <f>IFERROR(Table4[[#This Row],[Jun_2026_Days_Actual]]*Table4[[#This Row],[Cost Boolean]]*(VLOOKUP(Table4[[#This Row],[RATE CONCAT]],Tables!I:N,5,0)),0)</f>
        <v>0</v>
      </c>
      <c r="CM84" s="3">
        <f>Table4[[#This Row],[Jun_2026_F]]-Table4[[#This Row],[Jun_2026_A]]</f>
        <v>0</v>
      </c>
      <c r="CN84" s="103"/>
      <c r="CO84" s="3">
        <f>IFERROR(Table4[[#This Row],[Jul_2026_Days_Forecast]]*Table4[[#This Row],[Cost Boolean]]*(VLOOKUP(Table4[[#This Row],[RATE CONCAT]],Tables!I:N,5,0)),0)</f>
        <v>0</v>
      </c>
      <c r="CP84" s="3">
        <f>IFERROR(Table4[[#This Row],[Aug_2026_Days_Forecast]]*Table4[[#This Row],[Location]]*(VLOOKUP(Table4[[#This Row],[Rate]],Tables!J:O,5,0)),0)</f>
        <v>0</v>
      </c>
      <c r="CQ84" s="3">
        <f>Table4[[#This Row],[Jul_2026_F]]-Table4[[#This Row],[Jul_2026_A]]</f>
        <v>0</v>
      </c>
      <c r="CR84" s="103"/>
      <c r="CS84" s="3">
        <f>IFERROR(Table4[[#This Row],[Aug_2026_Days_Forecast]]*Table4[[#This Row],[Cost Boolean]]*(VLOOKUP(Table4[[#This Row],[RATE CONCAT]],Tables!I:N,5,0)),0)</f>
        <v>0</v>
      </c>
      <c r="CT84" s="3">
        <f>IFERROR(Table4[[#This Row],[Aug_2026_Days_Actual]]*Table4[[#This Row],[Cost Boolean]]*(VLOOKUP(Table4[[#This Row],[RATE CONCAT]],Tables!I:N,5,0)),0)</f>
        <v>0</v>
      </c>
      <c r="CU84" s="3">
        <f>Table4[[#This Row],[Aug_2026_F]]-Table4[[#This Row],[Aug_2026_A]]</f>
        <v>0</v>
      </c>
      <c r="CV84" s="103"/>
      <c r="CW84" s="3">
        <f>IFERROR(Table4[[#This Row],[Sep_2026_Days_Forecast]]*Table4[[#This Row],[Cost Boolean]]*(VLOOKUP(Table4[[#This Row],[RATE CONCAT]],Tables!I:N,5,0)),0)</f>
        <v>0</v>
      </c>
      <c r="CX84" s="3">
        <f>IFERROR(Table4[[#This Row],[Sep_2026_Days_Actual]]*Table4[[#This Row],[Cost Boolean]]*(VLOOKUP(Table4[[#This Row],[RATE CONCAT]],Tables!I:N,5,0)),0)</f>
        <v>0</v>
      </c>
      <c r="CY84" s="3">
        <f>Table4[[#This Row],[Sep_2026_F]]-Table4[[#This Row],[Sep_2026_A]]</f>
        <v>0</v>
      </c>
      <c r="CZ84" s="103"/>
      <c r="DA84" s="3">
        <f>IFERROR(Table4[[#This Row],[Oct_2026_Days_Forecast]]*Table4[[#This Row],[Cost Boolean]]*(VLOOKUP(Table4[[#This Row],[RATE CONCAT]],Tables!I:N,5,0)),0)</f>
        <v>0</v>
      </c>
      <c r="DB84" s="3">
        <f>IFERROR(Table4[[#This Row],[Oct_2026_Days_Actual]]*Table4[[#This Row],[Cost Boolean]]*(VLOOKUP(Table4[[#This Row],[RATE CONCAT]],Tables!I:N,5,0)),0)</f>
        <v>0</v>
      </c>
      <c r="DC84" s="3">
        <f>Table4[[#This Row],[Oct_2026_F]]-Table4[[#This Row],[Oct_2026_A]]</f>
        <v>0</v>
      </c>
      <c r="DD84" s="103"/>
      <c r="DE84" s="3">
        <f>IFERROR(Table4[[#This Row],[Nov_2026_Days_Forecast]]*Table4[[#This Row],[Cost Boolean]]*(VLOOKUP(Table4[[#This Row],[RATE CONCAT]],Tables!I:N,5,0)),0)</f>
        <v>0</v>
      </c>
      <c r="DF84" s="3">
        <f>IFERROR(Table4[[#This Row],[Nov_2026_Days_Actual]]*Table4[[#This Row],[Cost Boolean]]*(VLOOKUP(Table4[[#This Row],[RATE CONCAT]],Tables!I:N,5,0)),0)</f>
        <v>0</v>
      </c>
      <c r="DG84" s="3">
        <f>Table4[[#This Row],[Nov_2026_F]]-Table4[[#This Row],[Nov_2026_A]]</f>
        <v>0</v>
      </c>
      <c r="DH84" s="103"/>
      <c r="DI84" s="3">
        <f>IFERROR(Table4[[#This Row],[Dec_2026_Days_Forecast]]*Table4[[#This Row],[Cost Boolean]]*(VLOOKUP(Table4[[#This Row],[RATE CONCAT]],Tables!I:N,5,0)),0)</f>
        <v>0</v>
      </c>
      <c r="DJ84" s="3">
        <f>IFERROR(Table4[[#This Row],[Dec_2026_Days_Actual]]*Table4[[#This Row],[Cost Boolean]]*(VLOOKUP(Table4[[#This Row],[RATE CONCAT]],Tables!I:N,5,0)),0)</f>
        <v>0</v>
      </c>
      <c r="DK84" s="3">
        <f>Table4[[#This Row],[Dec_2026_F]]-Table4[[#This Row],[Dec_2026_A]]</f>
        <v>0</v>
      </c>
      <c r="DL84" s="103"/>
      <c r="DM84" s="60"/>
      <c r="DN84" s="3">
        <f>IFERROR(Table4[[#This Row],[Jan_2027_Days_Forecast]]*Table4[[#This Row],[Cost Boolean]]*(VLOOKUP(Table4[[#This Row],[RATE CONCAT]],Tables!I:N,6,0)),0)</f>
        <v>0</v>
      </c>
      <c r="DO84" s="3"/>
      <c r="DP84" s="3">
        <f>Table4[[#This Row],[Jan_2027_F]]-Table4[[#This Row],[Jan_2027_A]]</f>
        <v>0</v>
      </c>
      <c r="DQ84" s="3">
        <f>IFERROR(Table4[[#This Row],[Feb_2027_Days_Forecast]]*Table4[[#This Row],[Cost Boolean]]*(VLOOKUP(Table4[[#This Row],[RATE CONCAT]],Tables!I:N,6,0)),0)</f>
        <v>0</v>
      </c>
      <c r="DR84" s="3"/>
      <c r="DS84" s="3">
        <f>Table4[[#This Row],[Feb_2027_F]]-Table4[[#This Row],[Feb_2027_A]]</f>
        <v>0</v>
      </c>
      <c r="DT84" s="3">
        <f>IFERROR(Table4[[#This Row],[Mar_2027_Days_Forecast]]*Table4[[#This Row],[Cost Boolean]]*(VLOOKUP(Table4[[#This Row],[RATE CONCAT]],Tables!I:N,6,0)),0)</f>
        <v>0</v>
      </c>
      <c r="DU84" s="3"/>
      <c r="DV84" s="3">
        <f>Table4[[#This Row],[Mar_2027_F]]-Table4[[#This Row],[Mar_2027_A]]</f>
        <v>0</v>
      </c>
      <c r="DW84" s="3">
        <f>IFERROR(Table4[[#This Row],[Apr_2027_Days_Forecast]]*Table4[[#This Row],[Cost Boolean]]*(VLOOKUP(Table4[[#This Row],[RATE CONCAT]],Tables!I:N,6,0)),0)</f>
        <v>0</v>
      </c>
      <c r="DX84" s="3"/>
      <c r="DY84" s="3">
        <f>Table4[[#This Row],[Apr_2027_F]]-Table4[[#This Row],[Apr_2027_A]]</f>
        <v>0</v>
      </c>
      <c r="DZ84" s="3">
        <f>IFERROR(Table4[[#This Row],[May_2027_Days_Forecast]]*Table4[[#This Row],[Cost Boolean]]*(VLOOKUP(Table4[[#This Row],[RATE CONCAT]],Tables!I:N,6,0)),0)</f>
        <v>0</v>
      </c>
      <c r="EA84" s="3"/>
      <c r="EB84" s="3">
        <f>Table4[[#This Row],[May_2027_F]]-Table4[[#This Row],[May_2027_A]]</f>
        <v>0</v>
      </c>
      <c r="EC84" s="3">
        <f>IFERROR(Table4[[#This Row],[Jun_2027_Days_Forecast]]*Table4[[#This Row],[Cost Boolean]]*(VLOOKUP(Table4[[#This Row],[RATE CONCAT]],Tables!I:N,6,0)),0)</f>
        <v>0</v>
      </c>
      <c r="ED84" s="3"/>
      <c r="EE84" s="3">
        <f>Table4[[#This Row],[Jun_2027_F]]-Table4[[#This Row],[Jun_2027_A]]</f>
        <v>0</v>
      </c>
      <c r="EF84" s="3">
        <f>IFERROR(Table4[[#This Row],[Jul_2027_Days_Forecast]]*Table4[[#This Row],[Cost Boolean]]*(VLOOKUP(Table4[[#This Row],[RATE CONCAT]],Tables!I:N,6,0)),0)</f>
        <v>0</v>
      </c>
      <c r="EG84" s="3"/>
      <c r="EH84" s="3">
        <f>Table4[[#This Row],[Jul_2027_F]]-Table4[[#This Row],[Jul_2027_A]]</f>
        <v>0</v>
      </c>
      <c r="EI84" s="3">
        <f>IFERROR(Table4[[#This Row],[Aug_2027_Days_Forecast]]*Table4[[#This Row],[Cost Boolean]]*(VLOOKUP(Table4[[#This Row],[RATE CONCAT]],Tables!I:N,6,0)),0)</f>
        <v>0</v>
      </c>
      <c r="EJ84" s="3"/>
      <c r="EK84" s="3">
        <f>Table4[[#This Row],[Aug_2027_F]]-Table4[[#This Row],[Aug_2027_A]]</f>
        <v>0</v>
      </c>
      <c r="EL84" s="3">
        <f>IFERROR(Table4[[#This Row],[Sep_2027_Days_Forecast]]*Table4[[#This Row],[Cost Boolean]]*(VLOOKUP(Table4[[#This Row],[RATE CONCAT]],Tables!I:N,6,0)),0)</f>
        <v>0</v>
      </c>
      <c r="EM84" s="3"/>
      <c r="EN84" s="3">
        <f>Table4[[#This Row],[Sep_2027_F]]-Table4[[#This Row],[Sep_2027_A]]</f>
        <v>0</v>
      </c>
      <c r="EO84" s="3">
        <f>IFERROR(Table4[[#This Row],[Oct_2027_Days_Forecast]]*Table4[[#This Row],[Cost Boolean]]*(VLOOKUP(Table4[[#This Row],[RATE CONCAT]],Tables!I:N,6,0)),0)</f>
        <v>0</v>
      </c>
      <c r="EP84" s="3"/>
      <c r="EQ84" s="3">
        <f>Table4[[#This Row],[Oct_2027_F]]-Table4[[#This Row],[Oct_2027_A]]</f>
        <v>0</v>
      </c>
      <c r="ER84" s="3">
        <f>IFERROR(Table4[[#This Row],[Nov_2027_Days_Forecast]]*Table4[[#This Row],[Cost Boolean]]*(VLOOKUP(Table4[[#This Row],[RATE CONCAT]],Tables!I:N,6,0)),0)</f>
        <v>0</v>
      </c>
      <c r="ES84" s="3"/>
      <c r="ET84" s="3">
        <f>Table4[[#This Row],[Nov_2027_F]]-Table4[[#This Row],[Nov_2027_A]]</f>
        <v>0</v>
      </c>
      <c r="EU84" s="3">
        <f>IFERROR(Table4[[#This Row],[Dec_2027_Days_Forecast]]*Table4[[#This Row],[Cost Boolean]]*(VLOOKUP(Table4[[#This Row],[RATE CONCAT]],Tables!I:N,6,0)),0)</f>
        <v>0</v>
      </c>
      <c r="EV84" s="3"/>
      <c r="EW84" s="3">
        <f>Table4[[#This Row],[Dec_2027_F]]-Table4[[#This Row],[Dec_2027_A]]</f>
        <v>0</v>
      </c>
    </row>
    <row r="85" spans="1:153" ht="1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2" t="str">
        <f>CONCATENATE(Table4[[#This Row],[JG]],Table4[[#This Row],[Country]],Table4[[#This Row],[Resource Provider]])</f>
        <v/>
      </c>
      <c r="Z85" s="13"/>
      <c r="AA85" s="53"/>
      <c r="AB85" s="16"/>
      <c r="AC85" s="16"/>
      <c r="AD85" s="16"/>
      <c r="AE85" s="16"/>
      <c r="AF85" s="16"/>
      <c r="AG85" s="16"/>
      <c r="AH85" s="16"/>
      <c r="AI85" s="16"/>
      <c r="AJ85" s="16"/>
      <c r="AK85" s="16"/>
      <c r="AL85" s="16"/>
      <c r="AM85" s="16"/>
      <c r="AN85" s="53">
        <f>IFERROR(AVERAGE(Table4[[#This Row],[Jan_2026_Days_Forecast]:[Dec_2026_Days_Forecast]]),0)/19</f>
        <v>0</v>
      </c>
      <c r="AO85" s="53">
        <f>IFERROR(AVERAGE(Table4[[#This Row],[Jan_2026_Days_Actual]:[Dec_2026_Days_Actual]]),0)/19</f>
        <v>0</v>
      </c>
      <c r="AP85" s="84"/>
      <c r="AQ85" s="84"/>
      <c r="AR85" s="84"/>
      <c r="AS85" s="84"/>
      <c r="AT85" s="84"/>
      <c r="AU85" s="84"/>
      <c r="AV85" s="84"/>
      <c r="AW85" s="84"/>
      <c r="AX85" s="84"/>
      <c r="AY85" s="84"/>
      <c r="AZ85" s="84"/>
      <c r="BA85" s="84"/>
      <c r="BB85" s="53">
        <f>IFERROR(AVERAGE(Table4[[#This Row],[Jan_2027_Days_Forecast]:[Dec_2027_Days_Forecast]]),0)</f>
        <v>0</v>
      </c>
      <c r="BC85" s="16"/>
      <c r="BD85" s="16"/>
      <c r="BE85" s="16"/>
      <c r="BF85" s="16"/>
      <c r="BG85" s="16"/>
      <c r="BH85" s="16"/>
      <c r="BI85" s="16"/>
      <c r="BJ85" s="16"/>
      <c r="BK85" s="16"/>
      <c r="BL85" s="16"/>
      <c r="BM85" s="16"/>
      <c r="BN85" s="16"/>
      <c r="BO85" s="55"/>
      <c r="BP85" s="60"/>
      <c r="BQ85" s="3"/>
      <c r="BR85" s="3">
        <f>IFERROR(Table4[[#This Row],[Jan_2026_Days_Actual]]*Table4[[#This Row],[Cost Boolean]]*(VLOOKUP(Table4[[#This Row],[RATE CONCAT]],Tables!I:N,5,0)),0)</f>
        <v>0</v>
      </c>
      <c r="BS85" s="3">
        <f>Table4[[#This Row],[Jan_2026_F]]-Table4[[#This Row],[Jan_2026_A]]</f>
        <v>0</v>
      </c>
      <c r="BT85" s="107"/>
      <c r="BU85" s="3">
        <f>IFERROR(Table4[[#This Row],[Feb_2026_Days_Forecast]]*Table4[[#This Row],[Cost Boolean]]*(VLOOKUP(Table4[[#This Row],[RATE CONCAT]],Tables!I:N,5,0)),0)</f>
        <v>0</v>
      </c>
      <c r="BV85" s="3">
        <f>IFERROR(Table4[[#This Row],[Feb_2026_Days_Actual]]*Table4[[#This Row],[Cost Boolean]]*(VLOOKUP(Table4[[#This Row],[RATE CONCAT]],Tables!I:N,5,0)),0)</f>
        <v>0</v>
      </c>
      <c r="BW85" s="3">
        <f>Table4[[#This Row],[Feb_2026_F]]-Table4[[#This Row],[Feb_2026_A]]</f>
        <v>0</v>
      </c>
      <c r="BX85" s="103"/>
      <c r="BY85" s="3">
        <f>IFERROR(Table4[[#This Row],[Mar_2026_Days_Forecast]]*Table4[[#This Row],[Cost Boolean]]*(VLOOKUP(Table4[[#This Row],[RATE CONCAT]],Tables!I:N,5,0)),0)</f>
        <v>0</v>
      </c>
      <c r="BZ85" s="3">
        <f>IFERROR(Table4[[#This Row],[Mar_2026_Days_Actual]]*Table4[[#This Row],[Cost Boolean]]*(VLOOKUP(Table4[[#This Row],[RATE CONCAT]],Tables!I:N,5,0)),0)</f>
        <v>0</v>
      </c>
      <c r="CA85" s="3">
        <f>Table4[[#This Row],[Mar_2026_F]]-Table4[[#This Row],[Mar_2026_A]]</f>
        <v>0</v>
      </c>
      <c r="CB85" s="103"/>
      <c r="CC85" s="3">
        <f>IFERROR(Table4[[#This Row],[Apr_2026_Days_Forecast]]*Table4[[#This Row],[Cost Boolean]]*(VLOOKUP(Table4[[#This Row],[RATE CONCAT]],Tables!I:N,5,0)),0)</f>
        <v>0</v>
      </c>
      <c r="CD85" s="3">
        <f>IFERROR(Table4[[#This Row],[Apr_2026_Days_Actual]]*Table4[[#This Row],[Cost Boolean]]*(VLOOKUP(Table4[[#This Row],[RATE CONCAT]],Tables!I:N,5,0)),0)</f>
        <v>0</v>
      </c>
      <c r="CE85" s="3">
        <f>Table4[[#This Row],[Apr_2026_F]]-Table4[[#This Row],[Apr_2026_A]]</f>
        <v>0</v>
      </c>
      <c r="CF85" s="103"/>
      <c r="CG85" s="3">
        <f>IFERROR(Table4[[#This Row],[May_2026_Days_Forecast]] *Table4[[#This Row],[Cost Boolean]]*(VLOOKUP(Table4[[#This Row],[RATE CONCAT]],Tables!I:N,5,0)),0)</f>
        <v>0</v>
      </c>
      <c r="CH85" s="3">
        <f>IFERROR(Table4[[#This Row],[May_2026_Days_Actual]]*Table4[[#This Row],[Cost Boolean]]*(VLOOKUP(Table4[[#This Row],[RATE CONCAT]],Tables!I:N,5,0)),0)</f>
        <v>0</v>
      </c>
      <c r="CI85" s="3">
        <f>Table4[[#This Row],[May_2026_F]]-Table4[[#This Row],[May_2026_A]]</f>
        <v>0</v>
      </c>
      <c r="CJ85" s="103"/>
      <c r="CK85" s="3">
        <f>IFERROR(Table4[[#This Row],[Jun_2026_Days_Forecast]]*Table4[[#This Row],[Cost Boolean]]*(VLOOKUP(Table4[[#This Row],[RATE CONCAT]],Tables!I:N,5,0)),0)</f>
        <v>0</v>
      </c>
      <c r="CL85" s="3">
        <f>IFERROR(Table4[[#This Row],[Jun_2026_Days_Actual]]*Table4[[#This Row],[Cost Boolean]]*(VLOOKUP(Table4[[#This Row],[RATE CONCAT]],Tables!I:N,5,0)),0)</f>
        <v>0</v>
      </c>
      <c r="CM85" s="3">
        <f>Table4[[#This Row],[Jun_2026_F]]-Table4[[#This Row],[Jun_2026_A]]</f>
        <v>0</v>
      </c>
      <c r="CN85" s="103"/>
      <c r="CO85" s="3">
        <f>IFERROR(Table4[[#This Row],[Jul_2026_Days_Forecast]]*Table4[[#This Row],[Cost Boolean]]*(VLOOKUP(Table4[[#This Row],[RATE CONCAT]],Tables!I:N,5,0)),0)</f>
        <v>0</v>
      </c>
      <c r="CP85" s="3">
        <f>IFERROR(Table4[[#This Row],[Aug_2026_Days_Forecast]]*Table4[[#This Row],[Location]]*(VLOOKUP(Table4[[#This Row],[Rate]],Tables!J:O,5,0)),0)</f>
        <v>0</v>
      </c>
      <c r="CQ85" s="3">
        <f>Table4[[#This Row],[Jul_2026_F]]-Table4[[#This Row],[Jul_2026_A]]</f>
        <v>0</v>
      </c>
      <c r="CR85" s="103"/>
      <c r="CS85" s="3">
        <f>IFERROR(Table4[[#This Row],[Aug_2026_Days_Forecast]]*Table4[[#This Row],[Cost Boolean]]*(VLOOKUP(Table4[[#This Row],[RATE CONCAT]],Tables!I:N,5,0)),0)</f>
        <v>0</v>
      </c>
      <c r="CT85" s="3">
        <f>IFERROR(Table4[[#This Row],[Aug_2026_Days_Actual]]*Table4[[#This Row],[Cost Boolean]]*(VLOOKUP(Table4[[#This Row],[RATE CONCAT]],Tables!I:N,5,0)),0)</f>
        <v>0</v>
      </c>
      <c r="CU85" s="3">
        <f>Table4[[#This Row],[Aug_2026_F]]-Table4[[#This Row],[Aug_2026_A]]</f>
        <v>0</v>
      </c>
      <c r="CV85" s="103"/>
      <c r="CW85" s="3">
        <f>IFERROR(Table4[[#This Row],[Sep_2026_Days_Forecast]]*Table4[[#This Row],[Cost Boolean]]*(VLOOKUP(Table4[[#This Row],[RATE CONCAT]],Tables!I:N,5,0)),0)</f>
        <v>0</v>
      </c>
      <c r="CX85" s="3">
        <f>IFERROR(Table4[[#This Row],[Sep_2026_Days_Actual]]*Table4[[#This Row],[Cost Boolean]]*(VLOOKUP(Table4[[#This Row],[RATE CONCAT]],Tables!I:N,5,0)),0)</f>
        <v>0</v>
      </c>
      <c r="CY85" s="3">
        <f>Table4[[#This Row],[Sep_2026_F]]-Table4[[#This Row],[Sep_2026_A]]</f>
        <v>0</v>
      </c>
      <c r="CZ85" s="103"/>
      <c r="DA85" s="3">
        <f>IFERROR(Table4[[#This Row],[Oct_2026_Days_Forecast]]*Table4[[#This Row],[Cost Boolean]]*(VLOOKUP(Table4[[#This Row],[RATE CONCAT]],Tables!I:N,5,0)),0)</f>
        <v>0</v>
      </c>
      <c r="DB85" s="3">
        <f>IFERROR(Table4[[#This Row],[Oct_2026_Days_Actual]]*Table4[[#This Row],[Cost Boolean]]*(VLOOKUP(Table4[[#This Row],[RATE CONCAT]],Tables!I:N,5,0)),0)</f>
        <v>0</v>
      </c>
      <c r="DC85" s="3">
        <f>Table4[[#This Row],[Oct_2026_F]]-Table4[[#This Row],[Oct_2026_A]]</f>
        <v>0</v>
      </c>
      <c r="DD85" s="103"/>
      <c r="DE85" s="3">
        <f>IFERROR(Table4[[#This Row],[Nov_2026_Days_Forecast]]*Table4[[#This Row],[Cost Boolean]]*(VLOOKUP(Table4[[#This Row],[RATE CONCAT]],Tables!I:N,5,0)),0)</f>
        <v>0</v>
      </c>
      <c r="DF85" s="3">
        <f>IFERROR(Table4[[#This Row],[Nov_2026_Days_Actual]]*Table4[[#This Row],[Cost Boolean]]*(VLOOKUP(Table4[[#This Row],[RATE CONCAT]],Tables!I:N,5,0)),0)</f>
        <v>0</v>
      </c>
      <c r="DG85" s="3">
        <f>Table4[[#This Row],[Nov_2026_F]]-Table4[[#This Row],[Nov_2026_A]]</f>
        <v>0</v>
      </c>
      <c r="DH85" s="103"/>
      <c r="DI85" s="3">
        <f>IFERROR(Table4[[#This Row],[Dec_2026_Days_Forecast]]*Table4[[#This Row],[Cost Boolean]]*(VLOOKUP(Table4[[#This Row],[RATE CONCAT]],Tables!I:N,5,0)),0)</f>
        <v>0</v>
      </c>
      <c r="DJ85" s="3">
        <f>IFERROR(Table4[[#This Row],[Dec_2026_Days_Actual]]*Table4[[#This Row],[Cost Boolean]]*(VLOOKUP(Table4[[#This Row],[RATE CONCAT]],Tables!I:N,5,0)),0)</f>
        <v>0</v>
      </c>
      <c r="DK85" s="3">
        <f>Table4[[#This Row],[Dec_2026_F]]-Table4[[#This Row],[Dec_2026_A]]</f>
        <v>0</v>
      </c>
      <c r="DL85" s="103"/>
      <c r="DM85" s="60"/>
      <c r="DN85" s="3">
        <f>IFERROR(Table4[[#This Row],[Jan_2027_Days_Forecast]]*Table4[[#This Row],[Cost Boolean]]*(VLOOKUP(Table4[[#This Row],[RATE CONCAT]],Tables!I:N,6,0)),0)</f>
        <v>0</v>
      </c>
      <c r="DO85" s="3"/>
      <c r="DP85" s="3">
        <f>Table4[[#This Row],[Jan_2027_F]]-Table4[[#This Row],[Jan_2027_A]]</f>
        <v>0</v>
      </c>
      <c r="DQ85" s="3">
        <f>IFERROR(Table4[[#This Row],[Feb_2027_Days_Forecast]]*Table4[[#This Row],[Cost Boolean]]*(VLOOKUP(Table4[[#This Row],[RATE CONCAT]],Tables!I:N,6,0)),0)</f>
        <v>0</v>
      </c>
      <c r="DR85" s="3"/>
      <c r="DS85" s="3">
        <f>Table4[[#This Row],[Feb_2027_F]]-Table4[[#This Row],[Feb_2027_A]]</f>
        <v>0</v>
      </c>
      <c r="DT85" s="3">
        <f>IFERROR(Table4[[#This Row],[Mar_2027_Days_Forecast]]*Table4[[#This Row],[Cost Boolean]]*(VLOOKUP(Table4[[#This Row],[RATE CONCAT]],Tables!I:N,6,0)),0)</f>
        <v>0</v>
      </c>
      <c r="DU85" s="3"/>
      <c r="DV85" s="3">
        <f>Table4[[#This Row],[Mar_2027_F]]-Table4[[#This Row],[Mar_2027_A]]</f>
        <v>0</v>
      </c>
      <c r="DW85" s="3">
        <f>IFERROR(Table4[[#This Row],[Apr_2027_Days_Forecast]]*Table4[[#This Row],[Cost Boolean]]*(VLOOKUP(Table4[[#This Row],[RATE CONCAT]],Tables!I:N,6,0)),0)</f>
        <v>0</v>
      </c>
      <c r="DX85" s="3"/>
      <c r="DY85" s="3">
        <f>Table4[[#This Row],[Apr_2027_F]]-Table4[[#This Row],[Apr_2027_A]]</f>
        <v>0</v>
      </c>
      <c r="DZ85" s="3">
        <f>IFERROR(Table4[[#This Row],[May_2027_Days_Forecast]]*Table4[[#This Row],[Cost Boolean]]*(VLOOKUP(Table4[[#This Row],[RATE CONCAT]],Tables!I:N,6,0)),0)</f>
        <v>0</v>
      </c>
      <c r="EA85" s="3"/>
      <c r="EB85" s="3">
        <f>Table4[[#This Row],[May_2027_F]]-Table4[[#This Row],[May_2027_A]]</f>
        <v>0</v>
      </c>
      <c r="EC85" s="3">
        <f>IFERROR(Table4[[#This Row],[Jun_2027_Days_Forecast]]*Table4[[#This Row],[Cost Boolean]]*(VLOOKUP(Table4[[#This Row],[RATE CONCAT]],Tables!I:N,6,0)),0)</f>
        <v>0</v>
      </c>
      <c r="ED85" s="3"/>
      <c r="EE85" s="3">
        <f>Table4[[#This Row],[Jun_2027_F]]-Table4[[#This Row],[Jun_2027_A]]</f>
        <v>0</v>
      </c>
      <c r="EF85" s="3">
        <f>IFERROR(Table4[[#This Row],[Jul_2027_Days_Forecast]]*Table4[[#This Row],[Cost Boolean]]*(VLOOKUP(Table4[[#This Row],[RATE CONCAT]],Tables!I:N,6,0)),0)</f>
        <v>0</v>
      </c>
      <c r="EG85" s="3"/>
      <c r="EH85" s="3">
        <f>Table4[[#This Row],[Jul_2027_F]]-Table4[[#This Row],[Jul_2027_A]]</f>
        <v>0</v>
      </c>
      <c r="EI85" s="3">
        <f>IFERROR(Table4[[#This Row],[Aug_2027_Days_Forecast]]*Table4[[#This Row],[Cost Boolean]]*(VLOOKUP(Table4[[#This Row],[RATE CONCAT]],Tables!I:N,6,0)),0)</f>
        <v>0</v>
      </c>
      <c r="EJ85" s="3"/>
      <c r="EK85" s="3">
        <f>Table4[[#This Row],[Aug_2027_F]]-Table4[[#This Row],[Aug_2027_A]]</f>
        <v>0</v>
      </c>
      <c r="EL85" s="3">
        <f>IFERROR(Table4[[#This Row],[Sep_2027_Days_Forecast]]*Table4[[#This Row],[Cost Boolean]]*(VLOOKUP(Table4[[#This Row],[RATE CONCAT]],Tables!I:N,6,0)),0)</f>
        <v>0</v>
      </c>
      <c r="EM85" s="3"/>
      <c r="EN85" s="3">
        <f>Table4[[#This Row],[Sep_2027_F]]-Table4[[#This Row],[Sep_2027_A]]</f>
        <v>0</v>
      </c>
      <c r="EO85" s="3">
        <f>IFERROR(Table4[[#This Row],[Oct_2027_Days_Forecast]]*Table4[[#This Row],[Cost Boolean]]*(VLOOKUP(Table4[[#This Row],[RATE CONCAT]],Tables!I:N,6,0)),0)</f>
        <v>0</v>
      </c>
      <c r="EP85" s="3"/>
      <c r="EQ85" s="3">
        <f>Table4[[#This Row],[Oct_2027_F]]-Table4[[#This Row],[Oct_2027_A]]</f>
        <v>0</v>
      </c>
      <c r="ER85" s="3">
        <f>IFERROR(Table4[[#This Row],[Nov_2027_Days_Forecast]]*Table4[[#This Row],[Cost Boolean]]*(VLOOKUP(Table4[[#This Row],[RATE CONCAT]],Tables!I:N,6,0)),0)</f>
        <v>0</v>
      </c>
      <c r="ES85" s="3"/>
      <c r="ET85" s="3">
        <f>Table4[[#This Row],[Nov_2027_F]]-Table4[[#This Row],[Nov_2027_A]]</f>
        <v>0</v>
      </c>
      <c r="EU85" s="3">
        <f>IFERROR(Table4[[#This Row],[Dec_2027_Days_Forecast]]*Table4[[#This Row],[Cost Boolean]]*(VLOOKUP(Table4[[#This Row],[RATE CONCAT]],Tables!I:N,6,0)),0)</f>
        <v>0</v>
      </c>
      <c r="EV85" s="3"/>
      <c r="EW85" s="3">
        <f>Table4[[#This Row],[Dec_2027_F]]-Table4[[#This Row],[Dec_2027_A]]</f>
        <v>0</v>
      </c>
    </row>
    <row r="86" spans="1:153" ht="1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2" t="str">
        <f>CONCATENATE(Table4[[#This Row],[JG]],Table4[[#This Row],[Country]],Table4[[#This Row],[Resource Provider]])</f>
        <v/>
      </c>
      <c r="Z86" s="13">
        <v>0</v>
      </c>
      <c r="AA86" s="53"/>
      <c r="AB86" s="16"/>
      <c r="AC86" s="16"/>
      <c r="AD86" s="16"/>
      <c r="AE86" s="16"/>
      <c r="AF86" s="16"/>
      <c r="AG86" s="16"/>
      <c r="AH86" s="16"/>
      <c r="AI86" s="16"/>
      <c r="AJ86" s="16"/>
      <c r="AK86" s="16"/>
      <c r="AL86" s="16"/>
      <c r="AM86" s="16"/>
      <c r="AN86" s="53">
        <f>IFERROR(AVERAGE(Table4[[#This Row],[Jan_2026_Days_Forecast]:[Dec_2026_Days_Forecast]]),0)/19</f>
        <v>0</v>
      </c>
      <c r="AO86" s="53">
        <f>IFERROR(AVERAGE(Table4[[#This Row],[Jan_2026_Days_Actual]:[Dec_2026_Days_Actual]]),0)/19</f>
        <v>0</v>
      </c>
      <c r="AP86" s="84"/>
      <c r="AQ86" s="84"/>
      <c r="AR86" s="84"/>
      <c r="AS86" s="84"/>
      <c r="AT86" s="84"/>
      <c r="AU86" s="84"/>
      <c r="AV86" s="84"/>
      <c r="AW86" s="84"/>
      <c r="AX86" s="84"/>
      <c r="AY86" s="84"/>
      <c r="AZ86" s="84"/>
      <c r="BA86" s="84"/>
      <c r="BB86" s="53">
        <f>IFERROR(AVERAGE(Table4[[#This Row],[Jan_2027_Days_Forecast]:[Dec_2027_Days_Forecast]]),0)</f>
        <v>0</v>
      </c>
      <c r="BC86" s="16"/>
      <c r="BD86" s="16"/>
      <c r="BE86" s="16"/>
      <c r="BF86" s="16"/>
      <c r="BG86" s="16"/>
      <c r="BH86" s="16"/>
      <c r="BI86" s="16"/>
      <c r="BJ86" s="16"/>
      <c r="BK86" s="16"/>
      <c r="BL86" s="16"/>
      <c r="BM86" s="16"/>
      <c r="BN86" s="16"/>
      <c r="BO86" s="55"/>
      <c r="BP86" s="60"/>
      <c r="BQ86" s="3">
        <v>56000</v>
      </c>
      <c r="BR86" s="3">
        <f>IFERROR(Table4[[#This Row],[Jan_2026_Days_Actual]]*Table4[[#This Row],[Cost Boolean]]*(VLOOKUP(Table4[[#This Row],[RATE CONCAT]],Tables!I:N,5,0)),0)</f>
        <v>0</v>
      </c>
      <c r="BS86" s="3">
        <f>Table4[[#This Row],[Jan_2026_F]]-Table4[[#This Row],[Jan_2026_A]]</f>
        <v>56000</v>
      </c>
      <c r="BT86" s="107" t="s">
        <v>385</v>
      </c>
      <c r="BU86" s="3">
        <f>IFERROR(Table4[[#This Row],[Feb_2026_Days_Forecast]]*Table4[[#This Row],[Cost Boolean]]*(VLOOKUP(Table4[[#This Row],[RATE CONCAT]],Tables!I:N,5,0)),0)</f>
        <v>0</v>
      </c>
      <c r="BV86" s="3">
        <f>IFERROR(Table4[[#This Row],[Feb_2026_Days_Actual]]*Table4[[#This Row],[Cost Boolean]]*(VLOOKUP(Table4[[#This Row],[RATE CONCAT]],Tables!I:N,5,0)),0)</f>
        <v>0</v>
      </c>
      <c r="BW86" s="3">
        <f>Table4[[#This Row],[Feb_2026_F]]-Table4[[#This Row],[Feb_2026_A]]</f>
        <v>0</v>
      </c>
      <c r="BX86" s="103"/>
      <c r="BY86" s="3">
        <f>IFERROR(Table4[[#This Row],[Mar_2026_Days_Forecast]]*Table4[[#This Row],[Cost Boolean]]*(VLOOKUP(Table4[[#This Row],[RATE CONCAT]],Tables!I:N,5,0)),0)</f>
        <v>0</v>
      </c>
      <c r="BZ86" s="3">
        <f>IFERROR(Table4[[#This Row],[Mar_2026_Days_Actual]]*Table4[[#This Row],[Cost Boolean]]*(VLOOKUP(Table4[[#This Row],[RATE CONCAT]],Tables!I:N,5,0)),0)</f>
        <v>0</v>
      </c>
      <c r="CA86" s="3">
        <f>Table4[[#This Row],[Mar_2026_F]]-Table4[[#This Row],[Mar_2026_A]]</f>
        <v>0</v>
      </c>
      <c r="CB86" s="103"/>
      <c r="CC86" s="3">
        <f>IFERROR(Table4[[#This Row],[Apr_2026_Days_Forecast]]*Table4[[#This Row],[Cost Boolean]]*(VLOOKUP(Table4[[#This Row],[RATE CONCAT]],Tables!I:N,5,0)),0)</f>
        <v>0</v>
      </c>
      <c r="CD86" s="3">
        <f>IFERROR(Table4[[#This Row],[Apr_2026_Days_Actual]]*Table4[[#This Row],[Cost Boolean]]*(VLOOKUP(Table4[[#This Row],[RATE CONCAT]],Tables!I:N,5,0)),0)</f>
        <v>0</v>
      </c>
      <c r="CE86" s="3">
        <f>Table4[[#This Row],[Apr_2026_F]]-Table4[[#This Row],[Apr_2026_A]]</f>
        <v>0</v>
      </c>
      <c r="CF86" s="103"/>
      <c r="CG86" s="3">
        <f>IFERROR(Table4[[#This Row],[May_2026_Days_Forecast]] *Table4[[#This Row],[Cost Boolean]]*(VLOOKUP(Table4[[#This Row],[RATE CONCAT]],Tables!I:N,5,0)),0)</f>
        <v>0</v>
      </c>
      <c r="CH86" s="3">
        <f>IFERROR(Table4[[#This Row],[May_2026_Days_Actual]]*Table4[[#This Row],[Cost Boolean]]*(VLOOKUP(Table4[[#This Row],[RATE CONCAT]],Tables!I:N,5,0)),0)</f>
        <v>0</v>
      </c>
      <c r="CI86" s="3">
        <f>Table4[[#This Row],[May_2026_F]]-Table4[[#This Row],[May_2026_A]]</f>
        <v>0</v>
      </c>
      <c r="CJ86" s="103"/>
      <c r="CK86" s="3">
        <f>IFERROR(Table4[[#This Row],[Jun_2026_Days_Forecast]]*Table4[[#This Row],[Cost Boolean]]*(VLOOKUP(Table4[[#This Row],[RATE CONCAT]],Tables!I:N,5,0)),0)</f>
        <v>0</v>
      </c>
      <c r="CL86" s="3">
        <f>IFERROR(Table4[[#This Row],[Jun_2026_Days_Actual]]*Table4[[#This Row],[Cost Boolean]]*(VLOOKUP(Table4[[#This Row],[RATE CONCAT]],Tables!I:N,5,0)),0)</f>
        <v>0</v>
      </c>
      <c r="CM86" s="3">
        <f>Table4[[#This Row],[Jun_2026_F]]-Table4[[#This Row],[Jun_2026_A]]</f>
        <v>0</v>
      </c>
      <c r="CN86" s="103"/>
      <c r="CO86" s="3">
        <f>IFERROR(Table4[[#This Row],[Jul_2026_Days_Forecast]]*Table4[[#This Row],[Cost Boolean]]*(VLOOKUP(Table4[[#This Row],[RATE CONCAT]],Tables!I:N,5,0)),0)</f>
        <v>0</v>
      </c>
      <c r="CP86" s="3">
        <f>IFERROR(Table4[[#This Row],[Aug_2026_Days_Forecast]]*Table4[[#This Row],[Location]]*(VLOOKUP(Table4[[#This Row],[Rate]],Tables!J:O,5,0)),0)</f>
        <v>0</v>
      </c>
      <c r="CQ86" s="3">
        <f>Table4[[#This Row],[Jul_2026_F]]-Table4[[#This Row],[Jul_2026_A]]</f>
        <v>0</v>
      </c>
      <c r="CR86" s="103"/>
      <c r="CS86" s="3">
        <f>IFERROR(Table4[[#This Row],[Aug_2026_Days_Forecast]]*Table4[[#This Row],[Cost Boolean]]*(VLOOKUP(Table4[[#This Row],[RATE CONCAT]],Tables!I:N,5,0)),0)</f>
        <v>0</v>
      </c>
      <c r="CT86" s="3">
        <f>IFERROR(Table4[[#This Row],[Aug_2026_Days_Actual]]*Table4[[#This Row],[Cost Boolean]]*(VLOOKUP(Table4[[#This Row],[RATE CONCAT]],Tables!I:N,5,0)),0)</f>
        <v>0</v>
      </c>
      <c r="CU86" s="3">
        <f>Table4[[#This Row],[Aug_2026_F]]-Table4[[#This Row],[Aug_2026_A]]</f>
        <v>0</v>
      </c>
      <c r="CV86" s="103"/>
      <c r="CW86" s="3">
        <f>IFERROR(Table4[[#This Row],[Sep_2026_Days_Forecast]]*Table4[[#This Row],[Cost Boolean]]*(VLOOKUP(Table4[[#This Row],[RATE CONCAT]],Tables!I:N,5,0)),0)</f>
        <v>0</v>
      </c>
      <c r="CX86" s="3">
        <f>IFERROR(Table4[[#This Row],[Sep_2026_Days_Actual]]*Table4[[#This Row],[Cost Boolean]]*(VLOOKUP(Table4[[#This Row],[RATE CONCAT]],Tables!I:N,5,0)),0)</f>
        <v>0</v>
      </c>
      <c r="CY86" s="3">
        <f>Table4[[#This Row],[Sep_2026_F]]-Table4[[#This Row],[Sep_2026_A]]</f>
        <v>0</v>
      </c>
      <c r="CZ86" s="103"/>
      <c r="DA86" s="3">
        <f>IFERROR(Table4[[#This Row],[Oct_2026_Days_Forecast]]*Table4[[#This Row],[Cost Boolean]]*(VLOOKUP(Table4[[#This Row],[RATE CONCAT]],Tables!I:N,5,0)),0)</f>
        <v>0</v>
      </c>
      <c r="DB86" s="3">
        <f>IFERROR(Table4[[#This Row],[Oct_2026_Days_Actual]]*Table4[[#This Row],[Cost Boolean]]*(VLOOKUP(Table4[[#This Row],[RATE CONCAT]],Tables!I:N,5,0)),0)</f>
        <v>0</v>
      </c>
      <c r="DC86" s="3">
        <f>Table4[[#This Row],[Oct_2026_F]]-Table4[[#This Row],[Oct_2026_A]]</f>
        <v>0</v>
      </c>
      <c r="DD86" s="103"/>
      <c r="DE86" s="3">
        <f>IFERROR(Table4[[#This Row],[Nov_2026_Days_Forecast]]*Table4[[#This Row],[Cost Boolean]]*(VLOOKUP(Table4[[#This Row],[RATE CONCAT]],Tables!I:N,5,0)),0)</f>
        <v>0</v>
      </c>
      <c r="DF86" s="3">
        <f>IFERROR(Table4[[#This Row],[Nov_2026_Days_Actual]]*Table4[[#This Row],[Cost Boolean]]*(VLOOKUP(Table4[[#This Row],[RATE CONCAT]],Tables!I:N,5,0)),0)</f>
        <v>0</v>
      </c>
      <c r="DG86" s="3">
        <f>Table4[[#This Row],[Nov_2026_F]]-Table4[[#This Row],[Nov_2026_A]]</f>
        <v>0</v>
      </c>
      <c r="DH86" s="103"/>
      <c r="DI86" s="3">
        <f>IFERROR(Table4[[#This Row],[Dec_2026_Days_Forecast]]*Table4[[#This Row],[Cost Boolean]]*(VLOOKUP(Table4[[#This Row],[RATE CONCAT]],Tables!I:N,5,0)),0)</f>
        <v>0</v>
      </c>
      <c r="DJ86" s="3">
        <f>IFERROR(Table4[[#This Row],[Dec_2026_Days_Actual]]*Table4[[#This Row],[Cost Boolean]]*(VLOOKUP(Table4[[#This Row],[RATE CONCAT]],Tables!I:N,5,0)),0)</f>
        <v>0</v>
      </c>
      <c r="DK86" s="3">
        <f>Table4[[#This Row],[Dec_2026_F]]-Table4[[#This Row],[Dec_2026_A]]</f>
        <v>0</v>
      </c>
      <c r="DL86" s="103"/>
      <c r="DM86" s="60"/>
      <c r="DN86" s="3">
        <f>IFERROR(Table4[[#This Row],[Jan_2027_Days_Forecast]]*Table4[[#This Row],[Cost Boolean]]*(VLOOKUP(Table4[[#This Row],[RATE CONCAT]],Tables!I:N,6,0)),0)</f>
        <v>0</v>
      </c>
      <c r="DO86" s="3"/>
      <c r="DP86" s="3">
        <f>Table4[[#This Row],[Jan_2027_F]]-Table4[[#This Row],[Jan_2027_A]]</f>
        <v>0</v>
      </c>
      <c r="DQ86" s="3">
        <f>IFERROR(Table4[[#This Row],[Feb_2027_Days_Forecast]]*Table4[[#This Row],[Cost Boolean]]*(VLOOKUP(Table4[[#This Row],[RATE CONCAT]],Tables!I:N,6,0)),0)</f>
        <v>0</v>
      </c>
      <c r="DR86" s="3"/>
      <c r="DS86" s="3">
        <f>Table4[[#This Row],[Feb_2027_F]]-Table4[[#This Row],[Feb_2027_A]]</f>
        <v>0</v>
      </c>
      <c r="DT86" s="3">
        <f>IFERROR(Table4[[#This Row],[Mar_2027_Days_Forecast]]*Table4[[#This Row],[Cost Boolean]]*(VLOOKUP(Table4[[#This Row],[RATE CONCAT]],Tables!I:N,6,0)),0)</f>
        <v>0</v>
      </c>
      <c r="DU86" s="3"/>
      <c r="DV86" s="3">
        <f>Table4[[#This Row],[Mar_2027_F]]-Table4[[#This Row],[Mar_2027_A]]</f>
        <v>0</v>
      </c>
      <c r="DW86" s="3">
        <f>IFERROR(Table4[[#This Row],[Apr_2027_Days_Forecast]]*Table4[[#This Row],[Cost Boolean]]*(VLOOKUP(Table4[[#This Row],[RATE CONCAT]],Tables!I:N,6,0)),0)</f>
        <v>0</v>
      </c>
      <c r="DX86" s="3"/>
      <c r="DY86" s="3">
        <f>Table4[[#This Row],[Apr_2027_F]]-Table4[[#This Row],[Apr_2027_A]]</f>
        <v>0</v>
      </c>
      <c r="DZ86" s="3">
        <f>IFERROR(Table4[[#This Row],[May_2027_Days_Forecast]]*Table4[[#This Row],[Cost Boolean]]*(VLOOKUP(Table4[[#This Row],[RATE CONCAT]],Tables!I:N,6,0)),0)</f>
        <v>0</v>
      </c>
      <c r="EA86" s="3"/>
      <c r="EB86" s="3">
        <f>Table4[[#This Row],[May_2027_F]]-Table4[[#This Row],[May_2027_A]]</f>
        <v>0</v>
      </c>
      <c r="EC86" s="3">
        <f>IFERROR(Table4[[#This Row],[Jun_2027_Days_Forecast]]*Table4[[#This Row],[Cost Boolean]]*(VLOOKUP(Table4[[#This Row],[RATE CONCAT]],Tables!I:N,6,0)),0)</f>
        <v>0</v>
      </c>
      <c r="ED86" s="3"/>
      <c r="EE86" s="3">
        <f>Table4[[#This Row],[Jun_2027_F]]-Table4[[#This Row],[Jun_2027_A]]</f>
        <v>0</v>
      </c>
      <c r="EF86" s="3">
        <f>IFERROR(Table4[[#This Row],[Jul_2027_Days_Forecast]]*Table4[[#This Row],[Cost Boolean]]*(VLOOKUP(Table4[[#This Row],[RATE CONCAT]],Tables!I:N,6,0)),0)</f>
        <v>0</v>
      </c>
      <c r="EG86" s="3"/>
      <c r="EH86" s="3">
        <f>Table4[[#This Row],[Jul_2027_F]]-Table4[[#This Row],[Jul_2027_A]]</f>
        <v>0</v>
      </c>
      <c r="EI86" s="3">
        <f>IFERROR(Table4[[#This Row],[Aug_2027_Days_Forecast]]*Table4[[#This Row],[Cost Boolean]]*(VLOOKUP(Table4[[#This Row],[RATE CONCAT]],Tables!I:N,6,0)),0)</f>
        <v>0</v>
      </c>
      <c r="EJ86" s="3"/>
      <c r="EK86" s="3">
        <f>Table4[[#This Row],[Aug_2027_F]]-Table4[[#This Row],[Aug_2027_A]]</f>
        <v>0</v>
      </c>
      <c r="EL86" s="3">
        <f>IFERROR(Table4[[#This Row],[Sep_2027_Days_Forecast]]*Table4[[#This Row],[Cost Boolean]]*(VLOOKUP(Table4[[#This Row],[RATE CONCAT]],Tables!I:N,6,0)),0)</f>
        <v>0</v>
      </c>
      <c r="EM86" s="3"/>
      <c r="EN86" s="3">
        <f>Table4[[#This Row],[Sep_2027_F]]-Table4[[#This Row],[Sep_2027_A]]</f>
        <v>0</v>
      </c>
      <c r="EO86" s="3">
        <f>IFERROR(Table4[[#This Row],[Oct_2027_Days_Forecast]]*Table4[[#This Row],[Cost Boolean]]*(VLOOKUP(Table4[[#This Row],[RATE CONCAT]],Tables!I:N,6,0)),0)</f>
        <v>0</v>
      </c>
      <c r="EP86" s="3"/>
      <c r="EQ86" s="3">
        <f>Table4[[#This Row],[Oct_2027_F]]-Table4[[#This Row],[Oct_2027_A]]</f>
        <v>0</v>
      </c>
      <c r="ER86" s="3">
        <f>IFERROR(Table4[[#This Row],[Nov_2027_Days_Forecast]]*Table4[[#This Row],[Cost Boolean]]*(VLOOKUP(Table4[[#This Row],[RATE CONCAT]],Tables!I:N,6,0)),0)</f>
        <v>0</v>
      </c>
      <c r="ES86" s="3"/>
      <c r="ET86" s="3">
        <f>Table4[[#This Row],[Nov_2027_F]]-Table4[[#This Row],[Nov_2027_A]]</f>
        <v>0</v>
      </c>
      <c r="EU86" s="3">
        <f>IFERROR(Table4[[#This Row],[Dec_2027_Days_Forecast]]*Table4[[#This Row],[Cost Boolean]]*(VLOOKUP(Table4[[#This Row],[RATE CONCAT]],Tables!I:N,6,0)),0)</f>
        <v>0</v>
      </c>
      <c r="EV86" s="3"/>
      <c r="EW86" s="3">
        <f>Table4[[#This Row],[Dec_2027_F]]-Table4[[#This Row],[Dec_2027_A]]</f>
        <v>0</v>
      </c>
    </row>
    <row r="87" spans="1:153" ht="1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53"/>
      <c r="AB87" s="84"/>
      <c r="AC87" s="84"/>
      <c r="AD87" s="84"/>
      <c r="AE87" s="84"/>
      <c r="AF87" s="84"/>
      <c r="AG87" s="84"/>
      <c r="AH87" s="84"/>
      <c r="AI87" s="84"/>
      <c r="AJ87" s="84"/>
      <c r="AK87" s="84"/>
      <c r="AL87" s="84"/>
      <c r="AM87" s="84"/>
      <c r="AN87" s="53"/>
      <c r="AO87" s="53"/>
      <c r="AP87" s="84"/>
      <c r="AQ87" s="84"/>
      <c r="AR87" s="84"/>
      <c r="AS87" s="84"/>
      <c r="AT87" s="84"/>
      <c r="AU87" s="84"/>
      <c r="AV87" s="84"/>
      <c r="AW87" s="84"/>
      <c r="AX87" s="84"/>
      <c r="AY87" s="84"/>
      <c r="AZ87" s="84"/>
      <c r="BA87" s="84"/>
      <c r="BB87" s="53"/>
      <c r="BC87" s="16"/>
      <c r="BD87" s="16"/>
      <c r="BE87" s="16"/>
      <c r="BF87" s="16"/>
      <c r="BG87" s="16"/>
      <c r="BH87" s="16"/>
      <c r="BI87" s="16"/>
      <c r="BJ87" s="16"/>
      <c r="BK87" s="16"/>
      <c r="BL87" s="16"/>
      <c r="BM87" s="16"/>
      <c r="BN87" s="16"/>
      <c r="BO87" s="55"/>
      <c r="BP87" s="60"/>
      <c r="BQ87" s="3"/>
      <c r="BR87" s="3"/>
      <c r="BS87" s="3"/>
      <c r="BT87" s="107"/>
      <c r="BU87" s="3"/>
      <c r="BV87" s="3"/>
      <c r="BW87" s="3"/>
      <c r="BX87" s="103"/>
      <c r="BY87" s="3"/>
      <c r="BZ87" s="3"/>
      <c r="CA87" s="3"/>
      <c r="CB87" s="103"/>
      <c r="CC87" s="3"/>
      <c r="CD87" s="3"/>
      <c r="CE87" s="3"/>
      <c r="CF87" s="103"/>
      <c r="CG87" s="3"/>
      <c r="CH87" s="3"/>
      <c r="CI87" s="3"/>
      <c r="CJ87" s="103"/>
      <c r="CK87" s="3"/>
      <c r="CL87" s="3"/>
      <c r="CM87" s="3"/>
      <c r="CN87" s="103"/>
      <c r="CO87" s="3"/>
      <c r="CP87" s="3"/>
      <c r="CQ87" s="3"/>
      <c r="CR87" s="103"/>
      <c r="CS87" s="3"/>
      <c r="CT87" s="3"/>
      <c r="CU87" s="3"/>
      <c r="CV87" s="103"/>
      <c r="CW87" s="3"/>
      <c r="CX87" s="3"/>
      <c r="CY87" s="3"/>
      <c r="CZ87" s="103"/>
      <c r="DA87" s="3"/>
      <c r="DB87" s="3"/>
      <c r="DC87" s="3"/>
      <c r="DD87" s="103"/>
      <c r="DE87" s="3"/>
      <c r="DF87" s="3"/>
      <c r="DG87" s="3"/>
      <c r="DH87" s="103"/>
      <c r="DI87" s="3"/>
      <c r="DJ87" s="3"/>
      <c r="DK87" s="3"/>
      <c r="DL87" s="103"/>
      <c r="DM87" s="60"/>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row>
    <row r="88" spans="1:153" ht="1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53"/>
      <c r="AB88" s="84"/>
      <c r="AC88" s="84"/>
      <c r="AD88" s="84"/>
      <c r="AE88" s="84"/>
      <c r="AF88" s="84"/>
      <c r="AG88" s="84"/>
      <c r="AH88" s="84"/>
      <c r="AI88" s="84"/>
      <c r="AJ88" s="84"/>
      <c r="AK88" s="84"/>
      <c r="AL88" s="84"/>
      <c r="AM88" s="84"/>
      <c r="AN88" s="53"/>
      <c r="AO88" s="53"/>
      <c r="AP88" s="84"/>
      <c r="AQ88" s="84"/>
      <c r="AR88" s="84"/>
      <c r="AS88" s="84"/>
      <c r="AT88" s="84"/>
      <c r="AU88" s="84"/>
      <c r="AV88" s="84"/>
      <c r="AW88" s="84"/>
      <c r="AX88" s="84"/>
      <c r="AY88" s="84"/>
      <c r="AZ88" s="84"/>
      <c r="BA88" s="84"/>
      <c r="BB88" s="53"/>
      <c r="BC88" s="16"/>
      <c r="BD88" s="16"/>
      <c r="BE88" s="16"/>
      <c r="BF88" s="16"/>
      <c r="BG88" s="16"/>
      <c r="BH88" s="16"/>
      <c r="BI88" s="16"/>
      <c r="BJ88" s="16"/>
      <c r="BK88" s="16"/>
      <c r="BL88" s="16"/>
      <c r="BM88" s="16"/>
      <c r="BN88" s="16"/>
      <c r="BO88" s="55"/>
      <c r="BP88" s="60"/>
      <c r="BQ88" s="3"/>
      <c r="BR88" s="3"/>
      <c r="BS88" s="3"/>
      <c r="BT88" s="107"/>
      <c r="BU88" s="3"/>
      <c r="BV88" s="3"/>
      <c r="BW88" s="3"/>
      <c r="BX88" s="103"/>
      <c r="BY88" s="3"/>
      <c r="BZ88" s="3"/>
      <c r="CA88" s="3"/>
      <c r="CB88" s="103"/>
      <c r="CC88" s="3"/>
      <c r="CD88" s="3"/>
      <c r="CE88" s="3"/>
      <c r="CF88" s="103"/>
      <c r="CG88" s="3"/>
      <c r="CH88" s="3"/>
      <c r="CI88" s="3"/>
      <c r="CJ88" s="103"/>
      <c r="CK88" s="3"/>
      <c r="CL88" s="3"/>
      <c r="CM88" s="3"/>
      <c r="CN88" s="103"/>
      <c r="CO88" s="3"/>
      <c r="CP88" s="3"/>
      <c r="CQ88" s="3"/>
      <c r="CR88" s="103"/>
      <c r="CS88" s="3"/>
      <c r="CT88" s="3"/>
      <c r="CU88" s="3"/>
      <c r="CV88" s="103"/>
      <c r="CW88" s="3"/>
      <c r="CX88" s="3"/>
      <c r="CY88" s="3"/>
      <c r="CZ88" s="103"/>
      <c r="DA88" s="3"/>
      <c r="DB88" s="3"/>
      <c r="DC88" s="3"/>
      <c r="DD88" s="103"/>
      <c r="DE88" s="3"/>
      <c r="DF88" s="3"/>
      <c r="DG88" s="3"/>
      <c r="DH88" s="103"/>
      <c r="DI88" s="3"/>
      <c r="DJ88" s="3"/>
      <c r="DK88" s="3"/>
      <c r="DL88" s="103"/>
      <c r="DM88" s="60"/>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row>
    <row r="89" spans="1:153" ht="1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53"/>
      <c r="AB89" s="84"/>
      <c r="AC89" s="84"/>
      <c r="AD89" s="84"/>
      <c r="AE89" s="84"/>
      <c r="AF89" s="84"/>
      <c r="AG89" s="84"/>
      <c r="AH89" s="84"/>
      <c r="AI89" s="84"/>
      <c r="AJ89" s="84"/>
      <c r="AK89" s="84"/>
      <c r="AL89" s="84"/>
      <c r="AM89" s="84"/>
      <c r="AN89" s="53"/>
      <c r="AO89" s="53"/>
      <c r="AP89" s="84"/>
      <c r="AQ89" s="84"/>
      <c r="AR89" s="84"/>
      <c r="AS89" s="84"/>
      <c r="AT89" s="84"/>
      <c r="AU89" s="84"/>
      <c r="AV89" s="84"/>
      <c r="AW89" s="84"/>
      <c r="AX89" s="84"/>
      <c r="AY89" s="84"/>
      <c r="AZ89" s="84"/>
      <c r="BA89" s="84"/>
      <c r="BB89" s="53"/>
      <c r="BC89" s="16"/>
      <c r="BD89" s="16"/>
      <c r="BE89" s="16"/>
      <c r="BF89" s="16"/>
      <c r="BG89" s="16"/>
      <c r="BH89" s="16"/>
      <c r="BI89" s="16"/>
      <c r="BJ89" s="16"/>
      <c r="BK89" s="16"/>
      <c r="BL89" s="16"/>
      <c r="BM89" s="16"/>
      <c r="BN89" s="16"/>
      <c r="BO89" s="55"/>
      <c r="BP89" s="60"/>
      <c r="BQ89" s="3"/>
      <c r="BR89" s="3"/>
      <c r="BS89" s="3"/>
      <c r="BT89" s="107"/>
      <c r="BU89" s="3"/>
      <c r="BV89" s="3"/>
      <c r="BW89" s="3"/>
      <c r="BX89" s="103"/>
      <c r="BY89" s="3"/>
      <c r="BZ89" s="3"/>
      <c r="CA89" s="3"/>
      <c r="CB89" s="103"/>
      <c r="CC89" s="3"/>
      <c r="CD89" s="3"/>
      <c r="CE89" s="3"/>
      <c r="CF89" s="103"/>
      <c r="CG89" s="3"/>
      <c r="CH89" s="3"/>
      <c r="CI89" s="3"/>
      <c r="CJ89" s="103"/>
      <c r="CK89" s="3"/>
      <c r="CL89" s="3"/>
      <c r="CM89" s="3"/>
      <c r="CN89" s="103"/>
      <c r="CO89" s="3"/>
      <c r="CP89" s="3"/>
      <c r="CQ89" s="3"/>
      <c r="CR89" s="103"/>
      <c r="CS89" s="3"/>
      <c r="CT89" s="3"/>
      <c r="CU89" s="3"/>
      <c r="CV89" s="103"/>
      <c r="CW89" s="3"/>
      <c r="CX89" s="3"/>
      <c r="CY89" s="3"/>
      <c r="CZ89" s="103"/>
      <c r="DA89" s="3"/>
      <c r="DB89" s="3"/>
      <c r="DC89" s="3"/>
      <c r="DD89" s="103"/>
      <c r="DE89" s="3"/>
      <c r="DF89" s="3"/>
      <c r="DG89" s="3"/>
      <c r="DH89" s="103"/>
      <c r="DI89" s="3"/>
      <c r="DJ89" s="3"/>
      <c r="DK89" s="3"/>
      <c r="DL89" s="103"/>
      <c r="DM89" s="60"/>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row>
    <row r="90" spans="1:153" ht="1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53"/>
      <c r="AB90" s="84"/>
      <c r="AC90" s="84"/>
      <c r="AD90" s="84"/>
      <c r="AE90" s="84"/>
      <c r="AF90" s="84"/>
      <c r="AG90" s="84"/>
      <c r="AH90" s="84"/>
      <c r="AI90" s="84"/>
      <c r="AJ90" s="84"/>
      <c r="AK90" s="84"/>
      <c r="AL90" s="84"/>
      <c r="AM90" s="84"/>
      <c r="AN90" s="53"/>
      <c r="AO90" s="53"/>
      <c r="AP90" s="84"/>
      <c r="AQ90" s="84"/>
      <c r="AR90" s="84"/>
      <c r="AS90" s="84"/>
      <c r="AT90" s="84"/>
      <c r="AU90" s="84"/>
      <c r="AV90" s="84"/>
      <c r="AW90" s="84"/>
      <c r="AX90" s="84"/>
      <c r="AY90" s="84"/>
      <c r="AZ90" s="84"/>
      <c r="BA90" s="84"/>
      <c r="BB90" s="53"/>
      <c r="BC90" s="16"/>
      <c r="BD90" s="16"/>
      <c r="BE90" s="16"/>
      <c r="BF90" s="16"/>
      <c r="BG90" s="16"/>
      <c r="BH90" s="16"/>
      <c r="BI90" s="16"/>
      <c r="BJ90" s="16"/>
      <c r="BK90" s="16"/>
      <c r="BL90" s="16"/>
      <c r="BM90" s="16"/>
      <c r="BN90" s="16"/>
      <c r="BO90" s="55"/>
      <c r="BP90" s="60"/>
      <c r="BQ90" s="3"/>
      <c r="BR90" s="3"/>
      <c r="BS90" s="3"/>
      <c r="BT90" s="107"/>
      <c r="BU90" s="3"/>
      <c r="BV90" s="3"/>
      <c r="BW90" s="3"/>
      <c r="BX90" s="103"/>
      <c r="BY90" s="3"/>
      <c r="BZ90" s="3"/>
      <c r="CA90" s="3"/>
      <c r="CB90" s="103"/>
      <c r="CC90" s="3"/>
      <c r="CD90" s="3"/>
      <c r="CE90" s="3"/>
      <c r="CF90" s="103"/>
      <c r="CG90" s="3"/>
      <c r="CH90" s="3"/>
      <c r="CI90" s="3"/>
      <c r="CJ90" s="103"/>
      <c r="CK90" s="3"/>
      <c r="CL90" s="3"/>
      <c r="CM90" s="3"/>
      <c r="CN90" s="103"/>
      <c r="CO90" s="3"/>
      <c r="CP90" s="3"/>
      <c r="CQ90" s="3"/>
      <c r="CR90" s="103"/>
      <c r="CS90" s="3"/>
      <c r="CT90" s="3"/>
      <c r="CU90" s="3"/>
      <c r="CV90" s="103"/>
      <c r="CW90" s="3"/>
      <c r="CX90" s="3"/>
      <c r="CY90" s="3"/>
      <c r="CZ90" s="103"/>
      <c r="DA90" s="3"/>
      <c r="DB90" s="3"/>
      <c r="DC90" s="3"/>
      <c r="DD90" s="103"/>
      <c r="DE90" s="3"/>
      <c r="DF90" s="3"/>
      <c r="DG90" s="3"/>
      <c r="DH90" s="103"/>
      <c r="DI90" s="3"/>
      <c r="DJ90" s="3"/>
      <c r="DK90" s="3"/>
      <c r="DL90" s="103"/>
      <c r="DM90" s="60"/>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row>
    <row r="91" spans="1:153" ht="1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53"/>
      <c r="AB91" s="84"/>
      <c r="AC91" s="84"/>
      <c r="AD91" s="84"/>
      <c r="AE91" s="84"/>
      <c r="AF91" s="84"/>
      <c r="AG91" s="84"/>
      <c r="AH91" s="84"/>
      <c r="AI91" s="84"/>
      <c r="AJ91" s="84"/>
      <c r="AK91" s="84"/>
      <c r="AL91" s="84"/>
      <c r="AM91" s="84"/>
      <c r="AN91" s="53"/>
      <c r="AO91" s="53"/>
      <c r="AP91" s="84"/>
      <c r="AQ91" s="84"/>
      <c r="AR91" s="84"/>
      <c r="AS91" s="84"/>
      <c r="AT91" s="84"/>
      <c r="AU91" s="84"/>
      <c r="AV91" s="84"/>
      <c r="AW91" s="84"/>
      <c r="AX91" s="84"/>
      <c r="AY91" s="84"/>
      <c r="AZ91" s="84"/>
      <c r="BA91" s="84"/>
      <c r="BB91" s="53"/>
      <c r="BC91" s="16"/>
      <c r="BD91" s="16"/>
      <c r="BE91" s="16"/>
      <c r="BF91" s="16"/>
      <c r="BG91" s="16"/>
      <c r="BH91" s="16"/>
      <c r="BI91" s="16"/>
      <c r="BJ91" s="16"/>
      <c r="BK91" s="16"/>
      <c r="BL91" s="16"/>
      <c r="BM91" s="16"/>
      <c r="BN91" s="16"/>
      <c r="BO91" s="55"/>
      <c r="BP91" s="60"/>
      <c r="BQ91" s="3"/>
      <c r="BR91" s="3"/>
      <c r="BS91" s="3"/>
      <c r="BT91" s="107"/>
      <c r="BU91" s="3"/>
      <c r="BV91" s="3"/>
      <c r="BW91" s="3"/>
      <c r="BX91" s="103"/>
      <c r="BY91" s="3"/>
      <c r="BZ91" s="3"/>
      <c r="CA91" s="3"/>
      <c r="CB91" s="103"/>
      <c r="CC91" s="3"/>
      <c r="CD91" s="3"/>
      <c r="CE91" s="3"/>
      <c r="CF91" s="103"/>
      <c r="CG91" s="3"/>
      <c r="CH91" s="3"/>
      <c r="CI91" s="3"/>
      <c r="CJ91" s="103"/>
      <c r="CK91" s="3"/>
      <c r="CL91" s="3"/>
      <c r="CM91" s="3"/>
      <c r="CN91" s="103"/>
      <c r="CO91" s="3"/>
      <c r="CP91" s="3"/>
      <c r="CQ91" s="3"/>
      <c r="CR91" s="103"/>
      <c r="CS91" s="3"/>
      <c r="CT91" s="3"/>
      <c r="CU91" s="3"/>
      <c r="CV91" s="103"/>
      <c r="CW91" s="3"/>
      <c r="CX91" s="3"/>
      <c r="CY91" s="3"/>
      <c r="CZ91" s="103"/>
      <c r="DA91" s="3"/>
      <c r="DB91" s="3"/>
      <c r="DC91" s="3"/>
      <c r="DD91" s="103"/>
      <c r="DE91" s="3"/>
      <c r="DF91" s="3"/>
      <c r="DG91" s="3"/>
      <c r="DH91" s="103"/>
      <c r="DI91" s="3"/>
      <c r="DJ91" s="3"/>
      <c r="DK91" s="3"/>
      <c r="DL91" s="103"/>
      <c r="DM91" s="60"/>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row>
    <row r="92" spans="1:153" ht="1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53"/>
      <c r="AB92" s="84"/>
      <c r="AC92" s="84"/>
      <c r="AD92" s="84"/>
      <c r="AE92" s="84"/>
      <c r="AF92" s="84"/>
      <c r="AG92" s="84"/>
      <c r="AH92" s="84"/>
      <c r="AI92" s="84"/>
      <c r="AJ92" s="84"/>
      <c r="AK92" s="84"/>
      <c r="AL92" s="84"/>
      <c r="AM92" s="84"/>
      <c r="AN92" s="53"/>
      <c r="AO92" s="53"/>
      <c r="AP92" s="84"/>
      <c r="AQ92" s="84"/>
      <c r="AR92" s="84"/>
      <c r="AS92" s="84"/>
      <c r="AT92" s="84"/>
      <c r="AU92" s="84"/>
      <c r="AV92" s="84"/>
      <c r="AW92" s="84"/>
      <c r="AX92" s="84"/>
      <c r="AY92" s="84"/>
      <c r="AZ92" s="84"/>
      <c r="BA92" s="84"/>
      <c r="BB92" s="53"/>
      <c r="BC92" s="16"/>
      <c r="BD92" s="16"/>
      <c r="BE92" s="16"/>
      <c r="BF92" s="16"/>
      <c r="BG92" s="16"/>
      <c r="BH92" s="16"/>
      <c r="BI92" s="16"/>
      <c r="BJ92" s="16"/>
      <c r="BK92" s="16"/>
      <c r="BL92" s="16"/>
      <c r="BM92" s="16"/>
      <c r="BN92" s="16"/>
      <c r="BO92" s="55"/>
      <c r="BP92" s="60"/>
      <c r="BQ92" s="3"/>
      <c r="BR92" s="3"/>
      <c r="BS92" s="3"/>
      <c r="BT92" s="107"/>
      <c r="BU92" s="3"/>
      <c r="BV92" s="3"/>
      <c r="BW92" s="3"/>
      <c r="BX92" s="103"/>
      <c r="BY92" s="3"/>
      <c r="BZ92" s="3"/>
      <c r="CA92" s="3"/>
      <c r="CB92" s="103"/>
      <c r="CC92" s="3"/>
      <c r="CD92" s="3"/>
      <c r="CE92" s="3"/>
      <c r="CF92" s="103"/>
      <c r="CG92" s="3"/>
      <c r="CH92" s="3"/>
      <c r="CI92" s="3"/>
      <c r="CJ92" s="103"/>
      <c r="CK92" s="3"/>
      <c r="CL92" s="3"/>
      <c r="CM92" s="3"/>
      <c r="CN92" s="103"/>
      <c r="CO92" s="3"/>
      <c r="CP92" s="3"/>
      <c r="CQ92" s="3"/>
      <c r="CR92" s="103"/>
      <c r="CS92" s="3"/>
      <c r="CT92" s="3"/>
      <c r="CU92" s="3"/>
      <c r="CV92" s="103"/>
      <c r="CW92" s="3"/>
      <c r="CX92" s="3"/>
      <c r="CY92" s="3"/>
      <c r="CZ92" s="103"/>
      <c r="DA92" s="3"/>
      <c r="DB92" s="3"/>
      <c r="DC92" s="3"/>
      <c r="DD92" s="103"/>
      <c r="DE92" s="3"/>
      <c r="DF92" s="3"/>
      <c r="DG92" s="3"/>
      <c r="DH92" s="103"/>
      <c r="DI92" s="3"/>
      <c r="DJ92" s="3"/>
      <c r="DK92" s="3"/>
      <c r="DL92" s="103"/>
      <c r="DM92" s="60"/>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row>
    <row r="93" spans="1:153" ht="1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53"/>
      <c r="AB93" s="84"/>
      <c r="AC93" s="84"/>
      <c r="AD93" s="84"/>
      <c r="AE93" s="84"/>
      <c r="AF93" s="84"/>
      <c r="AG93" s="84"/>
      <c r="AH93" s="84"/>
      <c r="AI93" s="84"/>
      <c r="AJ93" s="84"/>
      <c r="AK93" s="84"/>
      <c r="AL93" s="84"/>
      <c r="AM93" s="84"/>
      <c r="AN93" s="53"/>
      <c r="AO93" s="53"/>
      <c r="AP93" s="84"/>
      <c r="AQ93" s="84"/>
      <c r="AR93" s="84"/>
      <c r="AS93" s="84"/>
      <c r="AT93" s="84"/>
      <c r="AU93" s="84"/>
      <c r="AV93" s="84"/>
      <c r="AW93" s="84"/>
      <c r="AX93" s="84"/>
      <c r="AY93" s="84"/>
      <c r="AZ93" s="84"/>
      <c r="BA93" s="84"/>
      <c r="BB93" s="53"/>
      <c r="BC93" s="16"/>
      <c r="BD93" s="16"/>
      <c r="BE93" s="16"/>
      <c r="BF93" s="16"/>
      <c r="BG93" s="16"/>
      <c r="BH93" s="16"/>
      <c r="BI93" s="16"/>
      <c r="BJ93" s="16"/>
      <c r="BK93" s="16"/>
      <c r="BL93" s="16"/>
      <c r="BM93" s="16"/>
      <c r="BN93" s="16"/>
      <c r="BO93" s="55"/>
      <c r="BP93" s="60"/>
      <c r="BQ93" s="3"/>
      <c r="BR93" s="3"/>
      <c r="BS93" s="3"/>
      <c r="BT93" s="107"/>
      <c r="BU93" s="3"/>
      <c r="BV93" s="3"/>
      <c r="BW93" s="3"/>
      <c r="BX93" s="103"/>
      <c r="BY93" s="3"/>
      <c r="BZ93" s="3"/>
      <c r="CA93" s="3"/>
      <c r="CB93" s="103"/>
      <c r="CC93" s="3"/>
      <c r="CD93" s="3"/>
      <c r="CE93" s="3"/>
      <c r="CF93" s="103"/>
      <c r="CG93" s="3"/>
      <c r="CH93" s="3"/>
      <c r="CI93" s="3"/>
      <c r="CJ93" s="103"/>
      <c r="CK93" s="3"/>
      <c r="CL93" s="3"/>
      <c r="CM93" s="3"/>
      <c r="CN93" s="103"/>
      <c r="CO93" s="3"/>
      <c r="CP93" s="3"/>
      <c r="CQ93" s="3"/>
      <c r="CR93" s="103"/>
      <c r="CS93" s="3"/>
      <c r="CT93" s="3"/>
      <c r="CU93" s="3"/>
      <c r="CV93" s="103"/>
      <c r="CW93" s="3"/>
      <c r="CX93" s="3"/>
      <c r="CY93" s="3"/>
      <c r="CZ93" s="103"/>
      <c r="DA93" s="3"/>
      <c r="DB93" s="3"/>
      <c r="DC93" s="3"/>
      <c r="DD93" s="103"/>
      <c r="DE93" s="3"/>
      <c r="DF93" s="3"/>
      <c r="DG93" s="3"/>
      <c r="DH93" s="103"/>
      <c r="DI93" s="3"/>
      <c r="DJ93" s="3"/>
      <c r="DK93" s="3"/>
      <c r="DL93" s="103"/>
      <c r="DM93" s="60"/>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row>
    <row r="94" spans="1:153" ht="1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53"/>
      <c r="AB94" s="84"/>
      <c r="AC94" s="84"/>
      <c r="AD94" s="84"/>
      <c r="AE94" s="84"/>
      <c r="AF94" s="84"/>
      <c r="AG94" s="84"/>
      <c r="AH94" s="84"/>
      <c r="AI94" s="84"/>
      <c r="AJ94" s="84"/>
      <c r="AK94" s="84"/>
      <c r="AL94" s="84"/>
      <c r="AM94" s="84"/>
      <c r="AN94" s="53"/>
      <c r="AO94" s="53"/>
      <c r="AP94" s="84"/>
      <c r="AQ94" s="84"/>
      <c r="AR94" s="84"/>
      <c r="AS94" s="84"/>
      <c r="AT94" s="84"/>
      <c r="AU94" s="84"/>
      <c r="AV94" s="84"/>
      <c r="AW94" s="84"/>
      <c r="AX94" s="84"/>
      <c r="AY94" s="84"/>
      <c r="AZ94" s="84"/>
      <c r="BA94" s="84"/>
      <c r="BB94" s="53"/>
      <c r="BC94" s="16"/>
      <c r="BD94" s="16"/>
      <c r="BE94" s="16"/>
      <c r="BF94" s="16"/>
      <c r="BG94" s="16"/>
      <c r="BH94" s="16"/>
      <c r="BI94" s="16"/>
      <c r="BJ94" s="16"/>
      <c r="BK94" s="16"/>
      <c r="BL94" s="16"/>
      <c r="BM94" s="16"/>
      <c r="BN94" s="16"/>
      <c r="BO94" s="55"/>
      <c r="BP94" s="60"/>
      <c r="BQ94" s="3"/>
      <c r="BR94" s="3"/>
      <c r="BS94" s="3"/>
      <c r="BT94" s="107"/>
      <c r="BU94" s="3"/>
      <c r="BV94" s="3"/>
      <c r="BW94" s="3"/>
      <c r="BX94" s="103"/>
      <c r="BY94" s="3"/>
      <c r="BZ94" s="3"/>
      <c r="CA94" s="3"/>
      <c r="CB94" s="103"/>
      <c r="CC94" s="3"/>
      <c r="CD94" s="3"/>
      <c r="CE94" s="3"/>
      <c r="CF94" s="103"/>
      <c r="CG94" s="3"/>
      <c r="CH94" s="3"/>
      <c r="CI94" s="3"/>
      <c r="CJ94" s="103"/>
      <c r="CK94" s="3"/>
      <c r="CL94" s="3"/>
      <c r="CM94" s="3"/>
      <c r="CN94" s="103"/>
      <c r="CO94" s="3"/>
      <c r="CP94" s="3"/>
      <c r="CQ94" s="3"/>
      <c r="CR94" s="103"/>
      <c r="CS94" s="3"/>
      <c r="CT94" s="3"/>
      <c r="CU94" s="3"/>
      <c r="CV94" s="103"/>
      <c r="CW94" s="3"/>
      <c r="CX94" s="3"/>
      <c r="CY94" s="3"/>
      <c r="CZ94" s="103"/>
      <c r="DA94" s="3"/>
      <c r="DB94" s="3"/>
      <c r="DC94" s="3"/>
      <c r="DD94" s="103"/>
      <c r="DE94" s="3"/>
      <c r="DF94" s="3"/>
      <c r="DG94" s="3"/>
      <c r="DH94" s="103"/>
      <c r="DI94" s="3"/>
      <c r="DJ94" s="3"/>
      <c r="DK94" s="3"/>
      <c r="DL94" s="103"/>
      <c r="DM94" s="60"/>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row>
    <row r="95" spans="1:153" ht="1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53"/>
      <c r="AB95" s="84"/>
      <c r="AC95" s="84"/>
      <c r="AD95" s="84"/>
      <c r="AE95" s="84"/>
      <c r="AF95" s="84"/>
      <c r="AG95" s="84"/>
      <c r="AH95" s="84"/>
      <c r="AI95" s="84"/>
      <c r="AJ95" s="84"/>
      <c r="AK95" s="84"/>
      <c r="AL95" s="84"/>
      <c r="AM95" s="84"/>
      <c r="AN95" s="53"/>
      <c r="AO95" s="53"/>
      <c r="AP95" s="84"/>
      <c r="AQ95" s="84"/>
      <c r="AR95" s="84"/>
      <c r="AS95" s="84"/>
      <c r="AT95" s="84"/>
      <c r="AU95" s="84"/>
      <c r="AV95" s="84"/>
      <c r="AW95" s="84"/>
      <c r="AX95" s="84"/>
      <c r="AY95" s="84"/>
      <c r="AZ95" s="84"/>
      <c r="BA95" s="84"/>
      <c r="BB95" s="53"/>
      <c r="BC95" s="16"/>
      <c r="BD95" s="16"/>
      <c r="BE95" s="16"/>
      <c r="BF95" s="16"/>
      <c r="BG95" s="16"/>
      <c r="BH95" s="16"/>
      <c r="BI95" s="16"/>
      <c r="BJ95" s="16"/>
      <c r="BK95" s="16"/>
      <c r="BL95" s="16"/>
      <c r="BM95" s="16"/>
      <c r="BN95" s="16"/>
      <c r="BO95" s="55"/>
      <c r="BP95" s="60"/>
      <c r="BQ95" s="3"/>
      <c r="BR95" s="3"/>
      <c r="BS95" s="3"/>
      <c r="BT95" s="107"/>
      <c r="BU95" s="3"/>
      <c r="BV95" s="3"/>
      <c r="BW95" s="3"/>
      <c r="BX95" s="103"/>
      <c r="BY95" s="3"/>
      <c r="BZ95" s="3"/>
      <c r="CA95" s="3"/>
      <c r="CB95" s="103"/>
      <c r="CC95" s="3"/>
      <c r="CD95" s="3"/>
      <c r="CE95" s="3"/>
      <c r="CF95" s="103"/>
      <c r="CG95" s="3"/>
      <c r="CH95" s="3"/>
      <c r="CI95" s="3"/>
      <c r="CJ95" s="103"/>
      <c r="CK95" s="3"/>
      <c r="CL95" s="3"/>
      <c r="CM95" s="3"/>
      <c r="CN95" s="103"/>
      <c r="CO95" s="3"/>
      <c r="CP95" s="3"/>
      <c r="CQ95" s="3"/>
      <c r="CR95" s="103"/>
      <c r="CS95" s="3"/>
      <c r="CT95" s="3"/>
      <c r="CU95" s="3"/>
      <c r="CV95" s="103"/>
      <c r="CW95" s="3"/>
      <c r="CX95" s="3"/>
      <c r="CY95" s="3"/>
      <c r="CZ95" s="103"/>
      <c r="DA95" s="3"/>
      <c r="DB95" s="3"/>
      <c r="DC95" s="3"/>
      <c r="DD95" s="103"/>
      <c r="DE95" s="3"/>
      <c r="DF95" s="3"/>
      <c r="DG95" s="3"/>
      <c r="DH95" s="103"/>
      <c r="DI95" s="3"/>
      <c r="DJ95" s="3"/>
      <c r="DK95" s="3"/>
      <c r="DL95" s="103"/>
      <c r="DM95" s="60"/>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row>
    <row r="96" spans="1:153" ht="1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53"/>
      <c r="AB96" s="84"/>
      <c r="AC96" s="84"/>
      <c r="AD96" s="84"/>
      <c r="AE96" s="84"/>
      <c r="AF96" s="84"/>
      <c r="AG96" s="84"/>
      <c r="AH96" s="84"/>
      <c r="AI96" s="84"/>
      <c r="AJ96" s="84"/>
      <c r="AK96" s="84"/>
      <c r="AL96" s="84"/>
      <c r="AM96" s="84"/>
      <c r="AN96" s="53"/>
      <c r="AO96" s="53"/>
      <c r="AP96" s="84"/>
      <c r="AQ96" s="84"/>
      <c r="AR96" s="84"/>
      <c r="AS96" s="84"/>
      <c r="AT96" s="84"/>
      <c r="AU96" s="84"/>
      <c r="AV96" s="84"/>
      <c r="AW96" s="84"/>
      <c r="AX96" s="84"/>
      <c r="AY96" s="84"/>
      <c r="AZ96" s="84"/>
      <c r="BA96" s="84"/>
      <c r="BB96" s="53"/>
      <c r="BC96" s="16"/>
      <c r="BD96" s="16"/>
      <c r="BE96" s="16"/>
      <c r="BF96" s="16"/>
      <c r="BG96" s="16"/>
      <c r="BH96" s="16"/>
      <c r="BI96" s="16"/>
      <c r="BJ96" s="16"/>
      <c r="BK96" s="16"/>
      <c r="BL96" s="16"/>
      <c r="BM96" s="16"/>
      <c r="BN96" s="16"/>
      <c r="BO96" s="55"/>
      <c r="BP96" s="60"/>
      <c r="BQ96" s="3"/>
      <c r="BR96" s="3"/>
      <c r="BS96" s="3"/>
      <c r="BT96" s="107"/>
      <c r="BU96" s="3"/>
      <c r="BV96" s="3"/>
      <c r="BW96" s="3"/>
      <c r="BX96" s="103"/>
      <c r="BY96" s="3"/>
      <c r="BZ96" s="3"/>
      <c r="CA96" s="3"/>
      <c r="CB96" s="103"/>
      <c r="CC96" s="3"/>
      <c r="CD96" s="3"/>
      <c r="CE96" s="3"/>
      <c r="CF96" s="103"/>
      <c r="CG96" s="3"/>
      <c r="CH96" s="3"/>
      <c r="CI96" s="3"/>
      <c r="CJ96" s="103"/>
      <c r="CK96" s="3"/>
      <c r="CL96" s="3"/>
      <c r="CM96" s="3"/>
      <c r="CN96" s="103"/>
      <c r="CO96" s="3"/>
      <c r="CP96" s="3"/>
      <c r="CQ96" s="3"/>
      <c r="CR96" s="103"/>
      <c r="CS96" s="3"/>
      <c r="CT96" s="3"/>
      <c r="CU96" s="3"/>
      <c r="CV96" s="103"/>
      <c r="CW96" s="3"/>
      <c r="CX96" s="3"/>
      <c r="CY96" s="3"/>
      <c r="CZ96" s="103"/>
      <c r="DA96" s="3"/>
      <c r="DB96" s="3"/>
      <c r="DC96" s="3"/>
      <c r="DD96" s="103"/>
      <c r="DE96" s="3"/>
      <c r="DF96" s="3"/>
      <c r="DG96" s="3"/>
      <c r="DH96" s="103"/>
      <c r="DI96" s="3"/>
      <c r="DJ96" s="3"/>
      <c r="DK96" s="3"/>
      <c r="DL96" s="103"/>
      <c r="DM96" s="60"/>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row>
    <row r="97" spans="1:153" ht="1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53"/>
      <c r="AB97" s="84"/>
      <c r="AC97" s="84"/>
      <c r="AD97" s="84"/>
      <c r="AE97" s="84"/>
      <c r="AF97" s="84"/>
      <c r="AG97" s="84"/>
      <c r="AH97" s="84"/>
      <c r="AI97" s="84"/>
      <c r="AJ97" s="84"/>
      <c r="AK97" s="84"/>
      <c r="AL97" s="84"/>
      <c r="AM97" s="84"/>
      <c r="AN97" s="53"/>
      <c r="AO97" s="53"/>
      <c r="AP97" s="84"/>
      <c r="AQ97" s="84"/>
      <c r="AR97" s="84"/>
      <c r="AS97" s="84"/>
      <c r="AT97" s="84"/>
      <c r="AU97" s="84"/>
      <c r="AV97" s="84"/>
      <c r="AW97" s="84"/>
      <c r="AX97" s="84"/>
      <c r="AY97" s="84"/>
      <c r="AZ97" s="84"/>
      <c r="BA97" s="84"/>
      <c r="BB97" s="53"/>
      <c r="BC97" s="16"/>
      <c r="BD97" s="16"/>
      <c r="BE97" s="16"/>
      <c r="BF97" s="16"/>
      <c r="BG97" s="16"/>
      <c r="BH97" s="16"/>
      <c r="BI97" s="16"/>
      <c r="BJ97" s="16"/>
      <c r="BK97" s="16"/>
      <c r="BL97" s="16"/>
      <c r="BM97" s="16"/>
      <c r="BN97" s="16"/>
      <c r="BO97" s="55"/>
      <c r="BP97" s="60"/>
      <c r="BQ97" s="3"/>
      <c r="BR97" s="3"/>
      <c r="BS97" s="3"/>
      <c r="BT97" s="107"/>
      <c r="BU97" s="3"/>
      <c r="BV97" s="3"/>
      <c r="BW97" s="3"/>
      <c r="BX97" s="103"/>
      <c r="BY97" s="3"/>
      <c r="BZ97" s="3"/>
      <c r="CA97" s="3"/>
      <c r="CB97" s="103"/>
      <c r="CC97" s="3"/>
      <c r="CD97" s="3"/>
      <c r="CE97" s="3"/>
      <c r="CF97" s="103"/>
      <c r="CG97" s="3"/>
      <c r="CH97" s="3"/>
      <c r="CI97" s="3"/>
      <c r="CJ97" s="103"/>
      <c r="CK97" s="3"/>
      <c r="CL97" s="3"/>
      <c r="CM97" s="3"/>
      <c r="CN97" s="103"/>
      <c r="CO97" s="3"/>
      <c r="CP97" s="3"/>
      <c r="CQ97" s="3"/>
      <c r="CR97" s="103"/>
      <c r="CS97" s="3"/>
      <c r="CT97" s="3"/>
      <c r="CU97" s="3"/>
      <c r="CV97" s="103"/>
      <c r="CW97" s="3"/>
      <c r="CX97" s="3"/>
      <c r="CY97" s="3"/>
      <c r="CZ97" s="103"/>
      <c r="DA97" s="3"/>
      <c r="DB97" s="3"/>
      <c r="DC97" s="3"/>
      <c r="DD97" s="103"/>
      <c r="DE97" s="3"/>
      <c r="DF97" s="3"/>
      <c r="DG97" s="3"/>
      <c r="DH97" s="103"/>
      <c r="DI97" s="3"/>
      <c r="DJ97" s="3"/>
      <c r="DK97" s="3"/>
      <c r="DL97" s="103"/>
      <c r="DM97" s="60"/>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row>
    <row r="98" spans="1:153" ht="1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53"/>
      <c r="AB98" s="84"/>
      <c r="AC98" s="84"/>
      <c r="AD98" s="84"/>
      <c r="AE98" s="84"/>
      <c r="AF98" s="84"/>
      <c r="AG98" s="84"/>
      <c r="AH98" s="84"/>
      <c r="AI98" s="84"/>
      <c r="AJ98" s="84"/>
      <c r="AK98" s="84"/>
      <c r="AL98" s="84"/>
      <c r="AM98" s="84"/>
      <c r="AN98" s="53"/>
      <c r="AO98" s="53"/>
      <c r="AP98" s="84"/>
      <c r="AQ98" s="84"/>
      <c r="AR98" s="84"/>
      <c r="AS98" s="84"/>
      <c r="AT98" s="84"/>
      <c r="AU98" s="84"/>
      <c r="AV98" s="84"/>
      <c r="AW98" s="84"/>
      <c r="AX98" s="84"/>
      <c r="AY98" s="84"/>
      <c r="AZ98" s="84"/>
      <c r="BA98" s="84"/>
      <c r="BB98" s="53"/>
      <c r="BC98" s="16"/>
      <c r="BD98" s="16"/>
      <c r="BE98" s="16"/>
      <c r="BF98" s="16"/>
      <c r="BG98" s="16"/>
      <c r="BH98" s="16"/>
      <c r="BI98" s="16"/>
      <c r="BJ98" s="16"/>
      <c r="BK98" s="16"/>
      <c r="BL98" s="16"/>
      <c r="BM98" s="16"/>
      <c r="BN98" s="16"/>
      <c r="BO98" s="55"/>
      <c r="BP98" s="60"/>
      <c r="BQ98" s="3"/>
      <c r="BR98" s="3"/>
      <c r="BS98" s="3"/>
      <c r="BT98" s="107"/>
      <c r="BU98" s="3"/>
      <c r="BV98" s="3"/>
      <c r="BW98" s="3"/>
      <c r="BX98" s="103"/>
      <c r="BY98" s="3"/>
      <c r="BZ98" s="3"/>
      <c r="CA98" s="3"/>
      <c r="CB98" s="103"/>
      <c r="CC98" s="3"/>
      <c r="CD98" s="3"/>
      <c r="CE98" s="3"/>
      <c r="CF98" s="103"/>
      <c r="CG98" s="3"/>
      <c r="CH98" s="3"/>
      <c r="CI98" s="3"/>
      <c r="CJ98" s="103"/>
      <c r="CK98" s="3"/>
      <c r="CL98" s="3"/>
      <c r="CM98" s="3"/>
      <c r="CN98" s="103"/>
      <c r="CO98" s="3"/>
      <c r="CP98" s="3"/>
      <c r="CQ98" s="3"/>
      <c r="CR98" s="103"/>
      <c r="CS98" s="3"/>
      <c r="CT98" s="3"/>
      <c r="CU98" s="3"/>
      <c r="CV98" s="103"/>
      <c r="CW98" s="3"/>
      <c r="CX98" s="3"/>
      <c r="CY98" s="3"/>
      <c r="CZ98" s="103"/>
      <c r="DA98" s="3"/>
      <c r="DB98" s="3"/>
      <c r="DC98" s="3"/>
      <c r="DD98" s="103"/>
      <c r="DE98" s="3"/>
      <c r="DF98" s="3"/>
      <c r="DG98" s="3"/>
      <c r="DH98" s="103"/>
      <c r="DI98" s="3"/>
      <c r="DJ98" s="3"/>
      <c r="DK98" s="3"/>
      <c r="DL98" s="103"/>
      <c r="DM98" s="60"/>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row>
  </sheetData>
  <mergeCells count="27">
    <mergeCell ref="AP8:BA8"/>
    <mergeCell ref="BC8:BN8"/>
    <mergeCell ref="BQ8:BS8"/>
    <mergeCell ref="BU8:BW8"/>
    <mergeCell ref="AB8:AM8"/>
    <mergeCell ref="BY8:CA8"/>
    <mergeCell ref="CC8:CE8"/>
    <mergeCell ref="CG8:CI8"/>
    <mergeCell ref="CK8:CM8"/>
    <mergeCell ref="CO8:CQ8"/>
    <mergeCell ref="CS8:CU8"/>
    <mergeCell ref="CW8:CY8"/>
    <mergeCell ref="DA8:DC8"/>
    <mergeCell ref="DE8:DG8"/>
    <mergeCell ref="DI8:DK8"/>
    <mergeCell ref="DN8:DP8"/>
    <mergeCell ref="DQ8:DS8"/>
    <mergeCell ref="EU8:EW8"/>
    <mergeCell ref="EO8:EQ8"/>
    <mergeCell ref="ER8:ET8"/>
    <mergeCell ref="EL8:EN8"/>
    <mergeCell ref="EI8:EK8"/>
    <mergeCell ref="EF8:EH8"/>
    <mergeCell ref="EC8:EE8"/>
    <mergeCell ref="DZ8:EB8"/>
    <mergeCell ref="DW8:DY8"/>
    <mergeCell ref="DT8:DV8"/>
  </mergeCells>
  <phoneticPr fontId="3" type="noConversion"/>
  <conditionalFormatting sqref="K10:K98">
    <cfRule type="cellIs" dxfId="292" priority="109" operator="equal">
      <formula>"NB-Offboarded"</formula>
    </cfRule>
    <cfRule type="cellIs" dxfId="291" priority="110" operator="equal">
      <formula>"NB-In-seat"</formula>
    </cfRule>
    <cfRule type="cellIs" dxfId="290" priority="111" operator="equal">
      <formula>"NB-Ready"</formula>
    </cfRule>
    <cfRule type="cellIs" dxfId="289" priority="112" operator="equal">
      <formula>"Cancelled"</formula>
    </cfRule>
    <cfRule type="cellIs" dxfId="288" priority="113" operator="equal">
      <formula>"Hold"</formula>
    </cfRule>
    <cfRule type="cellIs" dxfId="287" priority="114" operator="equal">
      <formula>"Sourcing"</formula>
    </cfRule>
    <cfRule type="cellIs" dxfId="286" priority="115" operator="equal">
      <formula>"Ready"</formula>
    </cfRule>
    <cfRule type="cellIs" dxfId="285" priority="116" operator="equal">
      <formula>"In-seat"</formula>
    </cfRule>
    <cfRule type="cellIs" dxfId="284" priority="117" operator="equal">
      <formula>"Offboarded"</formula>
    </cfRule>
  </conditionalFormatting>
  <conditionalFormatting sqref="AB10:AM98">
    <cfRule type="expression" dxfId="283" priority="5">
      <formula>$H10="Offshore"</formula>
    </cfRule>
    <cfRule type="expression" dxfId="282" priority="6">
      <formula>$H10="Onshore"</formula>
    </cfRule>
  </conditionalFormatting>
  <conditionalFormatting sqref="AP6:BA6 BC6:BN6">
    <cfRule type="colorScale" priority="119">
      <colorScale>
        <cfvo type="min"/>
        <cfvo type="percentile" val="50"/>
        <cfvo type="max"/>
        <color rgb="FF92D050"/>
        <color rgb="FFFFC000"/>
        <color theme="5" tint="-0.249977111117893"/>
      </colorScale>
    </cfRule>
  </conditionalFormatting>
  <conditionalFormatting sqref="AP7:BA7 BC7:BN7">
    <cfRule type="colorScale" priority="118">
      <colorScale>
        <cfvo type="min"/>
        <cfvo type="percentile" val="50"/>
        <cfvo type="max"/>
        <color rgb="FF92D050"/>
        <color rgb="FFFFC000"/>
        <color theme="5" tint="-0.249977111117893"/>
      </colorScale>
    </cfRule>
  </conditionalFormatting>
  <conditionalFormatting sqref="BQ6:DL6 DN6:EW6">
    <cfRule type="colorScale" priority="306">
      <colorScale>
        <cfvo type="min"/>
        <cfvo type="percentile" val="50"/>
        <cfvo type="max"/>
        <color rgb="FF92D050"/>
        <color rgb="FFFFC000"/>
        <color theme="5" tint="-0.249977111117893"/>
      </colorScale>
    </cfRule>
  </conditionalFormatting>
  <conditionalFormatting sqref="BQ7:DL7">
    <cfRule type="colorScale" priority="261">
      <colorScale>
        <cfvo type="min"/>
        <cfvo type="percentile" val="50"/>
        <cfvo type="max"/>
        <color rgb="FF92D050"/>
        <color rgb="FFFFC000"/>
        <color theme="5" tint="-0.249977111117893"/>
      </colorScale>
    </cfRule>
  </conditionalFormatting>
  <conditionalFormatting sqref="DN7:EW7">
    <cfRule type="colorScale" priority="309">
      <colorScale>
        <cfvo type="min"/>
        <cfvo type="percentile" val="50"/>
        <cfvo type="max"/>
        <color rgb="FF92D050"/>
        <color rgb="FFFFC000"/>
        <color theme="5" tint="-0.249977111117893"/>
      </colorScale>
    </cfRule>
  </conditionalFormatting>
  <conditionalFormatting sqref="AP10:BA16">
    <cfRule type="expression" dxfId="281" priority="1">
      <formula>$H10="Offshore"</formula>
    </cfRule>
    <cfRule type="expression" dxfId="280" priority="2">
      <formula>$H10="Onshore"</formula>
    </cfRule>
  </conditionalFormatting>
  <dataValidations count="4">
    <dataValidation type="list" allowBlank="1" showInputMessage="1" showErrorMessage="1" sqref="H49:H51 H70:H71 H84:H86" xr:uid="{B0879F54-7FD4-4FDC-BC40-7FA6492DDE4E}">
      <formula1>"B,A,1,2,3,4,5,6,7,8,9,10,11,12,[TBD]"</formula1>
    </dataValidation>
    <dataValidation type="list" allowBlank="1" showInputMessage="1" showErrorMessage="1" sqref="C10:C86" xr:uid="{C2F92469-BEE3-4015-8DB8-FB026F7C69EE}">
      <formula1>"Staff,Contractor"</formula1>
    </dataValidation>
    <dataValidation type="list" allowBlank="1" showInputMessage="1" showErrorMessage="1" sqref="K10:K86" xr:uid="{B0944213-7EF9-49BE-B226-3544AE3E5F60}">
      <formula1>"Planned,Approved,Sourcing,NB-Ready,Ready,NB-In-seat,In-seat,Offboarded,Cancelled,Hold"</formula1>
    </dataValidation>
    <dataValidation type="list" allowBlank="1" showInputMessage="1" showErrorMessage="1" sqref="L10:L86" xr:uid="{5AA66B84-47B1-4AA2-B463-AB08AEBE21B5}">
      <formula1>"1,0"</formula1>
    </dataValidation>
  </dataValidations>
  <pageMargins left="0.7" right="0.7" top="0.75" bottom="0.75" header="0.3" footer="0.3"/>
  <pageSetup paperSize="9" orientation="portrait" r:id="rId1"/>
  <ignoredErrors>
    <ignoredError sqref="AO6:AO7 BO6:BP7 DM6:DM7 BB6:BB7 AQ7 BO11:BO44 AN19 BO84:BO86 Y17:Y46 BO46 BO52:BO56 Y48 BO48 Y72:Y74 Y58:Y64 Y51:Y56 Y75:Y83 Z58:Z83 Z17:Z21 Z23:Z42 Z44:Z56" unlockedFormula="1"/>
    <ignoredError sqref="BQ86" calculatedColumn="1"/>
  </ignoredErrors>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2CB2B4B2-F2D9-4EDF-A231-C6CB613F93EA}">
          <x14:formula1>
            <xm:f>Tables!$R$3:$R$27</xm:f>
          </x14:formula1>
          <xm:sqref>E84:E86 F57:F86 E70:F71 E42:F57</xm:sqref>
        </x14:dataValidation>
        <x14:dataValidation type="list" allowBlank="1" showInputMessage="1" showErrorMessage="1" xr:uid="{A6637F35-2A64-4110-BAD8-76E0D82F8BD2}">
          <x14:formula1>
            <xm:f>Tables!$B$3:$B$28</xm:f>
          </x14:formula1>
          <xm:sqref>BT10:BT86 BX10:BX86 CB10:CB86 CF10:CF86 CJ10:CJ86 CN10:CN86 CR10:CR86 CV10:CV86 CZ10:CZ86 DD10:DD86 DH10:DH86 DL10:DL86</xm:sqref>
        </x14:dataValidation>
        <x14:dataValidation type="list" allowBlank="1" showInputMessage="1" showErrorMessage="1" xr:uid="{096F98DB-597F-4BC9-9CFA-185663F7C1A2}">
          <x14:formula1>
            <xm:f>Tables!$C$3:$C$49</xm:f>
          </x14:formula1>
          <xm:sqref>B42:B86</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3CEB-976A-4B67-8F51-61643E64DA5B}">
  <sheetPr>
    <tabColor theme="9" tint="0.59999389629810485"/>
  </sheetPr>
  <dimension ref="A1:CH548"/>
  <sheetViews>
    <sheetView showGridLines="0" zoomScale="65" zoomScaleNormal="55" workbookViewId="0">
      <selection activeCell="AD11" sqref="AD11"/>
    </sheetView>
  </sheetViews>
  <sheetFormatPr defaultRowHeight="15" customHeight="1" outlineLevelCol="1"/>
  <cols>
    <col min="1" max="1" width="12.5703125" style="13" bestFit="1" customWidth="1"/>
    <col min="2" max="2" width="42.85546875" style="14" customWidth="1"/>
    <col min="3" max="3" width="46.5703125" style="14" bestFit="1" customWidth="1"/>
    <col min="4" max="4" width="36.5703125" style="14" customWidth="1"/>
    <col min="5" max="5" width="18" style="14" customWidth="1"/>
    <col min="6" max="6" width="17.42578125" style="14" customWidth="1"/>
    <col min="7" max="7" width="24" style="14" customWidth="1"/>
    <col min="8" max="8" width="21" style="14" customWidth="1"/>
    <col min="9" max="10" width="13.42578125" style="14" customWidth="1"/>
    <col min="11" max="11" width="4.85546875" style="56" customWidth="1" collapsed="1"/>
    <col min="12" max="12" width="16.28515625" style="55" customWidth="1"/>
    <col min="13" max="48" width="14.7109375" customWidth="1" outlineLevel="1"/>
    <col min="49" max="49" width="16.28515625" style="55" customWidth="1"/>
    <col min="50" max="85" width="14.7109375" hidden="1" customWidth="1" outlineLevel="1"/>
    <col min="86" max="86" width="9.140625" collapsed="1"/>
  </cols>
  <sheetData>
    <row r="1" spans="1:85" ht="14.45">
      <c r="K1" s="85"/>
      <c r="L1" s="54"/>
      <c r="AW1" s="54"/>
    </row>
    <row r="2" spans="1:85" ht="33" customHeight="1">
      <c r="F2" s="91"/>
      <c r="G2" s="91"/>
      <c r="H2" s="91"/>
    </row>
    <row r="3" spans="1:85" ht="33" customHeight="1">
      <c r="F3" s="91"/>
      <c r="G3" s="91"/>
      <c r="H3" s="91"/>
    </row>
    <row r="4" spans="1:85" ht="33" customHeight="1">
      <c r="F4" s="91"/>
      <c r="G4" s="91"/>
      <c r="H4" s="91"/>
    </row>
    <row r="5" spans="1:85" ht="14.45" customHeight="1">
      <c r="F5" s="91"/>
      <c r="G5" s="91"/>
      <c r="H5" s="91"/>
    </row>
    <row r="6" spans="1:85" ht="14.45" customHeight="1">
      <c r="F6" s="91"/>
      <c r="G6" s="91"/>
      <c r="H6" s="91"/>
    </row>
    <row r="7" spans="1:85" ht="14.45" customHeight="1">
      <c r="F7" s="91"/>
      <c r="G7" s="91"/>
      <c r="H7" s="91"/>
    </row>
    <row r="8" spans="1:85" ht="19.899999999999999" customHeight="1">
      <c r="F8" s="91"/>
      <c r="G8" s="91"/>
      <c r="H8" s="91"/>
      <c r="L8" s="89">
        <f>SUM(Table46[2026_LE])</f>
        <v>0</v>
      </c>
      <c r="M8" s="88">
        <f>SUM(Table46[Jan_26_F])</f>
        <v>87000</v>
      </c>
      <c r="N8" s="4">
        <f>SUM(Table46[Jan_26_Act])</f>
        <v>87000</v>
      </c>
      <c r="O8" s="4">
        <f>SUM(Table46[Jan_26_D])</f>
        <v>0</v>
      </c>
      <c r="P8" s="4">
        <f>SUM(Table46[Feb_26_F])</f>
        <v>0</v>
      </c>
      <c r="Q8" s="4">
        <f>SUM(Table46[Feb_26_A])</f>
        <v>0</v>
      </c>
      <c r="R8" s="4">
        <f>SUM(Table46[Feb_26_D])</f>
        <v>0</v>
      </c>
      <c r="S8" s="4">
        <f>SUM(Table46[Mar_26_F])</f>
        <v>0</v>
      </c>
      <c r="T8" s="4">
        <f>SUM(Table46[Mar_26_A])</f>
        <v>0</v>
      </c>
      <c r="U8" s="4">
        <f>SUM(Table46[Mar_26_D])</f>
        <v>0</v>
      </c>
      <c r="V8" s="4">
        <f>SUM(Table46[Apr_26_F])</f>
        <v>0</v>
      </c>
      <c r="W8" s="4">
        <f>SUM(Table46[Apr_26_A])</f>
        <v>0</v>
      </c>
      <c r="X8" s="4">
        <f>SUM(Table46[Apr_26_D])</f>
        <v>0</v>
      </c>
      <c r="Y8" s="4">
        <f>SUM(Table46[May_26_F])</f>
        <v>0</v>
      </c>
      <c r="Z8" s="4">
        <f>SUM(Table46[May_26_A])</f>
        <v>0</v>
      </c>
      <c r="AA8" s="4">
        <f>SUM(Table46[May_26_D])</f>
        <v>0</v>
      </c>
      <c r="AB8" s="4">
        <f>SUM(Table46[Jun_26_F])</f>
        <v>51000</v>
      </c>
      <c r="AC8" s="4">
        <f>SUM(Table46[Jun_26_A])</f>
        <v>51000</v>
      </c>
      <c r="AD8" s="4">
        <f>SUM(Table46[Jun_26_D])</f>
        <v>0</v>
      </c>
      <c r="AE8" s="4">
        <f>SUM(Table46[Jul_26_F])</f>
        <v>0</v>
      </c>
      <c r="AF8" s="4">
        <f>SUM(Table46[Jul_26_A])</f>
        <v>0</v>
      </c>
      <c r="AG8" s="4">
        <f>SUM(Table46[Jul_26_D])</f>
        <v>0</v>
      </c>
      <c r="AH8" s="4">
        <f>SUM(Table46[Aug_26_F])</f>
        <v>0</v>
      </c>
      <c r="AI8" s="4">
        <f>SUM(Table46[Aug_26_A])</f>
        <v>0</v>
      </c>
      <c r="AJ8" s="4">
        <f>SUM(Table46[Aug_26_D])</f>
        <v>0</v>
      </c>
      <c r="AK8" s="4">
        <f>SUM(Table46[Sep_26_F])</f>
        <v>0</v>
      </c>
      <c r="AL8" s="4">
        <f>SUM(Table46[Sep_26_A])</f>
        <v>0</v>
      </c>
      <c r="AM8" s="4">
        <f>SUM(Table46[Sep_26_D])</f>
        <v>0</v>
      </c>
      <c r="AN8" s="4">
        <f>SUM(Table46[Oct_26_F])</f>
        <v>0</v>
      </c>
      <c r="AO8" s="4">
        <f>SUM(Table46[Oct_26_A])</f>
        <v>0</v>
      </c>
      <c r="AP8" s="4">
        <f>SUM(Table46[Oct_26_D])</f>
        <v>0</v>
      </c>
      <c r="AQ8" s="4">
        <f>SUM(Table46[Nov_26_F])</f>
        <v>0</v>
      </c>
      <c r="AR8" s="4">
        <f>SUM(Table46[Nov_26_A])</f>
        <v>0</v>
      </c>
      <c r="AS8" s="4">
        <f>SUM(Table46[Nov_26_D])</f>
        <v>0</v>
      </c>
      <c r="AT8" s="4">
        <f>SUM(Table46[Dec_26_F])</f>
        <v>0</v>
      </c>
      <c r="AU8" s="4">
        <f>SUM(Table46[Dec_26_A])</f>
        <v>0</v>
      </c>
      <c r="AV8" s="65">
        <f>SUM(Table46[Dec_26_D])</f>
        <v>0</v>
      </c>
      <c r="AW8" s="89">
        <f>SUM(Table46[2027_LE])</f>
        <v>0</v>
      </c>
    </row>
    <row r="9" spans="1:85" ht="19.899999999999999" customHeight="1">
      <c r="F9" s="91"/>
      <c r="G9" s="91"/>
      <c r="H9" s="91"/>
      <c r="L9" s="90">
        <f>SUBTOTAL(9,Table46[2026_LE])</f>
        <v>0</v>
      </c>
      <c r="M9" s="88">
        <f>SUBTOTAL(9,Table46[Jan_26_F])</f>
        <v>87000</v>
      </c>
      <c r="N9" s="4">
        <f>SUBTOTAL(9,Table46[Jan_26_Act])</f>
        <v>87000</v>
      </c>
      <c r="O9" s="4">
        <f>SUBTOTAL(9,Table46[Jan_26_D])</f>
        <v>0</v>
      </c>
      <c r="P9" s="4">
        <f>SUBTOTAL(9,Table46[Feb_26_F])</f>
        <v>0</v>
      </c>
      <c r="Q9" s="4">
        <f>SUBTOTAL(9,Table46[Feb_26_A])</f>
        <v>0</v>
      </c>
      <c r="R9" s="4">
        <f>SUBTOTAL(9,Table46[Feb_26_D])</f>
        <v>0</v>
      </c>
      <c r="S9" s="4">
        <f>SUBTOTAL(9,Table46[Mar_26_F])</f>
        <v>0</v>
      </c>
      <c r="T9" s="4">
        <f>SUBTOTAL(9,Table46[Mar_26_A])</f>
        <v>0</v>
      </c>
      <c r="U9" s="4">
        <f>SUBTOTAL(9,Table46[Mar_26_D])</f>
        <v>0</v>
      </c>
      <c r="V9" s="4">
        <f>SUBTOTAL(9,Table46[Apr_26_F])</f>
        <v>0</v>
      </c>
      <c r="W9" s="4">
        <f>SUBTOTAL(9,Table46[Apr_26_A])</f>
        <v>0</v>
      </c>
      <c r="X9" s="4">
        <f>SUBTOTAL(9,Table46[Apr_26_D])</f>
        <v>0</v>
      </c>
      <c r="Y9" s="4">
        <f>SUBTOTAL(9,Table46[May_26_F])</f>
        <v>0</v>
      </c>
      <c r="Z9" s="4">
        <f>SUBTOTAL(9,Table46[May_26_A])</f>
        <v>0</v>
      </c>
      <c r="AA9" s="4">
        <f>SUBTOTAL(9,Table46[May_26_D])</f>
        <v>0</v>
      </c>
      <c r="AB9" s="4">
        <f>SUBTOTAL(9,Table46[Jun_26_F])</f>
        <v>51000</v>
      </c>
      <c r="AC9" s="4">
        <f>SUBTOTAL(9,Table46[Jun_26_A])</f>
        <v>51000</v>
      </c>
      <c r="AD9" s="4">
        <f>SUBTOTAL(9,Table46[Jun_26_D])</f>
        <v>0</v>
      </c>
      <c r="AE9" s="4">
        <f>SUBTOTAL(9,Table46[Jul_26_F])</f>
        <v>0</v>
      </c>
      <c r="AF9" s="4">
        <f>SUBTOTAL(9,Table46[Jul_26_A])</f>
        <v>0</v>
      </c>
      <c r="AG9" s="4">
        <f>SUBTOTAL(9,Table46[Jul_26_D])</f>
        <v>0</v>
      </c>
      <c r="AH9" s="4">
        <f>SUBTOTAL(9,Table46[Aug_26_F])</f>
        <v>0</v>
      </c>
      <c r="AI9" s="4">
        <f>SUBTOTAL(9,Table46[Aug_26_A])</f>
        <v>0</v>
      </c>
      <c r="AJ9" s="4">
        <f>SUBTOTAL(9,Table46[Aug_26_D])</f>
        <v>0</v>
      </c>
      <c r="AK9" s="4">
        <f>SUBTOTAL(9,Table46[Sep_26_F])</f>
        <v>0</v>
      </c>
      <c r="AL9" s="4">
        <f>SUBTOTAL(9,Table46[Sep_26_A])</f>
        <v>0</v>
      </c>
      <c r="AM9" s="4">
        <f>SUBTOTAL(9,Table46[Sep_26_D])</f>
        <v>0</v>
      </c>
      <c r="AN9" s="4">
        <f>SUBTOTAL(9,Table46[Oct_26_F])</f>
        <v>0</v>
      </c>
      <c r="AO9" s="4">
        <f>SUBTOTAL(9,Table46[Oct_26_A])</f>
        <v>0</v>
      </c>
      <c r="AP9" s="4">
        <f>SUBTOTAL(9,Table46[Oct_26_D])</f>
        <v>0</v>
      </c>
      <c r="AQ9" s="4">
        <f>SUBTOTAL(9,Table46[Nov_26_F])</f>
        <v>0</v>
      </c>
      <c r="AR9" s="4">
        <f>SUBTOTAL(9,Table46[Nov_26_A])</f>
        <v>0</v>
      </c>
      <c r="AS9" s="4">
        <f>SUBTOTAL(9,Table46[Nov_26_D])</f>
        <v>0</v>
      </c>
      <c r="AT9" s="4">
        <f>SUBTOTAL(9,Table46[Dec_26_F])</f>
        <v>0</v>
      </c>
      <c r="AU9" s="4">
        <f>SUBTOTAL(9,Table46[Dec_26_A])</f>
        <v>0</v>
      </c>
      <c r="AV9" s="65">
        <f>SUBTOTAL(9,Table46[Dec_26_D])</f>
        <v>0</v>
      </c>
      <c r="AW9" s="90">
        <f>SUBTOTAL(9,Table46[2027_LE])</f>
        <v>0</v>
      </c>
    </row>
    <row r="10" spans="1:85" ht="14.45">
      <c r="M10" s="231">
        <v>46023</v>
      </c>
      <c r="N10" s="220"/>
      <c r="O10" s="221"/>
      <c r="P10" s="231">
        <v>46054</v>
      </c>
      <c r="Q10" s="220"/>
      <c r="R10" s="221"/>
      <c r="S10" s="231">
        <v>46082</v>
      </c>
      <c r="T10" s="220"/>
      <c r="U10" s="221"/>
      <c r="V10" s="231">
        <v>46113</v>
      </c>
      <c r="W10" s="220"/>
      <c r="X10" s="221"/>
      <c r="Y10" s="231">
        <v>46143</v>
      </c>
      <c r="Z10" s="220"/>
      <c r="AA10" s="221"/>
      <c r="AB10" s="231">
        <v>46174</v>
      </c>
      <c r="AC10" s="220"/>
      <c r="AD10" s="221"/>
      <c r="AE10" s="231">
        <v>46204</v>
      </c>
      <c r="AF10" s="220"/>
      <c r="AG10" s="221"/>
      <c r="AH10" s="231">
        <v>46235</v>
      </c>
      <c r="AI10" s="220"/>
      <c r="AJ10" s="221"/>
      <c r="AK10" s="231">
        <v>46266</v>
      </c>
      <c r="AL10" s="220"/>
      <c r="AM10" s="221"/>
      <c r="AN10" s="231">
        <v>46296</v>
      </c>
      <c r="AO10" s="220"/>
      <c r="AP10" s="221"/>
      <c r="AQ10" s="231">
        <v>46327</v>
      </c>
      <c r="AR10" s="220"/>
      <c r="AS10" s="221"/>
      <c r="AT10" s="231">
        <v>46357</v>
      </c>
      <c r="AU10" s="220"/>
      <c r="AV10" s="221"/>
      <c r="AX10" s="231">
        <v>46388</v>
      </c>
      <c r="AY10" s="220"/>
      <c r="AZ10" s="221"/>
      <c r="BA10" s="231">
        <v>46419</v>
      </c>
      <c r="BB10" s="220"/>
      <c r="BC10" s="221"/>
      <c r="BD10" s="231">
        <v>46447</v>
      </c>
      <c r="BE10" s="220"/>
      <c r="BF10" s="221"/>
      <c r="BG10" s="231">
        <v>46478</v>
      </c>
      <c r="BH10" s="220"/>
      <c r="BI10" s="221"/>
      <c r="BJ10" s="231">
        <v>46508</v>
      </c>
      <c r="BK10" s="220"/>
      <c r="BL10" s="221"/>
      <c r="BM10" s="231">
        <v>46539</v>
      </c>
      <c r="BN10" s="220"/>
      <c r="BO10" s="221"/>
      <c r="BP10" s="231">
        <v>46569</v>
      </c>
      <c r="BQ10" s="220"/>
      <c r="BR10" s="221"/>
      <c r="BS10" s="231">
        <v>46600</v>
      </c>
      <c r="BT10" s="220"/>
      <c r="BU10" s="221"/>
      <c r="BV10" s="231">
        <v>46631</v>
      </c>
      <c r="BW10" s="220"/>
      <c r="BX10" s="221"/>
      <c r="BY10" s="231">
        <v>46661</v>
      </c>
      <c r="BZ10" s="220"/>
      <c r="CA10" s="221"/>
      <c r="CB10" s="231">
        <v>46692</v>
      </c>
      <c r="CC10" s="220"/>
      <c r="CD10" s="221"/>
      <c r="CE10" s="231">
        <v>46722</v>
      </c>
      <c r="CF10" s="220"/>
      <c r="CG10" s="221"/>
    </row>
    <row r="11" spans="1:85" s="48" customFormat="1" ht="43.5" customHeight="1">
      <c r="A11" s="44" t="s">
        <v>66</v>
      </c>
      <c r="B11" s="44" t="s">
        <v>386</v>
      </c>
      <c r="C11" s="92" t="s">
        <v>387</v>
      </c>
      <c r="D11" s="44" t="s">
        <v>88</v>
      </c>
      <c r="E11" s="62" t="s">
        <v>388</v>
      </c>
      <c r="F11" s="62" t="s">
        <v>389</v>
      </c>
      <c r="G11" s="44" t="s">
        <v>390</v>
      </c>
      <c r="H11" s="44" t="s">
        <v>391</v>
      </c>
      <c r="I11" s="44" t="s">
        <v>392</v>
      </c>
      <c r="J11" s="44" t="s">
        <v>80</v>
      </c>
      <c r="K11" s="86" t="s">
        <v>131</v>
      </c>
      <c r="L11" s="57" t="s">
        <v>393</v>
      </c>
      <c r="M11" s="46" t="s">
        <v>394</v>
      </c>
      <c r="N11" s="64" t="s">
        <v>395</v>
      </c>
      <c r="O11" s="75" t="s">
        <v>396</v>
      </c>
      <c r="P11" s="46" t="s">
        <v>397</v>
      </c>
      <c r="Q11" s="64" t="s">
        <v>398</v>
      </c>
      <c r="R11" s="75" t="s">
        <v>399</v>
      </c>
      <c r="S11" s="46" t="s">
        <v>400</v>
      </c>
      <c r="T11" s="64" t="s">
        <v>401</v>
      </c>
      <c r="U11" s="75" t="s">
        <v>402</v>
      </c>
      <c r="V11" s="46" t="s">
        <v>403</v>
      </c>
      <c r="W11" s="64" t="s">
        <v>404</v>
      </c>
      <c r="X11" s="75" t="s">
        <v>405</v>
      </c>
      <c r="Y11" s="46" t="s">
        <v>406</v>
      </c>
      <c r="Z11" s="64" t="s">
        <v>407</v>
      </c>
      <c r="AA11" s="75" t="s">
        <v>408</v>
      </c>
      <c r="AB11" s="46" t="s">
        <v>409</v>
      </c>
      <c r="AC11" s="64" t="s">
        <v>410</v>
      </c>
      <c r="AD11" s="75" t="s">
        <v>411</v>
      </c>
      <c r="AE11" s="46" t="s">
        <v>412</v>
      </c>
      <c r="AF11" s="64" t="s">
        <v>413</v>
      </c>
      <c r="AG11" s="75" t="s">
        <v>414</v>
      </c>
      <c r="AH11" s="46" t="s">
        <v>415</v>
      </c>
      <c r="AI11" s="64" t="s">
        <v>416</v>
      </c>
      <c r="AJ11" s="75" t="s">
        <v>417</v>
      </c>
      <c r="AK11" s="46" t="s">
        <v>418</v>
      </c>
      <c r="AL11" s="64" t="s">
        <v>419</v>
      </c>
      <c r="AM11" s="75" t="s">
        <v>420</v>
      </c>
      <c r="AN11" s="46" t="s">
        <v>421</v>
      </c>
      <c r="AO11" s="64" t="s">
        <v>422</v>
      </c>
      <c r="AP11" s="75" t="s">
        <v>423</v>
      </c>
      <c r="AQ11" s="46" t="s">
        <v>424</v>
      </c>
      <c r="AR11" s="64" t="s">
        <v>425</v>
      </c>
      <c r="AS11" s="75" t="s">
        <v>426</v>
      </c>
      <c r="AT11" s="46" t="s">
        <v>427</v>
      </c>
      <c r="AU11" s="64" t="s">
        <v>428</v>
      </c>
      <c r="AV11" s="75" t="s">
        <v>429</v>
      </c>
      <c r="AW11" s="57" t="s">
        <v>430</v>
      </c>
      <c r="AX11" s="46" t="s">
        <v>431</v>
      </c>
      <c r="AY11" s="64" t="s">
        <v>432</v>
      </c>
      <c r="AZ11" s="75" t="s">
        <v>433</v>
      </c>
      <c r="BA11" s="46" t="s">
        <v>434</v>
      </c>
      <c r="BB11" s="64" t="s">
        <v>435</v>
      </c>
      <c r="BC11" s="75" t="s">
        <v>436</v>
      </c>
      <c r="BD11" s="46" t="s">
        <v>437</v>
      </c>
      <c r="BE11" s="64" t="s">
        <v>438</v>
      </c>
      <c r="BF11" s="75" t="s">
        <v>439</v>
      </c>
      <c r="BG11" s="46" t="s">
        <v>440</v>
      </c>
      <c r="BH11" s="64" t="s">
        <v>441</v>
      </c>
      <c r="BI11" s="75" t="s">
        <v>442</v>
      </c>
      <c r="BJ11" s="46" t="s">
        <v>443</v>
      </c>
      <c r="BK11" s="64" t="s">
        <v>444</v>
      </c>
      <c r="BL11" s="75" t="s">
        <v>445</v>
      </c>
      <c r="BM11" s="46" t="s">
        <v>446</v>
      </c>
      <c r="BN11" s="64" t="s">
        <v>447</v>
      </c>
      <c r="BO11" s="75" t="s">
        <v>448</v>
      </c>
      <c r="BP11" s="46" t="s">
        <v>449</v>
      </c>
      <c r="BQ11" s="64" t="s">
        <v>450</v>
      </c>
      <c r="BR11" s="75" t="s">
        <v>451</v>
      </c>
      <c r="BS11" s="46" t="s">
        <v>452</v>
      </c>
      <c r="BT11" s="64" t="s">
        <v>453</v>
      </c>
      <c r="BU11" s="75" t="s">
        <v>454</v>
      </c>
      <c r="BV11" s="46" t="s">
        <v>455</v>
      </c>
      <c r="BW11" s="64" t="s">
        <v>456</v>
      </c>
      <c r="BX11" s="75" t="s">
        <v>457</v>
      </c>
      <c r="BY11" s="46" t="s">
        <v>458</v>
      </c>
      <c r="BZ11" s="64" t="s">
        <v>459</v>
      </c>
      <c r="CA11" s="75" t="s">
        <v>460</v>
      </c>
      <c r="CB11" s="46" t="s">
        <v>461</v>
      </c>
      <c r="CC11" s="64" t="s">
        <v>462</v>
      </c>
      <c r="CD11" s="75" t="s">
        <v>463</v>
      </c>
      <c r="CE11" s="46" t="s">
        <v>464</v>
      </c>
      <c r="CF11" s="64" t="s">
        <v>465</v>
      </c>
      <c r="CG11" s="75" t="s">
        <v>466</v>
      </c>
    </row>
    <row r="12" spans="1:85" ht="48.95" customHeight="1">
      <c r="A12" s="13" t="s">
        <v>44</v>
      </c>
      <c r="B12" s="13" t="s">
        <v>61</v>
      </c>
      <c r="C12" s="93" t="s">
        <v>467</v>
      </c>
      <c r="D12" s="13"/>
      <c r="E12" s="13" t="s">
        <v>468</v>
      </c>
      <c r="F12" s="13" t="s">
        <v>227</v>
      </c>
      <c r="G12" s="13"/>
      <c r="H12" s="13"/>
      <c r="I12" s="94">
        <v>87000</v>
      </c>
      <c r="J12" s="94"/>
      <c r="L12" s="60"/>
      <c r="M12" s="63">
        <v>87000</v>
      </c>
      <c r="N12" s="63">
        <v>87000</v>
      </c>
      <c r="O12" s="63">
        <f>Table46[[#This Row],[Jan_26_F]]-Table46[[#This Row],[Jan_26_Act]]</f>
        <v>0</v>
      </c>
      <c r="P12" s="63"/>
      <c r="Q12" s="63"/>
      <c r="R12" s="63">
        <f>Table46[[#This Row],[Feb_26_F]]-Table46[[#This Row],[Feb_26_A]]</f>
        <v>0</v>
      </c>
      <c r="S12" s="63"/>
      <c r="T12" s="63"/>
      <c r="U12" s="63">
        <f>Table46[[#This Row],[Mar_26_F]]-Table46[[#This Row],[Mar_26_A]]</f>
        <v>0</v>
      </c>
      <c r="V12" s="63"/>
      <c r="W12" s="63"/>
      <c r="X12" s="63">
        <f>Table46[[#This Row],[Apr_26_F]]-Table46[[#This Row],[Apr_26_A]]</f>
        <v>0</v>
      </c>
      <c r="Y12" s="63"/>
      <c r="Z12" s="63"/>
      <c r="AA12" s="63">
        <f>Table46[[#This Row],[May_26_F]]-Table46[[#This Row],[May_26_A]]</f>
        <v>0</v>
      </c>
      <c r="AB12" s="63"/>
      <c r="AC12" s="63"/>
      <c r="AD12" s="63">
        <f>Table46[[#This Row],[Jun_26_F]]-Table46[[#This Row],[Jun_26_A]]</f>
        <v>0</v>
      </c>
      <c r="AE12" s="63"/>
      <c r="AF12" s="63"/>
      <c r="AG12" s="63">
        <f>Table46[[#This Row],[Jul_26_F]]-Table46[[#This Row],[Jul_26_A]]</f>
        <v>0</v>
      </c>
      <c r="AH12" s="63"/>
      <c r="AI12" s="63"/>
      <c r="AJ12" s="63">
        <f>Table46[[#This Row],[Aug_26_F]]-Table46[[#This Row],[Aug_26_A]]</f>
        <v>0</v>
      </c>
      <c r="AK12" s="63"/>
      <c r="AL12" s="63"/>
      <c r="AM12" s="63">
        <f>Table46[[#This Row],[Sep_26_F]]-Table46[[#This Row],[Sep_26_A]]</f>
        <v>0</v>
      </c>
      <c r="AN12" s="63"/>
      <c r="AO12" s="63"/>
      <c r="AP12" s="63">
        <f>Table46[[#This Row],[Oct_26_F]]-Table46[[#This Row],[Oct_26_A]]</f>
        <v>0</v>
      </c>
      <c r="AQ12" s="63"/>
      <c r="AR12" s="63"/>
      <c r="AS12" s="63">
        <f>Table46[[#This Row],[Nov_26_F]]-Table46[[#This Row],[Nov_26_A]]</f>
        <v>0</v>
      </c>
      <c r="AT12" s="63"/>
      <c r="AU12" s="63"/>
      <c r="AV12" s="63">
        <f>Table46[[#This Row],[Dec_26_F]]-Table46[[#This Row],[Dec_26_A]]</f>
        <v>0</v>
      </c>
      <c r="AW12" s="60"/>
      <c r="AX12" s="63"/>
      <c r="AY12" s="63"/>
      <c r="AZ12" s="63">
        <f>Table46[[#This Row],[Jan_27_F]]-Table46[[#This Row],[Jan_27_Act]]</f>
        <v>0</v>
      </c>
      <c r="BA12" s="63"/>
      <c r="BB12" s="63"/>
      <c r="BC12" s="63">
        <f>Table46[[#This Row],[Feb_27_F]]-Table46[[#This Row],[Feb_27_A]]</f>
        <v>0</v>
      </c>
      <c r="BD12" s="63"/>
      <c r="BE12" s="63"/>
      <c r="BF12" s="63">
        <f>Table46[[#This Row],[Mar_27_F]]-Table46[[#This Row],[Mar_27_A]]</f>
        <v>0</v>
      </c>
      <c r="BG12" s="63"/>
      <c r="BH12" s="63"/>
      <c r="BI12" s="63">
        <f>Table46[[#This Row],[Apr_27_F]]-Table46[[#This Row],[Apr_27_A]]</f>
        <v>0</v>
      </c>
      <c r="BJ12" s="63"/>
      <c r="BK12" s="63"/>
      <c r="BL12" s="63">
        <f>Table46[[#This Row],[May_27_F]]-Table46[[#This Row],[May_27_A]]</f>
        <v>0</v>
      </c>
      <c r="BM12" s="63"/>
      <c r="BN12" s="63"/>
      <c r="BO12" s="63">
        <f>Table46[[#This Row],[Jun_27_F]]-Table46[[#This Row],[Jun_27_A]]</f>
        <v>0</v>
      </c>
      <c r="BP12" s="63"/>
      <c r="BQ12" s="63"/>
      <c r="BR12" s="63">
        <f>Table46[[#This Row],[Jul_27_F]]-Table46[[#This Row],[Jul_27_A]]</f>
        <v>0</v>
      </c>
      <c r="BS12" s="63"/>
      <c r="BT12" s="63"/>
      <c r="BU12" s="63">
        <f>Table46[[#This Row],[Aug_27_F]]-Table46[[#This Row],[Aug_27_A]]</f>
        <v>0</v>
      </c>
      <c r="BV12" s="63"/>
      <c r="BW12" s="63"/>
      <c r="BX12" s="63">
        <f>Table46[[#This Row],[Sep_27_F]]-Table46[[#This Row],[Sep_27_A]]</f>
        <v>0</v>
      </c>
      <c r="BY12" s="63"/>
      <c r="BZ12" s="63"/>
      <c r="CA12" s="63">
        <f>Table46[[#This Row],[Oct_27_F]]-Table46[[#This Row],[Oct_27_A]]</f>
        <v>0</v>
      </c>
      <c r="CB12" s="63"/>
      <c r="CC12" s="63"/>
      <c r="CD12" s="63">
        <f>Table46[[#This Row],[Nov_27_F]]-Table46[[#This Row],[Nov_27_A]]</f>
        <v>0</v>
      </c>
      <c r="CE12" s="63"/>
      <c r="CF12" s="63"/>
      <c r="CG12" s="63">
        <f>Table46[[#This Row],[Dec_27_F]]-Table46[[#This Row],[Dec_27_A]]</f>
        <v>0</v>
      </c>
    </row>
    <row r="13" spans="1:85" ht="14.45">
      <c r="A13" s="13" t="s">
        <v>45</v>
      </c>
      <c r="B13" s="13" t="s">
        <v>61</v>
      </c>
      <c r="C13" s="13" t="s">
        <v>467</v>
      </c>
      <c r="D13" s="15"/>
      <c r="E13" s="13" t="s">
        <v>468</v>
      </c>
      <c r="F13" s="13" t="s">
        <v>227</v>
      </c>
      <c r="G13" s="13"/>
      <c r="H13" s="13"/>
      <c r="I13" s="94">
        <v>51000</v>
      </c>
      <c r="J13" s="94"/>
      <c r="L13" s="60"/>
      <c r="M13" s="63"/>
      <c r="N13" s="63"/>
      <c r="O13" s="63">
        <f>Table46[[#This Row],[Jan_26_F]]-Table46[[#This Row],[Jan_26_Act]]</f>
        <v>0</v>
      </c>
      <c r="P13" s="63"/>
      <c r="Q13" s="63"/>
      <c r="R13" s="63">
        <f>Table46[[#This Row],[Feb_26_F]]-Table46[[#This Row],[Feb_26_A]]</f>
        <v>0</v>
      </c>
      <c r="S13" s="63"/>
      <c r="T13" s="63"/>
      <c r="U13" s="63">
        <f>Table46[[#This Row],[Mar_26_F]]-Table46[[#This Row],[Mar_26_A]]</f>
        <v>0</v>
      </c>
      <c r="V13" s="63"/>
      <c r="W13" s="63"/>
      <c r="X13" s="63">
        <f>Table46[[#This Row],[Apr_26_F]]-Table46[[#This Row],[Apr_26_A]]</f>
        <v>0</v>
      </c>
      <c r="Y13" s="63"/>
      <c r="Z13" s="63"/>
      <c r="AA13" s="63">
        <f>Table46[[#This Row],[May_26_F]]-Table46[[#This Row],[May_26_A]]</f>
        <v>0</v>
      </c>
      <c r="AB13" s="63">
        <v>51000</v>
      </c>
      <c r="AC13" s="63">
        <v>51000</v>
      </c>
      <c r="AD13" s="63">
        <f>Table46[[#This Row],[Jun_26_F]]-Table46[[#This Row],[Jun_26_A]]</f>
        <v>0</v>
      </c>
      <c r="AE13" s="63"/>
      <c r="AF13" s="63"/>
      <c r="AG13" s="63">
        <f>Table46[[#This Row],[Jul_26_F]]-Table46[[#This Row],[Jul_26_A]]</f>
        <v>0</v>
      </c>
      <c r="AH13" s="63"/>
      <c r="AI13" s="63"/>
      <c r="AJ13" s="63">
        <f>Table46[[#This Row],[Aug_26_F]]-Table46[[#This Row],[Aug_26_A]]</f>
        <v>0</v>
      </c>
      <c r="AK13" s="63"/>
      <c r="AL13" s="63"/>
      <c r="AM13" s="63">
        <f>Table46[[#This Row],[Sep_26_F]]-Table46[[#This Row],[Sep_26_A]]</f>
        <v>0</v>
      </c>
      <c r="AN13" s="63"/>
      <c r="AO13" s="63"/>
      <c r="AP13" s="63">
        <f>Table46[[#This Row],[Oct_26_F]]-Table46[[#This Row],[Oct_26_A]]</f>
        <v>0</v>
      </c>
      <c r="AQ13" s="63"/>
      <c r="AR13" s="63"/>
      <c r="AS13" s="63">
        <f>Table46[[#This Row],[Nov_26_F]]-Table46[[#This Row],[Nov_26_A]]</f>
        <v>0</v>
      </c>
      <c r="AT13" s="63"/>
      <c r="AU13" s="63"/>
      <c r="AV13" s="63">
        <f>Table46[[#This Row],[Dec_26_F]]-Table46[[#This Row],[Dec_26_A]]</f>
        <v>0</v>
      </c>
      <c r="AW13" s="60"/>
      <c r="AX13" s="63"/>
      <c r="AY13" s="63"/>
      <c r="AZ13" s="63">
        <f>Table46[[#This Row],[Jan_27_F]]-Table46[[#This Row],[Jan_27_Act]]</f>
        <v>0</v>
      </c>
      <c r="BA13" s="63"/>
      <c r="BB13" s="63"/>
      <c r="BC13" s="63">
        <f>Table46[[#This Row],[Feb_27_F]]-Table46[[#This Row],[Feb_27_A]]</f>
        <v>0</v>
      </c>
      <c r="BD13" s="63"/>
      <c r="BE13" s="63"/>
      <c r="BF13" s="63">
        <f>Table46[[#This Row],[Mar_27_F]]-Table46[[#This Row],[Mar_27_A]]</f>
        <v>0</v>
      </c>
      <c r="BG13" s="63"/>
      <c r="BH13" s="63"/>
      <c r="BI13" s="63">
        <f>Table46[[#This Row],[Apr_27_F]]-Table46[[#This Row],[Apr_27_A]]</f>
        <v>0</v>
      </c>
      <c r="BJ13" s="63"/>
      <c r="BK13" s="63"/>
      <c r="BL13" s="63">
        <f>Table46[[#This Row],[May_27_F]]-Table46[[#This Row],[May_27_A]]</f>
        <v>0</v>
      </c>
      <c r="BM13" s="63"/>
      <c r="BN13" s="63"/>
      <c r="BO13" s="63">
        <f>Table46[[#This Row],[Jun_27_F]]-Table46[[#This Row],[Jun_27_A]]</f>
        <v>0</v>
      </c>
      <c r="BP13" s="63"/>
      <c r="BQ13" s="63"/>
      <c r="BR13" s="63">
        <f>Table46[[#This Row],[Jul_27_F]]-Table46[[#This Row],[Jul_27_A]]</f>
        <v>0</v>
      </c>
      <c r="BS13" s="63"/>
      <c r="BT13" s="63"/>
      <c r="BU13" s="63">
        <f>Table46[[#This Row],[Aug_27_F]]-Table46[[#This Row],[Aug_27_A]]</f>
        <v>0</v>
      </c>
      <c r="BV13" s="63"/>
      <c r="BW13" s="63"/>
      <c r="BX13" s="63">
        <f>Table46[[#This Row],[Sep_27_F]]-Table46[[#This Row],[Sep_27_A]]</f>
        <v>0</v>
      </c>
      <c r="BY13" s="63"/>
      <c r="BZ13" s="63"/>
      <c r="CA13" s="63">
        <f>Table46[[#This Row],[Oct_27_F]]-Table46[[#This Row],[Oct_27_A]]</f>
        <v>0</v>
      </c>
      <c r="CB13" s="63"/>
      <c r="CC13" s="63"/>
      <c r="CD13" s="63">
        <f>Table46[[#This Row],[Nov_27_F]]-Table46[[#This Row],[Nov_27_A]]</f>
        <v>0</v>
      </c>
      <c r="CE13" s="63"/>
      <c r="CF13" s="63"/>
      <c r="CG13" s="63">
        <f>Table46[[#This Row],[Dec_27_F]]-Table46[[#This Row],[Dec_27_A]]</f>
        <v>0</v>
      </c>
    </row>
    <row r="14" spans="1:85" ht="14.45">
      <c r="B14" s="13"/>
      <c r="C14" s="13"/>
      <c r="D14" s="15"/>
      <c r="E14" s="13"/>
      <c r="F14" s="13"/>
      <c r="G14" s="13"/>
      <c r="H14" s="13"/>
      <c r="I14" s="94"/>
      <c r="J14" s="94"/>
      <c r="L14" s="60"/>
      <c r="M14" s="63"/>
      <c r="N14" s="63"/>
      <c r="O14" s="63">
        <f>Table46[[#This Row],[Jan_26_F]]-Table46[[#This Row],[Jan_26_Act]]</f>
        <v>0</v>
      </c>
      <c r="P14" s="63"/>
      <c r="Q14" s="63"/>
      <c r="R14" s="63">
        <f>Table46[[#This Row],[Feb_26_F]]-Table46[[#This Row],[Feb_26_A]]</f>
        <v>0</v>
      </c>
      <c r="S14" s="63"/>
      <c r="T14" s="63"/>
      <c r="U14" s="63">
        <f>Table46[[#This Row],[Mar_26_F]]-Table46[[#This Row],[Mar_26_A]]</f>
        <v>0</v>
      </c>
      <c r="V14" s="63"/>
      <c r="W14" s="63"/>
      <c r="X14" s="63">
        <f>Table46[[#This Row],[Apr_26_F]]-Table46[[#This Row],[Apr_26_A]]</f>
        <v>0</v>
      </c>
      <c r="Y14" s="63"/>
      <c r="Z14" s="63"/>
      <c r="AA14" s="63">
        <f>Table46[[#This Row],[May_26_F]]-Table46[[#This Row],[May_26_A]]</f>
        <v>0</v>
      </c>
      <c r="AB14" s="63"/>
      <c r="AC14" s="63"/>
      <c r="AD14" s="63">
        <f>Table46[[#This Row],[Jun_26_F]]-Table46[[#This Row],[Jun_26_A]]</f>
        <v>0</v>
      </c>
      <c r="AE14" s="63"/>
      <c r="AF14" s="63"/>
      <c r="AG14" s="63">
        <f>Table46[[#This Row],[Jul_26_F]]-Table46[[#This Row],[Jul_26_A]]</f>
        <v>0</v>
      </c>
      <c r="AH14" s="63"/>
      <c r="AI14" s="63"/>
      <c r="AJ14" s="63">
        <f>Table46[[#This Row],[Aug_26_F]]-Table46[[#This Row],[Aug_26_A]]</f>
        <v>0</v>
      </c>
      <c r="AK14" s="63"/>
      <c r="AL14" s="63"/>
      <c r="AM14" s="63">
        <f>Table46[[#This Row],[Sep_26_F]]-Table46[[#This Row],[Sep_26_A]]</f>
        <v>0</v>
      </c>
      <c r="AN14" s="63"/>
      <c r="AO14" s="63"/>
      <c r="AP14" s="63">
        <f>Table46[[#This Row],[Oct_26_F]]-Table46[[#This Row],[Oct_26_A]]</f>
        <v>0</v>
      </c>
      <c r="AQ14" s="63"/>
      <c r="AR14" s="63"/>
      <c r="AS14" s="63">
        <f>Table46[[#This Row],[Nov_26_F]]-Table46[[#This Row],[Nov_26_A]]</f>
        <v>0</v>
      </c>
      <c r="AT14" s="63"/>
      <c r="AU14" s="63"/>
      <c r="AV14" s="63">
        <f>Table46[[#This Row],[Dec_26_F]]-Table46[[#This Row],[Dec_26_A]]</f>
        <v>0</v>
      </c>
      <c r="AW14" s="60"/>
      <c r="AX14" s="63"/>
      <c r="AY14" s="63"/>
      <c r="AZ14" s="63">
        <f>Table46[[#This Row],[Jan_27_F]]-Table46[[#This Row],[Jan_27_Act]]</f>
        <v>0</v>
      </c>
      <c r="BA14" s="63"/>
      <c r="BB14" s="63"/>
      <c r="BC14" s="63">
        <f>Table46[[#This Row],[Feb_27_F]]-Table46[[#This Row],[Feb_27_A]]</f>
        <v>0</v>
      </c>
      <c r="BD14" s="63"/>
      <c r="BE14" s="63"/>
      <c r="BF14" s="63">
        <f>Table46[[#This Row],[Mar_27_F]]-Table46[[#This Row],[Mar_27_A]]</f>
        <v>0</v>
      </c>
      <c r="BG14" s="63"/>
      <c r="BH14" s="63"/>
      <c r="BI14" s="63">
        <f>Table46[[#This Row],[Apr_27_F]]-Table46[[#This Row],[Apr_27_A]]</f>
        <v>0</v>
      </c>
      <c r="BJ14" s="63"/>
      <c r="BK14" s="63"/>
      <c r="BL14" s="63">
        <f>Table46[[#This Row],[May_27_F]]-Table46[[#This Row],[May_27_A]]</f>
        <v>0</v>
      </c>
      <c r="BM14" s="63"/>
      <c r="BN14" s="63"/>
      <c r="BO14" s="63">
        <f>Table46[[#This Row],[Jun_27_F]]-Table46[[#This Row],[Jun_27_A]]</f>
        <v>0</v>
      </c>
      <c r="BP14" s="63"/>
      <c r="BQ14" s="63"/>
      <c r="BR14" s="63">
        <f>Table46[[#This Row],[Jul_27_F]]-Table46[[#This Row],[Jul_27_A]]</f>
        <v>0</v>
      </c>
      <c r="BS14" s="63"/>
      <c r="BT14" s="63"/>
      <c r="BU14" s="63">
        <f>Table46[[#This Row],[Aug_27_F]]-Table46[[#This Row],[Aug_27_A]]</f>
        <v>0</v>
      </c>
      <c r="BV14" s="63"/>
      <c r="BW14" s="63"/>
      <c r="BX14" s="63">
        <f>Table46[[#This Row],[Sep_27_F]]-Table46[[#This Row],[Sep_27_A]]</f>
        <v>0</v>
      </c>
      <c r="BY14" s="63"/>
      <c r="BZ14" s="63"/>
      <c r="CA14" s="63">
        <f>Table46[[#This Row],[Oct_27_F]]-Table46[[#This Row],[Oct_27_A]]</f>
        <v>0</v>
      </c>
      <c r="CB14" s="63"/>
      <c r="CC14" s="63"/>
      <c r="CD14" s="63">
        <f>Table46[[#This Row],[Nov_27_F]]-Table46[[#This Row],[Nov_27_A]]</f>
        <v>0</v>
      </c>
      <c r="CE14" s="63"/>
      <c r="CF14" s="63"/>
      <c r="CG14" s="63">
        <f>Table46[[#This Row],[Dec_27_F]]-Table46[[#This Row],[Dec_27_A]]</f>
        <v>0</v>
      </c>
    </row>
    <row r="15" spans="1:85" ht="35.450000000000003" customHeight="1">
      <c r="B15" s="13"/>
      <c r="C15" s="93"/>
      <c r="D15" s="15"/>
      <c r="E15" s="13"/>
      <c r="F15" s="13"/>
      <c r="G15" s="13"/>
      <c r="H15" s="13"/>
      <c r="I15" s="94"/>
      <c r="J15" s="94"/>
      <c r="L15" s="60"/>
      <c r="M15" s="63"/>
      <c r="N15" s="63"/>
      <c r="O15" s="63">
        <f>Table46[[#This Row],[Jan_26_F]]-Table46[[#This Row],[Jan_26_Act]]</f>
        <v>0</v>
      </c>
      <c r="P15" s="63"/>
      <c r="Q15" s="63"/>
      <c r="R15" s="63">
        <f>Table46[[#This Row],[Feb_26_F]]-Table46[[#This Row],[Feb_26_A]]</f>
        <v>0</v>
      </c>
      <c r="S15" s="63"/>
      <c r="T15" s="63"/>
      <c r="U15" s="63">
        <f>Table46[[#This Row],[Mar_26_F]]-Table46[[#This Row],[Mar_26_A]]</f>
        <v>0</v>
      </c>
      <c r="V15" s="63"/>
      <c r="W15" s="63"/>
      <c r="X15" s="63">
        <f>Table46[[#This Row],[Apr_26_F]]-Table46[[#This Row],[Apr_26_A]]</f>
        <v>0</v>
      </c>
      <c r="Y15" s="63"/>
      <c r="Z15" s="63"/>
      <c r="AA15" s="63">
        <f>Table46[[#This Row],[May_26_F]]-Table46[[#This Row],[May_26_A]]</f>
        <v>0</v>
      </c>
      <c r="AB15" s="63"/>
      <c r="AC15" s="63"/>
      <c r="AD15" s="63">
        <f>Table46[[#This Row],[Jun_26_F]]-Table46[[#This Row],[Jun_26_A]]</f>
        <v>0</v>
      </c>
      <c r="AE15" s="63"/>
      <c r="AF15" s="63"/>
      <c r="AG15" s="63">
        <f>Table46[[#This Row],[Jul_26_F]]-Table46[[#This Row],[Jul_26_A]]</f>
        <v>0</v>
      </c>
      <c r="AH15" s="63"/>
      <c r="AI15" s="63"/>
      <c r="AJ15" s="63">
        <f>Table46[[#This Row],[Aug_26_F]]-Table46[[#This Row],[Aug_26_A]]</f>
        <v>0</v>
      </c>
      <c r="AK15" s="63"/>
      <c r="AL15" s="63"/>
      <c r="AM15" s="63">
        <f>Table46[[#This Row],[Sep_26_F]]-Table46[[#This Row],[Sep_26_A]]</f>
        <v>0</v>
      </c>
      <c r="AN15" s="63"/>
      <c r="AO15" s="63"/>
      <c r="AP15" s="63">
        <f>Table46[[#This Row],[Oct_26_F]]-Table46[[#This Row],[Oct_26_A]]</f>
        <v>0</v>
      </c>
      <c r="AQ15" s="63"/>
      <c r="AR15" s="63"/>
      <c r="AS15" s="63">
        <f>Table46[[#This Row],[Nov_26_F]]-Table46[[#This Row],[Nov_26_A]]</f>
        <v>0</v>
      </c>
      <c r="AT15" s="63"/>
      <c r="AU15" s="63"/>
      <c r="AV15" s="63">
        <f>Table46[[#This Row],[Dec_26_F]]-Table46[[#This Row],[Dec_26_A]]</f>
        <v>0</v>
      </c>
      <c r="AW15" s="60"/>
      <c r="AX15" s="63"/>
      <c r="AY15" s="63"/>
      <c r="AZ15" s="63">
        <f>Table46[[#This Row],[Jan_27_F]]-Table46[[#This Row],[Jan_27_Act]]</f>
        <v>0</v>
      </c>
      <c r="BA15" s="63"/>
      <c r="BB15" s="63"/>
      <c r="BC15" s="63">
        <f>Table46[[#This Row],[Feb_27_F]]-Table46[[#This Row],[Feb_27_A]]</f>
        <v>0</v>
      </c>
      <c r="BD15" s="63"/>
      <c r="BE15" s="63"/>
      <c r="BF15" s="63">
        <f>Table46[[#This Row],[Mar_27_F]]-Table46[[#This Row],[Mar_27_A]]</f>
        <v>0</v>
      </c>
      <c r="BG15" s="63"/>
      <c r="BH15" s="63"/>
      <c r="BI15" s="63">
        <f>Table46[[#This Row],[Apr_27_F]]-Table46[[#This Row],[Apr_27_A]]</f>
        <v>0</v>
      </c>
      <c r="BJ15" s="63"/>
      <c r="BK15" s="63"/>
      <c r="BL15" s="63">
        <f>Table46[[#This Row],[May_27_F]]-Table46[[#This Row],[May_27_A]]</f>
        <v>0</v>
      </c>
      <c r="BM15" s="63"/>
      <c r="BN15" s="63"/>
      <c r="BO15" s="63">
        <f>Table46[[#This Row],[Jun_27_F]]-Table46[[#This Row],[Jun_27_A]]</f>
        <v>0</v>
      </c>
      <c r="BP15" s="63"/>
      <c r="BQ15" s="63"/>
      <c r="BR15" s="63">
        <f>Table46[[#This Row],[Jul_27_F]]-Table46[[#This Row],[Jul_27_A]]</f>
        <v>0</v>
      </c>
      <c r="BS15" s="63"/>
      <c r="BT15" s="63"/>
      <c r="BU15" s="63">
        <f>Table46[[#This Row],[Aug_27_F]]-Table46[[#This Row],[Aug_27_A]]</f>
        <v>0</v>
      </c>
      <c r="BV15" s="63"/>
      <c r="BW15" s="63"/>
      <c r="BX15" s="63">
        <f>Table46[[#This Row],[Sep_27_F]]-Table46[[#This Row],[Sep_27_A]]</f>
        <v>0</v>
      </c>
      <c r="BY15" s="63"/>
      <c r="BZ15" s="63"/>
      <c r="CA15" s="63">
        <f>Table46[[#This Row],[Oct_27_F]]-Table46[[#This Row],[Oct_27_A]]</f>
        <v>0</v>
      </c>
      <c r="CB15" s="63"/>
      <c r="CC15" s="63"/>
      <c r="CD15" s="63">
        <f>Table46[[#This Row],[Nov_27_F]]-Table46[[#This Row],[Nov_27_A]]</f>
        <v>0</v>
      </c>
      <c r="CE15" s="63"/>
      <c r="CF15" s="63"/>
      <c r="CG15" s="63">
        <f>Table46[[#This Row],[Dec_27_F]]-Table46[[#This Row],[Dec_27_A]]</f>
        <v>0</v>
      </c>
    </row>
    <row r="16" spans="1:85" ht="14.45">
      <c r="B16" s="13"/>
      <c r="C16" s="93"/>
      <c r="D16" s="15"/>
      <c r="E16" s="13"/>
      <c r="F16" s="13"/>
      <c r="G16" s="13"/>
      <c r="H16" s="13"/>
      <c r="I16" s="94"/>
      <c r="J16" s="94"/>
      <c r="L16" s="60"/>
      <c r="M16" s="63"/>
      <c r="N16" s="63"/>
      <c r="O16" s="63">
        <f>Table46[[#This Row],[Jan_26_F]]-Table46[[#This Row],[Jan_26_Act]]</f>
        <v>0</v>
      </c>
      <c r="P16" s="63"/>
      <c r="Q16" s="63"/>
      <c r="R16" s="63">
        <f>Table46[[#This Row],[Feb_26_F]]-Table46[[#This Row],[Feb_26_A]]</f>
        <v>0</v>
      </c>
      <c r="S16" s="63"/>
      <c r="T16" s="63"/>
      <c r="U16" s="63">
        <f>Table46[[#This Row],[Mar_26_F]]-Table46[[#This Row],[Mar_26_A]]</f>
        <v>0</v>
      </c>
      <c r="V16" s="63"/>
      <c r="W16" s="63"/>
      <c r="X16" s="63">
        <f>Table46[[#This Row],[Apr_26_F]]-Table46[[#This Row],[Apr_26_A]]</f>
        <v>0</v>
      </c>
      <c r="Y16" s="63"/>
      <c r="Z16" s="63"/>
      <c r="AA16" s="63">
        <f>Table46[[#This Row],[May_26_F]]-Table46[[#This Row],[May_26_A]]</f>
        <v>0</v>
      </c>
      <c r="AB16" s="63"/>
      <c r="AC16" s="63"/>
      <c r="AD16" s="63">
        <f>Table46[[#This Row],[Jun_26_F]]-Table46[[#This Row],[Jun_26_A]]</f>
        <v>0</v>
      </c>
      <c r="AE16" s="63"/>
      <c r="AF16" s="63"/>
      <c r="AG16" s="63">
        <f>Table46[[#This Row],[Jul_26_F]]-Table46[[#This Row],[Jul_26_A]]</f>
        <v>0</v>
      </c>
      <c r="AH16" s="63"/>
      <c r="AI16" s="63"/>
      <c r="AJ16" s="63">
        <f>Table46[[#This Row],[Aug_26_F]]-Table46[[#This Row],[Aug_26_A]]</f>
        <v>0</v>
      </c>
      <c r="AK16" s="63"/>
      <c r="AL16" s="63"/>
      <c r="AM16" s="63">
        <f>Table46[[#This Row],[Sep_26_F]]-Table46[[#This Row],[Sep_26_A]]</f>
        <v>0</v>
      </c>
      <c r="AN16" s="63"/>
      <c r="AO16" s="63"/>
      <c r="AP16" s="63">
        <f>Table46[[#This Row],[Oct_26_F]]-Table46[[#This Row],[Oct_26_A]]</f>
        <v>0</v>
      </c>
      <c r="AQ16" s="63"/>
      <c r="AR16" s="63"/>
      <c r="AS16" s="63">
        <f>Table46[[#This Row],[Nov_26_F]]-Table46[[#This Row],[Nov_26_A]]</f>
        <v>0</v>
      </c>
      <c r="AT16" s="63"/>
      <c r="AU16" s="63"/>
      <c r="AV16" s="63">
        <f>Table46[[#This Row],[Dec_26_F]]-Table46[[#This Row],[Dec_26_A]]</f>
        <v>0</v>
      </c>
      <c r="AW16" s="60"/>
      <c r="AX16" s="63"/>
      <c r="AY16" s="63"/>
      <c r="AZ16" s="63">
        <f>Table46[[#This Row],[Jan_27_F]]-Table46[[#This Row],[Jan_27_Act]]</f>
        <v>0</v>
      </c>
      <c r="BA16" s="63"/>
      <c r="BB16" s="63"/>
      <c r="BC16" s="63">
        <f>Table46[[#This Row],[Feb_27_F]]-Table46[[#This Row],[Feb_27_A]]</f>
        <v>0</v>
      </c>
      <c r="BD16" s="63"/>
      <c r="BE16" s="63"/>
      <c r="BF16" s="63">
        <f>Table46[[#This Row],[Mar_27_F]]-Table46[[#This Row],[Mar_27_A]]</f>
        <v>0</v>
      </c>
      <c r="BG16" s="63"/>
      <c r="BH16" s="63"/>
      <c r="BI16" s="63">
        <f>Table46[[#This Row],[Apr_27_F]]-Table46[[#This Row],[Apr_27_A]]</f>
        <v>0</v>
      </c>
      <c r="BJ16" s="63"/>
      <c r="BK16" s="63"/>
      <c r="BL16" s="63">
        <f>Table46[[#This Row],[May_27_F]]-Table46[[#This Row],[May_27_A]]</f>
        <v>0</v>
      </c>
      <c r="BM16" s="63"/>
      <c r="BN16" s="63"/>
      <c r="BO16" s="63">
        <f>Table46[[#This Row],[Jun_27_F]]-Table46[[#This Row],[Jun_27_A]]</f>
        <v>0</v>
      </c>
      <c r="BP16" s="63"/>
      <c r="BQ16" s="63"/>
      <c r="BR16" s="63">
        <f>Table46[[#This Row],[Jul_27_F]]-Table46[[#This Row],[Jul_27_A]]</f>
        <v>0</v>
      </c>
      <c r="BS16" s="63"/>
      <c r="BT16" s="63"/>
      <c r="BU16" s="63">
        <f>Table46[[#This Row],[Aug_27_F]]-Table46[[#This Row],[Aug_27_A]]</f>
        <v>0</v>
      </c>
      <c r="BV16" s="63"/>
      <c r="BW16" s="63"/>
      <c r="BX16" s="63">
        <f>Table46[[#This Row],[Sep_27_F]]-Table46[[#This Row],[Sep_27_A]]</f>
        <v>0</v>
      </c>
      <c r="BY16" s="63"/>
      <c r="BZ16" s="63"/>
      <c r="CA16" s="63">
        <f>Table46[[#This Row],[Oct_27_F]]-Table46[[#This Row],[Oct_27_A]]</f>
        <v>0</v>
      </c>
      <c r="CB16" s="63"/>
      <c r="CC16" s="63"/>
      <c r="CD16" s="63">
        <f>Table46[[#This Row],[Nov_27_F]]-Table46[[#This Row],[Nov_27_A]]</f>
        <v>0</v>
      </c>
      <c r="CE16" s="63"/>
      <c r="CF16" s="63"/>
      <c r="CG16" s="63">
        <f>Table46[[#This Row],[Dec_27_F]]-Table46[[#This Row],[Dec_27_A]]</f>
        <v>0</v>
      </c>
    </row>
    <row r="17" spans="2:85" ht="41.45" customHeight="1">
      <c r="B17" s="13"/>
      <c r="C17" s="93"/>
      <c r="D17" s="15"/>
      <c r="E17" s="13"/>
      <c r="F17" s="13"/>
      <c r="G17" s="13"/>
      <c r="H17" s="13"/>
      <c r="I17" s="94"/>
      <c r="J17" s="94"/>
      <c r="L17" s="60"/>
      <c r="M17" s="63"/>
      <c r="N17" s="63"/>
      <c r="O17" s="63">
        <f>Table46[[#This Row],[Jan_26_F]]-Table46[[#This Row],[Jan_26_Act]]</f>
        <v>0</v>
      </c>
      <c r="P17" s="63"/>
      <c r="Q17" s="63"/>
      <c r="R17" s="63">
        <f>Table46[[#This Row],[Feb_26_F]]-Table46[[#This Row],[Feb_26_A]]</f>
        <v>0</v>
      </c>
      <c r="S17" s="63"/>
      <c r="T17" s="63"/>
      <c r="U17" s="63">
        <f>Table46[[#This Row],[Mar_26_F]]-Table46[[#This Row],[Mar_26_A]]</f>
        <v>0</v>
      </c>
      <c r="V17" s="63"/>
      <c r="W17" s="63"/>
      <c r="X17" s="63">
        <f>Table46[[#This Row],[Apr_26_F]]-Table46[[#This Row],[Apr_26_A]]</f>
        <v>0</v>
      </c>
      <c r="Y17" s="63"/>
      <c r="Z17" s="63"/>
      <c r="AA17" s="63">
        <f>Table46[[#This Row],[May_26_F]]-Table46[[#This Row],[May_26_A]]</f>
        <v>0</v>
      </c>
      <c r="AB17" s="63"/>
      <c r="AC17" s="63"/>
      <c r="AD17" s="63">
        <f>Table46[[#This Row],[Jun_26_F]]-Table46[[#This Row],[Jun_26_A]]</f>
        <v>0</v>
      </c>
      <c r="AE17" s="63"/>
      <c r="AF17" s="63"/>
      <c r="AG17" s="63">
        <f>Table46[[#This Row],[Jul_26_F]]-Table46[[#This Row],[Jul_26_A]]</f>
        <v>0</v>
      </c>
      <c r="AH17" s="63"/>
      <c r="AI17" s="63"/>
      <c r="AJ17" s="63">
        <f>Table46[[#This Row],[Aug_26_F]]-Table46[[#This Row],[Aug_26_A]]</f>
        <v>0</v>
      </c>
      <c r="AK17" s="63"/>
      <c r="AL17" s="63"/>
      <c r="AM17" s="63">
        <f>Table46[[#This Row],[Sep_26_F]]-Table46[[#This Row],[Sep_26_A]]</f>
        <v>0</v>
      </c>
      <c r="AN17" s="63"/>
      <c r="AO17" s="63"/>
      <c r="AP17" s="63">
        <f>Table46[[#This Row],[Oct_26_F]]-Table46[[#This Row],[Oct_26_A]]</f>
        <v>0</v>
      </c>
      <c r="AQ17" s="63"/>
      <c r="AR17" s="63"/>
      <c r="AS17" s="63">
        <f>Table46[[#This Row],[Nov_26_F]]-Table46[[#This Row],[Nov_26_A]]</f>
        <v>0</v>
      </c>
      <c r="AT17" s="63"/>
      <c r="AU17" s="63"/>
      <c r="AV17" s="63">
        <f>Table46[[#This Row],[Dec_26_F]]-Table46[[#This Row],[Dec_26_A]]</f>
        <v>0</v>
      </c>
      <c r="AW17" s="60"/>
      <c r="AX17" s="63"/>
      <c r="AY17" s="63"/>
      <c r="AZ17" s="63">
        <f>Table46[[#This Row],[Jan_27_F]]-Table46[[#This Row],[Jan_27_Act]]</f>
        <v>0</v>
      </c>
      <c r="BA17" s="63"/>
      <c r="BB17" s="63"/>
      <c r="BC17" s="63">
        <f>Table46[[#This Row],[Feb_27_F]]-Table46[[#This Row],[Feb_27_A]]</f>
        <v>0</v>
      </c>
      <c r="BD17" s="63"/>
      <c r="BE17" s="63"/>
      <c r="BF17" s="63">
        <f>Table46[[#This Row],[Mar_27_F]]-Table46[[#This Row],[Mar_27_A]]</f>
        <v>0</v>
      </c>
      <c r="BG17" s="63"/>
      <c r="BH17" s="63"/>
      <c r="BI17" s="63">
        <f>Table46[[#This Row],[Apr_27_F]]-Table46[[#This Row],[Apr_27_A]]</f>
        <v>0</v>
      </c>
      <c r="BJ17" s="63"/>
      <c r="BK17" s="63"/>
      <c r="BL17" s="63">
        <f>Table46[[#This Row],[May_27_F]]-Table46[[#This Row],[May_27_A]]</f>
        <v>0</v>
      </c>
      <c r="BM17" s="63"/>
      <c r="BN17" s="63"/>
      <c r="BO17" s="63">
        <f>Table46[[#This Row],[Jun_27_F]]-Table46[[#This Row],[Jun_27_A]]</f>
        <v>0</v>
      </c>
      <c r="BP17" s="63"/>
      <c r="BQ17" s="63"/>
      <c r="BR17" s="63">
        <f>Table46[[#This Row],[Jul_27_F]]-Table46[[#This Row],[Jul_27_A]]</f>
        <v>0</v>
      </c>
      <c r="BS17" s="63"/>
      <c r="BT17" s="63"/>
      <c r="BU17" s="63">
        <f>Table46[[#This Row],[Aug_27_F]]-Table46[[#This Row],[Aug_27_A]]</f>
        <v>0</v>
      </c>
      <c r="BV17" s="63"/>
      <c r="BW17" s="63"/>
      <c r="BX17" s="63">
        <f>Table46[[#This Row],[Sep_27_F]]-Table46[[#This Row],[Sep_27_A]]</f>
        <v>0</v>
      </c>
      <c r="BY17" s="63"/>
      <c r="BZ17" s="63"/>
      <c r="CA17" s="63">
        <f>Table46[[#This Row],[Oct_27_F]]-Table46[[#This Row],[Oct_27_A]]</f>
        <v>0</v>
      </c>
      <c r="CB17" s="63"/>
      <c r="CC17" s="63"/>
      <c r="CD17" s="63">
        <f>Table46[[#This Row],[Nov_27_F]]-Table46[[#This Row],[Nov_27_A]]</f>
        <v>0</v>
      </c>
      <c r="CE17" s="63"/>
      <c r="CF17" s="63"/>
      <c r="CG17" s="63">
        <f>Table46[[#This Row],[Dec_27_F]]-Table46[[#This Row],[Dec_27_A]]</f>
        <v>0</v>
      </c>
    </row>
    <row r="18" spans="2:85" ht="14.45">
      <c r="B18" s="13"/>
      <c r="C18" s="13"/>
      <c r="D18" s="15"/>
      <c r="E18" s="13"/>
      <c r="F18" s="13"/>
      <c r="G18" s="13"/>
      <c r="H18" s="13"/>
      <c r="I18" s="94"/>
      <c r="J18" s="94"/>
      <c r="L18" s="60"/>
      <c r="M18" s="63"/>
      <c r="N18" s="63"/>
      <c r="O18" s="63">
        <f>Table46[[#This Row],[Jan_26_F]]-Table46[[#This Row],[Jan_26_Act]]</f>
        <v>0</v>
      </c>
      <c r="P18" s="63"/>
      <c r="Q18" s="63"/>
      <c r="R18" s="63">
        <f>Table46[[#This Row],[Feb_26_F]]-Table46[[#This Row],[Feb_26_A]]</f>
        <v>0</v>
      </c>
      <c r="S18" s="63"/>
      <c r="T18" s="63"/>
      <c r="U18" s="63">
        <f>Table46[[#This Row],[Mar_26_F]]-Table46[[#This Row],[Mar_26_A]]</f>
        <v>0</v>
      </c>
      <c r="V18" s="63"/>
      <c r="W18" s="63"/>
      <c r="X18" s="63">
        <f>Table46[[#This Row],[Apr_26_F]]-Table46[[#This Row],[Apr_26_A]]</f>
        <v>0</v>
      </c>
      <c r="Y18" s="63"/>
      <c r="Z18" s="63"/>
      <c r="AA18" s="63">
        <f>Table46[[#This Row],[May_26_F]]-Table46[[#This Row],[May_26_A]]</f>
        <v>0</v>
      </c>
      <c r="AB18" s="63"/>
      <c r="AC18" s="63"/>
      <c r="AD18" s="63">
        <f>Table46[[#This Row],[Jun_26_F]]-Table46[[#This Row],[Jun_26_A]]</f>
        <v>0</v>
      </c>
      <c r="AE18" s="63"/>
      <c r="AF18" s="63"/>
      <c r="AG18" s="63">
        <f>Table46[[#This Row],[Jul_26_F]]-Table46[[#This Row],[Jul_26_A]]</f>
        <v>0</v>
      </c>
      <c r="AH18" s="63"/>
      <c r="AI18" s="63"/>
      <c r="AJ18" s="63">
        <f>Table46[[#This Row],[Aug_26_F]]-Table46[[#This Row],[Aug_26_A]]</f>
        <v>0</v>
      </c>
      <c r="AK18" s="63"/>
      <c r="AL18" s="63"/>
      <c r="AM18" s="63">
        <f>Table46[[#This Row],[Sep_26_F]]-Table46[[#This Row],[Sep_26_A]]</f>
        <v>0</v>
      </c>
      <c r="AN18" s="63"/>
      <c r="AO18" s="63"/>
      <c r="AP18" s="63">
        <f>Table46[[#This Row],[Oct_26_F]]-Table46[[#This Row],[Oct_26_A]]</f>
        <v>0</v>
      </c>
      <c r="AQ18" s="63"/>
      <c r="AR18" s="63"/>
      <c r="AS18" s="63">
        <f>Table46[[#This Row],[Nov_26_F]]-Table46[[#This Row],[Nov_26_A]]</f>
        <v>0</v>
      </c>
      <c r="AT18" s="63"/>
      <c r="AU18" s="63"/>
      <c r="AV18" s="63">
        <f>Table46[[#This Row],[Dec_26_F]]-Table46[[#This Row],[Dec_26_A]]</f>
        <v>0</v>
      </c>
      <c r="AW18" s="60"/>
      <c r="AX18" s="63"/>
      <c r="AY18" s="63"/>
      <c r="AZ18" s="63">
        <f>Table46[[#This Row],[Jan_27_F]]-Table46[[#This Row],[Jan_27_Act]]</f>
        <v>0</v>
      </c>
      <c r="BA18" s="63"/>
      <c r="BB18" s="63"/>
      <c r="BC18" s="63">
        <f>Table46[[#This Row],[Feb_27_F]]-Table46[[#This Row],[Feb_27_A]]</f>
        <v>0</v>
      </c>
      <c r="BD18" s="63"/>
      <c r="BE18" s="63"/>
      <c r="BF18" s="63">
        <f>Table46[[#This Row],[Mar_27_F]]-Table46[[#This Row],[Mar_27_A]]</f>
        <v>0</v>
      </c>
      <c r="BG18" s="63"/>
      <c r="BH18" s="63"/>
      <c r="BI18" s="63">
        <f>Table46[[#This Row],[Apr_27_F]]-Table46[[#This Row],[Apr_27_A]]</f>
        <v>0</v>
      </c>
      <c r="BJ18" s="63"/>
      <c r="BK18" s="63"/>
      <c r="BL18" s="63">
        <f>Table46[[#This Row],[May_27_F]]-Table46[[#This Row],[May_27_A]]</f>
        <v>0</v>
      </c>
      <c r="BM18" s="63"/>
      <c r="BN18" s="63"/>
      <c r="BO18" s="63">
        <f>Table46[[#This Row],[Jun_27_F]]-Table46[[#This Row],[Jun_27_A]]</f>
        <v>0</v>
      </c>
      <c r="BP18" s="63"/>
      <c r="BQ18" s="63"/>
      <c r="BR18" s="63">
        <f>Table46[[#This Row],[Jul_27_F]]-Table46[[#This Row],[Jul_27_A]]</f>
        <v>0</v>
      </c>
      <c r="BS18" s="63"/>
      <c r="BT18" s="63"/>
      <c r="BU18" s="63">
        <f>Table46[[#This Row],[Aug_27_F]]-Table46[[#This Row],[Aug_27_A]]</f>
        <v>0</v>
      </c>
      <c r="BV18" s="63"/>
      <c r="BW18" s="63"/>
      <c r="BX18" s="63">
        <f>Table46[[#This Row],[Sep_27_F]]-Table46[[#This Row],[Sep_27_A]]</f>
        <v>0</v>
      </c>
      <c r="BY18" s="63"/>
      <c r="BZ18" s="63"/>
      <c r="CA18" s="63">
        <f>Table46[[#This Row],[Oct_27_F]]-Table46[[#This Row],[Oct_27_A]]</f>
        <v>0</v>
      </c>
      <c r="CB18" s="63"/>
      <c r="CC18" s="63"/>
      <c r="CD18" s="63">
        <f>Table46[[#This Row],[Nov_27_F]]-Table46[[#This Row],[Nov_27_A]]</f>
        <v>0</v>
      </c>
      <c r="CE18" s="63"/>
      <c r="CF18" s="63"/>
      <c r="CG18" s="63">
        <f>Table46[[#This Row],[Dec_27_F]]-Table46[[#This Row],[Dec_27_A]]</f>
        <v>0</v>
      </c>
    </row>
    <row r="19" spans="2:85" ht="14.45">
      <c r="B19" s="13"/>
      <c r="C19" s="13"/>
      <c r="D19" s="61"/>
      <c r="F19" s="13"/>
      <c r="G19" s="13"/>
      <c r="H19" s="13"/>
      <c r="I19" s="13"/>
      <c r="J19" s="13"/>
      <c r="L19" s="60"/>
      <c r="M19" s="63"/>
      <c r="N19" s="63"/>
      <c r="O19" s="63">
        <f>Table46[[#This Row],[Jan_26_F]]-Table46[[#This Row],[Jan_26_Act]]</f>
        <v>0</v>
      </c>
      <c r="P19" s="63"/>
      <c r="Q19" s="63"/>
      <c r="R19" s="63">
        <f>Table46[[#This Row],[Feb_26_F]]-Table46[[#This Row],[Feb_26_A]]</f>
        <v>0</v>
      </c>
      <c r="S19" s="63"/>
      <c r="T19" s="63"/>
      <c r="U19" s="63">
        <f>Table46[[#This Row],[Mar_26_F]]-Table46[[#This Row],[Mar_26_A]]</f>
        <v>0</v>
      </c>
      <c r="V19" s="63"/>
      <c r="W19" s="63"/>
      <c r="X19" s="63">
        <f>Table46[[#This Row],[Apr_26_F]]-Table46[[#This Row],[Apr_26_A]]</f>
        <v>0</v>
      </c>
      <c r="Y19" s="63"/>
      <c r="Z19" s="63"/>
      <c r="AA19" s="63">
        <f>Table46[[#This Row],[May_26_F]]-Table46[[#This Row],[May_26_A]]</f>
        <v>0</v>
      </c>
      <c r="AB19" s="63"/>
      <c r="AC19" s="63"/>
      <c r="AD19" s="63">
        <f>Table46[[#This Row],[Jun_26_F]]-Table46[[#This Row],[Jun_26_A]]</f>
        <v>0</v>
      </c>
      <c r="AE19" s="63"/>
      <c r="AF19" s="63"/>
      <c r="AG19" s="63">
        <f>Table46[[#This Row],[Jul_26_F]]-Table46[[#This Row],[Jul_26_A]]</f>
        <v>0</v>
      </c>
      <c r="AH19" s="63"/>
      <c r="AI19" s="63"/>
      <c r="AJ19" s="63">
        <f>Table46[[#This Row],[Aug_26_F]]-Table46[[#This Row],[Aug_26_A]]</f>
        <v>0</v>
      </c>
      <c r="AK19" s="63"/>
      <c r="AL19" s="63"/>
      <c r="AM19" s="63">
        <f>Table46[[#This Row],[Sep_26_F]]-Table46[[#This Row],[Sep_26_A]]</f>
        <v>0</v>
      </c>
      <c r="AN19" s="63"/>
      <c r="AO19" s="63"/>
      <c r="AP19" s="63">
        <f>Table46[[#This Row],[Oct_26_F]]-Table46[[#This Row],[Oct_26_A]]</f>
        <v>0</v>
      </c>
      <c r="AQ19" s="63"/>
      <c r="AR19" s="63"/>
      <c r="AS19" s="63">
        <f>Table46[[#This Row],[Nov_26_F]]-Table46[[#This Row],[Nov_26_A]]</f>
        <v>0</v>
      </c>
      <c r="AT19" s="63"/>
      <c r="AU19" s="63"/>
      <c r="AV19" s="63">
        <f>Table46[[#This Row],[Dec_26_F]]-Table46[[#This Row],[Dec_26_A]]</f>
        <v>0</v>
      </c>
      <c r="AW19" s="60"/>
      <c r="AX19" s="63"/>
      <c r="AY19" s="63"/>
      <c r="AZ19" s="63">
        <f>Table46[[#This Row],[Jan_27_F]]-Table46[[#This Row],[Jan_27_Act]]</f>
        <v>0</v>
      </c>
      <c r="BA19" s="63"/>
      <c r="BB19" s="63"/>
      <c r="BC19" s="63">
        <f>Table46[[#This Row],[Feb_27_F]]-Table46[[#This Row],[Feb_27_A]]</f>
        <v>0</v>
      </c>
      <c r="BD19" s="63"/>
      <c r="BE19" s="63"/>
      <c r="BF19" s="63">
        <f>Table46[[#This Row],[Mar_27_F]]-Table46[[#This Row],[Mar_27_A]]</f>
        <v>0</v>
      </c>
      <c r="BG19" s="63"/>
      <c r="BH19" s="63"/>
      <c r="BI19" s="63">
        <f>Table46[[#This Row],[Apr_27_F]]-Table46[[#This Row],[Apr_27_A]]</f>
        <v>0</v>
      </c>
      <c r="BJ19" s="63"/>
      <c r="BK19" s="63"/>
      <c r="BL19" s="63">
        <f>Table46[[#This Row],[May_27_F]]-Table46[[#This Row],[May_27_A]]</f>
        <v>0</v>
      </c>
      <c r="BM19" s="63"/>
      <c r="BN19" s="63"/>
      <c r="BO19" s="63">
        <f>Table46[[#This Row],[Jun_27_F]]-Table46[[#This Row],[Jun_27_A]]</f>
        <v>0</v>
      </c>
      <c r="BP19" s="63"/>
      <c r="BQ19" s="63"/>
      <c r="BR19" s="63">
        <f>Table46[[#This Row],[Jul_27_F]]-Table46[[#This Row],[Jul_27_A]]</f>
        <v>0</v>
      </c>
      <c r="BS19" s="63"/>
      <c r="BT19" s="63"/>
      <c r="BU19" s="63">
        <f>Table46[[#This Row],[Aug_27_F]]-Table46[[#This Row],[Aug_27_A]]</f>
        <v>0</v>
      </c>
      <c r="BV19" s="63"/>
      <c r="BW19" s="63"/>
      <c r="BX19" s="63">
        <f>Table46[[#This Row],[Sep_27_F]]-Table46[[#This Row],[Sep_27_A]]</f>
        <v>0</v>
      </c>
      <c r="BY19" s="63"/>
      <c r="BZ19" s="63"/>
      <c r="CA19" s="63">
        <f>Table46[[#This Row],[Oct_27_F]]-Table46[[#This Row],[Oct_27_A]]</f>
        <v>0</v>
      </c>
      <c r="CB19" s="63"/>
      <c r="CC19" s="63"/>
      <c r="CD19" s="63">
        <f>Table46[[#This Row],[Nov_27_F]]-Table46[[#This Row],[Nov_27_A]]</f>
        <v>0</v>
      </c>
      <c r="CE19" s="63"/>
      <c r="CF19" s="63"/>
      <c r="CG19" s="63">
        <f>Table46[[#This Row],[Dec_27_F]]-Table46[[#This Row],[Dec_27_A]]</f>
        <v>0</v>
      </c>
    </row>
    <row r="20" spans="2:85" ht="14.45">
      <c r="B20" s="13"/>
      <c r="C20" s="13"/>
      <c r="D20" s="61"/>
      <c r="F20" s="13"/>
      <c r="G20" s="13"/>
      <c r="H20" s="13"/>
      <c r="I20" s="13"/>
      <c r="J20" s="13"/>
      <c r="L20" s="60"/>
      <c r="M20" s="63"/>
      <c r="N20" s="63"/>
      <c r="O20" s="63">
        <f>Table46[[#This Row],[Jan_26_F]]-Table46[[#This Row],[Jan_26_Act]]</f>
        <v>0</v>
      </c>
      <c r="P20" s="63"/>
      <c r="Q20" s="63"/>
      <c r="R20" s="63">
        <f>Table46[[#This Row],[Feb_26_F]]-Table46[[#This Row],[Feb_26_A]]</f>
        <v>0</v>
      </c>
      <c r="S20" s="63"/>
      <c r="T20" s="63"/>
      <c r="U20" s="63">
        <f>Table46[[#This Row],[Mar_26_F]]-Table46[[#This Row],[Mar_26_A]]</f>
        <v>0</v>
      </c>
      <c r="V20" s="63"/>
      <c r="W20" s="63"/>
      <c r="X20" s="63">
        <f>Table46[[#This Row],[Apr_26_F]]-Table46[[#This Row],[Apr_26_A]]</f>
        <v>0</v>
      </c>
      <c r="Y20" s="63"/>
      <c r="Z20" s="63"/>
      <c r="AA20" s="63">
        <f>Table46[[#This Row],[May_26_F]]-Table46[[#This Row],[May_26_A]]</f>
        <v>0</v>
      </c>
      <c r="AB20" s="63"/>
      <c r="AC20" s="63"/>
      <c r="AD20" s="63">
        <f>Table46[[#This Row],[Jun_26_F]]-Table46[[#This Row],[Jun_26_A]]</f>
        <v>0</v>
      </c>
      <c r="AE20" s="63"/>
      <c r="AF20" s="63"/>
      <c r="AG20" s="63">
        <f>Table46[[#This Row],[Jul_26_F]]-Table46[[#This Row],[Jul_26_A]]</f>
        <v>0</v>
      </c>
      <c r="AH20" s="63"/>
      <c r="AI20" s="63"/>
      <c r="AJ20" s="63">
        <f>Table46[[#This Row],[Aug_26_F]]-Table46[[#This Row],[Aug_26_A]]</f>
        <v>0</v>
      </c>
      <c r="AK20" s="63"/>
      <c r="AL20" s="63"/>
      <c r="AM20" s="63">
        <f>Table46[[#This Row],[Sep_26_F]]-Table46[[#This Row],[Sep_26_A]]</f>
        <v>0</v>
      </c>
      <c r="AN20" s="63"/>
      <c r="AO20" s="63"/>
      <c r="AP20" s="63">
        <f>Table46[[#This Row],[Oct_26_F]]-Table46[[#This Row],[Oct_26_A]]</f>
        <v>0</v>
      </c>
      <c r="AQ20" s="63"/>
      <c r="AR20" s="63"/>
      <c r="AS20" s="63">
        <f>Table46[[#This Row],[Nov_26_F]]-Table46[[#This Row],[Nov_26_A]]</f>
        <v>0</v>
      </c>
      <c r="AT20" s="63"/>
      <c r="AU20" s="63"/>
      <c r="AV20" s="63">
        <f>Table46[[#This Row],[Dec_26_F]]-Table46[[#This Row],[Dec_26_A]]</f>
        <v>0</v>
      </c>
      <c r="AW20" s="60"/>
      <c r="AX20" s="63"/>
      <c r="AY20" s="63"/>
      <c r="AZ20" s="63">
        <f>Table46[[#This Row],[Jan_27_F]]-Table46[[#This Row],[Jan_27_Act]]</f>
        <v>0</v>
      </c>
      <c r="BA20" s="63"/>
      <c r="BB20" s="63"/>
      <c r="BC20" s="63">
        <f>Table46[[#This Row],[Feb_27_F]]-Table46[[#This Row],[Feb_27_A]]</f>
        <v>0</v>
      </c>
      <c r="BD20" s="63"/>
      <c r="BE20" s="63"/>
      <c r="BF20" s="63">
        <f>Table46[[#This Row],[Mar_27_F]]-Table46[[#This Row],[Mar_27_A]]</f>
        <v>0</v>
      </c>
      <c r="BG20" s="63"/>
      <c r="BH20" s="63"/>
      <c r="BI20" s="63">
        <f>Table46[[#This Row],[Apr_27_F]]-Table46[[#This Row],[Apr_27_A]]</f>
        <v>0</v>
      </c>
      <c r="BJ20" s="63"/>
      <c r="BK20" s="63"/>
      <c r="BL20" s="63">
        <f>Table46[[#This Row],[May_27_F]]-Table46[[#This Row],[May_27_A]]</f>
        <v>0</v>
      </c>
      <c r="BM20" s="63"/>
      <c r="BN20" s="63"/>
      <c r="BO20" s="63">
        <f>Table46[[#This Row],[Jun_27_F]]-Table46[[#This Row],[Jun_27_A]]</f>
        <v>0</v>
      </c>
      <c r="BP20" s="63"/>
      <c r="BQ20" s="63"/>
      <c r="BR20" s="63">
        <f>Table46[[#This Row],[Jul_27_F]]-Table46[[#This Row],[Jul_27_A]]</f>
        <v>0</v>
      </c>
      <c r="BS20" s="63"/>
      <c r="BT20" s="63"/>
      <c r="BU20" s="63">
        <f>Table46[[#This Row],[Aug_27_F]]-Table46[[#This Row],[Aug_27_A]]</f>
        <v>0</v>
      </c>
      <c r="BV20" s="63"/>
      <c r="BW20" s="63"/>
      <c r="BX20" s="63">
        <f>Table46[[#This Row],[Sep_27_F]]-Table46[[#This Row],[Sep_27_A]]</f>
        <v>0</v>
      </c>
      <c r="BY20" s="63"/>
      <c r="BZ20" s="63"/>
      <c r="CA20" s="63">
        <f>Table46[[#This Row],[Oct_27_F]]-Table46[[#This Row],[Oct_27_A]]</f>
        <v>0</v>
      </c>
      <c r="CB20" s="63"/>
      <c r="CC20" s="63"/>
      <c r="CD20" s="63">
        <f>Table46[[#This Row],[Nov_27_F]]-Table46[[#This Row],[Nov_27_A]]</f>
        <v>0</v>
      </c>
      <c r="CE20" s="63"/>
      <c r="CF20" s="63"/>
      <c r="CG20" s="63">
        <f>Table46[[#This Row],[Dec_27_F]]-Table46[[#This Row],[Dec_27_A]]</f>
        <v>0</v>
      </c>
    </row>
    <row r="21" spans="2:85" ht="14.45">
      <c r="B21" s="13"/>
      <c r="C21" s="13"/>
      <c r="D21" s="61"/>
      <c r="F21" s="13"/>
      <c r="G21" s="13"/>
      <c r="H21" s="13"/>
      <c r="I21" s="13"/>
      <c r="J21" s="13"/>
      <c r="L21" s="60"/>
      <c r="M21" s="63"/>
      <c r="N21" s="63"/>
      <c r="O21" s="63">
        <f>Table46[[#This Row],[Jan_26_F]]-Table46[[#This Row],[Jan_26_Act]]</f>
        <v>0</v>
      </c>
      <c r="P21" s="63"/>
      <c r="Q21" s="63"/>
      <c r="R21" s="63">
        <f>Table46[[#This Row],[Feb_26_F]]-Table46[[#This Row],[Feb_26_A]]</f>
        <v>0</v>
      </c>
      <c r="S21" s="63"/>
      <c r="T21" s="63"/>
      <c r="U21" s="63">
        <f>Table46[[#This Row],[Mar_26_F]]-Table46[[#This Row],[Mar_26_A]]</f>
        <v>0</v>
      </c>
      <c r="V21" s="63"/>
      <c r="W21" s="63"/>
      <c r="X21" s="63">
        <f>Table46[[#This Row],[Apr_26_F]]-Table46[[#This Row],[Apr_26_A]]</f>
        <v>0</v>
      </c>
      <c r="Y21" s="63"/>
      <c r="Z21" s="63"/>
      <c r="AA21" s="63">
        <f>Table46[[#This Row],[May_26_F]]-Table46[[#This Row],[May_26_A]]</f>
        <v>0</v>
      </c>
      <c r="AB21" s="63"/>
      <c r="AC21" s="63"/>
      <c r="AD21" s="63">
        <f>Table46[[#This Row],[Jun_26_F]]-Table46[[#This Row],[Jun_26_A]]</f>
        <v>0</v>
      </c>
      <c r="AE21" s="63"/>
      <c r="AF21" s="63"/>
      <c r="AG21" s="63">
        <f>Table46[[#This Row],[Jul_26_F]]-Table46[[#This Row],[Jul_26_A]]</f>
        <v>0</v>
      </c>
      <c r="AH21" s="63"/>
      <c r="AI21" s="63"/>
      <c r="AJ21" s="63">
        <f>Table46[[#This Row],[Aug_26_F]]-Table46[[#This Row],[Aug_26_A]]</f>
        <v>0</v>
      </c>
      <c r="AK21" s="63"/>
      <c r="AL21" s="63"/>
      <c r="AM21" s="63">
        <f>Table46[[#This Row],[Sep_26_F]]-Table46[[#This Row],[Sep_26_A]]</f>
        <v>0</v>
      </c>
      <c r="AN21" s="63"/>
      <c r="AO21" s="63"/>
      <c r="AP21" s="63">
        <f>Table46[[#This Row],[Oct_26_F]]-Table46[[#This Row],[Oct_26_A]]</f>
        <v>0</v>
      </c>
      <c r="AQ21" s="63"/>
      <c r="AR21" s="63"/>
      <c r="AS21" s="63">
        <f>Table46[[#This Row],[Nov_26_F]]-Table46[[#This Row],[Nov_26_A]]</f>
        <v>0</v>
      </c>
      <c r="AT21" s="63"/>
      <c r="AU21" s="63"/>
      <c r="AV21" s="63">
        <f>Table46[[#This Row],[Dec_26_F]]-Table46[[#This Row],[Dec_26_A]]</f>
        <v>0</v>
      </c>
      <c r="AW21" s="60"/>
      <c r="AX21" s="63"/>
      <c r="AY21" s="63"/>
      <c r="AZ21" s="63">
        <f>Table46[[#This Row],[Jan_27_F]]-Table46[[#This Row],[Jan_27_Act]]</f>
        <v>0</v>
      </c>
      <c r="BA21" s="63"/>
      <c r="BB21" s="63"/>
      <c r="BC21" s="63">
        <f>Table46[[#This Row],[Feb_27_F]]-Table46[[#This Row],[Feb_27_A]]</f>
        <v>0</v>
      </c>
      <c r="BD21" s="63"/>
      <c r="BE21" s="63"/>
      <c r="BF21" s="63">
        <f>Table46[[#This Row],[Mar_27_F]]-Table46[[#This Row],[Mar_27_A]]</f>
        <v>0</v>
      </c>
      <c r="BG21" s="63"/>
      <c r="BH21" s="63"/>
      <c r="BI21" s="63">
        <f>Table46[[#This Row],[Apr_27_F]]-Table46[[#This Row],[Apr_27_A]]</f>
        <v>0</v>
      </c>
      <c r="BJ21" s="63"/>
      <c r="BK21" s="63"/>
      <c r="BL21" s="63">
        <f>Table46[[#This Row],[May_27_F]]-Table46[[#This Row],[May_27_A]]</f>
        <v>0</v>
      </c>
      <c r="BM21" s="63"/>
      <c r="BN21" s="63"/>
      <c r="BO21" s="63">
        <f>Table46[[#This Row],[Jun_27_F]]-Table46[[#This Row],[Jun_27_A]]</f>
        <v>0</v>
      </c>
      <c r="BP21" s="63"/>
      <c r="BQ21" s="63"/>
      <c r="BR21" s="63">
        <f>Table46[[#This Row],[Jul_27_F]]-Table46[[#This Row],[Jul_27_A]]</f>
        <v>0</v>
      </c>
      <c r="BS21" s="63"/>
      <c r="BT21" s="63"/>
      <c r="BU21" s="63">
        <f>Table46[[#This Row],[Aug_27_F]]-Table46[[#This Row],[Aug_27_A]]</f>
        <v>0</v>
      </c>
      <c r="BV21" s="63"/>
      <c r="BW21" s="63"/>
      <c r="BX21" s="63">
        <f>Table46[[#This Row],[Sep_27_F]]-Table46[[#This Row],[Sep_27_A]]</f>
        <v>0</v>
      </c>
      <c r="BY21" s="63"/>
      <c r="BZ21" s="63"/>
      <c r="CA21" s="63">
        <f>Table46[[#This Row],[Oct_27_F]]-Table46[[#This Row],[Oct_27_A]]</f>
        <v>0</v>
      </c>
      <c r="CB21" s="63"/>
      <c r="CC21" s="63"/>
      <c r="CD21" s="63">
        <f>Table46[[#This Row],[Nov_27_F]]-Table46[[#This Row],[Nov_27_A]]</f>
        <v>0</v>
      </c>
      <c r="CE21" s="63"/>
      <c r="CF21" s="63"/>
      <c r="CG21" s="63">
        <f>Table46[[#This Row],[Dec_27_F]]-Table46[[#This Row],[Dec_27_A]]</f>
        <v>0</v>
      </c>
    </row>
    <row r="22" spans="2:85" ht="14.45">
      <c r="B22" s="13"/>
      <c r="D22" s="61"/>
      <c r="F22" s="13"/>
      <c r="G22" s="13"/>
      <c r="H22" s="13"/>
      <c r="I22" s="13"/>
      <c r="J22" s="13"/>
      <c r="L22" s="60"/>
      <c r="M22" s="63"/>
      <c r="N22" s="63"/>
      <c r="O22" s="63">
        <f>Table46[[#This Row],[Jan_26_F]]-Table46[[#This Row],[Jan_26_Act]]</f>
        <v>0</v>
      </c>
      <c r="P22" s="63"/>
      <c r="Q22" s="63"/>
      <c r="R22" s="63">
        <f>Table46[[#This Row],[Feb_26_F]]-Table46[[#This Row],[Feb_26_A]]</f>
        <v>0</v>
      </c>
      <c r="S22" s="63"/>
      <c r="T22" s="63"/>
      <c r="U22" s="63">
        <f>Table46[[#This Row],[Mar_26_F]]-Table46[[#This Row],[Mar_26_A]]</f>
        <v>0</v>
      </c>
      <c r="V22" s="63"/>
      <c r="W22" s="63"/>
      <c r="X22" s="63">
        <f>Table46[[#This Row],[Apr_26_F]]-Table46[[#This Row],[Apr_26_A]]</f>
        <v>0</v>
      </c>
      <c r="Y22" s="63"/>
      <c r="Z22" s="63"/>
      <c r="AA22" s="63">
        <f>Table46[[#This Row],[May_26_F]]-Table46[[#This Row],[May_26_A]]</f>
        <v>0</v>
      </c>
      <c r="AB22" s="63"/>
      <c r="AC22" s="63"/>
      <c r="AD22" s="63">
        <f>Table46[[#This Row],[Jun_26_F]]-Table46[[#This Row],[Jun_26_A]]</f>
        <v>0</v>
      </c>
      <c r="AE22" s="63"/>
      <c r="AF22" s="63"/>
      <c r="AG22" s="63">
        <f>Table46[[#This Row],[Jul_26_F]]-Table46[[#This Row],[Jul_26_A]]</f>
        <v>0</v>
      </c>
      <c r="AH22" s="63"/>
      <c r="AI22" s="63"/>
      <c r="AJ22" s="63">
        <f>Table46[[#This Row],[Aug_26_F]]-Table46[[#This Row],[Aug_26_A]]</f>
        <v>0</v>
      </c>
      <c r="AK22" s="63"/>
      <c r="AL22" s="63"/>
      <c r="AM22" s="63">
        <f>Table46[[#This Row],[Sep_26_F]]-Table46[[#This Row],[Sep_26_A]]</f>
        <v>0</v>
      </c>
      <c r="AN22" s="63"/>
      <c r="AO22" s="63"/>
      <c r="AP22" s="63">
        <f>Table46[[#This Row],[Oct_26_F]]-Table46[[#This Row],[Oct_26_A]]</f>
        <v>0</v>
      </c>
      <c r="AQ22" s="63"/>
      <c r="AR22" s="63"/>
      <c r="AS22" s="63">
        <f>Table46[[#This Row],[Nov_26_F]]-Table46[[#This Row],[Nov_26_A]]</f>
        <v>0</v>
      </c>
      <c r="AT22" s="63"/>
      <c r="AU22" s="63"/>
      <c r="AV22" s="63">
        <f>Table46[[#This Row],[Dec_26_F]]-Table46[[#This Row],[Dec_26_A]]</f>
        <v>0</v>
      </c>
      <c r="AW22" s="60"/>
      <c r="AX22" s="63"/>
      <c r="AY22" s="63"/>
      <c r="AZ22" s="63">
        <f>Table46[[#This Row],[Jan_27_F]]-Table46[[#This Row],[Jan_27_Act]]</f>
        <v>0</v>
      </c>
      <c r="BA22" s="63"/>
      <c r="BB22" s="63"/>
      <c r="BC22" s="63">
        <f>Table46[[#This Row],[Feb_27_F]]-Table46[[#This Row],[Feb_27_A]]</f>
        <v>0</v>
      </c>
      <c r="BD22" s="63"/>
      <c r="BE22" s="63"/>
      <c r="BF22" s="63">
        <f>Table46[[#This Row],[Mar_27_F]]-Table46[[#This Row],[Mar_27_A]]</f>
        <v>0</v>
      </c>
      <c r="BG22" s="63"/>
      <c r="BH22" s="63"/>
      <c r="BI22" s="63">
        <f>Table46[[#This Row],[Apr_27_F]]-Table46[[#This Row],[Apr_27_A]]</f>
        <v>0</v>
      </c>
      <c r="BJ22" s="63"/>
      <c r="BK22" s="63"/>
      <c r="BL22" s="63">
        <f>Table46[[#This Row],[May_27_F]]-Table46[[#This Row],[May_27_A]]</f>
        <v>0</v>
      </c>
      <c r="BM22" s="63"/>
      <c r="BN22" s="63"/>
      <c r="BO22" s="63">
        <f>Table46[[#This Row],[Jun_27_F]]-Table46[[#This Row],[Jun_27_A]]</f>
        <v>0</v>
      </c>
      <c r="BP22" s="63"/>
      <c r="BQ22" s="63"/>
      <c r="BR22" s="63">
        <f>Table46[[#This Row],[Jul_27_F]]-Table46[[#This Row],[Jul_27_A]]</f>
        <v>0</v>
      </c>
      <c r="BS22" s="63"/>
      <c r="BT22" s="63"/>
      <c r="BU22" s="63">
        <f>Table46[[#This Row],[Aug_27_F]]-Table46[[#This Row],[Aug_27_A]]</f>
        <v>0</v>
      </c>
      <c r="BV22" s="63"/>
      <c r="BW22" s="63"/>
      <c r="BX22" s="63">
        <f>Table46[[#This Row],[Sep_27_F]]-Table46[[#This Row],[Sep_27_A]]</f>
        <v>0</v>
      </c>
      <c r="BY22" s="63"/>
      <c r="BZ22" s="63"/>
      <c r="CA22" s="63">
        <f>Table46[[#This Row],[Oct_27_F]]-Table46[[#This Row],[Oct_27_A]]</f>
        <v>0</v>
      </c>
      <c r="CB22" s="63"/>
      <c r="CC22" s="63"/>
      <c r="CD22" s="63">
        <f>Table46[[#This Row],[Nov_27_F]]-Table46[[#This Row],[Nov_27_A]]</f>
        <v>0</v>
      </c>
      <c r="CE22" s="63"/>
      <c r="CF22" s="63"/>
      <c r="CG22" s="63">
        <f>Table46[[#This Row],[Dec_27_F]]-Table46[[#This Row],[Dec_27_A]]</f>
        <v>0</v>
      </c>
    </row>
    <row r="23" spans="2:85" ht="14.45">
      <c r="B23" s="13"/>
      <c r="D23" s="61"/>
      <c r="F23" s="13"/>
      <c r="G23" s="13"/>
      <c r="H23" s="13"/>
      <c r="I23" s="13"/>
      <c r="J23" s="13"/>
      <c r="L23" s="60"/>
      <c r="M23" s="63"/>
      <c r="N23" s="63"/>
      <c r="O23" s="63">
        <f>Table46[[#This Row],[Jan_26_F]]-Table46[[#This Row],[Jan_26_Act]]</f>
        <v>0</v>
      </c>
      <c r="P23" s="63"/>
      <c r="Q23" s="63"/>
      <c r="R23" s="63">
        <f>Table46[[#This Row],[Feb_26_F]]-Table46[[#This Row],[Feb_26_A]]</f>
        <v>0</v>
      </c>
      <c r="S23" s="63"/>
      <c r="T23" s="63"/>
      <c r="U23" s="63">
        <f>Table46[[#This Row],[Mar_26_F]]-Table46[[#This Row],[Mar_26_A]]</f>
        <v>0</v>
      </c>
      <c r="V23" s="63"/>
      <c r="W23" s="63"/>
      <c r="X23" s="63">
        <f>Table46[[#This Row],[Apr_26_F]]-Table46[[#This Row],[Apr_26_A]]</f>
        <v>0</v>
      </c>
      <c r="Y23" s="63"/>
      <c r="Z23" s="63"/>
      <c r="AA23" s="63">
        <f>Table46[[#This Row],[May_26_F]]-Table46[[#This Row],[May_26_A]]</f>
        <v>0</v>
      </c>
      <c r="AB23" s="63"/>
      <c r="AC23" s="63"/>
      <c r="AD23" s="63">
        <f>Table46[[#This Row],[Jun_26_F]]-Table46[[#This Row],[Jun_26_A]]</f>
        <v>0</v>
      </c>
      <c r="AE23" s="63"/>
      <c r="AF23" s="63"/>
      <c r="AG23" s="63">
        <f>Table46[[#This Row],[Jul_26_F]]-Table46[[#This Row],[Jul_26_A]]</f>
        <v>0</v>
      </c>
      <c r="AH23" s="63"/>
      <c r="AI23" s="63"/>
      <c r="AJ23" s="63">
        <f>Table46[[#This Row],[Aug_26_F]]-Table46[[#This Row],[Aug_26_A]]</f>
        <v>0</v>
      </c>
      <c r="AK23" s="63"/>
      <c r="AL23" s="63"/>
      <c r="AM23" s="63">
        <f>Table46[[#This Row],[Sep_26_F]]-Table46[[#This Row],[Sep_26_A]]</f>
        <v>0</v>
      </c>
      <c r="AN23" s="63"/>
      <c r="AO23" s="63"/>
      <c r="AP23" s="63">
        <f>Table46[[#This Row],[Oct_26_F]]-Table46[[#This Row],[Oct_26_A]]</f>
        <v>0</v>
      </c>
      <c r="AQ23" s="63"/>
      <c r="AR23" s="63"/>
      <c r="AS23" s="63">
        <f>Table46[[#This Row],[Nov_26_F]]-Table46[[#This Row],[Nov_26_A]]</f>
        <v>0</v>
      </c>
      <c r="AT23" s="63"/>
      <c r="AU23" s="63"/>
      <c r="AV23" s="63">
        <f>Table46[[#This Row],[Dec_26_F]]-Table46[[#This Row],[Dec_26_A]]</f>
        <v>0</v>
      </c>
      <c r="AW23" s="60"/>
      <c r="AX23" s="63"/>
      <c r="AY23" s="63"/>
      <c r="AZ23" s="63">
        <f>Table46[[#This Row],[Jan_27_F]]-Table46[[#This Row],[Jan_27_Act]]</f>
        <v>0</v>
      </c>
      <c r="BA23" s="63"/>
      <c r="BB23" s="63"/>
      <c r="BC23" s="63">
        <f>Table46[[#This Row],[Feb_27_F]]-Table46[[#This Row],[Feb_27_A]]</f>
        <v>0</v>
      </c>
      <c r="BD23" s="63"/>
      <c r="BE23" s="63"/>
      <c r="BF23" s="63">
        <f>Table46[[#This Row],[Mar_27_F]]-Table46[[#This Row],[Mar_27_A]]</f>
        <v>0</v>
      </c>
      <c r="BG23" s="63"/>
      <c r="BH23" s="63"/>
      <c r="BI23" s="63">
        <f>Table46[[#This Row],[Apr_27_F]]-Table46[[#This Row],[Apr_27_A]]</f>
        <v>0</v>
      </c>
      <c r="BJ23" s="63"/>
      <c r="BK23" s="63"/>
      <c r="BL23" s="63">
        <f>Table46[[#This Row],[May_27_F]]-Table46[[#This Row],[May_27_A]]</f>
        <v>0</v>
      </c>
      <c r="BM23" s="63"/>
      <c r="BN23" s="63"/>
      <c r="BO23" s="63">
        <f>Table46[[#This Row],[Jun_27_F]]-Table46[[#This Row],[Jun_27_A]]</f>
        <v>0</v>
      </c>
      <c r="BP23" s="63"/>
      <c r="BQ23" s="63"/>
      <c r="BR23" s="63">
        <f>Table46[[#This Row],[Jul_27_F]]-Table46[[#This Row],[Jul_27_A]]</f>
        <v>0</v>
      </c>
      <c r="BS23" s="63"/>
      <c r="BT23" s="63"/>
      <c r="BU23" s="63">
        <f>Table46[[#This Row],[Aug_27_F]]-Table46[[#This Row],[Aug_27_A]]</f>
        <v>0</v>
      </c>
      <c r="BV23" s="63"/>
      <c r="BW23" s="63"/>
      <c r="BX23" s="63">
        <f>Table46[[#This Row],[Sep_27_F]]-Table46[[#This Row],[Sep_27_A]]</f>
        <v>0</v>
      </c>
      <c r="BY23" s="63"/>
      <c r="BZ23" s="63"/>
      <c r="CA23" s="63">
        <f>Table46[[#This Row],[Oct_27_F]]-Table46[[#This Row],[Oct_27_A]]</f>
        <v>0</v>
      </c>
      <c r="CB23" s="63"/>
      <c r="CC23" s="63"/>
      <c r="CD23" s="63">
        <f>Table46[[#This Row],[Nov_27_F]]-Table46[[#This Row],[Nov_27_A]]</f>
        <v>0</v>
      </c>
      <c r="CE23" s="63"/>
      <c r="CF23" s="63"/>
      <c r="CG23" s="63">
        <f>Table46[[#This Row],[Dec_27_F]]-Table46[[#This Row],[Dec_27_A]]</f>
        <v>0</v>
      </c>
    </row>
    <row r="24" spans="2:85" ht="14.45">
      <c r="B24" s="13"/>
      <c r="D24" s="61"/>
      <c r="F24" s="13"/>
      <c r="G24" s="13"/>
      <c r="H24" s="13"/>
      <c r="I24" s="13"/>
      <c r="J24" s="13"/>
      <c r="L24" s="60"/>
      <c r="M24" s="63"/>
      <c r="N24" s="63"/>
      <c r="O24" s="63">
        <f>Table46[[#This Row],[Jan_26_F]]-Table46[[#This Row],[Jan_26_Act]]</f>
        <v>0</v>
      </c>
      <c r="P24" s="63"/>
      <c r="Q24" s="63"/>
      <c r="R24" s="63">
        <f>Table46[[#This Row],[Feb_26_F]]-Table46[[#This Row],[Feb_26_A]]</f>
        <v>0</v>
      </c>
      <c r="S24" s="63"/>
      <c r="T24" s="63"/>
      <c r="U24" s="63">
        <f>Table46[[#This Row],[Mar_26_F]]-Table46[[#This Row],[Mar_26_A]]</f>
        <v>0</v>
      </c>
      <c r="V24" s="63"/>
      <c r="W24" s="63"/>
      <c r="X24" s="63">
        <f>Table46[[#This Row],[Apr_26_F]]-Table46[[#This Row],[Apr_26_A]]</f>
        <v>0</v>
      </c>
      <c r="Y24" s="63"/>
      <c r="Z24" s="63"/>
      <c r="AA24" s="63">
        <f>Table46[[#This Row],[May_26_F]]-Table46[[#This Row],[May_26_A]]</f>
        <v>0</v>
      </c>
      <c r="AB24" s="63"/>
      <c r="AC24" s="63"/>
      <c r="AD24" s="63">
        <f>Table46[[#This Row],[Jun_26_F]]-Table46[[#This Row],[Jun_26_A]]</f>
        <v>0</v>
      </c>
      <c r="AE24" s="63"/>
      <c r="AF24" s="63"/>
      <c r="AG24" s="63">
        <f>Table46[[#This Row],[Jul_26_F]]-Table46[[#This Row],[Jul_26_A]]</f>
        <v>0</v>
      </c>
      <c r="AH24" s="63"/>
      <c r="AI24" s="63"/>
      <c r="AJ24" s="63">
        <f>Table46[[#This Row],[Aug_26_F]]-Table46[[#This Row],[Aug_26_A]]</f>
        <v>0</v>
      </c>
      <c r="AK24" s="63"/>
      <c r="AL24" s="63"/>
      <c r="AM24" s="63">
        <f>Table46[[#This Row],[Sep_26_F]]-Table46[[#This Row],[Sep_26_A]]</f>
        <v>0</v>
      </c>
      <c r="AN24" s="63"/>
      <c r="AO24" s="63"/>
      <c r="AP24" s="63">
        <f>Table46[[#This Row],[Oct_26_F]]-Table46[[#This Row],[Oct_26_A]]</f>
        <v>0</v>
      </c>
      <c r="AQ24" s="63"/>
      <c r="AR24" s="63"/>
      <c r="AS24" s="63">
        <f>Table46[[#This Row],[Nov_26_F]]-Table46[[#This Row],[Nov_26_A]]</f>
        <v>0</v>
      </c>
      <c r="AT24" s="63"/>
      <c r="AU24" s="63"/>
      <c r="AV24" s="63">
        <f>Table46[[#This Row],[Dec_26_F]]-Table46[[#This Row],[Dec_26_A]]</f>
        <v>0</v>
      </c>
      <c r="AW24" s="60"/>
      <c r="AX24" s="63"/>
      <c r="AY24" s="63"/>
      <c r="AZ24" s="63">
        <f>Table46[[#This Row],[Jan_27_F]]-Table46[[#This Row],[Jan_27_Act]]</f>
        <v>0</v>
      </c>
      <c r="BA24" s="63"/>
      <c r="BB24" s="63"/>
      <c r="BC24" s="63">
        <f>Table46[[#This Row],[Feb_27_F]]-Table46[[#This Row],[Feb_27_A]]</f>
        <v>0</v>
      </c>
      <c r="BD24" s="63"/>
      <c r="BE24" s="63"/>
      <c r="BF24" s="63">
        <f>Table46[[#This Row],[Mar_27_F]]-Table46[[#This Row],[Mar_27_A]]</f>
        <v>0</v>
      </c>
      <c r="BG24" s="63"/>
      <c r="BH24" s="63"/>
      <c r="BI24" s="63">
        <f>Table46[[#This Row],[Apr_27_F]]-Table46[[#This Row],[Apr_27_A]]</f>
        <v>0</v>
      </c>
      <c r="BJ24" s="63"/>
      <c r="BK24" s="63"/>
      <c r="BL24" s="63">
        <f>Table46[[#This Row],[May_27_F]]-Table46[[#This Row],[May_27_A]]</f>
        <v>0</v>
      </c>
      <c r="BM24" s="63"/>
      <c r="BN24" s="63"/>
      <c r="BO24" s="63">
        <f>Table46[[#This Row],[Jun_27_F]]-Table46[[#This Row],[Jun_27_A]]</f>
        <v>0</v>
      </c>
      <c r="BP24" s="63"/>
      <c r="BQ24" s="63"/>
      <c r="BR24" s="63">
        <f>Table46[[#This Row],[Jul_27_F]]-Table46[[#This Row],[Jul_27_A]]</f>
        <v>0</v>
      </c>
      <c r="BS24" s="63"/>
      <c r="BT24" s="63"/>
      <c r="BU24" s="63">
        <f>Table46[[#This Row],[Aug_27_F]]-Table46[[#This Row],[Aug_27_A]]</f>
        <v>0</v>
      </c>
      <c r="BV24" s="63"/>
      <c r="BW24" s="63"/>
      <c r="BX24" s="63">
        <f>Table46[[#This Row],[Sep_27_F]]-Table46[[#This Row],[Sep_27_A]]</f>
        <v>0</v>
      </c>
      <c r="BY24" s="63"/>
      <c r="BZ24" s="63"/>
      <c r="CA24" s="63">
        <f>Table46[[#This Row],[Oct_27_F]]-Table46[[#This Row],[Oct_27_A]]</f>
        <v>0</v>
      </c>
      <c r="CB24" s="63"/>
      <c r="CC24" s="63"/>
      <c r="CD24" s="63">
        <f>Table46[[#This Row],[Nov_27_F]]-Table46[[#This Row],[Nov_27_A]]</f>
        <v>0</v>
      </c>
      <c r="CE24" s="63"/>
      <c r="CF24" s="63"/>
      <c r="CG24" s="63">
        <f>Table46[[#This Row],[Dec_27_F]]-Table46[[#This Row],[Dec_27_A]]</f>
        <v>0</v>
      </c>
    </row>
    <row r="25" spans="2:85" ht="14.45">
      <c r="B25" s="13"/>
      <c r="D25" s="61"/>
      <c r="F25" s="13"/>
      <c r="G25" s="13"/>
      <c r="H25" s="13"/>
      <c r="I25" s="13"/>
      <c r="J25" s="13"/>
      <c r="L25" s="60"/>
      <c r="M25" s="63"/>
      <c r="N25" s="63"/>
      <c r="O25" s="63">
        <f>Table46[[#This Row],[Jan_26_F]]-Table46[[#This Row],[Jan_26_Act]]</f>
        <v>0</v>
      </c>
      <c r="P25" s="63"/>
      <c r="Q25" s="63"/>
      <c r="R25" s="63">
        <f>Table46[[#This Row],[Feb_26_F]]-Table46[[#This Row],[Feb_26_A]]</f>
        <v>0</v>
      </c>
      <c r="S25" s="63"/>
      <c r="T25" s="63"/>
      <c r="U25" s="63">
        <f>Table46[[#This Row],[Mar_26_F]]-Table46[[#This Row],[Mar_26_A]]</f>
        <v>0</v>
      </c>
      <c r="V25" s="63"/>
      <c r="W25" s="63"/>
      <c r="X25" s="63">
        <f>Table46[[#This Row],[Apr_26_F]]-Table46[[#This Row],[Apr_26_A]]</f>
        <v>0</v>
      </c>
      <c r="Y25" s="63"/>
      <c r="Z25" s="63"/>
      <c r="AA25" s="63">
        <f>Table46[[#This Row],[May_26_F]]-Table46[[#This Row],[May_26_A]]</f>
        <v>0</v>
      </c>
      <c r="AB25" s="63"/>
      <c r="AC25" s="63"/>
      <c r="AD25" s="63">
        <f>Table46[[#This Row],[Jun_26_F]]-Table46[[#This Row],[Jun_26_A]]</f>
        <v>0</v>
      </c>
      <c r="AE25" s="63"/>
      <c r="AF25" s="63"/>
      <c r="AG25" s="63">
        <f>Table46[[#This Row],[Jul_26_F]]-Table46[[#This Row],[Jul_26_A]]</f>
        <v>0</v>
      </c>
      <c r="AH25" s="63"/>
      <c r="AI25" s="63"/>
      <c r="AJ25" s="63">
        <f>Table46[[#This Row],[Aug_26_F]]-Table46[[#This Row],[Aug_26_A]]</f>
        <v>0</v>
      </c>
      <c r="AK25" s="63"/>
      <c r="AL25" s="63"/>
      <c r="AM25" s="63">
        <f>Table46[[#This Row],[Sep_26_F]]-Table46[[#This Row],[Sep_26_A]]</f>
        <v>0</v>
      </c>
      <c r="AN25" s="63"/>
      <c r="AO25" s="63"/>
      <c r="AP25" s="63">
        <f>Table46[[#This Row],[Oct_26_F]]-Table46[[#This Row],[Oct_26_A]]</f>
        <v>0</v>
      </c>
      <c r="AQ25" s="63"/>
      <c r="AR25" s="63"/>
      <c r="AS25" s="63">
        <f>Table46[[#This Row],[Nov_26_F]]-Table46[[#This Row],[Nov_26_A]]</f>
        <v>0</v>
      </c>
      <c r="AT25" s="63"/>
      <c r="AU25" s="63"/>
      <c r="AV25" s="63">
        <f>Table46[[#This Row],[Dec_26_F]]-Table46[[#This Row],[Dec_26_A]]</f>
        <v>0</v>
      </c>
      <c r="AW25" s="60"/>
      <c r="AX25" s="63"/>
      <c r="AY25" s="63"/>
      <c r="AZ25" s="63">
        <f>Table46[[#This Row],[Jan_27_F]]-Table46[[#This Row],[Jan_27_Act]]</f>
        <v>0</v>
      </c>
      <c r="BA25" s="63"/>
      <c r="BB25" s="63"/>
      <c r="BC25" s="63">
        <f>Table46[[#This Row],[Feb_27_F]]-Table46[[#This Row],[Feb_27_A]]</f>
        <v>0</v>
      </c>
      <c r="BD25" s="63"/>
      <c r="BE25" s="63"/>
      <c r="BF25" s="63">
        <f>Table46[[#This Row],[Mar_27_F]]-Table46[[#This Row],[Mar_27_A]]</f>
        <v>0</v>
      </c>
      <c r="BG25" s="63"/>
      <c r="BH25" s="63"/>
      <c r="BI25" s="63">
        <f>Table46[[#This Row],[Apr_27_F]]-Table46[[#This Row],[Apr_27_A]]</f>
        <v>0</v>
      </c>
      <c r="BJ25" s="63"/>
      <c r="BK25" s="63"/>
      <c r="BL25" s="63">
        <f>Table46[[#This Row],[May_27_F]]-Table46[[#This Row],[May_27_A]]</f>
        <v>0</v>
      </c>
      <c r="BM25" s="63"/>
      <c r="BN25" s="63"/>
      <c r="BO25" s="63">
        <f>Table46[[#This Row],[Jun_27_F]]-Table46[[#This Row],[Jun_27_A]]</f>
        <v>0</v>
      </c>
      <c r="BP25" s="63"/>
      <c r="BQ25" s="63"/>
      <c r="BR25" s="63">
        <f>Table46[[#This Row],[Jul_27_F]]-Table46[[#This Row],[Jul_27_A]]</f>
        <v>0</v>
      </c>
      <c r="BS25" s="63"/>
      <c r="BT25" s="63"/>
      <c r="BU25" s="63">
        <f>Table46[[#This Row],[Aug_27_F]]-Table46[[#This Row],[Aug_27_A]]</f>
        <v>0</v>
      </c>
      <c r="BV25" s="63"/>
      <c r="BW25" s="63"/>
      <c r="BX25" s="63">
        <f>Table46[[#This Row],[Sep_27_F]]-Table46[[#This Row],[Sep_27_A]]</f>
        <v>0</v>
      </c>
      <c r="BY25" s="63"/>
      <c r="BZ25" s="63"/>
      <c r="CA25" s="63">
        <f>Table46[[#This Row],[Oct_27_F]]-Table46[[#This Row],[Oct_27_A]]</f>
        <v>0</v>
      </c>
      <c r="CB25" s="63"/>
      <c r="CC25" s="63"/>
      <c r="CD25" s="63">
        <f>Table46[[#This Row],[Nov_27_F]]-Table46[[#This Row],[Nov_27_A]]</f>
        <v>0</v>
      </c>
      <c r="CE25" s="63"/>
      <c r="CF25" s="63"/>
      <c r="CG25" s="63">
        <f>Table46[[#This Row],[Dec_27_F]]-Table46[[#This Row],[Dec_27_A]]</f>
        <v>0</v>
      </c>
    </row>
    <row r="26" spans="2:85" ht="14.45">
      <c r="B26" s="13"/>
      <c r="D26" s="61"/>
      <c r="F26" s="13"/>
      <c r="G26" s="13"/>
      <c r="H26" s="13"/>
      <c r="I26" s="13"/>
      <c r="J26" s="13"/>
      <c r="L26" s="60"/>
      <c r="M26" s="63"/>
      <c r="N26" s="63"/>
      <c r="O26" s="63">
        <f>Table46[[#This Row],[Jan_26_F]]-Table46[[#This Row],[Jan_26_Act]]</f>
        <v>0</v>
      </c>
      <c r="P26" s="63"/>
      <c r="Q26" s="63"/>
      <c r="R26" s="63">
        <f>Table46[[#This Row],[Feb_26_F]]-Table46[[#This Row],[Feb_26_A]]</f>
        <v>0</v>
      </c>
      <c r="S26" s="63"/>
      <c r="T26" s="63"/>
      <c r="U26" s="63">
        <f>Table46[[#This Row],[Mar_26_F]]-Table46[[#This Row],[Mar_26_A]]</f>
        <v>0</v>
      </c>
      <c r="V26" s="63"/>
      <c r="W26" s="63"/>
      <c r="X26" s="63">
        <f>Table46[[#This Row],[Apr_26_F]]-Table46[[#This Row],[Apr_26_A]]</f>
        <v>0</v>
      </c>
      <c r="Y26" s="63"/>
      <c r="Z26" s="63"/>
      <c r="AA26" s="63">
        <f>Table46[[#This Row],[May_26_F]]-Table46[[#This Row],[May_26_A]]</f>
        <v>0</v>
      </c>
      <c r="AB26" s="63"/>
      <c r="AC26" s="63"/>
      <c r="AD26" s="63">
        <f>Table46[[#This Row],[Jun_26_F]]-Table46[[#This Row],[Jun_26_A]]</f>
        <v>0</v>
      </c>
      <c r="AE26" s="63"/>
      <c r="AF26" s="63"/>
      <c r="AG26" s="63">
        <f>Table46[[#This Row],[Jul_26_F]]-Table46[[#This Row],[Jul_26_A]]</f>
        <v>0</v>
      </c>
      <c r="AH26" s="63"/>
      <c r="AI26" s="63"/>
      <c r="AJ26" s="63">
        <f>Table46[[#This Row],[Aug_26_F]]-Table46[[#This Row],[Aug_26_A]]</f>
        <v>0</v>
      </c>
      <c r="AK26" s="63"/>
      <c r="AL26" s="63"/>
      <c r="AM26" s="63">
        <f>Table46[[#This Row],[Sep_26_F]]-Table46[[#This Row],[Sep_26_A]]</f>
        <v>0</v>
      </c>
      <c r="AN26" s="63"/>
      <c r="AO26" s="63"/>
      <c r="AP26" s="63">
        <f>Table46[[#This Row],[Oct_26_F]]-Table46[[#This Row],[Oct_26_A]]</f>
        <v>0</v>
      </c>
      <c r="AQ26" s="63"/>
      <c r="AR26" s="63"/>
      <c r="AS26" s="63">
        <f>Table46[[#This Row],[Nov_26_F]]-Table46[[#This Row],[Nov_26_A]]</f>
        <v>0</v>
      </c>
      <c r="AT26" s="63"/>
      <c r="AU26" s="63"/>
      <c r="AV26" s="63">
        <f>Table46[[#This Row],[Dec_26_F]]-Table46[[#This Row],[Dec_26_A]]</f>
        <v>0</v>
      </c>
      <c r="AW26" s="60"/>
      <c r="AX26" s="63"/>
      <c r="AY26" s="63"/>
      <c r="AZ26" s="63">
        <f>Table46[[#This Row],[Jan_27_F]]-Table46[[#This Row],[Jan_27_Act]]</f>
        <v>0</v>
      </c>
      <c r="BA26" s="63"/>
      <c r="BB26" s="63"/>
      <c r="BC26" s="63">
        <f>Table46[[#This Row],[Feb_27_F]]-Table46[[#This Row],[Feb_27_A]]</f>
        <v>0</v>
      </c>
      <c r="BD26" s="63"/>
      <c r="BE26" s="63"/>
      <c r="BF26" s="63">
        <f>Table46[[#This Row],[Mar_27_F]]-Table46[[#This Row],[Mar_27_A]]</f>
        <v>0</v>
      </c>
      <c r="BG26" s="63"/>
      <c r="BH26" s="63"/>
      <c r="BI26" s="63">
        <f>Table46[[#This Row],[Apr_27_F]]-Table46[[#This Row],[Apr_27_A]]</f>
        <v>0</v>
      </c>
      <c r="BJ26" s="63"/>
      <c r="BK26" s="63"/>
      <c r="BL26" s="63">
        <f>Table46[[#This Row],[May_27_F]]-Table46[[#This Row],[May_27_A]]</f>
        <v>0</v>
      </c>
      <c r="BM26" s="63"/>
      <c r="BN26" s="63"/>
      <c r="BO26" s="63">
        <f>Table46[[#This Row],[Jun_27_F]]-Table46[[#This Row],[Jun_27_A]]</f>
        <v>0</v>
      </c>
      <c r="BP26" s="63"/>
      <c r="BQ26" s="63"/>
      <c r="BR26" s="63">
        <f>Table46[[#This Row],[Jul_27_F]]-Table46[[#This Row],[Jul_27_A]]</f>
        <v>0</v>
      </c>
      <c r="BS26" s="63"/>
      <c r="BT26" s="63"/>
      <c r="BU26" s="63">
        <f>Table46[[#This Row],[Aug_27_F]]-Table46[[#This Row],[Aug_27_A]]</f>
        <v>0</v>
      </c>
      <c r="BV26" s="63"/>
      <c r="BW26" s="63"/>
      <c r="BX26" s="63">
        <f>Table46[[#This Row],[Sep_27_F]]-Table46[[#This Row],[Sep_27_A]]</f>
        <v>0</v>
      </c>
      <c r="BY26" s="63"/>
      <c r="BZ26" s="63"/>
      <c r="CA26" s="63">
        <f>Table46[[#This Row],[Oct_27_F]]-Table46[[#This Row],[Oct_27_A]]</f>
        <v>0</v>
      </c>
      <c r="CB26" s="63"/>
      <c r="CC26" s="63"/>
      <c r="CD26" s="63">
        <f>Table46[[#This Row],[Nov_27_F]]-Table46[[#This Row],[Nov_27_A]]</f>
        <v>0</v>
      </c>
      <c r="CE26" s="63"/>
      <c r="CF26" s="63"/>
      <c r="CG26" s="63">
        <f>Table46[[#This Row],[Dec_27_F]]-Table46[[#This Row],[Dec_27_A]]</f>
        <v>0</v>
      </c>
    </row>
    <row r="27" spans="2:85" ht="14.45">
      <c r="B27" s="13"/>
      <c r="D27" s="61"/>
      <c r="F27" s="13"/>
      <c r="G27" s="13"/>
      <c r="H27" s="13"/>
      <c r="I27" s="13"/>
      <c r="J27" s="13"/>
      <c r="L27" s="60"/>
      <c r="M27" s="63"/>
      <c r="N27" s="63"/>
      <c r="O27" s="63">
        <f>Table46[[#This Row],[Jan_26_F]]-Table46[[#This Row],[Jan_26_Act]]</f>
        <v>0</v>
      </c>
      <c r="P27" s="63"/>
      <c r="Q27" s="63"/>
      <c r="R27" s="63">
        <f>Table46[[#This Row],[Feb_26_F]]-Table46[[#This Row],[Feb_26_A]]</f>
        <v>0</v>
      </c>
      <c r="S27" s="63"/>
      <c r="T27" s="63"/>
      <c r="U27" s="63">
        <f>Table46[[#This Row],[Mar_26_F]]-Table46[[#This Row],[Mar_26_A]]</f>
        <v>0</v>
      </c>
      <c r="V27" s="63"/>
      <c r="W27" s="63"/>
      <c r="X27" s="63">
        <f>Table46[[#This Row],[Apr_26_F]]-Table46[[#This Row],[Apr_26_A]]</f>
        <v>0</v>
      </c>
      <c r="Y27" s="63"/>
      <c r="Z27" s="63"/>
      <c r="AA27" s="63">
        <f>Table46[[#This Row],[May_26_F]]-Table46[[#This Row],[May_26_A]]</f>
        <v>0</v>
      </c>
      <c r="AB27" s="63"/>
      <c r="AC27" s="63"/>
      <c r="AD27" s="63">
        <f>Table46[[#This Row],[Jun_26_F]]-Table46[[#This Row],[Jun_26_A]]</f>
        <v>0</v>
      </c>
      <c r="AE27" s="63"/>
      <c r="AF27" s="63"/>
      <c r="AG27" s="63">
        <f>Table46[[#This Row],[Jul_26_F]]-Table46[[#This Row],[Jul_26_A]]</f>
        <v>0</v>
      </c>
      <c r="AH27" s="63"/>
      <c r="AI27" s="63"/>
      <c r="AJ27" s="63">
        <f>Table46[[#This Row],[Aug_26_F]]-Table46[[#This Row],[Aug_26_A]]</f>
        <v>0</v>
      </c>
      <c r="AK27" s="63"/>
      <c r="AL27" s="63"/>
      <c r="AM27" s="63">
        <f>Table46[[#This Row],[Sep_26_F]]-Table46[[#This Row],[Sep_26_A]]</f>
        <v>0</v>
      </c>
      <c r="AN27" s="63"/>
      <c r="AO27" s="63"/>
      <c r="AP27" s="63">
        <f>Table46[[#This Row],[Oct_26_F]]-Table46[[#This Row],[Oct_26_A]]</f>
        <v>0</v>
      </c>
      <c r="AQ27" s="63"/>
      <c r="AR27" s="63"/>
      <c r="AS27" s="63">
        <f>Table46[[#This Row],[Nov_26_F]]-Table46[[#This Row],[Nov_26_A]]</f>
        <v>0</v>
      </c>
      <c r="AT27" s="63"/>
      <c r="AU27" s="63"/>
      <c r="AV27" s="63">
        <f>Table46[[#This Row],[Dec_26_F]]-Table46[[#This Row],[Dec_26_A]]</f>
        <v>0</v>
      </c>
      <c r="AW27" s="60"/>
      <c r="AX27" s="63"/>
      <c r="AY27" s="63"/>
      <c r="AZ27" s="63">
        <f>Table46[[#This Row],[Jan_27_F]]-Table46[[#This Row],[Jan_27_Act]]</f>
        <v>0</v>
      </c>
      <c r="BA27" s="63"/>
      <c r="BB27" s="63"/>
      <c r="BC27" s="63">
        <f>Table46[[#This Row],[Feb_27_F]]-Table46[[#This Row],[Feb_27_A]]</f>
        <v>0</v>
      </c>
      <c r="BD27" s="63"/>
      <c r="BE27" s="63"/>
      <c r="BF27" s="63">
        <f>Table46[[#This Row],[Mar_27_F]]-Table46[[#This Row],[Mar_27_A]]</f>
        <v>0</v>
      </c>
      <c r="BG27" s="63"/>
      <c r="BH27" s="63"/>
      <c r="BI27" s="63">
        <f>Table46[[#This Row],[Apr_27_F]]-Table46[[#This Row],[Apr_27_A]]</f>
        <v>0</v>
      </c>
      <c r="BJ27" s="63"/>
      <c r="BK27" s="63"/>
      <c r="BL27" s="63">
        <f>Table46[[#This Row],[May_27_F]]-Table46[[#This Row],[May_27_A]]</f>
        <v>0</v>
      </c>
      <c r="BM27" s="63"/>
      <c r="BN27" s="63"/>
      <c r="BO27" s="63">
        <f>Table46[[#This Row],[Jun_27_F]]-Table46[[#This Row],[Jun_27_A]]</f>
        <v>0</v>
      </c>
      <c r="BP27" s="63"/>
      <c r="BQ27" s="63"/>
      <c r="BR27" s="63">
        <f>Table46[[#This Row],[Jul_27_F]]-Table46[[#This Row],[Jul_27_A]]</f>
        <v>0</v>
      </c>
      <c r="BS27" s="63"/>
      <c r="BT27" s="63"/>
      <c r="BU27" s="63">
        <f>Table46[[#This Row],[Aug_27_F]]-Table46[[#This Row],[Aug_27_A]]</f>
        <v>0</v>
      </c>
      <c r="BV27" s="63"/>
      <c r="BW27" s="63"/>
      <c r="BX27" s="63">
        <f>Table46[[#This Row],[Sep_27_F]]-Table46[[#This Row],[Sep_27_A]]</f>
        <v>0</v>
      </c>
      <c r="BY27" s="63"/>
      <c r="BZ27" s="63"/>
      <c r="CA27" s="63">
        <f>Table46[[#This Row],[Oct_27_F]]-Table46[[#This Row],[Oct_27_A]]</f>
        <v>0</v>
      </c>
      <c r="CB27" s="63"/>
      <c r="CC27" s="63"/>
      <c r="CD27" s="63">
        <f>Table46[[#This Row],[Nov_27_F]]-Table46[[#This Row],[Nov_27_A]]</f>
        <v>0</v>
      </c>
      <c r="CE27" s="63"/>
      <c r="CF27" s="63"/>
      <c r="CG27" s="63">
        <f>Table46[[#This Row],[Dec_27_F]]-Table46[[#This Row],[Dec_27_A]]</f>
        <v>0</v>
      </c>
    </row>
    <row r="28" spans="2:85" ht="14.45">
      <c r="B28" s="13"/>
      <c r="D28" s="61"/>
      <c r="F28" s="13"/>
      <c r="G28" s="13"/>
      <c r="H28" s="13"/>
      <c r="I28" s="13"/>
      <c r="J28" s="13"/>
      <c r="L28" s="60"/>
      <c r="M28" s="63"/>
      <c r="N28" s="63"/>
      <c r="O28" s="63">
        <f>Table46[[#This Row],[Jan_26_F]]-Table46[[#This Row],[Jan_26_Act]]</f>
        <v>0</v>
      </c>
      <c r="P28" s="63"/>
      <c r="Q28" s="63"/>
      <c r="R28" s="63">
        <f>Table46[[#This Row],[Feb_26_F]]-Table46[[#This Row],[Feb_26_A]]</f>
        <v>0</v>
      </c>
      <c r="S28" s="63"/>
      <c r="T28" s="63"/>
      <c r="U28" s="63">
        <f>Table46[[#This Row],[Mar_26_F]]-Table46[[#This Row],[Mar_26_A]]</f>
        <v>0</v>
      </c>
      <c r="V28" s="63"/>
      <c r="W28" s="63"/>
      <c r="X28" s="63">
        <f>Table46[[#This Row],[Apr_26_F]]-Table46[[#This Row],[Apr_26_A]]</f>
        <v>0</v>
      </c>
      <c r="Y28" s="63"/>
      <c r="Z28" s="63"/>
      <c r="AA28" s="63">
        <f>Table46[[#This Row],[May_26_F]]-Table46[[#This Row],[May_26_A]]</f>
        <v>0</v>
      </c>
      <c r="AB28" s="63"/>
      <c r="AC28" s="63"/>
      <c r="AD28" s="63">
        <f>Table46[[#This Row],[Jun_26_F]]-Table46[[#This Row],[Jun_26_A]]</f>
        <v>0</v>
      </c>
      <c r="AE28" s="63"/>
      <c r="AF28" s="63"/>
      <c r="AG28" s="63">
        <f>Table46[[#This Row],[Jul_26_F]]-Table46[[#This Row],[Jul_26_A]]</f>
        <v>0</v>
      </c>
      <c r="AH28" s="63"/>
      <c r="AI28" s="63"/>
      <c r="AJ28" s="63">
        <f>Table46[[#This Row],[Aug_26_F]]-Table46[[#This Row],[Aug_26_A]]</f>
        <v>0</v>
      </c>
      <c r="AK28" s="63"/>
      <c r="AL28" s="63"/>
      <c r="AM28" s="63">
        <f>Table46[[#This Row],[Sep_26_F]]-Table46[[#This Row],[Sep_26_A]]</f>
        <v>0</v>
      </c>
      <c r="AN28" s="63"/>
      <c r="AO28" s="63"/>
      <c r="AP28" s="63">
        <f>Table46[[#This Row],[Oct_26_F]]-Table46[[#This Row],[Oct_26_A]]</f>
        <v>0</v>
      </c>
      <c r="AQ28" s="63"/>
      <c r="AR28" s="63"/>
      <c r="AS28" s="63">
        <f>Table46[[#This Row],[Nov_26_F]]-Table46[[#This Row],[Nov_26_A]]</f>
        <v>0</v>
      </c>
      <c r="AT28" s="63"/>
      <c r="AU28" s="63"/>
      <c r="AV28" s="63">
        <f>Table46[[#This Row],[Dec_26_F]]-Table46[[#This Row],[Dec_26_A]]</f>
        <v>0</v>
      </c>
      <c r="AW28" s="60"/>
      <c r="AX28" s="63"/>
      <c r="AY28" s="63"/>
      <c r="AZ28" s="63">
        <f>Table46[[#This Row],[Jan_27_F]]-Table46[[#This Row],[Jan_27_Act]]</f>
        <v>0</v>
      </c>
      <c r="BA28" s="63"/>
      <c r="BB28" s="63"/>
      <c r="BC28" s="63">
        <f>Table46[[#This Row],[Feb_27_F]]-Table46[[#This Row],[Feb_27_A]]</f>
        <v>0</v>
      </c>
      <c r="BD28" s="63"/>
      <c r="BE28" s="63"/>
      <c r="BF28" s="63">
        <f>Table46[[#This Row],[Mar_27_F]]-Table46[[#This Row],[Mar_27_A]]</f>
        <v>0</v>
      </c>
      <c r="BG28" s="63"/>
      <c r="BH28" s="63"/>
      <c r="BI28" s="63">
        <f>Table46[[#This Row],[Apr_27_F]]-Table46[[#This Row],[Apr_27_A]]</f>
        <v>0</v>
      </c>
      <c r="BJ28" s="63"/>
      <c r="BK28" s="63"/>
      <c r="BL28" s="63">
        <f>Table46[[#This Row],[May_27_F]]-Table46[[#This Row],[May_27_A]]</f>
        <v>0</v>
      </c>
      <c r="BM28" s="63"/>
      <c r="BN28" s="63"/>
      <c r="BO28" s="63">
        <f>Table46[[#This Row],[Jun_27_F]]-Table46[[#This Row],[Jun_27_A]]</f>
        <v>0</v>
      </c>
      <c r="BP28" s="63"/>
      <c r="BQ28" s="63"/>
      <c r="BR28" s="63">
        <f>Table46[[#This Row],[Jul_27_F]]-Table46[[#This Row],[Jul_27_A]]</f>
        <v>0</v>
      </c>
      <c r="BS28" s="63"/>
      <c r="BT28" s="63"/>
      <c r="BU28" s="63">
        <f>Table46[[#This Row],[Aug_27_F]]-Table46[[#This Row],[Aug_27_A]]</f>
        <v>0</v>
      </c>
      <c r="BV28" s="63"/>
      <c r="BW28" s="63"/>
      <c r="BX28" s="63">
        <f>Table46[[#This Row],[Sep_27_F]]-Table46[[#This Row],[Sep_27_A]]</f>
        <v>0</v>
      </c>
      <c r="BY28" s="63"/>
      <c r="BZ28" s="63"/>
      <c r="CA28" s="63">
        <f>Table46[[#This Row],[Oct_27_F]]-Table46[[#This Row],[Oct_27_A]]</f>
        <v>0</v>
      </c>
      <c r="CB28" s="63"/>
      <c r="CC28" s="63"/>
      <c r="CD28" s="63">
        <f>Table46[[#This Row],[Nov_27_F]]-Table46[[#This Row],[Nov_27_A]]</f>
        <v>0</v>
      </c>
      <c r="CE28" s="63"/>
      <c r="CF28" s="63"/>
      <c r="CG28" s="63">
        <f>Table46[[#This Row],[Dec_27_F]]-Table46[[#This Row],[Dec_27_A]]</f>
        <v>0</v>
      </c>
    </row>
    <row r="29" spans="2:85" ht="14.45">
      <c r="B29" s="13"/>
      <c r="D29" s="61"/>
      <c r="F29" s="13"/>
      <c r="G29" s="13"/>
      <c r="H29" s="13"/>
      <c r="I29" s="13"/>
      <c r="J29" s="13"/>
      <c r="L29" s="60"/>
      <c r="M29" s="63"/>
      <c r="N29" s="63"/>
      <c r="O29" s="63">
        <f>Table46[[#This Row],[Jan_26_F]]-Table46[[#This Row],[Jan_26_Act]]</f>
        <v>0</v>
      </c>
      <c r="P29" s="63"/>
      <c r="Q29" s="63"/>
      <c r="R29" s="63">
        <f>Table46[[#This Row],[Feb_26_F]]-Table46[[#This Row],[Feb_26_A]]</f>
        <v>0</v>
      </c>
      <c r="S29" s="63"/>
      <c r="T29" s="63"/>
      <c r="U29" s="63">
        <f>Table46[[#This Row],[Mar_26_F]]-Table46[[#This Row],[Mar_26_A]]</f>
        <v>0</v>
      </c>
      <c r="V29" s="63"/>
      <c r="W29" s="63"/>
      <c r="X29" s="63">
        <f>Table46[[#This Row],[Apr_26_F]]-Table46[[#This Row],[Apr_26_A]]</f>
        <v>0</v>
      </c>
      <c r="Y29" s="63"/>
      <c r="Z29" s="63"/>
      <c r="AA29" s="63">
        <f>Table46[[#This Row],[May_26_F]]-Table46[[#This Row],[May_26_A]]</f>
        <v>0</v>
      </c>
      <c r="AB29" s="63"/>
      <c r="AC29" s="63"/>
      <c r="AD29" s="63">
        <f>Table46[[#This Row],[Jun_26_F]]-Table46[[#This Row],[Jun_26_A]]</f>
        <v>0</v>
      </c>
      <c r="AE29" s="63"/>
      <c r="AF29" s="63"/>
      <c r="AG29" s="63">
        <f>Table46[[#This Row],[Jul_26_F]]-Table46[[#This Row],[Jul_26_A]]</f>
        <v>0</v>
      </c>
      <c r="AH29" s="63"/>
      <c r="AI29" s="63"/>
      <c r="AJ29" s="63">
        <f>Table46[[#This Row],[Aug_26_F]]-Table46[[#This Row],[Aug_26_A]]</f>
        <v>0</v>
      </c>
      <c r="AK29" s="63"/>
      <c r="AL29" s="63"/>
      <c r="AM29" s="63">
        <f>Table46[[#This Row],[Sep_26_F]]-Table46[[#This Row],[Sep_26_A]]</f>
        <v>0</v>
      </c>
      <c r="AN29" s="63"/>
      <c r="AO29" s="63"/>
      <c r="AP29" s="63">
        <f>Table46[[#This Row],[Oct_26_F]]-Table46[[#This Row],[Oct_26_A]]</f>
        <v>0</v>
      </c>
      <c r="AQ29" s="63"/>
      <c r="AR29" s="63"/>
      <c r="AS29" s="63">
        <f>Table46[[#This Row],[Nov_26_F]]-Table46[[#This Row],[Nov_26_A]]</f>
        <v>0</v>
      </c>
      <c r="AT29" s="63"/>
      <c r="AU29" s="63"/>
      <c r="AV29" s="63">
        <f>Table46[[#This Row],[Dec_26_F]]-Table46[[#This Row],[Dec_26_A]]</f>
        <v>0</v>
      </c>
      <c r="AW29" s="60"/>
      <c r="AX29" s="63"/>
      <c r="AY29" s="63"/>
      <c r="AZ29" s="63">
        <f>Table46[[#This Row],[Jan_27_F]]-Table46[[#This Row],[Jan_27_Act]]</f>
        <v>0</v>
      </c>
      <c r="BA29" s="63"/>
      <c r="BB29" s="63"/>
      <c r="BC29" s="63">
        <f>Table46[[#This Row],[Feb_27_F]]-Table46[[#This Row],[Feb_27_A]]</f>
        <v>0</v>
      </c>
      <c r="BD29" s="63"/>
      <c r="BE29" s="63"/>
      <c r="BF29" s="63">
        <f>Table46[[#This Row],[Mar_27_F]]-Table46[[#This Row],[Mar_27_A]]</f>
        <v>0</v>
      </c>
      <c r="BG29" s="63"/>
      <c r="BH29" s="63"/>
      <c r="BI29" s="63">
        <f>Table46[[#This Row],[Apr_27_F]]-Table46[[#This Row],[Apr_27_A]]</f>
        <v>0</v>
      </c>
      <c r="BJ29" s="63"/>
      <c r="BK29" s="63"/>
      <c r="BL29" s="63">
        <f>Table46[[#This Row],[May_27_F]]-Table46[[#This Row],[May_27_A]]</f>
        <v>0</v>
      </c>
      <c r="BM29" s="63"/>
      <c r="BN29" s="63"/>
      <c r="BO29" s="63">
        <f>Table46[[#This Row],[Jun_27_F]]-Table46[[#This Row],[Jun_27_A]]</f>
        <v>0</v>
      </c>
      <c r="BP29" s="63"/>
      <c r="BQ29" s="63"/>
      <c r="BR29" s="63">
        <f>Table46[[#This Row],[Jul_27_F]]-Table46[[#This Row],[Jul_27_A]]</f>
        <v>0</v>
      </c>
      <c r="BS29" s="63"/>
      <c r="BT29" s="63"/>
      <c r="BU29" s="63">
        <f>Table46[[#This Row],[Aug_27_F]]-Table46[[#This Row],[Aug_27_A]]</f>
        <v>0</v>
      </c>
      <c r="BV29" s="63"/>
      <c r="BW29" s="63"/>
      <c r="BX29" s="63">
        <f>Table46[[#This Row],[Sep_27_F]]-Table46[[#This Row],[Sep_27_A]]</f>
        <v>0</v>
      </c>
      <c r="BY29" s="63"/>
      <c r="BZ29" s="63"/>
      <c r="CA29" s="63">
        <f>Table46[[#This Row],[Oct_27_F]]-Table46[[#This Row],[Oct_27_A]]</f>
        <v>0</v>
      </c>
      <c r="CB29" s="63"/>
      <c r="CC29" s="63"/>
      <c r="CD29" s="63">
        <f>Table46[[#This Row],[Nov_27_F]]-Table46[[#This Row],[Nov_27_A]]</f>
        <v>0</v>
      </c>
      <c r="CE29" s="63"/>
      <c r="CF29" s="63"/>
      <c r="CG29" s="63">
        <f>Table46[[#This Row],[Dec_27_F]]-Table46[[#This Row],[Dec_27_A]]</f>
        <v>0</v>
      </c>
    </row>
    <row r="30" spans="2:85" ht="14.45">
      <c r="B30" s="13"/>
      <c r="D30" s="61"/>
      <c r="F30" s="13"/>
      <c r="G30" s="13"/>
      <c r="H30" s="13"/>
      <c r="I30" s="13"/>
      <c r="J30" s="13"/>
      <c r="L30" s="60"/>
      <c r="M30" s="63"/>
      <c r="N30" s="63"/>
      <c r="O30" s="63">
        <f>Table46[[#This Row],[Jan_26_F]]-Table46[[#This Row],[Jan_26_Act]]</f>
        <v>0</v>
      </c>
      <c r="P30" s="63"/>
      <c r="Q30" s="63"/>
      <c r="R30" s="63">
        <f>Table46[[#This Row],[Feb_26_F]]-Table46[[#This Row],[Feb_26_A]]</f>
        <v>0</v>
      </c>
      <c r="S30" s="63"/>
      <c r="T30" s="63"/>
      <c r="U30" s="63">
        <f>Table46[[#This Row],[Mar_26_F]]-Table46[[#This Row],[Mar_26_A]]</f>
        <v>0</v>
      </c>
      <c r="V30" s="63"/>
      <c r="W30" s="63"/>
      <c r="X30" s="63">
        <f>Table46[[#This Row],[Apr_26_F]]-Table46[[#This Row],[Apr_26_A]]</f>
        <v>0</v>
      </c>
      <c r="Y30" s="63"/>
      <c r="Z30" s="63"/>
      <c r="AA30" s="63">
        <f>Table46[[#This Row],[May_26_F]]-Table46[[#This Row],[May_26_A]]</f>
        <v>0</v>
      </c>
      <c r="AB30" s="63"/>
      <c r="AC30" s="63"/>
      <c r="AD30" s="63">
        <f>Table46[[#This Row],[Jun_26_F]]-Table46[[#This Row],[Jun_26_A]]</f>
        <v>0</v>
      </c>
      <c r="AE30" s="63"/>
      <c r="AF30" s="63"/>
      <c r="AG30" s="63">
        <f>Table46[[#This Row],[Jul_26_F]]-Table46[[#This Row],[Jul_26_A]]</f>
        <v>0</v>
      </c>
      <c r="AH30" s="63"/>
      <c r="AI30" s="63"/>
      <c r="AJ30" s="63">
        <f>Table46[[#This Row],[Aug_26_F]]-Table46[[#This Row],[Aug_26_A]]</f>
        <v>0</v>
      </c>
      <c r="AK30" s="63"/>
      <c r="AL30" s="63"/>
      <c r="AM30" s="63">
        <f>Table46[[#This Row],[Sep_26_F]]-Table46[[#This Row],[Sep_26_A]]</f>
        <v>0</v>
      </c>
      <c r="AN30" s="63"/>
      <c r="AO30" s="63"/>
      <c r="AP30" s="63">
        <f>Table46[[#This Row],[Oct_26_F]]-Table46[[#This Row],[Oct_26_A]]</f>
        <v>0</v>
      </c>
      <c r="AQ30" s="63"/>
      <c r="AR30" s="63"/>
      <c r="AS30" s="63">
        <f>Table46[[#This Row],[Nov_26_F]]-Table46[[#This Row],[Nov_26_A]]</f>
        <v>0</v>
      </c>
      <c r="AT30" s="63"/>
      <c r="AU30" s="63"/>
      <c r="AV30" s="63">
        <f>Table46[[#This Row],[Dec_26_F]]-Table46[[#This Row],[Dec_26_A]]</f>
        <v>0</v>
      </c>
      <c r="AW30" s="60"/>
      <c r="AX30" s="63"/>
      <c r="AY30" s="63"/>
      <c r="AZ30" s="63">
        <f>Table46[[#This Row],[Jan_27_F]]-Table46[[#This Row],[Jan_27_Act]]</f>
        <v>0</v>
      </c>
      <c r="BA30" s="63"/>
      <c r="BB30" s="63"/>
      <c r="BC30" s="63">
        <f>Table46[[#This Row],[Feb_27_F]]-Table46[[#This Row],[Feb_27_A]]</f>
        <v>0</v>
      </c>
      <c r="BD30" s="63"/>
      <c r="BE30" s="63"/>
      <c r="BF30" s="63">
        <f>Table46[[#This Row],[Mar_27_F]]-Table46[[#This Row],[Mar_27_A]]</f>
        <v>0</v>
      </c>
      <c r="BG30" s="63"/>
      <c r="BH30" s="63"/>
      <c r="BI30" s="63">
        <f>Table46[[#This Row],[Apr_27_F]]-Table46[[#This Row],[Apr_27_A]]</f>
        <v>0</v>
      </c>
      <c r="BJ30" s="63"/>
      <c r="BK30" s="63"/>
      <c r="BL30" s="63">
        <f>Table46[[#This Row],[May_27_F]]-Table46[[#This Row],[May_27_A]]</f>
        <v>0</v>
      </c>
      <c r="BM30" s="63"/>
      <c r="BN30" s="63"/>
      <c r="BO30" s="63">
        <f>Table46[[#This Row],[Jun_27_F]]-Table46[[#This Row],[Jun_27_A]]</f>
        <v>0</v>
      </c>
      <c r="BP30" s="63"/>
      <c r="BQ30" s="63"/>
      <c r="BR30" s="63">
        <f>Table46[[#This Row],[Jul_27_F]]-Table46[[#This Row],[Jul_27_A]]</f>
        <v>0</v>
      </c>
      <c r="BS30" s="63"/>
      <c r="BT30" s="63"/>
      <c r="BU30" s="63">
        <f>Table46[[#This Row],[Aug_27_F]]-Table46[[#This Row],[Aug_27_A]]</f>
        <v>0</v>
      </c>
      <c r="BV30" s="63"/>
      <c r="BW30" s="63"/>
      <c r="BX30" s="63">
        <f>Table46[[#This Row],[Sep_27_F]]-Table46[[#This Row],[Sep_27_A]]</f>
        <v>0</v>
      </c>
      <c r="BY30" s="63"/>
      <c r="BZ30" s="63"/>
      <c r="CA30" s="63">
        <f>Table46[[#This Row],[Oct_27_F]]-Table46[[#This Row],[Oct_27_A]]</f>
        <v>0</v>
      </c>
      <c r="CB30" s="63"/>
      <c r="CC30" s="63"/>
      <c r="CD30" s="63">
        <f>Table46[[#This Row],[Nov_27_F]]-Table46[[#This Row],[Nov_27_A]]</f>
        <v>0</v>
      </c>
      <c r="CE30" s="63"/>
      <c r="CF30" s="63"/>
      <c r="CG30" s="63">
        <f>Table46[[#This Row],[Dec_27_F]]-Table46[[#This Row],[Dec_27_A]]</f>
        <v>0</v>
      </c>
    </row>
    <row r="31" spans="2:85" ht="14.45">
      <c r="B31" s="13"/>
      <c r="D31" s="61"/>
      <c r="F31" s="13"/>
      <c r="G31" s="13"/>
      <c r="H31" s="13"/>
      <c r="I31" s="13"/>
      <c r="J31" s="13"/>
      <c r="L31" s="60"/>
      <c r="M31" s="63"/>
      <c r="N31" s="63"/>
      <c r="O31" s="63">
        <f>Table46[[#This Row],[Jan_26_F]]-Table46[[#This Row],[Jan_26_Act]]</f>
        <v>0</v>
      </c>
      <c r="P31" s="63"/>
      <c r="Q31" s="63"/>
      <c r="R31" s="63">
        <f>Table46[[#This Row],[Feb_26_F]]-Table46[[#This Row],[Feb_26_A]]</f>
        <v>0</v>
      </c>
      <c r="S31" s="63"/>
      <c r="T31" s="63"/>
      <c r="U31" s="63">
        <f>Table46[[#This Row],[Mar_26_F]]-Table46[[#This Row],[Mar_26_A]]</f>
        <v>0</v>
      </c>
      <c r="V31" s="63"/>
      <c r="W31" s="63"/>
      <c r="X31" s="63">
        <f>Table46[[#This Row],[Apr_26_F]]-Table46[[#This Row],[Apr_26_A]]</f>
        <v>0</v>
      </c>
      <c r="Y31" s="63"/>
      <c r="Z31" s="63"/>
      <c r="AA31" s="63">
        <f>Table46[[#This Row],[May_26_F]]-Table46[[#This Row],[May_26_A]]</f>
        <v>0</v>
      </c>
      <c r="AB31" s="63"/>
      <c r="AC31" s="63"/>
      <c r="AD31" s="63">
        <f>Table46[[#This Row],[Jun_26_F]]-Table46[[#This Row],[Jun_26_A]]</f>
        <v>0</v>
      </c>
      <c r="AE31" s="63"/>
      <c r="AF31" s="63"/>
      <c r="AG31" s="63">
        <f>Table46[[#This Row],[Jul_26_F]]-Table46[[#This Row],[Jul_26_A]]</f>
        <v>0</v>
      </c>
      <c r="AH31" s="63"/>
      <c r="AI31" s="63"/>
      <c r="AJ31" s="63">
        <f>Table46[[#This Row],[Aug_26_F]]-Table46[[#This Row],[Aug_26_A]]</f>
        <v>0</v>
      </c>
      <c r="AK31" s="63"/>
      <c r="AL31" s="63"/>
      <c r="AM31" s="63">
        <f>Table46[[#This Row],[Sep_26_F]]-Table46[[#This Row],[Sep_26_A]]</f>
        <v>0</v>
      </c>
      <c r="AN31" s="63"/>
      <c r="AO31" s="63"/>
      <c r="AP31" s="63">
        <f>Table46[[#This Row],[Oct_26_F]]-Table46[[#This Row],[Oct_26_A]]</f>
        <v>0</v>
      </c>
      <c r="AQ31" s="63"/>
      <c r="AR31" s="63"/>
      <c r="AS31" s="63">
        <f>Table46[[#This Row],[Nov_26_F]]-Table46[[#This Row],[Nov_26_A]]</f>
        <v>0</v>
      </c>
      <c r="AT31" s="63"/>
      <c r="AU31" s="63"/>
      <c r="AV31" s="63">
        <f>Table46[[#This Row],[Dec_26_F]]-Table46[[#This Row],[Dec_26_A]]</f>
        <v>0</v>
      </c>
      <c r="AW31" s="60"/>
      <c r="AX31" s="63"/>
      <c r="AY31" s="63"/>
      <c r="AZ31" s="63">
        <f>Table46[[#This Row],[Jan_27_F]]-Table46[[#This Row],[Jan_27_Act]]</f>
        <v>0</v>
      </c>
      <c r="BA31" s="63"/>
      <c r="BB31" s="63"/>
      <c r="BC31" s="63">
        <f>Table46[[#This Row],[Feb_27_F]]-Table46[[#This Row],[Feb_27_A]]</f>
        <v>0</v>
      </c>
      <c r="BD31" s="63"/>
      <c r="BE31" s="63"/>
      <c r="BF31" s="63">
        <f>Table46[[#This Row],[Mar_27_F]]-Table46[[#This Row],[Mar_27_A]]</f>
        <v>0</v>
      </c>
      <c r="BG31" s="63"/>
      <c r="BH31" s="63"/>
      <c r="BI31" s="63">
        <f>Table46[[#This Row],[Apr_27_F]]-Table46[[#This Row],[Apr_27_A]]</f>
        <v>0</v>
      </c>
      <c r="BJ31" s="63"/>
      <c r="BK31" s="63"/>
      <c r="BL31" s="63">
        <f>Table46[[#This Row],[May_27_F]]-Table46[[#This Row],[May_27_A]]</f>
        <v>0</v>
      </c>
      <c r="BM31" s="63"/>
      <c r="BN31" s="63"/>
      <c r="BO31" s="63">
        <f>Table46[[#This Row],[Jun_27_F]]-Table46[[#This Row],[Jun_27_A]]</f>
        <v>0</v>
      </c>
      <c r="BP31" s="63"/>
      <c r="BQ31" s="63"/>
      <c r="BR31" s="63">
        <f>Table46[[#This Row],[Jul_27_F]]-Table46[[#This Row],[Jul_27_A]]</f>
        <v>0</v>
      </c>
      <c r="BS31" s="63"/>
      <c r="BT31" s="63"/>
      <c r="BU31" s="63">
        <f>Table46[[#This Row],[Aug_27_F]]-Table46[[#This Row],[Aug_27_A]]</f>
        <v>0</v>
      </c>
      <c r="BV31" s="63"/>
      <c r="BW31" s="63"/>
      <c r="BX31" s="63">
        <f>Table46[[#This Row],[Sep_27_F]]-Table46[[#This Row],[Sep_27_A]]</f>
        <v>0</v>
      </c>
      <c r="BY31" s="63"/>
      <c r="BZ31" s="63"/>
      <c r="CA31" s="63">
        <f>Table46[[#This Row],[Oct_27_F]]-Table46[[#This Row],[Oct_27_A]]</f>
        <v>0</v>
      </c>
      <c r="CB31" s="63"/>
      <c r="CC31" s="63"/>
      <c r="CD31" s="63">
        <f>Table46[[#This Row],[Nov_27_F]]-Table46[[#This Row],[Nov_27_A]]</f>
        <v>0</v>
      </c>
      <c r="CE31" s="63"/>
      <c r="CF31" s="63"/>
      <c r="CG31" s="63">
        <f>Table46[[#This Row],[Dec_27_F]]-Table46[[#This Row],[Dec_27_A]]</f>
        <v>0</v>
      </c>
    </row>
    <row r="32" spans="2:85" ht="14.45">
      <c r="B32" s="13"/>
      <c r="D32" s="61"/>
      <c r="F32" s="13"/>
      <c r="G32" s="13"/>
      <c r="H32" s="13"/>
      <c r="I32" s="13"/>
      <c r="J32" s="13"/>
      <c r="L32" s="60"/>
      <c r="M32" s="63"/>
      <c r="N32" s="63"/>
      <c r="O32" s="63">
        <f>Table46[[#This Row],[Jan_26_F]]-Table46[[#This Row],[Jan_26_Act]]</f>
        <v>0</v>
      </c>
      <c r="P32" s="63"/>
      <c r="Q32" s="63"/>
      <c r="R32" s="63">
        <f>Table46[[#This Row],[Feb_26_F]]-Table46[[#This Row],[Feb_26_A]]</f>
        <v>0</v>
      </c>
      <c r="S32" s="63"/>
      <c r="T32" s="63"/>
      <c r="U32" s="63">
        <f>Table46[[#This Row],[Mar_26_F]]-Table46[[#This Row],[Mar_26_A]]</f>
        <v>0</v>
      </c>
      <c r="V32" s="63"/>
      <c r="W32" s="63"/>
      <c r="X32" s="63">
        <f>Table46[[#This Row],[Apr_26_F]]-Table46[[#This Row],[Apr_26_A]]</f>
        <v>0</v>
      </c>
      <c r="Y32" s="63"/>
      <c r="Z32" s="63"/>
      <c r="AA32" s="63">
        <f>Table46[[#This Row],[May_26_F]]-Table46[[#This Row],[May_26_A]]</f>
        <v>0</v>
      </c>
      <c r="AB32" s="63"/>
      <c r="AC32" s="63"/>
      <c r="AD32" s="63">
        <f>Table46[[#This Row],[Jun_26_F]]-Table46[[#This Row],[Jun_26_A]]</f>
        <v>0</v>
      </c>
      <c r="AE32" s="63"/>
      <c r="AF32" s="63"/>
      <c r="AG32" s="63">
        <f>Table46[[#This Row],[Jul_26_F]]-Table46[[#This Row],[Jul_26_A]]</f>
        <v>0</v>
      </c>
      <c r="AH32" s="63"/>
      <c r="AI32" s="63"/>
      <c r="AJ32" s="63">
        <f>Table46[[#This Row],[Aug_26_F]]-Table46[[#This Row],[Aug_26_A]]</f>
        <v>0</v>
      </c>
      <c r="AK32" s="63"/>
      <c r="AL32" s="63"/>
      <c r="AM32" s="63">
        <f>Table46[[#This Row],[Sep_26_F]]-Table46[[#This Row],[Sep_26_A]]</f>
        <v>0</v>
      </c>
      <c r="AN32" s="63"/>
      <c r="AO32" s="63"/>
      <c r="AP32" s="63">
        <f>Table46[[#This Row],[Oct_26_F]]-Table46[[#This Row],[Oct_26_A]]</f>
        <v>0</v>
      </c>
      <c r="AQ32" s="63"/>
      <c r="AR32" s="63"/>
      <c r="AS32" s="63">
        <f>Table46[[#This Row],[Nov_26_F]]-Table46[[#This Row],[Nov_26_A]]</f>
        <v>0</v>
      </c>
      <c r="AT32" s="63"/>
      <c r="AU32" s="63"/>
      <c r="AV32" s="63">
        <f>Table46[[#This Row],[Dec_26_F]]-Table46[[#This Row],[Dec_26_A]]</f>
        <v>0</v>
      </c>
      <c r="AW32" s="60"/>
      <c r="AX32" s="3"/>
      <c r="AY32" s="63"/>
      <c r="AZ32" s="63">
        <f>Table46[[#This Row],[Jan_27_F]]-Table46[[#This Row],[Jan_27_Act]]</f>
        <v>0</v>
      </c>
      <c r="BA32" s="3"/>
      <c r="BB32" s="63"/>
      <c r="BC32" s="63">
        <f>Table46[[#This Row],[Feb_27_F]]-Table46[[#This Row],[Feb_27_A]]</f>
        <v>0</v>
      </c>
      <c r="BD32" s="3"/>
      <c r="BE32" s="63"/>
      <c r="BF32" s="63">
        <f>Table46[[#This Row],[Mar_27_F]]-Table46[[#This Row],[Mar_27_A]]</f>
        <v>0</v>
      </c>
      <c r="BG32" s="3"/>
      <c r="BH32" s="63"/>
      <c r="BI32" s="63">
        <f>Table46[[#This Row],[Apr_27_F]]-Table46[[#This Row],[Apr_27_A]]</f>
        <v>0</v>
      </c>
      <c r="BJ32" s="3"/>
      <c r="BK32" s="63"/>
      <c r="BL32" s="63">
        <f>Table46[[#This Row],[May_27_F]]-Table46[[#This Row],[May_27_A]]</f>
        <v>0</v>
      </c>
      <c r="BM32" s="3"/>
      <c r="BN32" s="63"/>
      <c r="BO32" s="63">
        <f>Table46[[#This Row],[Jun_27_F]]-Table46[[#This Row],[Jun_27_A]]</f>
        <v>0</v>
      </c>
      <c r="BP32" s="3"/>
      <c r="BQ32" s="63"/>
      <c r="BR32" s="63">
        <f>Table46[[#This Row],[Jul_27_F]]-Table46[[#This Row],[Jul_27_A]]</f>
        <v>0</v>
      </c>
      <c r="BS32" s="3"/>
      <c r="BT32" s="63"/>
      <c r="BU32" s="63">
        <f>Table46[[#This Row],[Aug_27_F]]-Table46[[#This Row],[Aug_27_A]]</f>
        <v>0</v>
      </c>
      <c r="BV32" s="3"/>
      <c r="BW32" s="63"/>
      <c r="BX32" s="63">
        <f>Table46[[#This Row],[Sep_27_F]]-Table46[[#This Row],[Sep_27_A]]</f>
        <v>0</v>
      </c>
      <c r="BY32" s="3"/>
      <c r="BZ32" s="63"/>
      <c r="CA32" s="63">
        <f>Table46[[#This Row],[Oct_27_F]]-Table46[[#This Row],[Oct_27_A]]</f>
        <v>0</v>
      </c>
      <c r="CB32" s="3"/>
      <c r="CC32" s="63"/>
      <c r="CD32" s="63">
        <f>Table46[[#This Row],[Nov_27_F]]-Table46[[#This Row],[Nov_27_A]]</f>
        <v>0</v>
      </c>
      <c r="CE32" s="3"/>
      <c r="CF32" s="63"/>
      <c r="CG32" s="63">
        <f>Table46[[#This Row],[Dec_27_F]]-Table46[[#This Row],[Dec_27_A]]</f>
        <v>0</v>
      </c>
    </row>
    <row r="33" spans="2:85" ht="14.45">
      <c r="B33" s="13"/>
      <c r="D33" s="61"/>
      <c r="F33" s="13"/>
      <c r="G33" s="13"/>
      <c r="H33" s="13"/>
      <c r="I33" s="13"/>
      <c r="J33" s="13"/>
      <c r="L33" s="60"/>
      <c r="M33" s="63"/>
      <c r="N33" s="63"/>
      <c r="O33" s="63">
        <f>Table46[[#This Row],[Jan_26_F]]-Table46[[#This Row],[Jan_26_Act]]</f>
        <v>0</v>
      </c>
      <c r="P33" s="63"/>
      <c r="Q33" s="63"/>
      <c r="R33" s="63">
        <f>Table46[[#This Row],[Feb_26_F]]-Table46[[#This Row],[Feb_26_A]]</f>
        <v>0</v>
      </c>
      <c r="S33" s="63"/>
      <c r="T33" s="63"/>
      <c r="U33" s="63">
        <f>Table46[[#This Row],[Mar_26_F]]-Table46[[#This Row],[Mar_26_A]]</f>
        <v>0</v>
      </c>
      <c r="V33" s="63"/>
      <c r="W33" s="63"/>
      <c r="X33" s="63">
        <f>Table46[[#This Row],[Apr_26_F]]-Table46[[#This Row],[Apr_26_A]]</f>
        <v>0</v>
      </c>
      <c r="Y33" s="63"/>
      <c r="Z33" s="63"/>
      <c r="AA33" s="63">
        <f>Table46[[#This Row],[May_26_F]]-Table46[[#This Row],[May_26_A]]</f>
        <v>0</v>
      </c>
      <c r="AB33" s="63"/>
      <c r="AC33" s="63"/>
      <c r="AD33" s="63">
        <f>Table46[[#This Row],[Jun_26_F]]-Table46[[#This Row],[Jun_26_A]]</f>
        <v>0</v>
      </c>
      <c r="AE33" s="63"/>
      <c r="AF33" s="63"/>
      <c r="AG33" s="63">
        <f>Table46[[#This Row],[Jul_26_F]]-Table46[[#This Row],[Jul_26_A]]</f>
        <v>0</v>
      </c>
      <c r="AH33" s="63"/>
      <c r="AI33" s="63"/>
      <c r="AJ33" s="63">
        <f>Table46[[#This Row],[Aug_26_F]]-Table46[[#This Row],[Aug_26_A]]</f>
        <v>0</v>
      </c>
      <c r="AK33" s="63"/>
      <c r="AL33" s="63"/>
      <c r="AM33" s="63">
        <f>Table46[[#This Row],[Sep_26_F]]-Table46[[#This Row],[Sep_26_A]]</f>
        <v>0</v>
      </c>
      <c r="AN33" s="63"/>
      <c r="AO33" s="63"/>
      <c r="AP33" s="63">
        <f>Table46[[#This Row],[Oct_26_F]]-Table46[[#This Row],[Oct_26_A]]</f>
        <v>0</v>
      </c>
      <c r="AQ33" s="63"/>
      <c r="AR33" s="63"/>
      <c r="AS33" s="63">
        <f>Table46[[#This Row],[Nov_26_F]]-Table46[[#This Row],[Nov_26_A]]</f>
        <v>0</v>
      </c>
      <c r="AT33" s="63"/>
      <c r="AU33" s="63"/>
      <c r="AV33" s="63">
        <f>Table46[[#This Row],[Dec_26_F]]-Table46[[#This Row],[Dec_26_A]]</f>
        <v>0</v>
      </c>
      <c r="AW33" s="60"/>
      <c r="AX33" s="63"/>
      <c r="AY33" s="63"/>
      <c r="AZ33" s="63">
        <f>Table46[[#This Row],[Jan_27_F]]-Table46[[#This Row],[Jan_27_Act]]</f>
        <v>0</v>
      </c>
      <c r="BA33" s="63"/>
      <c r="BB33" s="63"/>
      <c r="BC33" s="63">
        <f>Table46[[#This Row],[Feb_27_F]]-Table46[[#This Row],[Feb_27_A]]</f>
        <v>0</v>
      </c>
      <c r="BD33" s="63"/>
      <c r="BE33" s="63"/>
      <c r="BF33" s="63">
        <f>Table46[[#This Row],[Mar_27_F]]-Table46[[#This Row],[Mar_27_A]]</f>
        <v>0</v>
      </c>
      <c r="BG33" s="63"/>
      <c r="BH33" s="63"/>
      <c r="BI33" s="63">
        <f>Table46[[#This Row],[Apr_27_F]]-Table46[[#This Row],[Apr_27_A]]</f>
        <v>0</v>
      </c>
      <c r="BJ33" s="63"/>
      <c r="BK33" s="63"/>
      <c r="BL33" s="63">
        <f>Table46[[#This Row],[May_27_F]]-Table46[[#This Row],[May_27_A]]</f>
        <v>0</v>
      </c>
      <c r="BM33" s="63"/>
      <c r="BN33" s="63"/>
      <c r="BO33" s="63">
        <f>Table46[[#This Row],[Jun_27_F]]-Table46[[#This Row],[Jun_27_A]]</f>
        <v>0</v>
      </c>
      <c r="BP33" s="63"/>
      <c r="BQ33" s="63"/>
      <c r="BR33" s="63">
        <f>Table46[[#This Row],[Jul_27_F]]-Table46[[#This Row],[Jul_27_A]]</f>
        <v>0</v>
      </c>
      <c r="BS33" s="63"/>
      <c r="BT33" s="63"/>
      <c r="BU33" s="63">
        <f>Table46[[#This Row],[Aug_27_F]]-Table46[[#This Row],[Aug_27_A]]</f>
        <v>0</v>
      </c>
      <c r="BV33" s="63"/>
      <c r="BW33" s="63"/>
      <c r="BX33" s="63">
        <f>Table46[[#This Row],[Sep_27_F]]-Table46[[#This Row],[Sep_27_A]]</f>
        <v>0</v>
      </c>
      <c r="BY33" s="63"/>
      <c r="BZ33" s="63"/>
      <c r="CA33" s="63">
        <f>Table46[[#This Row],[Oct_27_F]]-Table46[[#This Row],[Oct_27_A]]</f>
        <v>0</v>
      </c>
      <c r="CB33" s="63"/>
      <c r="CC33" s="63"/>
      <c r="CD33" s="63">
        <f>Table46[[#This Row],[Nov_27_F]]-Table46[[#This Row],[Nov_27_A]]</f>
        <v>0</v>
      </c>
      <c r="CE33" s="63"/>
      <c r="CF33" s="63"/>
      <c r="CG33" s="63">
        <f>Table46[[#This Row],[Dec_27_F]]-Table46[[#This Row],[Dec_27_A]]</f>
        <v>0</v>
      </c>
    </row>
    <row r="34" spans="2:85" ht="14.45">
      <c r="B34" s="13"/>
      <c r="D34" s="61"/>
      <c r="F34" s="13"/>
      <c r="G34" s="13"/>
      <c r="H34" s="13"/>
      <c r="I34" s="13"/>
      <c r="J34" s="13"/>
      <c r="L34" s="60"/>
      <c r="M34" s="63"/>
      <c r="N34" s="63"/>
      <c r="O34" s="63">
        <f>Table46[[#This Row],[Jan_26_F]]-Table46[[#This Row],[Jan_26_Act]]</f>
        <v>0</v>
      </c>
      <c r="P34" s="63"/>
      <c r="Q34" s="63"/>
      <c r="R34" s="63">
        <f>Table46[[#This Row],[Feb_26_F]]-Table46[[#This Row],[Feb_26_A]]</f>
        <v>0</v>
      </c>
      <c r="S34" s="63"/>
      <c r="T34" s="63"/>
      <c r="U34" s="63">
        <f>Table46[[#This Row],[Mar_26_F]]-Table46[[#This Row],[Mar_26_A]]</f>
        <v>0</v>
      </c>
      <c r="V34" s="63"/>
      <c r="W34" s="63"/>
      <c r="X34" s="63">
        <f>Table46[[#This Row],[Apr_26_F]]-Table46[[#This Row],[Apr_26_A]]</f>
        <v>0</v>
      </c>
      <c r="Y34" s="63"/>
      <c r="Z34" s="63"/>
      <c r="AA34" s="63">
        <f>Table46[[#This Row],[May_26_F]]-Table46[[#This Row],[May_26_A]]</f>
        <v>0</v>
      </c>
      <c r="AB34" s="63"/>
      <c r="AC34" s="63"/>
      <c r="AD34" s="63">
        <f>Table46[[#This Row],[Jun_26_F]]-Table46[[#This Row],[Jun_26_A]]</f>
        <v>0</v>
      </c>
      <c r="AE34" s="63"/>
      <c r="AF34" s="63"/>
      <c r="AG34" s="63">
        <f>Table46[[#This Row],[Jul_26_F]]-Table46[[#This Row],[Jul_26_A]]</f>
        <v>0</v>
      </c>
      <c r="AH34" s="63"/>
      <c r="AI34" s="63"/>
      <c r="AJ34" s="63">
        <f>Table46[[#This Row],[Aug_26_F]]-Table46[[#This Row],[Aug_26_A]]</f>
        <v>0</v>
      </c>
      <c r="AK34" s="63"/>
      <c r="AL34" s="63"/>
      <c r="AM34" s="63">
        <f>Table46[[#This Row],[Sep_26_F]]-Table46[[#This Row],[Sep_26_A]]</f>
        <v>0</v>
      </c>
      <c r="AN34" s="63"/>
      <c r="AO34" s="63"/>
      <c r="AP34" s="63">
        <f>Table46[[#This Row],[Oct_26_F]]-Table46[[#This Row],[Oct_26_A]]</f>
        <v>0</v>
      </c>
      <c r="AQ34" s="63"/>
      <c r="AR34" s="63"/>
      <c r="AS34" s="63">
        <f>Table46[[#This Row],[Nov_26_F]]-Table46[[#This Row],[Nov_26_A]]</f>
        <v>0</v>
      </c>
      <c r="AT34" s="63"/>
      <c r="AU34" s="63"/>
      <c r="AV34" s="63">
        <f>Table46[[#This Row],[Dec_26_F]]-Table46[[#This Row],[Dec_26_A]]</f>
        <v>0</v>
      </c>
      <c r="AW34" s="60"/>
      <c r="AX34" s="63"/>
      <c r="AY34" s="63"/>
      <c r="AZ34" s="63">
        <f>Table46[[#This Row],[Jan_27_F]]-Table46[[#This Row],[Jan_27_Act]]</f>
        <v>0</v>
      </c>
      <c r="BA34" s="63"/>
      <c r="BB34" s="63"/>
      <c r="BC34" s="63">
        <f>Table46[[#This Row],[Feb_27_F]]-Table46[[#This Row],[Feb_27_A]]</f>
        <v>0</v>
      </c>
      <c r="BD34" s="63"/>
      <c r="BE34" s="63"/>
      <c r="BF34" s="63">
        <f>Table46[[#This Row],[Mar_27_F]]-Table46[[#This Row],[Mar_27_A]]</f>
        <v>0</v>
      </c>
      <c r="BG34" s="63"/>
      <c r="BH34" s="63"/>
      <c r="BI34" s="63">
        <f>Table46[[#This Row],[Apr_27_F]]-Table46[[#This Row],[Apr_27_A]]</f>
        <v>0</v>
      </c>
      <c r="BJ34" s="63"/>
      <c r="BK34" s="63"/>
      <c r="BL34" s="63">
        <f>Table46[[#This Row],[May_27_F]]-Table46[[#This Row],[May_27_A]]</f>
        <v>0</v>
      </c>
      <c r="BM34" s="63"/>
      <c r="BN34" s="63"/>
      <c r="BO34" s="63">
        <f>Table46[[#This Row],[Jun_27_F]]-Table46[[#This Row],[Jun_27_A]]</f>
        <v>0</v>
      </c>
      <c r="BP34" s="63"/>
      <c r="BQ34" s="63"/>
      <c r="BR34" s="63">
        <f>Table46[[#This Row],[Jul_27_F]]-Table46[[#This Row],[Jul_27_A]]</f>
        <v>0</v>
      </c>
      <c r="BS34" s="63"/>
      <c r="BT34" s="63"/>
      <c r="BU34" s="63">
        <f>Table46[[#This Row],[Aug_27_F]]-Table46[[#This Row],[Aug_27_A]]</f>
        <v>0</v>
      </c>
      <c r="BV34" s="63"/>
      <c r="BW34" s="63"/>
      <c r="BX34" s="63">
        <f>Table46[[#This Row],[Sep_27_F]]-Table46[[#This Row],[Sep_27_A]]</f>
        <v>0</v>
      </c>
      <c r="BY34" s="63"/>
      <c r="BZ34" s="63"/>
      <c r="CA34" s="63">
        <f>Table46[[#This Row],[Oct_27_F]]-Table46[[#This Row],[Oct_27_A]]</f>
        <v>0</v>
      </c>
      <c r="CB34" s="63"/>
      <c r="CC34" s="63"/>
      <c r="CD34" s="63">
        <f>Table46[[#This Row],[Nov_27_F]]-Table46[[#This Row],[Nov_27_A]]</f>
        <v>0</v>
      </c>
      <c r="CE34" s="63"/>
      <c r="CF34" s="63"/>
      <c r="CG34" s="63">
        <f>Table46[[#This Row],[Dec_27_F]]-Table46[[#This Row],[Dec_27_A]]</f>
        <v>0</v>
      </c>
    </row>
    <row r="35" spans="2:85" ht="14.45">
      <c r="B35" s="13"/>
      <c r="D35" s="61"/>
      <c r="F35" s="13"/>
      <c r="G35" s="13"/>
      <c r="H35" s="13"/>
      <c r="I35" s="13"/>
      <c r="J35" s="13"/>
      <c r="L35" s="60"/>
      <c r="M35" s="63"/>
      <c r="N35" s="63"/>
      <c r="O35" s="63">
        <f>Table46[[#This Row],[Jan_26_F]]-Table46[[#This Row],[Jan_26_Act]]</f>
        <v>0</v>
      </c>
      <c r="P35" s="63"/>
      <c r="Q35" s="63"/>
      <c r="R35" s="63">
        <f>Table46[[#This Row],[Feb_26_F]]-Table46[[#This Row],[Feb_26_A]]</f>
        <v>0</v>
      </c>
      <c r="S35" s="63"/>
      <c r="T35" s="63"/>
      <c r="U35" s="63">
        <f>Table46[[#This Row],[Mar_26_F]]-Table46[[#This Row],[Mar_26_A]]</f>
        <v>0</v>
      </c>
      <c r="V35" s="63"/>
      <c r="W35" s="63"/>
      <c r="X35" s="63">
        <f>Table46[[#This Row],[Apr_26_F]]-Table46[[#This Row],[Apr_26_A]]</f>
        <v>0</v>
      </c>
      <c r="Y35" s="63"/>
      <c r="Z35" s="63"/>
      <c r="AA35" s="63">
        <f>Table46[[#This Row],[May_26_F]]-Table46[[#This Row],[May_26_A]]</f>
        <v>0</v>
      </c>
      <c r="AB35" s="63"/>
      <c r="AC35" s="63"/>
      <c r="AD35" s="63">
        <f>Table46[[#This Row],[Jun_26_F]]-Table46[[#This Row],[Jun_26_A]]</f>
        <v>0</v>
      </c>
      <c r="AE35" s="63"/>
      <c r="AF35" s="63"/>
      <c r="AG35" s="63">
        <f>Table46[[#This Row],[Jul_26_F]]-Table46[[#This Row],[Jul_26_A]]</f>
        <v>0</v>
      </c>
      <c r="AH35" s="63"/>
      <c r="AI35" s="63"/>
      <c r="AJ35" s="63">
        <f>Table46[[#This Row],[Aug_26_F]]-Table46[[#This Row],[Aug_26_A]]</f>
        <v>0</v>
      </c>
      <c r="AK35" s="63"/>
      <c r="AL35" s="63"/>
      <c r="AM35" s="63">
        <f>Table46[[#This Row],[Sep_26_F]]-Table46[[#This Row],[Sep_26_A]]</f>
        <v>0</v>
      </c>
      <c r="AN35" s="63"/>
      <c r="AO35" s="63"/>
      <c r="AP35" s="63">
        <f>Table46[[#This Row],[Oct_26_F]]-Table46[[#This Row],[Oct_26_A]]</f>
        <v>0</v>
      </c>
      <c r="AQ35" s="63"/>
      <c r="AR35" s="63"/>
      <c r="AS35" s="63">
        <f>Table46[[#This Row],[Nov_26_F]]-Table46[[#This Row],[Nov_26_A]]</f>
        <v>0</v>
      </c>
      <c r="AT35" s="63"/>
      <c r="AU35" s="63"/>
      <c r="AV35" s="63">
        <f>Table46[[#This Row],[Dec_26_F]]-Table46[[#This Row],[Dec_26_A]]</f>
        <v>0</v>
      </c>
      <c r="AW35" s="60"/>
      <c r="AX35" s="63"/>
      <c r="AY35" s="63"/>
      <c r="AZ35" s="63">
        <f>Table46[[#This Row],[Jan_27_F]]-Table46[[#This Row],[Jan_27_Act]]</f>
        <v>0</v>
      </c>
      <c r="BA35" s="63"/>
      <c r="BB35" s="63"/>
      <c r="BC35" s="63">
        <f>Table46[[#This Row],[Feb_27_F]]-Table46[[#This Row],[Feb_27_A]]</f>
        <v>0</v>
      </c>
      <c r="BD35" s="63"/>
      <c r="BE35" s="63"/>
      <c r="BF35" s="63">
        <f>Table46[[#This Row],[Mar_27_F]]-Table46[[#This Row],[Mar_27_A]]</f>
        <v>0</v>
      </c>
      <c r="BG35" s="63"/>
      <c r="BH35" s="63"/>
      <c r="BI35" s="63">
        <f>Table46[[#This Row],[Apr_27_F]]-Table46[[#This Row],[Apr_27_A]]</f>
        <v>0</v>
      </c>
      <c r="BJ35" s="63"/>
      <c r="BK35" s="63"/>
      <c r="BL35" s="63">
        <f>Table46[[#This Row],[May_27_F]]-Table46[[#This Row],[May_27_A]]</f>
        <v>0</v>
      </c>
      <c r="BM35" s="63"/>
      <c r="BN35" s="63"/>
      <c r="BO35" s="63">
        <f>Table46[[#This Row],[Jun_27_F]]-Table46[[#This Row],[Jun_27_A]]</f>
        <v>0</v>
      </c>
      <c r="BP35" s="63"/>
      <c r="BQ35" s="63"/>
      <c r="BR35" s="63">
        <f>Table46[[#This Row],[Jul_27_F]]-Table46[[#This Row],[Jul_27_A]]</f>
        <v>0</v>
      </c>
      <c r="BS35" s="63"/>
      <c r="BT35" s="63"/>
      <c r="BU35" s="63">
        <f>Table46[[#This Row],[Aug_27_F]]-Table46[[#This Row],[Aug_27_A]]</f>
        <v>0</v>
      </c>
      <c r="BV35" s="63"/>
      <c r="BW35" s="63"/>
      <c r="BX35" s="63">
        <f>Table46[[#This Row],[Sep_27_F]]-Table46[[#This Row],[Sep_27_A]]</f>
        <v>0</v>
      </c>
      <c r="BY35" s="63"/>
      <c r="BZ35" s="63"/>
      <c r="CA35" s="63">
        <f>Table46[[#This Row],[Oct_27_F]]-Table46[[#This Row],[Oct_27_A]]</f>
        <v>0</v>
      </c>
      <c r="CB35" s="63"/>
      <c r="CC35" s="63"/>
      <c r="CD35" s="63">
        <f>Table46[[#This Row],[Nov_27_F]]-Table46[[#This Row],[Nov_27_A]]</f>
        <v>0</v>
      </c>
      <c r="CE35" s="63"/>
      <c r="CF35" s="63"/>
      <c r="CG35" s="63">
        <f>Table46[[#This Row],[Dec_27_F]]-Table46[[#This Row],[Dec_27_A]]</f>
        <v>0</v>
      </c>
    </row>
    <row r="36" spans="2:85" ht="14.45">
      <c r="B36" s="13"/>
      <c r="D36" s="61"/>
      <c r="F36" s="13"/>
      <c r="G36" s="13"/>
      <c r="H36" s="13"/>
      <c r="I36" s="13"/>
      <c r="J36" s="13"/>
      <c r="L36" s="60"/>
      <c r="M36" s="63"/>
      <c r="N36" s="63"/>
      <c r="O36" s="63">
        <f>Table46[[#This Row],[Jan_26_F]]-Table46[[#This Row],[Jan_26_Act]]</f>
        <v>0</v>
      </c>
      <c r="P36" s="63"/>
      <c r="Q36" s="63"/>
      <c r="R36" s="63">
        <f>Table46[[#This Row],[Feb_26_F]]-Table46[[#This Row],[Feb_26_A]]</f>
        <v>0</v>
      </c>
      <c r="S36" s="63"/>
      <c r="T36" s="63"/>
      <c r="U36" s="63">
        <f>Table46[[#This Row],[Mar_26_F]]-Table46[[#This Row],[Mar_26_A]]</f>
        <v>0</v>
      </c>
      <c r="V36" s="63"/>
      <c r="W36" s="63"/>
      <c r="X36" s="63">
        <f>Table46[[#This Row],[Apr_26_F]]-Table46[[#This Row],[Apr_26_A]]</f>
        <v>0</v>
      </c>
      <c r="Y36" s="63"/>
      <c r="Z36" s="63"/>
      <c r="AA36" s="63">
        <f>Table46[[#This Row],[May_26_F]]-Table46[[#This Row],[May_26_A]]</f>
        <v>0</v>
      </c>
      <c r="AB36" s="63"/>
      <c r="AC36" s="63"/>
      <c r="AD36" s="63">
        <f>Table46[[#This Row],[Jun_26_F]]-Table46[[#This Row],[Jun_26_A]]</f>
        <v>0</v>
      </c>
      <c r="AE36" s="63"/>
      <c r="AF36" s="63"/>
      <c r="AG36" s="63">
        <f>Table46[[#This Row],[Jul_26_F]]-Table46[[#This Row],[Jul_26_A]]</f>
        <v>0</v>
      </c>
      <c r="AH36" s="63"/>
      <c r="AI36" s="63"/>
      <c r="AJ36" s="63">
        <f>Table46[[#This Row],[Aug_26_F]]-Table46[[#This Row],[Aug_26_A]]</f>
        <v>0</v>
      </c>
      <c r="AK36" s="63"/>
      <c r="AL36" s="63"/>
      <c r="AM36" s="63">
        <f>Table46[[#This Row],[Sep_26_F]]-Table46[[#This Row],[Sep_26_A]]</f>
        <v>0</v>
      </c>
      <c r="AN36" s="63"/>
      <c r="AO36" s="63"/>
      <c r="AP36" s="63">
        <f>Table46[[#This Row],[Oct_26_F]]-Table46[[#This Row],[Oct_26_A]]</f>
        <v>0</v>
      </c>
      <c r="AQ36" s="63"/>
      <c r="AR36" s="63"/>
      <c r="AS36" s="63">
        <f>Table46[[#This Row],[Nov_26_F]]-Table46[[#This Row],[Nov_26_A]]</f>
        <v>0</v>
      </c>
      <c r="AT36" s="63"/>
      <c r="AU36" s="63"/>
      <c r="AV36" s="63">
        <f>Table46[[#This Row],[Dec_26_F]]-Table46[[#This Row],[Dec_26_A]]</f>
        <v>0</v>
      </c>
      <c r="AW36" s="60"/>
      <c r="AX36" s="63"/>
      <c r="AY36" s="63"/>
      <c r="AZ36" s="63">
        <f>Table46[[#This Row],[Jan_27_F]]-Table46[[#This Row],[Jan_27_Act]]</f>
        <v>0</v>
      </c>
      <c r="BA36" s="63"/>
      <c r="BB36" s="63"/>
      <c r="BC36" s="63">
        <f>Table46[[#This Row],[Feb_27_F]]-Table46[[#This Row],[Feb_27_A]]</f>
        <v>0</v>
      </c>
      <c r="BD36" s="63"/>
      <c r="BE36" s="63"/>
      <c r="BF36" s="63">
        <f>Table46[[#This Row],[Mar_27_F]]-Table46[[#This Row],[Mar_27_A]]</f>
        <v>0</v>
      </c>
      <c r="BG36" s="63"/>
      <c r="BH36" s="63"/>
      <c r="BI36" s="63">
        <f>Table46[[#This Row],[Apr_27_F]]-Table46[[#This Row],[Apr_27_A]]</f>
        <v>0</v>
      </c>
      <c r="BJ36" s="63"/>
      <c r="BK36" s="63"/>
      <c r="BL36" s="63">
        <f>Table46[[#This Row],[May_27_F]]-Table46[[#This Row],[May_27_A]]</f>
        <v>0</v>
      </c>
      <c r="BM36" s="63"/>
      <c r="BN36" s="63"/>
      <c r="BO36" s="63">
        <f>Table46[[#This Row],[Jun_27_F]]-Table46[[#This Row],[Jun_27_A]]</f>
        <v>0</v>
      </c>
      <c r="BP36" s="63"/>
      <c r="BQ36" s="63"/>
      <c r="BR36" s="63">
        <f>Table46[[#This Row],[Jul_27_F]]-Table46[[#This Row],[Jul_27_A]]</f>
        <v>0</v>
      </c>
      <c r="BS36" s="63"/>
      <c r="BT36" s="63"/>
      <c r="BU36" s="63">
        <f>Table46[[#This Row],[Aug_27_F]]-Table46[[#This Row],[Aug_27_A]]</f>
        <v>0</v>
      </c>
      <c r="BV36" s="63"/>
      <c r="BW36" s="63"/>
      <c r="BX36" s="63">
        <f>Table46[[#This Row],[Sep_27_F]]-Table46[[#This Row],[Sep_27_A]]</f>
        <v>0</v>
      </c>
      <c r="BY36" s="63"/>
      <c r="BZ36" s="63"/>
      <c r="CA36" s="63">
        <f>Table46[[#This Row],[Oct_27_F]]-Table46[[#This Row],[Oct_27_A]]</f>
        <v>0</v>
      </c>
      <c r="CB36" s="63"/>
      <c r="CC36" s="63"/>
      <c r="CD36" s="63">
        <f>Table46[[#This Row],[Nov_27_F]]-Table46[[#This Row],[Nov_27_A]]</f>
        <v>0</v>
      </c>
      <c r="CE36" s="63"/>
      <c r="CF36" s="63"/>
      <c r="CG36" s="63">
        <f>Table46[[#This Row],[Dec_27_F]]-Table46[[#This Row],[Dec_27_A]]</f>
        <v>0</v>
      </c>
    </row>
    <row r="37" spans="2:85" ht="14.45">
      <c r="B37" s="13"/>
      <c r="D37" s="61"/>
      <c r="F37" s="13"/>
      <c r="G37" s="13"/>
      <c r="H37" s="13"/>
      <c r="I37" s="13"/>
      <c r="J37" s="13"/>
      <c r="L37" s="60"/>
      <c r="M37" s="63"/>
      <c r="N37" s="63"/>
      <c r="O37" s="63">
        <f>Table46[[#This Row],[Jan_26_F]]-Table46[[#This Row],[Jan_26_Act]]</f>
        <v>0</v>
      </c>
      <c r="P37" s="63"/>
      <c r="Q37" s="63"/>
      <c r="R37" s="63">
        <f>Table46[[#This Row],[Feb_26_F]]-Table46[[#This Row],[Feb_26_A]]</f>
        <v>0</v>
      </c>
      <c r="S37" s="63"/>
      <c r="T37" s="63"/>
      <c r="U37" s="63">
        <f>Table46[[#This Row],[Mar_26_F]]-Table46[[#This Row],[Mar_26_A]]</f>
        <v>0</v>
      </c>
      <c r="V37" s="63"/>
      <c r="W37" s="63"/>
      <c r="X37" s="63">
        <f>Table46[[#This Row],[Apr_26_F]]-Table46[[#This Row],[Apr_26_A]]</f>
        <v>0</v>
      </c>
      <c r="Y37" s="63"/>
      <c r="Z37" s="63"/>
      <c r="AA37" s="63">
        <f>Table46[[#This Row],[May_26_F]]-Table46[[#This Row],[May_26_A]]</f>
        <v>0</v>
      </c>
      <c r="AB37" s="63"/>
      <c r="AC37" s="63"/>
      <c r="AD37" s="63">
        <f>Table46[[#This Row],[Jun_26_F]]-Table46[[#This Row],[Jun_26_A]]</f>
        <v>0</v>
      </c>
      <c r="AE37" s="63"/>
      <c r="AF37" s="63"/>
      <c r="AG37" s="63">
        <f>Table46[[#This Row],[Jul_26_F]]-Table46[[#This Row],[Jul_26_A]]</f>
        <v>0</v>
      </c>
      <c r="AH37" s="63"/>
      <c r="AI37" s="63"/>
      <c r="AJ37" s="63">
        <f>Table46[[#This Row],[Aug_26_F]]-Table46[[#This Row],[Aug_26_A]]</f>
        <v>0</v>
      </c>
      <c r="AK37" s="63"/>
      <c r="AL37" s="63"/>
      <c r="AM37" s="63">
        <f>Table46[[#This Row],[Sep_26_F]]-Table46[[#This Row],[Sep_26_A]]</f>
        <v>0</v>
      </c>
      <c r="AN37" s="63"/>
      <c r="AO37" s="63"/>
      <c r="AP37" s="63">
        <f>Table46[[#This Row],[Oct_26_F]]-Table46[[#This Row],[Oct_26_A]]</f>
        <v>0</v>
      </c>
      <c r="AQ37" s="63"/>
      <c r="AR37" s="63"/>
      <c r="AS37" s="63">
        <f>Table46[[#This Row],[Nov_26_F]]-Table46[[#This Row],[Nov_26_A]]</f>
        <v>0</v>
      </c>
      <c r="AT37" s="63"/>
      <c r="AU37" s="63"/>
      <c r="AV37" s="63">
        <f>Table46[[#This Row],[Dec_26_F]]-Table46[[#This Row],[Dec_26_A]]</f>
        <v>0</v>
      </c>
      <c r="AW37" s="60"/>
      <c r="AX37" s="63"/>
      <c r="AY37" s="63"/>
      <c r="AZ37" s="63">
        <f>Table46[[#This Row],[Jan_27_F]]-Table46[[#This Row],[Jan_27_Act]]</f>
        <v>0</v>
      </c>
      <c r="BA37" s="63"/>
      <c r="BB37" s="63"/>
      <c r="BC37" s="63">
        <f>Table46[[#This Row],[Feb_27_F]]-Table46[[#This Row],[Feb_27_A]]</f>
        <v>0</v>
      </c>
      <c r="BD37" s="63"/>
      <c r="BE37" s="63"/>
      <c r="BF37" s="63">
        <f>Table46[[#This Row],[Mar_27_F]]-Table46[[#This Row],[Mar_27_A]]</f>
        <v>0</v>
      </c>
      <c r="BG37" s="63"/>
      <c r="BH37" s="63"/>
      <c r="BI37" s="63">
        <f>Table46[[#This Row],[Apr_27_F]]-Table46[[#This Row],[Apr_27_A]]</f>
        <v>0</v>
      </c>
      <c r="BJ37" s="63"/>
      <c r="BK37" s="63"/>
      <c r="BL37" s="63">
        <f>Table46[[#This Row],[May_27_F]]-Table46[[#This Row],[May_27_A]]</f>
        <v>0</v>
      </c>
      <c r="BM37" s="63"/>
      <c r="BN37" s="63"/>
      <c r="BO37" s="63">
        <f>Table46[[#This Row],[Jun_27_F]]-Table46[[#This Row],[Jun_27_A]]</f>
        <v>0</v>
      </c>
      <c r="BP37" s="63"/>
      <c r="BQ37" s="63"/>
      <c r="BR37" s="63">
        <f>Table46[[#This Row],[Jul_27_F]]-Table46[[#This Row],[Jul_27_A]]</f>
        <v>0</v>
      </c>
      <c r="BS37" s="63"/>
      <c r="BT37" s="63"/>
      <c r="BU37" s="63">
        <f>Table46[[#This Row],[Aug_27_F]]-Table46[[#This Row],[Aug_27_A]]</f>
        <v>0</v>
      </c>
      <c r="BV37" s="63"/>
      <c r="BW37" s="63"/>
      <c r="BX37" s="63">
        <f>Table46[[#This Row],[Sep_27_F]]-Table46[[#This Row],[Sep_27_A]]</f>
        <v>0</v>
      </c>
      <c r="BY37" s="63"/>
      <c r="BZ37" s="63"/>
      <c r="CA37" s="63">
        <f>Table46[[#This Row],[Oct_27_F]]-Table46[[#This Row],[Oct_27_A]]</f>
        <v>0</v>
      </c>
      <c r="CB37" s="63"/>
      <c r="CC37" s="63"/>
      <c r="CD37" s="63">
        <f>Table46[[#This Row],[Nov_27_F]]-Table46[[#This Row],[Nov_27_A]]</f>
        <v>0</v>
      </c>
      <c r="CE37" s="63"/>
      <c r="CF37" s="63"/>
      <c r="CG37" s="63">
        <f>Table46[[#This Row],[Dec_27_F]]-Table46[[#This Row],[Dec_27_A]]</f>
        <v>0</v>
      </c>
    </row>
    <row r="38" spans="2:85" ht="14.45">
      <c r="B38" s="13"/>
      <c r="D38" s="61"/>
      <c r="F38" s="13"/>
      <c r="G38" s="13"/>
      <c r="H38" s="13"/>
      <c r="I38" s="13"/>
      <c r="J38" s="13"/>
      <c r="L38" s="60"/>
      <c r="M38" s="63"/>
      <c r="N38" s="63"/>
      <c r="O38" s="63">
        <f>Table46[[#This Row],[Jan_26_F]]-Table46[[#This Row],[Jan_26_Act]]</f>
        <v>0</v>
      </c>
      <c r="P38" s="63"/>
      <c r="Q38" s="63"/>
      <c r="R38" s="63">
        <f>Table46[[#This Row],[Feb_26_F]]-Table46[[#This Row],[Feb_26_A]]</f>
        <v>0</v>
      </c>
      <c r="S38" s="63"/>
      <c r="T38" s="63"/>
      <c r="U38" s="63">
        <f>Table46[[#This Row],[Mar_26_F]]-Table46[[#This Row],[Mar_26_A]]</f>
        <v>0</v>
      </c>
      <c r="V38" s="63"/>
      <c r="W38" s="63"/>
      <c r="X38" s="63">
        <f>Table46[[#This Row],[Apr_26_F]]-Table46[[#This Row],[Apr_26_A]]</f>
        <v>0</v>
      </c>
      <c r="Y38" s="63"/>
      <c r="Z38" s="63"/>
      <c r="AA38" s="63">
        <f>Table46[[#This Row],[May_26_F]]-Table46[[#This Row],[May_26_A]]</f>
        <v>0</v>
      </c>
      <c r="AB38" s="63"/>
      <c r="AC38" s="63"/>
      <c r="AD38" s="63">
        <f>Table46[[#This Row],[Jun_26_F]]-Table46[[#This Row],[Jun_26_A]]</f>
        <v>0</v>
      </c>
      <c r="AE38" s="63"/>
      <c r="AF38" s="63"/>
      <c r="AG38" s="63">
        <f>Table46[[#This Row],[Jul_26_F]]-Table46[[#This Row],[Jul_26_A]]</f>
        <v>0</v>
      </c>
      <c r="AH38" s="63"/>
      <c r="AI38" s="63"/>
      <c r="AJ38" s="63">
        <f>Table46[[#This Row],[Aug_26_F]]-Table46[[#This Row],[Aug_26_A]]</f>
        <v>0</v>
      </c>
      <c r="AK38" s="63"/>
      <c r="AL38" s="63"/>
      <c r="AM38" s="63">
        <f>Table46[[#This Row],[Sep_26_F]]-Table46[[#This Row],[Sep_26_A]]</f>
        <v>0</v>
      </c>
      <c r="AN38" s="63"/>
      <c r="AO38" s="63"/>
      <c r="AP38" s="63">
        <f>Table46[[#This Row],[Oct_26_F]]-Table46[[#This Row],[Oct_26_A]]</f>
        <v>0</v>
      </c>
      <c r="AQ38" s="63"/>
      <c r="AR38" s="63"/>
      <c r="AS38" s="63">
        <f>Table46[[#This Row],[Nov_26_F]]-Table46[[#This Row],[Nov_26_A]]</f>
        <v>0</v>
      </c>
      <c r="AT38" s="63"/>
      <c r="AU38" s="63"/>
      <c r="AV38" s="63">
        <f>Table46[[#This Row],[Dec_26_F]]-Table46[[#This Row],[Dec_26_A]]</f>
        <v>0</v>
      </c>
      <c r="AW38" s="60"/>
      <c r="AX38" s="63"/>
      <c r="AY38" s="63"/>
      <c r="AZ38" s="63">
        <f>Table46[[#This Row],[Jan_27_F]]-Table46[[#This Row],[Jan_27_Act]]</f>
        <v>0</v>
      </c>
      <c r="BA38" s="63"/>
      <c r="BB38" s="63"/>
      <c r="BC38" s="63">
        <f>Table46[[#This Row],[Feb_27_F]]-Table46[[#This Row],[Feb_27_A]]</f>
        <v>0</v>
      </c>
      <c r="BD38" s="63"/>
      <c r="BE38" s="63"/>
      <c r="BF38" s="63">
        <f>Table46[[#This Row],[Mar_27_F]]-Table46[[#This Row],[Mar_27_A]]</f>
        <v>0</v>
      </c>
      <c r="BG38" s="63"/>
      <c r="BH38" s="63"/>
      <c r="BI38" s="63">
        <f>Table46[[#This Row],[Apr_27_F]]-Table46[[#This Row],[Apr_27_A]]</f>
        <v>0</v>
      </c>
      <c r="BJ38" s="63"/>
      <c r="BK38" s="63"/>
      <c r="BL38" s="63">
        <f>Table46[[#This Row],[May_27_F]]-Table46[[#This Row],[May_27_A]]</f>
        <v>0</v>
      </c>
      <c r="BM38" s="63"/>
      <c r="BN38" s="63"/>
      <c r="BO38" s="63">
        <f>Table46[[#This Row],[Jun_27_F]]-Table46[[#This Row],[Jun_27_A]]</f>
        <v>0</v>
      </c>
      <c r="BP38" s="63"/>
      <c r="BQ38" s="63"/>
      <c r="BR38" s="63">
        <f>Table46[[#This Row],[Jul_27_F]]-Table46[[#This Row],[Jul_27_A]]</f>
        <v>0</v>
      </c>
      <c r="BS38" s="63"/>
      <c r="BT38" s="63"/>
      <c r="BU38" s="63">
        <f>Table46[[#This Row],[Aug_27_F]]-Table46[[#This Row],[Aug_27_A]]</f>
        <v>0</v>
      </c>
      <c r="BV38" s="63"/>
      <c r="BW38" s="63"/>
      <c r="BX38" s="63">
        <f>Table46[[#This Row],[Sep_27_F]]-Table46[[#This Row],[Sep_27_A]]</f>
        <v>0</v>
      </c>
      <c r="BY38" s="63"/>
      <c r="BZ38" s="63"/>
      <c r="CA38" s="63">
        <f>Table46[[#This Row],[Oct_27_F]]-Table46[[#This Row],[Oct_27_A]]</f>
        <v>0</v>
      </c>
      <c r="CB38" s="63"/>
      <c r="CC38" s="63"/>
      <c r="CD38" s="63">
        <f>Table46[[#This Row],[Nov_27_F]]-Table46[[#This Row],[Nov_27_A]]</f>
        <v>0</v>
      </c>
      <c r="CE38" s="63"/>
      <c r="CF38" s="63"/>
      <c r="CG38" s="63">
        <f>Table46[[#This Row],[Dec_27_F]]-Table46[[#This Row],[Dec_27_A]]</f>
        <v>0</v>
      </c>
    </row>
    <row r="39" spans="2:85" ht="14.45">
      <c r="B39" s="13"/>
      <c r="D39" s="61"/>
      <c r="F39" s="13"/>
      <c r="G39" s="13"/>
      <c r="H39" s="13"/>
      <c r="I39" s="13"/>
      <c r="J39" s="13"/>
      <c r="L39" s="60"/>
      <c r="M39" s="63"/>
      <c r="N39" s="63"/>
      <c r="O39" s="63">
        <f>Table46[[#This Row],[Jan_26_F]]-Table46[[#This Row],[Jan_26_Act]]</f>
        <v>0</v>
      </c>
      <c r="P39" s="63"/>
      <c r="Q39" s="63"/>
      <c r="R39" s="63">
        <f>Table46[[#This Row],[Feb_26_F]]-Table46[[#This Row],[Feb_26_A]]</f>
        <v>0</v>
      </c>
      <c r="S39" s="63"/>
      <c r="T39" s="63"/>
      <c r="U39" s="63">
        <f>Table46[[#This Row],[Mar_26_F]]-Table46[[#This Row],[Mar_26_A]]</f>
        <v>0</v>
      </c>
      <c r="V39" s="63"/>
      <c r="W39" s="63"/>
      <c r="X39" s="63">
        <f>Table46[[#This Row],[Apr_26_F]]-Table46[[#This Row],[Apr_26_A]]</f>
        <v>0</v>
      </c>
      <c r="Y39" s="63"/>
      <c r="Z39" s="63"/>
      <c r="AA39" s="63">
        <f>Table46[[#This Row],[May_26_F]]-Table46[[#This Row],[May_26_A]]</f>
        <v>0</v>
      </c>
      <c r="AB39" s="63"/>
      <c r="AC39" s="63"/>
      <c r="AD39" s="63">
        <f>Table46[[#This Row],[Jun_26_F]]-Table46[[#This Row],[Jun_26_A]]</f>
        <v>0</v>
      </c>
      <c r="AE39" s="63"/>
      <c r="AF39" s="63"/>
      <c r="AG39" s="63">
        <f>Table46[[#This Row],[Jul_26_F]]-Table46[[#This Row],[Jul_26_A]]</f>
        <v>0</v>
      </c>
      <c r="AH39" s="63"/>
      <c r="AI39" s="63"/>
      <c r="AJ39" s="63">
        <f>Table46[[#This Row],[Aug_26_F]]-Table46[[#This Row],[Aug_26_A]]</f>
        <v>0</v>
      </c>
      <c r="AK39" s="63"/>
      <c r="AL39" s="63"/>
      <c r="AM39" s="63">
        <f>Table46[[#This Row],[Sep_26_F]]-Table46[[#This Row],[Sep_26_A]]</f>
        <v>0</v>
      </c>
      <c r="AN39" s="63"/>
      <c r="AO39" s="63"/>
      <c r="AP39" s="63">
        <f>Table46[[#This Row],[Oct_26_F]]-Table46[[#This Row],[Oct_26_A]]</f>
        <v>0</v>
      </c>
      <c r="AQ39" s="63"/>
      <c r="AR39" s="63"/>
      <c r="AS39" s="63">
        <f>Table46[[#This Row],[Nov_26_F]]-Table46[[#This Row],[Nov_26_A]]</f>
        <v>0</v>
      </c>
      <c r="AT39" s="63"/>
      <c r="AU39" s="63"/>
      <c r="AV39" s="63">
        <f>Table46[[#This Row],[Dec_26_F]]-Table46[[#This Row],[Dec_26_A]]</f>
        <v>0</v>
      </c>
      <c r="AW39" s="60"/>
      <c r="AX39" s="63"/>
      <c r="AY39" s="63"/>
      <c r="AZ39" s="63">
        <f>Table46[[#This Row],[Jan_27_F]]-Table46[[#This Row],[Jan_27_Act]]</f>
        <v>0</v>
      </c>
      <c r="BA39" s="63"/>
      <c r="BB39" s="63"/>
      <c r="BC39" s="63">
        <f>Table46[[#This Row],[Feb_27_F]]-Table46[[#This Row],[Feb_27_A]]</f>
        <v>0</v>
      </c>
      <c r="BD39" s="63"/>
      <c r="BE39" s="63"/>
      <c r="BF39" s="63">
        <f>Table46[[#This Row],[Mar_27_F]]-Table46[[#This Row],[Mar_27_A]]</f>
        <v>0</v>
      </c>
      <c r="BG39" s="63"/>
      <c r="BH39" s="63"/>
      <c r="BI39" s="63">
        <f>Table46[[#This Row],[Apr_27_F]]-Table46[[#This Row],[Apr_27_A]]</f>
        <v>0</v>
      </c>
      <c r="BJ39" s="63"/>
      <c r="BK39" s="63"/>
      <c r="BL39" s="63">
        <f>Table46[[#This Row],[May_27_F]]-Table46[[#This Row],[May_27_A]]</f>
        <v>0</v>
      </c>
      <c r="BM39" s="63"/>
      <c r="BN39" s="63"/>
      <c r="BO39" s="63">
        <f>Table46[[#This Row],[Jun_27_F]]-Table46[[#This Row],[Jun_27_A]]</f>
        <v>0</v>
      </c>
      <c r="BP39" s="63"/>
      <c r="BQ39" s="63"/>
      <c r="BR39" s="63">
        <f>Table46[[#This Row],[Jul_27_F]]-Table46[[#This Row],[Jul_27_A]]</f>
        <v>0</v>
      </c>
      <c r="BS39" s="63"/>
      <c r="BT39" s="63"/>
      <c r="BU39" s="63">
        <f>Table46[[#This Row],[Aug_27_F]]-Table46[[#This Row],[Aug_27_A]]</f>
        <v>0</v>
      </c>
      <c r="BV39" s="63"/>
      <c r="BW39" s="63"/>
      <c r="BX39" s="63">
        <f>Table46[[#This Row],[Sep_27_F]]-Table46[[#This Row],[Sep_27_A]]</f>
        <v>0</v>
      </c>
      <c r="BY39" s="63"/>
      <c r="BZ39" s="63"/>
      <c r="CA39" s="63">
        <f>Table46[[#This Row],[Oct_27_F]]-Table46[[#This Row],[Oct_27_A]]</f>
        <v>0</v>
      </c>
      <c r="CB39" s="63"/>
      <c r="CC39" s="63"/>
      <c r="CD39" s="63">
        <f>Table46[[#This Row],[Nov_27_F]]-Table46[[#This Row],[Nov_27_A]]</f>
        <v>0</v>
      </c>
      <c r="CE39" s="63"/>
      <c r="CF39" s="63"/>
      <c r="CG39" s="63">
        <f>Table46[[#This Row],[Dec_27_F]]-Table46[[#This Row],[Dec_27_A]]</f>
        <v>0</v>
      </c>
    </row>
    <row r="40" spans="2:85" ht="14.45">
      <c r="B40" s="13"/>
      <c r="D40" s="61"/>
      <c r="F40" s="13"/>
      <c r="G40" s="13"/>
      <c r="H40" s="13"/>
      <c r="I40" s="13"/>
      <c r="J40" s="13"/>
      <c r="L40" s="60"/>
      <c r="M40" s="63"/>
      <c r="N40" s="63"/>
      <c r="O40" s="63">
        <f>Table46[[#This Row],[Jan_26_F]]-Table46[[#This Row],[Jan_26_Act]]</f>
        <v>0</v>
      </c>
      <c r="P40" s="63"/>
      <c r="Q40" s="63"/>
      <c r="R40" s="63">
        <f>Table46[[#This Row],[Feb_26_F]]-Table46[[#This Row],[Feb_26_A]]</f>
        <v>0</v>
      </c>
      <c r="S40" s="63"/>
      <c r="T40" s="63"/>
      <c r="U40" s="63">
        <f>Table46[[#This Row],[Mar_26_F]]-Table46[[#This Row],[Mar_26_A]]</f>
        <v>0</v>
      </c>
      <c r="V40" s="63"/>
      <c r="W40" s="63"/>
      <c r="X40" s="63">
        <f>Table46[[#This Row],[Apr_26_F]]-Table46[[#This Row],[Apr_26_A]]</f>
        <v>0</v>
      </c>
      <c r="Y40" s="63"/>
      <c r="Z40" s="63"/>
      <c r="AA40" s="63">
        <f>Table46[[#This Row],[May_26_F]]-Table46[[#This Row],[May_26_A]]</f>
        <v>0</v>
      </c>
      <c r="AB40" s="63"/>
      <c r="AC40" s="63"/>
      <c r="AD40" s="63">
        <f>Table46[[#This Row],[Jun_26_F]]-Table46[[#This Row],[Jun_26_A]]</f>
        <v>0</v>
      </c>
      <c r="AE40" s="63"/>
      <c r="AF40" s="63"/>
      <c r="AG40" s="63">
        <f>Table46[[#This Row],[Jul_26_F]]-Table46[[#This Row],[Jul_26_A]]</f>
        <v>0</v>
      </c>
      <c r="AH40" s="63"/>
      <c r="AI40" s="63"/>
      <c r="AJ40" s="63">
        <f>Table46[[#This Row],[Aug_26_F]]-Table46[[#This Row],[Aug_26_A]]</f>
        <v>0</v>
      </c>
      <c r="AK40" s="63"/>
      <c r="AL40" s="63"/>
      <c r="AM40" s="63">
        <f>Table46[[#This Row],[Sep_26_F]]-Table46[[#This Row],[Sep_26_A]]</f>
        <v>0</v>
      </c>
      <c r="AN40" s="63"/>
      <c r="AO40" s="63"/>
      <c r="AP40" s="63">
        <f>Table46[[#This Row],[Oct_26_F]]-Table46[[#This Row],[Oct_26_A]]</f>
        <v>0</v>
      </c>
      <c r="AQ40" s="63"/>
      <c r="AR40" s="63"/>
      <c r="AS40" s="63">
        <f>Table46[[#This Row],[Nov_26_F]]-Table46[[#This Row],[Nov_26_A]]</f>
        <v>0</v>
      </c>
      <c r="AT40" s="63"/>
      <c r="AU40" s="63"/>
      <c r="AV40" s="63">
        <f>Table46[[#This Row],[Dec_26_F]]-Table46[[#This Row],[Dec_26_A]]</f>
        <v>0</v>
      </c>
      <c r="AW40" s="60"/>
      <c r="AX40" s="63"/>
      <c r="AY40" s="63"/>
      <c r="AZ40" s="63">
        <f>Table46[[#This Row],[Jan_27_F]]-Table46[[#This Row],[Jan_27_Act]]</f>
        <v>0</v>
      </c>
      <c r="BA40" s="63"/>
      <c r="BB40" s="63"/>
      <c r="BC40" s="63">
        <f>Table46[[#This Row],[Feb_27_F]]-Table46[[#This Row],[Feb_27_A]]</f>
        <v>0</v>
      </c>
      <c r="BD40" s="63"/>
      <c r="BE40" s="63"/>
      <c r="BF40" s="63">
        <f>Table46[[#This Row],[Mar_27_F]]-Table46[[#This Row],[Mar_27_A]]</f>
        <v>0</v>
      </c>
      <c r="BG40" s="63"/>
      <c r="BH40" s="63"/>
      <c r="BI40" s="63">
        <f>Table46[[#This Row],[Apr_27_F]]-Table46[[#This Row],[Apr_27_A]]</f>
        <v>0</v>
      </c>
      <c r="BJ40" s="63"/>
      <c r="BK40" s="63"/>
      <c r="BL40" s="63">
        <f>Table46[[#This Row],[May_27_F]]-Table46[[#This Row],[May_27_A]]</f>
        <v>0</v>
      </c>
      <c r="BM40" s="63"/>
      <c r="BN40" s="63"/>
      <c r="BO40" s="63">
        <f>Table46[[#This Row],[Jun_27_F]]-Table46[[#This Row],[Jun_27_A]]</f>
        <v>0</v>
      </c>
      <c r="BP40" s="63"/>
      <c r="BQ40" s="63"/>
      <c r="BR40" s="63">
        <f>Table46[[#This Row],[Jul_27_F]]-Table46[[#This Row],[Jul_27_A]]</f>
        <v>0</v>
      </c>
      <c r="BS40" s="63"/>
      <c r="BT40" s="63"/>
      <c r="BU40" s="63">
        <f>Table46[[#This Row],[Aug_27_F]]-Table46[[#This Row],[Aug_27_A]]</f>
        <v>0</v>
      </c>
      <c r="BV40" s="63"/>
      <c r="BW40" s="63"/>
      <c r="BX40" s="63">
        <f>Table46[[#This Row],[Sep_27_F]]-Table46[[#This Row],[Sep_27_A]]</f>
        <v>0</v>
      </c>
      <c r="BY40" s="63"/>
      <c r="BZ40" s="63"/>
      <c r="CA40" s="63">
        <f>Table46[[#This Row],[Oct_27_F]]-Table46[[#This Row],[Oct_27_A]]</f>
        <v>0</v>
      </c>
      <c r="CB40" s="63"/>
      <c r="CC40" s="63"/>
      <c r="CD40" s="63">
        <f>Table46[[#This Row],[Nov_27_F]]-Table46[[#This Row],[Nov_27_A]]</f>
        <v>0</v>
      </c>
      <c r="CE40" s="63"/>
      <c r="CF40" s="63"/>
      <c r="CG40" s="63">
        <f>Table46[[#This Row],[Dec_27_F]]-Table46[[#This Row],[Dec_27_A]]</f>
        <v>0</v>
      </c>
    </row>
    <row r="41" spans="2:85" ht="14.45">
      <c r="B41" s="13"/>
      <c r="D41" s="61"/>
      <c r="F41" s="13"/>
      <c r="G41" s="13"/>
      <c r="H41" s="13"/>
      <c r="I41" s="13"/>
      <c r="J41" s="13"/>
      <c r="L41" s="60"/>
      <c r="M41" s="63"/>
      <c r="N41" s="63"/>
      <c r="O41" s="63">
        <f>Table46[[#This Row],[Jan_26_F]]-Table46[[#This Row],[Jan_26_Act]]</f>
        <v>0</v>
      </c>
      <c r="P41" s="63"/>
      <c r="Q41" s="63"/>
      <c r="R41" s="63">
        <f>Table46[[#This Row],[Feb_26_F]]-Table46[[#This Row],[Feb_26_A]]</f>
        <v>0</v>
      </c>
      <c r="S41" s="63"/>
      <c r="T41" s="63"/>
      <c r="U41" s="63">
        <f>Table46[[#This Row],[Mar_26_F]]-Table46[[#This Row],[Mar_26_A]]</f>
        <v>0</v>
      </c>
      <c r="V41" s="63"/>
      <c r="W41" s="63"/>
      <c r="X41" s="63">
        <f>Table46[[#This Row],[Apr_26_F]]-Table46[[#This Row],[Apr_26_A]]</f>
        <v>0</v>
      </c>
      <c r="Y41" s="63"/>
      <c r="Z41" s="63"/>
      <c r="AA41" s="63">
        <f>Table46[[#This Row],[May_26_F]]-Table46[[#This Row],[May_26_A]]</f>
        <v>0</v>
      </c>
      <c r="AB41" s="63"/>
      <c r="AC41" s="63"/>
      <c r="AD41" s="63">
        <f>Table46[[#This Row],[Jun_26_F]]-Table46[[#This Row],[Jun_26_A]]</f>
        <v>0</v>
      </c>
      <c r="AE41" s="63"/>
      <c r="AF41" s="63"/>
      <c r="AG41" s="63">
        <f>Table46[[#This Row],[Jul_26_F]]-Table46[[#This Row],[Jul_26_A]]</f>
        <v>0</v>
      </c>
      <c r="AH41" s="63"/>
      <c r="AI41" s="63"/>
      <c r="AJ41" s="63">
        <f>Table46[[#This Row],[Aug_26_F]]-Table46[[#This Row],[Aug_26_A]]</f>
        <v>0</v>
      </c>
      <c r="AK41" s="63"/>
      <c r="AL41" s="63"/>
      <c r="AM41" s="63">
        <f>Table46[[#This Row],[Sep_26_F]]-Table46[[#This Row],[Sep_26_A]]</f>
        <v>0</v>
      </c>
      <c r="AN41" s="63"/>
      <c r="AO41" s="63"/>
      <c r="AP41" s="63">
        <f>Table46[[#This Row],[Oct_26_F]]-Table46[[#This Row],[Oct_26_A]]</f>
        <v>0</v>
      </c>
      <c r="AQ41" s="63"/>
      <c r="AR41" s="63"/>
      <c r="AS41" s="63">
        <f>Table46[[#This Row],[Nov_26_F]]-Table46[[#This Row],[Nov_26_A]]</f>
        <v>0</v>
      </c>
      <c r="AT41" s="63"/>
      <c r="AU41" s="63"/>
      <c r="AV41" s="63">
        <f>Table46[[#This Row],[Dec_26_F]]-Table46[[#This Row],[Dec_26_A]]</f>
        <v>0</v>
      </c>
      <c r="AW41" s="60"/>
      <c r="AX41" s="63"/>
      <c r="AY41" s="63"/>
      <c r="AZ41" s="63">
        <f>Table46[[#This Row],[Jan_27_F]]-Table46[[#This Row],[Jan_27_Act]]</f>
        <v>0</v>
      </c>
      <c r="BA41" s="63"/>
      <c r="BB41" s="63"/>
      <c r="BC41" s="63">
        <f>Table46[[#This Row],[Feb_27_F]]-Table46[[#This Row],[Feb_27_A]]</f>
        <v>0</v>
      </c>
      <c r="BD41" s="63"/>
      <c r="BE41" s="63"/>
      <c r="BF41" s="63">
        <f>Table46[[#This Row],[Mar_27_F]]-Table46[[#This Row],[Mar_27_A]]</f>
        <v>0</v>
      </c>
      <c r="BG41" s="63"/>
      <c r="BH41" s="63"/>
      <c r="BI41" s="63">
        <f>Table46[[#This Row],[Apr_27_F]]-Table46[[#This Row],[Apr_27_A]]</f>
        <v>0</v>
      </c>
      <c r="BJ41" s="63"/>
      <c r="BK41" s="63"/>
      <c r="BL41" s="63">
        <f>Table46[[#This Row],[May_27_F]]-Table46[[#This Row],[May_27_A]]</f>
        <v>0</v>
      </c>
      <c r="BM41" s="63"/>
      <c r="BN41" s="63"/>
      <c r="BO41" s="63">
        <f>Table46[[#This Row],[Jun_27_F]]-Table46[[#This Row],[Jun_27_A]]</f>
        <v>0</v>
      </c>
      <c r="BP41" s="63"/>
      <c r="BQ41" s="63"/>
      <c r="BR41" s="63">
        <f>Table46[[#This Row],[Jul_27_F]]-Table46[[#This Row],[Jul_27_A]]</f>
        <v>0</v>
      </c>
      <c r="BS41" s="63"/>
      <c r="BT41" s="63"/>
      <c r="BU41" s="63">
        <f>Table46[[#This Row],[Aug_27_F]]-Table46[[#This Row],[Aug_27_A]]</f>
        <v>0</v>
      </c>
      <c r="BV41" s="63"/>
      <c r="BW41" s="63"/>
      <c r="BX41" s="63">
        <f>Table46[[#This Row],[Sep_27_F]]-Table46[[#This Row],[Sep_27_A]]</f>
        <v>0</v>
      </c>
      <c r="BY41" s="63"/>
      <c r="BZ41" s="63"/>
      <c r="CA41" s="63">
        <f>Table46[[#This Row],[Oct_27_F]]-Table46[[#This Row],[Oct_27_A]]</f>
        <v>0</v>
      </c>
      <c r="CB41" s="63"/>
      <c r="CC41" s="63"/>
      <c r="CD41" s="63">
        <f>Table46[[#This Row],[Nov_27_F]]-Table46[[#This Row],[Nov_27_A]]</f>
        <v>0</v>
      </c>
      <c r="CE41" s="63"/>
      <c r="CF41" s="63"/>
      <c r="CG41" s="63">
        <f>Table46[[#This Row],[Dec_27_F]]-Table46[[#This Row],[Dec_27_A]]</f>
        <v>0</v>
      </c>
    </row>
    <row r="42" spans="2:85" ht="14.45">
      <c r="B42" s="13"/>
      <c r="D42" s="61"/>
      <c r="F42" s="13"/>
      <c r="G42" s="13"/>
      <c r="H42" s="13"/>
      <c r="I42" s="13"/>
      <c r="J42" s="13"/>
      <c r="L42" s="60"/>
      <c r="M42" s="63"/>
      <c r="N42" s="63"/>
      <c r="O42" s="63">
        <f>Table46[[#This Row],[Jan_26_F]]-Table46[[#This Row],[Jan_26_Act]]</f>
        <v>0</v>
      </c>
      <c r="P42" s="63"/>
      <c r="Q42" s="63"/>
      <c r="R42" s="63">
        <f>Table46[[#This Row],[Feb_26_F]]-Table46[[#This Row],[Feb_26_A]]</f>
        <v>0</v>
      </c>
      <c r="S42" s="63"/>
      <c r="T42" s="63"/>
      <c r="U42" s="63">
        <f>Table46[[#This Row],[Mar_26_F]]-Table46[[#This Row],[Mar_26_A]]</f>
        <v>0</v>
      </c>
      <c r="V42" s="63"/>
      <c r="W42" s="63"/>
      <c r="X42" s="63">
        <f>Table46[[#This Row],[Apr_26_F]]-Table46[[#This Row],[Apr_26_A]]</f>
        <v>0</v>
      </c>
      <c r="Y42" s="63"/>
      <c r="Z42" s="63"/>
      <c r="AA42" s="63">
        <f>Table46[[#This Row],[May_26_F]]-Table46[[#This Row],[May_26_A]]</f>
        <v>0</v>
      </c>
      <c r="AB42" s="63"/>
      <c r="AC42" s="63"/>
      <c r="AD42" s="63">
        <f>Table46[[#This Row],[Jun_26_F]]-Table46[[#This Row],[Jun_26_A]]</f>
        <v>0</v>
      </c>
      <c r="AE42" s="63"/>
      <c r="AF42" s="63"/>
      <c r="AG42" s="63">
        <f>Table46[[#This Row],[Jul_26_F]]-Table46[[#This Row],[Jul_26_A]]</f>
        <v>0</v>
      </c>
      <c r="AH42" s="63"/>
      <c r="AI42" s="63"/>
      <c r="AJ42" s="63">
        <f>Table46[[#This Row],[Aug_26_F]]-Table46[[#This Row],[Aug_26_A]]</f>
        <v>0</v>
      </c>
      <c r="AK42" s="63"/>
      <c r="AL42" s="63"/>
      <c r="AM42" s="63">
        <f>Table46[[#This Row],[Sep_26_F]]-Table46[[#This Row],[Sep_26_A]]</f>
        <v>0</v>
      </c>
      <c r="AN42" s="63"/>
      <c r="AO42" s="63"/>
      <c r="AP42" s="63">
        <f>Table46[[#This Row],[Oct_26_F]]-Table46[[#This Row],[Oct_26_A]]</f>
        <v>0</v>
      </c>
      <c r="AQ42" s="63"/>
      <c r="AR42" s="63"/>
      <c r="AS42" s="63">
        <f>Table46[[#This Row],[Nov_26_F]]-Table46[[#This Row],[Nov_26_A]]</f>
        <v>0</v>
      </c>
      <c r="AT42" s="63"/>
      <c r="AU42" s="63"/>
      <c r="AV42" s="63">
        <f>Table46[[#This Row],[Dec_26_F]]-Table46[[#This Row],[Dec_26_A]]</f>
        <v>0</v>
      </c>
      <c r="AW42" s="60"/>
      <c r="AX42" s="63"/>
      <c r="AY42" s="63"/>
      <c r="AZ42" s="63">
        <f>Table46[[#This Row],[Jan_27_F]]-Table46[[#This Row],[Jan_27_Act]]</f>
        <v>0</v>
      </c>
      <c r="BA42" s="63"/>
      <c r="BB42" s="63"/>
      <c r="BC42" s="63">
        <f>Table46[[#This Row],[Feb_27_F]]-Table46[[#This Row],[Feb_27_A]]</f>
        <v>0</v>
      </c>
      <c r="BD42" s="63"/>
      <c r="BE42" s="63"/>
      <c r="BF42" s="63">
        <f>Table46[[#This Row],[Mar_27_F]]-Table46[[#This Row],[Mar_27_A]]</f>
        <v>0</v>
      </c>
      <c r="BG42" s="63"/>
      <c r="BH42" s="63"/>
      <c r="BI42" s="63">
        <f>Table46[[#This Row],[Apr_27_F]]-Table46[[#This Row],[Apr_27_A]]</f>
        <v>0</v>
      </c>
      <c r="BJ42" s="63"/>
      <c r="BK42" s="63"/>
      <c r="BL42" s="63">
        <f>Table46[[#This Row],[May_27_F]]-Table46[[#This Row],[May_27_A]]</f>
        <v>0</v>
      </c>
      <c r="BM42" s="63"/>
      <c r="BN42" s="63"/>
      <c r="BO42" s="63">
        <f>Table46[[#This Row],[Jun_27_F]]-Table46[[#This Row],[Jun_27_A]]</f>
        <v>0</v>
      </c>
      <c r="BP42" s="63"/>
      <c r="BQ42" s="63"/>
      <c r="BR42" s="63">
        <f>Table46[[#This Row],[Jul_27_F]]-Table46[[#This Row],[Jul_27_A]]</f>
        <v>0</v>
      </c>
      <c r="BS42" s="63"/>
      <c r="BT42" s="63"/>
      <c r="BU42" s="63">
        <f>Table46[[#This Row],[Aug_27_F]]-Table46[[#This Row],[Aug_27_A]]</f>
        <v>0</v>
      </c>
      <c r="BV42" s="63"/>
      <c r="BW42" s="63"/>
      <c r="BX42" s="63">
        <f>Table46[[#This Row],[Sep_27_F]]-Table46[[#This Row],[Sep_27_A]]</f>
        <v>0</v>
      </c>
      <c r="BY42" s="63"/>
      <c r="BZ42" s="63"/>
      <c r="CA42" s="63">
        <f>Table46[[#This Row],[Oct_27_F]]-Table46[[#This Row],[Oct_27_A]]</f>
        <v>0</v>
      </c>
      <c r="CB42" s="63"/>
      <c r="CC42" s="63"/>
      <c r="CD42" s="63">
        <f>Table46[[#This Row],[Nov_27_F]]-Table46[[#This Row],[Nov_27_A]]</f>
        <v>0</v>
      </c>
      <c r="CE42" s="63"/>
      <c r="CF42" s="63"/>
      <c r="CG42" s="63">
        <f>Table46[[#This Row],[Dec_27_F]]-Table46[[#This Row],[Dec_27_A]]</f>
        <v>0</v>
      </c>
    </row>
    <row r="43" spans="2:85" ht="14.45">
      <c r="B43" s="13"/>
      <c r="D43" s="61"/>
      <c r="F43" s="13"/>
      <c r="G43" s="13"/>
      <c r="H43" s="13"/>
      <c r="I43" s="13"/>
      <c r="J43" s="13"/>
      <c r="L43" s="60"/>
      <c r="M43" s="63"/>
      <c r="N43" s="63"/>
      <c r="O43" s="63">
        <f>Table46[[#This Row],[Jan_26_F]]-Table46[[#This Row],[Jan_26_Act]]</f>
        <v>0</v>
      </c>
      <c r="P43" s="63"/>
      <c r="Q43" s="63"/>
      <c r="R43" s="63">
        <f>Table46[[#This Row],[Feb_26_F]]-Table46[[#This Row],[Feb_26_A]]</f>
        <v>0</v>
      </c>
      <c r="S43" s="63"/>
      <c r="T43" s="63"/>
      <c r="U43" s="63">
        <f>Table46[[#This Row],[Mar_26_F]]-Table46[[#This Row],[Mar_26_A]]</f>
        <v>0</v>
      </c>
      <c r="V43" s="63"/>
      <c r="W43" s="63"/>
      <c r="X43" s="63">
        <f>Table46[[#This Row],[Apr_26_F]]-Table46[[#This Row],[Apr_26_A]]</f>
        <v>0</v>
      </c>
      <c r="Y43" s="63"/>
      <c r="Z43" s="63"/>
      <c r="AA43" s="63">
        <f>Table46[[#This Row],[May_26_F]]-Table46[[#This Row],[May_26_A]]</f>
        <v>0</v>
      </c>
      <c r="AB43" s="63"/>
      <c r="AC43" s="63"/>
      <c r="AD43" s="63">
        <f>Table46[[#This Row],[Jun_26_F]]-Table46[[#This Row],[Jun_26_A]]</f>
        <v>0</v>
      </c>
      <c r="AE43" s="63"/>
      <c r="AF43" s="63"/>
      <c r="AG43" s="63">
        <f>Table46[[#This Row],[Jul_26_F]]-Table46[[#This Row],[Jul_26_A]]</f>
        <v>0</v>
      </c>
      <c r="AH43" s="63"/>
      <c r="AI43" s="63"/>
      <c r="AJ43" s="63">
        <f>Table46[[#This Row],[Aug_26_F]]-Table46[[#This Row],[Aug_26_A]]</f>
        <v>0</v>
      </c>
      <c r="AK43" s="63"/>
      <c r="AL43" s="63"/>
      <c r="AM43" s="63">
        <f>Table46[[#This Row],[Sep_26_F]]-Table46[[#This Row],[Sep_26_A]]</f>
        <v>0</v>
      </c>
      <c r="AN43" s="63"/>
      <c r="AO43" s="63"/>
      <c r="AP43" s="63">
        <f>Table46[[#This Row],[Oct_26_F]]-Table46[[#This Row],[Oct_26_A]]</f>
        <v>0</v>
      </c>
      <c r="AQ43" s="63"/>
      <c r="AR43" s="63"/>
      <c r="AS43" s="63">
        <f>Table46[[#This Row],[Nov_26_F]]-Table46[[#This Row],[Nov_26_A]]</f>
        <v>0</v>
      </c>
      <c r="AT43" s="63"/>
      <c r="AU43" s="63"/>
      <c r="AV43" s="63">
        <f>Table46[[#This Row],[Dec_26_F]]-Table46[[#This Row],[Dec_26_A]]</f>
        <v>0</v>
      </c>
      <c r="AW43" s="60"/>
      <c r="AX43" s="63"/>
      <c r="AY43" s="63"/>
      <c r="AZ43" s="63">
        <f>Table46[[#This Row],[Jan_27_F]]-Table46[[#This Row],[Jan_27_Act]]</f>
        <v>0</v>
      </c>
      <c r="BA43" s="63"/>
      <c r="BB43" s="63"/>
      <c r="BC43" s="63">
        <f>Table46[[#This Row],[Feb_27_F]]-Table46[[#This Row],[Feb_27_A]]</f>
        <v>0</v>
      </c>
      <c r="BD43" s="63"/>
      <c r="BE43" s="63"/>
      <c r="BF43" s="63">
        <f>Table46[[#This Row],[Mar_27_F]]-Table46[[#This Row],[Mar_27_A]]</f>
        <v>0</v>
      </c>
      <c r="BG43" s="63"/>
      <c r="BH43" s="63"/>
      <c r="BI43" s="63">
        <f>Table46[[#This Row],[Apr_27_F]]-Table46[[#This Row],[Apr_27_A]]</f>
        <v>0</v>
      </c>
      <c r="BJ43" s="63"/>
      <c r="BK43" s="63"/>
      <c r="BL43" s="63">
        <f>Table46[[#This Row],[May_27_F]]-Table46[[#This Row],[May_27_A]]</f>
        <v>0</v>
      </c>
      <c r="BM43" s="63"/>
      <c r="BN43" s="63"/>
      <c r="BO43" s="63">
        <f>Table46[[#This Row],[Jun_27_F]]-Table46[[#This Row],[Jun_27_A]]</f>
        <v>0</v>
      </c>
      <c r="BP43" s="63"/>
      <c r="BQ43" s="63"/>
      <c r="BR43" s="63">
        <f>Table46[[#This Row],[Jul_27_F]]-Table46[[#This Row],[Jul_27_A]]</f>
        <v>0</v>
      </c>
      <c r="BS43" s="63"/>
      <c r="BT43" s="63"/>
      <c r="BU43" s="63">
        <f>Table46[[#This Row],[Aug_27_F]]-Table46[[#This Row],[Aug_27_A]]</f>
        <v>0</v>
      </c>
      <c r="BV43" s="63"/>
      <c r="BW43" s="63"/>
      <c r="BX43" s="63">
        <f>Table46[[#This Row],[Sep_27_F]]-Table46[[#This Row],[Sep_27_A]]</f>
        <v>0</v>
      </c>
      <c r="BY43" s="63"/>
      <c r="BZ43" s="63"/>
      <c r="CA43" s="63">
        <f>Table46[[#This Row],[Oct_27_F]]-Table46[[#This Row],[Oct_27_A]]</f>
        <v>0</v>
      </c>
      <c r="CB43" s="63"/>
      <c r="CC43" s="63"/>
      <c r="CD43" s="63">
        <f>Table46[[#This Row],[Nov_27_F]]-Table46[[#This Row],[Nov_27_A]]</f>
        <v>0</v>
      </c>
      <c r="CE43" s="63"/>
      <c r="CF43" s="63"/>
      <c r="CG43" s="63">
        <f>Table46[[#This Row],[Dec_27_F]]-Table46[[#This Row],[Dec_27_A]]</f>
        <v>0</v>
      </c>
    </row>
    <row r="44" spans="2:85" ht="14.45">
      <c r="B44" s="13"/>
      <c r="D44" s="61"/>
      <c r="F44" s="13"/>
      <c r="G44" s="13"/>
      <c r="H44" s="13"/>
      <c r="I44" s="13"/>
      <c r="J44" s="13"/>
      <c r="L44" s="60"/>
      <c r="M44" s="63"/>
      <c r="N44" s="63"/>
      <c r="O44" s="63">
        <f>Table46[[#This Row],[Jan_26_F]]-Table46[[#This Row],[Jan_26_Act]]</f>
        <v>0</v>
      </c>
      <c r="P44" s="63"/>
      <c r="Q44" s="63"/>
      <c r="R44" s="63">
        <f>Table46[[#This Row],[Feb_26_F]]-Table46[[#This Row],[Feb_26_A]]</f>
        <v>0</v>
      </c>
      <c r="S44" s="63"/>
      <c r="T44" s="63"/>
      <c r="U44" s="63">
        <f>Table46[[#This Row],[Mar_26_F]]-Table46[[#This Row],[Mar_26_A]]</f>
        <v>0</v>
      </c>
      <c r="V44" s="63"/>
      <c r="W44" s="63"/>
      <c r="X44" s="63">
        <f>Table46[[#This Row],[Apr_26_F]]-Table46[[#This Row],[Apr_26_A]]</f>
        <v>0</v>
      </c>
      <c r="Y44" s="63"/>
      <c r="Z44" s="63"/>
      <c r="AA44" s="63">
        <f>Table46[[#This Row],[May_26_F]]-Table46[[#This Row],[May_26_A]]</f>
        <v>0</v>
      </c>
      <c r="AB44" s="63"/>
      <c r="AC44" s="63"/>
      <c r="AD44" s="63">
        <f>Table46[[#This Row],[Jun_26_F]]-Table46[[#This Row],[Jun_26_A]]</f>
        <v>0</v>
      </c>
      <c r="AE44" s="63"/>
      <c r="AF44" s="63"/>
      <c r="AG44" s="63">
        <f>Table46[[#This Row],[Jul_26_F]]-Table46[[#This Row],[Jul_26_A]]</f>
        <v>0</v>
      </c>
      <c r="AH44" s="63"/>
      <c r="AI44" s="63"/>
      <c r="AJ44" s="63">
        <f>Table46[[#This Row],[Aug_26_F]]-Table46[[#This Row],[Aug_26_A]]</f>
        <v>0</v>
      </c>
      <c r="AK44" s="63"/>
      <c r="AL44" s="63"/>
      <c r="AM44" s="63">
        <f>Table46[[#This Row],[Sep_26_F]]-Table46[[#This Row],[Sep_26_A]]</f>
        <v>0</v>
      </c>
      <c r="AN44" s="63"/>
      <c r="AO44" s="63"/>
      <c r="AP44" s="63">
        <f>Table46[[#This Row],[Oct_26_F]]-Table46[[#This Row],[Oct_26_A]]</f>
        <v>0</v>
      </c>
      <c r="AQ44" s="63"/>
      <c r="AR44" s="63"/>
      <c r="AS44" s="63">
        <f>Table46[[#This Row],[Nov_26_F]]-Table46[[#This Row],[Nov_26_A]]</f>
        <v>0</v>
      </c>
      <c r="AT44" s="63"/>
      <c r="AU44" s="63"/>
      <c r="AV44" s="63">
        <f>Table46[[#This Row],[Dec_26_F]]-Table46[[#This Row],[Dec_26_A]]</f>
        <v>0</v>
      </c>
      <c r="AW44" s="60"/>
      <c r="AX44" s="63"/>
      <c r="AY44" s="63"/>
      <c r="AZ44" s="63">
        <f>Table46[[#This Row],[Jan_27_F]]-Table46[[#This Row],[Jan_27_Act]]</f>
        <v>0</v>
      </c>
      <c r="BA44" s="63"/>
      <c r="BB44" s="63"/>
      <c r="BC44" s="63">
        <f>Table46[[#This Row],[Feb_27_F]]-Table46[[#This Row],[Feb_27_A]]</f>
        <v>0</v>
      </c>
      <c r="BD44" s="63"/>
      <c r="BE44" s="63"/>
      <c r="BF44" s="63">
        <f>Table46[[#This Row],[Mar_27_F]]-Table46[[#This Row],[Mar_27_A]]</f>
        <v>0</v>
      </c>
      <c r="BG44" s="63"/>
      <c r="BH44" s="63"/>
      <c r="BI44" s="63">
        <f>Table46[[#This Row],[Apr_27_F]]-Table46[[#This Row],[Apr_27_A]]</f>
        <v>0</v>
      </c>
      <c r="BJ44" s="63"/>
      <c r="BK44" s="63"/>
      <c r="BL44" s="63">
        <f>Table46[[#This Row],[May_27_F]]-Table46[[#This Row],[May_27_A]]</f>
        <v>0</v>
      </c>
      <c r="BM44" s="63"/>
      <c r="BN44" s="63"/>
      <c r="BO44" s="63">
        <f>Table46[[#This Row],[Jun_27_F]]-Table46[[#This Row],[Jun_27_A]]</f>
        <v>0</v>
      </c>
      <c r="BP44" s="63"/>
      <c r="BQ44" s="63"/>
      <c r="BR44" s="63">
        <f>Table46[[#This Row],[Jul_27_F]]-Table46[[#This Row],[Jul_27_A]]</f>
        <v>0</v>
      </c>
      <c r="BS44" s="63"/>
      <c r="BT44" s="63"/>
      <c r="BU44" s="63">
        <f>Table46[[#This Row],[Aug_27_F]]-Table46[[#This Row],[Aug_27_A]]</f>
        <v>0</v>
      </c>
      <c r="BV44" s="63"/>
      <c r="BW44" s="63"/>
      <c r="BX44" s="63">
        <f>Table46[[#This Row],[Sep_27_F]]-Table46[[#This Row],[Sep_27_A]]</f>
        <v>0</v>
      </c>
      <c r="BY44" s="63"/>
      <c r="BZ44" s="63"/>
      <c r="CA44" s="63">
        <f>Table46[[#This Row],[Oct_27_F]]-Table46[[#This Row],[Oct_27_A]]</f>
        <v>0</v>
      </c>
      <c r="CB44" s="63"/>
      <c r="CC44" s="63"/>
      <c r="CD44" s="63">
        <f>Table46[[#This Row],[Nov_27_F]]-Table46[[#This Row],[Nov_27_A]]</f>
        <v>0</v>
      </c>
      <c r="CE44" s="63"/>
      <c r="CF44" s="63"/>
      <c r="CG44" s="63">
        <f>Table46[[#This Row],[Dec_27_F]]-Table46[[#This Row],[Dec_27_A]]</f>
        <v>0</v>
      </c>
    </row>
    <row r="45" spans="2:85" ht="14.45">
      <c r="B45" s="13"/>
      <c r="D45" s="61"/>
      <c r="F45" s="13"/>
      <c r="G45" s="13"/>
      <c r="H45" s="13"/>
      <c r="I45" s="13"/>
      <c r="J45" s="13"/>
      <c r="L45" s="60"/>
      <c r="M45" s="63"/>
      <c r="N45" s="63"/>
      <c r="O45" s="63">
        <f>Table46[[#This Row],[Jan_26_F]]-Table46[[#This Row],[Jan_26_Act]]</f>
        <v>0</v>
      </c>
      <c r="P45" s="63"/>
      <c r="Q45" s="63"/>
      <c r="R45" s="63">
        <f>Table46[[#This Row],[Feb_26_F]]-Table46[[#This Row],[Feb_26_A]]</f>
        <v>0</v>
      </c>
      <c r="S45" s="63"/>
      <c r="T45" s="63"/>
      <c r="U45" s="63">
        <f>Table46[[#This Row],[Mar_26_F]]-Table46[[#This Row],[Mar_26_A]]</f>
        <v>0</v>
      </c>
      <c r="V45" s="63"/>
      <c r="W45" s="63"/>
      <c r="X45" s="63">
        <f>Table46[[#This Row],[Apr_26_F]]-Table46[[#This Row],[Apr_26_A]]</f>
        <v>0</v>
      </c>
      <c r="Y45" s="63"/>
      <c r="Z45" s="63"/>
      <c r="AA45" s="63">
        <f>Table46[[#This Row],[May_26_F]]-Table46[[#This Row],[May_26_A]]</f>
        <v>0</v>
      </c>
      <c r="AB45" s="63"/>
      <c r="AC45" s="63"/>
      <c r="AD45" s="63">
        <f>Table46[[#This Row],[Jun_26_F]]-Table46[[#This Row],[Jun_26_A]]</f>
        <v>0</v>
      </c>
      <c r="AE45" s="63"/>
      <c r="AF45" s="63"/>
      <c r="AG45" s="63">
        <f>Table46[[#This Row],[Jul_26_F]]-Table46[[#This Row],[Jul_26_A]]</f>
        <v>0</v>
      </c>
      <c r="AH45" s="63"/>
      <c r="AI45" s="63"/>
      <c r="AJ45" s="63">
        <f>Table46[[#This Row],[Aug_26_F]]-Table46[[#This Row],[Aug_26_A]]</f>
        <v>0</v>
      </c>
      <c r="AK45" s="63"/>
      <c r="AL45" s="63"/>
      <c r="AM45" s="63">
        <f>Table46[[#This Row],[Sep_26_F]]-Table46[[#This Row],[Sep_26_A]]</f>
        <v>0</v>
      </c>
      <c r="AN45" s="63"/>
      <c r="AO45" s="63"/>
      <c r="AP45" s="63">
        <f>Table46[[#This Row],[Oct_26_F]]-Table46[[#This Row],[Oct_26_A]]</f>
        <v>0</v>
      </c>
      <c r="AQ45" s="63"/>
      <c r="AR45" s="63"/>
      <c r="AS45" s="63">
        <f>Table46[[#This Row],[Nov_26_F]]-Table46[[#This Row],[Nov_26_A]]</f>
        <v>0</v>
      </c>
      <c r="AT45" s="63"/>
      <c r="AU45" s="63"/>
      <c r="AV45" s="63">
        <f>Table46[[#This Row],[Dec_26_F]]-Table46[[#This Row],[Dec_26_A]]</f>
        <v>0</v>
      </c>
      <c r="AW45" s="60"/>
      <c r="AX45" s="63"/>
      <c r="AY45" s="63"/>
      <c r="AZ45" s="63">
        <f>Table46[[#This Row],[Jan_27_F]]-Table46[[#This Row],[Jan_27_Act]]</f>
        <v>0</v>
      </c>
      <c r="BA45" s="63"/>
      <c r="BB45" s="63"/>
      <c r="BC45" s="63">
        <f>Table46[[#This Row],[Feb_27_F]]-Table46[[#This Row],[Feb_27_A]]</f>
        <v>0</v>
      </c>
      <c r="BD45" s="63"/>
      <c r="BE45" s="63"/>
      <c r="BF45" s="63">
        <f>Table46[[#This Row],[Mar_27_F]]-Table46[[#This Row],[Mar_27_A]]</f>
        <v>0</v>
      </c>
      <c r="BG45" s="63"/>
      <c r="BH45" s="63"/>
      <c r="BI45" s="63">
        <f>Table46[[#This Row],[Apr_27_F]]-Table46[[#This Row],[Apr_27_A]]</f>
        <v>0</v>
      </c>
      <c r="BJ45" s="63"/>
      <c r="BK45" s="63"/>
      <c r="BL45" s="63">
        <f>Table46[[#This Row],[May_27_F]]-Table46[[#This Row],[May_27_A]]</f>
        <v>0</v>
      </c>
      <c r="BM45" s="63"/>
      <c r="BN45" s="63"/>
      <c r="BO45" s="63">
        <f>Table46[[#This Row],[Jun_27_F]]-Table46[[#This Row],[Jun_27_A]]</f>
        <v>0</v>
      </c>
      <c r="BP45" s="63"/>
      <c r="BQ45" s="63"/>
      <c r="BR45" s="63">
        <f>Table46[[#This Row],[Jul_27_F]]-Table46[[#This Row],[Jul_27_A]]</f>
        <v>0</v>
      </c>
      <c r="BS45" s="63"/>
      <c r="BT45" s="63"/>
      <c r="BU45" s="63">
        <f>Table46[[#This Row],[Aug_27_F]]-Table46[[#This Row],[Aug_27_A]]</f>
        <v>0</v>
      </c>
      <c r="BV45" s="63"/>
      <c r="BW45" s="63"/>
      <c r="BX45" s="63">
        <f>Table46[[#This Row],[Sep_27_F]]-Table46[[#This Row],[Sep_27_A]]</f>
        <v>0</v>
      </c>
      <c r="BY45" s="63"/>
      <c r="BZ45" s="63"/>
      <c r="CA45" s="63">
        <f>Table46[[#This Row],[Oct_27_F]]-Table46[[#This Row],[Oct_27_A]]</f>
        <v>0</v>
      </c>
      <c r="CB45" s="63"/>
      <c r="CC45" s="63"/>
      <c r="CD45" s="63">
        <f>Table46[[#This Row],[Nov_27_F]]-Table46[[#This Row],[Nov_27_A]]</f>
        <v>0</v>
      </c>
      <c r="CE45" s="63"/>
      <c r="CF45" s="63"/>
      <c r="CG45" s="63">
        <f>Table46[[#This Row],[Dec_27_F]]-Table46[[#This Row],[Dec_27_A]]</f>
        <v>0</v>
      </c>
    </row>
    <row r="46" spans="2:85" ht="14.45">
      <c r="B46" s="13"/>
      <c r="D46" s="61"/>
      <c r="F46" s="13"/>
      <c r="G46" s="13"/>
      <c r="H46" s="13"/>
      <c r="I46" s="13"/>
      <c r="J46" s="13"/>
      <c r="L46" s="60"/>
      <c r="M46" s="63"/>
      <c r="N46" s="63"/>
      <c r="O46" s="63">
        <f>Table46[[#This Row],[Jan_26_F]]-Table46[[#This Row],[Jan_26_Act]]</f>
        <v>0</v>
      </c>
      <c r="P46" s="63"/>
      <c r="Q46" s="63"/>
      <c r="R46" s="63">
        <f>Table46[[#This Row],[Feb_26_F]]-Table46[[#This Row],[Feb_26_A]]</f>
        <v>0</v>
      </c>
      <c r="S46" s="63"/>
      <c r="T46" s="63"/>
      <c r="U46" s="63">
        <f>Table46[[#This Row],[Mar_26_F]]-Table46[[#This Row],[Mar_26_A]]</f>
        <v>0</v>
      </c>
      <c r="V46" s="63"/>
      <c r="W46" s="63"/>
      <c r="X46" s="63">
        <f>Table46[[#This Row],[Apr_26_F]]-Table46[[#This Row],[Apr_26_A]]</f>
        <v>0</v>
      </c>
      <c r="Y46" s="63"/>
      <c r="Z46" s="63"/>
      <c r="AA46" s="63">
        <f>Table46[[#This Row],[May_26_F]]-Table46[[#This Row],[May_26_A]]</f>
        <v>0</v>
      </c>
      <c r="AB46" s="63"/>
      <c r="AC46" s="63"/>
      <c r="AD46" s="63">
        <f>Table46[[#This Row],[Jun_26_F]]-Table46[[#This Row],[Jun_26_A]]</f>
        <v>0</v>
      </c>
      <c r="AE46" s="63"/>
      <c r="AF46" s="63"/>
      <c r="AG46" s="63">
        <f>Table46[[#This Row],[Jul_26_F]]-Table46[[#This Row],[Jul_26_A]]</f>
        <v>0</v>
      </c>
      <c r="AH46" s="63"/>
      <c r="AI46" s="63"/>
      <c r="AJ46" s="63">
        <f>Table46[[#This Row],[Aug_26_F]]-Table46[[#This Row],[Aug_26_A]]</f>
        <v>0</v>
      </c>
      <c r="AK46" s="63"/>
      <c r="AL46" s="63"/>
      <c r="AM46" s="63">
        <f>Table46[[#This Row],[Sep_26_F]]-Table46[[#This Row],[Sep_26_A]]</f>
        <v>0</v>
      </c>
      <c r="AN46" s="63"/>
      <c r="AO46" s="63"/>
      <c r="AP46" s="63">
        <f>Table46[[#This Row],[Oct_26_F]]-Table46[[#This Row],[Oct_26_A]]</f>
        <v>0</v>
      </c>
      <c r="AQ46" s="63"/>
      <c r="AR46" s="63"/>
      <c r="AS46" s="63">
        <f>Table46[[#This Row],[Nov_26_F]]-Table46[[#This Row],[Nov_26_A]]</f>
        <v>0</v>
      </c>
      <c r="AT46" s="63"/>
      <c r="AU46" s="63"/>
      <c r="AV46" s="63">
        <f>Table46[[#This Row],[Dec_26_F]]-Table46[[#This Row],[Dec_26_A]]</f>
        <v>0</v>
      </c>
      <c r="AW46" s="60"/>
      <c r="AX46" s="63"/>
      <c r="AY46" s="63"/>
      <c r="AZ46" s="63">
        <f>Table46[[#This Row],[Jan_27_F]]-Table46[[#This Row],[Jan_27_Act]]</f>
        <v>0</v>
      </c>
      <c r="BA46" s="63"/>
      <c r="BB46" s="63"/>
      <c r="BC46" s="63">
        <f>Table46[[#This Row],[Feb_27_F]]-Table46[[#This Row],[Feb_27_A]]</f>
        <v>0</v>
      </c>
      <c r="BD46" s="63"/>
      <c r="BE46" s="63"/>
      <c r="BF46" s="63">
        <f>Table46[[#This Row],[Mar_27_F]]-Table46[[#This Row],[Mar_27_A]]</f>
        <v>0</v>
      </c>
      <c r="BG46" s="63"/>
      <c r="BH46" s="63"/>
      <c r="BI46" s="63">
        <f>Table46[[#This Row],[Apr_27_F]]-Table46[[#This Row],[Apr_27_A]]</f>
        <v>0</v>
      </c>
      <c r="BJ46" s="63"/>
      <c r="BK46" s="63"/>
      <c r="BL46" s="63">
        <f>Table46[[#This Row],[May_27_F]]-Table46[[#This Row],[May_27_A]]</f>
        <v>0</v>
      </c>
      <c r="BM46" s="63"/>
      <c r="BN46" s="63"/>
      <c r="BO46" s="63">
        <f>Table46[[#This Row],[Jun_27_F]]-Table46[[#This Row],[Jun_27_A]]</f>
        <v>0</v>
      </c>
      <c r="BP46" s="63"/>
      <c r="BQ46" s="63"/>
      <c r="BR46" s="63">
        <f>Table46[[#This Row],[Jul_27_F]]-Table46[[#This Row],[Jul_27_A]]</f>
        <v>0</v>
      </c>
      <c r="BS46" s="63"/>
      <c r="BT46" s="63"/>
      <c r="BU46" s="63">
        <f>Table46[[#This Row],[Aug_27_F]]-Table46[[#This Row],[Aug_27_A]]</f>
        <v>0</v>
      </c>
      <c r="BV46" s="63"/>
      <c r="BW46" s="63"/>
      <c r="BX46" s="63">
        <f>Table46[[#This Row],[Sep_27_F]]-Table46[[#This Row],[Sep_27_A]]</f>
        <v>0</v>
      </c>
      <c r="BY46" s="63"/>
      <c r="BZ46" s="63"/>
      <c r="CA46" s="63">
        <f>Table46[[#This Row],[Oct_27_F]]-Table46[[#This Row],[Oct_27_A]]</f>
        <v>0</v>
      </c>
      <c r="CB46" s="63"/>
      <c r="CC46" s="63"/>
      <c r="CD46" s="63">
        <f>Table46[[#This Row],[Nov_27_F]]-Table46[[#This Row],[Nov_27_A]]</f>
        <v>0</v>
      </c>
      <c r="CE46" s="63"/>
      <c r="CF46" s="63"/>
      <c r="CG46" s="63">
        <f>Table46[[#This Row],[Dec_27_F]]-Table46[[#This Row],[Dec_27_A]]</f>
        <v>0</v>
      </c>
    </row>
    <row r="47" spans="2:85" ht="14.45">
      <c r="B47" s="13"/>
      <c r="D47" s="61"/>
      <c r="F47" s="13"/>
      <c r="G47" s="13"/>
      <c r="H47" s="13"/>
      <c r="I47" s="13"/>
      <c r="J47" s="13"/>
      <c r="L47" s="60"/>
      <c r="M47" s="63"/>
      <c r="N47" s="63"/>
      <c r="O47" s="63">
        <f>Table46[[#This Row],[Jan_26_F]]-Table46[[#This Row],[Jan_26_Act]]</f>
        <v>0</v>
      </c>
      <c r="P47" s="63"/>
      <c r="Q47" s="63"/>
      <c r="R47" s="63">
        <f>Table46[[#This Row],[Feb_26_F]]-Table46[[#This Row],[Feb_26_A]]</f>
        <v>0</v>
      </c>
      <c r="S47" s="63"/>
      <c r="T47" s="63"/>
      <c r="U47" s="63">
        <f>Table46[[#This Row],[Mar_26_F]]-Table46[[#This Row],[Mar_26_A]]</f>
        <v>0</v>
      </c>
      <c r="V47" s="63"/>
      <c r="W47" s="63"/>
      <c r="X47" s="63">
        <f>Table46[[#This Row],[Apr_26_F]]-Table46[[#This Row],[Apr_26_A]]</f>
        <v>0</v>
      </c>
      <c r="Y47" s="63"/>
      <c r="Z47" s="63"/>
      <c r="AA47" s="63">
        <f>Table46[[#This Row],[May_26_F]]-Table46[[#This Row],[May_26_A]]</f>
        <v>0</v>
      </c>
      <c r="AB47" s="63"/>
      <c r="AC47" s="63"/>
      <c r="AD47" s="63">
        <f>Table46[[#This Row],[Jun_26_F]]-Table46[[#This Row],[Jun_26_A]]</f>
        <v>0</v>
      </c>
      <c r="AE47" s="63"/>
      <c r="AF47" s="63"/>
      <c r="AG47" s="63">
        <f>Table46[[#This Row],[Jul_26_F]]-Table46[[#This Row],[Jul_26_A]]</f>
        <v>0</v>
      </c>
      <c r="AH47" s="63"/>
      <c r="AI47" s="63"/>
      <c r="AJ47" s="63">
        <f>Table46[[#This Row],[Aug_26_F]]-Table46[[#This Row],[Aug_26_A]]</f>
        <v>0</v>
      </c>
      <c r="AK47" s="63"/>
      <c r="AL47" s="63"/>
      <c r="AM47" s="63">
        <f>Table46[[#This Row],[Sep_26_F]]-Table46[[#This Row],[Sep_26_A]]</f>
        <v>0</v>
      </c>
      <c r="AN47" s="63"/>
      <c r="AO47" s="63"/>
      <c r="AP47" s="63">
        <f>Table46[[#This Row],[Oct_26_F]]-Table46[[#This Row],[Oct_26_A]]</f>
        <v>0</v>
      </c>
      <c r="AQ47" s="63"/>
      <c r="AR47" s="63"/>
      <c r="AS47" s="63">
        <f>Table46[[#This Row],[Nov_26_F]]-Table46[[#This Row],[Nov_26_A]]</f>
        <v>0</v>
      </c>
      <c r="AT47" s="63"/>
      <c r="AU47" s="63"/>
      <c r="AV47" s="63">
        <f>Table46[[#This Row],[Dec_26_F]]-Table46[[#This Row],[Dec_26_A]]</f>
        <v>0</v>
      </c>
      <c r="AW47" s="60"/>
      <c r="AX47" s="63"/>
      <c r="AY47" s="63"/>
      <c r="AZ47" s="63">
        <f>Table46[[#This Row],[Jan_27_F]]-Table46[[#This Row],[Jan_27_Act]]</f>
        <v>0</v>
      </c>
      <c r="BA47" s="63"/>
      <c r="BB47" s="63"/>
      <c r="BC47" s="63">
        <f>Table46[[#This Row],[Feb_27_F]]-Table46[[#This Row],[Feb_27_A]]</f>
        <v>0</v>
      </c>
      <c r="BD47" s="63"/>
      <c r="BE47" s="63"/>
      <c r="BF47" s="63">
        <f>Table46[[#This Row],[Mar_27_F]]-Table46[[#This Row],[Mar_27_A]]</f>
        <v>0</v>
      </c>
      <c r="BG47" s="63"/>
      <c r="BH47" s="63"/>
      <c r="BI47" s="63">
        <f>Table46[[#This Row],[Apr_27_F]]-Table46[[#This Row],[Apr_27_A]]</f>
        <v>0</v>
      </c>
      <c r="BJ47" s="63"/>
      <c r="BK47" s="63"/>
      <c r="BL47" s="63">
        <f>Table46[[#This Row],[May_27_F]]-Table46[[#This Row],[May_27_A]]</f>
        <v>0</v>
      </c>
      <c r="BM47" s="63"/>
      <c r="BN47" s="63"/>
      <c r="BO47" s="63">
        <f>Table46[[#This Row],[Jun_27_F]]-Table46[[#This Row],[Jun_27_A]]</f>
        <v>0</v>
      </c>
      <c r="BP47" s="63"/>
      <c r="BQ47" s="63"/>
      <c r="BR47" s="63">
        <f>Table46[[#This Row],[Jul_27_F]]-Table46[[#This Row],[Jul_27_A]]</f>
        <v>0</v>
      </c>
      <c r="BS47" s="63"/>
      <c r="BT47" s="63"/>
      <c r="BU47" s="63">
        <f>Table46[[#This Row],[Aug_27_F]]-Table46[[#This Row],[Aug_27_A]]</f>
        <v>0</v>
      </c>
      <c r="BV47" s="63"/>
      <c r="BW47" s="63"/>
      <c r="BX47" s="63">
        <f>Table46[[#This Row],[Sep_27_F]]-Table46[[#This Row],[Sep_27_A]]</f>
        <v>0</v>
      </c>
      <c r="BY47" s="63"/>
      <c r="BZ47" s="63"/>
      <c r="CA47" s="63">
        <f>Table46[[#This Row],[Oct_27_F]]-Table46[[#This Row],[Oct_27_A]]</f>
        <v>0</v>
      </c>
      <c r="CB47" s="63"/>
      <c r="CC47" s="63"/>
      <c r="CD47" s="63">
        <f>Table46[[#This Row],[Nov_27_F]]-Table46[[#This Row],[Nov_27_A]]</f>
        <v>0</v>
      </c>
      <c r="CE47" s="63"/>
      <c r="CF47" s="63"/>
      <c r="CG47" s="63">
        <f>Table46[[#This Row],[Dec_27_F]]-Table46[[#This Row],[Dec_27_A]]</f>
        <v>0</v>
      </c>
    </row>
    <row r="48" spans="2:85" ht="14.45">
      <c r="B48" s="13"/>
      <c r="D48" s="61"/>
      <c r="F48" s="13"/>
      <c r="G48" s="13"/>
      <c r="H48" s="13"/>
      <c r="I48" s="13"/>
      <c r="J48" s="13"/>
      <c r="L48" s="60"/>
      <c r="M48" s="63"/>
      <c r="N48" s="63"/>
      <c r="O48" s="63">
        <f>Table46[[#This Row],[Jan_26_F]]-Table46[[#This Row],[Jan_26_Act]]</f>
        <v>0</v>
      </c>
      <c r="P48" s="63"/>
      <c r="Q48" s="63"/>
      <c r="R48" s="63">
        <f>Table46[[#This Row],[Feb_26_F]]-Table46[[#This Row],[Feb_26_A]]</f>
        <v>0</v>
      </c>
      <c r="S48" s="63"/>
      <c r="T48" s="63"/>
      <c r="U48" s="63">
        <f>Table46[[#This Row],[Mar_26_F]]-Table46[[#This Row],[Mar_26_A]]</f>
        <v>0</v>
      </c>
      <c r="V48" s="63"/>
      <c r="W48" s="63"/>
      <c r="X48" s="63">
        <f>Table46[[#This Row],[Apr_26_F]]-Table46[[#This Row],[Apr_26_A]]</f>
        <v>0</v>
      </c>
      <c r="Y48" s="63"/>
      <c r="Z48" s="63"/>
      <c r="AA48" s="63">
        <f>Table46[[#This Row],[May_26_F]]-Table46[[#This Row],[May_26_A]]</f>
        <v>0</v>
      </c>
      <c r="AB48" s="63"/>
      <c r="AC48" s="63"/>
      <c r="AD48" s="63">
        <f>Table46[[#This Row],[Jun_26_F]]-Table46[[#This Row],[Jun_26_A]]</f>
        <v>0</v>
      </c>
      <c r="AE48" s="63"/>
      <c r="AF48" s="63"/>
      <c r="AG48" s="63">
        <f>Table46[[#This Row],[Jul_26_F]]-Table46[[#This Row],[Jul_26_A]]</f>
        <v>0</v>
      </c>
      <c r="AH48" s="63"/>
      <c r="AI48" s="63"/>
      <c r="AJ48" s="63">
        <f>Table46[[#This Row],[Aug_26_F]]-Table46[[#This Row],[Aug_26_A]]</f>
        <v>0</v>
      </c>
      <c r="AK48" s="63"/>
      <c r="AL48" s="63"/>
      <c r="AM48" s="63">
        <f>Table46[[#This Row],[Sep_26_F]]-Table46[[#This Row],[Sep_26_A]]</f>
        <v>0</v>
      </c>
      <c r="AN48" s="63"/>
      <c r="AO48" s="63"/>
      <c r="AP48" s="63">
        <f>Table46[[#This Row],[Oct_26_F]]-Table46[[#This Row],[Oct_26_A]]</f>
        <v>0</v>
      </c>
      <c r="AQ48" s="63"/>
      <c r="AR48" s="63"/>
      <c r="AS48" s="63">
        <f>Table46[[#This Row],[Nov_26_F]]-Table46[[#This Row],[Nov_26_A]]</f>
        <v>0</v>
      </c>
      <c r="AT48" s="63"/>
      <c r="AU48" s="63"/>
      <c r="AV48" s="63">
        <f>Table46[[#This Row],[Dec_26_F]]-Table46[[#This Row],[Dec_26_A]]</f>
        <v>0</v>
      </c>
      <c r="AW48" s="60"/>
      <c r="AX48" s="63"/>
      <c r="AY48" s="63"/>
      <c r="AZ48" s="63">
        <f>Table46[[#This Row],[Jan_27_F]]-Table46[[#This Row],[Jan_27_Act]]</f>
        <v>0</v>
      </c>
      <c r="BA48" s="63"/>
      <c r="BB48" s="63"/>
      <c r="BC48" s="63">
        <f>Table46[[#This Row],[Feb_27_F]]-Table46[[#This Row],[Feb_27_A]]</f>
        <v>0</v>
      </c>
      <c r="BD48" s="63"/>
      <c r="BE48" s="63"/>
      <c r="BF48" s="63">
        <f>Table46[[#This Row],[Mar_27_F]]-Table46[[#This Row],[Mar_27_A]]</f>
        <v>0</v>
      </c>
      <c r="BG48" s="63"/>
      <c r="BH48" s="63"/>
      <c r="BI48" s="63">
        <f>Table46[[#This Row],[Apr_27_F]]-Table46[[#This Row],[Apr_27_A]]</f>
        <v>0</v>
      </c>
      <c r="BJ48" s="63"/>
      <c r="BK48" s="63"/>
      <c r="BL48" s="63">
        <f>Table46[[#This Row],[May_27_F]]-Table46[[#This Row],[May_27_A]]</f>
        <v>0</v>
      </c>
      <c r="BM48" s="63"/>
      <c r="BN48" s="63"/>
      <c r="BO48" s="63">
        <f>Table46[[#This Row],[Jun_27_F]]-Table46[[#This Row],[Jun_27_A]]</f>
        <v>0</v>
      </c>
      <c r="BP48" s="63"/>
      <c r="BQ48" s="63"/>
      <c r="BR48" s="63">
        <f>Table46[[#This Row],[Jul_27_F]]-Table46[[#This Row],[Jul_27_A]]</f>
        <v>0</v>
      </c>
      <c r="BS48" s="63"/>
      <c r="BT48" s="63"/>
      <c r="BU48" s="63">
        <f>Table46[[#This Row],[Aug_27_F]]-Table46[[#This Row],[Aug_27_A]]</f>
        <v>0</v>
      </c>
      <c r="BV48" s="63"/>
      <c r="BW48" s="63"/>
      <c r="BX48" s="63">
        <f>Table46[[#This Row],[Sep_27_F]]-Table46[[#This Row],[Sep_27_A]]</f>
        <v>0</v>
      </c>
      <c r="BY48" s="63"/>
      <c r="BZ48" s="63"/>
      <c r="CA48" s="63">
        <f>Table46[[#This Row],[Oct_27_F]]-Table46[[#This Row],[Oct_27_A]]</f>
        <v>0</v>
      </c>
      <c r="CB48" s="63"/>
      <c r="CC48" s="63"/>
      <c r="CD48" s="63">
        <f>Table46[[#This Row],[Nov_27_F]]-Table46[[#This Row],[Nov_27_A]]</f>
        <v>0</v>
      </c>
      <c r="CE48" s="63"/>
      <c r="CF48" s="63"/>
      <c r="CG48" s="63">
        <f>Table46[[#This Row],[Dec_27_F]]-Table46[[#This Row],[Dec_27_A]]</f>
        <v>0</v>
      </c>
    </row>
    <row r="49" spans="2:85" ht="14.45">
      <c r="B49" s="13"/>
      <c r="D49" s="61"/>
      <c r="F49" s="13"/>
      <c r="G49" s="13"/>
      <c r="H49" s="13"/>
      <c r="I49" s="13"/>
      <c r="J49" s="13"/>
      <c r="L49" s="60"/>
      <c r="M49" s="63"/>
      <c r="N49" s="63"/>
      <c r="O49" s="63">
        <f>Table46[[#This Row],[Jan_26_F]]-Table46[[#This Row],[Jan_26_Act]]</f>
        <v>0</v>
      </c>
      <c r="P49" s="63"/>
      <c r="Q49" s="63"/>
      <c r="R49" s="63">
        <f>Table46[[#This Row],[Feb_26_F]]-Table46[[#This Row],[Feb_26_A]]</f>
        <v>0</v>
      </c>
      <c r="S49" s="63"/>
      <c r="T49" s="63"/>
      <c r="U49" s="63">
        <f>Table46[[#This Row],[Mar_26_F]]-Table46[[#This Row],[Mar_26_A]]</f>
        <v>0</v>
      </c>
      <c r="V49" s="63"/>
      <c r="W49" s="63"/>
      <c r="X49" s="63">
        <f>Table46[[#This Row],[Apr_26_F]]-Table46[[#This Row],[Apr_26_A]]</f>
        <v>0</v>
      </c>
      <c r="Y49" s="63"/>
      <c r="Z49" s="63"/>
      <c r="AA49" s="63">
        <f>Table46[[#This Row],[May_26_F]]-Table46[[#This Row],[May_26_A]]</f>
        <v>0</v>
      </c>
      <c r="AB49" s="63"/>
      <c r="AC49" s="63"/>
      <c r="AD49" s="63">
        <f>Table46[[#This Row],[Jun_26_F]]-Table46[[#This Row],[Jun_26_A]]</f>
        <v>0</v>
      </c>
      <c r="AE49" s="63"/>
      <c r="AF49" s="63"/>
      <c r="AG49" s="63">
        <f>Table46[[#This Row],[Jul_26_F]]-Table46[[#This Row],[Jul_26_A]]</f>
        <v>0</v>
      </c>
      <c r="AH49" s="63"/>
      <c r="AI49" s="63"/>
      <c r="AJ49" s="63">
        <f>Table46[[#This Row],[Aug_26_F]]-Table46[[#This Row],[Aug_26_A]]</f>
        <v>0</v>
      </c>
      <c r="AK49" s="63"/>
      <c r="AL49" s="63"/>
      <c r="AM49" s="63">
        <f>Table46[[#This Row],[Sep_26_F]]-Table46[[#This Row],[Sep_26_A]]</f>
        <v>0</v>
      </c>
      <c r="AN49" s="63"/>
      <c r="AO49" s="63"/>
      <c r="AP49" s="63">
        <f>Table46[[#This Row],[Oct_26_F]]-Table46[[#This Row],[Oct_26_A]]</f>
        <v>0</v>
      </c>
      <c r="AQ49" s="63"/>
      <c r="AR49" s="63"/>
      <c r="AS49" s="63">
        <f>Table46[[#This Row],[Nov_26_F]]-Table46[[#This Row],[Nov_26_A]]</f>
        <v>0</v>
      </c>
      <c r="AT49" s="63"/>
      <c r="AU49" s="63"/>
      <c r="AV49" s="63">
        <f>Table46[[#This Row],[Dec_26_F]]-Table46[[#This Row],[Dec_26_A]]</f>
        <v>0</v>
      </c>
      <c r="AW49" s="60"/>
      <c r="AX49" s="63"/>
      <c r="AY49" s="63"/>
      <c r="AZ49" s="63">
        <f>Table46[[#This Row],[Jan_27_F]]-Table46[[#This Row],[Jan_27_Act]]</f>
        <v>0</v>
      </c>
      <c r="BA49" s="63"/>
      <c r="BB49" s="63"/>
      <c r="BC49" s="63">
        <f>Table46[[#This Row],[Feb_27_F]]-Table46[[#This Row],[Feb_27_A]]</f>
        <v>0</v>
      </c>
      <c r="BD49" s="63"/>
      <c r="BE49" s="63"/>
      <c r="BF49" s="63">
        <f>Table46[[#This Row],[Mar_27_F]]-Table46[[#This Row],[Mar_27_A]]</f>
        <v>0</v>
      </c>
      <c r="BG49" s="63"/>
      <c r="BH49" s="63"/>
      <c r="BI49" s="63">
        <f>Table46[[#This Row],[Apr_27_F]]-Table46[[#This Row],[Apr_27_A]]</f>
        <v>0</v>
      </c>
      <c r="BJ49" s="63"/>
      <c r="BK49" s="63"/>
      <c r="BL49" s="63">
        <f>Table46[[#This Row],[May_27_F]]-Table46[[#This Row],[May_27_A]]</f>
        <v>0</v>
      </c>
      <c r="BM49" s="63"/>
      <c r="BN49" s="63"/>
      <c r="BO49" s="63">
        <f>Table46[[#This Row],[Jun_27_F]]-Table46[[#This Row],[Jun_27_A]]</f>
        <v>0</v>
      </c>
      <c r="BP49" s="63"/>
      <c r="BQ49" s="63"/>
      <c r="BR49" s="63">
        <f>Table46[[#This Row],[Jul_27_F]]-Table46[[#This Row],[Jul_27_A]]</f>
        <v>0</v>
      </c>
      <c r="BS49" s="63"/>
      <c r="BT49" s="63"/>
      <c r="BU49" s="63">
        <f>Table46[[#This Row],[Aug_27_F]]-Table46[[#This Row],[Aug_27_A]]</f>
        <v>0</v>
      </c>
      <c r="BV49" s="63"/>
      <c r="BW49" s="63"/>
      <c r="BX49" s="63">
        <f>Table46[[#This Row],[Sep_27_F]]-Table46[[#This Row],[Sep_27_A]]</f>
        <v>0</v>
      </c>
      <c r="BY49" s="63"/>
      <c r="BZ49" s="63"/>
      <c r="CA49" s="63">
        <f>Table46[[#This Row],[Oct_27_F]]-Table46[[#This Row],[Oct_27_A]]</f>
        <v>0</v>
      </c>
      <c r="CB49" s="63"/>
      <c r="CC49" s="63"/>
      <c r="CD49" s="63">
        <f>Table46[[#This Row],[Nov_27_F]]-Table46[[#This Row],[Nov_27_A]]</f>
        <v>0</v>
      </c>
      <c r="CE49" s="63"/>
      <c r="CF49" s="63"/>
      <c r="CG49" s="63">
        <f>Table46[[#This Row],[Dec_27_F]]-Table46[[#This Row],[Dec_27_A]]</f>
        <v>0</v>
      </c>
    </row>
    <row r="50" spans="2:85" ht="14.45">
      <c r="B50" s="13"/>
      <c r="D50" s="61"/>
      <c r="F50" s="13"/>
      <c r="G50" s="13"/>
      <c r="H50" s="13"/>
      <c r="I50" s="13"/>
      <c r="J50" s="13"/>
      <c r="L50" s="60"/>
      <c r="M50" s="63"/>
      <c r="N50" s="63"/>
      <c r="O50" s="63">
        <f>Table46[[#This Row],[Jan_26_F]]-Table46[[#This Row],[Jan_26_Act]]</f>
        <v>0</v>
      </c>
      <c r="P50" s="63"/>
      <c r="Q50" s="63"/>
      <c r="R50" s="63">
        <f>Table46[[#This Row],[Feb_26_F]]-Table46[[#This Row],[Feb_26_A]]</f>
        <v>0</v>
      </c>
      <c r="S50" s="63"/>
      <c r="T50" s="63"/>
      <c r="U50" s="63">
        <f>Table46[[#This Row],[Mar_26_F]]-Table46[[#This Row],[Mar_26_A]]</f>
        <v>0</v>
      </c>
      <c r="V50" s="63"/>
      <c r="W50" s="63"/>
      <c r="X50" s="63">
        <f>Table46[[#This Row],[Apr_26_F]]-Table46[[#This Row],[Apr_26_A]]</f>
        <v>0</v>
      </c>
      <c r="Y50" s="63"/>
      <c r="Z50" s="63"/>
      <c r="AA50" s="63">
        <f>Table46[[#This Row],[May_26_F]]-Table46[[#This Row],[May_26_A]]</f>
        <v>0</v>
      </c>
      <c r="AB50" s="63"/>
      <c r="AC50" s="63"/>
      <c r="AD50" s="63">
        <f>Table46[[#This Row],[Jun_26_F]]-Table46[[#This Row],[Jun_26_A]]</f>
        <v>0</v>
      </c>
      <c r="AE50" s="63"/>
      <c r="AF50" s="63"/>
      <c r="AG50" s="63">
        <f>Table46[[#This Row],[Jul_26_F]]-Table46[[#This Row],[Jul_26_A]]</f>
        <v>0</v>
      </c>
      <c r="AH50" s="63"/>
      <c r="AI50" s="63"/>
      <c r="AJ50" s="63">
        <f>Table46[[#This Row],[Aug_26_F]]-Table46[[#This Row],[Aug_26_A]]</f>
        <v>0</v>
      </c>
      <c r="AK50" s="63"/>
      <c r="AL50" s="63"/>
      <c r="AM50" s="63">
        <f>Table46[[#This Row],[Sep_26_F]]-Table46[[#This Row],[Sep_26_A]]</f>
        <v>0</v>
      </c>
      <c r="AN50" s="63"/>
      <c r="AO50" s="63"/>
      <c r="AP50" s="63">
        <f>Table46[[#This Row],[Oct_26_F]]-Table46[[#This Row],[Oct_26_A]]</f>
        <v>0</v>
      </c>
      <c r="AQ50" s="63"/>
      <c r="AR50" s="63"/>
      <c r="AS50" s="63">
        <f>Table46[[#This Row],[Nov_26_F]]-Table46[[#This Row],[Nov_26_A]]</f>
        <v>0</v>
      </c>
      <c r="AT50" s="63"/>
      <c r="AU50" s="63"/>
      <c r="AV50" s="63">
        <f>Table46[[#This Row],[Dec_26_F]]-Table46[[#This Row],[Dec_26_A]]</f>
        <v>0</v>
      </c>
      <c r="AW50" s="60"/>
      <c r="AX50" s="63"/>
      <c r="AY50" s="63"/>
      <c r="AZ50" s="63">
        <f>Table46[[#This Row],[Jan_27_F]]-Table46[[#This Row],[Jan_27_Act]]</f>
        <v>0</v>
      </c>
      <c r="BA50" s="63"/>
      <c r="BB50" s="63"/>
      <c r="BC50" s="63">
        <f>Table46[[#This Row],[Feb_27_F]]-Table46[[#This Row],[Feb_27_A]]</f>
        <v>0</v>
      </c>
      <c r="BD50" s="63"/>
      <c r="BE50" s="63"/>
      <c r="BF50" s="63">
        <f>Table46[[#This Row],[Mar_27_F]]-Table46[[#This Row],[Mar_27_A]]</f>
        <v>0</v>
      </c>
      <c r="BG50" s="63"/>
      <c r="BH50" s="63"/>
      <c r="BI50" s="63">
        <f>Table46[[#This Row],[Apr_27_F]]-Table46[[#This Row],[Apr_27_A]]</f>
        <v>0</v>
      </c>
      <c r="BJ50" s="63"/>
      <c r="BK50" s="63"/>
      <c r="BL50" s="63">
        <f>Table46[[#This Row],[May_27_F]]-Table46[[#This Row],[May_27_A]]</f>
        <v>0</v>
      </c>
      <c r="BM50" s="63"/>
      <c r="BN50" s="63"/>
      <c r="BO50" s="63">
        <f>Table46[[#This Row],[Jun_27_F]]-Table46[[#This Row],[Jun_27_A]]</f>
        <v>0</v>
      </c>
      <c r="BP50" s="63"/>
      <c r="BQ50" s="63"/>
      <c r="BR50" s="63">
        <f>Table46[[#This Row],[Jul_27_F]]-Table46[[#This Row],[Jul_27_A]]</f>
        <v>0</v>
      </c>
      <c r="BS50" s="63"/>
      <c r="BT50" s="63"/>
      <c r="BU50" s="63">
        <f>Table46[[#This Row],[Aug_27_F]]-Table46[[#This Row],[Aug_27_A]]</f>
        <v>0</v>
      </c>
      <c r="BV50" s="63"/>
      <c r="BW50" s="63"/>
      <c r="BX50" s="63">
        <f>Table46[[#This Row],[Sep_27_F]]-Table46[[#This Row],[Sep_27_A]]</f>
        <v>0</v>
      </c>
      <c r="BY50" s="63"/>
      <c r="BZ50" s="63"/>
      <c r="CA50" s="63">
        <f>Table46[[#This Row],[Oct_27_F]]-Table46[[#This Row],[Oct_27_A]]</f>
        <v>0</v>
      </c>
      <c r="CB50" s="63"/>
      <c r="CC50" s="63"/>
      <c r="CD50" s="63">
        <f>Table46[[#This Row],[Nov_27_F]]-Table46[[#This Row],[Nov_27_A]]</f>
        <v>0</v>
      </c>
      <c r="CE50" s="63"/>
      <c r="CF50" s="63"/>
      <c r="CG50" s="63">
        <f>Table46[[#This Row],[Dec_27_F]]-Table46[[#This Row],[Dec_27_A]]</f>
        <v>0</v>
      </c>
    </row>
    <row r="51" spans="2:85" ht="14.45">
      <c r="B51" s="13"/>
      <c r="D51" s="61"/>
      <c r="F51" s="13"/>
      <c r="G51" s="13"/>
      <c r="H51" s="13"/>
      <c r="I51" s="13"/>
      <c r="J51" s="13"/>
      <c r="L51" s="60"/>
      <c r="M51" s="63"/>
      <c r="N51" s="63"/>
      <c r="O51" s="63">
        <f>Table46[[#This Row],[Jan_26_F]]-Table46[[#This Row],[Jan_26_Act]]</f>
        <v>0</v>
      </c>
      <c r="P51" s="63"/>
      <c r="Q51" s="63"/>
      <c r="R51" s="63">
        <f>Table46[[#This Row],[Feb_26_F]]-Table46[[#This Row],[Feb_26_A]]</f>
        <v>0</v>
      </c>
      <c r="S51" s="63"/>
      <c r="T51" s="63"/>
      <c r="U51" s="63">
        <f>Table46[[#This Row],[Mar_26_F]]-Table46[[#This Row],[Mar_26_A]]</f>
        <v>0</v>
      </c>
      <c r="V51" s="63"/>
      <c r="W51" s="63"/>
      <c r="X51" s="63">
        <f>Table46[[#This Row],[Apr_26_F]]-Table46[[#This Row],[Apr_26_A]]</f>
        <v>0</v>
      </c>
      <c r="Y51" s="63"/>
      <c r="Z51" s="63"/>
      <c r="AA51" s="63">
        <f>Table46[[#This Row],[May_26_F]]-Table46[[#This Row],[May_26_A]]</f>
        <v>0</v>
      </c>
      <c r="AB51" s="63"/>
      <c r="AC51" s="63"/>
      <c r="AD51" s="63">
        <f>Table46[[#This Row],[Jun_26_F]]-Table46[[#This Row],[Jun_26_A]]</f>
        <v>0</v>
      </c>
      <c r="AE51" s="63"/>
      <c r="AF51" s="63"/>
      <c r="AG51" s="63">
        <f>Table46[[#This Row],[Jul_26_F]]-Table46[[#This Row],[Jul_26_A]]</f>
        <v>0</v>
      </c>
      <c r="AH51" s="63"/>
      <c r="AI51" s="63"/>
      <c r="AJ51" s="63">
        <f>Table46[[#This Row],[Aug_26_F]]-Table46[[#This Row],[Aug_26_A]]</f>
        <v>0</v>
      </c>
      <c r="AK51" s="63"/>
      <c r="AL51" s="63"/>
      <c r="AM51" s="63">
        <f>Table46[[#This Row],[Sep_26_F]]-Table46[[#This Row],[Sep_26_A]]</f>
        <v>0</v>
      </c>
      <c r="AN51" s="63"/>
      <c r="AO51" s="63"/>
      <c r="AP51" s="63">
        <f>Table46[[#This Row],[Oct_26_F]]-Table46[[#This Row],[Oct_26_A]]</f>
        <v>0</v>
      </c>
      <c r="AQ51" s="63"/>
      <c r="AR51" s="63"/>
      <c r="AS51" s="63">
        <f>Table46[[#This Row],[Nov_26_F]]-Table46[[#This Row],[Nov_26_A]]</f>
        <v>0</v>
      </c>
      <c r="AT51" s="63"/>
      <c r="AU51" s="63"/>
      <c r="AV51" s="63">
        <f>Table46[[#This Row],[Dec_26_F]]-Table46[[#This Row],[Dec_26_A]]</f>
        <v>0</v>
      </c>
      <c r="AW51" s="60"/>
      <c r="AX51" s="63"/>
      <c r="AY51" s="63"/>
      <c r="AZ51" s="63">
        <f>Table46[[#This Row],[Jan_27_F]]-Table46[[#This Row],[Jan_27_Act]]</f>
        <v>0</v>
      </c>
      <c r="BA51" s="63"/>
      <c r="BB51" s="63"/>
      <c r="BC51" s="63">
        <f>Table46[[#This Row],[Feb_27_F]]-Table46[[#This Row],[Feb_27_A]]</f>
        <v>0</v>
      </c>
      <c r="BD51" s="63"/>
      <c r="BE51" s="63"/>
      <c r="BF51" s="63">
        <f>Table46[[#This Row],[Mar_27_F]]-Table46[[#This Row],[Mar_27_A]]</f>
        <v>0</v>
      </c>
      <c r="BG51" s="63"/>
      <c r="BH51" s="63"/>
      <c r="BI51" s="63">
        <f>Table46[[#This Row],[Apr_27_F]]-Table46[[#This Row],[Apr_27_A]]</f>
        <v>0</v>
      </c>
      <c r="BJ51" s="63"/>
      <c r="BK51" s="63"/>
      <c r="BL51" s="63">
        <f>Table46[[#This Row],[May_27_F]]-Table46[[#This Row],[May_27_A]]</f>
        <v>0</v>
      </c>
      <c r="BM51" s="63"/>
      <c r="BN51" s="63"/>
      <c r="BO51" s="63">
        <f>Table46[[#This Row],[Jun_27_F]]-Table46[[#This Row],[Jun_27_A]]</f>
        <v>0</v>
      </c>
      <c r="BP51" s="63"/>
      <c r="BQ51" s="63"/>
      <c r="BR51" s="63">
        <f>Table46[[#This Row],[Jul_27_F]]-Table46[[#This Row],[Jul_27_A]]</f>
        <v>0</v>
      </c>
      <c r="BS51" s="63"/>
      <c r="BT51" s="63"/>
      <c r="BU51" s="63">
        <f>Table46[[#This Row],[Aug_27_F]]-Table46[[#This Row],[Aug_27_A]]</f>
        <v>0</v>
      </c>
      <c r="BV51" s="63"/>
      <c r="BW51" s="63"/>
      <c r="BX51" s="63">
        <f>Table46[[#This Row],[Sep_27_F]]-Table46[[#This Row],[Sep_27_A]]</f>
        <v>0</v>
      </c>
      <c r="BY51" s="63"/>
      <c r="BZ51" s="63"/>
      <c r="CA51" s="63">
        <f>Table46[[#This Row],[Oct_27_F]]-Table46[[#This Row],[Oct_27_A]]</f>
        <v>0</v>
      </c>
      <c r="CB51" s="63"/>
      <c r="CC51" s="63"/>
      <c r="CD51" s="63">
        <f>Table46[[#This Row],[Nov_27_F]]-Table46[[#This Row],[Nov_27_A]]</f>
        <v>0</v>
      </c>
      <c r="CE51" s="63"/>
      <c r="CF51" s="63"/>
      <c r="CG51" s="63">
        <f>Table46[[#This Row],[Dec_27_F]]-Table46[[#This Row],[Dec_27_A]]</f>
        <v>0</v>
      </c>
    </row>
    <row r="52" spans="2:85" ht="14.45">
      <c r="B52" s="13"/>
      <c r="D52" s="61"/>
      <c r="F52" s="13"/>
      <c r="G52" s="13"/>
      <c r="H52" s="13"/>
      <c r="I52" s="13"/>
      <c r="J52" s="13"/>
      <c r="L52" s="60"/>
      <c r="M52" s="63"/>
      <c r="N52" s="63"/>
      <c r="O52" s="63">
        <f>Table46[[#This Row],[Jan_26_F]]-Table46[[#This Row],[Jan_26_Act]]</f>
        <v>0</v>
      </c>
      <c r="P52" s="63"/>
      <c r="Q52" s="63"/>
      <c r="R52" s="63">
        <f>Table46[[#This Row],[Feb_26_F]]-Table46[[#This Row],[Feb_26_A]]</f>
        <v>0</v>
      </c>
      <c r="S52" s="63"/>
      <c r="T52" s="63"/>
      <c r="U52" s="63">
        <f>Table46[[#This Row],[Mar_26_F]]-Table46[[#This Row],[Mar_26_A]]</f>
        <v>0</v>
      </c>
      <c r="V52" s="63"/>
      <c r="W52" s="63"/>
      <c r="X52" s="63">
        <f>Table46[[#This Row],[Apr_26_F]]-Table46[[#This Row],[Apr_26_A]]</f>
        <v>0</v>
      </c>
      <c r="Y52" s="63"/>
      <c r="Z52" s="63"/>
      <c r="AA52" s="63">
        <f>Table46[[#This Row],[May_26_F]]-Table46[[#This Row],[May_26_A]]</f>
        <v>0</v>
      </c>
      <c r="AB52" s="63"/>
      <c r="AC52" s="63"/>
      <c r="AD52" s="63">
        <f>Table46[[#This Row],[Jun_26_F]]-Table46[[#This Row],[Jun_26_A]]</f>
        <v>0</v>
      </c>
      <c r="AE52" s="63"/>
      <c r="AF52" s="63"/>
      <c r="AG52" s="63">
        <f>Table46[[#This Row],[Jul_26_F]]-Table46[[#This Row],[Jul_26_A]]</f>
        <v>0</v>
      </c>
      <c r="AH52" s="63"/>
      <c r="AI52" s="63"/>
      <c r="AJ52" s="63">
        <f>Table46[[#This Row],[Aug_26_F]]-Table46[[#This Row],[Aug_26_A]]</f>
        <v>0</v>
      </c>
      <c r="AK52" s="63"/>
      <c r="AL52" s="63"/>
      <c r="AM52" s="63">
        <f>Table46[[#This Row],[Sep_26_F]]-Table46[[#This Row],[Sep_26_A]]</f>
        <v>0</v>
      </c>
      <c r="AN52" s="63"/>
      <c r="AO52" s="63"/>
      <c r="AP52" s="63">
        <f>Table46[[#This Row],[Oct_26_F]]-Table46[[#This Row],[Oct_26_A]]</f>
        <v>0</v>
      </c>
      <c r="AQ52" s="63"/>
      <c r="AR52" s="63"/>
      <c r="AS52" s="63">
        <f>Table46[[#This Row],[Nov_26_F]]-Table46[[#This Row],[Nov_26_A]]</f>
        <v>0</v>
      </c>
      <c r="AT52" s="63"/>
      <c r="AU52" s="63"/>
      <c r="AV52" s="63">
        <f>Table46[[#This Row],[Dec_26_F]]-Table46[[#This Row],[Dec_26_A]]</f>
        <v>0</v>
      </c>
      <c r="AW52" s="60"/>
      <c r="AX52" s="63"/>
      <c r="AY52" s="63"/>
      <c r="AZ52" s="63">
        <f>Table46[[#This Row],[Jan_27_F]]-Table46[[#This Row],[Jan_27_Act]]</f>
        <v>0</v>
      </c>
      <c r="BA52" s="63"/>
      <c r="BB52" s="63"/>
      <c r="BC52" s="63">
        <f>Table46[[#This Row],[Feb_27_F]]-Table46[[#This Row],[Feb_27_A]]</f>
        <v>0</v>
      </c>
      <c r="BD52" s="63"/>
      <c r="BE52" s="63"/>
      <c r="BF52" s="63">
        <f>Table46[[#This Row],[Mar_27_F]]-Table46[[#This Row],[Mar_27_A]]</f>
        <v>0</v>
      </c>
      <c r="BG52" s="63"/>
      <c r="BH52" s="63"/>
      <c r="BI52" s="63">
        <f>Table46[[#This Row],[Apr_27_F]]-Table46[[#This Row],[Apr_27_A]]</f>
        <v>0</v>
      </c>
      <c r="BJ52" s="63"/>
      <c r="BK52" s="63"/>
      <c r="BL52" s="63">
        <f>Table46[[#This Row],[May_27_F]]-Table46[[#This Row],[May_27_A]]</f>
        <v>0</v>
      </c>
      <c r="BM52" s="63"/>
      <c r="BN52" s="63"/>
      <c r="BO52" s="63">
        <f>Table46[[#This Row],[Jun_27_F]]-Table46[[#This Row],[Jun_27_A]]</f>
        <v>0</v>
      </c>
      <c r="BP52" s="63"/>
      <c r="BQ52" s="63"/>
      <c r="BR52" s="63">
        <f>Table46[[#This Row],[Jul_27_F]]-Table46[[#This Row],[Jul_27_A]]</f>
        <v>0</v>
      </c>
      <c r="BS52" s="63"/>
      <c r="BT52" s="63"/>
      <c r="BU52" s="63">
        <f>Table46[[#This Row],[Aug_27_F]]-Table46[[#This Row],[Aug_27_A]]</f>
        <v>0</v>
      </c>
      <c r="BV52" s="63"/>
      <c r="BW52" s="63"/>
      <c r="BX52" s="63">
        <f>Table46[[#This Row],[Sep_27_F]]-Table46[[#This Row],[Sep_27_A]]</f>
        <v>0</v>
      </c>
      <c r="BY52" s="63"/>
      <c r="BZ52" s="63"/>
      <c r="CA52" s="63">
        <f>Table46[[#This Row],[Oct_27_F]]-Table46[[#This Row],[Oct_27_A]]</f>
        <v>0</v>
      </c>
      <c r="CB52" s="63"/>
      <c r="CC52" s="63"/>
      <c r="CD52" s="63">
        <f>Table46[[#This Row],[Nov_27_F]]-Table46[[#This Row],[Nov_27_A]]</f>
        <v>0</v>
      </c>
      <c r="CE52" s="63"/>
      <c r="CF52" s="63"/>
      <c r="CG52" s="63">
        <f>Table46[[#This Row],[Dec_27_F]]-Table46[[#This Row],[Dec_27_A]]</f>
        <v>0</v>
      </c>
    </row>
    <row r="53" spans="2:85" ht="14.45">
      <c r="B53" s="13"/>
      <c r="D53" s="61"/>
      <c r="F53" s="13"/>
      <c r="G53" s="13"/>
      <c r="H53" s="13"/>
      <c r="I53" s="13"/>
      <c r="J53" s="13"/>
      <c r="L53" s="60"/>
      <c r="M53" s="63"/>
      <c r="N53" s="63"/>
      <c r="O53" s="63">
        <f>Table46[[#This Row],[Jan_26_F]]-Table46[[#This Row],[Jan_26_Act]]</f>
        <v>0</v>
      </c>
      <c r="P53" s="63"/>
      <c r="Q53" s="63"/>
      <c r="R53" s="63">
        <f>Table46[[#This Row],[Feb_26_F]]-Table46[[#This Row],[Feb_26_A]]</f>
        <v>0</v>
      </c>
      <c r="S53" s="63"/>
      <c r="T53" s="63"/>
      <c r="U53" s="63">
        <f>Table46[[#This Row],[Mar_26_F]]-Table46[[#This Row],[Mar_26_A]]</f>
        <v>0</v>
      </c>
      <c r="V53" s="63"/>
      <c r="W53" s="63"/>
      <c r="X53" s="63">
        <f>Table46[[#This Row],[Apr_26_F]]-Table46[[#This Row],[Apr_26_A]]</f>
        <v>0</v>
      </c>
      <c r="Y53" s="63"/>
      <c r="Z53" s="63"/>
      <c r="AA53" s="63">
        <f>Table46[[#This Row],[May_26_F]]-Table46[[#This Row],[May_26_A]]</f>
        <v>0</v>
      </c>
      <c r="AB53" s="63"/>
      <c r="AC53" s="63"/>
      <c r="AD53" s="63">
        <f>Table46[[#This Row],[Jun_26_F]]-Table46[[#This Row],[Jun_26_A]]</f>
        <v>0</v>
      </c>
      <c r="AE53" s="63"/>
      <c r="AF53" s="63"/>
      <c r="AG53" s="63">
        <f>Table46[[#This Row],[Jul_26_F]]-Table46[[#This Row],[Jul_26_A]]</f>
        <v>0</v>
      </c>
      <c r="AH53" s="63"/>
      <c r="AI53" s="63"/>
      <c r="AJ53" s="63">
        <f>Table46[[#This Row],[Aug_26_F]]-Table46[[#This Row],[Aug_26_A]]</f>
        <v>0</v>
      </c>
      <c r="AK53" s="63"/>
      <c r="AL53" s="63"/>
      <c r="AM53" s="63">
        <f>Table46[[#This Row],[Sep_26_F]]-Table46[[#This Row],[Sep_26_A]]</f>
        <v>0</v>
      </c>
      <c r="AN53" s="63"/>
      <c r="AO53" s="63"/>
      <c r="AP53" s="63">
        <f>Table46[[#This Row],[Oct_26_F]]-Table46[[#This Row],[Oct_26_A]]</f>
        <v>0</v>
      </c>
      <c r="AQ53" s="63"/>
      <c r="AR53" s="63"/>
      <c r="AS53" s="63">
        <f>Table46[[#This Row],[Nov_26_F]]-Table46[[#This Row],[Nov_26_A]]</f>
        <v>0</v>
      </c>
      <c r="AT53" s="63"/>
      <c r="AU53" s="63"/>
      <c r="AV53" s="63">
        <f>Table46[[#This Row],[Dec_26_F]]-Table46[[#This Row],[Dec_26_A]]</f>
        <v>0</v>
      </c>
      <c r="AW53" s="60"/>
      <c r="AX53" s="63"/>
      <c r="AY53" s="63"/>
      <c r="AZ53" s="63">
        <f>Table46[[#This Row],[Jan_27_F]]-Table46[[#This Row],[Jan_27_Act]]</f>
        <v>0</v>
      </c>
      <c r="BA53" s="63"/>
      <c r="BB53" s="63"/>
      <c r="BC53" s="63">
        <f>Table46[[#This Row],[Feb_27_F]]-Table46[[#This Row],[Feb_27_A]]</f>
        <v>0</v>
      </c>
      <c r="BD53" s="63"/>
      <c r="BE53" s="63"/>
      <c r="BF53" s="63">
        <f>Table46[[#This Row],[Mar_27_F]]-Table46[[#This Row],[Mar_27_A]]</f>
        <v>0</v>
      </c>
      <c r="BG53" s="63"/>
      <c r="BH53" s="63"/>
      <c r="BI53" s="63">
        <f>Table46[[#This Row],[Apr_27_F]]-Table46[[#This Row],[Apr_27_A]]</f>
        <v>0</v>
      </c>
      <c r="BJ53" s="63"/>
      <c r="BK53" s="63"/>
      <c r="BL53" s="63">
        <f>Table46[[#This Row],[May_27_F]]-Table46[[#This Row],[May_27_A]]</f>
        <v>0</v>
      </c>
      <c r="BM53" s="63"/>
      <c r="BN53" s="63"/>
      <c r="BO53" s="63">
        <f>Table46[[#This Row],[Jun_27_F]]-Table46[[#This Row],[Jun_27_A]]</f>
        <v>0</v>
      </c>
      <c r="BP53" s="63"/>
      <c r="BQ53" s="63"/>
      <c r="BR53" s="63">
        <f>Table46[[#This Row],[Jul_27_F]]-Table46[[#This Row],[Jul_27_A]]</f>
        <v>0</v>
      </c>
      <c r="BS53" s="63"/>
      <c r="BT53" s="63"/>
      <c r="BU53" s="63">
        <f>Table46[[#This Row],[Aug_27_F]]-Table46[[#This Row],[Aug_27_A]]</f>
        <v>0</v>
      </c>
      <c r="BV53" s="63"/>
      <c r="BW53" s="63"/>
      <c r="BX53" s="63">
        <f>Table46[[#This Row],[Sep_27_F]]-Table46[[#This Row],[Sep_27_A]]</f>
        <v>0</v>
      </c>
      <c r="BY53" s="63"/>
      <c r="BZ53" s="63"/>
      <c r="CA53" s="63">
        <f>Table46[[#This Row],[Oct_27_F]]-Table46[[#This Row],[Oct_27_A]]</f>
        <v>0</v>
      </c>
      <c r="CB53" s="63"/>
      <c r="CC53" s="63"/>
      <c r="CD53" s="63">
        <f>Table46[[#This Row],[Nov_27_F]]-Table46[[#This Row],[Nov_27_A]]</f>
        <v>0</v>
      </c>
      <c r="CE53" s="63"/>
      <c r="CF53" s="63"/>
      <c r="CG53" s="63">
        <f>Table46[[#This Row],[Dec_27_F]]-Table46[[#This Row],[Dec_27_A]]</f>
        <v>0</v>
      </c>
    </row>
    <row r="54" spans="2:85" ht="14.45">
      <c r="B54" s="13"/>
      <c r="D54" s="61"/>
      <c r="F54" s="13"/>
      <c r="G54" s="13"/>
      <c r="H54" s="13"/>
      <c r="I54" s="13"/>
      <c r="J54" s="13"/>
      <c r="L54" s="60"/>
      <c r="M54" s="63"/>
      <c r="N54" s="63"/>
      <c r="O54" s="63">
        <f>Table46[[#This Row],[Jan_26_F]]-Table46[[#This Row],[Jan_26_Act]]</f>
        <v>0</v>
      </c>
      <c r="P54" s="63"/>
      <c r="Q54" s="63"/>
      <c r="R54" s="63">
        <f>Table46[[#This Row],[Feb_26_F]]-Table46[[#This Row],[Feb_26_A]]</f>
        <v>0</v>
      </c>
      <c r="S54" s="63"/>
      <c r="T54" s="63"/>
      <c r="U54" s="63">
        <f>Table46[[#This Row],[Mar_26_F]]-Table46[[#This Row],[Mar_26_A]]</f>
        <v>0</v>
      </c>
      <c r="V54" s="63"/>
      <c r="W54" s="63"/>
      <c r="X54" s="63">
        <f>Table46[[#This Row],[Apr_26_F]]-Table46[[#This Row],[Apr_26_A]]</f>
        <v>0</v>
      </c>
      <c r="Y54" s="63"/>
      <c r="Z54" s="63"/>
      <c r="AA54" s="63">
        <f>Table46[[#This Row],[May_26_F]]-Table46[[#This Row],[May_26_A]]</f>
        <v>0</v>
      </c>
      <c r="AB54" s="63"/>
      <c r="AC54" s="63"/>
      <c r="AD54" s="63">
        <f>Table46[[#This Row],[Jun_26_F]]-Table46[[#This Row],[Jun_26_A]]</f>
        <v>0</v>
      </c>
      <c r="AE54" s="63"/>
      <c r="AF54" s="63"/>
      <c r="AG54" s="63">
        <f>Table46[[#This Row],[Jul_26_F]]-Table46[[#This Row],[Jul_26_A]]</f>
        <v>0</v>
      </c>
      <c r="AH54" s="63"/>
      <c r="AI54" s="63"/>
      <c r="AJ54" s="63">
        <f>Table46[[#This Row],[Aug_26_F]]-Table46[[#This Row],[Aug_26_A]]</f>
        <v>0</v>
      </c>
      <c r="AK54" s="63"/>
      <c r="AL54" s="63"/>
      <c r="AM54" s="63">
        <f>Table46[[#This Row],[Sep_26_F]]-Table46[[#This Row],[Sep_26_A]]</f>
        <v>0</v>
      </c>
      <c r="AN54" s="63"/>
      <c r="AO54" s="63"/>
      <c r="AP54" s="63">
        <f>Table46[[#This Row],[Oct_26_F]]-Table46[[#This Row],[Oct_26_A]]</f>
        <v>0</v>
      </c>
      <c r="AQ54" s="63"/>
      <c r="AR54" s="63"/>
      <c r="AS54" s="63">
        <f>Table46[[#This Row],[Nov_26_F]]-Table46[[#This Row],[Nov_26_A]]</f>
        <v>0</v>
      </c>
      <c r="AT54" s="63"/>
      <c r="AU54" s="63"/>
      <c r="AV54" s="63">
        <f>Table46[[#This Row],[Dec_26_F]]-Table46[[#This Row],[Dec_26_A]]</f>
        <v>0</v>
      </c>
      <c r="AW54" s="60"/>
      <c r="AX54" s="63"/>
      <c r="AY54" s="63"/>
      <c r="AZ54" s="63">
        <f>Table46[[#This Row],[Jan_27_F]]-Table46[[#This Row],[Jan_27_Act]]</f>
        <v>0</v>
      </c>
      <c r="BA54" s="63"/>
      <c r="BB54" s="63"/>
      <c r="BC54" s="63">
        <f>Table46[[#This Row],[Feb_27_F]]-Table46[[#This Row],[Feb_27_A]]</f>
        <v>0</v>
      </c>
      <c r="BD54" s="63"/>
      <c r="BE54" s="63"/>
      <c r="BF54" s="63">
        <f>Table46[[#This Row],[Mar_27_F]]-Table46[[#This Row],[Mar_27_A]]</f>
        <v>0</v>
      </c>
      <c r="BG54" s="63"/>
      <c r="BH54" s="63"/>
      <c r="BI54" s="63">
        <f>Table46[[#This Row],[Apr_27_F]]-Table46[[#This Row],[Apr_27_A]]</f>
        <v>0</v>
      </c>
      <c r="BJ54" s="63"/>
      <c r="BK54" s="63"/>
      <c r="BL54" s="63">
        <f>Table46[[#This Row],[May_27_F]]-Table46[[#This Row],[May_27_A]]</f>
        <v>0</v>
      </c>
      <c r="BM54" s="63"/>
      <c r="BN54" s="63"/>
      <c r="BO54" s="63">
        <f>Table46[[#This Row],[Jun_27_F]]-Table46[[#This Row],[Jun_27_A]]</f>
        <v>0</v>
      </c>
      <c r="BP54" s="63"/>
      <c r="BQ54" s="63"/>
      <c r="BR54" s="63">
        <f>Table46[[#This Row],[Jul_27_F]]-Table46[[#This Row],[Jul_27_A]]</f>
        <v>0</v>
      </c>
      <c r="BS54" s="63"/>
      <c r="BT54" s="63"/>
      <c r="BU54" s="63">
        <f>Table46[[#This Row],[Aug_27_F]]-Table46[[#This Row],[Aug_27_A]]</f>
        <v>0</v>
      </c>
      <c r="BV54" s="63"/>
      <c r="BW54" s="63"/>
      <c r="BX54" s="63">
        <f>Table46[[#This Row],[Sep_27_F]]-Table46[[#This Row],[Sep_27_A]]</f>
        <v>0</v>
      </c>
      <c r="BY54" s="63"/>
      <c r="BZ54" s="63"/>
      <c r="CA54" s="63">
        <f>Table46[[#This Row],[Oct_27_F]]-Table46[[#This Row],[Oct_27_A]]</f>
        <v>0</v>
      </c>
      <c r="CB54" s="63"/>
      <c r="CC54" s="63"/>
      <c r="CD54" s="63">
        <f>Table46[[#This Row],[Nov_27_F]]-Table46[[#This Row],[Nov_27_A]]</f>
        <v>0</v>
      </c>
      <c r="CE54" s="63"/>
      <c r="CF54" s="63"/>
      <c r="CG54" s="63">
        <f>Table46[[#This Row],[Dec_27_F]]-Table46[[#This Row],[Dec_27_A]]</f>
        <v>0</v>
      </c>
    </row>
    <row r="55" spans="2:85" ht="14.45">
      <c r="B55" s="13"/>
      <c r="D55" s="61"/>
      <c r="F55" s="13"/>
      <c r="G55" s="13"/>
      <c r="H55" s="13"/>
      <c r="I55" s="13"/>
      <c r="J55" s="13"/>
      <c r="K55" s="87"/>
      <c r="L55" s="80"/>
      <c r="M55" s="63"/>
      <c r="N55" s="63"/>
      <c r="O55" s="63">
        <f>Table46[[#This Row],[Jan_26_F]]-Table46[[#This Row],[Jan_26_Act]]</f>
        <v>0</v>
      </c>
      <c r="P55" s="63"/>
      <c r="Q55" s="63"/>
      <c r="R55" s="63">
        <f>Table46[[#This Row],[Feb_26_F]]-Table46[[#This Row],[Feb_26_A]]</f>
        <v>0</v>
      </c>
      <c r="S55" s="63"/>
      <c r="T55" s="63"/>
      <c r="U55" s="63">
        <f>Table46[[#This Row],[Mar_26_F]]-Table46[[#This Row],[Mar_26_A]]</f>
        <v>0</v>
      </c>
      <c r="V55" s="63"/>
      <c r="W55" s="63"/>
      <c r="X55" s="63">
        <f>Table46[[#This Row],[Apr_26_F]]-Table46[[#This Row],[Apr_26_A]]</f>
        <v>0</v>
      </c>
      <c r="Y55" s="63"/>
      <c r="Z55" s="63"/>
      <c r="AA55" s="63">
        <f>Table46[[#This Row],[May_26_F]]-Table46[[#This Row],[May_26_A]]</f>
        <v>0</v>
      </c>
      <c r="AB55" s="63"/>
      <c r="AC55" s="63"/>
      <c r="AD55" s="63">
        <f>Table46[[#This Row],[Jun_26_F]]-Table46[[#This Row],[Jun_26_A]]</f>
        <v>0</v>
      </c>
      <c r="AE55" s="63"/>
      <c r="AF55" s="63"/>
      <c r="AG55" s="63">
        <f>Table46[[#This Row],[Jul_26_F]]-Table46[[#This Row],[Jul_26_A]]</f>
        <v>0</v>
      </c>
      <c r="AH55" s="63"/>
      <c r="AI55" s="63"/>
      <c r="AJ55" s="63">
        <f>Table46[[#This Row],[Aug_26_F]]-Table46[[#This Row],[Aug_26_A]]</f>
        <v>0</v>
      </c>
      <c r="AK55" s="63"/>
      <c r="AL55" s="63"/>
      <c r="AM55" s="63">
        <f>Table46[[#This Row],[Sep_26_F]]-Table46[[#This Row],[Sep_26_A]]</f>
        <v>0</v>
      </c>
      <c r="AN55" s="63"/>
      <c r="AO55" s="63"/>
      <c r="AP55" s="63">
        <f>Table46[[#This Row],[Oct_26_F]]-Table46[[#This Row],[Oct_26_A]]</f>
        <v>0</v>
      </c>
      <c r="AQ55" s="63"/>
      <c r="AR55" s="63"/>
      <c r="AS55" s="63">
        <f>Table46[[#This Row],[Nov_26_F]]-Table46[[#This Row],[Nov_26_A]]</f>
        <v>0</v>
      </c>
      <c r="AT55" s="63"/>
      <c r="AU55" s="63"/>
      <c r="AV55" s="63">
        <f>Table46[[#This Row],[Dec_26_F]]-Table46[[#This Row],[Dec_26_A]]</f>
        <v>0</v>
      </c>
      <c r="AW55" s="80"/>
      <c r="AX55" s="63"/>
      <c r="AY55" s="63"/>
      <c r="AZ55" s="63">
        <f>Table46[[#This Row],[Jan_27_F]]-Table46[[#This Row],[Jan_27_Act]]</f>
        <v>0</v>
      </c>
      <c r="BA55" s="63"/>
      <c r="BB55" s="63"/>
      <c r="BC55" s="63">
        <f>Table46[[#This Row],[Feb_27_F]]-Table46[[#This Row],[Feb_27_A]]</f>
        <v>0</v>
      </c>
      <c r="BD55" s="63"/>
      <c r="BE55" s="63"/>
      <c r="BF55" s="63">
        <f>Table46[[#This Row],[Mar_27_F]]-Table46[[#This Row],[Mar_27_A]]</f>
        <v>0</v>
      </c>
      <c r="BG55" s="63"/>
      <c r="BH55" s="63"/>
      <c r="BI55" s="63">
        <f>Table46[[#This Row],[Apr_27_F]]-Table46[[#This Row],[Apr_27_A]]</f>
        <v>0</v>
      </c>
      <c r="BJ55" s="63"/>
      <c r="BK55" s="63"/>
      <c r="BL55" s="63">
        <f>Table46[[#This Row],[May_27_F]]-Table46[[#This Row],[May_27_A]]</f>
        <v>0</v>
      </c>
      <c r="BM55" s="63"/>
      <c r="BN55" s="63"/>
      <c r="BO55" s="63">
        <f>Table46[[#This Row],[Jun_27_F]]-Table46[[#This Row],[Jun_27_A]]</f>
        <v>0</v>
      </c>
      <c r="BP55" s="63"/>
      <c r="BQ55" s="63"/>
      <c r="BR55" s="63">
        <f>Table46[[#This Row],[Jul_27_F]]-Table46[[#This Row],[Jul_27_A]]</f>
        <v>0</v>
      </c>
      <c r="BS55" s="63"/>
      <c r="BT55" s="63"/>
      <c r="BU55" s="63">
        <f>Table46[[#This Row],[Aug_27_F]]-Table46[[#This Row],[Aug_27_A]]</f>
        <v>0</v>
      </c>
      <c r="BV55" s="63"/>
      <c r="BW55" s="63"/>
      <c r="BX55" s="63">
        <f>Table46[[#This Row],[Sep_27_F]]-Table46[[#This Row],[Sep_27_A]]</f>
        <v>0</v>
      </c>
      <c r="BY55" s="63"/>
      <c r="BZ55" s="63"/>
      <c r="CA55" s="63">
        <f>Table46[[#This Row],[Oct_27_F]]-Table46[[#This Row],[Oct_27_A]]</f>
        <v>0</v>
      </c>
      <c r="CB55" s="63"/>
      <c r="CC55" s="63"/>
      <c r="CD55" s="63">
        <f>Table46[[#This Row],[Nov_27_F]]-Table46[[#This Row],[Nov_27_A]]</f>
        <v>0</v>
      </c>
      <c r="CE55" s="63"/>
      <c r="CF55" s="63"/>
      <c r="CG55" s="63">
        <f>Table46[[#This Row],[Dec_27_F]]-Table46[[#This Row],[Dec_27_A]]</f>
        <v>0</v>
      </c>
    </row>
    <row r="56" spans="2:85" ht="14.45">
      <c r="B56" s="13"/>
      <c r="D56" s="61"/>
      <c r="F56" s="13"/>
      <c r="G56" s="13"/>
      <c r="H56" s="13"/>
      <c r="I56" s="13"/>
      <c r="J56" s="13"/>
      <c r="K56" s="87"/>
      <c r="L56" s="80"/>
      <c r="M56" s="63"/>
      <c r="N56" s="63"/>
      <c r="O56" s="63">
        <f>Table46[[#This Row],[Jan_26_F]]-Table46[[#This Row],[Jan_26_Act]]</f>
        <v>0</v>
      </c>
      <c r="P56" s="63"/>
      <c r="Q56" s="63"/>
      <c r="R56" s="63">
        <f>Table46[[#This Row],[Feb_26_F]]-Table46[[#This Row],[Feb_26_A]]</f>
        <v>0</v>
      </c>
      <c r="S56" s="63"/>
      <c r="T56" s="63"/>
      <c r="U56" s="63">
        <f>Table46[[#This Row],[Mar_26_F]]-Table46[[#This Row],[Mar_26_A]]</f>
        <v>0</v>
      </c>
      <c r="V56" s="63"/>
      <c r="W56" s="63"/>
      <c r="X56" s="63">
        <f>Table46[[#This Row],[Apr_26_F]]-Table46[[#This Row],[Apr_26_A]]</f>
        <v>0</v>
      </c>
      <c r="Y56" s="63"/>
      <c r="Z56" s="63"/>
      <c r="AA56" s="63">
        <f>Table46[[#This Row],[May_26_F]]-Table46[[#This Row],[May_26_A]]</f>
        <v>0</v>
      </c>
      <c r="AB56" s="63"/>
      <c r="AC56" s="63"/>
      <c r="AD56" s="63">
        <f>Table46[[#This Row],[Jun_26_F]]-Table46[[#This Row],[Jun_26_A]]</f>
        <v>0</v>
      </c>
      <c r="AE56" s="63"/>
      <c r="AF56" s="63"/>
      <c r="AG56" s="63">
        <f>Table46[[#This Row],[Jul_26_F]]-Table46[[#This Row],[Jul_26_A]]</f>
        <v>0</v>
      </c>
      <c r="AH56" s="63"/>
      <c r="AI56" s="63"/>
      <c r="AJ56" s="63">
        <f>Table46[[#This Row],[Aug_26_F]]-Table46[[#This Row],[Aug_26_A]]</f>
        <v>0</v>
      </c>
      <c r="AK56" s="63"/>
      <c r="AL56" s="63"/>
      <c r="AM56" s="63">
        <f>Table46[[#This Row],[Sep_26_F]]-Table46[[#This Row],[Sep_26_A]]</f>
        <v>0</v>
      </c>
      <c r="AN56" s="63"/>
      <c r="AO56" s="63"/>
      <c r="AP56" s="63">
        <f>Table46[[#This Row],[Oct_26_F]]-Table46[[#This Row],[Oct_26_A]]</f>
        <v>0</v>
      </c>
      <c r="AQ56" s="63"/>
      <c r="AR56" s="63"/>
      <c r="AS56" s="63">
        <f>Table46[[#This Row],[Nov_26_F]]-Table46[[#This Row],[Nov_26_A]]</f>
        <v>0</v>
      </c>
      <c r="AT56" s="63"/>
      <c r="AU56" s="63"/>
      <c r="AV56" s="63">
        <f>Table46[[#This Row],[Dec_26_F]]-Table46[[#This Row],[Dec_26_A]]</f>
        <v>0</v>
      </c>
      <c r="AW56" s="80"/>
      <c r="AX56" s="63"/>
      <c r="AY56" s="63"/>
      <c r="AZ56" s="63">
        <f>Table46[[#This Row],[Jan_27_F]]-Table46[[#This Row],[Jan_27_Act]]</f>
        <v>0</v>
      </c>
      <c r="BA56" s="63"/>
      <c r="BB56" s="63"/>
      <c r="BC56" s="63">
        <f>Table46[[#This Row],[Feb_27_F]]-Table46[[#This Row],[Feb_27_A]]</f>
        <v>0</v>
      </c>
      <c r="BD56" s="63"/>
      <c r="BE56" s="63"/>
      <c r="BF56" s="63">
        <f>Table46[[#This Row],[Mar_27_F]]-Table46[[#This Row],[Mar_27_A]]</f>
        <v>0</v>
      </c>
      <c r="BG56" s="63"/>
      <c r="BH56" s="63"/>
      <c r="BI56" s="63">
        <f>Table46[[#This Row],[Apr_27_F]]-Table46[[#This Row],[Apr_27_A]]</f>
        <v>0</v>
      </c>
      <c r="BJ56" s="63"/>
      <c r="BK56" s="63"/>
      <c r="BL56" s="63">
        <f>Table46[[#This Row],[May_27_F]]-Table46[[#This Row],[May_27_A]]</f>
        <v>0</v>
      </c>
      <c r="BM56" s="63"/>
      <c r="BN56" s="63"/>
      <c r="BO56" s="63">
        <f>Table46[[#This Row],[Jun_27_F]]-Table46[[#This Row],[Jun_27_A]]</f>
        <v>0</v>
      </c>
      <c r="BP56" s="63"/>
      <c r="BQ56" s="63"/>
      <c r="BR56" s="63">
        <f>Table46[[#This Row],[Jul_27_F]]-Table46[[#This Row],[Jul_27_A]]</f>
        <v>0</v>
      </c>
      <c r="BS56" s="63"/>
      <c r="BT56" s="63"/>
      <c r="BU56" s="63">
        <f>Table46[[#This Row],[Aug_27_F]]-Table46[[#This Row],[Aug_27_A]]</f>
        <v>0</v>
      </c>
      <c r="BV56" s="63"/>
      <c r="BW56" s="63"/>
      <c r="BX56" s="63">
        <f>Table46[[#This Row],[Sep_27_F]]-Table46[[#This Row],[Sep_27_A]]</f>
        <v>0</v>
      </c>
      <c r="BY56" s="63"/>
      <c r="BZ56" s="63"/>
      <c r="CA56" s="63">
        <f>Table46[[#This Row],[Oct_27_F]]-Table46[[#This Row],[Oct_27_A]]</f>
        <v>0</v>
      </c>
      <c r="CB56" s="63"/>
      <c r="CC56" s="63"/>
      <c r="CD56" s="63">
        <f>Table46[[#This Row],[Nov_27_F]]-Table46[[#This Row],[Nov_27_A]]</f>
        <v>0</v>
      </c>
      <c r="CE56" s="63"/>
      <c r="CF56" s="63"/>
      <c r="CG56" s="63">
        <f>Table46[[#This Row],[Dec_27_F]]-Table46[[#This Row],[Dec_27_A]]</f>
        <v>0</v>
      </c>
    </row>
    <row r="57" spans="2:85" ht="14.45">
      <c r="B57" s="13"/>
      <c r="D57" s="61"/>
      <c r="F57" s="13"/>
      <c r="G57" s="13"/>
      <c r="H57" s="13"/>
      <c r="I57" s="13"/>
      <c r="J57" s="13"/>
      <c r="K57" s="87"/>
      <c r="L57" s="80"/>
      <c r="M57" s="63"/>
      <c r="N57" s="63"/>
      <c r="O57" s="63">
        <f>Table46[[#This Row],[Jan_26_F]]-Table46[[#This Row],[Jan_26_Act]]</f>
        <v>0</v>
      </c>
      <c r="P57" s="63"/>
      <c r="Q57" s="63"/>
      <c r="R57" s="63">
        <f>Table46[[#This Row],[Feb_26_F]]-Table46[[#This Row],[Feb_26_A]]</f>
        <v>0</v>
      </c>
      <c r="S57" s="63"/>
      <c r="T57" s="63"/>
      <c r="U57" s="63">
        <f>Table46[[#This Row],[Mar_26_F]]-Table46[[#This Row],[Mar_26_A]]</f>
        <v>0</v>
      </c>
      <c r="V57" s="63"/>
      <c r="W57" s="63"/>
      <c r="X57" s="63">
        <f>Table46[[#This Row],[Apr_26_F]]-Table46[[#This Row],[Apr_26_A]]</f>
        <v>0</v>
      </c>
      <c r="Y57" s="63"/>
      <c r="Z57" s="63"/>
      <c r="AA57" s="63">
        <f>Table46[[#This Row],[May_26_F]]-Table46[[#This Row],[May_26_A]]</f>
        <v>0</v>
      </c>
      <c r="AB57" s="63"/>
      <c r="AC57" s="63"/>
      <c r="AD57" s="63">
        <f>Table46[[#This Row],[Jun_26_F]]-Table46[[#This Row],[Jun_26_A]]</f>
        <v>0</v>
      </c>
      <c r="AE57" s="63"/>
      <c r="AF57" s="63"/>
      <c r="AG57" s="63">
        <f>Table46[[#This Row],[Jul_26_F]]-Table46[[#This Row],[Jul_26_A]]</f>
        <v>0</v>
      </c>
      <c r="AH57" s="63"/>
      <c r="AI57" s="63"/>
      <c r="AJ57" s="63">
        <f>Table46[[#This Row],[Aug_26_F]]-Table46[[#This Row],[Aug_26_A]]</f>
        <v>0</v>
      </c>
      <c r="AK57" s="63"/>
      <c r="AL57" s="63"/>
      <c r="AM57" s="63">
        <f>Table46[[#This Row],[Sep_26_F]]-Table46[[#This Row],[Sep_26_A]]</f>
        <v>0</v>
      </c>
      <c r="AN57" s="63"/>
      <c r="AO57" s="63"/>
      <c r="AP57" s="63">
        <f>Table46[[#This Row],[Oct_26_F]]-Table46[[#This Row],[Oct_26_A]]</f>
        <v>0</v>
      </c>
      <c r="AQ57" s="63"/>
      <c r="AR57" s="63"/>
      <c r="AS57" s="63">
        <f>Table46[[#This Row],[Nov_26_F]]-Table46[[#This Row],[Nov_26_A]]</f>
        <v>0</v>
      </c>
      <c r="AT57" s="63"/>
      <c r="AU57" s="63"/>
      <c r="AV57" s="63">
        <f>Table46[[#This Row],[Dec_26_F]]-Table46[[#This Row],[Dec_26_A]]</f>
        <v>0</v>
      </c>
      <c r="AW57" s="80"/>
      <c r="AX57" s="63"/>
      <c r="AY57" s="63"/>
      <c r="AZ57" s="63">
        <f>Table46[[#This Row],[Jan_27_F]]-Table46[[#This Row],[Jan_27_Act]]</f>
        <v>0</v>
      </c>
      <c r="BA57" s="63"/>
      <c r="BB57" s="63"/>
      <c r="BC57" s="63">
        <f>Table46[[#This Row],[Feb_27_F]]-Table46[[#This Row],[Feb_27_A]]</f>
        <v>0</v>
      </c>
      <c r="BD57" s="63"/>
      <c r="BE57" s="63"/>
      <c r="BF57" s="63">
        <f>Table46[[#This Row],[Mar_27_F]]-Table46[[#This Row],[Mar_27_A]]</f>
        <v>0</v>
      </c>
      <c r="BG57" s="63"/>
      <c r="BH57" s="63"/>
      <c r="BI57" s="63">
        <f>Table46[[#This Row],[Apr_27_F]]-Table46[[#This Row],[Apr_27_A]]</f>
        <v>0</v>
      </c>
      <c r="BJ57" s="63"/>
      <c r="BK57" s="63"/>
      <c r="BL57" s="63">
        <f>Table46[[#This Row],[May_27_F]]-Table46[[#This Row],[May_27_A]]</f>
        <v>0</v>
      </c>
      <c r="BM57" s="63"/>
      <c r="BN57" s="63"/>
      <c r="BO57" s="63">
        <f>Table46[[#This Row],[Jun_27_F]]-Table46[[#This Row],[Jun_27_A]]</f>
        <v>0</v>
      </c>
      <c r="BP57" s="63"/>
      <c r="BQ57" s="63"/>
      <c r="BR57" s="63">
        <f>Table46[[#This Row],[Jul_27_F]]-Table46[[#This Row],[Jul_27_A]]</f>
        <v>0</v>
      </c>
      <c r="BS57" s="63"/>
      <c r="BT57" s="63"/>
      <c r="BU57" s="63">
        <f>Table46[[#This Row],[Aug_27_F]]-Table46[[#This Row],[Aug_27_A]]</f>
        <v>0</v>
      </c>
      <c r="BV57" s="63"/>
      <c r="BW57" s="63"/>
      <c r="BX57" s="63">
        <f>Table46[[#This Row],[Sep_27_F]]-Table46[[#This Row],[Sep_27_A]]</f>
        <v>0</v>
      </c>
      <c r="BY57" s="63"/>
      <c r="BZ57" s="63"/>
      <c r="CA57" s="63">
        <f>Table46[[#This Row],[Oct_27_F]]-Table46[[#This Row],[Oct_27_A]]</f>
        <v>0</v>
      </c>
      <c r="CB57" s="63"/>
      <c r="CC57" s="63"/>
      <c r="CD57" s="63">
        <f>Table46[[#This Row],[Nov_27_F]]-Table46[[#This Row],[Nov_27_A]]</f>
        <v>0</v>
      </c>
      <c r="CE57" s="63"/>
      <c r="CF57" s="63"/>
      <c r="CG57" s="63">
        <f>Table46[[#This Row],[Dec_27_F]]-Table46[[#This Row],[Dec_27_A]]</f>
        <v>0</v>
      </c>
    </row>
    <row r="58" spans="2:85" ht="14.45">
      <c r="B58" s="13"/>
      <c r="D58" s="61"/>
      <c r="F58" s="13"/>
      <c r="G58" s="13"/>
      <c r="H58" s="13"/>
      <c r="I58" s="13"/>
      <c r="J58" s="13"/>
      <c r="K58" s="87"/>
      <c r="L58" s="80"/>
      <c r="M58" s="63"/>
      <c r="N58" s="63"/>
      <c r="O58" s="63">
        <f>Table46[[#This Row],[Jan_26_F]]-Table46[[#This Row],[Jan_26_Act]]</f>
        <v>0</v>
      </c>
      <c r="P58" s="63"/>
      <c r="Q58" s="63"/>
      <c r="R58" s="63">
        <f>Table46[[#This Row],[Feb_26_F]]-Table46[[#This Row],[Feb_26_A]]</f>
        <v>0</v>
      </c>
      <c r="S58" s="63"/>
      <c r="T58" s="63"/>
      <c r="U58" s="63">
        <f>Table46[[#This Row],[Mar_26_F]]-Table46[[#This Row],[Mar_26_A]]</f>
        <v>0</v>
      </c>
      <c r="V58" s="63"/>
      <c r="W58" s="63"/>
      <c r="X58" s="63">
        <f>Table46[[#This Row],[Apr_26_F]]-Table46[[#This Row],[Apr_26_A]]</f>
        <v>0</v>
      </c>
      <c r="Y58" s="63"/>
      <c r="Z58" s="63"/>
      <c r="AA58" s="63">
        <f>Table46[[#This Row],[May_26_F]]-Table46[[#This Row],[May_26_A]]</f>
        <v>0</v>
      </c>
      <c r="AB58" s="63"/>
      <c r="AC58" s="63"/>
      <c r="AD58" s="63">
        <f>Table46[[#This Row],[Jun_26_F]]-Table46[[#This Row],[Jun_26_A]]</f>
        <v>0</v>
      </c>
      <c r="AE58" s="63"/>
      <c r="AF58" s="63"/>
      <c r="AG58" s="63">
        <f>Table46[[#This Row],[Jul_26_F]]-Table46[[#This Row],[Jul_26_A]]</f>
        <v>0</v>
      </c>
      <c r="AH58" s="63"/>
      <c r="AI58" s="63"/>
      <c r="AJ58" s="63">
        <f>Table46[[#This Row],[Aug_26_F]]-Table46[[#This Row],[Aug_26_A]]</f>
        <v>0</v>
      </c>
      <c r="AK58" s="63"/>
      <c r="AL58" s="63"/>
      <c r="AM58" s="63">
        <f>Table46[[#This Row],[Sep_26_F]]-Table46[[#This Row],[Sep_26_A]]</f>
        <v>0</v>
      </c>
      <c r="AN58" s="63"/>
      <c r="AO58" s="63"/>
      <c r="AP58" s="63">
        <f>Table46[[#This Row],[Oct_26_F]]-Table46[[#This Row],[Oct_26_A]]</f>
        <v>0</v>
      </c>
      <c r="AQ58" s="63"/>
      <c r="AR58" s="63"/>
      <c r="AS58" s="63">
        <f>Table46[[#This Row],[Nov_26_F]]-Table46[[#This Row],[Nov_26_A]]</f>
        <v>0</v>
      </c>
      <c r="AT58" s="63"/>
      <c r="AU58" s="63"/>
      <c r="AV58" s="63">
        <f>Table46[[#This Row],[Dec_26_F]]-Table46[[#This Row],[Dec_26_A]]</f>
        <v>0</v>
      </c>
      <c r="AW58" s="80"/>
      <c r="AX58" s="63"/>
      <c r="AY58" s="63"/>
      <c r="AZ58" s="63">
        <f>Table46[[#This Row],[Jan_27_F]]-Table46[[#This Row],[Jan_27_Act]]</f>
        <v>0</v>
      </c>
      <c r="BA58" s="63"/>
      <c r="BB58" s="63"/>
      <c r="BC58" s="63">
        <f>Table46[[#This Row],[Feb_27_F]]-Table46[[#This Row],[Feb_27_A]]</f>
        <v>0</v>
      </c>
      <c r="BD58" s="63"/>
      <c r="BE58" s="63"/>
      <c r="BF58" s="63">
        <f>Table46[[#This Row],[Mar_27_F]]-Table46[[#This Row],[Mar_27_A]]</f>
        <v>0</v>
      </c>
      <c r="BG58" s="63"/>
      <c r="BH58" s="63"/>
      <c r="BI58" s="63">
        <f>Table46[[#This Row],[Apr_27_F]]-Table46[[#This Row],[Apr_27_A]]</f>
        <v>0</v>
      </c>
      <c r="BJ58" s="63"/>
      <c r="BK58" s="63"/>
      <c r="BL58" s="63">
        <f>Table46[[#This Row],[May_27_F]]-Table46[[#This Row],[May_27_A]]</f>
        <v>0</v>
      </c>
      <c r="BM58" s="63"/>
      <c r="BN58" s="63"/>
      <c r="BO58" s="63">
        <f>Table46[[#This Row],[Jun_27_F]]-Table46[[#This Row],[Jun_27_A]]</f>
        <v>0</v>
      </c>
      <c r="BP58" s="63"/>
      <c r="BQ58" s="63"/>
      <c r="BR58" s="63">
        <f>Table46[[#This Row],[Jul_27_F]]-Table46[[#This Row],[Jul_27_A]]</f>
        <v>0</v>
      </c>
      <c r="BS58" s="63"/>
      <c r="BT58" s="63"/>
      <c r="BU58" s="63">
        <f>Table46[[#This Row],[Aug_27_F]]-Table46[[#This Row],[Aug_27_A]]</f>
        <v>0</v>
      </c>
      <c r="BV58" s="63"/>
      <c r="BW58" s="63"/>
      <c r="BX58" s="63">
        <f>Table46[[#This Row],[Sep_27_F]]-Table46[[#This Row],[Sep_27_A]]</f>
        <v>0</v>
      </c>
      <c r="BY58" s="63"/>
      <c r="BZ58" s="63"/>
      <c r="CA58" s="63">
        <f>Table46[[#This Row],[Oct_27_F]]-Table46[[#This Row],[Oct_27_A]]</f>
        <v>0</v>
      </c>
      <c r="CB58" s="63"/>
      <c r="CC58" s="63"/>
      <c r="CD58" s="63">
        <f>Table46[[#This Row],[Nov_27_F]]-Table46[[#This Row],[Nov_27_A]]</f>
        <v>0</v>
      </c>
      <c r="CE58" s="63"/>
      <c r="CF58" s="63"/>
      <c r="CG58" s="63">
        <f>Table46[[#This Row],[Dec_27_F]]-Table46[[#This Row],[Dec_27_A]]</f>
        <v>0</v>
      </c>
    </row>
    <row r="59" spans="2:85" ht="14.45">
      <c r="B59" s="13"/>
      <c r="D59" s="61"/>
      <c r="F59" s="13"/>
      <c r="G59" s="13"/>
      <c r="H59" s="13"/>
      <c r="I59" s="13"/>
      <c r="J59" s="13"/>
      <c r="K59" s="87"/>
      <c r="L59" s="80"/>
      <c r="M59" s="63"/>
      <c r="N59" s="63"/>
      <c r="O59" s="63">
        <f>Table46[[#This Row],[Jan_26_F]]-Table46[[#This Row],[Jan_26_Act]]</f>
        <v>0</v>
      </c>
      <c r="P59" s="63"/>
      <c r="Q59" s="63"/>
      <c r="R59" s="63">
        <f>Table46[[#This Row],[Feb_26_F]]-Table46[[#This Row],[Feb_26_A]]</f>
        <v>0</v>
      </c>
      <c r="S59" s="63"/>
      <c r="T59" s="63"/>
      <c r="U59" s="63">
        <f>Table46[[#This Row],[Mar_26_F]]-Table46[[#This Row],[Mar_26_A]]</f>
        <v>0</v>
      </c>
      <c r="V59" s="63"/>
      <c r="W59" s="63"/>
      <c r="X59" s="63">
        <f>Table46[[#This Row],[Apr_26_F]]-Table46[[#This Row],[Apr_26_A]]</f>
        <v>0</v>
      </c>
      <c r="Y59" s="63"/>
      <c r="Z59" s="63"/>
      <c r="AA59" s="63">
        <f>Table46[[#This Row],[May_26_F]]-Table46[[#This Row],[May_26_A]]</f>
        <v>0</v>
      </c>
      <c r="AB59" s="63"/>
      <c r="AC59" s="63"/>
      <c r="AD59" s="63">
        <f>Table46[[#This Row],[Jun_26_F]]-Table46[[#This Row],[Jun_26_A]]</f>
        <v>0</v>
      </c>
      <c r="AE59" s="63"/>
      <c r="AF59" s="63"/>
      <c r="AG59" s="63">
        <f>Table46[[#This Row],[Jul_26_F]]-Table46[[#This Row],[Jul_26_A]]</f>
        <v>0</v>
      </c>
      <c r="AH59" s="63"/>
      <c r="AI59" s="63"/>
      <c r="AJ59" s="63">
        <f>Table46[[#This Row],[Aug_26_F]]-Table46[[#This Row],[Aug_26_A]]</f>
        <v>0</v>
      </c>
      <c r="AK59" s="63"/>
      <c r="AL59" s="63"/>
      <c r="AM59" s="63">
        <f>Table46[[#This Row],[Sep_26_F]]-Table46[[#This Row],[Sep_26_A]]</f>
        <v>0</v>
      </c>
      <c r="AN59" s="63"/>
      <c r="AO59" s="63"/>
      <c r="AP59" s="63">
        <f>Table46[[#This Row],[Oct_26_F]]-Table46[[#This Row],[Oct_26_A]]</f>
        <v>0</v>
      </c>
      <c r="AQ59" s="63"/>
      <c r="AR59" s="63"/>
      <c r="AS59" s="63">
        <f>Table46[[#This Row],[Nov_26_F]]-Table46[[#This Row],[Nov_26_A]]</f>
        <v>0</v>
      </c>
      <c r="AT59" s="63"/>
      <c r="AU59" s="63"/>
      <c r="AV59" s="63">
        <f>Table46[[#This Row],[Dec_26_F]]-Table46[[#This Row],[Dec_26_A]]</f>
        <v>0</v>
      </c>
      <c r="AW59" s="80"/>
      <c r="AX59" s="63"/>
      <c r="AY59" s="63"/>
      <c r="AZ59" s="63">
        <f>Table46[[#This Row],[Jan_27_F]]-Table46[[#This Row],[Jan_27_Act]]</f>
        <v>0</v>
      </c>
      <c r="BA59" s="63"/>
      <c r="BB59" s="63"/>
      <c r="BC59" s="63">
        <f>Table46[[#This Row],[Feb_27_F]]-Table46[[#This Row],[Feb_27_A]]</f>
        <v>0</v>
      </c>
      <c r="BD59" s="63"/>
      <c r="BE59" s="63"/>
      <c r="BF59" s="63">
        <f>Table46[[#This Row],[Mar_27_F]]-Table46[[#This Row],[Mar_27_A]]</f>
        <v>0</v>
      </c>
      <c r="BG59" s="63"/>
      <c r="BH59" s="63"/>
      <c r="BI59" s="63">
        <f>Table46[[#This Row],[Apr_27_F]]-Table46[[#This Row],[Apr_27_A]]</f>
        <v>0</v>
      </c>
      <c r="BJ59" s="63"/>
      <c r="BK59" s="63"/>
      <c r="BL59" s="63">
        <f>Table46[[#This Row],[May_27_F]]-Table46[[#This Row],[May_27_A]]</f>
        <v>0</v>
      </c>
      <c r="BM59" s="63"/>
      <c r="BN59" s="63"/>
      <c r="BO59" s="63">
        <f>Table46[[#This Row],[Jun_27_F]]-Table46[[#This Row],[Jun_27_A]]</f>
        <v>0</v>
      </c>
      <c r="BP59" s="63"/>
      <c r="BQ59" s="63"/>
      <c r="BR59" s="63">
        <f>Table46[[#This Row],[Jul_27_F]]-Table46[[#This Row],[Jul_27_A]]</f>
        <v>0</v>
      </c>
      <c r="BS59" s="63"/>
      <c r="BT59" s="63"/>
      <c r="BU59" s="63">
        <f>Table46[[#This Row],[Aug_27_F]]-Table46[[#This Row],[Aug_27_A]]</f>
        <v>0</v>
      </c>
      <c r="BV59" s="63"/>
      <c r="BW59" s="63"/>
      <c r="BX59" s="63">
        <f>Table46[[#This Row],[Sep_27_F]]-Table46[[#This Row],[Sep_27_A]]</f>
        <v>0</v>
      </c>
      <c r="BY59" s="63"/>
      <c r="BZ59" s="63"/>
      <c r="CA59" s="63">
        <f>Table46[[#This Row],[Oct_27_F]]-Table46[[#This Row],[Oct_27_A]]</f>
        <v>0</v>
      </c>
      <c r="CB59" s="63"/>
      <c r="CC59" s="63"/>
      <c r="CD59" s="63">
        <f>Table46[[#This Row],[Nov_27_F]]-Table46[[#This Row],[Nov_27_A]]</f>
        <v>0</v>
      </c>
      <c r="CE59" s="63"/>
      <c r="CF59" s="63"/>
      <c r="CG59" s="63">
        <f>Table46[[#This Row],[Dec_27_F]]-Table46[[#This Row],[Dec_27_A]]</f>
        <v>0</v>
      </c>
    </row>
    <row r="60" spans="2:85" ht="14.45">
      <c r="L60" s="60"/>
      <c r="AW60" s="60"/>
    </row>
    <row r="61" spans="2:85" ht="14.45">
      <c r="L61" s="60"/>
      <c r="AW61" s="60"/>
    </row>
    <row r="62" spans="2:85" ht="14.45">
      <c r="L62" s="60"/>
      <c r="AW62" s="60"/>
    </row>
    <row r="63" spans="2:85" ht="14.45">
      <c r="L63" s="60"/>
      <c r="AW63" s="60"/>
    </row>
    <row r="64" spans="2:85" ht="14.45">
      <c r="L64" s="60"/>
      <c r="AW64" s="60"/>
    </row>
    <row r="65" spans="12:49" ht="14.45">
      <c r="L65" s="60"/>
      <c r="AW65" s="60"/>
    </row>
    <row r="66" spans="12:49" ht="14.45">
      <c r="L66" s="60"/>
      <c r="AW66" s="60"/>
    </row>
    <row r="67" spans="12:49" ht="14.45">
      <c r="L67" s="60"/>
      <c r="AW67" s="60"/>
    </row>
    <row r="68" spans="12:49" ht="14.45">
      <c r="L68" s="60"/>
      <c r="AW68" s="60"/>
    </row>
    <row r="69" spans="12:49" ht="14.45">
      <c r="L69" s="60"/>
      <c r="AW69" s="60"/>
    </row>
    <row r="70" spans="12:49" ht="14.45">
      <c r="L70" s="60"/>
      <c r="AW70" s="60"/>
    </row>
    <row r="71" spans="12:49" ht="14.45">
      <c r="L71" s="60"/>
      <c r="AW71" s="60"/>
    </row>
    <row r="72" spans="12:49" ht="14.45">
      <c r="L72" s="60"/>
      <c r="AW72" s="60"/>
    </row>
    <row r="73" spans="12:49" ht="14.45">
      <c r="L73" s="60"/>
      <c r="AW73" s="60"/>
    </row>
    <row r="74" spans="12:49" ht="14.45">
      <c r="L74" s="60"/>
      <c r="AW74" s="60"/>
    </row>
    <row r="75" spans="12:49" ht="14.45">
      <c r="L75" s="60"/>
      <c r="AW75" s="60"/>
    </row>
    <row r="76" spans="12:49" ht="14.45">
      <c r="L76" s="60"/>
      <c r="AW76" s="60"/>
    </row>
    <row r="77" spans="12:49" ht="14.45">
      <c r="L77" s="60"/>
      <c r="AW77" s="60"/>
    </row>
    <row r="78" spans="12:49" ht="14.45">
      <c r="L78" s="60"/>
      <c r="AW78" s="60"/>
    </row>
    <row r="79" spans="12:49" ht="14.45">
      <c r="L79" s="60"/>
      <c r="AW79" s="60"/>
    </row>
    <row r="80" spans="12:49" ht="14.45">
      <c r="L80" s="60"/>
      <c r="AW80" s="60"/>
    </row>
    <row r="81" spans="12:49" ht="14.45">
      <c r="L81" s="60"/>
      <c r="AW81" s="60"/>
    </row>
    <row r="82" spans="12:49" ht="14.45">
      <c r="L82" s="60"/>
      <c r="AW82" s="60"/>
    </row>
    <row r="83" spans="12:49" ht="14.45">
      <c r="L83" s="60"/>
      <c r="AW83" s="60"/>
    </row>
    <row r="84" spans="12:49" ht="14.45">
      <c r="L84" s="60"/>
      <c r="AW84" s="60"/>
    </row>
    <row r="85" spans="12:49" ht="14.45">
      <c r="L85" s="60"/>
      <c r="AW85" s="60"/>
    </row>
    <row r="86" spans="12:49" ht="14.45">
      <c r="L86" s="60"/>
      <c r="AW86" s="60"/>
    </row>
    <row r="87" spans="12:49" ht="14.45">
      <c r="L87" s="60"/>
      <c r="AW87" s="60"/>
    </row>
    <row r="88" spans="12:49" ht="14.45">
      <c r="L88" s="60"/>
      <c r="AW88" s="60"/>
    </row>
    <row r="89" spans="12:49" ht="14.45">
      <c r="L89" s="60"/>
      <c r="AW89" s="60"/>
    </row>
    <row r="90" spans="12:49" ht="14.45">
      <c r="L90" s="60"/>
      <c r="AW90" s="60"/>
    </row>
    <row r="91" spans="12:49" ht="14.45">
      <c r="L91" s="60"/>
      <c r="AW91" s="60"/>
    </row>
    <row r="92" spans="12:49" ht="14.45">
      <c r="L92" s="60"/>
      <c r="AW92" s="60"/>
    </row>
    <row r="93" spans="12:49" ht="14.45">
      <c r="L93" s="60"/>
      <c r="AW93" s="60"/>
    </row>
    <row r="94" spans="12:49" ht="14.45">
      <c r="L94" s="60"/>
      <c r="AW94" s="60"/>
    </row>
    <row r="95" spans="12:49" ht="14.45">
      <c r="L95" s="60"/>
      <c r="AW95" s="60"/>
    </row>
    <row r="96" spans="12:49" ht="14.45">
      <c r="L96" s="60"/>
      <c r="AW96" s="60"/>
    </row>
    <row r="97" spans="12:49" ht="14.45">
      <c r="L97" s="60"/>
      <c r="AW97" s="60"/>
    </row>
    <row r="98" spans="12:49" ht="14.45">
      <c r="L98" s="60"/>
      <c r="AW98" s="60"/>
    </row>
    <row r="99" spans="12:49" ht="14.45">
      <c r="L99" s="60"/>
      <c r="AW99" s="60"/>
    </row>
    <row r="100" spans="12:49" ht="14.45">
      <c r="L100" s="60"/>
      <c r="AW100" s="60"/>
    </row>
    <row r="101" spans="12:49" ht="14.45">
      <c r="L101" s="60"/>
      <c r="AW101" s="60"/>
    </row>
    <row r="102" spans="12:49" ht="14.45">
      <c r="L102" s="60"/>
      <c r="AW102" s="60"/>
    </row>
    <row r="103" spans="12:49" ht="14.45">
      <c r="L103" s="60"/>
      <c r="AW103" s="60"/>
    </row>
    <row r="104" spans="12:49" ht="14.45">
      <c r="L104" s="60"/>
      <c r="AW104" s="60"/>
    </row>
    <row r="105" spans="12:49" ht="14.45">
      <c r="L105" s="60"/>
      <c r="AW105" s="60"/>
    </row>
    <row r="106" spans="12:49" ht="14.45">
      <c r="L106" s="60"/>
      <c r="AW106" s="60"/>
    </row>
    <row r="107" spans="12:49" ht="14.45">
      <c r="L107" s="60"/>
      <c r="AW107" s="60"/>
    </row>
    <row r="108" spans="12:49" ht="14.45">
      <c r="L108" s="60"/>
      <c r="AW108" s="60"/>
    </row>
    <row r="109" spans="12:49" ht="14.45">
      <c r="L109" s="60"/>
      <c r="AW109" s="60"/>
    </row>
    <row r="110" spans="12:49" ht="14.45">
      <c r="L110" s="60"/>
      <c r="AW110" s="60"/>
    </row>
    <row r="111" spans="12:49" ht="14.45">
      <c r="L111" s="60"/>
      <c r="AW111" s="60"/>
    </row>
    <row r="112" spans="12:49" ht="14.45">
      <c r="L112" s="60"/>
      <c r="AW112" s="60"/>
    </row>
    <row r="113" spans="12:49" ht="14.45">
      <c r="L113" s="60"/>
      <c r="AW113" s="60"/>
    </row>
    <row r="114" spans="12:49" ht="14.45">
      <c r="L114" s="60"/>
      <c r="AW114" s="60"/>
    </row>
    <row r="115" spans="12:49" ht="14.45">
      <c r="L115" s="60"/>
      <c r="AW115" s="60"/>
    </row>
    <row r="116" spans="12:49" ht="14.45">
      <c r="L116" s="60"/>
      <c r="AW116" s="60"/>
    </row>
    <row r="117" spans="12:49" ht="14.45">
      <c r="L117" s="60"/>
      <c r="AW117" s="60"/>
    </row>
    <row r="118" spans="12:49" ht="14.45">
      <c r="L118" s="60"/>
      <c r="AW118" s="60"/>
    </row>
    <row r="119" spans="12:49" ht="14.45">
      <c r="L119" s="60"/>
      <c r="AW119" s="60"/>
    </row>
    <row r="120" spans="12:49" ht="14.45">
      <c r="L120" s="60"/>
      <c r="AW120" s="60"/>
    </row>
    <row r="121" spans="12:49" ht="14.45">
      <c r="L121" s="60"/>
      <c r="AW121" s="60"/>
    </row>
    <row r="122" spans="12:49" ht="14.45">
      <c r="L122" s="60"/>
      <c r="AW122" s="60"/>
    </row>
    <row r="123" spans="12:49" ht="14.45">
      <c r="L123" s="60"/>
      <c r="AW123" s="60"/>
    </row>
    <row r="124" spans="12:49" ht="14.45">
      <c r="L124" s="60"/>
      <c r="AW124" s="60"/>
    </row>
    <row r="125" spans="12:49" ht="14.45">
      <c r="L125" s="60"/>
      <c r="AW125" s="60"/>
    </row>
    <row r="126" spans="12:49" ht="14.45">
      <c r="L126" s="60"/>
      <c r="AW126" s="60"/>
    </row>
    <row r="127" spans="12:49" ht="14.45">
      <c r="L127" s="60"/>
      <c r="AW127" s="60"/>
    </row>
    <row r="128" spans="12:49" ht="14.45">
      <c r="L128" s="60"/>
      <c r="AW128" s="60"/>
    </row>
    <row r="129" spans="12:49" ht="14.45">
      <c r="L129" s="60"/>
      <c r="AW129" s="60"/>
    </row>
    <row r="130" spans="12:49" ht="14.45">
      <c r="L130" s="60"/>
      <c r="AW130" s="60"/>
    </row>
    <row r="131" spans="12:49" ht="14.45">
      <c r="L131" s="60"/>
      <c r="AW131" s="60"/>
    </row>
    <row r="132" spans="12:49" ht="14.45">
      <c r="L132" s="60"/>
      <c r="AW132" s="60"/>
    </row>
    <row r="133" spans="12:49" ht="14.45">
      <c r="L133" s="60"/>
      <c r="AW133" s="60"/>
    </row>
    <row r="134" spans="12:49" ht="14.45">
      <c r="L134" s="60"/>
      <c r="AW134" s="60"/>
    </row>
    <row r="135" spans="12:49" ht="14.45">
      <c r="L135" s="60"/>
      <c r="AW135" s="60"/>
    </row>
    <row r="136" spans="12:49" ht="14.45">
      <c r="L136" s="60"/>
      <c r="AW136" s="60"/>
    </row>
    <row r="137" spans="12:49" ht="14.45">
      <c r="L137" s="60"/>
      <c r="AW137" s="60"/>
    </row>
    <row r="138" spans="12:49" ht="14.45">
      <c r="L138" s="60"/>
      <c r="AW138" s="60"/>
    </row>
    <row r="139" spans="12:49" ht="14.45">
      <c r="L139" s="60"/>
      <c r="AW139" s="60"/>
    </row>
    <row r="140" spans="12:49" ht="14.45">
      <c r="L140" s="60"/>
      <c r="AW140" s="60"/>
    </row>
    <row r="141" spans="12:49" ht="14.45">
      <c r="L141" s="60"/>
      <c r="AW141" s="60"/>
    </row>
    <row r="142" spans="12:49" ht="14.45">
      <c r="L142" s="60"/>
      <c r="AW142" s="60"/>
    </row>
    <row r="143" spans="12:49" ht="14.45">
      <c r="L143" s="60"/>
      <c r="AW143" s="60"/>
    </row>
    <row r="144" spans="12:49" ht="14.45">
      <c r="L144" s="60"/>
      <c r="AW144" s="60"/>
    </row>
    <row r="145" spans="12:49" ht="14.45">
      <c r="L145" s="60"/>
      <c r="AW145" s="60"/>
    </row>
    <row r="146" spans="12:49" ht="14.45">
      <c r="L146" s="60"/>
      <c r="AW146" s="60"/>
    </row>
    <row r="147" spans="12:49" ht="14.45">
      <c r="L147" s="60"/>
      <c r="AW147" s="60"/>
    </row>
    <row r="148" spans="12:49" ht="14.45">
      <c r="L148" s="60"/>
      <c r="AW148" s="60"/>
    </row>
    <row r="149" spans="12:49" ht="14.45">
      <c r="L149" s="60"/>
      <c r="AW149" s="60"/>
    </row>
    <row r="150" spans="12:49" ht="14.45">
      <c r="L150" s="60"/>
      <c r="AW150" s="60"/>
    </row>
    <row r="151" spans="12:49" ht="14.45">
      <c r="L151" s="60"/>
      <c r="AW151" s="60"/>
    </row>
    <row r="152" spans="12:49" ht="14.45">
      <c r="L152" s="60"/>
      <c r="AW152" s="60"/>
    </row>
    <row r="153" spans="12:49" ht="14.45">
      <c r="L153" s="60"/>
      <c r="AW153" s="60"/>
    </row>
    <row r="154" spans="12:49" ht="14.45">
      <c r="L154" s="60"/>
      <c r="AW154" s="60"/>
    </row>
    <row r="155" spans="12:49" ht="14.45">
      <c r="L155" s="60"/>
      <c r="AW155" s="60"/>
    </row>
    <row r="156" spans="12:49" ht="14.45">
      <c r="L156" s="60"/>
      <c r="AW156" s="60"/>
    </row>
    <row r="157" spans="12:49" ht="14.45">
      <c r="L157" s="60"/>
      <c r="AW157" s="60"/>
    </row>
    <row r="158" spans="12:49" ht="14.45">
      <c r="L158" s="60"/>
      <c r="AW158" s="60"/>
    </row>
    <row r="159" spans="12:49" ht="14.45">
      <c r="L159" s="60"/>
      <c r="AW159" s="60"/>
    </row>
    <row r="160" spans="12:49" ht="14.45">
      <c r="L160" s="60"/>
      <c r="AW160" s="60"/>
    </row>
    <row r="161" spans="12:49" ht="14.45">
      <c r="L161" s="60"/>
      <c r="AW161" s="60"/>
    </row>
    <row r="162" spans="12:49" ht="14.45">
      <c r="L162" s="60"/>
      <c r="AW162" s="60"/>
    </row>
    <row r="163" spans="12:49" ht="14.45">
      <c r="L163" s="60"/>
      <c r="AW163" s="60"/>
    </row>
    <row r="164" spans="12:49" ht="14.45">
      <c r="L164" s="60"/>
      <c r="AW164" s="60"/>
    </row>
    <row r="165" spans="12:49" ht="14.45">
      <c r="L165" s="60"/>
      <c r="AW165" s="60"/>
    </row>
    <row r="166" spans="12:49" ht="14.45">
      <c r="L166" s="60"/>
      <c r="AW166" s="60"/>
    </row>
    <row r="167" spans="12:49" ht="14.45">
      <c r="L167" s="60"/>
      <c r="AW167" s="60"/>
    </row>
    <row r="168" spans="12:49" ht="14.45">
      <c r="L168" s="60"/>
      <c r="AW168" s="60"/>
    </row>
    <row r="169" spans="12:49" ht="14.45">
      <c r="L169" s="60"/>
      <c r="AW169" s="60"/>
    </row>
    <row r="170" spans="12:49" ht="14.45">
      <c r="L170" s="60"/>
      <c r="AW170" s="60"/>
    </row>
    <row r="171" spans="12:49" ht="14.45">
      <c r="L171" s="60"/>
      <c r="AW171" s="60"/>
    </row>
    <row r="172" spans="12:49" ht="14.45">
      <c r="L172" s="60"/>
      <c r="AW172" s="60"/>
    </row>
    <row r="173" spans="12:49" ht="14.45">
      <c r="L173" s="60"/>
      <c r="AW173" s="60"/>
    </row>
    <row r="174" spans="12:49" ht="14.45">
      <c r="L174" s="60"/>
      <c r="AW174" s="60"/>
    </row>
    <row r="175" spans="12:49" ht="14.45">
      <c r="L175" s="60"/>
      <c r="AW175" s="60"/>
    </row>
    <row r="176" spans="12:49" ht="14.45">
      <c r="L176" s="60"/>
      <c r="AW176" s="60"/>
    </row>
    <row r="177" spans="12:49" ht="14.45">
      <c r="L177" s="60"/>
      <c r="AW177" s="60"/>
    </row>
    <row r="178" spans="12:49" ht="14.45">
      <c r="L178" s="60"/>
      <c r="AW178" s="60"/>
    </row>
    <row r="179" spans="12:49" ht="14.45">
      <c r="L179" s="60"/>
      <c r="AW179" s="60"/>
    </row>
    <row r="180" spans="12:49" ht="14.45">
      <c r="L180" s="60"/>
      <c r="AW180" s="60"/>
    </row>
    <row r="181" spans="12:49" ht="14.45">
      <c r="L181" s="60"/>
      <c r="AW181" s="60"/>
    </row>
    <row r="182" spans="12:49" ht="14.45">
      <c r="L182" s="60"/>
      <c r="AW182" s="60"/>
    </row>
    <row r="183" spans="12:49" ht="14.45">
      <c r="L183" s="60"/>
      <c r="AW183" s="60"/>
    </row>
    <row r="184" spans="12:49" ht="14.45">
      <c r="L184" s="60"/>
      <c r="AW184" s="60"/>
    </row>
    <row r="185" spans="12:49" ht="14.45">
      <c r="L185" s="60"/>
      <c r="AW185" s="60"/>
    </row>
    <row r="186" spans="12:49" ht="14.45">
      <c r="L186" s="60"/>
      <c r="AW186" s="60"/>
    </row>
    <row r="187" spans="12:49" ht="14.45">
      <c r="L187" s="60"/>
      <c r="AW187" s="60"/>
    </row>
    <row r="188" spans="12:49" ht="14.45">
      <c r="L188" s="60"/>
      <c r="AW188" s="60"/>
    </row>
    <row r="189" spans="12:49" ht="14.45">
      <c r="L189" s="60"/>
      <c r="AW189" s="60"/>
    </row>
    <row r="190" spans="12:49" ht="14.45">
      <c r="L190" s="60"/>
      <c r="AW190" s="60"/>
    </row>
    <row r="191" spans="12:49" ht="14.45">
      <c r="L191" s="60"/>
      <c r="AW191" s="60"/>
    </row>
    <row r="192" spans="12:49" ht="14.45">
      <c r="L192" s="60"/>
      <c r="AW192" s="60"/>
    </row>
    <row r="193" spans="12:49" ht="14.45">
      <c r="L193" s="60"/>
      <c r="AW193" s="60"/>
    </row>
    <row r="194" spans="12:49" ht="14.45">
      <c r="L194" s="60"/>
      <c r="AW194" s="60"/>
    </row>
    <row r="195" spans="12:49" ht="14.45">
      <c r="L195" s="60"/>
      <c r="AW195" s="60"/>
    </row>
    <row r="196" spans="12:49" ht="14.45">
      <c r="L196" s="60"/>
      <c r="AW196" s="60"/>
    </row>
    <row r="197" spans="12:49" ht="14.45">
      <c r="L197" s="60"/>
      <c r="AW197" s="60"/>
    </row>
    <row r="198" spans="12:49" ht="14.45">
      <c r="L198" s="60"/>
      <c r="AW198" s="60"/>
    </row>
    <row r="199" spans="12:49" ht="14.45">
      <c r="L199" s="60"/>
      <c r="AW199" s="60"/>
    </row>
    <row r="200" spans="12:49" ht="14.45">
      <c r="L200" s="60"/>
      <c r="AW200" s="60"/>
    </row>
    <row r="201" spans="12:49" ht="14.45">
      <c r="L201" s="60"/>
      <c r="AW201" s="60"/>
    </row>
    <row r="202" spans="12:49" ht="14.45">
      <c r="L202" s="60"/>
      <c r="AW202" s="60"/>
    </row>
    <row r="203" spans="12:49" ht="14.45">
      <c r="L203" s="60"/>
      <c r="AW203" s="60"/>
    </row>
    <row r="204" spans="12:49" ht="14.45">
      <c r="L204" s="60"/>
      <c r="AW204" s="60"/>
    </row>
    <row r="205" spans="12:49" ht="14.45">
      <c r="L205" s="60"/>
      <c r="AW205" s="60"/>
    </row>
    <row r="206" spans="12:49" ht="14.45">
      <c r="L206" s="60"/>
      <c r="AW206" s="60"/>
    </row>
    <row r="207" spans="12:49" ht="14.45">
      <c r="L207" s="60"/>
      <c r="AW207" s="60"/>
    </row>
    <row r="208" spans="12:49" ht="14.45">
      <c r="L208" s="60"/>
      <c r="AW208" s="60"/>
    </row>
    <row r="209" spans="12:49" ht="14.45">
      <c r="L209" s="60"/>
      <c r="AW209" s="60"/>
    </row>
    <row r="210" spans="12:49" ht="14.45">
      <c r="L210" s="60"/>
      <c r="AW210" s="60"/>
    </row>
    <row r="211" spans="12:49" ht="14.45">
      <c r="L211" s="60"/>
      <c r="AW211" s="60"/>
    </row>
    <row r="212" spans="12:49" ht="14.45">
      <c r="L212" s="60"/>
      <c r="AW212" s="60"/>
    </row>
    <row r="213" spans="12:49" ht="14.45">
      <c r="L213" s="60"/>
      <c r="AW213" s="60"/>
    </row>
    <row r="214" spans="12:49" ht="14.45">
      <c r="L214" s="60"/>
      <c r="AW214" s="60"/>
    </row>
    <row r="215" spans="12:49" ht="14.45">
      <c r="L215" s="60"/>
      <c r="AW215" s="60"/>
    </row>
    <row r="216" spans="12:49" ht="14.45">
      <c r="L216" s="60"/>
      <c r="AW216" s="60"/>
    </row>
    <row r="217" spans="12:49" ht="14.45">
      <c r="L217" s="60"/>
      <c r="AW217" s="60"/>
    </row>
    <row r="218" spans="12:49" ht="14.45">
      <c r="L218" s="60"/>
      <c r="AW218" s="60"/>
    </row>
    <row r="219" spans="12:49" ht="14.45">
      <c r="L219" s="60"/>
      <c r="AW219" s="60"/>
    </row>
    <row r="220" spans="12:49" ht="14.45">
      <c r="L220" s="60"/>
      <c r="AW220" s="60"/>
    </row>
    <row r="221" spans="12:49" ht="14.45">
      <c r="L221" s="60"/>
      <c r="AW221" s="60"/>
    </row>
    <row r="222" spans="12:49" ht="14.45">
      <c r="L222" s="60"/>
      <c r="AW222" s="60"/>
    </row>
    <row r="223" spans="12:49" ht="14.45">
      <c r="L223" s="60"/>
      <c r="AW223" s="60"/>
    </row>
    <row r="224" spans="12:49" ht="14.45">
      <c r="L224" s="60"/>
      <c r="AW224" s="60"/>
    </row>
    <row r="225" spans="12:49" ht="14.45">
      <c r="L225" s="60"/>
      <c r="AW225" s="60"/>
    </row>
    <row r="226" spans="12:49" ht="14.45">
      <c r="L226" s="60"/>
      <c r="AW226" s="60"/>
    </row>
    <row r="227" spans="12:49" ht="14.45">
      <c r="L227" s="60"/>
      <c r="AW227" s="60"/>
    </row>
    <row r="228" spans="12:49" ht="14.45">
      <c r="L228" s="60"/>
      <c r="AW228" s="60"/>
    </row>
    <row r="229" spans="12:49" ht="14.45">
      <c r="L229" s="60"/>
      <c r="AW229" s="60"/>
    </row>
    <row r="230" spans="12:49" ht="14.45">
      <c r="L230" s="60"/>
      <c r="AW230" s="60"/>
    </row>
    <row r="231" spans="12:49" ht="14.45">
      <c r="L231" s="60"/>
      <c r="AW231" s="60"/>
    </row>
    <row r="232" spans="12:49" ht="14.45">
      <c r="L232" s="60"/>
      <c r="AW232" s="60"/>
    </row>
    <row r="233" spans="12:49" ht="14.45">
      <c r="L233" s="60"/>
      <c r="AW233" s="60"/>
    </row>
    <row r="234" spans="12:49" ht="14.45">
      <c r="L234" s="60"/>
      <c r="AW234" s="60"/>
    </row>
    <row r="235" spans="12:49" ht="14.45">
      <c r="L235" s="60"/>
      <c r="AW235" s="60"/>
    </row>
    <row r="236" spans="12:49" ht="14.45">
      <c r="L236" s="60"/>
      <c r="AW236" s="60"/>
    </row>
    <row r="237" spans="12:49" ht="14.45">
      <c r="L237" s="60"/>
      <c r="AW237" s="60"/>
    </row>
    <row r="238" spans="12:49" ht="14.45">
      <c r="L238" s="60"/>
      <c r="AW238" s="60"/>
    </row>
    <row r="239" spans="12:49" ht="14.45">
      <c r="L239" s="60"/>
      <c r="AW239" s="60"/>
    </row>
    <row r="240" spans="12:49" ht="14.45">
      <c r="L240" s="60"/>
      <c r="AW240" s="60"/>
    </row>
    <row r="241" spans="12:49" ht="14.45">
      <c r="L241" s="60"/>
      <c r="AW241" s="60"/>
    </row>
    <row r="242" spans="12:49" ht="14.45">
      <c r="L242" s="60"/>
      <c r="AW242" s="60"/>
    </row>
    <row r="243" spans="12:49" ht="14.45">
      <c r="L243" s="60"/>
      <c r="AW243" s="60"/>
    </row>
    <row r="244" spans="12:49" ht="14.45">
      <c r="L244" s="60"/>
      <c r="AW244" s="60"/>
    </row>
    <row r="245" spans="12:49" ht="14.45">
      <c r="L245" s="60"/>
      <c r="AW245" s="60"/>
    </row>
    <row r="246" spans="12:49" ht="14.45">
      <c r="L246" s="60"/>
      <c r="AW246" s="60"/>
    </row>
    <row r="247" spans="12:49" ht="14.45">
      <c r="L247" s="60"/>
      <c r="AW247" s="60"/>
    </row>
    <row r="248" spans="12:49" ht="14.45">
      <c r="L248" s="60"/>
      <c r="AW248" s="60"/>
    </row>
    <row r="249" spans="12:49" ht="14.45">
      <c r="L249" s="60"/>
      <c r="AW249" s="60"/>
    </row>
    <row r="250" spans="12:49" ht="14.45">
      <c r="L250" s="60"/>
      <c r="AW250" s="60"/>
    </row>
    <row r="251" spans="12:49" ht="14.45">
      <c r="L251" s="60"/>
      <c r="AW251" s="60"/>
    </row>
    <row r="252" spans="12:49" ht="14.45">
      <c r="L252" s="60"/>
      <c r="AW252" s="60"/>
    </row>
    <row r="253" spans="12:49" ht="14.45">
      <c r="L253" s="60"/>
      <c r="AW253" s="60"/>
    </row>
    <row r="254" spans="12:49" ht="14.45">
      <c r="L254" s="60"/>
      <c r="AW254" s="60"/>
    </row>
    <row r="255" spans="12:49" ht="14.45">
      <c r="L255" s="60"/>
      <c r="AW255" s="60"/>
    </row>
    <row r="256" spans="12:49" ht="14.45">
      <c r="L256" s="60"/>
      <c r="AW256" s="60"/>
    </row>
    <row r="257" spans="12:49" ht="14.45">
      <c r="L257" s="60"/>
      <c r="AW257" s="60"/>
    </row>
    <row r="258" spans="12:49" ht="14.45">
      <c r="L258" s="60"/>
      <c r="AW258" s="60"/>
    </row>
    <row r="259" spans="12:49" ht="14.45">
      <c r="L259" s="60"/>
      <c r="AW259" s="60"/>
    </row>
    <row r="260" spans="12:49" ht="14.45">
      <c r="L260" s="60"/>
      <c r="AW260" s="60"/>
    </row>
    <row r="261" spans="12:49" ht="14.45">
      <c r="L261" s="60"/>
      <c r="AW261" s="60"/>
    </row>
    <row r="262" spans="12:49" ht="14.45">
      <c r="L262" s="60"/>
      <c r="AW262" s="60"/>
    </row>
    <row r="263" spans="12:49" ht="14.45">
      <c r="L263" s="60"/>
      <c r="AW263" s="60"/>
    </row>
    <row r="264" spans="12:49" ht="14.45">
      <c r="L264" s="60"/>
      <c r="AW264" s="60"/>
    </row>
    <row r="265" spans="12:49" ht="14.45">
      <c r="L265" s="60"/>
      <c r="AW265" s="60"/>
    </row>
    <row r="266" spans="12:49" ht="14.45">
      <c r="L266" s="60"/>
      <c r="AW266" s="60"/>
    </row>
    <row r="267" spans="12:49" ht="14.45">
      <c r="L267" s="60"/>
      <c r="AW267" s="60"/>
    </row>
    <row r="268" spans="12:49" ht="14.45">
      <c r="L268" s="60"/>
      <c r="AW268" s="60"/>
    </row>
    <row r="269" spans="12:49" ht="14.45">
      <c r="L269" s="60"/>
      <c r="AW269" s="60"/>
    </row>
    <row r="270" spans="12:49" ht="14.45">
      <c r="L270" s="60"/>
      <c r="AW270" s="60"/>
    </row>
    <row r="271" spans="12:49" ht="14.45">
      <c r="L271" s="60"/>
      <c r="AW271" s="60"/>
    </row>
    <row r="272" spans="12:49" ht="14.45">
      <c r="L272" s="60"/>
      <c r="AW272" s="60"/>
    </row>
    <row r="273" spans="12:49" ht="14.45">
      <c r="L273" s="60"/>
      <c r="AW273" s="60"/>
    </row>
    <row r="274" spans="12:49" ht="14.45">
      <c r="L274" s="60"/>
      <c r="AW274" s="60"/>
    </row>
    <row r="275" spans="12:49" ht="14.45">
      <c r="L275" s="60"/>
      <c r="AW275" s="60"/>
    </row>
    <row r="276" spans="12:49" ht="14.45">
      <c r="L276" s="60"/>
      <c r="AW276" s="60"/>
    </row>
    <row r="277" spans="12:49" ht="14.45">
      <c r="L277" s="60"/>
      <c r="AW277" s="60"/>
    </row>
    <row r="278" spans="12:49" ht="14.45">
      <c r="L278" s="60"/>
      <c r="AW278" s="60"/>
    </row>
    <row r="279" spans="12:49" ht="14.45">
      <c r="L279" s="60"/>
      <c r="AW279" s="60"/>
    </row>
    <row r="280" spans="12:49" ht="14.45">
      <c r="L280" s="60"/>
      <c r="AW280" s="60"/>
    </row>
    <row r="281" spans="12:49" ht="14.45">
      <c r="L281" s="60"/>
      <c r="AW281" s="60"/>
    </row>
    <row r="282" spans="12:49" ht="14.45">
      <c r="L282" s="60"/>
      <c r="AW282" s="60"/>
    </row>
    <row r="283" spans="12:49" ht="14.45">
      <c r="L283" s="60"/>
      <c r="AW283" s="60"/>
    </row>
    <row r="284" spans="12:49" ht="14.45">
      <c r="L284" s="60"/>
      <c r="AW284" s="60"/>
    </row>
    <row r="285" spans="12:49" ht="14.45">
      <c r="L285" s="60"/>
      <c r="AW285" s="60"/>
    </row>
    <row r="286" spans="12:49" ht="14.45">
      <c r="L286" s="60"/>
      <c r="AW286" s="60"/>
    </row>
    <row r="287" spans="12:49" ht="14.45">
      <c r="L287" s="60"/>
      <c r="AW287" s="60"/>
    </row>
    <row r="288" spans="12:49" ht="14.45">
      <c r="L288" s="60"/>
      <c r="AW288" s="60"/>
    </row>
    <row r="289" spans="12:49" ht="14.45">
      <c r="L289" s="60"/>
      <c r="AW289" s="60"/>
    </row>
    <row r="290" spans="12:49" ht="14.45">
      <c r="L290" s="60"/>
      <c r="AW290" s="60"/>
    </row>
    <row r="291" spans="12:49" ht="14.45">
      <c r="L291" s="60"/>
      <c r="AW291" s="60"/>
    </row>
    <row r="292" spans="12:49" ht="14.45">
      <c r="L292" s="60"/>
      <c r="AW292" s="60"/>
    </row>
    <row r="293" spans="12:49" ht="14.45">
      <c r="L293" s="60"/>
      <c r="AW293" s="60"/>
    </row>
    <row r="294" spans="12:49" ht="14.45">
      <c r="L294" s="60"/>
      <c r="AW294" s="60"/>
    </row>
    <row r="295" spans="12:49" ht="14.45">
      <c r="L295" s="60"/>
      <c r="AW295" s="60"/>
    </row>
    <row r="296" spans="12:49" ht="14.45">
      <c r="L296" s="60"/>
      <c r="AW296" s="60"/>
    </row>
    <row r="297" spans="12:49" ht="14.45">
      <c r="L297" s="60"/>
      <c r="AW297" s="60"/>
    </row>
    <row r="298" spans="12:49" ht="14.45">
      <c r="L298" s="60"/>
      <c r="AW298" s="60"/>
    </row>
    <row r="299" spans="12:49" ht="14.45">
      <c r="L299" s="60"/>
      <c r="AW299" s="60"/>
    </row>
    <row r="300" spans="12:49" ht="14.45">
      <c r="L300" s="60"/>
      <c r="AW300" s="60"/>
    </row>
    <row r="301" spans="12:49" ht="14.45">
      <c r="L301" s="60"/>
      <c r="AW301" s="60"/>
    </row>
    <row r="302" spans="12:49" ht="14.45">
      <c r="L302" s="60"/>
      <c r="AW302" s="60"/>
    </row>
    <row r="303" spans="12:49" ht="14.45">
      <c r="L303" s="60"/>
      <c r="AW303" s="60"/>
    </row>
    <row r="304" spans="12:49" ht="14.45">
      <c r="L304" s="60"/>
      <c r="AW304" s="60"/>
    </row>
    <row r="305" spans="12:49" ht="14.45">
      <c r="L305" s="60"/>
      <c r="AW305" s="60"/>
    </row>
    <row r="306" spans="12:49" ht="14.45">
      <c r="L306" s="60"/>
      <c r="AW306" s="60"/>
    </row>
    <row r="307" spans="12:49" ht="14.45">
      <c r="L307" s="60"/>
      <c r="AW307" s="60"/>
    </row>
    <row r="308" spans="12:49" ht="14.45">
      <c r="L308" s="60"/>
      <c r="AW308" s="60"/>
    </row>
    <row r="309" spans="12:49" ht="14.45">
      <c r="L309" s="60"/>
      <c r="AW309" s="60"/>
    </row>
    <row r="310" spans="12:49" ht="14.45">
      <c r="L310" s="60"/>
      <c r="AW310" s="60"/>
    </row>
    <row r="311" spans="12:49" ht="14.45">
      <c r="L311" s="60"/>
      <c r="AW311" s="60"/>
    </row>
    <row r="312" spans="12:49" ht="14.45">
      <c r="L312" s="60"/>
      <c r="AW312" s="60"/>
    </row>
    <row r="313" spans="12:49" ht="14.45">
      <c r="L313" s="60"/>
      <c r="AW313" s="60"/>
    </row>
    <row r="314" spans="12:49" ht="14.45">
      <c r="L314" s="60"/>
      <c r="AW314" s="60"/>
    </row>
    <row r="315" spans="12:49" ht="14.45">
      <c r="L315" s="60"/>
      <c r="AW315" s="60"/>
    </row>
    <row r="316" spans="12:49" ht="14.45">
      <c r="L316" s="60"/>
      <c r="AW316" s="60"/>
    </row>
    <row r="317" spans="12:49" ht="14.45">
      <c r="L317" s="60"/>
      <c r="AW317" s="60"/>
    </row>
    <row r="318" spans="12:49" ht="14.45">
      <c r="L318" s="60"/>
      <c r="AW318" s="60"/>
    </row>
    <row r="319" spans="12:49" ht="14.45">
      <c r="L319" s="60"/>
      <c r="AW319" s="60"/>
    </row>
    <row r="320" spans="12:49" ht="14.45">
      <c r="L320" s="60"/>
      <c r="AW320" s="60"/>
    </row>
    <row r="321" spans="12:49" ht="14.45">
      <c r="L321" s="60"/>
      <c r="AW321" s="60"/>
    </row>
    <row r="322" spans="12:49" ht="14.45">
      <c r="L322" s="60"/>
      <c r="AW322" s="60"/>
    </row>
    <row r="323" spans="12:49" ht="14.45">
      <c r="L323" s="60"/>
      <c r="AW323" s="60"/>
    </row>
    <row r="324" spans="12:49" ht="14.45">
      <c r="L324" s="60"/>
      <c r="AW324" s="60"/>
    </row>
    <row r="325" spans="12:49" ht="14.45">
      <c r="L325" s="60"/>
      <c r="AW325" s="60"/>
    </row>
    <row r="326" spans="12:49" ht="14.45">
      <c r="L326" s="60"/>
      <c r="AW326" s="60"/>
    </row>
    <row r="327" spans="12:49" ht="14.45">
      <c r="L327" s="60"/>
      <c r="AW327" s="60"/>
    </row>
    <row r="328" spans="12:49" ht="14.45">
      <c r="L328" s="60"/>
      <c r="AW328" s="60"/>
    </row>
    <row r="329" spans="12:49" ht="14.45">
      <c r="L329" s="60"/>
      <c r="AW329" s="60"/>
    </row>
    <row r="330" spans="12:49" ht="14.45">
      <c r="L330" s="60"/>
      <c r="AW330" s="60"/>
    </row>
    <row r="331" spans="12:49" ht="14.45">
      <c r="L331" s="60"/>
      <c r="AW331" s="60"/>
    </row>
    <row r="332" spans="12:49" ht="14.45">
      <c r="L332" s="60"/>
      <c r="AW332" s="60"/>
    </row>
    <row r="333" spans="12:49" ht="14.45">
      <c r="L333" s="60"/>
      <c r="AW333" s="60"/>
    </row>
    <row r="334" spans="12:49" ht="14.45">
      <c r="L334" s="60"/>
      <c r="AW334" s="60"/>
    </row>
    <row r="335" spans="12:49" ht="14.45">
      <c r="L335" s="60"/>
      <c r="AW335" s="60"/>
    </row>
    <row r="336" spans="12:49" ht="14.45">
      <c r="L336" s="60"/>
      <c r="AW336" s="60"/>
    </row>
    <row r="337" spans="12:49" ht="14.45">
      <c r="L337" s="60"/>
      <c r="AW337" s="60"/>
    </row>
    <row r="338" spans="12:49" ht="14.45">
      <c r="L338" s="60"/>
      <c r="AW338" s="60"/>
    </row>
    <row r="339" spans="12:49" ht="14.45">
      <c r="L339" s="60"/>
      <c r="AW339" s="60"/>
    </row>
    <row r="340" spans="12:49" ht="14.45">
      <c r="L340" s="60"/>
      <c r="AW340" s="60"/>
    </row>
    <row r="341" spans="12:49" ht="14.45">
      <c r="L341" s="60"/>
      <c r="AW341" s="60"/>
    </row>
    <row r="342" spans="12:49" ht="14.45">
      <c r="L342" s="60"/>
      <c r="AW342" s="60"/>
    </row>
    <row r="343" spans="12:49" ht="14.45">
      <c r="L343" s="60"/>
      <c r="AW343" s="60"/>
    </row>
    <row r="344" spans="12:49" ht="14.45">
      <c r="L344" s="60"/>
      <c r="AW344" s="60"/>
    </row>
    <row r="345" spans="12:49" ht="14.45">
      <c r="L345" s="60"/>
      <c r="AW345" s="60"/>
    </row>
    <row r="346" spans="12:49" ht="14.45">
      <c r="L346" s="60"/>
      <c r="AW346" s="60"/>
    </row>
    <row r="347" spans="12:49" ht="14.45">
      <c r="L347" s="60"/>
      <c r="AW347" s="60"/>
    </row>
    <row r="348" spans="12:49" ht="14.45">
      <c r="L348" s="60"/>
      <c r="AW348" s="60"/>
    </row>
    <row r="349" spans="12:49" ht="14.45">
      <c r="L349" s="60"/>
      <c r="AW349" s="60"/>
    </row>
    <row r="350" spans="12:49" ht="14.45">
      <c r="L350" s="60"/>
      <c r="AW350" s="60"/>
    </row>
    <row r="351" spans="12:49" ht="14.45">
      <c r="L351" s="60"/>
      <c r="AW351" s="60"/>
    </row>
    <row r="352" spans="12:49" ht="14.45">
      <c r="L352" s="60"/>
      <c r="AW352" s="60"/>
    </row>
    <row r="353" spans="12:49" ht="14.45">
      <c r="L353" s="60"/>
      <c r="AW353" s="60"/>
    </row>
    <row r="354" spans="12:49" ht="14.45">
      <c r="L354" s="60"/>
      <c r="AW354" s="60"/>
    </row>
    <row r="355" spans="12:49" ht="14.45">
      <c r="L355" s="60"/>
      <c r="AW355" s="60"/>
    </row>
    <row r="356" spans="12:49" ht="14.45">
      <c r="L356" s="60"/>
      <c r="AW356" s="60"/>
    </row>
    <row r="357" spans="12:49" ht="14.45">
      <c r="L357" s="60"/>
      <c r="AW357" s="60"/>
    </row>
    <row r="358" spans="12:49" ht="14.45">
      <c r="L358" s="60"/>
      <c r="AW358" s="60"/>
    </row>
    <row r="359" spans="12:49" ht="14.45">
      <c r="L359" s="60"/>
      <c r="AW359" s="60"/>
    </row>
    <row r="360" spans="12:49" ht="14.45">
      <c r="L360" s="60"/>
      <c r="AW360" s="60"/>
    </row>
    <row r="361" spans="12:49" ht="14.45">
      <c r="L361" s="60"/>
      <c r="AW361" s="60"/>
    </row>
    <row r="362" spans="12:49" ht="14.45">
      <c r="L362" s="60"/>
      <c r="AW362" s="60"/>
    </row>
    <row r="363" spans="12:49" ht="14.45">
      <c r="L363" s="60"/>
      <c r="AW363" s="60"/>
    </row>
    <row r="364" spans="12:49" ht="14.45">
      <c r="L364" s="60"/>
      <c r="AW364" s="60"/>
    </row>
    <row r="365" spans="12:49" ht="14.45">
      <c r="L365" s="60"/>
      <c r="AW365" s="60"/>
    </row>
    <row r="366" spans="12:49" ht="14.45">
      <c r="L366" s="60"/>
      <c r="AW366" s="60"/>
    </row>
    <row r="367" spans="12:49" ht="14.45">
      <c r="L367" s="60"/>
      <c r="AW367" s="60"/>
    </row>
    <row r="368" spans="12:49" ht="14.45">
      <c r="L368" s="60"/>
      <c r="AW368" s="60"/>
    </row>
    <row r="369" spans="12:49" ht="14.45">
      <c r="L369" s="60"/>
      <c r="AW369" s="60"/>
    </row>
    <row r="370" spans="12:49" ht="14.45">
      <c r="L370" s="60"/>
      <c r="AW370" s="60"/>
    </row>
    <row r="371" spans="12:49" ht="14.45">
      <c r="L371" s="60"/>
      <c r="AW371" s="60"/>
    </row>
    <row r="372" spans="12:49" ht="14.45">
      <c r="L372" s="60"/>
      <c r="AW372" s="60"/>
    </row>
    <row r="373" spans="12:49" ht="14.45">
      <c r="L373" s="60"/>
      <c r="AW373" s="60"/>
    </row>
    <row r="374" spans="12:49" ht="14.45">
      <c r="L374" s="60"/>
      <c r="AW374" s="60"/>
    </row>
    <row r="375" spans="12:49" ht="14.45">
      <c r="L375" s="60"/>
      <c r="AW375" s="60"/>
    </row>
    <row r="376" spans="12:49" ht="14.45">
      <c r="L376" s="60"/>
      <c r="AW376" s="60"/>
    </row>
    <row r="377" spans="12:49" ht="14.45">
      <c r="L377" s="60"/>
      <c r="AW377" s="60"/>
    </row>
    <row r="378" spans="12:49" ht="14.45">
      <c r="L378" s="60"/>
      <c r="AW378" s="60"/>
    </row>
    <row r="379" spans="12:49" ht="14.45">
      <c r="L379" s="60"/>
      <c r="AW379" s="60"/>
    </row>
    <row r="380" spans="12:49" ht="14.45">
      <c r="L380" s="60"/>
      <c r="AW380" s="60"/>
    </row>
    <row r="381" spans="12:49" ht="14.45">
      <c r="L381" s="60"/>
      <c r="AW381" s="60"/>
    </row>
    <row r="382" spans="12:49" ht="14.45">
      <c r="L382" s="60"/>
      <c r="AW382" s="60"/>
    </row>
    <row r="383" spans="12:49" ht="14.45">
      <c r="L383" s="60"/>
      <c r="AW383" s="60"/>
    </row>
    <row r="384" spans="12:49" ht="14.45">
      <c r="L384" s="60"/>
      <c r="AW384" s="60"/>
    </row>
    <row r="385" spans="12:49" ht="14.45">
      <c r="L385" s="60"/>
      <c r="AW385" s="60"/>
    </row>
    <row r="386" spans="12:49" ht="14.45">
      <c r="L386" s="60"/>
      <c r="AW386" s="60"/>
    </row>
    <row r="387" spans="12:49" ht="14.45">
      <c r="L387" s="60"/>
      <c r="AW387" s="60"/>
    </row>
    <row r="388" spans="12:49" ht="14.45">
      <c r="L388" s="60"/>
      <c r="AW388" s="60"/>
    </row>
    <row r="389" spans="12:49" ht="14.45">
      <c r="L389" s="60"/>
      <c r="AW389" s="60"/>
    </row>
    <row r="390" spans="12:49" ht="14.45">
      <c r="L390" s="60"/>
      <c r="AW390" s="60"/>
    </row>
    <row r="391" spans="12:49" ht="14.45">
      <c r="L391" s="60"/>
      <c r="AW391" s="60"/>
    </row>
    <row r="392" spans="12:49" ht="14.45">
      <c r="L392" s="60"/>
      <c r="AW392" s="60"/>
    </row>
    <row r="393" spans="12:49" ht="14.45">
      <c r="L393" s="60"/>
      <c r="AW393" s="60"/>
    </row>
    <row r="394" spans="12:49" ht="14.45">
      <c r="L394" s="60"/>
      <c r="AW394" s="60"/>
    </row>
    <row r="395" spans="12:49" ht="14.45">
      <c r="L395" s="60"/>
      <c r="AW395" s="60"/>
    </row>
    <row r="396" spans="12:49" ht="14.45">
      <c r="L396" s="60"/>
      <c r="AW396" s="60"/>
    </row>
    <row r="397" spans="12:49" ht="14.45">
      <c r="L397" s="60"/>
      <c r="AW397" s="60"/>
    </row>
    <row r="398" spans="12:49" ht="14.45">
      <c r="L398" s="60"/>
      <c r="AW398" s="60"/>
    </row>
    <row r="399" spans="12:49" ht="14.45">
      <c r="L399" s="60"/>
      <c r="AW399" s="60"/>
    </row>
    <row r="400" spans="12:49" ht="14.45">
      <c r="L400" s="60"/>
      <c r="AW400" s="60"/>
    </row>
    <row r="401" spans="12:49" ht="14.45">
      <c r="L401" s="60"/>
      <c r="AW401" s="60"/>
    </row>
    <row r="402" spans="12:49" ht="14.45">
      <c r="L402" s="60"/>
      <c r="AW402" s="60"/>
    </row>
    <row r="403" spans="12:49" ht="14.45">
      <c r="L403" s="60"/>
      <c r="AW403" s="60"/>
    </row>
    <row r="404" spans="12:49" ht="14.45">
      <c r="L404" s="60"/>
      <c r="AW404" s="60"/>
    </row>
    <row r="405" spans="12:49" ht="14.45">
      <c r="L405" s="60"/>
      <c r="AW405" s="60"/>
    </row>
    <row r="406" spans="12:49" ht="14.45">
      <c r="L406" s="60"/>
      <c r="AW406" s="60"/>
    </row>
    <row r="407" spans="12:49" ht="14.45">
      <c r="L407" s="60"/>
      <c r="AW407" s="60"/>
    </row>
    <row r="408" spans="12:49" ht="14.45">
      <c r="L408" s="60"/>
      <c r="AW408" s="60"/>
    </row>
    <row r="409" spans="12:49" ht="14.45">
      <c r="L409" s="60"/>
      <c r="AW409" s="60"/>
    </row>
    <row r="410" spans="12:49" ht="14.45">
      <c r="L410" s="60"/>
      <c r="AW410" s="60"/>
    </row>
    <row r="411" spans="12:49" ht="14.45">
      <c r="L411" s="60"/>
      <c r="AW411" s="60"/>
    </row>
    <row r="412" spans="12:49" ht="14.45">
      <c r="L412" s="60"/>
      <c r="AW412" s="60"/>
    </row>
    <row r="413" spans="12:49" ht="14.45">
      <c r="L413" s="60"/>
      <c r="AW413" s="60"/>
    </row>
    <row r="414" spans="12:49" ht="14.45">
      <c r="L414" s="60"/>
      <c r="AW414" s="60"/>
    </row>
    <row r="415" spans="12:49" ht="14.45">
      <c r="L415" s="60"/>
      <c r="AW415" s="60"/>
    </row>
    <row r="416" spans="12:49" ht="14.45">
      <c r="L416" s="60"/>
      <c r="AW416" s="60"/>
    </row>
    <row r="417" spans="12:49" ht="14.45">
      <c r="L417" s="60"/>
      <c r="AW417" s="60"/>
    </row>
    <row r="418" spans="12:49" ht="14.45">
      <c r="L418" s="60"/>
      <c r="AW418" s="60"/>
    </row>
    <row r="419" spans="12:49" ht="14.45">
      <c r="L419" s="60"/>
      <c r="AW419" s="60"/>
    </row>
    <row r="420" spans="12:49" ht="14.45">
      <c r="L420" s="60"/>
      <c r="AW420" s="60"/>
    </row>
    <row r="421" spans="12:49" ht="14.45">
      <c r="L421" s="60"/>
      <c r="AW421" s="60"/>
    </row>
    <row r="422" spans="12:49" ht="14.45">
      <c r="L422" s="60"/>
      <c r="AW422" s="60"/>
    </row>
    <row r="423" spans="12:49" ht="14.45">
      <c r="L423" s="60"/>
      <c r="AW423" s="60"/>
    </row>
    <row r="424" spans="12:49" ht="14.45">
      <c r="L424" s="60"/>
      <c r="AW424" s="60"/>
    </row>
    <row r="425" spans="12:49" ht="14.45">
      <c r="L425" s="60"/>
      <c r="AW425" s="60"/>
    </row>
    <row r="426" spans="12:49" ht="14.45">
      <c r="L426" s="60"/>
      <c r="AW426" s="60"/>
    </row>
    <row r="427" spans="12:49" ht="14.45">
      <c r="L427" s="60"/>
      <c r="AW427" s="60"/>
    </row>
    <row r="428" spans="12:49" ht="14.45">
      <c r="L428" s="60"/>
      <c r="AW428" s="60"/>
    </row>
    <row r="429" spans="12:49" ht="14.45">
      <c r="L429" s="60"/>
      <c r="AW429" s="60"/>
    </row>
    <row r="430" spans="12:49" ht="14.45">
      <c r="L430" s="60"/>
      <c r="AW430" s="60"/>
    </row>
    <row r="431" spans="12:49" ht="14.45">
      <c r="L431" s="60"/>
      <c r="AW431" s="60"/>
    </row>
    <row r="432" spans="12:49" ht="14.45">
      <c r="L432" s="60"/>
      <c r="AW432" s="60"/>
    </row>
    <row r="433" spans="12:49" ht="14.45">
      <c r="L433" s="60"/>
      <c r="AW433" s="60"/>
    </row>
    <row r="434" spans="12:49" ht="14.45">
      <c r="L434" s="60"/>
      <c r="AW434" s="60"/>
    </row>
    <row r="435" spans="12:49" ht="14.45">
      <c r="L435" s="60"/>
      <c r="AW435" s="60"/>
    </row>
    <row r="436" spans="12:49" ht="14.45">
      <c r="L436" s="60"/>
      <c r="AW436" s="60"/>
    </row>
    <row r="437" spans="12:49" ht="14.45">
      <c r="L437" s="60"/>
      <c r="AW437" s="60"/>
    </row>
    <row r="438" spans="12:49" ht="14.45">
      <c r="L438" s="60"/>
      <c r="AW438" s="60"/>
    </row>
    <row r="439" spans="12:49" ht="14.45">
      <c r="L439" s="60"/>
      <c r="AW439" s="60"/>
    </row>
    <row r="440" spans="12:49" ht="14.45">
      <c r="L440" s="60"/>
      <c r="AW440" s="60"/>
    </row>
    <row r="441" spans="12:49" ht="14.45">
      <c r="L441" s="60"/>
      <c r="AW441" s="60"/>
    </row>
    <row r="442" spans="12:49" ht="14.45">
      <c r="L442" s="60"/>
      <c r="AW442" s="60"/>
    </row>
    <row r="443" spans="12:49" ht="14.45">
      <c r="L443" s="60"/>
      <c r="AW443" s="60"/>
    </row>
    <row r="444" spans="12:49" ht="14.45">
      <c r="L444" s="60"/>
      <c r="AW444" s="60"/>
    </row>
    <row r="445" spans="12:49" ht="14.45">
      <c r="L445" s="60"/>
      <c r="AW445" s="60"/>
    </row>
    <row r="446" spans="12:49" ht="14.45">
      <c r="L446" s="60"/>
      <c r="AW446" s="60"/>
    </row>
    <row r="447" spans="12:49" ht="14.45">
      <c r="L447" s="60"/>
      <c r="AW447" s="60"/>
    </row>
    <row r="448" spans="12:49" ht="14.45">
      <c r="L448" s="60"/>
      <c r="AW448" s="60"/>
    </row>
    <row r="449" spans="12:49" ht="14.45">
      <c r="L449" s="60"/>
      <c r="AW449" s="60"/>
    </row>
    <row r="450" spans="12:49" ht="14.45">
      <c r="L450" s="60"/>
      <c r="AW450" s="60"/>
    </row>
    <row r="451" spans="12:49" ht="14.45">
      <c r="L451" s="60"/>
      <c r="AW451" s="60"/>
    </row>
    <row r="452" spans="12:49" ht="14.45">
      <c r="L452" s="60"/>
      <c r="AW452" s="60"/>
    </row>
    <row r="453" spans="12:49" ht="14.45">
      <c r="L453" s="60"/>
      <c r="AW453" s="60"/>
    </row>
    <row r="454" spans="12:49" ht="14.45">
      <c r="L454" s="60"/>
      <c r="AW454" s="60"/>
    </row>
    <row r="455" spans="12:49" ht="14.45">
      <c r="L455" s="60"/>
      <c r="AW455" s="60"/>
    </row>
    <row r="456" spans="12:49" ht="14.45">
      <c r="L456" s="60"/>
      <c r="AW456" s="60"/>
    </row>
    <row r="457" spans="12:49" ht="14.45">
      <c r="L457" s="60"/>
      <c r="AW457" s="60"/>
    </row>
    <row r="458" spans="12:49" ht="14.45">
      <c r="L458" s="60"/>
      <c r="AW458" s="60"/>
    </row>
    <row r="459" spans="12:49" ht="14.45">
      <c r="L459" s="60"/>
      <c r="AW459" s="60"/>
    </row>
    <row r="460" spans="12:49" ht="14.45">
      <c r="L460" s="60"/>
      <c r="AW460" s="60"/>
    </row>
    <row r="461" spans="12:49" ht="14.45">
      <c r="L461" s="60"/>
      <c r="AW461" s="60"/>
    </row>
    <row r="462" spans="12:49" ht="14.45">
      <c r="L462" s="60"/>
      <c r="AW462" s="60"/>
    </row>
    <row r="463" spans="12:49" ht="14.45">
      <c r="L463" s="60"/>
      <c r="AW463" s="60"/>
    </row>
    <row r="464" spans="12:49" ht="14.45">
      <c r="L464" s="60"/>
      <c r="AW464" s="60"/>
    </row>
    <row r="465" spans="12:49" ht="14.45">
      <c r="L465" s="60"/>
      <c r="AW465" s="60"/>
    </row>
    <row r="466" spans="12:49" ht="14.45">
      <c r="L466" s="60"/>
      <c r="AW466" s="60"/>
    </row>
    <row r="467" spans="12:49" ht="14.45">
      <c r="L467" s="60"/>
      <c r="AW467" s="60"/>
    </row>
    <row r="468" spans="12:49" ht="14.45">
      <c r="L468" s="60"/>
      <c r="AW468" s="60"/>
    </row>
    <row r="469" spans="12:49" ht="14.45">
      <c r="L469" s="60"/>
      <c r="AW469" s="60"/>
    </row>
    <row r="470" spans="12:49" ht="14.45">
      <c r="L470" s="60"/>
      <c r="AW470" s="60"/>
    </row>
    <row r="471" spans="12:49" ht="14.45">
      <c r="L471" s="60"/>
      <c r="AW471" s="60"/>
    </row>
    <row r="472" spans="12:49" ht="14.45">
      <c r="L472" s="60"/>
      <c r="AW472" s="60"/>
    </row>
    <row r="473" spans="12:49" ht="14.45">
      <c r="L473" s="60"/>
      <c r="AW473" s="60"/>
    </row>
    <row r="474" spans="12:49" ht="14.45">
      <c r="L474" s="60"/>
      <c r="AW474" s="60"/>
    </row>
    <row r="475" spans="12:49" ht="14.45">
      <c r="L475" s="60"/>
      <c r="AW475" s="60"/>
    </row>
    <row r="476" spans="12:49" ht="14.45">
      <c r="L476" s="60"/>
      <c r="AW476" s="60"/>
    </row>
    <row r="477" spans="12:49" ht="14.45">
      <c r="L477" s="60"/>
      <c r="AW477" s="60"/>
    </row>
    <row r="478" spans="12:49" ht="14.45">
      <c r="L478" s="60"/>
      <c r="AW478" s="60"/>
    </row>
    <row r="479" spans="12:49" ht="14.45">
      <c r="L479" s="60"/>
      <c r="AW479" s="60"/>
    </row>
    <row r="480" spans="12:49" ht="14.45">
      <c r="L480" s="60"/>
      <c r="AW480" s="60"/>
    </row>
    <row r="481" spans="12:49" ht="14.45">
      <c r="L481" s="60"/>
      <c r="AW481" s="60"/>
    </row>
    <row r="482" spans="12:49" ht="14.45">
      <c r="L482" s="60"/>
      <c r="AW482" s="60"/>
    </row>
    <row r="483" spans="12:49" ht="14.45">
      <c r="L483" s="60"/>
      <c r="AW483" s="60"/>
    </row>
    <row r="484" spans="12:49" ht="14.45">
      <c r="L484" s="60"/>
      <c r="AW484" s="60"/>
    </row>
    <row r="485" spans="12:49" ht="14.45">
      <c r="L485" s="60"/>
      <c r="AW485" s="60"/>
    </row>
    <row r="486" spans="12:49" ht="14.45">
      <c r="L486" s="60"/>
      <c r="AW486" s="60"/>
    </row>
    <row r="487" spans="12:49" ht="14.45">
      <c r="L487" s="60"/>
      <c r="AW487" s="60"/>
    </row>
    <row r="488" spans="12:49" ht="14.45">
      <c r="L488" s="60"/>
      <c r="AW488" s="60"/>
    </row>
    <row r="489" spans="12:49" ht="14.45">
      <c r="L489" s="60"/>
      <c r="AW489" s="60"/>
    </row>
    <row r="490" spans="12:49" ht="14.45">
      <c r="L490" s="60"/>
      <c r="AW490" s="60"/>
    </row>
    <row r="491" spans="12:49" ht="14.45">
      <c r="L491" s="60"/>
      <c r="AW491" s="60"/>
    </row>
    <row r="492" spans="12:49" ht="14.45">
      <c r="L492" s="60"/>
      <c r="AW492" s="60"/>
    </row>
    <row r="493" spans="12:49" ht="14.45">
      <c r="L493" s="60"/>
      <c r="AW493" s="60"/>
    </row>
    <row r="494" spans="12:49" ht="14.45">
      <c r="L494" s="60"/>
      <c r="AW494" s="60"/>
    </row>
    <row r="495" spans="12:49" ht="14.45">
      <c r="L495" s="60"/>
      <c r="AW495" s="60"/>
    </row>
    <row r="496" spans="12:49" ht="14.45">
      <c r="L496" s="60"/>
      <c r="AW496" s="60"/>
    </row>
    <row r="497" spans="12:49" ht="14.45">
      <c r="L497" s="60"/>
      <c r="AW497" s="60"/>
    </row>
    <row r="498" spans="12:49" ht="14.45">
      <c r="L498" s="60"/>
      <c r="AW498" s="60"/>
    </row>
    <row r="499" spans="12:49" ht="14.45">
      <c r="L499" s="60"/>
      <c r="AW499" s="60"/>
    </row>
    <row r="500" spans="12:49" ht="14.45">
      <c r="L500" s="60"/>
      <c r="AW500" s="60"/>
    </row>
    <row r="501" spans="12:49" ht="14.45">
      <c r="L501" s="60"/>
      <c r="AW501" s="60"/>
    </row>
    <row r="502" spans="12:49" ht="14.45">
      <c r="L502" s="60"/>
      <c r="AW502" s="60"/>
    </row>
    <row r="503" spans="12:49" ht="14.45">
      <c r="L503" s="60"/>
      <c r="AW503" s="60"/>
    </row>
    <row r="504" spans="12:49" ht="14.45">
      <c r="L504" s="60"/>
      <c r="AW504" s="60"/>
    </row>
    <row r="505" spans="12:49" ht="14.45">
      <c r="L505" s="60"/>
      <c r="AW505" s="60"/>
    </row>
    <row r="506" spans="12:49" ht="14.45">
      <c r="L506" s="60"/>
      <c r="AW506" s="60"/>
    </row>
    <row r="507" spans="12:49" ht="14.45">
      <c r="L507" s="60"/>
      <c r="AW507" s="60"/>
    </row>
    <row r="508" spans="12:49" ht="14.45">
      <c r="L508" s="60"/>
      <c r="AW508" s="60"/>
    </row>
    <row r="509" spans="12:49" ht="14.45">
      <c r="L509" s="60"/>
      <c r="AW509" s="60"/>
    </row>
    <row r="510" spans="12:49" ht="14.45">
      <c r="L510" s="60"/>
      <c r="AW510" s="60"/>
    </row>
    <row r="511" spans="12:49" ht="14.45">
      <c r="L511" s="60"/>
      <c r="AW511" s="60"/>
    </row>
    <row r="512" spans="12:49" ht="14.45">
      <c r="L512" s="60"/>
      <c r="AW512" s="60"/>
    </row>
    <row r="513" spans="12:49" ht="14.45">
      <c r="L513" s="60"/>
      <c r="AW513" s="60"/>
    </row>
    <row r="514" spans="12:49" ht="14.45">
      <c r="L514" s="60"/>
      <c r="AW514" s="60"/>
    </row>
    <row r="515" spans="12:49" ht="14.45">
      <c r="L515" s="60"/>
      <c r="AW515" s="60"/>
    </row>
    <row r="516" spans="12:49" ht="14.45">
      <c r="L516" s="60"/>
      <c r="AW516" s="60"/>
    </row>
    <row r="517" spans="12:49" ht="14.45">
      <c r="L517" s="60"/>
      <c r="AW517" s="60"/>
    </row>
    <row r="518" spans="12:49" ht="14.45">
      <c r="L518" s="60"/>
      <c r="AW518" s="60"/>
    </row>
    <row r="519" spans="12:49" ht="14.45">
      <c r="L519" s="60"/>
      <c r="AW519" s="60"/>
    </row>
    <row r="520" spans="12:49" ht="14.45">
      <c r="L520" s="60"/>
      <c r="AW520" s="60"/>
    </row>
    <row r="521" spans="12:49" ht="14.45">
      <c r="L521" s="60"/>
      <c r="AW521" s="60"/>
    </row>
    <row r="522" spans="12:49" ht="14.45">
      <c r="L522" s="60"/>
      <c r="AW522" s="60"/>
    </row>
    <row r="523" spans="12:49" ht="14.45">
      <c r="L523" s="60"/>
      <c r="AW523" s="60"/>
    </row>
    <row r="524" spans="12:49" ht="14.45">
      <c r="L524" s="60"/>
      <c r="AW524" s="60"/>
    </row>
    <row r="525" spans="12:49" ht="14.45">
      <c r="L525" s="60"/>
      <c r="AW525" s="60"/>
    </row>
    <row r="526" spans="12:49" ht="14.45">
      <c r="L526" s="60"/>
      <c r="AW526" s="60"/>
    </row>
    <row r="527" spans="12:49" ht="14.45">
      <c r="L527" s="60"/>
      <c r="AW527" s="60"/>
    </row>
    <row r="528" spans="12:49" ht="14.45">
      <c r="L528" s="60"/>
      <c r="AW528" s="60"/>
    </row>
    <row r="529" spans="12:49" ht="14.45">
      <c r="L529" s="60"/>
      <c r="AW529" s="60"/>
    </row>
    <row r="530" spans="12:49" ht="14.45">
      <c r="L530" s="60"/>
      <c r="AW530" s="60"/>
    </row>
    <row r="531" spans="12:49" ht="14.45">
      <c r="L531" s="60"/>
      <c r="AW531" s="60"/>
    </row>
    <row r="532" spans="12:49" ht="14.45">
      <c r="L532" s="60"/>
      <c r="AW532" s="60"/>
    </row>
    <row r="533" spans="12:49" ht="14.45">
      <c r="L533" s="60"/>
      <c r="AW533" s="60"/>
    </row>
    <row r="534" spans="12:49" ht="14.45">
      <c r="L534" s="60"/>
      <c r="AW534" s="60"/>
    </row>
    <row r="535" spans="12:49" ht="14.45">
      <c r="L535" s="60"/>
      <c r="AW535" s="60"/>
    </row>
    <row r="536" spans="12:49" ht="14.45">
      <c r="L536" s="60"/>
      <c r="AW536" s="60"/>
    </row>
    <row r="537" spans="12:49" ht="14.45">
      <c r="L537" s="60"/>
      <c r="AW537" s="60"/>
    </row>
    <row r="538" spans="12:49" ht="14.45">
      <c r="L538" s="60"/>
      <c r="AW538" s="60"/>
    </row>
    <row r="539" spans="12:49" ht="14.45">
      <c r="L539" s="60"/>
      <c r="AW539" s="60"/>
    </row>
    <row r="540" spans="12:49" ht="14.45">
      <c r="L540" s="60"/>
      <c r="AW540" s="60"/>
    </row>
    <row r="541" spans="12:49" ht="14.45">
      <c r="L541" s="60"/>
      <c r="AW541" s="60"/>
    </row>
    <row r="542" spans="12:49" ht="14.45">
      <c r="L542" s="60"/>
      <c r="AW542" s="60"/>
    </row>
    <row r="543" spans="12:49" ht="14.45">
      <c r="L543" s="60"/>
      <c r="AW543" s="60"/>
    </row>
    <row r="544" spans="12:49" ht="14.45">
      <c r="L544" s="60"/>
      <c r="AW544" s="60"/>
    </row>
    <row r="545" spans="12:49" ht="14.45">
      <c r="L545" s="60"/>
      <c r="AW545" s="60"/>
    </row>
    <row r="546" spans="12:49" ht="14.45">
      <c r="L546" s="60"/>
      <c r="AW546" s="60"/>
    </row>
    <row r="547" spans="12:49" ht="14.45">
      <c r="L547" s="60"/>
      <c r="AW547" s="60"/>
    </row>
    <row r="548" spans="12:49" ht="14.45">
      <c r="L548" s="60"/>
      <c r="AW548" s="60"/>
    </row>
  </sheetData>
  <mergeCells count="24">
    <mergeCell ref="BG10:BI10"/>
    <mergeCell ref="BJ10:BL10"/>
    <mergeCell ref="CB10:CD10"/>
    <mergeCell ref="CE10:CG10"/>
    <mergeCell ref="BM10:BO10"/>
    <mergeCell ref="BP10:BR10"/>
    <mergeCell ref="BS10:BU10"/>
    <mergeCell ref="BV10:BX10"/>
    <mergeCell ref="BY10:CA10"/>
    <mergeCell ref="AX10:AZ10"/>
    <mergeCell ref="BA10:BC10"/>
    <mergeCell ref="BD10:BF10"/>
    <mergeCell ref="AT10:AV10"/>
    <mergeCell ref="AB10:AD10"/>
    <mergeCell ref="AE10:AG10"/>
    <mergeCell ref="AH10:AJ10"/>
    <mergeCell ref="AK10:AM10"/>
    <mergeCell ref="AN10:AP10"/>
    <mergeCell ref="AQ10:AS10"/>
    <mergeCell ref="M10:O10"/>
    <mergeCell ref="P10:R10"/>
    <mergeCell ref="S10:U10"/>
    <mergeCell ref="V10:X10"/>
    <mergeCell ref="Y10:AA10"/>
  </mergeCells>
  <phoneticPr fontId="3" type="noConversion"/>
  <conditionalFormatting sqref="G14:G31 G33:G54">
    <cfRule type="cellIs" dxfId="131" priority="41" operator="equal">
      <formula>"NB-Offboarded"</formula>
    </cfRule>
    <cfRule type="cellIs" dxfId="130" priority="42" operator="equal">
      <formula>"NB-In-seat"</formula>
    </cfRule>
    <cfRule type="cellIs" dxfId="129" priority="43" operator="equal">
      <formula>"NB-Ready"</formula>
    </cfRule>
    <cfRule type="cellIs" dxfId="128" priority="44" operator="equal">
      <formula>"Cancelled"</formula>
    </cfRule>
    <cfRule type="cellIs" dxfId="127" priority="45" operator="equal">
      <formula>"Hold"</formula>
    </cfRule>
    <cfRule type="cellIs" dxfId="126" priority="46" operator="equal">
      <formula>"Sourcing"</formula>
    </cfRule>
    <cfRule type="cellIs" dxfId="125" priority="47" operator="equal">
      <formula>"Ready"</formula>
    </cfRule>
    <cfRule type="cellIs" dxfId="124" priority="48" operator="equal">
      <formula>"In-seat"</formula>
    </cfRule>
    <cfRule type="cellIs" dxfId="123" priority="49" operator="equal">
      <formula>"Offboarded"</formula>
    </cfRule>
  </conditionalFormatting>
  <conditionalFormatting sqref="M8:AV8">
    <cfRule type="colorScale" priority="346">
      <colorScale>
        <cfvo type="min"/>
        <cfvo type="percentile" val="50"/>
        <cfvo type="max"/>
        <color rgb="FF92D050"/>
        <color rgb="FFFFC000"/>
        <color theme="5" tint="-0.249977111117893"/>
      </colorScale>
    </cfRule>
  </conditionalFormatting>
  <conditionalFormatting sqref="M9:AV9">
    <cfRule type="colorScale" priority="348">
      <colorScale>
        <cfvo type="min"/>
        <cfvo type="percentile" val="50"/>
        <cfvo type="max"/>
        <color rgb="FF92D050"/>
        <color rgb="FFFFC000"/>
        <color theme="5" tint="-0.249977111117893"/>
      </colorScale>
    </cfRule>
  </conditionalFormatting>
  <conditionalFormatting sqref="G12:G13">
    <cfRule type="cellIs" dxfId="122" priority="1" operator="equal">
      <formula>"NB-Offboarded"</formula>
    </cfRule>
    <cfRule type="cellIs" dxfId="121" priority="2" operator="equal">
      <formula>"NB-In-seat"</formula>
    </cfRule>
    <cfRule type="cellIs" dxfId="120" priority="3" operator="equal">
      <formula>"NB-Ready"</formula>
    </cfRule>
    <cfRule type="cellIs" dxfId="119" priority="4" operator="equal">
      <formula>"Cancelled"</formula>
    </cfRule>
    <cfRule type="cellIs" dxfId="118" priority="5" operator="equal">
      <formula>"Hold"</formula>
    </cfRule>
    <cfRule type="cellIs" dxfId="117" priority="6" operator="equal">
      <formula>"Sourcing"</formula>
    </cfRule>
    <cfRule type="cellIs" dxfId="116" priority="7" operator="equal">
      <formula>"Ready"</formula>
    </cfRule>
    <cfRule type="cellIs" dxfId="115" priority="8" operator="equal">
      <formula>"In-seat"</formula>
    </cfRule>
    <cfRule type="cellIs" dxfId="114" priority="9" operator="equal">
      <formula>"Offboarded"</formula>
    </cfRule>
  </conditionalFormatting>
  <dataValidations count="1">
    <dataValidation type="list" allowBlank="1" showInputMessage="1" showErrorMessage="1" sqref="B22:B59" xr:uid="{3F855BA3-6E5F-482B-86E1-065F2655995A}">
      <formula1>"Program Manager Related Costs,Staff Payroll Related Costs,Travel Costs,Entertainment,Non-payroll related training costs,Admin costs/Audit/Assurance, Software Licensing Purchsing including Azure,Re-design of data &amp; process, Other hardware/software"</formula1>
    </dataValidation>
  </dataValidations>
  <pageMargins left="0.7" right="0.7" top="0.75" bottom="0.75" header="0.3" footer="0.3"/>
  <pageSetup paperSize="9" orientation="portrait" r:id="rId1"/>
  <ignoredErrors>
    <ignoredError sqref="L15:L16 AW13:AY59 BA12:BB12 BD12:BE12 BG12:BH12 BJ12:BK12 BM12:BN12 BP12:BQ12 BS12:BT12 BV12:BW12 BY12:BZ12 CB12:CC12 CE12:CF12 CE13:CF59 CB13:CC59 BY13:BZ59 BV13:BW59 BS13:BT59 BP13:BQ59 BM13:BN59 BJ13:BK59 BG13:BH59 BD13:BE59 BA13:BB59 AZ12 AZ13:AZ59 BC13:BC59 BF13:BF59 BI13:BI59 BL13:BL59 BO13:BO59 BR13:BR59 BU13:BU59 BX13:BX59 CA13:CA59 CD13:CD59 CG13:CG59 CG12 CD12 CA12 BX12 BU12 BR12 BO12 BL12 BI12 BF12 BC12 AW12:AY12 AC12 AI12 AL12 AO12 AR12 AU12 AU13:AU16 AR14 AO13:AO14 AL14 AI14 AF16 AC15:AC16 Z15:Z16 O12 O13:O59 R13:R59 U13:U59 X13:X59 AA13:AA59 AD13:AD59 AG13:AG59 AJ13:AJ59 AM13:AM59 AP13:AP59 AS13:AS59 AV13:AV59 AV12 AS12 AP12 AM12 AJ12 AG12 AD12 AA12 X12 U12 R12 K12 K13 Z13 AF13 AI13 AL13 K14 Z14 AC14 AF14 K16 AK18:AL59 AL16 AN18:AO59 AO16 K17 AB18:AC59 AC17 AE18:AF59 AF17 AH18:AI59 AI17 AL17 AO17 AQ19:AR59 AR17 AT19:AU59 AU17 K18 AR18 AU18 K15 AF15 AI16 AI15 AL15 AO15 AR16 AR15 L12 L13 L14 L18:N59 L17 P18:Q59 S18:T59 V18:W59 Y18:Z59 Z17 K19 K22:K59 K21 K20 C22:I59" unlockedFormula="1"/>
  </ignoredErrors>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A3D5A6FD-DDF5-4959-A4DB-5C963DF6D04C}">
          <x14:formula1>
            <xm:f>Tables!$T$3:$T$19</xm:f>
          </x14:formula1>
          <xm:sqref>B14:B21</xm:sqref>
        </x14:dataValidation>
        <x14:dataValidation type="list" allowBlank="1" showInputMessage="1" showErrorMessage="1" xr:uid="{31B1C4E8-0904-4446-B2C0-EC19D03610A6}">
          <x14:formula1>
            <xm:f>Tables!$C$3:$C$49</xm:f>
          </x14:formula1>
          <xm:sqref>A14:A59</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60FE-8302-4518-ADAA-3D02A16E3A84}">
  <sheetPr codeName="Sheet1">
    <tabColor theme="0" tint="-0.34998626667073579"/>
  </sheetPr>
  <dimension ref="B1:X962"/>
  <sheetViews>
    <sheetView showGridLines="0" topLeftCell="D1" zoomScale="65" zoomScaleNormal="55" workbookViewId="0">
      <selection activeCell="C3" sqref="C3:C11"/>
    </sheetView>
  </sheetViews>
  <sheetFormatPr defaultRowHeight="15" customHeight="1" outlineLevelCol="1"/>
  <cols>
    <col min="1" max="1" width="1.7109375" customWidth="1"/>
    <col min="2" max="2" width="53.42578125" customWidth="1"/>
    <col min="3" max="3" width="53.42578125" bestFit="1" customWidth="1"/>
    <col min="4" max="4" width="27.5703125" bestFit="1" customWidth="1"/>
    <col min="5" max="5" width="42.7109375" customWidth="1"/>
    <col min="6" max="6" width="28" customWidth="1"/>
    <col min="7" max="7" width="33.5703125" customWidth="1"/>
    <col min="8" max="8" width="1.85546875" customWidth="1"/>
    <col min="9" max="9" width="30.7109375" customWidth="1" outlineLevel="1"/>
    <col min="10" max="10" width="15" customWidth="1" outlineLevel="1"/>
    <col min="11" max="11" width="17.85546875" customWidth="1" outlineLevel="1"/>
    <col min="12" max="12" width="30.7109375" bestFit="1" customWidth="1" outlineLevel="1"/>
    <col min="13" max="13" width="15.5703125" customWidth="1" outlineLevel="1"/>
    <col min="14" max="15" width="17.85546875" customWidth="1" outlineLevel="1"/>
    <col min="16" max="16" width="14.5703125" customWidth="1"/>
    <col min="17" max="17" width="9.5703125" bestFit="1" customWidth="1"/>
    <col min="18" max="18" width="16.140625" bestFit="1" customWidth="1"/>
    <col min="20" max="20" width="37.85546875" bestFit="1" customWidth="1"/>
    <col min="22" max="22" width="24" bestFit="1" customWidth="1"/>
    <col min="23" max="23" width="22.28515625" bestFit="1" customWidth="1"/>
    <col min="24" max="24" width="34.5703125" customWidth="1"/>
  </cols>
  <sheetData>
    <row r="1" spans="2:20" ht="21.6" thickBot="1">
      <c r="G1" t="s">
        <v>469</v>
      </c>
      <c r="I1" s="232" t="s">
        <v>470</v>
      </c>
      <c r="J1" s="233"/>
      <c r="K1" s="233"/>
      <c r="L1" s="233"/>
      <c r="M1" s="233"/>
      <c r="N1" s="234"/>
      <c r="O1" s="171"/>
    </row>
    <row r="2" spans="2:20" ht="31.15" customHeight="1" thickBot="1">
      <c r="B2" s="2" t="s">
        <v>471</v>
      </c>
      <c r="C2" s="2" t="s">
        <v>472</v>
      </c>
      <c r="D2" s="2" t="s">
        <v>473</v>
      </c>
      <c r="E2" s="2" t="s">
        <v>474</v>
      </c>
      <c r="F2" s="2" t="s">
        <v>475</v>
      </c>
      <c r="G2" s="2" t="s">
        <v>81</v>
      </c>
      <c r="I2" s="117" t="s">
        <v>476</v>
      </c>
      <c r="J2" s="118"/>
      <c r="K2" s="118"/>
      <c r="L2" s="118"/>
      <c r="M2" s="118"/>
      <c r="N2" s="119"/>
      <c r="O2" s="133"/>
      <c r="Q2" s="7" t="s">
        <v>477</v>
      </c>
      <c r="R2" s="7" t="s">
        <v>478</v>
      </c>
      <c r="T2" s="113" t="s">
        <v>479</v>
      </c>
    </row>
    <row r="3" spans="2:20" ht="32.1">
      <c r="B3" s="1" t="s">
        <v>385</v>
      </c>
      <c r="C3" s="1" t="s">
        <v>42</v>
      </c>
      <c r="D3" s="1" t="s">
        <v>219</v>
      </c>
      <c r="E3" s="1"/>
      <c r="F3" s="1"/>
      <c r="G3" s="1"/>
      <c r="H3" s="72"/>
      <c r="I3" s="167" t="s">
        <v>480</v>
      </c>
      <c r="J3" s="168" t="s">
        <v>72</v>
      </c>
      <c r="K3" s="168" t="s">
        <v>77</v>
      </c>
      <c r="L3" s="168" t="s">
        <v>481</v>
      </c>
      <c r="M3" s="169" t="s">
        <v>482</v>
      </c>
      <c r="N3" s="170" t="s">
        <v>483</v>
      </c>
      <c r="O3" s="172" t="s">
        <v>484</v>
      </c>
      <c r="Q3" s="6"/>
      <c r="R3" s="66" t="s">
        <v>485</v>
      </c>
      <c r="T3" t="s">
        <v>486</v>
      </c>
    </row>
    <row r="4" spans="2:20" ht="14.45">
      <c r="B4" s="1" t="s">
        <v>487</v>
      </c>
      <c r="C4" s="1" t="s">
        <v>44</v>
      </c>
      <c r="D4" t="s">
        <v>359</v>
      </c>
      <c r="H4" s="72"/>
      <c r="I4" s="134" t="str">
        <f t="shared" ref="I4:I67" si="0">CONCATENATE(J4,K4,L4)</f>
        <v>AIndiaShell IDT</v>
      </c>
      <c r="J4" s="135" t="s">
        <v>488</v>
      </c>
      <c r="K4" s="135" t="s">
        <v>267</v>
      </c>
      <c r="L4" s="135" t="s">
        <v>361</v>
      </c>
      <c r="M4" s="136">
        <v>1240</v>
      </c>
      <c r="N4" s="137"/>
      <c r="O4" s="173"/>
      <c r="Q4" s="9">
        <v>46023</v>
      </c>
      <c r="R4" s="67" t="s">
        <v>489</v>
      </c>
      <c r="T4" t="s">
        <v>58</v>
      </c>
    </row>
    <row r="5" spans="2:20" ht="14.45">
      <c r="B5" s="1" t="s">
        <v>490</v>
      </c>
      <c r="C5" s="1" t="s">
        <v>45</v>
      </c>
      <c r="H5" s="72"/>
      <c r="I5" s="138" t="str">
        <f t="shared" si="0"/>
        <v>BIndiaShell IDT</v>
      </c>
      <c r="J5" s="139" t="s">
        <v>491</v>
      </c>
      <c r="K5" s="139" t="s">
        <v>267</v>
      </c>
      <c r="L5" s="139" t="s">
        <v>361</v>
      </c>
      <c r="M5" s="140">
        <v>1240</v>
      </c>
      <c r="N5" s="141"/>
      <c r="O5" s="174"/>
      <c r="Q5" s="8">
        <v>46054</v>
      </c>
      <c r="R5" s="66" t="s">
        <v>492</v>
      </c>
      <c r="T5" t="s">
        <v>57</v>
      </c>
    </row>
    <row r="6" spans="2:20" ht="14.45">
      <c r="B6" s="1" t="s">
        <v>493</v>
      </c>
      <c r="C6" s="1" t="s">
        <v>46</v>
      </c>
      <c r="H6" s="72"/>
      <c r="I6" s="134" t="str">
        <f t="shared" si="0"/>
        <v>1IndiaShell IDT</v>
      </c>
      <c r="J6" s="135">
        <v>1</v>
      </c>
      <c r="K6" s="135" t="s">
        <v>267</v>
      </c>
      <c r="L6" s="135" t="s">
        <v>361</v>
      </c>
      <c r="M6" s="136">
        <v>720</v>
      </c>
      <c r="N6" s="137"/>
      <c r="O6" s="173"/>
      <c r="Q6" s="9">
        <v>46082</v>
      </c>
      <c r="R6" s="67" t="s">
        <v>494</v>
      </c>
      <c r="T6" t="s">
        <v>495</v>
      </c>
    </row>
    <row r="7" spans="2:20" ht="14.45">
      <c r="B7" s="1" t="s">
        <v>496</v>
      </c>
      <c r="C7" s="1" t="s">
        <v>47</v>
      </c>
      <c r="H7" s="72"/>
      <c r="I7" s="138" t="str">
        <f t="shared" si="0"/>
        <v>2IndiaShell IDT</v>
      </c>
      <c r="J7" s="139">
        <v>2</v>
      </c>
      <c r="K7" s="139" t="s">
        <v>267</v>
      </c>
      <c r="L7" s="139" t="s">
        <v>361</v>
      </c>
      <c r="M7" s="140">
        <v>720</v>
      </c>
      <c r="N7" s="141"/>
      <c r="O7" s="174"/>
      <c r="Q7" s="10">
        <v>46113</v>
      </c>
      <c r="R7" s="66" t="s">
        <v>497</v>
      </c>
      <c r="T7" t="s">
        <v>59</v>
      </c>
    </row>
    <row r="8" spans="2:20" ht="14.45">
      <c r="B8" s="1" t="s">
        <v>498</v>
      </c>
      <c r="C8" s="1" t="s">
        <v>48</v>
      </c>
      <c r="H8" s="72"/>
      <c r="I8" s="134" t="str">
        <f t="shared" si="0"/>
        <v>3IndiaShell IDT</v>
      </c>
      <c r="J8" s="135">
        <v>3</v>
      </c>
      <c r="K8" s="135" t="s">
        <v>267</v>
      </c>
      <c r="L8" s="135" t="s">
        <v>361</v>
      </c>
      <c r="M8" s="136">
        <v>456</v>
      </c>
      <c r="N8" s="137"/>
      <c r="O8" s="173"/>
      <c r="Q8" s="9">
        <v>46143</v>
      </c>
      <c r="R8" s="67" t="s">
        <v>361</v>
      </c>
      <c r="T8" t="s">
        <v>60</v>
      </c>
    </row>
    <row r="9" spans="2:20" ht="14.45">
      <c r="B9" s="1" t="s">
        <v>499</v>
      </c>
      <c r="C9" s="1" t="s">
        <v>49</v>
      </c>
      <c r="H9" s="72"/>
      <c r="I9" s="138" t="str">
        <f t="shared" si="0"/>
        <v>4IndiaShell IDT</v>
      </c>
      <c r="J9" s="139">
        <v>4</v>
      </c>
      <c r="K9" s="139" t="s">
        <v>267</v>
      </c>
      <c r="L9" s="139" t="s">
        <v>361</v>
      </c>
      <c r="M9" s="140">
        <v>456</v>
      </c>
      <c r="N9" s="141"/>
      <c r="O9" s="174"/>
      <c r="Q9" s="10">
        <v>46174</v>
      </c>
      <c r="R9" s="66" t="s">
        <v>221</v>
      </c>
      <c r="T9" t="s">
        <v>61</v>
      </c>
    </row>
    <row r="10" spans="2:20" ht="14.45">
      <c r="B10" s="1" t="s">
        <v>500</v>
      </c>
      <c r="C10" s="1" t="s">
        <v>50</v>
      </c>
      <c r="H10" s="72"/>
      <c r="I10" s="134" t="str">
        <f t="shared" si="0"/>
        <v>5IndiaShell IDT</v>
      </c>
      <c r="J10" s="135">
        <v>5</v>
      </c>
      <c r="K10" s="135" t="s">
        <v>267</v>
      </c>
      <c r="L10" s="135" t="s">
        <v>361</v>
      </c>
      <c r="M10" s="136">
        <v>304</v>
      </c>
      <c r="N10" s="137"/>
      <c r="O10" s="173"/>
      <c r="Q10" s="9">
        <v>46204</v>
      </c>
      <c r="R10" s="67" t="s">
        <v>501</v>
      </c>
      <c r="T10" t="s">
        <v>502</v>
      </c>
    </row>
    <row r="11" spans="2:20" ht="14.45">
      <c r="B11" s="1" t="s">
        <v>503</v>
      </c>
      <c r="C11" s="1" t="s">
        <v>51</v>
      </c>
      <c r="H11" s="72"/>
      <c r="I11" s="138" t="str">
        <f t="shared" si="0"/>
        <v>6IndiaShell IDT</v>
      </c>
      <c r="J11" s="139">
        <v>6</v>
      </c>
      <c r="K11" s="139" t="s">
        <v>267</v>
      </c>
      <c r="L11" s="139" t="s">
        <v>361</v>
      </c>
      <c r="M11" s="140">
        <v>304</v>
      </c>
      <c r="N11" s="141"/>
      <c r="O11" s="174"/>
      <c r="Q11" s="10">
        <v>46235</v>
      </c>
      <c r="R11" s="66" t="s">
        <v>504</v>
      </c>
      <c r="T11" t="s">
        <v>505</v>
      </c>
    </row>
    <row r="12" spans="2:20" ht="14.45">
      <c r="B12" s="1" t="s">
        <v>506</v>
      </c>
      <c r="C12" s="1" t="s">
        <v>507</v>
      </c>
      <c r="H12" s="72"/>
      <c r="I12" s="134" t="str">
        <f t="shared" si="0"/>
        <v>7IndiaShell IDT</v>
      </c>
      <c r="J12" s="135">
        <v>7</v>
      </c>
      <c r="K12" s="135" t="s">
        <v>267</v>
      </c>
      <c r="L12" s="135" t="s">
        <v>361</v>
      </c>
      <c r="M12" s="136">
        <v>216</v>
      </c>
      <c r="N12" s="137"/>
      <c r="O12" s="173"/>
      <c r="Q12" s="9">
        <v>46266</v>
      </c>
      <c r="R12" s="67" t="s">
        <v>508</v>
      </c>
    </row>
    <row r="13" spans="2:20" ht="14.45">
      <c r="B13" s="1" t="s">
        <v>509</v>
      </c>
      <c r="C13" s="1"/>
      <c r="H13" s="72"/>
      <c r="I13" s="138" t="str">
        <f t="shared" si="0"/>
        <v>AUnited KingdomShell IDT</v>
      </c>
      <c r="J13" s="139" t="s">
        <v>488</v>
      </c>
      <c r="K13" s="139" t="s">
        <v>222</v>
      </c>
      <c r="L13" s="139" t="s">
        <v>361</v>
      </c>
      <c r="M13" s="140">
        <v>2872</v>
      </c>
      <c r="N13" s="141"/>
      <c r="O13" s="174"/>
      <c r="Q13" s="10">
        <v>46296</v>
      </c>
      <c r="R13" s="66" t="s">
        <v>510</v>
      </c>
    </row>
    <row r="14" spans="2:20" ht="14.45">
      <c r="B14" s="1" t="s">
        <v>511</v>
      </c>
      <c r="C14" s="1"/>
      <c r="H14" s="72"/>
      <c r="I14" s="134" t="str">
        <f t="shared" si="0"/>
        <v>BUnited KingdomShell IDT</v>
      </c>
      <c r="J14" s="135" t="s">
        <v>491</v>
      </c>
      <c r="K14" s="135" t="s">
        <v>222</v>
      </c>
      <c r="L14" s="135" t="s">
        <v>361</v>
      </c>
      <c r="M14" s="136">
        <v>2872</v>
      </c>
      <c r="N14" s="137"/>
      <c r="O14" s="173"/>
      <c r="Q14" s="9">
        <v>46327</v>
      </c>
      <c r="R14" s="67" t="s">
        <v>512</v>
      </c>
    </row>
    <row r="15" spans="2:20" ht="14.45">
      <c r="B15" s="1" t="s">
        <v>513</v>
      </c>
      <c r="C15" s="1"/>
      <c r="H15" s="72"/>
      <c r="I15" s="138" t="str">
        <f t="shared" si="0"/>
        <v>1United KingdomShell IDT</v>
      </c>
      <c r="J15" s="139">
        <v>1</v>
      </c>
      <c r="K15" s="139" t="s">
        <v>222</v>
      </c>
      <c r="L15" s="139" t="s">
        <v>361</v>
      </c>
      <c r="M15" s="140">
        <v>1816</v>
      </c>
      <c r="N15" s="141"/>
      <c r="O15" s="174"/>
      <c r="Q15" s="10">
        <v>46357</v>
      </c>
      <c r="R15" s="66" t="s">
        <v>514</v>
      </c>
    </row>
    <row r="16" spans="2:20" ht="14.45">
      <c r="B16" s="1" t="s">
        <v>515</v>
      </c>
      <c r="C16" s="1"/>
      <c r="H16" s="72"/>
      <c r="I16" s="134" t="str">
        <f t="shared" si="0"/>
        <v>2United KingdomShell IDT</v>
      </c>
      <c r="J16" s="135">
        <v>2</v>
      </c>
      <c r="K16" s="135" t="s">
        <v>222</v>
      </c>
      <c r="L16" s="135" t="s">
        <v>361</v>
      </c>
      <c r="M16" s="136">
        <v>1646</v>
      </c>
      <c r="N16" s="137"/>
      <c r="O16" s="173"/>
      <c r="Q16" s="9">
        <v>46388</v>
      </c>
      <c r="R16" s="67" t="s">
        <v>516</v>
      </c>
    </row>
    <row r="17" spans="2:18" ht="14.45">
      <c r="B17" s="1" t="s">
        <v>517</v>
      </c>
      <c r="C17" s="1"/>
      <c r="H17" s="72"/>
      <c r="I17" s="138" t="str">
        <f t="shared" si="0"/>
        <v>3United KingdomShell IDT</v>
      </c>
      <c r="J17" s="139">
        <v>3</v>
      </c>
      <c r="K17" s="139" t="s">
        <v>222</v>
      </c>
      <c r="L17" s="139" t="s">
        <v>361</v>
      </c>
      <c r="M17" s="140">
        <v>1336</v>
      </c>
      <c r="N17" s="141"/>
      <c r="O17" s="174"/>
      <c r="Q17" s="10">
        <v>46419</v>
      </c>
      <c r="R17" s="66" t="s">
        <v>518</v>
      </c>
    </row>
    <row r="18" spans="2:18" ht="14.45">
      <c r="B18" s="1" t="s">
        <v>519</v>
      </c>
      <c r="C18" s="1"/>
      <c r="H18" s="72"/>
      <c r="I18" s="134" t="str">
        <f t="shared" si="0"/>
        <v>4United KingdomShell IDT</v>
      </c>
      <c r="J18" s="135">
        <v>4</v>
      </c>
      <c r="K18" s="135" t="s">
        <v>222</v>
      </c>
      <c r="L18" s="135" t="s">
        <v>361</v>
      </c>
      <c r="M18" s="136">
        <v>1336</v>
      </c>
      <c r="N18" s="137"/>
      <c r="O18" s="173"/>
      <c r="Q18" s="9">
        <v>46447</v>
      </c>
      <c r="R18" s="67" t="s">
        <v>520</v>
      </c>
    </row>
    <row r="19" spans="2:18" ht="14.45">
      <c r="B19" s="1" t="s">
        <v>521</v>
      </c>
      <c r="C19" s="1"/>
      <c r="H19" s="72"/>
      <c r="I19" s="138" t="str">
        <f t="shared" si="0"/>
        <v>5United KingdomShell IDT</v>
      </c>
      <c r="J19" s="139">
        <v>5</v>
      </c>
      <c r="K19" s="139" t="s">
        <v>222</v>
      </c>
      <c r="L19" s="139" t="s">
        <v>361</v>
      </c>
      <c r="M19" s="140">
        <v>952</v>
      </c>
      <c r="N19" s="141"/>
      <c r="O19" s="174"/>
      <c r="Q19" s="10">
        <v>46478</v>
      </c>
      <c r="R19" s="66" t="s">
        <v>522</v>
      </c>
    </row>
    <row r="20" spans="2:18" ht="14.45">
      <c r="B20" t="s">
        <v>523</v>
      </c>
      <c r="C20" s="1"/>
      <c r="H20" s="72"/>
      <c r="I20" s="134" t="str">
        <f t="shared" si="0"/>
        <v>6United KingdomShell IDT</v>
      </c>
      <c r="J20" s="135">
        <v>6</v>
      </c>
      <c r="K20" s="135" t="s">
        <v>222</v>
      </c>
      <c r="L20" s="135" t="s">
        <v>361</v>
      </c>
      <c r="M20" s="136">
        <v>952</v>
      </c>
      <c r="N20" s="137"/>
      <c r="O20" s="173"/>
      <c r="Q20" s="9">
        <v>46508</v>
      </c>
      <c r="R20" s="67" t="s">
        <v>524</v>
      </c>
    </row>
    <row r="21" spans="2:18" ht="14.45">
      <c r="B21" t="s">
        <v>525</v>
      </c>
      <c r="C21" s="1"/>
      <c r="H21" s="72"/>
      <c r="I21" s="138" t="str">
        <f t="shared" si="0"/>
        <v>7United KingdomShell IDT</v>
      </c>
      <c r="J21" s="139">
        <v>7</v>
      </c>
      <c r="K21" s="139" t="s">
        <v>222</v>
      </c>
      <c r="L21" s="139" t="s">
        <v>361</v>
      </c>
      <c r="M21" s="140">
        <v>712</v>
      </c>
      <c r="N21" s="141"/>
      <c r="O21" s="174"/>
      <c r="Q21" s="10">
        <v>46539</v>
      </c>
      <c r="R21" s="99" t="s">
        <v>526</v>
      </c>
    </row>
    <row r="22" spans="2:18" ht="14.45">
      <c r="B22" t="s">
        <v>527</v>
      </c>
      <c r="C22" s="1"/>
      <c r="H22" s="72"/>
      <c r="I22" s="134" t="str">
        <f t="shared" si="0"/>
        <v>AUnited StatesShell IDT</v>
      </c>
      <c r="J22" s="135" t="s">
        <v>488</v>
      </c>
      <c r="K22" s="135" t="s">
        <v>231</v>
      </c>
      <c r="L22" s="135" t="s">
        <v>361</v>
      </c>
      <c r="M22" s="136">
        <v>3464</v>
      </c>
      <c r="N22" s="137"/>
      <c r="O22" s="173"/>
      <c r="Q22" s="9">
        <v>46569</v>
      </c>
      <c r="R22" s="99" t="s">
        <v>528</v>
      </c>
    </row>
    <row r="23" spans="2:18" ht="14.45">
      <c r="B23" t="s">
        <v>529</v>
      </c>
      <c r="H23" s="72"/>
      <c r="I23" s="138" t="str">
        <f t="shared" si="0"/>
        <v>BUnited StatesShell IDT</v>
      </c>
      <c r="J23" s="139" t="s">
        <v>491</v>
      </c>
      <c r="K23" s="139" t="s">
        <v>231</v>
      </c>
      <c r="L23" s="139" t="s">
        <v>361</v>
      </c>
      <c r="M23" s="140">
        <v>3464</v>
      </c>
      <c r="N23" s="141"/>
      <c r="O23" s="174"/>
      <c r="Q23" s="10">
        <v>46600</v>
      </c>
      <c r="R23" t="s">
        <v>530</v>
      </c>
    </row>
    <row r="24" spans="2:18" ht="14.45">
      <c r="B24" t="s">
        <v>531</v>
      </c>
      <c r="H24" s="72"/>
      <c r="I24" s="134" t="str">
        <f t="shared" si="0"/>
        <v>1United StatesShell IDT</v>
      </c>
      <c r="J24" s="135">
        <v>1</v>
      </c>
      <c r="K24" s="135" t="s">
        <v>231</v>
      </c>
      <c r="L24" s="135" t="s">
        <v>361</v>
      </c>
      <c r="M24" s="136">
        <v>2272</v>
      </c>
      <c r="N24" s="137"/>
      <c r="O24" s="173"/>
      <c r="Q24" s="9">
        <v>46631</v>
      </c>
      <c r="R24" t="s">
        <v>532</v>
      </c>
    </row>
    <row r="25" spans="2:18" ht="14.45">
      <c r="B25" t="s">
        <v>533</v>
      </c>
      <c r="H25" s="72"/>
      <c r="I25" s="138" t="str">
        <f t="shared" si="0"/>
        <v>2United StatesShell IDT</v>
      </c>
      <c r="J25" s="139">
        <v>2</v>
      </c>
      <c r="K25" s="139" t="s">
        <v>231</v>
      </c>
      <c r="L25" s="139" t="s">
        <v>361</v>
      </c>
      <c r="M25" s="140">
        <v>2272</v>
      </c>
      <c r="N25" s="141"/>
      <c r="O25" s="174"/>
      <c r="Q25" s="10">
        <v>46661</v>
      </c>
      <c r="R25" t="s">
        <v>528</v>
      </c>
    </row>
    <row r="26" spans="2:18" ht="14.45">
      <c r="B26" t="s">
        <v>534</v>
      </c>
      <c r="H26" s="72"/>
      <c r="I26" s="134" t="str">
        <f t="shared" si="0"/>
        <v>3United StatesShell IDT</v>
      </c>
      <c r="J26" s="135">
        <v>3</v>
      </c>
      <c r="K26" s="135" t="s">
        <v>231</v>
      </c>
      <c r="L26" s="135" t="s">
        <v>361</v>
      </c>
      <c r="M26" s="136">
        <v>1656</v>
      </c>
      <c r="N26" s="137"/>
      <c r="O26" s="173"/>
      <c r="Q26" s="9">
        <v>46692</v>
      </c>
      <c r="R26" t="s">
        <v>535</v>
      </c>
    </row>
    <row r="27" spans="2:18" ht="14.45">
      <c r="B27" t="s">
        <v>536</v>
      </c>
      <c r="H27" s="72"/>
      <c r="I27" s="138" t="str">
        <f t="shared" si="0"/>
        <v>4United StatesShell IDT</v>
      </c>
      <c r="J27" s="139">
        <v>4</v>
      </c>
      <c r="K27" s="139" t="s">
        <v>231</v>
      </c>
      <c r="L27" s="139" t="s">
        <v>361</v>
      </c>
      <c r="M27" s="140">
        <v>1656</v>
      </c>
      <c r="N27" s="141"/>
      <c r="O27" s="174"/>
      <c r="Q27" s="10">
        <v>46722</v>
      </c>
      <c r="R27" t="s">
        <v>537</v>
      </c>
    </row>
    <row r="28" spans="2:18" ht="14.45">
      <c r="B28" t="s">
        <v>538</v>
      </c>
      <c r="H28" s="72"/>
      <c r="I28" s="134" t="str">
        <f t="shared" si="0"/>
        <v>5United StatesShell IDT</v>
      </c>
      <c r="J28" s="135">
        <v>5</v>
      </c>
      <c r="K28" s="135" t="s">
        <v>231</v>
      </c>
      <c r="L28" s="135" t="s">
        <v>361</v>
      </c>
      <c r="M28" s="136">
        <v>1256</v>
      </c>
      <c r="N28" s="137"/>
      <c r="O28" s="173"/>
      <c r="Q28" s="71"/>
      <c r="R28" s="66" t="s">
        <v>489</v>
      </c>
    </row>
    <row r="29" spans="2:18" ht="14.45">
      <c r="H29" s="72"/>
      <c r="I29" s="138" t="str">
        <f t="shared" si="0"/>
        <v>6United StatesShell IDT</v>
      </c>
      <c r="J29" s="139">
        <v>6</v>
      </c>
      <c r="K29" s="139" t="s">
        <v>231</v>
      </c>
      <c r="L29" s="139" t="s">
        <v>361</v>
      </c>
      <c r="M29" s="140">
        <v>1256</v>
      </c>
      <c r="N29" s="141"/>
      <c r="O29" s="174"/>
      <c r="Q29" s="71"/>
      <c r="R29" s="66"/>
    </row>
    <row r="30" spans="2:18" ht="14.45">
      <c r="H30" s="72"/>
      <c r="I30" s="134" t="str">
        <f t="shared" si="0"/>
        <v>7United StatesShell IDT</v>
      </c>
      <c r="J30" s="135">
        <v>7</v>
      </c>
      <c r="K30" s="135" t="s">
        <v>231</v>
      </c>
      <c r="L30" s="135" t="s">
        <v>361</v>
      </c>
      <c r="M30" s="136">
        <v>872</v>
      </c>
      <c r="N30" s="137"/>
      <c r="O30" s="173"/>
      <c r="Q30" s="71"/>
      <c r="R30" s="66"/>
    </row>
    <row r="31" spans="2:18" ht="14.45">
      <c r="H31" s="72"/>
      <c r="I31" s="138" t="str">
        <f t="shared" si="0"/>
        <v>ANetherlandsShell IDT</v>
      </c>
      <c r="J31" s="139" t="s">
        <v>488</v>
      </c>
      <c r="K31" s="139" t="s">
        <v>248</v>
      </c>
      <c r="L31" s="139" t="s">
        <v>361</v>
      </c>
      <c r="M31" s="140">
        <v>2480</v>
      </c>
      <c r="N31" s="141"/>
      <c r="O31" s="174"/>
      <c r="Q31" s="71"/>
      <c r="R31" s="66"/>
    </row>
    <row r="32" spans="2:18" ht="14.45">
      <c r="H32" s="72"/>
      <c r="I32" s="134" t="str">
        <f t="shared" si="0"/>
        <v>BNetherlandsShell IDT</v>
      </c>
      <c r="J32" s="135" t="s">
        <v>491</v>
      </c>
      <c r="K32" s="135" t="s">
        <v>248</v>
      </c>
      <c r="L32" s="135" t="s">
        <v>361</v>
      </c>
      <c r="M32" s="136">
        <v>2480</v>
      </c>
      <c r="N32" s="137"/>
      <c r="O32" s="173"/>
      <c r="Q32" s="71"/>
      <c r="R32" s="66"/>
    </row>
    <row r="33" spans="8:24" ht="14.45">
      <c r="H33" s="72"/>
      <c r="I33" s="138" t="str">
        <f t="shared" si="0"/>
        <v>1NetherlandsShell IDT</v>
      </c>
      <c r="J33" s="139">
        <v>1</v>
      </c>
      <c r="K33" s="139" t="s">
        <v>248</v>
      </c>
      <c r="L33" s="139" t="s">
        <v>361</v>
      </c>
      <c r="M33" s="140">
        <v>1832</v>
      </c>
      <c r="N33" s="141"/>
      <c r="O33" s="174"/>
      <c r="Q33" s="71"/>
      <c r="R33" s="66"/>
      <c r="S33" s="132"/>
      <c r="V33" s="112" t="s">
        <v>539</v>
      </c>
      <c r="W33" s="112" t="s">
        <v>540</v>
      </c>
      <c r="X33" s="112" t="s">
        <v>471</v>
      </c>
    </row>
    <row r="34" spans="8:24" ht="14.45">
      <c r="H34" s="72"/>
      <c r="I34" s="134" t="str">
        <f t="shared" si="0"/>
        <v>2NetherlandsShell IDT</v>
      </c>
      <c r="J34" s="135">
        <v>2</v>
      </c>
      <c r="K34" s="135" t="s">
        <v>248</v>
      </c>
      <c r="L34" s="135" t="s">
        <v>361</v>
      </c>
      <c r="M34" s="136">
        <v>1832</v>
      </c>
      <c r="N34" s="137"/>
      <c r="O34" s="173"/>
      <c r="Q34" s="71"/>
      <c r="R34" s="66"/>
      <c r="S34" s="132"/>
      <c r="V34" s="110" t="s">
        <v>541</v>
      </c>
      <c r="W34" s="108" t="s">
        <v>542</v>
      </c>
      <c r="X34" s="108" t="s">
        <v>385</v>
      </c>
    </row>
    <row r="35" spans="8:24" ht="14.45">
      <c r="H35" s="72"/>
      <c r="I35" s="138" t="str">
        <f t="shared" si="0"/>
        <v>3NetherlandsShell IDT</v>
      </c>
      <c r="J35" s="139">
        <v>3</v>
      </c>
      <c r="K35" s="139" t="s">
        <v>248</v>
      </c>
      <c r="L35" s="139" t="s">
        <v>361</v>
      </c>
      <c r="M35" s="140">
        <v>1432</v>
      </c>
      <c r="N35" s="141"/>
      <c r="O35" s="174"/>
      <c r="Q35" s="71"/>
      <c r="R35" s="68"/>
      <c r="S35" s="132"/>
      <c r="V35" s="111" t="s">
        <v>541</v>
      </c>
      <c r="W35" s="109" t="s">
        <v>543</v>
      </c>
      <c r="X35" s="109" t="s">
        <v>487</v>
      </c>
    </row>
    <row r="36" spans="8:24" ht="14.45">
      <c r="H36" s="72"/>
      <c r="I36" s="134" t="str">
        <f t="shared" si="0"/>
        <v>4NetherlandsShell IDT</v>
      </c>
      <c r="J36" s="135">
        <v>4</v>
      </c>
      <c r="K36" s="135" t="s">
        <v>248</v>
      </c>
      <c r="L36" s="135" t="s">
        <v>361</v>
      </c>
      <c r="M36" s="136">
        <v>1432</v>
      </c>
      <c r="N36" s="137"/>
      <c r="O36" s="173"/>
      <c r="Q36" s="71"/>
      <c r="R36" s="66"/>
      <c r="S36" s="132"/>
      <c r="V36" s="110" t="s">
        <v>541</v>
      </c>
      <c r="W36" s="108" t="s">
        <v>544</v>
      </c>
      <c r="X36" s="108" t="s">
        <v>490</v>
      </c>
    </row>
    <row r="37" spans="8:24" ht="14.45">
      <c r="H37" s="72"/>
      <c r="I37" s="138" t="str">
        <f t="shared" si="0"/>
        <v>5NetherlandsShell IDT</v>
      </c>
      <c r="J37" s="139">
        <v>5</v>
      </c>
      <c r="K37" s="139" t="s">
        <v>248</v>
      </c>
      <c r="L37" s="139" t="s">
        <v>361</v>
      </c>
      <c r="M37" s="140">
        <v>1168</v>
      </c>
      <c r="N37" s="141"/>
      <c r="O37" s="174"/>
      <c r="Q37" s="71"/>
      <c r="R37" s="66"/>
      <c r="S37" s="132"/>
      <c r="V37" s="111" t="s">
        <v>541</v>
      </c>
      <c r="W37" s="109" t="s">
        <v>545</v>
      </c>
      <c r="X37" s="109" t="s">
        <v>493</v>
      </c>
    </row>
    <row r="38" spans="8:24" ht="14.45">
      <c r="H38" s="72"/>
      <c r="I38" s="134" t="str">
        <f t="shared" si="0"/>
        <v>6NetherlandsShell IDT</v>
      </c>
      <c r="J38" s="135">
        <v>6</v>
      </c>
      <c r="K38" s="135" t="s">
        <v>248</v>
      </c>
      <c r="L38" s="135" t="s">
        <v>361</v>
      </c>
      <c r="M38" s="136">
        <v>1168</v>
      </c>
      <c r="N38" s="137"/>
      <c r="O38" s="173"/>
      <c r="Q38" s="71"/>
      <c r="R38" s="66"/>
      <c r="S38" s="132"/>
      <c r="V38" s="110" t="s">
        <v>541</v>
      </c>
      <c r="W38" s="108" t="s">
        <v>546</v>
      </c>
      <c r="X38" s="108" t="s">
        <v>496</v>
      </c>
    </row>
    <row r="39" spans="8:24" ht="14.45">
      <c r="H39" s="72"/>
      <c r="I39" s="138" t="str">
        <f t="shared" si="0"/>
        <v>7NetherlandsShell IDT</v>
      </c>
      <c r="J39" s="139">
        <v>7</v>
      </c>
      <c r="K39" s="139" t="s">
        <v>248</v>
      </c>
      <c r="L39" s="139" t="s">
        <v>361</v>
      </c>
      <c r="M39" s="140">
        <v>872</v>
      </c>
      <c r="N39" s="141"/>
      <c r="O39" s="174"/>
      <c r="Q39" s="71"/>
      <c r="R39" s="66"/>
      <c r="S39" s="132"/>
      <c r="V39" s="111" t="s">
        <v>547</v>
      </c>
      <c r="W39" s="109" t="s">
        <v>548</v>
      </c>
      <c r="X39" s="109" t="s">
        <v>498</v>
      </c>
    </row>
    <row r="40" spans="8:24" ht="14.45">
      <c r="H40" s="72"/>
      <c r="I40" s="134" t="str">
        <f t="shared" si="0"/>
        <v>1MalaysiaShell IDT</v>
      </c>
      <c r="J40" s="135">
        <v>1</v>
      </c>
      <c r="K40" s="135" t="s">
        <v>549</v>
      </c>
      <c r="L40" s="135" t="s">
        <v>361</v>
      </c>
      <c r="M40" s="136"/>
      <c r="N40" s="137"/>
      <c r="O40" s="173"/>
      <c r="Q40" s="71"/>
      <c r="R40" s="66"/>
      <c r="S40" s="132"/>
      <c r="V40" s="110" t="s">
        <v>547</v>
      </c>
      <c r="W40" s="108" t="s">
        <v>550</v>
      </c>
      <c r="X40" s="108" t="s">
        <v>499</v>
      </c>
    </row>
    <row r="41" spans="8:24" ht="14.45">
      <c r="H41" s="72"/>
      <c r="I41" s="138" t="str">
        <f t="shared" si="0"/>
        <v>2MalaysiaShell IDT</v>
      </c>
      <c r="J41" s="139">
        <v>2</v>
      </c>
      <c r="K41" s="139" t="s">
        <v>549</v>
      </c>
      <c r="L41" s="139" t="s">
        <v>361</v>
      </c>
      <c r="M41" s="140"/>
      <c r="N41" s="141"/>
      <c r="O41" s="174"/>
      <c r="Q41" s="71"/>
      <c r="R41" s="66"/>
      <c r="S41" s="132"/>
      <c r="V41" s="111" t="s">
        <v>547</v>
      </c>
      <c r="W41" s="109" t="s">
        <v>551</v>
      </c>
      <c r="X41" s="109" t="s">
        <v>500</v>
      </c>
    </row>
    <row r="42" spans="8:24" ht="14.45">
      <c r="H42" s="72"/>
      <c r="I42" s="134" t="str">
        <f t="shared" si="0"/>
        <v>3MalaysiaShell IDT</v>
      </c>
      <c r="J42" s="135">
        <v>3</v>
      </c>
      <c r="K42" s="135" t="s">
        <v>549</v>
      </c>
      <c r="L42" s="135" t="s">
        <v>361</v>
      </c>
      <c r="M42" s="136"/>
      <c r="N42" s="137"/>
      <c r="O42" s="173"/>
      <c r="Q42" s="71"/>
      <c r="R42" s="66"/>
      <c r="S42" s="132"/>
      <c r="V42" s="110" t="s">
        <v>547</v>
      </c>
      <c r="W42" s="108" t="s">
        <v>552</v>
      </c>
      <c r="X42" s="108" t="s">
        <v>503</v>
      </c>
    </row>
    <row r="43" spans="8:24" ht="14.45">
      <c r="H43" s="72"/>
      <c r="I43" s="138" t="str">
        <f t="shared" si="0"/>
        <v>4MalaysiaShell IDT</v>
      </c>
      <c r="J43" s="139">
        <v>4</v>
      </c>
      <c r="K43" s="139" t="s">
        <v>549</v>
      </c>
      <c r="L43" s="139" t="s">
        <v>361</v>
      </c>
      <c r="M43" s="140"/>
      <c r="N43" s="141"/>
      <c r="O43" s="174"/>
      <c r="Q43" s="71"/>
      <c r="R43" s="66"/>
      <c r="S43" s="132"/>
      <c r="V43" s="111" t="s">
        <v>547</v>
      </c>
      <c r="W43" s="109" t="s">
        <v>553</v>
      </c>
      <c r="X43" s="109" t="s">
        <v>506</v>
      </c>
    </row>
    <row r="44" spans="8:24" ht="14.45">
      <c r="H44" s="72"/>
      <c r="I44" s="134" t="str">
        <f t="shared" si="0"/>
        <v>5MalaysiaShell IDT</v>
      </c>
      <c r="J44" s="135">
        <v>5</v>
      </c>
      <c r="K44" s="135" t="s">
        <v>549</v>
      </c>
      <c r="L44" s="135" t="s">
        <v>361</v>
      </c>
      <c r="M44" s="136"/>
      <c r="N44" s="137"/>
      <c r="O44" s="173"/>
      <c r="Q44" s="71"/>
      <c r="R44" s="68"/>
      <c r="S44" s="132"/>
      <c r="V44" s="110" t="s">
        <v>554</v>
      </c>
      <c r="W44" s="108" t="s">
        <v>555</v>
      </c>
      <c r="X44" s="108" t="s">
        <v>509</v>
      </c>
    </row>
    <row r="45" spans="8:24" ht="14.45">
      <c r="H45" s="72"/>
      <c r="I45" s="138" t="str">
        <f t="shared" si="0"/>
        <v>6MalaysiaShell IDT</v>
      </c>
      <c r="J45" s="139">
        <v>6</v>
      </c>
      <c r="K45" s="139" t="s">
        <v>549</v>
      </c>
      <c r="L45" s="139" t="s">
        <v>361</v>
      </c>
      <c r="M45" s="140"/>
      <c r="N45" s="141"/>
      <c r="O45" s="174"/>
      <c r="Q45" s="71"/>
      <c r="R45" s="66"/>
      <c r="S45" s="132"/>
      <c r="V45" s="111" t="s">
        <v>554</v>
      </c>
      <c r="W45" s="109" t="s">
        <v>556</v>
      </c>
      <c r="X45" s="109" t="s">
        <v>511</v>
      </c>
    </row>
    <row r="46" spans="8:24" ht="14.45">
      <c r="H46" s="72"/>
      <c r="I46" s="134" t="str">
        <f t="shared" si="0"/>
        <v>7MalaysiaShell IDT</v>
      </c>
      <c r="J46" s="135">
        <v>7</v>
      </c>
      <c r="K46" s="135" t="s">
        <v>549</v>
      </c>
      <c r="L46" s="135" t="s">
        <v>361</v>
      </c>
      <c r="M46" s="136"/>
      <c r="N46" s="137"/>
      <c r="O46" s="173"/>
      <c r="Q46" s="71"/>
      <c r="R46" s="68"/>
      <c r="S46" s="132"/>
      <c r="V46" s="110" t="s">
        <v>557</v>
      </c>
      <c r="W46" s="108" t="s">
        <v>558</v>
      </c>
      <c r="X46" s="108" t="s">
        <v>513</v>
      </c>
    </row>
    <row r="47" spans="8:24" ht="14.45">
      <c r="H47" s="72"/>
      <c r="I47" s="138" t="str">
        <f t="shared" si="0"/>
        <v>1PhilippinesShell IDT</v>
      </c>
      <c r="J47" s="139">
        <v>1</v>
      </c>
      <c r="K47" s="139" t="s">
        <v>276</v>
      </c>
      <c r="L47" s="139" t="s">
        <v>361</v>
      </c>
      <c r="M47" s="140"/>
      <c r="N47" s="141"/>
      <c r="O47" s="174"/>
      <c r="Q47" s="71"/>
      <c r="R47" s="99"/>
      <c r="S47" s="132"/>
      <c r="V47" s="111" t="s">
        <v>557</v>
      </c>
      <c r="W47" s="109" t="s">
        <v>559</v>
      </c>
      <c r="X47" s="109" t="s">
        <v>515</v>
      </c>
    </row>
    <row r="48" spans="8:24" ht="14.45">
      <c r="H48" s="72"/>
      <c r="I48" s="134" t="str">
        <f t="shared" si="0"/>
        <v>2PhilippinesShell IDT</v>
      </c>
      <c r="J48" s="135">
        <v>2</v>
      </c>
      <c r="K48" s="135" t="s">
        <v>276</v>
      </c>
      <c r="L48" s="135" t="s">
        <v>361</v>
      </c>
      <c r="M48" s="136"/>
      <c r="N48" s="137"/>
      <c r="O48" s="173"/>
      <c r="Q48" s="71"/>
      <c r="R48" s="99" t="s">
        <v>526</v>
      </c>
      <c r="S48" s="132"/>
      <c r="V48" s="110" t="s">
        <v>557</v>
      </c>
      <c r="W48" s="108" t="s">
        <v>560</v>
      </c>
      <c r="X48" s="108" t="s">
        <v>517</v>
      </c>
    </row>
    <row r="49" spans="8:24" ht="14.45">
      <c r="H49" s="72"/>
      <c r="I49" s="138" t="str">
        <f t="shared" si="0"/>
        <v>3PhilippinesShell IDT</v>
      </c>
      <c r="J49" s="139">
        <v>3</v>
      </c>
      <c r="K49" s="139" t="s">
        <v>276</v>
      </c>
      <c r="L49" s="139" t="s">
        <v>361</v>
      </c>
      <c r="M49" s="140"/>
      <c r="N49" s="141"/>
      <c r="O49" s="174"/>
      <c r="Q49" s="71"/>
      <c r="S49" s="132"/>
      <c r="V49" s="111" t="s">
        <v>561</v>
      </c>
      <c r="W49" s="109" t="s">
        <v>562</v>
      </c>
      <c r="X49" s="109" t="s">
        <v>519</v>
      </c>
    </row>
    <row r="50" spans="8:24" ht="14.45">
      <c r="H50" s="72"/>
      <c r="I50" s="134" t="str">
        <f t="shared" si="0"/>
        <v>4PhilippinesShell IDT</v>
      </c>
      <c r="J50" s="135">
        <v>4</v>
      </c>
      <c r="K50" s="135" t="s">
        <v>276</v>
      </c>
      <c r="L50" s="135" t="s">
        <v>361</v>
      </c>
      <c r="M50" s="136"/>
      <c r="N50" s="137"/>
      <c r="O50" s="173"/>
      <c r="Q50" s="71"/>
      <c r="S50" s="132"/>
      <c r="V50" s="110" t="s">
        <v>561</v>
      </c>
      <c r="W50" s="108" t="s">
        <v>563</v>
      </c>
      <c r="X50" s="108" t="s">
        <v>521</v>
      </c>
    </row>
    <row r="51" spans="8:24" ht="14.45">
      <c r="H51" s="72"/>
      <c r="I51" s="138" t="str">
        <f t="shared" si="0"/>
        <v>5PhilippinesShell IDT</v>
      </c>
      <c r="J51" s="139">
        <v>5</v>
      </c>
      <c r="K51" s="139" t="s">
        <v>276</v>
      </c>
      <c r="L51" s="139" t="s">
        <v>361</v>
      </c>
      <c r="M51" s="140"/>
      <c r="N51" s="141"/>
      <c r="O51" s="174"/>
      <c r="Q51" s="71"/>
      <c r="S51" s="132"/>
      <c r="V51" s="111" t="s">
        <v>561</v>
      </c>
      <c r="W51" s="109" t="s">
        <v>564</v>
      </c>
      <c r="X51" s="109" t="s">
        <v>523</v>
      </c>
    </row>
    <row r="52" spans="8:24" ht="14.45">
      <c r="H52" s="72"/>
      <c r="I52" s="134" t="str">
        <f t="shared" si="0"/>
        <v>6PhilippinesShell IDT</v>
      </c>
      <c r="J52" s="135">
        <v>6</v>
      </c>
      <c r="K52" s="135" t="s">
        <v>276</v>
      </c>
      <c r="L52" s="135" t="s">
        <v>361</v>
      </c>
      <c r="M52" s="136"/>
      <c r="N52" s="137"/>
      <c r="O52" s="173"/>
      <c r="P52" s="70"/>
      <c r="Q52" s="71"/>
      <c r="V52" s="110" t="s">
        <v>565</v>
      </c>
      <c r="W52" s="108" t="s">
        <v>566</v>
      </c>
      <c r="X52" s="108" t="s">
        <v>525</v>
      </c>
    </row>
    <row r="53" spans="8:24" ht="14.45">
      <c r="H53" s="72"/>
      <c r="I53" s="138" t="str">
        <f t="shared" si="0"/>
        <v>1ArgentinaShell Business</v>
      </c>
      <c r="J53" s="139">
        <v>1</v>
      </c>
      <c r="K53" s="139" t="s">
        <v>567</v>
      </c>
      <c r="L53" s="139" t="s">
        <v>221</v>
      </c>
      <c r="M53" s="140"/>
      <c r="N53" s="141"/>
      <c r="O53" s="174"/>
      <c r="P53" s="70"/>
      <c r="Q53" s="71"/>
      <c r="V53" s="111" t="s">
        <v>565</v>
      </c>
      <c r="W53" s="109" t="s">
        <v>568</v>
      </c>
      <c r="X53" s="109" t="s">
        <v>527</v>
      </c>
    </row>
    <row r="54" spans="8:24" ht="14.45">
      <c r="H54" s="72"/>
      <c r="I54" s="134" t="str">
        <f t="shared" si="0"/>
        <v>2ArgentinaShell Business</v>
      </c>
      <c r="J54" s="135">
        <v>2</v>
      </c>
      <c r="K54" s="135" t="s">
        <v>567</v>
      </c>
      <c r="L54" s="135" t="s">
        <v>221</v>
      </c>
      <c r="M54" s="136"/>
      <c r="N54" s="137"/>
      <c r="O54" s="173"/>
      <c r="P54" s="70"/>
      <c r="Q54" s="71"/>
      <c r="V54" s="110" t="s">
        <v>565</v>
      </c>
      <c r="W54" s="108" t="s">
        <v>569</v>
      </c>
      <c r="X54" s="108" t="s">
        <v>529</v>
      </c>
    </row>
    <row r="55" spans="8:24" ht="14.45">
      <c r="H55" s="72"/>
      <c r="I55" s="138" t="str">
        <f t="shared" si="0"/>
        <v>3ArgentinaShell Business</v>
      </c>
      <c r="J55" s="139">
        <v>3</v>
      </c>
      <c r="K55" s="139" t="s">
        <v>567</v>
      </c>
      <c r="L55" s="139" t="s">
        <v>221</v>
      </c>
      <c r="M55" s="140"/>
      <c r="N55" s="141"/>
      <c r="O55" s="174"/>
      <c r="P55" s="70"/>
      <c r="Q55" s="71"/>
      <c r="V55" s="111" t="s">
        <v>570</v>
      </c>
      <c r="W55" s="109" t="s">
        <v>571</v>
      </c>
      <c r="X55" s="109" t="s">
        <v>531</v>
      </c>
    </row>
    <row r="56" spans="8:24" ht="14.45">
      <c r="H56" s="72"/>
      <c r="I56" s="134" t="str">
        <f t="shared" si="0"/>
        <v>4ArgentinaShell Business</v>
      </c>
      <c r="J56" s="135">
        <v>4</v>
      </c>
      <c r="K56" s="135" t="s">
        <v>567</v>
      </c>
      <c r="L56" s="135" t="s">
        <v>221</v>
      </c>
      <c r="M56" s="136"/>
      <c r="N56" s="137"/>
      <c r="O56" s="173"/>
      <c r="P56" s="70"/>
      <c r="Q56" s="71"/>
      <c r="V56" s="110" t="s">
        <v>570</v>
      </c>
      <c r="W56" s="108" t="s">
        <v>572</v>
      </c>
      <c r="X56" s="108" t="s">
        <v>533</v>
      </c>
    </row>
    <row r="57" spans="8:24" ht="14.45">
      <c r="H57" s="72"/>
      <c r="I57" s="138" t="str">
        <f t="shared" si="0"/>
        <v>5ArgentinaShell Business</v>
      </c>
      <c r="J57" s="139">
        <v>5</v>
      </c>
      <c r="K57" s="139" t="s">
        <v>567</v>
      </c>
      <c r="L57" s="139" t="s">
        <v>221</v>
      </c>
      <c r="M57" s="140"/>
      <c r="N57" s="141"/>
      <c r="O57" s="174"/>
      <c r="P57" s="70"/>
      <c r="Q57" s="71"/>
      <c r="V57" s="111" t="s">
        <v>570</v>
      </c>
      <c r="W57" s="109" t="s">
        <v>573</v>
      </c>
      <c r="X57" s="109" t="s">
        <v>534</v>
      </c>
    </row>
    <row r="58" spans="8:24" ht="14.45">
      <c r="H58" s="72"/>
      <c r="I58" s="134" t="str">
        <f t="shared" si="0"/>
        <v>6ArgentinaShell Business</v>
      </c>
      <c r="J58" s="135">
        <v>6</v>
      </c>
      <c r="K58" s="135" t="s">
        <v>567</v>
      </c>
      <c r="L58" s="135" t="s">
        <v>221</v>
      </c>
      <c r="M58" s="136"/>
      <c r="N58" s="137"/>
      <c r="O58" s="173"/>
      <c r="P58" s="70"/>
      <c r="Q58" s="71"/>
      <c r="V58" s="110" t="s">
        <v>574</v>
      </c>
      <c r="W58" s="108" t="s">
        <v>575</v>
      </c>
      <c r="X58" s="108" t="s">
        <v>536</v>
      </c>
    </row>
    <row r="59" spans="8:24" ht="14.45">
      <c r="H59" s="72"/>
      <c r="I59" s="138" t="str">
        <f t="shared" si="0"/>
        <v>7ArgentinaShell Business</v>
      </c>
      <c r="J59" s="139">
        <v>7</v>
      </c>
      <c r="K59" s="139" t="s">
        <v>567</v>
      </c>
      <c r="L59" s="139" t="s">
        <v>221</v>
      </c>
      <c r="M59" s="140"/>
      <c r="N59" s="141"/>
      <c r="O59" s="174"/>
      <c r="P59" s="70"/>
      <c r="Q59" s="71"/>
      <c r="V59" s="111" t="s">
        <v>574</v>
      </c>
      <c r="W59" s="109" t="s">
        <v>576</v>
      </c>
      <c r="X59" s="109" t="s">
        <v>538</v>
      </c>
    </row>
    <row r="60" spans="8:24" ht="14.45">
      <c r="H60" s="72"/>
      <c r="I60" s="134" t="str">
        <f t="shared" si="0"/>
        <v>1AustraliaShell Business</v>
      </c>
      <c r="J60" s="135">
        <v>1</v>
      </c>
      <c r="K60" s="135" t="s">
        <v>577</v>
      </c>
      <c r="L60" s="135" t="s">
        <v>221</v>
      </c>
      <c r="M60" s="136"/>
      <c r="N60" s="137"/>
      <c r="O60" s="173"/>
      <c r="P60" s="70"/>
      <c r="Q60" s="71"/>
    </row>
    <row r="61" spans="8:24" ht="14.45">
      <c r="H61" s="72"/>
      <c r="I61" s="138" t="str">
        <f t="shared" si="0"/>
        <v>2AustraliaShell Business</v>
      </c>
      <c r="J61" s="139">
        <v>2</v>
      </c>
      <c r="K61" s="139" t="s">
        <v>577</v>
      </c>
      <c r="L61" s="139" t="s">
        <v>221</v>
      </c>
      <c r="M61" s="140"/>
      <c r="N61" s="141"/>
      <c r="O61" s="174"/>
      <c r="P61" s="70"/>
      <c r="Q61" s="71"/>
    </row>
    <row r="62" spans="8:24" ht="14.45">
      <c r="H62" s="72"/>
      <c r="I62" s="134" t="str">
        <f t="shared" si="0"/>
        <v>3AustraliaShell Business</v>
      </c>
      <c r="J62" s="135">
        <v>3</v>
      </c>
      <c r="K62" s="135" t="s">
        <v>577</v>
      </c>
      <c r="L62" s="135" t="s">
        <v>221</v>
      </c>
      <c r="M62" s="136"/>
      <c r="N62" s="137"/>
      <c r="O62" s="173"/>
      <c r="P62" s="70"/>
      <c r="Q62" s="71"/>
    </row>
    <row r="63" spans="8:24" ht="14.45">
      <c r="H63" s="72"/>
      <c r="I63" s="138" t="str">
        <f t="shared" si="0"/>
        <v>4AustraliaShell Business</v>
      </c>
      <c r="J63" s="139">
        <v>4</v>
      </c>
      <c r="K63" s="139" t="s">
        <v>577</v>
      </c>
      <c r="L63" s="139" t="s">
        <v>221</v>
      </c>
      <c r="M63" s="140"/>
      <c r="N63" s="141"/>
      <c r="O63" s="174"/>
      <c r="P63" s="70"/>
      <c r="Q63" s="71"/>
    </row>
    <row r="64" spans="8:24" ht="14.45">
      <c r="H64" s="72"/>
      <c r="I64" s="134" t="str">
        <f t="shared" si="0"/>
        <v>5AustraliaShell Business</v>
      </c>
      <c r="J64" s="135">
        <v>5</v>
      </c>
      <c r="K64" s="135" t="s">
        <v>577</v>
      </c>
      <c r="L64" s="135" t="s">
        <v>221</v>
      </c>
      <c r="M64" s="136"/>
      <c r="N64" s="137"/>
      <c r="O64" s="173"/>
      <c r="P64" s="70"/>
      <c r="Q64" s="71"/>
    </row>
    <row r="65" spans="8:17" ht="14.45">
      <c r="H65" s="72"/>
      <c r="I65" s="138" t="str">
        <f t="shared" si="0"/>
        <v>6AustraliaShell Business</v>
      </c>
      <c r="J65" s="139">
        <v>6</v>
      </c>
      <c r="K65" s="139" t="s">
        <v>577</v>
      </c>
      <c r="L65" s="139" t="s">
        <v>221</v>
      </c>
      <c r="M65" s="140"/>
      <c r="N65" s="141"/>
      <c r="O65" s="174"/>
      <c r="P65" s="70"/>
      <c r="Q65" s="71"/>
    </row>
    <row r="66" spans="8:17" ht="14.45">
      <c r="H66" s="72"/>
      <c r="I66" s="134" t="str">
        <f t="shared" si="0"/>
        <v>7AustraliaShell Business</v>
      </c>
      <c r="J66" s="135">
        <v>7</v>
      </c>
      <c r="K66" s="135" t="s">
        <v>577</v>
      </c>
      <c r="L66" s="135" t="s">
        <v>221</v>
      </c>
      <c r="M66" s="136"/>
      <c r="N66" s="137"/>
      <c r="O66" s="173"/>
      <c r="P66" s="70"/>
      <c r="Q66" s="71"/>
    </row>
    <row r="67" spans="8:17" ht="14.45">
      <c r="H67" s="72"/>
      <c r="I67" s="138" t="str">
        <f t="shared" si="0"/>
        <v>1AustriaShell Business</v>
      </c>
      <c r="J67" s="139">
        <v>1</v>
      </c>
      <c r="K67" s="139" t="s">
        <v>578</v>
      </c>
      <c r="L67" s="139" t="s">
        <v>221</v>
      </c>
      <c r="M67" s="140"/>
      <c r="N67" s="141"/>
      <c r="O67" s="174"/>
      <c r="P67" s="70"/>
      <c r="Q67" s="71"/>
    </row>
    <row r="68" spans="8:17" ht="14.45">
      <c r="H68" s="72"/>
      <c r="I68" s="134" t="str">
        <f t="shared" ref="I68:I75" si="1">CONCATENATE(J68,K68,L68)</f>
        <v>2AustriaShell Business</v>
      </c>
      <c r="J68" s="135">
        <v>2</v>
      </c>
      <c r="K68" s="135" t="s">
        <v>578</v>
      </c>
      <c r="L68" s="135" t="s">
        <v>221</v>
      </c>
      <c r="M68" s="136"/>
      <c r="N68" s="137"/>
      <c r="O68" s="173"/>
      <c r="P68" s="70"/>
      <c r="Q68" s="71"/>
    </row>
    <row r="69" spans="8:17" ht="14.45">
      <c r="H69" s="72"/>
      <c r="I69" s="138" t="str">
        <f t="shared" si="1"/>
        <v>3AustriaShell Business</v>
      </c>
      <c r="J69" s="139">
        <v>3</v>
      </c>
      <c r="K69" s="139" t="s">
        <v>578</v>
      </c>
      <c r="L69" s="139" t="s">
        <v>221</v>
      </c>
      <c r="M69" s="140"/>
      <c r="N69" s="141"/>
      <c r="O69" s="174"/>
      <c r="P69" s="70"/>
      <c r="Q69" s="71"/>
    </row>
    <row r="70" spans="8:17" ht="14.45">
      <c r="H70" s="72"/>
      <c r="I70" s="134" t="str">
        <f t="shared" si="1"/>
        <v>4AustriaShell Business</v>
      </c>
      <c r="J70" s="135">
        <v>4</v>
      </c>
      <c r="K70" s="135" t="s">
        <v>578</v>
      </c>
      <c r="L70" s="135" t="s">
        <v>221</v>
      </c>
      <c r="M70" s="136"/>
      <c r="N70" s="137"/>
      <c r="O70" s="173"/>
      <c r="P70" s="70"/>
      <c r="Q70" s="71"/>
    </row>
    <row r="71" spans="8:17" ht="14.45">
      <c r="H71" s="72"/>
      <c r="I71" s="138" t="str">
        <f t="shared" si="1"/>
        <v>5AustriaShell Business</v>
      </c>
      <c r="J71" s="139">
        <v>5</v>
      </c>
      <c r="K71" s="139" t="s">
        <v>578</v>
      </c>
      <c r="L71" s="139" t="s">
        <v>221</v>
      </c>
      <c r="M71" s="140"/>
      <c r="N71" s="141"/>
      <c r="O71" s="174"/>
      <c r="P71" s="70"/>
      <c r="Q71" s="71"/>
    </row>
    <row r="72" spans="8:17" ht="14.45">
      <c r="H72" s="72"/>
      <c r="I72" s="134" t="str">
        <f t="shared" si="1"/>
        <v>6AustriaShell Business</v>
      </c>
      <c r="J72" s="135">
        <v>6</v>
      </c>
      <c r="K72" s="135" t="s">
        <v>578</v>
      </c>
      <c r="L72" s="135" t="s">
        <v>221</v>
      </c>
      <c r="M72" s="136"/>
      <c r="N72" s="137"/>
      <c r="O72" s="173"/>
      <c r="P72" s="70"/>
      <c r="Q72" s="71"/>
    </row>
    <row r="73" spans="8:17" ht="14.45">
      <c r="H73" s="72"/>
      <c r="I73" s="138" t="str">
        <f t="shared" si="1"/>
        <v>7AustriaShell Business</v>
      </c>
      <c r="J73" s="139">
        <v>7</v>
      </c>
      <c r="K73" s="139" t="s">
        <v>578</v>
      </c>
      <c r="L73" s="139" t="s">
        <v>221</v>
      </c>
      <c r="M73" s="140"/>
      <c r="N73" s="141"/>
      <c r="O73" s="174"/>
      <c r="P73" s="70"/>
      <c r="Q73" s="71"/>
    </row>
    <row r="74" spans="8:17" ht="14.45">
      <c r="H74" s="72"/>
      <c r="I74" s="134" t="str">
        <f t="shared" si="1"/>
        <v>1BelgiumShell Business</v>
      </c>
      <c r="J74" s="135">
        <v>1</v>
      </c>
      <c r="K74" s="135" t="s">
        <v>579</v>
      </c>
      <c r="L74" s="135" t="s">
        <v>221</v>
      </c>
      <c r="M74" s="136"/>
      <c r="N74" s="137"/>
      <c r="O74" s="173"/>
      <c r="P74" s="70"/>
      <c r="Q74" s="71"/>
    </row>
    <row r="75" spans="8:17" ht="14.45">
      <c r="H75" s="72"/>
      <c r="I75" s="138" t="str">
        <f t="shared" si="1"/>
        <v>2BelgiumShell Business</v>
      </c>
      <c r="J75" s="139">
        <v>2</v>
      </c>
      <c r="K75" s="139" t="s">
        <v>579</v>
      </c>
      <c r="L75" s="139" t="s">
        <v>221</v>
      </c>
      <c r="M75" s="140"/>
      <c r="N75" s="141"/>
      <c r="O75" s="174"/>
      <c r="P75" s="70"/>
      <c r="Q75" s="71"/>
    </row>
    <row r="76" spans="8:17" ht="14.45">
      <c r="H76" s="72"/>
      <c r="I76" s="134" t="str">
        <f t="shared" ref="I76:I89" si="2">CONCATENATE(J76,K76,L76)</f>
        <v>3BelgiumShell Business</v>
      </c>
      <c r="J76" s="135">
        <v>3</v>
      </c>
      <c r="K76" s="135" t="s">
        <v>579</v>
      </c>
      <c r="L76" s="135" t="s">
        <v>221</v>
      </c>
      <c r="M76" s="136"/>
      <c r="N76" s="137"/>
      <c r="O76" s="173"/>
      <c r="P76" s="70"/>
      <c r="Q76" s="71"/>
    </row>
    <row r="77" spans="8:17" ht="14.45">
      <c r="H77" s="72"/>
      <c r="I77" s="138" t="str">
        <f t="shared" si="2"/>
        <v>4BelgiumShell Business</v>
      </c>
      <c r="J77" s="139">
        <v>4</v>
      </c>
      <c r="K77" s="139" t="s">
        <v>579</v>
      </c>
      <c r="L77" s="139" t="s">
        <v>221</v>
      </c>
      <c r="M77" s="140"/>
      <c r="N77" s="141"/>
      <c r="O77" s="174"/>
      <c r="P77" s="70"/>
      <c r="Q77" s="71"/>
    </row>
    <row r="78" spans="8:17" ht="14.45">
      <c r="H78" s="72"/>
      <c r="I78" s="134" t="str">
        <f t="shared" si="2"/>
        <v>5BelgiumShell Business</v>
      </c>
      <c r="J78" s="135">
        <v>5</v>
      </c>
      <c r="K78" s="135" t="s">
        <v>579</v>
      </c>
      <c r="L78" s="135" t="s">
        <v>221</v>
      </c>
      <c r="M78" s="136"/>
      <c r="N78" s="137"/>
      <c r="O78" s="173"/>
      <c r="P78" s="70"/>
      <c r="Q78" s="71"/>
    </row>
    <row r="79" spans="8:17" ht="14.45">
      <c r="H79" s="72"/>
      <c r="I79" s="138" t="str">
        <f t="shared" si="2"/>
        <v>6BelgiumShell Business</v>
      </c>
      <c r="J79" s="139">
        <v>6</v>
      </c>
      <c r="K79" s="139" t="s">
        <v>579</v>
      </c>
      <c r="L79" s="139" t="s">
        <v>221</v>
      </c>
      <c r="M79" s="140"/>
      <c r="N79" s="141"/>
      <c r="O79" s="174"/>
      <c r="P79" s="70"/>
      <c r="Q79" s="71"/>
    </row>
    <row r="80" spans="8:17" ht="14.45">
      <c r="H80" s="72"/>
      <c r="I80" s="134" t="str">
        <f t="shared" si="2"/>
        <v>7BelgiumShell Business</v>
      </c>
      <c r="J80" s="135">
        <v>7</v>
      </c>
      <c r="K80" s="135" t="s">
        <v>579</v>
      </c>
      <c r="L80" s="135" t="s">
        <v>221</v>
      </c>
      <c r="M80" s="136"/>
      <c r="N80" s="137"/>
      <c r="O80" s="173"/>
      <c r="P80" s="70"/>
      <c r="Q80" s="71"/>
    </row>
    <row r="81" spans="8:17" ht="14.45">
      <c r="H81" s="72"/>
      <c r="I81" s="138" t="str">
        <f t="shared" si="2"/>
        <v>1BrazilShell Business</v>
      </c>
      <c r="J81" s="139">
        <v>1</v>
      </c>
      <c r="K81" s="139" t="s">
        <v>580</v>
      </c>
      <c r="L81" s="139" t="s">
        <v>221</v>
      </c>
      <c r="M81" s="140"/>
      <c r="N81" s="141"/>
      <c r="O81" s="174"/>
      <c r="P81" s="70"/>
      <c r="Q81" s="71"/>
    </row>
    <row r="82" spans="8:17" ht="14.45">
      <c r="H82" s="72"/>
      <c r="I82" s="134" t="str">
        <f t="shared" si="2"/>
        <v>2BrazilShell Business</v>
      </c>
      <c r="J82" s="135">
        <v>2</v>
      </c>
      <c r="K82" s="135" t="s">
        <v>580</v>
      </c>
      <c r="L82" s="135" t="s">
        <v>221</v>
      </c>
      <c r="M82" s="136"/>
      <c r="N82" s="137"/>
      <c r="O82" s="173"/>
      <c r="P82" s="70"/>
      <c r="Q82" s="71"/>
    </row>
    <row r="83" spans="8:17" ht="14.45">
      <c r="H83" s="72"/>
      <c r="I83" s="138" t="str">
        <f t="shared" si="2"/>
        <v>3BrazilShell Business</v>
      </c>
      <c r="J83" s="139">
        <v>3</v>
      </c>
      <c r="K83" s="139" t="s">
        <v>580</v>
      </c>
      <c r="L83" s="139" t="s">
        <v>221</v>
      </c>
      <c r="M83" s="140"/>
      <c r="N83" s="141"/>
      <c r="O83" s="174"/>
      <c r="P83" s="70"/>
      <c r="Q83" s="71"/>
    </row>
    <row r="84" spans="8:17" ht="14.45">
      <c r="H84" s="72"/>
      <c r="I84" s="134" t="str">
        <f t="shared" si="2"/>
        <v>4BrazilShell Business</v>
      </c>
      <c r="J84" s="135">
        <v>4</v>
      </c>
      <c r="K84" s="135" t="s">
        <v>580</v>
      </c>
      <c r="L84" s="135" t="s">
        <v>221</v>
      </c>
      <c r="M84" s="136"/>
      <c r="N84" s="137"/>
      <c r="O84" s="173"/>
      <c r="P84" s="70"/>
      <c r="Q84" s="71"/>
    </row>
    <row r="85" spans="8:17" ht="14.45">
      <c r="H85" s="72"/>
      <c r="I85" s="138" t="str">
        <f t="shared" si="2"/>
        <v>5BrazilShell Business</v>
      </c>
      <c r="J85" s="139">
        <v>5</v>
      </c>
      <c r="K85" s="139" t="s">
        <v>580</v>
      </c>
      <c r="L85" s="139" t="s">
        <v>221</v>
      </c>
      <c r="M85" s="140"/>
      <c r="N85" s="141"/>
      <c r="O85" s="174"/>
      <c r="P85" s="70"/>
      <c r="Q85" s="71"/>
    </row>
    <row r="86" spans="8:17" ht="14.45">
      <c r="H86" s="72"/>
      <c r="I86" s="134" t="str">
        <f t="shared" si="2"/>
        <v>6BrazilShell Business</v>
      </c>
      <c r="J86" s="135">
        <v>6</v>
      </c>
      <c r="K86" s="135" t="s">
        <v>580</v>
      </c>
      <c r="L86" s="135" t="s">
        <v>221</v>
      </c>
      <c r="M86" s="136"/>
      <c r="N86" s="137"/>
      <c r="O86" s="173"/>
      <c r="P86" s="70"/>
      <c r="Q86" s="71"/>
    </row>
    <row r="87" spans="8:17" ht="14.45">
      <c r="H87" s="72"/>
      <c r="I87" s="138" t="str">
        <f t="shared" si="2"/>
        <v>7BrazilShell Business</v>
      </c>
      <c r="J87" s="139">
        <v>7</v>
      </c>
      <c r="K87" s="139" t="s">
        <v>580</v>
      </c>
      <c r="L87" s="139" t="s">
        <v>221</v>
      </c>
      <c r="M87" s="140"/>
      <c r="N87" s="141"/>
      <c r="O87" s="174"/>
      <c r="P87" s="70"/>
      <c r="Q87" s="71"/>
    </row>
    <row r="88" spans="8:17" ht="14.45">
      <c r="H88" s="72"/>
      <c r="I88" s="134" t="str">
        <f t="shared" si="2"/>
        <v>1CanadaShell Business</v>
      </c>
      <c r="J88" s="135">
        <v>1</v>
      </c>
      <c r="K88" s="135" t="s">
        <v>581</v>
      </c>
      <c r="L88" s="135" t="s">
        <v>221</v>
      </c>
      <c r="M88" s="136"/>
      <c r="N88" s="137"/>
      <c r="O88" s="173"/>
      <c r="P88" s="70"/>
      <c r="Q88" s="71"/>
    </row>
    <row r="89" spans="8:17" ht="14.45">
      <c r="H89" s="72"/>
      <c r="I89" s="138" t="str">
        <f t="shared" si="2"/>
        <v>2CanadaShell Business</v>
      </c>
      <c r="J89" s="139">
        <v>2</v>
      </c>
      <c r="K89" s="139" t="s">
        <v>581</v>
      </c>
      <c r="L89" s="139" t="s">
        <v>221</v>
      </c>
      <c r="M89" s="140"/>
      <c r="N89" s="141"/>
      <c r="O89" s="174"/>
      <c r="P89" s="70"/>
      <c r="Q89" s="71"/>
    </row>
    <row r="90" spans="8:17" ht="14.45">
      <c r="H90" s="72"/>
      <c r="I90" s="134" t="str">
        <f t="shared" ref="I90:I96" si="3">CONCATENATE(J90,K90,L90)</f>
        <v>3CanadaShell Business</v>
      </c>
      <c r="J90" s="135">
        <v>3</v>
      </c>
      <c r="K90" s="135" t="s">
        <v>581</v>
      </c>
      <c r="L90" s="135" t="s">
        <v>221</v>
      </c>
      <c r="M90" s="136">
        <v>850</v>
      </c>
      <c r="N90" s="137"/>
      <c r="O90" s="173"/>
      <c r="P90" s="177">
        <v>1255</v>
      </c>
      <c r="Q90" s="71"/>
    </row>
    <row r="91" spans="8:17" ht="14.45">
      <c r="H91" s="72"/>
      <c r="I91" s="138" t="str">
        <f t="shared" si="3"/>
        <v>4CanadaShell Business</v>
      </c>
      <c r="J91" s="139">
        <v>4</v>
      </c>
      <c r="K91" s="139" t="s">
        <v>581</v>
      </c>
      <c r="L91" s="139" t="s">
        <v>221</v>
      </c>
      <c r="M91" s="140"/>
      <c r="N91" s="141"/>
      <c r="O91" s="174"/>
      <c r="P91" s="70"/>
      <c r="Q91" s="71"/>
    </row>
    <row r="92" spans="8:17" ht="14.45">
      <c r="H92" s="72"/>
      <c r="I92" s="134" t="str">
        <f t="shared" si="3"/>
        <v>5CanadaShell Business</v>
      </c>
      <c r="J92" s="135">
        <v>5</v>
      </c>
      <c r="K92" s="135" t="s">
        <v>581</v>
      </c>
      <c r="L92" s="135" t="s">
        <v>221</v>
      </c>
      <c r="M92" s="136"/>
      <c r="N92" s="137"/>
      <c r="O92" s="173"/>
      <c r="P92" s="70"/>
      <c r="Q92" s="71"/>
    </row>
    <row r="93" spans="8:17" ht="14.45">
      <c r="H93" s="72"/>
      <c r="I93" s="138" t="str">
        <f t="shared" si="3"/>
        <v>6CanadaShell Business</v>
      </c>
      <c r="J93" s="139">
        <v>6</v>
      </c>
      <c r="K93" s="139" t="s">
        <v>581</v>
      </c>
      <c r="L93" s="139" t="s">
        <v>221</v>
      </c>
      <c r="M93" s="140"/>
      <c r="N93" s="141"/>
      <c r="O93" s="174"/>
      <c r="P93" s="70"/>
      <c r="Q93" s="71"/>
    </row>
    <row r="94" spans="8:17" ht="14.45">
      <c r="H94" s="72"/>
      <c r="I94" s="134" t="str">
        <f t="shared" si="3"/>
        <v>7CanadaShell Business</v>
      </c>
      <c r="J94" s="135">
        <v>7</v>
      </c>
      <c r="K94" s="135" t="s">
        <v>581</v>
      </c>
      <c r="L94" s="135" t="s">
        <v>221</v>
      </c>
      <c r="M94" s="136"/>
      <c r="N94" s="137"/>
      <c r="O94" s="173"/>
      <c r="P94" s="70"/>
      <c r="Q94" s="71"/>
    </row>
    <row r="95" spans="8:17" ht="14.45">
      <c r="H95" s="72"/>
      <c r="I95" s="138" t="str">
        <f t="shared" si="3"/>
        <v>1ChinaShell Business</v>
      </c>
      <c r="J95" s="139">
        <v>1</v>
      </c>
      <c r="K95" s="139" t="s">
        <v>582</v>
      </c>
      <c r="L95" s="139" t="s">
        <v>221</v>
      </c>
      <c r="M95" s="140"/>
      <c r="N95" s="141"/>
      <c r="O95" s="174"/>
      <c r="P95" s="70"/>
      <c r="Q95" s="71"/>
    </row>
    <row r="96" spans="8:17" ht="14.45">
      <c r="H96" s="72"/>
      <c r="I96" s="134" t="str">
        <f t="shared" si="3"/>
        <v>2ChinaShell Business</v>
      </c>
      <c r="J96" s="135">
        <v>2</v>
      </c>
      <c r="K96" s="135" t="s">
        <v>582</v>
      </c>
      <c r="L96" s="135" t="s">
        <v>221</v>
      </c>
      <c r="M96" s="136"/>
      <c r="N96" s="137"/>
      <c r="O96" s="173"/>
      <c r="P96" s="70"/>
      <c r="Q96" s="71"/>
    </row>
    <row r="97" spans="8:17" ht="14.45">
      <c r="H97" s="72"/>
      <c r="I97" s="138" t="str">
        <f t="shared" ref="I97:I103" si="4">CONCATENATE(J97,K97,L97)</f>
        <v>3ChinaShell Business</v>
      </c>
      <c r="J97" s="139">
        <v>3</v>
      </c>
      <c r="K97" s="139" t="s">
        <v>582</v>
      </c>
      <c r="L97" s="139" t="s">
        <v>221</v>
      </c>
      <c r="M97" s="140"/>
      <c r="N97" s="141"/>
      <c r="O97" s="174"/>
      <c r="P97" s="70"/>
      <c r="Q97" s="71"/>
    </row>
    <row r="98" spans="8:17" ht="14.45">
      <c r="H98" s="72"/>
      <c r="I98" s="134" t="str">
        <f t="shared" si="4"/>
        <v>4ChinaShell Business</v>
      </c>
      <c r="J98" s="135">
        <v>4</v>
      </c>
      <c r="K98" s="135" t="s">
        <v>582</v>
      </c>
      <c r="L98" s="135" t="s">
        <v>221</v>
      </c>
      <c r="M98" s="136"/>
      <c r="N98" s="137"/>
      <c r="O98" s="173"/>
      <c r="P98" s="70"/>
      <c r="Q98" s="71"/>
    </row>
    <row r="99" spans="8:17" ht="14.45">
      <c r="H99" s="72"/>
      <c r="I99" s="138" t="str">
        <f t="shared" si="4"/>
        <v>5ChinaShell Business</v>
      </c>
      <c r="J99" s="139">
        <v>5</v>
      </c>
      <c r="K99" s="139" t="s">
        <v>582</v>
      </c>
      <c r="L99" s="139" t="s">
        <v>221</v>
      </c>
      <c r="M99" s="140"/>
      <c r="N99" s="141"/>
      <c r="O99" s="174"/>
      <c r="P99" s="70"/>
      <c r="Q99" s="71"/>
    </row>
    <row r="100" spans="8:17" ht="14.45">
      <c r="H100" s="72"/>
      <c r="I100" s="134" t="str">
        <f t="shared" si="4"/>
        <v>6ChinaShell Business</v>
      </c>
      <c r="J100" s="135">
        <v>6</v>
      </c>
      <c r="K100" s="135" t="s">
        <v>582</v>
      </c>
      <c r="L100" s="135" t="s">
        <v>221</v>
      </c>
      <c r="M100" s="136"/>
      <c r="N100" s="137"/>
      <c r="O100" s="173"/>
      <c r="P100" s="70"/>
      <c r="Q100" s="71"/>
    </row>
    <row r="101" spans="8:17" ht="14.45">
      <c r="H101" s="72"/>
      <c r="I101" s="138" t="str">
        <f t="shared" si="4"/>
        <v>7ChinaShell Business</v>
      </c>
      <c r="J101" s="139">
        <v>7</v>
      </c>
      <c r="K101" s="139" t="s">
        <v>582</v>
      </c>
      <c r="L101" s="139" t="s">
        <v>221</v>
      </c>
      <c r="M101" s="140"/>
      <c r="N101" s="141"/>
      <c r="O101" s="174"/>
      <c r="P101" s="70"/>
      <c r="Q101" s="71"/>
    </row>
    <row r="102" spans="8:17" ht="14.45">
      <c r="H102" s="72"/>
      <c r="I102" s="134" t="str">
        <f t="shared" si="4"/>
        <v>1Czech RepublicShell Business</v>
      </c>
      <c r="J102" s="135">
        <v>1</v>
      </c>
      <c r="K102" s="135" t="s">
        <v>583</v>
      </c>
      <c r="L102" s="135" t="s">
        <v>221</v>
      </c>
      <c r="M102" s="136"/>
      <c r="N102" s="137"/>
      <c r="O102" s="173"/>
      <c r="P102" s="70"/>
      <c r="Q102" s="71"/>
    </row>
    <row r="103" spans="8:17" ht="14.45">
      <c r="H103" s="72"/>
      <c r="I103" s="138" t="str">
        <f t="shared" si="4"/>
        <v>2Czech RepublicShell Business</v>
      </c>
      <c r="J103" s="139">
        <v>2</v>
      </c>
      <c r="K103" s="139" t="s">
        <v>583</v>
      </c>
      <c r="L103" s="139" t="s">
        <v>221</v>
      </c>
      <c r="M103" s="140"/>
      <c r="N103" s="141"/>
      <c r="O103" s="174"/>
      <c r="P103" s="70"/>
      <c r="Q103" s="71"/>
    </row>
    <row r="104" spans="8:17" ht="14.45">
      <c r="H104" s="72"/>
      <c r="I104" s="134" t="str">
        <f t="shared" ref="I104:I131" si="5">CONCATENATE(J104,K104,L104)</f>
        <v>3Czech RepublicShell Business</v>
      </c>
      <c r="J104" s="135">
        <v>3</v>
      </c>
      <c r="K104" s="135" t="s">
        <v>583</v>
      </c>
      <c r="L104" s="135" t="s">
        <v>221</v>
      </c>
      <c r="M104" s="136"/>
      <c r="N104" s="137"/>
      <c r="O104" s="173"/>
      <c r="P104" s="70"/>
      <c r="Q104" s="71"/>
    </row>
    <row r="105" spans="8:17" ht="14.45">
      <c r="H105" s="72"/>
      <c r="I105" s="138" t="str">
        <f t="shared" si="5"/>
        <v>4Czech RepublicShell Business</v>
      </c>
      <c r="J105" s="139">
        <v>4</v>
      </c>
      <c r="K105" s="139" t="s">
        <v>583</v>
      </c>
      <c r="L105" s="139" t="s">
        <v>221</v>
      </c>
      <c r="M105" s="140"/>
      <c r="N105" s="141"/>
      <c r="O105" s="174"/>
      <c r="P105" s="70"/>
      <c r="Q105" s="71"/>
    </row>
    <row r="106" spans="8:17" ht="14.45">
      <c r="H106" s="72"/>
      <c r="I106" s="134" t="str">
        <f t="shared" si="5"/>
        <v>5Czech RepublicShell Business</v>
      </c>
      <c r="J106" s="135">
        <v>5</v>
      </c>
      <c r="K106" s="135" t="s">
        <v>583</v>
      </c>
      <c r="L106" s="135" t="s">
        <v>221</v>
      </c>
      <c r="M106" s="136"/>
      <c r="N106" s="137"/>
      <c r="O106" s="173"/>
      <c r="P106" s="70"/>
      <c r="Q106" s="71"/>
    </row>
    <row r="107" spans="8:17" ht="14.45">
      <c r="H107" s="72"/>
      <c r="I107" s="138" t="str">
        <f t="shared" si="5"/>
        <v>6Czech RepublicShell Business</v>
      </c>
      <c r="J107" s="139">
        <v>6</v>
      </c>
      <c r="K107" s="139" t="s">
        <v>583</v>
      </c>
      <c r="L107" s="139" t="s">
        <v>221</v>
      </c>
      <c r="M107" s="140"/>
      <c r="N107" s="141"/>
      <c r="O107" s="174"/>
      <c r="P107" s="70"/>
      <c r="Q107" s="71"/>
    </row>
    <row r="108" spans="8:17" ht="14.45">
      <c r="H108" s="72"/>
      <c r="I108" s="134" t="str">
        <f t="shared" si="5"/>
        <v>7Czech RepublicShell Business</v>
      </c>
      <c r="J108" s="135">
        <v>7</v>
      </c>
      <c r="K108" s="135" t="s">
        <v>583</v>
      </c>
      <c r="L108" s="135" t="s">
        <v>221</v>
      </c>
      <c r="M108" s="136"/>
      <c r="N108" s="137"/>
      <c r="O108" s="173"/>
      <c r="P108" s="70"/>
      <c r="Q108" s="71"/>
    </row>
    <row r="109" spans="8:17" ht="14.45">
      <c r="H109" s="72"/>
      <c r="I109" s="138" t="str">
        <f t="shared" si="5"/>
        <v>1ColombiaShell Business</v>
      </c>
      <c r="J109" s="139">
        <v>1</v>
      </c>
      <c r="K109" s="139" t="s">
        <v>584</v>
      </c>
      <c r="L109" s="139" t="s">
        <v>221</v>
      </c>
      <c r="M109" s="140"/>
      <c r="N109" s="141"/>
      <c r="O109" s="174"/>
      <c r="P109" s="70"/>
      <c r="Q109" s="71"/>
    </row>
    <row r="110" spans="8:17" ht="14.45">
      <c r="H110" s="72"/>
      <c r="I110" s="134" t="str">
        <f t="shared" si="5"/>
        <v>2ColombiaShell Business</v>
      </c>
      <c r="J110" s="135">
        <v>2</v>
      </c>
      <c r="K110" s="135" t="s">
        <v>584</v>
      </c>
      <c r="L110" s="135" t="s">
        <v>221</v>
      </c>
      <c r="M110" s="136"/>
      <c r="N110" s="137"/>
      <c r="O110" s="173"/>
      <c r="P110" s="70"/>
      <c r="Q110" s="71"/>
    </row>
    <row r="111" spans="8:17" ht="14.45">
      <c r="H111" s="72"/>
      <c r="I111" s="138" t="str">
        <f t="shared" si="5"/>
        <v>3ColombiaShell Business</v>
      </c>
      <c r="J111" s="139">
        <v>3</v>
      </c>
      <c r="K111" s="139" t="s">
        <v>584</v>
      </c>
      <c r="L111" s="139" t="s">
        <v>221</v>
      </c>
      <c r="M111" s="140"/>
      <c r="N111" s="141"/>
      <c r="O111" s="174"/>
      <c r="P111" s="70"/>
      <c r="Q111" s="71"/>
    </row>
    <row r="112" spans="8:17" ht="14.45">
      <c r="H112" s="72"/>
      <c r="I112" s="134" t="str">
        <f t="shared" si="5"/>
        <v>4ColombiaShell Business</v>
      </c>
      <c r="J112" s="135">
        <v>4</v>
      </c>
      <c r="K112" s="135" t="s">
        <v>584</v>
      </c>
      <c r="L112" s="135" t="s">
        <v>221</v>
      </c>
      <c r="M112" s="136"/>
      <c r="N112" s="137"/>
      <c r="O112" s="173"/>
      <c r="P112" s="70"/>
      <c r="Q112" s="71"/>
    </row>
    <row r="113" spans="8:17" ht="14.45">
      <c r="H113" s="72"/>
      <c r="I113" s="138" t="str">
        <f t="shared" si="5"/>
        <v>5ColombiaShell Business</v>
      </c>
      <c r="J113" s="139">
        <v>5</v>
      </c>
      <c r="K113" s="139" t="s">
        <v>584</v>
      </c>
      <c r="L113" s="139" t="s">
        <v>221</v>
      </c>
      <c r="M113" s="140"/>
      <c r="N113" s="141"/>
      <c r="O113" s="174"/>
      <c r="P113" s="70"/>
      <c r="Q113" s="71"/>
    </row>
    <row r="114" spans="8:17" ht="14.45">
      <c r="H114" s="72"/>
      <c r="I114" s="134" t="str">
        <f t="shared" si="5"/>
        <v>6ColombiaShell Business</v>
      </c>
      <c r="J114" s="135">
        <v>6</v>
      </c>
      <c r="K114" s="135" t="s">
        <v>584</v>
      </c>
      <c r="L114" s="135" t="s">
        <v>221</v>
      </c>
      <c r="M114" s="136"/>
      <c r="N114" s="137"/>
      <c r="O114" s="173"/>
      <c r="P114" s="70"/>
      <c r="Q114" s="71"/>
    </row>
    <row r="115" spans="8:17" ht="14.45">
      <c r="H115" s="72"/>
      <c r="I115" s="138" t="str">
        <f t="shared" si="5"/>
        <v>7ColombiaShell Business</v>
      </c>
      <c r="J115" s="139">
        <v>7</v>
      </c>
      <c r="K115" s="139" t="s">
        <v>584</v>
      </c>
      <c r="L115" s="139" t="s">
        <v>221</v>
      </c>
      <c r="M115" s="140"/>
      <c r="N115" s="141"/>
      <c r="O115" s="174"/>
      <c r="P115" s="70"/>
      <c r="Q115" s="71"/>
    </row>
    <row r="116" spans="8:17" ht="14.45">
      <c r="H116" s="72"/>
      <c r="I116" s="134" t="str">
        <f t="shared" si="5"/>
        <v>1DenmarkShell Business</v>
      </c>
      <c r="J116" s="135">
        <v>1</v>
      </c>
      <c r="K116" s="135" t="s">
        <v>585</v>
      </c>
      <c r="L116" s="135" t="s">
        <v>221</v>
      </c>
      <c r="M116" s="136"/>
      <c r="N116" s="137"/>
      <c r="O116" s="173"/>
      <c r="P116" s="70"/>
      <c r="Q116" s="71"/>
    </row>
    <row r="117" spans="8:17" ht="14.45">
      <c r="H117" s="72"/>
      <c r="I117" s="138" t="str">
        <f t="shared" si="5"/>
        <v>2DenmarkShell Business</v>
      </c>
      <c r="J117" s="139">
        <v>2</v>
      </c>
      <c r="K117" s="139" t="s">
        <v>585</v>
      </c>
      <c r="L117" s="139" t="s">
        <v>221</v>
      </c>
      <c r="M117" s="140"/>
      <c r="N117" s="141"/>
      <c r="O117" s="174"/>
      <c r="P117" s="70"/>
      <c r="Q117" s="71"/>
    </row>
    <row r="118" spans="8:17" ht="14.45">
      <c r="H118" s="72"/>
      <c r="I118" s="134" t="str">
        <f t="shared" si="5"/>
        <v>3DenmarkShell Business</v>
      </c>
      <c r="J118" s="135">
        <v>3</v>
      </c>
      <c r="K118" s="135" t="s">
        <v>585</v>
      </c>
      <c r="L118" s="135" t="s">
        <v>221</v>
      </c>
      <c r="M118" s="136"/>
      <c r="N118" s="137"/>
      <c r="O118" s="173"/>
      <c r="P118" s="70"/>
      <c r="Q118" s="71"/>
    </row>
    <row r="119" spans="8:17" ht="14.45">
      <c r="H119" s="72"/>
      <c r="I119" s="138" t="str">
        <f t="shared" si="5"/>
        <v>4DenmarkShell Business</v>
      </c>
      <c r="J119" s="139">
        <v>4</v>
      </c>
      <c r="K119" s="139" t="s">
        <v>585</v>
      </c>
      <c r="L119" s="139" t="s">
        <v>221</v>
      </c>
      <c r="M119" s="140"/>
      <c r="N119" s="141"/>
      <c r="O119" s="174"/>
      <c r="P119" s="70"/>
      <c r="Q119" s="71"/>
    </row>
    <row r="120" spans="8:17" ht="14.45">
      <c r="H120" s="72"/>
      <c r="I120" s="134" t="str">
        <f t="shared" si="5"/>
        <v>5DenmarkShell Business</v>
      </c>
      <c r="J120" s="135">
        <v>5</v>
      </c>
      <c r="K120" s="135" t="s">
        <v>585</v>
      </c>
      <c r="L120" s="135" t="s">
        <v>221</v>
      </c>
      <c r="M120" s="136"/>
      <c r="N120" s="137"/>
      <c r="O120" s="173"/>
      <c r="P120" s="70"/>
      <c r="Q120" s="71"/>
    </row>
    <row r="121" spans="8:17" ht="14.45">
      <c r="H121" s="72"/>
      <c r="I121" s="138" t="str">
        <f t="shared" si="5"/>
        <v>6DenmarkShell Business</v>
      </c>
      <c r="J121" s="139">
        <v>6</v>
      </c>
      <c r="K121" s="139" t="s">
        <v>585</v>
      </c>
      <c r="L121" s="139" t="s">
        <v>221</v>
      </c>
      <c r="M121" s="140"/>
      <c r="N121" s="141"/>
      <c r="O121" s="174"/>
      <c r="P121" s="70"/>
      <c r="Q121" s="71"/>
    </row>
    <row r="122" spans="8:17" ht="14.45">
      <c r="H122" s="72"/>
      <c r="I122" s="134" t="str">
        <f t="shared" si="5"/>
        <v>7DenmarkShell Business</v>
      </c>
      <c r="J122" s="135">
        <v>7</v>
      </c>
      <c r="K122" s="135" t="s">
        <v>585</v>
      </c>
      <c r="L122" s="135" t="s">
        <v>221</v>
      </c>
      <c r="M122" s="136"/>
      <c r="N122" s="137"/>
      <c r="O122" s="173"/>
      <c r="P122" s="70"/>
      <c r="Q122" s="71"/>
    </row>
    <row r="123" spans="8:17" ht="14.45">
      <c r="H123" s="72"/>
      <c r="I123" s="138" t="str">
        <f t="shared" si="5"/>
        <v>1FranceShell Business</v>
      </c>
      <c r="J123" s="139">
        <v>1</v>
      </c>
      <c r="K123" s="139" t="s">
        <v>586</v>
      </c>
      <c r="L123" s="139" t="s">
        <v>221</v>
      </c>
      <c r="M123" s="140"/>
      <c r="N123" s="141"/>
      <c r="O123" s="174"/>
      <c r="P123" s="70"/>
      <c r="Q123" s="71"/>
    </row>
    <row r="124" spans="8:17" ht="14.45">
      <c r="H124" s="72"/>
      <c r="I124" s="134" t="str">
        <f t="shared" si="5"/>
        <v>2FranceShell Business</v>
      </c>
      <c r="J124" s="135">
        <v>2</v>
      </c>
      <c r="K124" s="135" t="s">
        <v>586</v>
      </c>
      <c r="L124" s="135" t="s">
        <v>221</v>
      </c>
      <c r="M124" s="136"/>
      <c r="N124" s="137"/>
      <c r="O124" s="173"/>
      <c r="P124" s="70"/>
      <c r="Q124" s="71"/>
    </row>
    <row r="125" spans="8:17" ht="14.45">
      <c r="H125" s="72"/>
      <c r="I125" s="138" t="str">
        <f t="shared" si="5"/>
        <v>3FranceShell Business</v>
      </c>
      <c r="J125" s="139">
        <v>3</v>
      </c>
      <c r="K125" s="139" t="s">
        <v>586</v>
      </c>
      <c r="L125" s="139" t="s">
        <v>221</v>
      </c>
      <c r="M125" s="140"/>
      <c r="N125" s="141"/>
      <c r="O125" s="174"/>
      <c r="P125" s="70"/>
      <c r="Q125" s="71"/>
    </row>
    <row r="126" spans="8:17" ht="14.45">
      <c r="H126" s="72"/>
      <c r="I126" s="134" t="str">
        <f t="shared" si="5"/>
        <v>4FranceShell Business</v>
      </c>
      <c r="J126" s="135">
        <v>4</v>
      </c>
      <c r="K126" s="135" t="s">
        <v>586</v>
      </c>
      <c r="L126" s="135" t="s">
        <v>221</v>
      </c>
      <c r="M126" s="136"/>
      <c r="N126" s="137"/>
      <c r="O126" s="173"/>
      <c r="P126" s="70"/>
      <c r="Q126" s="71"/>
    </row>
    <row r="127" spans="8:17" ht="14.45">
      <c r="H127" s="72"/>
      <c r="I127" s="138" t="str">
        <f t="shared" si="5"/>
        <v>5FranceShell Business</v>
      </c>
      <c r="J127" s="139">
        <v>5</v>
      </c>
      <c r="K127" s="139" t="s">
        <v>586</v>
      </c>
      <c r="L127" s="139" t="s">
        <v>221</v>
      </c>
      <c r="M127" s="140"/>
      <c r="N127" s="141"/>
      <c r="O127" s="174"/>
      <c r="P127" s="70"/>
      <c r="Q127" s="71"/>
    </row>
    <row r="128" spans="8:17" ht="14.45">
      <c r="H128" s="72"/>
      <c r="I128" s="134" t="str">
        <f t="shared" si="5"/>
        <v>6FranceShell Business</v>
      </c>
      <c r="J128" s="135">
        <v>6</v>
      </c>
      <c r="K128" s="135" t="s">
        <v>586</v>
      </c>
      <c r="L128" s="135" t="s">
        <v>221</v>
      </c>
      <c r="M128" s="136"/>
      <c r="N128" s="137"/>
      <c r="O128" s="173"/>
      <c r="P128" s="70"/>
      <c r="Q128" s="71"/>
    </row>
    <row r="129" spans="8:17" ht="14.45">
      <c r="H129" s="72"/>
      <c r="I129" s="138" t="str">
        <f t="shared" si="5"/>
        <v>7FranceShell Business</v>
      </c>
      <c r="J129" s="139">
        <v>7</v>
      </c>
      <c r="K129" s="139" t="s">
        <v>586</v>
      </c>
      <c r="L129" s="139" t="s">
        <v>221</v>
      </c>
      <c r="M129" s="140"/>
      <c r="N129" s="141"/>
      <c r="O129" s="174"/>
      <c r="P129" s="70"/>
      <c r="Q129" s="71"/>
    </row>
    <row r="130" spans="8:17" ht="14.45">
      <c r="H130" s="72"/>
      <c r="I130" s="134" t="str">
        <f t="shared" si="5"/>
        <v>1GermanyShell Business</v>
      </c>
      <c r="J130" s="135">
        <v>1</v>
      </c>
      <c r="K130" s="135" t="s">
        <v>587</v>
      </c>
      <c r="L130" s="135" t="s">
        <v>221</v>
      </c>
      <c r="M130" s="136"/>
      <c r="N130" s="137"/>
      <c r="O130" s="173"/>
      <c r="P130" s="70"/>
      <c r="Q130" s="71"/>
    </row>
    <row r="131" spans="8:17" ht="14.45">
      <c r="H131" s="72"/>
      <c r="I131" s="138" t="str">
        <f t="shared" si="5"/>
        <v>2GermanyShell Business</v>
      </c>
      <c r="J131" s="139">
        <v>2</v>
      </c>
      <c r="K131" s="139" t="s">
        <v>587</v>
      </c>
      <c r="L131" s="139" t="s">
        <v>221</v>
      </c>
      <c r="M131" s="140"/>
      <c r="N131" s="141"/>
      <c r="O131" s="174"/>
      <c r="P131" s="70"/>
      <c r="Q131" s="71"/>
    </row>
    <row r="132" spans="8:17" ht="14.45">
      <c r="H132" s="72"/>
      <c r="I132" s="134" t="str">
        <f t="shared" ref="I132:I163" si="6">CONCATENATE(J132,K132,L132)</f>
        <v>3GermanyShell Business</v>
      </c>
      <c r="J132" s="135">
        <v>3</v>
      </c>
      <c r="K132" s="135" t="s">
        <v>587</v>
      </c>
      <c r="L132" s="135" t="s">
        <v>221</v>
      </c>
      <c r="M132" s="136">
        <v>850</v>
      </c>
      <c r="N132" s="137"/>
      <c r="O132" s="173"/>
      <c r="P132" s="70"/>
      <c r="Q132" s="71"/>
    </row>
    <row r="133" spans="8:17" ht="14.45">
      <c r="H133" s="72"/>
      <c r="I133" s="138" t="str">
        <f t="shared" si="6"/>
        <v>4GermanyShell Business</v>
      </c>
      <c r="J133" s="139">
        <v>4</v>
      </c>
      <c r="K133" s="139" t="s">
        <v>587</v>
      </c>
      <c r="L133" s="139" t="s">
        <v>221</v>
      </c>
      <c r="M133" s="140"/>
      <c r="N133" s="141"/>
      <c r="O133" s="174"/>
      <c r="P133" s="70"/>
      <c r="Q133" s="71"/>
    </row>
    <row r="134" spans="8:17" ht="14.45">
      <c r="H134" s="72"/>
      <c r="I134" s="134" t="str">
        <f t="shared" si="6"/>
        <v>5GermanyShell Business</v>
      </c>
      <c r="J134" s="135">
        <v>5</v>
      </c>
      <c r="K134" s="135" t="s">
        <v>587</v>
      </c>
      <c r="L134" s="135" t="s">
        <v>221</v>
      </c>
      <c r="M134" s="136"/>
      <c r="N134" s="137"/>
      <c r="O134" s="173"/>
      <c r="P134" s="70"/>
      <c r="Q134" s="71"/>
    </row>
    <row r="135" spans="8:17" ht="14.45">
      <c r="H135" s="72"/>
      <c r="I135" s="138" t="str">
        <f t="shared" si="6"/>
        <v>6GermanyShell Business</v>
      </c>
      <c r="J135" s="139">
        <v>6</v>
      </c>
      <c r="K135" s="139" t="s">
        <v>587</v>
      </c>
      <c r="L135" s="139" t="s">
        <v>221</v>
      </c>
      <c r="M135" s="140"/>
      <c r="N135" s="141"/>
      <c r="O135" s="174"/>
      <c r="P135" s="70"/>
      <c r="Q135" s="71"/>
    </row>
    <row r="136" spans="8:17" ht="14.45">
      <c r="H136" s="72"/>
      <c r="I136" s="134" t="str">
        <f t="shared" si="6"/>
        <v>7GermanyShell Business</v>
      </c>
      <c r="J136" s="135">
        <v>7</v>
      </c>
      <c r="K136" s="135" t="s">
        <v>587</v>
      </c>
      <c r="L136" s="135" t="s">
        <v>221</v>
      </c>
      <c r="M136" s="136"/>
      <c r="N136" s="137"/>
      <c r="O136" s="173"/>
      <c r="P136" s="70"/>
      <c r="Q136" s="71"/>
    </row>
    <row r="137" spans="8:17" ht="14.45">
      <c r="H137" s="72"/>
      <c r="I137" s="138" t="str">
        <f t="shared" si="6"/>
        <v>1Hong KongShell Business</v>
      </c>
      <c r="J137" s="139">
        <v>1</v>
      </c>
      <c r="K137" s="139" t="s">
        <v>588</v>
      </c>
      <c r="L137" s="139" t="s">
        <v>221</v>
      </c>
      <c r="M137" s="140"/>
      <c r="N137" s="141"/>
      <c r="O137" s="174"/>
      <c r="P137" s="70"/>
      <c r="Q137" s="71"/>
    </row>
    <row r="138" spans="8:17" ht="14.45">
      <c r="H138" s="72"/>
      <c r="I138" s="134" t="str">
        <f t="shared" si="6"/>
        <v>2Hong KongShell Business</v>
      </c>
      <c r="J138" s="135">
        <v>2</v>
      </c>
      <c r="K138" s="135" t="s">
        <v>588</v>
      </c>
      <c r="L138" s="135" t="s">
        <v>221</v>
      </c>
      <c r="M138" s="136"/>
      <c r="N138" s="137"/>
      <c r="O138" s="173"/>
      <c r="P138" s="70"/>
      <c r="Q138" s="71"/>
    </row>
    <row r="139" spans="8:17" ht="14.45">
      <c r="H139" s="72"/>
      <c r="I139" s="138" t="str">
        <f t="shared" si="6"/>
        <v>3Hong KongShell Business</v>
      </c>
      <c r="J139" s="139">
        <v>3</v>
      </c>
      <c r="K139" s="139" t="s">
        <v>588</v>
      </c>
      <c r="L139" s="139" t="s">
        <v>221</v>
      </c>
      <c r="M139" s="140"/>
      <c r="N139" s="141"/>
      <c r="O139" s="174"/>
      <c r="P139" s="70"/>
      <c r="Q139" s="71"/>
    </row>
    <row r="140" spans="8:17" ht="14.45">
      <c r="H140" s="72"/>
      <c r="I140" s="134" t="str">
        <f t="shared" si="6"/>
        <v>4Hong KongShell Business</v>
      </c>
      <c r="J140" s="135">
        <v>4</v>
      </c>
      <c r="K140" s="135" t="s">
        <v>588</v>
      </c>
      <c r="L140" s="135" t="s">
        <v>221</v>
      </c>
      <c r="M140" s="136"/>
      <c r="N140" s="137"/>
      <c r="O140" s="173"/>
      <c r="P140" s="70"/>
      <c r="Q140" s="71"/>
    </row>
    <row r="141" spans="8:17" ht="14.45">
      <c r="H141" s="72"/>
      <c r="I141" s="138" t="str">
        <f t="shared" si="6"/>
        <v>5Hong KongShell Business</v>
      </c>
      <c r="J141" s="139">
        <v>5</v>
      </c>
      <c r="K141" s="139" t="s">
        <v>588</v>
      </c>
      <c r="L141" s="139" t="s">
        <v>221</v>
      </c>
      <c r="M141" s="140"/>
      <c r="N141" s="141"/>
      <c r="O141" s="174"/>
      <c r="P141" s="70"/>
      <c r="Q141" s="71"/>
    </row>
    <row r="142" spans="8:17" ht="14.45">
      <c r="H142" s="72"/>
      <c r="I142" s="134" t="str">
        <f t="shared" si="6"/>
        <v>6Hong KongShell Business</v>
      </c>
      <c r="J142" s="135">
        <v>6</v>
      </c>
      <c r="K142" s="135" t="s">
        <v>588</v>
      </c>
      <c r="L142" s="135" t="s">
        <v>221</v>
      </c>
      <c r="M142" s="136"/>
      <c r="N142" s="137"/>
      <c r="O142" s="173"/>
      <c r="P142" s="70"/>
      <c r="Q142" s="71"/>
    </row>
    <row r="143" spans="8:17" ht="14.45">
      <c r="H143" s="72"/>
      <c r="I143" s="138" t="str">
        <f t="shared" si="6"/>
        <v>7Hong KongShell Business</v>
      </c>
      <c r="J143" s="139">
        <v>7</v>
      </c>
      <c r="K143" s="139" t="s">
        <v>588</v>
      </c>
      <c r="L143" s="139" t="s">
        <v>221</v>
      </c>
      <c r="M143" s="140"/>
      <c r="N143" s="141"/>
      <c r="O143" s="174"/>
      <c r="P143" s="70"/>
      <c r="Q143" s="71"/>
    </row>
    <row r="144" spans="8:17" ht="14.45">
      <c r="H144" s="72"/>
      <c r="I144" s="134" t="str">
        <f t="shared" si="6"/>
        <v>1HungaryShell Business</v>
      </c>
      <c r="J144" s="135">
        <v>1</v>
      </c>
      <c r="K144" s="135" t="s">
        <v>589</v>
      </c>
      <c r="L144" s="135" t="s">
        <v>221</v>
      </c>
      <c r="M144" s="136"/>
      <c r="N144" s="137"/>
      <c r="O144" s="173"/>
      <c r="P144" s="70"/>
      <c r="Q144" s="71"/>
    </row>
    <row r="145" spans="8:17" ht="14.45">
      <c r="H145" s="72"/>
      <c r="I145" s="138" t="str">
        <f t="shared" si="6"/>
        <v>2HungaryShell Business</v>
      </c>
      <c r="J145" s="139">
        <v>2</v>
      </c>
      <c r="K145" s="139" t="s">
        <v>589</v>
      </c>
      <c r="L145" s="139" t="s">
        <v>221</v>
      </c>
      <c r="M145" s="140"/>
      <c r="N145" s="141"/>
      <c r="O145" s="174"/>
      <c r="P145" s="70"/>
      <c r="Q145" s="71"/>
    </row>
    <row r="146" spans="8:17" ht="14.45">
      <c r="H146" s="72"/>
      <c r="I146" s="134" t="str">
        <f t="shared" si="6"/>
        <v>3HungaryShell Business</v>
      </c>
      <c r="J146" s="135">
        <v>3</v>
      </c>
      <c r="K146" s="135" t="s">
        <v>589</v>
      </c>
      <c r="L146" s="135" t="s">
        <v>221</v>
      </c>
      <c r="M146" s="136"/>
      <c r="N146" s="137"/>
      <c r="O146" s="173"/>
      <c r="P146" s="70"/>
      <c r="Q146" s="71"/>
    </row>
    <row r="147" spans="8:17" ht="14.45">
      <c r="H147" s="72"/>
      <c r="I147" s="138" t="str">
        <f t="shared" si="6"/>
        <v>4HungaryShell Business</v>
      </c>
      <c r="J147" s="139">
        <v>4</v>
      </c>
      <c r="K147" s="139" t="s">
        <v>589</v>
      </c>
      <c r="L147" s="139" t="s">
        <v>221</v>
      </c>
      <c r="M147" s="140"/>
      <c r="N147" s="141"/>
      <c r="O147" s="174"/>
      <c r="P147" s="70"/>
      <c r="Q147" s="71"/>
    </row>
    <row r="148" spans="8:17" ht="14.45">
      <c r="H148" s="72"/>
      <c r="I148" s="134" t="str">
        <f t="shared" si="6"/>
        <v>5HungaryShell Business</v>
      </c>
      <c r="J148" s="135">
        <v>5</v>
      </c>
      <c r="K148" s="135" t="s">
        <v>589</v>
      </c>
      <c r="L148" s="135" t="s">
        <v>221</v>
      </c>
      <c r="M148" s="136"/>
      <c r="N148" s="137"/>
      <c r="O148" s="173"/>
      <c r="P148" s="70"/>
      <c r="Q148" s="71"/>
    </row>
    <row r="149" spans="8:17" ht="14.45">
      <c r="H149" s="72"/>
      <c r="I149" s="138" t="str">
        <f t="shared" si="6"/>
        <v>6HungaryShell Business</v>
      </c>
      <c r="J149" s="139">
        <v>6</v>
      </c>
      <c r="K149" s="139" t="s">
        <v>589</v>
      </c>
      <c r="L149" s="139" t="s">
        <v>221</v>
      </c>
      <c r="M149" s="140"/>
      <c r="N149" s="141"/>
      <c r="O149" s="174"/>
      <c r="P149" s="70"/>
      <c r="Q149" s="71"/>
    </row>
    <row r="150" spans="8:17" ht="14.45">
      <c r="H150" s="72"/>
      <c r="I150" s="134" t="str">
        <f t="shared" si="6"/>
        <v>7HungaryShell Business</v>
      </c>
      <c r="J150" s="135">
        <v>7</v>
      </c>
      <c r="K150" s="135" t="s">
        <v>589</v>
      </c>
      <c r="L150" s="135" t="s">
        <v>221</v>
      </c>
      <c r="M150" s="136"/>
      <c r="N150" s="137"/>
      <c r="O150" s="173"/>
      <c r="P150" s="70"/>
      <c r="Q150" s="71"/>
    </row>
    <row r="151" spans="8:17" ht="14.45">
      <c r="H151" s="72"/>
      <c r="I151" s="138" t="str">
        <f t="shared" si="6"/>
        <v>1IndonesiaShell Business</v>
      </c>
      <c r="J151" s="139">
        <v>1</v>
      </c>
      <c r="K151" s="139" t="s">
        <v>590</v>
      </c>
      <c r="L151" s="139" t="s">
        <v>221</v>
      </c>
      <c r="M151" s="140"/>
      <c r="N151" s="141"/>
      <c r="O151" s="174"/>
      <c r="P151" s="70"/>
      <c r="Q151" s="71"/>
    </row>
    <row r="152" spans="8:17" ht="14.45">
      <c r="H152" s="72"/>
      <c r="I152" s="134" t="str">
        <f t="shared" si="6"/>
        <v>2IndonesiaShell Business</v>
      </c>
      <c r="J152" s="135">
        <v>2</v>
      </c>
      <c r="K152" s="135" t="s">
        <v>590</v>
      </c>
      <c r="L152" s="135" t="s">
        <v>221</v>
      </c>
      <c r="M152" s="136"/>
      <c r="N152" s="137"/>
      <c r="O152" s="173"/>
      <c r="P152" s="70"/>
      <c r="Q152" s="71"/>
    </row>
    <row r="153" spans="8:17" ht="14.45">
      <c r="H153" s="72"/>
      <c r="I153" s="138" t="str">
        <f t="shared" si="6"/>
        <v>3IndonesiaShell Business</v>
      </c>
      <c r="J153" s="139">
        <v>3</v>
      </c>
      <c r="K153" s="139" t="s">
        <v>590</v>
      </c>
      <c r="L153" s="139" t="s">
        <v>221</v>
      </c>
      <c r="M153" s="140"/>
      <c r="N153" s="141"/>
      <c r="O153" s="174"/>
      <c r="P153" s="70"/>
      <c r="Q153" s="71"/>
    </row>
    <row r="154" spans="8:17" ht="14.45">
      <c r="H154" s="72"/>
      <c r="I154" s="134" t="str">
        <f t="shared" si="6"/>
        <v>4IndonesiaShell Business</v>
      </c>
      <c r="J154" s="135">
        <v>4</v>
      </c>
      <c r="K154" s="135" t="s">
        <v>590</v>
      </c>
      <c r="L154" s="135" t="s">
        <v>221</v>
      </c>
      <c r="M154" s="136"/>
      <c r="N154" s="137"/>
      <c r="O154" s="173"/>
      <c r="P154" s="70"/>
      <c r="Q154" s="71"/>
    </row>
    <row r="155" spans="8:17" ht="14.45">
      <c r="H155" s="72"/>
      <c r="I155" s="138" t="str">
        <f t="shared" si="6"/>
        <v>5IndonesiaShell Business</v>
      </c>
      <c r="J155" s="139">
        <v>5</v>
      </c>
      <c r="K155" s="139" t="s">
        <v>590</v>
      </c>
      <c r="L155" s="139" t="s">
        <v>221</v>
      </c>
      <c r="M155" s="140"/>
      <c r="N155" s="141"/>
      <c r="O155" s="174"/>
      <c r="P155" s="70"/>
      <c r="Q155" s="71"/>
    </row>
    <row r="156" spans="8:17" ht="14.45">
      <c r="H156" s="72"/>
      <c r="I156" s="134" t="str">
        <f t="shared" si="6"/>
        <v>6IndonesiaShell Business</v>
      </c>
      <c r="J156" s="135">
        <v>6</v>
      </c>
      <c r="K156" s="135" t="s">
        <v>590</v>
      </c>
      <c r="L156" s="135" t="s">
        <v>221</v>
      </c>
      <c r="M156" s="136"/>
      <c r="N156" s="137"/>
      <c r="O156" s="173"/>
      <c r="P156" s="70"/>
      <c r="Q156" s="71"/>
    </row>
    <row r="157" spans="8:17" ht="14.45">
      <c r="H157" s="72"/>
      <c r="I157" s="138" t="str">
        <f t="shared" si="6"/>
        <v>7IndonesiaShell Business</v>
      </c>
      <c r="J157" s="139">
        <v>7</v>
      </c>
      <c r="K157" s="139" t="s">
        <v>590</v>
      </c>
      <c r="L157" s="139" t="s">
        <v>221</v>
      </c>
      <c r="M157" s="140"/>
      <c r="N157" s="141"/>
      <c r="O157" s="174"/>
      <c r="P157" s="70"/>
      <c r="Q157" s="71"/>
    </row>
    <row r="158" spans="8:17" ht="14.45">
      <c r="H158" s="72"/>
      <c r="I158" s="134" t="str">
        <f t="shared" si="6"/>
        <v>1MalaysiaShell Business</v>
      </c>
      <c r="J158" s="135">
        <v>1</v>
      </c>
      <c r="K158" s="135" t="s">
        <v>549</v>
      </c>
      <c r="L158" s="135" t="s">
        <v>221</v>
      </c>
      <c r="M158" s="136"/>
      <c r="N158" s="137"/>
      <c r="O158" s="173"/>
      <c r="P158" s="70"/>
      <c r="Q158" s="71"/>
    </row>
    <row r="159" spans="8:17" ht="14.45">
      <c r="H159" s="72"/>
      <c r="I159" s="138" t="str">
        <f t="shared" si="6"/>
        <v>2MalaysiaShell Business</v>
      </c>
      <c r="J159" s="139">
        <v>2</v>
      </c>
      <c r="K159" s="139" t="s">
        <v>549</v>
      </c>
      <c r="L159" s="139" t="s">
        <v>221</v>
      </c>
      <c r="M159" s="140"/>
      <c r="N159" s="141"/>
      <c r="O159" s="174"/>
      <c r="P159" s="70"/>
      <c r="Q159" s="71"/>
    </row>
    <row r="160" spans="8:17" ht="14.45">
      <c r="H160" s="72"/>
      <c r="I160" s="134" t="str">
        <f t="shared" si="6"/>
        <v>3MalaysiaShell Business</v>
      </c>
      <c r="J160" s="135">
        <v>3</v>
      </c>
      <c r="K160" s="135" t="s">
        <v>549</v>
      </c>
      <c r="L160" s="135" t="s">
        <v>221</v>
      </c>
      <c r="M160" s="136"/>
      <c r="N160" s="137"/>
      <c r="O160" s="173"/>
      <c r="P160" s="70"/>
      <c r="Q160" s="71"/>
    </row>
    <row r="161" spans="8:17" ht="14.45">
      <c r="H161" s="72"/>
      <c r="I161" s="138" t="str">
        <f t="shared" si="6"/>
        <v>4MalaysiaShell Business</v>
      </c>
      <c r="J161" s="139">
        <v>4</v>
      </c>
      <c r="K161" s="139" t="s">
        <v>549</v>
      </c>
      <c r="L161" s="139" t="s">
        <v>221</v>
      </c>
      <c r="M161" s="140"/>
      <c r="N161" s="141"/>
      <c r="O161" s="174"/>
      <c r="P161" s="70"/>
      <c r="Q161" s="71"/>
    </row>
    <row r="162" spans="8:17" ht="14.45">
      <c r="H162" s="72"/>
      <c r="I162" s="134" t="str">
        <f t="shared" si="6"/>
        <v>5MalaysiaShell Business</v>
      </c>
      <c r="J162" s="135">
        <v>5</v>
      </c>
      <c r="K162" s="135" t="s">
        <v>549</v>
      </c>
      <c r="L162" s="135" t="s">
        <v>221</v>
      </c>
      <c r="M162" s="136"/>
      <c r="N162" s="137"/>
      <c r="O162" s="173"/>
      <c r="P162" s="70"/>
      <c r="Q162" s="71"/>
    </row>
    <row r="163" spans="8:17" ht="14.45">
      <c r="H163" s="72"/>
      <c r="I163" s="138" t="str">
        <f t="shared" si="6"/>
        <v>6MalaysiaShell Business</v>
      </c>
      <c r="J163" s="139">
        <v>6</v>
      </c>
      <c r="K163" s="139" t="s">
        <v>549</v>
      </c>
      <c r="L163" s="139" t="s">
        <v>221</v>
      </c>
      <c r="M163" s="140"/>
      <c r="N163" s="141"/>
      <c r="O163" s="174"/>
      <c r="P163" s="70"/>
      <c r="Q163" s="71"/>
    </row>
    <row r="164" spans="8:17" ht="14.45">
      <c r="H164" s="72"/>
      <c r="I164" s="134" t="str">
        <f t="shared" ref="I164:I195" si="7">CONCATENATE(J164,K164,L164)</f>
        <v>7MalaysiaShell Business</v>
      </c>
      <c r="J164" s="135">
        <v>7</v>
      </c>
      <c r="K164" s="135" t="s">
        <v>549</v>
      </c>
      <c r="L164" s="135" t="s">
        <v>221</v>
      </c>
      <c r="M164" s="136"/>
      <c r="N164" s="137"/>
      <c r="O164" s="173"/>
      <c r="P164" s="70"/>
      <c r="Q164" s="71"/>
    </row>
    <row r="165" spans="8:17" ht="14.45">
      <c r="H165" s="72"/>
      <c r="I165" s="138" t="str">
        <f t="shared" si="7"/>
        <v>1MexicoShell Business</v>
      </c>
      <c r="J165" s="139">
        <v>1</v>
      </c>
      <c r="K165" s="139" t="s">
        <v>591</v>
      </c>
      <c r="L165" s="139" t="s">
        <v>221</v>
      </c>
      <c r="M165" s="140"/>
      <c r="N165" s="141"/>
      <c r="O165" s="174"/>
      <c r="P165" s="70"/>
      <c r="Q165" s="71"/>
    </row>
    <row r="166" spans="8:17" ht="14.45">
      <c r="H166" s="72"/>
      <c r="I166" s="134" t="str">
        <f t="shared" si="7"/>
        <v>2MexicoShell Business</v>
      </c>
      <c r="J166" s="135">
        <v>2</v>
      </c>
      <c r="K166" s="135" t="s">
        <v>591</v>
      </c>
      <c r="L166" s="135" t="s">
        <v>221</v>
      </c>
      <c r="M166" s="136"/>
      <c r="N166" s="137"/>
      <c r="O166" s="173"/>
      <c r="P166" s="70"/>
      <c r="Q166" s="71"/>
    </row>
    <row r="167" spans="8:17" ht="14.45">
      <c r="H167" s="72"/>
      <c r="I167" s="138" t="str">
        <f t="shared" si="7"/>
        <v>3MexicoShell Business</v>
      </c>
      <c r="J167" s="139">
        <v>3</v>
      </c>
      <c r="K167" s="139" t="s">
        <v>591</v>
      </c>
      <c r="L167" s="139" t="s">
        <v>221</v>
      </c>
      <c r="M167" s="140"/>
      <c r="N167" s="141"/>
      <c r="O167" s="174"/>
      <c r="P167" s="70"/>
      <c r="Q167" s="71"/>
    </row>
    <row r="168" spans="8:17" ht="14.45">
      <c r="H168" s="72"/>
      <c r="I168" s="134" t="str">
        <f t="shared" si="7"/>
        <v>4MexicoShell Business</v>
      </c>
      <c r="J168" s="135">
        <v>4</v>
      </c>
      <c r="K168" s="135" t="s">
        <v>591</v>
      </c>
      <c r="L168" s="135" t="s">
        <v>221</v>
      </c>
      <c r="M168" s="136"/>
      <c r="N168" s="137"/>
      <c r="O168" s="173"/>
      <c r="P168" s="70"/>
      <c r="Q168" s="71"/>
    </row>
    <row r="169" spans="8:17" ht="14.45">
      <c r="H169" s="72"/>
      <c r="I169" s="138" t="str">
        <f t="shared" si="7"/>
        <v>5MexicoShell Business</v>
      </c>
      <c r="J169" s="139">
        <v>5</v>
      </c>
      <c r="K169" s="139" t="s">
        <v>591</v>
      </c>
      <c r="L169" s="139" t="s">
        <v>221</v>
      </c>
      <c r="M169" s="140"/>
      <c r="N169" s="141"/>
      <c r="O169" s="174"/>
      <c r="P169" s="70"/>
      <c r="Q169" s="71"/>
    </row>
    <row r="170" spans="8:17" ht="14.45">
      <c r="H170" s="72"/>
      <c r="I170" s="134" t="str">
        <f t="shared" si="7"/>
        <v>6MexicoShell Business</v>
      </c>
      <c r="J170" s="135">
        <v>6</v>
      </c>
      <c r="K170" s="135" t="s">
        <v>591</v>
      </c>
      <c r="L170" s="135" t="s">
        <v>221</v>
      </c>
      <c r="M170" s="136"/>
      <c r="N170" s="137"/>
      <c r="O170" s="173"/>
      <c r="P170" s="70"/>
      <c r="Q170" s="71"/>
    </row>
    <row r="171" spans="8:17" ht="14.45">
      <c r="H171" s="72"/>
      <c r="I171" s="138" t="str">
        <f t="shared" si="7"/>
        <v>7MexicoShell Business</v>
      </c>
      <c r="J171" s="139">
        <v>7</v>
      </c>
      <c r="K171" s="139" t="s">
        <v>591</v>
      </c>
      <c r="L171" s="139" t="s">
        <v>221</v>
      </c>
      <c r="M171" s="140"/>
      <c r="N171" s="141"/>
      <c r="O171" s="174"/>
      <c r="P171" s="70"/>
      <c r="Q171" s="71"/>
    </row>
    <row r="172" spans="8:17" ht="14.45">
      <c r="H172" s="72"/>
      <c r="I172" s="134" t="str">
        <f t="shared" si="7"/>
        <v>1NetherlandsShell Business</v>
      </c>
      <c r="J172" s="135">
        <v>1</v>
      </c>
      <c r="K172" s="135" t="s">
        <v>248</v>
      </c>
      <c r="L172" s="135" t="s">
        <v>221</v>
      </c>
      <c r="M172" s="136">
        <v>1062</v>
      </c>
      <c r="N172" s="137"/>
      <c r="O172" s="173"/>
      <c r="P172" s="177">
        <v>1760</v>
      </c>
      <c r="Q172" s="71"/>
    </row>
    <row r="173" spans="8:17" ht="14.45">
      <c r="H173" s="72"/>
      <c r="I173" s="138" t="str">
        <f t="shared" si="7"/>
        <v>2NetherlandsShell Business</v>
      </c>
      <c r="J173" s="139">
        <v>2</v>
      </c>
      <c r="K173" s="139" t="s">
        <v>248</v>
      </c>
      <c r="L173" s="139" t="s">
        <v>221</v>
      </c>
      <c r="M173" s="140">
        <v>850</v>
      </c>
      <c r="N173" s="141"/>
      <c r="O173" s="174"/>
      <c r="P173" s="178">
        <v>1496</v>
      </c>
      <c r="Q173" s="71"/>
    </row>
    <row r="174" spans="8:17" ht="14.45">
      <c r="H174" s="72"/>
      <c r="I174" s="134" t="str">
        <f t="shared" si="7"/>
        <v>3NetherlandsShell Business</v>
      </c>
      <c r="J174" s="135">
        <v>3</v>
      </c>
      <c r="K174" s="135" t="s">
        <v>248</v>
      </c>
      <c r="L174" s="135" t="s">
        <v>221</v>
      </c>
      <c r="M174" s="136">
        <v>660</v>
      </c>
      <c r="N174" s="137"/>
      <c r="O174" s="173"/>
      <c r="P174" s="177">
        <v>1296</v>
      </c>
      <c r="Q174" s="71"/>
    </row>
    <row r="175" spans="8:17" ht="14.45">
      <c r="H175" s="72"/>
      <c r="I175" s="138" t="str">
        <f t="shared" si="7"/>
        <v>4NetherlandsShell Business</v>
      </c>
      <c r="J175" s="139">
        <v>4</v>
      </c>
      <c r="K175" s="139" t="s">
        <v>248</v>
      </c>
      <c r="L175" s="139" t="s">
        <v>221</v>
      </c>
      <c r="M175" s="140">
        <v>1128</v>
      </c>
      <c r="N175" s="141"/>
      <c r="O175" s="174"/>
      <c r="P175" s="178">
        <v>1128</v>
      </c>
      <c r="Q175" s="71"/>
    </row>
    <row r="176" spans="8:17" ht="14.45">
      <c r="H176" s="72"/>
      <c r="I176" s="134" t="str">
        <f t="shared" si="7"/>
        <v>5NetherlandsShell Business</v>
      </c>
      <c r="J176" s="135">
        <v>5</v>
      </c>
      <c r="K176" s="135" t="s">
        <v>248</v>
      </c>
      <c r="L176" s="135" t="s">
        <v>221</v>
      </c>
      <c r="M176" s="136">
        <v>992</v>
      </c>
      <c r="N176" s="137"/>
      <c r="O176" s="173"/>
      <c r="P176" s="177">
        <v>992</v>
      </c>
      <c r="Q176" s="71"/>
    </row>
    <row r="177" spans="8:17" ht="14.45">
      <c r="H177" s="72"/>
      <c r="I177" s="138" t="str">
        <f t="shared" si="7"/>
        <v>6NetherlandsShell Business</v>
      </c>
      <c r="J177" s="139">
        <v>6</v>
      </c>
      <c r="K177" s="139" t="s">
        <v>248</v>
      </c>
      <c r="L177" s="139" t="s">
        <v>221</v>
      </c>
      <c r="M177" s="140">
        <v>912</v>
      </c>
      <c r="N177" s="141"/>
      <c r="O177" s="174"/>
      <c r="P177" s="178">
        <v>912</v>
      </c>
      <c r="Q177" s="71"/>
    </row>
    <row r="178" spans="8:17" ht="14.45">
      <c r="H178" s="72"/>
      <c r="I178" s="134" t="str">
        <f t="shared" si="7"/>
        <v>7NetherlandsShell Business</v>
      </c>
      <c r="J178" s="135">
        <v>7</v>
      </c>
      <c r="K178" s="135" t="s">
        <v>248</v>
      </c>
      <c r="L178" s="135" t="s">
        <v>221</v>
      </c>
      <c r="M178" s="136">
        <v>816</v>
      </c>
      <c r="N178" s="137"/>
      <c r="O178" s="173"/>
      <c r="P178" s="177">
        <v>816</v>
      </c>
      <c r="Q178" s="71"/>
    </row>
    <row r="179" spans="8:17" ht="14.45">
      <c r="H179" s="72"/>
      <c r="I179" s="138" t="str">
        <f t="shared" si="7"/>
        <v>1PakistanShell Business</v>
      </c>
      <c r="J179" s="139">
        <v>1</v>
      </c>
      <c r="K179" s="139" t="s">
        <v>592</v>
      </c>
      <c r="L179" s="139" t="s">
        <v>221</v>
      </c>
      <c r="M179" s="140"/>
      <c r="N179" s="141"/>
      <c r="O179" s="174"/>
      <c r="P179" s="70"/>
      <c r="Q179" s="71"/>
    </row>
    <row r="180" spans="8:17" ht="14.45">
      <c r="H180" s="72"/>
      <c r="I180" s="134" t="str">
        <f t="shared" si="7"/>
        <v>2PakistanShell Business</v>
      </c>
      <c r="J180" s="135">
        <v>2</v>
      </c>
      <c r="K180" s="135" t="s">
        <v>592</v>
      </c>
      <c r="L180" s="135" t="s">
        <v>221</v>
      </c>
      <c r="M180" s="136"/>
      <c r="N180" s="137"/>
      <c r="O180" s="173"/>
      <c r="P180" s="70"/>
      <c r="Q180" s="71"/>
    </row>
    <row r="181" spans="8:17" ht="14.45">
      <c r="H181" s="72"/>
      <c r="I181" s="138" t="str">
        <f t="shared" si="7"/>
        <v>3PakistanShell Business</v>
      </c>
      <c r="J181" s="139">
        <v>3</v>
      </c>
      <c r="K181" s="139" t="s">
        <v>592</v>
      </c>
      <c r="L181" s="139" t="s">
        <v>221</v>
      </c>
      <c r="M181" s="140"/>
      <c r="N181" s="141"/>
      <c r="O181" s="174"/>
      <c r="P181" s="70"/>
      <c r="Q181" s="71"/>
    </row>
    <row r="182" spans="8:17" ht="14.45">
      <c r="H182" s="72"/>
      <c r="I182" s="134" t="str">
        <f t="shared" si="7"/>
        <v>4PakistanShell Business</v>
      </c>
      <c r="J182" s="135">
        <v>4</v>
      </c>
      <c r="K182" s="135" t="s">
        <v>592</v>
      </c>
      <c r="L182" s="135" t="s">
        <v>221</v>
      </c>
      <c r="M182" s="136"/>
      <c r="N182" s="137"/>
      <c r="O182" s="173"/>
      <c r="P182" s="70"/>
      <c r="Q182" s="71"/>
    </row>
    <row r="183" spans="8:17" ht="14.45">
      <c r="H183" s="72"/>
      <c r="I183" s="138" t="str">
        <f t="shared" si="7"/>
        <v>5PakistanShell Business</v>
      </c>
      <c r="J183" s="139">
        <v>5</v>
      </c>
      <c r="K183" s="139" t="s">
        <v>592</v>
      </c>
      <c r="L183" s="139" t="s">
        <v>221</v>
      </c>
      <c r="M183" s="140"/>
      <c r="N183" s="141"/>
      <c r="O183" s="174"/>
      <c r="P183" s="70"/>
      <c r="Q183" s="71"/>
    </row>
    <row r="184" spans="8:17" ht="14.45">
      <c r="H184" s="72"/>
      <c r="I184" s="134" t="str">
        <f t="shared" si="7"/>
        <v>6PakistanShell Business</v>
      </c>
      <c r="J184" s="135">
        <v>6</v>
      </c>
      <c r="K184" s="135" t="s">
        <v>592</v>
      </c>
      <c r="L184" s="135" t="s">
        <v>221</v>
      </c>
      <c r="M184" s="136"/>
      <c r="N184" s="137"/>
      <c r="O184" s="173"/>
      <c r="P184" s="70"/>
      <c r="Q184" s="71"/>
    </row>
    <row r="185" spans="8:17" ht="14.45">
      <c r="H185" s="72"/>
      <c r="I185" s="138" t="str">
        <f t="shared" si="7"/>
        <v>7PakistanShell Business</v>
      </c>
      <c r="J185" s="139">
        <v>7</v>
      </c>
      <c r="K185" s="139" t="s">
        <v>592</v>
      </c>
      <c r="L185" s="139" t="s">
        <v>221</v>
      </c>
      <c r="M185" s="140"/>
      <c r="N185" s="141"/>
      <c r="O185" s="174"/>
      <c r="P185" s="70"/>
      <c r="Q185" s="71"/>
    </row>
    <row r="186" spans="8:17" ht="14.45">
      <c r="H186" s="72"/>
      <c r="I186" s="134" t="str">
        <f t="shared" si="7"/>
        <v>1PhilippinesShell Business</v>
      </c>
      <c r="J186" s="135">
        <v>1</v>
      </c>
      <c r="K186" s="135" t="s">
        <v>276</v>
      </c>
      <c r="L186" s="135" t="s">
        <v>221</v>
      </c>
      <c r="M186" s="136"/>
      <c r="N186" s="137"/>
      <c r="O186" s="173"/>
      <c r="P186" s="70"/>
      <c r="Q186" s="71"/>
    </row>
    <row r="187" spans="8:17" ht="14.45">
      <c r="H187" s="72"/>
      <c r="I187" s="138" t="str">
        <f t="shared" si="7"/>
        <v>2PhilippinesShell Business</v>
      </c>
      <c r="J187" s="139">
        <v>2</v>
      </c>
      <c r="K187" s="139" t="s">
        <v>276</v>
      </c>
      <c r="L187" s="139" t="s">
        <v>221</v>
      </c>
      <c r="M187" s="140"/>
      <c r="N187" s="141"/>
      <c r="O187" s="174"/>
      <c r="P187" s="70"/>
      <c r="Q187" s="71"/>
    </row>
    <row r="188" spans="8:17" ht="14.45">
      <c r="H188" s="72"/>
      <c r="I188" s="134" t="str">
        <f t="shared" si="7"/>
        <v>3PhilippinesShell Business</v>
      </c>
      <c r="J188" s="135">
        <v>3</v>
      </c>
      <c r="K188" s="135" t="s">
        <v>276</v>
      </c>
      <c r="L188" s="135" t="s">
        <v>221</v>
      </c>
      <c r="M188" s="136">
        <v>314</v>
      </c>
      <c r="N188" s="137"/>
      <c r="O188" s="173"/>
      <c r="P188" s="70"/>
      <c r="Q188" s="71"/>
    </row>
    <row r="189" spans="8:17" ht="14.45">
      <c r="H189" s="72"/>
      <c r="I189" s="138" t="str">
        <f t="shared" si="7"/>
        <v>4PhilippinesShell Business</v>
      </c>
      <c r="J189" s="139">
        <v>4</v>
      </c>
      <c r="K189" s="139" t="s">
        <v>276</v>
      </c>
      <c r="L189" s="139" t="s">
        <v>221</v>
      </c>
      <c r="M189" s="140">
        <v>314</v>
      </c>
      <c r="N189" s="141"/>
      <c r="O189" s="174"/>
      <c r="P189" s="70"/>
      <c r="Q189" s="71"/>
    </row>
    <row r="190" spans="8:17" ht="14.45">
      <c r="H190" s="72"/>
      <c r="I190" s="134" t="str">
        <f t="shared" si="7"/>
        <v>5PhilippinesShell Business</v>
      </c>
      <c r="J190" s="135">
        <v>5</v>
      </c>
      <c r="K190" s="135" t="s">
        <v>276</v>
      </c>
      <c r="L190" s="135" t="s">
        <v>221</v>
      </c>
      <c r="M190" s="136">
        <v>314</v>
      </c>
      <c r="N190" s="137"/>
      <c r="O190" s="173"/>
      <c r="P190" s="70"/>
      <c r="Q190" s="71"/>
    </row>
    <row r="191" spans="8:17" ht="14.45">
      <c r="H191" s="72"/>
      <c r="I191" s="138" t="str">
        <f t="shared" si="7"/>
        <v>6PhilippinesShell Business</v>
      </c>
      <c r="J191" s="139">
        <v>6</v>
      </c>
      <c r="K191" s="139" t="s">
        <v>276</v>
      </c>
      <c r="L191" s="139" t="s">
        <v>221</v>
      </c>
      <c r="M191" s="140"/>
      <c r="N191" s="141"/>
      <c r="O191" s="174"/>
      <c r="P191" s="70"/>
      <c r="Q191" s="71"/>
    </row>
    <row r="192" spans="8:17" ht="14.45">
      <c r="H192" s="72"/>
      <c r="I192" s="134" t="str">
        <f t="shared" si="7"/>
        <v>7PhilippinesShell Business</v>
      </c>
      <c r="J192" s="135">
        <v>7</v>
      </c>
      <c r="K192" s="135" t="s">
        <v>276</v>
      </c>
      <c r="L192" s="135" t="s">
        <v>221</v>
      </c>
      <c r="M192" s="136"/>
      <c r="N192" s="137"/>
      <c r="O192" s="173"/>
      <c r="P192" s="70"/>
      <c r="Q192" s="71"/>
    </row>
    <row r="193" spans="8:17" ht="14.45">
      <c r="H193" s="72"/>
      <c r="I193" s="138" t="str">
        <f t="shared" si="7"/>
        <v>1PolandShell Business</v>
      </c>
      <c r="J193" s="139">
        <v>1</v>
      </c>
      <c r="K193" s="139" t="s">
        <v>315</v>
      </c>
      <c r="L193" s="139" t="s">
        <v>221</v>
      </c>
      <c r="M193" s="140"/>
      <c r="N193" s="141"/>
      <c r="O193" s="174"/>
      <c r="P193" s="70"/>
      <c r="Q193" s="71"/>
    </row>
    <row r="194" spans="8:17" ht="14.45">
      <c r="H194" s="72"/>
      <c r="I194" s="134" t="str">
        <f t="shared" si="7"/>
        <v>2PolandShell Business</v>
      </c>
      <c r="J194" s="135">
        <v>2</v>
      </c>
      <c r="K194" s="135" t="s">
        <v>315</v>
      </c>
      <c r="L194" s="135" t="s">
        <v>221</v>
      </c>
      <c r="M194" s="136">
        <v>826</v>
      </c>
      <c r="N194" s="137"/>
      <c r="O194" s="173"/>
      <c r="P194" s="70"/>
      <c r="Q194" s="71"/>
    </row>
    <row r="195" spans="8:17" ht="14.45">
      <c r="H195" s="72"/>
      <c r="I195" s="138" t="str">
        <f t="shared" si="7"/>
        <v>3PolandShell Business</v>
      </c>
      <c r="J195" s="139">
        <v>3</v>
      </c>
      <c r="K195" s="139" t="s">
        <v>315</v>
      </c>
      <c r="L195" s="139" t="s">
        <v>221</v>
      </c>
      <c r="M195" s="140">
        <v>620</v>
      </c>
      <c r="N195" s="141"/>
      <c r="O195" s="174"/>
      <c r="P195" s="70"/>
      <c r="Q195" s="71"/>
    </row>
    <row r="196" spans="8:17" ht="14.45">
      <c r="H196" s="72"/>
      <c r="I196" s="134" t="str">
        <f t="shared" ref="I196:I227" si="8">CONCATENATE(J196,K196,L196)</f>
        <v>4PolandShell Business</v>
      </c>
      <c r="J196" s="135">
        <v>4</v>
      </c>
      <c r="K196" s="135" t="s">
        <v>315</v>
      </c>
      <c r="L196" s="135" t="s">
        <v>221</v>
      </c>
      <c r="M196" s="194">
        <v>600</v>
      </c>
      <c r="N196" s="137"/>
      <c r="O196" s="173"/>
      <c r="P196" s="70"/>
      <c r="Q196" s="71"/>
    </row>
    <row r="197" spans="8:17" ht="14.45">
      <c r="H197" s="72"/>
      <c r="I197" s="138" t="str">
        <f t="shared" si="8"/>
        <v>5PolandShell Business</v>
      </c>
      <c r="J197" s="139">
        <v>5</v>
      </c>
      <c r="K197" s="139" t="s">
        <v>315</v>
      </c>
      <c r="L197" s="139" t="s">
        <v>221</v>
      </c>
      <c r="M197" s="195">
        <v>500</v>
      </c>
      <c r="N197" s="141"/>
      <c r="O197" s="174"/>
      <c r="P197" s="70"/>
      <c r="Q197" s="71"/>
    </row>
    <row r="198" spans="8:17" ht="14.45">
      <c r="H198" s="72"/>
      <c r="I198" s="134" t="str">
        <f t="shared" si="8"/>
        <v>6PolandShell Business</v>
      </c>
      <c r="J198" s="135">
        <v>6</v>
      </c>
      <c r="K198" s="135" t="s">
        <v>315</v>
      </c>
      <c r="L198" s="135" t="s">
        <v>221</v>
      </c>
      <c r="M198" s="136"/>
      <c r="N198" s="137"/>
      <c r="O198" s="173"/>
      <c r="P198" s="70"/>
      <c r="Q198" s="71"/>
    </row>
    <row r="199" spans="8:17" ht="14.45">
      <c r="H199" s="72"/>
      <c r="I199" s="138" t="str">
        <f t="shared" si="8"/>
        <v>7PolandShell Business</v>
      </c>
      <c r="J199" s="139">
        <v>7</v>
      </c>
      <c r="K199" s="139" t="s">
        <v>315</v>
      </c>
      <c r="L199" s="139" t="s">
        <v>221</v>
      </c>
      <c r="M199" s="140"/>
      <c r="N199" s="141"/>
      <c r="O199" s="174"/>
      <c r="P199" s="70"/>
      <c r="Q199" s="71"/>
    </row>
    <row r="200" spans="8:17" ht="14.45">
      <c r="H200" s="72"/>
      <c r="I200" s="134" t="str">
        <f t="shared" si="8"/>
        <v>1RussiaShell Business</v>
      </c>
      <c r="J200" s="135">
        <v>1</v>
      </c>
      <c r="K200" s="135" t="s">
        <v>593</v>
      </c>
      <c r="L200" s="135" t="s">
        <v>221</v>
      </c>
      <c r="M200" s="136"/>
      <c r="N200" s="137"/>
      <c r="O200" s="173"/>
      <c r="P200" s="70"/>
      <c r="Q200" s="71"/>
    </row>
    <row r="201" spans="8:17" ht="14.45">
      <c r="H201" s="72"/>
      <c r="I201" s="138" t="str">
        <f t="shared" si="8"/>
        <v>2RussiaShell Business</v>
      </c>
      <c r="J201" s="139">
        <v>2</v>
      </c>
      <c r="K201" s="139" t="s">
        <v>593</v>
      </c>
      <c r="L201" s="139" t="s">
        <v>221</v>
      </c>
      <c r="M201" s="140"/>
      <c r="N201" s="141"/>
      <c r="O201" s="174"/>
      <c r="P201" s="70"/>
      <c r="Q201" s="71"/>
    </row>
    <row r="202" spans="8:17" ht="14.45">
      <c r="H202" s="72"/>
      <c r="I202" s="134" t="str">
        <f t="shared" si="8"/>
        <v>3RussiaShell Business</v>
      </c>
      <c r="J202" s="135">
        <v>3</v>
      </c>
      <c r="K202" s="135" t="s">
        <v>593</v>
      </c>
      <c r="L202" s="135" t="s">
        <v>221</v>
      </c>
      <c r="M202" s="136"/>
      <c r="N202" s="137"/>
      <c r="O202" s="173"/>
      <c r="P202" s="70"/>
      <c r="Q202" s="71"/>
    </row>
    <row r="203" spans="8:17" ht="14.45">
      <c r="H203" s="72"/>
      <c r="I203" s="138" t="str">
        <f t="shared" si="8"/>
        <v>4RussiaShell Business</v>
      </c>
      <c r="J203" s="139">
        <v>4</v>
      </c>
      <c r="K203" s="139" t="s">
        <v>593</v>
      </c>
      <c r="L203" s="139" t="s">
        <v>221</v>
      </c>
      <c r="M203" s="140"/>
      <c r="N203" s="141"/>
      <c r="O203" s="174"/>
      <c r="P203" s="70"/>
      <c r="Q203" s="71"/>
    </row>
    <row r="204" spans="8:17" ht="14.45">
      <c r="H204" s="72"/>
      <c r="I204" s="134" t="str">
        <f t="shared" si="8"/>
        <v>5RussiaShell Business</v>
      </c>
      <c r="J204" s="135">
        <v>5</v>
      </c>
      <c r="K204" s="135" t="s">
        <v>593</v>
      </c>
      <c r="L204" s="135" t="s">
        <v>221</v>
      </c>
      <c r="M204" s="136"/>
      <c r="N204" s="137"/>
      <c r="O204" s="173"/>
      <c r="P204" s="70"/>
      <c r="Q204" s="71"/>
    </row>
    <row r="205" spans="8:17" ht="14.45">
      <c r="H205" s="72"/>
      <c r="I205" s="138" t="str">
        <f t="shared" si="8"/>
        <v>6RussiaShell Business</v>
      </c>
      <c r="J205" s="139">
        <v>6</v>
      </c>
      <c r="K205" s="139" t="s">
        <v>593</v>
      </c>
      <c r="L205" s="139" t="s">
        <v>221</v>
      </c>
      <c r="M205" s="140"/>
      <c r="N205" s="141"/>
      <c r="O205" s="174"/>
      <c r="P205" s="70"/>
      <c r="Q205" s="71"/>
    </row>
    <row r="206" spans="8:17" ht="14.45">
      <c r="H206" s="72"/>
      <c r="I206" s="134" t="str">
        <f t="shared" si="8"/>
        <v>7RussiaShell Business</v>
      </c>
      <c r="J206" s="135">
        <v>7</v>
      </c>
      <c r="K206" s="135" t="s">
        <v>593</v>
      </c>
      <c r="L206" s="135" t="s">
        <v>221</v>
      </c>
      <c r="M206" s="136"/>
      <c r="N206" s="137"/>
      <c r="O206" s="173"/>
      <c r="P206" s="70"/>
      <c r="Q206" s="71"/>
    </row>
    <row r="207" spans="8:17" ht="14.45">
      <c r="H207" s="72"/>
      <c r="I207" s="138" t="str">
        <f t="shared" si="8"/>
        <v>1SingaporeShell Business</v>
      </c>
      <c r="J207" s="139">
        <v>1</v>
      </c>
      <c r="K207" s="139" t="s">
        <v>244</v>
      </c>
      <c r="L207" s="139" t="s">
        <v>221</v>
      </c>
      <c r="M207" s="140"/>
      <c r="N207" s="141"/>
      <c r="O207" s="174"/>
      <c r="P207" s="70"/>
      <c r="Q207" s="71"/>
    </row>
    <row r="208" spans="8:17" ht="14.45">
      <c r="H208" s="72"/>
      <c r="I208" s="134" t="str">
        <f t="shared" si="8"/>
        <v>2SingaporeShell Business</v>
      </c>
      <c r="J208" s="135">
        <v>2</v>
      </c>
      <c r="K208" s="135" t="s">
        <v>244</v>
      </c>
      <c r="L208" s="135" t="s">
        <v>221</v>
      </c>
      <c r="M208" s="136">
        <v>1200</v>
      </c>
      <c r="N208" s="137"/>
      <c r="O208" s="173"/>
      <c r="P208" s="70"/>
      <c r="Q208" s="71"/>
    </row>
    <row r="209" spans="8:17" ht="14.45">
      <c r="H209" s="72"/>
      <c r="I209" s="138" t="str">
        <f t="shared" si="8"/>
        <v>3SingaporeShell Business</v>
      </c>
      <c r="J209" s="139">
        <v>3</v>
      </c>
      <c r="K209" s="139" t="s">
        <v>244</v>
      </c>
      <c r="L209" s="139" t="s">
        <v>221</v>
      </c>
      <c r="M209" s="140">
        <v>1100</v>
      </c>
      <c r="N209" s="141"/>
      <c r="O209" s="174"/>
      <c r="P209" s="70"/>
      <c r="Q209" s="71"/>
    </row>
    <row r="210" spans="8:17" ht="14.45">
      <c r="H210" s="72"/>
      <c r="I210" s="134" t="str">
        <f t="shared" si="8"/>
        <v>4SingaporeShell Business</v>
      </c>
      <c r="J210" s="135">
        <v>4</v>
      </c>
      <c r="K210" s="135" t="s">
        <v>244</v>
      </c>
      <c r="L210" s="135" t="s">
        <v>221</v>
      </c>
      <c r="M210" s="194">
        <v>900</v>
      </c>
      <c r="N210" s="137"/>
      <c r="O210" s="173"/>
      <c r="P210" s="70"/>
      <c r="Q210" s="71"/>
    </row>
    <row r="211" spans="8:17" ht="14.45">
      <c r="H211" s="72"/>
      <c r="I211" s="138" t="str">
        <f t="shared" si="8"/>
        <v>5SingaporeShell Business</v>
      </c>
      <c r="J211" s="139">
        <v>5</v>
      </c>
      <c r="K211" s="139" t="s">
        <v>244</v>
      </c>
      <c r="L211" s="139" t="s">
        <v>221</v>
      </c>
      <c r="M211" s="195">
        <v>700</v>
      </c>
      <c r="N211" s="141"/>
      <c r="O211" s="174"/>
      <c r="P211" s="70"/>
      <c r="Q211" s="71"/>
    </row>
    <row r="212" spans="8:17" ht="14.45">
      <c r="H212" s="72"/>
      <c r="I212" s="134" t="str">
        <f t="shared" si="8"/>
        <v>6SingaporeShell Business</v>
      </c>
      <c r="J212" s="135">
        <v>6</v>
      </c>
      <c r="K212" s="135" t="s">
        <v>244</v>
      </c>
      <c r="L212" s="135" t="s">
        <v>221</v>
      </c>
      <c r="M212" s="136"/>
      <c r="N212" s="137"/>
      <c r="O212" s="173"/>
      <c r="P212" s="70"/>
      <c r="Q212" s="71"/>
    </row>
    <row r="213" spans="8:17" ht="14.45">
      <c r="H213" s="72"/>
      <c r="I213" s="138" t="str">
        <f t="shared" si="8"/>
        <v>7SingaporeShell Business</v>
      </c>
      <c r="J213" s="139">
        <v>7</v>
      </c>
      <c r="K213" s="139" t="s">
        <v>244</v>
      </c>
      <c r="L213" s="139" t="s">
        <v>221</v>
      </c>
      <c r="M213" s="140"/>
      <c r="N213" s="141"/>
      <c r="O213" s="174"/>
      <c r="P213" s="70"/>
      <c r="Q213" s="71"/>
    </row>
    <row r="214" spans="8:17" ht="14.45">
      <c r="H214" s="72"/>
      <c r="I214" s="134" t="str">
        <f t="shared" si="8"/>
        <v>1SlovakiaShell Business</v>
      </c>
      <c r="J214" s="135">
        <v>1</v>
      </c>
      <c r="K214" s="135" t="s">
        <v>594</v>
      </c>
      <c r="L214" s="135" t="s">
        <v>221</v>
      </c>
      <c r="M214" s="136"/>
      <c r="N214" s="137"/>
      <c r="O214" s="173"/>
      <c r="P214" s="70"/>
      <c r="Q214" s="71"/>
    </row>
    <row r="215" spans="8:17" ht="14.45">
      <c r="H215" s="72"/>
      <c r="I215" s="138" t="str">
        <f t="shared" si="8"/>
        <v>2SlovakiaShell Business</v>
      </c>
      <c r="J215" s="139">
        <v>2</v>
      </c>
      <c r="K215" s="139" t="s">
        <v>594</v>
      </c>
      <c r="L215" s="139" t="s">
        <v>221</v>
      </c>
      <c r="M215" s="140"/>
      <c r="N215" s="141"/>
      <c r="O215" s="174"/>
      <c r="P215" s="70"/>
      <c r="Q215" s="71"/>
    </row>
    <row r="216" spans="8:17" ht="14.45">
      <c r="H216" s="72"/>
      <c r="I216" s="134" t="str">
        <f t="shared" si="8"/>
        <v>3SlovakiaShell Business</v>
      </c>
      <c r="J216" s="135">
        <v>3</v>
      </c>
      <c r="K216" s="135" t="s">
        <v>594</v>
      </c>
      <c r="L216" s="135" t="s">
        <v>221</v>
      </c>
      <c r="M216" s="136"/>
      <c r="N216" s="137"/>
      <c r="O216" s="173"/>
      <c r="P216" s="70"/>
      <c r="Q216" s="71"/>
    </row>
    <row r="217" spans="8:17" ht="14.45">
      <c r="H217" s="72"/>
      <c r="I217" s="138" t="str">
        <f t="shared" si="8"/>
        <v>4SlovakiaShell Business</v>
      </c>
      <c r="J217" s="139">
        <v>4</v>
      </c>
      <c r="K217" s="139" t="s">
        <v>594</v>
      </c>
      <c r="L217" s="139" t="s">
        <v>221</v>
      </c>
      <c r="M217" s="140"/>
      <c r="N217" s="141"/>
      <c r="O217" s="174"/>
      <c r="P217" s="70"/>
      <c r="Q217" s="71"/>
    </row>
    <row r="218" spans="8:17" ht="14.45">
      <c r="H218" s="72"/>
      <c r="I218" s="134" t="str">
        <f t="shared" si="8"/>
        <v>5SlovakiaShell Business</v>
      </c>
      <c r="J218" s="135">
        <v>5</v>
      </c>
      <c r="K218" s="135" t="s">
        <v>594</v>
      </c>
      <c r="L218" s="135" t="s">
        <v>221</v>
      </c>
      <c r="M218" s="136"/>
      <c r="N218" s="137"/>
      <c r="O218" s="173"/>
      <c r="P218" s="70"/>
      <c r="Q218" s="71"/>
    </row>
    <row r="219" spans="8:17" ht="14.45">
      <c r="H219" s="72"/>
      <c r="I219" s="138" t="str">
        <f t="shared" si="8"/>
        <v>6SlovakiaShell Business</v>
      </c>
      <c r="J219" s="139">
        <v>6</v>
      </c>
      <c r="K219" s="139" t="s">
        <v>594</v>
      </c>
      <c r="L219" s="139" t="s">
        <v>221</v>
      </c>
      <c r="M219" s="140"/>
      <c r="N219" s="141"/>
      <c r="O219" s="174"/>
      <c r="P219" s="70"/>
      <c r="Q219" s="71"/>
    </row>
    <row r="220" spans="8:17" ht="14.45">
      <c r="H220" s="72"/>
      <c r="I220" s="134" t="str">
        <f t="shared" si="8"/>
        <v>7SlovakiaShell Business</v>
      </c>
      <c r="J220" s="135">
        <v>7</v>
      </c>
      <c r="K220" s="135" t="s">
        <v>594</v>
      </c>
      <c r="L220" s="135" t="s">
        <v>221</v>
      </c>
      <c r="M220" s="136"/>
      <c r="N220" s="137"/>
      <c r="O220" s="173"/>
      <c r="P220" s="70"/>
      <c r="Q220" s="71"/>
    </row>
    <row r="221" spans="8:17" ht="14.45">
      <c r="H221" s="72"/>
      <c r="I221" s="138" t="str">
        <f t="shared" si="8"/>
        <v>1South AfricaShell Business</v>
      </c>
      <c r="J221" s="139">
        <v>1</v>
      </c>
      <c r="K221" s="139" t="s">
        <v>595</v>
      </c>
      <c r="L221" s="139" t="s">
        <v>221</v>
      </c>
      <c r="M221" s="140"/>
      <c r="N221" s="141"/>
      <c r="O221" s="174"/>
      <c r="P221" s="70"/>
      <c r="Q221" s="71"/>
    </row>
    <row r="222" spans="8:17" ht="14.45">
      <c r="H222" s="72"/>
      <c r="I222" s="134" t="str">
        <f t="shared" si="8"/>
        <v>2South AfricaShell Business</v>
      </c>
      <c r="J222" s="135">
        <v>2</v>
      </c>
      <c r="K222" s="135" t="s">
        <v>595</v>
      </c>
      <c r="L222" s="135" t="s">
        <v>221</v>
      </c>
      <c r="M222" s="136"/>
      <c r="N222" s="137"/>
      <c r="O222" s="173"/>
      <c r="P222" s="70"/>
      <c r="Q222" s="71"/>
    </row>
    <row r="223" spans="8:17" ht="14.45">
      <c r="H223" s="72"/>
      <c r="I223" s="138" t="str">
        <f t="shared" si="8"/>
        <v>3South AfricaShell Business</v>
      </c>
      <c r="J223" s="139">
        <v>3</v>
      </c>
      <c r="K223" s="139" t="s">
        <v>595</v>
      </c>
      <c r="L223" s="139" t="s">
        <v>221</v>
      </c>
      <c r="M223" s="140"/>
      <c r="N223" s="141"/>
      <c r="O223" s="174"/>
      <c r="P223" s="70"/>
      <c r="Q223" s="71"/>
    </row>
    <row r="224" spans="8:17" ht="14.45">
      <c r="H224" s="72"/>
      <c r="I224" s="134" t="str">
        <f t="shared" si="8"/>
        <v>4South AfricaShell Business</v>
      </c>
      <c r="J224" s="135">
        <v>4</v>
      </c>
      <c r="K224" s="135" t="s">
        <v>595</v>
      </c>
      <c r="L224" s="135" t="s">
        <v>221</v>
      </c>
      <c r="M224" s="136"/>
      <c r="N224" s="137"/>
      <c r="O224" s="173"/>
      <c r="P224" s="70"/>
      <c r="Q224" s="71"/>
    </row>
    <row r="225" spans="8:17" ht="14.45">
      <c r="H225" s="72"/>
      <c r="I225" s="138" t="str">
        <f t="shared" si="8"/>
        <v>5South AfricaShell Business</v>
      </c>
      <c r="J225" s="139">
        <v>5</v>
      </c>
      <c r="K225" s="139" t="s">
        <v>595</v>
      </c>
      <c r="L225" s="139" t="s">
        <v>221</v>
      </c>
      <c r="M225" s="140"/>
      <c r="N225" s="141"/>
      <c r="O225" s="174"/>
      <c r="P225" s="70"/>
      <c r="Q225" s="71"/>
    </row>
    <row r="226" spans="8:17" ht="14.45">
      <c r="H226" s="72"/>
      <c r="I226" s="134" t="str">
        <f t="shared" si="8"/>
        <v>6South AfricaShell Business</v>
      </c>
      <c r="J226" s="135">
        <v>6</v>
      </c>
      <c r="K226" s="135" t="s">
        <v>595</v>
      </c>
      <c r="L226" s="135" t="s">
        <v>221</v>
      </c>
      <c r="M226" s="136"/>
      <c r="N226" s="137"/>
      <c r="O226" s="173"/>
      <c r="P226" s="70"/>
      <c r="Q226" s="71"/>
    </row>
    <row r="227" spans="8:17" ht="14.45">
      <c r="H227" s="72"/>
      <c r="I227" s="138" t="str">
        <f t="shared" si="8"/>
        <v>7South AfricaShell Business</v>
      </c>
      <c r="J227" s="139">
        <v>7</v>
      </c>
      <c r="K227" s="139" t="s">
        <v>595</v>
      </c>
      <c r="L227" s="139" t="s">
        <v>221</v>
      </c>
      <c r="M227" s="140"/>
      <c r="N227" s="141"/>
      <c r="O227" s="174"/>
      <c r="P227" s="70"/>
      <c r="Q227" s="71"/>
    </row>
    <row r="228" spans="8:17" ht="14.45">
      <c r="H228" s="72"/>
      <c r="I228" s="134" t="str">
        <f t="shared" ref="I228:I259" si="9">CONCATENATE(J228,K228,L228)</f>
        <v>1ThailandShell Business</v>
      </c>
      <c r="J228" s="135">
        <v>1</v>
      </c>
      <c r="K228" s="135" t="s">
        <v>596</v>
      </c>
      <c r="L228" s="135" t="s">
        <v>221</v>
      </c>
      <c r="M228" s="136"/>
      <c r="N228" s="137"/>
      <c r="O228" s="173"/>
      <c r="P228" s="70"/>
      <c r="Q228" s="71"/>
    </row>
    <row r="229" spans="8:17" ht="14.45">
      <c r="H229" s="72"/>
      <c r="I229" s="138" t="str">
        <f t="shared" si="9"/>
        <v>2ThailandShell Business</v>
      </c>
      <c r="J229" s="139">
        <v>2</v>
      </c>
      <c r="K229" s="139" t="s">
        <v>596</v>
      </c>
      <c r="L229" s="139" t="s">
        <v>221</v>
      </c>
      <c r="M229" s="140"/>
      <c r="N229" s="141"/>
      <c r="O229" s="174"/>
      <c r="P229" s="70"/>
      <c r="Q229" s="71"/>
    </row>
    <row r="230" spans="8:17" ht="14.45">
      <c r="H230" s="72"/>
      <c r="I230" s="134" t="str">
        <f t="shared" si="9"/>
        <v>3ThailandShell Business</v>
      </c>
      <c r="J230" s="135">
        <v>3</v>
      </c>
      <c r="K230" s="135" t="s">
        <v>596</v>
      </c>
      <c r="L230" s="135" t="s">
        <v>221</v>
      </c>
      <c r="M230" s="136"/>
      <c r="N230" s="137"/>
      <c r="O230" s="173"/>
      <c r="P230" s="70"/>
      <c r="Q230" s="71"/>
    </row>
    <row r="231" spans="8:17" ht="14.45">
      <c r="H231" s="72"/>
      <c r="I231" s="138" t="str">
        <f t="shared" si="9"/>
        <v>4ThailandShell Business</v>
      </c>
      <c r="J231" s="139">
        <v>4</v>
      </c>
      <c r="K231" s="139" t="s">
        <v>596</v>
      </c>
      <c r="L231" s="139" t="s">
        <v>221</v>
      </c>
      <c r="M231" s="140"/>
      <c r="N231" s="141"/>
      <c r="O231" s="174"/>
      <c r="P231" s="70"/>
      <c r="Q231" s="71"/>
    </row>
    <row r="232" spans="8:17" ht="14.45">
      <c r="H232" s="72"/>
      <c r="I232" s="134" t="str">
        <f t="shared" si="9"/>
        <v>5ThailandShell Business</v>
      </c>
      <c r="J232" s="135">
        <v>5</v>
      </c>
      <c r="K232" s="135" t="s">
        <v>596</v>
      </c>
      <c r="L232" s="135" t="s">
        <v>221</v>
      </c>
      <c r="M232" s="136"/>
      <c r="N232" s="137"/>
      <c r="O232" s="173"/>
      <c r="P232" s="70"/>
      <c r="Q232" s="71"/>
    </row>
    <row r="233" spans="8:17" ht="14.45">
      <c r="H233" s="72"/>
      <c r="I233" s="138" t="str">
        <f t="shared" si="9"/>
        <v>6ThailandShell Business</v>
      </c>
      <c r="J233" s="139">
        <v>6</v>
      </c>
      <c r="K233" s="139" t="s">
        <v>596</v>
      </c>
      <c r="L233" s="139" t="s">
        <v>221</v>
      </c>
      <c r="M233" s="140"/>
      <c r="N233" s="141"/>
      <c r="O233" s="174"/>
      <c r="P233" s="70"/>
      <c r="Q233" s="71"/>
    </row>
    <row r="234" spans="8:17" ht="14.45">
      <c r="H234" s="72"/>
      <c r="I234" s="134" t="str">
        <f t="shared" si="9"/>
        <v>7ThailandShell Business</v>
      </c>
      <c r="J234" s="135">
        <v>7</v>
      </c>
      <c r="K234" s="135" t="s">
        <v>596</v>
      </c>
      <c r="L234" s="135" t="s">
        <v>221</v>
      </c>
      <c r="M234" s="136"/>
      <c r="N234" s="137"/>
      <c r="O234" s="173"/>
      <c r="P234" s="70"/>
      <c r="Q234" s="71"/>
    </row>
    <row r="235" spans="8:17" ht="14.45">
      <c r="H235" s="72"/>
      <c r="I235" s="138" t="str">
        <f t="shared" si="9"/>
        <v>1United KingdomShell Business</v>
      </c>
      <c r="J235" s="139">
        <v>1</v>
      </c>
      <c r="K235" s="139" t="s">
        <v>222</v>
      </c>
      <c r="L235" s="139" t="s">
        <v>221</v>
      </c>
      <c r="M235" s="140">
        <v>1384</v>
      </c>
      <c r="N235" s="141"/>
      <c r="O235" s="174"/>
      <c r="P235" s="177">
        <v>1711</v>
      </c>
      <c r="Q235" s="71"/>
    </row>
    <row r="236" spans="8:17" ht="14.45">
      <c r="H236" s="72"/>
      <c r="I236" s="134" t="str">
        <f t="shared" si="9"/>
        <v>2United KingdomShell Business</v>
      </c>
      <c r="J236" s="135">
        <v>2</v>
      </c>
      <c r="K236" s="135" t="s">
        <v>222</v>
      </c>
      <c r="L236" s="135" t="s">
        <v>221</v>
      </c>
      <c r="M236" s="136">
        <v>1062</v>
      </c>
      <c r="N236" s="137"/>
      <c r="O236" s="173"/>
      <c r="P236" s="177">
        <v>1370</v>
      </c>
      <c r="Q236" s="71"/>
    </row>
    <row r="237" spans="8:17" ht="14.45">
      <c r="H237" s="72"/>
      <c r="I237" s="138" t="str">
        <f t="shared" si="9"/>
        <v>3United KingdomShell Business</v>
      </c>
      <c r="J237" s="139">
        <v>3</v>
      </c>
      <c r="K237" s="139" t="s">
        <v>222</v>
      </c>
      <c r="L237" s="139" t="s">
        <v>221</v>
      </c>
      <c r="M237" s="140">
        <v>850</v>
      </c>
      <c r="N237" s="141"/>
      <c r="O237" s="174"/>
      <c r="P237" s="178">
        <v>1138</v>
      </c>
      <c r="Q237" s="71"/>
    </row>
    <row r="238" spans="8:17" ht="14.45">
      <c r="H238" s="72"/>
      <c r="I238" s="134" t="str">
        <f t="shared" si="9"/>
        <v>4United KingdomShell Business</v>
      </c>
      <c r="J238" s="135">
        <v>4</v>
      </c>
      <c r="K238" s="135" t="s">
        <v>222</v>
      </c>
      <c r="L238" s="135" t="s">
        <v>221</v>
      </c>
      <c r="M238" s="136">
        <v>935</v>
      </c>
      <c r="N238" s="137"/>
      <c r="O238" s="173"/>
      <c r="P238" s="70"/>
      <c r="Q238" s="71"/>
    </row>
    <row r="239" spans="8:17" ht="14.45">
      <c r="H239" s="72"/>
      <c r="I239" s="138" t="str">
        <f t="shared" si="9"/>
        <v>5United KingdomShell Business</v>
      </c>
      <c r="J239" s="139">
        <v>5</v>
      </c>
      <c r="K239" s="139" t="s">
        <v>222</v>
      </c>
      <c r="L239" s="139" t="s">
        <v>221</v>
      </c>
      <c r="M239" s="140">
        <v>790</v>
      </c>
      <c r="N239" s="141"/>
      <c r="O239" s="174"/>
      <c r="P239" s="70"/>
      <c r="Q239" s="71"/>
    </row>
    <row r="240" spans="8:17" ht="14.45">
      <c r="H240" s="72"/>
      <c r="I240" s="134" t="str">
        <f t="shared" si="9"/>
        <v>6United KingdomShell Business</v>
      </c>
      <c r="J240" s="135">
        <v>6</v>
      </c>
      <c r="K240" s="135" t="s">
        <v>222</v>
      </c>
      <c r="L240" s="135" t="s">
        <v>221</v>
      </c>
      <c r="M240" s="136">
        <v>689</v>
      </c>
      <c r="N240" s="137"/>
      <c r="O240" s="173"/>
      <c r="P240" s="70"/>
      <c r="Q240" s="71"/>
    </row>
    <row r="241" spans="8:17" ht="14.45">
      <c r="H241" s="72"/>
      <c r="I241" s="138" t="str">
        <f t="shared" si="9"/>
        <v>7United KingdomShell Business</v>
      </c>
      <c r="J241" s="139">
        <v>7</v>
      </c>
      <c r="K241" s="139" t="s">
        <v>222</v>
      </c>
      <c r="L241" s="139" t="s">
        <v>221</v>
      </c>
      <c r="M241" s="140">
        <v>616</v>
      </c>
      <c r="N241" s="141"/>
      <c r="O241" s="174"/>
      <c r="P241" s="70"/>
      <c r="Q241" s="71"/>
    </row>
    <row r="242" spans="8:17" ht="14.45">
      <c r="H242" s="72"/>
      <c r="I242" s="134" t="str">
        <f t="shared" si="9"/>
        <v>1United StatesShell Business</v>
      </c>
      <c r="J242" s="135">
        <v>1</v>
      </c>
      <c r="K242" s="135" t="s">
        <v>231</v>
      </c>
      <c r="L242" s="135" t="s">
        <v>221</v>
      </c>
      <c r="M242" s="136">
        <v>1765</v>
      </c>
      <c r="N242" s="137"/>
      <c r="O242" s="173"/>
      <c r="P242" s="177">
        <v>2464</v>
      </c>
      <c r="Q242" s="71"/>
    </row>
    <row r="243" spans="8:17" ht="14.45">
      <c r="H243" s="72"/>
      <c r="I243" s="138" t="str">
        <f t="shared" si="9"/>
        <v>2United StatesShell Business</v>
      </c>
      <c r="J243" s="139">
        <v>2</v>
      </c>
      <c r="K243" s="139" t="s">
        <v>231</v>
      </c>
      <c r="L243" s="139" t="s">
        <v>221</v>
      </c>
      <c r="M243" s="140">
        <v>2032</v>
      </c>
      <c r="N243" s="141"/>
      <c r="O243" s="174"/>
      <c r="P243" s="70"/>
      <c r="Q243" s="71"/>
    </row>
    <row r="244" spans="8:17" ht="14.45">
      <c r="H244" s="72"/>
      <c r="I244" s="134" t="str">
        <f t="shared" si="9"/>
        <v>3United StatesShell Business</v>
      </c>
      <c r="J244" s="135">
        <v>3</v>
      </c>
      <c r="K244" s="135" t="s">
        <v>231</v>
      </c>
      <c r="L244" s="135" t="s">
        <v>221</v>
      </c>
      <c r="M244" s="136">
        <v>1155</v>
      </c>
      <c r="N244" s="137"/>
      <c r="O244" s="173"/>
      <c r="P244" s="177">
        <v>1688</v>
      </c>
      <c r="Q244" s="71"/>
    </row>
    <row r="245" spans="8:17" ht="14.45">
      <c r="H245" s="72"/>
      <c r="I245" s="138" t="str">
        <f t="shared" si="9"/>
        <v>4United StatesShell Business</v>
      </c>
      <c r="J245" s="139">
        <v>4</v>
      </c>
      <c r="K245" s="139" t="s">
        <v>231</v>
      </c>
      <c r="L245" s="139" t="s">
        <v>221</v>
      </c>
      <c r="M245" s="140">
        <v>1408</v>
      </c>
      <c r="N245" s="141"/>
      <c r="O245" s="174"/>
      <c r="P245" s="70"/>
      <c r="Q245" s="71"/>
    </row>
    <row r="246" spans="8:17" ht="14.45">
      <c r="H246" s="72"/>
      <c r="I246" s="134" t="str">
        <f t="shared" si="9"/>
        <v>5United StatesShell Business</v>
      </c>
      <c r="J246" s="135">
        <v>5</v>
      </c>
      <c r="K246" s="135" t="s">
        <v>231</v>
      </c>
      <c r="L246" s="135" t="s">
        <v>221</v>
      </c>
      <c r="M246" s="136">
        <v>1184</v>
      </c>
      <c r="N246" s="137"/>
      <c r="O246" s="173"/>
      <c r="P246" s="70"/>
      <c r="Q246" s="71"/>
    </row>
    <row r="247" spans="8:17" ht="14.45">
      <c r="H247" s="72"/>
      <c r="I247" s="138" t="str">
        <f t="shared" si="9"/>
        <v>6United StatesShell Business</v>
      </c>
      <c r="J247" s="139">
        <v>6</v>
      </c>
      <c r="K247" s="139" t="s">
        <v>231</v>
      </c>
      <c r="L247" s="139" t="s">
        <v>221</v>
      </c>
      <c r="M247" s="140">
        <v>1056</v>
      </c>
      <c r="N247" s="141"/>
      <c r="O247" s="174"/>
      <c r="P247" s="70"/>
      <c r="Q247" s="71"/>
    </row>
    <row r="248" spans="8:17" ht="14.45">
      <c r="H248" s="72"/>
      <c r="I248" s="134" t="str">
        <f t="shared" si="9"/>
        <v>7United StatesShell Business</v>
      </c>
      <c r="J248" s="135">
        <v>7</v>
      </c>
      <c r="K248" s="135" t="s">
        <v>231</v>
      </c>
      <c r="L248" s="135" t="s">
        <v>221</v>
      </c>
      <c r="M248" s="136">
        <v>928</v>
      </c>
      <c r="N248" s="137"/>
      <c r="O248" s="173"/>
      <c r="P248" s="70"/>
      <c r="Q248" s="71"/>
    </row>
    <row r="249" spans="8:17" ht="14.45">
      <c r="H249" s="72"/>
      <c r="I249" s="138" t="str">
        <f t="shared" si="9"/>
        <v>1TurkeyShell Business</v>
      </c>
      <c r="J249" s="139">
        <v>1</v>
      </c>
      <c r="K249" s="139" t="s">
        <v>597</v>
      </c>
      <c r="L249" s="139" t="s">
        <v>221</v>
      </c>
      <c r="M249" s="140"/>
      <c r="N249" s="141"/>
      <c r="O249" s="174"/>
      <c r="P249" s="70"/>
      <c r="Q249" s="71"/>
    </row>
    <row r="250" spans="8:17" ht="14.45">
      <c r="H250" s="72"/>
      <c r="I250" s="134" t="str">
        <f t="shared" si="9"/>
        <v>2TurkeyShell Business</v>
      </c>
      <c r="J250" s="135">
        <v>2</v>
      </c>
      <c r="K250" s="135" t="s">
        <v>597</v>
      </c>
      <c r="L250" s="135" t="s">
        <v>221</v>
      </c>
      <c r="M250" s="136"/>
      <c r="N250" s="137"/>
      <c r="O250" s="173"/>
      <c r="P250" s="70"/>
      <c r="Q250" s="71"/>
    </row>
    <row r="251" spans="8:17" ht="14.45">
      <c r="H251" s="72"/>
      <c r="I251" s="138" t="str">
        <f t="shared" si="9"/>
        <v>3TurkeyShell Business</v>
      </c>
      <c r="J251" s="139">
        <v>3</v>
      </c>
      <c r="K251" s="139" t="s">
        <v>597</v>
      </c>
      <c r="L251" s="139" t="s">
        <v>221</v>
      </c>
      <c r="M251" s="140"/>
      <c r="N251" s="141"/>
      <c r="O251" s="174"/>
      <c r="P251" s="70"/>
      <c r="Q251" s="71"/>
    </row>
    <row r="252" spans="8:17" ht="14.45">
      <c r="H252" s="72"/>
      <c r="I252" s="134" t="str">
        <f t="shared" si="9"/>
        <v>4TurkeyShell Business</v>
      </c>
      <c r="J252" s="135">
        <v>4</v>
      </c>
      <c r="K252" s="135" t="s">
        <v>597</v>
      </c>
      <c r="L252" s="135" t="s">
        <v>221</v>
      </c>
      <c r="M252" s="136"/>
      <c r="N252" s="137"/>
      <c r="O252" s="173"/>
      <c r="P252" s="70"/>
      <c r="Q252" s="71"/>
    </row>
    <row r="253" spans="8:17" ht="14.45">
      <c r="H253" s="72"/>
      <c r="I253" s="138" t="str">
        <f t="shared" si="9"/>
        <v>5TurkeyShell Business</v>
      </c>
      <c r="J253" s="139">
        <v>5</v>
      </c>
      <c r="K253" s="139" t="s">
        <v>597</v>
      </c>
      <c r="L253" s="139" t="s">
        <v>221</v>
      </c>
      <c r="M253" s="140"/>
      <c r="N253" s="141"/>
      <c r="O253" s="174"/>
      <c r="P253" s="70"/>
      <c r="Q253" s="71"/>
    </row>
    <row r="254" spans="8:17" ht="14.45">
      <c r="H254" s="72"/>
      <c r="I254" s="134" t="str">
        <f t="shared" si="9"/>
        <v>6TurkeyShell Business</v>
      </c>
      <c r="J254" s="135">
        <v>6</v>
      </c>
      <c r="K254" s="135" t="s">
        <v>597</v>
      </c>
      <c r="L254" s="135" t="s">
        <v>221</v>
      </c>
      <c r="M254" s="136"/>
      <c r="N254" s="137"/>
      <c r="O254" s="173"/>
      <c r="P254" s="70"/>
      <c r="Q254" s="71"/>
    </row>
    <row r="255" spans="8:17" ht="14.45">
      <c r="H255" s="72"/>
      <c r="I255" s="138" t="str">
        <f t="shared" si="9"/>
        <v>7TurkeyShell Business</v>
      </c>
      <c r="J255" s="139">
        <v>7</v>
      </c>
      <c r="K255" s="139" t="s">
        <v>597</v>
      </c>
      <c r="L255" s="139" t="s">
        <v>221</v>
      </c>
      <c r="M255" s="140"/>
      <c r="N255" s="141"/>
      <c r="O255" s="174"/>
      <c r="P255" s="70"/>
      <c r="Q255" s="71"/>
    </row>
    <row r="256" spans="8:17" ht="14.45">
      <c r="H256" s="72"/>
      <c r="I256" s="134" t="str">
        <f t="shared" si="9"/>
        <v>1IndiaShell Business</v>
      </c>
      <c r="J256" s="135">
        <v>1</v>
      </c>
      <c r="K256" s="135" t="s">
        <v>267</v>
      </c>
      <c r="L256" s="135" t="s">
        <v>221</v>
      </c>
      <c r="M256" s="136">
        <v>896</v>
      </c>
      <c r="N256" s="137"/>
      <c r="O256" s="173"/>
      <c r="P256" s="70"/>
      <c r="Q256" s="71"/>
    </row>
    <row r="257" spans="5:17" ht="14.45">
      <c r="H257" s="72"/>
      <c r="I257" s="138" t="str">
        <f t="shared" si="9"/>
        <v>2IndiaShell Business</v>
      </c>
      <c r="J257" s="139">
        <v>2</v>
      </c>
      <c r="K257" s="139" t="s">
        <v>267</v>
      </c>
      <c r="L257" s="139" t="s">
        <v>221</v>
      </c>
      <c r="M257" s="140">
        <v>1062</v>
      </c>
      <c r="N257" s="141"/>
      <c r="O257" s="174"/>
      <c r="P257" s="177">
        <v>688</v>
      </c>
      <c r="Q257" s="71"/>
    </row>
    <row r="258" spans="5:17" ht="14.45">
      <c r="H258" s="72"/>
      <c r="I258" s="134" t="str">
        <f t="shared" si="9"/>
        <v>3IndiaShell Business</v>
      </c>
      <c r="J258" s="135">
        <v>3</v>
      </c>
      <c r="K258" s="135" t="s">
        <v>267</v>
      </c>
      <c r="L258" s="135" t="s">
        <v>221</v>
      </c>
      <c r="M258" s="136">
        <v>360</v>
      </c>
      <c r="N258" s="137"/>
      <c r="O258" s="173"/>
      <c r="P258" s="177">
        <v>560</v>
      </c>
      <c r="Q258" s="71"/>
    </row>
    <row r="259" spans="5:17" ht="14.45">
      <c r="H259" s="72"/>
      <c r="I259" s="138" t="str">
        <f t="shared" si="9"/>
        <v>4IndiaShell Business</v>
      </c>
      <c r="J259" s="139">
        <v>4</v>
      </c>
      <c r="K259" s="139" t="s">
        <v>267</v>
      </c>
      <c r="L259" s="139" t="s">
        <v>221</v>
      </c>
      <c r="M259" s="140">
        <v>440</v>
      </c>
      <c r="N259" s="141"/>
      <c r="O259" s="174"/>
      <c r="P259" s="70"/>
      <c r="Q259" s="71"/>
    </row>
    <row r="260" spans="5:17" ht="14.45">
      <c r="H260" s="72"/>
      <c r="I260" s="134" t="str">
        <f t="shared" ref="I260:I269" si="10">CONCATENATE(J260,K260,L260)</f>
        <v>5IndiaShell Business</v>
      </c>
      <c r="J260" s="135">
        <v>5</v>
      </c>
      <c r="K260" s="135" t="s">
        <v>267</v>
      </c>
      <c r="L260" s="135" t="s">
        <v>221</v>
      </c>
      <c r="M260" s="136">
        <v>368</v>
      </c>
      <c r="N260" s="137"/>
      <c r="O260" s="173"/>
      <c r="P260" s="70"/>
      <c r="Q260" s="71"/>
    </row>
    <row r="261" spans="5:17" ht="14.45">
      <c r="H261" s="72"/>
      <c r="I261" s="138" t="str">
        <f t="shared" si="10"/>
        <v>6IndiaShell Business</v>
      </c>
      <c r="J261" s="139">
        <v>6</v>
      </c>
      <c r="K261" s="139" t="s">
        <v>267</v>
      </c>
      <c r="L261" s="139" t="s">
        <v>221</v>
      </c>
      <c r="M261" s="140">
        <v>320</v>
      </c>
      <c r="N261" s="141"/>
      <c r="O261" s="174"/>
      <c r="P261" s="70"/>
      <c r="Q261" s="71"/>
    </row>
    <row r="262" spans="5:17" ht="14.45">
      <c r="H262" s="72"/>
      <c r="I262" s="134" t="str">
        <f t="shared" si="10"/>
        <v>7IndiaShell Business</v>
      </c>
      <c r="J262" s="135">
        <v>7</v>
      </c>
      <c r="K262" s="135" t="s">
        <v>267</v>
      </c>
      <c r="L262" s="135" t="s">
        <v>221</v>
      </c>
      <c r="M262" s="136">
        <v>280</v>
      </c>
      <c r="N262" s="137"/>
      <c r="O262" s="173"/>
      <c r="P262" s="70"/>
      <c r="Q262" s="71"/>
    </row>
    <row r="263" spans="5:17" ht="14.45">
      <c r="H263" s="72"/>
      <c r="I263" s="138" t="str">
        <f t="shared" si="10"/>
        <v>1BulgariaShell Business</v>
      </c>
      <c r="J263" s="139">
        <v>1</v>
      </c>
      <c r="K263" s="139" t="s">
        <v>598</v>
      </c>
      <c r="L263" s="139" t="s">
        <v>221</v>
      </c>
      <c r="M263" s="140"/>
      <c r="N263" s="141"/>
      <c r="O263" s="174"/>
      <c r="P263" s="70"/>
      <c r="Q263" s="71"/>
    </row>
    <row r="264" spans="5:17" ht="14.45">
      <c r="H264" s="72"/>
      <c r="I264" s="134" t="str">
        <f t="shared" si="10"/>
        <v>2BulgariaShell Business</v>
      </c>
      <c r="J264" s="135">
        <v>2</v>
      </c>
      <c r="K264" s="135" t="s">
        <v>598</v>
      </c>
      <c r="L264" s="135" t="s">
        <v>221</v>
      </c>
      <c r="M264" s="136"/>
      <c r="N264" s="137"/>
      <c r="O264" s="173"/>
      <c r="P264" s="70"/>
      <c r="Q264" s="71"/>
    </row>
    <row r="265" spans="5:17" ht="14.45">
      <c r="H265" s="72"/>
      <c r="I265" s="138" t="str">
        <f t="shared" si="10"/>
        <v>3BulgariaShell Business</v>
      </c>
      <c r="J265" s="139">
        <v>3</v>
      </c>
      <c r="K265" s="139" t="s">
        <v>598</v>
      </c>
      <c r="L265" s="139" t="s">
        <v>221</v>
      </c>
      <c r="M265" s="140"/>
      <c r="N265" s="141"/>
      <c r="O265" s="174"/>
      <c r="P265" s="70"/>
      <c r="Q265" s="71"/>
    </row>
    <row r="266" spans="5:17" ht="14.45">
      <c r="E266" s="70"/>
      <c r="H266" s="72"/>
      <c r="I266" s="134" t="str">
        <f t="shared" si="10"/>
        <v>4BulgariaShell Business</v>
      </c>
      <c r="J266" s="135">
        <v>4</v>
      </c>
      <c r="K266" s="135" t="s">
        <v>598</v>
      </c>
      <c r="L266" s="135" t="s">
        <v>221</v>
      </c>
      <c r="M266" s="136"/>
      <c r="N266" s="137"/>
      <c r="O266" s="173"/>
      <c r="P266" s="70"/>
      <c r="Q266" s="71"/>
    </row>
    <row r="267" spans="5:17" ht="14.45">
      <c r="E267" s="70"/>
      <c r="H267" s="72"/>
      <c r="I267" s="138" t="str">
        <f t="shared" si="10"/>
        <v>5BulgariaShell Business</v>
      </c>
      <c r="J267" s="139">
        <v>5</v>
      </c>
      <c r="K267" s="139" t="s">
        <v>598</v>
      </c>
      <c r="L267" s="139" t="s">
        <v>221</v>
      </c>
      <c r="M267" s="140"/>
      <c r="N267" s="141"/>
      <c r="O267" s="174"/>
      <c r="P267" s="70"/>
      <c r="Q267" s="71"/>
    </row>
    <row r="268" spans="5:17" ht="14.45">
      <c r="E268" s="70"/>
      <c r="H268" s="72"/>
      <c r="I268" s="134" t="str">
        <f t="shared" si="10"/>
        <v>6BulgariaShell Business</v>
      </c>
      <c r="J268" s="135">
        <v>6</v>
      </c>
      <c r="K268" s="135" t="s">
        <v>598</v>
      </c>
      <c r="L268" s="135" t="s">
        <v>221</v>
      </c>
      <c r="M268" s="136"/>
      <c r="N268" s="137"/>
      <c r="O268" s="173"/>
      <c r="P268" s="70"/>
      <c r="Q268" s="71"/>
    </row>
    <row r="269" spans="5:17" ht="14.45">
      <c r="I269" s="138" t="str">
        <f t="shared" si="10"/>
        <v>7BulgariaShell Business</v>
      </c>
      <c r="J269" s="139">
        <v>7</v>
      </c>
      <c r="K269" s="139" t="s">
        <v>598</v>
      </c>
      <c r="L269" s="139" t="s">
        <v>221</v>
      </c>
      <c r="M269" s="140"/>
      <c r="N269" s="141"/>
      <c r="O269" s="174"/>
    </row>
    <row r="270" spans="5:17" ht="14.45">
      <c r="I270" s="134" t="str">
        <f t="shared" ref="I270:I275" si="11">CONCATENATE(J270,K270,L270)</f>
        <v>4IndiaDeloitte</v>
      </c>
      <c r="J270" s="135">
        <v>4</v>
      </c>
      <c r="K270" s="135" t="s">
        <v>267</v>
      </c>
      <c r="L270" s="135" t="s">
        <v>508</v>
      </c>
      <c r="M270" s="136">
        <v>100</v>
      </c>
      <c r="N270" s="137"/>
      <c r="O270" s="173"/>
    </row>
    <row r="271" spans="5:17" ht="14.45">
      <c r="I271" s="138" t="str">
        <f t="shared" si="11"/>
        <v>5United StatesDeloitte</v>
      </c>
      <c r="J271" s="139">
        <v>5</v>
      </c>
      <c r="K271" s="139" t="s">
        <v>231</v>
      </c>
      <c r="L271" s="139" t="s">
        <v>508</v>
      </c>
      <c r="M271" s="140">
        <v>510</v>
      </c>
      <c r="N271" s="141"/>
      <c r="O271" s="174"/>
    </row>
    <row r="272" spans="5:17" ht="14.45">
      <c r="I272" s="134" t="str">
        <f t="shared" si="11"/>
        <v>5United KingdomTCS</v>
      </c>
      <c r="J272" s="135">
        <v>5</v>
      </c>
      <c r="K272" s="135" t="s">
        <v>222</v>
      </c>
      <c r="L272" s="135" t="s">
        <v>504</v>
      </c>
      <c r="M272" s="136">
        <v>1052</v>
      </c>
      <c r="N272" s="137"/>
      <c r="O272" s="173"/>
    </row>
    <row r="273" spans="9:15" ht="14.45">
      <c r="I273" s="138" t="str">
        <f t="shared" si="11"/>
        <v>4IndiaWipro</v>
      </c>
      <c r="J273" s="139">
        <v>4</v>
      </c>
      <c r="K273" s="139" t="s">
        <v>267</v>
      </c>
      <c r="L273" s="139" t="s">
        <v>501</v>
      </c>
      <c r="M273" s="140">
        <v>450</v>
      </c>
      <c r="N273" s="141"/>
      <c r="O273" s="174"/>
    </row>
    <row r="274" spans="9:15" ht="14.45">
      <c r="I274" s="134" t="str">
        <f t="shared" si="11"/>
        <v>2United StatesDeloitte</v>
      </c>
      <c r="J274" s="135">
        <v>2</v>
      </c>
      <c r="K274" s="135" t="s">
        <v>231</v>
      </c>
      <c r="L274" s="135" t="s">
        <v>508</v>
      </c>
      <c r="M274" s="136">
        <v>920</v>
      </c>
      <c r="N274" s="137"/>
      <c r="O274" s="173"/>
    </row>
    <row r="275" spans="9:15" thickBot="1">
      <c r="I275" s="138" t="str">
        <f t="shared" si="11"/>
        <v>3United StatesDeloitte</v>
      </c>
      <c r="J275" s="139">
        <v>3</v>
      </c>
      <c r="K275" s="139" t="s">
        <v>231</v>
      </c>
      <c r="L275" s="139" t="s">
        <v>508</v>
      </c>
      <c r="M275" s="140">
        <v>750</v>
      </c>
      <c r="N275" s="141"/>
      <c r="O275" s="174"/>
    </row>
    <row r="276" spans="9:15" ht="14.45">
      <c r="I276" s="142" t="str">
        <f t="shared" ref="I276:I308" si="12">CONCATENATE(J276,K276,L276)</f>
        <v>3SingaporeDeloitte</v>
      </c>
      <c r="J276" s="142">
        <v>3</v>
      </c>
      <c r="K276" s="142" t="s">
        <v>244</v>
      </c>
      <c r="L276" s="142" t="s">
        <v>508</v>
      </c>
      <c r="M276" s="143">
        <v>450</v>
      </c>
      <c r="N276" s="144"/>
      <c r="O276" s="173"/>
    </row>
    <row r="277" spans="9:15" ht="14.45">
      <c r="I277" s="139" t="str">
        <f t="shared" si="12"/>
        <v>5IndiaTCS</v>
      </c>
      <c r="J277" s="139">
        <v>5</v>
      </c>
      <c r="K277" s="139" t="s">
        <v>267</v>
      </c>
      <c r="L277" s="139" t="s">
        <v>504</v>
      </c>
      <c r="M277" s="140">
        <v>210</v>
      </c>
      <c r="N277" s="145"/>
      <c r="O277" s="174"/>
    </row>
    <row r="278" spans="9:15" ht="14.45">
      <c r="I278" s="135" t="str">
        <f t="shared" si="12"/>
        <v>4IndiaTCS</v>
      </c>
      <c r="J278" s="135">
        <v>4</v>
      </c>
      <c r="K278" s="135" t="s">
        <v>267</v>
      </c>
      <c r="L278" s="135" t="s">
        <v>504</v>
      </c>
      <c r="M278" s="136">
        <v>260</v>
      </c>
      <c r="N278" s="146"/>
      <c r="O278" s="173"/>
    </row>
    <row r="279" spans="9:15" ht="14.45">
      <c r="I279" s="139" t="str">
        <f t="shared" si="12"/>
        <v>3United StatesWipro</v>
      </c>
      <c r="J279" s="139">
        <v>3</v>
      </c>
      <c r="K279" s="139" t="s">
        <v>231</v>
      </c>
      <c r="L279" s="139" t="s">
        <v>501</v>
      </c>
      <c r="M279" s="140">
        <v>1200</v>
      </c>
      <c r="N279" s="145"/>
      <c r="O279" s="174"/>
    </row>
    <row r="280" spans="9:15" ht="14.45">
      <c r="I280" s="135" t="str">
        <f t="shared" si="12"/>
        <v>4United StatesDeloitte</v>
      </c>
      <c r="J280" s="135">
        <v>4</v>
      </c>
      <c r="K280" s="135" t="s">
        <v>231</v>
      </c>
      <c r="L280" s="135" t="s">
        <v>508</v>
      </c>
      <c r="M280" s="136">
        <v>900</v>
      </c>
      <c r="N280" s="146"/>
      <c r="O280" s="173"/>
    </row>
    <row r="281" spans="9:15" ht="14.45">
      <c r="I281" s="139" t="str">
        <f t="shared" si="12"/>
        <v>5United KingdomWipro</v>
      </c>
      <c r="J281" s="139">
        <v>5</v>
      </c>
      <c r="K281" s="139" t="s">
        <v>222</v>
      </c>
      <c r="L281" s="139" t="s">
        <v>501</v>
      </c>
      <c r="M281" s="140">
        <v>1230</v>
      </c>
      <c r="N281" s="145"/>
      <c r="O281" s="174"/>
    </row>
    <row r="282" spans="9:15" ht="14.45">
      <c r="I282" s="147" t="str">
        <f t="shared" si="12"/>
        <v>2United StatesMRE</v>
      </c>
      <c r="J282" s="148">
        <v>2</v>
      </c>
      <c r="K282" s="148" t="s">
        <v>231</v>
      </c>
      <c r="L282" s="148" t="s">
        <v>510</v>
      </c>
      <c r="M282" s="149">
        <v>2000</v>
      </c>
      <c r="N282" s="150"/>
      <c r="O282" s="173"/>
    </row>
    <row r="283" spans="9:15" ht="14.45">
      <c r="I283" s="151" t="str">
        <f t="shared" si="12"/>
        <v>4IndiaMRE</v>
      </c>
      <c r="J283" s="152">
        <v>4</v>
      </c>
      <c r="K283" s="152" t="s">
        <v>267</v>
      </c>
      <c r="L283" s="152" t="s">
        <v>510</v>
      </c>
      <c r="M283" s="153">
        <v>942.91</v>
      </c>
      <c r="N283" s="154"/>
      <c r="O283" s="174"/>
    </row>
    <row r="284" spans="9:15" ht="14.45">
      <c r="I284" s="155" t="str">
        <f t="shared" si="12"/>
        <v>4United StatesAccenture</v>
      </c>
      <c r="J284" s="156">
        <v>4</v>
      </c>
      <c r="K284" s="156" t="s">
        <v>231</v>
      </c>
      <c r="L284" s="156" t="s">
        <v>512</v>
      </c>
      <c r="M284" s="157">
        <v>2143</v>
      </c>
      <c r="N284" s="158"/>
      <c r="O284" s="173"/>
    </row>
    <row r="285" spans="9:15" ht="14.45">
      <c r="I285" s="151" t="str">
        <f t="shared" si="12"/>
        <v>4IndiaAccenture</v>
      </c>
      <c r="J285" s="152">
        <v>4</v>
      </c>
      <c r="K285" s="152" t="s">
        <v>267</v>
      </c>
      <c r="L285" s="152" t="s">
        <v>512</v>
      </c>
      <c r="M285" s="153">
        <v>420</v>
      </c>
      <c r="N285" s="154"/>
      <c r="O285" s="174"/>
    </row>
    <row r="286" spans="9:15" ht="14.45">
      <c r="I286" s="155" t="str">
        <f t="shared" si="12"/>
        <v>3United StatesMRE</v>
      </c>
      <c r="J286" s="156">
        <v>3</v>
      </c>
      <c r="K286" s="156" t="s">
        <v>231</v>
      </c>
      <c r="L286" s="156" t="s">
        <v>510</v>
      </c>
      <c r="M286" s="157">
        <v>1824</v>
      </c>
      <c r="N286" s="158"/>
      <c r="O286" s="173"/>
    </row>
    <row r="287" spans="9:15" ht="14.45">
      <c r="I287" s="151" t="str">
        <f t="shared" si="12"/>
        <v>1United KingdomBARINGA PARTNERS LLP</v>
      </c>
      <c r="J287" s="152">
        <v>1</v>
      </c>
      <c r="K287" s="152" t="s">
        <v>222</v>
      </c>
      <c r="L287" s="152" t="s">
        <v>532</v>
      </c>
      <c r="M287" s="153">
        <v>3181</v>
      </c>
      <c r="N287" s="154"/>
      <c r="O287" s="174"/>
    </row>
    <row r="288" spans="9:15" ht="14.45">
      <c r="I288" s="155" t="str">
        <f t="shared" si="12"/>
        <v>2United KingdomEAGLECLIFF LTD</v>
      </c>
      <c r="J288" s="156">
        <v>2</v>
      </c>
      <c r="K288" s="156" t="s">
        <v>222</v>
      </c>
      <c r="L288" s="156" t="s">
        <v>530</v>
      </c>
      <c r="M288" s="157">
        <v>1667</v>
      </c>
      <c r="N288" s="158"/>
      <c r="O288" s="173"/>
    </row>
    <row r="289" spans="9:15" ht="14.45">
      <c r="I289" s="151" t="str">
        <f t="shared" si="12"/>
        <v>5United KingdomEAGLECLIFF LTD</v>
      </c>
      <c r="J289" s="152">
        <v>5</v>
      </c>
      <c r="K289" s="152" t="s">
        <v>222</v>
      </c>
      <c r="L289" s="152" t="s">
        <v>530</v>
      </c>
      <c r="M289" s="153">
        <v>1086</v>
      </c>
      <c r="N289" s="154"/>
      <c r="O289" s="174"/>
    </row>
    <row r="290" spans="9:15" ht="14.45">
      <c r="I290" s="155" t="str">
        <f t="shared" si="12"/>
        <v>3United KingdomDeloitte</v>
      </c>
      <c r="J290" s="156">
        <v>3</v>
      </c>
      <c r="K290" s="156" t="s">
        <v>222</v>
      </c>
      <c r="L290" s="156" t="s">
        <v>508</v>
      </c>
      <c r="M290" s="157">
        <v>1513</v>
      </c>
      <c r="N290" s="158"/>
      <c r="O290" s="173"/>
    </row>
    <row r="291" spans="9:15" ht="14.45">
      <c r="I291" s="151" t="str">
        <f t="shared" si="12"/>
        <v>4United KingdomADVANTAGE RESOURCING UK LIMITED</v>
      </c>
      <c r="J291" s="152">
        <v>4</v>
      </c>
      <c r="K291" s="152" t="s">
        <v>222</v>
      </c>
      <c r="L291" s="152" t="s">
        <v>537</v>
      </c>
      <c r="M291" s="153">
        <v>1250</v>
      </c>
      <c r="N291" s="154"/>
      <c r="O291" s="174"/>
    </row>
    <row r="292" spans="9:15" ht="14.45">
      <c r="I292" s="155" t="str">
        <f t="shared" si="12"/>
        <v>5United KingdomDeloitte</v>
      </c>
      <c r="J292" s="156">
        <v>5</v>
      </c>
      <c r="K292" s="156" t="s">
        <v>222</v>
      </c>
      <c r="L292" s="156" t="s">
        <v>508</v>
      </c>
      <c r="M292" s="157">
        <v>1086</v>
      </c>
      <c r="N292" s="158"/>
      <c r="O292" s="173"/>
    </row>
    <row r="293" spans="9:15" ht="14.45">
      <c r="I293" s="151" t="str">
        <f t="shared" si="12"/>
        <v>5United KingdomDeloitte1</v>
      </c>
      <c r="J293" s="152">
        <v>5</v>
      </c>
      <c r="K293" s="152" t="s">
        <v>222</v>
      </c>
      <c r="L293" s="152" t="s">
        <v>514</v>
      </c>
      <c r="M293" s="153">
        <v>863</v>
      </c>
      <c r="N293" s="154"/>
      <c r="O293" s="174"/>
    </row>
    <row r="294" spans="9:15" ht="14.45">
      <c r="I294" s="155" t="str">
        <f t="shared" si="12"/>
        <v>4United KingdomDeloitte2</v>
      </c>
      <c r="J294" s="156">
        <v>4</v>
      </c>
      <c r="K294" s="156" t="s">
        <v>222</v>
      </c>
      <c r="L294" s="156" t="s">
        <v>516</v>
      </c>
      <c r="M294" s="157">
        <v>1208</v>
      </c>
      <c r="N294" s="158"/>
      <c r="O294" s="173"/>
    </row>
    <row r="295" spans="9:15" ht="14.45">
      <c r="I295" s="151" t="str">
        <f t="shared" si="12"/>
        <v>3SingaporeShell IDT</v>
      </c>
      <c r="J295" s="152">
        <v>3</v>
      </c>
      <c r="K295" s="152" t="s">
        <v>244</v>
      </c>
      <c r="L295" s="152" t="s">
        <v>361</v>
      </c>
      <c r="M295" s="153">
        <v>1081.5999999999999</v>
      </c>
      <c r="N295" s="154"/>
      <c r="O295" s="174"/>
    </row>
    <row r="296" spans="9:15" ht="14.45">
      <c r="I296" s="155" t="str">
        <f t="shared" si="12"/>
        <v>4IndiaMRE1</v>
      </c>
      <c r="J296" s="156">
        <v>4</v>
      </c>
      <c r="K296" s="156" t="s">
        <v>267</v>
      </c>
      <c r="L296" s="156" t="s">
        <v>518</v>
      </c>
      <c r="M296" s="157">
        <v>1824</v>
      </c>
      <c r="N296" s="158"/>
      <c r="O296" s="173"/>
    </row>
    <row r="297" spans="9:15" ht="14.45">
      <c r="I297" s="151" t="str">
        <f t="shared" si="12"/>
        <v>4United KingdomDummy</v>
      </c>
      <c r="J297" s="152">
        <v>4</v>
      </c>
      <c r="K297" s="152" t="s">
        <v>222</v>
      </c>
      <c r="L297" s="152" t="s">
        <v>520</v>
      </c>
      <c r="M297" s="153">
        <v>1611</v>
      </c>
      <c r="N297" s="154"/>
      <c r="O297" s="174"/>
    </row>
    <row r="298" spans="9:15" ht="14.45">
      <c r="I298" s="155" t="str">
        <f t="shared" si="12"/>
        <v>4United StatesNEXTSOURCE INC</v>
      </c>
      <c r="J298" s="156">
        <v>4</v>
      </c>
      <c r="K298" s="156" t="s">
        <v>231</v>
      </c>
      <c r="L298" s="156" t="s">
        <v>522</v>
      </c>
      <c r="M298" s="157">
        <v>1680</v>
      </c>
      <c r="N298" s="159"/>
      <c r="O298" s="175"/>
    </row>
    <row r="299" spans="9:15" ht="14.45">
      <c r="I299" s="151" t="str">
        <f t="shared" si="12"/>
        <v>4United StatesMRE</v>
      </c>
      <c r="J299" s="152">
        <v>4</v>
      </c>
      <c r="K299" s="152" t="s">
        <v>231</v>
      </c>
      <c r="L299" s="152" t="s">
        <v>510</v>
      </c>
      <c r="M299" s="153">
        <v>1840</v>
      </c>
      <c r="N299" s="160"/>
      <c r="O299" s="69"/>
    </row>
    <row r="300" spans="9:15" ht="14.45">
      <c r="I300" s="155" t="str">
        <f t="shared" si="12"/>
        <v>5IndiaKPMG</v>
      </c>
      <c r="J300" s="156">
        <v>5</v>
      </c>
      <c r="K300" s="156" t="s">
        <v>267</v>
      </c>
      <c r="L300" s="156" t="s">
        <v>524</v>
      </c>
      <c r="M300" s="157">
        <v>400</v>
      </c>
      <c r="N300" s="159"/>
      <c r="O300" s="175"/>
    </row>
    <row r="301" spans="9:15" ht="14.45">
      <c r="I301" s="151" t="str">
        <f t="shared" si="12"/>
        <v>2United KingdomTBC</v>
      </c>
      <c r="J301" s="152">
        <v>2</v>
      </c>
      <c r="K301" s="152" t="s">
        <v>222</v>
      </c>
      <c r="L301" s="152" t="s">
        <v>526</v>
      </c>
      <c r="M301" s="153">
        <v>3000</v>
      </c>
      <c r="N301" s="160"/>
      <c r="O301" s="69"/>
    </row>
    <row r="302" spans="9:15" ht="14.45">
      <c r="I302" s="155" t="str">
        <f t="shared" si="12"/>
        <v>3United KingdomTBC1</v>
      </c>
      <c r="J302" s="156">
        <v>3</v>
      </c>
      <c r="K302" s="156" t="s">
        <v>222</v>
      </c>
      <c r="L302" s="156" t="s">
        <v>528</v>
      </c>
      <c r="M302" s="157">
        <v>2000</v>
      </c>
      <c r="N302" s="159"/>
      <c r="O302" s="175"/>
    </row>
    <row r="303" spans="9:15" ht="14.45">
      <c r="I303" s="151" t="str">
        <f t="shared" si="12"/>
        <v>4United KingdomTBC2</v>
      </c>
      <c r="J303" s="152">
        <v>4</v>
      </c>
      <c r="K303" s="152" t="s">
        <v>222</v>
      </c>
      <c r="L303" s="152" t="s">
        <v>535</v>
      </c>
      <c r="M303" s="153">
        <v>1400</v>
      </c>
      <c r="N303" s="160"/>
      <c r="O303" s="69"/>
    </row>
    <row r="304" spans="9:15" ht="14.45">
      <c r="I304" s="155" t="str">
        <f t="shared" si="12"/>
        <v>3United StatesTBC</v>
      </c>
      <c r="J304" s="156">
        <v>3</v>
      </c>
      <c r="K304" s="156" t="s">
        <v>231</v>
      </c>
      <c r="L304" s="156" t="s">
        <v>526</v>
      </c>
      <c r="M304" s="157">
        <v>2000</v>
      </c>
      <c r="N304" s="159"/>
      <c r="O304" s="175"/>
    </row>
    <row r="305" spans="9:15" ht="14.45">
      <c r="I305" s="151" t="str">
        <f t="shared" si="12"/>
        <v>4United StatesTBC1</v>
      </c>
      <c r="J305" s="152">
        <v>4</v>
      </c>
      <c r="K305" s="152" t="s">
        <v>231</v>
      </c>
      <c r="L305" s="152" t="s">
        <v>528</v>
      </c>
      <c r="M305" s="153">
        <v>1400</v>
      </c>
      <c r="N305" s="160"/>
      <c r="O305" s="69"/>
    </row>
    <row r="306" spans="9:15" ht="14.45">
      <c r="I306" s="155" t="str">
        <f t="shared" si="12"/>
        <v>3IndiaTBC</v>
      </c>
      <c r="J306" s="156">
        <v>3</v>
      </c>
      <c r="K306" s="156" t="s">
        <v>267</v>
      </c>
      <c r="L306" s="156" t="s">
        <v>526</v>
      </c>
      <c r="M306" s="157">
        <v>1400</v>
      </c>
      <c r="N306" s="159"/>
      <c r="O306" s="175"/>
    </row>
    <row r="307" spans="9:15" ht="14.45">
      <c r="I307" s="151" t="str">
        <f t="shared" si="12"/>
        <v>4United KingdomTBZ</v>
      </c>
      <c r="J307" s="152">
        <v>4</v>
      </c>
      <c r="K307" s="152" t="s">
        <v>222</v>
      </c>
      <c r="L307" s="152" t="s">
        <v>489</v>
      </c>
      <c r="M307" s="153">
        <v>1400</v>
      </c>
      <c r="N307" s="160"/>
      <c r="O307" s="69"/>
    </row>
    <row r="308" spans="9:15" ht="14.45">
      <c r="I308" s="155" t="str">
        <f t="shared" si="12"/>
        <v>3CanadaShell IDT</v>
      </c>
      <c r="J308" s="156">
        <v>3</v>
      </c>
      <c r="K308" s="156" t="s">
        <v>581</v>
      </c>
      <c r="L308" s="156" t="s">
        <v>361</v>
      </c>
      <c r="M308" s="157">
        <v>1406.48</v>
      </c>
      <c r="N308" s="159"/>
      <c r="O308" s="175"/>
    </row>
    <row r="309" spans="9:15" ht="14.45">
      <c r="I309" s="155" t="s">
        <v>599</v>
      </c>
      <c r="J309" s="162">
        <v>3</v>
      </c>
      <c r="K309" s="156" t="s">
        <v>276</v>
      </c>
      <c r="L309" s="156" t="s">
        <v>221</v>
      </c>
      <c r="M309" s="157">
        <v>314</v>
      </c>
      <c r="N309" s="159"/>
      <c r="O309" s="175"/>
    </row>
    <row r="310" spans="9:15" ht="14.45">
      <c r="I310" s="155" t="s">
        <v>600</v>
      </c>
      <c r="J310" s="162">
        <v>4</v>
      </c>
      <c r="K310" s="156" t="s">
        <v>601</v>
      </c>
      <c r="L310" s="156" t="s">
        <v>602</v>
      </c>
      <c r="M310" s="157">
        <v>450</v>
      </c>
      <c r="N310" s="159"/>
      <c r="O310" s="69"/>
    </row>
    <row r="311" spans="9:15" ht="14.45">
      <c r="I311" s="155" t="s">
        <v>603</v>
      </c>
      <c r="J311" s="162">
        <v>2</v>
      </c>
      <c r="K311" s="156" t="s">
        <v>231</v>
      </c>
      <c r="L311" s="156" t="s">
        <v>604</v>
      </c>
      <c r="M311" s="157">
        <v>1200</v>
      </c>
      <c r="N311" s="159"/>
      <c r="O311" s="175"/>
    </row>
    <row r="312" spans="9:15" ht="14.45">
      <c r="I312" s="155"/>
      <c r="J312" s="161"/>
      <c r="K312" s="152"/>
      <c r="L312" s="152"/>
      <c r="M312" s="153"/>
      <c r="N312" s="160"/>
      <c r="O312" s="69"/>
    </row>
    <row r="313" spans="9:15" ht="14.45">
      <c r="I313" s="155"/>
      <c r="J313" s="162"/>
      <c r="K313" s="156"/>
      <c r="L313" s="156"/>
      <c r="M313" s="157"/>
      <c r="N313" s="159"/>
      <c r="O313" s="175"/>
    </row>
    <row r="314" spans="9:15" ht="14.45">
      <c r="I314" s="155"/>
      <c r="J314" s="161"/>
      <c r="K314" s="152"/>
      <c r="L314" s="152"/>
      <c r="M314" s="153"/>
      <c r="N314" s="160"/>
      <c r="O314" s="69"/>
    </row>
    <row r="315" spans="9:15" ht="14.45">
      <c r="I315" s="155"/>
      <c r="J315" s="162"/>
      <c r="K315" s="156"/>
      <c r="L315" s="156"/>
      <c r="M315" s="157"/>
      <c r="N315" s="159"/>
      <c r="O315" s="175"/>
    </row>
    <row r="316" spans="9:15" ht="14.45">
      <c r="I316" s="155"/>
      <c r="J316" s="161"/>
      <c r="K316" s="152"/>
      <c r="L316" s="152"/>
      <c r="M316" s="153"/>
      <c r="N316" s="160"/>
      <c r="O316" s="69"/>
    </row>
    <row r="317" spans="9:15" ht="14.45">
      <c r="I317" s="155"/>
      <c r="J317" s="162"/>
      <c r="K317" s="156"/>
      <c r="L317" s="156"/>
      <c r="M317" s="157"/>
      <c r="N317" s="159"/>
      <c r="O317" s="175"/>
    </row>
    <row r="318" spans="9:15" ht="14.45">
      <c r="I318" s="155"/>
      <c r="J318" s="161"/>
      <c r="K318" s="152"/>
      <c r="L318" s="152"/>
      <c r="M318" s="153"/>
      <c r="N318" s="160"/>
      <c r="O318" s="69"/>
    </row>
    <row r="319" spans="9:15" ht="14.45">
      <c r="I319" s="155"/>
      <c r="J319" s="162"/>
      <c r="K319" s="156"/>
      <c r="L319" s="156"/>
      <c r="M319" s="157"/>
      <c r="N319" s="159"/>
      <c r="O319" s="175"/>
    </row>
    <row r="320" spans="9:15" ht="14.45">
      <c r="I320" s="155"/>
      <c r="J320" s="161"/>
      <c r="K320" s="152"/>
      <c r="L320" s="152"/>
      <c r="M320" s="153"/>
      <c r="N320" s="160"/>
      <c r="O320" s="69"/>
    </row>
    <row r="321" spans="9:15" ht="14.45">
      <c r="I321" s="155"/>
      <c r="J321" s="162"/>
      <c r="K321" s="156"/>
      <c r="L321" s="156"/>
      <c r="M321" s="157"/>
      <c r="N321" s="159"/>
      <c r="O321" s="175"/>
    </row>
    <row r="322" spans="9:15" ht="14.45">
      <c r="I322" s="155"/>
      <c r="J322" s="161"/>
      <c r="K322" s="152"/>
      <c r="L322" s="152"/>
      <c r="M322" s="153"/>
      <c r="N322" s="160"/>
      <c r="O322" s="69"/>
    </row>
    <row r="323" spans="9:15" ht="14.45">
      <c r="I323" s="69"/>
      <c r="J323" s="69"/>
      <c r="K323" s="69"/>
      <c r="L323" s="69"/>
      <c r="M323" s="69"/>
      <c r="N323" s="69"/>
      <c r="O323" s="175"/>
    </row>
    <row r="324" spans="9:15" ht="14.45">
      <c r="I324" s="155"/>
      <c r="J324" s="161"/>
      <c r="K324" s="152"/>
      <c r="L324" s="152"/>
      <c r="M324" s="153"/>
      <c r="N324" s="160"/>
      <c r="O324" s="69"/>
    </row>
    <row r="325" spans="9:15" ht="14.45">
      <c r="I325" s="155"/>
      <c r="J325" s="162"/>
      <c r="K325" s="156"/>
      <c r="L325" s="156"/>
      <c r="M325" s="157"/>
      <c r="N325" s="159"/>
      <c r="O325" s="175"/>
    </row>
    <row r="326" spans="9:15" ht="14.45">
      <c r="I326" s="155"/>
      <c r="J326" s="163"/>
      <c r="K326" s="164"/>
      <c r="L326" s="164"/>
      <c r="M326" s="165"/>
      <c r="N326" s="166"/>
      <c r="O326" s="69"/>
    </row>
    <row r="327" spans="9:15" ht="14.45">
      <c r="I327" s="69" t="str">
        <f t="shared" ref="I327" si="13">CONCATENATE(J327,K327,L327)</f>
        <v/>
      </c>
      <c r="J327" s="69"/>
      <c r="K327" s="69"/>
      <c r="L327" s="69"/>
      <c r="M327" s="69"/>
      <c r="N327" s="69"/>
      <c r="O327" s="69"/>
    </row>
    <row r="328" spans="9:15" ht="14.45">
      <c r="O328" s="69"/>
    </row>
    <row r="329" spans="9:15" ht="14.45">
      <c r="O329" s="69"/>
    </row>
    <row r="330" spans="9:15" ht="14.45">
      <c r="O330" s="69"/>
    </row>
    <row r="331" spans="9:15" ht="14.45">
      <c r="O331" s="69"/>
    </row>
    <row r="332" spans="9:15" ht="14.45">
      <c r="O332" s="69"/>
    </row>
    <row r="333" spans="9:15" ht="14.45">
      <c r="O333" s="69"/>
    </row>
    <row r="334" spans="9:15" ht="14.45">
      <c r="O334" s="69"/>
    </row>
    <row r="335" spans="9:15" ht="14.45">
      <c r="O335" s="69"/>
    </row>
    <row r="336" spans="9:15" ht="14.45">
      <c r="O336" s="69"/>
    </row>
    <row r="337" spans="15:15" ht="14.45">
      <c r="O337" s="69"/>
    </row>
    <row r="338" spans="15:15" ht="14.45">
      <c r="O338" s="69"/>
    </row>
    <row r="339" spans="15:15" ht="14.45">
      <c r="O339" s="69"/>
    </row>
    <row r="340" spans="15:15" ht="14.45">
      <c r="O340" s="69"/>
    </row>
    <row r="341" spans="15:15" ht="14.45">
      <c r="O341" s="69"/>
    </row>
    <row r="342" spans="15:15" ht="14.45">
      <c r="O342" s="69"/>
    </row>
    <row r="343" spans="15:15" ht="14.45">
      <c r="O343" s="69"/>
    </row>
    <row r="344" spans="15:15" ht="14.45">
      <c r="O344" s="69"/>
    </row>
    <row r="345" spans="15:15" ht="14.45">
      <c r="O345" s="69"/>
    </row>
    <row r="346" spans="15:15" ht="14.45">
      <c r="O346" s="69"/>
    </row>
    <row r="347" spans="15:15" ht="14.45">
      <c r="O347" s="69"/>
    </row>
    <row r="348" spans="15:15" ht="14.45">
      <c r="O348" s="69"/>
    </row>
    <row r="349" spans="15:15" ht="14.45">
      <c r="O349" s="69"/>
    </row>
    <row r="350" spans="15:15" ht="14.45">
      <c r="O350" s="69"/>
    </row>
    <row r="351" spans="15:15" ht="14.45">
      <c r="O351" s="69"/>
    </row>
    <row r="352" spans="15:15" ht="14.45">
      <c r="O352" s="69"/>
    </row>
    <row r="353" spans="15:15" ht="14.45">
      <c r="O353" s="69"/>
    </row>
    <row r="354" spans="15:15" ht="14.45">
      <c r="O354" s="69"/>
    </row>
    <row r="355" spans="15:15" ht="14.45">
      <c r="O355" s="69"/>
    </row>
    <row r="356" spans="15:15" ht="14.45">
      <c r="O356" s="69"/>
    </row>
    <row r="357" spans="15:15" ht="14.45">
      <c r="O357" s="69"/>
    </row>
    <row r="358" spans="15:15" ht="14.45">
      <c r="O358" s="69"/>
    </row>
    <row r="359" spans="15:15" ht="14.45">
      <c r="O359" s="69"/>
    </row>
    <row r="360" spans="15:15" ht="14.45">
      <c r="O360" s="69"/>
    </row>
    <row r="361" spans="15:15" ht="14.45">
      <c r="O361" s="69"/>
    </row>
    <row r="362" spans="15:15" ht="14.45">
      <c r="O362" s="69"/>
    </row>
    <row r="363" spans="15:15" ht="14.45">
      <c r="O363" s="69"/>
    </row>
    <row r="364" spans="15:15" ht="14.45">
      <c r="O364" s="69"/>
    </row>
    <row r="365" spans="15:15" ht="14.45">
      <c r="O365" s="69"/>
    </row>
    <row r="366" spans="15:15" ht="14.45">
      <c r="O366" s="69"/>
    </row>
    <row r="367" spans="15:15" ht="14.45">
      <c r="O367" s="69"/>
    </row>
    <row r="368" spans="15:15" ht="14.45">
      <c r="O368" s="69"/>
    </row>
    <row r="369" spans="15:15" ht="14.45">
      <c r="O369" s="69"/>
    </row>
    <row r="370" spans="15:15" ht="14.45">
      <c r="O370" s="69"/>
    </row>
    <row r="371" spans="15:15" ht="14.45">
      <c r="O371" s="69"/>
    </row>
    <row r="372" spans="15:15" ht="14.45">
      <c r="O372" s="69"/>
    </row>
    <row r="373" spans="15:15" ht="14.45">
      <c r="O373" s="69"/>
    </row>
    <row r="374" spans="15:15" ht="14.45">
      <c r="O374" s="69"/>
    </row>
    <row r="375" spans="15:15" ht="14.45">
      <c r="O375" s="69"/>
    </row>
    <row r="376" spans="15:15" ht="14.45">
      <c r="O376" s="69"/>
    </row>
    <row r="377" spans="15:15" ht="14.45">
      <c r="O377" s="69"/>
    </row>
    <row r="378" spans="15:15" ht="14.45">
      <c r="O378" s="69"/>
    </row>
    <row r="379" spans="15:15" ht="14.45">
      <c r="O379" s="69"/>
    </row>
    <row r="380" spans="15:15" ht="14.45">
      <c r="O380" s="69"/>
    </row>
    <row r="381" spans="15:15" ht="14.45">
      <c r="O381" s="69"/>
    </row>
    <row r="382" spans="15:15" ht="14.45">
      <c r="O382" s="69"/>
    </row>
    <row r="383" spans="15:15" ht="14.45">
      <c r="O383" s="69"/>
    </row>
    <row r="384" spans="15:15" ht="14.45">
      <c r="O384" s="69"/>
    </row>
    <row r="385" spans="15:15" ht="14.45">
      <c r="O385" s="69"/>
    </row>
    <row r="386" spans="15:15" ht="14.45">
      <c r="O386" s="69"/>
    </row>
    <row r="387" spans="15:15" ht="14.45">
      <c r="O387" s="69"/>
    </row>
    <row r="388" spans="15:15" ht="14.45">
      <c r="O388" s="69"/>
    </row>
    <row r="389" spans="15:15" ht="14.45">
      <c r="O389" s="69"/>
    </row>
    <row r="390" spans="15:15" ht="14.45">
      <c r="O390" s="69"/>
    </row>
    <row r="391" spans="15:15" ht="14.45">
      <c r="O391" s="69"/>
    </row>
    <row r="392" spans="15:15" ht="14.45">
      <c r="O392" s="69"/>
    </row>
    <row r="393" spans="15:15" ht="14.45">
      <c r="O393" s="69"/>
    </row>
    <row r="394" spans="15:15" ht="14.45">
      <c r="O394" s="69"/>
    </row>
    <row r="395" spans="15:15" ht="14.45">
      <c r="O395" s="69"/>
    </row>
    <row r="396" spans="15:15" ht="14.45">
      <c r="O396" s="69"/>
    </row>
    <row r="397" spans="15:15" ht="14.45">
      <c r="O397" s="69"/>
    </row>
    <row r="398" spans="15:15" ht="14.45">
      <c r="O398" s="69"/>
    </row>
    <row r="399" spans="15:15" ht="14.45">
      <c r="O399" s="69"/>
    </row>
    <row r="400" spans="15:15" ht="14.45">
      <c r="O400" s="69"/>
    </row>
    <row r="401" spans="15:15" ht="14.45">
      <c r="O401" s="69"/>
    </row>
    <row r="402" spans="15:15" ht="14.45">
      <c r="O402" s="69"/>
    </row>
    <row r="403" spans="15:15" ht="14.45">
      <c r="O403" s="69"/>
    </row>
    <row r="404" spans="15:15" ht="14.45">
      <c r="O404" s="69"/>
    </row>
    <row r="405" spans="15:15" ht="14.45">
      <c r="O405" s="69"/>
    </row>
    <row r="406" spans="15:15" ht="14.45">
      <c r="O406" s="69"/>
    </row>
    <row r="407" spans="15:15" ht="14.45">
      <c r="O407" s="69"/>
    </row>
    <row r="408" spans="15:15" ht="14.45">
      <c r="O408" s="69"/>
    </row>
    <row r="409" spans="15:15" ht="14.45">
      <c r="O409" s="69"/>
    </row>
    <row r="410" spans="15:15" ht="14.45">
      <c r="O410" s="69"/>
    </row>
    <row r="411" spans="15:15" ht="14.45">
      <c r="O411" s="69"/>
    </row>
    <row r="412" spans="15:15" ht="14.45">
      <c r="O412" s="69"/>
    </row>
    <row r="413" spans="15:15" ht="14.45">
      <c r="O413" s="69"/>
    </row>
    <row r="414" spans="15:15" ht="14.45">
      <c r="O414" s="69"/>
    </row>
    <row r="415" spans="15:15" ht="14.45">
      <c r="O415" s="69"/>
    </row>
    <row r="416" spans="15:15" ht="14.45">
      <c r="O416" s="69"/>
    </row>
    <row r="417" spans="15:15" ht="14.45">
      <c r="O417" s="69"/>
    </row>
    <row r="418" spans="15:15" ht="14.45">
      <c r="O418" s="69"/>
    </row>
    <row r="419" spans="15:15" ht="14.45">
      <c r="O419" s="69"/>
    </row>
    <row r="420" spans="15:15" ht="14.45">
      <c r="O420" s="69"/>
    </row>
    <row r="421" spans="15:15" ht="14.45">
      <c r="O421" s="69"/>
    </row>
    <row r="422" spans="15:15" ht="14.45">
      <c r="O422" s="69"/>
    </row>
    <row r="423" spans="15:15" ht="14.45">
      <c r="O423" s="69"/>
    </row>
    <row r="424" spans="15:15" ht="14.45">
      <c r="O424" s="69"/>
    </row>
    <row r="425" spans="15:15" ht="14.45">
      <c r="O425" s="69"/>
    </row>
    <row r="426" spans="15:15" ht="14.45">
      <c r="O426" s="69"/>
    </row>
    <row r="427" spans="15:15" ht="14.45">
      <c r="O427" s="69"/>
    </row>
    <row r="428" spans="15:15" ht="14.45">
      <c r="O428" s="69"/>
    </row>
    <row r="429" spans="15:15" ht="14.45">
      <c r="O429" s="69"/>
    </row>
    <row r="430" spans="15:15" ht="14.45">
      <c r="O430" s="69"/>
    </row>
    <row r="431" spans="15:15" ht="14.45">
      <c r="O431" s="69"/>
    </row>
    <row r="432" spans="15:15" ht="14.45">
      <c r="O432" s="69"/>
    </row>
    <row r="433" spans="15:15" ht="14.45">
      <c r="O433" s="69"/>
    </row>
    <row r="434" spans="15:15" ht="14.45">
      <c r="O434" s="69"/>
    </row>
    <row r="435" spans="15:15" ht="14.45">
      <c r="O435" s="69"/>
    </row>
    <row r="436" spans="15:15" ht="14.45">
      <c r="O436" s="69"/>
    </row>
    <row r="437" spans="15:15" ht="14.45">
      <c r="O437" s="69"/>
    </row>
    <row r="438" spans="15:15" ht="14.45">
      <c r="O438" s="69"/>
    </row>
    <row r="439" spans="15:15" ht="14.45">
      <c r="O439" s="69"/>
    </row>
    <row r="440" spans="15:15" ht="14.45">
      <c r="O440" s="69"/>
    </row>
    <row r="441" spans="15:15" ht="14.45">
      <c r="O441" s="69"/>
    </row>
    <row r="442" spans="15:15" ht="14.45">
      <c r="O442" s="69"/>
    </row>
    <row r="443" spans="15:15" ht="14.45">
      <c r="O443" s="69"/>
    </row>
    <row r="444" spans="15:15" ht="14.45">
      <c r="O444" s="69"/>
    </row>
    <row r="445" spans="15:15" ht="14.45">
      <c r="O445" s="69"/>
    </row>
    <row r="446" spans="15:15" ht="14.45">
      <c r="O446" s="69"/>
    </row>
    <row r="447" spans="15:15" ht="14.45">
      <c r="O447" s="69"/>
    </row>
    <row r="448" spans="15:15" ht="14.45">
      <c r="O448" s="69"/>
    </row>
    <row r="449" spans="15:15" ht="14.45">
      <c r="O449" s="69"/>
    </row>
    <row r="450" spans="15:15" ht="14.45">
      <c r="O450" s="69"/>
    </row>
    <row r="451" spans="15:15" ht="14.45">
      <c r="O451" s="69"/>
    </row>
    <row r="452" spans="15:15" ht="14.45">
      <c r="O452" s="69"/>
    </row>
    <row r="453" spans="15:15" ht="14.45">
      <c r="O453" s="69"/>
    </row>
    <row r="454" spans="15:15" ht="14.45">
      <c r="O454" s="69"/>
    </row>
    <row r="455" spans="15:15" ht="14.45">
      <c r="O455" s="69"/>
    </row>
    <row r="456" spans="15:15" ht="14.45">
      <c r="O456" s="69"/>
    </row>
    <row r="457" spans="15:15" ht="14.45">
      <c r="O457" s="69"/>
    </row>
    <row r="458" spans="15:15" ht="14.45">
      <c r="O458" s="69"/>
    </row>
    <row r="459" spans="15:15" ht="14.45">
      <c r="O459" s="69"/>
    </row>
    <row r="460" spans="15:15" ht="14.45">
      <c r="O460" s="69"/>
    </row>
    <row r="461" spans="15:15" ht="14.45">
      <c r="O461" s="69"/>
    </row>
    <row r="462" spans="15:15" ht="14.45">
      <c r="O462" s="69"/>
    </row>
    <row r="463" spans="15:15" ht="14.45">
      <c r="O463" s="69"/>
    </row>
    <row r="464" spans="15:15" ht="14.45">
      <c r="O464" s="69"/>
    </row>
    <row r="465" spans="15:15" ht="14.45">
      <c r="O465" s="69"/>
    </row>
    <row r="466" spans="15:15" ht="14.45">
      <c r="O466" s="69"/>
    </row>
    <row r="467" spans="15:15" ht="14.45">
      <c r="O467" s="69"/>
    </row>
    <row r="468" spans="15:15" ht="14.45">
      <c r="O468" s="69"/>
    </row>
    <row r="469" spans="15:15" ht="14.45">
      <c r="O469" s="69"/>
    </row>
    <row r="470" spans="15:15" ht="14.45">
      <c r="O470" s="69"/>
    </row>
    <row r="471" spans="15:15" ht="14.45">
      <c r="O471" s="69"/>
    </row>
    <row r="472" spans="15:15" ht="14.45">
      <c r="O472" s="69"/>
    </row>
    <row r="473" spans="15:15" ht="14.45">
      <c r="O473" s="69"/>
    </row>
    <row r="474" spans="15:15" ht="14.45">
      <c r="O474" s="69"/>
    </row>
    <row r="475" spans="15:15" ht="14.45">
      <c r="O475" s="69"/>
    </row>
    <row r="476" spans="15:15" ht="14.45">
      <c r="O476" s="69"/>
    </row>
    <row r="477" spans="15:15" ht="14.45">
      <c r="O477" s="69"/>
    </row>
    <row r="478" spans="15:15" ht="14.45">
      <c r="O478" s="69"/>
    </row>
    <row r="479" spans="15:15" ht="14.45">
      <c r="O479" s="69"/>
    </row>
    <row r="480" spans="15:15" ht="14.45">
      <c r="O480" s="69"/>
    </row>
    <row r="481" spans="15:15" ht="14.45">
      <c r="O481" s="69"/>
    </row>
    <row r="482" spans="15:15" ht="14.45">
      <c r="O482" s="69"/>
    </row>
    <row r="483" spans="15:15" ht="14.45">
      <c r="O483" s="69"/>
    </row>
    <row r="484" spans="15:15" ht="14.45">
      <c r="O484" s="69"/>
    </row>
    <row r="485" spans="15:15" ht="14.45">
      <c r="O485" s="69"/>
    </row>
    <row r="486" spans="15:15" ht="14.45">
      <c r="O486" s="69"/>
    </row>
    <row r="487" spans="15:15" ht="14.45">
      <c r="O487" s="69"/>
    </row>
    <row r="488" spans="15:15" ht="14.45">
      <c r="O488" s="69"/>
    </row>
    <row r="489" spans="15:15" ht="14.45">
      <c r="O489" s="69"/>
    </row>
    <row r="490" spans="15:15" ht="14.45">
      <c r="O490" s="69"/>
    </row>
    <row r="491" spans="15:15" ht="14.45">
      <c r="O491" s="69"/>
    </row>
    <row r="492" spans="15:15" ht="14.45">
      <c r="O492" s="69"/>
    </row>
    <row r="493" spans="15:15" ht="14.45">
      <c r="O493" s="69"/>
    </row>
    <row r="494" spans="15:15" ht="14.45">
      <c r="O494" s="69"/>
    </row>
    <row r="495" spans="15:15" ht="14.45">
      <c r="O495" s="69"/>
    </row>
    <row r="496" spans="15:15" ht="14.45">
      <c r="O496" s="69"/>
    </row>
    <row r="497" spans="15:15" ht="14.45">
      <c r="O497" s="69"/>
    </row>
    <row r="498" spans="15:15" ht="14.45">
      <c r="O498" s="69"/>
    </row>
    <row r="499" spans="15:15" ht="14.45">
      <c r="O499" s="69"/>
    </row>
    <row r="500" spans="15:15" ht="14.45">
      <c r="O500" s="69"/>
    </row>
    <row r="501" spans="15:15" ht="14.45">
      <c r="O501" s="69"/>
    </row>
    <row r="502" spans="15:15" ht="14.45">
      <c r="O502" s="69"/>
    </row>
    <row r="503" spans="15:15" ht="14.45">
      <c r="O503" s="69"/>
    </row>
    <row r="504" spans="15:15" ht="14.45">
      <c r="O504" s="69"/>
    </row>
    <row r="505" spans="15:15" ht="14.45">
      <c r="O505" s="69"/>
    </row>
    <row r="506" spans="15:15" ht="14.45">
      <c r="O506" s="69"/>
    </row>
    <row r="507" spans="15:15" ht="14.45">
      <c r="O507" s="69"/>
    </row>
    <row r="508" spans="15:15" ht="14.45">
      <c r="O508" s="69"/>
    </row>
    <row r="509" spans="15:15" ht="14.45">
      <c r="O509" s="69"/>
    </row>
    <row r="510" spans="15:15" ht="14.45">
      <c r="O510" s="69"/>
    </row>
    <row r="511" spans="15:15" ht="14.45">
      <c r="O511" s="69"/>
    </row>
    <row r="512" spans="15:15" ht="14.45">
      <c r="O512" s="69"/>
    </row>
    <row r="513" spans="15:15" ht="14.45">
      <c r="O513" s="69"/>
    </row>
    <row r="514" spans="15:15" ht="14.45">
      <c r="O514" s="69"/>
    </row>
    <row r="515" spans="15:15" ht="14.45">
      <c r="O515" s="69"/>
    </row>
    <row r="516" spans="15:15" ht="14.45">
      <c r="O516" s="69"/>
    </row>
    <row r="517" spans="15:15" ht="14.45">
      <c r="O517" s="69"/>
    </row>
    <row r="518" spans="15:15" ht="14.45">
      <c r="O518" s="69"/>
    </row>
    <row r="519" spans="15:15" ht="14.45">
      <c r="O519" s="69"/>
    </row>
    <row r="520" spans="15:15" ht="14.45">
      <c r="O520" s="69"/>
    </row>
    <row r="521" spans="15:15" ht="14.45">
      <c r="O521" s="69"/>
    </row>
    <row r="522" spans="15:15" ht="14.45">
      <c r="O522" s="69"/>
    </row>
    <row r="523" spans="15:15" ht="14.45">
      <c r="O523" s="69"/>
    </row>
    <row r="524" spans="15:15" ht="14.45">
      <c r="O524" s="69"/>
    </row>
    <row r="525" spans="15:15" ht="14.45">
      <c r="O525" s="69"/>
    </row>
    <row r="526" spans="15:15" ht="14.45">
      <c r="O526" s="69"/>
    </row>
    <row r="527" spans="15:15" ht="14.45">
      <c r="O527" s="69"/>
    </row>
    <row r="528" spans="15:15" ht="14.45">
      <c r="O528" s="69"/>
    </row>
    <row r="529" spans="15:15" ht="14.45">
      <c r="O529" s="69"/>
    </row>
    <row r="530" spans="15:15" ht="14.45">
      <c r="O530" s="69"/>
    </row>
    <row r="531" spans="15:15" ht="14.45">
      <c r="O531" s="69"/>
    </row>
    <row r="532" spans="15:15" ht="14.45">
      <c r="O532" s="69"/>
    </row>
    <row r="533" spans="15:15" ht="14.45">
      <c r="O533" s="69"/>
    </row>
    <row r="534" spans="15:15" ht="14.45">
      <c r="O534" s="69"/>
    </row>
    <row r="535" spans="15:15" ht="14.45">
      <c r="O535" s="69"/>
    </row>
    <row r="536" spans="15:15" ht="14.45">
      <c r="O536" s="69"/>
    </row>
    <row r="537" spans="15:15" ht="14.45">
      <c r="O537" s="69"/>
    </row>
    <row r="538" spans="15:15" ht="14.45">
      <c r="O538" s="69"/>
    </row>
    <row r="539" spans="15:15" ht="14.45">
      <c r="O539" s="69"/>
    </row>
    <row r="540" spans="15:15" ht="14.45">
      <c r="O540" s="69"/>
    </row>
    <row r="541" spans="15:15" ht="14.45">
      <c r="O541" s="69"/>
    </row>
    <row r="542" spans="15:15" ht="14.45">
      <c r="O542" s="69"/>
    </row>
    <row r="543" spans="15:15" ht="14.45">
      <c r="O543" s="69"/>
    </row>
    <row r="544" spans="15:15" ht="14.45">
      <c r="O544" s="69"/>
    </row>
    <row r="545" spans="15:15" ht="14.45">
      <c r="O545" s="69"/>
    </row>
    <row r="546" spans="15:15" ht="14.45">
      <c r="O546" s="69"/>
    </row>
    <row r="547" spans="15:15" ht="14.45">
      <c r="O547" s="69"/>
    </row>
    <row r="548" spans="15:15" ht="14.45">
      <c r="O548" s="69"/>
    </row>
    <row r="549" spans="15:15" ht="14.45">
      <c r="O549" s="69"/>
    </row>
    <row r="550" spans="15:15" ht="14.45">
      <c r="O550" s="69"/>
    </row>
    <row r="551" spans="15:15" ht="14.45">
      <c r="O551" s="69"/>
    </row>
    <row r="552" spans="15:15" ht="14.45">
      <c r="O552" s="69"/>
    </row>
    <row r="553" spans="15:15" ht="14.45">
      <c r="O553" s="69"/>
    </row>
    <row r="554" spans="15:15" ht="14.45">
      <c r="O554" s="69"/>
    </row>
    <row r="555" spans="15:15" ht="14.45">
      <c r="O555" s="69"/>
    </row>
    <row r="556" spans="15:15" ht="14.45">
      <c r="O556" s="69"/>
    </row>
    <row r="557" spans="15:15" ht="14.45">
      <c r="O557" s="69"/>
    </row>
    <row r="558" spans="15:15" ht="14.45">
      <c r="O558" s="69"/>
    </row>
    <row r="559" spans="15:15" ht="14.45">
      <c r="O559" s="69"/>
    </row>
    <row r="560" spans="15:15" ht="14.45">
      <c r="O560" s="69"/>
    </row>
    <row r="561" spans="15:15" ht="14.45">
      <c r="O561" s="69"/>
    </row>
    <row r="562" spans="15:15" ht="14.45">
      <c r="O562" s="69"/>
    </row>
    <row r="563" spans="15:15" ht="14.45">
      <c r="O563" s="69"/>
    </row>
    <row r="564" spans="15:15" ht="14.45">
      <c r="O564" s="69"/>
    </row>
    <row r="565" spans="15:15" ht="14.45">
      <c r="O565" s="69"/>
    </row>
    <row r="566" spans="15:15" ht="14.45">
      <c r="O566" s="69"/>
    </row>
    <row r="567" spans="15:15" ht="14.45">
      <c r="O567" s="69"/>
    </row>
    <row r="568" spans="15:15" ht="14.45">
      <c r="O568" s="69"/>
    </row>
    <row r="569" spans="15:15" ht="14.45">
      <c r="O569" s="69"/>
    </row>
    <row r="570" spans="15:15" ht="14.45">
      <c r="O570" s="69"/>
    </row>
    <row r="571" spans="15:15" ht="14.45">
      <c r="O571" s="69"/>
    </row>
    <row r="572" spans="15:15" ht="14.45">
      <c r="O572" s="69"/>
    </row>
    <row r="573" spans="15:15" ht="14.45">
      <c r="O573" s="69"/>
    </row>
    <row r="574" spans="15:15" ht="14.45">
      <c r="O574" s="69"/>
    </row>
    <row r="575" spans="15:15" ht="14.45">
      <c r="O575" s="69"/>
    </row>
    <row r="576" spans="15:15" ht="14.45">
      <c r="O576" s="69"/>
    </row>
    <row r="577" spans="15:15" ht="14.45">
      <c r="O577" s="69"/>
    </row>
    <row r="578" spans="15:15" ht="14.45">
      <c r="O578" s="69"/>
    </row>
    <row r="579" spans="15:15" ht="14.45">
      <c r="O579" s="69"/>
    </row>
    <row r="580" spans="15:15" ht="14.45">
      <c r="O580" s="69"/>
    </row>
    <row r="581" spans="15:15" ht="14.45">
      <c r="O581" s="69"/>
    </row>
    <row r="582" spans="15:15" ht="14.45">
      <c r="O582" s="69"/>
    </row>
    <row r="583" spans="15:15" ht="14.45">
      <c r="O583" s="69"/>
    </row>
    <row r="584" spans="15:15" ht="14.45">
      <c r="O584" s="69"/>
    </row>
    <row r="585" spans="15:15" ht="14.45">
      <c r="O585" s="69"/>
    </row>
    <row r="586" spans="15:15" ht="14.45">
      <c r="O586" s="69"/>
    </row>
    <row r="587" spans="15:15" ht="14.45">
      <c r="O587" s="69"/>
    </row>
    <row r="588" spans="15:15" ht="14.45">
      <c r="O588" s="69"/>
    </row>
    <row r="589" spans="15:15" ht="14.45">
      <c r="O589" s="69"/>
    </row>
    <row r="590" spans="15:15" ht="14.45">
      <c r="O590" s="69"/>
    </row>
    <row r="591" spans="15:15" ht="14.45">
      <c r="O591" s="69"/>
    </row>
    <row r="592" spans="15:15" ht="14.45">
      <c r="O592" s="69"/>
    </row>
    <row r="593" spans="15:15" ht="14.45">
      <c r="O593" s="69"/>
    </row>
    <row r="594" spans="15:15" ht="14.45">
      <c r="O594" s="69"/>
    </row>
    <row r="595" spans="15:15" ht="14.45">
      <c r="O595" s="69"/>
    </row>
    <row r="596" spans="15:15" ht="14.45">
      <c r="O596" s="69"/>
    </row>
    <row r="597" spans="15:15" ht="14.45">
      <c r="O597" s="69"/>
    </row>
    <row r="598" spans="15:15" ht="14.45">
      <c r="O598" s="69"/>
    </row>
    <row r="599" spans="15:15" ht="14.45">
      <c r="O599" s="69"/>
    </row>
    <row r="600" spans="15:15" ht="14.45">
      <c r="O600" s="69"/>
    </row>
    <row r="601" spans="15:15" ht="14.45">
      <c r="O601" s="69"/>
    </row>
    <row r="602" spans="15:15" ht="14.45">
      <c r="O602" s="69"/>
    </row>
    <row r="603" spans="15:15" ht="14.45">
      <c r="O603" s="69"/>
    </row>
    <row r="604" spans="15:15" ht="14.45">
      <c r="O604" s="69"/>
    </row>
    <row r="605" spans="15:15" ht="14.45">
      <c r="O605" s="69"/>
    </row>
    <row r="606" spans="15:15" ht="14.45">
      <c r="O606" s="69"/>
    </row>
    <row r="607" spans="15:15" ht="14.45">
      <c r="O607" s="69"/>
    </row>
    <row r="608" spans="15:15" ht="14.45">
      <c r="O608" s="69"/>
    </row>
    <row r="609" spans="15:15" ht="14.45">
      <c r="O609" s="69"/>
    </row>
    <row r="610" spans="15:15" ht="14.45">
      <c r="O610" s="69"/>
    </row>
    <row r="611" spans="15:15" ht="14.45">
      <c r="O611" s="69"/>
    </row>
    <row r="612" spans="15:15" ht="14.45">
      <c r="O612" s="69"/>
    </row>
    <row r="613" spans="15:15" ht="14.45">
      <c r="O613" s="69"/>
    </row>
    <row r="614" spans="15:15" ht="14.45">
      <c r="O614" s="69"/>
    </row>
    <row r="615" spans="15:15" ht="14.45">
      <c r="O615" s="69"/>
    </row>
    <row r="616" spans="15:15" ht="14.45">
      <c r="O616" s="69"/>
    </row>
    <row r="617" spans="15:15" ht="14.45">
      <c r="O617" s="69"/>
    </row>
    <row r="618" spans="15:15" ht="14.45">
      <c r="O618" s="69"/>
    </row>
    <row r="619" spans="15:15" ht="14.45">
      <c r="O619" s="69"/>
    </row>
    <row r="620" spans="15:15" ht="14.45">
      <c r="O620" s="69"/>
    </row>
    <row r="621" spans="15:15" ht="14.45">
      <c r="O621" s="69"/>
    </row>
    <row r="622" spans="15:15" ht="14.45">
      <c r="O622" s="69"/>
    </row>
    <row r="623" spans="15:15" ht="14.45">
      <c r="O623" s="69"/>
    </row>
    <row r="624" spans="15:15" ht="14.45">
      <c r="O624" s="69"/>
    </row>
    <row r="625" spans="15:15" ht="14.45">
      <c r="O625" s="69"/>
    </row>
    <row r="626" spans="15:15" ht="14.45">
      <c r="O626" s="69"/>
    </row>
    <row r="627" spans="15:15" ht="14.45">
      <c r="O627" s="69"/>
    </row>
    <row r="628" spans="15:15" ht="14.45">
      <c r="O628" s="69"/>
    </row>
    <row r="629" spans="15:15" ht="14.45">
      <c r="O629" s="69"/>
    </row>
    <row r="630" spans="15:15" ht="14.45">
      <c r="O630" s="69"/>
    </row>
    <row r="631" spans="15:15" ht="14.45">
      <c r="O631" s="69"/>
    </row>
    <row r="632" spans="15:15" ht="14.45">
      <c r="O632" s="69"/>
    </row>
    <row r="633" spans="15:15" ht="14.45">
      <c r="O633" s="69"/>
    </row>
    <row r="634" spans="15:15" ht="14.45">
      <c r="O634" s="69"/>
    </row>
    <row r="635" spans="15:15" ht="14.45">
      <c r="O635" s="69"/>
    </row>
    <row r="636" spans="15:15" ht="14.45">
      <c r="O636" s="69"/>
    </row>
    <row r="637" spans="15:15" ht="14.45">
      <c r="O637" s="69"/>
    </row>
    <row r="638" spans="15:15" ht="14.45">
      <c r="O638" s="69"/>
    </row>
    <row r="639" spans="15:15" ht="14.45">
      <c r="O639" s="69"/>
    </row>
    <row r="640" spans="15:15" ht="14.45">
      <c r="O640" s="69"/>
    </row>
    <row r="641" spans="15:15" ht="14.45">
      <c r="O641" s="69"/>
    </row>
    <row r="642" spans="15:15" ht="14.45">
      <c r="O642" s="69"/>
    </row>
    <row r="643" spans="15:15" ht="14.45">
      <c r="O643" s="69"/>
    </row>
    <row r="644" spans="15:15" ht="14.45">
      <c r="O644" s="69"/>
    </row>
    <row r="645" spans="15:15" ht="14.45">
      <c r="O645" s="69"/>
    </row>
    <row r="646" spans="15:15" ht="14.45">
      <c r="O646" s="69"/>
    </row>
    <row r="647" spans="15:15" ht="14.45">
      <c r="O647" s="69"/>
    </row>
    <row r="648" spans="15:15" ht="14.45">
      <c r="O648" s="69"/>
    </row>
    <row r="649" spans="15:15" ht="14.45">
      <c r="O649" s="69"/>
    </row>
    <row r="650" spans="15:15" ht="14.45">
      <c r="O650" s="69"/>
    </row>
    <row r="651" spans="15:15" ht="14.45">
      <c r="O651" s="69"/>
    </row>
    <row r="652" spans="15:15" ht="14.45">
      <c r="O652" s="69"/>
    </row>
    <row r="653" spans="15:15" ht="14.45">
      <c r="O653" s="69"/>
    </row>
    <row r="654" spans="15:15" ht="14.45">
      <c r="O654" s="69"/>
    </row>
    <row r="655" spans="15:15" ht="14.45">
      <c r="O655" s="69"/>
    </row>
    <row r="656" spans="15:15" ht="14.45">
      <c r="O656" s="69"/>
    </row>
    <row r="657" spans="15:15" ht="14.45">
      <c r="O657" s="69"/>
    </row>
    <row r="658" spans="15:15" ht="14.45">
      <c r="O658" s="69"/>
    </row>
    <row r="659" spans="15:15" ht="14.45">
      <c r="O659" s="69"/>
    </row>
    <row r="660" spans="15:15" ht="14.45">
      <c r="O660" s="69"/>
    </row>
    <row r="661" spans="15:15" ht="14.45">
      <c r="O661" s="69"/>
    </row>
    <row r="662" spans="15:15" ht="14.45">
      <c r="O662" s="69"/>
    </row>
    <row r="663" spans="15:15" ht="14.45">
      <c r="O663" s="69"/>
    </row>
    <row r="664" spans="15:15" ht="14.45">
      <c r="O664" s="69"/>
    </row>
    <row r="665" spans="15:15" ht="14.45">
      <c r="O665" s="69"/>
    </row>
    <row r="666" spans="15:15" ht="14.45">
      <c r="O666" s="69"/>
    </row>
    <row r="667" spans="15:15" ht="14.45">
      <c r="O667" s="69"/>
    </row>
    <row r="668" spans="15:15" ht="14.45">
      <c r="O668" s="69"/>
    </row>
    <row r="669" spans="15:15" ht="14.45">
      <c r="O669" s="69"/>
    </row>
    <row r="670" spans="15:15" ht="14.45">
      <c r="O670" s="69"/>
    </row>
    <row r="671" spans="15:15" ht="14.45">
      <c r="O671" s="69"/>
    </row>
    <row r="672" spans="15:15" ht="14.45">
      <c r="O672" s="69"/>
    </row>
    <row r="673" spans="15:15" ht="14.45">
      <c r="O673" s="69"/>
    </row>
    <row r="674" spans="15:15" ht="14.45">
      <c r="O674" s="69"/>
    </row>
    <row r="675" spans="15:15" ht="14.45">
      <c r="O675" s="69"/>
    </row>
    <row r="676" spans="15:15" ht="14.45">
      <c r="O676" s="69"/>
    </row>
    <row r="677" spans="15:15" ht="14.45">
      <c r="O677" s="69"/>
    </row>
    <row r="678" spans="15:15" ht="14.45">
      <c r="O678" s="69"/>
    </row>
    <row r="679" spans="15:15" ht="14.45">
      <c r="O679" s="69"/>
    </row>
    <row r="680" spans="15:15" ht="14.45">
      <c r="O680" s="69"/>
    </row>
    <row r="681" spans="15:15" ht="14.45">
      <c r="O681" s="69"/>
    </row>
    <row r="682" spans="15:15" ht="14.45">
      <c r="O682" s="69"/>
    </row>
    <row r="683" spans="15:15" ht="14.45">
      <c r="O683" s="69"/>
    </row>
    <row r="684" spans="15:15" ht="14.45">
      <c r="O684" s="69"/>
    </row>
    <row r="685" spans="15:15" ht="14.45">
      <c r="O685" s="69"/>
    </row>
    <row r="686" spans="15:15" ht="14.45">
      <c r="O686" s="69"/>
    </row>
    <row r="687" spans="15:15" ht="14.45">
      <c r="O687" s="69"/>
    </row>
    <row r="688" spans="15:15" ht="14.45">
      <c r="O688" s="69"/>
    </row>
    <row r="689" spans="15:15" ht="14.45">
      <c r="O689" s="69"/>
    </row>
    <row r="690" spans="15:15" ht="14.45">
      <c r="O690" s="69"/>
    </row>
    <row r="691" spans="15:15" ht="14.45">
      <c r="O691" s="69"/>
    </row>
    <row r="692" spans="15:15" ht="14.45">
      <c r="O692" s="69"/>
    </row>
    <row r="693" spans="15:15" ht="14.45">
      <c r="O693" s="69"/>
    </row>
    <row r="694" spans="15:15" ht="14.45">
      <c r="O694" s="69"/>
    </row>
    <row r="695" spans="15:15" ht="14.45">
      <c r="O695" s="69"/>
    </row>
    <row r="696" spans="15:15" ht="14.45">
      <c r="O696" s="69"/>
    </row>
    <row r="697" spans="15:15" ht="14.45">
      <c r="O697" s="69"/>
    </row>
    <row r="698" spans="15:15" ht="14.45">
      <c r="O698" s="69"/>
    </row>
    <row r="699" spans="15:15" ht="14.45">
      <c r="O699" s="69"/>
    </row>
    <row r="700" spans="15:15" ht="14.45">
      <c r="O700" s="69"/>
    </row>
    <row r="701" spans="15:15" ht="14.45">
      <c r="O701" s="69"/>
    </row>
    <row r="702" spans="15:15" ht="14.45">
      <c r="O702" s="69"/>
    </row>
    <row r="703" spans="15:15" ht="14.45">
      <c r="O703" s="69"/>
    </row>
    <row r="704" spans="15:15" ht="14.45">
      <c r="O704" s="69"/>
    </row>
    <row r="705" spans="15:15" ht="14.45">
      <c r="O705" s="69"/>
    </row>
    <row r="706" spans="15:15" ht="14.45">
      <c r="O706" s="69"/>
    </row>
    <row r="707" spans="15:15" ht="14.45">
      <c r="O707" s="69"/>
    </row>
    <row r="708" spans="15:15" ht="14.45">
      <c r="O708" s="69"/>
    </row>
    <row r="709" spans="15:15" ht="14.45">
      <c r="O709" s="69"/>
    </row>
    <row r="710" spans="15:15" ht="14.45">
      <c r="O710" s="69"/>
    </row>
    <row r="711" spans="15:15" ht="14.45">
      <c r="O711" s="69"/>
    </row>
    <row r="712" spans="15:15" ht="14.45">
      <c r="O712" s="69"/>
    </row>
    <row r="713" spans="15:15" ht="14.45">
      <c r="O713" s="69"/>
    </row>
    <row r="714" spans="15:15" ht="14.45">
      <c r="O714" s="69"/>
    </row>
    <row r="715" spans="15:15" ht="14.45">
      <c r="O715" s="69"/>
    </row>
    <row r="716" spans="15:15" ht="14.45">
      <c r="O716" s="69"/>
    </row>
    <row r="717" spans="15:15" ht="14.45">
      <c r="O717" s="69"/>
    </row>
    <row r="718" spans="15:15" ht="14.45">
      <c r="O718" s="69"/>
    </row>
    <row r="719" spans="15:15" ht="14.45">
      <c r="O719" s="69"/>
    </row>
    <row r="720" spans="15:15" ht="14.45">
      <c r="O720" s="69"/>
    </row>
    <row r="721" spans="15:15" ht="14.45">
      <c r="O721" s="69"/>
    </row>
    <row r="722" spans="15:15" ht="14.45">
      <c r="O722" s="69"/>
    </row>
    <row r="723" spans="15:15" ht="14.45">
      <c r="O723" s="69"/>
    </row>
    <row r="724" spans="15:15" ht="14.45">
      <c r="O724" s="69"/>
    </row>
    <row r="725" spans="15:15" ht="14.45">
      <c r="O725" s="69"/>
    </row>
    <row r="726" spans="15:15" ht="14.45">
      <c r="O726" s="69"/>
    </row>
    <row r="727" spans="15:15" ht="14.45">
      <c r="O727" s="69"/>
    </row>
    <row r="728" spans="15:15" ht="14.45">
      <c r="O728" s="69"/>
    </row>
    <row r="729" spans="15:15" ht="14.45">
      <c r="O729" s="69"/>
    </row>
    <row r="730" spans="15:15" ht="14.45">
      <c r="O730" s="69"/>
    </row>
    <row r="731" spans="15:15" ht="14.45">
      <c r="O731" s="69"/>
    </row>
    <row r="732" spans="15:15" ht="14.45">
      <c r="O732" s="69"/>
    </row>
    <row r="733" spans="15:15" ht="14.45">
      <c r="O733" s="69"/>
    </row>
    <row r="734" spans="15:15" ht="14.45">
      <c r="O734" s="69"/>
    </row>
    <row r="735" spans="15:15" ht="14.45">
      <c r="O735" s="69"/>
    </row>
    <row r="736" spans="15:15" ht="14.45">
      <c r="O736" s="69"/>
    </row>
    <row r="737" spans="15:15" ht="14.45">
      <c r="O737" s="69"/>
    </row>
    <row r="738" spans="15:15" ht="14.45">
      <c r="O738" s="69"/>
    </row>
    <row r="739" spans="15:15" ht="14.45">
      <c r="O739" s="69"/>
    </row>
    <row r="740" spans="15:15" ht="14.45">
      <c r="O740" s="69"/>
    </row>
    <row r="741" spans="15:15" ht="14.45">
      <c r="O741" s="69"/>
    </row>
    <row r="742" spans="15:15" ht="14.45">
      <c r="O742" s="69"/>
    </row>
    <row r="743" spans="15:15" ht="14.45">
      <c r="O743" s="69"/>
    </row>
    <row r="744" spans="15:15" ht="14.45">
      <c r="O744" s="69"/>
    </row>
    <row r="745" spans="15:15" ht="14.45">
      <c r="O745" s="69"/>
    </row>
    <row r="746" spans="15:15" ht="14.45">
      <c r="O746" s="69"/>
    </row>
    <row r="747" spans="15:15" ht="14.45">
      <c r="O747" s="69"/>
    </row>
    <row r="748" spans="15:15" ht="14.45">
      <c r="O748" s="69"/>
    </row>
    <row r="749" spans="15:15" ht="14.45">
      <c r="O749" s="69"/>
    </row>
    <row r="750" spans="15:15" ht="14.45">
      <c r="O750" s="69"/>
    </row>
    <row r="751" spans="15:15" ht="14.45">
      <c r="O751" s="69"/>
    </row>
    <row r="752" spans="15:15" ht="14.45">
      <c r="O752" s="69"/>
    </row>
    <row r="753" spans="15:15" ht="14.45">
      <c r="O753" s="69"/>
    </row>
    <row r="754" spans="15:15" ht="14.45">
      <c r="O754" s="69"/>
    </row>
    <row r="755" spans="15:15" ht="14.45">
      <c r="O755" s="69"/>
    </row>
    <row r="756" spans="15:15" ht="14.45">
      <c r="O756" s="69"/>
    </row>
    <row r="757" spans="15:15" ht="14.45">
      <c r="O757" s="69"/>
    </row>
    <row r="758" spans="15:15" ht="14.45">
      <c r="O758" s="69"/>
    </row>
    <row r="759" spans="15:15" ht="14.45">
      <c r="O759" s="69"/>
    </row>
    <row r="760" spans="15:15" ht="14.45">
      <c r="O760" s="69"/>
    </row>
    <row r="761" spans="15:15" ht="14.45">
      <c r="O761" s="69"/>
    </row>
    <row r="762" spans="15:15" ht="14.45">
      <c r="O762" s="69"/>
    </row>
    <row r="763" spans="15:15" ht="14.45">
      <c r="O763" s="69"/>
    </row>
    <row r="764" spans="15:15" ht="14.45">
      <c r="O764" s="69"/>
    </row>
    <row r="765" spans="15:15" ht="14.45">
      <c r="O765" s="69"/>
    </row>
    <row r="766" spans="15:15" ht="14.45">
      <c r="O766" s="69"/>
    </row>
    <row r="767" spans="15:15" ht="14.45">
      <c r="O767" s="69"/>
    </row>
    <row r="768" spans="15:15" ht="14.45">
      <c r="O768" s="69"/>
    </row>
    <row r="769" spans="15:15" ht="14.45">
      <c r="O769" s="69"/>
    </row>
    <row r="770" spans="15:15" ht="14.45">
      <c r="O770" s="69"/>
    </row>
    <row r="771" spans="15:15" ht="14.45">
      <c r="O771" s="69"/>
    </row>
    <row r="772" spans="15:15" ht="14.45">
      <c r="O772" s="69"/>
    </row>
    <row r="773" spans="15:15" ht="14.45">
      <c r="O773" s="69"/>
    </row>
    <row r="774" spans="15:15" ht="14.45">
      <c r="O774" s="69"/>
    </row>
    <row r="775" spans="15:15" ht="14.45">
      <c r="O775" s="69"/>
    </row>
    <row r="776" spans="15:15" ht="14.45">
      <c r="O776" s="69"/>
    </row>
    <row r="777" spans="15:15" ht="14.45">
      <c r="O777" s="69"/>
    </row>
    <row r="778" spans="15:15" ht="14.45">
      <c r="O778" s="69"/>
    </row>
    <row r="779" spans="15:15" ht="14.45">
      <c r="O779" s="69"/>
    </row>
    <row r="780" spans="15:15" ht="14.45">
      <c r="O780" s="69"/>
    </row>
    <row r="781" spans="15:15" ht="14.45">
      <c r="O781" s="69"/>
    </row>
    <row r="782" spans="15:15" ht="14.45">
      <c r="O782" s="69"/>
    </row>
    <row r="783" spans="15:15" ht="14.45">
      <c r="O783" s="69"/>
    </row>
    <row r="784" spans="15:15" ht="14.45">
      <c r="O784" s="69"/>
    </row>
    <row r="785" spans="15:15" ht="14.45">
      <c r="O785" s="69"/>
    </row>
    <row r="786" spans="15:15" ht="14.45">
      <c r="O786" s="69"/>
    </row>
    <row r="787" spans="15:15" ht="14.45">
      <c r="O787" s="69"/>
    </row>
    <row r="788" spans="15:15" ht="14.45">
      <c r="O788" s="69"/>
    </row>
    <row r="789" spans="15:15" ht="14.45">
      <c r="O789" s="69"/>
    </row>
    <row r="790" spans="15:15" ht="14.45">
      <c r="O790" s="69"/>
    </row>
    <row r="791" spans="15:15" ht="14.45">
      <c r="O791" s="69"/>
    </row>
    <row r="792" spans="15:15" ht="14.45">
      <c r="O792" s="69"/>
    </row>
    <row r="793" spans="15:15" ht="14.45">
      <c r="O793" s="69"/>
    </row>
    <row r="794" spans="15:15" ht="14.45">
      <c r="O794" s="69"/>
    </row>
    <row r="795" spans="15:15" ht="14.45">
      <c r="O795" s="69"/>
    </row>
    <row r="796" spans="15:15" ht="14.45">
      <c r="O796" s="69"/>
    </row>
    <row r="797" spans="15:15" ht="14.45">
      <c r="O797" s="69"/>
    </row>
    <row r="798" spans="15:15" ht="14.45">
      <c r="O798" s="69"/>
    </row>
    <row r="799" spans="15:15" ht="14.45">
      <c r="O799" s="69"/>
    </row>
    <row r="800" spans="15:15" ht="14.45">
      <c r="O800" s="69"/>
    </row>
    <row r="801" spans="15:15" ht="14.45">
      <c r="O801" s="69"/>
    </row>
    <row r="802" spans="15:15" ht="14.45">
      <c r="O802" s="69"/>
    </row>
    <row r="803" spans="15:15" ht="14.45">
      <c r="O803" s="69"/>
    </row>
    <row r="804" spans="15:15" ht="14.45">
      <c r="O804" s="69"/>
    </row>
    <row r="805" spans="15:15" ht="14.45">
      <c r="O805" s="69"/>
    </row>
    <row r="806" spans="15:15" ht="14.45">
      <c r="O806" s="69"/>
    </row>
    <row r="807" spans="15:15" ht="14.45">
      <c r="O807" s="69"/>
    </row>
    <row r="808" spans="15:15" ht="14.45">
      <c r="O808" s="69"/>
    </row>
    <row r="809" spans="15:15" ht="14.45">
      <c r="O809" s="69"/>
    </row>
    <row r="810" spans="15:15" ht="14.45">
      <c r="O810" s="69"/>
    </row>
    <row r="811" spans="15:15" ht="14.45">
      <c r="O811" s="69"/>
    </row>
    <row r="812" spans="15:15" ht="14.45">
      <c r="O812" s="69"/>
    </row>
    <row r="813" spans="15:15" ht="14.45">
      <c r="O813" s="69"/>
    </row>
    <row r="814" spans="15:15" ht="14.45">
      <c r="O814" s="69"/>
    </row>
    <row r="815" spans="15:15" ht="14.45">
      <c r="O815" s="69"/>
    </row>
    <row r="816" spans="15:15" ht="14.45">
      <c r="O816" s="69"/>
    </row>
    <row r="817" spans="15:15" ht="14.45">
      <c r="O817" s="69"/>
    </row>
    <row r="818" spans="15:15" ht="14.45">
      <c r="O818" s="69"/>
    </row>
    <row r="819" spans="15:15" ht="14.45">
      <c r="O819" s="69"/>
    </row>
    <row r="820" spans="15:15" ht="14.45">
      <c r="O820" s="69"/>
    </row>
    <row r="821" spans="15:15" ht="14.45">
      <c r="O821" s="69"/>
    </row>
    <row r="822" spans="15:15" ht="14.45">
      <c r="O822" s="69"/>
    </row>
    <row r="823" spans="15:15" ht="14.45">
      <c r="O823" s="69"/>
    </row>
    <row r="824" spans="15:15" ht="14.45">
      <c r="O824" s="69"/>
    </row>
    <row r="825" spans="15:15" ht="14.45">
      <c r="O825" s="69"/>
    </row>
    <row r="826" spans="15:15" ht="14.45">
      <c r="O826" s="69"/>
    </row>
    <row r="827" spans="15:15" ht="14.45">
      <c r="O827" s="69"/>
    </row>
    <row r="828" spans="15:15" ht="14.45">
      <c r="O828" s="69"/>
    </row>
    <row r="829" spans="15:15" ht="14.45">
      <c r="O829" s="69"/>
    </row>
    <row r="830" spans="15:15" ht="14.45">
      <c r="O830" s="69"/>
    </row>
    <row r="831" spans="15:15" ht="14.45">
      <c r="O831" s="69"/>
    </row>
    <row r="832" spans="15:15" ht="14.45">
      <c r="O832" s="69"/>
    </row>
    <row r="833" spans="15:15" ht="14.45">
      <c r="O833" s="69"/>
    </row>
    <row r="834" spans="15:15" ht="14.45">
      <c r="O834" s="69"/>
    </row>
    <row r="835" spans="15:15" ht="14.45">
      <c r="O835" s="69"/>
    </row>
    <row r="836" spans="15:15" ht="14.45">
      <c r="O836" s="69"/>
    </row>
    <row r="837" spans="15:15" ht="14.45">
      <c r="O837" s="69"/>
    </row>
    <row r="838" spans="15:15" ht="14.45">
      <c r="O838" s="69"/>
    </row>
    <row r="839" spans="15:15" ht="14.45">
      <c r="O839" s="69"/>
    </row>
    <row r="840" spans="15:15" ht="14.45">
      <c r="O840" s="69"/>
    </row>
    <row r="841" spans="15:15" ht="14.45">
      <c r="O841" s="69"/>
    </row>
    <row r="842" spans="15:15" ht="14.45">
      <c r="O842" s="69"/>
    </row>
    <row r="843" spans="15:15" ht="14.45">
      <c r="O843" s="69"/>
    </row>
    <row r="844" spans="15:15" ht="14.45">
      <c r="O844" s="69"/>
    </row>
    <row r="845" spans="15:15" ht="14.45">
      <c r="O845" s="69"/>
    </row>
    <row r="846" spans="15:15" ht="14.45">
      <c r="O846" s="69"/>
    </row>
    <row r="847" spans="15:15" ht="14.45">
      <c r="O847" s="69"/>
    </row>
    <row r="848" spans="15:15" ht="14.45">
      <c r="O848" s="69"/>
    </row>
    <row r="849" spans="15:15" ht="14.45">
      <c r="O849" s="69"/>
    </row>
    <row r="850" spans="15:15" ht="14.45">
      <c r="O850" s="69"/>
    </row>
    <row r="851" spans="15:15" ht="14.45">
      <c r="O851" s="69"/>
    </row>
    <row r="852" spans="15:15" ht="14.45">
      <c r="O852" s="69"/>
    </row>
    <row r="853" spans="15:15" ht="14.45">
      <c r="O853" s="69"/>
    </row>
    <row r="854" spans="15:15" ht="14.45">
      <c r="O854" s="69"/>
    </row>
    <row r="855" spans="15:15" ht="14.45">
      <c r="O855" s="69"/>
    </row>
    <row r="856" spans="15:15" ht="14.45">
      <c r="O856" s="69"/>
    </row>
    <row r="857" spans="15:15" ht="14.45">
      <c r="O857" s="69"/>
    </row>
    <row r="858" spans="15:15" ht="14.45">
      <c r="O858" s="69"/>
    </row>
    <row r="859" spans="15:15" ht="14.45">
      <c r="O859" s="69"/>
    </row>
    <row r="860" spans="15:15" ht="14.45">
      <c r="O860" s="69"/>
    </row>
    <row r="861" spans="15:15" ht="14.45">
      <c r="O861" s="69"/>
    </row>
    <row r="862" spans="15:15" ht="14.45">
      <c r="O862" s="69"/>
    </row>
    <row r="863" spans="15:15" ht="14.45">
      <c r="O863" s="69"/>
    </row>
    <row r="864" spans="15:15" ht="14.45">
      <c r="O864" s="69"/>
    </row>
    <row r="865" spans="15:15" ht="14.45">
      <c r="O865" s="69"/>
    </row>
    <row r="866" spans="15:15" ht="14.45">
      <c r="O866" s="69"/>
    </row>
    <row r="867" spans="15:15" ht="14.45">
      <c r="O867" s="69"/>
    </row>
    <row r="868" spans="15:15" ht="14.45">
      <c r="O868" s="69"/>
    </row>
    <row r="869" spans="15:15" ht="14.45">
      <c r="O869" s="69"/>
    </row>
    <row r="870" spans="15:15" ht="14.45">
      <c r="O870" s="69"/>
    </row>
    <row r="871" spans="15:15" ht="14.45">
      <c r="O871" s="69"/>
    </row>
    <row r="872" spans="15:15" ht="14.45">
      <c r="O872" s="69"/>
    </row>
    <row r="873" spans="15:15" ht="14.45">
      <c r="O873" s="69"/>
    </row>
    <row r="874" spans="15:15" ht="14.45">
      <c r="O874" s="69"/>
    </row>
    <row r="875" spans="15:15" ht="14.45">
      <c r="O875" s="69"/>
    </row>
    <row r="876" spans="15:15" ht="14.45">
      <c r="O876" s="69"/>
    </row>
    <row r="877" spans="15:15" ht="14.45">
      <c r="O877" s="69"/>
    </row>
    <row r="878" spans="15:15" ht="14.45">
      <c r="O878" s="69"/>
    </row>
    <row r="879" spans="15:15" ht="14.45">
      <c r="O879" s="69"/>
    </row>
    <row r="880" spans="15:15" ht="14.45">
      <c r="O880" s="69"/>
    </row>
    <row r="881" spans="15:15" ht="14.45">
      <c r="O881" s="69"/>
    </row>
    <row r="882" spans="15:15" ht="14.45">
      <c r="O882" s="69"/>
    </row>
    <row r="883" spans="15:15" ht="14.45">
      <c r="O883" s="69"/>
    </row>
    <row r="884" spans="15:15" ht="14.45">
      <c r="O884" s="69"/>
    </row>
    <row r="885" spans="15:15" ht="14.45">
      <c r="O885" s="69"/>
    </row>
    <row r="886" spans="15:15" ht="14.45">
      <c r="O886" s="69"/>
    </row>
    <row r="887" spans="15:15" ht="14.45">
      <c r="O887" s="69"/>
    </row>
    <row r="888" spans="15:15" ht="14.45">
      <c r="O888" s="69"/>
    </row>
    <row r="889" spans="15:15" ht="14.45">
      <c r="O889" s="69"/>
    </row>
    <row r="890" spans="15:15" ht="14.45">
      <c r="O890" s="69"/>
    </row>
    <row r="891" spans="15:15" ht="14.45">
      <c r="O891" s="69"/>
    </row>
    <row r="892" spans="15:15" ht="14.45">
      <c r="O892" s="69"/>
    </row>
    <row r="893" spans="15:15" ht="14.45">
      <c r="O893" s="69"/>
    </row>
    <row r="894" spans="15:15" ht="14.45">
      <c r="O894" s="69"/>
    </row>
    <row r="895" spans="15:15" ht="14.45">
      <c r="O895" s="69"/>
    </row>
    <row r="896" spans="15:15" ht="14.45">
      <c r="O896" s="69"/>
    </row>
    <row r="897" spans="15:15" ht="14.45">
      <c r="O897" s="69"/>
    </row>
    <row r="898" spans="15:15" ht="14.45">
      <c r="O898" s="69"/>
    </row>
    <row r="899" spans="15:15" ht="14.45">
      <c r="O899" s="69"/>
    </row>
    <row r="900" spans="15:15" ht="14.45">
      <c r="O900" s="69"/>
    </row>
    <row r="901" spans="15:15" ht="14.45">
      <c r="O901" s="69"/>
    </row>
    <row r="902" spans="15:15" ht="14.45">
      <c r="O902" s="69"/>
    </row>
    <row r="903" spans="15:15" ht="14.45">
      <c r="O903" s="69"/>
    </row>
    <row r="904" spans="15:15" ht="14.45">
      <c r="O904" s="69"/>
    </row>
    <row r="905" spans="15:15" ht="14.45">
      <c r="O905" s="69"/>
    </row>
    <row r="906" spans="15:15" ht="14.45">
      <c r="O906" s="69"/>
    </row>
    <row r="907" spans="15:15" ht="14.45">
      <c r="O907" s="69"/>
    </row>
    <row r="908" spans="15:15" ht="14.45">
      <c r="O908" s="69"/>
    </row>
    <row r="909" spans="15:15" ht="14.45">
      <c r="O909" s="69"/>
    </row>
    <row r="910" spans="15:15" ht="14.45">
      <c r="O910" s="69"/>
    </row>
    <row r="911" spans="15:15" ht="14.45">
      <c r="O911" s="69"/>
    </row>
    <row r="912" spans="15:15" ht="14.45">
      <c r="O912" s="69"/>
    </row>
    <row r="913" spans="15:15" ht="14.45">
      <c r="O913" s="69"/>
    </row>
    <row r="914" spans="15:15" ht="14.45">
      <c r="O914" s="69"/>
    </row>
    <row r="915" spans="15:15" ht="14.45">
      <c r="O915" s="69"/>
    </row>
    <row r="916" spans="15:15" ht="14.45">
      <c r="O916" s="69"/>
    </row>
    <row r="917" spans="15:15" ht="14.45">
      <c r="O917" s="69"/>
    </row>
    <row r="918" spans="15:15" ht="14.45">
      <c r="O918" s="69"/>
    </row>
    <row r="919" spans="15:15" ht="14.45">
      <c r="O919" s="69"/>
    </row>
    <row r="920" spans="15:15" ht="14.45">
      <c r="O920" s="69"/>
    </row>
    <row r="921" spans="15:15" ht="14.45">
      <c r="O921" s="69"/>
    </row>
    <row r="922" spans="15:15" ht="14.45">
      <c r="O922" s="69"/>
    </row>
    <row r="923" spans="15:15" ht="14.45">
      <c r="O923" s="69"/>
    </row>
    <row r="924" spans="15:15" ht="14.45">
      <c r="O924" s="69"/>
    </row>
    <row r="925" spans="15:15" ht="14.45">
      <c r="O925" s="69"/>
    </row>
    <row r="926" spans="15:15" ht="14.45">
      <c r="O926" s="69"/>
    </row>
    <row r="927" spans="15:15" ht="14.45">
      <c r="O927" s="69"/>
    </row>
    <row r="928" spans="15:15" ht="14.45">
      <c r="O928" s="69"/>
    </row>
    <row r="929" spans="15:15" ht="14.45">
      <c r="O929" s="69"/>
    </row>
    <row r="930" spans="15:15" ht="14.45">
      <c r="O930" s="69"/>
    </row>
    <row r="931" spans="15:15" ht="14.45">
      <c r="O931" s="69"/>
    </row>
    <row r="932" spans="15:15" ht="14.45">
      <c r="O932" s="69"/>
    </row>
    <row r="933" spans="15:15" ht="14.45">
      <c r="O933" s="69"/>
    </row>
    <row r="934" spans="15:15" ht="14.45">
      <c r="O934" s="69"/>
    </row>
    <row r="935" spans="15:15" ht="14.45">
      <c r="O935" s="69"/>
    </row>
    <row r="936" spans="15:15" ht="14.45">
      <c r="O936" s="69"/>
    </row>
    <row r="937" spans="15:15" ht="14.45">
      <c r="O937" s="69"/>
    </row>
    <row r="938" spans="15:15" ht="14.45">
      <c r="O938" s="69"/>
    </row>
    <row r="939" spans="15:15" ht="14.45">
      <c r="O939" s="69"/>
    </row>
    <row r="940" spans="15:15" ht="14.45">
      <c r="O940" s="69"/>
    </row>
    <row r="941" spans="15:15" ht="14.45">
      <c r="O941" s="69"/>
    </row>
    <row r="942" spans="15:15" ht="14.45">
      <c r="O942" s="69"/>
    </row>
    <row r="943" spans="15:15" ht="14.45">
      <c r="O943" s="69"/>
    </row>
    <row r="944" spans="15:15" ht="14.45">
      <c r="O944" s="69"/>
    </row>
    <row r="945" spans="15:15" ht="14.45">
      <c r="O945" s="69"/>
    </row>
    <row r="946" spans="15:15" ht="14.45">
      <c r="O946" s="69"/>
    </row>
    <row r="947" spans="15:15" ht="14.45">
      <c r="O947" s="69"/>
    </row>
    <row r="948" spans="15:15" ht="14.45">
      <c r="O948" s="69"/>
    </row>
    <row r="949" spans="15:15" ht="14.45">
      <c r="O949" s="69"/>
    </row>
    <row r="950" spans="15:15" ht="14.45">
      <c r="O950" s="69"/>
    </row>
    <row r="951" spans="15:15" ht="14.45">
      <c r="O951" s="69"/>
    </row>
    <row r="952" spans="15:15" ht="14.45">
      <c r="O952" s="69"/>
    </row>
    <row r="953" spans="15:15" ht="14.45">
      <c r="O953" s="69"/>
    </row>
    <row r="954" spans="15:15" ht="14.45">
      <c r="O954" s="69"/>
    </row>
    <row r="955" spans="15:15" ht="14.45">
      <c r="O955" s="69"/>
    </row>
    <row r="956" spans="15:15" ht="14.45">
      <c r="O956" s="69"/>
    </row>
    <row r="957" spans="15:15" ht="14.45">
      <c r="O957" s="69"/>
    </row>
    <row r="958" spans="15:15" ht="14.45">
      <c r="O958" s="69"/>
    </row>
    <row r="959" spans="15:15" ht="14.45">
      <c r="O959" s="69"/>
    </row>
    <row r="960" spans="15:15" ht="14.45">
      <c r="O960" s="69"/>
    </row>
    <row r="961" spans="15:15" ht="14.45">
      <c r="O961" s="69"/>
    </row>
    <row r="962" spans="15:15" ht="15" customHeight="1">
      <c r="O962" s="69"/>
    </row>
  </sheetData>
  <mergeCells count="1">
    <mergeCell ref="I1:N1"/>
  </mergeCells>
  <phoneticPr fontId="3" type="noConversion"/>
  <pageMargins left="0.7" right="0.7" top="0.75" bottom="0.75" header="0.3" footer="0.3"/>
  <pageSetup paperSize="9"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ce2f7984e9548f9a31773f854109466 xmlns="0fda6cd6-21d7-4b96-b54f-e59b2e51d9a2">
      <Terms xmlns="http://schemas.microsoft.com/office/infopath/2007/PartnerControls">
        <TermInfo xmlns="http://schemas.microsoft.com/office/infopath/2007/PartnerControls">
          <TermName xmlns="http://schemas.microsoft.com/office/infopath/2007/PartnerControls">Confidential</TermName>
          <TermId xmlns="http://schemas.microsoft.com/office/infopath/2007/PartnerControls">e4bc29b2-6e76-48cc-b090-8b544c0802ae</TermId>
        </TermInfo>
      </Terms>
    </ice2f7984e9548f9a31773f854109466>
    <SAEFLegalEntityTaxHTField0 xmlns="http://schemas.microsoft.com/sharepoint/v3">
      <Terms xmlns="http://schemas.microsoft.com/office/infopath/2007/PartnerControls">
        <TermInfo xmlns="http://schemas.microsoft.com/office/infopath/2007/PartnerControls">
          <TermName xmlns="http://schemas.microsoft.com/office/infopath/2007/PartnerControls"> NETHERLANDS</TermName>
          <TermId xmlns="http://schemas.microsoft.com/office/infopath/2007/PartnerControls">54565ecb-470f-40ea-a584-819150a65a13</TermId>
        </TermInfo>
      </Terms>
    </SAEFLegalEntityTaxHTField0>
    <SAEFCountryOfJurisdictionTaxHTField0 xmlns="http://schemas.microsoft.com/sharepoint/v3">
      <Terms xmlns="http://schemas.microsoft.com/office/infopath/2007/PartnerControls">
        <TermInfo xmlns="http://schemas.microsoft.com/office/infopath/2007/PartnerControls">
          <TermName xmlns="http://schemas.microsoft.com/office/infopath/2007/PartnerControls"> Shell International Trading And Shipping Company Limited</TermName>
          <TermId xmlns="http://schemas.microsoft.com/office/infopath/2007/PartnerControls">ed2a6304-d00a-4ec0-a256-b56696a1788e</TermId>
        </TermInfo>
      </Terms>
    </SAEFCountryOfJurisdictionTaxHTField0>
    <SAEFSecurityClassificationTaxHTField0 xmlns="http://schemas.microsoft.com/sharepoint/v3" xsi:nil="true"/>
    <TaxCatchAll xmlns="0fda6cd6-21d7-4b96-b54f-e59b2e51d9a2">
      <Value>3</Value>
      <Value>2</Value>
      <Value>1</Value>
    </TaxCatchAll>
    <lcf76f155ced4ddcb4097134ff3c332f xmlns="36270b6e-cecb-4cf8-a81f-be0c9035603f">
      <Terms xmlns="http://schemas.microsoft.com/office/infopath/2007/PartnerControls"/>
    </lcf76f155ced4ddcb4097134ff3c332f>
    <_dlc_DocId xmlns="0fda6cd6-21d7-4b96-b54f-e59b2e51d9a2">UCSWDK376DZH-1536013344-4517</_dlc_DocId>
    <_dlc_DocIdUrl xmlns="0fda6cd6-21d7-4b96-b54f-e59b2e51d9a2">
      <Url>https://eu001-sp.shell.com/sites/SPO004966/_layouts/15/DocIdRedir.aspx?ID=UCSWDK376DZH-1536013344-4517</Url>
      <Description>UCSWDK376DZH-1536013344-4517</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
</file>

<file path=customXml/item5.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01B599DFFF2EF1478BFB7D97B9B88EE8" ma:contentTypeVersion="16" ma:contentTypeDescription="Shell Document Content Type" ma:contentTypeScope="" ma:versionID="87acfb770665358a911523a7936657e1">
  <xsd:schema xmlns:xsd="http://www.w3.org/2001/XMLSchema" xmlns:xs="http://www.w3.org/2001/XMLSchema" xmlns:p="http://schemas.microsoft.com/office/2006/metadata/properties" xmlns:ns1="http://schemas.microsoft.com/sharepoint/v3" xmlns:ns2="0fda6cd6-21d7-4b96-b54f-e59b2e51d9a2" xmlns:ns3="36270b6e-cecb-4cf8-a81f-be0c9035603f" targetNamespace="http://schemas.microsoft.com/office/2006/metadata/properties" ma:root="true" ma:fieldsID="55444da21ff95ce9f507c5637b97479b" ns1:_="" ns2:_="" ns3:_="">
    <xsd:import namespace="http://schemas.microsoft.com/sharepoint/v3"/>
    <xsd:import namespace="0fda6cd6-21d7-4b96-b54f-e59b2e51d9a2"/>
    <xsd:import namespace="36270b6e-cecb-4cf8-a81f-be0c9035603f"/>
    <xsd:element name="properties">
      <xsd:complexType>
        <xsd:sequence>
          <xsd:element name="documentManagement">
            <xsd:complexType>
              <xsd:all>
                <xsd:element ref="ns2:_dlc_DocId" minOccurs="0"/>
                <xsd:element ref="ns2:_dlc_DocIdUrl" minOccurs="0"/>
                <xsd:element ref="ns2:_dlc_DocIdPersistId" minOccurs="0"/>
                <xsd:element ref="ns1:SAEFSecurityClassificationTaxHTField0" minOccurs="0"/>
                <xsd:element ref="ns2:ice2f7984e9548f9a31773f854109466" minOccurs="0"/>
                <xsd:element ref="ns2:TaxCatchAll" minOccurs="0"/>
                <xsd:element ref="ns2:TaxCatchAllLabel" minOccurs="0"/>
                <xsd:element ref="ns1:SAEFLegalEntityTaxHTField0" minOccurs="0"/>
                <xsd:element ref="ns1:SAEFCountryOfJurisdictionTaxHTField0"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AEFSecurityClassificationTaxHTField0" ma:index="11" nillable="true" ma:displayName="Security Classification_0" ma:hidden="true" ma:internalName="SAEFSecurityClassificationTaxHTField0">
      <xsd:simpleType>
        <xsd:restriction base="dms:Note"/>
      </xsd:simpleType>
    </xsd:element>
    <xsd:element name="SAEFLegalEntityTaxHTField0" ma:index="16" nillable="true" ma:taxonomy="true" ma:internalName="SAEFLegalEntityTaxHTField0" ma:taxonomyFieldName="SAEFCountryOfJurisdiction" ma:displayName="Country of Jurisdiction" ma:default="3;# NETHERLANDS|54565ecb-470f-40ea-a584-819150a65a13" ma:fieldId="{dc07035f-7987-48f5-ba88-2d29e2b62c9e}" ma:taxonomyMulti="true" ma:sspId="e3aebf70-341c-4d91-bdd3-aba9df361687" ma:termSetId="a560ecad-89fd-4dcd-adad-4e15e7baec58" ma:anchorId="00000000-0000-0000-0000-000000000000" ma:open="false" ma:isKeyword="false">
      <xsd:complexType>
        <xsd:sequence>
          <xsd:element ref="pc:Terms" minOccurs="0" maxOccurs="1"/>
        </xsd:sequence>
      </xsd:complexType>
    </xsd:element>
    <xsd:element name="SAEFCountryOfJurisdictionTaxHTField0" ma:index="17" nillable="true" ma:taxonomy="true" ma:internalName="SAEFCountryOfJurisdictionTaxHTField0" ma:taxonomyFieldName="SAEFLegalEntity" ma:displayName="Legal Entity" ma:default="2;# Shell International Trading And Shipping Company Limited|ed2a6304-d00a-4ec0-a256-b56696a1788e" ma:fieldId="{529dd253-148e-4d10-9b8c-1444f6695d3b}" ma:taxonomyMulti="true" ma:sspId="e3aebf70-341c-4d91-bdd3-aba9df361687" ma:termSetId="94b6dd6e-4329-4f68-907b-ed5bdd50f8ac"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fda6cd6-21d7-4b96-b54f-e59b2e51d9a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ce2f7984e9548f9a31773f854109466" ma:index="12" ma:taxonomy="true" ma:internalName="ice2f7984e9548f9a31773f854109466" ma:taxonomyFieldName="SAEFSecurityClassification" ma:displayName="Security Classification" ma:default="1;#Confidential|e4bc29b2-6e76-48cc-b090-8b544c0802ae"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51ff5240-932d-49a5-b524-dea7b0b6fb40}" ma:internalName="TaxCatchAll" ma:showField="CatchAllData" ma:web="0fda6cd6-21d7-4b96-b54f-e59b2e51d9a2">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51ff5240-932d-49a5-b524-dea7b0b6fb40}" ma:internalName="TaxCatchAllLabel" ma:readOnly="true" ma:showField="CatchAllDataLabel" ma:web="0fda6cd6-21d7-4b96-b54f-e59b2e51d9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70b6e-cecb-4cf8-a81f-be0c9035603f"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3aebf70-341c-4d91-bdd3-aba9df361687"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element name="MediaServiceLocation" ma:index="3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720A82-DAB3-464A-B547-5C2CCDF4EF49}"/>
</file>

<file path=customXml/itemProps2.xml><?xml version="1.0" encoding="utf-8"?>
<ds:datastoreItem xmlns:ds="http://schemas.openxmlformats.org/officeDocument/2006/customXml" ds:itemID="{18F187C7-B049-4476-8D1C-4C1688496E7B}"/>
</file>

<file path=customXml/itemProps3.xml><?xml version="1.0" encoding="utf-8"?>
<ds:datastoreItem xmlns:ds="http://schemas.openxmlformats.org/officeDocument/2006/customXml" ds:itemID="{965A8109-1E66-48D2-B9F4-C02019747009}"/>
</file>

<file path=customXml/itemProps4.xml><?xml version="1.0" encoding="utf-8"?>
<ds:datastoreItem xmlns:ds="http://schemas.openxmlformats.org/officeDocument/2006/customXml" ds:itemID="{CB4C64D9-043E-46D4-89E0-5B478F5AC24F}"/>
</file>

<file path=customXml/itemProps5.xml><?xml version="1.0" encoding="utf-8"?>
<ds:datastoreItem xmlns:ds="http://schemas.openxmlformats.org/officeDocument/2006/customXml" ds:itemID="{C22CB6BD-9EE8-4029-9012-80C92F2F26D1}"/>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RAVISANKAR, VIGNESH SITINC-PTIY/TP/U</dc:creator>
  <cp:keywords/>
  <dc:description/>
  <cp:lastModifiedBy/>
  <cp:revision/>
  <dcterms:created xsi:type="dcterms:W3CDTF">2025-07-12T23:21:47Z</dcterms:created>
  <dcterms:modified xsi:type="dcterms:W3CDTF">2026-07-23T11:49:52Z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0x0101006F0A470EEB1140E7AA14F4CE8A50B54C0001CB1477F4DD432AA86DD56CC3887AF40001B599DFFF2EF1478BFB7D97B9B88EE8</vt:lpwstr>
  </property>
  <property fmtid="{D5CDD505-2E9C-101B-9397-08002B2CF9AE}" pid="3" name="SAEFCountryOfJurisdiction">
    <vt:lpwstr>3;# NETHERLANDS|54565ecb-470f-40ea-a584-819150a65a13</vt:lpwstr>
  </property>
  <property fmtid="{D5CDD505-2E9C-101B-9397-08002B2CF9AE}" pid="4" name="_dlc_DocIdItemGuid">
    <vt:lpwstr>6212d1f4-4804-4b23-9fc3-a2420d07e3d4</vt:lpwstr>
  </property>
  <property fmtid="{D5CDD505-2E9C-101B-9397-08002B2CF9AE}" pid="5" name="SAEFSecurityClassification">
    <vt:lpwstr>1;#Confidential|e4bc29b2-6e76-48cc-b090-8b544c0802ae</vt:lpwstr>
  </property>
  <property fmtid="{D5CDD505-2E9C-101B-9397-08002B2CF9AE}" pid="6" name="SAEFLegalEntity">
    <vt:lpwstr>2;# Shell International Trading And Shipping Company Limited|ed2a6304-d00a-4ec0-a256-b56696a1788e</vt:lpwstr>
  </property>
  <property fmtid="{D5CDD505-2E9C-101B-9397-08002B2CF9AE}" pid="7" name="MediaServiceImageTags">
    <vt:lpwstr/>
  </property>
</Properties>
</file>